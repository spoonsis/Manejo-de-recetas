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29" documentId="8_{AC45E0BD-582F-4100-B179-F3EBB935E3CC}" xr6:coauthVersionLast="47" xr6:coauthVersionMax="47" xr10:uidLastSave="{F0842434-BD3B-4E88-9970-575A82D78239}"/>
  <bookViews>
    <workbookView xWindow="-120" yWindow="-120" windowWidth="20730" windowHeight="11040" tabRatio="876" firstSheet="1" activeTab="1" xr2:uid="{00000000-000D-0000-FFFF-FFFF00000000}"/>
  </bookViews>
  <sheets>
    <sheet name="Salsa roja mexicana" sheetId="5" state="hidden" r:id="rId1"/>
    <sheet name="Hoja1" sheetId="11" r:id="rId2"/>
    <sheet name="Costo salsa roja mexicana" sheetId="7" state="hidden" r:id="rId3"/>
    <sheet name="Empaque" sheetId="6" state="hidden" r:id="rId4"/>
    <sheet name="costo empaque " sheetId="8" state="hidden" r:id="rId5"/>
  </sheets>
  <externalReferences>
    <externalReference r:id="rId6"/>
    <externalReference r:id="rId7"/>
  </externalReferences>
  <definedNames>
    <definedName name="_xlnm.Print_Area" localSheetId="0">'Salsa roja mexicana'!$A$1:$I$44</definedName>
  </definedNam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7" l="1"/>
  <c r="F14" i="7"/>
  <c r="E9" i="7"/>
  <c r="F9" i="7"/>
  <c r="E10" i="7"/>
  <c r="F10" i="7"/>
  <c r="C9" i="7"/>
  <c r="C10" i="7"/>
  <c r="B11" i="7"/>
  <c r="C11" i="7"/>
  <c r="D11" i="7"/>
  <c r="E11" i="7"/>
  <c r="F11" i="7"/>
  <c r="B12" i="7"/>
  <c r="C12" i="7"/>
  <c r="D12" i="7"/>
  <c r="E12" i="7"/>
  <c r="F12" i="7"/>
  <c r="B13" i="7"/>
  <c r="C13" i="7"/>
  <c r="D13" i="7"/>
  <c r="E13" i="7"/>
  <c r="F13" i="7"/>
  <c r="C14" i="7"/>
  <c r="C15" i="7"/>
  <c r="F15" i="7"/>
  <c r="C16" i="7"/>
  <c r="E16" i="7"/>
  <c r="F16" i="7"/>
  <c r="B17" i="7"/>
  <c r="C17" i="7"/>
  <c r="D17" i="7"/>
  <c r="E17" i="7"/>
  <c r="F17" i="7"/>
  <c r="B18" i="7"/>
  <c r="C18" i="7"/>
  <c r="D18" i="7"/>
  <c r="E18" i="7"/>
  <c r="F18" i="7"/>
  <c r="D66" i="8"/>
  <c r="D67" i="8"/>
  <c r="D69" i="8"/>
  <c r="D64" i="8"/>
  <c r="D62" i="8"/>
  <c r="F58" i="8"/>
  <c r="C66" i="8"/>
  <c r="D53" i="8"/>
  <c r="D78" i="8"/>
  <c r="C44" i="8"/>
  <c r="E43" i="8"/>
  <c r="F43" i="8"/>
  <c r="C43" i="8"/>
  <c r="A43" i="8"/>
  <c r="E42" i="8"/>
  <c r="A42" i="8"/>
  <c r="C42" i="8"/>
  <c r="E41" i="8"/>
  <c r="F41" i="8"/>
  <c r="A41" i="8"/>
  <c r="C41" i="8"/>
  <c r="E40" i="8"/>
  <c r="A40" i="8"/>
  <c r="C40" i="8"/>
  <c r="A39" i="8"/>
  <c r="C39" i="8"/>
  <c r="E36" i="8"/>
  <c r="F36" i="8"/>
  <c r="G36" i="8"/>
  <c r="C36" i="8"/>
  <c r="A36" i="8"/>
  <c r="E35" i="8"/>
  <c r="F35" i="8"/>
  <c r="G35" i="8"/>
  <c r="A35" i="8"/>
  <c r="C35" i="8"/>
  <c r="E34" i="8"/>
  <c r="F34" i="8"/>
  <c r="G34" i="8"/>
  <c r="A34" i="8"/>
  <c r="C34" i="8"/>
  <c r="E33" i="8"/>
  <c r="A33" i="8"/>
  <c r="C33" i="8"/>
  <c r="A32" i="8"/>
  <c r="C32" i="8"/>
  <c r="B30" i="8"/>
  <c r="E29" i="8"/>
  <c r="F29" i="8"/>
  <c r="D29" i="8"/>
  <c r="C29" i="8"/>
  <c r="B29" i="8"/>
  <c r="E28" i="8"/>
  <c r="F28" i="8"/>
  <c r="D28" i="8"/>
  <c r="C28" i="8"/>
  <c r="B28" i="8"/>
  <c r="E27" i="8"/>
  <c r="F27" i="8"/>
  <c r="D27" i="8"/>
  <c r="C27" i="8"/>
  <c r="B27" i="8"/>
  <c r="E26" i="8"/>
  <c r="F26" i="8"/>
  <c r="C26" i="8"/>
  <c r="E25" i="8"/>
  <c r="F25" i="8"/>
  <c r="C25" i="8"/>
  <c r="F24" i="8"/>
  <c r="D24" i="8"/>
  <c r="C24" i="8"/>
  <c r="B24" i="8"/>
  <c r="E21" i="8"/>
  <c r="F21" i="8"/>
  <c r="D21" i="8"/>
  <c r="C21" i="8"/>
  <c r="B21" i="8"/>
  <c r="E20" i="8"/>
  <c r="F20" i="8"/>
  <c r="D20" i="8"/>
  <c r="C20" i="8"/>
  <c r="B20" i="8"/>
  <c r="E19" i="8"/>
  <c r="D19" i="8"/>
  <c r="C19" i="8"/>
  <c r="F19" i="8"/>
  <c r="B19" i="8"/>
  <c r="E18" i="8"/>
  <c r="F18" i="8"/>
  <c r="D18" i="8"/>
  <c r="C18" i="8"/>
  <c r="B18" i="8"/>
  <c r="C17" i="8"/>
  <c r="B15" i="8"/>
  <c r="E14" i="8"/>
  <c r="F14" i="8"/>
  <c r="D14" i="8"/>
  <c r="C14" i="8"/>
  <c r="B14" i="8"/>
  <c r="E13" i="8"/>
  <c r="F13" i="8"/>
  <c r="D13" i="8"/>
  <c r="C13" i="8"/>
  <c r="B13" i="8"/>
  <c r="E12" i="8"/>
  <c r="F12" i="8"/>
  <c r="D12" i="8"/>
  <c r="C12" i="8"/>
  <c r="B12" i="8"/>
  <c r="E11" i="8"/>
  <c r="F11" i="8"/>
  <c r="D11" i="8"/>
  <c r="C11" i="8"/>
  <c r="B11" i="8"/>
  <c r="E10" i="8"/>
  <c r="F10" i="8"/>
  <c r="D10" i="8"/>
  <c r="C10" i="8"/>
  <c r="B10" i="8"/>
  <c r="E9" i="8"/>
  <c r="F9" i="8"/>
  <c r="D9" i="8"/>
  <c r="C9" i="8"/>
  <c r="B9" i="8"/>
  <c r="E8" i="8"/>
  <c r="F8" i="8"/>
  <c r="D8" i="8"/>
  <c r="C8" i="8"/>
  <c r="B8" i="8"/>
  <c r="H6" i="8"/>
  <c r="D70" i="7"/>
  <c r="D71" i="7"/>
  <c r="D73" i="7"/>
  <c r="D68" i="7"/>
  <c r="D66" i="7"/>
  <c r="F62" i="7"/>
  <c r="C70" i="7"/>
  <c r="C82" i="7"/>
  <c r="D57" i="7"/>
  <c r="D78" i="7"/>
  <c r="C48" i="7"/>
  <c r="E47" i="7"/>
  <c r="F47" i="7"/>
  <c r="A47" i="7"/>
  <c r="C47" i="7"/>
  <c r="E46" i="7"/>
  <c r="F46" i="7"/>
  <c r="A46" i="7"/>
  <c r="C46" i="7"/>
  <c r="E45" i="7"/>
  <c r="F45" i="7"/>
  <c r="A45" i="7"/>
  <c r="C45" i="7"/>
  <c r="E44" i="7"/>
  <c r="F44" i="7"/>
  <c r="C44" i="7"/>
  <c r="A44" i="7"/>
  <c r="E43" i="7"/>
  <c r="F43" i="7"/>
  <c r="A43" i="7"/>
  <c r="C43" i="7"/>
  <c r="E40" i="7"/>
  <c r="F40" i="7"/>
  <c r="G40" i="7"/>
  <c r="A40" i="7"/>
  <c r="C40" i="7"/>
  <c r="E39" i="7"/>
  <c r="A39" i="7"/>
  <c r="C39" i="7"/>
  <c r="E38" i="7"/>
  <c r="F38" i="7"/>
  <c r="G38" i="7"/>
  <c r="A38" i="7"/>
  <c r="C38" i="7"/>
  <c r="E37" i="7"/>
  <c r="F37" i="7"/>
  <c r="G37" i="7"/>
  <c r="A37" i="7"/>
  <c r="C37" i="7"/>
  <c r="E36" i="7"/>
  <c r="F36" i="7"/>
  <c r="G36" i="7"/>
  <c r="A36" i="7"/>
  <c r="C36" i="7"/>
  <c r="B34" i="7"/>
  <c r="E33" i="7"/>
  <c r="F33" i="7"/>
  <c r="D33" i="7"/>
  <c r="C33" i="7"/>
  <c r="B33" i="7"/>
  <c r="E32" i="7"/>
  <c r="D32" i="7"/>
  <c r="C32" i="7"/>
  <c r="B32" i="7"/>
  <c r="E31" i="7"/>
  <c r="D31" i="7"/>
  <c r="C31" i="7"/>
  <c r="B31" i="7"/>
  <c r="E30" i="7"/>
  <c r="F30" i="7"/>
  <c r="D30" i="7"/>
  <c r="C30" i="7"/>
  <c r="B30" i="7"/>
  <c r="E29" i="7"/>
  <c r="F29" i="7"/>
  <c r="D29" i="7"/>
  <c r="C29" i="7"/>
  <c r="B29" i="7"/>
  <c r="E28" i="7"/>
  <c r="F28" i="7"/>
  <c r="D28" i="7"/>
  <c r="C28" i="7"/>
  <c r="B28" i="7"/>
  <c r="E25" i="7"/>
  <c r="F25" i="7"/>
  <c r="D25" i="7"/>
  <c r="C25" i="7"/>
  <c r="B25" i="7"/>
  <c r="E24" i="7"/>
  <c r="D24" i="7"/>
  <c r="C24" i="7"/>
  <c r="F24" i="7"/>
  <c r="B24" i="7"/>
  <c r="E23" i="7"/>
  <c r="F23" i="7"/>
  <c r="D23" i="7"/>
  <c r="C23" i="7"/>
  <c r="B23" i="7"/>
  <c r="E22" i="7"/>
  <c r="F22" i="7"/>
  <c r="D22" i="7"/>
  <c r="C22" i="7"/>
  <c r="B22" i="7"/>
  <c r="E21" i="7"/>
  <c r="D21" i="7"/>
  <c r="C21" i="7"/>
  <c r="B21" i="7"/>
  <c r="B19" i="7"/>
  <c r="C8" i="7"/>
  <c r="B8" i="7"/>
  <c r="H6" i="7"/>
  <c r="C21" i="6"/>
  <c r="D31" i="5"/>
  <c r="D76" i="8"/>
  <c r="F40" i="8"/>
  <c r="F33" i="8"/>
  <c r="G33" i="8"/>
  <c r="F42" i="8"/>
  <c r="E48" i="7"/>
  <c r="F48" i="7"/>
  <c r="F31" i="7"/>
  <c r="F32" i="7"/>
  <c r="F8" i="7"/>
  <c r="E44" i="8"/>
  <c r="F44" i="8"/>
  <c r="D74" i="8"/>
  <c r="F39" i="7"/>
  <c r="G39" i="7"/>
  <c r="E70" i="7"/>
  <c r="D80" i="7"/>
  <c r="C78" i="8"/>
  <c r="E66" i="8"/>
  <c r="E78" i="8"/>
  <c r="D79" i="8"/>
  <c r="D82" i="7"/>
  <c r="F53" i="7"/>
  <c r="F21" i="7"/>
  <c r="F50" i="7"/>
  <c r="F51" i="7"/>
  <c r="D83" i="7"/>
  <c r="E82" i="7"/>
  <c r="F61" i="7"/>
  <c r="F52" i="7"/>
  <c r="C66" i="7"/>
  <c r="H50" i="7"/>
  <c r="F2" i="7"/>
  <c r="C71" i="7"/>
  <c r="O52" i="7"/>
  <c r="H53" i="7"/>
  <c r="H2" i="7"/>
  <c r="C73" i="7"/>
  <c r="E73" i="7"/>
  <c r="E32" i="8"/>
  <c r="F32" i="8"/>
  <c r="H51" i="7"/>
  <c r="G2" i="7"/>
  <c r="E66" i="7"/>
  <c r="C78" i="7"/>
  <c r="E78" i="7"/>
  <c r="G32" i="8"/>
  <c r="F47" i="8"/>
  <c r="C83" i="7"/>
  <c r="E83" i="7"/>
  <c r="E71" i="7"/>
  <c r="E39" i="8"/>
  <c r="F39" i="8"/>
  <c r="O51" i="7"/>
  <c r="H52" i="7"/>
  <c r="F60" i="7"/>
  <c r="H47" i="8"/>
  <c r="G2" i="8"/>
  <c r="C69" i="8"/>
  <c r="E69" i="8"/>
  <c r="O53" i="7"/>
  <c r="O54" i="7"/>
  <c r="F49" i="8"/>
  <c r="E60" i="7"/>
  <c r="F63" i="7"/>
  <c r="C68" i="7"/>
  <c r="E17" i="8"/>
  <c r="F17" i="8"/>
  <c r="E75" i="7"/>
  <c r="F46" i="8"/>
  <c r="G13" i="7"/>
  <c r="G48" i="7"/>
  <c r="G31" i="7"/>
  <c r="G32" i="7"/>
  <c r="G30" i="7"/>
  <c r="G47" i="7"/>
  <c r="G22" i="7"/>
  <c r="G14" i="7"/>
  <c r="G12" i="7"/>
  <c r="G63" i="7"/>
  <c r="G17" i="7"/>
  <c r="G8" i="7"/>
  <c r="G62" i="7"/>
  <c r="G23" i="7"/>
  <c r="G11" i="7"/>
  <c r="G15" i="7"/>
  <c r="G45" i="7"/>
  <c r="G16" i="7"/>
  <c r="G18" i="7"/>
  <c r="G25" i="7"/>
  <c r="G24" i="7"/>
  <c r="G10" i="7"/>
  <c r="G33" i="7"/>
  <c r="G28" i="7"/>
  <c r="G29" i="7"/>
  <c r="G43" i="7"/>
  <c r="G46" i="7"/>
  <c r="G44" i="7"/>
  <c r="G9" i="7"/>
  <c r="G21" i="7"/>
  <c r="G53" i="7"/>
  <c r="G51" i="7"/>
  <c r="G50" i="7"/>
  <c r="G52" i="7"/>
  <c r="G61" i="7"/>
  <c r="O55" i="7"/>
  <c r="O56" i="7"/>
  <c r="G60" i="7"/>
  <c r="O48" i="8"/>
  <c r="C67" i="8"/>
  <c r="H49" i="8"/>
  <c r="H2" i="8"/>
  <c r="E68" i="7"/>
  <c r="C80" i="7"/>
  <c r="E80" i="7"/>
  <c r="O57" i="7"/>
  <c r="O58" i="7"/>
  <c r="O59" i="7"/>
  <c r="C79" i="8"/>
  <c r="E79" i="8"/>
  <c r="E67" i="8"/>
  <c r="F57" i="8"/>
  <c r="C62" i="8"/>
  <c r="H46" i="8"/>
  <c r="F2" i="8"/>
  <c r="F48" i="8"/>
  <c r="P59" i="7"/>
  <c r="E2" i="7"/>
  <c r="C74" i="8"/>
  <c r="E74" i="8"/>
  <c r="E62" i="8"/>
  <c r="E71" i="8"/>
  <c r="H48" i="8"/>
  <c r="F56" i="8"/>
  <c r="O47" i="8"/>
  <c r="C64" i="8"/>
  <c r="E56" i="8"/>
  <c r="F59" i="8"/>
  <c r="G56" i="8"/>
  <c r="O49" i="8"/>
  <c r="O50" i="8"/>
  <c r="O52" i="8"/>
  <c r="O51" i="8"/>
  <c r="G41" i="8"/>
  <c r="G10" i="8"/>
  <c r="G58" i="8"/>
  <c r="G21" i="8"/>
  <c r="G26" i="8"/>
  <c r="G9" i="8"/>
  <c r="G8" i="8"/>
  <c r="G59" i="8"/>
  <c r="G27" i="8"/>
  <c r="G43" i="8"/>
  <c r="G13" i="8"/>
  <c r="G44" i="8"/>
  <c r="G12" i="8"/>
  <c r="G24" i="8"/>
  <c r="G29" i="8"/>
  <c r="G19" i="8"/>
  <c r="G28" i="8"/>
  <c r="G42" i="8"/>
  <c r="G14" i="8"/>
  <c r="G18" i="8"/>
  <c r="G25" i="8"/>
  <c r="G20" i="8"/>
  <c r="G40" i="8"/>
  <c r="G11" i="8"/>
  <c r="G47" i="8"/>
  <c r="G39" i="8"/>
  <c r="G17" i="8"/>
  <c r="G49" i="8"/>
  <c r="G46" i="8"/>
  <c r="G48" i="8"/>
  <c r="G57" i="8"/>
  <c r="E64" i="8"/>
  <c r="C76" i="8"/>
  <c r="E76" i="8"/>
  <c r="O53" i="8"/>
  <c r="O54" i="8"/>
  <c r="O55" i="8"/>
  <c r="P55" i="8"/>
  <c r="E2" i="8"/>
</calcChain>
</file>

<file path=xl/sharedStrings.xml><?xml version="1.0" encoding="utf-8"?>
<sst xmlns="http://schemas.openxmlformats.org/spreadsheetml/2006/main" count="465" uniqueCount="175">
  <si>
    <t>SERVICIOS DE PASTELERIA S.A.</t>
  </si>
  <si>
    <t>CÓDIGO:</t>
  </si>
  <si>
    <t>ESPECIFICACION DE RECETA</t>
  </si>
  <si>
    <t>REVISIÓN:</t>
  </si>
  <si>
    <t>FECHA DE APROBACIÓN:</t>
  </si>
  <si>
    <t>Elaborado</t>
  </si>
  <si>
    <t>Juan Pablo Brenes,chef</t>
  </si>
  <si>
    <t>Aprobado</t>
  </si>
  <si>
    <t>Jeffry Rodriguez, Gerente de Manufactura</t>
  </si>
  <si>
    <t>AREA QUE PRODUCE:</t>
  </si>
  <si>
    <t>Cocina</t>
  </si>
  <si>
    <t xml:space="preserve">AREA QUE EMPACA: </t>
  </si>
  <si>
    <t>Empaque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</si>
  <si>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</si>
  <si>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</si>
  <si>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</si>
  <si>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</si>
  <si>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</si>
  <si>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</si>
  <si>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</si>
  <si>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</si>
  <si>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</si>
  <si>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1210402</t>
  </si>
  <si>
    <t>MARGARINA BLOQUE 12.5 KILOS</t>
  </si>
  <si>
    <t>g</t>
  </si>
  <si>
    <t>0101035</t>
  </si>
  <si>
    <t>CEBOLLA PICADA ( 1 KILO )</t>
  </si>
  <si>
    <t>512319</t>
  </si>
  <si>
    <t>AJO MOLIDO PRESTO</t>
  </si>
  <si>
    <t>1010009</t>
  </si>
  <si>
    <t>CHILE CHIPOTLE COSTEÑA (UND:2.9 K)</t>
  </si>
  <si>
    <t>101150</t>
  </si>
  <si>
    <t>APIO PICADO (PAQ:500gr)</t>
  </si>
  <si>
    <t>0101210</t>
  </si>
  <si>
    <t>TOMATE KILO</t>
  </si>
  <si>
    <t>109000033</t>
  </si>
  <si>
    <t>CULANTRO DESINFECTADO (250g)</t>
  </si>
  <si>
    <t>AGUA POTABLE</t>
  </si>
  <si>
    <t>0510204</t>
  </si>
  <si>
    <t>SAL REFINADA ( 500 GRS )</t>
  </si>
  <si>
    <t>DIAMANTE</t>
  </si>
  <si>
    <t>105000013</t>
  </si>
  <si>
    <t>PIMIENTA NEGRA MOLIDA ( PAQ: 5000 g )</t>
  </si>
  <si>
    <t>10100125</t>
  </si>
  <si>
    <t>PASTA TOMATE OLD CALI (UND:3.14 K)</t>
  </si>
  <si>
    <t>Unidad</t>
  </si>
  <si>
    <t>PESO TOTAL OBTENIDO</t>
  </si>
  <si>
    <t>TIEMPO TOTAL DE PREPARACION</t>
  </si>
  <si>
    <t>min</t>
  </si>
  <si>
    <t>CANTIDAD DE PORCIONES OBTENIDAS</t>
  </si>
  <si>
    <t>ud</t>
  </si>
  <si>
    <t>PESO DE CADA PORCIÓN</t>
  </si>
  <si>
    <t>MERMA</t>
  </si>
  <si>
    <t>PROCEDIMIENTO DE PREPARACION DE LA  RECETA</t>
  </si>
  <si>
    <t>1- Saltear en la margarina la cebolla, el ajo, apio, tomate, chile chipotle y culantro por 5 minutos.</t>
  </si>
  <si>
    <t>2- Luego agregar el agua con la sal, pimienta, pasta de tomate y dejar hervir.</t>
  </si>
  <si>
    <t>3- Licuar la mezcla anterior y llevar a temperatura para luego pasar a enfriamiento.</t>
  </si>
  <si>
    <t>0310107</t>
  </si>
  <si>
    <t>BAKER</t>
  </si>
  <si>
    <t>PRESTO</t>
  </si>
  <si>
    <t>COSTEÑA</t>
  </si>
  <si>
    <t>FRESQUITA</t>
  </si>
  <si>
    <t>FAS</t>
  </si>
  <si>
    <t>MAYCA</t>
  </si>
  <si>
    <t>OLD CALIFORNIA</t>
  </si>
  <si>
    <t>CONTROL DE CAMBIOS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</si>
  <si>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</si>
  <si>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</si>
  <si>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</si>
  <si>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</si>
  <si>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</si>
  <si>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</si>
  <si>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</si>
  <si>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</si>
  <si>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</si>
  <si>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</si>
  <si>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</si>
  <si>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</si>
  <si>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</si>
  <si>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Gramo</t>
  </si>
  <si>
    <t>101035</t>
  </si>
  <si>
    <t>0512319</t>
  </si>
  <si>
    <t>101073</t>
  </si>
  <si>
    <t>99999</t>
  </si>
  <si>
    <t>10100098</t>
  </si>
  <si>
    <t>MATERIA PRIMA SEMIELABORADOS</t>
  </si>
  <si>
    <t>EMPAQUE</t>
  </si>
  <si>
    <t>EMPAQUE SEMIELABORADOS</t>
  </si>
  <si>
    <t>N/A</t>
  </si>
  <si>
    <t>MODI</t>
  </si>
  <si>
    <t>MODI PREPARACION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</si>
  <si>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</si>
  <si>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</si>
  <si>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</si>
  <si>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</si>
  <si>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</si>
  <si>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</si>
  <si>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</si>
  <si>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</si>
  <si>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</si>
  <si>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</si>
  <si>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</si>
  <si>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</si>
  <si>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TRANSFERENCIA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</si>
  <si>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</si>
  <si>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</si>
  <si>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</si>
  <si>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</si>
  <si>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</si>
  <si>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</si>
  <si>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</si>
  <si>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</si>
  <si>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</si>
  <si>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</si>
  <si>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</si>
  <si>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</si>
  <si>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</si>
  <si>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</si>
  <si>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</si>
  <si>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</si>
  <si>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</si>
  <si>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</si>
  <si>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Empaque Salsa roja mexicana</t>
  </si>
  <si>
    <t>SALSA ROJA MEXICANA</t>
  </si>
  <si>
    <t>BOLSA TRANSPARENTE 6X6X4 (KILO)</t>
  </si>
  <si>
    <t>Etiplast</t>
  </si>
  <si>
    <t>ETIQ.BLANCA 1 1/4 * 3/4</t>
  </si>
  <si>
    <t>ETIQ.FECHA VENCIMIENTO BLANCO (ROLLO)</t>
  </si>
  <si>
    <t>1- Empacar 180g de salsa roja en la bolsa 6x6x4.</t>
  </si>
  <si>
    <t>2- Etiquetar con nombre y vencimiento</t>
  </si>
  <si>
    <t xml:space="preserve">GRAMOS </t>
  </si>
  <si>
    <t>401000003</t>
  </si>
  <si>
    <t>UND</t>
  </si>
  <si>
    <t>0702069</t>
  </si>
  <si>
    <t>0702007</t>
  </si>
  <si>
    <t>1212412</t>
  </si>
  <si>
    <t>2- Luego agregar el agua con la sal, pimienta, preservante, pasta de tomate y dejar hervir.</t>
  </si>
  <si>
    <t>90100298(SE00154) Salsa roja mexicana</t>
  </si>
  <si>
    <t># Codigo Netsuite</t>
  </si>
  <si>
    <t>MP10530</t>
  </si>
  <si>
    <t>NetSuiteCode</t>
  </si>
  <si>
    <t>MP10116</t>
  </si>
  <si>
    <t>MP10069</t>
  </si>
  <si>
    <t>MP10287</t>
  </si>
  <si>
    <t>MP10022</t>
  </si>
  <si>
    <t>CEBOLLA PICADA</t>
  </si>
  <si>
    <t xml:space="preserve">CHILE CHIPOTLE COSTEÑA </t>
  </si>
  <si>
    <t xml:space="preserve">APIO PICADO </t>
  </si>
  <si>
    <t xml:space="preserve">CULANTRO DESINFECTADO </t>
  </si>
  <si>
    <t>SAL REFINADA</t>
  </si>
  <si>
    <t xml:space="preserve">PIMIENTA NEGRA MOLIDA </t>
  </si>
  <si>
    <t>PASTA TOMATE OLD CALI</t>
  </si>
  <si>
    <t xml:space="preserve">PRESERVANTE 1017S </t>
  </si>
  <si>
    <t>MP10020</t>
  </si>
  <si>
    <t>MP10019</t>
  </si>
  <si>
    <t>MP10374</t>
  </si>
  <si>
    <t>MP10173</t>
  </si>
  <si>
    <t>MP10031</t>
  </si>
  <si>
    <t>MP10038</t>
  </si>
  <si>
    <t>MP10025</t>
  </si>
  <si>
    <t>ESP-RE-COCS-045</t>
  </si>
  <si>
    <t>01</t>
  </si>
  <si>
    <t>Javier Tong, Chef</t>
  </si>
  <si>
    <t>Esteban Cartin, Gte Manufactura</t>
  </si>
  <si>
    <t># Código Netsuite</t>
  </si>
  <si>
    <t>Ensamble</t>
  </si>
  <si>
    <t>PASTA AJO</t>
  </si>
  <si>
    <t>TOMATE GRANEL</t>
  </si>
  <si>
    <t>ASEAL</t>
  </si>
  <si>
    <t>Decoración</t>
  </si>
  <si>
    <t>Tiempo de Horneo:</t>
  </si>
  <si>
    <t>Horno:</t>
  </si>
  <si>
    <t>Temperatura de Horneo:</t>
  </si>
  <si>
    <t>Otros</t>
  </si>
  <si>
    <t>LACTOCREMA GRANEL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</si>
</sst>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_);[Red]\(&quot;$&quot;#,##0\)"/>
    <numFmt numFmtId="165" formatCode="_(* #,##0_);_(* \(#,##0\);_(* &quot;-&quot;_);_(@_)"/>
    <numFmt numFmtId="166" formatCode="_(* #,##0.00_);_(* \(#,##0.00\);_(* &quot;-&quot;??_);_(@_)"/>
    <numFmt numFmtId="167" formatCode="0.000"/>
    <numFmt numFmtId="168" formatCode="[$-409]d\-mmm\-yy;@"/>
    <numFmt numFmtId="169" formatCode="_-* #,##0.0\ _€_-;\-* #,##0.0\ _€_-;_-* &quot;-&quot;??\ _€_-;_-@_-"/>
    <numFmt numFmtId="170" formatCode="0.0"/>
  </numFmts>
  <fonts count="5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rgb="FFFF0000"/>
      <name val="Times New Roman"/>
      <family val="1"/>
    </font>
    <font>
      <sz val="10"/>
      <name val="Century Gothic"/>
      <family val="2"/>
    </font>
    <font>
      <b/>
      <sz val="10"/>
      <name val="Century Gothic"/>
      <family val="2"/>
    </font>
    <font>
      <b/>
      <sz val="12"/>
      <name val="Century Gothic"/>
      <family val="2"/>
    </font>
    <font>
      <b/>
      <sz val="14"/>
      <color indexed="8"/>
      <name val="Arial"/>
      <family val="2"/>
    </font>
    <font>
      <sz val="14"/>
      <name val="Arial"/>
      <family val="2"/>
    </font>
    <font>
      <sz val="14"/>
      <color indexed="8"/>
      <name val="Arial"/>
      <family val="2"/>
    </font>
    <font>
      <sz val="14"/>
      <color theme="1"/>
      <name val="Arial"/>
      <family val="2"/>
    </font>
    <font>
      <b/>
      <i/>
      <sz val="16"/>
      <name val="Century Gothic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 tint="-0.14999847407452621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166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2" fillId="0" borderId="0"/>
    <xf numFmtId="0" fontId="40" fillId="0" borderId="0"/>
    <xf numFmtId="0" fontId="3" fillId="0" borderId="0"/>
    <xf numFmtId="9" fontId="2" fillId="0" borderId="0" applyFont="0" applyFill="0" applyBorder="0" applyAlignment="0" applyProtection="0"/>
    <xf numFmtId="0" fontId="2" fillId="0" borderId="0"/>
    <xf numFmtId="0" fontId="1" fillId="0" borderId="0"/>
  </cellStyleXfs>
  <cellXfs count="411">
    <xf numFmtId="0" fontId="0" fillId="0" borderId="0" xfId="0"/>
    <xf numFmtId="0" fontId="4" fillId="2" borderId="1" xfId="5" applyFont="1" applyFill="1" applyBorder="1" applyAlignment="1">
      <alignment horizontal="right"/>
    </xf>
    <xf numFmtId="0" fontId="2" fillId="2" borderId="2" xfId="5" applyFont="1" applyFill="1" applyBorder="1" applyAlignment="1">
      <alignment horizontal="center"/>
    </xf>
    <xf numFmtId="0" fontId="2" fillId="2" borderId="0" xfId="0" applyFont="1" applyFill="1"/>
    <xf numFmtId="0" fontId="4" fillId="2" borderId="3" xfId="5" applyFont="1" applyFill="1" applyBorder="1" applyAlignment="1">
      <alignment horizontal="right"/>
    </xf>
    <xf numFmtId="49" fontId="2" fillId="2" borderId="4" xfId="5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1" fontId="4" fillId="3" borderId="5" xfId="0" applyNumberFormat="1" applyFont="1" applyFill="1" applyBorder="1" applyAlignment="1">
      <alignment horizontal="center"/>
    </xf>
    <xf numFmtId="1" fontId="4" fillId="3" borderId="5" xfId="0" applyNumberFormat="1" applyFont="1" applyFill="1" applyBorder="1" applyAlignment="1">
      <alignment horizontal="center" wrapText="1"/>
    </xf>
    <xf numFmtId="1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49" fontId="2" fillId="9" borderId="3" xfId="0" applyNumberFormat="1" applyFont="1" applyFill="1" applyBorder="1"/>
    <xf numFmtId="0" fontId="2" fillId="0" borderId="4" xfId="0" applyFont="1" applyBorder="1" applyAlignment="1">
      <alignment horizontal="center"/>
    </xf>
    <xf numFmtId="0" fontId="2" fillId="0" borderId="6" xfId="0" quotePrefix="1" applyFont="1" applyBorder="1" applyAlignment="1">
      <alignment horizontal="right"/>
    </xf>
    <xf numFmtId="0" fontId="2" fillId="0" borderId="3" xfId="0" quotePrefix="1" applyFont="1" applyBorder="1"/>
    <xf numFmtId="1" fontId="2" fillId="0" borderId="3" xfId="0" applyNumberFormat="1" applyFont="1" applyBorder="1" applyAlignment="1">
      <alignment horizontal="center" wrapText="1"/>
    </xf>
    <xf numFmtId="49" fontId="7" fillId="2" borderId="7" xfId="0" applyNumberFormat="1" applyFont="1" applyFill="1" applyBorder="1" applyAlignment="1">
      <alignment horizontal="center" vertical="center"/>
    </xf>
    <xf numFmtId="1" fontId="2" fillId="2" borderId="0" xfId="0" applyNumberFormat="1" applyFont="1" applyFill="1" applyAlignment="1">
      <alignment horizontal="center"/>
    </xf>
    <xf numFmtId="167" fontId="2" fillId="2" borderId="0" xfId="0" applyNumberFormat="1" applyFont="1" applyFill="1" applyAlignment="1">
      <alignment horizontal="center" wrapText="1"/>
    </xf>
    <xf numFmtId="0" fontId="2" fillId="2" borderId="8" xfId="0" applyFont="1" applyFill="1" applyBorder="1" applyAlignment="1">
      <alignment horizontal="center"/>
    </xf>
    <xf numFmtId="0" fontId="2" fillId="2" borderId="0" xfId="0" applyFont="1" applyFill="1" applyAlignment="1">
      <alignment horizontal="left" indent="1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/>
    <xf numFmtId="0" fontId="4" fillId="3" borderId="10" xfId="0" applyFont="1" applyFill="1" applyBorder="1" applyAlignment="1">
      <alignment horizontal="center"/>
    </xf>
    <xf numFmtId="1" fontId="4" fillId="3" borderId="10" xfId="0" applyNumberFormat="1" applyFont="1" applyFill="1" applyBorder="1" applyAlignment="1">
      <alignment horizontal="center"/>
    </xf>
    <xf numFmtId="167" fontId="2" fillId="3" borderId="10" xfId="0" applyNumberFormat="1" applyFont="1" applyFill="1" applyBorder="1" applyAlignment="1">
      <alignment horizontal="center" wrapText="1"/>
    </xf>
    <xf numFmtId="0" fontId="2" fillId="3" borderId="11" xfId="0" applyFont="1" applyFill="1" applyBorder="1" applyAlignment="1">
      <alignment horizontal="center"/>
    </xf>
    <xf numFmtId="1" fontId="2" fillId="0" borderId="12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9" fontId="2" fillId="2" borderId="0" xfId="6" applyFill="1"/>
    <xf numFmtId="1" fontId="2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2" borderId="0" xfId="0" applyFont="1" applyFill="1" applyAlignment="1">
      <alignment vertical="center"/>
    </xf>
    <xf numFmtId="0" fontId="2" fillId="2" borderId="0" xfId="5" applyFont="1" applyFill="1" applyAlignment="1">
      <alignment horizontal="center"/>
    </xf>
    <xf numFmtId="0" fontId="2" fillId="2" borderId="0" xfId="5" applyFont="1" applyFill="1" applyAlignment="1">
      <alignment horizontal="right"/>
    </xf>
    <xf numFmtId="0" fontId="2" fillId="2" borderId="0" xfId="5" applyFont="1" applyFill="1" applyAlignment="1">
      <alignment horizontal="left"/>
    </xf>
    <xf numFmtId="0" fontId="4" fillId="2" borderId="0" xfId="5" applyFont="1" applyFill="1" applyAlignment="1">
      <alignment horizontal="right" vertical="top" wrapText="1"/>
    </xf>
    <xf numFmtId="14" fontId="2" fillId="2" borderId="0" xfId="5" applyNumberFormat="1" applyFont="1" applyFill="1" applyAlignment="1">
      <alignment horizontal="center" vertical="center" wrapText="1"/>
    </xf>
    <xf numFmtId="0" fontId="2" fillId="2" borderId="3" xfId="5" applyFont="1" applyFill="1" applyBorder="1" applyAlignment="1">
      <alignment horizontal="right"/>
    </xf>
    <xf numFmtId="0" fontId="2" fillId="2" borderId="5" xfId="5" applyFont="1" applyFill="1" applyBorder="1" applyAlignment="1">
      <alignment horizontal="right"/>
    </xf>
    <xf numFmtId="0" fontId="2" fillId="0" borderId="12" xfId="0" applyFont="1" applyBorder="1" applyAlignment="1">
      <alignment horizontal="center"/>
    </xf>
    <xf numFmtId="0" fontId="4" fillId="9" borderId="14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14" fontId="41" fillId="2" borderId="0" xfId="5" applyNumberFormat="1" applyFont="1" applyFill="1" applyAlignment="1">
      <alignment horizontal="center" vertical="center" wrapText="1"/>
    </xf>
    <xf numFmtId="49" fontId="4" fillId="0" borderId="3" xfId="3" applyNumberFormat="1" applyFont="1" applyBorder="1"/>
    <xf numFmtId="0" fontId="7" fillId="0" borderId="16" xfId="0" applyFont="1" applyBorder="1" applyAlignment="1">
      <alignment horizontal="center" vertical="center"/>
    </xf>
    <xf numFmtId="0" fontId="2" fillId="0" borderId="12" xfId="0" applyFont="1" applyBorder="1"/>
    <xf numFmtId="49" fontId="2" fillId="0" borderId="6" xfId="3" applyNumberFormat="1" applyBorder="1" applyAlignment="1">
      <alignment horizontal="center"/>
    </xf>
    <xf numFmtId="49" fontId="2" fillId="0" borderId="3" xfId="3" applyNumberFormat="1" applyBorder="1"/>
    <xf numFmtId="16" fontId="2" fillId="0" borderId="3" xfId="3" applyNumberFormat="1" applyBorder="1" applyAlignment="1">
      <alignment horizontal="center"/>
    </xf>
    <xf numFmtId="1" fontId="2" fillId="0" borderId="3" xfId="3" applyNumberFormat="1" applyBorder="1" applyAlignment="1">
      <alignment horizontal="center"/>
    </xf>
    <xf numFmtId="1" fontId="2" fillId="0" borderId="3" xfId="3" applyNumberFormat="1" applyBorder="1" applyAlignment="1">
      <alignment horizontal="center" wrapText="1"/>
    </xf>
    <xf numFmtId="49" fontId="2" fillId="9" borderId="6" xfId="0" applyNumberFormat="1" applyFont="1" applyFill="1" applyBorder="1" applyAlignment="1">
      <alignment horizontal="right"/>
    </xf>
    <xf numFmtId="0" fontId="2" fillId="0" borderId="3" xfId="0" applyFont="1" applyBorder="1"/>
    <xf numFmtId="0" fontId="0" fillId="0" borderId="0" xfId="0" applyAlignment="1">
      <alignment horizontal="center"/>
    </xf>
    <xf numFmtId="49" fontId="11" fillId="0" borderId="6" xfId="4" applyNumberFormat="1" applyFont="1" applyBorder="1" applyAlignment="1">
      <alignment horizontal="center"/>
    </xf>
    <xf numFmtId="49" fontId="12" fillId="0" borderId="3" xfId="4" applyNumberFormat="1" applyFont="1" applyBorder="1"/>
    <xf numFmtId="0" fontId="11" fillId="0" borderId="3" xfId="4" applyFont="1" applyBorder="1" applyAlignment="1">
      <alignment horizontal="center" vertical="center"/>
    </xf>
    <xf numFmtId="0" fontId="12" fillId="9" borderId="0" xfId="0" applyFont="1" applyFill="1" applyAlignment="1">
      <alignment vertical="center"/>
    </xf>
    <xf numFmtId="0" fontId="13" fillId="10" borderId="3" xfId="0" applyFont="1" applyFill="1" applyBorder="1" applyAlignment="1">
      <alignment horizontal="center" vertical="center" wrapText="1"/>
    </xf>
    <xf numFmtId="0" fontId="13" fillId="10" borderId="3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6" fontId="13" fillId="0" borderId="3" xfId="1" applyFont="1" applyFill="1" applyBorder="1" applyAlignment="1">
      <alignment horizontal="center" vertical="center"/>
    </xf>
    <xf numFmtId="166" fontId="13" fillId="0" borderId="0" xfId="1" applyFont="1" applyFill="1" applyBorder="1" applyAlignment="1">
      <alignment horizontal="center" vertical="center"/>
    </xf>
    <xf numFmtId="166" fontId="15" fillId="0" borderId="0" xfId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168" fontId="18" fillId="0" borderId="0" xfId="0" applyNumberFormat="1" applyFont="1" applyAlignment="1">
      <alignment horizontal="center" vertical="center" wrapText="1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 wrapText="1"/>
    </xf>
    <xf numFmtId="0" fontId="13" fillId="4" borderId="19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2" fontId="19" fillId="0" borderId="0" xfId="0" applyNumberFormat="1" applyFont="1" applyAlignment="1">
      <alignment horizontal="center"/>
    </xf>
    <xf numFmtId="4" fontId="19" fillId="0" borderId="0" xfId="2" applyNumberFormat="1" applyFont="1" applyFill="1" applyAlignment="1">
      <alignment horizontal="center" vertical="center"/>
    </xf>
    <xf numFmtId="4" fontId="13" fillId="0" borderId="0" xfId="2" applyNumberFormat="1" applyFont="1" applyFill="1" applyAlignment="1">
      <alignment horizontal="center" vertical="center"/>
    </xf>
    <xf numFmtId="10" fontId="13" fillId="0" borderId="0" xfId="6" applyNumberFormat="1" applyFont="1" applyFill="1" applyAlignment="1">
      <alignment vertical="center"/>
    </xf>
    <xf numFmtId="49" fontId="13" fillId="0" borderId="0" xfId="0" applyNumberFormat="1" applyFont="1" applyAlignment="1">
      <alignment horizontal="center" vertical="center"/>
    </xf>
    <xf numFmtId="10" fontId="14" fillId="0" borderId="0" xfId="6" applyNumberFormat="1" applyFont="1" applyFill="1" applyAlignment="1">
      <alignment vertical="center"/>
    </xf>
    <xf numFmtId="0" fontId="12" fillId="0" borderId="0" xfId="0" applyFont="1"/>
    <xf numFmtId="49" fontId="13" fillId="0" borderId="0" xfId="0" applyNumberFormat="1" applyFont="1" applyAlignment="1">
      <alignment horizontal="center"/>
    </xf>
    <xf numFmtId="164" fontId="12" fillId="0" borderId="0" xfId="0" applyNumberFormat="1" applyFont="1" applyAlignment="1">
      <alignment vertical="center"/>
    </xf>
    <xf numFmtId="0" fontId="12" fillId="0" borderId="0" xfId="0" applyFont="1" applyAlignment="1">
      <alignment horizontal="left" vertical="center"/>
    </xf>
    <xf numFmtId="49" fontId="12" fillId="0" borderId="0" xfId="0" applyNumberFormat="1" applyFont="1"/>
    <xf numFmtId="49" fontId="2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4" fontId="13" fillId="0" borderId="0" xfId="1" applyNumberFormat="1" applyFont="1" applyFill="1" applyAlignment="1">
      <alignment vertical="center"/>
    </xf>
    <xf numFmtId="166" fontId="21" fillId="0" borderId="0" xfId="1" applyFont="1" applyFill="1" applyAlignment="1">
      <alignment horizontal="center" vertical="center"/>
    </xf>
    <xf numFmtId="10" fontId="14" fillId="4" borderId="20" xfId="6" applyNumberFormat="1" applyFont="1" applyFill="1" applyBorder="1" applyAlignment="1">
      <alignment vertical="center"/>
    </xf>
    <xf numFmtId="0" fontId="12" fillId="4" borderId="10" xfId="0" applyFont="1" applyFill="1" applyBorder="1" applyAlignment="1">
      <alignment vertical="center"/>
    </xf>
    <xf numFmtId="0" fontId="12" fillId="4" borderId="20" xfId="0" applyFont="1" applyFill="1" applyBorder="1" applyAlignment="1">
      <alignment vertical="center"/>
    </xf>
    <xf numFmtId="166" fontId="21" fillId="4" borderId="21" xfId="1" applyFont="1" applyFill="1" applyBorder="1" applyAlignment="1">
      <alignment horizontal="center" vertical="center"/>
    </xf>
    <xf numFmtId="166" fontId="23" fillId="0" borderId="0" xfId="1" applyFont="1" applyFill="1" applyBorder="1" applyAlignment="1">
      <alignment horizontal="right"/>
    </xf>
    <xf numFmtId="0" fontId="12" fillId="4" borderId="21" xfId="0" applyFont="1" applyFill="1" applyBorder="1" applyAlignment="1">
      <alignment vertical="center"/>
    </xf>
    <xf numFmtId="10" fontId="14" fillId="4" borderId="21" xfId="6" applyNumberFormat="1" applyFont="1" applyFill="1" applyBorder="1" applyAlignment="1">
      <alignment vertical="center"/>
    </xf>
    <xf numFmtId="0" fontId="22" fillId="0" borderId="0" xfId="0" applyFont="1" applyAlignment="1">
      <alignment horizontal="right"/>
    </xf>
    <xf numFmtId="9" fontId="42" fillId="0" borderId="0" xfId="6" applyFont="1" applyFill="1" applyAlignment="1">
      <alignment horizontal="center"/>
    </xf>
    <xf numFmtId="0" fontId="21" fillId="0" borderId="0" xfId="0" applyFont="1" applyAlignment="1">
      <alignment horizontal="right" vertical="center"/>
    </xf>
    <xf numFmtId="4" fontId="21" fillId="0" borderId="0" xfId="1" applyNumberFormat="1" applyFont="1" applyFill="1" applyAlignment="1">
      <alignment vertical="center"/>
    </xf>
    <xf numFmtId="4" fontId="21" fillId="0" borderId="0" xfId="2" applyNumberFormat="1" applyFont="1" applyAlignment="1">
      <alignment horizontal="center" vertical="center"/>
    </xf>
    <xf numFmtId="0" fontId="24" fillId="0" borderId="0" xfId="0" applyFont="1" applyAlignment="1">
      <alignment horizontal="right"/>
    </xf>
    <xf numFmtId="0" fontId="25" fillId="0" borderId="0" xfId="0" applyFont="1" applyAlignment="1">
      <alignment horizontal="right"/>
    </xf>
    <xf numFmtId="0" fontId="25" fillId="0" borderId="8" xfId="0" applyFont="1" applyBorder="1" applyAlignment="1">
      <alignment horizontal="right"/>
    </xf>
    <xf numFmtId="166" fontId="26" fillId="5" borderId="22" xfId="1" applyFont="1" applyFill="1" applyBorder="1" applyAlignment="1">
      <alignment horizontal="right"/>
    </xf>
    <xf numFmtId="166" fontId="26" fillId="0" borderId="0" xfId="1" applyFont="1" applyFill="1" applyBorder="1" applyAlignment="1">
      <alignment horizontal="right"/>
    </xf>
    <xf numFmtId="166" fontId="13" fillId="0" borderId="3" xfId="1" applyFont="1" applyFill="1" applyBorder="1" applyAlignment="1">
      <alignment vertical="center"/>
    </xf>
    <xf numFmtId="0" fontId="27" fillId="0" borderId="0" xfId="0" applyFont="1" applyAlignment="1">
      <alignment horizontal="left" vertical="center"/>
    </xf>
    <xf numFmtId="4" fontId="21" fillId="0" borderId="0" xfId="2" applyNumberFormat="1" applyFont="1" applyFill="1" applyAlignment="1">
      <alignment horizontal="center" vertical="center"/>
    </xf>
    <xf numFmtId="10" fontId="28" fillId="0" borderId="0" xfId="6" applyNumberFormat="1" applyFont="1" applyFill="1" applyAlignment="1">
      <alignment horizontal="right"/>
    </xf>
    <xf numFmtId="169" fontId="13" fillId="4" borderId="3" xfId="1" applyNumberFormat="1" applyFont="1" applyFill="1" applyBorder="1" applyAlignment="1">
      <alignment vertical="center"/>
    </xf>
    <xf numFmtId="4" fontId="12" fillId="0" borderId="0" xfId="0" applyNumberFormat="1" applyFont="1" applyAlignment="1">
      <alignment horizontal="center" vertical="center"/>
    </xf>
    <xf numFmtId="166" fontId="13" fillId="6" borderId="3" xfId="1" applyFont="1" applyFill="1" applyBorder="1" applyAlignment="1">
      <alignment vertical="center"/>
    </xf>
    <xf numFmtId="166" fontId="29" fillId="0" borderId="0" xfId="0" applyNumberFormat="1" applyFont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4" fontId="13" fillId="0" borderId="0" xfId="0" applyNumberFormat="1" applyFont="1" applyAlignment="1">
      <alignment horizontal="center" vertical="center"/>
    </xf>
    <xf numFmtId="0" fontId="14" fillId="4" borderId="23" xfId="0" applyFont="1" applyFill="1" applyBorder="1" applyAlignment="1">
      <alignment vertical="center"/>
    </xf>
    <xf numFmtId="0" fontId="31" fillId="0" borderId="0" xfId="0" applyFont="1" applyAlignment="1">
      <alignment vertical="center"/>
    </xf>
    <xf numFmtId="2" fontId="28" fillId="0" borderId="0" xfId="1" applyNumberFormat="1" applyFont="1" applyFill="1" applyBorder="1" applyAlignment="1">
      <alignment horizontal="center"/>
    </xf>
    <xf numFmtId="2" fontId="25" fillId="0" borderId="0" xfId="1" applyNumberFormat="1" applyFont="1" applyFill="1" applyBorder="1" applyAlignment="1">
      <alignment horizontal="center"/>
    </xf>
    <xf numFmtId="0" fontId="12" fillId="4" borderId="23" xfId="0" applyFont="1" applyFill="1" applyBorder="1" applyAlignment="1">
      <alignment vertical="center"/>
    </xf>
    <xf numFmtId="10" fontId="12" fillId="0" borderId="0" xfId="6" applyNumberFormat="1" applyFont="1" applyFill="1" applyAlignment="1">
      <alignment vertical="center"/>
    </xf>
    <xf numFmtId="4" fontId="12" fillId="0" borderId="0" xfId="1" applyNumberFormat="1" applyFont="1" applyFill="1" applyAlignment="1">
      <alignment vertical="center"/>
    </xf>
    <xf numFmtId="166" fontId="26" fillId="4" borderId="10" xfId="1" applyFont="1" applyFill="1" applyBorder="1" applyAlignment="1">
      <alignment horizontal="right"/>
    </xf>
    <xf numFmtId="0" fontId="13" fillId="4" borderId="11" xfId="0" applyFont="1" applyFill="1" applyBorder="1" applyAlignment="1">
      <alignment horizontal="right" vertical="center"/>
    </xf>
    <xf numFmtId="10" fontId="32" fillId="0" borderId="0" xfId="1" applyNumberFormat="1" applyFont="1" applyFill="1" applyAlignment="1">
      <alignment vertical="center"/>
    </xf>
    <xf numFmtId="10" fontId="14" fillId="0" borderId="0" xfId="6" applyNumberFormat="1" applyFont="1" applyFill="1" applyBorder="1" applyAlignment="1">
      <alignment vertical="center"/>
    </xf>
    <xf numFmtId="166" fontId="33" fillId="0" borderId="0" xfId="0" applyNumberFormat="1" applyFont="1" applyAlignment="1">
      <alignment horizontal="center" vertical="center"/>
    </xf>
    <xf numFmtId="0" fontId="12" fillId="9" borderId="22" xfId="0" applyFont="1" applyFill="1" applyBorder="1" applyAlignment="1">
      <alignment horizontal="center" vertical="center"/>
    </xf>
    <xf numFmtId="166" fontId="34" fillId="0" borderId="0" xfId="1" applyFont="1" applyFill="1" applyAlignment="1">
      <alignment vertical="center"/>
    </xf>
    <xf numFmtId="4" fontId="35" fillId="0" borderId="0" xfId="2" applyNumberFormat="1" applyFont="1" applyFill="1" applyAlignment="1">
      <alignment horizontal="center" vertical="center" wrapText="1"/>
    </xf>
    <xf numFmtId="166" fontId="12" fillId="0" borderId="0" xfId="1" applyFont="1" applyFill="1" applyAlignment="1">
      <alignment vertical="center"/>
    </xf>
    <xf numFmtId="9" fontId="12" fillId="0" borderId="0" xfId="1" applyNumberFormat="1" applyFont="1" applyFill="1" applyAlignment="1">
      <alignment vertical="center"/>
    </xf>
    <xf numFmtId="0" fontId="2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20" fillId="0" borderId="0" xfId="0" applyFont="1" applyAlignment="1">
      <alignment horizontal="right" vertical="center"/>
    </xf>
    <xf numFmtId="4" fontId="20" fillId="0" borderId="0" xfId="1" applyNumberFormat="1" applyFont="1" applyFill="1" applyAlignment="1">
      <alignment vertical="center"/>
    </xf>
    <xf numFmtId="4" fontId="13" fillId="7" borderId="22" xfId="1" applyNumberFormat="1" applyFont="1" applyFill="1" applyBorder="1" applyAlignment="1">
      <alignment horizontal="center" vertical="center"/>
    </xf>
    <xf numFmtId="0" fontId="36" fillId="0" borderId="0" xfId="0" applyFont="1" applyAlignment="1">
      <alignment vertical="center"/>
    </xf>
    <xf numFmtId="166" fontId="36" fillId="0" borderId="0" xfId="1" applyFont="1" applyFill="1" applyAlignment="1">
      <alignment vertical="center"/>
    </xf>
    <xf numFmtId="9" fontId="36" fillId="0" borderId="0" xfId="1" applyNumberFormat="1" applyFont="1" applyFill="1" applyAlignment="1">
      <alignment vertical="center"/>
    </xf>
    <xf numFmtId="4" fontId="13" fillId="0" borderId="0" xfId="1" applyNumberFormat="1" applyFont="1" applyFill="1" applyAlignment="1">
      <alignment horizontal="center" vertical="center"/>
    </xf>
    <xf numFmtId="10" fontId="29" fillId="0" borderId="0" xfId="6" applyNumberFormat="1" applyFont="1" applyFill="1" applyAlignment="1">
      <alignment vertical="center"/>
    </xf>
    <xf numFmtId="166" fontId="29" fillId="0" borderId="0" xfId="1" applyFont="1" applyFill="1" applyBorder="1" applyAlignment="1">
      <alignment vertical="center"/>
    </xf>
    <xf numFmtId="4" fontId="12" fillId="0" borderId="0" xfId="0" applyNumberFormat="1" applyFont="1" applyAlignment="1">
      <alignment horizontal="center"/>
    </xf>
    <xf numFmtId="166" fontId="12" fillId="0" borderId="0" xfId="1" applyFont="1" applyFill="1" applyBorder="1"/>
    <xf numFmtId="10" fontId="29" fillId="0" borderId="0" xfId="6" applyNumberFormat="1" applyFont="1" applyFill="1" applyBorder="1" applyAlignment="1">
      <alignment vertical="center"/>
    </xf>
    <xf numFmtId="0" fontId="29" fillId="0" borderId="0" xfId="0" applyFont="1" applyAlignment="1">
      <alignment horizontal="right"/>
    </xf>
    <xf numFmtId="166" fontId="12" fillId="0" borderId="0" xfId="1" applyFont="1" applyFill="1" applyBorder="1" applyAlignment="1">
      <alignment horizontal="center"/>
    </xf>
    <xf numFmtId="9" fontId="39" fillId="0" borderId="0" xfId="0" applyNumberFormat="1" applyFont="1" applyAlignment="1">
      <alignment horizontal="left"/>
    </xf>
    <xf numFmtId="4" fontId="13" fillId="0" borderId="0" xfId="0" applyNumberFormat="1" applyFont="1" applyAlignment="1">
      <alignment horizontal="center"/>
    </xf>
    <xf numFmtId="166" fontId="13" fillId="0" borderId="0" xfId="0" applyNumberFormat="1" applyFont="1"/>
    <xf numFmtId="0" fontId="44" fillId="2" borderId="1" xfId="5" applyFont="1" applyFill="1" applyBorder="1" applyAlignment="1">
      <alignment horizontal="right"/>
    </xf>
    <xf numFmtId="0" fontId="43" fillId="2" borderId="2" xfId="5" applyFont="1" applyFill="1" applyBorder="1" applyAlignment="1">
      <alignment horizontal="center"/>
    </xf>
    <xf numFmtId="0" fontId="44" fillId="2" borderId="3" xfId="5" applyFont="1" applyFill="1" applyBorder="1" applyAlignment="1">
      <alignment horizontal="right"/>
    </xf>
    <xf numFmtId="49" fontId="43" fillId="2" borderId="4" xfId="5" applyNumberFormat="1" applyFont="1" applyFill="1" applyBorder="1" applyAlignment="1">
      <alignment horizontal="center"/>
    </xf>
    <xf numFmtId="0" fontId="43" fillId="2" borderId="3" xfId="5" applyFont="1" applyFill="1" applyBorder="1" applyAlignment="1">
      <alignment horizontal="right"/>
    </xf>
    <xf numFmtId="0" fontId="44" fillId="3" borderId="2" xfId="3" applyFont="1" applyFill="1" applyBorder="1" applyAlignment="1">
      <alignment horizontal="center" vertical="center" wrapText="1"/>
    </xf>
    <xf numFmtId="1" fontId="44" fillId="3" borderId="5" xfId="3" applyNumberFormat="1" applyFont="1" applyFill="1" applyBorder="1" applyAlignment="1">
      <alignment horizontal="center"/>
    </xf>
    <xf numFmtId="1" fontId="44" fillId="3" borderId="5" xfId="3" applyNumberFormat="1" applyFont="1" applyFill="1" applyBorder="1" applyAlignment="1">
      <alignment horizontal="center" wrapText="1"/>
    </xf>
    <xf numFmtId="0" fontId="44" fillId="3" borderId="15" xfId="3" applyFont="1" applyFill="1" applyBorder="1" applyAlignment="1">
      <alignment horizontal="center"/>
    </xf>
    <xf numFmtId="0" fontId="2" fillId="2" borderId="42" xfId="5" applyFont="1" applyFill="1" applyBorder="1" applyAlignment="1">
      <alignment horizontal="center"/>
    </xf>
    <xf numFmtId="0" fontId="2" fillId="2" borderId="34" xfId="5" applyFont="1" applyFill="1" applyBorder="1" applyAlignment="1">
      <alignment horizontal="center"/>
    </xf>
    <xf numFmtId="0" fontId="2" fillId="2" borderId="41" xfId="5" applyFont="1" applyFill="1" applyBorder="1" applyAlignment="1">
      <alignment horizontal="center"/>
    </xf>
    <xf numFmtId="0" fontId="2" fillId="2" borderId="43" xfId="5" applyFont="1" applyFill="1" applyBorder="1" applyAlignment="1">
      <alignment horizontal="center"/>
    </xf>
    <xf numFmtId="49" fontId="11" fillId="0" borderId="34" xfId="4" applyNumberFormat="1" applyFont="1" applyBorder="1" applyAlignment="1">
      <alignment horizontal="center"/>
    </xf>
    <xf numFmtId="0" fontId="7" fillId="0" borderId="37" xfId="0" applyFont="1" applyBorder="1" applyAlignment="1">
      <alignment horizontal="center" vertical="center"/>
    </xf>
    <xf numFmtId="49" fontId="2" fillId="0" borderId="34" xfId="3" applyNumberFormat="1" applyBorder="1" applyAlignment="1">
      <alignment horizontal="center"/>
    </xf>
    <xf numFmtId="49" fontId="2" fillId="9" borderId="34" xfId="0" applyNumberFormat="1" applyFont="1" applyFill="1" applyBorder="1" applyAlignment="1">
      <alignment horizontal="right"/>
    </xf>
    <xf numFmtId="0" fontId="2" fillId="0" borderId="34" xfId="0" quotePrefix="1" applyFont="1" applyBorder="1" applyAlignment="1">
      <alignment horizontal="right"/>
    </xf>
    <xf numFmtId="49" fontId="7" fillId="2" borderId="0" xfId="0" applyNumberFormat="1" applyFont="1" applyFill="1" applyAlignment="1">
      <alignment horizontal="center" vertical="center"/>
    </xf>
    <xf numFmtId="0" fontId="2" fillId="3" borderId="10" xfId="0" applyFont="1" applyFill="1" applyBorder="1" applyAlignment="1">
      <alignment horizontal="center"/>
    </xf>
    <xf numFmtId="0" fontId="43" fillId="2" borderId="12" xfId="5" applyFont="1" applyFill="1" applyBorder="1" applyAlignment="1">
      <alignment horizontal="right"/>
    </xf>
    <xf numFmtId="0" fontId="6" fillId="0" borderId="24" xfId="3" applyFont="1" applyBorder="1" applyAlignment="1">
      <alignment horizontal="left"/>
    </xf>
    <xf numFmtId="0" fontId="6" fillId="0" borderId="25" xfId="3" applyFont="1" applyBorder="1" applyAlignment="1">
      <alignment horizontal="left"/>
    </xf>
    <xf numFmtId="0" fontId="6" fillId="0" borderId="26" xfId="3" applyFont="1" applyBorder="1" applyAlignment="1">
      <alignment horizontal="left"/>
    </xf>
    <xf numFmtId="0" fontId="4" fillId="0" borderId="27" xfId="0" applyFont="1" applyBorder="1" applyAlignment="1">
      <alignment horizontal="right"/>
    </xf>
    <xf numFmtId="0" fontId="4" fillId="0" borderId="43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167" fontId="2" fillId="0" borderId="28" xfId="0" applyNumberFormat="1" applyFont="1" applyBorder="1" applyAlignment="1">
      <alignment horizontal="center"/>
    </xf>
    <xf numFmtId="167" fontId="2" fillId="0" borderId="29" xfId="0" applyNumberFormat="1" applyFont="1" applyBorder="1" applyAlignment="1">
      <alignment horizontal="center"/>
    </xf>
    <xf numFmtId="0" fontId="8" fillId="0" borderId="30" xfId="3" applyFont="1" applyBorder="1" applyAlignment="1">
      <alignment horizontal="left" wrapText="1"/>
    </xf>
    <xf numFmtId="0" fontId="8" fillId="0" borderId="31" xfId="3" applyFont="1" applyBorder="1" applyAlignment="1">
      <alignment horizontal="left" wrapText="1"/>
    </xf>
    <xf numFmtId="0" fontId="8" fillId="0" borderId="32" xfId="3" applyFont="1" applyBorder="1" applyAlignment="1">
      <alignment horizontal="left" wrapText="1"/>
    </xf>
    <xf numFmtId="0" fontId="6" fillId="0" borderId="30" xfId="3" applyFont="1" applyBorder="1" applyAlignment="1">
      <alignment horizontal="left"/>
    </xf>
    <xf numFmtId="0" fontId="6" fillId="0" borderId="31" xfId="3" applyFont="1" applyBorder="1" applyAlignment="1">
      <alignment horizontal="left"/>
    </xf>
    <xf numFmtId="0" fontId="6" fillId="0" borderId="32" xfId="3" applyFont="1" applyBorder="1" applyAlignment="1">
      <alignment horizontal="left"/>
    </xf>
    <xf numFmtId="0" fontId="4" fillId="3" borderId="9" xfId="0" applyFont="1" applyFill="1" applyBorder="1" applyAlignment="1">
      <alignment horizontal="left"/>
    </xf>
    <xf numFmtId="0" fontId="4" fillId="3" borderId="10" xfId="0" applyFont="1" applyFill="1" applyBorder="1" applyAlignment="1">
      <alignment horizontal="left"/>
    </xf>
    <xf numFmtId="0" fontId="4" fillId="3" borderId="11" xfId="0" applyFont="1" applyFill="1" applyBorder="1" applyAlignment="1">
      <alignment horizontal="left"/>
    </xf>
    <xf numFmtId="0" fontId="4" fillId="0" borderId="36" xfId="0" applyFont="1" applyBorder="1" applyAlignment="1">
      <alignment horizontal="right"/>
    </xf>
    <xf numFmtId="0" fontId="4" fillId="0" borderId="41" xfId="0" applyFont="1" applyBorder="1" applyAlignment="1">
      <alignment horizontal="right"/>
    </xf>
    <xf numFmtId="0" fontId="4" fillId="0" borderId="34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167" fontId="2" fillId="0" borderId="33" xfId="0" applyNumberFormat="1" applyFont="1" applyBorder="1" applyAlignment="1">
      <alignment horizontal="center"/>
    </xf>
    <xf numFmtId="167" fontId="2" fillId="0" borderId="35" xfId="0" applyNumberFormat="1" applyFont="1" applyBorder="1" applyAlignment="1">
      <alignment horizontal="center"/>
    </xf>
    <xf numFmtId="167" fontId="2" fillId="0" borderId="33" xfId="0" applyNumberFormat="1" applyFont="1" applyBorder="1" applyAlignment="1">
      <alignment horizontal="right" wrapText="1"/>
    </xf>
    <xf numFmtId="167" fontId="2" fillId="0" borderId="34" xfId="0" applyNumberFormat="1" applyFont="1" applyBorder="1" applyAlignment="1">
      <alignment horizontal="right" wrapText="1"/>
    </xf>
    <xf numFmtId="0" fontId="41" fillId="2" borderId="25" xfId="5" applyFont="1" applyFill="1" applyBorder="1" applyAlignment="1">
      <alignment horizontal="center"/>
    </xf>
    <xf numFmtId="0" fontId="5" fillId="2" borderId="0" xfId="5" applyFont="1" applyFill="1"/>
    <xf numFmtId="0" fontId="4" fillId="2" borderId="3" xfId="5" applyFont="1" applyFill="1" applyBorder="1" applyAlignment="1">
      <alignment horizontal="right" vertical="top" wrapText="1"/>
    </xf>
    <xf numFmtId="0" fontId="4" fillId="2" borderId="5" xfId="5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center" vertical="center"/>
    </xf>
    <xf numFmtId="0" fontId="4" fillId="0" borderId="30" xfId="0" applyFont="1" applyBorder="1" applyAlignment="1">
      <alignment horizontal="right"/>
    </xf>
    <xf numFmtId="0" fontId="4" fillId="0" borderId="31" xfId="0" applyFont="1" applyBorder="1" applyAlignment="1">
      <alignment horizontal="right"/>
    </xf>
    <xf numFmtId="0" fontId="4" fillId="0" borderId="37" xfId="0" applyFont="1" applyBorder="1" applyAlignment="1">
      <alignment horizontal="right"/>
    </xf>
    <xf numFmtId="167" fontId="2" fillId="0" borderId="12" xfId="0" applyNumberFormat="1" applyFont="1" applyBorder="1" applyAlignment="1">
      <alignment horizontal="right"/>
    </xf>
    <xf numFmtId="0" fontId="2" fillId="2" borderId="13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0" fontId="2" fillId="2" borderId="38" xfId="5" applyFont="1" applyFill="1" applyBorder="1" applyAlignment="1">
      <alignment horizontal="center"/>
    </xf>
    <xf numFmtId="0" fontId="2" fillId="2" borderId="6" xfId="5" applyFont="1" applyFill="1" applyBorder="1" applyAlignment="1">
      <alignment horizontal="center"/>
    </xf>
    <xf numFmtId="0" fontId="2" fillId="2" borderId="27" xfId="5" applyFont="1" applyFill="1" applyBorder="1" applyAlignment="1">
      <alignment horizontal="center"/>
    </xf>
    <xf numFmtId="0" fontId="4" fillId="3" borderId="38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44" xfId="0" applyFont="1" applyFill="1" applyBorder="1" applyAlignment="1">
      <alignment horizontal="center" vertical="center"/>
    </xf>
    <xf numFmtId="0" fontId="4" fillId="3" borderId="45" xfId="0" applyFont="1" applyFill="1" applyBorder="1" applyAlignment="1">
      <alignment horizontal="center" vertical="center"/>
    </xf>
    <xf numFmtId="0" fontId="5" fillId="2" borderId="0" xfId="5" applyFont="1" applyFill="1" applyAlignment="1">
      <alignment horizontal="right"/>
    </xf>
    <xf numFmtId="0" fontId="2" fillId="2" borderId="3" xfId="5" applyFont="1" applyFill="1" applyBorder="1" applyAlignment="1">
      <alignment horizontal="left"/>
    </xf>
    <xf numFmtId="14" fontId="2" fillId="2" borderId="4" xfId="5" applyNumberFormat="1" applyFont="1" applyFill="1" applyBorder="1" applyAlignment="1">
      <alignment horizontal="center" vertical="center" wrapText="1"/>
    </xf>
    <xf numFmtId="14" fontId="2" fillId="2" borderId="15" xfId="5" applyNumberFormat="1" applyFont="1" applyFill="1" applyBorder="1" applyAlignment="1">
      <alignment horizontal="center" vertical="center" wrapText="1"/>
    </xf>
    <xf numFmtId="0" fontId="2" fillId="2" borderId="5" xfId="5" applyFont="1" applyFill="1" applyBorder="1" applyAlignment="1">
      <alignment horizontal="left"/>
    </xf>
    <xf numFmtId="0" fontId="5" fillId="2" borderId="1" xfId="5" applyFont="1" applyFill="1" applyBorder="1" applyAlignment="1">
      <alignment horizontal="center"/>
    </xf>
    <xf numFmtId="0" fontId="5" fillId="2" borderId="3" xfId="5" applyFont="1" applyFill="1" applyBorder="1" applyAlignment="1">
      <alignment horizontal="center"/>
    </xf>
    <xf numFmtId="0" fontId="9" fillId="5" borderId="33" xfId="5" applyFont="1" applyFill="1" applyBorder="1" applyAlignment="1">
      <alignment horizontal="center" vertical="center" wrapText="1"/>
    </xf>
    <xf numFmtId="0" fontId="9" fillId="5" borderId="41" xfId="5" applyFont="1" applyFill="1" applyBorder="1" applyAlignment="1">
      <alignment horizontal="center" vertical="center" wrapText="1"/>
    </xf>
    <xf numFmtId="0" fontId="9" fillId="5" borderId="34" xfId="5" applyFont="1" applyFill="1" applyBorder="1" applyAlignment="1">
      <alignment horizontal="center" vertical="center" wrapText="1"/>
    </xf>
    <xf numFmtId="14" fontId="43" fillId="2" borderId="52" xfId="5" applyNumberFormat="1" applyFont="1" applyFill="1" applyBorder="1" applyAlignment="1">
      <alignment horizontal="center" vertical="center" wrapText="1"/>
    </xf>
    <xf numFmtId="14" fontId="43" fillId="2" borderId="55" xfId="5" applyNumberFormat="1" applyFont="1" applyFill="1" applyBorder="1" applyAlignment="1">
      <alignment horizontal="center" vertical="center" wrapText="1"/>
    </xf>
    <xf numFmtId="14" fontId="43" fillId="2" borderId="14" xfId="5" applyNumberFormat="1" applyFont="1" applyFill="1" applyBorder="1" applyAlignment="1">
      <alignment horizontal="center" vertical="center" wrapText="1"/>
    </xf>
    <xf numFmtId="0" fontId="43" fillId="2" borderId="53" xfId="5" applyFont="1" applyFill="1" applyBorder="1" applyAlignment="1">
      <alignment horizontal="left"/>
    </xf>
    <xf numFmtId="0" fontId="43" fillId="2" borderId="54" xfId="5" applyFont="1" applyFill="1" applyBorder="1" applyAlignment="1">
      <alignment horizontal="left"/>
    </xf>
    <xf numFmtId="0" fontId="43" fillId="2" borderId="42" xfId="5" applyFont="1" applyFill="1" applyBorder="1" applyAlignment="1">
      <alignment horizontal="left"/>
    </xf>
    <xf numFmtId="0" fontId="43" fillId="2" borderId="33" xfId="5" applyFont="1" applyFill="1" applyBorder="1" applyAlignment="1">
      <alignment horizontal="left"/>
    </xf>
    <xf numFmtId="0" fontId="43" fillId="2" borderId="41" xfId="5" applyFont="1" applyFill="1" applyBorder="1" applyAlignment="1">
      <alignment horizontal="left"/>
    </xf>
    <xf numFmtId="0" fontId="43" fillId="2" borderId="34" xfId="5" applyFont="1" applyFill="1" applyBorder="1" applyAlignment="1">
      <alignment horizontal="left"/>
    </xf>
    <xf numFmtId="0" fontId="43" fillId="2" borderId="39" xfId="5" applyFont="1" applyFill="1" applyBorder="1" applyAlignment="1">
      <alignment horizontal="center"/>
    </xf>
    <xf numFmtId="0" fontId="43" fillId="2" borderId="40" xfId="5" applyFont="1" applyFill="1" applyBorder="1" applyAlignment="1">
      <alignment horizontal="center"/>
    </xf>
    <xf numFmtId="0" fontId="43" fillId="2" borderId="7" xfId="5" applyFont="1" applyFill="1" applyBorder="1" applyAlignment="1">
      <alignment horizontal="center"/>
    </xf>
    <xf numFmtId="0" fontId="43" fillId="2" borderId="0" xfId="5" applyFont="1" applyFill="1" applyAlignment="1">
      <alignment horizontal="center"/>
    </xf>
    <xf numFmtId="0" fontId="43" fillId="2" borderId="30" xfId="5" applyFont="1" applyFill="1" applyBorder="1" applyAlignment="1">
      <alignment horizontal="center"/>
    </xf>
    <xf numFmtId="0" fontId="43" fillId="2" borderId="31" xfId="5" applyFont="1" applyFill="1" applyBorder="1" applyAlignment="1">
      <alignment horizontal="center"/>
    </xf>
    <xf numFmtId="0" fontId="45" fillId="2" borderId="1" xfId="5" applyFont="1" applyFill="1" applyBorder="1" applyAlignment="1">
      <alignment horizontal="center"/>
    </xf>
    <xf numFmtId="0" fontId="45" fillId="2" borderId="50" xfId="5" applyFont="1" applyFill="1" applyBorder="1" applyAlignment="1">
      <alignment horizontal="center"/>
    </xf>
    <xf numFmtId="0" fontId="44" fillId="2" borderId="51" xfId="5" applyFont="1" applyFill="1" applyBorder="1" applyAlignment="1">
      <alignment horizontal="right" vertical="top" wrapText="1"/>
    </xf>
    <xf numFmtId="0" fontId="44" fillId="2" borderId="48" xfId="5" applyFont="1" applyFill="1" applyBorder="1" applyAlignment="1">
      <alignment horizontal="right" vertical="top" wrapText="1"/>
    </xf>
    <xf numFmtId="0" fontId="44" fillId="2" borderId="49" xfId="5" applyFont="1" applyFill="1" applyBorder="1" applyAlignment="1">
      <alignment horizontal="right" vertical="top" wrapText="1"/>
    </xf>
    <xf numFmtId="0" fontId="44" fillId="3" borderId="38" xfId="3" applyFont="1" applyFill="1" applyBorder="1" applyAlignment="1">
      <alignment horizontal="center" vertical="center"/>
    </xf>
    <xf numFmtId="0" fontId="44" fillId="3" borderId="27" xfId="3" applyFont="1" applyFill="1" applyBorder="1" applyAlignment="1">
      <alignment horizontal="center" vertical="center"/>
    </xf>
    <xf numFmtId="0" fontId="44" fillId="3" borderId="38" xfId="3" applyFont="1" applyFill="1" applyBorder="1" applyAlignment="1">
      <alignment horizontal="center" vertical="center" wrapText="1"/>
    </xf>
    <xf numFmtId="0" fontId="44" fillId="3" borderId="27" xfId="3" applyFont="1" applyFill="1" applyBorder="1" applyAlignment="1">
      <alignment horizontal="center" vertical="center" wrapText="1"/>
    </xf>
    <xf numFmtId="0" fontId="44" fillId="3" borderId="1" xfId="3" applyFont="1" applyFill="1" applyBorder="1" applyAlignment="1">
      <alignment horizontal="center" vertical="center"/>
    </xf>
    <xf numFmtId="0" fontId="44" fillId="3" borderId="5" xfId="3" applyFont="1" applyFill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right"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22" fillId="0" borderId="39" xfId="0" applyFont="1" applyBorder="1" applyAlignment="1">
      <alignment horizontal="right"/>
    </xf>
    <xf numFmtId="0" fontId="22" fillId="0" borderId="40" xfId="0" applyFont="1" applyBorder="1" applyAlignment="1">
      <alignment horizontal="right"/>
    </xf>
    <xf numFmtId="0" fontId="22" fillId="0" borderId="0" xfId="0" applyFont="1" applyAlignment="1">
      <alignment horizontal="right"/>
    </xf>
    <xf numFmtId="0" fontId="12" fillId="0" borderId="3" xfId="0" applyFont="1" applyBorder="1" applyAlignment="1">
      <alignment horizontal="right" vertical="center"/>
    </xf>
    <xf numFmtId="0" fontId="29" fillId="0" borderId="3" xfId="0" applyFont="1" applyBorder="1" applyAlignment="1">
      <alignment horizontal="right" vertical="center"/>
    </xf>
    <xf numFmtId="0" fontId="30" fillId="0" borderId="7" xfId="0" applyFont="1" applyBorder="1" applyAlignment="1">
      <alignment horizontal="right"/>
    </xf>
    <xf numFmtId="0" fontId="30" fillId="0" borderId="0" xfId="0" applyFont="1" applyAlignment="1">
      <alignment horizontal="right"/>
    </xf>
    <xf numFmtId="0" fontId="30" fillId="0" borderId="8" xfId="0" applyFont="1" applyBorder="1" applyAlignment="1">
      <alignment horizontal="right"/>
    </xf>
    <xf numFmtId="0" fontId="28" fillId="0" borderId="25" xfId="0" applyFont="1" applyBorder="1" applyAlignment="1">
      <alignment horizontal="right"/>
    </xf>
    <xf numFmtId="0" fontId="21" fillId="0" borderId="0" xfId="0" applyFont="1" applyAlignment="1">
      <alignment horizontal="right" vertical="center"/>
    </xf>
    <xf numFmtId="0" fontId="26" fillId="4" borderId="9" xfId="0" applyFont="1" applyFill="1" applyBorder="1" applyAlignment="1">
      <alignment horizontal="right"/>
    </xf>
    <xf numFmtId="0" fontId="26" fillId="4" borderId="10" xfId="0" applyFont="1" applyFill="1" applyBorder="1" applyAlignment="1">
      <alignment horizontal="right"/>
    </xf>
    <xf numFmtId="0" fontId="12" fillId="0" borderId="0" xfId="0" applyFont="1" applyAlignment="1">
      <alignment horizontal="right" vertical="center"/>
    </xf>
    <xf numFmtId="0" fontId="38" fillId="0" borderId="0" xfId="0" applyFont="1" applyAlignment="1">
      <alignment horizontal="right"/>
    </xf>
    <xf numFmtId="0" fontId="13" fillId="0" borderId="25" xfId="0" applyFont="1" applyBorder="1" applyAlignment="1">
      <alignment horizontal="right" vertical="center"/>
    </xf>
    <xf numFmtId="0" fontId="13" fillId="0" borderId="26" xfId="0" applyFont="1" applyBorder="1" applyAlignment="1">
      <alignment horizontal="right" vertical="center"/>
    </xf>
    <xf numFmtId="0" fontId="13" fillId="8" borderId="9" xfId="0" applyFont="1" applyFill="1" applyBorder="1" applyAlignment="1">
      <alignment horizontal="right" vertical="center"/>
    </xf>
    <xf numFmtId="0" fontId="13" fillId="8" borderId="10" xfId="0" applyFont="1" applyFill="1" applyBorder="1" applyAlignment="1">
      <alignment horizontal="right" vertical="center"/>
    </xf>
    <xf numFmtId="0" fontId="13" fillId="8" borderId="11" xfId="0" applyFont="1" applyFill="1" applyBorder="1" applyAlignment="1">
      <alignment horizontal="right" vertical="center"/>
    </xf>
    <xf numFmtId="4" fontId="35" fillId="0" borderId="0" xfId="2" applyNumberFormat="1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37" fillId="0" borderId="9" xfId="0" applyFont="1" applyBorder="1" applyAlignment="1">
      <alignment horizontal="right" vertical="center"/>
    </xf>
    <xf numFmtId="0" fontId="37" fillId="0" borderId="10" xfId="0" applyFont="1" applyBorder="1" applyAlignment="1">
      <alignment horizontal="right" vertical="center"/>
    </xf>
    <xf numFmtId="0" fontId="37" fillId="0" borderId="11" xfId="0" applyFont="1" applyBorder="1" applyAlignment="1">
      <alignment horizontal="right" vertical="center"/>
    </xf>
    <xf numFmtId="0" fontId="9" fillId="5" borderId="3" xfId="5" applyFont="1" applyFill="1" applyBorder="1" applyAlignment="1">
      <alignment horizontal="center" vertical="center" wrapText="1"/>
    </xf>
    <xf numFmtId="0" fontId="5" fillId="0" borderId="6" xfId="3" applyFont="1" applyBorder="1" applyAlignment="1">
      <alignment horizontal="center" vertical="center"/>
    </xf>
    <xf numFmtId="0" fontId="5" fillId="0" borderId="34" xfId="3" applyFont="1" applyBorder="1" applyAlignment="1">
      <alignment horizontal="center" vertical="center"/>
    </xf>
    <xf numFmtId="0" fontId="46" fillId="0" borderId="3" xfId="3" applyFont="1" applyBorder="1" applyAlignment="1">
      <alignment vertical="center"/>
    </xf>
    <xf numFmtId="0" fontId="5" fillId="0" borderId="3" xfId="3" applyFont="1" applyBorder="1" applyAlignment="1">
      <alignment horizontal="center" vertical="center"/>
    </xf>
    <xf numFmtId="1" fontId="5" fillId="0" borderId="3" xfId="3" applyNumberFormat="1" applyFont="1" applyBorder="1" applyAlignment="1">
      <alignment horizontal="center"/>
    </xf>
    <xf numFmtId="1" fontId="5" fillId="0" borderId="3" xfId="3" applyNumberFormat="1" applyFont="1" applyBorder="1" applyAlignment="1">
      <alignment horizontal="center" wrapText="1"/>
    </xf>
    <xf numFmtId="0" fontId="47" fillId="0" borderId="4" xfId="3" applyFont="1" applyBorder="1" applyAlignment="1">
      <alignment horizontal="center"/>
    </xf>
    <xf numFmtId="0" fontId="47" fillId="0" borderId="0" xfId="0" applyFont="1" applyAlignment="1">
      <alignment horizontal="center"/>
    </xf>
    <xf numFmtId="0" fontId="47" fillId="0" borderId="0" xfId="0" applyFont="1"/>
    <xf numFmtId="0" fontId="47" fillId="0" borderId="12" xfId="3" applyFont="1" applyBorder="1" applyAlignment="1">
      <alignment horizontal="center"/>
    </xf>
    <xf numFmtId="2" fontId="47" fillId="0" borderId="1" xfId="3" applyNumberFormat="1" applyFont="1" applyBorder="1" applyAlignment="1">
      <alignment horizontal="center"/>
    </xf>
    <xf numFmtId="0" fontId="47" fillId="0" borderId="1" xfId="3" applyFont="1" applyBorder="1" applyAlignment="1">
      <alignment horizontal="center"/>
    </xf>
    <xf numFmtId="49" fontId="47" fillId="0" borderId="3" xfId="4" applyNumberFormat="1" applyFont="1" applyBorder="1" applyAlignment="1">
      <alignment horizontal="center"/>
    </xf>
    <xf numFmtId="49" fontId="47" fillId="0" borderId="3" xfId="4" applyNumberFormat="1" applyFont="1" applyBorder="1"/>
    <xf numFmtId="2" fontId="47" fillId="0" borderId="12" xfId="3" applyNumberFormat="1" applyFont="1" applyBorder="1" applyAlignment="1">
      <alignment horizontal="center"/>
    </xf>
    <xf numFmtId="0" fontId="47" fillId="0" borderId="3" xfId="3" applyFont="1" applyBorder="1" applyAlignment="1">
      <alignment horizontal="center"/>
    </xf>
    <xf numFmtId="0" fontId="47" fillId="0" borderId="3" xfId="3" applyFont="1" applyBorder="1"/>
    <xf numFmtId="0" fontId="48" fillId="0" borderId="3" xfId="3" applyFont="1" applyBorder="1" applyAlignment="1">
      <alignment horizontal="center" vertical="center"/>
    </xf>
    <xf numFmtId="0" fontId="47" fillId="11" borderId="46" xfId="0" applyFont="1" applyFill="1" applyBorder="1" applyAlignment="1">
      <alignment horizontal="center"/>
    </xf>
    <xf numFmtId="0" fontId="47" fillId="11" borderId="47" xfId="0" applyFont="1" applyFill="1" applyBorder="1" applyAlignment="1">
      <alignment horizontal="center"/>
    </xf>
    <xf numFmtId="0" fontId="47" fillId="0" borderId="3" xfId="4" applyFont="1" applyBorder="1" applyAlignment="1">
      <alignment horizontal="center" vertical="center"/>
    </xf>
    <xf numFmtId="16" fontId="47" fillId="0" borderId="3" xfId="3" applyNumberFormat="1" applyFont="1" applyBorder="1" applyAlignment="1">
      <alignment horizontal="center"/>
    </xf>
    <xf numFmtId="1" fontId="47" fillId="0" borderId="3" xfId="3" applyNumberFormat="1" applyFont="1" applyBorder="1" applyAlignment="1">
      <alignment horizontal="center"/>
    </xf>
    <xf numFmtId="1" fontId="47" fillId="0" borderId="3" xfId="3" applyNumberFormat="1" applyFont="1" applyBorder="1" applyAlignment="1">
      <alignment horizontal="center" wrapText="1"/>
    </xf>
    <xf numFmtId="0" fontId="47" fillId="0" borderId="6" xfId="0" applyFont="1" applyBorder="1" applyAlignment="1">
      <alignment horizontal="center"/>
    </xf>
    <xf numFmtId="0" fontId="47" fillId="0" borderId="34" xfId="0" applyFont="1" applyBorder="1" applyAlignment="1">
      <alignment horizontal="center"/>
    </xf>
    <xf numFmtId="0" fontId="47" fillId="0" borderId="3" xfId="0" applyFont="1" applyBorder="1"/>
    <xf numFmtId="1" fontId="47" fillId="0" borderId="3" xfId="0" applyNumberFormat="1" applyFont="1" applyBorder="1" applyAlignment="1">
      <alignment horizontal="center"/>
    </xf>
    <xf numFmtId="0" fontId="47" fillId="0" borderId="3" xfId="0" applyFont="1" applyBorder="1" applyAlignment="1">
      <alignment horizontal="center"/>
    </xf>
    <xf numFmtId="0" fontId="47" fillId="0" borderId="3" xfId="0" applyFont="1" applyBorder="1" applyAlignment="1">
      <alignment horizontal="left"/>
    </xf>
    <xf numFmtId="16" fontId="47" fillId="0" borderId="3" xfId="0" applyNumberFormat="1" applyFont="1" applyBorder="1" applyAlignment="1">
      <alignment horizontal="center"/>
    </xf>
    <xf numFmtId="1" fontId="47" fillId="0" borderId="12" xfId="0" applyNumberFormat="1" applyFont="1" applyBorder="1" applyAlignment="1">
      <alignment horizontal="center" wrapText="1"/>
    </xf>
    <xf numFmtId="0" fontId="47" fillId="9" borderId="3" xfId="0" applyFont="1" applyFill="1" applyBorder="1"/>
    <xf numFmtId="49" fontId="47" fillId="0" borderId="6" xfId="3" applyNumberFormat="1" applyFont="1" applyBorder="1" applyAlignment="1">
      <alignment horizontal="center"/>
    </xf>
    <xf numFmtId="49" fontId="47" fillId="0" borderId="34" xfId="3" applyNumberFormat="1" applyFont="1" applyBorder="1" applyAlignment="1">
      <alignment horizontal="center"/>
    </xf>
    <xf numFmtId="0" fontId="5" fillId="9" borderId="3" xfId="3" applyFont="1" applyFill="1" applyBorder="1" applyAlignment="1">
      <alignment horizontal="left"/>
    </xf>
    <xf numFmtId="170" fontId="47" fillId="0" borderId="3" xfId="3" applyNumberFormat="1" applyFont="1" applyBorder="1" applyAlignment="1">
      <alignment horizontal="center"/>
    </xf>
    <xf numFmtId="0" fontId="47" fillId="0" borderId="6" xfId="7" applyFont="1" applyBorder="1" applyAlignment="1">
      <alignment horizontal="center"/>
    </xf>
    <xf numFmtId="0" fontId="47" fillId="9" borderId="3" xfId="7" applyFont="1" applyFill="1" applyBorder="1"/>
    <xf numFmtId="16" fontId="47" fillId="0" borderId="3" xfId="7" applyNumberFormat="1" applyFont="1" applyBorder="1" applyAlignment="1">
      <alignment horizontal="center"/>
    </xf>
    <xf numFmtId="0" fontId="47" fillId="0" borderId="3" xfId="7" applyFont="1" applyBorder="1" applyAlignment="1">
      <alignment horizontal="center"/>
    </xf>
    <xf numFmtId="1" fontId="47" fillId="0" borderId="3" xfId="7" applyNumberFormat="1" applyFont="1" applyBorder="1" applyAlignment="1">
      <alignment horizontal="center"/>
    </xf>
    <xf numFmtId="1" fontId="47" fillId="0" borderId="3" xfId="7" applyNumberFormat="1" applyFont="1" applyBorder="1" applyAlignment="1">
      <alignment horizontal="center" wrapText="1"/>
    </xf>
    <xf numFmtId="49" fontId="5" fillId="0" borderId="36" xfId="3" applyNumberFormat="1" applyFont="1" applyBorder="1" applyAlignment="1">
      <alignment horizontal="center"/>
    </xf>
    <xf numFmtId="49" fontId="5" fillId="0" borderId="41" xfId="3" applyNumberFormat="1" applyFont="1" applyBorder="1" applyAlignment="1">
      <alignment horizontal="center"/>
    </xf>
    <xf numFmtId="0" fontId="46" fillId="9" borderId="3" xfId="3" applyFont="1" applyFill="1" applyBorder="1" applyAlignment="1">
      <alignment vertical="center"/>
    </xf>
    <xf numFmtId="0" fontId="5" fillId="0" borderId="34" xfId="3" applyFont="1" applyBorder="1" applyAlignment="1">
      <alignment horizontal="center"/>
    </xf>
    <xf numFmtId="0" fontId="48" fillId="0" borderId="3" xfId="0" applyFont="1" applyBorder="1" applyAlignment="1">
      <alignment horizontal="center" vertical="top"/>
    </xf>
    <xf numFmtId="1" fontId="47" fillId="9" borderId="3" xfId="0" applyNumberFormat="1" applyFont="1" applyFill="1" applyBorder="1" applyAlignment="1">
      <alignment horizontal="center"/>
    </xf>
    <xf numFmtId="1" fontId="47" fillId="9" borderId="3" xfId="0" applyNumberFormat="1" applyFont="1" applyFill="1" applyBorder="1" applyAlignment="1">
      <alignment horizontal="center" wrapText="1"/>
    </xf>
    <xf numFmtId="2" fontId="47" fillId="0" borderId="3" xfId="3" applyNumberFormat="1" applyFont="1" applyBorder="1" applyAlignment="1">
      <alignment horizontal="center"/>
    </xf>
    <xf numFmtId="0" fontId="49" fillId="0" borderId="6" xfId="8" applyFont="1" applyBorder="1" applyAlignment="1">
      <alignment horizontal="center"/>
    </xf>
    <xf numFmtId="0" fontId="47" fillId="0" borderId="34" xfId="8" applyFont="1" applyBorder="1" applyAlignment="1">
      <alignment horizontal="center"/>
    </xf>
    <xf numFmtId="0" fontId="49" fillId="0" borderId="3" xfId="8" applyFont="1" applyBorder="1"/>
    <xf numFmtId="0" fontId="49" fillId="0" borderId="3" xfId="8" applyFont="1" applyBorder="1" applyAlignment="1">
      <alignment horizontal="center" vertical="center"/>
    </xf>
    <xf numFmtId="1" fontId="47" fillId="0" borderId="3" xfId="0" applyNumberFormat="1" applyFont="1" applyBorder="1" applyAlignment="1">
      <alignment horizontal="center" wrapText="1"/>
    </xf>
    <xf numFmtId="0" fontId="47" fillId="9" borderId="3" xfId="0" applyFont="1" applyFill="1" applyBorder="1" applyAlignment="1">
      <alignment horizontal="center"/>
    </xf>
    <xf numFmtId="49" fontId="47" fillId="9" borderId="6" xfId="3" applyNumberFormat="1" applyFont="1" applyFill="1" applyBorder="1" applyAlignment="1">
      <alignment horizontal="center"/>
    </xf>
    <xf numFmtId="49" fontId="47" fillId="9" borderId="34" xfId="3" applyNumberFormat="1" applyFont="1" applyFill="1" applyBorder="1" applyAlignment="1">
      <alignment horizontal="center"/>
    </xf>
    <xf numFmtId="49" fontId="47" fillId="9" borderId="3" xfId="3" applyNumberFormat="1" applyFont="1" applyFill="1" applyBorder="1"/>
    <xf numFmtId="12" fontId="47" fillId="0" borderId="3" xfId="3" applyNumberFormat="1" applyFont="1" applyBorder="1" applyAlignment="1">
      <alignment horizontal="center"/>
    </xf>
    <xf numFmtId="49" fontId="47" fillId="0" borderId="3" xfId="3" applyNumberFormat="1" applyFont="1" applyBorder="1"/>
    <xf numFmtId="49" fontId="48" fillId="2" borderId="7" xfId="3" applyNumberFormat="1" applyFont="1" applyFill="1" applyBorder="1" applyAlignment="1">
      <alignment horizontal="center" vertical="center"/>
    </xf>
    <xf numFmtId="49" fontId="48" fillId="2" borderId="0" xfId="3" applyNumberFormat="1" applyFont="1" applyFill="1" applyAlignment="1">
      <alignment horizontal="center" vertical="center"/>
    </xf>
    <xf numFmtId="0" fontId="47" fillId="2" borderId="0" xfId="3" applyFont="1" applyFill="1"/>
    <xf numFmtId="1" fontId="47" fillId="2" borderId="0" xfId="3" applyNumberFormat="1" applyFont="1" applyFill="1" applyAlignment="1">
      <alignment horizontal="center"/>
    </xf>
    <xf numFmtId="167" fontId="47" fillId="2" borderId="0" xfId="3" applyNumberFormat="1" applyFont="1" applyFill="1" applyAlignment="1">
      <alignment horizontal="center" wrapText="1"/>
    </xf>
    <xf numFmtId="0" fontId="47" fillId="2" borderId="8" xfId="3" applyFont="1" applyFill="1" applyBorder="1" applyAlignment="1">
      <alignment horizontal="center"/>
    </xf>
    <xf numFmtId="0" fontId="47" fillId="3" borderId="9" xfId="3" applyFont="1" applyFill="1" applyBorder="1" applyAlignment="1">
      <alignment horizontal="center"/>
    </xf>
    <xf numFmtId="0" fontId="47" fillId="3" borderId="10" xfId="3" applyFont="1" applyFill="1" applyBorder="1" applyAlignment="1">
      <alignment horizontal="center"/>
    </xf>
    <xf numFmtId="0" fontId="47" fillId="3" borderId="10" xfId="3" applyFont="1" applyFill="1" applyBorder="1"/>
    <xf numFmtId="0" fontId="5" fillId="3" borderId="10" xfId="3" applyFont="1" applyFill="1" applyBorder="1" applyAlignment="1">
      <alignment horizontal="center"/>
    </xf>
    <xf numFmtId="1" fontId="5" fillId="3" borderId="10" xfId="3" applyNumberFormat="1" applyFont="1" applyFill="1" applyBorder="1" applyAlignment="1">
      <alignment horizontal="center"/>
    </xf>
    <xf numFmtId="167" fontId="47" fillId="3" borderId="10" xfId="3" applyNumberFormat="1" applyFont="1" applyFill="1" applyBorder="1" applyAlignment="1">
      <alignment horizontal="center" wrapText="1"/>
    </xf>
    <xf numFmtId="0" fontId="47" fillId="3" borderId="11" xfId="3" applyFont="1" applyFill="1" applyBorder="1" applyAlignment="1">
      <alignment horizontal="center"/>
    </xf>
    <xf numFmtId="0" fontId="5" fillId="0" borderId="30" xfId="3" applyFont="1" applyBorder="1" applyAlignment="1">
      <alignment horizontal="right"/>
    </xf>
    <xf numFmtId="0" fontId="5" fillId="0" borderId="31" xfId="3" applyFont="1" applyBorder="1" applyAlignment="1">
      <alignment horizontal="right"/>
    </xf>
    <xf numFmtId="0" fontId="5" fillId="0" borderId="37" xfId="3" applyFont="1" applyBorder="1" applyAlignment="1">
      <alignment horizontal="right"/>
    </xf>
    <xf numFmtId="1" fontId="47" fillId="0" borderId="12" xfId="0" applyNumberFormat="1" applyFont="1" applyBorder="1" applyAlignment="1">
      <alignment horizontal="center"/>
    </xf>
    <xf numFmtId="0" fontId="47" fillId="0" borderId="13" xfId="0" applyFont="1" applyBorder="1" applyAlignment="1">
      <alignment horizontal="center"/>
    </xf>
    <xf numFmtId="167" fontId="47" fillId="0" borderId="12" xfId="3" applyNumberFormat="1" applyFont="1" applyBorder="1" applyAlignment="1">
      <alignment horizontal="right"/>
    </xf>
    <xf numFmtId="0" fontId="47" fillId="2" borderId="13" xfId="3" applyFont="1" applyFill="1" applyBorder="1" applyAlignment="1">
      <alignment horizontal="center"/>
    </xf>
    <xf numFmtId="0" fontId="47" fillId="2" borderId="32" xfId="3" applyFont="1" applyFill="1" applyBorder="1" applyAlignment="1">
      <alignment horizontal="center"/>
    </xf>
    <xf numFmtId="0" fontId="5" fillId="0" borderId="36" xfId="3" applyFont="1" applyBorder="1" applyAlignment="1">
      <alignment horizontal="right"/>
    </xf>
    <xf numFmtId="0" fontId="5" fillId="0" borderId="41" xfId="3" applyFont="1" applyBorder="1" applyAlignment="1">
      <alignment horizontal="right"/>
    </xf>
    <xf numFmtId="0" fontId="5" fillId="0" borderId="34" xfId="3" applyFont="1" applyBorder="1" applyAlignment="1">
      <alignment horizontal="right"/>
    </xf>
    <xf numFmtId="0" fontId="5" fillId="0" borderId="3" xfId="0" applyFont="1" applyBorder="1" applyAlignment="1">
      <alignment horizontal="center"/>
    </xf>
    <xf numFmtId="0" fontId="47" fillId="0" borderId="3" xfId="3" applyFont="1" applyBorder="1" applyAlignment="1">
      <alignment horizontal="right"/>
    </xf>
    <xf numFmtId="167" fontId="47" fillId="0" borderId="33" xfId="3" applyNumberFormat="1" applyFont="1" applyBorder="1" applyAlignment="1">
      <alignment horizontal="center"/>
    </xf>
    <xf numFmtId="167" fontId="47" fillId="0" borderId="35" xfId="3" applyNumberFormat="1" applyFont="1" applyBorder="1" applyAlignment="1">
      <alignment horizontal="center"/>
    </xf>
    <xf numFmtId="167" fontId="47" fillId="0" borderId="33" xfId="3" applyNumberFormat="1" applyFont="1" applyBorder="1" applyAlignment="1">
      <alignment horizontal="right" wrapText="1"/>
    </xf>
    <xf numFmtId="167" fontId="47" fillId="0" borderId="34" xfId="3" applyNumberFormat="1" applyFont="1" applyBorder="1" applyAlignment="1">
      <alignment horizontal="right" wrapText="1"/>
    </xf>
    <xf numFmtId="0" fontId="5" fillId="0" borderId="27" xfId="3" applyFont="1" applyBorder="1" applyAlignment="1">
      <alignment horizontal="right"/>
    </xf>
    <xf numFmtId="0" fontId="5" fillId="0" borderId="43" xfId="3" applyFont="1" applyBorder="1" applyAlignment="1">
      <alignment horizontal="right"/>
    </xf>
    <xf numFmtId="0" fontId="5" fillId="0" borderId="5" xfId="3" applyFont="1" applyBorder="1" applyAlignment="1">
      <alignment horizontal="right"/>
    </xf>
    <xf numFmtId="1" fontId="47" fillId="0" borderId="5" xfId="0" applyNumberFormat="1" applyFont="1" applyBorder="1" applyAlignment="1">
      <alignment horizontal="center"/>
    </xf>
    <xf numFmtId="0" fontId="47" fillId="0" borderId="5" xfId="0" applyFont="1" applyBorder="1" applyAlignment="1">
      <alignment horizontal="center"/>
    </xf>
    <xf numFmtId="0" fontId="47" fillId="0" borderId="5" xfId="3" applyFont="1" applyBorder="1" applyAlignment="1">
      <alignment horizontal="right"/>
    </xf>
    <xf numFmtId="167" fontId="47" fillId="0" borderId="28" xfId="3" applyNumberFormat="1" applyFont="1" applyBorder="1" applyAlignment="1">
      <alignment horizontal="center"/>
    </xf>
    <xf numFmtId="167" fontId="47" fillId="0" borderId="29" xfId="3" applyNumberFormat="1" applyFont="1" applyBorder="1" applyAlignment="1">
      <alignment horizontal="center"/>
    </xf>
    <xf numFmtId="0" fontId="5" fillId="3" borderId="9" xfId="3" applyFont="1" applyFill="1" applyBorder="1" applyAlignment="1">
      <alignment horizontal="left"/>
    </xf>
    <xf numFmtId="0" fontId="5" fillId="3" borderId="10" xfId="3" applyFont="1" applyFill="1" applyBorder="1" applyAlignment="1">
      <alignment horizontal="left"/>
    </xf>
    <xf numFmtId="0" fontId="5" fillId="3" borderId="11" xfId="3" applyFont="1" applyFill="1" applyBorder="1" applyAlignment="1">
      <alignment horizontal="left"/>
    </xf>
    <xf numFmtId="0" fontId="5" fillId="0" borderId="30" xfId="3" applyFont="1" applyBorder="1" applyAlignment="1">
      <alignment horizontal="left" wrapText="1"/>
    </xf>
    <xf numFmtId="0" fontId="5" fillId="0" borderId="31" xfId="3" applyFont="1" applyBorder="1" applyAlignment="1">
      <alignment horizontal="left" wrapText="1"/>
    </xf>
    <xf numFmtId="0" fontId="5" fillId="0" borderId="32" xfId="3" applyFont="1" applyBorder="1" applyAlignment="1">
      <alignment horizontal="left" wrapText="1"/>
    </xf>
    <xf numFmtId="0" fontId="47" fillId="0" borderId="36" xfId="0" applyFont="1" applyBorder="1" applyAlignment="1">
      <alignment vertical="center"/>
    </xf>
    <xf numFmtId="0" fontId="47" fillId="0" borderId="41" xfId="0" applyFont="1" applyBorder="1" applyAlignment="1">
      <alignment vertical="center"/>
    </xf>
    <xf numFmtId="0" fontId="47" fillId="0" borderId="35" xfId="0" applyFont="1" applyBorder="1" applyAlignment="1">
      <alignment vertical="center"/>
    </xf>
    <xf numFmtId="0" fontId="47" fillId="0" borderId="36" xfId="0" applyFont="1" applyBorder="1" applyAlignment="1">
      <alignment horizontal="left"/>
    </xf>
    <xf numFmtId="0" fontId="47" fillId="0" borderId="41" xfId="0" applyFont="1" applyBorder="1" applyAlignment="1">
      <alignment horizontal="left"/>
    </xf>
    <xf numFmtId="0" fontId="47" fillId="0" borderId="56" xfId="0" applyFont="1" applyBorder="1" applyAlignment="1">
      <alignment horizontal="left"/>
    </xf>
    <xf numFmtId="0" fontId="47" fillId="0" borderId="41" xfId="0" applyFont="1" applyBorder="1" applyAlignment="1">
      <alignment horizontal="left"/>
    </xf>
    <xf numFmtId="0" fontId="47" fillId="0" borderId="57" xfId="3" applyFont="1" applyBorder="1" applyAlignment="1">
      <alignment horizontal="left"/>
    </xf>
    <xf numFmtId="0" fontId="47" fillId="0" borderId="58" xfId="3" applyFont="1" applyBorder="1" applyAlignment="1">
      <alignment horizontal="left"/>
    </xf>
    <xf numFmtId="0" fontId="47" fillId="0" borderId="29" xfId="3" applyFont="1" applyBorder="1" applyAlignment="1">
      <alignment horizontal="left"/>
    </xf>
    <xf numFmtId="0" fontId="5" fillId="12" borderId="59" xfId="5" applyFont="1" applyFill="1" applyBorder="1" applyAlignment="1">
      <alignment horizontal="center"/>
    </xf>
    <xf numFmtId="0" fontId="5" fillId="12" borderId="40" xfId="5" applyFont="1" applyFill="1" applyBorder="1" applyAlignment="1">
      <alignment horizontal="center"/>
    </xf>
    <xf numFmtId="0" fontId="47" fillId="2" borderId="60" xfId="5" applyFont="1" applyFill="1" applyBorder="1" applyAlignment="1">
      <alignment horizontal="left"/>
    </xf>
    <xf numFmtId="0" fontId="47" fillId="2" borderId="0" xfId="5" applyFont="1" applyFill="1" applyAlignment="1">
      <alignment horizontal="left"/>
    </xf>
    <xf numFmtId="0" fontId="50" fillId="5" borderId="3" xfId="5" applyFont="1" applyFill="1" applyBorder="1" applyAlignment="1">
      <alignment horizontal="center" vertical="center" wrapText="1"/>
    </xf>
  </cellXfs>
  <cellStyles count="9">
    <cellStyle name="Millares" xfId="1" builtinId="3"/>
    <cellStyle name="Millares [0]" xfId="2" builtinId="6"/>
    <cellStyle name="Normal" xfId="0" builtinId="0"/>
    <cellStyle name="Normal 2" xfId="3" xr:uid="{00000000-0005-0000-0000-000003000000}"/>
    <cellStyle name="Normal 3" xfId="8" xr:uid="{C221A50B-A0F7-4E12-A832-160994B7D078}"/>
    <cellStyle name="Normal 3 2" xfId="7" xr:uid="{5A1DA6A6-9B02-4653-9DB9-2ED33DF1F499}"/>
    <cellStyle name="Normal 4" xfId="4" xr:uid="{00000000-0005-0000-0000-000004000000}"/>
    <cellStyle name="Normal_CRITERIOS DE EVALUACION PT DE GB 2" xfId="5" xr:uid="{00000000-0005-0000-0000-000005000000}"/>
    <cellStyle name="Porcentaje 2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8222" name="Picture 2">
          <a:extLst>
            <a:ext uri="{FF2B5EF4-FFF2-40B4-BE49-F238E27FC236}">
              <a16:creationId xmlns:a16="http://schemas.microsoft.com/office/drawing/2014/main" id="{8B85C52A-180B-9221-8B04-9F174C16A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8223" name="Picture 3">
          <a:extLst>
            <a:ext uri="{FF2B5EF4-FFF2-40B4-BE49-F238E27FC236}">
              <a16:creationId xmlns:a16="http://schemas.microsoft.com/office/drawing/2014/main" id="{CF5BBBB7-EE84-7B82-D658-730E828F3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8224" name="Picture 5">
          <a:extLst>
            <a:ext uri="{FF2B5EF4-FFF2-40B4-BE49-F238E27FC236}">
              <a16:creationId xmlns:a16="http://schemas.microsoft.com/office/drawing/2014/main" id="{83D0F3B2-29E0-281A-46F4-4EC2DDB42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8225" name="Picture 6">
          <a:extLst>
            <a:ext uri="{FF2B5EF4-FFF2-40B4-BE49-F238E27FC236}">
              <a16:creationId xmlns:a16="http://schemas.microsoft.com/office/drawing/2014/main" id="{6EBCDB90-26CE-3AF5-64D1-85589C43B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8226" name="Picture 7">
          <a:extLst>
            <a:ext uri="{FF2B5EF4-FFF2-40B4-BE49-F238E27FC236}">
              <a16:creationId xmlns:a16="http://schemas.microsoft.com/office/drawing/2014/main" id="{03887D83-1EC2-0B53-2AF4-0C7006439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8227" name="Picture 8">
          <a:extLst>
            <a:ext uri="{FF2B5EF4-FFF2-40B4-BE49-F238E27FC236}">
              <a16:creationId xmlns:a16="http://schemas.microsoft.com/office/drawing/2014/main" id="{D7AD0435-87F0-5222-43A0-AC5D0C617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8228" name="Picture 9">
          <a:extLst>
            <a:ext uri="{FF2B5EF4-FFF2-40B4-BE49-F238E27FC236}">
              <a16:creationId xmlns:a16="http://schemas.microsoft.com/office/drawing/2014/main" id="{8BAB0E4C-50D1-1F41-6F80-3B556EDCB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8229" name="Picture 10">
          <a:extLst>
            <a:ext uri="{FF2B5EF4-FFF2-40B4-BE49-F238E27FC236}">
              <a16:creationId xmlns:a16="http://schemas.microsoft.com/office/drawing/2014/main" id="{7961E96C-255D-1633-48E4-B6629A076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8230" name="Picture 11">
          <a:extLst>
            <a:ext uri="{FF2B5EF4-FFF2-40B4-BE49-F238E27FC236}">
              <a16:creationId xmlns:a16="http://schemas.microsoft.com/office/drawing/2014/main" id="{5D831AC5-0759-C0F7-2C44-49DFB8630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8231" name="Picture 12">
          <a:extLst>
            <a:ext uri="{FF2B5EF4-FFF2-40B4-BE49-F238E27FC236}">
              <a16:creationId xmlns:a16="http://schemas.microsoft.com/office/drawing/2014/main" id="{FF561C82-152F-48FA-5E99-B55D3D8D9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8232" name="Picture 14">
          <a:extLst>
            <a:ext uri="{FF2B5EF4-FFF2-40B4-BE49-F238E27FC236}">
              <a16:creationId xmlns:a16="http://schemas.microsoft.com/office/drawing/2014/main" id="{EE3EB5E7-24A6-D801-3D81-E0ABE8D9B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8233" name="Picture 15">
          <a:extLst>
            <a:ext uri="{FF2B5EF4-FFF2-40B4-BE49-F238E27FC236}">
              <a16:creationId xmlns:a16="http://schemas.microsoft.com/office/drawing/2014/main" id="{A1253C80-FD65-6203-55AA-F81BEAFD6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8234" name="Picture 16">
          <a:extLst>
            <a:ext uri="{FF2B5EF4-FFF2-40B4-BE49-F238E27FC236}">
              <a16:creationId xmlns:a16="http://schemas.microsoft.com/office/drawing/2014/main" id="{E1B556DB-D672-8B61-6749-55C0BD914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8235" name="Picture 17">
          <a:extLst>
            <a:ext uri="{FF2B5EF4-FFF2-40B4-BE49-F238E27FC236}">
              <a16:creationId xmlns:a16="http://schemas.microsoft.com/office/drawing/2014/main" id="{EE5D048B-FC91-27D6-54EF-F395D2452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8236" name="Picture 18">
          <a:extLst>
            <a:ext uri="{FF2B5EF4-FFF2-40B4-BE49-F238E27FC236}">
              <a16:creationId xmlns:a16="http://schemas.microsoft.com/office/drawing/2014/main" id="{F70AB1C9-826B-F391-2FF0-15BCB6CB1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8237" name="Picture 19">
          <a:extLst>
            <a:ext uri="{FF2B5EF4-FFF2-40B4-BE49-F238E27FC236}">
              <a16:creationId xmlns:a16="http://schemas.microsoft.com/office/drawing/2014/main" id="{1AA968B3-E3D7-A2EE-4CB3-F93FB5211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8238" name="Picture 20">
          <a:extLst>
            <a:ext uri="{FF2B5EF4-FFF2-40B4-BE49-F238E27FC236}">
              <a16:creationId xmlns:a16="http://schemas.microsoft.com/office/drawing/2014/main" id="{2E6A632F-B070-C6E9-CFDD-5CC4340DB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8239" name="Picture 21">
          <a:extLst>
            <a:ext uri="{FF2B5EF4-FFF2-40B4-BE49-F238E27FC236}">
              <a16:creationId xmlns:a16="http://schemas.microsoft.com/office/drawing/2014/main" id="{6A0AFBA7-00EB-F853-A50A-FB2133F59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8240" name="Picture 22">
          <a:extLst>
            <a:ext uri="{FF2B5EF4-FFF2-40B4-BE49-F238E27FC236}">
              <a16:creationId xmlns:a16="http://schemas.microsoft.com/office/drawing/2014/main" id="{3DD3DD4A-9D61-CB94-B529-4255DC37D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8241" name="Picture 23">
          <a:extLst>
            <a:ext uri="{FF2B5EF4-FFF2-40B4-BE49-F238E27FC236}">
              <a16:creationId xmlns:a16="http://schemas.microsoft.com/office/drawing/2014/main" id="{4290FBB7-32AC-2855-5DCA-4978CEF24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8242" name="Picture 24">
          <a:extLst>
            <a:ext uri="{FF2B5EF4-FFF2-40B4-BE49-F238E27FC236}">
              <a16:creationId xmlns:a16="http://schemas.microsoft.com/office/drawing/2014/main" id="{5E784682-6DB1-2428-69D3-C9B818391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8243" name="Picture 25">
          <a:extLst>
            <a:ext uri="{FF2B5EF4-FFF2-40B4-BE49-F238E27FC236}">
              <a16:creationId xmlns:a16="http://schemas.microsoft.com/office/drawing/2014/main" id="{2A64A0A8-17A5-A530-39B1-049BDDB48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8244" name="Picture 27">
          <a:extLst>
            <a:ext uri="{FF2B5EF4-FFF2-40B4-BE49-F238E27FC236}">
              <a16:creationId xmlns:a16="http://schemas.microsoft.com/office/drawing/2014/main" id="{596FF755-1213-E36E-8C9C-AA0F536F9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8245" name="Picture 28">
          <a:extLst>
            <a:ext uri="{FF2B5EF4-FFF2-40B4-BE49-F238E27FC236}">
              <a16:creationId xmlns:a16="http://schemas.microsoft.com/office/drawing/2014/main" id="{F3469546-C8CC-0650-C3EB-ABB04968C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8246" name="Picture 29">
          <a:extLst>
            <a:ext uri="{FF2B5EF4-FFF2-40B4-BE49-F238E27FC236}">
              <a16:creationId xmlns:a16="http://schemas.microsoft.com/office/drawing/2014/main" id="{EF8DEF5D-0EDD-C0B2-2D9F-A7086A989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0</xdr:col>
      <xdr:colOff>609600</xdr:colOff>
      <xdr:row>0</xdr:row>
      <xdr:rowOff>0</xdr:rowOff>
    </xdr:to>
    <xdr:pic>
      <xdr:nvPicPr>
        <xdr:cNvPr id="8247" name="Picture 30">
          <a:extLst>
            <a:ext uri="{FF2B5EF4-FFF2-40B4-BE49-F238E27FC236}">
              <a16:creationId xmlns:a16="http://schemas.microsoft.com/office/drawing/2014/main" id="{E2D5F3FA-8493-506D-77DA-FA7502CCC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95250</xdr:rowOff>
    </xdr:from>
    <xdr:to>
      <xdr:col>0</xdr:col>
      <xdr:colOff>914400</xdr:colOff>
      <xdr:row>2</xdr:row>
      <xdr:rowOff>390525</xdr:rowOff>
    </xdr:to>
    <xdr:pic>
      <xdr:nvPicPr>
        <xdr:cNvPr id="8248" name="Picture 1" descr="LOGO FINAL">
          <a:extLst>
            <a:ext uri="{FF2B5EF4-FFF2-40B4-BE49-F238E27FC236}">
              <a16:creationId xmlns:a16="http://schemas.microsoft.com/office/drawing/2014/main" id="{673D15A4-7265-9002-F3D6-632ED52A4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133350" y="95250"/>
          <a:ext cx="78105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222251</xdr:colOff>
      <xdr:row>0</xdr:row>
      <xdr:rowOff>137583</xdr:rowOff>
    </xdr:from>
    <xdr:to>
      <xdr:col>1</xdr:col>
      <xdr:colOff>825501</xdr:colOff>
      <xdr:row>4</xdr:row>
      <xdr:rowOff>44770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E2E03A47-5225-410F-B581-1495E2BDB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251" y="137583"/>
          <a:ext cx="1629833" cy="743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38100</xdr:rowOff>
    </xdr:from>
    <xdr:to>
      <xdr:col>0</xdr:col>
      <xdr:colOff>904875</xdr:colOff>
      <xdr:row>4</xdr:row>
      <xdr:rowOff>152400</xdr:rowOff>
    </xdr:to>
    <xdr:pic>
      <xdr:nvPicPr>
        <xdr:cNvPr id="3101" name="Picture 1" descr="LOGO FINAL">
          <a:extLst>
            <a:ext uri="{FF2B5EF4-FFF2-40B4-BE49-F238E27FC236}">
              <a16:creationId xmlns:a16="http://schemas.microsoft.com/office/drawing/2014/main" id="{A89263C0-3A7B-E7E9-60E6-7020F5A52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123825" y="38100"/>
          <a:ext cx="78105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%20datos%20costos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</sheetNames>
    <sheetDataSet>
      <sheetData sheetId="0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  <row r="590">
          <cell r="A590" t="str">
            <v>1160001</v>
          </cell>
          <cell r="B590" t="str">
            <v>GOMA XANTAN (KILO)</v>
          </cell>
          <cell r="C590" t="str">
            <v>KILO</v>
          </cell>
          <cell r="E590">
            <v>3276</v>
          </cell>
          <cell r="F590" t="str">
            <v>Gramo</v>
          </cell>
          <cell r="G590">
            <v>3.2759999999999998</v>
          </cell>
        </row>
        <row r="591">
          <cell r="A591" t="str">
            <v>1212438</v>
          </cell>
          <cell r="B591" t="str">
            <v>ESTABILIZANTE FRUTAS (SACO:25 K) 97178</v>
          </cell>
          <cell r="C591" t="str">
            <v>SACO</v>
          </cell>
          <cell r="E591">
            <v>125818</v>
          </cell>
          <cell r="F591" t="str">
            <v>Gramo</v>
          </cell>
          <cell r="G591">
            <v>5.0327200000000003</v>
          </cell>
        </row>
        <row r="592">
          <cell r="A592" t="str">
            <v>10400007</v>
          </cell>
          <cell r="B592" t="str">
            <v>COLORANTE GEL ELECTRIC ORANGE (UND=130m)</v>
          </cell>
          <cell r="C592" t="str">
            <v>UND</v>
          </cell>
          <cell r="E592">
            <v>2400</v>
          </cell>
          <cell r="F592" t="str">
            <v>Gramo</v>
          </cell>
          <cell r="G592">
            <v>18.46153846153846</v>
          </cell>
        </row>
        <row r="593">
          <cell r="A593" t="str">
            <v>105000013</v>
          </cell>
          <cell r="B593" t="str">
            <v>PIMIENTA NEGRA MOLIDA ( PAQ: 5000 g )</v>
          </cell>
          <cell r="C593" t="str">
            <v>PAQ</v>
          </cell>
          <cell r="E593">
            <v>35170</v>
          </cell>
          <cell r="F593" t="str">
            <v>Gramo</v>
          </cell>
          <cell r="G593">
            <v>7.0339999999999998</v>
          </cell>
        </row>
      </sheetData>
      <sheetData sheetId="1">
        <row r="2">
          <cell r="A2" t="str">
            <v>10261</v>
          </cell>
          <cell r="B2" t="str">
            <v>BOLSAS TRANSP GRANDE (KILO)</v>
          </cell>
          <cell r="D2" t="str">
            <v>KILO</v>
          </cell>
          <cell r="F2">
            <v>1250</v>
          </cell>
          <cell r="G2" t="str">
            <v>UND</v>
          </cell>
          <cell r="H2">
            <v>83.333333333333329</v>
          </cell>
        </row>
        <row r="3">
          <cell r="A3" t="str">
            <v>56009</v>
          </cell>
          <cell r="B3" t="str">
            <v>CANDELAS MAGICAS (PAQ:24 UND)</v>
          </cell>
          <cell r="C3" t="str">
            <v>56009</v>
          </cell>
          <cell r="D3" t="str">
            <v>1 PAQUETE</v>
          </cell>
          <cell r="E3" t="str">
            <v>14/12/2019</v>
          </cell>
          <cell r="F3">
            <v>750</v>
          </cell>
        </row>
        <row r="4">
          <cell r="A4" t="str">
            <v>109254</v>
          </cell>
          <cell r="B4" t="str">
            <v>VASO 3.25 ONZ (PAQ*200)</v>
          </cell>
          <cell r="C4" t="str">
            <v>109254</v>
          </cell>
          <cell r="D4" t="str">
            <v>1 PAQUETE</v>
          </cell>
          <cell r="E4" t="str">
            <v>04/03/2020</v>
          </cell>
          <cell r="F4">
            <v>12.797000000000001</v>
          </cell>
        </row>
        <row r="5">
          <cell r="A5" t="str">
            <v>109254</v>
          </cell>
          <cell r="B5" t="str">
            <v>VASO 3.25 ONZ (PAQ*200)</v>
          </cell>
          <cell r="C5" t="str">
            <v>0162101</v>
          </cell>
          <cell r="D5" t="str">
            <v>1 PAQUETE</v>
          </cell>
          <cell r="E5" t="str">
            <v>05/03/2020</v>
          </cell>
          <cell r="F5">
            <v>12.797000000000001</v>
          </cell>
        </row>
        <row r="6">
          <cell r="A6" t="str">
            <v>109401</v>
          </cell>
          <cell r="B6" t="str">
            <v>CONTENED PAPEL BLANCO 8 ONZ (PAQ:50 UND)</v>
          </cell>
          <cell r="C6" t="str">
            <v>109401</v>
          </cell>
          <cell r="D6" t="str">
            <v>1 PAQUETE</v>
          </cell>
          <cell r="E6" t="str">
            <v>11/11/2019</v>
          </cell>
          <cell r="F6">
            <v>35.72</v>
          </cell>
        </row>
        <row r="7">
          <cell r="A7" t="str">
            <v>121208</v>
          </cell>
          <cell r="B7" t="str">
            <v>QUEQUERA PLAST 12 CENT (CAJA:250UND)</v>
          </cell>
          <cell r="C7" t="str">
            <v>121208</v>
          </cell>
          <cell r="D7" t="str">
            <v>1 CAJA</v>
          </cell>
          <cell r="E7" t="str">
            <v>05/03/2020</v>
          </cell>
          <cell r="F7">
            <v>16021</v>
          </cell>
        </row>
        <row r="8">
          <cell r="A8" t="str">
            <v>121603</v>
          </cell>
          <cell r="B8" t="str">
            <v>QUEQUERA RED  BASE/DOMO 10 (CAJA:50)</v>
          </cell>
          <cell r="C8" t="str">
            <v>121603</v>
          </cell>
          <cell r="D8" t="str">
            <v>1 CAJA</v>
          </cell>
          <cell r="E8" t="str">
            <v>05/03/2020</v>
          </cell>
          <cell r="F8">
            <v>16386</v>
          </cell>
          <cell r="G8" t="str">
            <v>UND</v>
          </cell>
          <cell r="H8">
            <v>327.72</v>
          </cell>
        </row>
        <row r="9">
          <cell r="A9" t="str">
            <v>0702169</v>
          </cell>
          <cell r="B9" t="str">
            <v>CARTULINA KRAFT 2.5 X 31 -8 (UND)</v>
          </cell>
          <cell r="C9" t="str">
            <v>0702169</v>
          </cell>
          <cell r="D9" t="str">
            <v>1 UND</v>
          </cell>
          <cell r="E9" t="str">
            <v>21/02/2020</v>
          </cell>
          <cell r="F9">
            <v>15</v>
          </cell>
        </row>
        <row r="10">
          <cell r="A10" t="str">
            <v>703020</v>
          </cell>
          <cell r="B10" t="str">
            <v>CINTA ADHESIVA TRANSPARENTE 2*100 MTS</v>
          </cell>
          <cell r="C10" t="str">
            <v>0703020</v>
          </cell>
          <cell r="D10" t="str">
            <v>1 UND</v>
          </cell>
          <cell r="E10" t="str">
            <v>14/02/2020</v>
          </cell>
          <cell r="F10">
            <v>1450</v>
          </cell>
          <cell r="G10" t="str">
            <v>Centimetros</v>
          </cell>
          <cell r="H10">
            <v>0.14499999999999999</v>
          </cell>
        </row>
        <row r="11">
          <cell r="A11" t="str">
            <v>0703204</v>
          </cell>
          <cell r="B11" t="str">
            <v>TARJETA SPOONER PVC</v>
          </cell>
          <cell r="C11" t="str">
            <v>0703204</v>
          </cell>
          <cell r="D11" t="str">
            <v>1 UND</v>
          </cell>
          <cell r="E11" t="str">
            <v>24/01/2020</v>
          </cell>
          <cell r="F11">
            <v>72.249600000000001</v>
          </cell>
        </row>
        <row r="12">
          <cell r="A12" t="str">
            <v>703205</v>
          </cell>
          <cell r="B12" t="str">
            <v>BROCHURE P/TARJETAS SPOONERS</v>
          </cell>
          <cell r="C12" t="str">
            <v>703205</v>
          </cell>
          <cell r="D12" t="str">
            <v>1 UND</v>
          </cell>
          <cell r="E12" t="str">
            <v>21/01/2020</v>
          </cell>
          <cell r="F12">
            <v>44.05057</v>
          </cell>
        </row>
        <row r="13">
          <cell r="A13" t="str">
            <v>0906036</v>
          </cell>
          <cell r="B13" t="str">
            <v>PAPEL MANTEQUILLA (CAJA= 1000 UND)</v>
          </cell>
          <cell r="C13" t="str">
            <v>0906036</v>
          </cell>
          <cell r="D13" t="str">
            <v>1 CAJA</v>
          </cell>
          <cell r="E13" t="str">
            <v>03/03/2020</v>
          </cell>
          <cell r="F13">
            <v>32000</v>
          </cell>
          <cell r="G13" t="str">
            <v>UND</v>
          </cell>
          <cell r="H13">
            <v>32</v>
          </cell>
        </row>
        <row r="14">
          <cell r="A14" t="str">
            <v>1210415</v>
          </cell>
          <cell r="B14" t="str">
            <v>PABILO ROLLO</v>
          </cell>
          <cell r="C14" t="str">
            <v>1210415</v>
          </cell>
          <cell r="D14" t="str">
            <v>1 UND</v>
          </cell>
          <cell r="E14" t="str">
            <v>01/11/2019</v>
          </cell>
          <cell r="F14">
            <v>8990</v>
          </cell>
        </row>
        <row r="15">
          <cell r="A15" t="str">
            <v>1840640</v>
          </cell>
          <cell r="B15" t="str">
            <v>BOLSAS TRANSP EXTRAGRANDE 37x55 KILO</v>
          </cell>
          <cell r="C15" t="str">
            <v>1840640</v>
          </cell>
          <cell r="D15" t="str">
            <v>1 KILO</v>
          </cell>
          <cell r="E15" t="str">
            <v>02/03/2020</v>
          </cell>
          <cell r="F15">
            <v>1350</v>
          </cell>
          <cell r="G15" t="str">
            <v>UND</v>
          </cell>
          <cell r="H15">
            <v>90</v>
          </cell>
        </row>
        <row r="16">
          <cell r="A16" t="str">
            <v>1942315</v>
          </cell>
          <cell r="B16" t="str">
            <v>QUEQUERA 10" MEDIA (CAJA:66 UND)</v>
          </cell>
          <cell r="C16" t="str">
            <v>1942315</v>
          </cell>
          <cell r="D16" t="str">
            <v>1 CAJA</v>
          </cell>
          <cell r="E16" t="str">
            <v>05/03/2020</v>
          </cell>
          <cell r="F16">
            <v>20685.060000000001</v>
          </cell>
          <cell r="G16" t="str">
            <v>UND</v>
          </cell>
          <cell r="H16">
            <v>313.41000000000003</v>
          </cell>
        </row>
        <row r="17">
          <cell r="A17" t="str">
            <v>1950387</v>
          </cell>
          <cell r="B17" t="str">
            <v>CONO P/AGUA (CAJA:5000 UND)</v>
          </cell>
          <cell r="C17" t="str">
            <v>1950387</v>
          </cell>
          <cell r="D17" t="str">
            <v>1 UND</v>
          </cell>
          <cell r="E17" t="str">
            <v>14/02/2020</v>
          </cell>
          <cell r="F17">
            <v>5.68</v>
          </cell>
        </row>
        <row r="18">
          <cell r="A18" t="str">
            <v>1950409</v>
          </cell>
          <cell r="B18" t="str">
            <v>TAPA P/FONDO CAJA BLANCA UND</v>
          </cell>
          <cell r="C18" t="str">
            <v>1950409</v>
          </cell>
          <cell r="D18" t="str">
            <v>1 UND</v>
          </cell>
          <cell r="E18" t="str">
            <v>21/02/2020</v>
          </cell>
          <cell r="F18">
            <v>53</v>
          </cell>
          <cell r="G18" t="str">
            <v>UND</v>
          </cell>
          <cell r="H18">
            <v>53</v>
          </cell>
        </row>
        <row r="19">
          <cell r="A19" t="str">
            <v>1950413</v>
          </cell>
          <cell r="B19" t="str">
            <v>BANDA PVC 300x50 (UND)</v>
          </cell>
          <cell r="C19" t="str">
            <v>1950413</v>
          </cell>
          <cell r="D19" t="str">
            <v>1 UND</v>
          </cell>
          <cell r="E19" t="str">
            <v>27/11/2019</v>
          </cell>
          <cell r="F19">
            <v>32.85</v>
          </cell>
        </row>
        <row r="20">
          <cell r="A20" t="str">
            <v>1950414</v>
          </cell>
          <cell r="B20" t="str">
            <v>BANDA PVC 228x50 (UND)</v>
          </cell>
          <cell r="C20" t="str">
            <v>1950414</v>
          </cell>
          <cell r="D20" t="str">
            <v>1 UND</v>
          </cell>
          <cell r="E20" t="str">
            <v>27/11/2019</v>
          </cell>
          <cell r="F20">
            <v>23.62</v>
          </cell>
        </row>
        <row r="21">
          <cell r="A21" t="str">
            <v>1950672</v>
          </cell>
          <cell r="B21" t="str">
            <v>CONT.48 ON TRAN.TAPA PLANA (CAJA:200UND)</v>
          </cell>
          <cell r="C21" t="str">
            <v>1950672</v>
          </cell>
          <cell r="D21" t="str">
            <v>1 CAJA</v>
          </cell>
          <cell r="E21" t="str">
            <v>22/02/2020</v>
          </cell>
          <cell r="F21">
            <v>47140</v>
          </cell>
          <cell r="G21" t="str">
            <v>UND</v>
          </cell>
          <cell r="H21">
            <v>235.7</v>
          </cell>
        </row>
        <row r="22">
          <cell r="A22" t="str">
            <v>1950682</v>
          </cell>
          <cell r="B22" t="str">
            <v>CONTEN LBH 692 PRALINE (CAJA:200 UND)</v>
          </cell>
          <cell r="C22" t="str">
            <v>1950682</v>
          </cell>
          <cell r="D22" t="str">
            <v xml:space="preserve">1 CAJA </v>
          </cell>
          <cell r="E22" t="str">
            <v>05/03/2020</v>
          </cell>
          <cell r="F22">
            <v>40795</v>
          </cell>
          <cell r="G22" t="str">
            <v>UND</v>
          </cell>
          <cell r="H22">
            <v>203.97499999999999</v>
          </cell>
        </row>
        <row r="23">
          <cell r="A23" t="str">
            <v>1950692</v>
          </cell>
          <cell r="B23" t="str">
            <v>ORLA CARTON 10" DORADA UND</v>
          </cell>
          <cell r="C23" t="str">
            <v>1950692</v>
          </cell>
          <cell r="D23" t="str">
            <v>1 UND</v>
          </cell>
          <cell r="E23" t="str">
            <v>02/03/2020</v>
          </cell>
          <cell r="F23">
            <v>111</v>
          </cell>
          <cell r="G23" t="str">
            <v>UND</v>
          </cell>
          <cell r="H23">
            <v>111</v>
          </cell>
        </row>
        <row r="24">
          <cell r="A24" t="str">
            <v>1950693</v>
          </cell>
          <cell r="B24" t="str">
            <v>ORLA #9  DORADA UND</v>
          </cell>
          <cell r="C24" t="str">
            <v>1950693</v>
          </cell>
          <cell r="D24" t="str">
            <v>1 UND</v>
          </cell>
          <cell r="E24" t="str">
            <v>21/02/2020</v>
          </cell>
          <cell r="F24">
            <v>105</v>
          </cell>
          <cell r="G24" t="str">
            <v>UND</v>
          </cell>
          <cell r="H24">
            <v>105</v>
          </cell>
        </row>
        <row r="25">
          <cell r="A25" t="str">
            <v>1950699</v>
          </cell>
          <cell r="B25" t="str">
            <v>BASE PARA ROSQUETE UND</v>
          </cell>
          <cell r="C25" t="str">
            <v>1950699</v>
          </cell>
          <cell r="D25" t="str">
            <v>1 UND</v>
          </cell>
          <cell r="E25" t="str">
            <v>05/03/2020</v>
          </cell>
          <cell r="F25">
            <v>125</v>
          </cell>
          <cell r="G25" t="str">
            <v>UND</v>
          </cell>
          <cell r="H25">
            <v>125</v>
          </cell>
        </row>
        <row r="26">
          <cell r="A26" t="str">
            <v>1950702</v>
          </cell>
          <cell r="B26" t="str">
            <v>BOLSA 12x18 TRANSP KILO</v>
          </cell>
          <cell r="C26" t="str">
            <v>1950702</v>
          </cell>
          <cell r="D26" t="str">
            <v xml:space="preserve">1 KILO </v>
          </cell>
          <cell r="E26" t="str">
            <v>02/03/2020</v>
          </cell>
          <cell r="F26">
            <v>1400</v>
          </cell>
          <cell r="G26" t="str">
            <v>UND</v>
          </cell>
          <cell r="H26">
            <v>11.2</v>
          </cell>
        </row>
        <row r="27">
          <cell r="A27" t="str">
            <v>1950703</v>
          </cell>
          <cell r="B27" t="str">
            <v>BOLSA IMP. SPOON CAMI 8*16 KILO</v>
          </cell>
          <cell r="C27" t="str">
            <v>1950703</v>
          </cell>
          <cell r="D27" t="str">
            <v>1 KILO</v>
          </cell>
          <cell r="E27" t="str">
            <v>14/02/2020</v>
          </cell>
          <cell r="F27">
            <v>1400</v>
          </cell>
        </row>
        <row r="28">
          <cell r="A28" t="str">
            <v>1950704</v>
          </cell>
          <cell r="B28" t="str">
            <v>BOLSA 5x8 TRANSPARENTE KILO</v>
          </cell>
          <cell r="C28" t="str">
            <v>1950704</v>
          </cell>
          <cell r="D28" t="str">
            <v xml:space="preserve">1 KILO </v>
          </cell>
          <cell r="E28" t="str">
            <v>04/03/2020</v>
          </cell>
          <cell r="F28">
            <v>1400</v>
          </cell>
          <cell r="G28" t="str">
            <v>UND</v>
          </cell>
          <cell r="H28">
            <v>2.8</v>
          </cell>
        </row>
        <row r="29">
          <cell r="A29" t="str">
            <v>1950705</v>
          </cell>
          <cell r="B29" t="str">
            <v>BOLSA 8x12 TRANSPARENTE KILO</v>
          </cell>
          <cell r="C29" t="str">
            <v>1950705</v>
          </cell>
          <cell r="D29" t="str">
            <v xml:space="preserve">1 KILO  </v>
          </cell>
          <cell r="E29" t="str">
            <v>02/03/2020</v>
          </cell>
          <cell r="F29">
            <v>1400</v>
          </cell>
          <cell r="G29" t="str">
            <v>UND</v>
          </cell>
          <cell r="H29">
            <v>7</v>
          </cell>
        </row>
        <row r="30">
          <cell r="A30" t="str">
            <v>1950708</v>
          </cell>
          <cell r="B30" t="str">
            <v>BOLSA 17x25 TRANSP KILO</v>
          </cell>
          <cell r="C30" t="str">
            <v>1950708</v>
          </cell>
          <cell r="D30" t="str">
            <v>1 KILO</v>
          </cell>
          <cell r="E30" t="str">
            <v>21/02/2020</v>
          </cell>
          <cell r="F30">
            <v>1400</v>
          </cell>
          <cell r="G30" t="str">
            <v>UND</v>
          </cell>
          <cell r="H30">
            <v>33.333333333333336</v>
          </cell>
        </row>
        <row r="31">
          <cell r="A31" t="str">
            <v>1950715</v>
          </cell>
          <cell r="B31" t="str">
            <v>CAPSULA # 2 BLANCA (UND)</v>
          </cell>
          <cell r="C31" t="str">
            <v>1950715</v>
          </cell>
          <cell r="D31" t="str">
            <v>1 UND</v>
          </cell>
          <cell r="E31" t="str">
            <v>30/11/2019</v>
          </cell>
          <cell r="F31">
            <v>2.7397999999999998</v>
          </cell>
        </row>
        <row r="32">
          <cell r="A32" t="str">
            <v>1950716</v>
          </cell>
          <cell r="B32" t="str">
            <v>BANDEJA  94121 24 OZ (CAJA:200 UND)</v>
          </cell>
          <cell r="C32" t="str">
            <v>1950716</v>
          </cell>
          <cell r="D32" t="str">
            <v>1 CAJA</v>
          </cell>
          <cell r="E32" t="str">
            <v>04/03/2020</v>
          </cell>
          <cell r="F32">
            <v>21981</v>
          </cell>
          <cell r="G32" t="str">
            <v>UND</v>
          </cell>
          <cell r="H32">
            <v>109.905</v>
          </cell>
        </row>
        <row r="33">
          <cell r="A33" t="str">
            <v>1950725</v>
          </cell>
          <cell r="B33" t="str">
            <v>CAJA TROQUELADA # 25 (UND)</v>
          </cell>
          <cell r="C33" t="str">
            <v>1950725</v>
          </cell>
          <cell r="D33" t="str">
            <v>1 UND</v>
          </cell>
          <cell r="E33" t="str">
            <v>26/12/2019</v>
          </cell>
          <cell r="F33">
            <v>3.1474000000000002</v>
          </cell>
        </row>
        <row r="34">
          <cell r="A34" t="str">
            <v>1950729</v>
          </cell>
          <cell r="B34" t="str">
            <v>CAJA BLANCA MEDIANA UND</v>
          </cell>
          <cell r="C34" t="str">
            <v>1950729</v>
          </cell>
          <cell r="D34" t="str">
            <v>1 UND</v>
          </cell>
          <cell r="E34" t="str">
            <v>03/03/2020</v>
          </cell>
          <cell r="F34">
            <v>40</v>
          </cell>
          <cell r="G34" t="str">
            <v>UND</v>
          </cell>
          <cell r="H34">
            <v>40</v>
          </cell>
        </row>
        <row r="35">
          <cell r="A35" t="str">
            <v>1950730</v>
          </cell>
          <cell r="B35" t="str">
            <v>CAJA BLANCA PEQUEÑA UND</v>
          </cell>
          <cell r="C35" t="str">
            <v>1950730</v>
          </cell>
          <cell r="D35" t="str">
            <v>1 UND</v>
          </cell>
          <cell r="E35" t="str">
            <v>03/03/2020</v>
          </cell>
          <cell r="F35">
            <v>24.5</v>
          </cell>
          <cell r="G35" t="str">
            <v>UND</v>
          </cell>
          <cell r="H35">
            <v>24.5</v>
          </cell>
        </row>
        <row r="36">
          <cell r="A36" t="str">
            <v>1950731</v>
          </cell>
          <cell r="B36" t="str">
            <v>CAPSULA # 3 LOGO UND</v>
          </cell>
          <cell r="C36" t="str">
            <v>1950731</v>
          </cell>
          <cell r="D36" t="str">
            <v>1 UND</v>
          </cell>
          <cell r="E36" t="str">
            <v>25/02/2020</v>
          </cell>
          <cell r="F36">
            <v>7.52</v>
          </cell>
          <cell r="G36" t="str">
            <v>UND</v>
          </cell>
          <cell r="H36">
            <v>7.52</v>
          </cell>
        </row>
        <row r="37">
          <cell r="A37" t="str">
            <v>1950732</v>
          </cell>
          <cell r="B37" t="str">
            <v>CAPSULA # 3 BLANCA (UND)</v>
          </cell>
          <cell r="C37" t="str">
            <v>1950732</v>
          </cell>
          <cell r="D37" t="str">
            <v>1 UND</v>
          </cell>
          <cell r="E37" t="str">
            <v>16/12/2019</v>
          </cell>
          <cell r="F37">
            <v>3.3578000000000001</v>
          </cell>
          <cell r="G37" t="str">
            <v>UND</v>
          </cell>
          <cell r="H37">
            <v>3.3578000000000001</v>
          </cell>
        </row>
        <row r="38">
          <cell r="A38" t="str">
            <v>1950733</v>
          </cell>
          <cell r="B38" t="str">
            <v>CAPSULA # 10 BLANCA (UND)</v>
          </cell>
          <cell r="C38" t="str">
            <v>1950733</v>
          </cell>
          <cell r="D38" t="str">
            <v>1 UND</v>
          </cell>
          <cell r="E38" t="str">
            <v>15/02/2020</v>
          </cell>
          <cell r="F38">
            <v>5.9534000000000002</v>
          </cell>
        </row>
        <row r="39">
          <cell r="A39" t="str">
            <v>1950735</v>
          </cell>
          <cell r="B39" t="str">
            <v>CAPSULA # 5 LOGO UND</v>
          </cell>
          <cell r="C39" t="str">
            <v>1950735</v>
          </cell>
          <cell r="D39" t="str">
            <v>1 UND</v>
          </cell>
          <cell r="E39" t="str">
            <v>02/03/2020</v>
          </cell>
          <cell r="F39">
            <v>9.35</v>
          </cell>
          <cell r="G39" t="str">
            <v>UND</v>
          </cell>
          <cell r="H39">
            <v>9.35</v>
          </cell>
        </row>
        <row r="40">
          <cell r="A40" t="str">
            <v>1950741</v>
          </cell>
          <cell r="B40" t="str">
            <v>VASO 3.25 OZ (PAQ*200 UND)</v>
          </cell>
          <cell r="C40" t="str">
            <v>1950741</v>
          </cell>
          <cell r="D40" t="str">
            <v>1 PAQUETE</v>
          </cell>
          <cell r="E40" t="str">
            <v>25/11/2019</v>
          </cell>
          <cell r="F40">
            <v>2053</v>
          </cell>
        </row>
        <row r="41">
          <cell r="A41" t="str">
            <v>1950752</v>
          </cell>
          <cell r="B41" t="str">
            <v>CAJA MINI BLANCA (100xPaq)</v>
          </cell>
          <cell r="C41" t="str">
            <v>1950752</v>
          </cell>
          <cell r="D41" t="str">
            <v>1 UND</v>
          </cell>
          <cell r="E41" t="str">
            <v>29/11/2019</v>
          </cell>
          <cell r="F41">
            <v>19.606999999999999</v>
          </cell>
          <cell r="G41" t="str">
            <v>UND</v>
          </cell>
          <cell r="H41">
            <v>19.606999999999999</v>
          </cell>
        </row>
        <row r="42">
          <cell r="A42" t="str">
            <v>1950752</v>
          </cell>
          <cell r="B42" t="str">
            <v>CAJA BLANCA MINI UND</v>
          </cell>
          <cell r="C42" t="str">
            <v>1959752</v>
          </cell>
          <cell r="D42" t="str">
            <v>1 UND</v>
          </cell>
          <cell r="E42" t="str">
            <v>21/02/2020</v>
          </cell>
          <cell r="F42">
            <v>21</v>
          </cell>
        </row>
        <row r="43">
          <cell r="A43" t="str">
            <v>1950756</v>
          </cell>
          <cell r="B43" t="str">
            <v>BANDEJA ALUM DESE #4040 6 POR (UND)</v>
          </cell>
          <cell r="C43" t="str">
            <v>1950756</v>
          </cell>
          <cell r="D43" t="str">
            <v>1 UND</v>
          </cell>
          <cell r="E43" t="str">
            <v>05/03/2020</v>
          </cell>
          <cell r="F43">
            <v>199.696</v>
          </cell>
          <cell r="G43" t="str">
            <v>UND</v>
          </cell>
          <cell r="H43">
            <v>199.696</v>
          </cell>
        </row>
        <row r="44">
          <cell r="A44" t="str">
            <v>1950765</v>
          </cell>
          <cell r="B44" t="str">
            <v>PLASTICO  AUTOAD (UND: 18 * 2000 M)</v>
          </cell>
          <cell r="C44" t="str">
            <v>1950765</v>
          </cell>
          <cell r="D44" t="str">
            <v>1 UND</v>
          </cell>
          <cell r="E44" t="str">
            <v>03/03/2020</v>
          </cell>
          <cell r="F44">
            <v>9813</v>
          </cell>
          <cell r="G44" t="str">
            <v>Cm</v>
          </cell>
          <cell r="H44">
            <v>4.9065000000000003</v>
          </cell>
        </row>
        <row r="45">
          <cell r="A45" t="str">
            <v>1950767</v>
          </cell>
          <cell r="B45" t="str">
            <v>PAPEL ALUMINIO 12 * 1000 (CAJA)</v>
          </cell>
          <cell r="C45" t="str">
            <v>1950767</v>
          </cell>
          <cell r="D45" t="str">
            <v>1 CAJA</v>
          </cell>
          <cell r="E45" t="str">
            <v>16/01/2020</v>
          </cell>
          <cell r="F45">
            <v>14758</v>
          </cell>
        </row>
        <row r="46">
          <cell r="A46" t="str">
            <v>1950771</v>
          </cell>
          <cell r="B46" t="str">
            <v>PAPEL ENCERADO 10X10 (CAJA)</v>
          </cell>
          <cell r="C46" t="str">
            <v>1950771</v>
          </cell>
          <cell r="D46" t="str">
            <v>1 CAJA</v>
          </cell>
          <cell r="E46" t="str">
            <v>27/02/2020</v>
          </cell>
          <cell r="F46">
            <v>2774</v>
          </cell>
          <cell r="G46" t="str">
            <v>Und</v>
          </cell>
          <cell r="H46">
            <v>5.0436363636363639</v>
          </cell>
        </row>
        <row r="47">
          <cell r="A47" t="str">
            <v>1950772</v>
          </cell>
          <cell r="B47" t="str">
            <v>PAPEL ENCERADO 12 X 10 (CAJA:500 UND)</v>
          </cell>
          <cell r="C47" t="str">
            <v>1950772</v>
          </cell>
          <cell r="D47" t="str">
            <v>1 CAJA</v>
          </cell>
          <cell r="E47" t="str">
            <v>22/02/2020</v>
          </cell>
          <cell r="F47">
            <v>3497</v>
          </cell>
          <cell r="G47" t="str">
            <v>UND</v>
          </cell>
          <cell r="H47">
            <v>6.9939999999999998</v>
          </cell>
        </row>
        <row r="48">
          <cell r="A48" t="str">
            <v>1950786</v>
          </cell>
          <cell r="B48" t="str">
            <v>BOLSA IMP. SPOON CAMI 12*25 KILO</v>
          </cell>
          <cell r="C48" t="str">
            <v>1950786</v>
          </cell>
          <cell r="D48" t="str">
            <v>1 KILO</v>
          </cell>
          <cell r="E48" t="str">
            <v>02/03/2020</v>
          </cell>
          <cell r="F48">
            <v>1850</v>
          </cell>
        </row>
        <row r="49">
          <cell r="A49" t="str">
            <v>1950797</v>
          </cell>
          <cell r="B49" t="str">
            <v>VASO PLAST. TRASL 16OZ (PAQ:50 UND)</v>
          </cell>
          <cell r="C49" t="str">
            <v>1950797</v>
          </cell>
          <cell r="D49" t="str">
            <v>1 PAQUETE</v>
          </cell>
          <cell r="E49" t="str">
            <v>22/02/2020</v>
          </cell>
          <cell r="F49">
            <v>4024</v>
          </cell>
        </row>
        <row r="50">
          <cell r="A50" t="str">
            <v>1950808</v>
          </cell>
          <cell r="B50" t="str">
            <v>ORLA CARTON  8" DORADA (UND )</v>
          </cell>
          <cell r="C50" t="str">
            <v>1950808</v>
          </cell>
          <cell r="D50" t="str">
            <v>1 UND</v>
          </cell>
          <cell r="E50" t="str">
            <v>02/03/2020</v>
          </cell>
          <cell r="F50">
            <v>77</v>
          </cell>
          <cell r="G50" t="str">
            <v>UND</v>
          </cell>
          <cell r="H50">
            <v>77</v>
          </cell>
        </row>
        <row r="51">
          <cell r="A51" t="str">
            <v>1950811</v>
          </cell>
          <cell r="B51" t="str">
            <v>BASE CARTON 15 PORCIONES UND</v>
          </cell>
          <cell r="C51" t="str">
            <v>1950811</v>
          </cell>
          <cell r="D51" t="str">
            <v>1 UND</v>
          </cell>
          <cell r="E51" t="str">
            <v>02/03/2020</v>
          </cell>
          <cell r="F51">
            <v>165</v>
          </cell>
        </row>
        <row r="52">
          <cell r="A52" t="str">
            <v>1950818</v>
          </cell>
          <cell r="B52" t="str">
            <v>QUEQUERA RECT. T41 (CAJA:50 UND)</v>
          </cell>
          <cell r="C52" t="str">
            <v>1950818</v>
          </cell>
          <cell r="D52" t="str">
            <v>1 CAJA</v>
          </cell>
          <cell r="E52" t="str">
            <v>03/03/2020</v>
          </cell>
          <cell r="F52">
            <v>39213</v>
          </cell>
        </row>
        <row r="53">
          <cell r="A53" t="str">
            <v>1950829</v>
          </cell>
          <cell r="B53" t="str">
            <v>BASE CARTON 30 PORCIONES UND</v>
          </cell>
          <cell r="C53" t="str">
            <v>1950829</v>
          </cell>
          <cell r="D53" t="str">
            <v>1 UND</v>
          </cell>
          <cell r="E53" t="str">
            <v>02/03/2020</v>
          </cell>
          <cell r="F53">
            <v>212</v>
          </cell>
        </row>
        <row r="54">
          <cell r="A54" t="str">
            <v>1950837</v>
          </cell>
          <cell r="B54" t="str">
            <v>FONDO P/CAJA BLANCA ( UND)</v>
          </cell>
          <cell r="C54" t="str">
            <v>1950837</v>
          </cell>
          <cell r="D54" t="str">
            <v>1 UND</v>
          </cell>
          <cell r="E54" t="str">
            <v>21/02/2020</v>
          </cell>
          <cell r="F54">
            <v>53</v>
          </cell>
          <cell r="G54" t="str">
            <v>UND</v>
          </cell>
          <cell r="H54">
            <v>53</v>
          </cell>
        </row>
        <row r="55">
          <cell r="A55" t="str">
            <v>1950853</v>
          </cell>
          <cell r="B55" t="str">
            <v>VASO 9oz SUNDA TS9 PAQ:50(CAJA:1000 UND)</v>
          </cell>
          <cell r="C55" t="str">
            <v>1950853</v>
          </cell>
          <cell r="D55" t="str">
            <v>1 CAJA</v>
          </cell>
          <cell r="E55" t="str">
            <v>26/02/2020</v>
          </cell>
          <cell r="F55">
            <v>41500</v>
          </cell>
        </row>
        <row r="56">
          <cell r="A56" t="str">
            <v>1950854</v>
          </cell>
          <cell r="B56" t="str">
            <v>TAPA VASO 9oz P/SUN PAQ:50 (CAJA:2000UN)</v>
          </cell>
          <cell r="C56" t="str">
            <v>1950854</v>
          </cell>
          <cell r="D56" t="str">
            <v>1 CAJA</v>
          </cell>
          <cell r="E56" t="str">
            <v>26/02/2020</v>
          </cell>
          <cell r="F56">
            <v>39500</v>
          </cell>
        </row>
        <row r="57">
          <cell r="A57" t="str">
            <v>1950865</v>
          </cell>
          <cell r="B57" t="str">
            <v>QUEQUERA 8 ALTA (CAJA:70 UND)</v>
          </cell>
          <cell r="C57" t="str">
            <v>1950865</v>
          </cell>
          <cell r="D57" t="str">
            <v>1 CAJA</v>
          </cell>
          <cell r="E57" t="str">
            <v>05/03/2020</v>
          </cell>
          <cell r="F57">
            <v>16752.04</v>
          </cell>
          <cell r="G57" t="str">
            <v>UND</v>
          </cell>
          <cell r="H57">
            <v>239.31485714285716</v>
          </cell>
        </row>
        <row r="58">
          <cell r="A58" t="str">
            <v>1950873</v>
          </cell>
          <cell r="B58" t="str">
            <v>BOLSA CELOFAN 30X45 (KILO)</v>
          </cell>
          <cell r="C58" t="str">
            <v>1950873</v>
          </cell>
          <cell r="D58" t="str">
            <v>1 KILO</v>
          </cell>
          <cell r="E58" t="str">
            <v>15/01/2020</v>
          </cell>
          <cell r="F58">
            <v>4254.79</v>
          </cell>
        </row>
        <row r="59">
          <cell r="A59" t="str">
            <v>1950879</v>
          </cell>
          <cell r="B59" t="str">
            <v>BANDEJA PLAST 3 DIV (CAJA:250 UND)</v>
          </cell>
          <cell r="C59" t="str">
            <v>1950879</v>
          </cell>
          <cell r="D59" t="str">
            <v>1 UND</v>
          </cell>
          <cell r="E59" t="str">
            <v>15/02/2020</v>
          </cell>
          <cell r="F59">
            <v>114.648</v>
          </cell>
        </row>
        <row r="60">
          <cell r="A60" t="str">
            <v>1950880</v>
          </cell>
          <cell r="B60" t="str">
            <v>TAPA BANDEJA PLAST 3 DIV (CAJA:250 UND)</v>
          </cell>
          <cell r="C60" t="str">
            <v>1950880</v>
          </cell>
          <cell r="D60" t="str">
            <v>1 UND</v>
          </cell>
          <cell r="E60" t="str">
            <v>15/02/2020</v>
          </cell>
          <cell r="F60">
            <v>87.215999999999994</v>
          </cell>
        </row>
        <row r="61">
          <cell r="A61" t="str">
            <v>1950886</v>
          </cell>
          <cell r="B61" t="str">
            <v>PLATO 10 COMPOSTABLE CAJA:500 (UND)</v>
          </cell>
          <cell r="C61" t="str">
            <v>1950886</v>
          </cell>
          <cell r="D61" t="str">
            <v>1 UND</v>
          </cell>
          <cell r="E61" t="str">
            <v>12/11/2019</v>
          </cell>
          <cell r="F61">
            <v>82.49</v>
          </cell>
        </row>
        <row r="62">
          <cell r="A62" t="str">
            <v>1950887</v>
          </cell>
          <cell r="B62" t="str">
            <v>PLATO 9 COMPOSTABLE CAJA:500 (UND)</v>
          </cell>
          <cell r="C62" t="str">
            <v>1950887</v>
          </cell>
          <cell r="D62" t="str">
            <v>1 UND</v>
          </cell>
          <cell r="E62" t="str">
            <v>25/02/2020</v>
          </cell>
          <cell r="F62">
            <v>61</v>
          </cell>
        </row>
        <row r="63">
          <cell r="A63" t="str">
            <v>1950888</v>
          </cell>
          <cell r="B63" t="str">
            <v>PLATO  6 COMPOSTABLE (CAJA:1000 UND)</v>
          </cell>
          <cell r="C63" t="str">
            <v>1950888</v>
          </cell>
          <cell r="D63" t="str">
            <v>1 UND</v>
          </cell>
          <cell r="E63" t="str">
            <v>25/02/2020</v>
          </cell>
          <cell r="F63">
            <v>29.945</v>
          </cell>
        </row>
        <row r="64">
          <cell r="A64" t="str">
            <v>1950895</v>
          </cell>
          <cell r="B64" t="str">
            <v>BOLSA CELOFAN 6 X 9 (KILO)</v>
          </cell>
          <cell r="C64" t="str">
            <v>1950895</v>
          </cell>
          <cell r="D64" t="str">
            <v>1 KILO</v>
          </cell>
          <cell r="E64" t="str">
            <v>27/02/2020</v>
          </cell>
          <cell r="F64">
            <v>4227.38</v>
          </cell>
        </row>
        <row r="65">
          <cell r="A65" t="str">
            <v>1950896</v>
          </cell>
          <cell r="B65" t="str">
            <v>BANDEJA 17-1 NEGRA (PAQ:500 UND)</v>
          </cell>
          <cell r="C65" t="str">
            <v>1950896</v>
          </cell>
          <cell r="D65" t="str">
            <v>1 PAQUETE</v>
          </cell>
          <cell r="E65" t="str">
            <v>27/01/2020</v>
          </cell>
          <cell r="F65">
            <v>15040</v>
          </cell>
        </row>
        <row r="66">
          <cell r="A66" t="str">
            <v>1950904</v>
          </cell>
          <cell r="B66" t="str">
            <v>BOLSA TRANSPARENTE  6 X 10 KILO</v>
          </cell>
          <cell r="C66" t="str">
            <v>1950904</v>
          </cell>
          <cell r="D66" t="str">
            <v>1 KILO</v>
          </cell>
          <cell r="E66" t="str">
            <v>02/03/2020</v>
          </cell>
          <cell r="F66">
            <v>1400</v>
          </cell>
          <cell r="G66" t="str">
            <v>UND</v>
          </cell>
          <cell r="H66">
            <v>4.1916167664670656</v>
          </cell>
        </row>
        <row r="67">
          <cell r="A67" t="str">
            <v>1950909</v>
          </cell>
          <cell r="B67" t="str">
            <v>CONT.24 ONZ.TAPA PLANA (PAQ:100 UND)</v>
          </cell>
          <cell r="C67" t="str">
            <v>1950909</v>
          </cell>
          <cell r="D67" t="str">
            <v>1 CAJA</v>
          </cell>
          <cell r="E67" t="str">
            <v>31/01/2020</v>
          </cell>
          <cell r="F67">
            <v>40470</v>
          </cell>
          <cell r="G67" t="str">
            <v>UND</v>
          </cell>
          <cell r="H67">
            <v>202.35</v>
          </cell>
        </row>
        <row r="68">
          <cell r="A68" t="str">
            <v>1950914</v>
          </cell>
          <cell r="B68" t="str">
            <v>PORTA VASO 4 CAVIDADES (UND)</v>
          </cell>
          <cell r="C68" t="str">
            <v>1950914</v>
          </cell>
          <cell r="D68" t="str">
            <v>1 UND</v>
          </cell>
          <cell r="E68" t="str">
            <v>03/03/2020</v>
          </cell>
          <cell r="F68">
            <v>61.946666666666701</v>
          </cell>
        </row>
        <row r="69">
          <cell r="A69" t="str">
            <v>1950921</v>
          </cell>
          <cell r="B69" t="str">
            <v>TAPA SUFLE PLAS 5/.75/1 OZ (PAQ:100 UND)</v>
          </cell>
          <cell r="C69" t="str">
            <v>1950921</v>
          </cell>
          <cell r="D69" t="str">
            <v>1 PAQUETE</v>
          </cell>
          <cell r="E69" t="str">
            <v>04/03/2020</v>
          </cell>
          <cell r="F69">
            <v>537.08000000000004</v>
          </cell>
          <cell r="G69" t="str">
            <v>UND</v>
          </cell>
          <cell r="H69">
            <v>5.3708</v>
          </cell>
        </row>
        <row r="70">
          <cell r="A70" t="str">
            <v>1950928</v>
          </cell>
          <cell r="B70" t="str">
            <v>BOLSA TRANSPARENTE 56X96X1.80 KILO</v>
          </cell>
          <cell r="C70" t="str">
            <v>1950928</v>
          </cell>
          <cell r="D70" t="str">
            <v>1 KILO</v>
          </cell>
          <cell r="E70" t="str">
            <v>21/02/2020</v>
          </cell>
          <cell r="F70">
            <v>1400</v>
          </cell>
          <cell r="G70" t="str">
            <v>UND</v>
          </cell>
          <cell r="H70">
            <v>50</v>
          </cell>
        </row>
        <row r="71">
          <cell r="A71" t="str">
            <v>1950942</v>
          </cell>
          <cell r="B71" t="str">
            <v>ORLA #4 AZUL REDONDA (UND)</v>
          </cell>
          <cell r="C71" t="str">
            <v>1950942</v>
          </cell>
          <cell r="D71" t="str">
            <v>1 UND</v>
          </cell>
          <cell r="E71" t="str">
            <v>02/03/2020</v>
          </cell>
          <cell r="F71">
            <v>33</v>
          </cell>
        </row>
        <row r="72">
          <cell r="A72" t="str">
            <v>1950958</v>
          </cell>
          <cell r="B72" t="str">
            <v>ORLA #2 P/LATA NAVIDEÑA (UND)</v>
          </cell>
          <cell r="C72" t="str">
            <v>1950958</v>
          </cell>
          <cell r="D72" t="str">
            <v>1 UND</v>
          </cell>
          <cell r="E72" t="str">
            <v>09/01/2020</v>
          </cell>
          <cell r="F72">
            <v>115</v>
          </cell>
        </row>
        <row r="73">
          <cell r="A73" t="str">
            <v>1950959</v>
          </cell>
          <cell r="B73" t="str">
            <v>TAPA PLASTI SUFLE 3.25 onz (PAQ:120 UND)</v>
          </cell>
          <cell r="C73" t="str">
            <v>1950959</v>
          </cell>
          <cell r="D73" t="str">
            <v>1 PAQUETE</v>
          </cell>
          <cell r="E73" t="str">
            <v>13/02/2020</v>
          </cell>
          <cell r="F73">
            <v>1126.8</v>
          </cell>
        </row>
        <row r="74">
          <cell r="A74" t="str">
            <v>1952393</v>
          </cell>
          <cell r="B74" t="str">
            <v>BOLSA AL VACIO 8*10 ( 100 * PAQ )</v>
          </cell>
          <cell r="C74" t="str">
            <v>1952393</v>
          </cell>
          <cell r="D74" t="str">
            <v>1 UND</v>
          </cell>
          <cell r="E74" t="str">
            <v>08/11/2019</v>
          </cell>
          <cell r="F74">
            <v>30</v>
          </cell>
        </row>
        <row r="75">
          <cell r="A75" t="str">
            <v>1952400</v>
          </cell>
          <cell r="B75" t="str">
            <v>BOLSA BUCCA PALMERITAS (10*20CM)( KILO )</v>
          </cell>
          <cell r="C75" t="str">
            <v>1952400</v>
          </cell>
          <cell r="D75" t="str">
            <v>1 KILO</v>
          </cell>
          <cell r="E75" t="str">
            <v>01/02/2020</v>
          </cell>
          <cell r="F75">
            <v>3916.8</v>
          </cell>
        </row>
        <row r="76">
          <cell r="A76" t="str">
            <v>1952409</v>
          </cell>
          <cell r="B76" t="str">
            <v>BANDEJA ALUMINIO A-42 (4POR)(CAJA:500 U)</v>
          </cell>
          <cell r="C76" t="str">
            <v>1952409</v>
          </cell>
          <cell r="D76" t="str">
            <v>1 UND</v>
          </cell>
          <cell r="E76" t="str">
            <v>03/02/2020</v>
          </cell>
          <cell r="F76">
            <v>83</v>
          </cell>
          <cell r="G76" t="str">
            <v>UND</v>
          </cell>
          <cell r="H76">
            <v>83</v>
          </cell>
        </row>
        <row r="77">
          <cell r="A77" t="str">
            <v>1952410</v>
          </cell>
          <cell r="B77" t="str">
            <v>TAPA CONTE.ALUMI A-42 (4 POR) (CAJA:500)</v>
          </cell>
          <cell r="C77" t="str">
            <v>1952410</v>
          </cell>
          <cell r="D77" t="str">
            <v>1 UND</v>
          </cell>
          <cell r="E77" t="str">
            <v>03/02/2020</v>
          </cell>
          <cell r="F77">
            <v>59.6</v>
          </cell>
          <cell r="G77" t="str">
            <v>UND</v>
          </cell>
          <cell r="H77">
            <v>59.6</v>
          </cell>
        </row>
        <row r="78">
          <cell r="A78" t="str">
            <v>1952432</v>
          </cell>
          <cell r="B78" t="str">
            <v>TAPA BAND ALUM. DESE 4040 (UND)</v>
          </cell>
          <cell r="C78" t="str">
            <v>1952432</v>
          </cell>
          <cell r="D78" t="str">
            <v>1 UND</v>
          </cell>
          <cell r="E78" t="str">
            <v>05/03/2020</v>
          </cell>
          <cell r="F78">
            <v>81.391999999999996</v>
          </cell>
          <cell r="G78" t="str">
            <v>UND</v>
          </cell>
          <cell r="H78">
            <v>81.391999999999996</v>
          </cell>
        </row>
        <row r="79">
          <cell r="A79" t="str">
            <v>1952434</v>
          </cell>
          <cell r="B79" t="str">
            <v>CAJA SPOON #1 (20 UND) (INDUSTRIA)</v>
          </cell>
          <cell r="C79" t="str">
            <v>1952434</v>
          </cell>
          <cell r="D79" t="str">
            <v>1 UND</v>
          </cell>
          <cell r="E79" t="str">
            <v>05/03/2020</v>
          </cell>
          <cell r="F79">
            <v>460</v>
          </cell>
        </row>
        <row r="80">
          <cell r="A80" t="str">
            <v>1952445</v>
          </cell>
          <cell r="B80" t="str">
            <v>CAJA SIX PACK MUSMANNI (UND)</v>
          </cell>
          <cell r="C80" t="str">
            <v>1952445</v>
          </cell>
          <cell r="D80" t="str">
            <v>1 UND</v>
          </cell>
          <cell r="E80" t="str">
            <v>02/03/2020</v>
          </cell>
          <cell r="F80">
            <v>185</v>
          </cell>
          <cell r="G80" t="str">
            <v>UND</v>
          </cell>
          <cell r="H80">
            <v>185</v>
          </cell>
        </row>
        <row r="81">
          <cell r="A81" t="str">
            <v>1952826</v>
          </cell>
          <cell r="B81" t="str">
            <v>TAPA DOMO P/VASO TRASL 16onz ( PAQ*100)</v>
          </cell>
          <cell r="C81" t="str">
            <v>1952826</v>
          </cell>
          <cell r="D81" t="str">
            <v>1 PAQUETE</v>
          </cell>
          <cell r="E81" t="str">
            <v>22/02/2020</v>
          </cell>
          <cell r="F81">
            <v>4361</v>
          </cell>
        </row>
        <row r="82">
          <cell r="A82" t="str">
            <v>1952831</v>
          </cell>
          <cell r="B82" t="str">
            <v>TAPA NESCAFE 12/14/16  ONZ (PAQ:100 UND)</v>
          </cell>
          <cell r="C82" t="str">
            <v>1952831</v>
          </cell>
          <cell r="D82" t="str">
            <v>1 PAQUETE</v>
          </cell>
          <cell r="E82" t="str">
            <v>27/12/2019</v>
          </cell>
          <cell r="F82">
            <v>2490</v>
          </cell>
        </row>
        <row r="83">
          <cell r="A83" t="str">
            <v>1952851</v>
          </cell>
          <cell r="B83" t="str">
            <v>CONTENEDOR CUADRADO 9X9X5 (CAJA:600 UND)</v>
          </cell>
          <cell r="C83" t="str">
            <v>1952851</v>
          </cell>
          <cell r="D83" t="str">
            <v>1 CAJA</v>
          </cell>
          <cell r="E83" t="str">
            <v>09/12/2019</v>
          </cell>
          <cell r="F83">
            <v>30816</v>
          </cell>
        </row>
        <row r="84">
          <cell r="A84" t="str">
            <v>1952856</v>
          </cell>
          <cell r="B84" t="str">
            <v>BOLSA TRANSPARENTE 76X24X210 (KILO)</v>
          </cell>
          <cell r="C84" t="str">
            <v>1952856</v>
          </cell>
          <cell r="D84" t="str">
            <v>1 KILO</v>
          </cell>
          <cell r="E84" t="str">
            <v>21/02/2020</v>
          </cell>
          <cell r="F84">
            <v>3930.4</v>
          </cell>
        </row>
        <row r="85">
          <cell r="A85" t="str">
            <v>1952874</v>
          </cell>
          <cell r="B85" t="str">
            <v>ORLA #8 BUCCA UND</v>
          </cell>
          <cell r="C85" t="str">
            <v>1952874</v>
          </cell>
          <cell r="D85" t="str">
            <v>1 UND</v>
          </cell>
          <cell r="E85" t="str">
            <v>02/03/2020</v>
          </cell>
          <cell r="F85">
            <v>77</v>
          </cell>
        </row>
        <row r="86">
          <cell r="A86" t="str">
            <v>1952875</v>
          </cell>
          <cell r="B86" t="str">
            <v>ORLA # 10 BUCCA UND</v>
          </cell>
          <cell r="C86" t="str">
            <v>1952875</v>
          </cell>
          <cell r="D86" t="str">
            <v>1 UND</v>
          </cell>
          <cell r="E86" t="str">
            <v>02/03/2020</v>
          </cell>
          <cell r="F86">
            <v>111</v>
          </cell>
        </row>
        <row r="87">
          <cell r="A87" t="str">
            <v>1952910</v>
          </cell>
          <cell r="B87" t="str">
            <v>CAJA CARTON GRANDE</v>
          </cell>
          <cell r="C87" t="str">
            <v>1952910</v>
          </cell>
          <cell r="D87" t="str">
            <v>1 UND</v>
          </cell>
          <cell r="E87" t="str">
            <v>05/03/2020</v>
          </cell>
          <cell r="F87">
            <v>550</v>
          </cell>
        </row>
        <row r="88">
          <cell r="A88" t="str">
            <v>1952912</v>
          </cell>
          <cell r="B88" t="str">
            <v>CONTENEDOR TRIANGU ALTO (CAJA:200 UND)</v>
          </cell>
          <cell r="C88" t="str">
            <v>1952912</v>
          </cell>
          <cell r="D88" t="str">
            <v>1 CAJA</v>
          </cell>
          <cell r="E88" t="str">
            <v>22/02/2020</v>
          </cell>
          <cell r="F88">
            <v>14270</v>
          </cell>
        </row>
        <row r="89">
          <cell r="A89" t="str">
            <v>1952915</v>
          </cell>
          <cell r="B89" t="str">
            <v>BANDEJA CONCHA TRANSPAR 4X4 (CJ=500 UND)</v>
          </cell>
          <cell r="C89" t="str">
            <v>1952915</v>
          </cell>
          <cell r="D89" t="str">
            <v>1 UND</v>
          </cell>
          <cell r="E89" t="str">
            <v>04/03/2020</v>
          </cell>
          <cell r="F89">
            <v>51</v>
          </cell>
          <cell r="G89" t="str">
            <v>UND</v>
          </cell>
          <cell r="H89">
            <v>51</v>
          </cell>
        </row>
        <row r="90">
          <cell r="A90" t="str">
            <v>1952919</v>
          </cell>
          <cell r="B90" t="str">
            <v>CAJA PRALINE 2 (UND)</v>
          </cell>
          <cell r="C90" t="str">
            <v>1952919</v>
          </cell>
          <cell r="D90" t="str">
            <v>1 UND</v>
          </cell>
          <cell r="E90" t="str">
            <v>03/03/2020</v>
          </cell>
          <cell r="F90">
            <v>325</v>
          </cell>
          <cell r="G90" t="str">
            <v>UND</v>
          </cell>
          <cell r="H90">
            <v>325</v>
          </cell>
        </row>
        <row r="91">
          <cell r="A91" t="str">
            <v>5062011</v>
          </cell>
          <cell r="B91" t="str">
            <v>BURBUJA # 5 (CAJA:3/125UND)</v>
          </cell>
          <cell r="C91" t="str">
            <v>5062011</v>
          </cell>
          <cell r="D91" t="str">
            <v>1 CAJA</v>
          </cell>
          <cell r="E91" t="str">
            <v>05/03/2020</v>
          </cell>
          <cell r="F91">
            <v>18190</v>
          </cell>
          <cell r="G91" t="str">
            <v>UND</v>
          </cell>
          <cell r="H91">
            <v>66.145454545454541</v>
          </cell>
        </row>
        <row r="92">
          <cell r="A92" t="str">
            <v>11000006</v>
          </cell>
          <cell r="B92" t="str">
            <v>ORLA 6.5'' (UND)</v>
          </cell>
          <cell r="C92" t="str">
            <v>11000006</v>
          </cell>
          <cell r="D92" t="str">
            <v>1 UND</v>
          </cell>
          <cell r="E92" t="str">
            <v>17/01/2020</v>
          </cell>
          <cell r="F92">
            <v>69</v>
          </cell>
        </row>
        <row r="93">
          <cell r="A93" t="str">
            <v>12050040</v>
          </cell>
          <cell r="B93" t="str">
            <v>MUG SPOON UND</v>
          </cell>
          <cell r="C93" t="str">
            <v>12050040</v>
          </cell>
          <cell r="D93" t="str">
            <v>1 Uds.</v>
          </cell>
          <cell r="E93" t="str">
            <v>07/02/2020</v>
          </cell>
          <cell r="F93">
            <v>8.9700000000000006</v>
          </cell>
        </row>
        <row r="94">
          <cell r="A94" t="str">
            <v>50100028</v>
          </cell>
          <cell r="B94" t="str">
            <v>BANDEJA ALUM 34*25 108 ONZ 394 (CJ:100)</v>
          </cell>
          <cell r="C94" t="str">
            <v>50100028</v>
          </cell>
          <cell r="D94" t="str">
            <v>1 UND</v>
          </cell>
          <cell r="E94" t="str">
            <v>13/02/2020</v>
          </cell>
          <cell r="F94">
            <v>348.46</v>
          </cell>
          <cell r="G94" t="str">
            <v>UND</v>
          </cell>
          <cell r="H94">
            <v>348.46</v>
          </cell>
        </row>
        <row r="95">
          <cell r="A95" t="str">
            <v>50100031</v>
          </cell>
          <cell r="B95" t="str">
            <v>RECIPIENTE DELI DARNEL 24OZ (CAJA:225 U)</v>
          </cell>
          <cell r="D95" t="str">
            <v>CAJA</v>
          </cell>
          <cell r="F95">
            <v>26170</v>
          </cell>
          <cell r="G95" t="str">
            <v>UND</v>
          </cell>
          <cell r="H95">
            <v>116.31111111111112</v>
          </cell>
        </row>
        <row r="96">
          <cell r="A96" t="str">
            <v>50100035</v>
          </cell>
          <cell r="B96" t="str">
            <v>TAPA CONT ALUMINIO 16 ONZ (CAJA:500 UND)</v>
          </cell>
          <cell r="C96" t="str">
            <v>50100035</v>
          </cell>
          <cell r="D96" t="str">
            <v>1 CAJA</v>
          </cell>
          <cell r="E96" t="str">
            <v>22/01/2020</v>
          </cell>
          <cell r="F96">
            <v>17230</v>
          </cell>
        </row>
        <row r="97">
          <cell r="A97" t="str">
            <v>50100036</v>
          </cell>
          <cell r="B97" t="str">
            <v>MOLDE ALUMINIO 16 ONZ (CAJA:500 UND)</v>
          </cell>
          <cell r="C97" t="str">
            <v>50100036</v>
          </cell>
          <cell r="D97" t="str">
            <v>1 CAJA</v>
          </cell>
          <cell r="E97" t="str">
            <v>22/01/2020</v>
          </cell>
          <cell r="F97">
            <v>27100</v>
          </cell>
          <cell r="G97" t="str">
            <v>UND</v>
          </cell>
          <cell r="H97">
            <v>54.2</v>
          </cell>
        </row>
        <row r="98">
          <cell r="A98" t="str">
            <v>50400003</v>
          </cell>
          <cell r="B98" t="str">
            <v>CAJA MUSMANNI #2 (UND)</v>
          </cell>
          <cell r="C98" t="str">
            <v>50400003</v>
          </cell>
          <cell r="D98" t="str">
            <v>1 UND</v>
          </cell>
          <cell r="E98" t="str">
            <v>13/02/2020</v>
          </cell>
          <cell r="F98">
            <v>195</v>
          </cell>
          <cell r="G98" t="str">
            <v>UND</v>
          </cell>
          <cell r="H98">
            <v>195</v>
          </cell>
        </row>
        <row r="99">
          <cell r="A99" t="str">
            <v>50400014</v>
          </cell>
          <cell r="B99" t="str">
            <v>CAJA PEQUEÑA OFFICE BREAK (CAJA:625 UND)</v>
          </cell>
          <cell r="C99" t="str">
            <v>50400014</v>
          </cell>
          <cell r="D99" t="str">
            <v>1 CAJA</v>
          </cell>
          <cell r="E99" t="str">
            <v>02/03/2020</v>
          </cell>
          <cell r="F99">
            <v>40312.5</v>
          </cell>
        </row>
        <row r="100">
          <cell r="A100" t="str">
            <v>50400015</v>
          </cell>
          <cell r="B100" t="str">
            <v>CAJA MEDIANA OFFICE BREAK (CAJA:400 UND)</v>
          </cell>
          <cell r="C100" t="str">
            <v>50400015</v>
          </cell>
          <cell r="D100" t="str">
            <v>1 CAJA</v>
          </cell>
          <cell r="E100" t="str">
            <v>21/02/2020</v>
          </cell>
          <cell r="F100">
            <v>31600</v>
          </cell>
        </row>
        <row r="101">
          <cell r="A101" t="str">
            <v>50400016</v>
          </cell>
          <cell r="B101" t="str">
            <v>CAJA GRANDE OFFICE BREAK (CAJA:280 UND)</v>
          </cell>
          <cell r="C101" t="str">
            <v>50400016</v>
          </cell>
          <cell r="D101" t="str">
            <v>1 CAJA</v>
          </cell>
          <cell r="E101" t="str">
            <v>02/03/2020</v>
          </cell>
          <cell r="F101">
            <v>32760</v>
          </cell>
        </row>
        <row r="102">
          <cell r="A102" t="str">
            <v>50400017</v>
          </cell>
          <cell r="B102" t="str">
            <v>CAJA PORCION OFFICE BREAK (CAJA:950 UND)</v>
          </cell>
          <cell r="C102" t="str">
            <v>50400017</v>
          </cell>
          <cell r="D102" t="str">
            <v>1 CAJA</v>
          </cell>
          <cell r="E102" t="str">
            <v>24/01/2020</v>
          </cell>
          <cell r="F102">
            <v>51870</v>
          </cell>
        </row>
        <row r="103">
          <cell r="A103" t="str">
            <v>50500001</v>
          </cell>
          <cell r="B103" t="str">
            <v>CANDELA  FIGURA SURTIDAS MINION (UND)</v>
          </cell>
          <cell r="C103" t="str">
            <v>50500001</v>
          </cell>
          <cell r="D103" t="str">
            <v>1 UND</v>
          </cell>
          <cell r="E103" t="str">
            <v>29/11/2019</v>
          </cell>
          <cell r="F103">
            <v>745</v>
          </cell>
        </row>
        <row r="104">
          <cell r="A104" t="str">
            <v>50500003</v>
          </cell>
          <cell r="B104" t="str">
            <v>CANDELA CARITAS COLORES (UND)</v>
          </cell>
          <cell r="C104" t="str">
            <v>50500003</v>
          </cell>
          <cell r="D104" t="str">
            <v>1 UND</v>
          </cell>
          <cell r="E104" t="str">
            <v>02/03/2020</v>
          </cell>
          <cell r="F104">
            <v>765</v>
          </cell>
        </row>
        <row r="105">
          <cell r="A105" t="str">
            <v>50500004</v>
          </cell>
          <cell r="B105" t="str">
            <v>CANDELA GLOBOS SURTIDO COLORES (UND)</v>
          </cell>
          <cell r="C105" t="str">
            <v>50500004</v>
          </cell>
          <cell r="D105" t="str">
            <v>1 UND</v>
          </cell>
          <cell r="E105" t="str">
            <v>04/03/2020</v>
          </cell>
          <cell r="F105">
            <v>550</v>
          </cell>
        </row>
        <row r="106">
          <cell r="A106" t="str">
            <v>50500005</v>
          </cell>
          <cell r="B106" t="str">
            <v>CANDELA FELIZ ESCARCHA SURTIDA (UND)</v>
          </cell>
          <cell r="C106" t="str">
            <v>50500005</v>
          </cell>
          <cell r="D106" t="str">
            <v>1 UND</v>
          </cell>
          <cell r="E106" t="str">
            <v>04/03/2020</v>
          </cell>
          <cell r="F106">
            <v>745</v>
          </cell>
        </row>
        <row r="107">
          <cell r="A107" t="str">
            <v>50600003</v>
          </cell>
          <cell r="B107" t="str">
            <v>CAPSULA # 5 BLANCA (PAQ:1000 UND)</v>
          </cell>
          <cell r="C107" t="str">
            <v>50600003</v>
          </cell>
          <cell r="D107" t="str">
            <v>1 PAQUETE</v>
          </cell>
          <cell r="E107" t="str">
            <v>27/12/2019</v>
          </cell>
          <cell r="F107">
            <v>8600</v>
          </cell>
        </row>
        <row r="108">
          <cell r="A108" t="str">
            <v>50700006</v>
          </cell>
          <cell r="B108" t="str">
            <v xml:space="preserve">CONTENEDOR FOAM KFC 8OZ (CAJA:1000 UND) </v>
          </cell>
          <cell r="C108" t="str">
            <v>50700006</v>
          </cell>
          <cell r="D108" t="str">
            <v>1 CAJA</v>
          </cell>
          <cell r="E108" t="str">
            <v>05/03/2020</v>
          </cell>
          <cell r="F108">
            <v>23587</v>
          </cell>
        </row>
        <row r="109">
          <cell r="A109" t="str">
            <v>50700007</v>
          </cell>
          <cell r="B109" t="str">
            <v>TAPA PLAST CONT KFC 4-8-16OZ (CAJA:1000)</v>
          </cell>
          <cell r="C109" t="str">
            <v>50700007</v>
          </cell>
          <cell r="D109" t="str">
            <v>1 CAJA</v>
          </cell>
          <cell r="E109" t="str">
            <v>05/03/2020</v>
          </cell>
          <cell r="F109">
            <v>13351</v>
          </cell>
        </row>
        <row r="110">
          <cell r="A110" t="str">
            <v>50700016</v>
          </cell>
          <cell r="B110" t="str">
            <v>CONT.24 ONZ.TAPA PLANA (CAJA:200 UND)</v>
          </cell>
          <cell r="C110" t="str">
            <v>50700016</v>
          </cell>
          <cell r="D110" t="str">
            <v>1 CAJA</v>
          </cell>
          <cell r="E110" t="str">
            <v>14/02/2020</v>
          </cell>
          <cell r="F110">
            <v>40470</v>
          </cell>
          <cell r="G110" t="str">
            <v>UND</v>
          </cell>
          <cell r="H110">
            <v>202.35</v>
          </cell>
        </row>
        <row r="111">
          <cell r="A111" t="str">
            <v>50700017</v>
          </cell>
          <cell r="B111" t="str">
            <v>CAJA MEDIANA OFFICE BREAK UND</v>
          </cell>
          <cell r="C111" t="str">
            <v>50700017</v>
          </cell>
          <cell r="D111" t="str">
            <v>1 UND</v>
          </cell>
          <cell r="E111" t="str">
            <v>25/11/2019</v>
          </cell>
          <cell r="F111">
            <v>75.44</v>
          </cell>
        </row>
        <row r="112">
          <cell r="A112" t="str">
            <v>50700024</v>
          </cell>
          <cell r="B112" t="str">
            <v>CONTENEDOR PAPEL 12 ONZAS (PAQ:50 UND)</v>
          </cell>
          <cell r="C112" t="str">
            <v>50700024</v>
          </cell>
          <cell r="D112" t="str">
            <v>1 PAQUETE</v>
          </cell>
          <cell r="E112" t="str">
            <v>29/11/2019</v>
          </cell>
          <cell r="F112">
            <v>1784.3</v>
          </cell>
        </row>
        <row r="113">
          <cell r="A113" t="str">
            <v>50700026</v>
          </cell>
          <cell r="B113" t="str">
            <v>TAPA CONTE PAPEL BLANCO 8 ONZ (PAQ:50)</v>
          </cell>
          <cell r="C113" t="str">
            <v>50700026</v>
          </cell>
          <cell r="D113" t="str">
            <v>1 PAQUETE</v>
          </cell>
          <cell r="E113" t="str">
            <v>29/11/2019</v>
          </cell>
          <cell r="F113">
            <v>1143.55</v>
          </cell>
        </row>
        <row r="114">
          <cell r="A114" t="str">
            <v>50700027</v>
          </cell>
          <cell r="B114" t="str">
            <v>TAPA PLAST P/CONT PAPEL 12 ONZ(PAQ:50)</v>
          </cell>
          <cell r="C114" t="str">
            <v>50700027</v>
          </cell>
          <cell r="D114" t="str">
            <v>1 PAQ</v>
          </cell>
          <cell r="E114" t="str">
            <v>29/11/2019</v>
          </cell>
          <cell r="F114">
            <v>1657.1880000000001</v>
          </cell>
        </row>
        <row r="115">
          <cell r="A115" t="str">
            <v>50700028</v>
          </cell>
          <cell r="B115" t="str">
            <v>CONTENEDOR PLAS SUFLE 1 OZ (PAQ:200 UND)</v>
          </cell>
          <cell r="C115" t="str">
            <v>50700028</v>
          </cell>
          <cell r="D115" t="str">
            <v>1 PAQUETE</v>
          </cell>
          <cell r="E115" t="str">
            <v>05/03/2020</v>
          </cell>
          <cell r="F115">
            <v>1199.2</v>
          </cell>
          <cell r="G115" t="str">
            <v>UND</v>
          </cell>
          <cell r="H115">
            <v>5.9960000000000004</v>
          </cell>
        </row>
        <row r="116">
          <cell r="A116" t="str">
            <v>50700029</v>
          </cell>
          <cell r="B116" t="str">
            <v>CONTENEDOR SUFLE 2 ONZ (PAQ:200 UND)</v>
          </cell>
          <cell r="C116" t="str">
            <v>50700029</v>
          </cell>
          <cell r="D116" t="str">
            <v>1 PAQUETE</v>
          </cell>
          <cell r="E116" t="str">
            <v>05/03/2020</v>
          </cell>
          <cell r="F116">
            <v>1480.5833333333301</v>
          </cell>
        </row>
        <row r="117">
          <cell r="A117" t="str">
            <v>50700039</v>
          </cell>
          <cell r="B117" t="str">
            <v>TAPA UNIVERL POLI BOTE 16PP (CJ:500 UND)</v>
          </cell>
          <cell r="C117" t="str">
            <v>50700039</v>
          </cell>
          <cell r="D117" t="str">
            <v>1 CAJA</v>
          </cell>
          <cell r="E117" t="str">
            <v>28/01/2020</v>
          </cell>
          <cell r="F117">
            <v>10825.22</v>
          </cell>
          <cell r="G117" t="str">
            <v>UND</v>
          </cell>
          <cell r="H117">
            <v>21.65044</v>
          </cell>
        </row>
        <row r="118">
          <cell r="A118" t="str">
            <v>50700040</v>
          </cell>
          <cell r="B118" t="str">
            <v>CONTENEDOR PLAST  4 OZ  (15/200 UND)</v>
          </cell>
          <cell r="C118" t="str">
            <v>50700040</v>
          </cell>
          <cell r="D118" t="str">
            <v>1 PAQUETE</v>
          </cell>
          <cell r="E118" t="str">
            <v>16/01/2020</v>
          </cell>
          <cell r="F118">
            <v>3255.4666666666699</v>
          </cell>
        </row>
        <row r="119">
          <cell r="A119" t="str">
            <v>50700042</v>
          </cell>
          <cell r="B119" t="str">
            <v>CONT COSTILLA BASE DOMO OP3 (CJ:250 UND)</v>
          </cell>
          <cell r="C119" t="str">
            <v>50700042</v>
          </cell>
          <cell r="D119" t="str">
            <v>1 CAJA</v>
          </cell>
          <cell r="E119" t="str">
            <v>27/02/2020</v>
          </cell>
          <cell r="F119">
            <v>23825.1</v>
          </cell>
          <cell r="G119" t="str">
            <v>UND</v>
          </cell>
          <cell r="H119">
            <v>95.300399999999996</v>
          </cell>
        </row>
        <row r="120">
          <cell r="A120" t="str">
            <v>50700043</v>
          </cell>
          <cell r="B120" t="str">
            <v>BISAGRA P/PASTEL ROSCA (CAJA: 180 UND)</v>
          </cell>
          <cell r="C120" t="str">
            <v>50700043</v>
          </cell>
          <cell r="D120" t="str">
            <v>1 CAJA</v>
          </cell>
          <cell r="E120" t="str">
            <v>20/02/2020</v>
          </cell>
          <cell r="F120">
            <v>39375.800000000003</v>
          </cell>
        </row>
        <row r="121">
          <cell r="A121" t="str">
            <v>50700044</v>
          </cell>
          <cell r="B121" t="str">
            <v>CONTENEDOR POLIPROP 8 ONZ (CJ:500 UND)</v>
          </cell>
          <cell r="C121" t="str">
            <v>50700044</v>
          </cell>
          <cell r="D121" t="str">
            <v>1 CAJA</v>
          </cell>
          <cell r="E121" t="str">
            <v>28/01/2020</v>
          </cell>
          <cell r="F121">
            <v>16576.87</v>
          </cell>
          <cell r="G121" t="str">
            <v>UND</v>
          </cell>
          <cell r="H121">
            <v>33.153739999999999</v>
          </cell>
        </row>
        <row r="122">
          <cell r="A122" t="str">
            <v>50700045</v>
          </cell>
          <cell r="B122" t="str">
            <v>BISAGRA 6 MANTECADA 24*16*8 (CJ:250 UND)</v>
          </cell>
          <cell r="C122" t="str">
            <v>50700045</v>
          </cell>
          <cell r="D122" t="str">
            <v>1 CAJA</v>
          </cell>
          <cell r="E122" t="str">
            <v>20/02/2020</v>
          </cell>
          <cell r="F122">
            <v>28769.96</v>
          </cell>
        </row>
        <row r="123">
          <cell r="A123" t="str">
            <v>51000003</v>
          </cell>
          <cell r="B123" t="str">
            <v>ORLA 14.5" UND</v>
          </cell>
          <cell r="C123" t="str">
            <v>51000003</v>
          </cell>
          <cell r="D123" t="str">
            <v>1 UND</v>
          </cell>
          <cell r="E123" t="str">
            <v>20/12/2019</v>
          </cell>
          <cell r="F123">
            <v>305</v>
          </cell>
        </row>
        <row r="124">
          <cell r="A124" t="str">
            <v>51100018</v>
          </cell>
          <cell r="B124" t="str">
            <v>PAPEL ENCERADO 12X12 (PAQ:1000 UND)</v>
          </cell>
          <cell r="C124" t="str">
            <v>51100018</v>
          </cell>
          <cell r="D124" t="str">
            <v>1 PAQUETE</v>
          </cell>
          <cell r="E124" t="str">
            <v>04/03/2020</v>
          </cell>
          <cell r="F124">
            <v>20570</v>
          </cell>
        </row>
        <row r="125">
          <cell r="A125" t="str">
            <v>51400001</v>
          </cell>
          <cell r="B125" t="str">
            <v>QUEQUERA RECTANGULAR 1/2 (CAJA:35 UND)</v>
          </cell>
          <cell r="C125" t="str">
            <v>51400001</v>
          </cell>
          <cell r="D125" t="str">
            <v>1 CAJA</v>
          </cell>
          <cell r="E125" t="str">
            <v>29/02/2020</v>
          </cell>
          <cell r="F125">
            <v>40766</v>
          </cell>
        </row>
        <row r="126">
          <cell r="A126" t="str">
            <v>51400015</v>
          </cell>
          <cell r="B126" t="str">
            <v>QUEQUERA CHILENA (CAJA:50 UND)</v>
          </cell>
          <cell r="C126" t="str">
            <v>51400015</v>
          </cell>
          <cell r="D126" t="str">
            <v>1 CAJA</v>
          </cell>
          <cell r="E126" t="str">
            <v>05/03/2020</v>
          </cell>
          <cell r="F126">
            <v>12896</v>
          </cell>
          <cell r="G126" t="str">
            <v>UND</v>
          </cell>
          <cell r="H126">
            <v>257.92</v>
          </cell>
        </row>
        <row r="127">
          <cell r="A127" t="str">
            <v>51400016</v>
          </cell>
          <cell r="B127" t="str">
            <v>DOMO QUEQUERA 8" ALTA (CAJA:100 UND)</v>
          </cell>
          <cell r="C127" t="str">
            <v>51400016</v>
          </cell>
          <cell r="D127" t="str">
            <v>1 CAJA</v>
          </cell>
          <cell r="E127" t="str">
            <v>03/03/2020</v>
          </cell>
          <cell r="F127">
            <v>15551</v>
          </cell>
          <cell r="G127" t="str">
            <v>UND</v>
          </cell>
          <cell r="H127">
            <v>155.51</v>
          </cell>
        </row>
        <row r="128">
          <cell r="A128" t="str">
            <v>51400017</v>
          </cell>
          <cell r="B128" t="str">
            <v>BASE QUEQUERA 8" ALTA (CAJA:200 UND)</v>
          </cell>
          <cell r="C128" t="str">
            <v>51400017</v>
          </cell>
          <cell r="D128" t="str">
            <v>1 CAJA</v>
          </cell>
          <cell r="E128" t="str">
            <v>03/03/2020</v>
          </cell>
          <cell r="F128">
            <v>18316</v>
          </cell>
          <cell r="G128" t="str">
            <v>UND</v>
          </cell>
          <cell r="H128">
            <v>91.58</v>
          </cell>
        </row>
        <row r="129">
          <cell r="A129" t="str">
            <v>51400019</v>
          </cell>
          <cell r="B129" t="str">
            <v>QUEQUERA 10 BAJA LOGO (CAJA:66 UND)</v>
          </cell>
          <cell r="C129" t="str">
            <v>51400019</v>
          </cell>
          <cell r="D129" t="str">
            <v>1 CAJA</v>
          </cell>
          <cell r="E129" t="str">
            <v>28/11/2019</v>
          </cell>
          <cell r="F129">
            <v>23500</v>
          </cell>
        </row>
        <row r="130">
          <cell r="A130" t="str">
            <v>51400020</v>
          </cell>
          <cell r="B130" t="str">
            <v>BURBUJA I-3 ALTA (CAJA:250 UND)</v>
          </cell>
          <cell r="C130" t="str">
            <v>51400020</v>
          </cell>
          <cell r="D130" t="str">
            <v>1 CAJA</v>
          </cell>
          <cell r="E130" t="str">
            <v>11/02/2020</v>
          </cell>
          <cell r="F130">
            <v>7035.81</v>
          </cell>
          <cell r="G130" t="str">
            <v>UND</v>
          </cell>
          <cell r="H130">
            <v>28.143240000000002</v>
          </cell>
        </row>
        <row r="131">
          <cell r="A131" t="str">
            <v>51400021</v>
          </cell>
          <cell r="B131" t="str">
            <v>QUEQUERA RED C/BASE ALTA 9" (CAJA:100 U)</v>
          </cell>
          <cell r="C131" t="str">
            <v>51400021</v>
          </cell>
          <cell r="D131" t="str">
            <v>1 CAJA</v>
          </cell>
          <cell r="E131" t="str">
            <v>03/03/2020</v>
          </cell>
          <cell r="F131">
            <v>24065</v>
          </cell>
          <cell r="G131" t="str">
            <v>UND</v>
          </cell>
          <cell r="H131">
            <v>240.65</v>
          </cell>
        </row>
        <row r="132">
          <cell r="A132" t="str">
            <v>51400022</v>
          </cell>
          <cell r="B132" t="str">
            <v>BOWL FIBRA 24 ONZ COMPOST (PAQ:125 UND)</v>
          </cell>
          <cell r="C132" t="str">
            <v>51400022</v>
          </cell>
          <cell r="D132" t="str">
            <v>1 PAQUETE</v>
          </cell>
          <cell r="E132" t="str">
            <v>05/03/2020</v>
          </cell>
          <cell r="F132">
            <v>127.8</v>
          </cell>
        </row>
        <row r="133">
          <cell r="A133" t="str">
            <v>51400023</v>
          </cell>
          <cell r="B133" t="str">
            <v>BOWL FIBRA 32 ONZ COMPOST (PAQ:125 UND)</v>
          </cell>
          <cell r="C133" t="str">
            <v>51400023</v>
          </cell>
          <cell r="D133" t="str">
            <v>1 PAQUETE</v>
          </cell>
          <cell r="E133" t="str">
            <v>05/03/2020</v>
          </cell>
          <cell r="F133">
            <v>178.88</v>
          </cell>
        </row>
        <row r="134">
          <cell r="A134" t="str">
            <v>51400024</v>
          </cell>
          <cell r="B134" t="str">
            <v>TAPA  BOWL 16/24/32 ONZ (PAQ:125 UND)</v>
          </cell>
          <cell r="C134" t="str">
            <v>51400024</v>
          </cell>
          <cell r="D134" t="str">
            <v>1 PAQUETE</v>
          </cell>
          <cell r="E134" t="str">
            <v>05/03/2020</v>
          </cell>
          <cell r="F134">
            <v>89.447999999999993</v>
          </cell>
        </row>
        <row r="135">
          <cell r="A135" t="str">
            <v>51400025</v>
          </cell>
          <cell r="B135" t="str">
            <v>BANDEJA FIBRA 2 DIVISIONES (PAQ:50 UND)</v>
          </cell>
          <cell r="C135" t="str">
            <v>51400025</v>
          </cell>
          <cell r="D135" t="str">
            <v>1 PAQUETE</v>
          </cell>
          <cell r="E135" t="str">
            <v>21/01/2020</v>
          </cell>
          <cell r="F135">
            <v>127.78</v>
          </cell>
        </row>
        <row r="136">
          <cell r="A136" t="str">
            <v>51400026</v>
          </cell>
          <cell r="B136" t="str">
            <v>BANDEJA FIBRA 3 DIVISIONES (PAQ:50 UND)</v>
          </cell>
          <cell r="C136" t="str">
            <v>51400026</v>
          </cell>
          <cell r="D136" t="str">
            <v>1 PAQUETE</v>
          </cell>
          <cell r="E136" t="str">
            <v>04/03/2020</v>
          </cell>
          <cell r="F136">
            <v>146.94</v>
          </cell>
        </row>
        <row r="137">
          <cell r="A137" t="str">
            <v>51400027</v>
          </cell>
          <cell r="B137" t="str">
            <v>TAPA BOWL SOPA 8 ONZ (PAQ:50 UND)</v>
          </cell>
          <cell r="C137" t="str">
            <v>51400027</v>
          </cell>
          <cell r="D137" t="str">
            <v>1 PAQUETE</v>
          </cell>
          <cell r="E137" t="str">
            <v>04/03/2020</v>
          </cell>
          <cell r="F137">
            <v>57.5</v>
          </cell>
        </row>
        <row r="138">
          <cell r="A138" t="str">
            <v>51400028</v>
          </cell>
          <cell r="B138" t="str">
            <v>BOWL FIBRA SOPA 16 ONZ (PAQ:50 UND)</v>
          </cell>
          <cell r="C138" t="str">
            <v>51400028</v>
          </cell>
          <cell r="D138" t="str">
            <v>1 PAQUETE</v>
          </cell>
          <cell r="E138" t="str">
            <v>05/03/2020</v>
          </cell>
          <cell r="F138">
            <v>95.82</v>
          </cell>
        </row>
        <row r="139">
          <cell r="A139" t="str">
            <v>51400029</v>
          </cell>
          <cell r="B139" t="str">
            <v>BOWL FIBRA 16 ONZ COMPOST (PAQ:125 UND)</v>
          </cell>
          <cell r="C139" t="str">
            <v>51400029</v>
          </cell>
          <cell r="D139" t="str">
            <v>1 PAQUETE</v>
          </cell>
          <cell r="E139" t="str">
            <v>04/03/2020</v>
          </cell>
          <cell r="F139">
            <v>83.055999999999997</v>
          </cell>
        </row>
        <row r="140">
          <cell r="A140" t="str">
            <v>51400030</v>
          </cell>
          <cell r="B140" t="str">
            <v>TAPA FIBRA BANDEJA 2 DIV (PAQ:50 UND)</v>
          </cell>
          <cell r="C140" t="str">
            <v>51400030</v>
          </cell>
          <cell r="D140" t="str">
            <v>1 PAQUETE</v>
          </cell>
          <cell r="E140" t="str">
            <v>04/02/2020</v>
          </cell>
          <cell r="F140">
            <v>102.22</v>
          </cell>
        </row>
        <row r="141">
          <cell r="A141" t="str">
            <v>51400031</v>
          </cell>
          <cell r="B141" t="str">
            <v>TAPA FIBRA BANDEJA 3 DIV  (PAQ:50 UND)</v>
          </cell>
          <cell r="C141" t="str">
            <v>51400031</v>
          </cell>
          <cell r="D141" t="str">
            <v>1 PAQUETE</v>
          </cell>
          <cell r="E141" t="str">
            <v>04/03/2020</v>
          </cell>
          <cell r="F141">
            <v>127.78</v>
          </cell>
        </row>
        <row r="142">
          <cell r="A142" t="str">
            <v>51400032</v>
          </cell>
          <cell r="B142" t="str">
            <v>BOWL FIBRA SOPA 12 ONZ (PAQ:25 UND)</v>
          </cell>
          <cell r="C142" t="str">
            <v>51400032</v>
          </cell>
          <cell r="D142" t="str">
            <v>1 PAQUETE</v>
          </cell>
          <cell r="E142" t="str">
            <v>04/03/2020</v>
          </cell>
          <cell r="F142">
            <v>89.44</v>
          </cell>
        </row>
        <row r="143">
          <cell r="A143" t="str">
            <v>51400033</v>
          </cell>
          <cell r="B143" t="str">
            <v>TAPA BOWL SOPA 12/16/32 ONZ (PAQ:50 UND)</v>
          </cell>
          <cell r="C143" t="str">
            <v>51400033</v>
          </cell>
          <cell r="D143" t="str">
            <v>1 PAQUETE</v>
          </cell>
          <cell r="E143" t="str">
            <v>05/03/2020</v>
          </cell>
          <cell r="F143">
            <v>89.44</v>
          </cell>
        </row>
        <row r="144">
          <cell r="A144" t="str">
            <v>51400034</v>
          </cell>
          <cell r="B144" t="str">
            <v>BOWL FIBRA SOPA 8 ONZ (PAQ:50 UND)</v>
          </cell>
          <cell r="C144" t="str">
            <v>51400034</v>
          </cell>
          <cell r="D144" t="str">
            <v>1 PAQUETE</v>
          </cell>
          <cell r="E144" t="str">
            <v>04/03/2020</v>
          </cell>
          <cell r="F144">
            <v>57.5</v>
          </cell>
        </row>
        <row r="145">
          <cell r="A145" t="str">
            <v>51400035</v>
          </cell>
          <cell r="B145" t="str">
            <v>QUEQUERA PLAST RED 12" ALTA (CJ:50 UND)</v>
          </cell>
          <cell r="C145" t="str">
            <v>51400035</v>
          </cell>
          <cell r="D145" t="str">
            <v>1 CAJA</v>
          </cell>
          <cell r="E145" t="str">
            <v>29/02/2020</v>
          </cell>
          <cell r="F145">
            <v>47456</v>
          </cell>
          <cell r="G145" t="str">
            <v>UND</v>
          </cell>
          <cell r="H145">
            <v>949.12</v>
          </cell>
        </row>
        <row r="146">
          <cell r="A146" t="str">
            <v>51400036</v>
          </cell>
          <cell r="B146" t="str">
            <v>QUEQUERA PLAST RECT 48*13*11 (CJ:25 UND)</v>
          </cell>
          <cell r="C146" t="str">
            <v>51400036</v>
          </cell>
          <cell r="D146" t="str">
            <v>1 CAJA</v>
          </cell>
          <cell r="E146" t="str">
            <v>15/02/2020</v>
          </cell>
          <cell r="F146">
            <v>33564</v>
          </cell>
        </row>
        <row r="147">
          <cell r="A147" t="str">
            <v>51500012</v>
          </cell>
          <cell r="B147" t="str">
            <v>VASO BIODEGRADABLE 12 ONZ (PAQ:25 UND)</v>
          </cell>
          <cell r="C147" t="str">
            <v>51500012</v>
          </cell>
          <cell r="D147" t="str">
            <v>1 PAQUETE</v>
          </cell>
          <cell r="E147" t="str">
            <v>05/03/2020</v>
          </cell>
          <cell r="F147">
            <v>1496.7</v>
          </cell>
        </row>
        <row r="148">
          <cell r="A148" t="str">
            <v>51500013</v>
          </cell>
          <cell r="B148" t="str">
            <v>TAPA VASO BIODEGR 12,16 onz (PAQ:50 UND)</v>
          </cell>
          <cell r="C148" t="str">
            <v>51500013</v>
          </cell>
          <cell r="D148" t="str">
            <v>1 PAQ</v>
          </cell>
          <cell r="E148" t="str">
            <v>05/03/2020</v>
          </cell>
          <cell r="F148">
            <v>894.9</v>
          </cell>
        </row>
        <row r="149">
          <cell r="A149" t="str">
            <v>51500014</v>
          </cell>
          <cell r="B149" t="str">
            <v>VASO BIODEGRADABLE 8 onz (PAQ:25 UND)</v>
          </cell>
          <cell r="C149" t="str">
            <v>51500014</v>
          </cell>
          <cell r="D149" t="str">
            <v>1 PAQUETE</v>
          </cell>
          <cell r="E149" t="str">
            <v>05/03/2020</v>
          </cell>
          <cell r="F149">
            <v>1484.75</v>
          </cell>
        </row>
        <row r="150">
          <cell r="A150" t="str">
            <v>51500015</v>
          </cell>
          <cell r="B150" t="str">
            <v>TAPA VASO BIO 8 ONZ (PAQ:50 UND)</v>
          </cell>
          <cell r="C150" t="str">
            <v>51500015</v>
          </cell>
          <cell r="D150" t="str">
            <v>1 PAQUETE</v>
          </cell>
          <cell r="E150" t="str">
            <v>27/02/2020</v>
          </cell>
          <cell r="F150">
            <v>788.25</v>
          </cell>
        </row>
        <row r="151">
          <cell r="A151" t="str">
            <v>51500026</v>
          </cell>
          <cell r="B151" t="str">
            <v>VASO SOUFLE 3.25 OZ ASB325 1/2500</v>
          </cell>
          <cell r="C151" t="str">
            <v>51500026</v>
          </cell>
          <cell r="D151" t="str">
            <v>1 PAQUETE</v>
          </cell>
          <cell r="E151" t="str">
            <v>25/11/2019</v>
          </cell>
          <cell r="F151">
            <v>15.029</v>
          </cell>
        </row>
        <row r="152">
          <cell r="A152" t="str">
            <v>51500027</v>
          </cell>
          <cell r="B152" t="str">
            <v>VASO A-9 OZ APC9 (CAJA:1000/PAQ:50 UND)</v>
          </cell>
          <cell r="C152" t="str">
            <v>51500027</v>
          </cell>
          <cell r="D152" t="str">
            <v>1 PAQ</v>
          </cell>
          <cell r="E152" t="str">
            <v>29/11/2019</v>
          </cell>
          <cell r="F152">
            <v>1710.5</v>
          </cell>
        </row>
        <row r="153">
          <cell r="A153" t="str">
            <v>51500028</v>
          </cell>
          <cell r="B153" t="str">
            <v>TAPA DOMO A-9/12/20 SOUFFLE (UND)</v>
          </cell>
          <cell r="C153" t="str">
            <v>51500028</v>
          </cell>
          <cell r="D153" t="str">
            <v>1 UND</v>
          </cell>
          <cell r="E153" t="str">
            <v>29/11/2019</v>
          </cell>
          <cell r="F153">
            <v>24.56</v>
          </cell>
        </row>
        <row r="154">
          <cell r="A154" t="str">
            <v>51500032</v>
          </cell>
          <cell r="B154" t="str">
            <v>TAPA SUFLE 1,5-2-2,5 (PAQ:100 UND)</v>
          </cell>
          <cell r="C154" t="str">
            <v>51500032</v>
          </cell>
          <cell r="D154" t="str">
            <v>1 PAQUETE</v>
          </cell>
          <cell r="E154" t="str">
            <v>05/03/2020</v>
          </cell>
          <cell r="F154">
            <v>8.32</v>
          </cell>
        </row>
        <row r="155">
          <cell r="A155" t="str">
            <v>51500033</v>
          </cell>
          <cell r="B155" t="str">
            <v>VASO PLASTICO FABRIKAL 9 ONZ (20/50 UND)</v>
          </cell>
          <cell r="C155" t="str">
            <v>51500033</v>
          </cell>
          <cell r="D155" t="str">
            <v>1 PAQUETE</v>
          </cell>
          <cell r="E155" t="str">
            <v>16/01/2020</v>
          </cell>
          <cell r="F155">
            <v>1647.9</v>
          </cell>
        </row>
        <row r="156">
          <cell r="A156" t="str">
            <v>51500034</v>
          </cell>
          <cell r="B156" t="str">
            <v>TAPA PLAST DOMO SUNDAE POLAR 9 (10/100)</v>
          </cell>
          <cell r="C156" t="str">
            <v>51500034</v>
          </cell>
          <cell r="D156" t="str">
            <v>1 PAQUETE</v>
          </cell>
          <cell r="E156" t="str">
            <v>20/01/2020</v>
          </cell>
          <cell r="F156">
            <v>2472.3000000000002</v>
          </cell>
        </row>
        <row r="157">
          <cell r="A157" t="str">
            <v>51500035</v>
          </cell>
          <cell r="B157" t="str">
            <v>TAPA DOMO PLAST BAND ALUM 394 (CJ:100)</v>
          </cell>
          <cell r="C157" t="str">
            <v>51500035</v>
          </cell>
          <cell r="D157" t="str">
            <v>1 UND</v>
          </cell>
          <cell r="E157" t="str">
            <v>13/02/2020</v>
          </cell>
          <cell r="F157">
            <v>233.22</v>
          </cell>
        </row>
        <row r="158">
          <cell r="A158" t="str">
            <v>51500036</v>
          </cell>
          <cell r="B158" t="str">
            <v xml:space="preserve">TAPA PLAS PLANA S/HOYO 9/12/20 (10/100) </v>
          </cell>
          <cell r="C158" t="str">
            <v>51500036</v>
          </cell>
          <cell r="D158" t="str">
            <v>1 PAQUETE</v>
          </cell>
          <cell r="E158" t="str">
            <v>05/03/2020</v>
          </cell>
          <cell r="F158">
            <v>1449.7</v>
          </cell>
        </row>
        <row r="159">
          <cell r="A159" t="str">
            <v>51600004</v>
          </cell>
          <cell r="B159" t="str">
            <v>LAZOS ROJOS (UND)</v>
          </cell>
          <cell r="C159" t="str">
            <v>51600004</v>
          </cell>
          <cell r="D159" t="str">
            <v>1 UND</v>
          </cell>
          <cell r="E159" t="str">
            <v>19/02/2020</v>
          </cell>
          <cell r="F159">
            <v>20</v>
          </cell>
        </row>
        <row r="160">
          <cell r="A160" t="str">
            <v>51600006</v>
          </cell>
          <cell r="B160" t="str">
            <v>ROLLO CINTA RASO 45 MTS COLOR ORO (UND)</v>
          </cell>
          <cell r="C160" t="str">
            <v>51600006</v>
          </cell>
          <cell r="D160" t="str">
            <v>1 UND</v>
          </cell>
          <cell r="E160" t="str">
            <v>06/01/2020</v>
          </cell>
          <cell r="F160">
            <v>5950</v>
          </cell>
        </row>
        <row r="161">
          <cell r="A161" t="str">
            <v>51600015</v>
          </cell>
          <cell r="B161" t="str">
            <v>CINTA TRANS 1X40 (DELGADA)</v>
          </cell>
          <cell r="C161" t="str">
            <v>51600015</v>
          </cell>
          <cell r="D161" t="str">
            <v>1 UND</v>
          </cell>
          <cell r="E161" t="str">
            <v>07/02/2020</v>
          </cell>
          <cell r="F161">
            <v>190</v>
          </cell>
        </row>
        <row r="162">
          <cell r="A162" t="str">
            <v>51600021</v>
          </cell>
          <cell r="B162" t="str">
            <v>ROLLO POS 16" 1067MTS  (UND)</v>
          </cell>
          <cell r="C162" t="str">
            <v>51600021</v>
          </cell>
          <cell r="D162" t="str">
            <v>1 UND</v>
          </cell>
          <cell r="E162" t="str">
            <v>27/11/2019</v>
          </cell>
          <cell r="F162">
            <v>72459.820000000007</v>
          </cell>
        </row>
        <row r="163">
          <cell r="A163" t="str">
            <v>51600025</v>
          </cell>
          <cell r="B163" t="str">
            <v>ROLLOS PUNTO DE VENTA 3X3X2 (ROLLO)</v>
          </cell>
          <cell r="C163" t="str">
            <v>51600025</v>
          </cell>
          <cell r="D163" t="str">
            <v>1 ROLLO</v>
          </cell>
          <cell r="E163" t="str">
            <v>05/03/2020</v>
          </cell>
          <cell r="F163">
            <v>594</v>
          </cell>
        </row>
        <row r="164">
          <cell r="A164" t="str">
            <v>60100014</v>
          </cell>
          <cell r="B164" t="str">
            <v>ETIQUETA LOGO SPOON DORADO (ROLLO:1000)</v>
          </cell>
          <cell r="D164" t="str">
            <v>ROLLO</v>
          </cell>
          <cell r="F164">
            <v>6000</v>
          </cell>
          <cell r="G164" t="str">
            <v>UND</v>
          </cell>
          <cell r="H164">
            <v>6</v>
          </cell>
        </row>
        <row r="165">
          <cell r="A165" t="str">
            <v>401000002</v>
          </cell>
          <cell r="B165" t="str">
            <v>BOLSA TRANSPARENTE 6X6X4 KILO</v>
          </cell>
          <cell r="C165" t="str">
            <v>401000002</v>
          </cell>
          <cell r="D165" t="str">
            <v>1 KILO</v>
          </cell>
          <cell r="E165" t="str">
            <v>29/01/2020</v>
          </cell>
          <cell r="F165">
            <v>1400</v>
          </cell>
          <cell r="G165" t="str">
            <v>UND</v>
          </cell>
          <cell r="H165">
            <v>3.2558139534883721</v>
          </cell>
        </row>
        <row r="166">
          <cell r="A166" t="str">
            <v>401000003</v>
          </cell>
          <cell r="B166" t="str">
            <v>BOLSA TRANSPARENTE 6X8X4 KILO</v>
          </cell>
          <cell r="C166" t="str">
            <v>401000003</v>
          </cell>
          <cell r="D166" t="str">
            <v>1 KILO</v>
          </cell>
          <cell r="E166" t="str">
            <v>14/02/2020</v>
          </cell>
          <cell r="F166">
            <v>1400</v>
          </cell>
        </row>
        <row r="167">
          <cell r="A167" t="str">
            <v>401000004</v>
          </cell>
          <cell r="B167" t="str">
            <v>BOLSA TRANSPARENTE 7X9X4 KILO</v>
          </cell>
          <cell r="C167" t="str">
            <v>401000004</v>
          </cell>
          <cell r="D167" t="str">
            <v>1 KILO</v>
          </cell>
          <cell r="E167" t="str">
            <v>27/01/2020</v>
          </cell>
          <cell r="F167">
            <v>1400</v>
          </cell>
        </row>
        <row r="168">
          <cell r="A168" t="str">
            <v>401000005</v>
          </cell>
          <cell r="B168" t="str">
            <v>BOLSA TRANSPARENTE 8X10X4 KILO</v>
          </cell>
          <cell r="C168" t="str">
            <v>401000005</v>
          </cell>
          <cell r="D168" t="str">
            <v>1 KILO</v>
          </cell>
          <cell r="E168" t="str">
            <v>07/02/2020</v>
          </cell>
          <cell r="F168">
            <v>1400</v>
          </cell>
        </row>
        <row r="169">
          <cell r="A169" t="str">
            <v>401000006</v>
          </cell>
          <cell r="B169" t="str">
            <v>BOLSA TRANSPARENTE 10X12X4 KILO</v>
          </cell>
          <cell r="C169" t="str">
            <v>401000006</v>
          </cell>
          <cell r="D169" t="str">
            <v>1 KILO</v>
          </cell>
          <cell r="E169" t="str">
            <v>27/01/2020</v>
          </cell>
          <cell r="F169">
            <v>1400</v>
          </cell>
        </row>
        <row r="170">
          <cell r="A170" t="str">
            <v>503000006</v>
          </cell>
          <cell r="B170" t="str">
            <v>BOLSA AL VACIO 10X15 UND</v>
          </cell>
          <cell r="C170" t="str">
            <v>503000006</v>
          </cell>
          <cell r="D170" t="str">
            <v>1 UND</v>
          </cell>
          <cell r="E170" t="str">
            <v>20/11/2019</v>
          </cell>
          <cell r="F170">
            <v>78</v>
          </cell>
        </row>
        <row r="171">
          <cell r="A171" t="str">
            <v>507000012</v>
          </cell>
          <cell r="B171" t="str">
            <v>TAPA PLAST P/CONT. PAPEL 12 ONZ (PAQ=50)</v>
          </cell>
          <cell r="C171" t="str">
            <v>507000012</v>
          </cell>
          <cell r="D171" t="str">
            <v>1 PAQUETE</v>
          </cell>
          <cell r="E171" t="str">
            <v>11/11/2019</v>
          </cell>
          <cell r="F171">
            <v>34.72</v>
          </cell>
        </row>
        <row r="172">
          <cell r="A172" t="str">
            <v>507000013</v>
          </cell>
          <cell r="B172" t="str">
            <v>CONTENEDOR PAPEL 12 ONZAS (PAQ=50 UND) C</v>
          </cell>
          <cell r="C172" t="str">
            <v>507000013</v>
          </cell>
          <cell r="D172" t="str">
            <v>1 PAQUETE</v>
          </cell>
          <cell r="E172" t="str">
            <v>02/11/2019</v>
          </cell>
          <cell r="F172">
            <v>34.72</v>
          </cell>
        </row>
        <row r="173">
          <cell r="A173" t="str">
            <v>510000013</v>
          </cell>
          <cell r="B173" t="str">
            <v>ORLA 13" C163 (UND)</v>
          </cell>
          <cell r="C173" t="str">
            <v>510000013</v>
          </cell>
          <cell r="D173" t="str">
            <v>1 UND</v>
          </cell>
          <cell r="E173" t="str">
            <v>06/01/2020</v>
          </cell>
          <cell r="F173">
            <v>235</v>
          </cell>
        </row>
        <row r="174">
          <cell r="A174" t="str">
            <v>510000014</v>
          </cell>
          <cell r="B174" t="str">
            <v>BASE CARTON ALUMINIO REDONDA # 12 (UND)</v>
          </cell>
          <cell r="C174" t="str">
            <v>510000014</v>
          </cell>
          <cell r="D174" t="str">
            <v>1 UND</v>
          </cell>
          <cell r="E174" t="str">
            <v>28/01/2020</v>
          </cell>
          <cell r="F174">
            <v>275</v>
          </cell>
          <cell r="G174" t="str">
            <v>UND</v>
          </cell>
          <cell r="H174">
            <v>275</v>
          </cell>
        </row>
        <row r="175">
          <cell r="A175" t="str">
            <v>510000015</v>
          </cell>
          <cell r="B175" t="str">
            <v>BASE RECTAGULAR GRANDE (UND)</v>
          </cell>
          <cell r="C175" t="str">
            <v>510000015</v>
          </cell>
          <cell r="D175" t="str">
            <v xml:space="preserve">1 UND </v>
          </cell>
          <cell r="E175" t="str">
            <v>28/01/2020</v>
          </cell>
          <cell r="F175">
            <v>220</v>
          </cell>
        </row>
        <row r="176">
          <cell r="A176" t="str">
            <v>510000016</v>
          </cell>
          <cell r="B176" t="str">
            <v>CARTON RECTA PEQ 1/2 QUEQUE CRISTAL(UND)</v>
          </cell>
          <cell r="C176" t="str">
            <v>510000016</v>
          </cell>
          <cell r="D176" t="str">
            <v>1 UND</v>
          </cell>
          <cell r="E176" t="str">
            <v>28/01/2020</v>
          </cell>
          <cell r="F176">
            <v>180</v>
          </cell>
        </row>
        <row r="177">
          <cell r="A177" t="str">
            <v>512000001</v>
          </cell>
          <cell r="B177" t="str">
            <v>PLASTICO P PALETIZAR 18X1500</v>
          </cell>
          <cell r="C177" t="str">
            <v>512000001</v>
          </cell>
          <cell r="D177" t="str">
            <v>1 UND</v>
          </cell>
          <cell r="E177" t="str">
            <v>07/02/2020</v>
          </cell>
          <cell r="F177">
            <v>4800</v>
          </cell>
        </row>
        <row r="178">
          <cell r="A178" t="str">
            <v>515000012</v>
          </cell>
          <cell r="B178" t="str">
            <v>VASO CARTON NESCAFE 8OZ (PAQ:50 UND)</v>
          </cell>
          <cell r="C178" t="str">
            <v>515000012</v>
          </cell>
          <cell r="D178" t="str">
            <v>1 PAQUETE</v>
          </cell>
          <cell r="E178" t="str">
            <v>22/02/2020</v>
          </cell>
          <cell r="F178">
            <v>1666</v>
          </cell>
        </row>
        <row r="179">
          <cell r="A179" t="str">
            <v>516000002</v>
          </cell>
          <cell r="B179" t="str">
            <v>LAMINA ACETATO (UND)</v>
          </cell>
          <cell r="C179" t="str">
            <v>516000002</v>
          </cell>
          <cell r="D179" t="str">
            <v>1 UND</v>
          </cell>
          <cell r="E179" t="str">
            <v>26/12/2019</v>
          </cell>
          <cell r="F179">
            <v>155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 ARTIC"/>
      <sheetName val="MP PLANTA"/>
      <sheetName val="EMP PLANTA"/>
      <sheetName val="SEMIELABORADOS"/>
      <sheetName val="PROD PLANTA LOCALES"/>
      <sheetName val="MP LOCALES"/>
      <sheetName val="EMP LOCALES"/>
    </sheetNames>
    <sheetDataSet>
      <sheetData sheetId="0"/>
      <sheetData sheetId="1"/>
      <sheetData sheetId="2">
        <row r="2">
          <cell r="A2" t="str">
            <v>0702006</v>
          </cell>
          <cell r="B2" t="str">
            <v>ETIQ.FECHA VENCIMIENTO AMARILLO</v>
          </cell>
          <cell r="C2" t="str">
            <v>ROLLO</v>
          </cell>
          <cell r="D2">
            <v>202.95699999999999</v>
          </cell>
          <cell r="E2" t="str">
            <v>UND</v>
          </cell>
          <cell r="F2">
            <v>0.22550777777777778</v>
          </cell>
        </row>
        <row r="3">
          <cell r="A3" t="str">
            <v>0702007</v>
          </cell>
          <cell r="B3" t="str">
            <v>ETIQ.FECHA VENCIMIENTO BLANCO</v>
          </cell>
          <cell r="C3" t="str">
            <v>ROLLO</v>
          </cell>
          <cell r="D3">
            <v>205.90199999999999</v>
          </cell>
          <cell r="E3" t="str">
            <v>UND</v>
          </cell>
          <cell r="F3">
            <v>0.22877999999999998</v>
          </cell>
        </row>
        <row r="4">
          <cell r="A4" t="str">
            <v>0702008</v>
          </cell>
          <cell r="B4" t="str">
            <v>ETIQ.FECHA VENCIMIENTO CELESTE</v>
          </cell>
          <cell r="C4" t="str">
            <v>ROLLO</v>
          </cell>
          <cell r="D4">
            <v>196.625</v>
          </cell>
          <cell r="E4" t="str">
            <v>UND</v>
          </cell>
          <cell r="F4">
            <v>0.21847222222222223</v>
          </cell>
        </row>
        <row r="5">
          <cell r="A5" t="str">
            <v>0702009</v>
          </cell>
          <cell r="B5" t="str">
            <v>ETIQ.FECHA VENCIMIENTO NARANJA</v>
          </cell>
          <cell r="C5" t="str">
            <v>ROLLO</v>
          </cell>
          <cell r="D5">
            <v>259.42899999999997</v>
          </cell>
          <cell r="E5" t="str">
            <v>UND</v>
          </cell>
          <cell r="F5">
            <v>0.28825444444444442</v>
          </cell>
        </row>
        <row r="6">
          <cell r="A6" t="str">
            <v>0702010</v>
          </cell>
          <cell r="B6" t="str">
            <v>ETIQ.FECHA VENCIMIENTO ROJO***CAFE</v>
          </cell>
          <cell r="C6" t="str">
            <v>ROLLO</v>
          </cell>
          <cell r="D6">
            <v>193.44300000000001</v>
          </cell>
          <cell r="E6" t="str">
            <v>UND</v>
          </cell>
          <cell r="F6">
            <v>0.21493666666666669</v>
          </cell>
        </row>
        <row r="7">
          <cell r="A7" t="str">
            <v>0702011</v>
          </cell>
          <cell r="B7" t="str">
            <v>ETIQ.FECHA VENCIMIENTO ROSADO</v>
          </cell>
          <cell r="C7" t="str">
            <v>ROLLO</v>
          </cell>
          <cell r="D7">
            <v>193.173</v>
          </cell>
          <cell r="E7" t="str">
            <v>UND</v>
          </cell>
          <cell r="F7">
            <v>0.21463666666666667</v>
          </cell>
        </row>
        <row r="8">
          <cell r="A8" t="str">
            <v>0702012</v>
          </cell>
          <cell r="B8" t="str">
            <v>ETIQ.FECHA VENCIMIENTO VERDE</v>
          </cell>
          <cell r="C8" t="str">
            <v>ROLLO</v>
          </cell>
          <cell r="D8">
            <v>190.66900000000001</v>
          </cell>
          <cell r="E8" t="str">
            <v>UND</v>
          </cell>
          <cell r="F8">
            <v>0.21185444444444446</v>
          </cell>
        </row>
        <row r="9">
          <cell r="A9" t="str">
            <v>0702030</v>
          </cell>
          <cell r="B9" t="str">
            <v>ETIQ.PRODUCCION BLANCO</v>
          </cell>
          <cell r="C9" t="str">
            <v>ROLLO</v>
          </cell>
          <cell r="D9">
            <v>165</v>
          </cell>
          <cell r="E9" t="str">
            <v>UND</v>
          </cell>
          <cell r="F9">
            <v>0.18333333333333332</v>
          </cell>
        </row>
        <row r="10">
          <cell r="A10" t="str">
            <v>0702036</v>
          </cell>
          <cell r="B10" t="str">
            <v>ETIQUETA NEGRA ( CINTILLO ) OVALADA LOCALES</v>
          </cell>
          <cell r="C10" t="str">
            <v>UND</v>
          </cell>
          <cell r="D10">
            <v>4.306</v>
          </cell>
          <cell r="E10" t="str">
            <v>UND</v>
          </cell>
          <cell r="F10">
            <v>4.306</v>
          </cell>
        </row>
        <row r="11">
          <cell r="A11" t="str">
            <v>0702053</v>
          </cell>
          <cell r="B11" t="str">
            <v>STICKER REDONDO AMARILLO</v>
          </cell>
          <cell r="C11" t="str">
            <v>ROLLO</v>
          </cell>
          <cell r="D11">
            <v>210.43799999999999</v>
          </cell>
          <cell r="E11" t="str">
            <v>UND</v>
          </cell>
          <cell r="F11">
            <v>0.23382</v>
          </cell>
        </row>
        <row r="12">
          <cell r="A12" t="str">
            <v>0702056</v>
          </cell>
          <cell r="B12" t="str">
            <v>STICKER REDONDO CELESTE</v>
          </cell>
          <cell r="C12" t="str">
            <v>ROLLO</v>
          </cell>
          <cell r="D12">
            <v>275</v>
          </cell>
          <cell r="E12" t="str">
            <v>UND</v>
          </cell>
          <cell r="F12">
            <v>0.30555555555555558</v>
          </cell>
        </row>
        <row r="13">
          <cell r="A13" t="str">
            <v>0702057</v>
          </cell>
          <cell r="B13" t="str">
            <v>STICKER REDONDO NARANJA</v>
          </cell>
          <cell r="C13" t="str">
            <v>ROLLO</v>
          </cell>
          <cell r="D13">
            <v>210.196</v>
          </cell>
          <cell r="E13" t="str">
            <v>UND</v>
          </cell>
          <cell r="F13">
            <v>0.2335511111111111</v>
          </cell>
        </row>
        <row r="14">
          <cell r="A14" t="str">
            <v>0702058</v>
          </cell>
          <cell r="B14" t="str">
            <v>STICKER REDONDO ROJO</v>
          </cell>
          <cell r="C14" t="str">
            <v>ROLLO</v>
          </cell>
          <cell r="D14">
            <v>651.91899999999998</v>
          </cell>
          <cell r="E14" t="str">
            <v>UND</v>
          </cell>
          <cell r="F14">
            <v>0.72435444444444441</v>
          </cell>
        </row>
        <row r="15">
          <cell r="A15" t="str">
            <v>0702060</v>
          </cell>
          <cell r="B15" t="str">
            <v>STICKER REDONDO VERDE</v>
          </cell>
          <cell r="C15" t="str">
            <v>ROLLO</v>
          </cell>
          <cell r="D15">
            <v>321.64</v>
          </cell>
          <cell r="E15" t="str">
            <v>UND</v>
          </cell>
          <cell r="F15">
            <v>0.35737777777777774</v>
          </cell>
        </row>
        <row r="16">
          <cell r="A16" t="str">
            <v>0702061</v>
          </cell>
          <cell r="B16" t="str">
            <v>CINTILLO PEQUEÑO SPOON CHOCOLATE ( ROLLO=1000UND)</v>
          </cell>
          <cell r="C16" t="str">
            <v>UND</v>
          </cell>
          <cell r="D16">
            <v>1.0449999999999999</v>
          </cell>
          <cell r="E16" t="str">
            <v>UND</v>
          </cell>
          <cell r="F16">
            <v>1.0449999999999999</v>
          </cell>
        </row>
        <row r="17">
          <cell r="A17" t="str">
            <v>0702067</v>
          </cell>
          <cell r="B17" t="str">
            <v>ETIQ.BLANCA 1 13/16 * 1 7/8</v>
          </cell>
          <cell r="C17" t="str">
            <v>UND</v>
          </cell>
          <cell r="D17">
            <v>2.0470000000000002</v>
          </cell>
          <cell r="E17" t="str">
            <v>UND</v>
          </cell>
          <cell r="F17">
            <v>2.0470000000000002</v>
          </cell>
        </row>
        <row r="18">
          <cell r="A18" t="str">
            <v>0702069</v>
          </cell>
          <cell r="B18" t="str">
            <v>ETIQ.BLANCA 1 1/4 * 3/4</v>
          </cell>
          <cell r="C18" t="str">
            <v>UND</v>
          </cell>
          <cell r="D18">
            <v>0.61599999999999999</v>
          </cell>
          <cell r="E18" t="str">
            <v>UND</v>
          </cell>
          <cell r="F18">
            <v>0.61599999999999999</v>
          </cell>
        </row>
        <row r="19">
          <cell r="A19" t="str">
            <v>0702072</v>
          </cell>
          <cell r="B19" t="str">
            <v>ETIQ.BLANCA 3X3</v>
          </cell>
          <cell r="C19" t="str">
            <v>UND</v>
          </cell>
          <cell r="D19">
            <v>6.7149999999999999</v>
          </cell>
          <cell r="E19" t="str">
            <v>UND</v>
          </cell>
          <cell r="F19">
            <v>6.7149999999999999</v>
          </cell>
        </row>
        <row r="20">
          <cell r="A20" t="str">
            <v>0702073</v>
          </cell>
          <cell r="B20" t="str">
            <v>CINTA BORDADA LOGO SPOON T-75/02</v>
          </cell>
          <cell r="C20" t="str">
            <v>UND</v>
          </cell>
          <cell r="D20">
            <v>170</v>
          </cell>
          <cell r="E20" t="str">
            <v>UND</v>
          </cell>
          <cell r="F20">
            <v>170</v>
          </cell>
        </row>
        <row r="21">
          <cell r="A21" t="str">
            <v>0702077</v>
          </cell>
          <cell r="B21" t="str">
            <v>ETIQ. GENERICA PEQUEÑA V-274</v>
          </cell>
          <cell r="C21" t="str">
            <v>UND</v>
          </cell>
          <cell r="D21">
            <v>12.87</v>
          </cell>
          <cell r="E21" t="str">
            <v>UND</v>
          </cell>
          <cell r="F21">
            <v>12.87</v>
          </cell>
        </row>
        <row r="22">
          <cell r="A22" t="str">
            <v>0702087</v>
          </cell>
          <cell r="B22" t="str">
            <v>ET. ROJA BUCCA.</v>
          </cell>
          <cell r="C22" t="str">
            <v>UND</v>
          </cell>
          <cell r="D22">
            <v>5</v>
          </cell>
          <cell r="E22" t="str">
            <v>UND</v>
          </cell>
          <cell r="F22">
            <v>5</v>
          </cell>
        </row>
        <row r="23">
          <cell r="A23" t="str">
            <v>0702099</v>
          </cell>
          <cell r="B23" t="str">
            <v>ET. CINTA GENERICA P/ TORTA SPOON.</v>
          </cell>
          <cell r="C23" t="str">
            <v>UND</v>
          </cell>
          <cell r="D23">
            <v>25.504000000000001</v>
          </cell>
          <cell r="E23" t="str">
            <v>UND</v>
          </cell>
          <cell r="F23">
            <v>25.504000000000001</v>
          </cell>
        </row>
        <row r="24">
          <cell r="A24" t="str">
            <v>0702119</v>
          </cell>
          <cell r="B24" t="str">
            <v>STICKER REDONDO CAFE</v>
          </cell>
          <cell r="C24" t="str">
            <v>UND</v>
          </cell>
          <cell r="D24">
            <v>600.49</v>
          </cell>
          <cell r="E24" t="str">
            <v>UND</v>
          </cell>
          <cell r="F24">
            <v>0</v>
          </cell>
        </row>
        <row r="25">
          <cell r="A25" t="str">
            <v>0702123</v>
          </cell>
          <cell r="B25" t="str">
            <v>ETIQUETA BLANCA 2 5/8X1 15/16 PRE BLANCA</v>
          </cell>
          <cell r="C25" t="str">
            <v>UND</v>
          </cell>
          <cell r="D25">
            <v>2.2759999999999998</v>
          </cell>
          <cell r="E25" t="str">
            <v>UND</v>
          </cell>
          <cell r="F25">
            <v>2.2759999999999998</v>
          </cell>
        </row>
        <row r="26">
          <cell r="A26" t="str">
            <v>0702136</v>
          </cell>
          <cell r="B26" t="str">
            <v>ET. STARBUCKS ALFAJOR</v>
          </cell>
          <cell r="C26" t="str">
            <v>UND</v>
          </cell>
          <cell r="D26">
            <v>25.007999999999999</v>
          </cell>
          <cell r="E26" t="str">
            <v>UND</v>
          </cell>
          <cell r="F26">
            <v>25.007999999999999</v>
          </cell>
        </row>
        <row r="27">
          <cell r="A27" t="str">
            <v>0702137</v>
          </cell>
          <cell r="B27" t="str">
            <v>ET. STARBUCKS TROCITOS CHEDDAR</v>
          </cell>
          <cell r="C27" t="str">
            <v>UND</v>
          </cell>
          <cell r="D27">
            <v>25.001000000000001</v>
          </cell>
          <cell r="E27" t="str">
            <v>UND</v>
          </cell>
          <cell r="F27">
            <v>25.001000000000001</v>
          </cell>
        </row>
        <row r="28">
          <cell r="A28" t="str">
            <v>0702138</v>
          </cell>
          <cell r="B28" t="str">
            <v>ET STARBUCKS CROCANTINI TOMATE</v>
          </cell>
          <cell r="C28" t="str">
            <v>UND</v>
          </cell>
          <cell r="D28">
            <v>29.545999999999999</v>
          </cell>
          <cell r="E28" t="str">
            <v>UND</v>
          </cell>
          <cell r="F28">
            <v>29.545999999999999</v>
          </cell>
        </row>
        <row r="29">
          <cell r="A29" t="str">
            <v>0702139</v>
          </cell>
          <cell r="B29" t="str">
            <v>ET STARBUCKS CROCANTINI PARMESANO</v>
          </cell>
          <cell r="C29" t="str">
            <v>UND</v>
          </cell>
          <cell r="D29">
            <v>20.943999999999999</v>
          </cell>
          <cell r="E29" t="str">
            <v>UND</v>
          </cell>
          <cell r="F29">
            <v>20.943999999999999</v>
          </cell>
        </row>
        <row r="30">
          <cell r="A30" t="str">
            <v>0702141</v>
          </cell>
          <cell r="B30" t="str">
            <v>ET STARBUCKS NUECES</v>
          </cell>
          <cell r="C30" t="str">
            <v>UND</v>
          </cell>
          <cell r="D30">
            <v>45.820999999999998</v>
          </cell>
          <cell r="E30" t="str">
            <v>UND</v>
          </cell>
          <cell r="F30">
            <v>45.820999999999998</v>
          </cell>
        </row>
        <row r="31">
          <cell r="A31" t="str">
            <v>0702142</v>
          </cell>
          <cell r="B31" t="str">
            <v>ET STARBUCKS POP CORN</v>
          </cell>
          <cell r="C31" t="str">
            <v>UND</v>
          </cell>
          <cell r="D31">
            <v>21.530999999999999</v>
          </cell>
          <cell r="E31" t="str">
            <v>UND</v>
          </cell>
          <cell r="F31">
            <v>21.530999999999999</v>
          </cell>
        </row>
        <row r="32">
          <cell r="A32" t="str">
            <v>0702143</v>
          </cell>
          <cell r="B32" t="str">
            <v>ET STARBUCKS CHOCOLATE</v>
          </cell>
          <cell r="C32" t="str">
            <v>UND</v>
          </cell>
          <cell r="D32">
            <v>45.701000000000001</v>
          </cell>
          <cell r="E32" t="str">
            <v>UND</v>
          </cell>
          <cell r="F32">
            <v>45.701000000000001</v>
          </cell>
        </row>
        <row r="33">
          <cell r="A33" t="str">
            <v>0702144</v>
          </cell>
          <cell r="B33" t="str">
            <v>ET STARBUCKS BARRA MACADAMIA</v>
          </cell>
          <cell r="C33" t="str">
            <v>UND</v>
          </cell>
          <cell r="D33">
            <v>47</v>
          </cell>
          <cell r="E33" t="str">
            <v>UND</v>
          </cell>
          <cell r="F33">
            <v>47</v>
          </cell>
        </row>
        <row r="34">
          <cell r="A34" t="str">
            <v>702167</v>
          </cell>
          <cell r="B34" t="str">
            <v>ETIQUETAS STARBUCKS ( BACON &amp; GOUDA)</v>
          </cell>
          <cell r="C34" t="str">
            <v>UND</v>
          </cell>
          <cell r="D34">
            <v>38.865000000000002</v>
          </cell>
          <cell r="E34" t="str">
            <v>UND</v>
          </cell>
          <cell r="F34">
            <v>38.865000000000002</v>
          </cell>
        </row>
        <row r="35">
          <cell r="A35" t="str">
            <v>702168</v>
          </cell>
          <cell r="B35" t="str">
            <v>ETIQUETA STARBUCK SAUSAGE &amp; CHEDDAR</v>
          </cell>
          <cell r="C35" t="str">
            <v>UND</v>
          </cell>
          <cell r="D35">
            <v>19.774000000000001</v>
          </cell>
          <cell r="E35" t="str">
            <v>UND</v>
          </cell>
          <cell r="F35">
            <v>19.774000000000001</v>
          </cell>
        </row>
        <row r="36">
          <cell r="A36" t="str">
            <v>702169</v>
          </cell>
          <cell r="B36" t="str">
            <v>ETIQUETA STARBUCKS VEGGIE &amp; MONTERREY JACK</v>
          </cell>
          <cell r="C36" t="str">
            <v>UND</v>
          </cell>
          <cell r="D36">
            <v>19.815000000000001</v>
          </cell>
          <cell r="E36" t="str">
            <v>UND</v>
          </cell>
          <cell r="F36">
            <v>19.815000000000001</v>
          </cell>
        </row>
        <row r="37">
          <cell r="A37" t="str">
            <v>702170</v>
          </cell>
          <cell r="B37" t="str">
            <v>ETIQUETAS STARBUCKS PREMIUM CLUB SANDWICH</v>
          </cell>
          <cell r="C37" t="str">
            <v>UND</v>
          </cell>
          <cell r="D37">
            <v>19.760000000000002</v>
          </cell>
          <cell r="E37" t="str">
            <v>UND</v>
          </cell>
          <cell r="F37">
            <v>19.760000000000002</v>
          </cell>
        </row>
        <row r="38">
          <cell r="A38" t="str">
            <v>702171</v>
          </cell>
          <cell r="B38" t="str">
            <v xml:space="preserve"> ETIQUETA STARBUCKS CAPRESSE</v>
          </cell>
          <cell r="C38" t="str">
            <v>UND</v>
          </cell>
          <cell r="D38">
            <v>19.925999999999998</v>
          </cell>
          <cell r="E38" t="str">
            <v>UND</v>
          </cell>
          <cell r="F38">
            <v>19.925999999999998</v>
          </cell>
        </row>
        <row r="39">
          <cell r="A39" t="str">
            <v>702172</v>
          </cell>
          <cell r="B39" t="str">
            <v>ETIQUETAS STARBUCKS PHILLY STEAK</v>
          </cell>
          <cell r="C39" t="str">
            <v>UND</v>
          </cell>
          <cell r="D39">
            <v>19.702999999999999</v>
          </cell>
          <cell r="E39" t="str">
            <v>UND</v>
          </cell>
          <cell r="F39">
            <v>19.702999999999999</v>
          </cell>
        </row>
        <row r="40">
          <cell r="A40" t="str">
            <v>702173</v>
          </cell>
          <cell r="B40" t="str">
            <v>ETIQUETAS DE PAPEL MUFFINS SCATOLA ROSSA</v>
          </cell>
          <cell r="C40" t="str">
            <v>UND</v>
          </cell>
          <cell r="D40">
            <v>1</v>
          </cell>
          <cell r="E40" t="str">
            <v>UND</v>
          </cell>
          <cell r="F40">
            <v>1</v>
          </cell>
        </row>
        <row r="41">
          <cell r="A41" t="str">
            <v>702174</v>
          </cell>
          <cell r="B41" t="str">
            <v>ETIQUETA SELLO DE SEGURIDAD (ROLLO=1000 UND)</v>
          </cell>
          <cell r="C41" t="str">
            <v>ROLLO</v>
          </cell>
          <cell r="D41">
            <v>5866.5159999999996</v>
          </cell>
          <cell r="E41" t="str">
            <v>UND</v>
          </cell>
          <cell r="F41">
            <v>5.8665159999999998</v>
          </cell>
        </row>
        <row r="42">
          <cell r="A42" t="str">
            <v>702175</v>
          </cell>
          <cell r="B42" t="str">
            <v>ETIQUETA IMP. SPOON GRANDE V-272</v>
          </cell>
          <cell r="C42" t="str">
            <v>UND</v>
          </cell>
          <cell r="D42">
            <v>49.741999999999997</v>
          </cell>
          <cell r="E42" t="str">
            <v>UND</v>
          </cell>
          <cell r="F42">
            <v>49.741999999999997</v>
          </cell>
        </row>
        <row r="43">
          <cell r="A43" t="str">
            <v>702178</v>
          </cell>
          <cell r="B43" t="str">
            <v>ETIQUETA MOUSSE CARMEL CAKE PECANAS (PEQUEÑA)</v>
          </cell>
          <cell r="C43" t="str">
            <v>UND</v>
          </cell>
          <cell r="D43">
            <v>1</v>
          </cell>
          <cell r="E43" t="str">
            <v>UND</v>
          </cell>
          <cell r="F43">
            <v>1</v>
          </cell>
        </row>
        <row r="44">
          <cell r="A44" t="str">
            <v>702179</v>
          </cell>
          <cell r="B44" t="str">
            <v>ETIQUETA TRUFA CHOCOLATE (GRANDE)</v>
          </cell>
          <cell r="C44" t="str">
            <v>UND</v>
          </cell>
          <cell r="D44">
            <v>1</v>
          </cell>
          <cell r="E44" t="str">
            <v>UND</v>
          </cell>
          <cell r="F44">
            <v>1</v>
          </cell>
        </row>
        <row r="45">
          <cell r="A45" t="str">
            <v>702181</v>
          </cell>
          <cell r="B45" t="str">
            <v>ETIQUETA MOUSSE CARAMEL CAKE PECANAS (GRANDE)</v>
          </cell>
          <cell r="C45" t="str">
            <v>UND</v>
          </cell>
          <cell r="D45">
            <v>1</v>
          </cell>
          <cell r="E45" t="str">
            <v>UND</v>
          </cell>
          <cell r="F45">
            <v>1</v>
          </cell>
        </row>
        <row r="46">
          <cell r="A46" t="str">
            <v>702182</v>
          </cell>
          <cell r="B46" t="str">
            <v>ETIQUETA IMP. SPOON MEDIANA V-273</v>
          </cell>
          <cell r="C46" t="str">
            <v>UND</v>
          </cell>
          <cell r="D46">
            <v>34.210999999999999</v>
          </cell>
          <cell r="E46" t="str">
            <v>UND</v>
          </cell>
          <cell r="F46">
            <v>34.210999999999999</v>
          </cell>
        </row>
        <row r="47">
          <cell r="A47" t="str">
            <v>0703207</v>
          </cell>
          <cell r="B47" t="str">
            <v>ROLLO PLASTICO PVC 14X500MTS</v>
          </cell>
          <cell r="C47" t="str">
            <v>UND</v>
          </cell>
          <cell r="D47">
            <v>43890</v>
          </cell>
          <cell r="E47" t="str">
            <v>Centimetros</v>
          </cell>
          <cell r="F47">
            <v>0.87780000000000002</v>
          </cell>
        </row>
        <row r="48">
          <cell r="A48" t="str">
            <v>0906036</v>
          </cell>
          <cell r="B48" t="str">
            <v>PAPEL MANTEQUILLA</v>
          </cell>
          <cell r="C48" t="str">
            <v>ROLLO</v>
          </cell>
          <cell r="D48">
            <v>30494.162</v>
          </cell>
          <cell r="E48" t="str">
            <v>UND</v>
          </cell>
          <cell r="F48">
            <v>30.494161999999999</v>
          </cell>
        </row>
        <row r="49">
          <cell r="A49" t="str">
            <v>1840639</v>
          </cell>
          <cell r="B49" t="str">
            <v>BOLSAS TRANSP GRANDE (KILO)</v>
          </cell>
          <cell r="C49" t="str">
            <v>KILO</v>
          </cell>
          <cell r="D49">
            <v>1250</v>
          </cell>
          <cell r="E49" t="str">
            <v>UND</v>
          </cell>
          <cell r="F49">
            <v>83.333333333333329</v>
          </cell>
        </row>
        <row r="50">
          <cell r="A50" t="str">
            <v>1942315</v>
          </cell>
          <cell r="B50" t="str">
            <v>QUEQUERA 10" MEDIA  (25.5 * 12cm CAJA 70)</v>
          </cell>
          <cell r="C50" t="str">
            <v>UND</v>
          </cell>
          <cell r="D50">
            <v>311.99400000000003</v>
          </cell>
          <cell r="E50" t="str">
            <v>UND</v>
          </cell>
          <cell r="F50">
            <v>311.99400000000003</v>
          </cell>
        </row>
        <row r="51">
          <cell r="A51" t="str">
            <v>1942318</v>
          </cell>
          <cell r="B51" t="str">
            <v>QUEQUERA 10" BAJA (25.5 * 10 CAJA 70)</v>
          </cell>
          <cell r="C51" t="str">
            <v>UND</v>
          </cell>
          <cell r="D51">
            <v>395.62299999999999</v>
          </cell>
          <cell r="E51" t="str">
            <v>UND</v>
          </cell>
          <cell r="F51">
            <v>395.62299999999999</v>
          </cell>
        </row>
        <row r="52">
          <cell r="A52" t="str">
            <v>1950375</v>
          </cell>
          <cell r="B52" t="str">
            <v>TAPA P/CONTENEDOR DOBLE USO 8/12 onz</v>
          </cell>
          <cell r="C52" t="str">
            <v>UND</v>
          </cell>
          <cell r="D52">
            <v>25.631</v>
          </cell>
          <cell r="E52" t="str">
            <v>UND</v>
          </cell>
          <cell r="F52">
            <v>25.631</v>
          </cell>
        </row>
        <row r="53">
          <cell r="A53" t="str">
            <v>1950377</v>
          </cell>
          <cell r="B53" t="str">
            <v>COMBO PACK DOBLE USO 8 onz (CAJA=200 UND)</v>
          </cell>
          <cell r="C53" t="str">
            <v>UND</v>
          </cell>
          <cell r="D53">
            <v>55.243000000000002</v>
          </cell>
          <cell r="E53" t="str">
            <v>UND</v>
          </cell>
          <cell r="F53">
            <v>55.243000000000002</v>
          </cell>
        </row>
        <row r="54">
          <cell r="A54" t="str">
            <v>1950379</v>
          </cell>
          <cell r="B54" t="str">
            <v>BASE CARTON #2 LAVAZZA (PAQ=100 UND)</v>
          </cell>
          <cell r="C54" t="str">
            <v>UND</v>
          </cell>
          <cell r="D54">
            <v>28.384</v>
          </cell>
          <cell r="E54" t="str">
            <v>UND</v>
          </cell>
          <cell r="F54">
            <v>28.384</v>
          </cell>
        </row>
        <row r="55">
          <cell r="A55" t="str">
            <v>1950386</v>
          </cell>
          <cell r="B55" t="str">
            <v>BOLSA TRANS. 125X140 (KILO)</v>
          </cell>
          <cell r="C55" t="str">
            <v>KILO</v>
          </cell>
          <cell r="D55">
            <v>3683.56</v>
          </cell>
          <cell r="E55" t="str">
            <v>UND</v>
          </cell>
          <cell r="F55">
            <v>0</v>
          </cell>
        </row>
        <row r="56">
          <cell r="A56" t="str">
            <v>1950387</v>
          </cell>
          <cell r="B56" t="str">
            <v>CONO P/AGUA (CAJA=5000 UND)</v>
          </cell>
          <cell r="C56" t="str">
            <v>UND</v>
          </cell>
          <cell r="D56">
            <v>6.7779999999999996</v>
          </cell>
          <cell r="E56" t="str">
            <v>UND</v>
          </cell>
          <cell r="F56">
            <v>6.7779999999999996</v>
          </cell>
        </row>
        <row r="57">
          <cell r="A57" t="str">
            <v>1950388</v>
          </cell>
          <cell r="B57" t="str">
            <v>BANDEJA EMPANADA X 3 (UND)</v>
          </cell>
          <cell r="C57" t="str">
            <v>UND</v>
          </cell>
          <cell r="D57">
            <v>52</v>
          </cell>
          <cell r="E57" t="str">
            <v>UND</v>
          </cell>
          <cell r="F57">
            <v>52</v>
          </cell>
        </row>
        <row r="58">
          <cell r="A58" t="str">
            <v>1950401</v>
          </cell>
          <cell r="B58" t="str">
            <v>CONTENEDOR CUADRADO 9X9X5(840UND)</v>
          </cell>
          <cell r="C58" t="str">
            <v>CAJA</v>
          </cell>
          <cell r="D58">
            <v>41199.995999999999</v>
          </cell>
          <cell r="E58" t="str">
            <v>UND</v>
          </cell>
          <cell r="F58">
            <v>49.047614285714282</v>
          </cell>
        </row>
        <row r="59">
          <cell r="A59" t="str">
            <v>1950406</v>
          </cell>
          <cell r="B59" t="str">
            <v>TAPA SUFFLE PLAST. 1.5/2.5 oz (PAQ=100 UND)</v>
          </cell>
          <cell r="C59" t="str">
            <v>UND</v>
          </cell>
          <cell r="D59">
            <v>7.7370000000000001</v>
          </cell>
          <cell r="E59" t="str">
            <v>UND</v>
          </cell>
          <cell r="F59">
            <v>7.7370000000000001</v>
          </cell>
        </row>
        <row r="60">
          <cell r="A60" t="str">
            <v>1950409</v>
          </cell>
          <cell r="B60" t="str">
            <v>TAPA P/FONDO CAJA BLANCA (PAQ=500 UND)</v>
          </cell>
          <cell r="C60" t="str">
            <v>UND</v>
          </cell>
          <cell r="D60">
            <v>49.914000000000001</v>
          </cell>
          <cell r="E60" t="str">
            <v>UND</v>
          </cell>
          <cell r="F60">
            <v>49.914000000000001</v>
          </cell>
        </row>
        <row r="61">
          <cell r="A61" t="str">
            <v>1950413</v>
          </cell>
          <cell r="B61" t="str">
            <v>BANDA PVC 450x50 (UND)</v>
          </cell>
          <cell r="C61" t="str">
            <v>UND</v>
          </cell>
          <cell r="D61">
            <v>14.465999999999999</v>
          </cell>
          <cell r="E61" t="str">
            <v>UND</v>
          </cell>
          <cell r="F61">
            <v>14.465999999999999</v>
          </cell>
        </row>
        <row r="62">
          <cell r="A62" t="str">
            <v>1950414</v>
          </cell>
          <cell r="B62" t="str">
            <v>BANDA 240x40 (UND)</v>
          </cell>
          <cell r="C62" t="str">
            <v>UND</v>
          </cell>
          <cell r="D62">
            <v>10.645</v>
          </cell>
          <cell r="E62" t="str">
            <v>UND</v>
          </cell>
          <cell r="F62">
            <v>10.645</v>
          </cell>
        </row>
        <row r="63">
          <cell r="A63" t="str">
            <v>1950427</v>
          </cell>
          <cell r="B63" t="str">
            <v>CONCHA POLO80 C/TAPA (UND)</v>
          </cell>
          <cell r="C63" t="str">
            <v>UND</v>
          </cell>
          <cell r="D63">
            <v>80</v>
          </cell>
          <cell r="E63" t="str">
            <v>UND</v>
          </cell>
          <cell r="F63">
            <v>80</v>
          </cell>
        </row>
        <row r="64">
          <cell r="A64" t="str">
            <v>1950671</v>
          </cell>
          <cell r="B64" t="str">
            <v>BANDEJA MUFFIN LBH 6166 (350UND)</v>
          </cell>
          <cell r="C64" t="str">
            <v>UND</v>
          </cell>
          <cell r="D64">
            <v>102.857</v>
          </cell>
          <cell r="E64" t="str">
            <v>UND</v>
          </cell>
          <cell r="F64">
            <v>102.857</v>
          </cell>
        </row>
        <row r="65">
          <cell r="A65" t="str">
            <v>1950672</v>
          </cell>
          <cell r="B65" t="str">
            <v>CONT. 48 ON TRANSPA. TAPA PLANA (PAQ=100 UND)</v>
          </cell>
          <cell r="C65" t="str">
            <v>UND</v>
          </cell>
          <cell r="D65">
            <v>201.988</v>
          </cell>
          <cell r="E65" t="str">
            <v>UND</v>
          </cell>
          <cell r="F65">
            <v>201.988</v>
          </cell>
        </row>
        <row r="66">
          <cell r="A66" t="str">
            <v>1950674</v>
          </cell>
          <cell r="B66" t="str">
            <v>CONTENEDOR INLINE SL65 (300 UND)</v>
          </cell>
          <cell r="C66" t="str">
            <v>UND</v>
          </cell>
          <cell r="D66">
            <v>127.584</v>
          </cell>
          <cell r="E66" t="str">
            <v>UND</v>
          </cell>
          <cell r="F66">
            <v>127.584</v>
          </cell>
        </row>
        <row r="67">
          <cell r="A67" t="str">
            <v>1950682</v>
          </cell>
          <cell r="B67" t="str">
            <v>CONTEN. LBH 692 PRALINE (200 unds)</v>
          </cell>
          <cell r="C67" t="str">
            <v>UND</v>
          </cell>
          <cell r="D67">
            <v>206.16</v>
          </cell>
          <cell r="E67" t="str">
            <v>UND</v>
          </cell>
          <cell r="F67">
            <v>206.16</v>
          </cell>
        </row>
        <row r="68">
          <cell r="A68" t="str">
            <v>1950685</v>
          </cell>
          <cell r="B68" t="str">
            <v>BANDEJA PLAST HORNABLE (240 UNI)</v>
          </cell>
          <cell r="C68" t="str">
            <v>UND</v>
          </cell>
          <cell r="D68">
            <v>172.529</v>
          </cell>
          <cell r="E68" t="str">
            <v>UND</v>
          </cell>
          <cell r="F68">
            <v>172.529</v>
          </cell>
        </row>
        <row r="69">
          <cell r="A69" t="str">
            <v>1950692</v>
          </cell>
          <cell r="B69" t="str">
            <v>ORLA CARTON 10" DORADA  (100 * PAQ)</v>
          </cell>
          <cell r="C69" t="str">
            <v>UND</v>
          </cell>
          <cell r="D69">
            <v>99.497</v>
          </cell>
          <cell r="E69" t="str">
            <v>UND</v>
          </cell>
          <cell r="F69">
            <v>99.497</v>
          </cell>
        </row>
        <row r="70">
          <cell r="A70" t="str">
            <v>1950693</v>
          </cell>
          <cell r="B70" t="str">
            <v>ORLA CARTON 9" DORADA (100 * PAQ )</v>
          </cell>
          <cell r="C70" t="str">
            <v>UND</v>
          </cell>
          <cell r="D70">
            <v>92.992999999999995</v>
          </cell>
          <cell r="E70" t="str">
            <v>UND</v>
          </cell>
          <cell r="F70">
            <v>92.992999999999995</v>
          </cell>
        </row>
        <row r="71">
          <cell r="A71" t="str">
            <v>1950699</v>
          </cell>
          <cell r="B71" t="str">
            <v>BASE PARA ROSQUETE (100*PAQ)</v>
          </cell>
          <cell r="C71" t="str">
            <v>UND</v>
          </cell>
          <cell r="D71">
            <v>116.337</v>
          </cell>
          <cell r="E71" t="str">
            <v>UND</v>
          </cell>
          <cell r="F71">
            <v>116.337</v>
          </cell>
        </row>
        <row r="72">
          <cell r="A72" t="str">
            <v>1950702</v>
          </cell>
          <cell r="B72" t="str">
            <v>BOLSA 12x18 TRANSP (KILO)</v>
          </cell>
          <cell r="C72" t="str">
            <v>KILO</v>
          </cell>
          <cell r="D72">
            <v>1350</v>
          </cell>
          <cell r="E72" t="str">
            <v>UND</v>
          </cell>
          <cell r="F72">
            <v>10.8</v>
          </cell>
        </row>
        <row r="73">
          <cell r="A73" t="str">
            <v>1950704</v>
          </cell>
          <cell r="B73" t="str">
            <v>BOLSA 5x8 TRANSP (KILO)</v>
          </cell>
          <cell r="C73" t="str">
            <v>KILO</v>
          </cell>
          <cell r="D73">
            <v>1350</v>
          </cell>
          <cell r="E73" t="str">
            <v>UND</v>
          </cell>
          <cell r="F73">
            <v>2.7</v>
          </cell>
        </row>
        <row r="74">
          <cell r="A74" t="str">
            <v>1950705</v>
          </cell>
          <cell r="B74" t="str">
            <v>BOLSA 8x12 TRANSP (KILO)</v>
          </cell>
          <cell r="C74" t="str">
            <v>KILO</v>
          </cell>
          <cell r="D74">
            <v>1350</v>
          </cell>
          <cell r="E74" t="str">
            <v>UND</v>
          </cell>
          <cell r="F74">
            <v>6.75</v>
          </cell>
        </row>
        <row r="75">
          <cell r="A75" t="str">
            <v>1950708</v>
          </cell>
          <cell r="B75" t="str">
            <v>BOLSA 17x25 TRANSP (KILO)</v>
          </cell>
          <cell r="C75" t="str">
            <v>KILO</v>
          </cell>
          <cell r="D75">
            <v>1350</v>
          </cell>
          <cell r="E75" t="str">
            <v>UND</v>
          </cell>
          <cell r="F75">
            <v>32.142857142857146</v>
          </cell>
        </row>
        <row r="76">
          <cell r="A76" t="str">
            <v>1950711</v>
          </cell>
          <cell r="B76" t="str">
            <v>BURBUJA # 5 (125XPAQ)</v>
          </cell>
          <cell r="C76" t="str">
            <v>UND</v>
          </cell>
          <cell r="D76">
            <v>54.371000000000002</v>
          </cell>
          <cell r="E76" t="str">
            <v>UND</v>
          </cell>
          <cell r="F76">
            <v>54.371000000000002</v>
          </cell>
        </row>
        <row r="77">
          <cell r="A77" t="str">
            <v>1950715</v>
          </cell>
          <cell r="B77" t="str">
            <v>CAPSULA # 2 BLANCA (100 * PAQ)</v>
          </cell>
          <cell r="C77" t="str">
            <v>UND</v>
          </cell>
          <cell r="D77">
            <v>2.66</v>
          </cell>
          <cell r="E77" t="str">
            <v>UND</v>
          </cell>
          <cell r="F77">
            <v>2.66</v>
          </cell>
        </row>
        <row r="78">
          <cell r="A78" t="str">
            <v>1950716</v>
          </cell>
          <cell r="B78" t="str">
            <v>BANDEJA  94121 24 OZ (CAJA 200 UND)</v>
          </cell>
          <cell r="C78" t="str">
            <v>UND</v>
          </cell>
          <cell r="D78">
            <v>109.575</v>
          </cell>
          <cell r="E78" t="str">
            <v>UND</v>
          </cell>
          <cell r="F78">
            <v>109.575</v>
          </cell>
        </row>
        <row r="79">
          <cell r="A79" t="str">
            <v>1950717</v>
          </cell>
          <cell r="B79" t="str">
            <v>CAJA BLANCA GRANDE ( 100 X PAQ)</v>
          </cell>
          <cell r="C79" t="str">
            <v>UND</v>
          </cell>
          <cell r="D79">
            <v>81.06</v>
          </cell>
          <cell r="E79" t="str">
            <v>UND</v>
          </cell>
          <cell r="F79">
            <v>81.06</v>
          </cell>
        </row>
        <row r="80">
          <cell r="A80" t="str">
            <v>1950725</v>
          </cell>
          <cell r="B80" t="str">
            <v>CAJA TROQUELADA # 25 ( 25*PAQ )</v>
          </cell>
          <cell r="C80" t="str">
            <v>UND</v>
          </cell>
          <cell r="D80">
            <v>1841.68</v>
          </cell>
          <cell r="E80" t="str">
            <v>UND</v>
          </cell>
          <cell r="F80">
            <v>1841.68</v>
          </cell>
        </row>
        <row r="81">
          <cell r="A81" t="str">
            <v>1950728</v>
          </cell>
          <cell r="B81" t="str">
            <v>CAJA TROQUELADA # 50 ( 20*PAQ )</v>
          </cell>
          <cell r="C81" t="str">
            <v>UND</v>
          </cell>
          <cell r="D81">
            <v>783</v>
          </cell>
          <cell r="E81" t="str">
            <v>UND</v>
          </cell>
          <cell r="F81">
            <v>783</v>
          </cell>
        </row>
        <row r="82">
          <cell r="A82" t="str">
            <v>1950729</v>
          </cell>
          <cell r="B82" t="str">
            <v>CAJA BLANCA  MEDIANAS (100 X PAQ)</v>
          </cell>
          <cell r="C82" t="str">
            <v>UND</v>
          </cell>
          <cell r="D82">
            <v>36</v>
          </cell>
          <cell r="E82" t="str">
            <v>UND</v>
          </cell>
          <cell r="F82">
            <v>36</v>
          </cell>
        </row>
        <row r="83">
          <cell r="A83" t="str">
            <v>1950730</v>
          </cell>
          <cell r="B83" t="str">
            <v>CAJA BLANCA  PEQUEÑAS (100 X PAQ)</v>
          </cell>
          <cell r="C83" t="str">
            <v>UND</v>
          </cell>
          <cell r="D83">
            <v>22.919</v>
          </cell>
          <cell r="E83" t="str">
            <v>UND</v>
          </cell>
          <cell r="F83">
            <v>22.919</v>
          </cell>
        </row>
        <row r="84">
          <cell r="A84" t="str">
            <v>1950733</v>
          </cell>
          <cell r="B84" t="str">
            <v>CAPSULA # 10 BLANCA (100 * PAQ)</v>
          </cell>
          <cell r="C84" t="str">
            <v>UND</v>
          </cell>
          <cell r="D84">
            <v>5.78</v>
          </cell>
          <cell r="E84" t="str">
            <v>UND</v>
          </cell>
          <cell r="F84">
            <v>5.78</v>
          </cell>
        </row>
        <row r="85">
          <cell r="A85" t="str">
            <v>1950735</v>
          </cell>
          <cell r="B85" t="str">
            <v>CAPSULA # 5 LOGO (100 * PAQ)</v>
          </cell>
          <cell r="C85" t="str">
            <v>UND</v>
          </cell>
          <cell r="D85">
            <v>8.4</v>
          </cell>
          <cell r="E85" t="str">
            <v>UND</v>
          </cell>
          <cell r="F85">
            <v>8.4</v>
          </cell>
        </row>
        <row r="86">
          <cell r="A86" t="str">
            <v>1950736</v>
          </cell>
          <cell r="B86" t="str">
            <v>CAPSULA # 5 BLANCA (100 * PAQ)</v>
          </cell>
          <cell r="C86" t="str">
            <v>UND</v>
          </cell>
          <cell r="D86">
            <v>7.75</v>
          </cell>
          <cell r="E86" t="str">
            <v>UND</v>
          </cell>
          <cell r="F86">
            <v>7.75</v>
          </cell>
        </row>
        <row r="87">
          <cell r="A87" t="str">
            <v>1950742</v>
          </cell>
          <cell r="B87" t="str">
            <v>VASO SOUFLE 5.5 OZ (PAQ * 250)</v>
          </cell>
          <cell r="C87" t="str">
            <v>UND</v>
          </cell>
          <cell r="D87">
            <v>10.826000000000001</v>
          </cell>
          <cell r="E87" t="str">
            <v>UND</v>
          </cell>
          <cell r="F87">
            <v>10.826000000000001</v>
          </cell>
        </row>
        <row r="88">
          <cell r="A88" t="str">
            <v>1950743</v>
          </cell>
          <cell r="B88" t="str">
            <v>CONTEN. 8B20 CAMPERO (PAQ=50 UND)</v>
          </cell>
          <cell r="C88" t="str">
            <v>UND</v>
          </cell>
          <cell r="D88">
            <v>24</v>
          </cell>
          <cell r="E88" t="str">
            <v>UND</v>
          </cell>
          <cell r="F88">
            <v>24</v>
          </cell>
        </row>
        <row r="89">
          <cell r="A89" t="str">
            <v>1950746</v>
          </cell>
          <cell r="B89" t="str">
            <v>CONTEN. PLAST RED.TRANSP. 16 OZ  (PAQ=500)</v>
          </cell>
          <cell r="C89" t="str">
            <v>UND</v>
          </cell>
          <cell r="D89">
            <v>41.201999999999998</v>
          </cell>
          <cell r="E89" t="str">
            <v>UND</v>
          </cell>
          <cell r="F89">
            <v>41.201999999999998</v>
          </cell>
        </row>
        <row r="90">
          <cell r="A90" t="str">
            <v>1950752</v>
          </cell>
          <cell r="B90" t="str">
            <v>CAJA BLANCA MINI (PAQ=100 UND)</v>
          </cell>
          <cell r="C90" t="str">
            <v>UND</v>
          </cell>
          <cell r="D90">
            <v>22.161999999999999</v>
          </cell>
          <cell r="E90" t="str">
            <v>UND</v>
          </cell>
          <cell r="F90">
            <v>22.161999999999999</v>
          </cell>
        </row>
        <row r="91">
          <cell r="A91" t="str">
            <v>1950756</v>
          </cell>
          <cell r="B91" t="str">
            <v>BANDEJA ALUM DESE #4040 (6 PORC)</v>
          </cell>
          <cell r="C91" t="str">
            <v>UND</v>
          </cell>
          <cell r="D91">
            <v>178.08</v>
          </cell>
          <cell r="E91" t="str">
            <v>UND</v>
          </cell>
          <cell r="F91">
            <v>178.08</v>
          </cell>
        </row>
        <row r="92">
          <cell r="A92" t="str">
            <v>1950765</v>
          </cell>
          <cell r="B92" t="str">
            <v>PLAST. AUTOAD 18 * 2000</v>
          </cell>
          <cell r="C92" t="str">
            <v>CAJA</v>
          </cell>
          <cell r="D92">
            <v>9524.0349999999999</v>
          </cell>
          <cell r="E92" t="str">
            <v>Centimetros</v>
          </cell>
          <cell r="F92">
            <v>0.47620174999999998</v>
          </cell>
        </row>
        <row r="93">
          <cell r="A93" t="str">
            <v>1950767</v>
          </cell>
          <cell r="B93" t="str">
            <v>PAPEL ALUMINIO 12 * 1000</v>
          </cell>
          <cell r="C93" t="str">
            <v>CAJA</v>
          </cell>
          <cell r="D93">
            <v>13787.079</v>
          </cell>
          <cell r="E93" t="str">
            <v>Centimetros</v>
          </cell>
          <cell r="F93">
            <v>1.3787079</v>
          </cell>
        </row>
        <row r="94">
          <cell r="A94" t="str">
            <v>1950769</v>
          </cell>
          <cell r="B94" t="str">
            <v>ORLA N°3 PLATEADA (100 UND)</v>
          </cell>
          <cell r="C94" t="str">
            <v>UND</v>
          </cell>
          <cell r="D94">
            <v>25.997</v>
          </cell>
          <cell r="E94" t="str">
            <v>UND</v>
          </cell>
          <cell r="F94">
            <v>25.997</v>
          </cell>
        </row>
        <row r="95">
          <cell r="A95" t="str">
            <v>1950771</v>
          </cell>
          <cell r="B95" t="str">
            <v>PAPEL ENCERADO 10X10 (CAJA)</v>
          </cell>
          <cell r="C95" t="str">
            <v>PAQ</v>
          </cell>
          <cell r="D95">
            <v>2783</v>
          </cell>
          <cell r="E95" t="str">
            <v>UND</v>
          </cell>
          <cell r="F95">
            <v>5.5659999999999998</v>
          </cell>
        </row>
        <row r="96">
          <cell r="A96" t="str">
            <v>1950772</v>
          </cell>
          <cell r="B96" t="str">
            <v>PAPEL ENCERADO 12 X 10 (CAJA)</v>
          </cell>
          <cell r="C96" t="str">
            <v>PAQ</v>
          </cell>
          <cell r="D96">
            <v>3535.223</v>
          </cell>
          <cell r="E96" t="str">
            <v>UND</v>
          </cell>
          <cell r="F96">
            <v>7.0704459999999996</v>
          </cell>
        </row>
        <row r="97">
          <cell r="A97" t="str">
            <v>1950779</v>
          </cell>
          <cell r="B97" t="str">
            <v>QUEQUERA  9" BAJA. (70 * CAJA)</v>
          </cell>
          <cell r="C97" t="str">
            <v>UND</v>
          </cell>
          <cell r="D97">
            <v>270.87900000000002</v>
          </cell>
          <cell r="E97" t="str">
            <v>UND</v>
          </cell>
          <cell r="F97">
            <v>270.87900000000002</v>
          </cell>
        </row>
        <row r="98">
          <cell r="A98" t="str">
            <v>1950780</v>
          </cell>
          <cell r="B98" t="str">
            <v>QUEQUERA 9"ALTA. (23 * 12cm 70 CAJA)</v>
          </cell>
          <cell r="C98" t="str">
            <v>UND</v>
          </cell>
          <cell r="D98">
            <v>385.01299999999998</v>
          </cell>
          <cell r="E98" t="str">
            <v>UND</v>
          </cell>
          <cell r="F98">
            <v>385.01299999999998</v>
          </cell>
        </row>
        <row r="99">
          <cell r="A99" t="str">
            <v>1950782</v>
          </cell>
          <cell r="B99" t="str">
            <v>QUEQUERAS 10"  BAJA (25.5*7cm 100 CAJA.)</v>
          </cell>
          <cell r="C99" t="str">
            <v>UND</v>
          </cell>
          <cell r="D99">
            <v>541.38</v>
          </cell>
          <cell r="E99" t="str">
            <v>UND</v>
          </cell>
          <cell r="F99">
            <v>541.38</v>
          </cell>
        </row>
        <row r="100">
          <cell r="A100" t="str">
            <v>1950788</v>
          </cell>
          <cell r="B100" t="str">
            <v>TAPA 20DLCR P/CONTE.8B20 CAMPERO (PAQ=100UND )</v>
          </cell>
          <cell r="C100" t="str">
            <v>UND</v>
          </cell>
          <cell r="D100">
            <v>35.450000000000003</v>
          </cell>
          <cell r="E100" t="str">
            <v>UND</v>
          </cell>
          <cell r="F100">
            <v>35.450000000000003</v>
          </cell>
        </row>
        <row r="101">
          <cell r="A101" t="str">
            <v>1950791</v>
          </cell>
          <cell r="B101" t="str">
            <v>TAPA PLAST. SUFLE 5.5 oz (PAQ=250 UND)</v>
          </cell>
          <cell r="C101" t="str">
            <v>UND</v>
          </cell>
          <cell r="D101">
            <v>7.7149999999999999</v>
          </cell>
          <cell r="E101" t="str">
            <v>UND</v>
          </cell>
          <cell r="F101">
            <v>7.7149999999999999</v>
          </cell>
        </row>
        <row r="102">
          <cell r="A102" t="str">
            <v>1950795</v>
          </cell>
          <cell r="B102" t="str">
            <v>BOLSA AL VACIO 6X8 100 PAQ</v>
          </cell>
          <cell r="C102" t="str">
            <v>UND</v>
          </cell>
          <cell r="D102">
            <v>17.401</v>
          </cell>
          <cell r="E102" t="str">
            <v>UND</v>
          </cell>
          <cell r="F102">
            <v>17.401</v>
          </cell>
        </row>
        <row r="103">
          <cell r="A103" t="str">
            <v>1950807</v>
          </cell>
          <cell r="B103" t="str">
            <v>ORLA 5" DORADA (PAQ= 100 UND)</v>
          </cell>
          <cell r="C103" t="str">
            <v>UND</v>
          </cell>
          <cell r="D103">
            <v>95.801000000000002</v>
          </cell>
          <cell r="E103" t="str">
            <v>UND</v>
          </cell>
          <cell r="F103">
            <v>95.801000000000002</v>
          </cell>
        </row>
        <row r="104">
          <cell r="A104" t="str">
            <v>1950808</v>
          </cell>
          <cell r="B104" t="str">
            <v>ORLA CARTON  8" DORADA (100 * PAQ )</v>
          </cell>
          <cell r="C104" t="str">
            <v>UND</v>
          </cell>
          <cell r="D104">
            <v>69</v>
          </cell>
          <cell r="E104" t="str">
            <v>UND</v>
          </cell>
          <cell r="F104">
            <v>69</v>
          </cell>
        </row>
        <row r="105">
          <cell r="A105" t="str">
            <v>1950810</v>
          </cell>
          <cell r="B105" t="str">
            <v>CAJA TROQUELADA # 15 ( 25 * PAQ )</v>
          </cell>
          <cell r="C105" t="str">
            <v>UND</v>
          </cell>
          <cell r="D105">
            <v>1302.367</v>
          </cell>
          <cell r="E105" t="str">
            <v>UND</v>
          </cell>
          <cell r="F105">
            <v>1302.367</v>
          </cell>
        </row>
        <row r="106">
          <cell r="A106" t="str">
            <v>1950811</v>
          </cell>
          <cell r="B106" t="str">
            <v>BASE CARTON 15 PORCIONES ( 25 * PAQ.)</v>
          </cell>
          <cell r="C106" t="str">
            <v>UND</v>
          </cell>
          <cell r="D106">
            <v>145</v>
          </cell>
          <cell r="E106" t="str">
            <v>UND</v>
          </cell>
          <cell r="F106">
            <v>145</v>
          </cell>
        </row>
        <row r="107">
          <cell r="A107" t="str">
            <v>1950812</v>
          </cell>
          <cell r="B107" t="str">
            <v>BASE CARTON 30 PORCIONES ( 25 * PAQ )</v>
          </cell>
          <cell r="C107" t="str">
            <v>UND</v>
          </cell>
          <cell r="D107">
            <v>176</v>
          </cell>
          <cell r="E107" t="str">
            <v>UND</v>
          </cell>
          <cell r="F107">
            <v>176</v>
          </cell>
        </row>
        <row r="108">
          <cell r="A108" t="str">
            <v>1950818</v>
          </cell>
          <cell r="B108" t="str">
            <v>QUEQUERA RECT. T41 ( 50 UNI )</v>
          </cell>
          <cell r="C108" t="str">
            <v>UND</v>
          </cell>
          <cell r="D108">
            <v>767.19899999999996</v>
          </cell>
          <cell r="E108" t="str">
            <v>UND</v>
          </cell>
          <cell r="F108">
            <v>767.19899999999996</v>
          </cell>
        </row>
        <row r="109">
          <cell r="A109" t="str">
            <v>1950829</v>
          </cell>
          <cell r="B109" t="str">
            <v xml:space="preserve">BASE CARTON 30 PORC DELGADA </v>
          </cell>
          <cell r="C109" t="str">
            <v>UND</v>
          </cell>
          <cell r="D109">
            <v>188.82499999999999</v>
          </cell>
          <cell r="E109" t="str">
            <v>UND</v>
          </cell>
          <cell r="F109">
            <v>18.8825</v>
          </cell>
        </row>
        <row r="110">
          <cell r="A110" t="str">
            <v>1950837</v>
          </cell>
          <cell r="B110" t="str">
            <v>FONDO P/CAJA BLANCA ( UND)</v>
          </cell>
          <cell r="C110" t="str">
            <v>UND</v>
          </cell>
          <cell r="D110">
            <v>48.207999999999998</v>
          </cell>
          <cell r="E110" t="str">
            <v>UND</v>
          </cell>
          <cell r="F110">
            <v>48.207999999999998</v>
          </cell>
        </row>
        <row r="111">
          <cell r="A111" t="str">
            <v>1950853</v>
          </cell>
          <cell r="B111" t="str">
            <v>VASO 9oz P/SUNDAE TS9(PAQ=50 UND)</v>
          </cell>
          <cell r="C111" t="str">
            <v>UND</v>
          </cell>
          <cell r="D111">
            <v>41.5</v>
          </cell>
          <cell r="E111" t="str">
            <v>UND</v>
          </cell>
          <cell r="F111">
            <v>41.5</v>
          </cell>
        </row>
        <row r="112">
          <cell r="A112" t="str">
            <v>1950854</v>
          </cell>
          <cell r="B112" t="str">
            <v>TAPA VASO 9oz P/SUNDAE (PAQ=50 UND)</v>
          </cell>
          <cell r="C112" t="str">
            <v>UND</v>
          </cell>
          <cell r="D112">
            <v>19.748999999999999</v>
          </cell>
          <cell r="E112" t="str">
            <v>UND</v>
          </cell>
          <cell r="F112">
            <v>19.748999999999999</v>
          </cell>
        </row>
        <row r="113">
          <cell r="A113" t="str">
            <v>1950865</v>
          </cell>
          <cell r="B113" t="str">
            <v>QUEQUERA 8 ALTA (100U)</v>
          </cell>
          <cell r="C113" t="str">
            <v>UND</v>
          </cell>
          <cell r="D113">
            <v>242</v>
          </cell>
          <cell r="E113" t="str">
            <v>UND</v>
          </cell>
          <cell r="F113">
            <v>242</v>
          </cell>
        </row>
        <row r="114">
          <cell r="A114" t="str">
            <v>1950873</v>
          </cell>
          <cell r="B114" t="str">
            <v>BOLSA CELOFAN TRANSP. (30X45 cm)</v>
          </cell>
          <cell r="C114" t="str">
            <v>KILO</v>
          </cell>
          <cell r="D114">
            <v>4135</v>
          </cell>
          <cell r="E114" t="str">
            <v>UND</v>
          </cell>
          <cell r="F114">
            <v>41.35</v>
          </cell>
        </row>
        <row r="115">
          <cell r="A115" t="str">
            <v>1950879</v>
          </cell>
          <cell r="B115" t="str">
            <v>BANDEJA PLASTICA 3 DIV. (250 UND)</v>
          </cell>
          <cell r="C115" t="str">
            <v>UND</v>
          </cell>
          <cell r="D115">
            <v>106.91800000000001</v>
          </cell>
          <cell r="E115" t="str">
            <v>UND</v>
          </cell>
          <cell r="F115">
            <v>106.91800000000001</v>
          </cell>
        </row>
        <row r="116">
          <cell r="A116" t="str">
            <v>1950880</v>
          </cell>
          <cell r="B116" t="str">
            <v>TAPA BANDEJA PLASTICA 3 DIV. (250 UND)</v>
          </cell>
          <cell r="C116" t="str">
            <v>UND</v>
          </cell>
          <cell r="D116">
            <v>87.055000000000007</v>
          </cell>
          <cell r="E116" t="str">
            <v>UND</v>
          </cell>
          <cell r="F116">
            <v>87.055000000000007</v>
          </cell>
        </row>
        <row r="117">
          <cell r="A117" t="str">
            <v>1950895</v>
          </cell>
          <cell r="B117" t="str">
            <v>BOLSA CELOFAN 6 X 9 (KILO)</v>
          </cell>
          <cell r="C117" t="str">
            <v>KILO</v>
          </cell>
          <cell r="D117">
            <v>4134.9430000000002</v>
          </cell>
          <cell r="E117" t="str">
            <v>UND</v>
          </cell>
          <cell r="F117">
            <v>12.380068862275449</v>
          </cell>
        </row>
        <row r="118">
          <cell r="A118" t="str">
            <v>1950896</v>
          </cell>
          <cell r="B118" t="str">
            <v>BANDEJA 17-1 NEGRA EST.(500U)</v>
          </cell>
          <cell r="C118" t="str">
            <v>UND</v>
          </cell>
          <cell r="D118">
            <v>25.364999999999998</v>
          </cell>
          <cell r="E118" t="str">
            <v>UND</v>
          </cell>
          <cell r="F118">
            <v>25.364999999999998</v>
          </cell>
        </row>
        <row r="119">
          <cell r="A119" t="str">
            <v>1950904</v>
          </cell>
          <cell r="B119" t="str">
            <v>BOLSA TRANSPARENTE  6 X 10 (KILO)</v>
          </cell>
          <cell r="C119" t="str">
            <v>KILO</v>
          </cell>
          <cell r="D119">
            <v>1350.1179999999999</v>
          </cell>
          <cell r="E119" t="str">
            <v>UND</v>
          </cell>
          <cell r="F119">
            <v>4.0422694610778445</v>
          </cell>
        </row>
        <row r="120">
          <cell r="A120" t="str">
            <v>1950907</v>
          </cell>
          <cell r="B120" t="str">
            <v>CAJA QQ SECO (750UND)</v>
          </cell>
          <cell r="C120" t="str">
            <v>UND</v>
          </cell>
          <cell r="D120">
            <v>68.084000000000003</v>
          </cell>
          <cell r="E120" t="str">
            <v>UND</v>
          </cell>
          <cell r="F120">
            <v>68.084000000000003</v>
          </cell>
        </row>
        <row r="121">
          <cell r="A121" t="str">
            <v>1950909</v>
          </cell>
          <cell r="B121" t="str">
            <v>CONT.24 ONZ.TAPA PLANA (PAQ=100)</v>
          </cell>
          <cell r="C121" t="str">
            <v>UND</v>
          </cell>
          <cell r="D121">
            <v>168.37100000000001</v>
          </cell>
          <cell r="E121" t="str">
            <v>UND</v>
          </cell>
          <cell r="F121">
            <v>168.37100000000001</v>
          </cell>
        </row>
        <row r="122">
          <cell r="A122" t="str">
            <v>1950912</v>
          </cell>
          <cell r="B122" t="str">
            <v>BANDEJA TRANSPARENTE DELI 12ON (252 und)</v>
          </cell>
          <cell r="C122" t="str">
            <v>UND</v>
          </cell>
          <cell r="D122">
            <v>22.966999999999999</v>
          </cell>
          <cell r="E122" t="str">
            <v>UND</v>
          </cell>
          <cell r="F122">
            <v>22.966999999999999</v>
          </cell>
        </row>
        <row r="123">
          <cell r="A123" t="str">
            <v>1950920</v>
          </cell>
          <cell r="B123" t="str">
            <v>SUFLE PLASTICO TRASLUCIDO 1 ONZ (PAQ=100 UND)</v>
          </cell>
          <cell r="C123" t="str">
            <v>UND</v>
          </cell>
          <cell r="D123">
            <v>6.8479999999999999</v>
          </cell>
          <cell r="E123" t="str">
            <v>UND</v>
          </cell>
          <cell r="F123">
            <v>6.8479999999999999</v>
          </cell>
        </row>
        <row r="124">
          <cell r="A124" t="str">
            <v>1950921</v>
          </cell>
          <cell r="B124" t="str">
            <v>TAPA SUFLE PLAST .5/.75/1 OZ (PAQ=100 UND)</v>
          </cell>
          <cell r="C124" t="str">
            <v>UND</v>
          </cell>
          <cell r="D124">
            <v>5.0579999999999998</v>
          </cell>
          <cell r="E124" t="str">
            <v>UND</v>
          </cell>
          <cell r="F124">
            <v>5.0579999999999998</v>
          </cell>
        </row>
        <row r="125">
          <cell r="A125" t="str">
            <v>1950922</v>
          </cell>
          <cell r="B125" t="str">
            <v>CAJA TORTA CHILENA GRANDE</v>
          </cell>
          <cell r="C125" t="str">
            <v>UND</v>
          </cell>
          <cell r="D125">
            <v>262.95499999999998</v>
          </cell>
          <cell r="E125" t="str">
            <v>UND</v>
          </cell>
          <cell r="F125">
            <v>262.95499999999998</v>
          </cell>
        </row>
        <row r="126">
          <cell r="A126" t="str">
            <v>1950923</v>
          </cell>
          <cell r="B126" t="str">
            <v>CAJA P/ALFAJORES (CAJA=375 UND)</v>
          </cell>
          <cell r="C126" t="str">
            <v>UND</v>
          </cell>
          <cell r="D126">
            <v>339.47899999999998</v>
          </cell>
          <cell r="E126" t="str">
            <v>UND</v>
          </cell>
          <cell r="F126">
            <v>339.47899999999998</v>
          </cell>
        </row>
        <row r="127">
          <cell r="A127" t="str">
            <v>1950924</v>
          </cell>
          <cell r="B127" t="str">
            <v>BANDEJA P/CAJA DE CHILENA/ALFAJOR(UND)</v>
          </cell>
          <cell r="C127" t="str">
            <v>UND</v>
          </cell>
          <cell r="D127">
            <v>54.728999999999999</v>
          </cell>
          <cell r="E127" t="str">
            <v>UND</v>
          </cell>
          <cell r="F127">
            <v>54.728999999999999</v>
          </cell>
        </row>
        <row r="128">
          <cell r="A128" t="str">
            <v>1950928</v>
          </cell>
          <cell r="B128" t="str">
            <v>BOLSA TRANSPARENTE 56X96X1.80</v>
          </cell>
          <cell r="C128" t="str">
            <v>KILO</v>
          </cell>
          <cell r="D128">
            <v>1400</v>
          </cell>
          <cell r="E128" t="str">
            <v>UND</v>
          </cell>
          <cell r="F128">
            <v>50</v>
          </cell>
        </row>
        <row r="129">
          <cell r="A129" t="str">
            <v>1950929</v>
          </cell>
          <cell r="B129" t="str">
            <v>BOLSA CELOFAN 10X20 (KILO)</v>
          </cell>
          <cell r="C129" t="str">
            <v>KILO</v>
          </cell>
          <cell r="D129">
            <v>3872.431</v>
          </cell>
          <cell r="E129" t="str">
            <v>UND</v>
          </cell>
          <cell r="F129">
            <v>0</v>
          </cell>
        </row>
        <row r="130">
          <cell r="A130" t="str">
            <v>1950934</v>
          </cell>
          <cell r="B130" t="str">
            <v>CINTA BORDADA LOGO (ROLLO=20M)</v>
          </cell>
          <cell r="C130" t="str">
            <v>ROLLO</v>
          </cell>
          <cell r="D130">
            <v>6310.201</v>
          </cell>
          <cell r="E130" t="str">
            <v>Centimetros</v>
          </cell>
          <cell r="F130">
            <v>3.1551005000000001</v>
          </cell>
        </row>
        <row r="131">
          <cell r="A131" t="str">
            <v>1950942</v>
          </cell>
          <cell r="B131" t="str">
            <v>ORLA #4 DORADA REDONDA(UND)</v>
          </cell>
          <cell r="C131" t="str">
            <v>UND</v>
          </cell>
          <cell r="D131">
            <v>29.498999999999999</v>
          </cell>
          <cell r="E131" t="str">
            <v>UND</v>
          </cell>
          <cell r="F131">
            <v>29.498999999999999</v>
          </cell>
        </row>
        <row r="132">
          <cell r="A132" t="str">
            <v>1950945</v>
          </cell>
          <cell r="B132" t="str">
            <v>TAPA PLASTICA P/CONT DELI. 8/12/16 ONZ (CAJA=1008 UND)</v>
          </cell>
          <cell r="C132" t="str">
            <v>UND</v>
          </cell>
          <cell r="D132">
            <v>30.794</v>
          </cell>
          <cell r="E132" t="str">
            <v>UND</v>
          </cell>
          <cell r="F132">
            <v>30.794</v>
          </cell>
        </row>
        <row r="133">
          <cell r="A133" t="str">
            <v>1950952</v>
          </cell>
          <cell r="B133" t="str">
            <v>QUEQUERA 9 ALTA PREMIUM (CAJA=150 UND)</v>
          </cell>
          <cell r="C133" t="str">
            <v>UND</v>
          </cell>
          <cell r="D133">
            <v>413.55200000000002</v>
          </cell>
          <cell r="E133" t="str">
            <v>UND</v>
          </cell>
          <cell r="F133">
            <v>413.55200000000002</v>
          </cell>
        </row>
        <row r="134">
          <cell r="A134" t="str">
            <v>1950953</v>
          </cell>
          <cell r="B134" t="str">
            <v>QUEQUERA 10 ALTA PREMIUM (CAJA=90 UND)</v>
          </cell>
          <cell r="C134" t="str">
            <v>UND</v>
          </cell>
          <cell r="D134">
            <v>430.745</v>
          </cell>
          <cell r="E134" t="str">
            <v>UND</v>
          </cell>
          <cell r="F134">
            <v>430.745</v>
          </cell>
        </row>
        <row r="135">
          <cell r="A135" t="str">
            <v>1950957</v>
          </cell>
          <cell r="B135" t="str">
            <v>ORLA #1 P/LATA NAVIDEÑA (UND)</v>
          </cell>
          <cell r="C135" t="str">
            <v>UND</v>
          </cell>
          <cell r="D135">
            <v>48.494999999999997</v>
          </cell>
          <cell r="E135" t="str">
            <v>UND</v>
          </cell>
          <cell r="F135">
            <v>48.494999999999997</v>
          </cell>
        </row>
        <row r="136">
          <cell r="A136" t="str">
            <v>1950958</v>
          </cell>
          <cell r="B136" t="str">
            <v>ORLA #2 P/LATA NAVIDEÑA (UND)</v>
          </cell>
          <cell r="C136" t="str">
            <v>UND</v>
          </cell>
          <cell r="D136">
            <v>71.403999999999996</v>
          </cell>
          <cell r="E136" t="str">
            <v>UND</v>
          </cell>
          <cell r="F136">
            <v>71.403999999999996</v>
          </cell>
        </row>
        <row r="137">
          <cell r="A137" t="str">
            <v>1950965</v>
          </cell>
          <cell r="B137" t="str">
            <v>BURBUJA TRIANGULAR G630 (CAJA=300 UND)</v>
          </cell>
          <cell r="C137" t="str">
            <v>UND</v>
          </cell>
          <cell r="D137">
            <v>61.478000000000002</v>
          </cell>
          <cell r="E137" t="str">
            <v>UND</v>
          </cell>
          <cell r="F137">
            <v>61.478000000000002</v>
          </cell>
        </row>
        <row r="138">
          <cell r="A138" t="str">
            <v>1952320</v>
          </cell>
          <cell r="B138" t="str">
            <v>QUEQUERA PLASTICA 12 CENT. (CAJA=250UND)</v>
          </cell>
          <cell r="C138" t="str">
            <v>UND</v>
          </cell>
          <cell r="D138">
            <v>56.188000000000002</v>
          </cell>
          <cell r="E138" t="str">
            <v>UND</v>
          </cell>
          <cell r="F138">
            <v>56.188000000000002</v>
          </cell>
        </row>
        <row r="139">
          <cell r="A139" t="str">
            <v>1952378</v>
          </cell>
          <cell r="B139" t="str">
            <v>CONTEN. TAPA PLANA ( 480 UND )</v>
          </cell>
          <cell r="C139" t="str">
            <v>UND</v>
          </cell>
          <cell r="D139">
            <v>56</v>
          </cell>
          <cell r="E139" t="str">
            <v>UND</v>
          </cell>
          <cell r="F139">
            <v>56</v>
          </cell>
        </row>
        <row r="140">
          <cell r="A140" t="str">
            <v>1952388</v>
          </cell>
          <cell r="B140" t="str">
            <v>BOLSA AL VACIO 7X9  ( PAQ=100 UND )</v>
          </cell>
          <cell r="C140" t="str">
            <v>UND</v>
          </cell>
          <cell r="D140">
            <v>23.4</v>
          </cell>
          <cell r="E140" t="str">
            <v>UND</v>
          </cell>
          <cell r="F140">
            <v>23.4</v>
          </cell>
        </row>
        <row r="141">
          <cell r="A141" t="str">
            <v>1952389</v>
          </cell>
          <cell r="B141" t="str">
            <v>BOLSA AL VACIO 6X6 100 PAQ</v>
          </cell>
          <cell r="C141" t="str">
            <v>UND</v>
          </cell>
          <cell r="D141">
            <v>16</v>
          </cell>
          <cell r="E141" t="str">
            <v>UND</v>
          </cell>
          <cell r="F141">
            <v>16</v>
          </cell>
        </row>
        <row r="142">
          <cell r="A142" t="str">
            <v>1952392</v>
          </cell>
          <cell r="B142" t="str">
            <v>BOLSA AL VACIO 10X15 100 UND</v>
          </cell>
          <cell r="C142" t="str">
            <v>UND</v>
          </cell>
          <cell r="D142">
            <v>78</v>
          </cell>
          <cell r="E142" t="str">
            <v>UND</v>
          </cell>
          <cell r="F142">
            <v>78</v>
          </cell>
        </row>
        <row r="143">
          <cell r="A143" t="str">
            <v>1952393</v>
          </cell>
          <cell r="B143" t="str">
            <v>BOLSA AL VACIO 8*10 ( 100 * PAQ )</v>
          </cell>
          <cell r="C143" t="str">
            <v>UND</v>
          </cell>
          <cell r="D143">
            <v>30.834</v>
          </cell>
          <cell r="E143" t="str">
            <v>UND</v>
          </cell>
          <cell r="F143">
            <v>30.834</v>
          </cell>
        </row>
        <row r="144">
          <cell r="A144" t="str">
            <v>1952398</v>
          </cell>
          <cell r="B144" t="str">
            <v>BASE 75 PORCIONES ( PAQ )</v>
          </cell>
          <cell r="C144" t="str">
            <v>PAQ</v>
          </cell>
          <cell r="D144">
            <v>6400</v>
          </cell>
          <cell r="E144" t="str">
            <v>UND</v>
          </cell>
          <cell r="F144">
            <v>640</v>
          </cell>
        </row>
        <row r="145">
          <cell r="A145" t="str">
            <v>1952400</v>
          </cell>
          <cell r="B145" t="str">
            <v>BOLSA BUCCA PALMERITAS (10*20CM)( KILO )</v>
          </cell>
          <cell r="C145" t="str">
            <v>KILO</v>
          </cell>
          <cell r="D145">
            <v>3899.605</v>
          </cell>
          <cell r="E145" t="str">
            <v>UND</v>
          </cell>
          <cell r="F145">
            <v>3.8996050000000002</v>
          </cell>
        </row>
        <row r="146">
          <cell r="A146" t="str">
            <v>1952402</v>
          </cell>
          <cell r="B146" t="str">
            <v>BOLSA BUCCA CLASSICA (10*13.5cm) ( KILO )</v>
          </cell>
          <cell r="C146" t="str">
            <v>KILO</v>
          </cell>
          <cell r="D146">
            <v>4097</v>
          </cell>
          <cell r="E146" t="str">
            <v>UND</v>
          </cell>
          <cell r="F146">
            <v>10.781578947368422</v>
          </cell>
        </row>
        <row r="147">
          <cell r="A147" t="str">
            <v>1952409</v>
          </cell>
          <cell r="B147" t="str">
            <v>BANDEJA  ALUMINIO A-42 (4PORC) ( 500 UND )</v>
          </cell>
          <cell r="C147" t="str">
            <v>UND</v>
          </cell>
          <cell r="D147">
            <v>80.251999999999995</v>
          </cell>
          <cell r="E147" t="str">
            <v>UND</v>
          </cell>
          <cell r="F147">
            <v>80.251999999999995</v>
          </cell>
        </row>
        <row r="148">
          <cell r="A148" t="str">
            <v>1952410</v>
          </cell>
          <cell r="B148" t="str">
            <v>TAPA CONTEN. ALUMINIO A-42 (4 PORC) ( 250 UND )</v>
          </cell>
          <cell r="C148" t="str">
            <v>UND</v>
          </cell>
          <cell r="D148">
            <v>62.628</v>
          </cell>
          <cell r="E148" t="str">
            <v>UND</v>
          </cell>
          <cell r="F148">
            <v>62.628</v>
          </cell>
        </row>
        <row r="149">
          <cell r="A149" t="str">
            <v>1952420</v>
          </cell>
          <cell r="B149" t="str">
            <v>TAPA CONTE PLAST RED. 8-16 ONZ  (CAJA=500 UND)</v>
          </cell>
          <cell r="C149" t="str">
            <v>UND</v>
          </cell>
          <cell r="D149">
            <v>27.731999999999999</v>
          </cell>
          <cell r="E149" t="str">
            <v>UND</v>
          </cell>
          <cell r="F149">
            <v>27.731999999999999</v>
          </cell>
        </row>
        <row r="150">
          <cell r="A150" t="str">
            <v>1952425</v>
          </cell>
          <cell r="B150" t="str">
            <v>CAJA # 1 CARTULINA C/TAPA PEQ. ( PAQ 100 )</v>
          </cell>
          <cell r="C150" t="str">
            <v>UND</v>
          </cell>
          <cell r="D150">
            <v>212.67500000000001</v>
          </cell>
          <cell r="E150" t="str">
            <v>UND</v>
          </cell>
          <cell r="F150">
            <v>212.67500000000001</v>
          </cell>
        </row>
        <row r="151">
          <cell r="A151" t="str">
            <v>1952432</v>
          </cell>
          <cell r="B151" t="str">
            <v>TAPA BAND ALUM. DESE 4040 (6 PORC) (CAJA=250 UND)</v>
          </cell>
          <cell r="C151" t="str">
            <v>UND</v>
          </cell>
          <cell r="D151">
            <v>71.456000000000003</v>
          </cell>
          <cell r="E151" t="str">
            <v>UND</v>
          </cell>
          <cell r="F151">
            <v>71.456000000000003</v>
          </cell>
        </row>
        <row r="152">
          <cell r="A152" t="str">
            <v>1952436</v>
          </cell>
          <cell r="B152" t="str">
            <v>CAJA P/CHOCO ALFAJOR ( 22.7x16.7x2.8 ) ( UND )</v>
          </cell>
          <cell r="C152" t="str">
            <v>UND</v>
          </cell>
          <cell r="D152">
            <v>191.886</v>
          </cell>
          <cell r="E152" t="str">
            <v>UND</v>
          </cell>
          <cell r="F152">
            <v>191.886</v>
          </cell>
        </row>
        <row r="153">
          <cell r="A153" t="str">
            <v>1952441</v>
          </cell>
          <cell r="B153" t="str">
            <v>BOLSA AL VACIO 3 X 8 (UND)</v>
          </cell>
          <cell r="C153" t="str">
            <v>UND</v>
          </cell>
          <cell r="D153">
            <v>19</v>
          </cell>
          <cell r="E153" t="str">
            <v>UND</v>
          </cell>
          <cell r="F153">
            <v>19</v>
          </cell>
        </row>
        <row r="154">
          <cell r="A154" t="str">
            <v>1952804</v>
          </cell>
          <cell r="B154" t="str">
            <v>BANDEJA BLANCA POSTRES SCATOLA ROSA</v>
          </cell>
          <cell r="C154" t="str">
            <v>UND</v>
          </cell>
          <cell r="D154">
            <v>1</v>
          </cell>
          <cell r="E154" t="str">
            <v>UND</v>
          </cell>
          <cell r="F154">
            <v>1</v>
          </cell>
        </row>
        <row r="155">
          <cell r="A155" t="str">
            <v>1952834</v>
          </cell>
          <cell r="B155" t="str">
            <v>COMBO PACK DOBLE USO C/TAPA 16 onz (PAQ=100)</v>
          </cell>
          <cell r="C155" t="str">
            <v>UND</v>
          </cell>
          <cell r="D155">
            <v>62.920999999999999</v>
          </cell>
          <cell r="E155" t="str">
            <v>UND</v>
          </cell>
          <cell r="F155">
            <v>62.920999999999999</v>
          </cell>
        </row>
        <row r="156">
          <cell r="A156" t="str">
            <v>1952839</v>
          </cell>
          <cell r="B156" t="str">
            <v>LAMINAS ACETATO</v>
          </cell>
          <cell r="C156" t="str">
            <v>UND</v>
          </cell>
          <cell r="D156">
            <v>81.039000000000001</v>
          </cell>
          <cell r="E156" t="str">
            <v>UND</v>
          </cell>
          <cell r="F156">
            <v>81.039000000000001</v>
          </cell>
        </row>
        <row r="157">
          <cell r="A157" t="str">
            <v>1952846</v>
          </cell>
          <cell r="B157" t="str">
            <v>BANDEJA DELI MW1000 (700 UND)</v>
          </cell>
          <cell r="C157" t="str">
            <v>UND</v>
          </cell>
          <cell r="D157">
            <v>50</v>
          </cell>
          <cell r="E157" t="str">
            <v>UND</v>
          </cell>
          <cell r="F157">
            <v>50</v>
          </cell>
        </row>
        <row r="158">
          <cell r="A158" t="str">
            <v>1952847</v>
          </cell>
          <cell r="B158" t="str">
            <v>BANDEJA DELI MW1500 (CAJA =700 UND)</v>
          </cell>
          <cell r="C158" t="str">
            <v>UND</v>
          </cell>
          <cell r="D158">
            <v>43.762</v>
          </cell>
          <cell r="E158" t="str">
            <v>UND</v>
          </cell>
          <cell r="F158">
            <v>43.762</v>
          </cell>
        </row>
        <row r="159">
          <cell r="A159" t="str">
            <v>1952851</v>
          </cell>
          <cell r="B159" t="str">
            <v>CONTENEDOR CUADRADO 9X9X5(600 UND)</v>
          </cell>
          <cell r="C159" t="str">
            <v>CAJA</v>
          </cell>
          <cell r="D159">
            <v>28828.284</v>
          </cell>
          <cell r="E159" t="str">
            <v>UND</v>
          </cell>
          <cell r="F159">
            <v>48.047139999999999</v>
          </cell>
        </row>
        <row r="160">
          <cell r="A160" t="str">
            <v>1952855</v>
          </cell>
          <cell r="B160" t="str">
            <v>BOLSA TRANSPARENTE BOOP 35 MICRAS 115X24X190MM</v>
          </cell>
          <cell r="C160" t="str">
            <v>KILO</v>
          </cell>
          <cell r="D160">
            <v>3723.92</v>
          </cell>
          <cell r="E160" t="str">
            <v>UND</v>
          </cell>
          <cell r="F160">
            <v>8.6768255743510885</v>
          </cell>
        </row>
        <row r="161">
          <cell r="A161" t="str">
            <v>1952856</v>
          </cell>
          <cell r="B161" t="str">
            <v>BOLSA TRANSPARENTE BOPP 35 MICRAS 76X24X298MM</v>
          </cell>
          <cell r="C161" t="str">
            <v>KILO</v>
          </cell>
          <cell r="D161">
            <v>3856.58</v>
          </cell>
          <cell r="E161" t="str">
            <v>UND</v>
          </cell>
          <cell r="F161">
            <v>10.220166953756459</v>
          </cell>
        </row>
        <row r="162">
          <cell r="A162" t="str">
            <v>1952857</v>
          </cell>
          <cell r="B162" t="str">
            <v>BOLSA TRANSPARENTE BOPP 35 MICRAS 100X200MM</v>
          </cell>
          <cell r="C162" t="str">
            <v>KILO</v>
          </cell>
          <cell r="D162">
            <v>3724.9929999999999</v>
          </cell>
          <cell r="E162" t="str">
            <v>UND</v>
          </cell>
          <cell r="F162">
            <v>0</v>
          </cell>
        </row>
        <row r="163">
          <cell r="A163" t="str">
            <v>1952858</v>
          </cell>
          <cell r="B163" t="str">
            <v>CAJA WRAP</v>
          </cell>
          <cell r="C163" t="str">
            <v>UND</v>
          </cell>
          <cell r="D163">
            <v>60</v>
          </cell>
          <cell r="E163" t="str">
            <v>UND</v>
          </cell>
          <cell r="F163">
            <v>60</v>
          </cell>
        </row>
        <row r="164">
          <cell r="A164" t="str">
            <v>1952859</v>
          </cell>
          <cell r="B164" t="str">
            <v>BOLSAS CELOFAN SCATOLA ROSSA</v>
          </cell>
          <cell r="C164" t="str">
            <v>KILO</v>
          </cell>
          <cell r="D164">
            <v>196.54499999999999</v>
          </cell>
          <cell r="E164" t="str">
            <v>UND</v>
          </cell>
          <cell r="F164">
            <v>196.54499999999999</v>
          </cell>
        </row>
        <row r="165">
          <cell r="A165" t="str">
            <v>1952862</v>
          </cell>
          <cell r="B165" t="str">
            <v>CAJAS MASTER MUFFINS  SCATOLA ROSSA</v>
          </cell>
          <cell r="C165" t="str">
            <v>UND</v>
          </cell>
          <cell r="D165">
            <v>1</v>
          </cell>
          <cell r="E165" t="str">
            <v>UND</v>
          </cell>
          <cell r="F165">
            <v>1</v>
          </cell>
        </row>
        <row r="166">
          <cell r="A166" t="str">
            <v>1952863</v>
          </cell>
          <cell r="B166" t="str">
            <v>MOLDE REDONDO ALUMINIO SCATOLA ROSSA</v>
          </cell>
          <cell r="C166" t="str">
            <v>UND</v>
          </cell>
          <cell r="D166">
            <v>1</v>
          </cell>
          <cell r="E166" t="str">
            <v>UND</v>
          </cell>
          <cell r="F166">
            <v>1</v>
          </cell>
        </row>
        <row r="167">
          <cell r="A167" t="str">
            <v>1952864</v>
          </cell>
          <cell r="B167" t="str">
            <v>CAJA MASTER QUEQUES SCATOLA ROSSA</v>
          </cell>
          <cell r="C167" t="str">
            <v>UND</v>
          </cell>
          <cell r="D167">
            <v>1</v>
          </cell>
          <cell r="E167" t="str">
            <v>UND</v>
          </cell>
          <cell r="F167">
            <v>1</v>
          </cell>
        </row>
        <row r="168">
          <cell r="A168" t="str">
            <v>1952865</v>
          </cell>
          <cell r="B168" t="str">
            <v>CAJA IMPRESA QUEQUE ZANAHORIA SCATOLO ROSSA</v>
          </cell>
          <cell r="C168" t="str">
            <v>UND</v>
          </cell>
          <cell r="D168">
            <v>1</v>
          </cell>
          <cell r="E168" t="str">
            <v>UND</v>
          </cell>
          <cell r="F168">
            <v>1</v>
          </cell>
        </row>
        <row r="169">
          <cell r="A169" t="str">
            <v>1952867</v>
          </cell>
          <cell r="B169" t="str">
            <v>CAJA IMPRESA TORTA ESPINACA SCATOLA ROSSA</v>
          </cell>
          <cell r="C169" t="str">
            <v>UND</v>
          </cell>
          <cell r="D169">
            <v>1</v>
          </cell>
          <cell r="E169" t="str">
            <v>UND</v>
          </cell>
          <cell r="F169">
            <v>1</v>
          </cell>
        </row>
        <row r="170">
          <cell r="A170" t="str">
            <v>1952873</v>
          </cell>
          <cell r="B170" t="str">
            <v>CONTENEDOR CUADRADO POTE (CAJA=600UND)</v>
          </cell>
          <cell r="C170" t="str">
            <v>UND</v>
          </cell>
          <cell r="D170">
            <v>52.966999999999999</v>
          </cell>
          <cell r="E170" t="str">
            <v>UND</v>
          </cell>
          <cell r="F170">
            <v>52.966999999999999</v>
          </cell>
        </row>
        <row r="171">
          <cell r="A171" t="str">
            <v>1952874</v>
          </cell>
          <cell r="B171" t="str">
            <v>ORLA #8 BUCCA (PAQ= 100 UND)</v>
          </cell>
          <cell r="C171" t="str">
            <v>UND</v>
          </cell>
          <cell r="D171">
            <v>67.994</v>
          </cell>
          <cell r="E171" t="str">
            <v>UND</v>
          </cell>
          <cell r="F171">
            <v>67.994</v>
          </cell>
        </row>
        <row r="172">
          <cell r="A172" t="str">
            <v>1952875</v>
          </cell>
          <cell r="B172" t="str">
            <v>ORLA # 10 BUCCA (PAQ= 100 UND)</v>
          </cell>
          <cell r="C172" t="str">
            <v>UND</v>
          </cell>
          <cell r="D172">
            <v>77.037999999999997</v>
          </cell>
          <cell r="E172" t="str">
            <v>UND</v>
          </cell>
          <cell r="F172">
            <v>77.037999999999997</v>
          </cell>
        </row>
        <row r="173">
          <cell r="A173" t="str">
            <v>1952881</v>
          </cell>
          <cell r="B173" t="str">
            <v>MOLDE Y TAPA ALUMINIO #7</v>
          </cell>
          <cell r="C173" t="str">
            <v>UND</v>
          </cell>
          <cell r="D173">
            <v>40.273000000000003</v>
          </cell>
          <cell r="E173" t="str">
            <v>UND</v>
          </cell>
          <cell r="F173">
            <v>40.273000000000003</v>
          </cell>
        </row>
        <row r="174">
          <cell r="A174" t="str">
            <v>1952891</v>
          </cell>
          <cell r="B174" t="str">
            <v>SELLO SEGURIDAD SCATOLA ROSSA</v>
          </cell>
          <cell r="C174" t="str">
            <v>UND</v>
          </cell>
          <cell r="D174">
            <v>1</v>
          </cell>
          <cell r="E174" t="str">
            <v>UND</v>
          </cell>
          <cell r="F174">
            <v>1</v>
          </cell>
        </row>
        <row r="175">
          <cell r="A175" t="str">
            <v>1952897</v>
          </cell>
          <cell r="B175" t="str">
            <v>QUEQUERA 10" MEDIA LOGO  (25 * 12= CAJA 56)</v>
          </cell>
          <cell r="C175" t="str">
            <v>UND</v>
          </cell>
          <cell r="D175">
            <v>463.87599999999998</v>
          </cell>
          <cell r="E175" t="str">
            <v>UND</v>
          </cell>
          <cell r="F175">
            <v>463.87599999999998</v>
          </cell>
        </row>
        <row r="176">
          <cell r="A176" t="str">
            <v>1952898</v>
          </cell>
          <cell r="B176" t="str">
            <v>QUEQUERA CHILENA 29 x 10 (CAJA 70 UND)</v>
          </cell>
          <cell r="C176" t="str">
            <v>UND</v>
          </cell>
          <cell r="D176">
            <v>475</v>
          </cell>
          <cell r="E176" t="str">
            <v>UND</v>
          </cell>
          <cell r="F176">
            <v>475</v>
          </cell>
        </row>
        <row r="177">
          <cell r="A177" t="str">
            <v>1952902</v>
          </cell>
          <cell r="B177" t="str">
            <v xml:space="preserve"> FONDA PECANA SCATOLA ROSSA</v>
          </cell>
          <cell r="C177" t="str">
            <v>UND</v>
          </cell>
          <cell r="D177">
            <v>1</v>
          </cell>
          <cell r="E177" t="str">
            <v>UND</v>
          </cell>
          <cell r="F177">
            <v>1</v>
          </cell>
        </row>
        <row r="178">
          <cell r="A178" t="str">
            <v>1952903</v>
          </cell>
          <cell r="B178" t="str">
            <v>FONDA CHESSE CAKE SCATOLA ROSSA</v>
          </cell>
          <cell r="C178" t="str">
            <v>UND</v>
          </cell>
          <cell r="D178">
            <v>1</v>
          </cell>
          <cell r="E178" t="str">
            <v>UND</v>
          </cell>
          <cell r="F178">
            <v>1</v>
          </cell>
        </row>
        <row r="179">
          <cell r="A179" t="str">
            <v>1952904</v>
          </cell>
          <cell r="B179" t="str">
            <v>CAJA BLANCA SOUFFLE 5.5</v>
          </cell>
          <cell r="C179" t="str">
            <v>UND</v>
          </cell>
          <cell r="D179">
            <v>629</v>
          </cell>
          <cell r="E179" t="str">
            <v>UND</v>
          </cell>
          <cell r="F179">
            <v>629</v>
          </cell>
        </row>
        <row r="180">
          <cell r="A180" t="str">
            <v>1952911</v>
          </cell>
          <cell r="B180" t="str">
            <v>QUEQUERA RECTANGULAR P4533 ( CAJA = 25 UND)</v>
          </cell>
          <cell r="C180" t="str">
            <v>CAJA</v>
          </cell>
          <cell r="D180">
            <v>36270</v>
          </cell>
          <cell r="E180" t="str">
            <v>UND</v>
          </cell>
          <cell r="F180">
            <v>1450.8</v>
          </cell>
        </row>
        <row r="181">
          <cell r="A181" t="str">
            <v>2172411</v>
          </cell>
          <cell r="B181" t="str">
            <v>ET. TORTA BUCCA GENERICA</v>
          </cell>
          <cell r="C181" t="str">
            <v>UND</v>
          </cell>
          <cell r="D181">
            <v>25.797999999999998</v>
          </cell>
          <cell r="E181" t="str">
            <v>UND</v>
          </cell>
          <cell r="F181">
            <v>25.797999999999998</v>
          </cell>
        </row>
        <row r="182">
          <cell r="A182" t="str">
            <v>51500001</v>
          </cell>
          <cell r="B182" t="str">
            <v>VASO SUNDAE E-5 (CAJA= 1200 UND)</v>
          </cell>
          <cell r="C182" t="str">
            <v>UND</v>
          </cell>
          <cell r="D182">
            <v>33.75</v>
          </cell>
          <cell r="E182" t="str">
            <v>UND</v>
          </cell>
          <cell r="F182">
            <v>33.75</v>
          </cell>
        </row>
        <row r="183">
          <cell r="A183" t="str">
            <v>51500002</v>
          </cell>
          <cell r="B183" t="str">
            <v>TAPA VASO SUNDAE E-90 (CAJA=1000 UND)</v>
          </cell>
          <cell r="C183" t="str">
            <v>UND</v>
          </cell>
          <cell r="D183">
            <v>19.605</v>
          </cell>
          <cell r="E183" t="str">
            <v>UND</v>
          </cell>
          <cell r="F183">
            <v>19.605</v>
          </cell>
        </row>
      </sheetData>
      <sheetData sheetId="3">
        <row r="1">
          <cell r="A1" t="str">
            <v>Codigo</v>
          </cell>
          <cell r="B1" t="str">
            <v>Descripcion</v>
          </cell>
          <cell r="C1" t="str">
            <v>Und Medida
Sistema</v>
          </cell>
          <cell r="D1" t="str">
            <v>Und
Minima</v>
          </cell>
          <cell r="E1" t="str">
            <v xml:space="preserve">Costo MP
 </v>
          </cell>
          <cell r="F1" t="str">
            <v>Costo MP
Unidad Minima</v>
          </cell>
          <cell r="G1" t="str">
            <v xml:space="preserve">Costo Empaque
 </v>
          </cell>
          <cell r="H1" t="str">
            <v xml:space="preserve">Costo Empaque
Und Minima
 </v>
          </cell>
          <cell r="I1" t="str">
            <v>Costo
MO</v>
          </cell>
          <cell r="J1" t="str">
            <v xml:space="preserve">Costo MO
Und Minima
 </v>
          </cell>
        </row>
        <row r="2">
          <cell r="A2" t="str">
            <v>906000032</v>
          </cell>
          <cell r="B2" t="str">
            <v>PASTA DE HOJALDRE (40800g)</v>
          </cell>
          <cell r="C2" t="str">
            <v>TANDA</v>
          </cell>
          <cell r="D2" t="str">
            <v>GRAMO</v>
          </cell>
          <cell r="E2">
            <v>28282.019153681333</v>
          </cell>
          <cell r="F2">
            <v>0.6931867439627778</v>
          </cell>
          <cell r="G2">
            <v>120.16275192390387</v>
          </cell>
          <cell r="H2">
            <v>2.9451654883309772E-3</v>
          </cell>
          <cell r="I2">
            <v>3300.5130004127113</v>
          </cell>
          <cell r="J2">
            <v>8.0894926480703705E-2</v>
          </cell>
        </row>
        <row r="3">
          <cell r="A3" t="str">
            <v>95012</v>
          </cell>
          <cell r="B3" t="str">
            <v>SUSPIRO SPOON GDE (60g)</v>
          </cell>
          <cell r="C3" t="str">
            <v>UND</v>
          </cell>
          <cell r="D3" t="str">
            <v>UND</v>
          </cell>
          <cell r="E3">
            <v>125.40374695736389</v>
          </cell>
          <cell r="F3">
            <v>125.40374695736389</v>
          </cell>
          <cell r="G3">
            <v>3.7092284052239948</v>
          </cell>
          <cell r="H3">
            <v>3.7092284052239948</v>
          </cell>
          <cell r="I3">
            <v>22.87877714318601</v>
          </cell>
          <cell r="J3">
            <v>22.87877714318601</v>
          </cell>
        </row>
        <row r="4">
          <cell r="A4" t="str">
            <v>95013</v>
          </cell>
          <cell r="B4" t="str">
            <v>PASTA DE ALFAJOR (23.123 Kg)</v>
          </cell>
          <cell r="C4" t="str">
            <v>TANDA</v>
          </cell>
          <cell r="D4" t="str">
            <v>GRAMO</v>
          </cell>
          <cell r="E4">
            <v>20323.830214799997</v>
          </cell>
          <cell r="F4">
            <v>0.87894435042165797</v>
          </cell>
          <cell r="G4">
            <v>66.878521111111112</v>
          </cell>
          <cell r="H4">
            <v>2.8922943005280938E-3</v>
          </cell>
          <cell r="I4">
            <v>550</v>
          </cell>
          <cell r="J4">
            <v>2.3785840937594602E-2</v>
          </cell>
        </row>
        <row r="5">
          <cell r="A5" t="str">
            <v>95017</v>
          </cell>
          <cell r="B5" t="str">
            <v>PLATANOS MADUROS FRITOS (34500g)</v>
          </cell>
          <cell r="C5" t="str">
            <v>TANDA</v>
          </cell>
          <cell r="D5" t="str">
            <v>GRAMO</v>
          </cell>
          <cell r="E5">
            <v>48288.182619647356</v>
          </cell>
          <cell r="F5">
            <v>1.3996574672361553</v>
          </cell>
          <cell r="G5">
            <v>0</v>
          </cell>
          <cell r="H5">
            <v>0</v>
          </cell>
          <cell r="I5">
            <v>1680</v>
          </cell>
          <cell r="J5">
            <v>4.8695652173913043E-2</v>
          </cell>
        </row>
        <row r="6">
          <cell r="A6" t="str">
            <v>95018</v>
          </cell>
          <cell r="B6" t="str">
            <v>ALMIBAR P/PLATANOS MADUROS (15000g)</v>
          </cell>
          <cell r="C6" t="str">
            <v>TANDA</v>
          </cell>
          <cell r="D6" t="str">
            <v>GRAMO</v>
          </cell>
          <cell r="E6">
            <v>4485.3189199999997</v>
          </cell>
          <cell r="F6">
            <v>0.29902126133333329</v>
          </cell>
          <cell r="G6">
            <v>0</v>
          </cell>
          <cell r="H6">
            <v>0</v>
          </cell>
          <cell r="I6">
            <v>165</v>
          </cell>
          <cell r="J6">
            <v>1.0999999999999999E-2</v>
          </cell>
        </row>
        <row r="7">
          <cell r="A7" t="str">
            <v>95020</v>
          </cell>
          <cell r="B7" t="str">
            <v>PECANA TRITURADA TOSTADA (970g)</v>
          </cell>
          <cell r="C7" t="str">
            <v>KILO</v>
          </cell>
          <cell r="D7" t="str">
            <v>GRAMO</v>
          </cell>
          <cell r="E7">
            <v>10555.97319587629</v>
          </cell>
          <cell r="F7">
            <v>10.555973195876289</v>
          </cell>
          <cell r="G7">
            <v>0</v>
          </cell>
          <cell r="H7">
            <v>0</v>
          </cell>
          <cell r="I7">
            <v>144.32989690721649</v>
          </cell>
          <cell r="J7">
            <v>0.14432989690721648</v>
          </cell>
        </row>
        <row r="8">
          <cell r="A8" t="str">
            <v>95036</v>
          </cell>
          <cell r="B8" t="str">
            <v>ALMENDRAS TOSTADAS (5.730 Kg)</v>
          </cell>
          <cell r="C8" t="str">
            <v>KILO</v>
          </cell>
          <cell r="D8" t="str">
            <v>GRAMO</v>
          </cell>
          <cell r="E8">
            <v>6903.6744677137876</v>
          </cell>
          <cell r="F8">
            <v>6.9036744677137873</v>
          </cell>
          <cell r="G8">
            <v>2.2603369206903237</v>
          </cell>
          <cell r="H8">
            <v>2.2603369206903238E-3</v>
          </cell>
          <cell r="I8">
            <v>143.97905759162305</v>
          </cell>
          <cell r="J8">
            <v>0.14397905759162305</v>
          </cell>
        </row>
        <row r="9">
          <cell r="A9" t="str">
            <v>95038</v>
          </cell>
          <cell r="B9" t="str">
            <v>SIROPE DULCE LECHE P/MARMOLEAR (5350g)</v>
          </cell>
          <cell r="C9" t="str">
            <v>TANDA</v>
          </cell>
          <cell r="D9" t="str">
            <v>GRAMO</v>
          </cell>
          <cell r="E9">
            <v>12634.444444444443</v>
          </cell>
          <cell r="F9">
            <v>2.3615784008307372</v>
          </cell>
          <cell r="G9">
            <v>15.480496777777777</v>
          </cell>
          <cell r="H9">
            <v>2.8935507995846311E-3</v>
          </cell>
          <cell r="I9">
            <v>165</v>
          </cell>
          <cell r="J9">
            <v>3.0841121495327101E-2</v>
          </cell>
        </row>
        <row r="10">
          <cell r="A10" t="str">
            <v>95080</v>
          </cell>
          <cell r="B10" t="str">
            <v>ROSQUETE VAINILLA BUCCA PLANCHA 750G</v>
          </cell>
          <cell r="C10" t="str">
            <v>UND</v>
          </cell>
          <cell r="D10" t="str">
            <v>UND</v>
          </cell>
          <cell r="E10">
            <v>748.49367471667972</v>
          </cell>
          <cell r="F10">
            <v>748.49367471667972</v>
          </cell>
          <cell r="G10">
            <v>7.9980445916362211</v>
          </cell>
          <cell r="H10">
            <v>7.9980445916362211</v>
          </cell>
          <cell r="I10">
            <v>16.190125433462303</v>
          </cell>
          <cell r="J10">
            <v>16.190125433462303</v>
          </cell>
        </row>
        <row r="11">
          <cell r="A11" t="str">
            <v>95088</v>
          </cell>
          <cell r="B11" t="str">
            <v>BATIDO CHOCOLATE PILLSBURY (43860g)</v>
          </cell>
          <cell r="C11" t="str">
            <v>KILO</v>
          </cell>
          <cell r="D11" t="str">
            <v>GRAMO</v>
          </cell>
          <cell r="E11">
            <v>55797.085701248674</v>
          </cell>
          <cell r="F11">
            <v>1.2939954939992735</v>
          </cell>
          <cell r="G11">
            <v>0</v>
          </cell>
          <cell r="H11">
            <v>0</v>
          </cell>
          <cell r="I11">
            <v>2073.6931923609191</v>
          </cell>
          <cell r="J11">
            <v>4.8091215036199418E-2</v>
          </cell>
        </row>
        <row r="12">
          <cell r="A12" t="str">
            <v>95091</v>
          </cell>
          <cell r="B12" t="str">
            <v>BATIDO VAINILLA PURATOS BUCCA (49650g)</v>
          </cell>
          <cell r="C12" t="str">
            <v>KILO</v>
          </cell>
          <cell r="D12" t="str">
            <v>GRAMO</v>
          </cell>
          <cell r="E12">
            <v>40280.095809602288</v>
          </cell>
          <cell r="F12">
            <v>0.81128088236862617</v>
          </cell>
          <cell r="G12">
            <v>45.869093809523811</v>
          </cell>
          <cell r="H12">
            <v>9.2384881791588748E-4</v>
          </cell>
          <cell r="I12">
            <v>550</v>
          </cell>
          <cell r="J12">
            <v>1.1077542799597181E-2</v>
          </cell>
        </row>
        <row r="13">
          <cell r="A13" t="str">
            <v>95092</v>
          </cell>
          <cell r="B13" t="str">
            <v>ALFAJOR GDE CUBIERTO CHOCOLATE BLANCO (UND)</v>
          </cell>
          <cell r="C13" t="str">
            <v>UND</v>
          </cell>
          <cell r="D13" t="str">
            <v>UND</v>
          </cell>
          <cell r="E13">
            <v>138.68354001378788</v>
          </cell>
          <cell r="F13">
            <v>138.68354001378788</v>
          </cell>
          <cell r="G13">
            <v>0.15639258412698412</v>
          </cell>
          <cell r="H13">
            <v>0.15639258412698412</v>
          </cell>
          <cell r="I13">
            <v>41.408333333333331</v>
          </cell>
          <cell r="J13">
            <v>41.408333333333331</v>
          </cell>
        </row>
        <row r="14">
          <cell r="A14" t="str">
            <v>95096</v>
          </cell>
          <cell r="B14" t="str">
            <v>PASTA GALLETAS JENGIBRE (10900g)</v>
          </cell>
          <cell r="C14" t="str">
            <v>KILO</v>
          </cell>
          <cell r="D14" t="str">
            <v>GRAMO</v>
          </cell>
          <cell r="E14">
            <v>998.83764201834867</v>
          </cell>
          <cell r="F14">
            <v>0.99883764201834868</v>
          </cell>
          <cell r="G14">
            <v>5.9416335226445307</v>
          </cell>
          <cell r="H14">
            <v>5.9416335226445309E-3</v>
          </cell>
          <cell r="I14">
            <v>77.064220183486242</v>
          </cell>
          <cell r="J14">
            <v>7.7064220183486243E-2</v>
          </cell>
        </row>
        <row r="15">
          <cell r="A15" t="str">
            <v>95097</v>
          </cell>
          <cell r="B15" t="str">
            <v>GALLETA JENGIBRE (UND)</v>
          </cell>
          <cell r="C15" t="str">
            <v>UND</v>
          </cell>
          <cell r="D15" t="str">
            <v>UND</v>
          </cell>
          <cell r="E15">
            <v>18.916968418067277</v>
          </cell>
          <cell r="F15">
            <v>18.916968418067277</v>
          </cell>
          <cell r="G15">
            <v>0.10813773011213046</v>
          </cell>
          <cell r="H15">
            <v>0.10813773011213046</v>
          </cell>
          <cell r="I15">
            <v>8.8692354740061159</v>
          </cell>
          <cell r="J15">
            <v>8.8692354740061159</v>
          </cell>
        </row>
        <row r="16">
          <cell r="A16" t="str">
            <v>95099</v>
          </cell>
          <cell r="B16" t="str">
            <v>ROSQUETE YOGURT CAKE (440g)</v>
          </cell>
          <cell r="C16" t="str">
            <v>UND</v>
          </cell>
          <cell r="D16" t="str">
            <v>UND</v>
          </cell>
          <cell r="E16">
            <v>624.04126441192318</v>
          </cell>
          <cell r="F16">
            <v>624.04126441192318</v>
          </cell>
          <cell r="G16">
            <v>8.519507902226259</v>
          </cell>
          <cell r="H16">
            <v>8.519507902226259</v>
          </cell>
          <cell r="I16">
            <v>60.922495231367009</v>
          </cell>
          <cell r="J16">
            <v>60.922495231367009</v>
          </cell>
        </row>
        <row r="17">
          <cell r="A17" t="str">
            <v>95102</v>
          </cell>
          <cell r="B17" t="str">
            <v>RELLENO LECHE CONDENSADA Y PECANAS (8400g)</v>
          </cell>
          <cell r="C17" t="str">
            <v>Kilo</v>
          </cell>
          <cell r="D17" t="str">
            <v>Gramo</v>
          </cell>
          <cell r="E17">
            <v>5705.5955833264607</v>
          </cell>
          <cell r="F17">
            <v>5.7055955833264607</v>
          </cell>
          <cell r="G17">
            <v>12.253708147321428</v>
          </cell>
          <cell r="H17">
            <v>1.2253708147321428E-2</v>
          </cell>
          <cell r="I17">
            <v>84.126984126984127</v>
          </cell>
          <cell r="J17">
            <v>8.4126984126984133E-2</v>
          </cell>
        </row>
        <row r="18">
          <cell r="A18" t="str">
            <v>95104</v>
          </cell>
          <cell r="B18" t="str">
            <v>GALLETA ESCANEADA (UND)</v>
          </cell>
          <cell r="C18" t="str">
            <v>UND</v>
          </cell>
          <cell r="D18" t="str">
            <v>UND</v>
          </cell>
          <cell r="E18">
            <v>74.196802467691271</v>
          </cell>
          <cell r="F18">
            <v>74.196802467691271</v>
          </cell>
          <cell r="G18">
            <v>9.6055885256837899E-3</v>
          </cell>
          <cell r="H18">
            <v>9.6055885256837899E-3</v>
          </cell>
          <cell r="I18">
            <v>30.465559362428621</v>
          </cell>
          <cell r="J18">
            <v>30.465559362428621</v>
          </cell>
        </row>
        <row r="19">
          <cell r="A19" t="str">
            <v>95105</v>
          </cell>
          <cell r="B19" t="str">
            <v>EMPAQUE RELLENO JAMON C/PETIT POIS (2000g)</v>
          </cell>
          <cell r="C19" t="str">
            <v>KILO</v>
          </cell>
          <cell r="D19" t="str">
            <v>GRAMO</v>
          </cell>
          <cell r="E19">
            <v>2345.896137785714</v>
          </cell>
          <cell r="F19">
            <v>2.3458961377857142</v>
          </cell>
          <cell r="G19">
            <v>40.402178888888884</v>
          </cell>
          <cell r="H19">
            <v>4.0402178888888883E-2</v>
          </cell>
          <cell r="I19">
            <v>560</v>
          </cell>
          <cell r="J19">
            <v>0.56000000000000005</v>
          </cell>
        </row>
        <row r="20">
          <cell r="A20" t="str">
            <v>95106</v>
          </cell>
          <cell r="B20" t="str">
            <v>RELLENO PEJIBAYE EMPACADO (2000g)</v>
          </cell>
          <cell r="C20" t="str">
            <v>KILO</v>
          </cell>
          <cell r="D20" t="str">
            <v>GRAMO</v>
          </cell>
          <cell r="E20">
            <v>3470.3377217307698</v>
          </cell>
          <cell r="F20">
            <v>3.4703377217307696</v>
          </cell>
          <cell r="G20">
            <v>6.3159331681681685</v>
          </cell>
          <cell r="H20">
            <v>6.3159331681681688E-3</v>
          </cell>
          <cell r="I20">
            <v>173.29729729729729</v>
          </cell>
          <cell r="J20">
            <v>0.17329729729729729</v>
          </cell>
        </row>
        <row r="21">
          <cell r="A21" t="str">
            <v>95107</v>
          </cell>
          <cell r="B21" t="str">
            <v>SOMBRERO PEJIBAYE PEQ (UND)</v>
          </cell>
          <cell r="C21" t="str">
            <v>UND</v>
          </cell>
          <cell r="D21" t="str">
            <v>UND</v>
          </cell>
          <cell r="E21">
            <v>119.45119486074059</v>
          </cell>
          <cell r="F21">
            <v>119.45119486074059</v>
          </cell>
          <cell r="G21">
            <v>0.66688817480409712</v>
          </cell>
          <cell r="H21">
            <v>0.66688817480409712</v>
          </cell>
          <cell r="I21">
            <v>35.30201818587868</v>
          </cell>
          <cell r="J21">
            <v>35.30201818587868</v>
          </cell>
        </row>
        <row r="22">
          <cell r="A22" t="str">
            <v>95108</v>
          </cell>
          <cell r="B22" t="str">
            <v>LENTEJAS COCIDAS (600g)</v>
          </cell>
          <cell r="C22" t="str">
            <v>KILO</v>
          </cell>
          <cell r="D22" t="str">
            <v>GRAMO</v>
          </cell>
          <cell r="E22">
            <v>666.50514499999986</v>
          </cell>
          <cell r="F22">
            <v>0.66650514499999991</v>
          </cell>
          <cell r="G22">
            <v>0</v>
          </cell>
          <cell r="H22">
            <v>0</v>
          </cell>
          <cell r="I22">
            <v>560</v>
          </cell>
          <cell r="J22">
            <v>0.56000000000000005</v>
          </cell>
        </row>
        <row r="23">
          <cell r="A23" t="str">
            <v>95110</v>
          </cell>
          <cell r="B23" t="str">
            <v>ADEREZO PESTO-ALBAHACA SPOON (10000g)</v>
          </cell>
          <cell r="C23" t="str">
            <v>TANDA</v>
          </cell>
          <cell r="D23" t="str">
            <v>GRAMO</v>
          </cell>
          <cell r="E23">
            <v>27447.05744215686</v>
          </cell>
          <cell r="F23">
            <v>2.7447057442156861</v>
          </cell>
          <cell r="G23">
            <v>18.652035795368263</v>
          </cell>
          <cell r="H23">
            <v>1.8652035795368263E-3</v>
          </cell>
          <cell r="I23">
            <v>897.03872437357631</v>
          </cell>
          <cell r="J23">
            <v>8.9703872437357626E-2</v>
          </cell>
        </row>
        <row r="24">
          <cell r="A24" t="str">
            <v>95113</v>
          </cell>
          <cell r="B24" t="str">
            <v>ROSQUETE CHOCOLATE SPOON (530g)</v>
          </cell>
          <cell r="C24" t="str">
            <v>UND</v>
          </cell>
          <cell r="D24" t="str">
            <v>UND</v>
          </cell>
          <cell r="E24">
            <v>694.69407835326263</v>
          </cell>
          <cell r="F24">
            <v>694.69407835326263</v>
          </cell>
          <cell r="G24">
            <v>8.8666855676906913</v>
          </cell>
          <cell r="H24">
            <v>8.8666855676906913</v>
          </cell>
          <cell r="I24">
            <v>40.403907183406623</v>
          </cell>
          <cell r="J24">
            <v>40.403907183406623</v>
          </cell>
        </row>
        <row r="25">
          <cell r="A25" t="str">
            <v>95116</v>
          </cell>
          <cell r="B25" t="str">
            <v>MEZCLA P/CUATRO LECHES (2000g)</v>
          </cell>
          <cell r="C25" t="str">
            <v>KILO</v>
          </cell>
          <cell r="D25" t="str">
            <v>GRAMO</v>
          </cell>
          <cell r="E25">
            <v>2190.120338282577</v>
          </cell>
          <cell r="F25">
            <v>1.0950601691412885</v>
          </cell>
          <cell r="G25">
            <v>7.7086684015865012</v>
          </cell>
          <cell r="H25">
            <v>3.8543342007932506E-3</v>
          </cell>
          <cell r="I25">
            <v>132.60711547611805</v>
          </cell>
          <cell r="J25">
            <v>6.630355773805903E-2</v>
          </cell>
        </row>
        <row r="26">
          <cell r="A26" t="str">
            <v>95149</v>
          </cell>
          <cell r="B26" t="str">
            <v>COCCION FRIJOLES MOLIDOS (14.133g)</v>
          </cell>
          <cell r="C26" t="str">
            <v>TANDA</v>
          </cell>
          <cell r="D26" t="str">
            <v>GRAMO</v>
          </cell>
          <cell r="E26">
            <v>15072.896070586068</v>
          </cell>
          <cell r="F26">
            <v>1.066503648948282</v>
          </cell>
          <cell r="G26">
            <v>37.970244000000001</v>
          </cell>
          <cell r="H26">
            <v>2.6866372320101888E-3</v>
          </cell>
          <cell r="I26">
            <v>1375</v>
          </cell>
          <cell r="J26">
            <v>9.729003042524588E-2</v>
          </cell>
        </row>
        <row r="27">
          <cell r="A27" t="str">
            <v>95156</v>
          </cell>
          <cell r="B27" t="str">
            <v>CROUTONS (880g)</v>
          </cell>
          <cell r="C27" t="str">
            <v>KILO</v>
          </cell>
          <cell r="D27" t="str">
            <v>GRAMO</v>
          </cell>
          <cell r="E27">
            <v>4731.0572499999998</v>
          </cell>
          <cell r="F27">
            <v>4.7310572500000001</v>
          </cell>
          <cell r="G27">
            <v>0</v>
          </cell>
          <cell r="H27">
            <v>0</v>
          </cell>
          <cell r="I27">
            <v>550</v>
          </cell>
          <cell r="J27">
            <v>0.55000000000000004</v>
          </cell>
        </row>
        <row r="28">
          <cell r="A28" t="str">
            <v>95157</v>
          </cell>
          <cell r="B28" t="str">
            <v>COCCION CHAOMING (8750g)</v>
          </cell>
          <cell r="C28" t="str">
            <v>KILO</v>
          </cell>
          <cell r="D28" t="str">
            <v>GRAMO</v>
          </cell>
          <cell r="E28">
            <v>3544.4919657142859</v>
          </cell>
          <cell r="F28">
            <v>3.5444919657142857</v>
          </cell>
          <cell r="G28">
            <v>0</v>
          </cell>
          <cell r="H28">
            <v>0</v>
          </cell>
          <cell r="I28">
            <v>282.85714285714289</v>
          </cell>
          <cell r="J28">
            <v>0.28285714285714286</v>
          </cell>
        </row>
        <row r="29">
          <cell r="A29" t="str">
            <v>908000046</v>
          </cell>
          <cell r="B29" t="str">
            <v>COCCION POLLO RECORTE (31600g)</v>
          </cell>
          <cell r="C29" t="str">
            <v>TANDA</v>
          </cell>
          <cell r="D29" t="str">
            <v>GRAMO</v>
          </cell>
          <cell r="E29">
            <v>117811.73133333333</v>
          </cell>
          <cell r="F29">
            <v>3.7282193459915609</v>
          </cell>
          <cell r="G29">
            <v>0</v>
          </cell>
          <cell r="H29">
            <v>0</v>
          </cell>
          <cell r="I29">
            <v>2255</v>
          </cell>
          <cell r="J29">
            <v>7.1360759493670892E-2</v>
          </cell>
        </row>
        <row r="30">
          <cell r="A30" t="str">
            <v>95176</v>
          </cell>
          <cell r="B30" t="str">
            <v>ROSQUETE CHOCOLATE SPOON RECT (1200g)</v>
          </cell>
          <cell r="C30" t="str">
            <v>UND</v>
          </cell>
          <cell r="D30" t="str">
            <v>UND</v>
          </cell>
          <cell r="E30">
            <v>1496.6373347037395</v>
          </cell>
          <cell r="F30">
            <v>1496.6373347037395</v>
          </cell>
          <cell r="G30">
            <v>25.691514518346043</v>
          </cell>
          <cell r="H30">
            <v>25.691514518346043</v>
          </cell>
          <cell r="I30">
            <v>51.291275167785237</v>
          </cell>
          <cell r="J30">
            <v>51.291275167785237</v>
          </cell>
        </row>
        <row r="31">
          <cell r="A31" t="str">
            <v>95183</v>
          </cell>
          <cell r="B31" t="str">
            <v>ROSQUETE CHOCOLATE SPOON RECT (1500g)</v>
          </cell>
          <cell r="C31" t="str">
            <v>UND</v>
          </cell>
          <cell r="D31" t="str">
            <v>UND</v>
          </cell>
          <cell r="E31">
            <v>1943.6565082377754</v>
          </cell>
          <cell r="F31">
            <v>1943.6565082377754</v>
          </cell>
          <cell r="G31">
            <v>21.370011419239368</v>
          </cell>
          <cell r="H31">
            <v>21.370011419239368</v>
          </cell>
          <cell r="I31">
            <v>53.007094918504308</v>
          </cell>
          <cell r="J31">
            <v>53.007094918504308</v>
          </cell>
        </row>
        <row r="32">
          <cell r="A32" t="str">
            <v>95187</v>
          </cell>
          <cell r="B32" t="str">
            <v>ROSQUETE MELOCOTON RECT.PURATOS (1300g)</v>
          </cell>
          <cell r="C32" t="str">
            <v>UND</v>
          </cell>
          <cell r="D32" t="str">
            <v>UND</v>
          </cell>
          <cell r="E32">
            <v>1590.1842931379088</v>
          </cell>
          <cell r="F32">
            <v>1590.1842931379088</v>
          </cell>
          <cell r="G32">
            <v>24.830699493135057</v>
          </cell>
          <cell r="H32">
            <v>24.830699493135057</v>
          </cell>
          <cell r="I32">
            <v>60.604335884602811</v>
          </cell>
          <cell r="J32">
            <v>60.604335884602811</v>
          </cell>
        </row>
        <row r="33">
          <cell r="A33" t="str">
            <v>95189</v>
          </cell>
          <cell r="B33" t="str">
            <v>ROSQUETE CHOCOLATE SPOON RECT (2500g)</v>
          </cell>
          <cell r="C33" t="str">
            <v>UND</v>
          </cell>
          <cell r="D33" t="str">
            <v>UND</v>
          </cell>
          <cell r="E33">
            <v>3092.0935811590193</v>
          </cell>
          <cell r="F33">
            <v>3092.0935811590193</v>
          </cell>
          <cell r="G33">
            <v>31.741932866544996</v>
          </cell>
          <cell r="H33">
            <v>31.741932866544996</v>
          </cell>
          <cell r="I33">
            <v>78.296009667028514</v>
          </cell>
          <cell r="J33">
            <v>78.296009667028514</v>
          </cell>
        </row>
        <row r="34">
          <cell r="A34" t="str">
            <v>95202</v>
          </cell>
          <cell r="B34" t="str">
            <v>ROSQUETE YOGURT MINI 250g</v>
          </cell>
          <cell r="C34" t="str">
            <v>UND</v>
          </cell>
          <cell r="D34" t="str">
            <v>UND</v>
          </cell>
          <cell r="E34">
            <v>358.74181159635668</v>
          </cell>
          <cell r="F34">
            <v>358.74181159635668</v>
          </cell>
          <cell r="G34">
            <v>0.84393350665814415</v>
          </cell>
          <cell r="H34">
            <v>0.84393350665814415</v>
          </cell>
          <cell r="I34">
            <v>30.948545861297539</v>
          </cell>
          <cell r="J34">
            <v>30.948545861297539</v>
          </cell>
        </row>
        <row r="35">
          <cell r="A35" t="str">
            <v>95211</v>
          </cell>
          <cell r="B35" t="str">
            <v>PASTA GALLETA DE LUNA (20 Kg)</v>
          </cell>
          <cell r="C35" t="str">
            <v>Kilo</v>
          </cell>
          <cell r="D35" t="str">
            <v>Gramo</v>
          </cell>
          <cell r="E35">
            <v>1113.9966444499998</v>
          </cell>
          <cell r="F35">
            <v>1.1139966444499998</v>
          </cell>
          <cell r="G35">
            <v>13.720065523809527</v>
          </cell>
          <cell r="H35">
            <v>1.3720065523809527E-2</v>
          </cell>
          <cell r="I35">
            <v>50.875</v>
          </cell>
          <cell r="J35">
            <v>5.0874999999999997E-2</v>
          </cell>
        </row>
        <row r="36">
          <cell r="A36" t="str">
            <v>95212</v>
          </cell>
          <cell r="B36" t="str">
            <v>PASTA VAINILLA P/GALLETA FIGURA (9100g)</v>
          </cell>
          <cell r="C36" t="str">
            <v>TANDA</v>
          </cell>
          <cell r="D36" t="str">
            <v>GRAMO</v>
          </cell>
          <cell r="E36">
            <v>19251.595537874768</v>
          </cell>
          <cell r="F36">
            <v>2.1155599492170074</v>
          </cell>
          <cell r="G36">
            <v>96.428571428571445</v>
          </cell>
          <cell r="H36">
            <v>1.0596546310832027E-2</v>
          </cell>
          <cell r="I36">
            <v>1211.1448992852502</v>
          </cell>
          <cell r="J36">
            <v>0.13309284607530222</v>
          </cell>
        </row>
        <row r="37">
          <cell r="A37" t="str">
            <v>905000001</v>
          </cell>
          <cell r="B37" t="str">
            <v>RELLENO P/TORTA CHOCOFRESA (23500g)</v>
          </cell>
          <cell r="C37" t="str">
            <v>TANDA</v>
          </cell>
          <cell r="D37" t="str">
            <v>GRAMO</v>
          </cell>
          <cell r="E37">
            <v>54041.682214799999</v>
          </cell>
          <cell r="F37">
            <v>2.299646051693617</v>
          </cell>
          <cell r="G37">
            <v>125.29527666666667</v>
          </cell>
          <cell r="H37">
            <v>5.33171390070922E-3</v>
          </cell>
          <cell r="I37">
            <v>990</v>
          </cell>
          <cell r="J37">
            <v>4.2127659574468082E-2</v>
          </cell>
        </row>
        <row r="38">
          <cell r="A38" t="str">
            <v>95218</v>
          </cell>
          <cell r="B38" t="str">
            <v>GALLETA P/ ALFAJOR PEQUEÑO (UND)</v>
          </cell>
          <cell r="C38" t="str">
            <v>UND</v>
          </cell>
          <cell r="D38" t="str">
            <v>UND</v>
          </cell>
          <cell r="E38">
            <v>8.0879991537949216</v>
          </cell>
          <cell r="F38">
            <v>8.0879991537949216</v>
          </cell>
          <cell r="G38">
            <v>2.6030648704752843E-2</v>
          </cell>
          <cell r="H38">
            <v>2.6030648704752843E-2</v>
          </cell>
          <cell r="I38">
            <v>3.6515725684383518</v>
          </cell>
          <cell r="J38">
            <v>3.6515725684383518</v>
          </cell>
        </row>
        <row r="39">
          <cell r="A39" t="str">
            <v>95219</v>
          </cell>
          <cell r="B39" t="str">
            <v>PASTA CROISSANT (9460g)</v>
          </cell>
          <cell r="C39" t="str">
            <v>KILO</v>
          </cell>
          <cell r="D39" t="str">
            <v>GRAMO</v>
          </cell>
          <cell r="E39">
            <v>1010.9775121975808</v>
          </cell>
          <cell r="F39">
            <v>1.0109775121975808</v>
          </cell>
          <cell r="G39">
            <v>3.2625391385048648</v>
          </cell>
          <cell r="H39">
            <v>3.2625391385048648E-3</v>
          </cell>
          <cell r="I39">
            <v>94.254032258064512</v>
          </cell>
          <cell r="J39">
            <v>9.4254032258064516E-2</v>
          </cell>
        </row>
        <row r="40">
          <cell r="A40" t="str">
            <v>95227</v>
          </cell>
          <cell r="B40" t="str">
            <v>EMPANADA DE POLLO GRANDE (UND)</v>
          </cell>
          <cell r="C40" t="str">
            <v>UND</v>
          </cell>
          <cell r="D40" t="str">
            <v>UND</v>
          </cell>
          <cell r="E40">
            <v>171.25607004904248</v>
          </cell>
          <cell r="F40">
            <v>171.25607004904248</v>
          </cell>
          <cell r="G40">
            <v>0.539527398366629</v>
          </cell>
          <cell r="H40">
            <v>0.539527398366629</v>
          </cell>
          <cell r="I40">
            <v>33.418256538526975</v>
          </cell>
          <cell r="J40">
            <v>33.418256538526975</v>
          </cell>
        </row>
        <row r="41">
          <cell r="A41" t="str">
            <v>95241</v>
          </cell>
          <cell r="B41" t="str">
            <v>COSTILLAS SIN RELLENO (UND)</v>
          </cell>
          <cell r="C41" t="str">
            <v>UND</v>
          </cell>
          <cell r="D41" t="str">
            <v>UND</v>
          </cell>
          <cell r="E41">
            <v>22.007051430197322</v>
          </cell>
          <cell r="F41">
            <v>22.007051430197322</v>
          </cell>
          <cell r="G41">
            <v>9.6624663055969576E-2</v>
          </cell>
          <cell r="H41">
            <v>9.6624663055969576E-2</v>
          </cell>
          <cell r="I41">
            <v>8.1963877832354282</v>
          </cell>
          <cell r="J41">
            <v>8.1963877832354282</v>
          </cell>
        </row>
        <row r="42">
          <cell r="A42" t="str">
            <v>903000003</v>
          </cell>
          <cell r="B42" t="str">
            <v>ROSQUETE P/ARROLLADO (1200g)</v>
          </cell>
          <cell r="C42" t="str">
            <v>UND</v>
          </cell>
          <cell r="D42" t="str">
            <v>UND</v>
          </cell>
          <cell r="E42">
            <v>1323.8519660973845</v>
          </cell>
          <cell r="F42">
            <v>1323.8519660973845</v>
          </cell>
          <cell r="G42">
            <v>65.37484979292195</v>
          </cell>
          <cell r="H42">
            <v>65.37484979292195</v>
          </cell>
          <cell r="I42">
            <v>153.48429446331514</v>
          </cell>
          <cell r="J42">
            <v>153.48429446331514</v>
          </cell>
        </row>
        <row r="43">
          <cell r="A43">
            <v>903000002</v>
          </cell>
          <cell r="B43" t="str">
            <v>PLANCHA COCADAS (4300g)</v>
          </cell>
          <cell r="C43" t="str">
            <v>UND</v>
          </cell>
          <cell r="D43" t="str">
            <v>UND</v>
          </cell>
          <cell r="E43">
            <v>9923.7223624379676</v>
          </cell>
          <cell r="F43">
            <v>9923.7223624379676</v>
          </cell>
          <cell r="G43">
            <v>32</v>
          </cell>
          <cell r="H43">
            <v>32</v>
          </cell>
          <cell r="I43">
            <v>165</v>
          </cell>
          <cell r="J43">
            <v>165</v>
          </cell>
        </row>
        <row r="44">
          <cell r="A44" t="str">
            <v>95267</v>
          </cell>
          <cell r="B44" t="str">
            <v>COCCION FIDEO THAI (660g)</v>
          </cell>
          <cell r="C44" t="str">
            <v>KILO</v>
          </cell>
          <cell r="D44" t="str">
            <v>GRAMO</v>
          </cell>
          <cell r="E44">
            <v>2022.7958909090908</v>
          </cell>
          <cell r="F44">
            <v>2.0227958909090908</v>
          </cell>
          <cell r="G44">
            <v>0</v>
          </cell>
          <cell r="H44">
            <v>0</v>
          </cell>
          <cell r="I44">
            <v>250</v>
          </cell>
          <cell r="J44">
            <v>0.25</v>
          </cell>
        </row>
        <row r="45">
          <cell r="A45" t="str">
            <v>95289</v>
          </cell>
          <cell r="B45" t="str">
            <v>COCCION ARROZ BLANCO (14195g)</v>
          </cell>
          <cell r="C45" t="str">
            <v>TANDA</v>
          </cell>
          <cell r="D45" t="str">
            <v>GRAMO</v>
          </cell>
          <cell r="E45">
            <v>7479.1254258823537</v>
          </cell>
          <cell r="F45">
            <v>0.52688449636367407</v>
          </cell>
          <cell r="G45">
            <v>276.95017999999999</v>
          </cell>
          <cell r="H45">
            <v>1.9510403663261712E-2</v>
          </cell>
          <cell r="I45">
            <v>550</v>
          </cell>
          <cell r="J45">
            <v>3.8746037337090526E-2</v>
          </cell>
        </row>
        <row r="46">
          <cell r="A46" t="str">
            <v>95290</v>
          </cell>
          <cell r="B46" t="str">
            <v>COCCION ARROZ CON POLLO (20800g)</v>
          </cell>
          <cell r="C46" t="str">
            <v>KILO</v>
          </cell>
          <cell r="D46" t="str">
            <v>GRAMO</v>
          </cell>
          <cell r="E46">
            <v>1758.5064069460227</v>
          </cell>
          <cell r="F46">
            <v>1.7585064069460228</v>
          </cell>
          <cell r="G46">
            <v>15.528757064935064</v>
          </cell>
          <cell r="H46">
            <v>1.5528757064935065E-2</v>
          </cell>
          <cell r="I46">
            <v>83.890625</v>
          </cell>
          <cell r="J46">
            <v>8.3890624999999996E-2</v>
          </cell>
        </row>
        <row r="47">
          <cell r="A47" t="str">
            <v>95291</v>
          </cell>
          <cell r="B47" t="str">
            <v>COCCION ARROZ PRECOCIDO P/GALLO PINTO (13830g)</v>
          </cell>
          <cell r="C47" t="str">
            <v>TANDA</v>
          </cell>
          <cell r="D47" t="str">
            <v>GRAMO</v>
          </cell>
          <cell r="E47">
            <v>10045.103719999999</v>
          </cell>
          <cell r="F47">
            <v>0.7263270947216196</v>
          </cell>
          <cell r="G47">
            <v>110.87506800000001</v>
          </cell>
          <cell r="H47">
            <v>8.0169969631236453E-3</v>
          </cell>
          <cell r="I47">
            <v>825</v>
          </cell>
          <cell r="J47">
            <v>5.9652928416485902E-2</v>
          </cell>
        </row>
        <row r="48">
          <cell r="A48" t="str">
            <v>95292</v>
          </cell>
          <cell r="B48" t="str">
            <v>ADEREZO CESAR (1850g)</v>
          </cell>
          <cell r="C48" t="str">
            <v>KILO</v>
          </cell>
          <cell r="D48" t="str">
            <v>GRAMO</v>
          </cell>
          <cell r="E48">
            <v>2949.6608915924162</v>
          </cell>
          <cell r="F48">
            <v>2.9496608915924161</v>
          </cell>
          <cell r="G48">
            <v>0.1303708382200382</v>
          </cell>
          <cell r="H48">
            <v>1.3037083822003821E-4</v>
          </cell>
          <cell r="I48">
            <v>178.08059338927262</v>
          </cell>
          <cell r="J48">
            <v>0.17808059338927262</v>
          </cell>
        </row>
        <row r="49">
          <cell r="A49" t="str">
            <v>95296</v>
          </cell>
          <cell r="B49" t="str">
            <v>ADEREZO THAI (4332g)</v>
          </cell>
          <cell r="C49" t="str">
            <v>KILO</v>
          </cell>
          <cell r="D49" t="str">
            <v>GRAMO</v>
          </cell>
          <cell r="E49">
            <v>2694.1769570637116</v>
          </cell>
          <cell r="F49">
            <v>2.6941769570637115</v>
          </cell>
          <cell r="G49">
            <v>0</v>
          </cell>
          <cell r="H49">
            <v>0</v>
          </cell>
          <cell r="I49">
            <v>103.41643582640812</v>
          </cell>
          <cell r="J49">
            <v>0.10341643582640812</v>
          </cell>
        </row>
        <row r="50">
          <cell r="A50" t="str">
            <v>95298</v>
          </cell>
          <cell r="B50" t="str">
            <v>COCCION FRIJOLES ARREGLADOS C/CALDO (3100g)</v>
          </cell>
          <cell r="C50" t="str">
            <v>KILO</v>
          </cell>
          <cell r="D50" t="str">
            <v>GRAMO</v>
          </cell>
          <cell r="E50">
            <v>783.77464894866955</v>
          </cell>
          <cell r="F50">
            <v>0.78377464894866955</v>
          </cell>
          <cell r="G50">
            <v>142.44677419354841</v>
          </cell>
          <cell r="H50">
            <v>0.1424467741935484</v>
          </cell>
          <cell r="I50">
            <v>88.709677419354847</v>
          </cell>
          <cell r="J50">
            <v>8.8709677419354843E-2</v>
          </cell>
        </row>
        <row r="51">
          <cell r="A51" t="str">
            <v>95299</v>
          </cell>
          <cell r="B51" t="str">
            <v>COCCION FRIJOLES P/GALLO PINTO (19820g)</v>
          </cell>
          <cell r="C51" t="str">
            <v>TANDA</v>
          </cell>
          <cell r="D51" t="str">
            <v>GRAMO</v>
          </cell>
          <cell r="E51">
            <v>13690.75</v>
          </cell>
          <cell r="F51">
            <v>0.69075428859737642</v>
          </cell>
          <cell r="G51">
            <v>76.121990999999994</v>
          </cell>
          <cell r="H51">
            <v>3.8406655398587281E-3</v>
          </cell>
          <cell r="I51">
            <v>550</v>
          </cell>
          <cell r="J51">
            <v>2.7749747729566093E-2</v>
          </cell>
        </row>
        <row r="52">
          <cell r="A52" t="str">
            <v>95301</v>
          </cell>
          <cell r="B52" t="str">
            <v>MEZCLA GALLO PINTO SPOON (28900g)</v>
          </cell>
          <cell r="C52" t="str">
            <v>TANDA</v>
          </cell>
          <cell r="D52" t="str">
            <v>GRAMO</v>
          </cell>
          <cell r="E52">
            <v>39127.173464515727</v>
          </cell>
          <cell r="F52">
            <v>1.3538814347583297</v>
          </cell>
          <cell r="G52">
            <v>538.82476734492559</v>
          </cell>
          <cell r="H52">
            <v>1.8644455617471474E-2</v>
          </cell>
          <cell r="I52">
            <v>3807.2710020827362</v>
          </cell>
          <cell r="J52">
            <v>0.13173948104092512</v>
          </cell>
        </row>
        <row r="53">
          <cell r="A53" t="str">
            <v>95307</v>
          </cell>
          <cell r="B53" t="str">
            <v>COCCION POLLO DESMENUZADO MARMITA (32000g)</v>
          </cell>
          <cell r="C53" t="str">
            <v>TANDA</v>
          </cell>
          <cell r="D53" t="str">
            <v>GRAMO</v>
          </cell>
          <cell r="E53">
            <v>140311.73133333333</v>
          </cell>
          <cell r="F53">
            <v>4.3847416041666669</v>
          </cell>
          <cell r="G53">
            <v>0</v>
          </cell>
          <cell r="H53">
            <v>0</v>
          </cell>
          <cell r="I53">
            <v>4950</v>
          </cell>
          <cell r="J53">
            <v>0.15468750000000001</v>
          </cell>
        </row>
        <row r="54">
          <cell r="A54" t="str">
            <v>95308</v>
          </cell>
          <cell r="B54" t="str">
            <v>COCCION PALMITO PICADO (9100g)</v>
          </cell>
          <cell r="C54" t="str">
            <v>TANDA</v>
          </cell>
          <cell r="D54" t="str">
            <v>GRAMO</v>
          </cell>
          <cell r="E54">
            <v>21845.003638823528</v>
          </cell>
          <cell r="F54">
            <v>2.2755212123774506</v>
          </cell>
          <cell r="G54">
            <v>420.14674999999994</v>
          </cell>
          <cell r="H54">
            <v>4.376528645833333E-2</v>
          </cell>
          <cell r="I54">
            <v>550</v>
          </cell>
          <cell r="J54">
            <v>5.7291666666666664E-2</v>
          </cell>
        </row>
        <row r="55">
          <cell r="A55" t="str">
            <v>95318</v>
          </cell>
          <cell r="B55" t="str">
            <v>SALSA ESPINACA Y ALBAHACA (10 Kg)</v>
          </cell>
          <cell r="C55" t="str">
            <v>KILO</v>
          </cell>
          <cell r="D55" t="str">
            <v>GRAMO</v>
          </cell>
          <cell r="E55">
            <v>2783.2200599999996</v>
          </cell>
          <cell r="F55">
            <v>2.7832200599999997</v>
          </cell>
          <cell r="G55">
            <v>0.50049999999999983</v>
          </cell>
          <cell r="H55">
            <v>5.0049999999999986E-4</v>
          </cell>
          <cell r="I55">
            <v>140</v>
          </cell>
          <cell r="J55">
            <v>0.14000000000000001</v>
          </cell>
        </row>
        <row r="56">
          <cell r="A56" t="str">
            <v>95320</v>
          </cell>
          <cell r="B56" t="str">
            <v>SALSA ARREGLADO (3780g)</v>
          </cell>
          <cell r="C56" t="str">
            <v>KILO</v>
          </cell>
          <cell r="D56" t="str">
            <v>GRAMO</v>
          </cell>
          <cell r="E56">
            <v>906.01051455026459</v>
          </cell>
          <cell r="F56">
            <v>0.9060105145502646</v>
          </cell>
          <cell r="G56">
            <v>12.618432539682539</v>
          </cell>
          <cell r="H56">
            <v>1.2618432539682539E-2</v>
          </cell>
          <cell r="I56">
            <v>72.751322751322746</v>
          </cell>
          <cell r="J56">
            <v>7.2751322751322747E-2</v>
          </cell>
        </row>
        <row r="57">
          <cell r="A57" t="str">
            <v>95328</v>
          </cell>
          <cell r="B57" t="str">
            <v>CORTE GALLETAS MEDIA LUNA (UND)</v>
          </cell>
          <cell r="C57" t="str">
            <v>UND</v>
          </cell>
          <cell r="D57" t="str">
            <v>UND</v>
          </cell>
          <cell r="E57">
            <v>4.8172827868108099</v>
          </cell>
          <cell r="F57">
            <v>4.8172827868108099</v>
          </cell>
          <cell r="G57">
            <v>5.9330013075933087E-2</v>
          </cell>
          <cell r="H57">
            <v>5.9330013075933087E-2</v>
          </cell>
          <cell r="I57">
            <v>1.2902702702702702</v>
          </cell>
          <cell r="J57">
            <v>1.2902702702702702</v>
          </cell>
        </row>
        <row r="58">
          <cell r="A58" t="str">
            <v>95330</v>
          </cell>
          <cell r="B58" t="str">
            <v>SUSPIRO PEQUEÑO 45g (UND)</v>
          </cell>
          <cell r="C58" t="str">
            <v>UND</v>
          </cell>
          <cell r="D58" t="str">
            <v>UND</v>
          </cell>
          <cell r="E58">
            <v>100.81477696572391</v>
          </cell>
          <cell r="F58">
            <v>100.81477696572391</v>
          </cell>
          <cell r="G58">
            <v>2.9908003519121009</v>
          </cell>
          <cell r="H58">
            <v>2.9908003519121009</v>
          </cell>
          <cell r="I58">
            <v>18.392742409227967</v>
          </cell>
          <cell r="J58">
            <v>18.392742409227967</v>
          </cell>
        </row>
        <row r="59">
          <cell r="A59" t="str">
            <v>95355</v>
          </cell>
          <cell r="B59" t="str">
            <v>ROSQUETE TRES LECHES CAMPERO (750g)</v>
          </cell>
          <cell r="C59" t="str">
            <v>Und</v>
          </cell>
          <cell r="D59" t="str">
            <v>Und</v>
          </cell>
          <cell r="E59">
            <v>700.14562941159068</v>
          </cell>
          <cell r="F59">
            <v>700.14562941159068</v>
          </cell>
          <cell r="G59">
            <v>4.2692446541649547</v>
          </cell>
          <cell r="H59">
            <v>4.2692446541649547</v>
          </cell>
          <cell r="I59">
            <v>46.592889436909168</v>
          </cell>
          <cell r="J59">
            <v>46.592889436909168</v>
          </cell>
        </row>
        <row r="60">
          <cell r="A60" t="str">
            <v>95357</v>
          </cell>
          <cell r="B60" t="str">
            <v>ROSQUETE P/TRES LECHES (230g)</v>
          </cell>
          <cell r="C60" t="str">
            <v>UND</v>
          </cell>
          <cell r="D60" t="str">
            <v>UND</v>
          </cell>
          <cell r="E60">
            <v>232.32987603822951</v>
          </cell>
          <cell r="F60">
            <v>232.32987603822951</v>
          </cell>
          <cell r="G60">
            <v>0.89962719305584204</v>
          </cell>
          <cell r="H60">
            <v>0.89962719305584204</v>
          </cell>
          <cell r="I60">
            <v>21.708266077648457</v>
          </cell>
          <cell r="J60">
            <v>21.708266077648457</v>
          </cell>
        </row>
        <row r="61">
          <cell r="A61" t="str">
            <v>95361</v>
          </cell>
          <cell r="B61" t="str">
            <v>BASE PREMEZCLA P/BROWNIE (4.9 Kg)</v>
          </cell>
          <cell r="C61" t="str">
            <v>TANDA</v>
          </cell>
          <cell r="D61" t="str">
            <v>GRAMO</v>
          </cell>
          <cell r="E61">
            <v>4824.2799000000005</v>
          </cell>
          <cell r="F61">
            <v>1.012865819861432</v>
          </cell>
          <cell r="G61">
            <v>64.754711587301585</v>
          </cell>
          <cell r="H61">
            <v>1.3595362499958342E-2</v>
          </cell>
          <cell r="I61">
            <v>137.5</v>
          </cell>
          <cell r="J61">
            <v>2.8868360277136258E-2</v>
          </cell>
        </row>
        <row r="62">
          <cell r="A62" t="str">
            <v>95362</v>
          </cell>
          <cell r="B62" t="str">
            <v>BASE PREMEZCLA ARROLLADO SPOON (1227 g)</v>
          </cell>
          <cell r="C62" t="str">
            <v>TANDA</v>
          </cell>
          <cell r="D62" t="str">
            <v>GRAMO</v>
          </cell>
          <cell r="E62">
            <v>520.91361319999999</v>
          </cell>
          <cell r="F62">
            <v>0.42454247204563977</v>
          </cell>
          <cell r="G62">
            <v>17.022725555555557</v>
          </cell>
          <cell r="H62">
            <v>1.3873451960517976E-2</v>
          </cell>
          <cell r="I62">
            <v>55</v>
          </cell>
          <cell r="J62">
            <v>4.4824775876120618E-2</v>
          </cell>
        </row>
        <row r="63">
          <cell r="A63" t="str">
            <v>95364</v>
          </cell>
          <cell r="B63" t="str">
            <v>BASE PREMEZCLA P/ROSQUETE TRES LECHES (9636g)</v>
          </cell>
          <cell r="C63" t="str">
            <v>TANDA</v>
          </cell>
          <cell r="D63" t="str">
            <v>GRAMO</v>
          </cell>
          <cell r="E63">
            <v>5179.6507680000004</v>
          </cell>
          <cell r="F63">
            <v>0.53753121295143214</v>
          </cell>
          <cell r="G63">
            <v>67.090375555555553</v>
          </cell>
          <cell r="H63">
            <v>6.9624715188413818E-3</v>
          </cell>
          <cell r="I63">
            <v>110</v>
          </cell>
          <cell r="J63">
            <v>1.1415525114155251E-2</v>
          </cell>
        </row>
        <row r="64">
          <cell r="A64" t="str">
            <v>95368</v>
          </cell>
          <cell r="B64" t="str">
            <v>BASE PREMEZCLA ROSQUETE KALUA (4488g)</v>
          </cell>
          <cell r="C64" t="str">
            <v>TANDA</v>
          </cell>
          <cell r="D64" t="str">
            <v>GRAMO</v>
          </cell>
          <cell r="E64">
            <v>13725.715515</v>
          </cell>
          <cell r="F64">
            <v>3.0583145086898393</v>
          </cell>
          <cell r="G64">
            <v>51.520357777777782</v>
          </cell>
          <cell r="H64">
            <v>1.1479580610021788E-2</v>
          </cell>
          <cell r="I64">
            <v>224</v>
          </cell>
          <cell r="J64">
            <v>4.9910873440285206E-2</v>
          </cell>
        </row>
        <row r="65">
          <cell r="A65" t="str">
            <v>95373</v>
          </cell>
          <cell r="B65" t="str">
            <v>BASE PREMEZCLA PASTA FIGURA VAINILLA (9234g)</v>
          </cell>
          <cell r="C65" t="str">
            <v>TANDA</v>
          </cell>
          <cell r="D65" t="str">
            <v>GRAMO</v>
          </cell>
          <cell r="E65">
            <v>14742.3863884</v>
          </cell>
          <cell r="F65">
            <v>1.5965330721680746</v>
          </cell>
          <cell r="G65">
            <v>43.385354920634924</v>
          </cell>
          <cell r="H65">
            <v>4.6984356639197446E-3</v>
          </cell>
          <cell r="I65">
            <v>168</v>
          </cell>
          <cell r="J65">
            <v>1.8193632228719947E-2</v>
          </cell>
        </row>
        <row r="66">
          <cell r="A66" t="str">
            <v>95374</v>
          </cell>
          <cell r="B66" t="str">
            <v>BASE PREMEZCLA PALITOS QUESO SPOON (4780g)</v>
          </cell>
          <cell r="C66" t="str">
            <v>TANDA</v>
          </cell>
          <cell r="D66" t="str">
            <v>GRAMO</v>
          </cell>
          <cell r="E66">
            <v>4768.5162400000008</v>
          </cell>
          <cell r="F66">
            <v>0.99759753974895415</v>
          </cell>
          <cell r="G66">
            <v>43.385354920634924</v>
          </cell>
          <cell r="H66">
            <v>9.0764340838148383E-3</v>
          </cell>
          <cell r="I66">
            <v>165</v>
          </cell>
          <cell r="J66">
            <v>3.4518828451882845E-2</v>
          </cell>
        </row>
        <row r="67">
          <cell r="A67" t="str">
            <v>95376</v>
          </cell>
          <cell r="B67" t="str">
            <v>BASE PREMEZCLA CANASTA/TARTALETA (6307g)</v>
          </cell>
          <cell r="C67" t="str">
            <v>TANDA</v>
          </cell>
          <cell r="D67" t="str">
            <v>GRAMO</v>
          </cell>
          <cell r="E67">
            <v>3405.0744131999995</v>
          </cell>
          <cell r="F67">
            <v>0.7555079683159529</v>
          </cell>
          <cell r="G67">
            <v>43.165582698412706</v>
          </cell>
          <cell r="H67">
            <v>9.5774534498364108E-3</v>
          </cell>
          <cell r="I67">
            <v>82.5</v>
          </cell>
          <cell r="J67">
            <v>1.8304859108054138E-2</v>
          </cell>
        </row>
        <row r="68">
          <cell r="A68" t="str">
            <v>95381</v>
          </cell>
          <cell r="B68" t="str">
            <v>BASE PREMEZCLA P/GALLETAS CHOCO BLANCO (7839g)</v>
          </cell>
          <cell r="C68" t="str">
            <v>TANDA</v>
          </cell>
          <cell r="D68" t="str">
            <v>GRAMO</v>
          </cell>
          <cell r="E68">
            <v>7288.0499508051289</v>
          </cell>
          <cell r="F68">
            <v>0.92971679433666654</v>
          </cell>
          <cell r="G68">
            <v>21.822757777777777</v>
          </cell>
          <cell r="H68">
            <v>2.7838701081487152E-3</v>
          </cell>
          <cell r="I68">
            <v>280</v>
          </cell>
          <cell r="J68">
            <v>3.5718841688990942E-2</v>
          </cell>
        </row>
        <row r="69">
          <cell r="A69" t="str">
            <v>95386</v>
          </cell>
          <cell r="B69" t="str">
            <v>BASE PREMEZCLA GALLETAS MEDIA LUNA (18320g)</v>
          </cell>
          <cell r="C69" t="str">
            <v>TANDA</v>
          </cell>
          <cell r="D69" t="str">
            <v>Gramo</v>
          </cell>
          <cell r="E69">
            <v>18807.167751999998</v>
          </cell>
          <cell r="F69">
            <v>1.0265921262008733</v>
          </cell>
          <cell r="G69">
            <v>75.538167619047627</v>
          </cell>
          <cell r="H69">
            <v>4.1232624246205036E-3</v>
          </cell>
          <cell r="I69">
            <v>192.5</v>
          </cell>
          <cell r="J69">
            <v>1.050764192139738E-2</v>
          </cell>
        </row>
        <row r="70">
          <cell r="A70" t="str">
            <v>95387</v>
          </cell>
          <cell r="B70" t="str">
            <v>BASE PREMEZCLA PASTA CROISSANTS (7368g)</v>
          </cell>
          <cell r="C70" t="str">
            <v>TANDA</v>
          </cell>
          <cell r="D70" t="str">
            <v>GRAMO</v>
          </cell>
          <cell r="E70">
            <v>8617.5619360000019</v>
          </cell>
          <cell r="F70">
            <v>1.1695930966340937</v>
          </cell>
          <cell r="G70">
            <v>32.364388253968258</v>
          </cell>
          <cell r="H70">
            <v>4.392560837943575E-3</v>
          </cell>
          <cell r="I70">
            <v>110</v>
          </cell>
          <cell r="J70">
            <v>1.4929424538545059E-2</v>
          </cell>
        </row>
        <row r="71">
          <cell r="A71" t="str">
            <v>95389</v>
          </cell>
          <cell r="B71" t="str">
            <v>PASTA PALITOS QUESO BUCCA (7900g)</v>
          </cell>
          <cell r="C71" t="str">
            <v>KILO</v>
          </cell>
          <cell r="D71" t="str">
            <v>GRAMO</v>
          </cell>
          <cell r="E71">
            <v>3149.363518734177</v>
          </cell>
          <cell r="F71">
            <v>3.1493635187341771</v>
          </cell>
          <cell r="G71">
            <v>3.1325364275668068</v>
          </cell>
          <cell r="H71">
            <v>3.132536427566807E-3</v>
          </cell>
          <cell r="I71">
            <v>106.32911392405063</v>
          </cell>
          <cell r="J71">
            <v>0.10632911392405063</v>
          </cell>
        </row>
        <row r="72">
          <cell r="A72" t="str">
            <v>95453</v>
          </cell>
          <cell r="B72" t="str">
            <v>COCCION SALSA BLANCA SPOON (59450g)</v>
          </cell>
          <cell r="C72" t="str">
            <v>TANDA</v>
          </cell>
          <cell r="D72" t="str">
            <v>GRAMO</v>
          </cell>
          <cell r="E72">
            <v>86679.037859999997</v>
          </cell>
          <cell r="F72">
            <v>1.5698458364574843</v>
          </cell>
          <cell r="G72">
            <v>0</v>
          </cell>
          <cell r="H72">
            <v>0</v>
          </cell>
          <cell r="I72">
            <v>990</v>
          </cell>
          <cell r="J72">
            <v>1.7929910350448247E-2</v>
          </cell>
        </row>
        <row r="73">
          <cell r="A73" t="str">
            <v>95456</v>
          </cell>
          <cell r="B73" t="str">
            <v>RELLENO QUESO P/CHESSE CAKE LIMON IND (9040g)</v>
          </cell>
          <cell r="C73" t="str">
            <v>KILO</v>
          </cell>
          <cell r="D73" t="str">
            <v>GRAMO</v>
          </cell>
          <cell r="E73">
            <v>1906.379476806102</v>
          </cell>
          <cell r="F73">
            <v>1.906379476806102</v>
          </cell>
          <cell r="G73">
            <v>4.8684593023255807E-3</v>
          </cell>
          <cell r="H73">
            <v>4.8684593023255809E-6</v>
          </cell>
          <cell r="I73">
            <v>103.36444046909165</v>
          </cell>
          <cell r="J73">
            <v>0.10336444046909164</v>
          </cell>
        </row>
        <row r="74">
          <cell r="A74" t="str">
            <v>95460</v>
          </cell>
          <cell r="B74" t="str">
            <v>EMPAQUE CARNE MECHADA (1000g)</v>
          </cell>
          <cell r="C74" t="str">
            <v>TANDA</v>
          </cell>
          <cell r="D74" t="str">
            <v>GRAMO</v>
          </cell>
          <cell r="E74">
            <v>52093.046999999999</v>
          </cell>
          <cell r="F74">
            <v>6.2015532142857142</v>
          </cell>
          <cell r="G74">
            <v>28.572105000000001</v>
          </cell>
          <cell r="H74">
            <v>3.4014410714285717E-3</v>
          </cell>
          <cell r="I74">
            <v>1540</v>
          </cell>
          <cell r="J74">
            <v>0.18333333333333332</v>
          </cell>
        </row>
        <row r="75">
          <cell r="A75" t="str">
            <v>95464</v>
          </cell>
          <cell r="B75" t="str">
            <v>FRIJOLES TIERNOS P/CHIFRIJO (12.900g)</v>
          </cell>
          <cell r="C75" t="str">
            <v>TANDA</v>
          </cell>
          <cell r="D75" t="str">
            <v>GRAMO</v>
          </cell>
          <cell r="E75">
            <v>16173.637850588233</v>
          </cell>
          <cell r="F75">
            <v>2.8006299308377893</v>
          </cell>
          <cell r="G75">
            <v>1324.7550000000001</v>
          </cell>
          <cell r="H75">
            <v>0.22939480519480521</v>
          </cell>
          <cell r="I75">
            <v>1100</v>
          </cell>
          <cell r="J75">
            <v>0.19047619047619047</v>
          </cell>
        </row>
        <row r="76">
          <cell r="A76" t="str">
            <v>95469</v>
          </cell>
          <cell r="B76" t="str">
            <v>PALITOS QUESO SPOON (7280g)</v>
          </cell>
          <cell r="C76" t="str">
            <v>KILO</v>
          </cell>
          <cell r="D76" t="str">
            <v>GRAMO</v>
          </cell>
          <cell r="E76">
            <v>3535.1172097809231</v>
          </cell>
          <cell r="F76">
            <v>3.5351172097809229</v>
          </cell>
          <cell r="G76">
            <v>3.0228780616802218</v>
          </cell>
          <cell r="H76">
            <v>3.0228780616802218E-3</v>
          </cell>
          <cell r="I76">
            <v>258.76075407832263</v>
          </cell>
          <cell r="J76">
            <v>0.25876075407832261</v>
          </cell>
        </row>
        <row r="77">
          <cell r="A77" t="str">
            <v>95471</v>
          </cell>
          <cell r="B77" t="str">
            <v>CORTE GALLETA GDE P/TORTA CHILENA (UND)</v>
          </cell>
          <cell r="C77" t="str">
            <v>UND</v>
          </cell>
          <cell r="D77" t="str">
            <v>UND</v>
          </cell>
          <cell r="E77">
            <v>125.51629951264256</v>
          </cell>
          <cell r="F77">
            <v>125.51629951264256</v>
          </cell>
          <cell r="G77">
            <v>0.39725898390898567</v>
          </cell>
          <cell r="H77">
            <v>0.39725898390898567</v>
          </cell>
          <cell r="I77">
            <v>19.596152667075415</v>
          </cell>
          <cell r="J77">
            <v>19.596152667075415</v>
          </cell>
        </row>
        <row r="78">
          <cell r="A78" t="str">
            <v>903000128</v>
          </cell>
          <cell r="B78" t="str">
            <v>SOMBRERO PALMITO (UND)</v>
          </cell>
          <cell r="C78" t="str">
            <v>UND</v>
          </cell>
          <cell r="D78" t="str">
            <v>UND</v>
          </cell>
          <cell r="E78">
            <v>76.891825005659996</v>
          </cell>
          <cell r="F78">
            <v>76.891825005659996</v>
          </cell>
          <cell r="G78">
            <v>1.0961469750919879</v>
          </cell>
          <cell r="H78">
            <v>1.0961469750919879</v>
          </cell>
          <cell r="I78">
            <v>37.355111117367287</v>
          </cell>
          <cell r="J78">
            <v>37.355111117367287</v>
          </cell>
        </row>
        <row r="79">
          <cell r="A79" t="str">
            <v>908000021</v>
          </cell>
          <cell r="B79" t="str">
            <v>ALMIBAR (31.300g)</v>
          </cell>
          <cell r="C79" t="str">
            <v>KILO</v>
          </cell>
          <cell r="D79" t="str">
            <v>GRAMO</v>
          </cell>
          <cell r="E79">
            <v>278.67987800638974</v>
          </cell>
          <cell r="F79">
            <v>0.27867987800638977</v>
          </cell>
          <cell r="G79">
            <v>5.4044722044728424</v>
          </cell>
          <cell r="H79">
            <v>5.4044722044728427E-3</v>
          </cell>
          <cell r="I79">
            <v>26.357827476038338</v>
          </cell>
          <cell r="J79">
            <v>2.6357827476038338E-2</v>
          </cell>
        </row>
        <row r="80">
          <cell r="A80" t="str">
            <v>95508</v>
          </cell>
          <cell r="B80" t="str">
            <v>COCCION SALSA HONGOS (16565g)</v>
          </cell>
          <cell r="C80" t="str">
            <v>KILO</v>
          </cell>
          <cell r="D80" t="str">
            <v>GRAMO</v>
          </cell>
          <cell r="E80">
            <v>2085.8923648665045</v>
          </cell>
          <cell r="F80">
            <v>2.0858923648665044</v>
          </cell>
          <cell r="G80">
            <v>0</v>
          </cell>
          <cell r="H80">
            <v>0</v>
          </cell>
          <cell r="I80">
            <v>83.434466019417485</v>
          </cell>
          <cell r="J80">
            <v>8.343446601941748E-2</v>
          </cell>
        </row>
        <row r="81">
          <cell r="A81" t="str">
            <v>95515</v>
          </cell>
          <cell r="B81" t="str">
            <v>PASTA CHILENA (23300g)</v>
          </cell>
          <cell r="C81" t="str">
            <v>TANDA</v>
          </cell>
          <cell r="D81" t="str">
            <v>GRAMO</v>
          </cell>
          <cell r="E81">
            <v>20225.938512000001</v>
          </cell>
          <cell r="F81">
            <v>0.86806603055793996</v>
          </cell>
          <cell r="G81">
            <v>64.728212063492066</v>
          </cell>
          <cell r="H81">
            <v>2.7780348525103891E-3</v>
          </cell>
          <cell r="I81">
            <v>632.5</v>
          </cell>
          <cell r="J81">
            <v>2.7145922746781116E-2</v>
          </cell>
        </row>
        <row r="82">
          <cell r="A82" t="str">
            <v>95518</v>
          </cell>
          <cell r="B82" t="str">
            <v>ROSQUETE CHOCOLATE BUCCA (1200g)</v>
          </cell>
          <cell r="C82" t="str">
            <v>UND</v>
          </cell>
          <cell r="D82" t="str">
            <v>UND</v>
          </cell>
          <cell r="E82">
            <v>1371.4088438210294</v>
          </cell>
          <cell r="F82">
            <v>1371.4088438210294</v>
          </cell>
          <cell r="G82">
            <v>22.694913484807593</v>
          </cell>
          <cell r="H82">
            <v>22.694913484807593</v>
          </cell>
          <cell r="I82">
            <v>85.973154362416096</v>
          </cell>
          <cell r="J82">
            <v>85.973154362416096</v>
          </cell>
        </row>
        <row r="83">
          <cell r="A83" t="str">
            <v>95525</v>
          </cell>
          <cell r="B83" t="str">
            <v>ROSQUETE ZANAHORIA PLANCHA (600g)</v>
          </cell>
          <cell r="C83" t="str">
            <v>UND</v>
          </cell>
          <cell r="D83" t="str">
            <v>UND</v>
          </cell>
          <cell r="E83">
            <v>1093.4703973114886</v>
          </cell>
          <cell r="F83">
            <v>1093.4703973114886</v>
          </cell>
          <cell r="G83">
            <v>26.890359737753734</v>
          </cell>
          <cell r="H83">
            <v>26.890359737753734</v>
          </cell>
          <cell r="I83">
            <v>119.92408474799313</v>
          </cell>
          <cell r="J83">
            <v>119.92408474799313</v>
          </cell>
        </row>
        <row r="84">
          <cell r="A84" t="str">
            <v>95536</v>
          </cell>
          <cell r="B84" t="str">
            <v>ROSQUETE PLANCHA RECT. KALUA (1400g)</v>
          </cell>
          <cell r="C84" t="str">
            <v>UND</v>
          </cell>
          <cell r="D84" t="str">
            <v>UND</v>
          </cell>
          <cell r="E84">
            <v>3652.8303693632033</v>
          </cell>
          <cell r="F84">
            <v>3652.8303693632033</v>
          </cell>
          <cell r="G84">
            <v>39.588047787151226</v>
          </cell>
          <cell r="H84">
            <v>39.588047787151226</v>
          </cell>
          <cell r="I84">
            <v>206.49054558740966</v>
          </cell>
          <cell r="J84">
            <v>206.49054558740966</v>
          </cell>
        </row>
        <row r="85">
          <cell r="A85" t="str">
            <v>903000001</v>
          </cell>
          <cell r="B85" t="str">
            <v>ROSQUETE ZANAHORIA C/PIÑA (450g)</v>
          </cell>
          <cell r="C85" t="str">
            <v>UND</v>
          </cell>
          <cell r="D85" t="str">
            <v>UND</v>
          </cell>
          <cell r="E85">
            <v>869.35986014250375</v>
          </cell>
          <cell r="F85">
            <v>869.35986014250375</v>
          </cell>
          <cell r="G85">
            <v>11.256012693707518</v>
          </cell>
          <cell r="H85">
            <v>11.256012693707518</v>
          </cell>
          <cell r="I85">
            <v>93.482197464990548</v>
          </cell>
          <cell r="J85">
            <v>93.482197464990548</v>
          </cell>
        </row>
        <row r="86">
          <cell r="A86" t="str">
            <v>95555</v>
          </cell>
          <cell r="B86" t="str">
            <v>BASE PREMEZCLA CHILENA (23524g)</v>
          </cell>
          <cell r="C86" t="str">
            <v>TANDA</v>
          </cell>
          <cell r="D86" t="str">
            <v>GRAMO</v>
          </cell>
          <cell r="E86">
            <v>20225.938512000001</v>
          </cell>
          <cell r="F86">
            <v>0.85980014079238232</v>
          </cell>
          <cell r="G86">
            <v>64.728212063492066</v>
          </cell>
          <cell r="H86">
            <v>2.7515818765300147E-3</v>
          </cell>
          <cell r="I86">
            <v>192.5</v>
          </cell>
          <cell r="J86">
            <v>8.1831321203876886E-3</v>
          </cell>
        </row>
        <row r="87">
          <cell r="A87" t="str">
            <v>906000034</v>
          </cell>
          <cell r="B87" t="str">
            <v>PASTA FROLA (13287g)</v>
          </cell>
          <cell r="C87" t="str">
            <v>TANDA</v>
          </cell>
          <cell r="D87" t="str">
            <v>GRAMO</v>
          </cell>
          <cell r="E87">
            <v>10312.653875999998</v>
          </cell>
          <cell r="F87">
            <v>0.77614614856626762</v>
          </cell>
          <cell r="G87">
            <v>43.169083809523819</v>
          </cell>
          <cell r="H87">
            <v>3.248971461543149E-3</v>
          </cell>
          <cell r="I87">
            <v>1155</v>
          </cell>
          <cell r="J87">
            <v>8.6927071573718678E-2</v>
          </cell>
        </row>
        <row r="88">
          <cell r="A88" t="str">
            <v>95574</v>
          </cell>
          <cell r="B88" t="str">
            <v>BASE PREMEZCLA CHOCOLATE CIABATTA (6006g)</v>
          </cell>
          <cell r="C88" t="str">
            <v>TANDA</v>
          </cell>
          <cell r="D88" t="str">
            <v>GRAMO</v>
          </cell>
          <cell r="E88">
            <v>23.83719</v>
          </cell>
          <cell r="F88">
            <v>0.95348759999999999</v>
          </cell>
          <cell r="G88">
            <v>2.9325322222222225</v>
          </cell>
          <cell r="H88">
            <v>0.1173012888888889</v>
          </cell>
          <cell r="I88">
            <v>110</v>
          </cell>
          <cell r="J88">
            <v>4.4000000000000004</v>
          </cell>
        </row>
        <row r="89">
          <cell r="A89" t="str">
            <v>95575</v>
          </cell>
          <cell r="B89" t="str">
            <v>COCO TOSTADO (5 Kg)</v>
          </cell>
          <cell r="C89" t="str">
            <v>KILO</v>
          </cell>
          <cell r="D89" t="str">
            <v>GRAMO</v>
          </cell>
          <cell r="E89">
            <v>2865.7082474226804</v>
          </cell>
          <cell r="F89">
            <v>2.8657082474226803</v>
          </cell>
          <cell r="G89">
            <v>0</v>
          </cell>
          <cell r="H89">
            <v>0</v>
          </cell>
          <cell r="I89">
            <v>57.731958762886599</v>
          </cell>
          <cell r="J89">
            <v>5.7731958762886601E-2</v>
          </cell>
        </row>
        <row r="90">
          <cell r="A90" t="str">
            <v>95591</v>
          </cell>
          <cell r="B90" t="str">
            <v>PECANA ENTERA TOSTADA (480g)</v>
          </cell>
          <cell r="C90" t="str">
            <v>KILO</v>
          </cell>
          <cell r="D90" t="str">
            <v>GRAMO</v>
          </cell>
          <cell r="E90">
            <v>10754.737500000001</v>
          </cell>
          <cell r="F90">
            <v>10.754737500000001</v>
          </cell>
          <cell r="G90">
            <v>26.431246874999999</v>
          </cell>
          <cell r="H90">
            <v>2.6431246874999998E-2</v>
          </cell>
          <cell r="I90">
            <v>116.66666666666667</v>
          </cell>
          <cell r="J90">
            <v>0.11666666666666667</v>
          </cell>
        </row>
        <row r="91">
          <cell r="A91" t="str">
            <v>95610</v>
          </cell>
          <cell r="B91" t="str">
            <v>BASE PREMEZCLA ZANAHORIA/PIÑA (5218g)</v>
          </cell>
          <cell r="C91" t="str">
            <v>TANDA</v>
          </cell>
          <cell r="D91" t="str">
            <v>GRAMO</v>
          </cell>
          <cell r="E91">
            <v>5181.0308002319098</v>
          </cell>
          <cell r="F91">
            <v>0.99291506328706591</v>
          </cell>
          <cell r="G91">
            <v>11.021531111111111</v>
          </cell>
          <cell r="H91">
            <v>2.1122137046974149E-3</v>
          </cell>
          <cell r="I91">
            <v>165</v>
          </cell>
          <cell r="J91">
            <v>3.1621310847067839E-2</v>
          </cell>
        </row>
        <row r="92">
          <cell r="A92" t="str">
            <v>95613</v>
          </cell>
          <cell r="B92" t="str">
            <v>BASE PREMEZCLA P/PASTA ALFAJOR  (23.360g)</v>
          </cell>
          <cell r="C92" t="str">
            <v>TANDA</v>
          </cell>
          <cell r="D92" t="str">
            <v>GRAMO</v>
          </cell>
          <cell r="E92">
            <v>20299.330214799997</v>
          </cell>
          <cell r="F92">
            <v>0.88169787667984179</v>
          </cell>
          <cell r="G92">
            <v>66.878521111111112</v>
          </cell>
          <cell r="H92">
            <v>2.9048569305091046E-3</v>
          </cell>
          <cell r="I92">
            <v>220</v>
          </cell>
          <cell r="J92">
            <v>9.5556617295747739E-3</v>
          </cell>
        </row>
        <row r="93">
          <cell r="A93" t="str">
            <v>95614</v>
          </cell>
          <cell r="B93" t="str">
            <v>BASE PREMEZCLA PASTA HOJALDRE (24.230 Kg)</v>
          </cell>
          <cell r="C93" t="str">
            <v>TANDA</v>
          </cell>
          <cell r="D93" t="str">
            <v>GRAMO</v>
          </cell>
          <cell r="E93">
            <v>20132.857961333335</v>
          </cell>
          <cell r="F93">
            <v>0.83090623034805344</v>
          </cell>
          <cell r="G93">
            <v>86.369083809523815</v>
          </cell>
          <cell r="H93">
            <v>3.5645515398070086E-3</v>
          </cell>
          <cell r="I93">
            <v>220</v>
          </cell>
          <cell r="J93">
            <v>9.0796533223276923E-3</v>
          </cell>
        </row>
        <row r="94">
          <cell r="A94" t="str">
            <v>95615</v>
          </cell>
          <cell r="B94" t="str">
            <v>BASE PREMEZCLA PASTA FROLA (10780g)</v>
          </cell>
          <cell r="C94" t="str">
            <v>TANDA</v>
          </cell>
          <cell r="D94" t="str">
            <v>GRAMO</v>
          </cell>
          <cell r="E94">
            <v>9105.8788759999989</v>
          </cell>
          <cell r="F94">
            <v>0.84470119443413716</v>
          </cell>
          <cell r="G94">
            <v>43.169083809523819</v>
          </cell>
          <cell r="H94">
            <v>4.0045532290838423E-3</v>
          </cell>
          <cell r="I94">
            <v>165</v>
          </cell>
          <cell r="J94">
            <v>1.5306122448979591E-2</v>
          </cell>
        </row>
        <row r="95">
          <cell r="A95" t="str">
            <v>95617</v>
          </cell>
          <cell r="B95" t="str">
            <v>ROSQUETE CHOCOLATE SPOON (480g)</v>
          </cell>
          <cell r="C95" t="str">
            <v>UND</v>
          </cell>
          <cell r="D95" t="str">
            <v>UND</v>
          </cell>
          <cell r="E95">
            <v>594.55641314299407</v>
          </cell>
          <cell r="F95">
            <v>594.55641314299407</v>
          </cell>
          <cell r="G95">
            <v>8.8747244644544399</v>
          </cell>
          <cell r="H95">
            <v>8.8747244644544399</v>
          </cell>
          <cell r="I95">
            <v>10.186722525631257</v>
          </cell>
          <cell r="J95">
            <v>8.8747244644544399</v>
          </cell>
        </row>
        <row r="96">
          <cell r="A96" t="str">
            <v>95621</v>
          </cell>
          <cell r="B96" t="str">
            <v>COCCION ARROZ P/ARROZ CON PALMITO (14390g)</v>
          </cell>
          <cell r="C96" t="str">
            <v>TANDA</v>
          </cell>
          <cell r="D96" t="str">
            <v>GRAMO</v>
          </cell>
          <cell r="E96">
            <v>9327.9691929411765</v>
          </cell>
          <cell r="F96">
            <v>0.64822579520091572</v>
          </cell>
          <cell r="G96">
            <v>130.48862249999999</v>
          </cell>
          <cell r="H96">
            <v>9.0680071230020837E-3</v>
          </cell>
          <cell r="I96">
            <v>440</v>
          </cell>
          <cell r="J96">
            <v>3.0576789437109102E-2</v>
          </cell>
        </row>
        <row r="97">
          <cell r="A97" t="str">
            <v>95627</v>
          </cell>
          <cell r="B97" t="str">
            <v>MAYONESA CHIPOTLE (21228g)</v>
          </cell>
          <cell r="C97" t="str">
            <v>TANDA</v>
          </cell>
          <cell r="D97" t="str">
            <v>GRAMO</v>
          </cell>
          <cell r="E97">
            <v>30198.672583476633</v>
          </cell>
          <cell r="F97">
            <v>1.4225867996738568</v>
          </cell>
          <cell r="G97">
            <v>0</v>
          </cell>
          <cell r="H97">
            <v>0</v>
          </cell>
          <cell r="I97">
            <v>1574.2933053543627</v>
          </cell>
          <cell r="J97">
            <v>7.4161169462707871E-2</v>
          </cell>
        </row>
        <row r="98">
          <cell r="A98" t="str">
            <v>95630</v>
          </cell>
          <cell r="B98" t="str">
            <v>ENSAMBLE PECHUGA RELLENAS (22000g)</v>
          </cell>
          <cell r="C98" t="str">
            <v>TANDA</v>
          </cell>
          <cell r="D98" t="str">
            <v>GRAMO</v>
          </cell>
          <cell r="E98">
            <v>125860.82133333334</v>
          </cell>
          <cell r="F98">
            <v>5.7209464242424248</v>
          </cell>
          <cell r="G98">
            <v>3.8195159090909088</v>
          </cell>
          <cell r="H98">
            <v>3.8195159090909088E-3</v>
          </cell>
          <cell r="I98">
            <v>200</v>
          </cell>
          <cell r="J98">
            <v>0.2</v>
          </cell>
        </row>
        <row r="99">
          <cell r="A99" t="str">
            <v>95634</v>
          </cell>
          <cell r="B99" t="str">
            <v>ADOBO PECHUGA PARRILLA  (41085g)</v>
          </cell>
          <cell r="C99" t="str">
            <v>TANDA</v>
          </cell>
          <cell r="D99" t="str">
            <v>GRAMO</v>
          </cell>
          <cell r="E99">
            <v>118986.07140922942</v>
          </cell>
          <cell r="F99">
            <v>2.8960952028533389</v>
          </cell>
          <cell r="G99">
            <v>95.240349999999992</v>
          </cell>
          <cell r="H99">
            <v>2.3181294876475599E-3</v>
          </cell>
          <cell r="I99">
            <v>4400</v>
          </cell>
          <cell r="J99">
            <v>0.107095046854083</v>
          </cell>
        </row>
        <row r="100">
          <cell r="A100" t="str">
            <v>908000012</v>
          </cell>
          <cell r="B100" t="str">
            <v>QUESO PARMESANO RALLADO (4390g)</v>
          </cell>
          <cell r="C100" t="str">
            <v>TANDA</v>
          </cell>
          <cell r="D100" t="str">
            <v>GRAMO</v>
          </cell>
          <cell r="E100">
            <v>47256.901300000005</v>
          </cell>
          <cell r="F100">
            <v>10.764670000000001</v>
          </cell>
          <cell r="G100">
            <v>33.333333333333336</v>
          </cell>
          <cell r="H100">
            <v>7.5930144267274116E-3</v>
          </cell>
          <cell r="I100">
            <v>550</v>
          </cell>
          <cell r="J100">
            <v>0.12528473804100229</v>
          </cell>
        </row>
        <row r="101">
          <cell r="A101" t="str">
            <v>95645</v>
          </cell>
          <cell r="B101" t="str">
            <v>ADEREZO VINAGRETA ALBAHACA (8425g)</v>
          </cell>
          <cell r="C101" t="str">
            <v>KILO</v>
          </cell>
          <cell r="D101" t="str">
            <v>GRAMO</v>
          </cell>
          <cell r="E101">
            <v>2618.0027715133533</v>
          </cell>
          <cell r="F101">
            <v>2.6180027715133534</v>
          </cell>
          <cell r="G101">
            <v>1.6148845697329375</v>
          </cell>
          <cell r="H101">
            <v>1.6148845697329375E-3</v>
          </cell>
          <cell r="I101">
            <v>104.45103857566767</v>
          </cell>
          <cell r="J101">
            <v>0.10445103857566766</v>
          </cell>
        </row>
        <row r="102">
          <cell r="A102" t="str">
            <v>95647</v>
          </cell>
          <cell r="B102" t="str">
            <v>ADEREZO ALBAHACA ECONOMICO (3200g)</v>
          </cell>
          <cell r="C102" t="str">
            <v>TANDA</v>
          </cell>
          <cell r="D102" t="str">
            <v>GRAMO</v>
          </cell>
          <cell r="E102">
            <v>5309.587267486776</v>
          </cell>
          <cell r="F102">
            <v>1.5170249335676502</v>
          </cell>
          <cell r="G102">
            <v>47.93678478327579</v>
          </cell>
          <cell r="H102">
            <v>1.3696224223793083E-2</v>
          </cell>
          <cell r="I102">
            <v>592.89988492520138</v>
          </cell>
          <cell r="J102">
            <v>0.16939996712148611</v>
          </cell>
        </row>
        <row r="103">
          <cell r="A103" t="str">
            <v>95648</v>
          </cell>
          <cell r="B103" t="str">
            <v>ADEREZO GRILL (11.880g)</v>
          </cell>
          <cell r="C103" t="str">
            <v>TANDA</v>
          </cell>
          <cell r="D103" t="str">
            <v>GRAMO</v>
          </cell>
          <cell r="E103">
            <v>23298.332923602386</v>
          </cell>
          <cell r="F103">
            <v>1.9611391349833658</v>
          </cell>
          <cell r="G103">
            <v>0</v>
          </cell>
          <cell r="H103">
            <v>0</v>
          </cell>
          <cell r="I103">
            <v>759.86258715223721</v>
          </cell>
          <cell r="J103">
            <v>6.3961497235036802E-2</v>
          </cell>
        </row>
        <row r="104">
          <cell r="A104" t="str">
            <v>905000013</v>
          </cell>
          <cell r="B104" t="str">
            <v>RELLENO CARNE P/ LASAGÑA (23200g)</v>
          </cell>
          <cell r="C104" t="str">
            <v>TANDA</v>
          </cell>
          <cell r="D104" t="str">
            <v>GRAMO</v>
          </cell>
          <cell r="E104">
            <v>31898.076823666299</v>
          </cell>
          <cell r="F104">
            <v>1.374917104468375</v>
          </cell>
          <cell r="G104">
            <v>5.9263668296050645E-5</v>
          </cell>
          <cell r="H104">
            <v>2.5544684610366657E-9</v>
          </cell>
          <cell r="I104">
            <v>4041.7999999999997</v>
          </cell>
          <cell r="J104">
            <v>0.17421551724137929</v>
          </cell>
        </row>
        <row r="105">
          <cell r="A105" t="str">
            <v>95658</v>
          </cell>
          <cell r="B105" t="str">
            <v>RELLENO POLLO CREPA (3000g)</v>
          </cell>
          <cell r="C105" t="str">
            <v>TANDA</v>
          </cell>
          <cell r="D105" t="str">
            <v>GRAMO</v>
          </cell>
          <cell r="E105">
            <v>8731.0283987621697</v>
          </cell>
          <cell r="F105">
            <v>2.9103427995873901</v>
          </cell>
          <cell r="G105">
            <v>13.544531111111111</v>
          </cell>
          <cell r="H105">
            <v>4.514843703703704E-3</v>
          </cell>
          <cell r="I105">
            <v>491.74674927061193</v>
          </cell>
          <cell r="J105">
            <v>0.16391558309020399</v>
          </cell>
        </row>
        <row r="106">
          <cell r="A106" t="str">
            <v>95661</v>
          </cell>
          <cell r="B106" t="str">
            <v>ESPINACA SALTEADA (770g)</v>
          </cell>
          <cell r="C106" t="str">
            <v>TANDA</v>
          </cell>
          <cell r="D106" t="str">
            <v>GRAMO</v>
          </cell>
          <cell r="E106">
            <v>4335.1080779220783</v>
          </cell>
          <cell r="F106">
            <v>5.6300104908078943</v>
          </cell>
          <cell r="G106">
            <v>0</v>
          </cell>
          <cell r="H106">
            <v>0</v>
          </cell>
          <cell r="I106">
            <v>357.14285714285717</v>
          </cell>
          <cell r="J106">
            <v>0.463821892393321</v>
          </cell>
        </row>
        <row r="107">
          <cell r="A107" t="str">
            <v>95662</v>
          </cell>
          <cell r="B107" t="str">
            <v>HONGOS SALTEADOS P/LASAGÑA (2050g)</v>
          </cell>
          <cell r="C107" t="str">
            <v>KILO</v>
          </cell>
          <cell r="D107" t="str">
            <v>GRAMO</v>
          </cell>
          <cell r="E107">
            <v>4049.814453658536</v>
          </cell>
          <cell r="F107">
            <v>4.0498144536585361</v>
          </cell>
          <cell r="G107">
            <v>23.942232493224932</v>
          </cell>
          <cell r="H107">
            <v>2.394223249322493E-2</v>
          </cell>
          <cell r="I107">
            <v>214.63414634146341</v>
          </cell>
          <cell r="J107">
            <v>0.21463414634146341</v>
          </cell>
        </row>
        <row r="108">
          <cell r="A108" t="str">
            <v>95663</v>
          </cell>
          <cell r="B108" t="str">
            <v>COCCION RELLENO JAMON C/PETIT POIS (900g)</v>
          </cell>
          <cell r="C108" t="str">
            <v>KILO</v>
          </cell>
          <cell r="D108" t="str">
            <v>GRAMO</v>
          </cell>
          <cell r="E108">
            <v>2345.896137785714</v>
          </cell>
          <cell r="F108">
            <v>2.3458961377857142</v>
          </cell>
          <cell r="G108">
            <v>0</v>
          </cell>
          <cell r="H108">
            <v>0</v>
          </cell>
          <cell r="I108">
            <v>504</v>
          </cell>
          <cell r="J108">
            <v>0.504</v>
          </cell>
        </row>
        <row r="109">
          <cell r="A109" t="str">
            <v>95664</v>
          </cell>
          <cell r="B109" t="str">
            <v>RELLENO P/ PIE LIMON (8320g)</v>
          </cell>
          <cell r="C109" t="str">
            <v>TANDA</v>
          </cell>
          <cell r="D109" t="str">
            <v>GRAMO</v>
          </cell>
          <cell r="E109">
            <v>43395.107599999996</v>
          </cell>
          <cell r="F109">
            <v>2.0664336952380951</v>
          </cell>
          <cell r="G109">
            <v>9.8401604535147387E-5</v>
          </cell>
          <cell r="H109">
            <v>4.6857906921498757E-9</v>
          </cell>
          <cell r="I109">
            <v>440</v>
          </cell>
          <cell r="J109">
            <v>2.0952380952380951E-2</v>
          </cell>
        </row>
        <row r="110">
          <cell r="A110" t="str">
            <v>905000007</v>
          </cell>
          <cell r="B110" t="str">
            <v>RELLENO PALMITO PASTEL EMPACADO (28 Kg)</v>
          </cell>
          <cell r="C110" t="str">
            <v>KILO</v>
          </cell>
          <cell r="D110" t="str">
            <v>GRAMO</v>
          </cell>
          <cell r="E110">
            <v>5131.8064808497065</v>
          </cell>
          <cell r="F110">
            <v>1.7106021602832355</v>
          </cell>
          <cell r="G110">
            <v>115.4889219687858</v>
          </cell>
          <cell r="H110">
            <v>3.8496307322928601E-2</v>
          </cell>
          <cell r="I110">
            <v>323.14862542955325</v>
          </cell>
          <cell r="J110">
            <v>0.10771620847651775</v>
          </cell>
        </row>
        <row r="111">
          <cell r="A111" t="str">
            <v>95667</v>
          </cell>
          <cell r="B111" t="str">
            <v>RELLENO PALMITO P/TRIANGULO EMPACADO (9200g)</v>
          </cell>
          <cell r="C111" t="str">
            <v>KILO</v>
          </cell>
          <cell r="D111" t="str">
            <v>GRAMO</v>
          </cell>
          <cell r="E111">
            <v>2038.0660999328061</v>
          </cell>
          <cell r="F111">
            <v>2.0380660999328062</v>
          </cell>
          <cell r="G111">
            <v>4.5172418518518525</v>
          </cell>
          <cell r="H111">
            <v>4.517241851851852E-3</v>
          </cell>
          <cell r="I111">
            <v>146.00579710144928</v>
          </cell>
          <cell r="J111">
            <v>0.14600579710144929</v>
          </cell>
        </row>
        <row r="112">
          <cell r="A112" t="str">
            <v>95668</v>
          </cell>
          <cell r="B112" t="str">
            <v>RELLENO POLLO EMPANADA EMPACADO (3000g)</v>
          </cell>
          <cell r="C112" t="str">
            <v>BOLSA</v>
          </cell>
          <cell r="D112" t="str">
            <v>GRAMO</v>
          </cell>
          <cell r="E112">
            <v>7395.5237540378503</v>
          </cell>
          <cell r="F112">
            <v>2.4651745846792834</v>
          </cell>
          <cell r="G112">
            <v>20.237424173441738</v>
          </cell>
          <cell r="H112">
            <v>6.7458080578139124E-3</v>
          </cell>
          <cell r="I112">
            <v>364.13353658536585</v>
          </cell>
          <cell r="J112">
            <v>0.12137784552845528</v>
          </cell>
        </row>
        <row r="113">
          <cell r="A113" t="str">
            <v>95669</v>
          </cell>
          <cell r="B113" t="str">
            <v>RELLENO POLLO LAPIZ (KILO) 8925</v>
          </cell>
          <cell r="C113" t="str">
            <v>TANDA</v>
          </cell>
          <cell r="D113" t="str">
            <v>GRAMO</v>
          </cell>
          <cell r="E113">
            <v>27163.554955068303</v>
          </cell>
          <cell r="F113">
            <v>3.0435355691953281</v>
          </cell>
          <cell r="G113">
            <v>45.909636315187292</v>
          </cell>
          <cell r="H113">
            <v>5.1439368420377919E-3</v>
          </cell>
          <cell r="I113">
            <v>1660.3668305354363</v>
          </cell>
          <cell r="J113">
            <v>0.18603549921965673</v>
          </cell>
        </row>
        <row r="114">
          <cell r="A114" t="str">
            <v>909000003</v>
          </cell>
          <cell r="B114" t="str">
            <v>RELLENO POLLO PASTEL (20730 )</v>
          </cell>
          <cell r="C114" t="str">
            <v>TANDA</v>
          </cell>
          <cell r="D114" t="str">
            <v>GRAMO</v>
          </cell>
          <cell r="E114">
            <v>67505.462348400877</v>
          </cell>
          <cell r="F114">
            <v>3.2564140061939644</v>
          </cell>
          <cell r="G114">
            <v>0</v>
          </cell>
          <cell r="H114">
            <v>0</v>
          </cell>
          <cell r="I114">
            <v>8443.875</v>
          </cell>
          <cell r="J114">
            <v>0.40732633863965267</v>
          </cell>
        </row>
        <row r="115">
          <cell r="A115" t="str">
            <v>95673</v>
          </cell>
          <cell r="B115" t="str">
            <v>RELLENO ESPINACA- RICOTTA-TURRIALBA (4000g)</v>
          </cell>
          <cell r="C115" t="str">
            <v>KILO</v>
          </cell>
          <cell r="D115" t="str">
            <v>GRAMO</v>
          </cell>
          <cell r="E115">
            <v>3841.6118822489179</v>
          </cell>
          <cell r="F115">
            <v>3.8416118822489178</v>
          </cell>
          <cell r="G115">
            <v>5.5763980555555559</v>
          </cell>
          <cell r="H115">
            <v>5.5763980555555556E-3</v>
          </cell>
          <cell r="I115">
            <v>495.47619047619048</v>
          </cell>
          <cell r="J115">
            <v>0.49547619047619046</v>
          </cell>
        </row>
        <row r="116">
          <cell r="A116" t="str">
            <v>95674</v>
          </cell>
          <cell r="B116" t="str">
            <v>RELLENO TOPPING FRESA P/CHESSE CAKE (6200g)</v>
          </cell>
          <cell r="C116" t="str">
            <v>TANDA</v>
          </cell>
          <cell r="D116" t="str">
            <v>GRAMO</v>
          </cell>
          <cell r="E116">
            <v>13022.099999999999</v>
          </cell>
          <cell r="F116">
            <v>2.1003387096774193</v>
          </cell>
          <cell r="G116">
            <v>0</v>
          </cell>
          <cell r="H116">
            <v>0</v>
          </cell>
          <cell r="I116">
            <v>220</v>
          </cell>
          <cell r="J116">
            <v>3.5483870967741936E-2</v>
          </cell>
        </row>
        <row r="117">
          <cell r="A117" t="str">
            <v>95684</v>
          </cell>
          <cell r="B117" t="str">
            <v>COCCION SALSA P/ PECHUGA RELLENAS (11310g)</v>
          </cell>
          <cell r="C117" t="str">
            <v>TANDA</v>
          </cell>
          <cell r="D117" t="str">
            <v>GRAMO</v>
          </cell>
          <cell r="E117">
            <v>23723.05696794872</v>
          </cell>
          <cell r="F117">
            <v>2.2810631699950692</v>
          </cell>
          <cell r="G117">
            <v>0</v>
          </cell>
          <cell r="H117">
            <v>0</v>
          </cell>
          <cell r="I117">
            <v>1100</v>
          </cell>
          <cell r="J117">
            <v>0.10576923076923077</v>
          </cell>
        </row>
        <row r="118">
          <cell r="A118" t="str">
            <v>95686</v>
          </cell>
          <cell r="B118" t="str">
            <v>BORONA P/DECORAR (1.2 Kg)</v>
          </cell>
          <cell r="C118" t="str">
            <v>KILO</v>
          </cell>
          <cell r="D118" t="str">
            <v>GRAMO</v>
          </cell>
          <cell r="E118">
            <v>772.08662258648451</v>
          </cell>
          <cell r="F118">
            <v>0.77208662258648453</v>
          </cell>
          <cell r="G118">
            <v>14.38705991552634</v>
          </cell>
          <cell r="H118">
            <v>1.4387059915526339E-2</v>
          </cell>
          <cell r="I118">
            <v>351.50525510854789</v>
          </cell>
          <cell r="J118">
            <v>0.35150525510854791</v>
          </cell>
        </row>
        <row r="119">
          <cell r="A119" t="str">
            <v>95688</v>
          </cell>
          <cell r="B119" t="str">
            <v>BASE GALLETA P/CHESSE CAKE (6600 Kg)</v>
          </cell>
          <cell r="C119" t="str">
            <v>TANDA</v>
          </cell>
          <cell r="D119" t="str">
            <v>GRAMO</v>
          </cell>
          <cell r="E119">
            <v>13484.954282537949</v>
          </cell>
          <cell r="F119">
            <v>2.0431748912936287</v>
          </cell>
          <cell r="G119">
            <v>5.7817285407608283</v>
          </cell>
          <cell r="H119">
            <v>8.7601947587285275E-4</v>
          </cell>
          <cell r="I119">
            <v>1235.1789384001049</v>
          </cell>
          <cell r="J119">
            <v>0.18714832400001591</v>
          </cell>
        </row>
        <row r="120">
          <cell r="A120" t="str">
            <v>95689</v>
          </cell>
          <cell r="B120" t="str">
            <v>GANACHE CHOCOLATE BLANCO (39295g)</v>
          </cell>
          <cell r="C120" t="str">
            <v>KILO</v>
          </cell>
          <cell r="D120" t="str">
            <v>GRAMO</v>
          </cell>
          <cell r="E120">
            <v>2295.4103798822898</v>
          </cell>
          <cell r="F120">
            <v>2.29541037988229</v>
          </cell>
          <cell r="G120">
            <v>0</v>
          </cell>
          <cell r="H120">
            <v>0</v>
          </cell>
          <cell r="I120">
            <v>36.784376672017125</v>
          </cell>
          <cell r="J120">
            <v>3.6784376672017123E-2</v>
          </cell>
        </row>
        <row r="121">
          <cell r="A121" t="str">
            <v>95690</v>
          </cell>
          <cell r="B121" t="str">
            <v>GANACHE C/COBERTURA CHOCOC.OSCURO (38.800g)</v>
          </cell>
          <cell r="C121" t="str">
            <v>KILO</v>
          </cell>
          <cell r="D121" t="str">
            <v>GRAMO</v>
          </cell>
          <cell r="E121">
            <v>3339.2113022113017</v>
          </cell>
          <cell r="F121">
            <v>3.3392113022113019</v>
          </cell>
          <cell r="G121">
            <v>0</v>
          </cell>
          <cell r="H121">
            <v>0</v>
          </cell>
          <cell r="I121">
            <v>41.277641277641273</v>
          </cell>
          <cell r="J121">
            <v>4.1277641277641275E-2</v>
          </cell>
        </row>
        <row r="122">
          <cell r="A122" t="str">
            <v>95691</v>
          </cell>
          <cell r="B122" t="str">
            <v>GLACE COLORES (4200g)</v>
          </cell>
          <cell r="C122" t="str">
            <v>KILO</v>
          </cell>
          <cell r="D122" t="str">
            <v>GRAMO</v>
          </cell>
          <cell r="E122">
            <v>2087.7863897360139</v>
          </cell>
          <cell r="F122">
            <v>2.087786389736014</v>
          </cell>
          <cell r="G122">
            <v>4.8027942628418954</v>
          </cell>
          <cell r="H122">
            <v>4.8027942628418949E-3</v>
          </cell>
          <cell r="I122">
            <v>489.65977318212146</v>
          </cell>
          <cell r="J122">
            <v>0.48965977318212145</v>
          </cell>
        </row>
        <row r="123">
          <cell r="A123" t="str">
            <v>908000036</v>
          </cell>
          <cell r="B123" t="str">
            <v>JUGO DE LIMON (11 LIT)</v>
          </cell>
          <cell r="C123" t="str">
            <v>TANDA</v>
          </cell>
          <cell r="D123" t="str">
            <v>Mililitro</v>
          </cell>
          <cell r="E123">
            <v>4413.9799999999996</v>
          </cell>
          <cell r="F123">
            <v>0.40127090909090907</v>
          </cell>
          <cell r="G123">
            <v>25.59524588888889</v>
          </cell>
          <cell r="H123">
            <v>2.3268405353535355E-3</v>
          </cell>
          <cell r="I123">
            <v>165</v>
          </cell>
          <cell r="J123">
            <v>1.4999999999999999E-2</v>
          </cell>
        </row>
        <row r="124">
          <cell r="A124" t="str">
            <v>95695</v>
          </cell>
          <cell r="B124" t="str">
            <v>MERENGUE DESHIDRATADO RICH (4450g)</v>
          </cell>
          <cell r="C124" t="str">
            <v>TANDA</v>
          </cell>
          <cell r="D124" t="str">
            <v>GRAMO</v>
          </cell>
          <cell r="E124">
            <v>8079.450220264318</v>
          </cell>
          <cell r="F124">
            <v>1.8156067910706333</v>
          </cell>
          <cell r="G124">
            <v>0</v>
          </cell>
          <cell r="H124">
            <v>0</v>
          </cell>
          <cell r="I124">
            <v>440</v>
          </cell>
          <cell r="J124">
            <v>9.8876404494382023E-2</v>
          </cell>
        </row>
        <row r="125">
          <cell r="A125" t="str">
            <v>95700</v>
          </cell>
          <cell r="B125" t="str">
            <v>MOUSSE CHOCOLATE P/TORTA TRICOLOR (4.020g)</v>
          </cell>
          <cell r="C125" t="str">
            <v>KILO</v>
          </cell>
          <cell r="D125" t="str">
            <v>GRAMO</v>
          </cell>
          <cell r="E125">
            <v>1523.5163862821087</v>
          </cell>
          <cell r="F125">
            <v>1.5235163862821086</v>
          </cell>
          <cell r="G125">
            <v>0</v>
          </cell>
          <cell r="H125">
            <v>0</v>
          </cell>
          <cell r="I125">
            <v>119.93252621015097</v>
          </cell>
          <cell r="J125">
            <v>0.11993252621015096</v>
          </cell>
        </row>
        <row r="126">
          <cell r="A126" t="str">
            <v>905000028</v>
          </cell>
          <cell r="B126" t="str">
            <v>RELLENO QUESO P/TORTA ZANAHORIA (11100g)</v>
          </cell>
          <cell r="C126" t="str">
            <v>TANDA</v>
          </cell>
          <cell r="D126" t="str">
            <v>GRAMO</v>
          </cell>
          <cell r="E126">
            <v>31183.261017866665</v>
          </cell>
          <cell r="F126">
            <v>2.8348419107151512</v>
          </cell>
          <cell r="G126">
            <v>0</v>
          </cell>
          <cell r="H126">
            <v>0</v>
          </cell>
          <cell r="I126">
            <v>330</v>
          </cell>
          <cell r="J126">
            <v>0.03</v>
          </cell>
        </row>
        <row r="127">
          <cell r="A127" t="str">
            <v>95709</v>
          </cell>
          <cell r="B127" t="str">
            <v>PASTA TARTALETA/CANASTA (6700GR)</v>
          </cell>
          <cell r="C127" t="str">
            <v>TANDA</v>
          </cell>
          <cell r="D127" t="str">
            <v>GRAMO</v>
          </cell>
          <cell r="E127">
            <v>37019.90659397647</v>
          </cell>
          <cell r="F127">
            <v>1.3461784215991444</v>
          </cell>
          <cell r="G127">
            <v>204.80518793650796</v>
          </cell>
          <cell r="H127">
            <v>7.4474613795093804E-3</v>
          </cell>
          <cell r="I127">
            <v>770</v>
          </cell>
          <cell r="J127">
            <v>2.8000000000000001E-2</v>
          </cell>
        </row>
        <row r="128">
          <cell r="A128" t="str">
            <v>95716</v>
          </cell>
          <cell r="B128" t="str">
            <v>CREMA CHANTILLY FIGURITAS (6000g)</v>
          </cell>
          <cell r="C128" t="str">
            <v>KILO</v>
          </cell>
          <cell r="D128" t="str">
            <v>GRAMO</v>
          </cell>
          <cell r="E128">
            <v>1668.6120000000001</v>
          </cell>
          <cell r="F128">
            <v>1.668612</v>
          </cell>
          <cell r="G128">
            <v>0</v>
          </cell>
          <cell r="H128">
            <v>0</v>
          </cell>
          <cell r="I128">
            <v>46.666666666666671</v>
          </cell>
          <cell r="J128">
            <v>4.6666666666666669E-2</v>
          </cell>
        </row>
        <row r="129">
          <cell r="A129" t="str">
            <v>95717</v>
          </cell>
          <cell r="B129" t="str">
            <v>CREMA CHANTILLY BLANCA SPOON-IND (20800g)</v>
          </cell>
          <cell r="C129" t="str">
            <v>KILO</v>
          </cell>
          <cell r="D129" t="str">
            <v>GRAMO</v>
          </cell>
          <cell r="E129">
            <v>35437.302314</v>
          </cell>
          <cell r="F129">
            <v>1.7037164574038461</v>
          </cell>
          <cell r="G129">
            <v>1.1990000000000001</v>
          </cell>
          <cell r="H129">
            <v>5.764423076923077E-5</v>
          </cell>
          <cell r="I129">
            <v>550</v>
          </cell>
          <cell r="J129">
            <v>2.6442307692307692E-2</v>
          </cell>
        </row>
        <row r="130">
          <cell r="A130" t="str">
            <v>910000014</v>
          </cell>
          <cell r="B130" t="str">
            <v>CREMA CHANTILLY CHOCO (SPOON-IND)(24875g)</v>
          </cell>
          <cell r="C130" t="str">
            <v>KILO</v>
          </cell>
          <cell r="D130" t="str">
            <v>GRAMO</v>
          </cell>
          <cell r="E130">
            <v>44224.302314</v>
          </cell>
          <cell r="F130">
            <v>1.777861399557789</v>
          </cell>
          <cell r="G130">
            <v>0</v>
          </cell>
          <cell r="H130">
            <v>0</v>
          </cell>
          <cell r="I130">
            <v>330</v>
          </cell>
          <cell r="J130">
            <v>1.3266331658291457E-2</v>
          </cell>
        </row>
        <row r="131">
          <cell r="A131" t="str">
            <v>95719</v>
          </cell>
          <cell r="B131" t="str">
            <v>CREMA CHANTILLY CAFE (21 Kg)</v>
          </cell>
          <cell r="C131" t="str">
            <v>KILO</v>
          </cell>
          <cell r="D131" t="str">
            <v>GRAMO</v>
          </cell>
          <cell r="E131">
            <v>37164.17</v>
          </cell>
          <cell r="F131">
            <v>1.7820268520738431</v>
          </cell>
          <cell r="G131">
            <v>0</v>
          </cell>
          <cell r="H131">
            <v>0</v>
          </cell>
          <cell r="I131">
            <v>560</v>
          </cell>
          <cell r="J131">
            <v>2.685207384320307E-2</v>
          </cell>
        </row>
        <row r="132">
          <cell r="A132" t="str">
            <v>95720</v>
          </cell>
          <cell r="B132" t="str">
            <v>MEZCLA ENGRASE MOLDES (29800g)</v>
          </cell>
          <cell r="C132" t="str">
            <v>KILO</v>
          </cell>
          <cell r="D132" t="str">
            <v>GRAMO</v>
          </cell>
          <cell r="E132">
            <v>24772</v>
          </cell>
          <cell r="F132">
            <v>0.83127516778523491</v>
          </cell>
          <cell r="G132">
            <v>337.97076000000004</v>
          </cell>
          <cell r="H132">
            <v>1.1341300671140942E-2</v>
          </cell>
          <cell r="I132">
            <v>1650</v>
          </cell>
          <cell r="J132">
            <v>5.5369127516778527E-2</v>
          </cell>
        </row>
        <row r="133">
          <cell r="A133" t="str">
            <v>95721</v>
          </cell>
          <cell r="B133" t="str">
            <v>BASE PREMEZCLA P/SUSPIRO (4055g)</v>
          </cell>
          <cell r="C133" t="str">
            <v>TANDA</v>
          </cell>
          <cell r="D133" t="str">
            <v>GRAMO</v>
          </cell>
          <cell r="E133">
            <v>11950.755438000002</v>
          </cell>
          <cell r="F133">
            <v>2.9471653361282373</v>
          </cell>
          <cell r="G133">
            <v>11.020357777777779</v>
          </cell>
          <cell r="H133">
            <v>2.7177207836689959E-3</v>
          </cell>
          <cell r="I133">
            <v>110</v>
          </cell>
          <cell r="J133">
            <v>2.7127003699136867E-2</v>
          </cell>
        </row>
        <row r="134">
          <cell r="A134" t="str">
            <v>903000040</v>
          </cell>
          <cell r="B134" t="str">
            <v>ROSQUETE VAINILLA PURATOS (350g)</v>
          </cell>
          <cell r="C134" t="str">
            <v>UND</v>
          </cell>
          <cell r="D134" t="str">
            <v>UND</v>
          </cell>
          <cell r="E134">
            <v>292.26357191221223</v>
          </cell>
          <cell r="F134">
            <v>292.26357191221223</v>
          </cell>
          <cell r="G134">
            <v>6.3708003318896704</v>
          </cell>
          <cell r="H134">
            <v>6.3708003318896704</v>
          </cell>
          <cell r="I134">
            <v>9.0835665091884792</v>
          </cell>
          <cell r="J134">
            <v>9.0835665091884792</v>
          </cell>
        </row>
        <row r="135">
          <cell r="A135" t="str">
            <v>95723</v>
          </cell>
          <cell r="B135" t="str">
            <v>ROSQUETE CHOCOLATE BUCCA  (425g)</v>
          </cell>
          <cell r="C135" t="str">
            <v>UND</v>
          </cell>
          <cell r="D135" t="str">
            <v>UND</v>
          </cell>
          <cell r="E135">
            <v>474.88237784340049</v>
          </cell>
          <cell r="F135">
            <v>474.88237784340049</v>
          </cell>
          <cell r="G135">
            <v>9.1301279333483265</v>
          </cell>
          <cell r="H135">
            <v>9.1301279333483265</v>
          </cell>
          <cell r="I135">
            <v>46.30613969674372</v>
          </cell>
          <cell r="J135">
            <v>46.30613969674372</v>
          </cell>
        </row>
        <row r="136">
          <cell r="A136" t="str">
            <v>95732</v>
          </cell>
          <cell r="B136" t="str">
            <v>PLANCHA ROSQUETE ZANAHORIA (900g)</v>
          </cell>
          <cell r="C136" t="str">
            <v>UND</v>
          </cell>
          <cell r="D136" t="str">
            <v>UND</v>
          </cell>
          <cell r="E136">
            <v>1631.6073961350182</v>
          </cell>
          <cell r="F136">
            <v>1631.6073961350182</v>
          </cell>
          <cell r="G136">
            <v>33.643738712590341</v>
          </cell>
          <cell r="H136">
            <v>33.643738712590341</v>
          </cell>
          <cell r="I136">
            <v>179.32800631662062</v>
          </cell>
          <cell r="J136">
            <v>179.32800631662062</v>
          </cell>
        </row>
        <row r="137">
          <cell r="A137" t="str">
            <v>95736</v>
          </cell>
          <cell r="B137" t="str">
            <v>SALSA FRESA (1980g)</v>
          </cell>
          <cell r="C137" t="str">
            <v>TANDA</v>
          </cell>
          <cell r="D137" t="str">
            <v>GRAMO</v>
          </cell>
          <cell r="E137">
            <v>9718.1740000000009</v>
          </cell>
          <cell r="F137">
            <v>2.557414210526316</v>
          </cell>
          <cell r="G137">
            <v>10.8</v>
          </cell>
          <cell r="H137">
            <v>2.8421052631578949E-3</v>
          </cell>
          <cell r="I137">
            <v>220</v>
          </cell>
          <cell r="J137">
            <v>5.7894736842105263E-2</v>
          </cell>
        </row>
        <row r="138">
          <cell r="A138" t="str">
            <v>95739</v>
          </cell>
          <cell r="B138" t="str">
            <v>COCCION PAPA P/PURE (1000g)</v>
          </cell>
          <cell r="C138" t="str">
            <v>TANDA</v>
          </cell>
          <cell r="D138" t="str">
            <v>GRAMO</v>
          </cell>
          <cell r="E138">
            <v>1902</v>
          </cell>
          <cell r="F138">
            <v>1.9019999999999999</v>
          </cell>
          <cell r="G138">
            <v>11.571035</v>
          </cell>
          <cell r="H138">
            <v>1.1571035E-2</v>
          </cell>
          <cell r="I138">
            <v>110</v>
          </cell>
          <cell r="J138">
            <v>0.11</v>
          </cell>
        </row>
        <row r="139">
          <cell r="A139" t="str">
            <v>95742</v>
          </cell>
          <cell r="B139" t="str">
            <v>ADEREZO ALCAPARRAS Y ANCHOAS (1280g)</v>
          </cell>
          <cell r="C139" t="str">
            <v>KILO</v>
          </cell>
          <cell r="D139" t="str">
            <v>GRAMO</v>
          </cell>
          <cell r="E139">
            <v>3186.3497932995865</v>
          </cell>
          <cell r="F139">
            <v>3.1863497932995863</v>
          </cell>
          <cell r="G139">
            <v>10.480755004741077</v>
          </cell>
          <cell r="H139">
            <v>1.0480755004741077E-2</v>
          </cell>
          <cell r="I139">
            <v>220.34519033879377</v>
          </cell>
          <cell r="J139">
            <v>0.22034519033879377</v>
          </cell>
        </row>
        <row r="140">
          <cell r="A140" t="str">
            <v>95743</v>
          </cell>
          <cell r="B140" t="str">
            <v>ADEREZO TEJANO (700g)</v>
          </cell>
          <cell r="C140" t="str">
            <v>KILO</v>
          </cell>
          <cell r="D140" t="str">
            <v>GRAMO</v>
          </cell>
          <cell r="E140">
            <v>1519.4840372487097</v>
          </cell>
          <cell r="F140">
            <v>1.5194840372487097</v>
          </cell>
          <cell r="G140">
            <v>0</v>
          </cell>
          <cell r="H140">
            <v>0</v>
          </cell>
          <cell r="I140">
            <v>380.61649851794556</v>
          </cell>
          <cell r="J140">
            <v>0.38061649851794555</v>
          </cell>
        </row>
        <row r="141">
          <cell r="A141" t="str">
            <v>95745</v>
          </cell>
          <cell r="B141" t="str">
            <v>CARNE MECHADA ARREGLADA (3170g)</v>
          </cell>
          <cell r="C141" t="str">
            <v>KILO</v>
          </cell>
          <cell r="D141" t="str">
            <v>GRAMO</v>
          </cell>
          <cell r="E141">
            <v>4022.521239392076</v>
          </cell>
          <cell r="F141">
            <v>4.0225212393920762</v>
          </cell>
          <cell r="G141">
            <v>42.743247032468886</v>
          </cell>
          <cell r="H141">
            <v>4.2743247032468887E-2</v>
          </cell>
          <cell r="I141">
            <v>256.04155281028466</v>
          </cell>
          <cell r="J141">
            <v>0.25604155281028468</v>
          </cell>
        </row>
        <row r="142">
          <cell r="A142" t="str">
            <v>95776</v>
          </cell>
          <cell r="B142" t="str">
            <v>BASE PREMEZCLA VAINILLA PURATOS (12522g)</v>
          </cell>
          <cell r="C142" t="str">
            <v>KILO</v>
          </cell>
          <cell r="D142" t="str">
            <v>GRAMO</v>
          </cell>
          <cell r="E142">
            <v>1909.9114799999998</v>
          </cell>
          <cell r="F142">
            <v>0.4813284979838709</v>
          </cell>
          <cell r="G142">
            <v>45.869093809523811</v>
          </cell>
          <cell r="H142">
            <v>1.1559751464093703E-2</v>
          </cell>
          <cell r="I142">
            <v>110</v>
          </cell>
          <cell r="J142">
            <v>2.7721774193548387E-2</v>
          </cell>
        </row>
        <row r="143">
          <cell r="A143" t="str">
            <v>95781</v>
          </cell>
          <cell r="B143" t="str">
            <v>BASE PREMEZCLA GALLETA JENGIBRE (10081g)</v>
          </cell>
          <cell r="C143" t="str">
            <v>TANDA</v>
          </cell>
          <cell r="D143" t="str">
            <v>GRAMO</v>
          </cell>
          <cell r="E143">
            <v>8815.3442730000006</v>
          </cell>
          <cell r="F143">
            <v>0.87445137119333405</v>
          </cell>
          <cell r="G143">
            <v>53.963805396825393</v>
          </cell>
          <cell r="H143">
            <v>5.3530210690234496E-3</v>
          </cell>
          <cell r="I143">
            <v>280</v>
          </cell>
          <cell r="J143">
            <v>2.7775022319214363E-2</v>
          </cell>
        </row>
        <row r="144">
          <cell r="A144" t="str">
            <v>95784</v>
          </cell>
          <cell r="B144" t="str">
            <v>EMPAQUE SALSA ROJA SPOON (2000g)</v>
          </cell>
          <cell r="C144" t="str">
            <v>BOLSA</v>
          </cell>
          <cell r="D144" t="str">
            <v>GRAMO</v>
          </cell>
          <cell r="E144">
            <v>3540.6923279097305</v>
          </cell>
          <cell r="F144">
            <v>1.1802307759699102</v>
          </cell>
          <cell r="G144">
            <v>28.15436968503937</v>
          </cell>
          <cell r="H144">
            <v>9.3847898950131237E-3</v>
          </cell>
          <cell r="I144">
            <v>177.08700787401574</v>
          </cell>
          <cell r="J144">
            <v>5.9029002624671915E-2</v>
          </cell>
        </row>
        <row r="145">
          <cell r="A145" t="str">
            <v>95785</v>
          </cell>
          <cell r="B145" t="str">
            <v>COCCION BERENJENA EMPARRILLADA (2880g)</v>
          </cell>
          <cell r="C145" t="str">
            <v>KILO</v>
          </cell>
          <cell r="D145" t="str">
            <v>GRAMO</v>
          </cell>
          <cell r="E145">
            <v>2635.993496521739</v>
          </cell>
          <cell r="F145">
            <v>2.6359934965217389</v>
          </cell>
          <cell r="G145">
            <v>0</v>
          </cell>
          <cell r="H145">
            <v>0</v>
          </cell>
          <cell r="I145">
            <v>486.95652173913044</v>
          </cell>
          <cell r="J145">
            <v>0.48695652173913045</v>
          </cell>
        </row>
        <row r="146">
          <cell r="A146" t="str">
            <v>95786</v>
          </cell>
          <cell r="B146" t="str">
            <v>COCCION ZUCCINI EMPARRILLADO (1600g)</v>
          </cell>
          <cell r="C146" t="str">
            <v>KILO</v>
          </cell>
          <cell r="D146" t="str">
            <v>GRAMO</v>
          </cell>
          <cell r="E146">
            <v>5064.2918999999993</v>
          </cell>
          <cell r="F146">
            <v>5.0642918999999988</v>
          </cell>
          <cell r="G146">
            <v>0</v>
          </cell>
          <cell r="H146">
            <v>0</v>
          </cell>
          <cell r="I146">
            <v>687.5</v>
          </cell>
          <cell r="J146">
            <v>0.6875</v>
          </cell>
        </row>
        <row r="147">
          <cell r="A147" t="str">
            <v>95789</v>
          </cell>
          <cell r="B147" t="str">
            <v>CREMA CON MANJAR (21000g)</v>
          </cell>
          <cell r="C147" t="str">
            <v>TANDA</v>
          </cell>
          <cell r="D147" t="str">
            <v>GRAMO</v>
          </cell>
          <cell r="E147">
            <v>44785.534875999998</v>
          </cell>
          <cell r="F147">
            <v>2.1326445179047617</v>
          </cell>
          <cell r="G147">
            <v>0.61599999999999999</v>
          </cell>
          <cell r="H147">
            <v>2.9333333333333333E-5</v>
          </cell>
          <cell r="I147">
            <v>550</v>
          </cell>
          <cell r="J147">
            <v>2.6190476190476191E-2</v>
          </cell>
        </row>
        <row r="148">
          <cell r="A148" t="str">
            <v>95790</v>
          </cell>
          <cell r="B148" t="str">
            <v>CALDO P/SOPA NEGRA (1.780g)</v>
          </cell>
          <cell r="C148" t="str">
            <v>KILO</v>
          </cell>
          <cell r="D148" t="str">
            <v>GRAMO</v>
          </cell>
          <cell r="E148">
            <v>752.71955666666668</v>
          </cell>
          <cell r="F148">
            <v>0.75271955666666668</v>
          </cell>
          <cell r="G148">
            <v>0</v>
          </cell>
          <cell r="H148">
            <v>0</v>
          </cell>
          <cell r="I148">
            <v>137.5</v>
          </cell>
          <cell r="J148">
            <v>0.13750000000000001</v>
          </cell>
        </row>
        <row r="149">
          <cell r="A149" t="str">
            <v>95793</v>
          </cell>
          <cell r="B149" t="str">
            <v>ALMIBAR DE CAFE (12.1 Kg)</v>
          </cell>
          <cell r="C149" t="str">
            <v>KILO</v>
          </cell>
          <cell r="D149" t="str">
            <v>GRAMO</v>
          </cell>
          <cell r="E149">
            <v>408.48461283764158</v>
          </cell>
          <cell r="F149">
            <v>0.40848461283764159</v>
          </cell>
          <cell r="G149">
            <v>7.6222862358408356</v>
          </cell>
          <cell r="H149">
            <v>7.6222862358408354E-3</v>
          </cell>
          <cell r="I149">
            <v>49.755762680537586</v>
          </cell>
          <cell r="J149">
            <v>4.9755762680537587E-2</v>
          </cell>
        </row>
        <row r="150">
          <cell r="A150" t="str">
            <v>95795</v>
          </cell>
          <cell r="B150" t="str">
            <v>BASE PREMEZCLA P/ PAN BLANCO (8156g)</v>
          </cell>
          <cell r="C150" t="str">
            <v>TANDA</v>
          </cell>
          <cell r="D150" t="str">
            <v>GRAMO</v>
          </cell>
          <cell r="E150">
            <v>10933.471006</v>
          </cell>
          <cell r="F150">
            <v>0.67926633983598406</v>
          </cell>
          <cell r="G150">
            <v>45.865592698412698</v>
          </cell>
          <cell r="H150">
            <v>2.8495025284799142E-3</v>
          </cell>
          <cell r="I150">
            <v>110</v>
          </cell>
          <cell r="J150">
            <v>6.8339960238568585E-3</v>
          </cell>
        </row>
        <row r="151">
          <cell r="A151" t="str">
            <v>95797</v>
          </cell>
          <cell r="B151" t="str">
            <v>BOLLETA PAN BLANCO 140G (UND)</v>
          </cell>
          <cell r="C151" t="str">
            <v>UND</v>
          </cell>
          <cell r="D151" t="str">
            <v>UND</v>
          </cell>
          <cell r="E151">
            <v>71.121492454165036</v>
          </cell>
          <cell r="F151">
            <v>71.121492454165036</v>
          </cell>
          <cell r="G151">
            <v>0.27852989712318466</v>
          </cell>
          <cell r="H151">
            <v>0.27852989712318466</v>
          </cell>
          <cell r="I151">
            <v>18.51807179710579</v>
          </cell>
          <cell r="J151">
            <v>18.51807179710579</v>
          </cell>
        </row>
        <row r="152">
          <cell r="A152" t="str">
            <v>95803</v>
          </cell>
          <cell r="B152" t="str">
            <v>GALLETA P/ALFAJOR MEDIANO (UND)</v>
          </cell>
          <cell r="C152" t="str">
            <v>UND</v>
          </cell>
          <cell r="D152" t="str">
            <v>UND</v>
          </cell>
          <cell r="E152">
            <v>14.066912117670235</v>
          </cell>
          <cell r="F152">
            <v>14.066912117670235</v>
          </cell>
          <cell r="G152">
            <v>4.4991244674881463E-2</v>
          </cell>
          <cell r="H152">
            <v>4.4991244674881463E-2</v>
          </cell>
          <cell r="I152">
            <v>5.4696969696969697</v>
          </cell>
          <cell r="J152">
            <v>5.4696969696969697</v>
          </cell>
        </row>
        <row r="153">
          <cell r="A153" t="str">
            <v>95805</v>
          </cell>
          <cell r="B153" t="str">
            <v>ROSQUETE CHOCOLATE SPOON RED  (400g)</v>
          </cell>
          <cell r="C153" t="str">
            <v>UND</v>
          </cell>
          <cell r="D153" t="str">
            <v>UND</v>
          </cell>
          <cell r="E153">
            <v>515.15772492823965</v>
          </cell>
          <cell r="F153">
            <v>515.15772492823965</v>
          </cell>
          <cell r="G153">
            <v>7.9348272087369232</v>
          </cell>
          <cell r="H153">
            <v>7.9348272087369232</v>
          </cell>
          <cell r="I153">
            <v>19.624901438899521</v>
          </cell>
          <cell r="J153">
            <v>19.624901438899521</v>
          </cell>
        </row>
        <row r="154">
          <cell r="A154" t="str">
            <v>95812</v>
          </cell>
          <cell r="B154" t="str">
            <v>TOCINETA FRITA (265g)</v>
          </cell>
          <cell r="C154" t="str">
            <v>KILO</v>
          </cell>
          <cell r="D154" t="str">
            <v>GRAMO</v>
          </cell>
          <cell r="E154">
            <v>10598.679245283018</v>
          </cell>
          <cell r="F154">
            <v>10.598679245283018</v>
          </cell>
          <cell r="G154">
            <v>0</v>
          </cell>
          <cell r="H154">
            <v>0</v>
          </cell>
          <cell r="I154">
            <v>1056.6037735849056</v>
          </cell>
          <cell r="J154">
            <v>1.0566037735849056</v>
          </cell>
        </row>
        <row r="155">
          <cell r="A155" t="str">
            <v>907000001</v>
          </cell>
          <cell r="B155" t="str">
            <v>MEZCLA TRES LECHES PASTEURIZADA (62500 ml)</v>
          </cell>
          <cell r="C155" t="str">
            <v>LITRO</v>
          </cell>
          <cell r="D155" t="str">
            <v>Mililitro</v>
          </cell>
          <cell r="E155">
            <v>95650.073764000001</v>
          </cell>
          <cell r="F155">
            <v>1.5304011802240001</v>
          </cell>
          <cell r="G155">
            <v>0</v>
          </cell>
          <cell r="H155">
            <v>0</v>
          </cell>
          <cell r="I155">
            <v>605</v>
          </cell>
          <cell r="J155">
            <v>9.6799999999999994E-3</v>
          </cell>
        </row>
        <row r="156">
          <cell r="A156" t="str">
            <v>95820</v>
          </cell>
          <cell r="B156" t="str">
            <v>CALDO P/SOPA POLLO (1150g)</v>
          </cell>
          <cell r="C156" t="str">
            <v>KILO</v>
          </cell>
          <cell r="D156" t="str">
            <v>GRAMO</v>
          </cell>
          <cell r="E156">
            <v>545.74586700000009</v>
          </cell>
          <cell r="F156">
            <v>0.54574586700000005</v>
          </cell>
          <cell r="G156">
            <v>12.604402499999999</v>
          </cell>
          <cell r="H156">
            <v>1.2604402499999999E-2</v>
          </cell>
          <cell r="I156">
            <v>275</v>
          </cell>
          <cell r="J156">
            <v>0.27500000000000002</v>
          </cell>
        </row>
        <row r="157">
          <cell r="A157" t="str">
            <v>95821</v>
          </cell>
          <cell r="B157" t="str">
            <v>COCCION CREMA BROCOLI (4000g)</v>
          </cell>
          <cell r="C157" t="str">
            <v>KILO</v>
          </cell>
          <cell r="D157" t="str">
            <v>GRAMO</v>
          </cell>
          <cell r="E157">
            <v>1126.8274617431762</v>
          </cell>
          <cell r="F157">
            <v>1.1268274617431762</v>
          </cell>
          <cell r="G157">
            <v>0</v>
          </cell>
          <cell r="H157">
            <v>0</v>
          </cell>
          <cell r="I157">
            <v>66.532258064516128</v>
          </cell>
          <cell r="J157">
            <v>6.6532258064516125E-2</v>
          </cell>
        </row>
        <row r="158">
          <cell r="A158" t="str">
            <v>95822</v>
          </cell>
          <cell r="B158" t="str">
            <v>CALDO P/SOPA AZTECA (34580g)</v>
          </cell>
          <cell r="C158" t="str">
            <v>TANDA</v>
          </cell>
          <cell r="D158" t="str">
            <v>GRAMO</v>
          </cell>
          <cell r="E158">
            <v>33517.644825641022</v>
          </cell>
          <cell r="F158">
            <v>0.96927833503878025</v>
          </cell>
          <cell r="G158">
            <v>2.8030027039872187E-5</v>
          </cell>
          <cell r="H158">
            <v>8.1058493464060695E-10</v>
          </cell>
          <cell r="I158">
            <v>1650</v>
          </cell>
          <cell r="J158">
            <v>4.7715442452284561E-2</v>
          </cell>
        </row>
        <row r="159">
          <cell r="A159" t="str">
            <v>95827</v>
          </cell>
          <cell r="B159" t="str">
            <v>TEMPERADO CHOCOLATE LECHE BELCOLADE (4900g)</v>
          </cell>
          <cell r="C159" t="str">
            <v>KILO</v>
          </cell>
          <cell r="D159" t="str">
            <v>GRAMO</v>
          </cell>
          <cell r="E159">
            <v>6636.7346938775509</v>
          </cell>
          <cell r="F159">
            <v>6.6367346938775507</v>
          </cell>
          <cell r="G159">
            <v>1.8918510204081629</v>
          </cell>
          <cell r="H159">
            <v>1.891851020408163E-3</v>
          </cell>
          <cell r="I159">
            <v>57.142857142857139</v>
          </cell>
          <cell r="J159">
            <v>5.7142857142857141E-2</v>
          </cell>
        </row>
        <row r="160">
          <cell r="A160" t="str">
            <v>95828</v>
          </cell>
          <cell r="B160" t="str">
            <v>TEMPERADO CHOCOLATE BLANCO (3200g)</v>
          </cell>
          <cell r="C160" t="str">
            <v>KILO</v>
          </cell>
          <cell r="D160" t="str">
            <v>GRAMO</v>
          </cell>
          <cell r="E160">
            <v>4534.6199374999997</v>
          </cell>
          <cell r="F160">
            <v>4.5346199374999996</v>
          </cell>
          <cell r="G160">
            <v>2.9559371874999996</v>
          </cell>
          <cell r="H160">
            <v>2.9559371874999995E-3</v>
          </cell>
          <cell r="I160">
            <v>87.5</v>
          </cell>
          <cell r="J160">
            <v>8.7499999999999994E-2</v>
          </cell>
        </row>
        <row r="161">
          <cell r="A161" t="str">
            <v>95829</v>
          </cell>
          <cell r="B161" t="str">
            <v>GLACE BLANCO PURO (7495g)</v>
          </cell>
          <cell r="C161" t="str">
            <v>KILO</v>
          </cell>
          <cell r="D161" t="str">
            <v>GRAMO</v>
          </cell>
          <cell r="E161">
            <v>1609.9631754503</v>
          </cell>
          <cell r="F161">
            <v>1.6099631754503001</v>
          </cell>
          <cell r="G161">
            <v>4.8027942628418954</v>
          </cell>
          <cell r="H161">
            <v>4.8027942628418949E-3</v>
          </cell>
          <cell r="I161">
            <v>89.659773182121413</v>
          </cell>
          <cell r="J161">
            <v>8.9659773182121413E-2</v>
          </cell>
        </row>
        <row r="162">
          <cell r="A162" t="str">
            <v>95831</v>
          </cell>
          <cell r="B162" t="str">
            <v>BASE PREMEZCLA RELLENO CHOCOFRESA (5400g)</v>
          </cell>
          <cell r="C162" t="str">
            <v>TANDA</v>
          </cell>
          <cell r="D162" t="str">
            <v>GRAMO</v>
          </cell>
          <cell r="E162">
            <v>16413.192000000003</v>
          </cell>
          <cell r="F162">
            <v>3.0394800000000006</v>
          </cell>
          <cell r="G162">
            <v>73.876666666666665</v>
          </cell>
          <cell r="H162">
            <v>1.3680864197530864E-2</v>
          </cell>
          <cell r="I162">
            <v>55</v>
          </cell>
          <cell r="J162">
            <v>1.0185185185185186E-2</v>
          </cell>
        </row>
        <row r="163">
          <cell r="A163" t="str">
            <v>95832</v>
          </cell>
          <cell r="B163" t="str">
            <v>GALLETAS P/CAFE (UND)</v>
          </cell>
          <cell r="C163" t="str">
            <v>UND</v>
          </cell>
          <cell r="D163" t="str">
            <v>UND</v>
          </cell>
          <cell r="E163">
            <v>15.120441866741274</v>
          </cell>
          <cell r="F163">
            <v>15.120441866741274</v>
          </cell>
          <cell r="G163">
            <v>7.417582417582419E-2</v>
          </cell>
          <cell r="H163">
            <v>7.417582417582419E-2</v>
          </cell>
          <cell r="I163">
            <v>4.5983165891937823</v>
          </cell>
          <cell r="J163">
            <v>4.5983165891937823</v>
          </cell>
        </row>
        <row r="164">
          <cell r="A164" t="str">
            <v>95834</v>
          </cell>
          <cell r="B164" t="str">
            <v>FLAN CARAMELO MINI P/FLAN TRES LECHES (UND=500g)</v>
          </cell>
          <cell r="C164" t="str">
            <v>UND</v>
          </cell>
          <cell r="D164" t="str">
            <v>UND</v>
          </cell>
          <cell r="E164">
            <v>1039.3142487019609</v>
          </cell>
          <cell r="F164">
            <v>1039.3142487019609</v>
          </cell>
          <cell r="G164">
            <v>24.008873999999999</v>
          </cell>
          <cell r="H164">
            <v>24.008873999999999</v>
          </cell>
          <cell r="I164">
            <v>77.400000000000006</v>
          </cell>
          <cell r="J164">
            <v>77.400000000000006</v>
          </cell>
        </row>
        <row r="165">
          <cell r="A165" t="str">
            <v>95846</v>
          </cell>
          <cell r="B165" t="str">
            <v>COCCION SALSA ROJA SPOON (31750g)</v>
          </cell>
          <cell r="C165" t="str">
            <v>TANDA</v>
          </cell>
          <cell r="D165" t="str">
            <v>GRAMO</v>
          </cell>
          <cell r="E165">
            <v>37472.327137044653</v>
          </cell>
          <cell r="F165">
            <v>1.1802307759699102</v>
          </cell>
          <cell r="G165">
            <v>42.858157499999997</v>
          </cell>
          <cell r="H165">
            <v>1.3498632283464565E-3</v>
          </cell>
          <cell r="I165">
            <v>1100</v>
          </cell>
          <cell r="J165">
            <v>3.4645669291338582E-2</v>
          </cell>
        </row>
        <row r="166">
          <cell r="A166" t="str">
            <v>95854</v>
          </cell>
          <cell r="B166" t="str">
            <v>COCCION CREMA DE AYOTE (30800g)</v>
          </cell>
          <cell r="C166" t="str">
            <v>TANDA</v>
          </cell>
          <cell r="D166" t="str">
            <v>GRAMO</v>
          </cell>
          <cell r="E166">
            <v>42689.357034230779</v>
          </cell>
          <cell r="F166">
            <v>1.3860180855269733</v>
          </cell>
          <cell r="G166">
            <v>3.814676212170518</v>
          </cell>
          <cell r="H166">
            <v>1.2385312377177006E-4</v>
          </cell>
          <cell r="I166">
            <v>1715.2733485193621</v>
          </cell>
          <cell r="J166">
            <v>5.5690693133745521E-2</v>
          </cell>
        </row>
        <row r="167">
          <cell r="A167" t="str">
            <v>908000042</v>
          </cell>
          <cell r="B167" t="str">
            <v>COCCION PECHUGA PARRILLA (UND)</v>
          </cell>
          <cell r="C167" t="str">
            <v>UND</v>
          </cell>
          <cell r="D167" t="str">
            <v>UND</v>
          </cell>
          <cell r="E167">
            <v>452.11328695249421</v>
          </cell>
          <cell r="F167">
            <v>452.11328695249421</v>
          </cell>
          <cell r="G167">
            <v>4.0254080435939166</v>
          </cell>
          <cell r="H167">
            <v>4.0254080435939166</v>
          </cell>
          <cell r="I167">
            <v>9.8290511360080117</v>
          </cell>
          <cell r="J167">
            <v>9.8290511360080117</v>
          </cell>
        </row>
        <row r="168">
          <cell r="A168" t="str">
            <v>95863</v>
          </cell>
          <cell r="B168" t="str">
            <v>BASE PREMEZCLA PURE DE PAPA (4000g)</v>
          </cell>
          <cell r="C168" t="str">
            <v>TANDA</v>
          </cell>
          <cell r="D168" t="str">
            <v>GRAMO</v>
          </cell>
          <cell r="E168">
            <v>7311.6</v>
          </cell>
          <cell r="F168">
            <v>1.8279000000000001</v>
          </cell>
          <cell r="G168">
            <v>33.333333333333336</v>
          </cell>
          <cell r="H168">
            <v>8.3333333333333332E-3</v>
          </cell>
          <cell r="I168">
            <v>55</v>
          </cell>
          <cell r="J168">
            <v>1.375E-2</v>
          </cell>
        </row>
        <row r="169">
          <cell r="A169" t="str">
            <v>95874</v>
          </cell>
          <cell r="B169" t="str">
            <v>SALSA TAMARINDO (2905g)</v>
          </cell>
          <cell r="C169" t="str">
            <v>KILO</v>
          </cell>
          <cell r="D169" t="str">
            <v>GRAMO</v>
          </cell>
          <cell r="E169">
            <v>673.94177435714289</v>
          </cell>
          <cell r="F169">
            <v>0.67394177435714286</v>
          </cell>
          <cell r="G169">
            <v>2.6672902380952381</v>
          </cell>
          <cell r="H169">
            <v>2.6672902380952381E-3</v>
          </cell>
          <cell r="I169">
            <v>65.476190476190482</v>
          </cell>
          <cell r="J169">
            <v>6.5476190476190479E-2</v>
          </cell>
        </row>
        <row r="170">
          <cell r="A170" t="str">
            <v>95878</v>
          </cell>
          <cell r="B170" t="str">
            <v>SALSA LIMON Y ALCAPARRAS (1200g)</v>
          </cell>
          <cell r="C170" t="str">
            <v>KILO</v>
          </cell>
          <cell r="D170" t="str">
            <v>GRAMO</v>
          </cell>
          <cell r="E170">
            <v>1960.6105894221296</v>
          </cell>
          <cell r="F170">
            <v>1.9606105894221295</v>
          </cell>
          <cell r="G170">
            <v>9.8570690296466451E-2</v>
          </cell>
          <cell r="H170">
            <v>9.8570690296466445E-5</v>
          </cell>
          <cell r="I170">
            <v>119.79520840170659</v>
          </cell>
          <cell r="J170">
            <v>0.11979520840170658</v>
          </cell>
        </row>
        <row r="171">
          <cell r="A171" t="str">
            <v>95879</v>
          </cell>
          <cell r="B171" t="str">
            <v>RELLENO CARNE SOMBRERO PERUANO (2057g)</v>
          </cell>
          <cell r="C171" t="str">
            <v>KILO</v>
          </cell>
          <cell r="D171" t="str">
            <v>GRAMO</v>
          </cell>
          <cell r="E171">
            <v>2820.5823037963492</v>
          </cell>
          <cell r="F171">
            <v>2.8205823037963493</v>
          </cell>
          <cell r="G171">
            <v>0</v>
          </cell>
          <cell r="H171">
            <v>0</v>
          </cell>
          <cell r="I171">
            <v>401.06951871657753</v>
          </cell>
          <cell r="J171">
            <v>0.40106951871657753</v>
          </cell>
        </row>
        <row r="172">
          <cell r="A172" t="str">
            <v>95882</v>
          </cell>
          <cell r="B172" t="str">
            <v>BATIDO MELO FROM SCRATCH (21600g)</v>
          </cell>
          <cell r="C172" t="str">
            <v>TANDA</v>
          </cell>
          <cell r="D172" t="str">
            <v>GRAMO</v>
          </cell>
          <cell r="E172">
            <v>23324.529458823534</v>
          </cell>
          <cell r="F172">
            <v>1.0798393267973858</v>
          </cell>
          <cell r="G172">
            <v>0</v>
          </cell>
          <cell r="H172">
            <v>0</v>
          </cell>
          <cell r="I172">
            <v>440</v>
          </cell>
          <cell r="J172">
            <v>2.0370370370370372E-2</v>
          </cell>
        </row>
        <row r="173">
          <cell r="A173" t="str">
            <v>95883</v>
          </cell>
          <cell r="B173" t="str">
            <v>BASE GALLETA P/BARRA PECANAS (400g)</v>
          </cell>
          <cell r="C173" t="str">
            <v>UND</v>
          </cell>
          <cell r="D173" t="str">
            <v>UND</v>
          </cell>
          <cell r="E173">
            <v>829.59735667114091</v>
          </cell>
          <cell r="F173">
            <v>829.59735667114091</v>
          </cell>
          <cell r="G173">
            <v>14.519826875838925</v>
          </cell>
          <cell r="H173">
            <v>14.519826875838925</v>
          </cell>
          <cell r="I173">
            <v>113.1275167785235</v>
          </cell>
          <cell r="J173">
            <v>113.1275167785235</v>
          </cell>
        </row>
        <row r="174">
          <cell r="A174" t="str">
            <v>95884</v>
          </cell>
          <cell r="B174" t="str">
            <v>RELLENO PECANAS P/BARRAS (3975g)</v>
          </cell>
          <cell r="C174" t="str">
            <v>KILO</v>
          </cell>
          <cell r="D174" t="str">
            <v>GRAMO</v>
          </cell>
          <cell r="E174">
            <v>1745.5228490566042</v>
          </cell>
          <cell r="F174">
            <v>1.7455228490566042</v>
          </cell>
          <cell r="G174">
            <v>0</v>
          </cell>
          <cell r="H174">
            <v>0</v>
          </cell>
          <cell r="I174">
            <v>140.88050314465409</v>
          </cell>
          <cell r="J174">
            <v>0.14088050314465408</v>
          </cell>
        </row>
        <row r="175">
          <cell r="A175" t="str">
            <v>95885</v>
          </cell>
          <cell r="B175" t="str">
            <v>PLANCHA BARRA DE PECANAS (1425g)</v>
          </cell>
          <cell r="C175" t="str">
            <v>UND</v>
          </cell>
          <cell r="D175" t="str">
            <v>UND</v>
          </cell>
          <cell r="E175">
            <v>4546.1427989352915</v>
          </cell>
          <cell r="F175">
            <v>4546.1427989352915</v>
          </cell>
          <cell r="G175">
            <v>14.519826875838925</v>
          </cell>
          <cell r="H175">
            <v>14.519826875838925</v>
          </cell>
          <cell r="I175">
            <v>335.01430923135365</v>
          </cell>
          <cell r="J175">
            <v>335.01430923135365</v>
          </cell>
        </row>
        <row r="176">
          <cell r="A176" t="str">
            <v>95890</v>
          </cell>
          <cell r="B176" t="str">
            <v>REBANADA CROSTINIS PARMESANO (UND)</v>
          </cell>
          <cell r="C176" t="str">
            <v>UND</v>
          </cell>
          <cell r="D176" t="str">
            <v>UND</v>
          </cell>
          <cell r="E176">
            <v>46.419747183579176</v>
          </cell>
          <cell r="F176">
            <v>46.419747183579176</v>
          </cell>
          <cell r="G176">
            <v>0.12270622458169364</v>
          </cell>
          <cell r="H176">
            <v>0.12270622458169364</v>
          </cell>
          <cell r="I176">
            <v>26.868729026942543</v>
          </cell>
          <cell r="J176">
            <v>26.868729026942543</v>
          </cell>
        </row>
        <row r="177">
          <cell r="A177" t="str">
            <v>95892</v>
          </cell>
          <cell r="B177" t="str">
            <v>REBANADA CROSTINIS TOMATE (UND)</v>
          </cell>
          <cell r="C177" t="str">
            <v>UND</v>
          </cell>
          <cell r="D177" t="str">
            <v>UND</v>
          </cell>
          <cell r="E177">
            <v>46.975118392240581</v>
          </cell>
          <cell r="F177">
            <v>46.975118392240581</v>
          </cell>
          <cell r="G177">
            <v>0.11339934089754986</v>
          </cell>
          <cell r="H177">
            <v>0.11339934089754986</v>
          </cell>
          <cell r="I177">
            <v>27.088700707050897</v>
          </cell>
          <cell r="J177">
            <v>27.088700707050897</v>
          </cell>
        </row>
        <row r="178">
          <cell r="A178" t="str">
            <v>95893</v>
          </cell>
          <cell r="B178" t="str">
            <v>GALLETA CHOCOLATE BLANCO/MACADAMIA (UND)</v>
          </cell>
          <cell r="C178" t="str">
            <v>UND</v>
          </cell>
          <cell r="D178" t="str">
            <v>UND</v>
          </cell>
          <cell r="E178">
            <v>243.35316090966765</v>
          </cell>
          <cell r="F178">
            <v>243.35316090966765</v>
          </cell>
          <cell r="G178">
            <v>0.34567573662551443</v>
          </cell>
          <cell r="H178">
            <v>0.34567573662551443</v>
          </cell>
          <cell r="I178">
            <v>20.657777777777778</v>
          </cell>
          <cell r="J178">
            <v>20.657777777777778</v>
          </cell>
        </row>
        <row r="179">
          <cell r="A179" t="str">
            <v>95894</v>
          </cell>
          <cell r="B179" t="str">
            <v>BASE PREMEZCLA GALLETA CHOCOLATE CHIPS (663g)</v>
          </cell>
          <cell r="C179" t="str">
            <v>TANDA</v>
          </cell>
          <cell r="D179" t="str">
            <v>GRAMO</v>
          </cell>
          <cell r="E179">
            <v>4845.6445659999999</v>
          </cell>
          <cell r="F179">
            <v>0.70206383164300201</v>
          </cell>
          <cell r="G179">
            <v>17.771546111111114</v>
          </cell>
          <cell r="H179">
            <v>2.5748400624617668E-3</v>
          </cell>
          <cell r="I179">
            <v>112</v>
          </cell>
          <cell r="J179">
            <v>1.6227180527383367E-2</v>
          </cell>
        </row>
        <row r="180">
          <cell r="A180" t="str">
            <v>95920</v>
          </cell>
          <cell r="B180" t="str">
            <v>CREMA CHOCOLATE CON AGUA (900g)</v>
          </cell>
          <cell r="C180" t="str">
            <v>Kilo</v>
          </cell>
          <cell r="D180" t="str">
            <v>Gramo</v>
          </cell>
          <cell r="E180">
            <v>1350.8181999999999</v>
          </cell>
          <cell r="F180">
            <v>1.3508182</v>
          </cell>
          <cell r="G180">
            <v>7.6890899999999993</v>
          </cell>
          <cell r="H180">
            <v>7.6890899999999991E-3</v>
          </cell>
          <cell r="I180">
            <v>50.909090909090914</v>
          </cell>
          <cell r="J180">
            <v>5.0909090909090911E-2</v>
          </cell>
        </row>
        <row r="181">
          <cell r="A181" t="str">
            <v>95930</v>
          </cell>
          <cell r="B181" t="str">
            <v>TIQUEÑOS DE QUESO (UND)</v>
          </cell>
          <cell r="C181" t="str">
            <v>UND</v>
          </cell>
          <cell r="D181" t="str">
            <v>UND</v>
          </cell>
          <cell r="E181">
            <v>47.891230026256558</v>
          </cell>
          <cell r="F181">
            <v>47.891230026256558</v>
          </cell>
          <cell r="G181">
            <v>8.8430537790697671E-3</v>
          </cell>
          <cell r="H181">
            <v>8.8430537790697671E-3</v>
          </cell>
          <cell r="I181">
            <v>5.8277616279069759</v>
          </cell>
          <cell r="J181">
            <v>5.8277616279069759</v>
          </cell>
        </row>
        <row r="182">
          <cell r="A182" t="str">
            <v>95966</v>
          </cell>
          <cell r="B182" t="str">
            <v>COCCION HONGOS SALTEADOS  (2790g)</v>
          </cell>
          <cell r="C182" t="str">
            <v>KILO</v>
          </cell>
          <cell r="D182" t="str">
            <v>GRAMO</v>
          </cell>
          <cell r="E182">
            <v>3629.3204697024025</v>
          </cell>
          <cell r="F182">
            <v>3.6293204697024026</v>
          </cell>
          <cell r="G182">
            <v>0</v>
          </cell>
          <cell r="H182">
            <v>0</v>
          </cell>
          <cell r="I182">
            <v>197.20329867335963</v>
          </cell>
          <cell r="J182">
            <v>0.19720329867335962</v>
          </cell>
        </row>
        <row r="183">
          <cell r="A183" t="str">
            <v>95968</v>
          </cell>
          <cell r="B183" t="str">
            <v>ADEREZO MOSTAZA MIEL (4450g)</v>
          </cell>
          <cell r="C183" t="str">
            <v>KILO</v>
          </cell>
          <cell r="D183" t="str">
            <v>GRAMO</v>
          </cell>
          <cell r="E183">
            <v>2339.5513111855466</v>
          </cell>
          <cell r="F183">
            <v>2.3395513111855468</v>
          </cell>
          <cell r="G183">
            <v>11.950525782111065</v>
          </cell>
          <cell r="H183">
            <v>1.1950525782111065E-2</v>
          </cell>
          <cell r="I183">
            <v>89.434579176999804</v>
          </cell>
          <cell r="J183">
            <v>8.9434579176999804E-2</v>
          </cell>
        </row>
        <row r="184">
          <cell r="A184" t="str">
            <v>95990</v>
          </cell>
          <cell r="B184" t="str">
            <v>TARTALETA OVALADA DULCE (UND)</v>
          </cell>
          <cell r="C184" t="str">
            <v>UND</v>
          </cell>
          <cell r="D184" t="str">
            <v>UND</v>
          </cell>
          <cell r="E184">
            <v>52.843058724812039</v>
          </cell>
          <cell r="F184">
            <v>52.843058724812039</v>
          </cell>
          <cell r="G184">
            <v>0.39404174340613446</v>
          </cell>
          <cell r="H184">
            <v>0.39404174340613446</v>
          </cell>
          <cell r="I184">
            <v>17.809523809523807</v>
          </cell>
          <cell r="J184">
            <v>17.809523809523807</v>
          </cell>
        </row>
        <row r="185">
          <cell r="A185" t="str">
            <v>96022</v>
          </cell>
          <cell r="B185" t="str">
            <v>RELLENO JAMON-QUESO CREMA P/EMPANADA (420g)</v>
          </cell>
          <cell r="C185" t="str">
            <v>Kilo</v>
          </cell>
          <cell r="D185" t="str">
            <v>Gramo</v>
          </cell>
          <cell r="E185">
            <v>3527.5846928571427</v>
          </cell>
          <cell r="F185">
            <v>3.5275846928571428</v>
          </cell>
          <cell r="G185">
            <v>20.062483333333333</v>
          </cell>
          <cell r="H185">
            <v>2.0062483333333332E-2</v>
          </cell>
          <cell r="I185">
            <v>261.90476190476193</v>
          </cell>
          <cell r="J185">
            <v>0.26190476190476192</v>
          </cell>
        </row>
        <row r="186">
          <cell r="A186" t="str">
            <v>96032</v>
          </cell>
          <cell r="B186" t="str">
            <v>CARAMELO AZUCAR P/FLAN (900g)</v>
          </cell>
          <cell r="C186" t="str">
            <v>KILO</v>
          </cell>
          <cell r="D186" t="str">
            <v>GRAMO</v>
          </cell>
          <cell r="E186">
            <v>401.04444444444442</v>
          </cell>
          <cell r="F186">
            <v>0.40104444444444443</v>
          </cell>
          <cell r="G186">
            <v>0</v>
          </cell>
          <cell r="H186">
            <v>0</v>
          </cell>
          <cell r="I186">
            <v>373.33333333333337</v>
          </cell>
          <cell r="J186">
            <v>0.37333333333333335</v>
          </cell>
        </row>
        <row r="187">
          <cell r="A187" t="str">
            <v>96037</v>
          </cell>
          <cell r="B187" t="str">
            <v>RELLENO CEBOLLA Y QUESO P/EMPANADA (1000g)</v>
          </cell>
          <cell r="C187" t="str">
            <v>KILO</v>
          </cell>
          <cell r="D187" t="str">
            <v>GRAMO</v>
          </cell>
          <cell r="E187">
            <v>3182.9953504999999</v>
          </cell>
          <cell r="F187">
            <v>3.1829953504999997</v>
          </cell>
          <cell r="G187">
            <v>23.595589314028313</v>
          </cell>
          <cell r="H187">
            <v>2.3595589314028314E-2</v>
          </cell>
          <cell r="I187">
            <v>337.89189189189187</v>
          </cell>
          <cell r="J187">
            <v>0.33789189189189189</v>
          </cell>
        </row>
        <row r="188">
          <cell r="A188" t="str">
            <v>96038</v>
          </cell>
          <cell r="B188" t="str">
            <v>EMPANADA CEBOLLA Y QUESO LAVAZZA (UND)</v>
          </cell>
          <cell r="C188" t="str">
            <v>UND</v>
          </cell>
          <cell r="D188" t="str">
            <v>UND</v>
          </cell>
          <cell r="E188">
            <v>154.8772280327008</v>
          </cell>
          <cell r="F188">
            <v>154.8772280327008</v>
          </cell>
          <cell r="G188">
            <v>2.1859325422494185</v>
          </cell>
          <cell r="H188">
            <v>2.1859325422494185</v>
          </cell>
          <cell r="I188">
            <v>62.028973598034135</v>
          </cell>
          <cell r="J188">
            <v>62.028973598034135</v>
          </cell>
        </row>
        <row r="189">
          <cell r="A189" t="str">
            <v>96039</v>
          </cell>
          <cell r="B189" t="str">
            <v>EMPANADA JAMON Y PETTI POIS FAS (UND)</v>
          </cell>
          <cell r="C189" t="str">
            <v>UND</v>
          </cell>
          <cell r="D189" t="str">
            <v>UND</v>
          </cell>
          <cell r="E189">
            <v>127.0016258582545</v>
          </cell>
          <cell r="F189">
            <v>127.0016258582545</v>
          </cell>
          <cell r="G189">
            <v>0.73652764234903134</v>
          </cell>
          <cell r="H189">
            <v>0.73652764234903134</v>
          </cell>
          <cell r="I189">
            <v>67.901510178238496</v>
          </cell>
          <cell r="J189">
            <v>67.901510178238496</v>
          </cell>
        </row>
        <row r="190">
          <cell r="A190" t="str">
            <v>96055</v>
          </cell>
          <cell r="B190" t="str">
            <v>EMPANADA CARNE MECHADA IND (UND)</v>
          </cell>
          <cell r="C190" t="str">
            <v>UND</v>
          </cell>
          <cell r="D190" t="str">
            <v>UND</v>
          </cell>
          <cell r="E190">
            <v>244.93062478975185</v>
          </cell>
          <cell r="F190">
            <v>244.93062478975185</v>
          </cell>
          <cell r="G190">
            <v>2.8525404214828645</v>
          </cell>
          <cell r="H190">
            <v>2.8525404214828645</v>
          </cell>
          <cell r="I190">
            <v>44.052602441043518</v>
          </cell>
          <cell r="J190">
            <v>44.052602441043518</v>
          </cell>
        </row>
        <row r="191">
          <cell r="A191" t="str">
            <v>96058</v>
          </cell>
          <cell r="B191" t="str">
            <v>BASE PREMEZCLA YOGURT CAKE  (1804g)</v>
          </cell>
          <cell r="C191" t="str">
            <v>TANDA</v>
          </cell>
          <cell r="D191" t="str">
            <v>GRAMO</v>
          </cell>
          <cell r="E191">
            <v>3078.0217600000001</v>
          </cell>
          <cell r="F191">
            <v>1.7062204878048781</v>
          </cell>
          <cell r="G191">
            <v>11.020357777777779</v>
          </cell>
          <cell r="H191">
            <v>6.1088457748213849E-3</v>
          </cell>
          <cell r="I191">
            <v>112</v>
          </cell>
          <cell r="J191">
            <v>6.2084257206208429E-2</v>
          </cell>
        </row>
        <row r="192">
          <cell r="A192" t="str">
            <v>96059</v>
          </cell>
          <cell r="B192" t="str">
            <v>ROSQUETE YOGURT CAKE (400g)</v>
          </cell>
          <cell r="C192" t="str">
            <v>UND</v>
          </cell>
          <cell r="D192" t="str">
            <v>UND</v>
          </cell>
          <cell r="E192">
            <v>566.44048035760045</v>
          </cell>
          <cell r="F192">
            <v>566.44048035760045</v>
          </cell>
          <cell r="G192">
            <v>7.6925275956760082</v>
          </cell>
          <cell r="H192">
            <v>7.6925275956760082</v>
          </cell>
          <cell r="I192">
            <v>45.229776115579696</v>
          </cell>
          <cell r="J192">
            <v>45.229776115579696</v>
          </cell>
        </row>
        <row r="193">
          <cell r="A193" t="str">
            <v>96076</v>
          </cell>
          <cell r="B193" t="str">
            <v>RELLENO CARNE MECHA-COMINO-ROMERO (1000g)</v>
          </cell>
          <cell r="C193" t="str">
            <v>Kilo</v>
          </cell>
          <cell r="D193" t="str">
            <v>Gramo</v>
          </cell>
          <cell r="E193">
            <v>3486.6073803027475</v>
          </cell>
          <cell r="F193">
            <v>3.4866073803027473</v>
          </cell>
          <cell r="G193">
            <v>33.528991908140348</v>
          </cell>
          <cell r="H193">
            <v>3.3528991908140349E-2</v>
          </cell>
          <cell r="I193">
            <v>230.83623001068085</v>
          </cell>
          <cell r="J193">
            <v>0.23083623001068085</v>
          </cell>
        </row>
        <row r="194">
          <cell r="A194" t="str">
            <v>96098</v>
          </cell>
          <cell r="B194" t="str">
            <v>ADEREZO PEPINILLOS Y ANCHOAS (390g)</v>
          </cell>
          <cell r="C194" t="str">
            <v>KILO</v>
          </cell>
          <cell r="D194" t="str">
            <v>GRAMO</v>
          </cell>
          <cell r="E194">
            <v>2774.9748658519438</v>
          </cell>
          <cell r="F194">
            <v>2.7749748658519438</v>
          </cell>
          <cell r="G194">
            <v>22.677630516055928</v>
          </cell>
          <cell r="H194">
            <v>2.2677630516055928E-2</v>
          </cell>
          <cell r="I194">
            <v>727.77511757705349</v>
          </cell>
          <cell r="J194">
            <v>0.72777511757705349</v>
          </cell>
        </row>
        <row r="195">
          <cell r="A195" t="str">
            <v>96100</v>
          </cell>
          <cell r="B195" t="str">
            <v>COCCION QUINUA BLANCA (600g)</v>
          </cell>
          <cell r="C195" t="str">
            <v>KILO</v>
          </cell>
          <cell r="D195" t="str">
            <v>GRAMO</v>
          </cell>
          <cell r="E195">
            <v>2098.3056844444445</v>
          </cell>
          <cell r="F195">
            <v>2.0983056844444445</v>
          </cell>
          <cell r="G195">
            <v>0</v>
          </cell>
          <cell r="H195">
            <v>0</v>
          </cell>
          <cell r="I195">
            <v>183.33333333333331</v>
          </cell>
          <cell r="J195">
            <v>0.18333333333333332</v>
          </cell>
        </row>
        <row r="196">
          <cell r="A196" t="str">
            <v>96108</v>
          </cell>
          <cell r="B196" t="str">
            <v>CEBOLLA CARAMELIZADA (2400g)</v>
          </cell>
          <cell r="C196" t="str">
            <v>TANDA</v>
          </cell>
          <cell r="D196" t="str">
            <v>GRAMO</v>
          </cell>
          <cell r="E196">
            <v>8344.4401738039214</v>
          </cell>
          <cell r="F196">
            <v>3.4768500724183005</v>
          </cell>
          <cell r="G196">
            <v>28.572105000000001</v>
          </cell>
          <cell r="H196">
            <v>1.190504375E-2</v>
          </cell>
          <cell r="I196">
            <v>385</v>
          </cell>
          <cell r="J196">
            <v>0.16041666666666668</v>
          </cell>
        </row>
        <row r="197">
          <cell r="A197" t="str">
            <v>96136</v>
          </cell>
          <cell r="B197" t="str">
            <v>MERENGUE P/SUSPIROS (5250g)</v>
          </cell>
          <cell r="C197" t="str">
            <v>TANDA</v>
          </cell>
          <cell r="D197" t="str">
            <v>GRAMO</v>
          </cell>
          <cell r="E197">
            <v>12100.755438000002</v>
          </cell>
          <cell r="F197">
            <v>2.3248329371757928</v>
          </cell>
          <cell r="G197">
            <v>11.020357777777779</v>
          </cell>
          <cell r="H197">
            <v>2.0991157671957673E-3</v>
          </cell>
          <cell r="I197">
            <v>770</v>
          </cell>
          <cell r="J197">
            <v>0.14666666666666667</v>
          </cell>
        </row>
        <row r="198">
          <cell r="A198" t="str">
            <v>96170</v>
          </cell>
          <cell r="B198" t="str">
            <v>EMPANADA CARNE PERUANA GRANDE (UND)</v>
          </cell>
          <cell r="C198" t="str">
            <v>UND</v>
          </cell>
          <cell r="D198" t="str">
            <v>UND</v>
          </cell>
          <cell r="E198">
            <v>184.75896482753404</v>
          </cell>
          <cell r="F198">
            <v>184.75896482753404</v>
          </cell>
          <cell r="G198">
            <v>1.8487279947561979</v>
          </cell>
          <cell r="H198">
            <v>1.8487279947561979</v>
          </cell>
          <cell r="I198">
            <v>58.297288149715087</v>
          </cell>
          <cell r="J198">
            <v>58.297288149715087</v>
          </cell>
        </row>
        <row r="199">
          <cell r="A199" t="str">
            <v>96180</v>
          </cell>
          <cell r="B199" t="str">
            <v>RELLENO DELIZZIA (7.150 Kg)</v>
          </cell>
          <cell r="C199" t="str">
            <v>KILO</v>
          </cell>
          <cell r="D199" t="str">
            <v>GRAMO</v>
          </cell>
          <cell r="E199">
            <v>1901.6339954888927</v>
          </cell>
          <cell r="F199">
            <v>1.9016339954888926</v>
          </cell>
          <cell r="G199">
            <v>1.5039062499999999E-2</v>
          </cell>
          <cell r="H199">
            <v>1.5039062499999999E-5</v>
          </cell>
          <cell r="I199">
            <v>77.01322115384616</v>
          </cell>
          <cell r="J199">
            <v>7.7013221153846165E-2</v>
          </cell>
        </row>
        <row r="200">
          <cell r="A200" t="str">
            <v>96192</v>
          </cell>
          <cell r="B200" t="str">
            <v>ACEITE DE AJO Y PEREJIL (1000g)</v>
          </cell>
          <cell r="C200" t="str">
            <v>TANDA</v>
          </cell>
          <cell r="D200" t="str">
            <v>GRAMO</v>
          </cell>
          <cell r="E200">
            <v>2790.6051721925132</v>
          </cell>
          <cell r="F200">
            <v>2.7906051721925134</v>
          </cell>
          <cell r="G200">
            <v>14.672860317171718</v>
          </cell>
          <cell r="H200">
            <v>1.4672860317171719E-2</v>
          </cell>
          <cell r="I200">
            <v>222.55</v>
          </cell>
          <cell r="J200">
            <v>0.22255</v>
          </cell>
        </row>
        <row r="201">
          <cell r="A201" t="str">
            <v>96197</v>
          </cell>
          <cell r="B201" t="str">
            <v>MEZCLA DE YEMA PARA PINTAR (1430g)</v>
          </cell>
          <cell r="C201" t="str">
            <v>TANDA</v>
          </cell>
          <cell r="D201" t="str">
            <v>GRAMO</v>
          </cell>
          <cell r="E201">
            <v>2413.21</v>
          </cell>
          <cell r="F201">
            <v>1.6875594405594405</v>
          </cell>
          <cell r="G201">
            <v>0</v>
          </cell>
          <cell r="H201">
            <v>0</v>
          </cell>
          <cell r="I201">
            <v>55</v>
          </cell>
          <cell r="J201">
            <v>3.8461538461538464E-2</v>
          </cell>
        </row>
        <row r="202">
          <cell r="A202" t="str">
            <v>96199</v>
          </cell>
          <cell r="B202" t="str">
            <v>COBERTURA CHOCOLATE LECHE RALLADO (4700g)</v>
          </cell>
          <cell r="C202" t="str">
            <v>KILO</v>
          </cell>
          <cell r="D202" t="str">
            <v>GRAMO</v>
          </cell>
          <cell r="E202">
            <v>22340</v>
          </cell>
          <cell r="F202">
            <v>4.7531914893617024</v>
          </cell>
          <cell r="G202">
            <v>1.1990000000000001</v>
          </cell>
          <cell r="H202">
            <v>2.5510638297872339E-4</v>
          </cell>
          <cell r="I202">
            <v>385</v>
          </cell>
          <cell r="J202">
            <v>8.191489361702127E-2</v>
          </cell>
        </row>
        <row r="203">
          <cell r="A203" t="str">
            <v>96223</v>
          </cell>
          <cell r="B203" t="str">
            <v>GANACHE DE DULCE LECHE (4800g)</v>
          </cell>
          <cell r="C203" t="str">
            <v>KILO</v>
          </cell>
          <cell r="D203" t="str">
            <v>GRAMO</v>
          </cell>
          <cell r="E203">
            <v>2483.106770833333</v>
          </cell>
          <cell r="F203">
            <v>2.483106770833333</v>
          </cell>
          <cell r="G203">
            <v>0</v>
          </cell>
          <cell r="H203">
            <v>0</v>
          </cell>
          <cell r="I203">
            <v>116.66666666666667</v>
          </cell>
          <cell r="J203">
            <v>0.11666666666666667</v>
          </cell>
        </row>
        <row r="204">
          <cell r="A204" t="str">
            <v>96242</v>
          </cell>
          <cell r="B204" t="str">
            <v>PURE PAPA (2000g)</v>
          </cell>
          <cell r="C204" t="str">
            <v>TANDA</v>
          </cell>
          <cell r="D204" t="str">
            <v>GRAMO</v>
          </cell>
          <cell r="E204">
            <v>3211.5108266666666</v>
          </cell>
          <cell r="F204">
            <v>1.6057554133333334</v>
          </cell>
          <cell r="G204">
            <v>23.975403333333333</v>
          </cell>
          <cell r="H204">
            <v>1.1987701666666666E-2</v>
          </cell>
          <cell r="I204">
            <v>331.375</v>
          </cell>
          <cell r="J204">
            <v>0.16568749999999999</v>
          </cell>
        </row>
        <row r="205">
          <cell r="A205" t="str">
            <v>96251</v>
          </cell>
          <cell r="B205" t="str">
            <v>GALLETA P/TORTA CHILENA FAS (210g)</v>
          </cell>
          <cell r="C205" t="str">
            <v>UND</v>
          </cell>
          <cell r="D205" t="str">
            <v>UND</v>
          </cell>
          <cell r="E205">
            <v>226.41733244134201</v>
          </cell>
          <cell r="F205">
            <v>226.41733244134201</v>
          </cell>
          <cell r="G205">
            <v>0.65629030839002267</v>
          </cell>
          <cell r="H205">
            <v>0.65629030839002267</v>
          </cell>
          <cell r="I205">
            <v>27.595238095238095</v>
          </cell>
          <cell r="J205">
            <v>27.595238095238095</v>
          </cell>
        </row>
        <row r="206">
          <cell r="A206" t="str">
            <v>96252</v>
          </cell>
          <cell r="B206" t="str">
            <v>RELLENO CHEESE CAKE INDUSTRIA (9000g)</v>
          </cell>
          <cell r="C206" t="str">
            <v>TANDA</v>
          </cell>
          <cell r="D206" t="str">
            <v>GRAMO</v>
          </cell>
          <cell r="E206">
            <v>18145.277160472564</v>
          </cell>
          <cell r="F206">
            <v>2.0161419067191737</v>
          </cell>
          <cell r="G206">
            <v>0.13834615384615384</v>
          </cell>
          <cell r="H206">
            <v>1.5371794871794872E-5</v>
          </cell>
          <cell r="I206">
            <v>888.46153846153845</v>
          </cell>
          <cell r="J206">
            <v>9.8717948717948714E-2</v>
          </cell>
        </row>
        <row r="207">
          <cell r="A207" t="str">
            <v>96263</v>
          </cell>
          <cell r="B207" t="str">
            <v>QUESO PARMESANO LAMINADO (8580g)</v>
          </cell>
          <cell r="C207" t="str">
            <v>TANDA</v>
          </cell>
          <cell r="D207" t="str">
            <v>GRAMO</v>
          </cell>
          <cell r="E207">
            <v>94190.862500000003</v>
          </cell>
          <cell r="F207">
            <v>10.977956002331002</v>
          </cell>
          <cell r="G207">
            <v>26.763632000000001</v>
          </cell>
          <cell r="H207">
            <v>3.1193044289044292E-3</v>
          </cell>
          <cell r="I207">
            <v>275</v>
          </cell>
          <cell r="J207">
            <v>3.2051282051282048E-2</v>
          </cell>
        </row>
        <row r="208">
          <cell r="A208" t="str">
            <v>96266</v>
          </cell>
          <cell r="B208" t="str">
            <v>LAMINA AZUCAR ESCANEADA (UND)</v>
          </cell>
          <cell r="C208" t="str">
            <v>UND</v>
          </cell>
          <cell r="D208" t="str">
            <v>UND</v>
          </cell>
          <cell r="E208">
            <v>1387.384</v>
          </cell>
          <cell r="F208">
            <v>1387.384</v>
          </cell>
          <cell r="G208">
            <v>0</v>
          </cell>
          <cell r="H208">
            <v>0</v>
          </cell>
          <cell r="I208">
            <v>275</v>
          </cell>
          <cell r="J208">
            <v>275</v>
          </cell>
        </row>
        <row r="209">
          <cell r="A209" t="str">
            <v>96267</v>
          </cell>
          <cell r="B209" t="str">
            <v>ROSQUETE CHOCOLATE BUCCA (320g)</v>
          </cell>
          <cell r="C209" t="str">
            <v>UND</v>
          </cell>
          <cell r="D209" t="str">
            <v>UND</v>
          </cell>
          <cell r="E209">
            <v>355.25335753863862</v>
          </cell>
          <cell r="F209">
            <v>355.25335753863862</v>
          </cell>
          <cell r="G209">
            <v>8.2092643814880741</v>
          </cell>
          <cell r="H209">
            <v>8.2092643814880741</v>
          </cell>
          <cell r="I209">
            <v>35.876510067114097</v>
          </cell>
          <cell r="J209">
            <v>35.876510067114097</v>
          </cell>
        </row>
        <row r="210">
          <cell r="A210" t="str">
            <v>96270</v>
          </cell>
          <cell r="B210" t="str">
            <v>ROSQUETE MELOCOTON PURATOS (360g)</v>
          </cell>
          <cell r="C210" t="str">
            <v>UND</v>
          </cell>
          <cell r="D210" t="str">
            <v>UND</v>
          </cell>
          <cell r="E210">
            <v>422.05372617403651</v>
          </cell>
          <cell r="F210">
            <v>422.05372617403651</v>
          </cell>
          <cell r="G210">
            <v>8.7370147215647176</v>
          </cell>
          <cell r="H210">
            <v>8.7370147215647176</v>
          </cell>
          <cell r="I210">
            <v>19.774041546820072</v>
          </cell>
          <cell r="J210">
            <v>19.774041546820072</v>
          </cell>
        </row>
        <row r="211">
          <cell r="A211" t="str">
            <v>96271</v>
          </cell>
          <cell r="B211" t="str">
            <v>CORTE  P/GALLETA ESC (UND)</v>
          </cell>
          <cell r="C211" t="str">
            <v>UND</v>
          </cell>
          <cell r="D211" t="str">
            <v>UND</v>
          </cell>
          <cell r="E211">
            <v>21.349894497743044</v>
          </cell>
          <cell r="F211">
            <v>21.349894497743044</v>
          </cell>
          <cell r="G211">
            <v>0</v>
          </cell>
          <cell r="H211">
            <v>0</v>
          </cell>
          <cell r="I211">
            <v>10.686239816064377</v>
          </cell>
          <cell r="J211">
            <v>10.686239816064377</v>
          </cell>
        </row>
        <row r="212">
          <cell r="A212" t="str">
            <v>96272</v>
          </cell>
          <cell r="B212" t="str">
            <v>EMPANADA POLLO C/AJONJOLI (UND)</v>
          </cell>
          <cell r="C212" t="str">
            <v>UND</v>
          </cell>
          <cell r="D212" t="str">
            <v>UND</v>
          </cell>
          <cell r="E212">
            <v>185.40642008823716</v>
          </cell>
          <cell r="F212">
            <v>185.40642008823716</v>
          </cell>
          <cell r="G212">
            <v>1.7940720010640245</v>
          </cell>
          <cell r="H212">
            <v>1.7940720010640245</v>
          </cell>
          <cell r="I212">
            <v>45.17753744451764</v>
          </cell>
          <cell r="J212">
            <v>45.17753744451764</v>
          </cell>
        </row>
        <row r="213">
          <cell r="A213" t="str">
            <v>96275</v>
          </cell>
          <cell r="B213" t="str">
            <v>GALLETA CHOCOLATE CHIPS STARBUCKS (UND)</v>
          </cell>
          <cell r="C213" t="str">
            <v>UND</v>
          </cell>
          <cell r="D213" t="str">
            <v>UND</v>
          </cell>
          <cell r="E213">
            <v>142.47345146308726</v>
          </cell>
          <cell r="F213">
            <v>142.47345146308726</v>
          </cell>
          <cell r="G213">
            <v>0.13315657482254814</v>
          </cell>
          <cell r="H213">
            <v>0.13315657482254814</v>
          </cell>
          <cell r="I213">
            <v>9.8643519761372112</v>
          </cell>
          <cell r="J213">
            <v>9.8643519761372112</v>
          </cell>
        </row>
        <row r="214">
          <cell r="A214" t="str">
            <v>96276</v>
          </cell>
          <cell r="B214" t="str">
            <v>ROSQUETE CARAMELO PURATOS (335g)</v>
          </cell>
          <cell r="C214" t="str">
            <v>UND</v>
          </cell>
          <cell r="D214" t="str">
            <v>UND</v>
          </cell>
          <cell r="E214">
            <v>446.846888464561</v>
          </cell>
          <cell r="F214">
            <v>446.846888464561</v>
          </cell>
          <cell r="G214">
            <v>7.6483473744357671</v>
          </cell>
          <cell r="H214">
            <v>7.6483473744357671</v>
          </cell>
          <cell r="I214">
            <v>5.5005424229143616</v>
          </cell>
          <cell r="J214">
            <v>5.5005424229143616</v>
          </cell>
        </row>
        <row r="215">
          <cell r="A215" t="str">
            <v>96277</v>
          </cell>
          <cell r="B215" t="str">
            <v>ARREGLADOS GRANDE (UND)</v>
          </cell>
          <cell r="C215" t="str">
            <v>UND</v>
          </cell>
          <cell r="D215" t="str">
            <v>UND</v>
          </cell>
          <cell r="E215">
            <v>83.714886916106408</v>
          </cell>
          <cell r="F215">
            <v>83.714886916106408</v>
          </cell>
          <cell r="G215">
            <v>1.5701248390789779</v>
          </cell>
          <cell r="H215">
            <v>1.5701248390789779</v>
          </cell>
          <cell r="I215">
            <v>14.61810476954917</v>
          </cell>
          <cell r="J215">
            <v>14.61810476954917</v>
          </cell>
        </row>
        <row r="216">
          <cell r="A216" t="str">
            <v>96280</v>
          </cell>
          <cell r="B216" t="str">
            <v>OREJITAS DULCES (5409g)</v>
          </cell>
          <cell r="C216" t="str">
            <v>KILO</v>
          </cell>
          <cell r="D216" t="str">
            <v>GRAMO</v>
          </cell>
          <cell r="E216">
            <v>935.32970759169018</v>
          </cell>
          <cell r="F216">
            <v>0.93532970759169021</v>
          </cell>
          <cell r="G216">
            <v>4.3075589700960348</v>
          </cell>
          <cell r="H216">
            <v>4.3075589700960351E-3</v>
          </cell>
          <cell r="I216">
            <v>625.67426218810954</v>
          </cell>
          <cell r="J216">
            <v>0.62567426218810951</v>
          </cell>
        </row>
        <row r="217">
          <cell r="A217" t="str">
            <v>96284</v>
          </cell>
          <cell r="B217" t="str">
            <v>CROISSANT SPOON 110g (UND)</v>
          </cell>
          <cell r="C217" t="str">
            <v>UND</v>
          </cell>
          <cell r="D217" t="str">
            <v>UND</v>
          </cell>
          <cell r="E217">
            <v>123.89697454065589</v>
          </cell>
          <cell r="F217">
            <v>123.89697454065589</v>
          </cell>
          <cell r="G217">
            <v>0.39982959433249193</v>
          </cell>
          <cell r="H217">
            <v>0.39982959433249193</v>
          </cell>
          <cell r="I217">
            <v>46.883423180592985</v>
          </cell>
          <cell r="J217">
            <v>46.883423180592985</v>
          </cell>
        </row>
        <row r="218">
          <cell r="A218" t="str">
            <v>96292</v>
          </cell>
          <cell r="B218" t="str">
            <v>ROSQUETE TRES LECHES RED. (150g)</v>
          </cell>
          <cell r="C218" t="str">
            <v>UND</v>
          </cell>
          <cell r="D218" t="str">
            <v>UND</v>
          </cell>
          <cell r="E218">
            <v>136.40286546344521</v>
          </cell>
          <cell r="F218">
            <v>136.40286546344521</v>
          </cell>
          <cell r="G218">
            <v>1.8081754333475375</v>
          </cell>
          <cell r="H218">
            <v>1.8081754333475375</v>
          </cell>
          <cell r="I218">
            <v>25.208995107028031</v>
          </cell>
          <cell r="J218">
            <v>25.208995107028031</v>
          </cell>
        </row>
        <row r="219">
          <cell r="A219" t="str">
            <v>96293</v>
          </cell>
          <cell r="B219" t="str">
            <v>BATIDO P/ROSQUETE TRES LECHES (18300g)</v>
          </cell>
          <cell r="C219" t="str">
            <v>TANDA</v>
          </cell>
          <cell r="D219" t="str">
            <v>GRAMO</v>
          </cell>
          <cell r="E219">
            <v>14872.048553600001</v>
          </cell>
          <cell r="F219">
            <v>0.81268024883060119</v>
          </cell>
          <cell r="G219">
            <v>67.090375555555553</v>
          </cell>
          <cell r="H219">
            <v>3.6661407407407405E-3</v>
          </cell>
          <cell r="I219">
            <v>440</v>
          </cell>
          <cell r="J219">
            <v>2.4043715846994537E-2</v>
          </cell>
        </row>
        <row r="220">
          <cell r="A220" t="str">
            <v>96296</v>
          </cell>
          <cell r="B220" t="str">
            <v>BATIDO P/ROSQUETE CHOCOLATE BUCCA (48100g)</v>
          </cell>
          <cell r="C220" t="str">
            <v>TANDA</v>
          </cell>
          <cell r="D220" t="str">
            <v>GRAMO</v>
          </cell>
          <cell r="E220">
            <v>39777.513660588236</v>
          </cell>
          <cell r="F220">
            <v>0.82697533597896544</v>
          </cell>
          <cell r="G220">
            <v>2.9325322222222225</v>
          </cell>
          <cell r="H220">
            <v>6.0967405867405874E-5</v>
          </cell>
          <cell r="I220">
            <v>550</v>
          </cell>
          <cell r="J220">
            <v>1.1434511434511435E-2</v>
          </cell>
        </row>
        <row r="221">
          <cell r="A221" t="str">
            <v>96299</v>
          </cell>
          <cell r="B221" t="str">
            <v>CROISSANT C/JAMON STB (UND)</v>
          </cell>
          <cell r="C221" t="str">
            <v>UND</v>
          </cell>
          <cell r="D221" t="str">
            <v>UND</v>
          </cell>
          <cell r="E221">
            <v>307.09518973819553</v>
          </cell>
          <cell r="F221">
            <v>307.09518973819553</v>
          </cell>
          <cell r="G221">
            <v>0.73358858788922221</v>
          </cell>
          <cell r="H221">
            <v>0.73358858788922221</v>
          </cell>
          <cell r="I221">
            <v>50.787974886339036</v>
          </cell>
          <cell r="J221">
            <v>50.787974886339036</v>
          </cell>
        </row>
        <row r="222">
          <cell r="A222" t="str">
            <v>902000014</v>
          </cell>
          <cell r="B222" t="str">
            <v>BATIDO P/BROWNIE SPOON (8000g)</v>
          </cell>
          <cell r="C222" t="str">
            <v>KILO</v>
          </cell>
          <cell r="D222" t="str">
            <v>GRAMO</v>
          </cell>
          <cell r="E222">
            <v>8947.9594560000005</v>
          </cell>
          <cell r="F222">
            <v>1.1184949320000002</v>
          </cell>
          <cell r="G222">
            <v>117.03071158730158</v>
          </cell>
          <cell r="H222">
            <v>1.4628838948412697E-2</v>
          </cell>
          <cell r="I222">
            <v>412.5</v>
          </cell>
          <cell r="J222">
            <v>5.1562499999999997E-2</v>
          </cell>
        </row>
        <row r="223">
          <cell r="A223" t="str">
            <v>96306</v>
          </cell>
          <cell r="B223" t="str">
            <v>BATIDO P/COCADA SPOON (21500g)</v>
          </cell>
          <cell r="C223" t="str">
            <v>TANDA</v>
          </cell>
          <cell r="D223" t="str">
            <v>GRAMO</v>
          </cell>
          <cell r="E223">
            <v>49322.221812189833</v>
          </cell>
          <cell r="F223">
            <v>2.2940568284739458</v>
          </cell>
          <cell r="G223">
            <v>0</v>
          </cell>
          <cell r="H223">
            <v>0</v>
          </cell>
          <cell r="I223">
            <v>550</v>
          </cell>
          <cell r="J223">
            <v>2.5581395348837209E-2</v>
          </cell>
        </row>
        <row r="224">
          <cell r="A224" t="str">
            <v>96311</v>
          </cell>
          <cell r="B224" t="str">
            <v>ROSQUETE CHOCOLATE RED. (700g)</v>
          </cell>
          <cell r="C224" t="str">
            <v>UND</v>
          </cell>
          <cell r="D224" t="str">
            <v>UND</v>
          </cell>
          <cell r="E224">
            <v>852.46206408625835</v>
          </cell>
          <cell r="F224">
            <v>852.46206408625835</v>
          </cell>
          <cell r="G224">
            <v>15.921994095213645</v>
          </cell>
          <cell r="H224">
            <v>15.921994095213645</v>
          </cell>
          <cell r="I224">
            <v>29.022774782704367</v>
          </cell>
          <cell r="J224">
            <v>29.022774782704367</v>
          </cell>
        </row>
        <row r="225">
          <cell r="A225" t="str">
            <v>96322</v>
          </cell>
          <cell r="B225" t="str">
            <v>BATIDO P/ROSQUETE CARAMELO (18150g)</v>
          </cell>
          <cell r="C225" t="str">
            <v>KILO</v>
          </cell>
          <cell r="D225" t="str">
            <v>GRAMO</v>
          </cell>
          <cell r="E225">
            <v>1190.2698842975205</v>
          </cell>
          <cell r="F225">
            <v>1.1902698842975206</v>
          </cell>
          <cell r="G225">
            <v>0</v>
          </cell>
          <cell r="H225">
            <v>0</v>
          </cell>
          <cell r="I225">
            <v>15.426997245179065</v>
          </cell>
          <cell r="J225">
            <v>1.5426997245179064E-2</v>
          </cell>
        </row>
        <row r="226">
          <cell r="A226" t="str">
            <v>96324</v>
          </cell>
          <cell r="B226" t="str">
            <v>ROSQUETE CARAMELO PURATOS (1060g)</v>
          </cell>
          <cell r="C226" t="str">
            <v>UND</v>
          </cell>
          <cell r="D226" t="str">
            <v>UND</v>
          </cell>
          <cell r="E226">
            <v>1440.5810135573906</v>
          </cell>
          <cell r="F226">
            <v>1440.5810135573906</v>
          </cell>
          <cell r="G226">
            <v>19.769060411482837</v>
          </cell>
          <cell r="H226">
            <v>19.769060411482837</v>
          </cell>
          <cell r="I226">
            <v>43.943276172306241</v>
          </cell>
          <cell r="J226">
            <v>43.943276172306241</v>
          </cell>
        </row>
        <row r="227">
          <cell r="A227" t="str">
            <v>96328</v>
          </cell>
          <cell r="B227" t="str">
            <v>ROSQUETE MELOCOTON RECT.PURATOS (3400g)</v>
          </cell>
          <cell r="C227" t="str">
            <v>UND</v>
          </cell>
          <cell r="D227" t="str">
            <v>UND</v>
          </cell>
          <cell r="E227">
            <v>4595.986369707296</v>
          </cell>
          <cell r="F227">
            <v>4595.986369707296</v>
          </cell>
          <cell r="G227">
            <v>29.641797018394229</v>
          </cell>
          <cell r="H227">
            <v>29.641797018394229</v>
          </cell>
          <cell r="I227">
            <v>140.25143489451781</v>
          </cell>
          <cell r="J227">
            <v>140.25143489451781</v>
          </cell>
        </row>
        <row r="228">
          <cell r="A228" t="str">
            <v>96329</v>
          </cell>
          <cell r="B228" t="str">
            <v>PRALINE (1380g)</v>
          </cell>
          <cell r="C228" t="str">
            <v>KILO</v>
          </cell>
          <cell r="D228" t="str">
            <v>GRAMO</v>
          </cell>
          <cell r="E228">
            <v>5776.4652173913037</v>
          </cell>
          <cell r="F228">
            <v>5.776465217391304</v>
          </cell>
          <cell r="G228">
            <v>7.8260869565217401</v>
          </cell>
          <cell r="H228">
            <v>7.8260869565217397E-3</v>
          </cell>
          <cell r="I228">
            <v>405.79710144927537</v>
          </cell>
          <cell r="J228">
            <v>0.40579710144927539</v>
          </cell>
        </row>
        <row r="229">
          <cell r="A229" t="str">
            <v>96331</v>
          </cell>
          <cell r="B229" t="str">
            <v>BOLLETA BLANCA P/CROCANTINI (80g)</v>
          </cell>
          <cell r="C229" t="str">
            <v>UND</v>
          </cell>
          <cell r="D229" t="str">
            <v>UND</v>
          </cell>
          <cell r="E229">
            <v>45.417622234316674</v>
          </cell>
          <cell r="F229">
            <v>45.417622234316674</v>
          </cell>
          <cell r="G229">
            <v>0.39930195657604239</v>
          </cell>
          <cell r="H229">
            <v>0.39930195657604239</v>
          </cell>
          <cell r="I229">
            <v>23.408856882257645</v>
          </cell>
          <cell r="J229">
            <v>23.408856882257645</v>
          </cell>
        </row>
        <row r="230">
          <cell r="A230" t="str">
            <v>96340</v>
          </cell>
          <cell r="B230" t="str">
            <v>CREMA MOKA C/BAILEYS (1200g)</v>
          </cell>
          <cell r="C230" t="str">
            <v>KILO</v>
          </cell>
          <cell r="D230" t="str">
            <v>GRAMO</v>
          </cell>
          <cell r="E230">
            <v>4033.7853397038107</v>
          </cell>
          <cell r="F230">
            <v>4.0337853397038108</v>
          </cell>
          <cell r="G230">
            <v>0.93512481943999726</v>
          </cell>
          <cell r="H230">
            <v>9.3512481943999726E-4</v>
          </cell>
          <cell r="I230">
            <v>249.85910983029137</v>
          </cell>
          <cell r="J230">
            <v>0.24985910983029139</v>
          </cell>
        </row>
        <row r="231">
          <cell r="A231" t="str">
            <v>96341</v>
          </cell>
          <cell r="B231" t="str">
            <v>PECANA CUBIERTA C/COCOLATE BLANCO (500g)</v>
          </cell>
          <cell r="C231" t="str">
            <v>KILO</v>
          </cell>
          <cell r="D231" t="str">
            <v>GRAMO</v>
          </cell>
          <cell r="E231">
            <v>6432.4953750000004</v>
          </cell>
          <cell r="F231">
            <v>6.4324953750000002</v>
          </cell>
          <cell r="G231">
            <v>32.96543615625</v>
          </cell>
          <cell r="H231">
            <v>3.296543615625E-2</v>
          </cell>
          <cell r="I231">
            <v>600.16666666666663</v>
          </cell>
          <cell r="J231">
            <v>0.60016666666666663</v>
          </cell>
        </row>
        <row r="232">
          <cell r="A232" t="str">
            <v>96342</v>
          </cell>
          <cell r="B232" t="str">
            <v>MEZCLA DE TRES LECHES C/BAILEYS (3600g)</v>
          </cell>
          <cell r="C232" t="str">
            <v>LITRO</v>
          </cell>
          <cell r="D232" t="str">
            <v>GRAMO</v>
          </cell>
          <cell r="E232">
            <v>6479.2919439704865</v>
          </cell>
          <cell r="F232">
            <v>6.4792919439704866</v>
          </cell>
          <cell r="G232">
            <v>2.6780055555555555</v>
          </cell>
          <cell r="H232">
            <v>2.6780055555555553E-3</v>
          </cell>
          <cell r="I232">
            <v>35.223765432098766</v>
          </cell>
          <cell r="J232">
            <v>3.5223765432098764E-2</v>
          </cell>
        </row>
        <row r="233">
          <cell r="A233" t="str">
            <v>96343</v>
          </cell>
          <cell r="B233" t="str">
            <v>GANACHE BAILEYS (700g)</v>
          </cell>
          <cell r="C233" t="str">
            <v>KILO</v>
          </cell>
          <cell r="D233" t="str">
            <v>GRAMO</v>
          </cell>
          <cell r="E233">
            <v>4033.9998857142855</v>
          </cell>
          <cell r="F233">
            <v>4.0339998857142856</v>
          </cell>
          <cell r="G233">
            <v>13.772599999999999</v>
          </cell>
          <cell r="H233">
            <v>1.3772599999999999E-2</v>
          </cell>
          <cell r="I233">
            <v>392.85714285714283</v>
          </cell>
          <cell r="J233">
            <v>0.39285714285714285</v>
          </cell>
        </row>
        <row r="234">
          <cell r="A234" t="str">
            <v>96344</v>
          </cell>
          <cell r="B234" t="str">
            <v>CREMA DULCE LECHE (24500g)</v>
          </cell>
          <cell r="C234" t="str">
            <v>TANDA</v>
          </cell>
          <cell r="D234" t="str">
            <v>GRAMO</v>
          </cell>
          <cell r="E234">
            <v>47842.976727200003</v>
          </cell>
          <cell r="F234">
            <v>1.9527745602938777</v>
          </cell>
          <cell r="G234">
            <v>0</v>
          </cell>
          <cell r="H234">
            <v>0</v>
          </cell>
          <cell r="I234">
            <v>275</v>
          </cell>
          <cell r="J234">
            <v>1.1224489795918367E-2</v>
          </cell>
        </row>
        <row r="235">
          <cell r="A235" t="str">
            <v>96349</v>
          </cell>
          <cell r="B235" t="str">
            <v>BATIDO P/ROSQUETE ZANAHORIA (10200g)</v>
          </cell>
          <cell r="C235" t="str">
            <v>KILO</v>
          </cell>
          <cell r="D235" t="str">
            <v>GRAMO</v>
          </cell>
          <cell r="E235">
            <v>19770.832487975571</v>
          </cell>
          <cell r="F235">
            <v>1.8306326377755158</v>
          </cell>
          <cell r="G235">
            <v>11.122917368936587</v>
          </cell>
          <cell r="H235">
            <v>1.0298997563830173E-3</v>
          </cell>
          <cell r="I235">
            <v>991.51782292065923</v>
          </cell>
          <cell r="J235">
            <v>9.1807205825986962E-2</v>
          </cell>
        </row>
        <row r="236">
          <cell r="A236" t="str">
            <v>96352</v>
          </cell>
          <cell r="B236" t="str">
            <v>GALLETA P/TORTA CHILENA BUCCA</v>
          </cell>
          <cell r="C236" t="str">
            <v>UND</v>
          </cell>
          <cell r="D236" t="str">
            <v>UND</v>
          </cell>
          <cell r="E236">
            <v>59.974259271360751</v>
          </cell>
          <cell r="F236">
            <v>59.974259271360751</v>
          </cell>
          <cell r="G236">
            <v>0.46606528812537668</v>
          </cell>
          <cell r="H236">
            <v>0.46606528812537668</v>
          </cell>
          <cell r="I236">
            <v>15.320253164556961</v>
          </cell>
          <cell r="J236">
            <v>15.320253164556961</v>
          </cell>
        </row>
        <row r="237">
          <cell r="A237" t="str">
            <v>90100143</v>
          </cell>
          <cell r="B237" t="str">
            <v>ROSQUETE VAINILLA PURATOS  (1000g)</v>
          </cell>
          <cell r="C237" t="str">
            <v>UND</v>
          </cell>
          <cell r="D237" t="str">
            <v>UND</v>
          </cell>
          <cell r="E237">
            <v>1023.982802590923</v>
          </cell>
          <cell r="F237">
            <v>1023.982802590923</v>
          </cell>
          <cell r="G237">
            <v>24.187790337380832</v>
          </cell>
          <cell r="H237">
            <v>24.187790337380832</v>
          </cell>
          <cell r="I237">
            <v>34.421435367327526</v>
          </cell>
          <cell r="J237">
            <v>34.421435367327526</v>
          </cell>
        </row>
        <row r="238">
          <cell r="A238" t="str">
            <v>96357</v>
          </cell>
          <cell r="B238" t="str">
            <v>ROSQUETE CHOCOLATE SPOON  (280g)</v>
          </cell>
          <cell r="C238" t="str">
            <v>UND</v>
          </cell>
          <cell r="D238" t="str">
            <v>UND</v>
          </cell>
          <cell r="E238">
            <v>370.0906676352601</v>
          </cell>
          <cell r="F238">
            <v>370.0906676352601</v>
          </cell>
          <cell r="G238">
            <v>4.146585476818637</v>
          </cell>
          <cell r="H238">
            <v>4.146585476818637</v>
          </cell>
          <cell r="I238">
            <v>23.439692448230694</v>
          </cell>
          <cell r="J238">
            <v>23.439692448230694</v>
          </cell>
        </row>
        <row r="239">
          <cell r="A239" t="str">
            <v>96360</v>
          </cell>
          <cell r="B239" t="str">
            <v>COCCION PALMITO P/ENSALADA (1900g)</v>
          </cell>
          <cell r="C239" t="str">
            <v>KILO</v>
          </cell>
          <cell r="D239" t="str">
            <v>GRAMO</v>
          </cell>
          <cell r="E239">
            <v>2347.4006557894736</v>
          </cell>
          <cell r="F239">
            <v>2.3474006557894738</v>
          </cell>
          <cell r="G239">
            <v>44.225973684210523</v>
          </cell>
          <cell r="H239">
            <v>4.4225973684210523E-2</v>
          </cell>
          <cell r="I239">
            <v>86.842105263157904</v>
          </cell>
          <cell r="J239">
            <v>8.6842105263157901E-2</v>
          </cell>
        </row>
        <row r="240">
          <cell r="A240" t="str">
            <v>96361</v>
          </cell>
          <cell r="B240" t="str">
            <v>BATIDO YOGURT CAKE (10500g)</v>
          </cell>
          <cell r="C240" t="str">
            <v>KILO</v>
          </cell>
          <cell r="D240" t="str">
            <v>GRAMO</v>
          </cell>
          <cell r="E240">
            <v>1356.717147051859</v>
          </cell>
          <cell r="F240">
            <v>1.3567171470518591</v>
          </cell>
          <cell r="G240">
            <v>3.1315248243744573</v>
          </cell>
          <cell r="H240">
            <v>3.1315248243744573E-3</v>
          </cell>
          <cell r="I240">
            <v>47.738574473123371</v>
          </cell>
          <cell r="J240">
            <v>4.7738574473123373E-2</v>
          </cell>
        </row>
        <row r="241">
          <cell r="A241" t="str">
            <v>96362</v>
          </cell>
          <cell r="B241" t="str">
            <v>ADEREZO CULANTRO RANCH (500g)</v>
          </cell>
          <cell r="C241" t="str">
            <v>KILO</v>
          </cell>
          <cell r="D241" t="str">
            <v>GRAMO</v>
          </cell>
          <cell r="E241">
            <v>1313.3792668857036</v>
          </cell>
          <cell r="F241">
            <v>1.3133792668857036</v>
          </cell>
          <cell r="G241">
            <v>64.31460317543943</v>
          </cell>
          <cell r="H241">
            <v>6.4314603175439425E-2</v>
          </cell>
          <cell r="I241">
            <v>604.54374873079269</v>
          </cell>
          <cell r="J241">
            <v>0.60454374873079264</v>
          </cell>
        </row>
        <row r="242">
          <cell r="A242" t="str">
            <v>96367</v>
          </cell>
          <cell r="B242" t="str">
            <v>ADEREZO PESTO ALBAHACA (300g)</v>
          </cell>
          <cell r="C242" t="str">
            <v>KILO</v>
          </cell>
          <cell r="D242" t="str">
            <v>GRAMO</v>
          </cell>
          <cell r="E242">
            <v>3256.399145833333</v>
          </cell>
          <cell r="F242">
            <v>3.256399145833333</v>
          </cell>
          <cell r="G242">
            <v>54.084525925925938</v>
          </cell>
          <cell r="H242">
            <v>5.4084525925925934E-2</v>
          </cell>
          <cell r="I242">
            <v>566.93693693693706</v>
          </cell>
          <cell r="J242">
            <v>0.56693693693693703</v>
          </cell>
        </row>
        <row r="243">
          <cell r="A243" t="str">
            <v>96368</v>
          </cell>
          <cell r="B243" t="str">
            <v>COCCION CARNE PHILLY (500g)</v>
          </cell>
          <cell r="C243" t="str">
            <v>KILO</v>
          </cell>
          <cell r="D243" t="str">
            <v>GRAMO</v>
          </cell>
          <cell r="E243">
            <v>11091.887170000002</v>
          </cell>
          <cell r="F243">
            <v>11.091887170000001</v>
          </cell>
          <cell r="G243">
            <v>49.338826999999995</v>
          </cell>
          <cell r="H243">
            <v>4.9338826999999995E-2</v>
          </cell>
          <cell r="I243">
            <v>560</v>
          </cell>
          <cell r="J243">
            <v>0.56000000000000005</v>
          </cell>
        </row>
        <row r="244">
          <cell r="A244" t="str">
            <v>96369</v>
          </cell>
          <cell r="B244" t="str">
            <v>COCCION CEBOLLA PHILLY (200g)</v>
          </cell>
          <cell r="C244" t="str">
            <v>KILO</v>
          </cell>
          <cell r="D244" t="str">
            <v>GRAMO</v>
          </cell>
          <cell r="E244">
            <v>7895.8827233333341</v>
          </cell>
          <cell r="F244">
            <v>7.895882723333334</v>
          </cell>
          <cell r="G244">
            <v>123.34706749999999</v>
          </cell>
          <cell r="H244">
            <v>0.12334706749999999</v>
          </cell>
          <cell r="I244">
            <v>1400</v>
          </cell>
          <cell r="J244">
            <v>1.4</v>
          </cell>
        </row>
        <row r="245">
          <cell r="A245" t="str">
            <v>96370</v>
          </cell>
          <cell r="B245" t="str">
            <v>MEZCLA CLARAS P/TORTA (1700g)</v>
          </cell>
          <cell r="C245" t="str">
            <v>KILO</v>
          </cell>
          <cell r="D245" t="str">
            <v>GRAMO</v>
          </cell>
          <cell r="E245">
            <v>2967.8659223529412</v>
          </cell>
          <cell r="F245">
            <v>2.9678659223529413</v>
          </cell>
          <cell r="G245">
            <v>0</v>
          </cell>
          <cell r="H245">
            <v>0</v>
          </cell>
          <cell r="I245">
            <v>98.823529411764696</v>
          </cell>
          <cell r="J245">
            <v>9.8823529411764699E-2</v>
          </cell>
        </row>
        <row r="246">
          <cell r="A246" t="str">
            <v>96371</v>
          </cell>
          <cell r="B246" t="str">
            <v>MEZCLA DE HUEVOS ENTEROS P/TORTA (750g)</v>
          </cell>
          <cell r="C246" t="str">
            <v>KILO</v>
          </cell>
          <cell r="D246" t="str">
            <v>GRAMO</v>
          </cell>
          <cell r="E246">
            <v>1409.0171506666668</v>
          </cell>
          <cell r="F246">
            <v>1.4090171506666669</v>
          </cell>
          <cell r="G246">
            <v>0</v>
          </cell>
          <cell r="H246">
            <v>0</v>
          </cell>
          <cell r="I246">
            <v>224</v>
          </cell>
          <cell r="J246">
            <v>0.224</v>
          </cell>
        </row>
        <row r="247">
          <cell r="A247" t="str">
            <v>96372</v>
          </cell>
          <cell r="B247" t="str">
            <v>QUESO CHEDDAR BLANCO LAMINADO Y EMPACADO (1000g)</v>
          </cell>
          <cell r="C247" t="str">
            <v>KILO</v>
          </cell>
          <cell r="D247" t="str">
            <v>GRAMO</v>
          </cell>
          <cell r="E247">
            <v>9278.7842700000001</v>
          </cell>
          <cell r="F247">
            <v>9.2787842700000009</v>
          </cell>
          <cell r="G247">
            <v>52.097924444444445</v>
          </cell>
          <cell r="H247">
            <v>5.2097924444444443E-2</v>
          </cell>
          <cell r="I247">
            <v>224</v>
          </cell>
          <cell r="J247">
            <v>0.224</v>
          </cell>
        </row>
        <row r="248">
          <cell r="A248" t="str">
            <v>96373</v>
          </cell>
          <cell r="B248" t="str">
            <v>QUESO CHEDDAR LAMINADO Y EMPACADO (1000g)</v>
          </cell>
          <cell r="C248" t="str">
            <v>KILO</v>
          </cell>
          <cell r="D248" t="str">
            <v>GRAMO</v>
          </cell>
          <cell r="E248">
            <v>9065.4797699999999</v>
          </cell>
          <cell r="F248">
            <v>9.0654797699999996</v>
          </cell>
          <cell r="G248">
            <v>52.097924444444445</v>
          </cell>
          <cell r="H248">
            <v>5.2097924444444443E-2</v>
          </cell>
          <cell r="I248">
            <v>224</v>
          </cell>
          <cell r="J248">
            <v>0.224</v>
          </cell>
        </row>
        <row r="249">
          <cell r="A249" t="str">
            <v>96374</v>
          </cell>
          <cell r="B249" t="str">
            <v>QUESO GOUDA BLANCO LAMINADO Y EMPACADO (1000g)</v>
          </cell>
          <cell r="C249" t="str">
            <v>KILO</v>
          </cell>
          <cell r="D249" t="str">
            <v>GRAMO</v>
          </cell>
          <cell r="E249">
            <v>6766.1310899999999</v>
          </cell>
          <cell r="F249">
            <v>6.76613109</v>
          </cell>
          <cell r="G249">
            <v>52.103924444444445</v>
          </cell>
          <cell r="H249">
            <v>5.2103924444444442E-2</v>
          </cell>
          <cell r="I249">
            <v>224</v>
          </cell>
          <cell r="J249">
            <v>0.224</v>
          </cell>
        </row>
        <row r="250">
          <cell r="A250" t="str">
            <v>96375</v>
          </cell>
          <cell r="B250" t="str">
            <v>QUESO MONTERREY JACK LAMINADO Y EMPACADO (1000g)</v>
          </cell>
          <cell r="C250" t="str">
            <v>KILO</v>
          </cell>
          <cell r="D250" t="str">
            <v>GRAMO</v>
          </cell>
          <cell r="E250">
            <v>6933.1377600000005</v>
          </cell>
          <cell r="F250">
            <v>6.9331377600000001</v>
          </cell>
          <cell r="G250">
            <v>52.223357777777778</v>
          </cell>
          <cell r="H250">
            <v>5.2223357777777778E-2</v>
          </cell>
          <cell r="I250">
            <v>224</v>
          </cell>
          <cell r="J250">
            <v>0.224</v>
          </cell>
        </row>
        <row r="251">
          <cell r="A251" t="str">
            <v>96376</v>
          </cell>
          <cell r="B251" t="str">
            <v>SALCHICHA AMERICANA HORNEADA (300g)</v>
          </cell>
          <cell r="C251" t="str">
            <v>UND</v>
          </cell>
          <cell r="D251" t="str">
            <v>UND</v>
          </cell>
          <cell r="E251">
            <v>263.25</v>
          </cell>
          <cell r="F251">
            <v>263.25</v>
          </cell>
          <cell r="G251">
            <v>0</v>
          </cell>
          <cell r="H251">
            <v>0</v>
          </cell>
          <cell r="I251">
            <v>16.8</v>
          </cell>
          <cell r="J251">
            <v>16.8</v>
          </cell>
        </row>
        <row r="252">
          <cell r="A252" t="str">
            <v>96376</v>
          </cell>
          <cell r="B252" t="str">
            <v>SALCHICHA AMERICANA HORNEADA (300g)</v>
          </cell>
          <cell r="C252" t="str">
            <v>KILO</v>
          </cell>
          <cell r="D252" t="str">
            <v>GRAMO</v>
          </cell>
          <cell r="E252">
            <v>263.25</v>
          </cell>
          <cell r="F252">
            <v>0.26324999999999998</v>
          </cell>
          <cell r="G252">
            <v>0</v>
          </cell>
          <cell r="H252">
            <v>0</v>
          </cell>
          <cell r="I252">
            <v>16.8</v>
          </cell>
          <cell r="J252">
            <v>1.6800000000000002E-2</v>
          </cell>
        </row>
        <row r="253">
          <cell r="A253" t="str">
            <v>96377</v>
          </cell>
          <cell r="B253" t="str">
            <v>SALSA CEBOLLA PHILLY (500g)</v>
          </cell>
          <cell r="C253" t="str">
            <v>KILO</v>
          </cell>
          <cell r="D253" t="str">
            <v>GRAMO</v>
          </cell>
          <cell r="E253">
            <v>2593.4490490000003</v>
          </cell>
          <cell r="F253">
            <v>2.5934490490000002</v>
          </cell>
          <cell r="G253">
            <v>0</v>
          </cell>
          <cell r="H253">
            <v>0</v>
          </cell>
          <cell r="I253">
            <v>560</v>
          </cell>
          <cell r="J253">
            <v>0.56000000000000005</v>
          </cell>
        </row>
        <row r="254">
          <cell r="A254" t="str">
            <v>96378</v>
          </cell>
          <cell r="B254" t="str">
            <v>TOCINETA TOSTADA (150g)</v>
          </cell>
          <cell r="C254" t="str">
            <v>KILO</v>
          </cell>
          <cell r="D254" t="str">
            <v>GRAMO</v>
          </cell>
          <cell r="E254">
            <v>12643.866666666667</v>
          </cell>
          <cell r="F254">
            <v>12.643866666666666</v>
          </cell>
          <cell r="G254">
            <v>0</v>
          </cell>
          <cell r="H254">
            <v>0</v>
          </cell>
          <cell r="I254">
            <v>1120</v>
          </cell>
          <cell r="J254">
            <v>1.1200000000000001</v>
          </cell>
        </row>
        <row r="255">
          <cell r="A255" t="str">
            <v>96379</v>
          </cell>
          <cell r="B255" t="str">
            <v>TORTA DE CLARAS (110g)</v>
          </cell>
          <cell r="C255" t="str">
            <v>UND</v>
          </cell>
          <cell r="D255" t="str">
            <v>UND</v>
          </cell>
          <cell r="E255">
            <v>508.87973196778529</v>
          </cell>
          <cell r="F255">
            <v>508.87973196778529</v>
          </cell>
          <cell r="G255">
            <v>0</v>
          </cell>
          <cell r="H255">
            <v>0</v>
          </cell>
          <cell r="I255">
            <v>33.881879194630869</v>
          </cell>
          <cell r="J255">
            <v>33.881879194630869</v>
          </cell>
        </row>
        <row r="256">
          <cell r="A256" t="str">
            <v>96380</v>
          </cell>
          <cell r="B256" t="str">
            <v>TORTA DE HUEVO (75g)</v>
          </cell>
          <cell r="C256" t="str">
            <v>UND</v>
          </cell>
          <cell r="D256" t="str">
            <v>UND</v>
          </cell>
          <cell r="E256">
            <v>107.84754888389264</v>
          </cell>
          <cell r="F256">
            <v>107.84754888389264</v>
          </cell>
          <cell r="G256">
            <v>2.838254697986577E-2</v>
          </cell>
          <cell r="H256">
            <v>2.838254697986577E-2</v>
          </cell>
          <cell r="I256">
            <v>39.340939597315433</v>
          </cell>
          <cell r="J256">
            <v>39.340939597315433</v>
          </cell>
        </row>
        <row r="257">
          <cell r="A257" t="str">
            <v>96381</v>
          </cell>
          <cell r="B257" t="str">
            <v>TORTA HUEVOS Y VEGETALES (75g)</v>
          </cell>
          <cell r="C257" t="str">
            <v>UND</v>
          </cell>
          <cell r="D257" t="str">
            <v>UND</v>
          </cell>
          <cell r="E257">
            <v>113.89141737722596</v>
          </cell>
          <cell r="F257">
            <v>113.89141737722596</v>
          </cell>
          <cell r="G257">
            <v>2.838254697986577E-2</v>
          </cell>
          <cell r="H257">
            <v>2.838254697986577E-2</v>
          </cell>
          <cell r="I257">
            <v>37.100939597315438</v>
          </cell>
          <cell r="J257">
            <v>37.100939597315438</v>
          </cell>
        </row>
        <row r="258">
          <cell r="A258" t="str">
            <v>96388</v>
          </cell>
          <cell r="B258" t="str">
            <v>BASE DE GALLETA DE CHOCOLATE (1000g)</v>
          </cell>
          <cell r="C258" t="str">
            <v>KILO</v>
          </cell>
          <cell r="D258" t="str">
            <v>GRAMO</v>
          </cell>
          <cell r="E258">
            <v>1553.7802000000001</v>
          </cell>
          <cell r="F258">
            <v>1.5537802000000001</v>
          </cell>
          <cell r="G258">
            <v>0</v>
          </cell>
          <cell r="H258">
            <v>0</v>
          </cell>
          <cell r="I258">
            <v>220</v>
          </cell>
          <cell r="J258">
            <v>0.22</v>
          </cell>
        </row>
        <row r="259">
          <cell r="A259" t="str">
            <v>96392</v>
          </cell>
          <cell r="B259" t="str">
            <v>BASTONES QUESO TURRIALBA P/TIQUEÑOS</v>
          </cell>
          <cell r="C259" t="str">
            <v>TANDA</v>
          </cell>
          <cell r="D259" t="str">
            <v>GRAMO</v>
          </cell>
          <cell r="E259">
            <v>27372.389999999996</v>
          </cell>
          <cell r="F259">
            <v>3.1828360465116274</v>
          </cell>
          <cell r="G259">
            <v>10.140034999999999</v>
          </cell>
          <cell r="H259">
            <v>1.1790738372093022E-3</v>
          </cell>
          <cell r="I259">
            <v>770</v>
          </cell>
          <cell r="J259">
            <v>8.9534883720930228E-2</v>
          </cell>
        </row>
        <row r="260">
          <cell r="A260" t="str">
            <v>96393</v>
          </cell>
          <cell r="B260" t="str">
            <v>BATIDO P/PAN BLANCO (24650g)</v>
          </cell>
          <cell r="C260" t="str">
            <v>KILO</v>
          </cell>
          <cell r="D260" t="str">
            <v>GRAMO</v>
          </cell>
          <cell r="E260">
            <v>496.04960787018251</v>
          </cell>
          <cell r="F260">
            <v>0.49604960787018249</v>
          </cell>
          <cell r="G260">
            <v>1.8606731317814482</v>
          </cell>
          <cell r="H260">
            <v>1.8606731317814481E-3</v>
          </cell>
          <cell r="I260">
            <v>20.081135902636916</v>
          </cell>
          <cell r="J260">
            <v>2.0081135902636917E-2</v>
          </cell>
        </row>
        <row r="261">
          <cell r="A261" t="str">
            <v>96395</v>
          </cell>
          <cell r="B261" t="str">
            <v>PRALINE C/CHOCOLATE BLANCO (2600g)</v>
          </cell>
          <cell r="C261" t="str">
            <v>KILO</v>
          </cell>
          <cell r="D261" t="str">
            <v>GRAMO</v>
          </cell>
          <cell r="E261">
            <v>4516.5968076923073</v>
          </cell>
          <cell r="F261">
            <v>4.5165968076923075</v>
          </cell>
          <cell r="G261">
            <v>8.6926923076923082</v>
          </cell>
          <cell r="H261">
            <v>8.6926923076923075E-3</v>
          </cell>
          <cell r="I261">
            <v>430.76923076923077</v>
          </cell>
          <cell r="J261">
            <v>0.43076923076923079</v>
          </cell>
        </row>
        <row r="262">
          <cell r="A262" t="str">
            <v>96396</v>
          </cell>
          <cell r="B262" t="str">
            <v>CREMA CHANTILLY BEIDGE (10400g)</v>
          </cell>
          <cell r="C262" t="str">
            <v>KILO</v>
          </cell>
          <cell r="D262" t="str">
            <v>GRAMO</v>
          </cell>
          <cell r="E262">
            <v>1565.0805096153845</v>
          </cell>
          <cell r="F262">
            <v>1.5650805096153844</v>
          </cell>
          <cell r="G262">
            <v>9.6249999999999988E-2</v>
          </cell>
          <cell r="H262">
            <v>9.6249999999999995E-5</v>
          </cell>
          <cell r="I262">
            <v>26.923076923076923</v>
          </cell>
          <cell r="J262">
            <v>2.6923076923076925E-2</v>
          </cell>
        </row>
        <row r="263">
          <cell r="A263" t="str">
            <v>96398</v>
          </cell>
          <cell r="B263" t="str">
            <v>ALMIBAR CON LICOR DE CAFE (3000g)</v>
          </cell>
          <cell r="C263" t="str">
            <v>TANDA</v>
          </cell>
          <cell r="D263" t="str">
            <v>MIlilitro</v>
          </cell>
          <cell r="E263">
            <v>9455.557774311821</v>
          </cell>
          <cell r="F263">
            <v>3.1518525914372737</v>
          </cell>
          <cell r="G263">
            <v>19.751088578274761</v>
          </cell>
          <cell r="H263">
            <v>6.5836961927582538E-3</v>
          </cell>
          <cell r="I263">
            <v>103.76198083067092</v>
          </cell>
          <cell r="J263">
            <v>3.4587326943556977E-2</v>
          </cell>
        </row>
        <row r="264">
          <cell r="A264" t="str">
            <v>96399</v>
          </cell>
          <cell r="B264" t="str">
            <v>BATIDO P/TORTA KALUA (7684g)</v>
          </cell>
          <cell r="C264" t="str">
            <v>KILO</v>
          </cell>
          <cell r="D264" t="str">
            <v>GRAMO</v>
          </cell>
          <cell r="E264">
            <v>2598.1708149431574</v>
          </cell>
          <cell r="F264">
            <v>2.5981708149431575</v>
          </cell>
          <cell r="G264">
            <v>7.0082209161000613</v>
          </cell>
          <cell r="H264">
            <v>7.0082209161000612E-3</v>
          </cell>
          <cell r="I264">
            <v>111.33659065921081</v>
          </cell>
          <cell r="J264">
            <v>0.11133659065921081</v>
          </cell>
        </row>
        <row r="265">
          <cell r="A265" t="str">
            <v>96409</v>
          </cell>
          <cell r="B265" t="str">
            <v>BASE PREMEZCLA CHOCOLATE PILLSBURY (6012g)</v>
          </cell>
          <cell r="C265" t="str">
            <v>TANDA</v>
          </cell>
          <cell r="D265" t="str">
            <v>GRAMO</v>
          </cell>
          <cell r="E265">
            <v>10026.521425312169</v>
          </cell>
          <cell r="F265">
            <v>1.667751401415863</v>
          </cell>
          <cell r="G265">
            <v>32.369083809523815</v>
          </cell>
          <cell r="H265">
            <v>5.3840791433007011E-3</v>
          </cell>
          <cell r="I265">
            <v>110</v>
          </cell>
          <cell r="J265">
            <v>1.8296739853626082E-2</v>
          </cell>
        </row>
        <row r="266">
          <cell r="A266" t="str">
            <v>96451</v>
          </cell>
          <cell r="B266" t="str">
            <v>MEZCLA TRES LECHES C/AGUA (2000g)</v>
          </cell>
          <cell r="C266" t="str">
            <v>Kilo</v>
          </cell>
          <cell r="D266" t="str">
            <v>Gramo</v>
          </cell>
          <cell r="E266">
            <v>866.54019873768948</v>
          </cell>
          <cell r="F266">
            <v>0.8665401987376895</v>
          </cell>
          <cell r="G266">
            <v>0</v>
          </cell>
          <cell r="H266">
            <v>0</v>
          </cell>
          <cell r="I266">
            <v>67.934680321062828</v>
          </cell>
          <cell r="J266">
            <v>6.7934680321062826E-2</v>
          </cell>
        </row>
        <row r="267">
          <cell r="A267" t="str">
            <v>96464</v>
          </cell>
          <cell r="B267" t="str">
            <v>EMPAQUE SALSA BLANCA SPOON  (5000g)</v>
          </cell>
          <cell r="C267" t="str">
            <v>KILO</v>
          </cell>
          <cell r="D267" t="str">
            <v>GRAMO</v>
          </cell>
          <cell r="E267">
            <v>1571.1600631712397</v>
          </cell>
          <cell r="F267">
            <v>1.5711600631712397</v>
          </cell>
          <cell r="G267">
            <v>7.751116539682541</v>
          </cell>
          <cell r="H267">
            <v>7.7511165396825406E-3</v>
          </cell>
          <cell r="I267">
            <v>37.179910350448246</v>
          </cell>
          <cell r="J267">
            <v>3.7179910350448243E-2</v>
          </cell>
        </row>
        <row r="268">
          <cell r="A268" t="str">
            <v>96465</v>
          </cell>
          <cell r="B268" t="str">
            <v>POLLO RECORTE EMPACADO (5000g)</v>
          </cell>
          <cell r="C268" t="str">
            <v>TANDA</v>
          </cell>
          <cell r="D268" t="str">
            <v>GRAMO</v>
          </cell>
          <cell r="E268">
            <v>18641.096729957804</v>
          </cell>
          <cell r="F268">
            <v>3.7282193459915609</v>
          </cell>
          <cell r="G268">
            <v>38.052083809523815</v>
          </cell>
          <cell r="H268">
            <v>7.6104167619047633E-3</v>
          </cell>
          <cell r="I268">
            <v>398.05379746835445</v>
          </cell>
          <cell r="J268">
            <v>7.9610759493670885E-2</v>
          </cell>
        </row>
        <row r="269">
          <cell r="A269" t="str">
            <v>96466</v>
          </cell>
          <cell r="B269" t="str">
            <v>POLLO DESMENUZADO MARMITA EMPACADO (5000g)</v>
          </cell>
          <cell r="C269" t="str">
            <v>BOLSA</v>
          </cell>
          <cell r="D269" t="str">
            <v>GRAMO</v>
          </cell>
          <cell r="E269">
            <v>21923.708020833335</v>
          </cell>
          <cell r="F269">
            <v>4.3847416041666669</v>
          </cell>
          <cell r="G269">
            <v>38.810127142857141</v>
          </cell>
          <cell r="H269">
            <v>7.762025428571428E-3</v>
          </cell>
          <cell r="I269">
            <v>828.4375</v>
          </cell>
          <cell r="J269">
            <v>0.16568749999999999</v>
          </cell>
        </row>
        <row r="270">
          <cell r="A270" t="str">
            <v>96467</v>
          </cell>
          <cell r="B270" t="str">
            <v>ARROZ PRECOCIDO P/GALLO PINTO EMPACADO (5000g)</v>
          </cell>
          <cell r="C270" t="str">
            <v>TANDA</v>
          </cell>
          <cell r="D270" t="str">
            <v>GRAMO</v>
          </cell>
          <cell r="E270">
            <v>3631.635473608098</v>
          </cell>
          <cell r="F270">
            <v>0.7263270947216196</v>
          </cell>
          <cell r="G270">
            <v>80.961763325069739</v>
          </cell>
          <cell r="H270">
            <v>1.6192352665013947E-2</v>
          </cell>
          <cell r="I270">
            <v>399.93763557483732</v>
          </cell>
          <cell r="J270">
            <v>7.9987527114967469E-2</v>
          </cell>
        </row>
        <row r="271">
          <cell r="A271" t="str">
            <v>96468</v>
          </cell>
          <cell r="B271" t="str">
            <v>FRIJOLES P/GALLO PINTO EMPACADOS (4000g)</v>
          </cell>
          <cell r="C271" t="str">
            <v>TANDA</v>
          </cell>
          <cell r="D271" t="str">
            <v>GRAMO</v>
          </cell>
          <cell r="E271">
            <v>2763.0171543895058</v>
          </cell>
          <cell r="F271">
            <v>0.69075428859737642</v>
          </cell>
          <cell r="G271">
            <v>31.588019937212692</v>
          </cell>
          <cell r="H271">
            <v>7.8970049843031728E-3</v>
          </cell>
          <cell r="I271">
            <v>195.51715438950555</v>
          </cell>
          <cell r="J271">
            <v>4.8879288597376384E-2</v>
          </cell>
        </row>
        <row r="272">
          <cell r="A272" t="str">
            <v>96475</v>
          </cell>
          <cell r="B272" t="str">
            <v>COCCION CREMA TOMATE (18500g)</v>
          </cell>
          <cell r="C272" t="str">
            <v>KILO</v>
          </cell>
          <cell r="D272" t="str">
            <v>GRAMO</v>
          </cell>
          <cell r="E272">
            <v>1122.8780081600833</v>
          </cell>
          <cell r="F272">
            <v>1.1228780081600833</v>
          </cell>
          <cell r="G272">
            <v>0</v>
          </cell>
          <cell r="H272">
            <v>0</v>
          </cell>
          <cell r="I272">
            <v>29.198841698841701</v>
          </cell>
          <cell r="J272">
            <v>2.9198841698841699E-2</v>
          </cell>
        </row>
        <row r="273">
          <cell r="A273" t="str">
            <v>96476</v>
          </cell>
          <cell r="B273" t="str">
            <v>BASE PREMEZCLA P/EMPANADA STB (9456g)</v>
          </cell>
          <cell r="C273" t="str">
            <v>TANDA</v>
          </cell>
          <cell r="D273" t="str">
            <v>GRAMO</v>
          </cell>
          <cell r="E273">
            <v>3544.9617000000003</v>
          </cell>
          <cell r="F273">
            <v>0.37489019670050766</v>
          </cell>
          <cell r="G273">
            <v>35.065582698412705</v>
          </cell>
          <cell r="H273">
            <v>3.7082892024548121E-3</v>
          </cell>
          <cell r="I273">
            <v>168</v>
          </cell>
          <cell r="J273">
            <v>1.7766497461928935E-2</v>
          </cell>
        </row>
        <row r="274">
          <cell r="A274" t="str">
            <v>96477</v>
          </cell>
          <cell r="B274" t="str">
            <v>PASTA P/EMPANADA STB (16000g)</v>
          </cell>
          <cell r="C274" t="str">
            <v>KILO</v>
          </cell>
          <cell r="D274" t="str">
            <v>GRAMO</v>
          </cell>
          <cell r="E274">
            <v>796.91226375000008</v>
          </cell>
          <cell r="F274">
            <v>0.79691226375000013</v>
          </cell>
          <cell r="G274">
            <v>2.191598918650794</v>
          </cell>
          <cell r="H274">
            <v>2.1915989186507942E-3</v>
          </cell>
          <cell r="I274">
            <v>44.875</v>
          </cell>
          <cell r="J274">
            <v>4.4874999999999998E-2</v>
          </cell>
        </row>
        <row r="275">
          <cell r="A275" t="str">
            <v>96478</v>
          </cell>
          <cell r="B275" t="str">
            <v>RECTANGULOS DE PASTA P/EMPANADA STB (UND)</v>
          </cell>
          <cell r="C275" t="str">
            <v>UND</v>
          </cell>
          <cell r="D275" t="str">
            <v>UND</v>
          </cell>
          <cell r="E275">
            <v>52.184340622010872</v>
          </cell>
          <cell r="F275">
            <v>52.184340622010872</v>
          </cell>
          <cell r="G275">
            <v>0.14245392971230164</v>
          </cell>
          <cell r="H275">
            <v>0.14245392971230164</v>
          </cell>
          <cell r="I275">
            <v>6.50383152173913</v>
          </cell>
          <cell r="J275">
            <v>6.50383152173913</v>
          </cell>
        </row>
        <row r="276">
          <cell r="A276" t="str">
            <v>96479</v>
          </cell>
          <cell r="B276" t="str">
            <v>RUEDA P/EMPANADA STB (UND)</v>
          </cell>
          <cell r="C276" t="str">
            <v>UND</v>
          </cell>
          <cell r="D276" t="str">
            <v>UND</v>
          </cell>
          <cell r="E276">
            <v>48.379197015000003</v>
          </cell>
          <cell r="F276">
            <v>48.379197015000003</v>
          </cell>
          <cell r="G276">
            <v>0.13066080357142856</v>
          </cell>
          <cell r="H276">
            <v>0.13066080357142856</v>
          </cell>
          <cell r="I276">
            <v>6.0525000000000002</v>
          </cell>
          <cell r="J276">
            <v>6.0525000000000002</v>
          </cell>
        </row>
        <row r="277">
          <cell r="A277" t="str">
            <v>96480</v>
          </cell>
          <cell r="B277" t="str">
            <v>RELLENO POLLO Y HONGOS STB EMPACADO (4000g)</v>
          </cell>
          <cell r="C277" t="str">
            <v>KILO</v>
          </cell>
          <cell r="D277" t="str">
            <v>GRAMO</v>
          </cell>
          <cell r="E277">
            <v>3397.7394979447758</v>
          </cell>
          <cell r="F277">
            <v>3.3977394979447757</v>
          </cell>
          <cell r="G277">
            <v>6.8891455555555563</v>
          </cell>
          <cell r="H277">
            <v>6.8891455555555566E-3</v>
          </cell>
          <cell r="I277">
            <v>241.83476259980947</v>
          </cell>
          <cell r="J277">
            <v>0.24183476259980946</v>
          </cell>
        </row>
        <row r="278">
          <cell r="A278" t="str">
            <v>96481</v>
          </cell>
          <cell r="B278" t="str">
            <v>RELLENO CAPRESSE STB EMPACADO (4000g)</v>
          </cell>
          <cell r="C278" t="str">
            <v>KILO</v>
          </cell>
          <cell r="D278" t="str">
            <v>GRAMO</v>
          </cell>
          <cell r="E278">
            <v>2734.9109968887979</v>
          </cell>
          <cell r="F278">
            <v>2.7349109968887979</v>
          </cell>
          <cell r="G278">
            <v>0.63700000000000001</v>
          </cell>
          <cell r="H278">
            <v>6.3699999999999998E-4</v>
          </cell>
          <cell r="I278">
            <v>165.82375204924509</v>
          </cell>
          <cell r="J278">
            <v>0.1658237520492451</v>
          </cell>
        </row>
        <row r="279">
          <cell r="A279" t="str">
            <v>96482</v>
          </cell>
          <cell r="B279" t="str">
            <v>RELLENO JAMON Y QUESO STB (4000g)</v>
          </cell>
          <cell r="C279" t="str">
            <v>KILO</v>
          </cell>
          <cell r="D279" t="str">
            <v>GRAMO</v>
          </cell>
          <cell r="E279">
            <v>2451.1142236052137</v>
          </cell>
          <cell r="F279">
            <v>2.4511142236052139</v>
          </cell>
          <cell r="G279">
            <v>6.7954622222222225</v>
          </cell>
          <cell r="H279">
            <v>6.7954622222222228E-3</v>
          </cell>
          <cell r="I279">
            <v>474.39387384356604</v>
          </cell>
          <cell r="J279">
            <v>0.47439387384356602</v>
          </cell>
        </row>
        <row r="280">
          <cell r="A280" t="str">
            <v>96483</v>
          </cell>
          <cell r="B280" t="str">
            <v>EMPANADA CAPRESSE STB (UND)</v>
          </cell>
          <cell r="C280" t="str">
            <v>UND</v>
          </cell>
          <cell r="D280" t="str">
            <v>UND</v>
          </cell>
          <cell r="E280">
            <v>189.12989046645077</v>
          </cell>
          <cell r="F280">
            <v>189.12989046645077</v>
          </cell>
          <cell r="G280">
            <v>9.459746492212302</v>
          </cell>
          <cell r="H280">
            <v>9.459746492212302</v>
          </cell>
          <cell r="I280">
            <v>35.420019124201389</v>
          </cell>
          <cell r="J280">
            <v>35.420019124201389</v>
          </cell>
        </row>
        <row r="281">
          <cell r="A281" t="str">
            <v>96484</v>
          </cell>
          <cell r="B281" t="str">
            <v>EMPANADA JAMON Y QUESO (UND)</v>
          </cell>
          <cell r="C281" t="str">
            <v>UND</v>
          </cell>
          <cell r="D281" t="str">
            <v>UND</v>
          </cell>
          <cell r="E281">
            <v>174.96650794651072</v>
          </cell>
          <cell r="F281">
            <v>174.96650794651072</v>
          </cell>
          <cell r="G281">
            <v>8.8327253432539674</v>
          </cell>
          <cell r="H281">
            <v>8.8327253432539674</v>
          </cell>
          <cell r="I281">
            <v>51.219693692178296</v>
          </cell>
          <cell r="J281">
            <v>51.219693692178296</v>
          </cell>
        </row>
        <row r="282">
          <cell r="A282" t="str">
            <v>96485</v>
          </cell>
          <cell r="B282" t="str">
            <v>EMPANADA POLLO Y HONGOS STB (UND)</v>
          </cell>
          <cell r="C282" t="str">
            <v>UND</v>
          </cell>
          <cell r="D282" t="str">
            <v>UND</v>
          </cell>
          <cell r="E282">
            <v>226.70396911503602</v>
          </cell>
          <cell r="F282">
            <v>226.70396911503602</v>
          </cell>
          <cell r="G282">
            <v>0.47511808134920641</v>
          </cell>
          <cell r="H282">
            <v>0.47511808134920641</v>
          </cell>
          <cell r="I282">
            <v>46.336545822298163</v>
          </cell>
          <cell r="J282">
            <v>46.336545822298163</v>
          </cell>
        </row>
        <row r="283">
          <cell r="A283" t="str">
            <v>96486</v>
          </cell>
          <cell r="B283" t="str">
            <v>RELLENO CARNE CON ACEITUNAS EMPACADO (2000g)</v>
          </cell>
          <cell r="C283" t="str">
            <v>KILO</v>
          </cell>
          <cell r="D283" t="str">
            <v>GRAMO</v>
          </cell>
          <cell r="E283">
            <v>3198.589746943192</v>
          </cell>
          <cell r="F283">
            <v>3.1985897469431919</v>
          </cell>
          <cell r="G283">
            <v>28.689440516707077</v>
          </cell>
          <cell r="H283">
            <v>2.8689440516707077E-2</v>
          </cell>
          <cell r="I283">
            <v>402.68474645994223</v>
          </cell>
          <cell r="J283">
            <v>0.40268474645994223</v>
          </cell>
        </row>
        <row r="284">
          <cell r="A284" t="str">
            <v>96487</v>
          </cell>
          <cell r="B284" t="str">
            <v>EMPANADA CARNE C/ACEITUNAS STB (UND)</v>
          </cell>
          <cell r="C284" t="str">
            <v>UND</v>
          </cell>
          <cell r="D284" t="str">
            <v>UND</v>
          </cell>
          <cell r="E284">
            <v>217.7416789246596</v>
          </cell>
          <cell r="F284">
            <v>217.7416789246596</v>
          </cell>
          <cell r="G284">
            <v>9.7033764771825393</v>
          </cell>
          <cell r="H284">
            <v>9.7033764771825393</v>
          </cell>
          <cell r="I284">
            <v>53.724237322997112</v>
          </cell>
          <cell r="J284">
            <v>53.724237322997112</v>
          </cell>
        </row>
        <row r="285">
          <cell r="A285" t="str">
            <v>904000013</v>
          </cell>
          <cell r="B285" t="str">
            <v>EMPAQUE MAYONESA (3000g)</v>
          </cell>
          <cell r="C285" t="str">
            <v>TANDA</v>
          </cell>
          <cell r="D285" t="str">
            <v>GRAMO</v>
          </cell>
          <cell r="E285">
            <v>38618.906589806043</v>
          </cell>
          <cell r="F285">
            <v>1.0325910852889317</v>
          </cell>
          <cell r="G285">
            <v>6.4795834880450069</v>
          </cell>
          <cell r="H285">
            <v>1.7325089540227293E-4</v>
          </cell>
          <cell r="I285">
            <v>2242.5316455696202</v>
          </cell>
          <cell r="J285">
            <v>5.996073918635348E-2</v>
          </cell>
        </row>
        <row r="286">
          <cell r="A286" t="str">
            <v>96488</v>
          </cell>
          <cell r="B286" t="str">
            <v>ROSQUETE CUADRADO TRES LECHES (330g)</v>
          </cell>
          <cell r="C286" t="str">
            <v>UND</v>
          </cell>
          <cell r="D286" t="str">
            <v>UND</v>
          </cell>
          <cell r="E286">
            <v>329.13105196412442</v>
          </cell>
          <cell r="F286">
            <v>329.13105196412442</v>
          </cell>
          <cell r="G286">
            <v>1.2382540299524487</v>
          </cell>
          <cell r="H286">
            <v>1.2382540299524487</v>
          </cell>
          <cell r="I286">
            <v>28.483709579011595</v>
          </cell>
          <cell r="J286">
            <v>28.483709579011595</v>
          </cell>
        </row>
        <row r="287">
          <cell r="A287" t="str">
            <v>95356</v>
          </cell>
          <cell r="B287" t="str">
            <v>ROSQUETE TRES LECHES (1000g)</v>
          </cell>
          <cell r="C287" t="str">
            <v>UND</v>
          </cell>
          <cell r="D287" t="str">
            <v>UND</v>
          </cell>
          <cell r="E287">
            <v>733.13104330022384</v>
          </cell>
          <cell r="F287">
            <v>733.13104330022384</v>
          </cell>
          <cell r="G287">
            <v>11.238521567375347</v>
          </cell>
          <cell r="H287">
            <v>11.238521567375347</v>
          </cell>
          <cell r="I287">
            <v>48.803930968360504</v>
          </cell>
          <cell r="J287">
            <v>48.803930968360504</v>
          </cell>
        </row>
        <row r="288">
          <cell r="A288" t="str">
            <v>96389</v>
          </cell>
          <cell r="B288" t="str">
            <v>MOUSSE P/POSTRE COOKIES AND CREAM (1800g)</v>
          </cell>
          <cell r="C288" t="str">
            <v>KILO</v>
          </cell>
          <cell r="D288" t="str">
            <v>GRAMO</v>
          </cell>
          <cell r="E288">
            <v>3412.0520363595087</v>
          </cell>
          <cell r="F288">
            <v>3.4120520363595088</v>
          </cell>
          <cell r="G288">
            <v>9.090277777777777E-3</v>
          </cell>
          <cell r="H288">
            <v>9.0902777777777772E-6</v>
          </cell>
          <cell r="I288">
            <v>157.77243589743591</v>
          </cell>
          <cell r="J288">
            <v>0.15777243589743592</v>
          </cell>
        </row>
        <row r="289">
          <cell r="A289" t="str">
            <v>96390</v>
          </cell>
          <cell r="B289" t="str">
            <v>BASE CHOCOLATE Y ALMENDRAS P/MINI POSTRE (1000g)</v>
          </cell>
          <cell r="C289" t="str">
            <v>KILO</v>
          </cell>
          <cell r="D289" t="str">
            <v>GRAMO</v>
          </cell>
          <cell r="E289">
            <v>4564.1309955584647</v>
          </cell>
          <cell r="F289">
            <v>4.5641309955584646</v>
          </cell>
          <cell r="G289">
            <v>0.4859724379484196</v>
          </cell>
          <cell r="H289">
            <v>4.859724379484196E-4</v>
          </cell>
          <cell r="I289">
            <v>195.95549738219896</v>
          </cell>
          <cell r="J289">
            <v>0.19595549738219895</v>
          </cell>
        </row>
        <row r="290">
          <cell r="A290" t="str">
            <v>96391</v>
          </cell>
          <cell r="B290" t="str">
            <v>MOUSSE CHOCOLATE DARK C/COBERTURA (6000g)</v>
          </cell>
          <cell r="C290" t="str">
            <v>KILO</v>
          </cell>
          <cell r="D290" t="str">
            <v>GRAMO</v>
          </cell>
          <cell r="E290">
            <v>3291.487916666666</v>
          </cell>
          <cell r="F290">
            <v>3.2914879166666662</v>
          </cell>
          <cell r="G290">
            <v>6.3433650000000004</v>
          </cell>
          <cell r="H290">
            <v>6.3433650000000001E-3</v>
          </cell>
          <cell r="I290">
            <v>140</v>
          </cell>
          <cell r="J290">
            <v>0.14000000000000001</v>
          </cell>
        </row>
        <row r="291">
          <cell r="A291" t="str">
            <v>95584</v>
          </cell>
          <cell r="B291" t="str">
            <v>RELLENO QUESO P/CHESSE CAKE HORNEADO (12800g)</v>
          </cell>
          <cell r="C291" t="str">
            <v>KILO</v>
          </cell>
          <cell r="D291" t="str">
            <v>GRAMO</v>
          </cell>
          <cell r="E291">
            <v>2306.3680384765626</v>
          </cell>
          <cell r="F291">
            <v>2.3063680384765624</v>
          </cell>
          <cell r="G291">
            <v>0</v>
          </cell>
          <cell r="H291">
            <v>0</v>
          </cell>
          <cell r="I291">
            <v>25.78125</v>
          </cell>
          <cell r="J291">
            <v>2.5781249999999999E-2</v>
          </cell>
        </row>
        <row r="292">
          <cell r="A292" t="str">
            <v>95702</v>
          </cell>
          <cell r="B292" t="str">
            <v>RELLENO QUESO BASE P/CHESSE CAKE SPOON (7.8 Kg)</v>
          </cell>
          <cell r="C292" t="str">
            <v>KILO</v>
          </cell>
          <cell r="D292" t="str">
            <v>GRAMO</v>
          </cell>
          <cell r="E292">
            <v>1798.4060811282054</v>
          </cell>
          <cell r="F292">
            <v>1.7984060811282054</v>
          </cell>
          <cell r="G292">
            <v>0</v>
          </cell>
          <cell r="H292">
            <v>0</v>
          </cell>
          <cell r="I292">
            <v>105.76923076923077</v>
          </cell>
          <cell r="J292">
            <v>0.10576923076923077</v>
          </cell>
        </row>
        <row r="293">
          <cell r="A293" t="str">
            <v>95833</v>
          </cell>
          <cell r="B293" t="str">
            <v>ROSQUETE MELOCOTON PURATOS (300g)</v>
          </cell>
          <cell r="C293" t="str">
            <v>UND</v>
          </cell>
          <cell r="D293" t="str">
            <v>UND</v>
          </cell>
          <cell r="E293">
            <v>354.48884494634626</v>
          </cell>
          <cell r="F293">
            <v>354.48884494634626</v>
          </cell>
          <cell r="G293">
            <v>9.2045736593345016</v>
          </cell>
          <cell r="H293">
            <v>9.2045736593345016</v>
          </cell>
          <cell r="I293">
            <v>18.692332962886429</v>
          </cell>
          <cell r="J293">
            <v>18.692332962886429</v>
          </cell>
        </row>
        <row r="294">
          <cell r="A294" t="str">
            <v>95857</v>
          </cell>
          <cell r="B294" t="str">
            <v>ROSQUETE CHOCOLATE SPOON RED. (320g)</v>
          </cell>
          <cell r="C294" t="str">
            <v>UND</v>
          </cell>
          <cell r="D294" t="str">
            <v>UND</v>
          </cell>
          <cell r="E294">
            <v>395.76817663200347</v>
          </cell>
          <cell r="F294">
            <v>395.76817663200347</v>
          </cell>
          <cell r="G294">
            <v>5.8299605890354398</v>
          </cell>
          <cell r="H294">
            <v>5.8299605890354398</v>
          </cell>
          <cell r="I294">
            <v>16.8969495634217</v>
          </cell>
          <cell r="J294">
            <v>16.8969495634217</v>
          </cell>
        </row>
        <row r="295">
          <cell r="A295" t="str">
            <v>96273</v>
          </cell>
          <cell r="B295" t="str">
            <v>CORTE GALLETA PEQ P/TORTA CHILENA (UND)</v>
          </cell>
          <cell r="C295" t="str">
            <v>UND</v>
          </cell>
          <cell r="D295" t="str">
            <v>UND</v>
          </cell>
          <cell r="E295">
            <v>91.259726746921174</v>
          </cell>
          <cell r="F295">
            <v>91.259726746921174</v>
          </cell>
          <cell r="G295">
            <v>0.71619935522714828</v>
          </cell>
          <cell r="H295">
            <v>0.71619935522714828</v>
          </cell>
          <cell r="I295">
            <v>21.555665024630542</v>
          </cell>
          <cell r="J295">
            <v>21.555665024630542</v>
          </cell>
        </row>
        <row r="296">
          <cell r="A296" t="str">
            <v>906000005</v>
          </cell>
          <cell r="B296" t="str">
            <v>EMPANADA DE POLLO PEQUEÑA  (UND)</v>
          </cell>
          <cell r="C296" t="str">
            <v>UND</v>
          </cell>
          <cell r="D296" t="str">
            <v>UND</v>
          </cell>
          <cell r="E296">
            <v>57.013804147782189</v>
          </cell>
          <cell r="F296">
            <v>57.013804147782189</v>
          </cell>
          <cell r="G296">
            <v>0.71571045852291038</v>
          </cell>
          <cell r="H296">
            <v>0.71571045852291038</v>
          </cell>
          <cell r="I296">
            <v>26.79662026328894</v>
          </cell>
          <cell r="J296">
            <v>26.79662026328894</v>
          </cell>
        </row>
        <row r="297">
          <cell r="A297" t="str">
            <v>96259</v>
          </cell>
          <cell r="B297" t="str">
            <v>EMPAQUE RELLENO QUESOS P/EMPANADA (3000g)</v>
          </cell>
          <cell r="C297" t="str">
            <v>TANDA</v>
          </cell>
          <cell r="D297" t="str">
            <v>GRAMO</v>
          </cell>
          <cell r="E297">
            <v>13997.971705098042</v>
          </cell>
          <cell r="F297">
            <v>4.6659905683660137</v>
          </cell>
          <cell r="G297">
            <v>29.327455069693023</v>
          </cell>
          <cell r="H297">
            <v>9.7758183565643409E-3</v>
          </cell>
          <cell r="I297">
            <v>386.37813211845105</v>
          </cell>
          <cell r="J297">
            <v>0.12879271070615034</v>
          </cell>
        </row>
        <row r="298">
          <cell r="A298" t="str">
            <v>96262</v>
          </cell>
          <cell r="B298" t="str">
            <v>EMPANADITA TRES QUESOS (UND)</v>
          </cell>
          <cell r="C298" t="str">
            <v>UND</v>
          </cell>
          <cell r="D298" t="str">
            <v>UND</v>
          </cell>
          <cell r="E298">
            <v>108.19885408972851</v>
          </cell>
          <cell r="F298">
            <v>108.19885408972851</v>
          </cell>
          <cell r="G298">
            <v>3.5195198379508806E-3</v>
          </cell>
          <cell r="H298">
            <v>3.5195198379508806E-3</v>
          </cell>
          <cell r="I298">
            <v>30.066935115202529</v>
          </cell>
          <cell r="J298">
            <v>30.066935115202529</v>
          </cell>
        </row>
        <row r="299">
          <cell r="A299" t="str">
            <v>95152</v>
          </cell>
          <cell r="B299" t="str">
            <v>EMPAQUE RELLENO JAMON P/ ARROLLADO (2000g)</v>
          </cell>
          <cell r="C299" t="str">
            <v>KILO</v>
          </cell>
          <cell r="D299" t="str">
            <v>GRAMO</v>
          </cell>
          <cell r="E299">
            <v>3053.0307908769746</v>
          </cell>
          <cell r="F299">
            <v>3.0530307908769747</v>
          </cell>
          <cell r="G299">
            <v>6.1319432886334617</v>
          </cell>
          <cell r="H299">
            <v>6.1319432886334617E-3</v>
          </cell>
          <cell r="I299">
            <v>74.597701149425291</v>
          </cell>
          <cell r="J299">
            <v>7.4597701149425294E-2</v>
          </cell>
        </row>
        <row r="300">
          <cell r="A300" t="str">
            <v>95230</v>
          </cell>
          <cell r="B300" t="str">
            <v>ARROLLADO DE JAMON (UND)</v>
          </cell>
          <cell r="C300" t="str">
            <v>UND</v>
          </cell>
          <cell r="D300" t="str">
            <v>UND</v>
          </cell>
          <cell r="E300">
            <v>122.67460640985297</v>
          </cell>
          <cell r="F300">
            <v>122.67460640985297</v>
          </cell>
          <cell r="G300">
            <v>1.2535177289265251</v>
          </cell>
          <cell r="H300">
            <v>1.2535177289265251</v>
          </cell>
          <cell r="I300">
            <v>33.979038314581437</v>
          </cell>
          <cell r="J300">
            <v>33.979038314581437</v>
          </cell>
        </row>
        <row r="301">
          <cell r="A301" t="str">
            <v>95475</v>
          </cell>
          <cell r="B301" t="str">
            <v>PAÑUELO ESPINACA C/RICOTTA (UND)</v>
          </cell>
          <cell r="C301" t="str">
            <v>UND</v>
          </cell>
          <cell r="D301" t="str">
            <v>UND</v>
          </cell>
          <cell r="E301">
            <v>137.21388281956311</v>
          </cell>
          <cell r="F301">
            <v>137.21388281956311</v>
          </cell>
          <cell r="G301">
            <v>0.72944441322726261</v>
          </cell>
          <cell r="H301">
            <v>0.72944441322726261</v>
          </cell>
          <cell r="I301">
            <v>36.400315884852304</v>
          </cell>
          <cell r="J301">
            <v>36.400315884852304</v>
          </cell>
        </row>
        <row r="302">
          <cell r="A302" t="str">
            <v>95446</v>
          </cell>
          <cell r="B302" t="str">
            <v>CANASTITA DULCE S/RELLENO (UND)</v>
          </cell>
          <cell r="C302" t="str">
            <v>UND</v>
          </cell>
          <cell r="D302" t="str">
            <v>UND</v>
          </cell>
          <cell r="E302">
            <v>24.2312115887846</v>
          </cell>
          <cell r="F302">
            <v>24.2312115887846</v>
          </cell>
          <cell r="G302">
            <v>0.13405430483116884</v>
          </cell>
          <cell r="H302">
            <v>0.13405430483116884</v>
          </cell>
          <cell r="I302">
            <v>13.337333333333333</v>
          </cell>
          <cell r="J302">
            <v>13.337333333333333</v>
          </cell>
        </row>
        <row r="303">
          <cell r="A303" t="str">
            <v>95253</v>
          </cell>
          <cell r="B303" t="str">
            <v>PLANCHA BROWNIE (1950g)</v>
          </cell>
          <cell r="C303" t="str">
            <v>UND</v>
          </cell>
          <cell r="D303" t="str">
            <v>UND</v>
          </cell>
          <cell r="E303">
            <v>3077.5122504999999</v>
          </cell>
          <cell r="F303">
            <v>3077.5122504999999</v>
          </cell>
          <cell r="G303">
            <v>33.108337615277776</v>
          </cell>
          <cell r="H303">
            <v>33.108337615277776</v>
          </cell>
          <cell r="I303">
            <v>184.57847222222222</v>
          </cell>
          <cell r="J303">
            <v>184.57847222222222</v>
          </cell>
        </row>
        <row r="304">
          <cell r="A304" t="str">
            <v>95519</v>
          </cell>
          <cell r="B304" t="str">
            <v>ROSQUETE VAINILLA BUCCA (1200g)</v>
          </cell>
          <cell r="C304" t="str">
            <v>UND</v>
          </cell>
          <cell r="D304" t="str">
            <v>UND</v>
          </cell>
          <cell r="E304">
            <v>1223.9160074044096</v>
          </cell>
          <cell r="F304">
            <v>1223.9160074044096</v>
          </cell>
          <cell r="G304">
            <v>24.193430851167854</v>
          </cell>
          <cell r="H304">
            <v>24.193430851167854</v>
          </cell>
          <cell r="I304">
            <v>40.990017742806444</v>
          </cell>
          <cell r="J304">
            <v>40.990017742806444</v>
          </cell>
        </row>
        <row r="305">
          <cell r="A305" t="str">
            <v>96235</v>
          </cell>
          <cell r="B305" t="str">
            <v>CANASTA REDONDA (30g)</v>
          </cell>
          <cell r="C305" t="str">
            <v>UND</v>
          </cell>
          <cell r="D305" t="str">
            <v>UND</v>
          </cell>
          <cell r="E305">
            <v>55.485211661052638</v>
          </cell>
          <cell r="F305">
            <v>55.485211661052638</v>
          </cell>
          <cell r="G305">
            <v>0.41374383057644121</v>
          </cell>
          <cell r="H305">
            <v>0.41374383057644121</v>
          </cell>
          <cell r="I305">
            <v>20.223076923076921</v>
          </cell>
          <cell r="J305">
            <v>20.223076923076921</v>
          </cell>
        </row>
        <row r="306">
          <cell r="A306" t="str">
            <v>96285</v>
          </cell>
          <cell r="B306" t="str">
            <v>ROSQUETE CHOCOLATE (50g)</v>
          </cell>
          <cell r="C306" t="str">
            <v>UND</v>
          </cell>
          <cell r="D306" t="str">
            <v>UND</v>
          </cell>
          <cell r="E306">
            <v>64.920020827704391</v>
          </cell>
          <cell r="F306">
            <v>64.920020827704391</v>
          </cell>
          <cell r="G306">
            <v>1.6945652336553261</v>
          </cell>
          <cell r="H306">
            <v>1.6945652336553261</v>
          </cell>
          <cell r="I306">
            <v>8.6622596368573692</v>
          </cell>
          <cell r="J306">
            <v>8.6622596368573692</v>
          </cell>
        </row>
        <row r="307">
          <cell r="A307" t="str">
            <v>95372</v>
          </cell>
          <cell r="B307" t="str">
            <v>BASE PREMEZCLA TURRON ALMENDRA (3047g)</v>
          </cell>
          <cell r="C307" t="str">
            <v>TANDA</v>
          </cell>
          <cell r="D307" t="str">
            <v>GRAMO</v>
          </cell>
          <cell r="E307">
            <v>1537.6218530000001</v>
          </cell>
          <cell r="F307">
            <v>0.50463467443386945</v>
          </cell>
          <cell r="G307">
            <v>21.822725555555557</v>
          </cell>
          <cell r="H307">
            <v>7.1620366116033991E-3</v>
          </cell>
          <cell r="I307">
            <v>110</v>
          </cell>
          <cell r="J307">
            <v>3.6101083032490974E-2</v>
          </cell>
        </row>
        <row r="308">
          <cell r="A308" t="str">
            <v>96358</v>
          </cell>
          <cell r="B308" t="str">
            <v>BATIDO P/TURRON ALMENDRAS (5760g)</v>
          </cell>
          <cell r="C308" t="str">
            <v>KILO</v>
          </cell>
          <cell r="D308" t="str">
            <v>GRAMO</v>
          </cell>
          <cell r="E308">
            <v>2349.0428222222222</v>
          </cell>
          <cell r="F308">
            <v>2.3490428222222222</v>
          </cell>
          <cell r="G308">
            <v>3.7886732253086417</v>
          </cell>
          <cell r="H308">
            <v>3.7886732253086417E-3</v>
          </cell>
          <cell r="I308">
            <v>76.736111111111114</v>
          </cell>
          <cell r="J308">
            <v>7.6736111111111116E-2</v>
          </cell>
        </row>
        <row r="309">
          <cell r="A309" t="str">
            <v>95103</v>
          </cell>
          <cell r="B309" t="str">
            <v>MEDIA LUNA CUBIERTA CHOCOLATE LECHE (UND)</v>
          </cell>
          <cell r="C309" t="str">
            <v>UND</v>
          </cell>
          <cell r="D309" t="str">
            <v>UND</v>
          </cell>
          <cell r="E309">
            <v>25.479206085055701</v>
          </cell>
          <cell r="F309">
            <v>25.479206085055701</v>
          </cell>
          <cell r="G309">
            <v>0.23606913072852082</v>
          </cell>
          <cell r="H309">
            <v>0.23606913072852082</v>
          </cell>
          <cell r="I309">
            <v>4.1430462944096549</v>
          </cell>
          <cell r="J309">
            <v>4.1430462944096549</v>
          </cell>
        </row>
        <row r="310">
          <cell r="A310" t="str">
            <v>95369</v>
          </cell>
          <cell r="B310" t="str">
            <v>BASE PREMEZCLA QUEQUE SECO (3320g)</v>
          </cell>
          <cell r="C310" t="str">
            <v>TANDA</v>
          </cell>
          <cell r="D310" t="str">
            <v>GRAMO</v>
          </cell>
          <cell r="E310">
            <v>5308.8964000000005</v>
          </cell>
          <cell r="F310">
            <v>1.5990651807228917</v>
          </cell>
          <cell r="G310">
            <v>21.822757777777777</v>
          </cell>
          <cell r="H310">
            <v>6.5731198125836676E-3</v>
          </cell>
          <cell r="I310">
            <v>82.5</v>
          </cell>
          <cell r="J310">
            <v>2.4849397590361446E-2</v>
          </cell>
        </row>
        <row r="311">
          <cell r="A311" t="str">
            <v>95345</v>
          </cell>
          <cell r="B311" t="str">
            <v>ROSQUETE QQ SECO C/PASAS (750g)</v>
          </cell>
          <cell r="C311" t="str">
            <v>UND</v>
          </cell>
          <cell r="D311" t="str">
            <v>UND</v>
          </cell>
          <cell r="E311">
            <v>1556.3047986021254</v>
          </cell>
          <cell r="F311">
            <v>1556.3047986021254</v>
          </cell>
          <cell r="G311">
            <v>9.9305932012357498</v>
          </cell>
          <cell r="H311">
            <v>9.9305932012357498</v>
          </cell>
          <cell r="I311">
            <v>170.27037392138064</v>
          </cell>
          <cell r="J311">
            <v>170.27037392138064</v>
          </cell>
        </row>
        <row r="312">
          <cell r="A312" t="str">
            <v>95112</v>
          </cell>
          <cell r="B312" t="str">
            <v>ROSQUETE VAINILLA PERSONAL BUCCA (200g)</v>
          </cell>
          <cell r="C312" t="str">
            <v>UND</v>
          </cell>
          <cell r="D312" t="str">
            <v>UND</v>
          </cell>
          <cell r="E312">
            <v>203.19643881318322</v>
          </cell>
          <cell r="F312">
            <v>203.19643881318322</v>
          </cell>
          <cell r="G312">
            <v>4.392269724166896</v>
          </cell>
          <cell r="H312">
            <v>4.392269724166896</v>
          </cell>
          <cell r="I312">
            <v>10.814359975068081</v>
          </cell>
          <cell r="J312">
            <v>10.814359975068081</v>
          </cell>
        </row>
        <row r="313">
          <cell r="A313" t="str">
            <v>96185</v>
          </cell>
          <cell r="B313" t="str">
            <v>BASE PREMEZCLA SOUFLE (6.035 Kg)</v>
          </cell>
          <cell r="C313" t="str">
            <v>TANDA</v>
          </cell>
          <cell r="D313" t="str">
            <v>GRAMO</v>
          </cell>
          <cell r="E313">
            <v>10445.845386000001</v>
          </cell>
          <cell r="F313">
            <v>1.7311642999668546</v>
          </cell>
          <cell r="G313">
            <v>11.022725555555557</v>
          </cell>
          <cell r="H313">
            <v>1.8267692336021804E-3</v>
          </cell>
          <cell r="I313">
            <v>165</v>
          </cell>
          <cell r="J313">
            <v>2.7345044746436859E-2</v>
          </cell>
        </row>
        <row r="314">
          <cell r="A314" t="str">
            <v>96332</v>
          </cell>
          <cell r="B314" t="str">
            <v>BATIDO P/ROSQUETE SOUFFLE (11100g)</v>
          </cell>
          <cell r="C314" t="str">
            <v>KILO</v>
          </cell>
          <cell r="D314" t="str">
            <v>GRAMO</v>
          </cell>
          <cell r="E314">
            <v>1603.841223963964</v>
          </cell>
          <cell r="F314">
            <v>1.6038412239639641</v>
          </cell>
          <cell r="G314">
            <v>0.99303833833833832</v>
          </cell>
          <cell r="H314">
            <v>9.9303833833833837E-4</v>
          </cell>
          <cell r="I314">
            <v>49.549549549549553</v>
          </cell>
          <cell r="J314">
            <v>4.954954954954955E-2</v>
          </cell>
        </row>
        <row r="315">
          <cell r="A315" t="str">
            <v>90100142</v>
          </cell>
          <cell r="B315" t="str">
            <v>SAL (5000G)</v>
          </cell>
          <cell r="C315" t="str">
            <v>BOLSA</v>
          </cell>
          <cell r="D315" t="str">
            <v>GRAMO</v>
          </cell>
          <cell r="E315">
            <v>940</v>
          </cell>
          <cell r="F315">
            <v>0.188</v>
          </cell>
          <cell r="G315">
            <v>13.475999999999999</v>
          </cell>
          <cell r="H315">
            <v>2.6952E-3</v>
          </cell>
          <cell r="I315">
            <v>55</v>
          </cell>
          <cell r="J315">
            <v>1.0999999999999999E-2</v>
          </cell>
        </row>
        <row r="316">
          <cell r="A316" t="str">
            <v>907000219</v>
          </cell>
          <cell r="B316" t="str">
            <v>Rosquete Brownie Menta 1000g</v>
          </cell>
          <cell r="C316" t="str">
            <v>UND</v>
          </cell>
          <cell r="D316" t="str">
            <v>UND</v>
          </cell>
          <cell r="E316">
            <v>3608.2294588235295</v>
          </cell>
          <cell r="F316">
            <v>3608.2294588235295</v>
          </cell>
          <cell r="G316">
            <v>54.990309948412701</v>
          </cell>
          <cell r="H316">
            <v>54.990309948412701</v>
          </cell>
          <cell r="I316">
            <v>120.3125</v>
          </cell>
          <cell r="J316">
            <v>120.3125</v>
          </cell>
        </row>
        <row r="317">
          <cell r="A317" t="str">
            <v>907000217</v>
          </cell>
          <cell r="B317" t="str">
            <v>RELLENO CHOCOMENTA</v>
          </cell>
          <cell r="C317" t="str">
            <v>KILO</v>
          </cell>
          <cell r="D317" t="str">
            <v>KILO</v>
          </cell>
          <cell r="E317">
            <v>3261.1301544444445</v>
          </cell>
          <cell r="F317">
            <v>3.2611301544444444</v>
          </cell>
          <cell r="G317">
            <v>0</v>
          </cell>
          <cell r="H317">
            <v>0</v>
          </cell>
          <cell r="I317">
            <v>275</v>
          </cell>
          <cell r="J317">
            <v>0.27500000000000002</v>
          </cell>
        </row>
        <row r="318">
          <cell r="A318" t="str">
            <v>910000005</v>
          </cell>
          <cell r="B318" t="str">
            <v>MEZCLA DULCE LECHE CON AGUA</v>
          </cell>
          <cell r="C318" t="str">
            <v>TANDA</v>
          </cell>
          <cell r="D318" t="str">
            <v>GRAMO</v>
          </cell>
          <cell r="E318">
            <v>897.49288799999999</v>
          </cell>
          <cell r="F318">
            <v>1.49582148</v>
          </cell>
          <cell r="G318">
            <v>49.681000000000004</v>
          </cell>
          <cell r="H318">
            <v>8.2801666666666676E-2</v>
          </cell>
          <cell r="I318">
            <v>55</v>
          </cell>
          <cell r="J318">
            <v>9.166666666666666E-2</v>
          </cell>
        </row>
        <row r="319">
          <cell r="A319" t="str">
            <v>902000066</v>
          </cell>
          <cell r="B319" t="str">
            <v>SUSPIRO QUEBRADO 7650 g</v>
          </cell>
          <cell r="C319" t="str">
            <v>TANDA</v>
          </cell>
          <cell r="D319" t="str">
            <v>GRAMO</v>
          </cell>
          <cell r="E319">
            <v>19353.380484982161</v>
          </cell>
          <cell r="F319">
            <v>2.5298536581676028</v>
          </cell>
          <cell r="G319">
            <v>28.481995768033212</v>
          </cell>
          <cell r="H319">
            <v>3.7231367017036879E-3</v>
          </cell>
          <cell r="I319">
            <v>2470.4311925180209</v>
          </cell>
          <cell r="J319">
            <v>0.32293218202849949</v>
          </cell>
        </row>
        <row r="320">
          <cell r="A320" t="str">
            <v>90100115</v>
          </cell>
          <cell r="B320" t="str">
            <v>SALSA NARANJA (TANDA= 500 g)</v>
          </cell>
          <cell r="C320" t="str">
            <v>TANDA</v>
          </cell>
          <cell r="D320" t="str">
            <v>GRAMO</v>
          </cell>
          <cell r="E320">
            <v>17252.58664899736</v>
          </cell>
          <cell r="F320">
            <v>1.3802069319197887</v>
          </cell>
          <cell r="G320">
            <v>0</v>
          </cell>
          <cell r="H320">
            <v>0</v>
          </cell>
          <cell r="I320">
            <v>440</v>
          </cell>
          <cell r="J320">
            <v>3.5200000000000002E-2</v>
          </cell>
        </row>
        <row r="321">
          <cell r="A321" t="str">
            <v>907000226</v>
          </cell>
          <cell r="B321" t="str">
            <v>ROSQUETE CHOCOLATE BUCCA 800G</v>
          </cell>
          <cell r="C321" t="str">
            <v>UND</v>
          </cell>
          <cell r="D321" t="str">
            <v>UND</v>
          </cell>
          <cell r="E321">
            <v>612.44387157698372</v>
          </cell>
          <cell r="F321">
            <v>612.44387157698372</v>
          </cell>
          <cell r="G321">
            <v>13.45860305381556</v>
          </cell>
          <cell r="H321">
            <v>13.45860305381556</v>
          </cell>
          <cell r="I321">
            <v>43.217561521252797</v>
          </cell>
          <cell r="J321">
            <v>43.217561521252797</v>
          </cell>
        </row>
        <row r="322">
          <cell r="A322" t="str">
            <v>901000036</v>
          </cell>
          <cell r="B322" t="str">
            <v>PREMEZCLA VAINILLA RICH 170G</v>
          </cell>
          <cell r="C322" t="str">
            <v>TANDA</v>
          </cell>
          <cell r="D322" t="str">
            <v>GRAMO</v>
          </cell>
          <cell r="E322">
            <v>154.22406599999999</v>
          </cell>
          <cell r="F322">
            <v>0.90720038823529403</v>
          </cell>
          <cell r="G322">
            <v>7.5947800000000001</v>
          </cell>
          <cell r="H322">
            <v>4.4675176470588239E-2</v>
          </cell>
          <cell r="I322">
            <v>55</v>
          </cell>
          <cell r="J322">
            <v>0.3235294117647059</v>
          </cell>
        </row>
        <row r="323">
          <cell r="A323" t="str">
            <v>902000024</v>
          </cell>
          <cell r="B323" t="str">
            <v>Batido Vainilla Rich FAS 24000g</v>
          </cell>
          <cell r="C323" t="str">
            <v>TANDA</v>
          </cell>
          <cell r="D323" t="str">
            <v>GRAMO</v>
          </cell>
          <cell r="E323">
            <v>31287.540585694296</v>
          </cell>
          <cell r="F323">
            <v>1.3036475244039289</v>
          </cell>
          <cell r="G323">
            <v>7.594780000000001</v>
          </cell>
          <cell r="H323">
            <v>3.1644916666666669E-4</v>
          </cell>
          <cell r="I323">
            <v>495</v>
          </cell>
          <cell r="J323">
            <v>2.0625000000000001E-2</v>
          </cell>
        </row>
        <row r="324">
          <cell r="A324" t="str">
            <v>903000064</v>
          </cell>
          <cell r="B324" t="str">
            <v>ROSQUETE VAINILLA RICH 900G</v>
          </cell>
          <cell r="C324" t="str">
            <v>UND</v>
          </cell>
          <cell r="D324" t="str">
            <v>UND</v>
          </cell>
          <cell r="E324">
            <v>1215.8360731204052</v>
          </cell>
          <cell r="F324">
            <v>1215.8360731204052</v>
          </cell>
          <cell r="G324">
            <v>14.598128740836346</v>
          </cell>
          <cell r="H324">
            <v>14.598128740836346</v>
          </cell>
          <cell r="I324">
            <v>57.945921528136296</v>
          </cell>
          <cell r="J324">
            <v>57.945921528136296</v>
          </cell>
        </row>
        <row r="325">
          <cell r="A325" t="str">
            <v>901000005</v>
          </cell>
          <cell r="B325" t="str">
            <v xml:space="preserve">PREMEZCLA P/BATIDO CHOCO PASTELERO </v>
          </cell>
          <cell r="C325" t="str">
            <v>TANDA</v>
          </cell>
          <cell r="D325" t="str">
            <v>GRAMO</v>
          </cell>
          <cell r="E325">
            <v>4095.2116799999994</v>
          </cell>
          <cell r="F325">
            <v>1.2546604411764704</v>
          </cell>
          <cell r="G325">
            <v>51.239250509457278</v>
          </cell>
          <cell r="H325">
            <v>1.5698299788436666E-2</v>
          </cell>
          <cell r="I325">
            <v>110</v>
          </cell>
          <cell r="J325">
            <v>3.3700980392156861E-2</v>
          </cell>
        </row>
        <row r="326">
          <cell r="A326" t="str">
            <v>902000003</v>
          </cell>
          <cell r="B326" t="str">
            <v>BATIDO CHOCOLATE PASTELERO REAL 32400G</v>
          </cell>
          <cell r="C326" t="str">
            <v>TANDA</v>
          </cell>
          <cell r="D326" t="str">
            <v>GRAMO</v>
          </cell>
          <cell r="E326">
            <v>35227.057306764706</v>
          </cell>
          <cell r="F326">
            <v>1.0872548551470589</v>
          </cell>
          <cell r="G326">
            <v>328.81658736859441</v>
          </cell>
          <cell r="H326">
            <v>1.0148660103968964E-2</v>
          </cell>
          <cell r="I326">
            <v>1153.9007352941176</v>
          </cell>
          <cell r="J326">
            <v>3.5614220225127086E-2</v>
          </cell>
        </row>
        <row r="327">
          <cell r="A327" t="str">
            <v>907000204</v>
          </cell>
          <cell r="B327" t="str">
            <v>PLANCHA CHOCOLATE PASTELERO REAL 1300g</v>
          </cell>
          <cell r="C327" t="str">
            <v>UND</v>
          </cell>
          <cell r="D327" t="str">
            <v>UND</v>
          </cell>
          <cell r="E327">
            <v>1441.5558928626554</v>
          </cell>
          <cell r="F327">
            <v>1441.5558928626554</v>
          </cell>
          <cell r="G327">
            <v>13.796570919739926</v>
          </cell>
          <cell r="H327">
            <v>13.796570919739926</v>
          </cell>
          <cell r="I327">
            <v>132.30935985831189</v>
          </cell>
          <cell r="J327">
            <v>132.30935985831189</v>
          </cell>
        </row>
        <row r="328">
          <cell r="A328" t="str">
            <v>907000211</v>
          </cell>
          <cell r="B328" t="str">
            <v>ROSQUETE MELOCOTON MED 300G</v>
          </cell>
          <cell r="C328" t="str">
            <v>UND</v>
          </cell>
          <cell r="D328" t="str">
            <v>UND</v>
          </cell>
          <cell r="E328">
            <v>346.25307546532559</v>
          </cell>
          <cell r="F328">
            <v>346.25307546532559</v>
          </cell>
          <cell r="G328">
            <v>7.3045465006072225</v>
          </cell>
          <cell r="H328">
            <v>7.3045465006072225</v>
          </cell>
          <cell r="I328">
            <v>18.950701073484009</v>
          </cell>
          <cell r="J328">
            <v>18.950701073484009</v>
          </cell>
        </row>
        <row r="329">
          <cell r="A329" t="str">
            <v>90100219</v>
          </cell>
          <cell r="B329" t="str">
            <v>PREMEZCLA TORTA DE TRES LECHES RP 4527G</v>
          </cell>
          <cell r="C329" t="str">
            <v>TANDA</v>
          </cell>
          <cell r="D329" t="str">
            <v>GRAMO</v>
          </cell>
          <cell r="E329">
            <v>2138.8148460000007</v>
          </cell>
          <cell r="F329">
            <v>0.47245744333996037</v>
          </cell>
          <cell r="G329">
            <v>42.57118777777778</v>
          </cell>
          <cell r="H329">
            <v>9.4038409051861675E-3</v>
          </cell>
          <cell r="I329">
            <v>165</v>
          </cell>
          <cell r="J329">
            <v>3.6447978793903248E-2</v>
          </cell>
        </row>
        <row r="330">
          <cell r="A330" t="str">
            <v>90100220</v>
          </cell>
          <cell r="B330" t="str">
            <v>BATIDO TORTA DE TRES LECHES RP 9600G</v>
          </cell>
          <cell r="C330" t="str">
            <v>TANDA</v>
          </cell>
          <cell r="D330" t="str">
            <v>GRAMO</v>
          </cell>
          <cell r="E330">
            <v>5277.9678302260372</v>
          </cell>
          <cell r="F330">
            <v>0.54978831564854558</v>
          </cell>
          <cell r="G330">
            <v>165</v>
          </cell>
          <cell r="H330">
            <v>1.7187500000000001E-2</v>
          </cell>
          <cell r="I330">
            <v>1815</v>
          </cell>
          <cell r="J330">
            <v>0.18906249999999999</v>
          </cell>
        </row>
        <row r="331">
          <cell r="A331" t="str">
            <v>90100275</v>
          </cell>
          <cell r="B331" t="str">
            <v>ROSQUETE GUSTITO 4 LECHES 90g</v>
          </cell>
          <cell r="C331" t="str">
            <v>UND</v>
          </cell>
          <cell r="D331" t="str">
            <v>UND</v>
          </cell>
          <cell r="E331">
            <v>49.792149341755071</v>
          </cell>
          <cell r="F331">
            <v>49.792149341755071</v>
          </cell>
          <cell r="G331">
            <v>62.56504561844865</v>
          </cell>
          <cell r="H331">
            <v>62.56504561844865</v>
          </cell>
          <cell r="I331">
            <v>27.5</v>
          </cell>
          <cell r="J331">
            <v>27.5</v>
          </cell>
        </row>
        <row r="332">
          <cell r="A332" t="str">
            <v>90100161</v>
          </cell>
          <cell r="B332" t="str">
            <v>PREMEZCLA TORTA QQ CRISTAL (8176g)</v>
          </cell>
          <cell r="C332" t="str">
            <v>TANDA</v>
          </cell>
          <cell r="D332" t="str">
            <v>GRAMO</v>
          </cell>
          <cell r="E332">
            <v>3492.2954479999999</v>
          </cell>
          <cell r="F332">
            <v>0.42713985420743639</v>
          </cell>
          <cell r="G332">
            <v>62.945187777777775</v>
          </cell>
          <cell r="H332">
            <v>7.6987754131332894E-3</v>
          </cell>
          <cell r="I332">
            <v>192.5</v>
          </cell>
          <cell r="J332">
            <v>2.3544520547945206E-2</v>
          </cell>
        </row>
        <row r="333">
          <cell r="A333" t="str">
            <v>90100225</v>
          </cell>
          <cell r="B333" t="str">
            <v>BATIDO CHOCOLATE 27500g</v>
          </cell>
          <cell r="C333" t="str">
            <v>TANDA</v>
          </cell>
          <cell r="D333" t="str">
            <v>GRAMO</v>
          </cell>
          <cell r="E333">
            <v>38581.311737905038</v>
          </cell>
          <cell r="F333">
            <v>1.4029567904692741</v>
          </cell>
          <cell r="G333">
            <v>0</v>
          </cell>
          <cell r="H333">
            <v>0</v>
          </cell>
          <cell r="I333">
            <v>440</v>
          </cell>
          <cell r="J333">
            <v>1.6E-2</v>
          </cell>
        </row>
        <row r="334">
          <cell r="A334" t="str">
            <v>90100226</v>
          </cell>
          <cell r="B334" t="str">
            <v>ROSQUETE DE CHOCOLATE 1100g</v>
          </cell>
          <cell r="C334" t="str">
            <v>UND</v>
          </cell>
          <cell r="D334" t="str">
            <v>UND</v>
          </cell>
          <cell r="E334">
            <v>1564.0343487108323</v>
          </cell>
          <cell r="F334">
            <v>1564.0343487108323</v>
          </cell>
          <cell r="G334">
            <v>0.28353251677852354</v>
          </cell>
          <cell r="H334">
            <v>0.28353251677852354</v>
          </cell>
          <cell r="I334">
            <v>95.98422818791947</v>
          </cell>
          <cell r="J334">
            <v>95.98422818791947</v>
          </cell>
        </row>
        <row r="335">
          <cell r="A335" t="str">
            <v>90100233</v>
          </cell>
          <cell r="B335" t="str">
            <v>BORONA CHOCOLATE ROSTI POLLOS 3900G</v>
          </cell>
          <cell r="C335" t="str">
            <v>TANDA</v>
          </cell>
          <cell r="D335" t="str">
            <v>GRAMO</v>
          </cell>
          <cell r="E335">
            <v>6256.1373948433293</v>
          </cell>
          <cell r="F335">
            <v>1.6041377935495715</v>
          </cell>
          <cell r="G335">
            <v>79.289130067114101</v>
          </cell>
          <cell r="H335">
            <v>2.0330546171054897E-2</v>
          </cell>
          <cell r="I335">
            <v>1153.9369127516779</v>
          </cell>
          <cell r="J335">
            <v>0.29588125967991741</v>
          </cell>
        </row>
        <row r="336">
          <cell r="A336" t="str">
            <v>90100234</v>
          </cell>
          <cell r="B336" t="str">
            <v>BATIDO QUEQUE ARCOIRIS 33930</v>
          </cell>
          <cell r="C336" t="str">
            <v>TANDA</v>
          </cell>
          <cell r="D336" t="str">
            <v>GRAMO</v>
          </cell>
          <cell r="E336">
            <v>40764.431855714094</v>
          </cell>
          <cell r="F336">
            <v>1.2014274051197789</v>
          </cell>
          <cell r="G336">
            <v>79.289130067114101</v>
          </cell>
          <cell r="H336">
            <v>2.3368443874775746E-3</v>
          </cell>
          <cell r="I336">
            <v>1483.9369127516779</v>
          </cell>
          <cell r="J336">
            <v>4.3735246470724375E-2</v>
          </cell>
        </row>
        <row r="337">
          <cell r="A337" t="str">
            <v>901000106</v>
          </cell>
          <cell r="B337" t="str">
            <v>JAMON PAVO REBANADO 2870G</v>
          </cell>
          <cell r="C337" t="str">
            <v>TANDA</v>
          </cell>
          <cell r="D337" t="str">
            <v>GRAMO</v>
          </cell>
          <cell r="E337">
            <v>8490.6059999999998</v>
          </cell>
          <cell r="F337">
            <v>2.9583993031358884</v>
          </cell>
          <cell r="G337">
            <v>294.39000000000004</v>
          </cell>
          <cell r="H337">
            <v>0.10257491289198607</v>
          </cell>
          <cell r="I337">
            <v>440</v>
          </cell>
          <cell r="J337">
            <v>0.15331010452961671</v>
          </cell>
        </row>
        <row r="338">
          <cell r="A338" t="str">
            <v>90100221</v>
          </cell>
          <cell r="B338" t="str">
            <v>ROSQUETE TORTA DE TRES LECHES RP (960 gr)</v>
          </cell>
          <cell r="C338" t="str">
            <v>UND</v>
          </cell>
          <cell r="D338" t="str">
            <v>UND</v>
          </cell>
          <cell r="E338">
            <v>527.79678302260368</v>
          </cell>
          <cell r="F338">
            <v>527.79678302260368</v>
          </cell>
          <cell r="G338">
            <v>406.73166666666668</v>
          </cell>
          <cell r="H338">
            <v>406.73166666666668</v>
          </cell>
          <cell r="I338">
            <v>225.5</v>
          </cell>
          <cell r="J338">
            <v>225.5</v>
          </cell>
        </row>
        <row r="339">
          <cell r="A339" t="str">
            <v>90100222</v>
          </cell>
          <cell r="B339" t="str">
            <v>MEZCLA DE TRES LECHES RP</v>
          </cell>
          <cell r="C339" t="str">
            <v>TANDA</v>
          </cell>
          <cell r="D339" t="str">
            <v>MIlilitro</v>
          </cell>
          <cell r="E339">
            <v>12415.167355350066</v>
          </cell>
          <cell r="F339">
            <v>2.0691945592250112</v>
          </cell>
          <cell r="G339">
            <v>0</v>
          </cell>
          <cell r="H339">
            <v>0</v>
          </cell>
          <cell r="I339">
            <v>275</v>
          </cell>
          <cell r="J339">
            <v>4.583333333333333E-2</v>
          </cell>
        </row>
        <row r="340">
          <cell r="A340" t="str">
            <v>90100223</v>
          </cell>
          <cell r="B340" t="str">
            <v>MERENGUE PARA TRES LECHES RP</v>
          </cell>
          <cell r="C340" t="str">
            <v>TANDA</v>
          </cell>
          <cell r="D340" t="str">
            <v>GRAMO</v>
          </cell>
          <cell r="E340">
            <v>3761.7899899999998</v>
          </cell>
          <cell r="F340">
            <v>1.07479714</v>
          </cell>
          <cell r="G340">
            <v>3.0708489714285713E-4</v>
          </cell>
          <cell r="H340">
            <v>8.7738542040816329E-8</v>
          </cell>
          <cell r="I340">
            <v>1100</v>
          </cell>
          <cell r="J340">
            <v>0.31428571428571428</v>
          </cell>
        </row>
        <row r="341">
          <cell r="A341" t="str">
            <v>901000006</v>
          </cell>
          <cell r="B341" t="str">
            <v xml:space="preserve">BASE PREMEZCLA P/BATIDO VAINILLA PASTELERO </v>
          </cell>
          <cell r="C341" t="str">
            <v>TANDA</v>
          </cell>
          <cell r="D341" t="str">
            <v>GRAMO</v>
          </cell>
          <cell r="E341">
            <v>4095.2116799999999</v>
          </cell>
          <cell r="F341">
            <v>1.2546604411764706</v>
          </cell>
          <cell r="G341">
            <v>19.096393366600132</v>
          </cell>
          <cell r="H341">
            <v>5.8506107128064129E-3</v>
          </cell>
          <cell r="I341">
            <v>110</v>
          </cell>
          <cell r="J341">
            <v>3.3700980392156861E-2</v>
          </cell>
        </row>
        <row r="342">
          <cell r="A342" t="str">
            <v>905000094</v>
          </cell>
          <cell r="B342" t="str">
            <v>Ensamble media torta chocolate</v>
          </cell>
          <cell r="C342" t="str">
            <v>UND</v>
          </cell>
          <cell r="D342" t="str">
            <v>UND</v>
          </cell>
          <cell r="E342">
            <v>1050.4464617677095</v>
          </cell>
          <cell r="F342">
            <v>1050.4464617677095</v>
          </cell>
          <cell r="G342">
            <v>7.8435866075199412</v>
          </cell>
          <cell r="H342">
            <v>7.8435866075199412</v>
          </cell>
          <cell r="I342">
            <v>129.29891730862488</v>
          </cell>
          <cell r="J342">
            <v>129.29891730862488</v>
          </cell>
        </row>
        <row r="343">
          <cell r="A343" t="str">
            <v>905000095</v>
          </cell>
          <cell r="B343" t="str">
            <v>Ensamble media torta melocoton</v>
          </cell>
          <cell r="C343" t="str">
            <v xml:space="preserve">UND </v>
          </cell>
          <cell r="D343" t="str">
            <v>UND</v>
          </cell>
          <cell r="E343">
            <v>1044.2221005121608</v>
          </cell>
          <cell r="F343">
            <v>1044.2221005121608</v>
          </cell>
          <cell r="G343">
            <v>8.0368646012000049</v>
          </cell>
          <cell r="H343">
            <v>8.0368646012000049</v>
          </cell>
          <cell r="I343">
            <v>145.09099221492735</v>
          </cell>
          <cell r="J343">
            <v>145.09099221492735</v>
          </cell>
        </row>
        <row r="344">
          <cell r="A344" t="str">
            <v>95342</v>
          </cell>
          <cell r="B344" t="str">
            <v>BASE Premezcla Batidos para Rosquete Super esponja</v>
          </cell>
          <cell r="C344" t="str">
            <v>TANDA</v>
          </cell>
          <cell r="D344" t="str">
            <v>GRAMO</v>
          </cell>
          <cell r="E344">
            <v>536.52239999999995</v>
          </cell>
          <cell r="F344">
            <v>4.4710199999999993</v>
          </cell>
          <cell r="G344">
            <v>4.421616766467066</v>
          </cell>
          <cell r="H344">
            <v>3.6846806387225553E-2</v>
          </cell>
          <cell r="I344">
            <v>27.5</v>
          </cell>
          <cell r="J344">
            <v>0.22916666666666666</v>
          </cell>
        </row>
        <row r="345">
          <cell r="A345" t="str">
            <v>95343</v>
          </cell>
          <cell r="B345" t="str">
            <v>BATIDO Super Esponja (40120g</v>
          </cell>
          <cell r="C345" t="str">
            <v>TANDA</v>
          </cell>
          <cell r="D345" t="str">
            <v>GRAMO</v>
          </cell>
          <cell r="E345">
            <v>53885.640047058827</v>
          </cell>
          <cell r="F345">
            <v>1.3431116661779368</v>
          </cell>
          <cell r="G345">
            <v>4.421616766467066</v>
          </cell>
          <cell r="H345">
            <v>1.1020978979229976E-4</v>
          </cell>
          <cell r="I345">
            <v>467.5</v>
          </cell>
          <cell r="J345">
            <v>1.1652542372881356E-2</v>
          </cell>
        </row>
        <row r="346">
          <cell r="A346" t="str">
            <v>907000111</v>
          </cell>
          <cell r="B346" t="str">
            <v>Rosquete Super Esponja 380g</v>
          </cell>
          <cell r="C346" t="str">
            <v>UND</v>
          </cell>
          <cell r="D346" t="str">
            <v>UND</v>
          </cell>
          <cell r="E346">
            <v>524.38269974552782</v>
          </cell>
          <cell r="F346">
            <v>524.38269974552782</v>
          </cell>
          <cell r="G346">
            <v>4.6211066985275187</v>
          </cell>
          <cell r="H346">
            <v>4.6211066985275187</v>
          </cell>
          <cell r="I346">
            <v>18.483375539635087</v>
          </cell>
          <cell r="J346">
            <v>18.483375539635087</v>
          </cell>
        </row>
        <row r="347">
          <cell r="A347" t="str">
            <v>907000200</v>
          </cell>
          <cell r="B347" t="str">
            <v>BATIDO P/ARROLLADO DULCE LECHE 3600G</v>
          </cell>
          <cell r="C347" t="str">
            <v>TANDA</v>
          </cell>
          <cell r="D347" t="str">
            <v>GRAMO</v>
          </cell>
          <cell r="E347">
            <v>3846.8646231243679</v>
          </cell>
          <cell r="F347">
            <v>1.0685735064234356</v>
          </cell>
          <cell r="G347">
            <v>20.782431036855929</v>
          </cell>
          <cell r="H347">
            <v>5.7728975102377582E-3</v>
          </cell>
          <cell r="I347">
            <v>342.14751426242867</v>
          </cell>
          <cell r="J347">
            <v>9.5040976184007961E-2</v>
          </cell>
        </row>
        <row r="348">
          <cell r="A348" t="str">
            <v>903000154</v>
          </cell>
          <cell r="B348" t="str">
            <v>RUEDA HOJALDRE EMPANADA DE POLLO PEQUEÑA</v>
          </cell>
          <cell r="C348" t="str">
            <v>UND</v>
          </cell>
          <cell r="D348" t="str">
            <v>UND</v>
          </cell>
          <cell r="E348">
            <v>17.692668599069446</v>
          </cell>
          <cell r="F348">
            <v>17.692668599069446</v>
          </cell>
          <cell r="G348">
            <v>7.3629137208274437E-2</v>
          </cell>
          <cell r="H348">
            <v>7.3629137208274437E-2</v>
          </cell>
          <cell r="I348">
            <v>11.189039828684258</v>
          </cell>
          <cell r="J348">
            <v>11.189039828684258</v>
          </cell>
        </row>
        <row r="349">
          <cell r="A349" t="str">
            <v>90100281</v>
          </cell>
          <cell r="B349" t="str">
            <v>Crema de Garbanzos 10000G</v>
          </cell>
          <cell r="C349" t="str">
            <v>TANDA</v>
          </cell>
          <cell r="D349" t="str">
            <v>GRAMO</v>
          </cell>
          <cell r="E349">
            <v>13062.089689729972</v>
          </cell>
          <cell r="F349">
            <v>1.3062089689729972</v>
          </cell>
          <cell r="G349">
            <v>69.513032603681182</v>
          </cell>
          <cell r="H349">
            <v>6.9513032603681184E-3</v>
          </cell>
          <cell r="I349">
            <v>1383.7719279201042</v>
          </cell>
          <cell r="J349">
            <v>0.13837719279201041</v>
          </cell>
        </row>
        <row r="350">
          <cell r="A350" t="str">
            <v>901000051</v>
          </cell>
          <cell r="B350" t="str">
            <v>Premezcla Pasta Piña(5262g) Spoon</v>
          </cell>
          <cell r="C350" t="str">
            <v>TANDA</v>
          </cell>
          <cell r="D350" t="str">
            <v>GRAMO</v>
          </cell>
          <cell r="E350">
            <v>4629.7639655999992</v>
          </cell>
          <cell r="F350">
            <v>0.87984872018243998</v>
          </cell>
          <cell r="G350">
            <v>28.572730555555559</v>
          </cell>
          <cell r="H350">
            <v>5.4300134085054274E-3</v>
          </cell>
          <cell r="I350">
            <v>275</v>
          </cell>
          <cell r="J350">
            <v>5.2261497529456483E-2</v>
          </cell>
        </row>
        <row r="351">
          <cell r="A351" t="str">
            <v>95466</v>
          </cell>
          <cell r="B351" t="str">
            <v>Pasta para empanada de piña</v>
          </cell>
          <cell r="C351" t="str">
            <v>TANDA</v>
          </cell>
          <cell r="D351" t="str">
            <v>GRAMO</v>
          </cell>
          <cell r="E351">
            <v>7170.5829880570664</v>
          </cell>
          <cell r="F351">
            <v>1.1636778623916044</v>
          </cell>
          <cell r="G351">
            <v>64.415063888888895</v>
          </cell>
          <cell r="H351">
            <v>1.0453596866096867E-2</v>
          </cell>
          <cell r="I351">
            <v>825</v>
          </cell>
          <cell r="J351">
            <v>0.13388510223953262</v>
          </cell>
        </row>
        <row r="352">
          <cell r="A352" t="str">
            <v>907000050</v>
          </cell>
          <cell r="B352" t="str">
            <v>ROSQUETE ARROLLADO 1000G</v>
          </cell>
          <cell r="C352" t="str">
            <v>UND</v>
          </cell>
          <cell r="D352" t="str">
            <v>UND</v>
          </cell>
          <cell r="E352">
            <v>1078.5488084368583</v>
          </cell>
          <cell r="F352">
            <v>1078.5488084368583</v>
          </cell>
          <cell r="G352">
            <v>64.069821784958108</v>
          </cell>
          <cell r="H352">
            <v>64.069821784958108</v>
          </cell>
          <cell r="I352">
            <v>150.70540571420932</v>
          </cell>
          <cell r="J352">
            <v>150.70540571420932</v>
          </cell>
        </row>
        <row r="353">
          <cell r="A353" t="str">
            <v>90100280</v>
          </cell>
          <cell r="B353" t="str">
            <v>SALSA POMODORO 15000</v>
          </cell>
          <cell r="C353" t="str">
            <v>TANDA</v>
          </cell>
          <cell r="D353" t="str">
            <v>GRAMO</v>
          </cell>
          <cell r="E353">
            <v>21018.911828324784</v>
          </cell>
          <cell r="F353">
            <v>1.4012607885549857</v>
          </cell>
          <cell r="G353">
            <v>0</v>
          </cell>
          <cell r="I353">
            <v>1925</v>
          </cell>
          <cell r="J353">
            <v>0.12833333333333333</v>
          </cell>
        </row>
        <row r="354">
          <cell r="A354" t="str">
            <v>95969</v>
          </cell>
          <cell r="B354" t="str">
            <v>CALDO POLLO C/CARCASA 47000</v>
          </cell>
          <cell r="C354" t="str">
            <v>TANDA</v>
          </cell>
          <cell r="D354" t="str">
            <v>GRAMO</v>
          </cell>
          <cell r="E354">
            <v>25962.644746666661</v>
          </cell>
          <cell r="F354">
            <v>0.55239669673758851</v>
          </cell>
          <cell r="G354">
            <v>231.47791333333333</v>
          </cell>
          <cell r="H354">
            <v>4.9250619858156024E-3</v>
          </cell>
          <cell r="I354">
            <v>1650</v>
          </cell>
          <cell r="J354">
            <v>3.5106382978723406E-2</v>
          </cell>
        </row>
        <row r="355">
          <cell r="A355" t="str">
            <v>90100129</v>
          </cell>
          <cell r="B355" t="str">
            <v>ALMIDON MODIFICADO (BOLSA:5000g)</v>
          </cell>
          <cell r="C355" t="str">
            <v>TANDA</v>
          </cell>
          <cell r="D355" t="str">
            <v>GRAMO</v>
          </cell>
          <cell r="E355">
            <v>5716.2</v>
          </cell>
          <cell r="F355">
            <v>1.14324</v>
          </cell>
          <cell r="G355">
            <v>35.609333333333339</v>
          </cell>
          <cell r="H355">
            <v>7.1218666666666682E-3</v>
          </cell>
          <cell r="I355">
            <v>55</v>
          </cell>
          <cell r="J355">
            <v>1.0999999999999999E-2</v>
          </cell>
        </row>
        <row r="356">
          <cell r="A356" t="str">
            <v>90100279</v>
          </cell>
          <cell r="B356" t="str">
            <v>SALSA CULANTRO 2000G</v>
          </cell>
          <cell r="C356" t="str">
            <v>TANDA</v>
          </cell>
          <cell r="D356" t="str">
            <v>GRAMO</v>
          </cell>
          <cell r="E356">
            <v>3002.3665583193829</v>
          </cell>
          <cell r="F356">
            <v>1.5011832791596915</v>
          </cell>
          <cell r="G356">
            <v>9.5495689134751789</v>
          </cell>
          <cell r="H356">
            <v>4.7747844567375894E-3</v>
          </cell>
          <cell r="I356">
            <v>600.18293617021277</v>
          </cell>
          <cell r="J356">
            <v>0.30009146808510639</v>
          </cell>
        </row>
        <row r="357">
          <cell r="A357" t="str">
            <v>90100126</v>
          </cell>
          <cell r="B357" t="str">
            <v>RELLENO LOMO SALTEADO 3150G</v>
          </cell>
          <cell r="C357" t="str">
            <v>TANDA</v>
          </cell>
          <cell r="D357" t="str">
            <v>GRAMO</v>
          </cell>
          <cell r="E357">
            <v>24248.467874774124</v>
          </cell>
          <cell r="F357">
            <v>7.6979263094521029</v>
          </cell>
          <cell r="G357">
            <v>66.339104999999989</v>
          </cell>
          <cell r="H357">
            <v>2.1060033333333329E-2</v>
          </cell>
          <cell r="I357">
            <v>440</v>
          </cell>
          <cell r="J357">
            <v>0.13968253968253969</v>
          </cell>
        </row>
        <row r="358">
          <cell r="A358" t="str">
            <v>90100127</v>
          </cell>
          <cell r="B358" t="str">
            <v>SALSA DE AJI 1400G</v>
          </cell>
          <cell r="C358" t="str">
            <v>TANDA</v>
          </cell>
          <cell r="D358" t="str">
            <v>GRAMO</v>
          </cell>
          <cell r="E358">
            <v>2818.5643070588239</v>
          </cell>
          <cell r="F358">
            <v>2.0132602193277314</v>
          </cell>
          <cell r="G358">
            <v>29.188105</v>
          </cell>
          <cell r="H358">
            <v>2.084864642857143E-2</v>
          </cell>
          <cell r="I358">
            <v>275</v>
          </cell>
          <cell r="J358">
            <v>0.19642857142857142</v>
          </cell>
        </row>
        <row r="359">
          <cell r="A359" t="str">
            <v>95970</v>
          </cell>
          <cell r="B359" t="str">
            <v>MEZCLA GALLO PINTO BUCCA 4000G</v>
          </cell>
          <cell r="C359" t="str">
            <v>TANDA</v>
          </cell>
          <cell r="D359" t="str">
            <v>GRAMO</v>
          </cell>
          <cell r="E359">
            <v>3180.8075313185109</v>
          </cell>
          <cell r="F359">
            <v>0.79520188282962767</v>
          </cell>
          <cell r="G359">
            <v>47.385759144413669</v>
          </cell>
          <cell r="H359">
            <v>1.1846439786103417E-2</v>
          </cell>
          <cell r="I359">
            <v>952.70875711626547</v>
          </cell>
          <cell r="J359">
            <v>0.23817718927906636</v>
          </cell>
        </row>
        <row r="360">
          <cell r="A360" t="str">
            <v>90100249</v>
          </cell>
          <cell r="B360" t="str">
            <v>COCCION POLLO DIABLA TIA FLORITA 9600G</v>
          </cell>
          <cell r="C360" t="str">
            <v>TANDA</v>
          </cell>
          <cell r="D360" t="str">
            <v>GRAMO</v>
          </cell>
          <cell r="E360">
            <v>38900.07380369032</v>
          </cell>
          <cell r="F360">
            <v>4.0520910212177421</v>
          </cell>
          <cell r="G360">
            <v>0</v>
          </cell>
          <cell r="H360">
            <v>0</v>
          </cell>
          <cell r="I360">
            <v>1650</v>
          </cell>
          <cell r="J360">
            <v>0.171875</v>
          </cell>
        </row>
        <row r="361">
          <cell r="A361" t="str">
            <v>90100250</v>
          </cell>
          <cell r="B361" t="str">
            <v>SALSA DIABLA TIA FLORITA 10025G</v>
          </cell>
          <cell r="C361" t="str">
            <v>TANDA</v>
          </cell>
          <cell r="D361" t="str">
            <v>GRAMO</v>
          </cell>
          <cell r="E361">
            <v>25339.183771707376</v>
          </cell>
          <cell r="F361">
            <v>2.5275993787239277</v>
          </cell>
          <cell r="G361">
            <v>2.5212961383779827E-4</v>
          </cell>
          <cell r="H361">
            <v>2.515008616835893E-8</v>
          </cell>
          <cell r="I361">
            <v>1375</v>
          </cell>
          <cell r="J361">
            <v>0.13715710723192021</v>
          </cell>
        </row>
        <row r="362">
          <cell r="A362" t="str">
            <v>90100247</v>
          </cell>
          <cell r="B362" t="str">
            <v>COCCION SALSA BOLOGNESA TIA FLORITA 8495</v>
          </cell>
          <cell r="C362" t="str">
            <v>TANDA</v>
          </cell>
          <cell r="D362" t="str">
            <v>GRAMO</v>
          </cell>
          <cell r="E362">
            <v>22006.831315487259</v>
          </cell>
          <cell r="F362">
            <v>2.5905628387860222</v>
          </cell>
          <cell r="G362">
            <v>3.0495148190535869E-4</v>
          </cell>
          <cell r="H362">
            <v>3.5897761260195255E-8</v>
          </cell>
          <cell r="I362">
            <v>1925</v>
          </cell>
          <cell r="J362">
            <v>0.22660388463802236</v>
          </cell>
        </row>
        <row r="363">
          <cell r="A363" t="str">
            <v>90100251</v>
          </cell>
          <cell r="B363" t="str">
            <v>COCCION CARNE STROGANOFF TIA FLORITA 7000G</v>
          </cell>
          <cell r="C363" t="str">
            <v>TANDA</v>
          </cell>
          <cell r="D363" t="str">
            <v>GRAMO</v>
          </cell>
          <cell r="E363">
            <v>55566.766594321198</v>
          </cell>
          <cell r="F363">
            <v>7.9381095134744566</v>
          </cell>
          <cell r="G363">
            <v>1.1340156447820651E-3</v>
          </cell>
          <cell r="H363">
            <v>1.6200223496886646E-7</v>
          </cell>
          <cell r="I363">
            <v>3850</v>
          </cell>
          <cell r="J363">
            <v>0.55000000000000004</v>
          </cell>
        </row>
        <row r="364">
          <cell r="A364" t="str">
            <v>90100252</v>
          </cell>
          <cell r="B364" t="str">
            <v>SALSA STROGANOFF TIA FLORITA 5400G</v>
          </cell>
          <cell r="C364" t="str">
            <v>TANDA</v>
          </cell>
          <cell r="D364" t="str">
            <v>GRAMO</v>
          </cell>
          <cell r="E364">
            <v>14656.3663</v>
          </cell>
          <cell r="F364">
            <v>2.7141419074074071</v>
          </cell>
          <cell r="G364">
            <v>5.0261887174211245E-4</v>
          </cell>
          <cell r="H364">
            <v>9.3077568841131936E-8</v>
          </cell>
          <cell r="I364">
            <v>1100</v>
          </cell>
          <cell r="J364">
            <v>0.20370370370370369</v>
          </cell>
        </row>
        <row r="365">
          <cell r="A365" t="str">
            <v>90100244</v>
          </cell>
          <cell r="B365" t="str">
            <v>ESTOFADO RES TIA FLORITA</v>
          </cell>
          <cell r="C365" t="str">
            <v>TANDA</v>
          </cell>
          <cell r="D365" t="str">
            <v>GRAMO</v>
          </cell>
          <cell r="E365">
            <v>20782.546792963221</v>
          </cell>
          <cell r="F365">
            <v>3.1637306733084518</v>
          </cell>
          <cell r="G365">
            <v>4.8161526462299465E-4</v>
          </cell>
          <cell r="H365">
            <v>7.3316374581061756E-8</v>
          </cell>
          <cell r="I365">
            <v>4950</v>
          </cell>
          <cell r="J365">
            <v>0.75353935149946716</v>
          </cell>
        </row>
        <row r="366">
          <cell r="A366" t="str">
            <v>90100117</v>
          </cell>
          <cell r="B366" t="str">
            <v>RELLENO ESPINACA-POLLO 9200G</v>
          </cell>
          <cell r="C366" t="str">
            <v>TANDA</v>
          </cell>
          <cell r="D366" t="str">
            <v>GRAMO</v>
          </cell>
          <cell r="E366">
            <v>34639.842823397303</v>
          </cell>
          <cell r="F366">
            <v>3.7652003068910114</v>
          </cell>
          <cell r="G366">
            <v>28.8983727040243</v>
          </cell>
          <cell r="H366">
            <v>3.1411274678287285E-3</v>
          </cell>
          <cell r="I366">
            <v>2320.3334390085506</v>
          </cell>
          <cell r="J366">
            <v>0.25221015641397287</v>
          </cell>
        </row>
        <row r="367">
          <cell r="A367" t="str">
            <v>902000009</v>
          </cell>
          <cell r="B367" t="str">
            <v>BATIDO MELOCOTON FROM SCRATCH 21600</v>
          </cell>
          <cell r="C367" t="str">
            <v>TANDA</v>
          </cell>
          <cell r="D367" t="str">
            <v>GRAMO</v>
          </cell>
          <cell r="E367">
            <v>23324.529458823534</v>
          </cell>
          <cell r="F367">
            <v>1.0798393267973858</v>
          </cell>
          <cell r="G367">
            <v>0</v>
          </cell>
          <cell r="H367">
            <v>0</v>
          </cell>
          <cell r="I367">
            <v>440</v>
          </cell>
          <cell r="J367">
            <v>2.0370370370370372E-2</v>
          </cell>
        </row>
        <row r="368">
          <cell r="A368" t="str">
            <v>907000233</v>
          </cell>
          <cell r="B368" t="str">
            <v>ROSQUETE MELOCOTON PERSONAL 180G</v>
          </cell>
          <cell r="C368" t="str">
            <v>UND</v>
          </cell>
          <cell r="D368" t="str">
            <v>UND</v>
          </cell>
          <cell r="E368">
            <v>208.40697893340794</v>
          </cell>
          <cell r="F368">
            <v>208.40697893340794</v>
          </cell>
          <cell r="G368">
            <v>0.90565200671140944</v>
          </cell>
          <cell r="H368">
            <v>0.90565200671140944</v>
          </cell>
          <cell r="I368">
            <v>10.744987571464083</v>
          </cell>
          <cell r="J368">
            <v>10.744987571464083</v>
          </cell>
        </row>
        <row r="369">
          <cell r="A369" t="str">
            <v>902000085</v>
          </cell>
          <cell r="B369" t="str">
            <v>RELLENO LIMON PLANTA 2000G</v>
          </cell>
          <cell r="C369" t="str">
            <v>TANDA</v>
          </cell>
          <cell r="D369" t="str">
            <v>GRAMO</v>
          </cell>
          <cell r="E369">
            <v>41745.107599999996</v>
          </cell>
          <cell r="F369">
            <v>2.0872553799999998</v>
          </cell>
          <cell r="G369">
            <v>442.81700000000006</v>
          </cell>
          <cell r="H369">
            <v>0.22140850000000004</v>
          </cell>
          <cell r="I369">
            <v>440</v>
          </cell>
          <cell r="J369">
            <v>0.22</v>
          </cell>
        </row>
        <row r="370">
          <cell r="A370" t="str">
            <v>90100131</v>
          </cell>
          <cell r="B370" t="str">
            <v>AZUCAR BLANCO INDUSTRIAL</v>
          </cell>
          <cell r="C370" t="str">
            <v>TANDA</v>
          </cell>
          <cell r="D370" t="str">
            <v>GRAMO</v>
          </cell>
          <cell r="E370">
            <v>585.51</v>
          </cell>
          <cell r="F370">
            <v>0.39034000000000002</v>
          </cell>
          <cell r="G370">
            <v>35.609333333333339</v>
          </cell>
          <cell r="H370">
            <v>2.3739555555555559E-2</v>
          </cell>
          <cell r="I370">
            <v>55</v>
          </cell>
          <cell r="J370">
            <v>3.6666666666666667E-2</v>
          </cell>
        </row>
        <row r="371">
          <cell r="A371" t="str">
            <v>90100286</v>
          </cell>
          <cell r="B371" t="str">
            <v>TOPPING MELOCOTON PLANTA 10000G</v>
          </cell>
          <cell r="C371" t="str">
            <v>TANDA</v>
          </cell>
          <cell r="D371" t="str">
            <v>GRAMO</v>
          </cell>
          <cell r="E371">
            <v>12376.555990909092</v>
          </cell>
          <cell r="F371">
            <v>1.2376555990909091</v>
          </cell>
          <cell r="G371">
            <v>73.45082882676769</v>
          </cell>
          <cell r="H371">
            <v>7.3450828826767687E-3</v>
          </cell>
          <cell r="I371">
            <v>1205.3583333333333</v>
          </cell>
          <cell r="J371">
            <v>0.12053583333333333</v>
          </cell>
        </row>
        <row r="372">
          <cell r="A372" t="str">
            <v>20100117</v>
          </cell>
          <cell r="B372" t="str">
            <v>EMPAQUE TOPPING MELOCOTON PLANTA 2000G</v>
          </cell>
          <cell r="C372" t="str">
            <v>BOLSA</v>
          </cell>
          <cell r="D372" t="str">
            <v>GRAMO</v>
          </cell>
          <cell r="E372">
            <v>2475.3111981818179</v>
          </cell>
          <cell r="F372">
            <v>1.2376555990909088</v>
          </cell>
          <cell r="G372">
            <v>26.73494576535354</v>
          </cell>
          <cell r="H372">
            <v>1.336747288267677E-2</v>
          </cell>
          <cell r="I372">
            <v>296.07166666666666</v>
          </cell>
          <cell r="J372">
            <v>0.14803583333333334</v>
          </cell>
        </row>
        <row r="373">
          <cell r="A373" t="str">
            <v>20500039</v>
          </cell>
          <cell r="B373" t="str">
            <v>TOPPING MELOCOON C/TOPPING 8000G PLANTA</v>
          </cell>
          <cell r="C373" t="str">
            <v>TANDA</v>
          </cell>
          <cell r="D373" t="str">
            <v>GRAMO</v>
          </cell>
          <cell r="E373">
            <v>11210.111968745454</v>
          </cell>
          <cell r="F373">
            <v>1.4012639960931816</v>
          </cell>
          <cell r="G373">
            <v>38.222176783227283</v>
          </cell>
          <cell r="H373">
            <v>4.7777720979034106E-3</v>
          </cell>
          <cell r="I373">
            <v>674.69675000000007</v>
          </cell>
          <cell r="J373">
            <v>8.4337093750000008E-2</v>
          </cell>
        </row>
        <row r="374">
          <cell r="A374" t="str">
            <v>90100056</v>
          </cell>
          <cell r="B374" t="str">
            <v>SALSA TOMATE NUEVAPLANTA 5950G</v>
          </cell>
          <cell r="C374" t="str">
            <v>TANDA</v>
          </cell>
          <cell r="D374" t="str">
            <v>GRAMO</v>
          </cell>
          <cell r="E374">
            <v>9784.4693420111053</v>
          </cell>
          <cell r="F374">
            <v>1.6444486289094296</v>
          </cell>
          <cell r="G374">
            <v>0</v>
          </cell>
          <cell r="H374">
            <v>0</v>
          </cell>
          <cell r="I374">
            <v>1100</v>
          </cell>
          <cell r="J374">
            <v>0.18487394957983194</v>
          </cell>
        </row>
        <row r="375">
          <cell r="A375" t="str">
            <v>90100232</v>
          </cell>
          <cell r="B375" t="str">
            <v>STRIPS RP 15850G</v>
          </cell>
          <cell r="C375" t="str">
            <v>TANDA</v>
          </cell>
          <cell r="D375" t="str">
            <v>GRAMO</v>
          </cell>
          <cell r="E375">
            <v>68056.679166666669</v>
          </cell>
          <cell r="F375">
            <v>4.2937967928496317</v>
          </cell>
          <cell r="G375">
            <v>0</v>
          </cell>
          <cell r="H375">
            <v>0</v>
          </cell>
          <cell r="I375">
            <v>4400</v>
          </cell>
          <cell r="J375">
            <v>0.27760252365930599</v>
          </cell>
        </row>
        <row r="376">
          <cell r="A376" t="str">
            <v>90100159</v>
          </cell>
          <cell r="B376" t="str">
            <v>PATACONES RP UND</v>
          </cell>
          <cell r="C376" t="str">
            <v>UND</v>
          </cell>
          <cell r="D376" t="str">
            <v>UND</v>
          </cell>
          <cell r="E376">
            <v>60.769213483146068</v>
          </cell>
          <cell r="F376">
            <v>60.769213483146068</v>
          </cell>
          <cell r="G376">
            <v>1.3627415730337077E-3</v>
          </cell>
          <cell r="H376">
            <v>1.3627415730337077E-3</v>
          </cell>
          <cell r="I376">
            <v>5.5673595505617977</v>
          </cell>
          <cell r="J376">
            <v>5.5673595505617977</v>
          </cell>
        </row>
        <row r="377">
          <cell r="A377" t="str">
            <v>90100196</v>
          </cell>
          <cell r="B377" t="str">
            <v>REPOLLO RALLADO ROTIPOLLOS 14500G</v>
          </cell>
          <cell r="C377" t="str">
            <v>TANDA</v>
          </cell>
          <cell r="D377" t="str">
            <v>GRAMO</v>
          </cell>
          <cell r="E377">
            <v>6080</v>
          </cell>
          <cell r="F377">
            <v>0.41931034482758622</v>
          </cell>
          <cell r="G377">
            <v>0</v>
          </cell>
          <cell r="H377">
            <v>0</v>
          </cell>
          <cell r="I377">
            <v>385</v>
          </cell>
          <cell r="J377">
            <v>2.6551724137931033E-2</v>
          </cell>
        </row>
        <row r="378">
          <cell r="A378" t="str">
            <v>90100197</v>
          </cell>
          <cell r="B378" t="str">
            <v>ZANAHORIA RALLADA ROSTIPOLLOS 3700G</v>
          </cell>
          <cell r="C378" t="str">
            <v>TANDA</v>
          </cell>
          <cell r="D378" t="str">
            <v>GRAMO</v>
          </cell>
          <cell r="E378">
            <v>2460</v>
          </cell>
          <cell r="F378">
            <v>0.66486486486486485</v>
          </cell>
          <cell r="G378">
            <v>0</v>
          </cell>
          <cell r="H378">
            <v>0</v>
          </cell>
          <cell r="I378">
            <v>385</v>
          </cell>
          <cell r="J378">
            <v>0.10405405405405406</v>
          </cell>
        </row>
        <row r="379">
          <cell r="A379" t="str">
            <v>90100287</v>
          </cell>
          <cell r="B379" t="str">
            <v>CHILE RALLADO RP 2400G</v>
          </cell>
          <cell r="C379" t="str">
            <v>TANDA</v>
          </cell>
          <cell r="D379" t="str">
            <v>GRAMO</v>
          </cell>
          <cell r="E379">
            <v>3285</v>
          </cell>
          <cell r="F379">
            <v>1.3687499999999999</v>
          </cell>
          <cell r="G379">
            <v>0</v>
          </cell>
          <cell r="H379">
            <v>0</v>
          </cell>
          <cell r="I379">
            <v>385</v>
          </cell>
          <cell r="J379">
            <v>0.16041666666666668</v>
          </cell>
        </row>
        <row r="380">
          <cell r="A380" t="str">
            <v>90100276</v>
          </cell>
          <cell r="B380" t="str">
            <v>BATIDO DE VAINILLA RP 27500G</v>
          </cell>
          <cell r="C380" t="str">
            <v>TANDA</v>
          </cell>
          <cell r="D380" t="str">
            <v>GRAMO</v>
          </cell>
          <cell r="E380">
            <v>34551.182990282527</v>
          </cell>
          <cell r="F380">
            <v>1.256406654192092</v>
          </cell>
          <cell r="G380">
            <v>4.5687514697894255E-5</v>
          </cell>
          <cell r="H380">
            <v>1.6613641708325183E-9</v>
          </cell>
          <cell r="I380">
            <v>440</v>
          </cell>
          <cell r="J380">
            <v>1.6E-2</v>
          </cell>
        </row>
        <row r="381">
          <cell r="A381" t="str">
            <v>90100277</v>
          </cell>
          <cell r="B381" t="str">
            <v>ROSQUETE DE VAINILLA RP (1100G)</v>
          </cell>
          <cell r="C381" t="str">
            <v>UND</v>
          </cell>
          <cell r="D381" t="str">
            <v>UND</v>
          </cell>
          <cell r="E381">
            <v>1382.8785947790864</v>
          </cell>
          <cell r="F381">
            <v>1382.8785947790864</v>
          </cell>
          <cell r="G381">
            <v>1.1341300671140942E-2</v>
          </cell>
          <cell r="H381">
            <v>1.1341300671140942E-2</v>
          </cell>
          <cell r="I381">
            <v>94.655369127516792</v>
          </cell>
          <cell r="J381">
            <v>94.655369127516792</v>
          </cell>
        </row>
        <row r="382">
          <cell r="A382" t="str">
            <v>90100278</v>
          </cell>
          <cell r="B382" t="str">
            <v>ENSAMBLE TORTA VAINILLA RP</v>
          </cell>
          <cell r="C382" t="str">
            <v>UND</v>
          </cell>
          <cell r="D382" t="str">
            <v>UND</v>
          </cell>
          <cell r="E382">
            <v>4249.5394535523583</v>
          </cell>
          <cell r="F382">
            <v>4249.5394535523583</v>
          </cell>
          <cell r="G382">
            <v>275.0164492263159</v>
          </cell>
          <cell r="H382">
            <v>275.0164492263159</v>
          </cell>
          <cell r="I382">
            <v>4249.5394535523583</v>
          </cell>
          <cell r="J382">
            <v>456.13340346148783</v>
          </cell>
        </row>
        <row r="383">
          <cell r="A383" t="str">
            <v>90100288</v>
          </cell>
          <cell r="B383" t="str">
            <v>RELLENO MELOCOTON BUCCA  16000G</v>
          </cell>
          <cell r="C383" t="str">
            <v>TANDA</v>
          </cell>
          <cell r="D383" t="str">
            <v>GRAMO</v>
          </cell>
          <cell r="E383">
            <v>22739.972676923077</v>
          </cell>
          <cell r="F383">
            <v>1.4212482923076923</v>
          </cell>
          <cell r="G383">
            <v>0</v>
          </cell>
          <cell r="H383">
            <v>0</v>
          </cell>
          <cell r="I383">
            <v>825</v>
          </cell>
          <cell r="J383">
            <v>5.1562499999999997E-2</v>
          </cell>
        </row>
        <row r="384">
          <cell r="A384" t="str">
            <v>90100289</v>
          </cell>
          <cell r="B384" t="str">
            <v>EMPAQUE RELLENO MELOCOTON BUCCA 4000G</v>
          </cell>
          <cell r="C384" t="str">
            <v>TANDA</v>
          </cell>
          <cell r="D384" t="str">
            <v>GRAMO</v>
          </cell>
          <cell r="E384">
            <v>5684.9931692307691</v>
          </cell>
          <cell r="F384">
            <v>1.4212482923076923</v>
          </cell>
          <cell r="G384">
            <v>12.027854444444444</v>
          </cell>
          <cell r="H384">
            <v>3.006963611111111E-3</v>
          </cell>
          <cell r="I384">
            <v>261.25</v>
          </cell>
          <cell r="J384">
            <v>6.5312499999999996E-2</v>
          </cell>
        </row>
        <row r="385">
          <cell r="A385" t="str">
            <v>907000088</v>
          </cell>
          <cell r="B385" t="str">
            <v>ROSQUETE SUPER ESPONJA 250G</v>
          </cell>
          <cell r="C385" t="str">
            <v>UND</v>
          </cell>
          <cell r="D385" t="str">
            <v>UND</v>
          </cell>
          <cell r="E385">
            <v>342.19956566918029</v>
          </cell>
          <cell r="F385">
            <v>342.19956566918029</v>
          </cell>
          <cell r="G385">
            <v>3.225383877796784</v>
          </cell>
          <cell r="H385">
            <v>3.225383877796784</v>
          </cell>
          <cell r="I385">
            <v>12.772742170347644</v>
          </cell>
          <cell r="J385">
            <v>12.772742170347644</v>
          </cell>
        </row>
        <row r="386">
          <cell r="A386" t="str">
            <v>907000005</v>
          </cell>
          <cell r="B386" t="str">
            <v>MEZCLA FLAN COCO SPOON 14000G</v>
          </cell>
          <cell r="C386" t="str">
            <v>TANDA</v>
          </cell>
          <cell r="D386" t="str">
            <v>GRAMO</v>
          </cell>
          <cell r="E386">
            <v>28505.621473458821</v>
          </cell>
          <cell r="F386">
            <v>2.0361158195327729</v>
          </cell>
          <cell r="G386">
            <v>1.4543684425234092E-4</v>
          </cell>
          <cell r="H386">
            <v>1.0388346018024351E-8</v>
          </cell>
          <cell r="I386">
            <v>550</v>
          </cell>
          <cell r="J386">
            <v>3.9285714285714285E-2</v>
          </cell>
        </row>
        <row r="387">
          <cell r="A387" t="str">
            <v>906000051</v>
          </cell>
          <cell r="B387" t="str">
            <v>SOMBRERO PALMITO FROLA 65G</v>
          </cell>
          <cell r="C387" t="str">
            <v>UND</v>
          </cell>
          <cell r="D387" t="str">
            <v>UND</v>
          </cell>
          <cell r="E387">
            <v>91.65801588330207</v>
          </cell>
          <cell r="F387">
            <v>91.65801588330207</v>
          </cell>
          <cell r="G387">
            <v>1.9184015901103857</v>
          </cell>
          <cell r="H387">
            <v>1.9184015901103857</v>
          </cell>
          <cell r="I387">
            <v>38.22613334084074</v>
          </cell>
          <cell r="J387">
            <v>38.22613334084074</v>
          </cell>
        </row>
        <row r="388">
          <cell r="A388" t="str">
            <v>903000155</v>
          </cell>
          <cell r="B388" t="str">
            <v>CUADRO HOJALDRE ENCHILADA PAPA</v>
          </cell>
          <cell r="C388" t="str">
            <v>UND</v>
          </cell>
          <cell r="D388" t="str">
            <v>UND</v>
          </cell>
          <cell r="E388">
            <v>28.199774758511111</v>
          </cell>
          <cell r="F388">
            <v>28.199774758511111</v>
          </cell>
          <cell r="G388">
            <v>0.11780661953323908</v>
          </cell>
          <cell r="H388">
            <v>0.11780661953323908</v>
          </cell>
          <cell r="I388">
            <v>12.402463725894815</v>
          </cell>
          <cell r="J388">
            <v>12.402463725894815</v>
          </cell>
        </row>
        <row r="389">
          <cell r="A389" t="str">
            <v>903000127</v>
          </cell>
          <cell r="B389" t="str">
            <v>ENCHILADA PAPA Y CARNE</v>
          </cell>
          <cell r="C389" t="str">
            <v>UND</v>
          </cell>
          <cell r="D389" t="str">
            <v>UND</v>
          </cell>
          <cell r="E389">
            <v>188.15803653845248</v>
          </cell>
          <cell r="F389">
            <v>188.15803653845248</v>
          </cell>
          <cell r="G389">
            <v>0.41355966518192949</v>
          </cell>
          <cell r="H389">
            <v>0.41355966518192949</v>
          </cell>
          <cell r="I389">
            <v>32.825871204054749</v>
          </cell>
          <cell r="J389">
            <v>32.825871204054749</v>
          </cell>
        </row>
        <row r="390">
          <cell r="A390" t="str">
            <v>905000073</v>
          </cell>
          <cell r="B390" t="str">
            <v>RELLENO PAPA CON CARNE ENCHILADA</v>
          </cell>
          <cell r="C390" t="str">
            <v>TANDA</v>
          </cell>
          <cell r="D390" t="str">
            <v>GRAMO</v>
          </cell>
          <cell r="E390">
            <v>14483.312060873948</v>
          </cell>
          <cell r="F390">
            <v>2.4138853434789915</v>
          </cell>
          <cell r="G390">
            <v>3.4014410714285717</v>
          </cell>
          <cell r="H390">
            <v>5.6690684523809528E-4</v>
          </cell>
          <cell r="I390">
            <v>1008.3333333333333</v>
          </cell>
          <cell r="J390">
            <v>0.16805555555555554</v>
          </cell>
        </row>
        <row r="391">
          <cell r="A391" t="str">
            <v>903000173</v>
          </cell>
          <cell r="B391" t="str">
            <v>CIRCULO HOJALDRE 6 CM</v>
          </cell>
          <cell r="C391" t="str">
            <v>UND</v>
          </cell>
          <cell r="D391" t="str">
            <v>UND</v>
          </cell>
          <cell r="E391">
            <v>15.178328251236945</v>
          </cell>
          <cell r="F391">
            <v>15.178328251236945</v>
          </cell>
          <cell r="G391">
            <v>6.0375892510785033E-2</v>
          </cell>
          <cell r="H391">
            <v>6.0375892510785033E-2</v>
          </cell>
          <cell r="I391">
            <v>5.5083459928544265</v>
          </cell>
          <cell r="J391">
            <v>5.5083459928544265</v>
          </cell>
        </row>
        <row r="392">
          <cell r="A392" t="str">
            <v>903000174</v>
          </cell>
          <cell r="B392" t="str">
            <v>ARREGLADO MINI</v>
          </cell>
          <cell r="C392" t="str">
            <v>UND</v>
          </cell>
          <cell r="D392" t="str">
            <v>UND</v>
          </cell>
          <cell r="E392">
            <v>16.938328251236943</v>
          </cell>
          <cell r="F392">
            <v>16.938328251236943</v>
          </cell>
          <cell r="G392">
            <v>0.36531751251078504</v>
          </cell>
          <cell r="H392">
            <v>0.36531751251078504</v>
          </cell>
          <cell r="I392">
            <v>6.0583459928544263</v>
          </cell>
          <cell r="J392">
            <v>6.0583459928544263</v>
          </cell>
        </row>
        <row r="393">
          <cell r="A393" t="str">
            <v>907000221</v>
          </cell>
          <cell r="B393" t="str">
            <v>BATIDO BROWNIE BLONDIE</v>
          </cell>
          <cell r="C393" t="str">
            <v>TANDA</v>
          </cell>
          <cell r="D393" t="str">
            <v>GRAMO</v>
          </cell>
          <cell r="E393">
            <v>19788.55594117647</v>
          </cell>
          <cell r="F393">
            <v>1.9788555941176469</v>
          </cell>
          <cell r="G393">
            <v>0</v>
          </cell>
          <cell r="H393">
            <v>0</v>
          </cell>
          <cell r="I393">
            <v>275</v>
          </cell>
          <cell r="J393">
            <v>2.75E-2</v>
          </cell>
        </row>
        <row r="394">
          <cell r="A394" t="str">
            <v>907000222</v>
          </cell>
          <cell r="B394" t="str">
            <v>PLANCHA BROWNIE BLONDIE</v>
          </cell>
          <cell r="C394" t="str">
            <v>UND</v>
          </cell>
          <cell r="D394" t="str">
            <v>UND</v>
          </cell>
          <cell r="E394">
            <v>4190.6290235294118</v>
          </cell>
          <cell r="F394">
            <v>4190.6290235294118</v>
          </cell>
          <cell r="G394">
            <v>111.21710400000001</v>
          </cell>
          <cell r="H394">
            <v>111.21710400000001</v>
          </cell>
          <cell r="I394">
            <v>110</v>
          </cell>
          <cell r="J394">
            <v>110</v>
          </cell>
        </row>
        <row r="395">
          <cell r="A395" t="str">
            <v>96333</v>
          </cell>
          <cell r="B395" t="str">
            <v>MEZCLA TRES LECHES CON DULCE LECHE</v>
          </cell>
          <cell r="C395" t="str">
            <v>TANDA</v>
          </cell>
          <cell r="D395" t="str">
            <v>GRAMO</v>
          </cell>
          <cell r="E395">
            <v>7978.930311008</v>
          </cell>
          <cell r="F395">
            <v>1.5957860622016</v>
          </cell>
          <cell r="G395">
            <v>5.3780174999999995</v>
          </cell>
          <cell r="H395">
            <v>1.0756034999999998E-3</v>
          </cell>
          <cell r="I395">
            <v>153.56</v>
          </cell>
          <cell r="J395">
            <v>3.0712E-2</v>
          </cell>
        </row>
        <row r="396">
          <cell r="A396" t="str">
            <v>905000061</v>
          </cell>
          <cell r="B396" t="str">
            <v>Crema Chantilly Fucsia</v>
          </cell>
          <cell r="C396" t="str">
            <v>TANDA</v>
          </cell>
          <cell r="D396" t="str">
            <v>GRAMO</v>
          </cell>
          <cell r="E396">
            <v>18642.174413199999</v>
          </cell>
          <cell r="F396">
            <v>1.9022626952244897</v>
          </cell>
          <cell r="G396">
            <v>0</v>
          </cell>
          <cell r="H396">
            <v>0</v>
          </cell>
          <cell r="I396">
            <v>550</v>
          </cell>
          <cell r="J396">
            <v>5.6122448979591837E-2</v>
          </cell>
        </row>
        <row r="397">
          <cell r="A397" t="str">
            <v>95237</v>
          </cell>
          <cell r="B397" t="str">
            <v>PASTEL PALMITO PEQ</v>
          </cell>
          <cell r="C397" t="str">
            <v>UND</v>
          </cell>
          <cell r="D397" t="str">
            <v>UND</v>
          </cell>
          <cell r="E397">
            <v>184.50862978491162</v>
          </cell>
          <cell r="F397">
            <v>184.50862978491162</v>
          </cell>
          <cell r="G397">
            <v>3.0933846334028137</v>
          </cell>
          <cell r="H397">
            <v>3.0933846334028137</v>
          </cell>
          <cell r="I397">
            <v>59.574693822721429</v>
          </cell>
          <cell r="J397">
            <v>59.574693822721429</v>
          </cell>
        </row>
        <row r="398">
          <cell r="A398" t="str">
            <v>90100098</v>
          </cell>
          <cell r="B398" t="str">
            <v>RELLENO PASTEL ALMENDRAS 7500G</v>
          </cell>
          <cell r="C398" t="str">
            <v>TANDA</v>
          </cell>
          <cell r="D398" t="str">
            <v>GRAMO</v>
          </cell>
          <cell r="E398">
            <v>15080.066657318017</v>
          </cell>
          <cell r="F398">
            <v>2.0106755543090689</v>
          </cell>
          <cell r="G398">
            <v>34.418857142857149</v>
          </cell>
          <cell r="H398">
            <v>4.5891809523809536E-3</v>
          </cell>
          <cell r="I398">
            <v>550</v>
          </cell>
          <cell r="J398">
            <v>7.3333333333333334E-2</v>
          </cell>
        </row>
        <row r="399">
          <cell r="A399" t="str">
            <v>90100099</v>
          </cell>
          <cell r="B399" t="str">
            <v>PIE ALMENDRAS Y PECANAS PERSONAL</v>
          </cell>
          <cell r="C399" t="str">
            <v>UND</v>
          </cell>
          <cell r="D399" t="str">
            <v>UND</v>
          </cell>
          <cell r="E399">
            <v>223.11516382003214</v>
          </cell>
          <cell r="F399">
            <v>223.11516382003214</v>
          </cell>
          <cell r="G399">
            <v>1.0054282854078063</v>
          </cell>
          <cell r="H399">
            <v>1.0054282854078063</v>
          </cell>
          <cell r="I399">
            <v>54.949213516922292</v>
          </cell>
          <cell r="J399">
            <v>54.949213516922292</v>
          </cell>
        </row>
        <row r="400">
          <cell r="A400" t="str">
            <v>903000162</v>
          </cell>
          <cell r="B400" t="str">
            <v>RUEDA PASTA FROLA EMPANA POLLO Y CEBOLLA</v>
          </cell>
          <cell r="C400" t="str">
            <v>UND</v>
          </cell>
          <cell r="D400" t="str">
            <v>UND</v>
          </cell>
          <cell r="E400">
            <v>35.299909185482043</v>
          </cell>
          <cell r="F400">
            <v>35.299909185482043</v>
          </cell>
          <cell r="G400">
            <v>0.14620371576944172</v>
          </cell>
          <cell r="H400">
            <v>0.14620371576944172</v>
          </cell>
          <cell r="I400">
            <v>13.078384887484008</v>
          </cell>
          <cell r="J400">
            <v>13.078384887484008</v>
          </cell>
        </row>
        <row r="401">
          <cell r="A401" t="str">
            <v>902000013</v>
          </cell>
          <cell r="B401" t="str">
            <v>RELLENO POLLO Y CEBOLLA 400G</v>
          </cell>
          <cell r="C401" t="str">
            <v>PAQ</v>
          </cell>
          <cell r="D401" t="str">
            <v>GRAMO</v>
          </cell>
          <cell r="E401">
            <v>1554.2800282203368</v>
          </cell>
          <cell r="F401">
            <v>3.885700070550842</v>
          </cell>
          <cell r="G401">
            <v>16.491913485116637</v>
          </cell>
          <cell r="H401">
            <v>4.1229783712791596E-2</v>
          </cell>
          <cell r="I401">
            <v>94.590803754408284</v>
          </cell>
          <cell r="J401">
            <v>0.2364770093860207</v>
          </cell>
        </row>
        <row r="402">
          <cell r="A402" t="str">
            <v>903000100</v>
          </cell>
          <cell r="B402" t="str">
            <v>EMPANADA POLLO Y CEBOLLA 72G</v>
          </cell>
          <cell r="C402" t="str">
            <v>UND</v>
          </cell>
          <cell r="D402" t="str">
            <v>UND</v>
          </cell>
          <cell r="E402">
            <v>192.72245786881328</v>
          </cell>
          <cell r="F402">
            <v>192.72245786881328</v>
          </cell>
          <cell r="G402">
            <v>2.305521314392962</v>
          </cell>
          <cell r="H402">
            <v>2.305521314392962</v>
          </cell>
          <cell r="I402">
            <v>31.713360117510963</v>
          </cell>
          <cell r="J402">
            <v>31.713360117510963</v>
          </cell>
        </row>
        <row r="403">
          <cell r="A403" t="str">
            <v>906000086</v>
          </cell>
          <cell r="B403" t="str">
            <v>EMPANADA PIÑA Y COCO 85G</v>
          </cell>
          <cell r="C403" t="str">
            <v>UND</v>
          </cell>
          <cell r="D403" t="str">
            <v>UND</v>
          </cell>
          <cell r="E403">
            <v>123.83184685326725</v>
          </cell>
          <cell r="F403">
            <v>123.83184685326725</v>
          </cell>
          <cell r="G403">
            <v>0.95754501644058276</v>
          </cell>
          <cell r="H403">
            <v>0.95754501644058276</v>
          </cell>
          <cell r="I403">
            <v>20.467087348334118</v>
          </cell>
          <cell r="J403">
            <v>20.467087348334118</v>
          </cell>
        </row>
        <row r="404">
          <cell r="A404" t="str">
            <v>901000182</v>
          </cell>
          <cell r="B404" t="str">
            <v>ADEREZO CULANTRO 2400G</v>
          </cell>
          <cell r="C404" t="str">
            <v>TANDA</v>
          </cell>
          <cell r="D404" t="str">
            <v>GRAMO</v>
          </cell>
          <cell r="E404">
            <v>4534.0574728730599</v>
          </cell>
          <cell r="F404">
            <v>1.8891906136971082</v>
          </cell>
          <cell r="G404">
            <v>14.437899462426836</v>
          </cell>
          <cell r="H404">
            <v>6.0157914426778487E-3</v>
          </cell>
          <cell r="I404">
            <v>205.6984989507886</v>
          </cell>
          <cell r="J404">
            <v>8.5707707896161917E-2</v>
          </cell>
        </row>
        <row r="405">
          <cell r="A405" t="str">
            <v>907000064</v>
          </cell>
          <cell r="B405" t="str">
            <v>ROSQUETE ZANAHORIA RECT (900g)</v>
          </cell>
          <cell r="C405" t="str">
            <v>UND</v>
          </cell>
          <cell r="D405" t="str">
            <v>UND</v>
          </cell>
          <cell r="E405">
            <v>1486.4085368633203</v>
          </cell>
          <cell r="F405">
            <v>1486.4085368633203</v>
          </cell>
          <cell r="G405">
            <v>11.738226791491613</v>
          </cell>
          <cell r="H405">
            <v>11.738226791491613</v>
          </cell>
          <cell r="I405">
            <v>142.08472634928557</v>
          </cell>
          <cell r="J405">
            <v>142.08472634928557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zoomScaleNormal="100" workbookViewId="0">
      <selection activeCell="B3" sqref="B3:F3"/>
    </sheetView>
  </sheetViews>
  <sheetFormatPr baseColWidth="10" defaultColWidth="11.42578125" defaultRowHeight="12.75" x14ac:dyDescent="0.2"/>
  <cols>
    <col min="1" max="1" width="16.140625" style="3" customWidth="1"/>
    <col min="2" max="2" width="24.5703125" style="3" customWidth="1"/>
    <col min="3" max="3" width="40.5703125" style="3" customWidth="1"/>
    <col min="4" max="4" width="15.5703125" style="3" customWidth="1"/>
    <col min="5" max="5" width="11.42578125" style="3"/>
    <col min="6" max="6" width="13.140625" style="3" customWidth="1"/>
    <col min="7" max="7" width="12.5703125" style="3" customWidth="1"/>
    <col min="8" max="8" width="15.5703125" style="3" customWidth="1"/>
    <col min="9" max="9" width="16" style="3" customWidth="1"/>
    <col min="10" max="16384" width="11.42578125" style="3"/>
  </cols>
  <sheetData>
    <row r="1" spans="1:9" ht="18" x14ac:dyDescent="0.25">
      <c r="A1" s="214"/>
      <c r="B1" s="165"/>
      <c r="C1" s="227" t="s">
        <v>0</v>
      </c>
      <c r="D1" s="227"/>
      <c r="E1" s="227"/>
      <c r="F1" s="227"/>
      <c r="G1" s="227"/>
      <c r="H1" s="1" t="s">
        <v>1</v>
      </c>
      <c r="I1" s="2"/>
    </row>
    <row r="2" spans="1:9" ht="18" x14ac:dyDescent="0.25">
      <c r="A2" s="215"/>
      <c r="B2" s="166"/>
      <c r="C2" s="228" t="s">
        <v>2</v>
      </c>
      <c r="D2" s="228"/>
      <c r="E2" s="228"/>
      <c r="F2" s="228"/>
      <c r="G2" s="228"/>
      <c r="H2" s="4" t="s">
        <v>3</v>
      </c>
      <c r="I2" s="5"/>
    </row>
    <row r="3" spans="1:9" ht="50.1" customHeight="1" x14ac:dyDescent="0.2">
      <c r="A3" s="215"/>
      <c r="B3" s="167"/>
      <c r="C3" s="229" t="s">
        <v>137</v>
      </c>
      <c r="D3" s="230"/>
      <c r="E3" s="230"/>
      <c r="F3" s="230"/>
      <c r="G3" s="231"/>
      <c r="H3" s="205" t="s">
        <v>4</v>
      </c>
      <c r="I3" s="224"/>
    </row>
    <row r="4" spans="1:9" x14ac:dyDescent="0.2">
      <c r="A4" s="215"/>
      <c r="B4" s="166"/>
      <c r="C4" s="40" t="s">
        <v>5</v>
      </c>
      <c r="D4" s="223" t="s">
        <v>6</v>
      </c>
      <c r="E4" s="223"/>
      <c r="F4" s="223"/>
      <c r="G4" s="223"/>
      <c r="H4" s="205"/>
      <c r="I4" s="224"/>
    </row>
    <row r="5" spans="1:9" ht="15" customHeight="1" thickBot="1" x14ac:dyDescent="0.25">
      <c r="A5" s="216"/>
      <c r="B5" s="168"/>
      <c r="C5" s="41" t="s">
        <v>7</v>
      </c>
      <c r="D5" s="226" t="s">
        <v>8</v>
      </c>
      <c r="E5" s="226"/>
      <c r="F5" s="226"/>
      <c r="G5" s="226"/>
      <c r="H5" s="206"/>
      <c r="I5" s="225"/>
    </row>
    <row r="6" spans="1:9" ht="15" customHeight="1" x14ac:dyDescent="0.2">
      <c r="A6" s="35"/>
      <c r="B6" s="35"/>
      <c r="C6" s="36"/>
      <c r="D6" s="37"/>
      <c r="E6" s="37"/>
      <c r="F6" s="37"/>
      <c r="G6" s="37"/>
      <c r="H6" s="38"/>
      <c r="I6" s="39"/>
    </row>
    <row r="7" spans="1:9" ht="21" customHeight="1" thickBot="1" x14ac:dyDescent="0.3">
      <c r="A7" s="222" t="s">
        <v>9</v>
      </c>
      <c r="B7" s="222"/>
      <c r="C7" s="222"/>
      <c r="D7" s="203" t="s">
        <v>10</v>
      </c>
      <c r="E7" s="203"/>
      <c r="F7" s="203"/>
      <c r="G7" s="204" t="s">
        <v>11</v>
      </c>
      <c r="H7" s="204"/>
      <c r="I7" s="45" t="s">
        <v>12</v>
      </c>
    </row>
    <row r="8" spans="1:9" ht="25.5" x14ac:dyDescent="0.2">
      <c r="A8" s="217" t="s">
        <v>13</v>
      </c>
      <c r="B8" s="220" t="s">
        <v>138</v>
      </c>
      <c r="C8" s="207" t="s">
        <v>14</v>
      </c>
      <c r="D8" s="207" t="s">
        <v>15</v>
      </c>
      <c r="E8" s="207" t="s">
        <v>16</v>
      </c>
      <c r="F8" s="207"/>
      <c r="G8" s="207" t="s">
        <v>17</v>
      </c>
      <c r="H8" s="207"/>
      <c r="I8" s="6" t="s">
        <v>18</v>
      </c>
    </row>
    <row r="9" spans="1:9" ht="26.25" thickBot="1" x14ac:dyDescent="0.25">
      <c r="A9" s="218"/>
      <c r="B9" s="221"/>
      <c r="C9" s="219"/>
      <c r="D9" s="219"/>
      <c r="E9" s="7" t="s">
        <v>19</v>
      </c>
      <c r="F9" s="8" t="s">
        <v>20</v>
      </c>
      <c r="G9" s="7" t="s">
        <v>19</v>
      </c>
      <c r="H9" s="8" t="s">
        <v>20</v>
      </c>
      <c r="I9" s="44" t="s">
        <v>21</v>
      </c>
    </row>
    <row r="10" spans="1:9" x14ac:dyDescent="0.2">
      <c r="A10" s="56" t="s">
        <v>22</v>
      </c>
      <c r="B10" s="56" t="s">
        <v>139</v>
      </c>
      <c r="C10" t="s">
        <v>23</v>
      </c>
      <c r="D10" s="42"/>
      <c r="E10" s="42">
        <v>100</v>
      </c>
      <c r="F10" s="42" t="s">
        <v>24</v>
      </c>
      <c r="G10" s="28"/>
      <c r="H10" s="42"/>
      <c r="I10" s="43"/>
    </row>
    <row r="11" spans="1:9" ht="15" x14ac:dyDescent="0.25">
      <c r="A11" s="57" t="s">
        <v>25</v>
      </c>
      <c r="B11" s="169" t="s">
        <v>140</v>
      </c>
      <c r="C11" s="58" t="s">
        <v>26</v>
      </c>
      <c r="D11" s="42"/>
      <c r="E11" s="42">
        <v>160</v>
      </c>
      <c r="F11" s="42" t="s">
        <v>24</v>
      </c>
      <c r="G11" s="28"/>
      <c r="H11" s="42"/>
      <c r="I11" s="43"/>
    </row>
    <row r="12" spans="1:9" ht="15" x14ac:dyDescent="0.25">
      <c r="A12" s="57" t="s">
        <v>27</v>
      </c>
      <c r="B12" s="169" t="s">
        <v>140</v>
      </c>
      <c r="C12" s="58" t="s">
        <v>28</v>
      </c>
      <c r="D12" s="42"/>
      <c r="E12" s="42">
        <v>50</v>
      </c>
      <c r="F12" s="42" t="s">
        <v>24</v>
      </c>
      <c r="G12" s="28"/>
      <c r="H12" s="42"/>
      <c r="I12" s="43"/>
    </row>
    <row r="13" spans="1:9" x14ac:dyDescent="0.2">
      <c r="A13" s="56" t="s">
        <v>29</v>
      </c>
      <c r="B13" s="56" t="s">
        <v>141</v>
      </c>
      <c r="C13" t="s">
        <v>30</v>
      </c>
      <c r="D13" s="42"/>
      <c r="E13" s="42">
        <v>15</v>
      </c>
      <c r="F13" s="42" t="s">
        <v>24</v>
      </c>
      <c r="G13" s="28"/>
      <c r="H13" s="42"/>
      <c r="I13" s="43"/>
    </row>
    <row r="14" spans="1:9" x14ac:dyDescent="0.2">
      <c r="A14" s="56" t="s">
        <v>31</v>
      </c>
      <c r="B14" s="56" t="s">
        <v>142</v>
      </c>
      <c r="C14" t="s">
        <v>32</v>
      </c>
      <c r="D14" s="42"/>
      <c r="E14" s="42">
        <v>60</v>
      </c>
      <c r="F14" s="42" t="s">
        <v>24</v>
      </c>
      <c r="G14" s="28"/>
      <c r="H14" s="42"/>
      <c r="I14" s="43"/>
    </row>
    <row r="15" spans="1:9" x14ac:dyDescent="0.2">
      <c r="A15" s="56" t="s">
        <v>33</v>
      </c>
      <c r="B15" s="56" t="s">
        <v>140</v>
      </c>
      <c r="C15" t="s">
        <v>34</v>
      </c>
      <c r="D15" s="42"/>
      <c r="E15" s="42">
        <v>1145</v>
      </c>
      <c r="F15" s="42" t="s">
        <v>24</v>
      </c>
      <c r="G15" s="28"/>
      <c r="H15" s="42"/>
      <c r="I15" s="43"/>
    </row>
    <row r="16" spans="1:9" x14ac:dyDescent="0.2">
      <c r="A16" s="56" t="s">
        <v>35</v>
      </c>
      <c r="B16" s="56" t="s">
        <v>140</v>
      </c>
      <c r="C16" t="s">
        <v>36</v>
      </c>
      <c r="D16" s="42"/>
      <c r="E16" s="42">
        <v>15</v>
      </c>
      <c r="F16" s="42" t="s">
        <v>24</v>
      </c>
      <c r="G16" s="28"/>
      <c r="H16" s="42"/>
      <c r="I16" s="43"/>
    </row>
    <row r="17" spans="1:13" x14ac:dyDescent="0.2">
      <c r="A17" s="47">
        <v>9999</v>
      </c>
      <c r="B17" s="170" t="s">
        <v>140</v>
      </c>
      <c r="C17" s="48" t="s">
        <v>37</v>
      </c>
      <c r="D17" s="42"/>
      <c r="E17" s="42">
        <v>900</v>
      </c>
      <c r="F17" s="42" t="s">
        <v>24</v>
      </c>
      <c r="G17" s="28"/>
      <c r="H17" s="42"/>
      <c r="I17" s="43"/>
    </row>
    <row r="18" spans="1:13" ht="15" x14ac:dyDescent="0.25">
      <c r="A18" s="57" t="s">
        <v>38</v>
      </c>
      <c r="B18" s="169" t="s">
        <v>140</v>
      </c>
      <c r="C18" s="58" t="s">
        <v>39</v>
      </c>
      <c r="D18" s="59" t="s">
        <v>40</v>
      </c>
      <c r="E18" s="42">
        <v>40</v>
      </c>
      <c r="F18" s="42" t="s">
        <v>24</v>
      </c>
      <c r="G18" s="28"/>
      <c r="H18" s="42"/>
      <c r="I18" s="43"/>
    </row>
    <row r="19" spans="1:13" x14ac:dyDescent="0.2">
      <c r="A19" s="56" t="s">
        <v>41</v>
      </c>
      <c r="B19" s="56" t="s">
        <v>140</v>
      </c>
      <c r="C19" t="s">
        <v>42</v>
      </c>
      <c r="D19" s="42"/>
      <c r="E19" s="42">
        <v>2</v>
      </c>
      <c r="F19" s="42" t="s">
        <v>24</v>
      </c>
      <c r="G19" s="28"/>
      <c r="H19" s="42"/>
      <c r="I19" s="43"/>
    </row>
    <row r="20" spans="1:13" ht="13.5" customHeight="1" x14ac:dyDescent="0.2">
      <c r="A20" s="56" t="s">
        <v>43</v>
      </c>
      <c r="B20" s="56" t="s">
        <v>143</v>
      </c>
      <c r="C20" t="s">
        <v>44</v>
      </c>
      <c r="D20" s="51"/>
      <c r="E20" s="52">
        <v>160</v>
      </c>
      <c r="F20" s="53" t="s">
        <v>24</v>
      </c>
      <c r="G20" s="9"/>
      <c r="H20" s="10"/>
      <c r="I20" s="11"/>
    </row>
    <row r="21" spans="1:13" x14ac:dyDescent="0.2">
      <c r="A21" s="49"/>
      <c r="B21" s="171"/>
      <c r="C21" s="50"/>
      <c r="D21" s="51"/>
      <c r="E21" s="52"/>
      <c r="F21" s="53"/>
      <c r="G21" s="9"/>
      <c r="H21" s="10"/>
      <c r="I21" s="11"/>
    </row>
    <row r="22" spans="1:13" x14ac:dyDescent="0.2">
      <c r="A22" s="49"/>
      <c r="B22" s="171"/>
      <c r="C22" s="46"/>
      <c r="D22" s="51"/>
      <c r="E22" s="52"/>
      <c r="F22" s="53"/>
      <c r="G22" s="9"/>
      <c r="H22" s="10"/>
      <c r="I22" s="11"/>
    </row>
    <row r="23" spans="1:13" x14ac:dyDescent="0.2">
      <c r="A23" s="54"/>
      <c r="B23" s="172"/>
      <c r="C23" s="12"/>
      <c r="D23" s="55"/>
      <c r="E23" s="10"/>
      <c r="F23" s="10"/>
      <c r="G23" s="9"/>
      <c r="H23" s="10"/>
      <c r="I23" s="13"/>
    </row>
    <row r="24" spans="1:13" x14ac:dyDescent="0.2">
      <c r="A24" s="14"/>
      <c r="B24" s="173"/>
      <c r="C24" s="15"/>
      <c r="D24" s="55"/>
      <c r="E24" s="16"/>
      <c r="F24" s="16"/>
      <c r="G24" s="16"/>
      <c r="H24" s="16"/>
      <c r="I24" s="13"/>
    </row>
    <row r="25" spans="1:13" ht="13.5" thickBot="1" x14ac:dyDescent="0.25">
      <c r="A25" s="17"/>
      <c r="B25" s="174"/>
      <c r="E25" s="18"/>
      <c r="F25" s="19"/>
      <c r="I25" s="20"/>
      <c r="L25" s="21"/>
    </row>
    <row r="26" spans="1:13" ht="13.5" thickBot="1" x14ac:dyDescent="0.25">
      <c r="A26" s="22"/>
      <c r="B26" s="175"/>
      <c r="C26" s="23"/>
      <c r="D26" s="24" t="s">
        <v>19</v>
      </c>
      <c r="E26" s="25" t="s">
        <v>45</v>
      </c>
      <c r="F26" s="26"/>
      <c r="G26" s="23"/>
      <c r="H26" s="23"/>
      <c r="I26" s="27"/>
      <c r="L26" s="21"/>
    </row>
    <row r="27" spans="1:13" x14ac:dyDescent="0.2">
      <c r="A27" s="208" t="s">
        <v>46</v>
      </c>
      <c r="B27" s="209"/>
      <c r="C27" s="210"/>
      <c r="D27" s="28">
        <v>2150</v>
      </c>
      <c r="E27" s="29" t="s">
        <v>24</v>
      </c>
      <c r="F27" s="211"/>
      <c r="G27" s="211"/>
      <c r="H27" s="212"/>
      <c r="I27" s="213"/>
      <c r="L27" s="21"/>
    </row>
    <row r="28" spans="1:13" x14ac:dyDescent="0.2">
      <c r="A28" s="195" t="s">
        <v>47</v>
      </c>
      <c r="B28" s="196"/>
      <c r="C28" s="197"/>
      <c r="D28" s="30">
        <v>14</v>
      </c>
      <c r="E28" s="10" t="s">
        <v>48</v>
      </c>
      <c r="F28" s="198"/>
      <c r="G28" s="198"/>
      <c r="H28" s="199"/>
      <c r="I28" s="200"/>
      <c r="L28" s="21"/>
    </row>
    <row r="29" spans="1:13" x14ac:dyDescent="0.2">
      <c r="A29" s="195" t="s">
        <v>49</v>
      </c>
      <c r="B29" s="196"/>
      <c r="C29" s="197"/>
      <c r="D29" s="9">
        <v>1</v>
      </c>
      <c r="E29" s="10" t="s">
        <v>50</v>
      </c>
      <c r="F29" s="198"/>
      <c r="G29" s="198"/>
      <c r="H29" s="199"/>
      <c r="I29" s="200"/>
      <c r="L29" s="21"/>
    </row>
    <row r="30" spans="1:13" x14ac:dyDescent="0.2">
      <c r="A30" s="195" t="s">
        <v>51</v>
      </c>
      <c r="B30" s="196"/>
      <c r="C30" s="197"/>
      <c r="D30" s="9">
        <v>180</v>
      </c>
      <c r="E30" s="10" t="s">
        <v>24</v>
      </c>
      <c r="F30" s="201"/>
      <c r="G30" s="202"/>
      <c r="H30" s="199"/>
      <c r="I30" s="200"/>
      <c r="L30" s="21"/>
      <c r="M30" s="31"/>
    </row>
    <row r="31" spans="1:13" ht="13.5" thickBot="1" x14ac:dyDescent="0.25">
      <c r="A31" s="180" t="s">
        <v>52</v>
      </c>
      <c r="B31" s="181"/>
      <c r="C31" s="182"/>
      <c r="D31" s="32">
        <f>SUM(E10:E20)-D27</f>
        <v>497</v>
      </c>
      <c r="E31" s="33" t="s">
        <v>24</v>
      </c>
      <c r="F31" s="183"/>
      <c r="G31" s="183"/>
      <c r="H31" s="184"/>
      <c r="I31" s="185"/>
      <c r="L31" s="21"/>
    </row>
    <row r="32" spans="1:13" ht="13.5" thickBot="1" x14ac:dyDescent="0.25">
      <c r="A32" s="192" t="s">
        <v>53</v>
      </c>
      <c r="B32" s="193"/>
      <c r="C32" s="193"/>
      <c r="D32" s="193"/>
      <c r="E32" s="193"/>
      <c r="F32" s="193"/>
      <c r="G32" s="193"/>
      <c r="H32" s="193"/>
      <c r="I32" s="194"/>
    </row>
    <row r="33" spans="1:9" ht="15" x14ac:dyDescent="0.25">
      <c r="A33" s="186" t="s">
        <v>54</v>
      </c>
      <c r="B33" s="187"/>
      <c r="C33" s="187"/>
      <c r="D33" s="187"/>
      <c r="E33" s="187"/>
      <c r="F33" s="187"/>
      <c r="G33" s="187"/>
      <c r="H33" s="187"/>
      <c r="I33" s="188"/>
    </row>
    <row r="34" spans="1:9" ht="15" x14ac:dyDescent="0.25">
      <c r="A34" s="186" t="s">
        <v>55</v>
      </c>
      <c r="B34" s="187"/>
      <c r="C34" s="187"/>
      <c r="D34" s="187"/>
      <c r="E34" s="187"/>
      <c r="F34" s="187"/>
      <c r="G34" s="187"/>
      <c r="H34" s="187"/>
      <c r="I34" s="188"/>
    </row>
    <row r="35" spans="1:9" ht="15" x14ac:dyDescent="0.25">
      <c r="A35" s="186" t="s">
        <v>56</v>
      </c>
      <c r="B35" s="187"/>
      <c r="C35" s="187"/>
      <c r="D35" s="187"/>
      <c r="E35" s="187"/>
      <c r="F35" s="187"/>
      <c r="G35" s="187"/>
      <c r="H35" s="187"/>
      <c r="I35" s="188"/>
    </row>
    <row r="36" spans="1:9" ht="15" x14ac:dyDescent="0.25">
      <c r="A36" s="186"/>
      <c r="B36" s="187"/>
      <c r="C36" s="187"/>
      <c r="D36" s="187"/>
      <c r="E36" s="187"/>
      <c r="F36" s="187"/>
      <c r="G36" s="187"/>
      <c r="H36" s="187"/>
      <c r="I36" s="188"/>
    </row>
    <row r="37" spans="1:9" ht="15" x14ac:dyDescent="0.25">
      <c r="A37" s="186"/>
      <c r="B37" s="187"/>
      <c r="C37" s="187"/>
      <c r="D37" s="187"/>
      <c r="E37" s="187"/>
      <c r="F37" s="187"/>
      <c r="G37" s="187"/>
      <c r="H37" s="187"/>
      <c r="I37" s="188"/>
    </row>
    <row r="38" spans="1:9" ht="15" x14ac:dyDescent="0.25">
      <c r="A38" s="186"/>
      <c r="B38" s="187"/>
      <c r="C38" s="187"/>
      <c r="D38" s="187"/>
      <c r="E38" s="187"/>
      <c r="F38" s="187"/>
      <c r="G38" s="187"/>
      <c r="H38" s="187"/>
      <c r="I38" s="188"/>
    </row>
    <row r="39" spans="1:9" ht="16.5" customHeight="1" x14ac:dyDescent="0.2">
      <c r="A39" s="189"/>
      <c r="B39" s="190"/>
      <c r="C39" s="190"/>
      <c r="D39" s="190"/>
      <c r="E39" s="190"/>
      <c r="F39" s="190"/>
      <c r="G39" s="190"/>
      <c r="H39" s="190"/>
      <c r="I39" s="191"/>
    </row>
    <row r="40" spans="1:9" ht="16.5" customHeight="1" x14ac:dyDescent="0.2">
      <c r="A40" s="189"/>
      <c r="B40" s="190"/>
      <c r="C40" s="190"/>
      <c r="D40" s="190"/>
      <c r="E40" s="190"/>
      <c r="F40" s="190"/>
      <c r="G40" s="190"/>
      <c r="H40" s="190"/>
      <c r="I40" s="191"/>
    </row>
    <row r="41" spans="1:9" ht="16.5" customHeight="1" thickBot="1" x14ac:dyDescent="0.25">
      <c r="A41" s="177"/>
      <c r="B41" s="178"/>
      <c r="C41" s="178"/>
      <c r="D41" s="178"/>
      <c r="E41" s="178"/>
      <c r="F41" s="178"/>
      <c r="G41" s="178"/>
      <c r="H41" s="178"/>
      <c r="I41" s="179"/>
    </row>
    <row r="43" spans="1:9" x14ac:dyDescent="0.2">
      <c r="A43" s="34"/>
      <c r="B43" s="34"/>
      <c r="C43" s="34"/>
    </row>
  </sheetData>
  <mergeCells count="42">
    <mergeCell ref="A7:C7"/>
    <mergeCell ref="D4:G4"/>
    <mergeCell ref="I3:I5"/>
    <mergeCell ref="D5:G5"/>
    <mergeCell ref="C1:G1"/>
    <mergeCell ref="C2:G2"/>
    <mergeCell ref="C3:G3"/>
    <mergeCell ref="A28:C28"/>
    <mergeCell ref="F28:G28"/>
    <mergeCell ref="D7:F7"/>
    <mergeCell ref="G7:H7"/>
    <mergeCell ref="H3:H5"/>
    <mergeCell ref="G8:H8"/>
    <mergeCell ref="A27:C27"/>
    <mergeCell ref="F27:G27"/>
    <mergeCell ref="H27:I27"/>
    <mergeCell ref="A1:A5"/>
    <mergeCell ref="A8:A9"/>
    <mergeCell ref="C8:C9"/>
    <mergeCell ref="D8:D9"/>
    <mergeCell ref="H28:I28"/>
    <mergeCell ref="B8:B9"/>
    <mergeCell ref="E8:F8"/>
    <mergeCell ref="A29:C29"/>
    <mergeCell ref="F29:G29"/>
    <mergeCell ref="H29:I29"/>
    <mergeCell ref="F30:G30"/>
    <mergeCell ref="H30:I30"/>
    <mergeCell ref="A30:C30"/>
    <mergeCell ref="A41:I41"/>
    <mergeCell ref="A31:C31"/>
    <mergeCell ref="F31:G31"/>
    <mergeCell ref="H31:I31"/>
    <mergeCell ref="A33:I33"/>
    <mergeCell ref="A39:I39"/>
    <mergeCell ref="A40:I40"/>
    <mergeCell ref="A32:I32"/>
    <mergeCell ref="A34:I34"/>
    <mergeCell ref="A38:I38"/>
    <mergeCell ref="A35:I35"/>
    <mergeCell ref="A36:I36"/>
    <mergeCell ref="A37:I37"/>
  </mergeCells>
  <pageMargins left="0.15748031496063" right="0" top="0.98425196850393704" bottom="0.98425196850393704" header="0" footer="0"/>
  <pageSetup scale="7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85161-8EE7-4580-93DE-C7095A575299}">
  <sheetPr>
    <pageSetUpPr fitToPage="1"/>
  </sheetPr>
  <dimension ref="A1:I62"/>
  <sheetViews>
    <sheetView tabSelected="1" zoomScale="90" zoomScaleNormal="90" workbookViewId="0">
      <selection activeCell="C1" sqref="C1:G1"/>
    </sheetView>
  </sheetViews>
  <sheetFormatPr baseColWidth="10" defaultRowHeight="12.75" x14ac:dyDescent="0.2"/>
  <cols>
    <col min="1" max="1" width="15.42578125" bestFit="1" customWidth="1"/>
    <col min="2" max="2" width="16" customWidth="1"/>
    <col min="3" max="3" width="36" customWidth="1"/>
    <col min="4" max="4" width="26.5703125" customWidth="1"/>
    <col min="7" max="7" width="17.5703125" customWidth="1"/>
    <col min="8" max="8" width="15" customWidth="1"/>
    <col min="9" max="9" width="20.42578125" bestFit="1" customWidth="1"/>
  </cols>
  <sheetData>
    <row r="1" spans="1:9" ht="15.75" x14ac:dyDescent="0.25">
      <c r="A1" s="241"/>
      <c r="B1" s="242"/>
      <c r="C1" s="247" t="s">
        <v>0</v>
      </c>
      <c r="D1" s="247"/>
      <c r="E1" s="247"/>
      <c r="F1" s="247"/>
      <c r="G1" s="247"/>
      <c r="H1" s="156" t="s">
        <v>1</v>
      </c>
      <c r="I1" s="157" t="s">
        <v>160</v>
      </c>
    </row>
    <row r="2" spans="1:9" ht="15.75" x14ac:dyDescent="0.25">
      <c r="A2" s="243"/>
      <c r="B2" s="244"/>
      <c r="C2" s="248" t="s">
        <v>2</v>
      </c>
      <c r="D2" s="248"/>
      <c r="E2" s="248"/>
      <c r="F2" s="248"/>
      <c r="G2" s="248"/>
      <c r="H2" s="158" t="s">
        <v>3</v>
      </c>
      <c r="I2" s="159" t="s">
        <v>161</v>
      </c>
    </row>
    <row r="3" spans="1:9" ht="21" thickBot="1" x14ac:dyDescent="0.25">
      <c r="A3" s="243"/>
      <c r="B3" s="244"/>
      <c r="C3" s="410" t="s">
        <v>137</v>
      </c>
      <c r="D3" s="410"/>
      <c r="E3" s="410"/>
      <c r="F3" s="410"/>
      <c r="G3" s="410"/>
      <c r="H3" s="249" t="s">
        <v>4</v>
      </c>
      <c r="I3" s="232">
        <v>45609</v>
      </c>
    </row>
    <row r="4" spans="1:9" ht="13.5" x14ac:dyDescent="0.25">
      <c r="A4" s="243"/>
      <c r="B4" s="244"/>
      <c r="C4" s="176" t="s">
        <v>5</v>
      </c>
      <c r="D4" s="235" t="s">
        <v>162</v>
      </c>
      <c r="E4" s="236"/>
      <c r="F4" s="236"/>
      <c r="G4" s="237"/>
      <c r="H4" s="250"/>
      <c r="I4" s="233"/>
    </row>
    <row r="5" spans="1:9" ht="14.25" thickBot="1" x14ac:dyDescent="0.3">
      <c r="A5" s="245"/>
      <c r="B5" s="246"/>
      <c r="C5" s="160" t="s">
        <v>7</v>
      </c>
      <c r="D5" s="238" t="s">
        <v>163</v>
      </c>
      <c r="E5" s="239"/>
      <c r="F5" s="239"/>
      <c r="G5" s="240"/>
      <c r="H5" s="251"/>
      <c r="I5" s="234"/>
    </row>
    <row r="6" spans="1:9" ht="18.75" thickBot="1" x14ac:dyDescent="0.3">
      <c r="A6" s="222" t="s">
        <v>9</v>
      </c>
      <c r="B6" s="222"/>
      <c r="C6" s="222"/>
      <c r="D6" s="203" t="s">
        <v>10</v>
      </c>
      <c r="E6" s="203"/>
      <c r="F6" s="203"/>
      <c r="G6" s="204" t="s">
        <v>11</v>
      </c>
      <c r="H6" s="204"/>
      <c r="I6" s="45" t="s">
        <v>12</v>
      </c>
    </row>
    <row r="7" spans="1:9" x14ac:dyDescent="0.2">
      <c r="A7" s="252" t="s">
        <v>13</v>
      </c>
      <c r="B7" s="254" t="s">
        <v>164</v>
      </c>
      <c r="C7" s="256" t="s">
        <v>14</v>
      </c>
      <c r="D7" s="256" t="s">
        <v>15</v>
      </c>
      <c r="E7" s="256" t="s">
        <v>16</v>
      </c>
      <c r="F7" s="256"/>
      <c r="G7" s="256" t="s">
        <v>17</v>
      </c>
      <c r="H7" s="256"/>
      <c r="I7" s="161" t="s">
        <v>18</v>
      </c>
    </row>
    <row r="8" spans="1:9" ht="26.25" thickBot="1" x14ac:dyDescent="0.25">
      <c r="A8" s="253"/>
      <c r="B8" s="255"/>
      <c r="C8" s="257"/>
      <c r="D8" s="257"/>
      <c r="E8" s="162" t="s">
        <v>19</v>
      </c>
      <c r="F8" s="163" t="s">
        <v>20</v>
      </c>
      <c r="G8" s="162" t="s">
        <v>19</v>
      </c>
      <c r="H8" s="163" t="s">
        <v>20</v>
      </c>
      <c r="I8" s="164" t="s">
        <v>21</v>
      </c>
    </row>
    <row r="9" spans="1:9" ht="18.75" thickBot="1" x14ac:dyDescent="0.3">
      <c r="A9" s="290"/>
      <c r="B9" s="291"/>
      <c r="C9" s="292" t="s">
        <v>165</v>
      </c>
      <c r="D9" s="293"/>
      <c r="E9" s="294"/>
      <c r="F9" s="295"/>
      <c r="G9" s="294"/>
      <c r="H9" s="295"/>
      <c r="I9" s="296"/>
    </row>
    <row r="10" spans="1:9" ht="18.75" thickBot="1" x14ac:dyDescent="0.3">
      <c r="A10" s="297" t="s">
        <v>57</v>
      </c>
      <c r="B10" s="297" t="s">
        <v>144</v>
      </c>
      <c r="C10" s="298" t="s">
        <v>174</v>
      </c>
      <c r="D10" s="299" t="s">
        <v>58</v>
      </c>
      <c r="E10" s="299">
        <v>100</v>
      </c>
      <c r="F10" s="299" t="s">
        <v>24</v>
      </c>
      <c r="G10" s="300"/>
      <c r="H10" s="301"/>
      <c r="I10" s="296"/>
    </row>
    <row r="11" spans="1:9" ht="18.75" thickBot="1" x14ac:dyDescent="0.3">
      <c r="A11" s="302" t="s">
        <v>25</v>
      </c>
      <c r="B11" s="302" t="s">
        <v>153</v>
      </c>
      <c r="C11" s="303" t="s">
        <v>145</v>
      </c>
      <c r="D11" s="299" t="s">
        <v>59</v>
      </c>
      <c r="E11" s="299">
        <v>160</v>
      </c>
      <c r="F11" s="299" t="s">
        <v>24</v>
      </c>
      <c r="G11" s="304"/>
      <c r="H11" s="301"/>
      <c r="I11" s="296"/>
    </row>
    <row r="12" spans="1:9" ht="18.75" thickBot="1" x14ac:dyDescent="0.3">
      <c r="A12" s="302" t="s">
        <v>27</v>
      </c>
      <c r="B12" s="302" t="s">
        <v>154</v>
      </c>
      <c r="C12" s="303" t="s">
        <v>166</v>
      </c>
      <c r="D12" s="299" t="s">
        <v>59</v>
      </c>
      <c r="E12" s="299">
        <v>50</v>
      </c>
      <c r="F12" s="299" t="s">
        <v>24</v>
      </c>
      <c r="G12" s="304"/>
      <c r="H12" s="301"/>
      <c r="I12" s="296"/>
    </row>
    <row r="13" spans="1:9" ht="18.75" thickBot="1" x14ac:dyDescent="0.3">
      <c r="A13" s="305" t="s">
        <v>29</v>
      </c>
      <c r="B13" s="305" t="s">
        <v>141</v>
      </c>
      <c r="C13" s="306" t="s">
        <v>146</v>
      </c>
      <c r="D13" s="299" t="s">
        <v>60</v>
      </c>
      <c r="E13" s="299">
        <v>15</v>
      </c>
      <c r="F13" s="299" t="s">
        <v>24</v>
      </c>
      <c r="G13" s="304"/>
      <c r="H13" s="301"/>
      <c r="I13" s="296"/>
    </row>
    <row r="14" spans="1:9" ht="18.75" thickBot="1" x14ac:dyDescent="0.3">
      <c r="A14" s="305" t="s">
        <v>31</v>
      </c>
      <c r="B14" s="305" t="s">
        <v>142</v>
      </c>
      <c r="C14" s="306" t="s">
        <v>147</v>
      </c>
      <c r="D14" s="299" t="s">
        <v>59</v>
      </c>
      <c r="E14" s="299">
        <v>60</v>
      </c>
      <c r="F14" s="299" t="s">
        <v>24</v>
      </c>
      <c r="G14" s="304"/>
      <c r="H14" s="301"/>
      <c r="I14" s="296"/>
    </row>
    <row r="15" spans="1:9" ht="18.75" thickBot="1" x14ac:dyDescent="0.3">
      <c r="A15" s="305" t="s">
        <v>33</v>
      </c>
      <c r="B15" s="305" t="s">
        <v>155</v>
      </c>
      <c r="C15" s="306" t="s">
        <v>167</v>
      </c>
      <c r="D15" s="299" t="s">
        <v>61</v>
      </c>
      <c r="E15" s="299">
        <v>1145</v>
      </c>
      <c r="F15" s="299" t="s">
        <v>24</v>
      </c>
      <c r="G15" s="304"/>
      <c r="H15" s="301"/>
      <c r="I15" s="296"/>
    </row>
    <row r="16" spans="1:9" ht="18.75" thickBot="1" x14ac:dyDescent="0.3">
      <c r="A16" s="305">
        <v>101073</v>
      </c>
      <c r="B16" s="305" t="s">
        <v>156</v>
      </c>
      <c r="C16" s="306" t="s">
        <v>148</v>
      </c>
      <c r="D16" s="299" t="s">
        <v>61</v>
      </c>
      <c r="E16" s="299">
        <v>15</v>
      </c>
      <c r="F16" s="299" t="s">
        <v>24</v>
      </c>
      <c r="G16" s="304"/>
      <c r="H16" s="301"/>
      <c r="I16" s="296"/>
    </row>
    <row r="17" spans="1:9" ht="18.75" thickBot="1" x14ac:dyDescent="0.3">
      <c r="A17" s="307">
        <v>10415</v>
      </c>
      <c r="B17" s="307"/>
      <c r="C17" s="306" t="s">
        <v>37</v>
      </c>
      <c r="D17" s="299" t="s">
        <v>62</v>
      </c>
      <c r="E17" s="299">
        <v>900</v>
      </c>
      <c r="F17" s="299" t="s">
        <v>24</v>
      </c>
      <c r="G17" s="304"/>
      <c r="H17" s="301"/>
      <c r="I17" s="296"/>
    </row>
    <row r="18" spans="1:9" ht="18.75" thickBot="1" x14ac:dyDescent="0.3">
      <c r="A18" s="308" t="s">
        <v>84</v>
      </c>
      <c r="B18" s="309" t="s">
        <v>157</v>
      </c>
      <c r="C18" s="303" t="s">
        <v>149</v>
      </c>
      <c r="D18" s="310" t="s">
        <v>40</v>
      </c>
      <c r="E18" s="299">
        <v>40</v>
      </c>
      <c r="F18" s="299" t="s">
        <v>24</v>
      </c>
      <c r="G18" s="304"/>
      <c r="H18" s="301"/>
      <c r="I18" s="296"/>
    </row>
    <row r="19" spans="1:9" ht="18.75" thickBot="1" x14ac:dyDescent="0.3">
      <c r="A19" s="305" t="s">
        <v>41</v>
      </c>
      <c r="B19" s="305" t="s">
        <v>158</v>
      </c>
      <c r="C19" s="306" t="s">
        <v>150</v>
      </c>
      <c r="D19" s="299" t="s">
        <v>63</v>
      </c>
      <c r="E19" s="299">
        <v>2</v>
      </c>
      <c r="F19" s="299" t="s">
        <v>24</v>
      </c>
      <c r="G19" s="304"/>
      <c r="H19" s="301"/>
      <c r="I19" s="296"/>
    </row>
    <row r="20" spans="1:9" ht="18.75" thickBot="1" x14ac:dyDescent="0.3">
      <c r="A20" s="305" t="s">
        <v>43</v>
      </c>
      <c r="B20" s="305" t="s">
        <v>143</v>
      </c>
      <c r="C20" s="306" t="s">
        <v>151</v>
      </c>
      <c r="D20" s="311" t="s">
        <v>64</v>
      </c>
      <c r="E20" s="312">
        <v>160</v>
      </c>
      <c r="F20" s="313" t="s">
        <v>24</v>
      </c>
      <c r="G20" s="304"/>
      <c r="H20" s="301"/>
      <c r="I20" s="296"/>
    </row>
    <row r="21" spans="1:9" ht="18.75" thickBot="1" x14ac:dyDescent="0.3">
      <c r="A21" s="305" t="s">
        <v>135</v>
      </c>
      <c r="B21" s="305" t="s">
        <v>159</v>
      </c>
      <c r="C21" s="306" t="s">
        <v>152</v>
      </c>
      <c r="D21" s="311" t="s">
        <v>168</v>
      </c>
      <c r="E21" s="312">
        <v>4</v>
      </c>
      <c r="F21" s="313" t="s">
        <v>24</v>
      </c>
      <c r="G21" s="304"/>
      <c r="H21" s="301"/>
      <c r="I21" s="296"/>
    </row>
    <row r="22" spans="1:9" ht="18" x14ac:dyDescent="0.25">
      <c r="A22" s="314"/>
      <c r="B22" s="315"/>
      <c r="C22" s="316"/>
      <c r="D22" s="311"/>
      <c r="E22" s="312"/>
      <c r="F22" s="313"/>
      <c r="G22" s="304"/>
      <c r="H22" s="301"/>
      <c r="I22" s="296"/>
    </row>
    <row r="23" spans="1:9" ht="18" x14ac:dyDescent="0.25">
      <c r="A23" s="317"/>
      <c r="B23" s="318"/>
      <c r="C23" s="319"/>
      <c r="D23" s="320"/>
      <c r="E23" s="317"/>
      <c r="F23" s="321"/>
      <c r="G23" s="294"/>
      <c r="H23" s="295"/>
      <c r="I23" s="296"/>
    </row>
    <row r="24" spans="1:9" ht="18" x14ac:dyDescent="0.25">
      <c r="A24" s="318"/>
      <c r="B24" s="318"/>
      <c r="C24" s="322"/>
      <c r="D24" s="312"/>
      <c r="E24" s="312"/>
      <c r="F24" s="313"/>
      <c r="G24" s="294"/>
      <c r="H24" s="295"/>
      <c r="I24" s="296"/>
    </row>
    <row r="25" spans="1:9" ht="18" x14ac:dyDescent="0.25">
      <c r="A25" s="323"/>
      <c r="B25" s="324"/>
      <c r="C25" s="325" t="s">
        <v>169</v>
      </c>
      <c r="D25" s="305"/>
      <c r="E25" s="326"/>
      <c r="F25" s="313"/>
      <c r="G25" s="294"/>
      <c r="H25" s="295"/>
      <c r="I25" s="296"/>
    </row>
    <row r="26" spans="1:9" ht="18" x14ac:dyDescent="0.25">
      <c r="A26" s="327"/>
      <c r="B26" s="305"/>
      <c r="C26" s="328"/>
      <c r="D26" s="329"/>
      <c r="E26" s="312"/>
      <c r="F26" s="313"/>
      <c r="G26" s="294"/>
      <c r="H26" s="295"/>
      <c r="I26" s="296"/>
    </row>
    <row r="27" spans="1:9" ht="18" x14ac:dyDescent="0.25">
      <c r="A27" s="318"/>
      <c r="B27" s="318"/>
      <c r="C27" s="322"/>
      <c r="D27" s="329"/>
      <c r="E27" s="312"/>
      <c r="F27" s="313"/>
      <c r="G27" s="294"/>
      <c r="H27" s="295"/>
      <c r="I27" s="296"/>
    </row>
    <row r="28" spans="1:9" ht="18" x14ac:dyDescent="0.25">
      <c r="A28" s="330"/>
      <c r="B28" s="330"/>
      <c r="C28" s="328"/>
      <c r="D28" s="329"/>
      <c r="E28" s="312"/>
      <c r="F28" s="313"/>
      <c r="G28" s="294"/>
      <c r="H28" s="295"/>
      <c r="I28" s="296"/>
    </row>
    <row r="29" spans="1:9" ht="18" x14ac:dyDescent="0.25">
      <c r="A29" s="318"/>
      <c r="B29" s="318"/>
      <c r="C29" s="322"/>
      <c r="D29" s="312"/>
      <c r="E29" s="305"/>
      <c r="F29" s="313"/>
      <c r="G29" s="294"/>
      <c r="H29" s="295"/>
      <c r="I29" s="296"/>
    </row>
    <row r="30" spans="1:9" ht="18" x14ac:dyDescent="0.25">
      <c r="A30" s="318"/>
      <c r="B30" s="318"/>
      <c r="C30" s="322"/>
      <c r="D30" s="320"/>
      <c r="E30" s="331"/>
      <c r="F30" s="332"/>
      <c r="G30" s="294"/>
      <c r="H30" s="295"/>
      <c r="I30" s="296"/>
    </row>
    <row r="31" spans="1:9" ht="18" x14ac:dyDescent="0.25">
      <c r="A31" s="333"/>
      <c r="B31" s="334"/>
      <c r="C31" s="335" t="s">
        <v>12</v>
      </c>
      <c r="D31" s="336"/>
      <c r="E31" s="294"/>
      <c r="F31" s="295"/>
      <c r="G31" s="294"/>
      <c r="H31" s="295"/>
      <c r="I31" s="296"/>
    </row>
    <row r="32" spans="1:9" ht="18" x14ac:dyDescent="0.25">
      <c r="A32" s="297"/>
      <c r="B32" s="318"/>
      <c r="C32" s="319"/>
      <c r="D32" s="337"/>
      <c r="E32" s="338"/>
      <c r="F32" s="339"/>
      <c r="G32" s="340"/>
      <c r="H32" s="305"/>
      <c r="I32" s="296"/>
    </row>
    <row r="33" spans="1:9" ht="18" x14ac:dyDescent="0.25">
      <c r="A33" s="341"/>
      <c r="B33" s="342"/>
      <c r="C33" s="343"/>
      <c r="D33" s="344"/>
      <c r="E33" s="317"/>
      <c r="F33" s="345"/>
      <c r="G33" s="340"/>
      <c r="H33" s="305"/>
      <c r="I33" s="296"/>
    </row>
    <row r="34" spans="1:9" ht="18" x14ac:dyDescent="0.25">
      <c r="A34" s="341"/>
      <c r="B34" s="342"/>
      <c r="C34" s="343"/>
      <c r="D34" s="344"/>
      <c r="E34" s="317"/>
      <c r="F34" s="345"/>
      <c r="G34" s="294"/>
      <c r="H34" s="295"/>
      <c r="I34" s="296"/>
    </row>
    <row r="35" spans="1:9" ht="18" x14ac:dyDescent="0.25">
      <c r="A35" s="346"/>
      <c r="B35" s="346"/>
      <c r="C35" s="322"/>
      <c r="D35" s="305"/>
      <c r="E35" s="312"/>
      <c r="F35" s="313"/>
      <c r="G35" s="294"/>
      <c r="H35" s="295"/>
      <c r="I35" s="296"/>
    </row>
    <row r="36" spans="1:9" ht="18" x14ac:dyDescent="0.25">
      <c r="A36" s="347"/>
      <c r="B36" s="348"/>
      <c r="C36" s="349"/>
      <c r="D36" s="305"/>
      <c r="E36" s="312"/>
      <c r="F36" s="313"/>
      <c r="G36" s="294"/>
      <c r="H36" s="295"/>
      <c r="I36" s="296"/>
    </row>
    <row r="37" spans="1:9" ht="18" x14ac:dyDescent="0.25">
      <c r="A37" s="347"/>
      <c r="B37" s="348"/>
      <c r="C37" s="349"/>
      <c r="D37" s="305"/>
      <c r="E37" s="312"/>
      <c r="F37" s="313"/>
      <c r="G37" s="350"/>
      <c r="H37" s="305"/>
      <c r="I37" s="296"/>
    </row>
    <row r="38" spans="1:9" ht="18" x14ac:dyDescent="0.25">
      <c r="A38" s="323"/>
      <c r="B38" s="324"/>
      <c r="C38" s="351"/>
      <c r="D38" s="305"/>
      <c r="E38" s="312"/>
      <c r="F38" s="313"/>
      <c r="G38" s="312"/>
      <c r="H38" s="305"/>
      <c r="I38" s="296"/>
    </row>
    <row r="39" spans="1:9" ht="18" x14ac:dyDescent="0.25">
      <c r="A39" s="323"/>
      <c r="B39" s="324"/>
      <c r="C39" s="351"/>
      <c r="D39" s="305"/>
      <c r="E39" s="312"/>
      <c r="F39" s="313"/>
      <c r="G39" s="312"/>
      <c r="H39" s="313"/>
      <c r="I39" s="296"/>
    </row>
    <row r="40" spans="1:9" ht="18" x14ac:dyDescent="0.25">
      <c r="A40" s="323"/>
      <c r="B40" s="324"/>
      <c r="C40" s="351"/>
      <c r="D40" s="305"/>
      <c r="E40" s="305"/>
      <c r="F40" s="313"/>
      <c r="G40" s="305"/>
      <c r="H40" s="305"/>
      <c r="I40" s="296"/>
    </row>
    <row r="41" spans="1:9" ht="18.75" thickBot="1" x14ac:dyDescent="0.3">
      <c r="A41" s="352"/>
      <c r="B41" s="353"/>
      <c r="C41" s="354"/>
      <c r="D41" s="354"/>
      <c r="E41" s="355"/>
      <c r="F41" s="356"/>
      <c r="G41" s="354"/>
      <c r="H41" s="354"/>
      <c r="I41" s="357"/>
    </row>
    <row r="42" spans="1:9" ht="18.75" thickBot="1" x14ac:dyDescent="0.3">
      <c r="A42" s="358"/>
      <c r="B42" s="359"/>
      <c r="C42" s="360"/>
      <c r="D42" s="361" t="s">
        <v>19</v>
      </c>
      <c r="E42" s="362" t="s">
        <v>45</v>
      </c>
      <c r="F42" s="363"/>
      <c r="G42" s="360"/>
      <c r="H42" s="360"/>
      <c r="I42" s="364"/>
    </row>
    <row r="43" spans="1:9" ht="18" x14ac:dyDescent="0.25">
      <c r="A43" s="365" t="s">
        <v>46</v>
      </c>
      <c r="B43" s="366"/>
      <c r="C43" s="367"/>
      <c r="D43" s="368">
        <v>2160</v>
      </c>
      <c r="E43" s="369" t="s">
        <v>24</v>
      </c>
      <c r="F43" s="370" t="s">
        <v>170</v>
      </c>
      <c r="G43" s="370"/>
      <c r="H43" s="371"/>
      <c r="I43" s="372"/>
    </row>
    <row r="44" spans="1:9" ht="18" x14ac:dyDescent="0.25">
      <c r="A44" s="373" t="s">
        <v>47</v>
      </c>
      <c r="B44" s="374"/>
      <c r="C44" s="375"/>
      <c r="D44" s="376">
        <v>14</v>
      </c>
      <c r="E44" s="318" t="s">
        <v>48</v>
      </c>
      <c r="F44" s="377" t="s">
        <v>171</v>
      </c>
      <c r="G44" s="377"/>
      <c r="H44" s="378"/>
      <c r="I44" s="379"/>
    </row>
    <row r="45" spans="1:9" ht="18" x14ac:dyDescent="0.25">
      <c r="A45" s="373" t="s">
        <v>49</v>
      </c>
      <c r="B45" s="374"/>
      <c r="C45" s="375"/>
      <c r="D45" s="318">
        <v>9</v>
      </c>
      <c r="E45" s="318" t="s">
        <v>50</v>
      </c>
      <c r="F45" s="377" t="s">
        <v>172</v>
      </c>
      <c r="G45" s="377"/>
      <c r="H45" s="378"/>
      <c r="I45" s="379"/>
    </row>
    <row r="46" spans="1:9" ht="18" x14ac:dyDescent="0.25">
      <c r="A46" s="373" t="s">
        <v>51</v>
      </c>
      <c r="B46" s="374"/>
      <c r="C46" s="375"/>
      <c r="D46" s="318">
        <v>240</v>
      </c>
      <c r="E46" s="318" t="s">
        <v>24</v>
      </c>
      <c r="F46" s="380" t="s">
        <v>173</v>
      </c>
      <c r="G46" s="381"/>
      <c r="H46" s="378"/>
      <c r="I46" s="379"/>
    </row>
    <row r="47" spans="1:9" ht="18.75" thickBot="1" x14ac:dyDescent="0.3">
      <c r="A47" s="382" t="s">
        <v>52</v>
      </c>
      <c r="B47" s="383"/>
      <c r="C47" s="384"/>
      <c r="D47" s="385">
        <v>497</v>
      </c>
      <c r="E47" s="386" t="s">
        <v>24</v>
      </c>
      <c r="F47" s="387"/>
      <c r="G47" s="387"/>
      <c r="H47" s="388"/>
      <c r="I47" s="389"/>
    </row>
    <row r="48" spans="1:9" ht="18.75" thickBot="1" x14ac:dyDescent="0.3">
      <c r="A48" s="390" t="s">
        <v>53</v>
      </c>
      <c r="B48" s="391"/>
      <c r="C48" s="391"/>
      <c r="D48" s="391"/>
      <c r="E48" s="391"/>
      <c r="F48" s="391"/>
      <c r="G48" s="391"/>
      <c r="H48" s="391"/>
      <c r="I48" s="392"/>
    </row>
    <row r="49" spans="1:9" ht="18" x14ac:dyDescent="0.25">
      <c r="A49" s="393" t="s">
        <v>54</v>
      </c>
      <c r="B49" s="394"/>
      <c r="C49" s="394"/>
      <c r="D49" s="394"/>
      <c r="E49" s="394"/>
      <c r="F49" s="394"/>
      <c r="G49" s="394"/>
      <c r="H49" s="394"/>
      <c r="I49" s="395"/>
    </row>
    <row r="50" spans="1:9" ht="18" x14ac:dyDescent="0.25">
      <c r="A50" s="393" t="s">
        <v>136</v>
      </c>
      <c r="B50" s="394"/>
      <c r="C50" s="394"/>
      <c r="D50" s="394"/>
      <c r="E50" s="394"/>
      <c r="F50" s="394"/>
      <c r="G50" s="394"/>
      <c r="H50" s="394"/>
      <c r="I50" s="395"/>
    </row>
    <row r="51" spans="1:9" ht="18" x14ac:dyDescent="0.25">
      <c r="A51" s="393" t="s">
        <v>56</v>
      </c>
      <c r="B51" s="394"/>
      <c r="C51" s="394"/>
      <c r="D51" s="394"/>
      <c r="E51" s="394"/>
      <c r="F51" s="394"/>
      <c r="G51" s="394"/>
      <c r="H51" s="394"/>
      <c r="I51" s="395"/>
    </row>
    <row r="52" spans="1:9" ht="18" x14ac:dyDescent="0.25">
      <c r="A52" s="393"/>
      <c r="B52" s="394"/>
      <c r="C52" s="394"/>
      <c r="D52" s="394"/>
      <c r="E52" s="394"/>
      <c r="F52" s="394"/>
      <c r="G52" s="394"/>
      <c r="H52" s="394"/>
      <c r="I52" s="395"/>
    </row>
    <row r="53" spans="1:9" ht="18" x14ac:dyDescent="0.2">
      <c r="A53" s="396"/>
      <c r="B53" s="397"/>
      <c r="C53" s="397"/>
      <c r="D53" s="397"/>
      <c r="E53" s="397"/>
      <c r="F53" s="397"/>
      <c r="G53" s="397"/>
      <c r="H53" s="397"/>
      <c r="I53" s="398"/>
    </row>
    <row r="54" spans="1:9" ht="18" x14ac:dyDescent="0.25">
      <c r="A54" s="399"/>
      <c r="B54" s="400"/>
      <c r="C54" s="400"/>
      <c r="D54" s="400"/>
      <c r="E54" s="400"/>
      <c r="F54" s="400"/>
      <c r="G54" s="400"/>
      <c r="H54" s="400"/>
      <c r="I54" s="401"/>
    </row>
    <row r="55" spans="1:9" ht="18" x14ac:dyDescent="0.25">
      <c r="A55" s="399"/>
      <c r="B55" s="400"/>
      <c r="C55" s="400"/>
      <c r="D55" s="400"/>
      <c r="E55" s="400"/>
      <c r="F55" s="400"/>
      <c r="G55" s="400"/>
      <c r="H55" s="400"/>
      <c r="I55" s="401"/>
    </row>
    <row r="56" spans="1:9" ht="18" x14ac:dyDescent="0.25">
      <c r="A56" s="400"/>
      <c r="B56" s="400"/>
      <c r="C56" s="400"/>
      <c r="D56" s="400"/>
      <c r="E56" s="400"/>
      <c r="F56" s="400"/>
      <c r="G56" s="400"/>
      <c r="H56" s="400"/>
      <c r="I56" s="400"/>
    </row>
    <row r="57" spans="1:9" ht="18" customHeight="1" x14ac:dyDescent="0.25">
      <c r="A57" s="402"/>
      <c r="B57" s="402"/>
      <c r="C57" s="402"/>
      <c r="D57" s="402"/>
      <c r="E57" s="402"/>
      <c r="F57" s="402"/>
      <c r="G57" s="402"/>
      <c r="H57" s="402"/>
      <c r="I57" s="402"/>
    </row>
    <row r="58" spans="1:9" ht="18" x14ac:dyDescent="0.25">
      <c r="A58" s="402"/>
      <c r="B58" s="402"/>
      <c r="C58" s="402"/>
      <c r="D58" s="402"/>
      <c r="E58" s="402"/>
      <c r="F58" s="402"/>
      <c r="G58" s="402"/>
      <c r="H58" s="402"/>
      <c r="I58" s="402"/>
    </row>
    <row r="59" spans="1:9" ht="18.75" thickBot="1" x14ac:dyDescent="0.3">
      <c r="A59" s="403"/>
      <c r="B59" s="404"/>
      <c r="C59" s="404"/>
      <c r="D59" s="404"/>
      <c r="E59" s="404"/>
      <c r="F59" s="404"/>
      <c r="G59" s="404"/>
      <c r="H59" s="404"/>
      <c r="I59" s="405"/>
    </row>
    <row r="60" spans="1:9" ht="18" x14ac:dyDescent="0.25">
      <c r="A60" s="406" t="s">
        <v>65</v>
      </c>
      <c r="B60" s="407"/>
      <c r="C60" s="407"/>
      <c r="D60" s="407"/>
      <c r="E60" s="407"/>
      <c r="F60" s="407"/>
      <c r="G60" s="407"/>
      <c r="H60" s="407"/>
      <c r="I60" s="407"/>
    </row>
    <row r="61" spans="1:9" ht="18" x14ac:dyDescent="0.25">
      <c r="A61" s="408"/>
      <c r="B61" s="409"/>
      <c r="C61" s="409"/>
      <c r="D61" s="409"/>
      <c r="E61" s="409"/>
      <c r="F61" s="409"/>
      <c r="G61" s="409"/>
      <c r="H61" s="409"/>
      <c r="I61" s="409"/>
    </row>
    <row r="62" spans="1:9" ht="18" x14ac:dyDescent="0.25">
      <c r="A62" s="408"/>
      <c r="B62" s="409"/>
      <c r="C62" s="409"/>
      <c r="D62" s="409"/>
      <c r="E62" s="409"/>
      <c r="F62" s="409"/>
      <c r="G62" s="409"/>
      <c r="H62" s="409"/>
      <c r="I62" s="409"/>
    </row>
  </sheetData>
  <mergeCells count="45">
    <mergeCell ref="A59:I59"/>
    <mergeCell ref="A60:I60"/>
    <mergeCell ref="A61:I61"/>
    <mergeCell ref="A62:I62"/>
    <mergeCell ref="A51:I51"/>
    <mergeCell ref="A52:I52"/>
    <mergeCell ref="A53:I53"/>
    <mergeCell ref="A54:I54"/>
    <mergeCell ref="A55:I55"/>
    <mergeCell ref="A56:I56"/>
    <mergeCell ref="A50:I50"/>
    <mergeCell ref="A45:C45"/>
    <mergeCell ref="F45:G45"/>
    <mergeCell ref="H45:I45"/>
    <mergeCell ref="A46:C46"/>
    <mergeCell ref="F46:G46"/>
    <mergeCell ref="H46:I46"/>
    <mergeCell ref="A47:C47"/>
    <mergeCell ref="F47:G47"/>
    <mergeCell ref="H47:I47"/>
    <mergeCell ref="A48:I48"/>
    <mergeCell ref="A49:I49"/>
    <mergeCell ref="A43:C43"/>
    <mergeCell ref="F43:G43"/>
    <mergeCell ref="H43:I43"/>
    <mergeCell ref="A44:C44"/>
    <mergeCell ref="F44:G44"/>
    <mergeCell ref="H44:I44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5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8"/>
  <sheetViews>
    <sheetView topLeftCell="A19" workbookViewId="0">
      <selection activeCell="D57" sqref="D57"/>
    </sheetView>
  </sheetViews>
  <sheetFormatPr baseColWidth="10" defaultColWidth="8.42578125" defaultRowHeight="12.75" x14ac:dyDescent="0.2"/>
  <cols>
    <col min="1" max="1" width="10" style="65" bestFit="1" customWidth="1"/>
    <col min="2" max="2" width="44.42578125" style="65" bestFit="1" customWidth="1"/>
    <col min="3" max="3" width="10.42578125" style="65" bestFit="1" customWidth="1"/>
    <col min="4" max="4" width="10.42578125" style="65" customWidth="1"/>
    <col min="5" max="6" width="9.5703125" style="65" bestFit="1" customWidth="1"/>
    <col min="7" max="7" width="9.5703125" style="146" bestFit="1" customWidth="1"/>
    <col min="8" max="8" width="10.42578125" style="137" bestFit="1" customWidth="1"/>
    <col min="9" max="9" width="4.5703125" style="137" customWidth="1"/>
    <col min="10" max="10" width="1.85546875" style="64" customWidth="1"/>
    <col min="11" max="11" width="7" style="65" bestFit="1" customWidth="1"/>
    <col min="12" max="12" width="6.42578125" style="65" customWidth="1"/>
    <col min="13" max="13" width="20.42578125" style="65" customWidth="1"/>
    <col min="14" max="14" width="6.42578125" style="65" bestFit="1" customWidth="1"/>
    <col min="15" max="16" width="8.42578125" style="65"/>
    <col min="17" max="17" width="3.42578125" style="65" customWidth="1"/>
    <col min="18" max="16384" width="8.42578125" style="65"/>
  </cols>
  <sheetData>
    <row r="1" spans="1:10" ht="27.75" customHeight="1" x14ac:dyDescent="0.2">
      <c r="A1" s="60"/>
      <c r="B1" s="60"/>
      <c r="C1" s="60"/>
      <c r="D1" s="60"/>
      <c r="E1" s="61" t="s">
        <v>66</v>
      </c>
      <c r="F1" s="62" t="s">
        <v>67</v>
      </c>
      <c r="G1" s="62" t="s">
        <v>68</v>
      </c>
      <c r="H1" s="62" t="s">
        <v>69</v>
      </c>
      <c r="I1" s="63"/>
    </row>
    <row r="2" spans="1:10" ht="30.75" customHeight="1" x14ac:dyDescent="0.2">
      <c r="A2" s="60"/>
      <c r="B2" s="60"/>
      <c r="C2" s="60"/>
      <c r="D2" s="60"/>
      <c r="E2" s="66">
        <f>IFERROR(O59,"")</f>
        <v>394.53250929544026</v>
      </c>
      <c r="F2" s="66">
        <f>IFERROR(H50,"")</f>
        <v>212.51753384785906</v>
      </c>
      <c r="G2" s="66">
        <f>IFERROR(H51,"")</f>
        <v>0</v>
      </c>
      <c r="H2" s="66">
        <f>IFERROR(H53,"")</f>
        <v>85.95348837209302</v>
      </c>
      <c r="I2" s="67"/>
    </row>
    <row r="3" spans="1:10" ht="15" customHeight="1" x14ac:dyDescent="0.2">
      <c r="A3" s="60"/>
      <c r="B3" s="60"/>
      <c r="C3" s="60"/>
      <c r="D3" s="60"/>
      <c r="E3" s="60"/>
      <c r="F3" s="68"/>
      <c r="G3" s="68"/>
      <c r="H3" s="68"/>
      <c r="I3" s="68"/>
    </row>
    <row r="4" spans="1:10" ht="24.75" customHeight="1" thickBot="1" x14ac:dyDescent="0.25">
      <c r="A4" s="258"/>
      <c r="B4" s="258"/>
      <c r="C4" s="258"/>
      <c r="D4" s="258"/>
      <c r="E4" s="258"/>
      <c r="F4" s="258"/>
      <c r="G4" s="258"/>
      <c r="H4" s="258"/>
      <c r="I4" s="69"/>
    </row>
    <row r="5" spans="1:10" ht="19.5" customHeight="1" thickBot="1" x14ac:dyDescent="0.25">
      <c r="A5" s="259" t="s">
        <v>70</v>
      </c>
      <c r="B5" s="260"/>
      <c r="C5" s="260"/>
      <c r="D5" s="260"/>
      <c r="E5" s="260"/>
      <c r="F5" s="260"/>
      <c r="G5" s="260"/>
      <c r="H5" s="261"/>
      <c r="I5" s="70"/>
    </row>
    <row r="6" spans="1:10" ht="19.5" thickBot="1" x14ac:dyDescent="0.25">
      <c r="A6" s="70"/>
      <c r="B6" s="70"/>
      <c r="C6" s="70"/>
      <c r="D6" s="70"/>
      <c r="E6" s="70"/>
      <c r="F6" s="262" t="s">
        <v>71</v>
      </c>
      <c r="G6" s="262"/>
      <c r="H6" s="71">
        <f ca="1">TODAY()</f>
        <v>45846</v>
      </c>
      <c r="I6" s="71"/>
    </row>
    <row r="7" spans="1:10" ht="39" thickBot="1" x14ac:dyDescent="0.25">
      <c r="A7" s="72" t="s">
        <v>72</v>
      </c>
      <c r="B7" s="73" t="s">
        <v>73</v>
      </c>
      <c r="C7" s="73" t="s">
        <v>72</v>
      </c>
      <c r="D7" s="74" t="s">
        <v>74</v>
      </c>
      <c r="E7" s="74" t="s">
        <v>75</v>
      </c>
      <c r="F7" s="74" t="s">
        <v>76</v>
      </c>
      <c r="G7" s="74" t="s">
        <v>77</v>
      </c>
      <c r="H7" s="75" t="s">
        <v>78</v>
      </c>
      <c r="I7" s="76"/>
    </row>
    <row r="8" spans="1:10" ht="13.5" x14ac:dyDescent="0.25">
      <c r="A8" s="77">
        <v>100</v>
      </c>
      <c r="B8" s="65" t="str">
        <f>IFERROR(VLOOKUP(H8,'[1]ARTICULOS MP PLANTA'!$A$2:$G$2000,2,0),"")</f>
        <v>MARGARINA BLOQUE 12.5 KILOS</v>
      </c>
      <c r="C8" s="78">
        <f>+A8</f>
        <v>100</v>
      </c>
      <c r="D8" s="79" t="s">
        <v>79</v>
      </c>
      <c r="E8" s="79">
        <v>1.08</v>
      </c>
      <c r="F8" s="79">
        <f>IFERROR(C8*E8,"")</f>
        <v>108</v>
      </c>
      <c r="G8" s="80">
        <f>IFERROR(F8/$F$63,"")</f>
        <v>3.9824786199003988E-2</v>
      </c>
      <c r="H8" s="81" t="s">
        <v>22</v>
      </c>
      <c r="I8" s="81"/>
      <c r="J8" s="82"/>
    </row>
    <row r="9" spans="1:10" ht="13.5" x14ac:dyDescent="0.25">
      <c r="A9" s="77">
        <v>160</v>
      </c>
      <c r="B9" s="65" t="s">
        <v>26</v>
      </c>
      <c r="C9" s="78">
        <f t="shared" ref="C9:C18" si="0">+A9</f>
        <v>160</v>
      </c>
      <c r="D9" s="79" t="s">
        <v>79</v>
      </c>
      <c r="E9" s="79">
        <f>IFERROR(VLOOKUP(H9,'[1]ARTICULOS MP PLANTA'!$A$2:$G$2000,7,0),"")</f>
        <v>1.9750000000000001</v>
      </c>
      <c r="F9" s="79">
        <f t="shared" ref="F9:F18" si="1">IFERROR(C9*E9,"")</f>
        <v>316</v>
      </c>
      <c r="G9" s="80">
        <f t="shared" ref="G9:G18" si="2">IFERROR(F9/$F$63,"")</f>
        <v>0.11652437443412278</v>
      </c>
      <c r="H9" s="81" t="s">
        <v>80</v>
      </c>
      <c r="I9" s="81"/>
      <c r="J9" s="82"/>
    </row>
    <row r="10" spans="1:10" ht="13.5" x14ac:dyDescent="0.25">
      <c r="A10" s="77">
        <v>50</v>
      </c>
      <c r="B10" s="65" t="s">
        <v>28</v>
      </c>
      <c r="C10" s="78">
        <f t="shared" si="0"/>
        <v>50</v>
      </c>
      <c r="D10" s="79" t="s">
        <v>79</v>
      </c>
      <c r="E10" s="79">
        <f>IFERROR(VLOOKUP(H10,'[1]ARTICULOS MP PLANTA'!$A$2:$G$2000,7,0),"")</f>
        <v>4.4580000000000002</v>
      </c>
      <c r="F10" s="79">
        <f t="shared" si="1"/>
        <v>222.9</v>
      </c>
      <c r="G10" s="80">
        <f t="shared" si="2"/>
        <v>8.2193933738499897E-2</v>
      </c>
      <c r="H10" s="81" t="s">
        <v>81</v>
      </c>
      <c r="I10" s="81"/>
      <c r="J10" s="82"/>
    </row>
    <row r="11" spans="1:10" ht="13.5" x14ac:dyDescent="0.25">
      <c r="A11" s="77">
        <v>15</v>
      </c>
      <c r="B11" s="65" t="str">
        <f>IFERROR(VLOOKUP(H11,'[1]ARTICULOS MP PLANTA'!$A$2:$G$2000,2,0),"")</f>
        <v>CHILE CHIPOTLE COSTEÑA (UND:2.9 K)</v>
      </c>
      <c r="C11" s="78">
        <f t="shared" si="0"/>
        <v>15</v>
      </c>
      <c r="D11" s="79" t="str">
        <f>IFERROR(VLOOKUP(H11,'[1]ARTICULOS MP PLANTA'!$A$2:$G$2000,6,0),"")</f>
        <v>Gramo</v>
      </c>
      <c r="E11" s="79">
        <f>IFERROR(VLOOKUP(H11,'[1]ARTICULOS MP PLANTA'!$A$2:$G$2000,7,0),"")</f>
        <v>3.7689655172413792</v>
      </c>
      <c r="F11" s="79">
        <f t="shared" si="1"/>
        <v>56.53448275862069</v>
      </c>
      <c r="G11" s="80">
        <f t="shared" si="2"/>
        <v>2.0846978599382834E-2</v>
      </c>
      <c r="H11" s="81" t="s">
        <v>29</v>
      </c>
      <c r="I11" s="81"/>
      <c r="J11" s="82"/>
    </row>
    <row r="12" spans="1:10" ht="13.5" x14ac:dyDescent="0.25">
      <c r="A12" s="77">
        <v>60</v>
      </c>
      <c r="B12" s="65" t="str">
        <f>IFERROR(VLOOKUP(H12,'[1]ARTICULOS MP PLANTA'!$A$2:$G$2000,2,0),"")</f>
        <v>APIO PICADO (PAQ:500gr)</v>
      </c>
      <c r="C12" s="78">
        <f t="shared" si="0"/>
        <v>60</v>
      </c>
      <c r="D12" s="79" t="str">
        <f>IFERROR(VLOOKUP(H12,'[1]ARTICULOS MP PLANTA'!$A$2:$G$2000,6,0),"")</f>
        <v>Gramo</v>
      </c>
      <c r="E12" s="79">
        <f>IFERROR(VLOOKUP(H12,'[1]ARTICULOS MP PLANTA'!$A$2:$G$2000,7,0),"")</f>
        <v>1.744</v>
      </c>
      <c r="F12" s="79">
        <f t="shared" si="1"/>
        <v>104.64</v>
      </c>
      <c r="G12" s="80">
        <f t="shared" si="2"/>
        <v>3.8585792850590529E-2</v>
      </c>
      <c r="H12" s="81" t="s">
        <v>31</v>
      </c>
      <c r="I12" s="81"/>
      <c r="J12" s="82"/>
    </row>
    <row r="13" spans="1:10" ht="13.5" x14ac:dyDescent="0.25">
      <c r="A13" s="77">
        <v>1145</v>
      </c>
      <c r="B13" s="65" t="str">
        <f>IFERROR(VLOOKUP(H13,'[1]ARTICULOS MP PLANTA'!$A$2:$G$2000,2,0),"")</f>
        <v>TOMATE KILO</v>
      </c>
      <c r="C13" s="78">
        <f t="shared" si="0"/>
        <v>1145</v>
      </c>
      <c r="D13" s="79" t="str">
        <f>IFERROR(VLOOKUP(H13,'[1]ARTICULOS MP PLANTA'!$A$2:$G$2000,6,0),"")</f>
        <v>Gramo</v>
      </c>
      <c r="E13" s="79">
        <f>IFERROR(VLOOKUP(H13,'[1]ARTICULOS MP PLANTA'!$A$2:$G$2000,7,0),"")</f>
        <v>0.68</v>
      </c>
      <c r="F13" s="79">
        <f t="shared" si="1"/>
        <v>778.6</v>
      </c>
      <c r="G13" s="80">
        <f t="shared" si="2"/>
        <v>0.28710720865318984</v>
      </c>
      <c r="H13" s="81" t="s">
        <v>33</v>
      </c>
      <c r="I13" s="81"/>
      <c r="J13" s="82"/>
    </row>
    <row r="14" spans="1:10" ht="13.5" x14ac:dyDescent="0.25">
      <c r="A14" s="77">
        <v>15</v>
      </c>
      <c r="B14" s="65" t="s">
        <v>36</v>
      </c>
      <c r="C14" s="78">
        <f t="shared" si="0"/>
        <v>15</v>
      </c>
      <c r="D14" s="79" t="s">
        <v>79</v>
      </c>
      <c r="E14" s="79">
        <f>IFERROR(VLOOKUP(H14,'[1]ARTICULOS MP PLANTA'!$A$2:$G$2000,7,0),"")</f>
        <v>2.6680000000000001</v>
      </c>
      <c r="F14" s="79">
        <f t="shared" si="1"/>
        <v>40.020000000000003</v>
      </c>
      <c r="G14" s="80">
        <f t="shared" si="2"/>
        <v>1.4757295774853145E-2</v>
      </c>
      <c r="H14" s="81" t="s">
        <v>82</v>
      </c>
      <c r="I14" s="81"/>
      <c r="J14" s="82"/>
    </row>
    <row r="15" spans="1:10" ht="13.5" x14ac:dyDescent="0.25">
      <c r="A15" s="77">
        <v>900</v>
      </c>
      <c r="B15" s="65" t="s">
        <v>37</v>
      </c>
      <c r="C15" s="78">
        <f t="shared" si="0"/>
        <v>900</v>
      </c>
      <c r="D15" s="79" t="s">
        <v>79</v>
      </c>
      <c r="E15" s="79">
        <v>0.1</v>
      </c>
      <c r="F15" s="79">
        <f t="shared" si="1"/>
        <v>90</v>
      </c>
      <c r="G15" s="80">
        <f t="shared" si="2"/>
        <v>3.3187321832503322E-2</v>
      </c>
      <c r="H15" s="81" t="s">
        <v>83</v>
      </c>
      <c r="I15" s="81"/>
      <c r="J15" s="82"/>
    </row>
    <row r="16" spans="1:10" ht="13.5" x14ac:dyDescent="0.25">
      <c r="A16" s="77">
        <v>40</v>
      </c>
      <c r="B16" s="65" t="s">
        <v>39</v>
      </c>
      <c r="C16" s="78">
        <f t="shared" si="0"/>
        <v>40</v>
      </c>
      <c r="D16" s="79" t="s">
        <v>79</v>
      </c>
      <c r="E16" s="79">
        <f>IFERROR(VLOOKUP(H16,'[1]ARTICULOS MP PLANTA'!$A$2:$G$2000,7,0),"")</f>
        <v>0.34766666666666601</v>
      </c>
      <c r="F16" s="79">
        <f t="shared" si="1"/>
        <v>13.906666666666641</v>
      </c>
      <c r="G16" s="80">
        <f t="shared" si="2"/>
        <v>5.1280558031556889E-3</v>
      </c>
      <c r="H16" s="81" t="s">
        <v>84</v>
      </c>
      <c r="I16" s="81"/>
      <c r="J16" s="82"/>
    </row>
    <row r="17" spans="1:12" ht="13.5" x14ac:dyDescent="0.25">
      <c r="A17" s="77">
        <v>2</v>
      </c>
      <c r="B17" s="65" t="str">
        <f>IFERROR(VLOOKUP(H17,'[1]ARTICULOS MP PLANTA'!$A$2:$G$2000,2,0),"")</f>
        <v>PIMIENTA NEGRA MOLIDA ( PAQ: 5000 g )</v>
      </c>
      <c r="C17" s="78">
        <f t="shared" si="0"/>
        <v>2</v>
      </c>
      <c r="D17" s="79" t="str">
        <f>IFERROR(VLOOKUP(H17,'[1]ARTICULOS MP PLANTA'!$A$2:$G$2000,6,0),"")</f>
        <v>Gramo</v>
      </c>
      <c r="E17" s="79">
        <f>IFERROR(VLOOKUP(H17,'[1]ARTICULOS MP PLANTA'!$A$2:$G$2000,7,0),"")</f>
        <v>7.0339999999999998</v>
      </c>
      <c r="F17" s="79">
        <f t="shared" si="1"/>
        <v>14.068</v>
      </c>
      <c r="G17" s="80">
        <f t="shared" si="2"/>
        <v>5.1875471504406303E-3</v>
      </c>
      <c r="H17" s="81" t="s">
        <v>41</v>
      </c>
      <c r="I17" s="81"/>
      <c r="J17" s="82"/>
    </row>
    <row r="18" spans="1:12" ht="13.5" x14ac:dyDescent="0.25">
      <c r="A18" s="77">
        <v>160</v>
      </c>
      <c r="B18" s="65" t="str">
        <f>IFERROR(VLOOKUP(H18,'[1]ARTICULOS MP PLANTA'!$A$2:$G$2000,2,0),"")</f>
        <v>PASTA TOMATE OLD CALI (UND:3.14 K)</v>
      </c>
      <c r="C18" s="78">
        <f t="shared" si="0"/>
        <v>160</v>
      </c>
      <c r="D18" s="79" t="str">
        <f>IFERROR(VLOOKUP(H18,'[1]ARTICULOS MP PLANTA'!$A$2:$G$2000,6,0),"")</f>
        <v>Gramo</v>
      </c>
      <c r="E18" s="79">
        <f>IFERROR(VLOOKUP(H18,'[1]ARTICULOS MP PLANTA'!$A$2:$G$2000,7,0),"")</f>
        <v>0.99458598726114644</v>
      </c>
      <c r="F18" s="79">
        <f t="shared" si="1"/>
        <v>159.13375796178343</v>
      </c>
      <c r="G18" s="80">
        <f t="shared" si="2"/>
        <v>5.8680258221037715E-2</v>
      </c>
      <c r="H18" s="81" t="s">
        <v>43</v>
      </c>
      <c r="I18" s="81"/>
      <c r="J18" s="82"/>
    </row>
    <row r="19" spans="1:12" ht="14.25" thickBot="1" x14ac:dyDescent="0.3">
      <c r="A19" s="77"/>
      <c r="B19" s="65" t="str">
        <f>IFERROR(VLOOKUP(H19,'[1]ARTICULOS MP PLANTA'!$A$2:$G$589,2,0),"")</f>
        <v/>
      </c>
      <c r="C19" s="78"/>
      <c r="D19" s="79"/>
      <c r="E19" s="79"/>
      <c r="F19" s="79"/>
      <c r="G19" s="80"/>
      <c r="H19" s="81"/>
      <c r="I19" s="81"/>
      <c r="J19" s="82"/>
    </row>
    <row r="20" spans="1:12" ht="39" hidden="1" thickBot="1" x14ac:dyDescent="0.25">
      <c r="A20" s="72" t="s">
        <v>72</v>
      </c>
      <c r="B20" s="73" t="s">
        <v>85</v>
      </c>
      <c r="C20" s="73" t="s">
        <v>72</v>
      </c>
      <c r="D20" s="74" t="s">
        <v>74</v>
      </c>
      <c r="E20" s="74" t="s">
        <v>75</v>
      </c>
      <c r="F20" s="74" t="s">
        <v>76</v>
      </c>
      <c r="G20" s="74" t="s">
        <v>77</v>
      </c>
      <c r="H20" s="75" t="s">
        <v>78</v>
      </c>
      <c r="I20" s="76"/>
      <c r="J20" s="82"/>
    </row>
    <row r="21" spans="1:12" ht="13.5" hidden="1" x14ac:dyDescent="0.25">
      <c r="A21" s="77"/>
      <c r="B21" s="65" t="str">
        <f>IFERROR(VLOOKUP($H21,[2]SEMIELABORADOS!$A$1:$J$998,2,0),"")</f>
        <v/>
      </c>
      <c r="C21" s="78">
        <f>+A21</f>
        <v>0</v>
      </c>
      <c r="D21" s="78" t="str">
        <f>IFERROR(VLOOKUP($H21,[2]SEMIELABORADOS!$A$1:$J$998,4,0),"")</f>
        <v/>
      </c>
      <c r="E21" s="79" t="str">
        <f>IFERROR(VLOOKUP($H21,[2]SEMIELABORADOS!$A$1:$J$998,6,0),"")</f>
        <v/>
      </c>
      <c r="F21" s="79" t="str">
        <f>IFERROR(E21*C21,"")</f>
        <v/>
      </c>
      <c r="G21" s="80" t="str">
        <f>IFERROR(F21/$F$63,"")</f>
        <v/>
      </c>
      <c r="H21" s="81"/>
      <c r="I21" s="81"/>
      <c r="J21" s="82"/>
    </row>
    <row r="22" spans="1:12" ht="13.5" hidden="1" x14ac:dyDescent="0.25">
      <c r="A22" s="77"/>
      <c r="B22" s="65" t="str">
        <f>IFERROR(VLOOKUP($H22,[2]SEMIELABORADOS!$A$1:$J$998,2,0),"")</f>
        <v/>
      </c>
      <c r="C22" s="78">
        <f>+A22</f>
        <v>0</v>
      </c>
      <c r="D22" s="78" t="str">
        <f>IFERROR(VLOOKUP($H22,[2]SEMIELABORADOS!$A$1:$J$998,4,0),"")</f>
        <v/>
      </c>
      <c r="E22" s="79" t="str">
        <f>IFERROR(VLOOKUP($H22,[2]SEMIELABORADOS!$A$1:$J$998,6,0),"")</f>
        <v/>
      </c>
      <c r="F22" s="79" t="str">
        <f>IFERROR(E22*C22,"")</f>
        <v/>
      </c>
      <c r="G22" s="80" t="str">
        <f>IFERROR(F22/$F$63,"")</f>
        <v/>
      </c>
      <c r="H22" s="81"/>
      <c r="I22" s="81"/>
      <c r="J22" s="82"/>
    </row>
    <row r="23" spans="1:12" ht="13.5" hidden="1" x14ac:dyDescent="0.25">
      <c r="A23" s="77"/>
      <c r="B23" s="65" t="str">
        <f>IFERROR(VLOOKUP($H23,[2]SEMIELABORADOS!$A$1:$J$998,2,0),"")</f>
        <v/>
      </c>
      <c r="C23" s="78">
        <f>+A23</f>
        <v>0</v>
      </c>
      <c r="D23" s="78" t="str">
        <f>IFERROR(VLOOKUP($H23,[2]SEMIELABORADOS!$A$1:$J$998,4,0),"")</f>
        <v/>
      </c>
      <c r="E23" s="79" t="str">
        <f>IFERROR(VLOOKUP($H23,[2]SEMIELABORADOS!$A$1:$J$998,6,0),"")</f>
        <v/>
      </c>
      <c r="F23" s="79" t="str">
        <f>IFERROR(E23*C23,"")</f>
        <v/>
      </c>
      <c r="G23" s="80" t="str">
        <f>IFERROR(F23/$F$63,"")</f>
        <v/>
      </c>
      <c r="H23" s="81"/>
      <c r="I23" s="81"/>
      <c r="J23" s="82"/>
    </row>
    <row r="24" spans="1:12" ht="13.5" hidden="1" x14ac:dyDescent="0.25">
      <c r="A24" s="77"/>
      <c r="B24" s="65" t="str">
        <f>IFERROR(VLOOKUP($H24,[2]SEMIELABORADOS!$A$1:$J$998,2,0),"")</f>
        <v/>
      </c>
      <c r="C24" s="78">
        <f>+A24</f>
        <v>0</v>
      </c>
      <c r="D24" s="78" t="str">
        <f>IFERROR(VLOOKUP($H24,[2]SEMIELABORADOS!$A$1:$J$998,4,0),"")</f>
        <v/>
      </c>
      <c r="E24" s="79" t="str">
        <f>IFERROR(VLOOKUP($H24,[2]SEMIELABORADOS!$A$1:$J$998,6,0),"")</f>
        <v/>
      </c>
      <c r="F24" s="79" t="str">
        <f>IFERROR(E24*C24,"")</f>
        <v/>
      </c>
      <c r="G24" s="80" t="str">
        <f>IFERROR(F24/$F$63,"")</f>
        <v/>
      </c>
      <c r="H24" s="81"/>
      <c r="I24" s="81"/>
      <c r="J24" s="82"/>
    </row>
    <row r="25" spans="1:12" ht="13.5" hidden="1" x14ac:dyDescent="0.25">
      <c r="A25" s="77"/>
      <c r="B25" s="65" t="str">
        <f>IFERROR(VLOOKUP($H25,[2]SEMIELABORADOS!$A$1:$J$998,2,0),"")</f>
        <v/>
      </c>
      <c r="C25" s="78">
        <f>+A25</f>
        <v>0</v>
      </c>
      <c r="D25" s="78" t="str">
        <f>IFERROR(VLOOKUP($H25,[2]SEMIELABORADOS!$A$1:$J$998,4,0),"")</f>
        <v/>
      </c>
      <c r="E25" s="79" t="str">
        <f>IFERROR(VLOOKUP($H25,[2]SEMIELABORADOS!$A$1:$J$998,6,0),"")</f>
        <v/>
      </c>
      <c r="F25" s="79" t="str">
        <f>IFERROR(E25*C25,"")</f>
        <v/>
      </c>
      <c r="G25" s="80" t="str">
        <f>IFERROR(F25/$F$63,"")</f>
        <v/>
      </c>
      <c r="H25" s="81"/>
      <c r="I25" s="81"/>
      <c r="J25" s="82"/>
    </row>
    <row r="26" spans="1:12" ht="14.25" hidden="1" thickBot="1" x14ac:dyDescent="0.3">
      <c r="A26" s="77"/>
      <c r="C26" s="78"/>
      <c r="D26" s="78"/>
      <c r="E26" s="79"/>
      <c r="F26" s="79"/>
      <c r="G26" s="80"/>
      <c r="H26" s="81"/>
      <c r="I26" s="81"/>
      <c r="J26" s="82"/>
    </row>
    <row r="27" spans="1:12" ht="39" hidden="1" thickBot="1" x14ac:dyDescent="0.25">
      <c r="A27" s="72" t="s">
        <v>72</v>
      </c>
      <c r="B27" s="73" t="s">
        <v>86</v>
      </c>
      <c r="C27" s="73" t="s">
        <v>72</v>
      </c>
      <c r="D27" s="74" t="s">
        <v>74</v>
      </c>
      <c r="E27" s="74" t="s">
        <v>75</v>
      </c>
      <c r="F27" s="74" t="s">
        <v>76</v>
      </c>
      <c r="G27" s="74" t="s">
        <v>77</v>
      </c>
      <c r="H27" s="75" t="s">
        <v>78</v>
      </c>
      <c r="I27" s="76"/>
    </row>
    <row r="28" spans="1:12" ht="13.5" hidden="1" x14ac:dyDescent="0.25">
      <c r="A28" s="77"/>
      <c r="B28" s="83" t="str">
        <f>IFERROR(VLOOKUP(H28,'[1]EMPAQUE PLANTA'!$A$2:$H$1000,2,0),"")</f>
        <v/>
      </c>
      <c r="C28" s="78">
        <f t="shared" ref="C28:C33" si="3">+A28</f>
        <v>0</v>
      </c>
      <c r="D28" s="79" t="str">
        <f>IFERROR(VLOOKUP(H28,'[1]EMPAQUE PLANTA'!$A$2:$H$1000,7,0),"")</f>
        <v/>
      </c>
      <c r="E28" s="79" t="str">
        <f>IFERROR(VLOOKUP(H28,'[1]EMPAQUE PLANTA'!$A$2:$H$1000,8,0),"")</f>
        <v/>
      </c>
      <c r="F28" s="79" t="str">
        <f t="shared" ref="F28:F33" si="4">IFERROR(E28*C28,"")</f>
        <v/>
      </c>
      <c r="G28" s="80" t="str">
        <f t="shared" ref="G28:G33" si="5">IFERROR(F28/$F$63,"")</f>
        <v/>
      </c>
      <c r="H28" s="84"/>
      <c r="I28" s="84"/>
      <c r="J28" s="82"/>
      <c r="K28" s="263"/>
      <c r="L28" s="263"/>
    </row>
    <row r="29" spans="1:12" ht="13.5" hidden="1" x14ac:dyDescent="0.25">
      <c r="A29" s="77"/>
      <c r="B29" s="83" t="str">
        <f>IFERROR(VLOOKUP(H29,'[1]EMPAQUE PLANTA'!$A$2:$H$176,2,0),"")</f>
        <v/>
      </c>
      <c r="C29" s="78">
        <f t="shared" si="3"/>
        <v>0</v>
      </c>
      <c r="D29" s="79" t="str">
        <f>IFERROR(VLOOKUP(H29,'[1]EMPAQUE PLANTA'!$A$2:$H$176,7,0),"")</f>
        <v/>
      </c>
      <c r="E29" s="79" t="str">
        <f>IFERROR(VLOOKUP($H29,'[2]EMP PLANTA'!$A$2:$F$500,6,0),"")</f>
        <v/>
      </c>
      <c r="F29" s="79" t="str">
        <f t="shared" si="4"/>
        <v/>
      </c>
      <c r="G29" s="80" t="str">
        <f t="shared" si="5"/>
        <v/>
      </c>
      <c r="H29" s="84"/>
      <c r="I29" s="84"/>
      <c r="J29" s="82"/>
      <c r="K29" s="263"/>
      <c r="L29" s="263"/>
    </row>
    <row r="30" spans="1:12" ht="13.5" hidden="1" x14ac:dyDescent="0.25">
      <c r="A30" s="77"/>
      <c r="B30" s="83" t="str">
        <f>IFERROR(VLOOKUP(H30,'[1]EMPAQUE PLANTA'!$A$2:$H$176,2,0),"")</f>
        <v/>
      </c>
      <c r="C30" s="78">
        <f t="shared" si="3"/>
        <v>0</v>
      </c>
      <c r="D30" s="79" t="str">
        <f>IFERROR(VLOOKUP(H30,'[1]EMPAQUE PLANTA'!$A$2:$H$176,7,0),"")</f>
        <v/>
      </c>
      <c r="E30" s="79" t="str">
        <f>IFERROR(VLOOKUP($H30,'[2]EMP PLANTA'!$A$2:$F$500,6,0),"")</f>
        <v/>
      </c>
      <c r="F30" s="79" t="str">
        <f t="shared" si="4"/>
        <v/>
      </c>
      <c r="G30" s="80" t="str">
        <f t="shared" si="5"/>
        <v/>
      </c>
      <c r="H30" s="84"/>
      <c r="I30" s="84"/>
      <c r="J30" s="82"/>
      <c r="K30" s="263"/>
      <c r="L30" s="263"/>
    </row>
    <row r="31" spans="1:12" ht="13.5" hidden="1" x14ac:dyDescent="0.25">
      <c r="A31" s="77"/>
      <c r="B31" s="83" t="str">
        <f>IFERROR(VLOOKUP(H31,'[1]EMPAQUE PLANTA'!$A$2:$H$176,2,0),"")</f>
        <v/>
      </c>
      <c r="C31" s="78">
        <f t="shared" si="3"/>
        <v>0</v>
      </c>
      <c r="D31" s="79" t="str">
        <f>IFERROR(VLOOKUP(H31,'[1]EMPAQUE PLANTA'!$A$2:$H$176,7,0),"")</f>
        <v/>
      </c>
      <c r="E31" s="79" t="str">
        <f>IFERROR(VLOOKUP($H31,'[2]EMP PLANTA'!$A$2:$F$500,6,0),"")</f>
        <v/>
      </c>
      <c r="F31" s="79" t="str">
        <f t="shared" si="4"/>
        <v/>
      </c>
      <c r="G31" s="80" t="str">
        <f t="shared" si="5"/>
        <v/>
      </c>
      <c r="H31" s="84"/>
      <c r="I31" s="84"/>
      <c r="J31" s="82"/>
      <c r="K31" s="263"/>
      <c r="L31" s="263"/>
    </row>
    <row r="32" spans="1:12" ht="13.5" hidden="1" x14ac:dyDescent="0.25">
      <c r="A32" s="77"/>
      <c r="B32" s="83" t="str">
        <f>IFERROR(VLOOKUP(H32,'[1]EMPAQUE PLANTA'!$A$2:$H$176,2,0),"")</f>
        <v/>
      </c>
      <c r="C32" s="78">
        <f t="shared" si="3"/>
        <v>0</v>
      </c>
      <c r="D32" s="79" t="str">
        <f>IFERROR(VLOOKUP(H32,'[1]EMPAQUE PLANTA'!$A$2:$H$176,7,0),"")</f>
        <v/>
      </c>
      <c r="E32" s="79" t="str">
        <f>IFERROR(VLOOKUP($H32,'[2]EMP PLANTA'!$A$2:$F$500,6,0),"")</f>
        <v/>
      </c>
      <c r="F32" s="79" t="str">
        <f t="shared" si="4"/>
        <v/>
      </c>
      <c r="G32" s="80" t="str">
        <f t="shared" si="5"/>
        <v/>
      </c>
      <c r="H32" s="84"/>
      <c r="I32" s="84"/>
      <c r="J32" s="82"/>
      <c r="K32" s="85"/>
      <c r="L32" s="86"/>
    </row>
    <row r="33" spans="1:10" ht="13.5" hidden="1" x14ac:dyDescent="0.25">
      <c r="A33" s="77"/>
      <c r="B33" s="83" t="str">
        <f>IFERROR(VLOOKUP(H33,'[1]EMPAQUE PLANTA'!$A$2:$H$176,2,0),"")</f>
        <v/>
      </c>
      <c r="C33" s="78">
        <f t="shared" si="3"/>
        <v>0</v>
      </c>
      <c r="D33" s="79" t="str">
        <f>IFERROR(VLOOKUP(H33,'[1]EMPAQUE PLANTA'!$A$2:$H$176,7,0),"")</f>
        <v/>
      </c>
      <c r="E33" s="79" t="str">
        <f>IFERROR(VLOOKUP($H33,'[2]EMP PLANTA'!$A$2:$F$500,6,0),"")</f>
        <v/>
      </c>
      <c r="F33" s="79" t="str">
        <f t="shared" si="4"/>
        <v/>
      </c>
      <c r="G33" s="80" t="str">
        <f t="shared" si="5"/>
        <v/>
      </c>
      <c r="H33" s="84"/>
      <c r="I33" s="84"/>
      <c r="J33" s="82"/>
    </row>
    <row r="34" spans="1:10" ht="14.25" hidden="1" thickBot="1" x14ac:dyDescent="0.3">
      <c r="A34" s="77"/>
      <c r="B34" s="83" t="str">
        <f>IFERROR(VLOOKUP(H34,'[1]EMPAQUE PLANTA'!$A$2:$H$176,2,0),"")</f>
        <v/>
      </c>
      <c r="C34" s="78"/>
      <c r="D34" s="79"/>
      <c r="E34" s="79"/>
      <c r="F34" s="79"/>
      <c r="G34" s="80"/>
      <c r="H34" s="84"/>
      <c r="I34" s="84"/>
      <c r="J34" s="82"/>
    </row>
    <row r="35" spans="1:10" ht="39" hidden="1" thickBot="1" x14ac:dyDescent="0.25">
      <c r="A35" s="72" t="s">
        <v>72</v>
      </c>
      <c r="B35" s="73" t="s">
        <v>87</v>
      </c>
      <c r="C35" s="73" t="s">
        <v>72</v>
      </c>
      <c r="D35" s="74" t="s">
        <v>74</v>
      </c>
      <c r="E35" s="74" t="s">
        <v>75</v>
      </c>
      <c r="F35" s="74" t="s">
        <v>76</v>
      </c>
      <c r="G35" s="74" t="s">
        <v>77</v>
      </c>
      <c r="H35" s="75" t="s">
        <v>78</v>
      </c>
      <c r="I35" s="76"/>
      <c r="J35" s="82"/>
    </row>
    <row r="36" spans="1:10" ht="13.5" hidden="1" x14ac:dyDescent="0.25">
      <c r="A36" s="77">
        <f>+A21</f>
        <v>0</v>
      </c>
      <c r="B36" s="83"/>
      <c r="C36" s="78">
        <f>+A36</f>
        <v>0</v>
      </c>
      <c r="D36" s="79" t="s">
        <v>88</v>
      </c>
      <c r="E36" s="79" t="str">
        <f>IFERROR(VLOOKUP($H36,[2]SEMIELABORADOS!$A$1:$J$998,8,0),"")</f>
        <v/>
      </c>
      <c r="F36" s="79" t="str">
        <f>IFERROR(E36*C36,"")</f>
        <v/>
      </c>
      <c r="G36" s="80" t="str">
        <f>IFERROR(F36/$F$62,"")</f>
        <v/>
      </c>
      <c r="H36" s="84"/>
      <c r="I36" s="84"/>
      <c r="J36" s="82"/>
    </row>
    <row r="37" spans="1:10" ht="13.5" hidden="1" x14ac:dyDescent="0.25">
      <c r="A37" s="77">
        <f>+A22</f>
        <v>0</v>
      </c>
      <c r="B37" s="83"/>
      <c r="C37" s="78">
        <f>+A37</f>
        <v>0</v>
      </c>
      <c r="D37" s="79" t="s">
        <v>88</v>
      </c>
      <c r="E37" s="79" t="str">
        <f>IFERROR(VLOOKUP($H37,[2]SEMIELABORADOS!$A$1:$J$998,8,0),"")</f>
        <v/>
      </c>
      <c r="F37" s="79" t="str">
        <f>IFERROR(E37*C37,"")</f>
        <v/>
      </c>
      <c r="G37" s="80" t="str">
        <f>IFERROR(F37/$F$62,"")</f>
        <v/>
      </c>
      <c r="H37" s="84"/>
      <c r="I37" s="84"/>
      <c r="J37" s="82"/>
    </row>
    <row r="38" spans="1:10" ht="13.5" hidden="1" x14ac:dyDescent="0.25">
      <c r="A38" s="77">
        <f>+A23</f>
        <v>0</v>
      </c>
      <c r="B38" s="83"/>
      <c r="C38" s="78">
        <f>+A38</f>
        <v>0</v>
      </c>
      <c r="D38" s="79" t="s">
        <v>88</v>
      </c>
      <c r="E38" s="79" t="str">
        <f>IFERROR(VLOOKUP($H38,[2]SEMIELABORADOS!$A$1:$J$998,8,0),"")</f>
        <v/>
      </c>
      <c r="F38" s="79" t="str">
        <f>IFERROR(E38*C38,"")</f>
        <v/>
      </c>
      <c r="G38" s="80" t="str">
        <f>IFERROR(F38/$F$62,"")</f>
        <v/>
      </c>
      <c r="H38" s="84"/>
      <c r="I38" s="84"/>
      <c r="J38" s="82"/>
    </row>
    <row r="39" spans="1:10" ht="13.5" hidden="1" x14ac:dyDescent="0.25">
      <c r="A39" s="77">
        <f>+A24</f>
        <v>0</v>
      </c>
      <c r="B39" s="83"/>
      <c r="C39" s="78">
        <f>+A39</f>
        <v>0</v>
      </c>
      <c r="D39" s="79" t="s">
        <v>88</v>
      </c>
      <c r="E39" s="79" t="str">
        <f>IFERROR(VLOOKUP($H39,[2]SEMIELABORADOS!$A$1:$J$998,8,0),"")</f>
        <v/>
      </c>
      <c r="F39" s="79" t="str">
        <f>IFERROR(E39*C39,"")</f>
        <v/>
      </c>
      <c r="G39" s="80" t="str">
        <f>IFERROR(F39/$F$62,"")</f>
        <v/>
      </c>
      <c r="H39" s="84"/>
      <c r="I39" s="84"/>
      <c r="J39" s="82"/>
    </row>
    <row r="40" spans="1:10" ht="13.5" hidden="1" x14ac:dyDescent="0.25">
      <c r="A40" s="77">
        <f>+A25</f>
        <v>0</v>
      </c>
      <c r="B40" s="83"/>
      <c r="C40" s="78">
        <f>+A40</f>
        <v>0</v>
      </c>
      <c r="D40" s="79" t="s">
        <v>88</v>
      </c>
      <c r="E40" s="79" t="str">
        <f>IFERROR(VLOOKUP($H40,[2]SEMIELABORADOS!$A$1:$J$998,8,0),"")</f>
        <v/>
      </c>
      <c r="F40" s="79" t="str">
        <f>IFERROR(E40*C40,"")</f>
        <v/>
      </c>
      <c r="G40" s="80" t="str">
        <f>IFERROR(F40/$F$62,"")</f>
        <v/>
      </c>
      <c r="H40" s="84"/>
      <c r="I40" s="84"/>
      <c r="J40" s="82"/>
    </row>
    <row r="41" spans="1:10" ht="14.25" hidden="1" thickBot="1" x14ac:dyDescent="0.3">
      <c r="A41" s="77"/>
      <c r="B41" s="83"/>
      <c r="C41" s="78"/>
      <c r="D41" s="79"/>
      <c r="E41" s="79"/>
      <c r="F41" s="79"/>
      <c r="G41" s="80"/>
      <c r="H41" s="84"/>
      <c r="I41" s="84"/>
      <c r="J41" s="82"/>
    </row>
    <row r="42" spans="1:10" ht="39" thickBot="1" x14ac:dyDescent="0.25">
      <c r="A42" s="72" t="s">
        <v>72</v>
      </c>
      <c r="B42" s="73" t="s">
        <v>89</v>
      </c>
      <c r="C42" s="73" t="s">
        <v>72</v>
      </c>
      <c r="D42" s="73"/>
      <c r="E42" s="74" t="s">
        <v>75</v>
      </c>
      <c r="F42" s="74" t="s">
        <v>76</v>
      </c>
      <c r="G42" s="74" t="s">
        <v>77</v>
      </c>
      <c r="H42" s="75" t="s">
        <v>78</v>
      </c>
      <c r="I42" s="76"/>
      <c r="J42" s="82"/>
    </row>
    <row r="43" spans="1:10" ht="13.5" hidden="1" x14ac:dyDescent="0.25">
      <c r="A43" s="77">
        <f>+A21</f>
        <v>0</v>
      </c>
      <c r="B43" s="87"/>
      <c r="C43" s="78">
        <f t="shared" ref="C43:C48" si="6">+A43</f>
        <v>0</v>
      </c>
      <c r="D43" s="78" t="s">
        <v>88</v>
      </c>
      <c r="E43" s="79" t="str">
        <f>IFERROR(VLOOKUP($H43,[2]SEMIELABORADOS!$A$1:$J$998,10,0),"")</f>
        <v/>
      </c>
      <c r="F43" s="79" t="str">
        <f t="shared" ref="F43:F48" si="7">IFERROR(C43*E43,"")</f>
        <v/>
      </c>
      <c r="G43" s="80" t="str">
        <f t="shared" ref="G43:G48" si="8">IFERROR(F43/$F$63,"")</f>
        <v/>
      </c>
      <c r="H43" s="88"/>
      <c r="I43" s="88"/>
      <c r="J43" s="82"/>
    </row>
    <row r="44" spans="1:10" ht="13.5" hidden="1" x14ac:dyDescent="0.25">
      <c r="A44" s="77">
        <f>+A22</f>
        <v>0</v>
      </c>
      <c r="B44" s="87"/>
      <c r="C44" s="78">
        <f t="shared" si="6"/>
        <v>0</v>
      </c>
      <c r="D44" s="78" t="s">
        <v>88</v>
      </c>
      <c r="E44" s="79" t="str">
        <f>IFERROR(VLOOKUP($H44,[2]SEMIELABORADOS!$A$1:$J$998,10,0),"")</f>
        <v/>
      </c>
      <c r="F44" s="79" t="str">
        <f t="shared" si="7"/>
        <v/>
      </c>
      <c r="G44" s="80" t="str">
        <f t="shared" si="8"/>
        <v/>
      </c>
      <c r="H44" s="88"/>
      <c r="I44" s="88"/>
      <c r="J44" s="82"/>
    </row>
    <row r="45" spans="1:10" ht="13.5" hidden="1" x14ac:dyDescent="0.25">
      <c r="A45" s="77">
        <f>+A23</f>
        <v>0</v>
      </c>
      <c r="B45" s="87"/>
      <c r="C45" s="78">
        <f t="shared" si="6"/>
        <v>0</v>
      </c>
      <c r="D45" s="78" t="s">
        <v>88</v>
      </c>
      <c r="E45" s="79" t="str">
        <f>IFERROR(VLOOKUP($H45,[2]SEMIELABORADOS!$A$1:$J$998,10,0),"")</f>
        <v/>
      </c>
      <c r="F45" s="79" t="str">
        <f t="shared" si="7"/>
        <v/>
      </c>
      <c r="G45" s="80" t="str">
        <f t="shared" si="8"/>
        <v/>
      </c>
      <c r="H45" s="88"/>
      <c r="I45" s="88"/>
      <c r="J45" s="82"/>
    </row>
    <row r="46" spans="1:10" ht="13.5" hidden="1" x14ac:dyDescent="0.25">
      <c r="A46" s="77">
        <f>+A24</f>
        <v>0</v>
      </c>
      <c r="B46" s="87"/>
      <c r="C46" s="78">
        <f t="shared" si="6"/>
        <v>0</v>
      </c>
      <c r="D46" s="78" t="s">
        <v>88</v>
      </c>
      <c r="E46" s="79" t="str">
        <f>IFERROR(VLOOKUP($H46,[2]SEMIELABORADOS!$A$1:$J$998,10,0),"")</f>
        <v/>
      </c>
      <c r="F46" s="79" t="str">
        <f t="shared" si="7"/>
        <v/>
      </c>
      <c r="G46" s="80" t="str">
        <f t="shared" si="8"/>
        <v/>
      </c>
      <c r="H46" s="88"/>
      <c r="I46" s="88"/>
      <c r="J46" s="82"/>
    </row>
    <row r="47" spans="1:10" ht="13.5" hidden="1" x14ac:dyDescent="0.25">
      <c r="A47" s="77">
        <f>+A25</f>
        <v>0</v>
      </c>
      <c r="B47" s="87"/>
      <c r="C47" s="78">
        <f t="shared" si="6"/>
        <v>0</v>
      </c>
      <c r="D47" s="78" t="s">
        <v>88</v>
      </c>
      <c r="E47" s="79" t="str">
        <f>IFERROR(VLOOKUP($H47,[2]SEMIELABORADOS!$A$1:$J$998,10,0),"")</f>
        <v/>
      </c>
      <c r="F47" s="79" t="str">
        <f t="shared" si="7"/>
        <v/>
      </c>
      <c r="G47" s="80" t="str">
        <f t="shared" si="8"/>
        <v/>
      </c>
      <c r="H47" s="88"/>
      <c r="I47" s="88"/>
      <c r="J47" s="82"/>
    </row>
    <row r="48" spans="1:10" ht="13.5" x14ac:dyDescent="0.25">
      <c r="A48" s="77">
        <v>1</v>
      </c>
      <c r="B48" s="83" t="s">
        <v>90</v>
      </c>
      <c r="C48" s="78">
        <f t="shared" si="6"/>
        <v>1</v>
      </c>
      <c r="D48" s="78" t="s">
        <v>88</v>
      </c>
      <c r="E48" s="79">
        <f>+F62</f>
        <v>770</v>
      </c>
      <c r="F48" s="79">
        <f t="shared" si="7"/>
        <v>770</v>
      </c>
      <c r="G48" s="80">
        <f t="shared" si="8"/>
        <v>0.28393597567808398</v>
      </c>
      <c r="H48" s="88"/>
      <c r="I48" s="88"/>
      <c r="J48" s="82"/>
    </row>
    <row r="49" spans="1:17" ht="14.25" thickBot="1" x14ac:dyDescent="0.3">
      <c r="A49" s="77"/>
      <c r="B49" s="83"/>
      <c r="C49" s="78"/>
      <c r="D49" s="78"/>
      <c r="E49" s="79"/>
      <c r="F49" s="79"/>
      <c r="G49" s="80"/>
      <c r="H49" s="88"/>
      <c r="I49" s="88"/>
      <c r="J49" s="82"/>
    </row>
    <row r="50" spans="1:17" ht="13.5" thickBot="1" x14ac:dyDescent="0.25">
      <c r="A50" s="89"/>
      <c r="B50" s="264" t="s">
        <v>91</v>
      </c>
      <c r="C50" s="264"/>
      <c r="D50" s="264"/>
      <c r="E50" s="264"/>
      <c r="F50" s="91">
        <f>SUM(F8:F18,F21:F25)</f>
        <v>1903.8029073870709</v>
      </c>
      <c r="G50" s="80">
        <f>+F50/$F$63</f>
        <v>0.70202355325678045</v>
      </c>
      <c r="H50" s="92">
        <f>+F50/$D$57</f>
        <v>212.51753384785906</v>
      </c>
      <c r="I50" s="92"/>
      <c r="J50" s="93"/>
      <c r="K50" s="94"/>
      <c r="L50" s="94"/>
      <c r="M50" s="94"/>
      <c r="N50" s="94"/>
      <c r="O50" s="94"/>
      <c r="P50" s="94"/>
      <c r="Q50" s="95"/>
    </row>
    <row r="51" spans="1:17" x14ac:dyDescent="0.2">
      <c r="A51" s="89"/>
      <c r="B51" s="264" t="s">
        <v>92</v>
      </c>
      <c r="C51" s="264"/>
      <c r="D51" s="264"/>
      <c r="E51" s="264"/>
      <c r="F51" s="91">
        <f>SUM(F28:F33,F36:F40)</f>
        <v>0</v>
      </c>
      <c r="G51" s="80">
        <f>+F51/$F$63</f>
        <v>0</v>
      </c>
      <c r="H51" s="92">
        <f>+F51/$D$57</f>
        <v>0</v>
      </c>
      <c r="I51" s="92"/>
      <c r="J51" s="96"/>
      <c r="K51" s="265" t="s">
        <v>93</v>
      </c>
      <c r="L51" s="266"/>
      <c r="M51" s="266"/>
      <c r="N51" s="266"/>
      <c r="O51" s="97">
        <f>+F52</f>
        <v>1903.8029073870709</v>
      </c>
      <c r="P51" s="97"/>
      <c r="Q51" s="98"/>
    </row>
    <row r="52" spans="1:17" x14ac:dyDescent="0.2">
      <c r="A52" s="89"/>
      <c r="B52" s="264" t="s">
        <v>94</v>
      </c>
      <c r="C52" s="264"/>
      <c r="D52" s="264"/>
      <c r="E52" s="264"/>
      <c r="F52" s="91">
        <f>+F50+F51</f>
        <v>1903.8029073870709</v>
      </c>
      <c r="G52" s="80">
        <f>+F52/$F$63</f>
        <v>0.70202355325678045</v>
      </c>
      <c r="H52" s="92">
        <f>+F52/$D$57</f>
        <v>212.51753384785906</v>
      </c>
      <c r="I52" s="92"/>
      <c r="J52" s="99"/>
      <c r="K52" s="100"/>
      <c r="L52" s="267" t="s">
        <v>95</v>
      </c>
      <c r="M52" s="267"/>
      <c r="N52" s="267"/>
      <c r="O52" s="97">
        <f>+F53</f>
        <v>770</v>
      </c>
      <c r="P52" s="97"/>
      <c r="Q52" s="98"/>
    </row>
    <row r="53" spans="1:17" ht="13.5" thickBot="1" x14ac:dyDescent="0.25">
      <c r="A53" s="89"/>
      <c r="B53" s="90"/>
      <c r="C53" s="264" t="s">
        <v>96</v>
      </c>
      <c r="D53" s="264"/>
      <c r="E53" s="264"/>
      <c r="F53" s="91">
        <f>SUM(F43:F48)</f>
        <v>770</v>
      </c>
      <c r="G53" s="80">
        <f>+F53/$F$63</f>
        <v>0.28393597567808398</v>
      </c>
      <c r="H53" s="92">
        <f>+F53/$D$57</f>
        <v>85.95348837209302</v>
      </c>
      <c r="I53" s="92"/>
      <c r="J53" s="99"/>
      <c r="K53" s="100"/>
      <c r="L53" s="100"/>
      <c r="M53" s="100" t="s">
        <v>97</v>
      </c>
      <c r="N53" s="101">
        <v>0.01</v>
      </c>
      <c r="O53" s="97">
        <f>O51*N53</f>
        <v>19.03802907387071</v>
      </c>
      <c r="P53" s="97"/>
      <c r="Q53" s="98"/>
    </row>
    <row r="54" spans="1:17" ht="13.5" thickBot="1" x14ac:dyDescent="0.25">
      <c r="A54" s="89"/>
      <c r="B54" s="102"/>
      <c r="C54" s="102"/>
      <c r="D54" s="102"/>
      <c r="E54" s="102"/>
      <c r="F54" s="103"/>
      <c r="G54" s="80"/>
      <c r="H54" s="104"/>
      <c r="I54" s="92"/>
      <c r="J54" s="99"/>
      <c r="K54" s="105"/>
      <c r="M54" s="106" t="s">
        <v>98</v>
      </c>
      <c r="N54" s="107"/>
      <c r="O54" s="108">
        <f>SUM(O51:O53)</f>
        <v>2692.840936460942</v>
      </c>
      <c r="P54" s="109"/>
      <c r="Q54" s="98"/>
    </row>
    <row r="55" spans="1:17" x14ac:dyDescent="0.2">
      <c r="B55" s="268" t="s">
        <v>99</v>
      </c>
      <c r="C55" s="268"/>
      <c r="D55" s="110">
        <v>2150</v>
      </c>
      <c r="E55" s="111"/>
      <c r="G55" s="80"/>
      <c r="H55" s="104"/>
      <c r="I55" s="112"/>
      <c r="J55" s="99"/>
      <c r="K55" s="105"/>
      <c r="L55" s="100"/>
      <c r="M55" s="100" t="s">
        <v>100</v>
      </c>
      <c r="N55" s="113">
        <v>0.25</v>
      </c>
      <c r="O55" s="97">
        <f>+O54*N55</f>
        <v>673.21023411523549</v>
      </c>
      <c r="P55" s="97"/>
      <c r="Q55" s="98"/>
    </row>
    <row r="56" spans="1:17" x14ac:dyDescent="0.2">
      <c r="B56" s="268" t="s">
        <v>101</v>
      </c>
      <c r="C56" s="268"/>
      <c r="D56" s="114">
        <v>240</v>
      </c>
      <c r="E56" s="111"/>
      <c r="G56" s="80"/>
      <c r="H56" s="104"/>
      <c r="I56" s="112"/>
      <c r="J56" s="99"/>
      <c r="K56" s="105"/>
      <c r="L56" s="100"/>
      <c r="M56" s="267" t="s">
        <v>98</v>
      </c>
      <c r="N56" s="267"/>
      <c r="O56" s="97">
        <f>SUM(O54:O55)</f>
        <v>3366.0511705761774</v>
      </c>
      <c r="P56" s="97"/>
      <c r="Q56" s="98"/>
    </row>
    <row r="57" spans="1:17" ht="13.5" thickBot="1" x14ac:dyDescent="0.25">
      <c r="B57" s="269" t="s">
        <v>102</v>
      </c>
      <c r="C57" s="269"/>
      <c r="D57" s="110">
        <f>+D55/D56</f>
        <v>8.9583333333333339</v>
      </c>
      <c r="E57" s="111"/>
      <c r="F57" s="115"/>
      <c r="G57" s="80"/>
      <c r="H57" s="104"/>
      <c r="I57" s="112"/>
      <c r="J57" s="99"/>
      <c r="K57" s="105"/>
      <c r="L57" s="267" t="s">
        <v>103</v>
      </c>
      <c r="M57" s="267"/>
      <c r="N57" s="113">
        <v>0.05</v>
      </c>
      <c r="O57" s="97">
        <f>+O56*N57</f>
        <v>168.30255852880887</v>
      </c>
      <c r="P57" s="97"/>
      <c r="Q57" s="98"/>
    </row>
    <row r="58" spans="1:17" ht="13.5" thickBot="1" x14ac:dyDescent="0.25">
      <c r="B58" s="269" t="s">
        <v>104</v>
      </c>
      <c r="C58" s="269"/>
      <c r="D58" s="116"/>
      <c r="E58" s="111"/>
      <c r="F58" s="115"/>
      <c r="G58" s="80"/>
      <c r="H58" s="104"/>
      <c r="I58" s="112"/>
      <c r="J58" s="99"/>
      <c r="K58" s="270" t="s">
        <v>105</v>
      </c>
      <c r="L58" s="271"/>
      <c r="M58" s="271"/>
      <c r="N58" s="272"/>
      <c r="O58" s="108">
        <f>SUM(O56:O57)</f>
        <v>3534.3537291049861</v>
      </c>
      <c r="P58" s="117" t="s">
        <v>106</v>
      </c>
      <c r="Q58" s="98"/>
    </row>
    <row r="59" spans="1:17" ht="13.5" thickBot="1" x14ac:dyDescent="0.25">
      <c r="C59" s="89" t="s">
        <v>107</v>
      </c>
      <c r="D59" s="118"/>
      <c r="E59" s="63" t="s">
        <v>108</v>
      </c>
      <c r="F59" s="119" t="s">
        <v>109</v>
      </c>
      <c r="G59" s="80"/>
      <c r="H59" s="104"/>
      <c r="I59" s="112"/>
      <c r="J59" s="120"/>
      <c r="K59" s="121"/>
      <c r="L59" s="273" t="s">
        <v>110</v>
      </c>
      <c r="M59" s="273"/>
      <c r="N59" s="273"/>
      <c r="O59" s="122">
        <f>+O58/D57</f>
        <v>394.53250929544026</v>
      </c>
      <c r="P59" s="123">
        <f>+O59/D56</f>
        <v>1.6438854553976678</v>
      </c>
      <c r="Q59" s="124"/>
    </row>
    <row r="60" spans="1:17" ht="13.5" thickBot="1" x14ac:dyDescent="0.25">
      <c r="B60" s="274" t="s">
        <v>94</v>
      </c>
      <c r="C60" s="274"/>
      <c r="D60" s="274"/>
      <c r="E60" s="125">
        <f>+F60/F60</f>
        <v>1</v>
      </c>
      <c r="F60" s="126">
        <f>SUM(F52)</f>
        <v>1903.8029073870709</v>
      </c>
      <c r="G60" s="80">
        <f>+F60/$F$63</f>
        <v>0.70202355325678045</v>
      </c>
      <c r="H60" s="104"/>
      <c r="I60" s="112"/>
      <c r="K60" s="275"/>
      <c r="L60" s="276"/>
      <c r="M60" s="276"/>
      <c r="N60" s="276"/>
      <c r="O60" s="127"/>
      <c r="P60" s="128"/>
    </row>
    <row r="61" spans="1:17" ht="13.5" thickBot="1" x14ac:dyDescent="0.25">
      <c r="B61" s="277" t="s">
        <v>111</v>
      </c>
      <c r="C61" s="277"/>
      <c r="D61" s="277"/>
      <c r="E61" s="129">
        <v>0.02</v>
      </c>
      <c r="F61" s="126">
        <f>+F50*E61</f>
        <v>38.076058147741421</v>
      </c>
      <c r="G61" s="80">
        <f>+F61/$F$63</f>
        <v>1.4040471065135609E-2</v>
      </c>
      <c r="H61" s="92"/>
      <c r="I61" s="112"/>
      <c r="J61" s="130"/>
      <c r="O61" s="131"/>
      <c r="P61" s="90"/>
    </row>
    <row r="62" spans="1:17" ht="13.5" thickBot="1" x14ac:dyDescent="0.25">
      <c r="B62" s="279" t="s">
        <v>112</v>
      </c>
      <c r="C62" s="280"/>
      <c r="D62" s="132">
        <v>14</v>
      </c>
      <c r="E62" s="133">
        <v>55</v>
      </c>
      <c r="F62" s="126">
        <f>+E62*D62</f>
        <v>770</v>
      </c>
      <c r="G62" s="80">
        <f>+F62/$F$63</f>
        <v>0.28393597567808398</v>
      </c>
      <c r="H62" s="92"/>
      <c r="I62" s="92"/>
      <c r="J62" s="82"/>
    </row>
    <row r="63" spans="1:17" ht="13.5" thickBot="1" x14ac:dyDescent="0.25">
      <c r="B63" s="281" t="s">
        <v>113</v>
      </c>
      <c r="C63" s="282"/>
      <c r="D63" s="282"/>
      <c r="E63" s="283"/>
      <c r="F63" s="103">
        <f>SUM(F60:F62)</f>
        <v>2711.8789655348123</v>
      </c>
      <c r="G63" s="80">
        <f>+F63/$F$63</f>
        <v>1</v>
      </c>
      <c r="H63" s="284"/>
      <c r="I63" s="92"/>
      <c r="J63" s="82"/>
    </row>
    <row r="64" spans="1:17" x14ac:dyDescent="0.2">
      <c r="C64" s="135"/>
      <c r="D64" s="135"/>
      <c r="E64" s="136"/>
      <c r="F64" s="126"/>
      <c r="G64" s="80"/>
      <c r="H64" s="284"/>
      <c r="I64" s="134"/>
      <c r="J64" s="65"/>
    </row>
    <row r="65" spans="2:10" ht="13.5" thickBot="1" x14ac:dyDescent="0.25">
      <c r="B65" s="285" t="s">
        <v>114</v>
      </c>
      <c r="C65" s="285"/>
      <c r="D65" s="285"/>
      <c r="E65" s="285"/>
      <c r="F65" s="285"/>
      <c r="G65" s="80"/>
      <c r="H65" s="138"/>
      <c r="I65" s="134"/>
      <c r="J65" s="65"/>
    </row>
    <row r="66" spans="2:10" ht="13.5" thickBot="1" x14ac:dyDescent="0.25">
      <c r="B66" s="139" t="s">
        <v>115</v>
      </c>
      <c r="C66" s="140">
        <f>+F50</f>
        <v>1903.8029073870709</v>
      </c>
      <c r="D66" s="140">
        <f>+D55</f>
        <v>2150</v>
      </c>
      <c r="E66" s="141">
        <f>+C66/D66</f>
        <v>0.88548972436607953</v>
      </c>
      <c r="F66" s="80"/>
      <c r="G66" s="138"/>
      <c r="H66" s="82"/>
      <c r="I66" s="138"/>
      <c r="J66" s="65"/>
    </row>
    <row r="67" spans="2:10" x14ac:dyDescent="0.2">
      <c r="B67" s="142"/>
      <c r="C67" s="143"/>
      <c r="D67" s="144"/>
      <c r="E67" s="126"/>
      <c r="F67" s="80"/>
      <c r="G67" s="138"/>
      <c r="H67" s="82"/>
      <c r="I67" s="82"/>
      <c r="J67" s="65"/>
    </row>
    <row r="68" spans="2:10" x14ac:dyDescent="0.2">
      <c r="B68" s="139" t="s">
        <v>116</v>
      </c>
      <c r="C68" s="140">
        <f>SUM(F60:F61)</f>
        <v>1941.8789655348123</v>
      </c>
      <c r="D68" s="140">
        <f>+D55</f>
        <v>2150</v>
      </c>
      <c r="E68" s="145">
        <f>+C68/D68</f>
        <v>0.90319951885340111</v>
      </c>
      <c r="F68" s="80"/>
      <c r="G68" s="138"/>
      <c r="H68" s="82"/>
      <c r="I68" s="82"/>
      <c r="J68" s="65"/>
    </row>
    <row r="69" spans="2:10" x14ac:dyDescent="0.2">
      <c r="B69" s="139"/>
      <c r="C69" s="140"/>
      <c r="D69" s="140"/>
      <c r="E69" s="145"/>
      <c r="F69" s="80"/>
      <c r="G69" s="138"/>
      <c r="H69" s="82"/>
      <c r="I69" s="82"/>
      <c r="J69" s="65"/>
    </row>
    <row r="70" spans="2:10" ht="13.5" thickBot="1" x14ac:dyDescent="0.25">
      <c r="B70" s="139" t="s">
        <v>117</v>
      </c>
      <c r="C70" s="140">
        <f>+F62</f>
        <v>770</v>
      </c>
      <c r="D70" s="140">
        <f>+D55</f>
        <v>2150</v>
      </c>
      <c r="E70" s="145">
        <f>+C70/D70</f>
        <v>0.35813953488372091</v>
      </c>
      <c r="F70" s="80"/>
      <c r="G70" s="138"/>
      <c r="H70" s="82"/>
      <c r="I70" s="82"/>
      <c r="J70" s="65"/>
    </row>
    <row r="71" spans="2:10" ht="13.5" thickBot="1" x14ac:dyDescent="0.25">
      <c r="B71" s="139" t="s">
        <v>118</v>
      </c>
      <c r="C71" s="140">
        <f>+F53</f>
        <v>770</v>
      </c>
      <c r="D71" s="140">
        <f>+D70</f>
        <v>2150</v>
      </c>
      <c r="E71" s="141">
        <f>+C71/D71</f>
        <v>0.35813953488372091</v>
      </c>
      <c r="F71" s="80"/>
      <c r="G71" s="138"/>
      <c r="H71" s="82"/>
      <c r="I71" s="82"/>
      <c r="J71" s="65"/>
    </row>
    <row r="72" spans="2:10" ht="13.5" thickBot="1" x14ac:dyDescent="0.25">
      <c r="B72" s="102"/>
      <c r="C72" s="103"/>
      <c r="D72" s="103"/>
      <c r="E72" s="145"/>
      <c r="F72" s="80"/>
      <c r="G72" s="138"/>
      <c r="H72" s="82"/>
      <c r="I72" s="82"/>
      <c r="J72" s="65"/>
    </row>
    <row r="73" spans="2:10" ht="13.5" thickBot="1" x14ac:dyDescent="0.25">
      <c r="B73" s="139" t="s">
        <v>119</v>
      </c>
      <c r="C73" s="140">
        <f>+F51</f>
        <v>0</v>
      </c>
      <c r="D73" s="140">
        <f>+D71</f>
        <v>2150</v>
      </c>
      <c r="E73" s="141">
        <f>+C73/D73</f>
        <v>0</v>
      </c>
      <c r="F73" s="80"/>
      <c r="G73" s="138"/>
      <c r="H73" s="82"/>
      <c r="I73" s="82"/>
      <c r="J73" s="82"/>
    </row>
    <row r="74" spans="2:10" ht="13.5" thickBot="1" x14ac:dyDescent="0.25">
      <c r="B74" s="102"/>
      <c r="C74" s="103"/>
      <c r="D74" s="103"/>
      <c r="E74" s="145"/>
      <c r="F74" s="80"/>
      <c r="G74" s="138"/>
      <c r="H74" s="82"/>
      <c r="I74" s="82"/>
    </row>
    <row r="75" spans="2:10" ht="13.5" thickBot="1" x14ac:dyDescent="0.25">
      <c r="B75" s="286" t="s">
        <v>120</v>
      </c>
      <c r="C75" s="287"/>
      <c r="D75" s="288"/>
      <c r="E75" s="141">
        <f>+E66+E71</f>
        <v>1.2436292592498004</v>
      </c>
      <c r="G75" s="80"/>
      <c r="H75" s="138"/>
      <c r="I75" s="82"/>
      <c r="J75" s="145"/>
    </row>
    <row r="76" spans="2:10" x14ac:dyDescent="0.2">
      <c r="I76" s="138"/>
      <c r="J76" s="65"/>
    </row>
    <row r="77" spans="2:10" ht="13.5" thickBot="1" x14ac:dyDescent="0.25">
      <c r="B77" s="285" t="s">
        <v>121</v>
      </c>
      <c r="C77" s="285"/>
      <c r="D77" s="285"/>
      <c r="E77" s="285"/>
      <c r="F77" s="285"/>
      <c r="G77" s="80"/>
      <c r="H77" s="138"/>
      <c r="J77" s="65"/>
    </row>
    <row r="78" spans="2:10" ht="13.5" thickBot="1" x14ac:dyDescent="0.25">
      <c r="B78" s="139" t="s">
        <v>115</v>
      </c>
      <c r="C78" s="140">
        <f>+C66</f>
        <v>1903.8029073870709</v>
      </c>
      <c r="D78" s="140">
        <f>+D57</f>
        <v>8.9583333333333339</v>
      </c>
      <c r="E78" s="141">
        <f>+C78/D78</f>
        <v>212.51753384785906</v>
      </c>
      <c r="F78" s="80"/>
      <c r="G78" s="138"/>
      <c r="H78" s="82"/>
      <c r="I78" s="138"/>
      <c r="J78" s="65"/>
    </row>
    <row r="79" spans="2:10" x14ac:dyDescent="0.2">
      <c r="B79" s="142"/>
      <c r="C79" s="143"/>
      <c r="D79" s="144"/>
      <c r="E79" s="126"/>
      <c r="F79" s="80"/>
      <c r="G79" s="138"/>
      <c r="H79" s="82"/>
      <c r="I79" s="82"/>
      <c r="J79" s="65"/>
    </row>
    <row r="80" spans="2:10" x14ac:dyDescent="0.2">
      <c r="B80" s="139" t="s">
        <v>116</v>
      </c>
      <c r="C80" s="140">
        <f>+C68</f>
        <v>1941.8789655348123</v>
      </c>
      <c r="D80" s="140">
        <f>+D57</f>
        <v>8.9583333333333339</v>
      </c>
      <c r="E80" s="145">
        <f>+C80/D80</f>
        <v>216.76788452481625</v>
      </c>
      <c r="F80" s="80"/>
      <c r="G80" s="138"/>
      <c r="H80" s="82"/>
      <c r="I80" s="82"/>
      <c r="J80" s="65"/>
    </row>
    <row r="81" spans="1:10" x14ac:dyDescent="0.2">
      <c r="B81" s="139"/>
      <c r="C81" s="140"/>
      <c r="D81" s="140"/>
      <c r="E81" s="145"/>
      <c r="F81" s="80"/>
      <c r="G81" s="138"/>
      <c r="H81" s="82"/>
      <c r="I81" s="82"/>
      <c r="J81" s="65"/>
    </row>
    <row r="82" spans="1:10" ht="13.5" thickBot="1" x14ac:dyDescent="0.25">
      <c r="B82" s="139" t="s">
        <v>118</v>
      </c>
      <c r="C82" s="140">
        <f>+C70</f>
        <v>770</v>
      </c>
      <c r="D82" s="140">
        <f>+D57</f>
        <v>8.9583333333333339</v>
      </c>
      <c r="E82" s="145">
        <f>+C82/D82</f>
        <v>85.95348837209302</v>
      </c>
      <c r="F82" s="147"/>
      <c r="G82" s="137"/>
      <c r="H82" s="64"/>
      <c r="I82" s="82"/>
    </row>
    <row r="83" spans="1:10" ht="13.5" thickBot="1" x14ac:dyDescent="0.25">
      <c r="B83" s="139" t="s">
        <v>118</v>
      </c>
      <c r="C83" s="140">
        <f>+C71</f>
        <v>770</v>
      </c>
      <c r="D83" s="140">
        <f>+D82</f>
        <v>8.9583333333333339</v>
      </c>
      <c r="E83" s="141">
        <f>+C83/D83</f>
        <v>85.95348837209302</v>
      </c>
      <c r="F83" s="146"/>
      <c r="G83" s="137"/>
      <c r="H83" s="64"/>
      <c r="I83" s="64"/>
    </row>
    <row r="84" spans="1:10" x14ac:dyDescent="0.2">
      <c r="I84" s="64"/>
    </row>
    <row r="85" spans="1:10" x14ac:dyDescent="0.2">
      <c r="A85" s="278"/>
      <c r="B85" s="278"/>
      <c r="C85" s="148"/>
      <c r="D85" s="148"/>
      <c r="E85" s="149"/>
      <c r="G85" s="150"/>
    </row>
    <row r="86" spans="1:10" x14ac:dyDescent="0.2">
      <c r="A86" s="83"/>
      <c r="B86" s="151"/>
      <c r="C86" s="152"/>
      <c r="D86" s="152"/>
      <c r="E86" s="153"/>
      <c r="G86" s="150"/>
    </row>
    <row r="87" spans="1:10" x14ac:dyDescent="0.2">
      <c r="A87" s="83"/>
      <c r="B87" s="151"/>
      <c r="C87" s="154"/>
      <c r="D87" s="154"/>
      <c r="E87" s="83"/>
      <c r="G87" s="150"/>
    </row>
    <row r="88" spans="1:10" x14ac:dyDescent="0.2">
      <c r="A88" s="83"/>
      <c r="B88" s="151"/>
      <c r="C88" s="155"/>
      <c r="D88" s="155"/>
      <c r="E88" s="83"/>
      <c r="G88" s="150"/>
    </row>
  </sheetData>
  <mergeCells count="31">
    <mergeCell ref="B60:D60"/>
    <mergeCell ref="K60:N60"/>
    <mergeCell ref="B61:D61"/>
    <mergeCell ref="A85:B85"/>
    <mergeCell ref="B62:C62"/>
    <mergeCell ref="B63:E63"/>
    <mergeCell ref="H63:H64"/>
    <mergeCell ref="B65:F65"/>
    <mergeCell ref="B75:D75"/>
    <mergeCell ref="B77:F77"/>
    <mergeCell ref="B57:C57"/>
    <mergeCell ref="L57:M57"/>
    <mergeCell ref="B58:C58"/>
    <mergeCell ref="K58:N58"/>
    <mergeCell ref="L59:N59"/>
    <mergeCell ref="B52:E52"/>
    <mergeCell ref="L52:N52"/>
    <mergeCell ref="C53:E53"/>
    <mergeCell ref="B55:C55"/>
    <mergeCell ref="B56:C56"/>
    <mergeCell ref="M56:N56"/>
    <mergeCell ref="K30:L30"/>
    <mergeCell ref="K31:L31"/>
    <mergeCell ref="B50:E50"/>
    <mergeCell ref="B51:E51"/>
    <mergeCell ref="K51:N51"/>
    <mergeCell ref="A4:H4"/>
    <mergeCell ref="A5:H5"/>
    <mergeCell ref="F6:G6"/>
    <mergeCell ref="K28:L28"/>
    <mergeCell ref="K29:L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1"/>
  <sheetViews>
    <sheetView workbookViewId="0">
      <selection activeCell="B13" sqref="B13"/>
    </sheetView>
  </sheetViews>
  <sheetFormatPr baseColWidth="10" defaultColWidth="8.85546875" defaultRowHeight="12.75" x14ac:dyDescent="0.2"/>
  <cols>
    <col min="1" max="1" width="15.85546875" customWidth="1"/>
    <col min="2" max="2" width="33.85546875" customWidth="1"/>
    <col min="3" max="6" width="11.42578125" customWidth="1"/>
    <col min="7" max="7" width="21.85546875" customWidth="1"/>
    <col min="8" max="256" width="11.42578125" customWidth="1"/>
  </cols>
  <sheetData>
    <row r="1" spans="1:8" ht="18" x14ac:dyDescent="0.25">
      <c r="A1" s="214"/>
      <c r="B1" s="227" t="s">
        <v>0</v>
      </c>
      <c r="C1" s="227"/>
      <c r="D1" s="227"/>
      <c r="E1" s="227"/>
      <c r="F1" s="227"/>
      <c r="G1" s="1" t="s">
        <v>1</v>
      </c>
      <c r="H1" s="2"/>
    </row>
    <row r="2" spans="1:8" ht="18" x14ac:dyDescent="0.25">
      <c r="A2" s="215"/>
      <c r="B2" s="228" t="s">
        <v>2</v>
      </c>
      <c r="C2" s="228"/>
      <c r="D2" s="228"/>
      <c r="E2" s="228"/>
      <c r="F2" s="228"/>
      <c r="G2" s="4" t="s">
        <v>3</v>
      </c>
      <c r="H2" s="5"/>
    </row>
    <row r="3" spans="1:8" ht="15" x14ac:dyDescent="0.2">
      <c r="A3" s="215"/>
      <c r="B3" s="289" t="s">
        <v>122</v>
      </c>
      <c r="C3" s="289"/>
      <c r="D3" s="289"/>
      <c r="E3" s="289"/>
      <c r="F3" s="289"/>
      <c r="G3" s="205" t="s">
        <v>4</v>
      </c>
      <c r="H3" s="224"/>
    </row>
    <row r="4" spans="1:8" x14ac:dyDescent="0.2">
      <c r="A4" s="215"/>
      <c r="B4" s="40" t="s">
        <v>5</v>
      </c>
      <c r="C4" s="223" t="s">
        <v>6</v>
      </c>
      <c r="D4" s="223"/>
      <c r="E4" s="223"/>
      <c r="F4" s="223"/>
      <c r="G4" s="205"/>
      <c r="H4" s="224"/>
    </row>
    <row r="5" spans="1:8" ht="13.5" thickBot="1" x14ac:dyDescent="0.25">
      <c r="A5" s="216"/>
      <c r="B5" s="41" t="s">
        <v>7</v>
      </c>
      <c r="C5" s="226" t="s">
        <v>8</v>
      </c>
      <c r="D5" s="226"/>
      <c r="E5" s="226"/>
      <c r="F5" s="226"/>
      <c r="G5" s="206"/>
      <c r="H5" s="225"/>
    </row>
    <row r="6" spans="1:8" x14ac:dyDescent="0.2">
      <c r="A6" s="35"/>
      <c r="B6" s="36"/>
      <c r="C6" s="37"/>
      <c r="D6" s="37"/>
      <c r="E6" s="37"/>
      <c r="F6" s="37"/>
      <c r="G6" s="38"/>
      <c r="H6" s="39"/>
    </row>
    <row r="7" spans="1:8" ht="18.75" thickBot="1" x14ac:dyDescent="0.3">
      <c r="A7" s="222" t="s">
        <v>9</v>
      </c>
      <c r="B7" s="222"/>
      <c r="C7" s="203" t="s">
        <v>10</v>
      </c>
      <c r="D7" s="203"/>
      <c r="E7" s="203"/>
      <c r="F7" s="204" t="s">
        <v>11</v>
      </c>
      <c r="G7" s="204"/>
      <c r="H7" s="45" t="s">
        <v>12</v>
      </c>
    </row>
    <row r="8" spans="1:8" ht="25.5" x14ac:dyDescent="0.2">
      <c r="A8" s="217" t="s">
        <v>13</v>
      </c>
      <c r="B8" s="207" t="s">
        <v>14</v>
      </c>
      <c r="C8" s="207" t="s">
        <v>15</v>
      </c>
      <c r="D8" s="207" t="s">
        <v>16</v>
      </c>
      <c r="E8" s="207"/>
      <c r="F8" s="207" t="s">
        <v>17</v>
      </c>
      <c r="G8" s="207"/>
      <c r="H8" s="6" t="s">
        <v>18</v>
      </c>
    </row>
    <row r="9" spans="1:8" ht="26.25" thickBot="1" x14ac:dyDescent="0.25">
      <c r="A9" s="218"/>
      <c r="B9" s="219"/>
      <c r="C9" s="219"/>
      <c r="D9" s="7" t="s">
        <v>19</v>
      </c>
      <c r="E9" s="8" t="s">
        <v>20</v>
      </c>
      <c r="F9" s="7" t="s">
        <v>19</v>
      </c>
      <c r="G9" s="8" t="s">
        <v>20</v>
      </c>
      <c r="H9" s="44" t="s">
        <v>21</v>
      </c>
    </row>
    <row r="10" spans="1:8" x14ac:dyDescent="0.2">
      <c r="A10" s="56">
        <v>90100298</v>
      </c>
      <c r="B10" t="s">
        <v>123</v>
      </c>
      <c r="C10" s="42"/>
      <c r="D10" s="42">
        <v>180</v>
      </c>
      <c r="E10" s="42" t="s">
        <v>24</v>
      </c>
      <c r="F10" s="28"/>
      <c r="G10" s="42"/>
      <c r="H10" s="43"/>
    </row>
    <row r="11" spans="1:8" x14ac:dyDescent="0.2">
      <c r="A11" s="47">
        <v>401000002</v>
      </c>
      <c r="B11" s="48" t="s">
        <v>124</v>
      </c>
      <c r="C11" s="42" t="s">
        <v>125</v>
      </c>
      <c r="D11" s="42">
        <v>1</v>
      </c>
      <c r="E11" s="42" t="s">
        <v>50</v>
      </c>
      <c r="F11" s="9"/>
      <c r="G11" s="10"/>
      <c r="H11" s="11"/>
    </row>
    <row r="12" spans="1:8" x14ac:dyDescent="0.2">
      <c r="A12" s="47">
        <v>702069</v>
      </c>
      <c r="B12" s="48" t="s">
        <v>126</v>
      </c>
      <c r="C12" s="42"/>
      <c r="D12" s="42">
        <v>1</v>
      </c>
      <c r="E12" s="42" t="s">
        <v>50</v>
      </c>
      <c r="F12" s="9"/>
      <c r="G12" s="10"/>
      <c r="H12" s="11"/>
    </row>
    <row r="13" spans="1:8" x14ac:dyDescent="0.2">
      <c r="A13" s="47">
        <v>702007</v>
      </c>
      <c r="B13" s="48" t="s">
        <v>127</v>
      </c>
      <c r="C13" s="42"/>
      <c r="D13" s="42">
        <v>1</v>
      </c>
      <c r="E13" s="42" t="s">
        <v>50</v>
      </c>
      <c r="F13" s="9"/>
      <c r="G13" s="10"/>
      <c r="H13" s="13"/>
    </row>
    <row r="14" spans="1:8" x14ac:dyDescent="0.2">
      <c r="A14" s="14"/>
      <c r="B14" s="15"/>
      <c r="C14" s="55"/>
      <c r="D14" s="16"/>
      <c r="E14" s="16"/>
      <c r="F14" s="16"/>
      <c r="G14" s="16"/>
      <c r="H14" s="13"/>
    </row>
    <row r="15" spans="1:8" ht="13.5" thickBot="1" x14ac:dyDescent="0.25">
      <c r="A15" s="17"/>
      <c r="B15" s="3"/>
      <c r="C15" s="3"/>
      <c r="D15" s="18"/>
      <c r="E15" s="19"/>
      <c r="F15" s="3"/>
      <c r="G15" s="3"/>
      <c r="H15" s="20"/>
    </row>
    <row r="16" spans="1:8" ht="13.5" thickBot="1" x14ac:dyDescent="0.25">
      <c r="A16" s="22"/>
      <c r="B16" s="23"/>
      <c r="C16" s="24" t="s">
        <v>19</v>
      </c>
      <c r="D16" s="25" t="s">
        <v>45</v>
      </c>
      <c r="E16" s="26"/>
      <c r="F16" s="23"/>
      <c r="G16" s="23"/>
      <c r="H16" s="27"/>
    </row>
    <row r="17" spans="1:8" x14ac:dyDescent="0.2">
      <c r="A17" s="208" t="s">
        <v>46</v>
      </c>
      <c r="B17" s="210"/>
      <c r="C17" s="28">
        <v>180</v>
      </c>
      <c r="D17" s="29" t="s">
        <v>24</v>
      </c>
      <c r="E17" s="211"/>
      <c r="F17" s="211"/>
      <c r="G17" s="212"/>
      <c r="H17" s="213"/>
    </row>
    <row r="18" spans="1:8" x14ac:dyDescent="0.2">
      <c r="A18" s="195" t="s">
        <v>47</v>
      </c>
      <c r="B18" s="197"/>
      <c r="C18" s="30">
        <v>0.5</v>
      </c>
      <c r="D18" s="10" t="s">
        <v>48</v>
      </c>
      <c r="E18" s="198"/>
      <c r="F18" s="198"/>
      <c r="G18" s="199"/>
      <c r="H18" s="200"/>
    </row>
    <row r="19" spans="1:8" x14ac:dyDescent="0.2">
      <c r="A19" s="195" t="s">
        <v>49</v>
      </c>
      <c r="B19" s="197"/>
      <c r="C19" s="9">
        <v>1</v>
      </c>
      <c r="D19" s="10" t="s">
        <v>50</v>
      </c>
      <c r="E19" s="198"/>
      <c r="F19" s="198"/>
      <c r="G19" s="199"/>
      <c r="H19" s="200"/>
    </row>
    <row r="20" spans="1:8" x14ac:dyDescent="0.2">
      <c r="A20" s="195" t="s">
        <v>51</v>
      </c>
      <c r="B20" s="197"/>
      <c r="C20" s="9">
        <v>180</v>
      </c>
      <c r="D20" s="10" t="s">
        <v>24</v>
      </c>
      <c r="E20" s="201"/>
      <c r="F20" s="202"/>
      <c r="G20" s="199"/>
      <c r="H20" s="200"/>
    </row>
    <row r="21" spans="1:8" ht="13.5" thickBot="1" x14ac:dyDescent="0.25">
      <c r="A21" s="180" t="s">
        <v>52</v>
      </c>
      <c r="B21" s="182"/>
      <c r="C21" s="32">
        <f>SUM(D10:D10)-C17</f>
        <v>0</v>
      </c>
      <c r="D21" s="33" t="s">
        <v>24</v>
      </c>
      <c r="E21" s="183"/>
      <c r="F21" s="183"/>
      <c r="G21" s="184"/>
      <c r="H21" s="185"/>
    </row>
    <row r="22" spans="1:8" ht="13.5" thickBot="1" x14ac:dyDescent="0.25">
      <c r="A22" s="192" t="s">
        <v>53</v>
      </c>
      <c r="B22" s="193"/>
      <c r="C22" s="193"/>
      <c r="D22" s="193"/>
      <c r="E22" s="193"/>
      <c r="F22" s="193"/>
      <c r="G22" s="193"/>
      <c r="H22" s="194"/>
    </row>
    <row r="23" spans="1:8" ht="15" x14ac:dyDescent="0.25">
      <c r="A23" s="186" t="s">
        <v>128</v>
      </c>
      <c r="B23" s="187"/>
      <c r="C23" s="187"/>
      <c r="D23" s="187"/>
      <c r="E23" s="187"/>
      <c r="F23" s="187"/>
      <c r="G23" s="187"/>
      <c r="H23" s="188"/>
    </row>
    <row r="24" spans="1:8" ht="15" x14ac:dyDescent="0.25">
      <c r="A24" s="186" t="s">
        <v>129</v>
      </c>
      <c r="B24" s="187"/>
      <c r="C24" s="187"/>
      <c r="D24" s="187"/>
      <c r="E24" s="187"/>
      <c r="F24" s="187"/>
      <c r="G24" s="187"/>
      <c r="H24" s="188"/>
    </row>
    <row r="25" spans="1:8" ht="15" x14ac:dyDescent="0.25">
      <c r="A25" s="186"/>
      <c r="B25" s="187"/>
      <c r="C25" s="187"/>
      <c r="D25" s="187"/>
      <c r="E25" s="187"/>
      <c r="F25" s="187"/>
      <c r="G25" s="187"/>
      <c r="H25" s="188"/>
    </row>
    <row r="26" spans="1:8" ht="15" x14ac:dyDescent="0.25">
      <c r="A26" s="186"/>
      <c r="B26" s="187"/>
      <c r="C26" s="187"/>
      <c r="D26" s="187"/>
      <c r="E26" s="187"/>
      <c r="F26" s="187"/>
      <c r="G26" s="187"/>
      <c r="H26" s="188"/>
    </row>
    <row r="27" spans="1:8" ht="15" x14ac:dyDescent="0.25">
      <c r="A27" s="186"/>
      <c r="B27" s="187"/>
      <c r="C27" s="187"/>
      <c r="D27" s="187"/>
      <c r="E27" s="187"/>
      <c r="F27" s="187"/>
      <c r="G27" s="187"/>
      <c r="H27" s="188"/>
    </row>
    <row r="28" spans="1:8" ht="15" x14ac:dyDescent="0.25">
      <c r="A28" s="186"/>
      <c r="B28" s="187"/>
      <c r="C28" s="187"/>
      <c r="D28" s="187"/>
      <c r="E28" s="187"/>
      <c r="F28" s="187"/>
      <c r="G28" s="187"/>
      <c r="H28" s="188"/>
    </row>
    <row r="29" spans="1:8" ht="14.25" x14ac:dyDescent="0.2">
      <c r="A29" s="189"/>
      <c r="B29" s="190"/>
      <c r="C29" s="190"/>
      <c r="D29" s="190"/>
      <c r="E29" s="190"/>
      <c r="F29" s="190"/>
      <c r="G29" s="190"/>
      <c r="H29" s="191"/>
    </row>
    <row r="30" spans="1:8" ht="14.25" x14ac:dyDescent="0.2">
      <c r="A30" s="189"/>
      <c r="B30" s="190"/>
      <c r="C30" s="190"/>
      <c r="D30" s="190"/>
      <c r="E30" s="190"/>
      <c r="F30" s="190"/>
      <c r="G30" s="190"/>
      <c r="H30" s="191"/>
    </row>
    <row r="31" spans="1:8" ht="15" thickBot="1" x14ac:dyDescent="0.25">
      <c r="A31" s="177"/>
      <c r="B31" s="178"/>
      <c r="C31" s="178"/>
      <c r="D31" s="178"/>
      <c r="E31" s="178"/>
      <c r="F31" s="178"/>
      <c r="G31" s="178"/>
      <c r="H31" s="179"/>
    </row>
  </sheetData>
  <mergeCells count="41">
    <mergeCell ref="H3:H5"/>
    <mergeCell ref="C4:F4"/>
    <mergeCell ref="C5:F5"/>
    <mergeCell ref="A1:A5"/>
    <mergeCell ref="B1:F1"/>
    <mergeCell ref="B2:F2"/>
    <mergeCell ref="B3:F3"/>
    <mergeCell ref="G3:G5"/>
    <mergeCell ref="A7:B7"/>
    <mergeCell ref="C7:E7"/>
    <mergeCell ref="F7:G7"/>
    <mergeCell ref="A8:A9"/>
    <mergeCell ref="B8:B9"/>
    <mergeCell ref="C8:C9"/>
    <mergeCell ref="D8:E8"/>
    <mergeCell ref="F8:G8"/>
    <mergeCell ref="A17:B17"/>
    <mergeCell ref="E17:F17"/>
    <mergeCell ref="G17:H17"/>
    <mergeCell ref="A18:B18"/>
    <mergeCell ref="E18:F18"/>
    <mergeCell ref="G18:H18"/>
    <mergeCell ref="A24:H24"/>
    <mergeCell ref="A19:B19"/>
    <mergeCell ref="E19:F19"/>
    <mergeCell ref="G19:H19"/>
    <mergeCell ref="A20:B20"/>
    <mergeCell ref="E20:F20"/>
    <mergeCell ref="G20:H20"/>
    <mergeCell ref="A21:B21"/>
    <mergeCell ref="E21:F21"/>
    <mergeCell ref="G21:H21"/>
    <mergeCell ref="A22:H22"/>
    <mergeCell ref="A23:H23"/>
    <mergeCell ref="A31:H31"/>
    <mergeCell ref="A25:H25"/>
    <mergeCell ref="A26:H26"/>
    <mergeCell ref="A27:H27"/>
    <mergeCell ref="A28:H28"/>
    <mergeCell ref="A29:H29"/>
    <mergeCell ref="A30:H3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84"/>
  <sheetViews>
    <sheetView topLeftCell="A30" workbookViewId="0">
      <selection activeCell="D25" sqref="D25"/>
    </sheetView>
  </sheetViews>
  <sheetFormatPr baseColWidth="10" defaultColWidth="8.42578125" defaultRowHeight="12.75" x14ac:dyDescent="0.2"/>
  <cols>
    <col min="1" max="1" width="10" style="65" bestFit="1" customWidth="1"/>
    <col min="2" max="2" width="44.42578125" style="65" bestFit="1" customWidth="1"/>
    <col min="3" max="3" width="10.42578125" style="65" bestFit="1" customWidth="1"/>
    <col min="4" max="4" width="10.42578125" style="65" customWidth="1"/>
    <col min="5" max="6" width="9.5703125" style="65" bestFit="1" customWidth="1"/>
    <col min="7" max="7" width="9.5703125" style="146" bestFit="1" customWidth="1"/>
    <col min="8" max="8" width="10.42578125" style="137" bestFit="1" customWidth="1"/>
    <col min="9" max="9" width="4.5703125" style="137" customWidth="1"/>
    <col min="10" max="10" width="1.85546875" style="64" customWidth="1"/>
    <col min="11" max="11" width="7" style="65" bestFit="1" customWidth="1"/>
    <col min="12" max="12" width="6.42578125" style="65" customWidth="1"/>
    <col min="13" max="13" width="20.42578125" style="65" customWidth="1"/>
    <col min="14" max="14" width="6.42578125" style="65" bestFit="1" customWidth="1"/>
    <col min="15" max="16" width="8.42578125" style="65"/>
    <col min="17" max="17" width="3.42578125" style="65" customWidth="1"/>
    <col min="18" max="16384" width="8.42578125" style="65"/>
  </cols>
  <sheetData>
    <row r="1" spans="1:10" ht="27.75" customHeight="1" x14ac:dyDescent="0.2">
      <c r="A1" s="60"/>
      <c r="B1" s="60"/>
      <c r="C1" s="60"/>
      <c r="D1" s="60"/>
      <c r="E1" s="61" t="s">
        <v>66</v>
      </c>
      <c r="F1" s="62" t="s">
        <v>67</v>
      </c>
      <c r="G1" s="62" t="s">
        <v>68</v>
      </c>
      <c r="H1" s="62" t="s">
        <v>69</v>
      </c>
      <c r="I1" s="63"/>
    </row>
    <row r="2" spans="1:10" ht="30.75" customHeight="1" x14ac:dyDescent="0.2">
      <c r="A2" s="60"/>
      <c r="B2" s="60"/>
      <c r="C2" s="60"/>
      <c r="D2" s="60"/>
      <c r="E2" s="66">
        <f>IFERROR(O55,"")</f>
        <v>472.16140828294033</v>
      </c>
      <c r="F2" s="66">
        <f>IFERROR(H46,"")</f>
        <v>212.51753384785908</v>
      </c>
      <c r="G2" s="66">
        <f>IFERROR(H47,"")</f>
        <v>4.1047799999999999</v>
      </c>
      <c r="H2" s="66">
        <f>IFERROR(H49,"")</f>
        <v>140.95348837209303</v>
      </c>
      <c r="I2" s="67"/>
    </row>
    <row r="3" spans="1:10" ht="15" customHeight="1" x14ac:dyDescent="0.2">
      <c r="A3" s="60"/>
      <c r="B3" s="60"/>
      <c r="C3" s="60"/>
      <c r="D3" s="60"/>
      <c r="E3" s="60"/>
      <c r="F3" s="68"/>
      <c r="G3" s="68"/>
      <c r="H3" s="68"/>
      <c r="I3" s="68"/>
    </row>
    <row r="4" spans="1:10" ht="24.75" customHeight="1" thickBot="1" x14ac:dyDescent="0.25">
      <c r="A4" s="258"/>
      <c r="B4" s="258"/>
      <c r="C4" s="258"/>
      <c r="D4" s="258"/>
      <c r="E4" s="258"/>
      <c r="F4" s="258"/>
      <c r="G4" s="258"/>
      <c r="H4" s="258"/>
      <c r="I4" s="69"/>
    </row>
    <row r="5" spans="1:10" ht="19.5" customHeight="1" thickBot="1" x14ac:dyDescent="0.25">
      <c r="A5" s="259" t="s">
        <v>70</v>
      </c>
      <c r="B5" s="260"/>
      <c r="C5" s="260"/>
      <c r="D5" s="260"/>
      <c r="E5" s="260"/>
      <c r="F5" s="260"/>
      <c r="G5" s="260"/>
      <c r="H5" s="261"/>
      <c r="I5" s="70"/>
    </row>
    <row r="6" spans="1:10" ht="19.5" thickBot="1" x14ac:dyDescent="0.25">
      <c r="A6" s="70"/>
      <c r="B6" s="70"/>
      <c r="C6" s="70"/>
      <c r="D6" s="70"/>
      <c r="E6" s="70"/>
      <c r="F6" s="262" t="s">
        <v>71</v>
      </c>
      <c r="G6" s="262"/>
      <c r="H6" s="71">
        <f ca="1">TODAY()</f>
        <v>45846</v>
      </c>
      <c r="I6" s="71"/>
    </row>
    <row r="7" spans="1:10" ht="39" hidden="1" thickBot="1" x14ac:dyDescent="0.25">
      <c r="A7" s="72" t="s">
        <v>72</v>
      </c>
      <c r="B7" s="73" t="s">
        <v>73</v>
      </c>
      <c r="C7" s="73" t="s">
        <v>72</v>
      </c>
      <c r="D7" s="74" t="s">
        <v>74</v>
      </c>
      <c r="E7" s="74" t="s">
        <v>75</v>
      </c>
      <c r="F7" s="74" t="s">
        <v>76</v>
      </c>
      <c r="G7" s="74" t="s">
        <v>77</v>
      </c>
      <c r="H7" s="75" t="s">
        <v>78</v>
      </c>
      <c r="I7" s="76"/>
    </row>
    <row r="8" spans="1:10" ht="13.5" hidden="1" x14ac:dyDescent="0.25">
      <c r="A8" s="77"/>
      <c r="B8" s="65" t="str">
        <f>IFERROR(VLOOKUP(H8,'[1]ARTICULOS MP PLANTA'!$A$2:$G$2000,2,0),"")</f>
        <v/>
      </c>
      <c r="C8" s="78">
        <f>+A8</f>
        <v>0</v>
      </c>
      <c r="D8" s="79" t="str">
        <f>IFERROR(VLOOKUP(H8,'[1]ARTICULOS MP PLANTA'!$A$2:$G$2000,6,0),"")</f>
        <v/>
      </c>
      <c r="E8" s="79" t="str">
        <f>IFERROR(VLOOKUP(H8,'[1]ARTICULOS MP PLANTA'!$A$2:$G$2000,7,0),"")</f>
        <v/>
      </c>
      <c r="F8" s="79" t="str">
        <f>IFERROR(C8*E8,"")</f>
        <v/>
      </c>
      <c r="G8" s="80" t="str">
        <f>IFERROR(F8/$F$59,"")</f>
        <v/>
      </c>
      <c r="H8" s="81"/>
      <c r="I8" s="81"/>
      <c r="J8" s="82"/>
    </row>
    <row r="9" spans="1:10" ht="13.5" hidden="1" x14ac:dyDescent="0.25">
      <c r="A9" s="77"/>
      <c r="B9" s="65" t="str">
        <f>IFERROR(VLOOKUP(H9,'[1]ARTICULOS MP PLANTA'!$A$2:$G$2000,2,0),"")</f>
        <v/>
      </c>
      <c r="C9" s="78">
        <f t="shared" ref="C9:C14" si="0">+A9</f>
        <v>0</v>
      </c>
      <c r="D9" s="79" t="str">
        <f>IFERROR(VLOOKUP(H9,'[1]ARTICULOS MP PLANTA'!$A$2:$G$2000,6,0),"")</f>
        <v/>
      </c>
      <c r="E9" s="79" t="str">
        <f>IFERROR(VLOOKUP(H9,'[1]ARTICULOS MP PLANTA'!$A$2:$G$2000,7,0),"")</f>
        <v/>
      </c>
      <c r="F9" s="79" t="str">
        <f t="shared" ref="F9:F14" si="1">IFERROR(C9*E9,"")</f>
        <v/>
      </c>
      <c r="G9" s="80" t="str">
        <f t="shared" ref="G9:G14" si="2">IFERROR(F9/$F$59,"")</f>
        <v/>
      </c>
      <c r="H9" s="81"/>
      <c r="I9" s="81"/>
      <c r="J9" s="82"/>
    </row>
    <row r="10" spans="1:10" ht="13.5" hidden="1" x14ac:dyDescent="0.25">
      <c r="A10" s="77"/>
      <c r="B10" s="65" t="str">
        <f>IFERROR(VLOOKUP(H10,'[1]ARTICULOS MP PLANTA'!$A$2:$G$2000,2,0),"")</f>
        <v/>
      </c>
      <c r="C10" s="78">
        <f t="shared" si="0"/>
        <v>0</v>
      </c>
      <c r="D10" s="79" t="str">
        <f>IFERROR(VLOOKUP(H10,'[1]ARTICULOS MP PLANTA'!$A$2:$G$2000,6,0),"")</f>
        <v/>
      </c>
      <c r="E10" s="79" t="str">
        <f>IFERROR(VLOOKUP(H10,'[1]ARTICULOS MP PLANTA'!$A$2:$G$2000,7,0),"")</f>
        <v/>
      </c>
      <c r="F10" s="79" t="str">
        <f t="shared" si="1"/>
        <v/>
      </c>
      <c r="G10" s="80" t="str">
        <f t="shared" si="2"/>
        <v/>
      </c>
      <c r="H10" s="81"/>
      <c r="I10" s="81"/>
      <c r="J10" s="82"/>
    </row>
    <row r="11" spans="1:10" ht="13.5" hidden="1" x14ac:dyDescent="0.25">
      <c r="A11" s="77"/>
      <c r="B11" s="65" t="str">
        <f>IFERROR(VLOOKUP(H11,'[1]ARTICULOS MP PLANTA'!$A$2:$G$2000,2,0),"")</f>
        <v/>
      </c>
      <c r="C11" s="78">
        <f t="shared" si="0"/>
        <v>0</v>
      </c>
      <c r="D11" s="79" t="str">
        <f>IFERROR(VLOOKUP(H11,'[1]ARTICULOS MP PLANTA'!$A$2:$G$2000,6,0),"")</f>
        <v/>
      </c>
      <c r="E11" s="79" t="str">
        <f>IFERROR(VLOOKUP(H11,'[1]ARTICULOS MP PLANTA'!$A$2:$G$2000,7,0),"")</f>
        <v/>
      </c>
      <c r="F11" s="79" t="str">
        <f t="shared" si="1"/>
        <v/>
      </c>
      <c r="G11" s="80" t="str">
        <f t="shared" si="2"/>
        <v/>
      </c>
      <c r="H11" s="81"/>
      <c r="I11" s="81"/>
      <c r="J11" s="82"/>
    </row>
    <row r="12" spans="1:10" ht="13.5" hidden="1" x14ac:dyDescent="0.25">
      <c r="A12" s="77"/>
      <c r="B12" s="65" t="str">
        <f>IFERROR(VLOOKUP(H12,'[1]ARTICULOS MP PLANTA'!$A$2:$G$2000,2,0),"")</f>
        <v/>
      </c>
      <c r="C12" s="78">
        <f t="shared" si="0"/>
        <v>0</v>
      </c>
      <c r="D12" s="79" t="str">
        <f>IFERROR(VLOOKUP(H12,'[1]ARTICULOS MP PLANTA'!$A$2:$G$2000,6,0),"")</f>
        <v/>
      </c>
      <c r="E12" s="79" t="str">
        <f>IFERROR(VLOOKUP(H12,'[1]ARTICULOS MP PLANTA'!$A$2:$G$2000,7,0),"")</f>
        <v/>
      </c>
      <c r="F12" s="79" t="str">
        <f t="shared" si="1"/>
        <v/>
      </c>
      <c r="G12" s="80" t="str">
        <f t="shared" si="2"/>
        <v/>
      </c>
      <c r="H12" s="81"/>
      <c r="I12" s="81"/>
      <c r="J12" s="82"/>
    </row>
    <row r="13" spans="1:10" ht="13.5" hidden="1" x14ac:dyDescent="0.25">
      <c r="A13" s="77"/>
      <c r="B13" s="65" t="str">
        <f>IFERROR(VLOOKUP(H13,'[1]ARTICULOS MP PLANTA'!$A$2:$G$2000,2,0),"")</f>
        <v/>
      </c>
      <c r="C13" s="78">
        <f t="shared" si="0"/>
        <v>0</v>
      </c>
      <c r="D13" s="79" t="str">
        <f>IFERROR(VLOOKUP(H13,'[1]ARTICULOS MP PLANTA'!$A$2:$G$2000,6,0),"")</f>
        <v/>
      </c>
      <c r="E13" s="79" t="str">
        <f>IFERROR(VLOOKUP(H13,'[1]ARTICULOS MP PLANTA'!$A$2:$G$2000,7,0),"")</f>
        <v/>
      </c>
      <c r="F13" s="79" t="str">
        <f t="shared" si="1"/>
        <v/>
      </c>
      <c r="G13" s="80" t="str">
        <f t="shared" si="2"/>
        <v/>
      </c>
      <c r="H13" s="81"/>
      <c r="I13" s="81"/>
      <c r="J13" s="82"/>
    </row>
    <row r="14" spans="1:10" ht="13.5" hidden="1" x14ac:dyDescent="0.25">
      <c r="A14" s="77"/>
      <c r="B14" s="65" t="str">
        <f>IFERROR(VLOOKUP(H14,'[1]ARTICULOS MP PLANTA'!$A$2:$G$2000,2,0),"")</f>
        <v/>
      </c>
      <c r="C14" s="78">
        <f t="shared" si="0"/>
        <v>0</v>
      </c>
      <c r="D14" s="79" t="str">
        <f>IFERROR(VLOOKUP(H14,'[1]ARTICULOS MP PLANTA'!$A$2:$G$2000,6,0),"")</f>
        <v/>
      </c>
      <c r="E14" s="79" t="str">
        <f>IFERROR(VLOOKUP(H14,'[1]ARTICULOS MP PLANTA'!$A$2:$G$2000,7,0),"")</f>
        <v/>
      </c>
      <c r="F14" s="79" t="str">
        <f t="shared" si="1"/>
        <v/>
      </c>
      <c r="G14" s="80" t="str">
        <f t="shared" si="2"/>
        <v/>
      </c>
      <c r="H14" s="81"/>
      <c r="I14" s="81"/>
      <c r="J14" s="82"/>
    </row>
    <row r="15" spans="1:10" ht="14.25" hidden="1" thickBot="1" x14ac:dyDescent="0.3">
      <c r="A15" s="77"/>
      <c r="B15" s="65" t="str">
        <f>IFERROR(VLOOKUP(H15,'[1]ARTICULOS MP PLANTA'!$A$2:$G$589,2,0),"")</f>
        <v/>
      </c>
      <c r="C15" s="78"/>
      <c r="D15" s="79"/>
      <c r="E15" s="79"/>
      <c r="F15" s="79"/>
      <c r="G15" s="80"/>
      <c r="H15" s="81"/>
      <c r="I15" s="81"/>
      <c r="J15" s="82"/>
    </row>
    <row r="16" spans="1:10" ht="39" thickBot="1" x14ac:dyDescent="0.25">
      <c r="A16" s="72" t="s">
        <v>72</v>
      </c>
      <c r="B16" s="73" t="s">
        <v>85</v>
      </c>
      <c r="C16" s="73" t="s">
        <v>72</v>
      </c>
      <c r="D16" s="74" t="s">
        <v>74</v>
      </c>
      <c r="E16" s="74" t="s">
        <v>75</v>
      </c>
      <c r="F16" s="74" t="s">
        <v>76</v>
      </c>
      <c r="G16" s="74" t="s">
        <v>77</v>
      </c>
      <c r="H16" s="75" t="s">
        <v>78</v>
      </c>
      <c r="I16" s="76"/>
      <c r="J16" s="82"/>
    </row>
    <row r="17" spans="1:12" ht="13.5" x14ac:dyDescent="0.25">
      <c r="A17" s="77">
        <v>240</v>
      </c>
      <c r="B17" s="65" t="s">
        <v>123</v>
      </c>
      <c r="C17" s="78">
        <f>+A17</f>
        <v>240</v>
      </c>
      <c r="D17" s="78" t="s">
        <v>130</v>
      </c>
      <c r="E17" s="79">
        <f>+'Costo salsa roja mexicana'!E66</f>
        <v>0.88548972436607953</v>
      </c>
      <c r="F17" s="79">
        <f>IFERROR(E17*C17,"")</f>
        <v>212.51753384785908</v>
      </c>
      <c r="G17" s="80">
        <f>IFERROR(F17/$F$59,"")</f>
        <v>0.77034647203598505</v>
      </c>
      <c r="H17" s="81"/>
      <c r="I17" s="81"/>
      <c r="J17" s="82"/>
    </row>
    <row r="18" spans="1:12" ht="13.5" hidden="1" x14ac:dyDescent="0.25">
      <c r="A18" s="77"/>
      <c r="B18" s="65" t="str">
        <f>IFERROR(VLOOKUP($H18,[2]SEMIELABORADOS!$A$1:$J$998,2,0),"")</f>
        <v/>
      </c>
      <c r="C18" s="78">
        <f>+A18</f>
        <v>0</v>
      </c>
      <c r="D18" s="78" t="str">
        <f>IFERROR(VLOOKUP($H18,[2]SEMIELABORADOS!$A$1:$J$998,4,0),"")</f>
        <v/>
      </c>
      <c r="E18" s="79" t="str">
        <f>IFERROR(VLOOKUP($H18,[2]SEMIELABORADOS!$A$1:$J$998,6,0),"")</f>
        <v/>
      </c>
      <c r="F18" s="79" t="str">
        <f>IFERROR(E18*C18,"")</f>
        <v/>
      </c>
      <c r="G18" s="80" t="str">
        <f>IFERROR(F18/$F$59,"")</f>
        <v/>
      </c>
      <c r="H18" s="81"/>
      <c r="I18" s="81"/>
      <c r="J18" s="82"/>
    </row>
    <row r="19" spans="1:12" ht="13.5" hidden="1" x14ac:dyDescent="0.25">
      <c r="A19" s="77"/>
      <c r="B19" s="65" t="str">
        <f>IFERROR(VLOOKUP($H19,[2]SEMIELABORADOS!$A$1:$J$998,2,0),"")</f>
        <v/>
      </c>
      <c r="C19" s="78">
        <f>+A19</f>
        <v>0</v>
      </c>
      <c r="D19" s="78" t="str">
        <f>IFERROR(VLOOKUP($H19,[2]SEMIELABORADOS!$A$1:$J$998,4,0),"")</f>
        <v/>
      </c>
      <c r="E19" s="79" t="str">
        <f>IFERROR(VLOOKUP($H19,[2]SEMIELABORADOS!$A$1:$J$998,6,0),"")</f>
        <v/>
      </c>
      <c r="F19" s="79" t="str">
        <f>IFERROR(E19*C19,"")</f>
        <v/>
      </c>
      <c r="G19" s="80" t="str">
        <f>IFERROR(F19/$F$59,"")</f>
        <v/>
      </c>
      <c r="H19" s="81"/>
      <c r="I19" s="81"/>
      <c r="J19" s="82"/>
    </row>
    <row r="20" spans="1:12" ht="13.5" hidden="1" x14ac:dyDescent="0.25">
      <c r="A20" s="77"/>
      <c r="B20" s="65" t="str">
        <f>IFERROR(VLOOKUP($H20,[2]SEMIELABORADOS!$A$1:$J$998,2,0),"")</f>
        <v/>
      </c>
      <c r="C20" s="78">
        <f>+A20</f>
        <v>0</v>
      </c>
      <c r="D20" s="78" t="str">
        <f>IFERROR(VLOOKUP($H20,[2]SEMIELABORADOS!$A$1:$J$998,4,0),"")</f>
        <v/>
      </c>
      <c r="E20" s="79" t="str">
        <f>IFERROR(VLOOKUP($H20,[2]SEMIELABORADOS!$A$1:$J$998,6,0),"")</f>
        <v/>
      </c>
      <c r="F20" s="79" t="str">
        <f>IFERROR(E20*C20,"")</f>
        <v/>
      </c>
      <c r="G20" s="80" t="str">
        <f>IFERROR(F20/$F$59,"")</f>
        <v/>
      </c>
      <c r="H20" s="81"/>
      <c r="I20" s="81"/>
      <c r="J20" s="82"/>
    </row>
    <row r="21" spans="1:12" ht="13.5" hidden="1" x14ac:dyDescent="0.25">
      <c r="A21" s="77"/>
      <c r="B21" s="65" t="str">
        <f>IFERROR(VLOOKUP($H21,[2]SEMIELABORADOS!$A$1:$J$998,2,0),"")</f>
        <v/>
      </c>
      <c r="C21" s="78">
        <f>+A21</f>
        <v>0</v>
      </c>
      <c r="D21" s="78" t="str">
        <f>IFERROR(VLOOKUP($H21,[2]SEMIELABORADOS!$A$1:$J$998,4,0),"")</f>
        <v/>
      </c>
      <c r="E21" s="79" t="str">
        <f>IFERROR(VLOOKUP($H21,[2]SEMIELABORADOS!$A$1:$J$998,6,0),"")</f>
        <v/>
      </c>
      <c r="F21" s="79" t="str">
        <f>IFERROR(E21*C21,"")</f>
        <v/>
      </c>
      <c r="G21" s="80" t="str">
        <f>IFERROR(F21/$F$59,"")</f>
        <v/>
      </c>
      <c r="H21" s="81"/>
      <c r="I21" s="81"/>
      <c r="J21" s="82"/>
    </row>
    <row r="22" spans="1:12" ht="14.25" thickBot="1" x14ac:dyDescent="0.3">
      <c r="A22" s="77"/>
      <c r="C22" s="78"/>
      <c r="D22" s="78"/>
      <c r="E22" s="79"/>
      <c r="F22" s="79"/>
      <c r="G22" s="80"/>
      <c r="H22" s="81"/>
      <c r="I22" s="81"/>
      <c r="J22" s="82"/>
    </row>
    <row r="23" spans="1:12" ht="39" thickBot="1" x14ac:dyDescent="0.25">
      <c r="A23" s="72" t="s">
        <v>72</v>
      </c>
      <c r="B23" s="73" t="s">
        <v>86</v>
      </c>
      <c r="C23" s="73" t="s">
        <v>72</v>
      </c>
      <c r="D23" s="74" t="s">
        <v>74</v>
      </c>
      <c r="E23" s="74" t="s">
        <v>75</v>
      </c>
      <c r="F23" s="74" t="s">
        <v>76</v>
      </c>
      <c r="G23" s="74" t="s">
        <v>77</v>
      </c>
      <c r="H23" s="75" t="s">
        <v>78</v>
      </c>
      <c r="I23" s="76"/>
    </row>
    <row r="24" spans="1:12" ht="13.5" x14ac:dyDescent="0.25">
      <c r="A24" s="77">
        <v>1</v>
      </c>
      <c r="B24" s="83" t="str">
        <f>IFERROR(VLOOKUP(H24,'[1]EMPAQUE PLANTA'!$A$2:$H$1000,2,0),"")</f>
        <v>BOLSA TRANSPARENTE 6X8X4 KILO</v>
      </c>
      <c r="C24" s="78">
        <f t="shared" ref="C24:C29" si="3">+A24</f>
        <v>1</v>
      </c>
      <c r="D24" s="79">
        <f>IFERROR(VLOOKUP(H24,'[1]EMPAQUE PLANTA'!$A$2:$H$1000,7,0),"")</f>
        <v>0</v>
      </c>
      <c r="E24" s="79">
        <v>3.26</v>
      </c>
      <c r="F24" s="79">
        <f t="shared" ref="F24:F29" si="4">IFERROR(E24*C24,"")</f>
        <v>3.26</v>
      </c>
      <c r="G24" s="80">
        <f t="shared" ref="G24:G29" si="5">IFERROR(F24/$F$59,"")</f>
        <v>1.1817046120228214E-2</v>
      </c>
      <c r="H24" s="84" t="s">
        <v>131</v>
      </c>
      <c r="I24" s="84"/>
      <c r="J24" s="82"/>
      <c r="K24" s="263"/>
      <c r="L24" s="263"/>
    </row>
    <row r="25" spans="1:12" ht="13.5" x14ac:dyDescent="0.25">
      <c r="A25" s="77">
        <v>1</v>
      </c>
      <c r="B25" s="83" t="s">
        <v>126</v>
      </c>
      <c r="C25" s="78">
        <f t="shared" si="3"/>
        <v>1</v>
      </c>
      <c r="D25" s="79" t="s">
        <v>132</v>
      </c>
      <c r="E25" s="79">
        <f>IFERROR(VLOOKUP($H25,'[2]EMP PLANTA'!$A$2:$F$500,6,0),"")</f>
        <v>0.61599999999999999</v>
      </c>
      <c r="F25" s="79">
        <f t="shared" si="4"/>
        <v>0.61599999999999999</v>
      </c>
      <c r="G25" s="80">
        <f t="shared" si="5"/>
        <v>2.2329142362149017E-3</v>
      </c>
      <c r="H25" s="84" t="s">
        <v>133</v>
      </c>
      <c r="I25" s="84"/>
      <c r="J25" s="82"/>
      <c r="K25" s="263"/>
      <c r="L25" s="263"/>
    </row>
    <row r="26" spans="1:12" ht="13.5" x14ac:dyDescent="0.25">
      <c r="A26" s="77">
        <v>1</v>
      </c>
      <c r="B26" s="83" t="s">
        <v>127</v>
      </c>
      <c r="C26" s="78">
        <f t="shared" si="3"/>
        <v>1</v>
      </c>
      <c r="D26" s="79" t="s">
        <v>132</v>
      </c>
      <c r="E26" s="79">
        <f>IFERROR(VLOOKUP($H26,'[2]EMP PLANTA'!$A$2:$F$500,6,0),"")</f>
        <v>0.22877999999999998</v>
      </c>
      <c r="F26" s="79">
        <f t="shared" si="4"/>
        <v>0.22877999999999998</v>
      </c>
      <c r="G26" s="80">
        <f t="shared" si="5"/>
        <v>8.2929564766435907E-4</v>
      </c>
      <c r="H26" s="84" t="s">
        <v>134</v>
      </c>
      <c r="I26" s="84"/>
      <c r="J26" s="82"/>
      <c r="K26" s="263"/>
      <c r="L26" s="263"/>
    </row>
    <row r="27" spans="1:12" ht="13.5" hidden="1" x14ac:dyDescent="0.25">
      <c r="A27" s="77"/>
      <c r="B27" s="83" t="str">
        <f>IFERROR(VLOOKUP(H27,'[1]EMPAQUE PLANTA'!$A$2:$H$176,2,0),"")</f>
        <v/>
      </c>
      <c r="C27" s="78">
        <f t="shared" si="3"/>
        <v>0</v>
      </c>
      <c r="D27" s="79" t="str">
        <f>IFERROR(VLOOKUP(H27,'[1]EMPAQUE PLANTA'!$A$2:$H$176,7,0),"")</f>
        <v/>
      </c>
      <c r="E27" s="79" t="str">
        <f>IFERROR(VLOOKUP($H27,'[2]EMP PLANTA'!$A$2:$F$500,6,0),"")</f>
        <v/>
      </c>
      <c r="F27" s="79" t="str">
        <f t="shared" si="4"/>
        <v/>
      </c>
      <c r="G27" s="80" t="str">
        <f t="shared" si="5"/>
        <v/>
      </c>
      <c r="H27" s="84"/>
      <c r="I27" s="84"/>
      <c r="J27" s="82"/>
      <c r="K27" s="263"/>
      <c r="L27" s="263"/>
    </row>
    <row r="28" spans="1:12" ht="13.5" hidden="1" x14ac:dyDescent="0.25">
      <c r="A28" s="77"/>
      <c r="B28" s="83" t="str">
        <f>IFERROR(VLOOKUP(H28,'[1]EMPAQUE PLANTA'!$A$2:$H$176,2,0),"")</f>
        <v/>
      </c>
      <c r="C28" s="78">
        <f t="shared" si="3"/>
        <v>0</v>
      </c>
      <c r="D28" s="79" t="str">
        <f>IFERROR(VLOOKUP(H28,'[1]EMPAQUE PLANTA'!$A$2:$H$176,7,0),"")</f>
        <v/>
      </c>
      <c r="E28" s="79" t="str">
        <f>IFERROR(VLOOKUP($H28,'[2]EMP PLANTA'!$A$2:$F$500,6,0),"")</f>
        <v/>
      </c>
      <c r="F28" s="79" t="str">
        <f t="shared" si="4"/>
        <v/>
      </c>
      <c r="G28" s="80" t="str">
        <f t="shared" si="5"/>
        <v/>
      </c>
      <c r="H28" s="84"/>
      <c r="I28" s="84"/>
      <c r="J28" s="82"/>
      <c r="K28" s="85"/>
      <c r="L28" s="86"/>
    </row>
    <row r="29" spans="1:12" ht="13.5" hidden="1" x14ac:dyDescent="0.25">
      <c r="A29" s="77"/>
      <c r="B29" s="83" t="str">
        <f>IFERROR(VLOOKUP(H29,'[1]EMPAQUE PLANTA'!$A$2:$H$176,2,0),"")</f>
        <v/>
      </c>
      <c r="C29" s="78">
        <f t="shared" si="3"/>
        <v>0</v>
      </c>
      <c r="D29" s="79" t="str">
        <f>IFERROR(VLOOKUP(H29,'[1]EMPAQUE PLANTA'!$A$2:$H$176,7,0),"")</f>
        <v/>
      </c>
      <c r="E29" s="79" t="str">
        <f>IFERROR(VLOOKUP($H29,'[2]EMP PLANTA'!$A$2:$F$500,6,0),"")</f>
        <v/>
      </c>
      <c r="F29" s="79" t="str">
        <f t="shared" si="4"/>
        <v/>
      </c>
      <c r="G29" s="80" t="str">
        <f t="shared" si="5"/>
        <v/>
      </c>
      <c r="H29" s="84"/>
      <c r="I29" s="84"/>
      <c r="J29" s="82"/>
    </row>
    <row r="30" spans="1:12" ht="14.25" thickBot="1" x14ac:dyDescent="0.3">
      <c r="A30" s="77"/>
      <c r="B30" s="83" t="str">
        <f>IFERROR(VLOOKUP(H30,'[1]EMPAQUE PLANTA'!$A$2:$H$176,2,0),"")</f>
        <v/>
      </c>
      <c r="C30" s="78"/>
      <c r="D30" s="79"/>
      <c r="E30" s="79"/>
      <c r="F30" s="79"/>
      <c r="G30" s="80"/>
      <c r="H30" s="84"/>
      <c r="I30" s="84"/>
      <c r="J30" s="82"/>
    </row>
    <row r="31" spans="1:12" ht="39" thickBot="1" x14ac:dyDescent="0.25">
      <c r="A31" s="72" t="s">
        <v>72</v>
      </c>
      <c r="B31" s="73" t="s">
        <v>87</v>
      </c>
      <c r="C31" s="73" t="s">
        <v>72</v>
      </c>
      <c r="D31" s="74" t="s">
        <v>74</v>
      </c>
      <c r="E31" s="74" t="s">
        <v>75</v>
      </c>
      <c r="F31" s="74" t="s">
        <v>76</v>
      </c>
      <c r="G31" s="74" t="s">
        <v>77</v>
      </c>
      <c r="H31" s="75" t="s">
        <v>78</v>
      </c>
      <c r="I31" s="76"/>
      <c r="J31" s="82"/>
    </row>
    <row r="32" spans="1:12" ht="13.5" x14ac:dyDescent="0.25">
      <c r="A32" s="77">
        <f>+A17</f>
        <v>240</v>
      </c>
      <c r="B32" s="83" t="s">
        <v>123</v>
      </c>
      <c r="C32" s="78">
        <f>+A32</f>
        <v>240</v>
      </c>
      <c r="D32" s="79" t="s">
        <v>88</v>
      </c>
      <c r="E32" s="79">
        <f>+'Costo salsa roja mexicana'!E73</f>
        <v>0</v>
      </c>
      <c r="F32" s="79">
        <f>IFERROR(E32*C32,"")</f>
        <v>0</v>
      </c>
      <c r="G32" s="80">
        <f>IFERROR(F32/$F$58,"")</f>
        <v>0</v>
      </c>
      <c r="H32" s="84"/>
      <c r="I32" s="84"/>
      <c r="J32" s="82"/>
    </row>
    <row r="33" spans="1:17" ht="13.5" hidden="1" x14ac:dyDescent="0.25">
      <c r="A33" s="77">
        <f>+A18</f>
        <v>0</v>
      </c>
      <c r="B33" s="83"/>
      <c r="C33" s="78">
        <f>+A33</f>
        <v>0</v>
      </c>
      <c r="D33" s="79" t="s">
        <v>88</v>
      </c>
      <c r="E33" s="79" t="str">
        <f>IFERROR(VLOOKUP($H33,[2]SEMIELABORADOS!$A$1:$J$998,8,0),"")</f>
        <v/>
      </c>
      <c r="F33" s="79" t="str">
        <f>IFERROR(E33*C33,"")</f>
        <v/>
      </c>
      <c r="G33" s="80" t="str">
        <f>IFERROR(F33/$F$58,"")</f>
        <v/>
      </c>
      <c r="H33" s="84"/>
      <c r="I33" s="84"/>
      <c r="J33" s="82"/>
    </row>
    <row r="34" spans="1:17" ht="13.5" hidden="1" x14ac:dyDescent="0.25">
      <c r="A34" s="77">
        <f>+A19</f>
        <v>0</v>
      </c>
      <c r="B34" s="83"/>
      <c r="C34" s="78">
        <f>+A34</f>
        <v>0</v>
      </c>
      <c r="D34" s="79" t="s">
        <v>88</v>
      </c>
      <c r="E34" s="79" t="str">
        <f>IFERROR(VLOOKUP($H34,[2]SEMIELABORADOS!$A$1:$J$998,8,0),"")</f>
        <v/>
      </c>
      <c r="F34" s="79" t="str">
        <f>IFERROR(E34*C34,"")</f>
        <v/>
      </c>
      <c r="G34" s="80" t="str">
        <f>IFERROR(F34/$F$58,"")</f>
        <v/>
      </c>
      <c r="H34" s="84"/>
      <c r="I34" s="84"/>
      <c r="J34" s="82"/>
    </row>
    <row r="35" spans="1:17" ht="13.5" hidden="1" x14ac:dyDescent="0.25">
      <c r="A35" s="77">
        <f>+A20</f>
        <v>0</v>
      </c>
      <c r="B35" s="83"/>
      <c r="C35" s="78">
        <f>+A35</f>
        <v>0</v>
      </c>
      <c r="D35" s="79" t="s">
        <v>88</v>
      </c>
      <c r="E35" s="79" t="str">
        <f>IFERROR(VLOOKUP($H35,[2]SEMIELABORADOS!$A$1:$J$998,8,0),"")</f>
        <v/>
      </c>
      <c r="F35" s="79" t="str">
        <f>IFERROR(E35*C35,"")</f>
        <v/>
      </c>
      <c r="G35" s="80" t="str">
        <f>IFERROR(F35/$F$58,"")</f>
        <v/>
      </c>
      <c r="H35" s="84"/>
      <c r="I35" s="84"/>
      <c r="J35" s="82"/>
    </row>
    <row r="36" spans="1:17" ht="13.5" hidden="1" x14ac:dyDescent="0.25">
      <c r="A36" s="77">
        <f>+A21</f>
        <v>0</v>
      </c>
      <c r="B36" s="83"/>
      <c r="C36" s="78">
        <f>+A36</f>
        <v>0</v>
      </c>
      <c r="D36" s="79" t="s">
        <v>88</v>
      </c>
      <c r="E36" s="79" t="str">
        <f>IFERROR(VLOOKUP($H36,[2]SEMIELABORADOS!$A$1:$J$998,8,0),"")</f>
        <v/>
      </c>
      <c r="F36" s="79" t="str">
        <f>IFERROR(E36*C36,"")</f>
        <v/>
      </c>
      <c r="G36" s="80" t="str">
        <f>IFERROR(F36/$F$58,"")</f>
        <v/>
      </c>
      <c r="H36" s="84"/>
      <c r="I36" s="84"/>
      <c r="J36" s="82"/>
    </row>
    <row r="37" spans="1:17" ht="14.25" thickBot="1" x14ac:dyDescent="0.3">
      <c r="A37" s="77"/>
      <c r="B37" s="83"/>
      <c r="C37" s="78"/>
      <c r="D37" s="79"/>
      <c r="E37" s="79"/>
      <c r="F37" s="79"/>
      <c r="G37" s="80"/>
      <c r="H37" s="84"/>
      <c r="I37" s="84"/>
      <c r="J37" s="82"/>
    </row>
    <row r="38" spans="1:17" ht="39" thickBot="1" x14ac:dyDescent="0.25">
      <c r="A38" s="72" t="s">
        <v>72</v>
      </c>
      <c r="B38" s="73" t="s">
        <v>89</v>
      </c>
      <c r="C38" s="73" t="s">
        <v>72</v>
      </c>
      <c r="D38" s="73"/>
      <c r="E38" s="74" t="s">
        <v>75</v>
      </c>
      <c r="F38" s="74" t="s">
        <v>76</v>
      </c>
      <c r="G38" s="74" t="s">
        <v>77</v>
      </c>
      <c r="H38" s="75" t="s">
        <v>78</v>
      </c>
      <c r="I38" s="76"/>
      <c r="J38" s="82"/>
    </row>
    <row r="39" spans="1:17" ht="13.5" x14ac:dyDescent="0.25">
      <c r="A39" s="77">
        <f>+A17</f>
        <v>240</v>
      </c>
      <c r="B39" s="87" t="s">
        <v>123</v>
      </c>
      <c r="C39" s="78">
        <f t="shared" ref="C39:C44" si="6">+A39</f>
        <v>240</v>
      </c>
      <c r="D39" s="78" t="s">
        <v>88</v>
      </c>
      <c r="E39" s="79">
        <f>+'Costo salsa roja mexicana'!E71</f>
        <v>0.35813953488372091</v>
      </c>
      <c r="F39" s="79">
        <f t="shared" ref="F39:F44" si="7">IFERROR(C39*E39,"")</f>
        <v>85.95348837209302</v>
      </c>
      <c r="G39" s="80">
        <f t="shared" ref="G39:G44" si="8">IFERROR(F39/$F$59,"")</f>
        <v>0.31156942830905604</v>
      </c>
      <c r="H39" s="88"/>
      <c r="I39" s="88"/>
      <c r="J39" s="82"/>
    </row>
    <row r="40" spans="1:17" ht="13.5" hidden="1" x14ac:dyDescent="0.25">
      <c r="A40" s="77">
        <f>+A18</f>
        <v>0</v>
      </c>
      <c r="B40" s="87"/>
      <c r="C40" s="78">
        <f t="shared" si="6"/>
        <v>0</v>
      </c>
      <c r="D40" s="78" t="s">
        <v>88</v>
      </c>
      <c r="E40" s="79" t="str">
        <f>IFERROR(VLOOKUP($H40,[2]SEMIELABORADOS!$A$1:$J$998,10,0),"")</f>
        <v/>
      </c>
      <c r="F40" s="79" t="str">
        <f t="shared" si="7"/>
        <v/>
      </c>
      <c r="G40" s="80" t="str">
        <f t="shared" si="8"/>
        <v/>
      </c>
      <c r="H40" s="88"/>
      <c r="I40" s="88"/>
      <c r="J40" s="82"/>
    </row>
    <row r="41" spans="1:17" ht="13.5" hidden="1" x14ac:dyDescent="0.25">
      <c r="A41" s="77">
        <f>+A19</f>
        <v>0</v>
      </c>
      <c r="B41" s="87"/>
      <c r="C41" s="78">
        <f t="shared" si="6"/>
        <v>0</v>
      </c>
      <c r="D41" s="78" t="s">
        <v>88</v>
      </c>
      <c r="E41" s="79" t="str">
        <f>IFERROR(VLOOKUP($H41,[2]SEMIELABORADOS!$A$1:$J$998,10,0),"")</f>
        <v/>
      </c>
      <c r="F41" s="79" t="str">
        <f t="shared" si="7"/>
        <v/>
      </c>
      <c r="G41" s="80" t="str">
        <f t="shared" si="8"/>
        <v/>
      </c>
      <c r="H41" s="88"/>
      <c r="I41" s="88"/>
      <c r="J41" s="82"/>
    </row>
    <row r="42" spans="1:17" ht="13.5" hidden="1" x14ac:dyDescent="0.25">
      <c r="A42" s="77">
        <f>+A20</f>
        <v>0</v>
      </c>
      <c r="B42" s="87"/>
      <c r="C42" s="78">
        <f t="shared" si="6"/>
        <v>0</v>
      </c>
      <c r="D42" s="78" t="s">
        <v>88</v>
      </c>
      <c r="E42" s="79" t="str">
        <f>IFERROR(VLOOKUP($H42,[2]SEMIELABORADOS!$A$1:$J$998,10,0),"")</f>
        <v/>
      </c>
      <c r="F42" s="79" t="str">
        <f t="shared" si="7"/>
        <v/>
      </c>
      <c r="G42" s="80" t="str">
        <f t="shared" si="8"/>
        <v/>
      </c>
      <c r="H42" s="88"/>
      <c r="I42" s="88"/>
      <c r="J42" s="82"/>
    </row>
    <row r="43" spans="1:17" ht="13.5" hidden="1" x14ac:dyDescent="0.25">
      <c r="A43" s="77">
        <f>+A21</f>
        <v>0</v>
      </c>
      <c r="B43" s="87"/>
      <c r="C43" s="78">
        <f t="shared" si="6"/>
        <v>0</v>
      </c>
      <c r="D43" s="78" t="s">
        <v>88</v>
      </c>
      <c r="E43" s="79" t="str">
        <f>IFERROR(VLOOKUP($H43,[2]SEMIELABORADOS!$A$1:$J$998,10,0),"")</f>
        <v/>
      </c>
      <c r="F43" s="79" t="str">
        <f t="shared" si="7"/>
        <v/>
      </c>
      <c r="G43" s="80" t="str">
        <f t="shared" si="8"/>
        <v/>
      </c>
      <c r="H43" s="88"/>
      <c r="I43" s="88"/>
      <c r="J43" s="82"/>
    </row>
    <row r="44" spans="1:17" ht="13.5" x14ac:dyDescent="0.25">
      <c r="A44" s="77">
        <v>1</v>
      </c>
      <c r="B44" s="83" t="s">
        <v>90</v>
      </c>
      <c r="C44" s="78">
        <f t="shared" si="6"/>
        <v>1</v>
      </c>
      <c r="D44" s="78" t="s">
        <v>88</v>
      </c>
      <c r="E44" s="79">
        <f>+F58</f>
        <v>55</v>
      </c>
      <c r="F44" s="79">
        <f t="shared" si="7"/>
        <v>55</v>
      </c>
      <c r="G44" s="80">
        <f t="shared" si="8"/>
        <v>0.19936734251918767</v>
      </c>
      <c r="H44" s="88"/>
      <c r="I44" s="88"/>
      <c r="J44" s="82"/>
    </row>
    <row r="45" spans="1:17" ht="14.25" thickBot="1" x14ac:dyDescent="0.3">
      <c r="A45" s="77"/>
      <c r="B45" s="83"/>
      <c r="C45" s="78"/>
      <c r="D45" s="78"/>
      <c r="E45" s="79"/>
      <c r="F45" s="79"/>
      <c r="G45" s="80"/>
      <c r="H45" s="88"/>
      <c r="I45" s="88"/>
      <c r="J45" s="82"/>
    </row>
    <row r="46" spans="1:17" ht="13.5" thickBot="1" x14ac:dyDescent="0.25">
      <c r="A46" s="89"/>
      <c r="B46" s="264" t="s">
        <v>91</v>
      </c>
      <c r="C46" s="264"/>
      <c r="D46" s="264"/>
      <c r="E46" s="264"/>
      <c r="F46" s="91">
        <f>SUM(F8:F14,F17:F21)</f>
        <v>212.51753384785908</v>
      </c>
      <c r="G46" s="80">
        <f>+F46/$F$59</f>
        <v>0.77034647203598505</v>
      </c>
      <c r="H46" s="92">
        <f>+F46/$D$53</f>
        <v>212.51753384785908</v>
      </c>
      <c r="I46" s="92"/>
      <c r="J46" s="93"/>
      <c r="K46" s="94"/>
      <c r="L46" s="94"/>
      <c r="M46" s="94"/>
      <c r="N46" s="94"/>
      <c r="O46" s="94"/>
      <c r="P46" s="94"/>
      <c r="Q46" s="95"/>
    </row>
    <row r="47" spans="1:17" x14ac:dyDescent="0.2">
      <c r="A47" s="89"/>
      <c r="B47" s="264" t="s">
        <v>92</v>
      </c>
      <c r="C47" s="264"/>
      <c r="D47" s="264"/>
      <c r="E47" s="264"/>
      <c r="F47" s="91">
        <f>SUM(F24:F29,F32:F36)</f>
        <v>4.1047799999999999</v>
      </c>
      <c r="G47" s="80">
        <f>+F47/$F$59</f>
        <v>1.4879256004107475E-2</v>
      </c>
      <c r="H47" s="92">
        <f>+F47/$D$53</f>
        <v>4.1047799999999999</v>
      </c>
      <c r="I47" s="92"/>
      <c r="J47" s="96"/>
      <c r="K47" s="265" t="s">
        <v>93</v>
      </c>
      <c r="L47" s="266"/>
      <c r="M47" s="266"/>
      <c r="N47" s="266"/>
      <c r="O47" s="97">
        <f>+F48</f>
        <v>216.62231384785909</v>
      </c>
      <c r="P47" s="97"/>
      <c r="Q47" s="98"/>
    </row>
    <row r="48" spans="1:17" x14ac:dyDescent="0.2">
      <c r="A48" s="89"/>
      <c r="B48" s="264" t="s">
        <v>94</v>
      </c>
      <c r="C48" s="264"/>
      <c r="D48" s="264"/>
      <c r="E48" s="264"/>
      <c r="F48" s="91">
        <f>+F46+F47</f>
        <v>216.62231384785909</v>
      </c>
      <c r="G48" s="80">
        <f>+F48/$F$59</f>
        <v>0.78522572804009261</v>
      </c>
      <c r="H48" s="92">
        <f>+F48/$D$53</f>
        <v>216.62231384785909</v>
      </c>
      <c r="I48" s="92"/>
      <c r="J48" s="99"/>
      <c r="K48" s="100"/>
      <c r="L48" s="267" t="s">
        <v>95</v>
      </c>
      <c r="M48" s="267"/>
      <c r="N48" s="267"/>
      <c r="O48" s="97">
        <f>+F49</f>
        <v>140.95348837209303</v>
      </c>
      <c r="P48" s="97"/>
      <c r="Q48" s="98"/>
    </row>
    <row r="49" spans="1:17" ht="13.5" thickBot="1" x14ac:dyDescent="0.25">
      <c r="A49" s="89"/>
      <c r="B49" s="90"/>
      <c r="C49" s="264" t="s">
        <v>96</v>
      </c>
      <c r="D49" s="264"/>
      <c r="E49" s="264"/>
      <c r="F49" s="91">
        <f>SUM(F39:F44)</f>
        <v>140.95348837209303</v>
      </c>
      <c r="G49" s="80">
        <f>+F49/$F$59</f>
        <v>0.51093677082824374</v>
      </c>
      <c r="H49" s="92">
        <f>+F49/$D$53</f>
        <v>140.95348837209303</v>
      </c>
      <c r="I49" s="92"/>
      <c r="J49" s="99"/>
      <c r="K49" s="100"/>
      <c r="L49" s="100"/>
      <c r="M49" s="100" t="s">
        <v>97</v>
      </c>
      <c r="N49" s="101">
        <v>0.01</v>
      </c>
      <c r="O49" s="97">
        <f>O47*N49</f>
        <v>2.1662231384785908</v>
      </c>
      <c r="P49" s="97"/>
      <c r="Q49" s="98"/>
    </row>
    <row r="50" spans="1:17" ht="13.5" thickBot="1" x14ac:dyDescent="0.25">
      <c r="A50" s="89"/>
      <c r="B50" s="102"/>
      <c r="C50" s="102"/>
      <c r="D50" s="102"/>
      <c r="E50" s="102"/>
      <c r="F50" s="103"/>
      <c r="G50" s="80"/>
      <c r="H50" s="104"/>
      <c r="I50" s="92"/>
      <c r="J50" s="99"/>
      <c r="K50" s="105"/>
      <c r="M50" s="106" t="s">
        <v>98</v>
      </c>
      <c r="N50" s="107"/>
      <c r="O50" s="108">
        <f>SUM(O47:O49)</f>
        <v>359.74202535843074</v>
      </c>
      <c r="P50" s="109"/>
      <c r="Q50" s="98"/>
    </row>
    <row r="51" spans="1:17" x14ac:dyDescent="0.2">
      <c r="B51" s="268" t="s">
        <v>99</v>
      </c>
      <c r="C51" s="268"/>
      <c r="D51" s="110">
        <v>240</v>
      </c>
      <c r="E51" s="111"/>
      <c r="G51" s="80"/>
      <c r="H51" s="104"/>
      <c r="I51" s="112"/>
      <c r="J51" s="99"/>
      <c r="K51" s="105"/>
      <c r="L51" s="100"/>
      <c r="M51" s="100" t="s">
        <v>100</v>
      </c>
      <c r="N51" s="113">
        <v>0.25</v>
      </c>
      <c r="O51" s="97">
        <f>+O50*N51</f>
        <v>89.935506339607684</v>
      </c>
      <c r="P51" s="97"/>
      <c r="Q51" s="98"/>
    </row>
    <row r="52" spans="1:17" x14ac:dyDescent="0.2">
      <c r="B52" s="268" t="s">
        <v>101</v>
      </c>
      <c r="C52" s="268"/>
      <c r="D52" s="114">
        <v>240</v>
      </c>
      <c r="E52" s="111"/>
      <c r="G52" s="80"/>
      <c r="H52" s="104"/>
      <c r="I52" s="112"/>
      <c r="J52" s="99"/>
      <c r="K52" s="105"/>
      <c r="L52" s="100"/>
      <c r="M52" s="267" t="s">
        <v>98</v>
      </c>
      <c r="N52" s="267"/>
      <c r="O52" s="97">
        <f>SUM(O50:O51)</f>
        <v>449.67753169803842</v>
      </c>
      <c r="P52" s="97"/>
      <c r="Q52" s="98"/>
    </row>
    <row r="53" spans="1:17" ht="13.5" thickBot="1" x14ac:dyDescent="0.25">
      <c r="B53" s="269" t="s">
        <v>102</v>
      </c>
      <c r="C53" s="269"/>
      <c r="D53" s="110">
        <f>+D51/D52</f>
        <v>1</v>
      </c>
      <c r="E53" s="111"/>
      <c r="F53" s="115"/>
      <c r="G53" s="80"/>
      <c r="H53" s="104"/>
      <c r="I53" s="112"/>
      <c r="J53" s="99"/>
      <c r="K53" s="105"/>
      <c r="L53" s="267" t="s">
        <v>103</v>
      </c>
      <c r="M53" s="267"/>
      <c r="N53" s="113">
        <v>0.05</v>
      </c>
      <c r="O53" s="97">
        <f>+O52*N53</f>
        <v>22.483876584901921</v>
      </c>
      <c r="P53" s="97"/>
      <c r="Q53" s="98"/>
    </row>
    <row r="54" spans="1:17" ht="13.5" thickBot="1" x14ac:dyDescent="0.25">
      <c r="B54" s="269" t="s">
        <v>104</v>
      </c>
      <c r="C54" s="269"/>
      <c r="D54" s="116"/>
      <c r="E54" s="111"/>
      <c r="F54" s="115"/>
      <c r="G54" s="80"/>
      <c r="H54" s="104"/>
      <c r="I54" s="112"/>
      <c r="J54" s="99"/>
      <c r="K54" s="270" t="s">
        <v>105</v>
      </c>
      <c r="L54" s="271"/>
      <c r="M54" s="271"/>
      <c r="N54" s="272"/>
      <c r="O54" s="108">
        <f>SUM(O52:O53)</f>
        <v>472.16140828294033</v>
      </c>
      <c r="P54" s="117" t="s">
        <v>106</v>
      </c>
      <c r="Q54" s="98"/>
    </row>
    <row r="55" spans="1:17" ht="13.5" thickBot="1" x14ac:dyDescent="0.25">
      <c r="C55" s="89" t="s">
        <v>107</v>
      </c>
      <c r="D55" s="118"/>
      <c r="E55" s="63" t="s">
        <v>108</v>
      </c>
      <c r="F55" s="119" t="s">
        <v>109</v>
      </c>
      <c r="G55" s="80"/>
      <c r="H55" s="104"/>
      <c r="I55" s="112"/>
      <c r="J55" s="120"/>
      <c r="K55" s="121"/>
      <c r="L55" s="273" t="s">
        <v>110</v>
      </c>
      <c r="M55" s="273"/>
      <c r="N55" s="273"/>
      <c r="O55" s="122">
        <f>+O54/D53</f>
        <v>472.16140828294033</v>
      </c>
      <c r="P55" s="123">
        <f>+O55/D52</f>
        <v>1.9673392011789181</v>
      </c>
      <c r="Q55" s="124"/>
    </row>
    <row r="56" spans="1:17" ht="13.5" thickBot="1" x14ac:dyDescent="0.25">
      <c r="B56" s="274" t="s">
        <v>94</v>
      </c>
      <c r="C56" s="274"/>
      <c r="D56" s="274"/>
      <c r="E56" s="125">
        <f>+F56/F56</f>
        <v>1</v>
      </c>
      <c r="F56" s="126">
        <f>SUM(F48)</f>
        <v>216.62231384785909</v>
      </c>
      <c r="G56" s="80">
        <f>+F56/$F$59</f>
        <v>0.78522572804009261</v>
      </c>
      <c r="H56" s="104"/>
      <c r="I56" s="112"/>
      <c r="K56" s="275"/>
      <c r="L56" s="276"/>
      <c r="M56" s="276"/>
      <c r="N56" s="276"/>
      <c r="O56" s="127"/>
      <c r="P56" s="128"/>
    </row>
    <row r="57" spans="1:17" ht="13.5" thickBot="1" x14ac:dyDescent="0.25">
      <c r="B57" s="277" t="s">
        <v>111</v>
      </c>
      <c r="C57" s="277"/>
      <c r="D57" s="277"/>
      <c r="E57" s="129">
        <v>0.02</v>
      </c>
      <c r="F57" s="126">
        <f>+F46*E57</f>
        <v>4.2503506769571819</v>
      </c>
      <c r="G57" s="80">
        <f>+F57/$F$59</f>
        <v>1.5406929440719702E-2</v>
      </c>
      <c r="H57" s="92"/>
      <c r="I57" s="112"/>
      <c r="J57" s="130"/>
      <c r="O57" s="131"/>
      <c r="P57" s="90"/>
    </row>
    <row r="58" spans="1:17" ht="13.5" thickBot="1" x14ac:dyDescent="0.25">
      <c r="B58" s="279" t="s">
        <v>112</v>
      </c>
      <c r="C58" s="280"/>
      <c r="D58" s="132">
        <v>1</v>
      </c>
      <c r="E58" s="133">
        <v>55</v>
      </c>
      <c r="F58" s="126">
        <f>+E58*D58</f>
        <v>55</v>
      </c>
      <c r="G58" s="80">
        <f>+F58/$F$59</f>
        <v>0.19936734251918767</v>
      </c>
      <c r="H58" s="92"/>
      <c r="I58" s="92"/>
      <c r="J58" s="82"/>
    </row>
    <row r="59" spans="1:17" ht="13.5" thickBot="1" x14ac:dyDescent="0.25">
      <c r="B59" s="281" t="s">
        <v>113</v>
      </c>
      <c r="C59" s="282"/>
      <c r="D59" s="282"/>
      <c r="E59" s="283"/>
      <c r="F59" s="103">
        <f>SUM(F56:F58)</f>
        <v>275.87266452481629</v>
      </c>
      <c r="G59" s="80">
        <f>+F59/$F$59</f>
        <v>1</v>
      </c>
      <c r="H59" s="284"/>
      <c r="I59" s="92"/>
      <c r="J59" s="82"/>
    </row>
    <row r="60" spans="1:17" x14ac:dyDescent="0.2">
      <c r="C60" s="135"/>
      <c r="D60" s="135"/>
      <c r="E60" s="136"/>
      <c r="F60" s="126"/>
      <c r="G60" s="80"/>
      <c r="H60" s="284"/>
      <c r="I60" s="134"/>
      <c r="J60" s="65"/>
    </row>
    <row r="61" spans="1:17" ht="13.5" thickBot="1" x14ac:dyDescent="0.25">
      <c r="B61" s="285" t="s">
        <v>114</v>
      </c>
      <c r="C61" s="285"/>
      <c r="D61" s="285"/>
      <c r="E61" s="285"/>
      <c r="F61" s="285"/>
      <c r="G61" s="80"/>
      <c r="H61" s="138"/>
      <c r="I61" s="134"/>
      <c r="J61" s="65"/>
    </row>
    <row r="62" spans="1:17" ht="13.5" thickBot="1" x14ac:dyDescent="0.25">
      <c r="B62" s="139" t="s">
        <v>115</v>
      </c>
      <c r="C62" s="140">
        <f>+F46</f>
        <v>212.51753384785908</v>
      </c>
      <c r="D62" s="140">
        <f>+D51</f>
        <v>240</v>
      </c>
      <c r="E62" s="141">
        <f>+C62/D62</f>
        <v>0.88548972436607953</v>
      </c>
      <c r="F62" s="80"/>
      <c r="G62" s="138"/>
      <c r="H62" s="82"/>
      <c r="I62" s="138"/>
      <c r="J62" s="65"/>
    </row>
    <row r="63" spans="1:17" x14ac:dyDescent="0.2">
      <c r="B63" s="142"/>
      <c r="C63" s="143"/>
      <c r="D63" s="144"/>
      <c r="E63" s="126"/>
      <c r="F63" s="80"/>
      <c r="G63" s="138"/>
      <c r="H63" s="82"/>
      <c r="I63" s="82"/>
      <c r="J63" s="65"/>
    </row>
    <row r="64" spans="1:17" x14ac:dyDescent="0.2">
      <c r="B64" s="139" t="s">
        <v>116</v>
      </c>
      <c r="C64" s="140">
        <f>SUM(F56:F57)</f>
        <v>220.87266452481626</v>
      </c>
      <c r="D64" s="140">
        <f>+D51</f>
        <v>240</v>
      </c>
      <c r="E64" s="145">
        <f>+C64/D64</f>
        <v>0.92030276885340112</v>
      </c>
      <c r="F64" s="80"/>
      <c r="G64" s="138"/>
      <c r="H64" s="82"/>
      <c r="I64" s="82"/>
      <c r="J64" s="65"/>
    </row>
    <row r="65" spans="2:10" x14ac:dyDescent="0.2">
      <c r="B65" s="139"/>
      <c r="C65" s="140"/>
      <c r="D65" s="140"/>
      <c r="E65" s="145"/>
      <c r="F65" s="80"/>
      <c r="G65" s="138"/>
      <c r="H65" s="82"/>
      <c r="I65" s="82"/>
      <c r="J65" s="65"/>
    </row>
    <row r="66" spans="2:10" ht="13.5" thickBot="1" x14ac:dyDescent="0.25">
      <c r="B66" s="139" t="s">
        <v>117</v>
      </c>
      <c r="C66" s="140">
        <f>+F58</f>
        <v>55</v>
      </c>
      <c r="D66" s="140">
        <f>+D51</f>
        <v>240</v>
      </c>
      <c r="E66" s="145">
        <f>+C66/D66</f>
        <v>0.22916666666666666</v>
      </c>
      <c r="F66" s="80"/>
      <c r="G66" s="138"/>
      <c r="H66" s="82"/>
      <c r="I66" s="82"/>
      <c r="J66" s="65"/>
    </row>
    <row r="67" spans="2:10" ht="13.5" thickBot="1" x14ac:dyDescent="0.25">
      <c r="B67" s="139" t="s">
        <v>118</v>
      </c>
      <c r="C67" s="140">
        <f>+F49</f>
        <v>140.95348837209303</v>
      </c>
      <c r="D67" s="140">
        <f>+D66</f>
        <v>240</v>
      </c>
      <c r="E67" s="141">
        <f>+C67/D67</f>
        <v>0.5873062015503876</v>
      </c>
      <c r="F67" s="80"/>
      <c r="G67" s="138"/>
      <c r="H67" s="82"/>
      <c r="I67" s="82"/>
      <c r="J67" s="65"/>
    </row>
    <row r="68" spans="2:10" ht="13.5" thickBot="1" x14ac:dyDescent="0.25">
      <c r="B68" s="102"/>
      <c r="C68" s="103"/>
      <c r="D68" s="103"/>
      <c r="E68" s="145"/>
      <c r="F68" s="80"/>
      <c r="G68" s="138"/>
      <c r="H68" s="82"/>
      <c r="I68" s="82"/>
      <c r="J68" s="65"/>
    </row>
    <row r="69" spans="2:10" ht="13.5" thickBot="1" x14ac:dyDescent="0.25">
      <c r="B69" s="139" t="s">
        <v>119</v>
      </c>
      <c r="C69" s="140">
        <f>+F47</f>
        <v>4.1047799999999999</v>
      </c>
      <c r="D69" s="140">
        <f>+D67</f>
        <v>240</v>
      </c>
      <c r="E69" s="141">
        <f>+C69/D69</f>
        <v>1.710325E-2</v>
      </c>
      <c r="F69" s="80"/>
      <c r="G69" s="138"/>
      <c r="H69" s="82"/>
      <c r="I69" s="82"/>
      <c r="J69" s="82"/>
    </row>
    <row r="70" spans="2:10" ht="13.5" thickBot="1" x14ac:dyDescent="0.25">
      <c r="B70" s="102"/>
      <c r="C70" s="103"/>
      <c r="D70" s="103"/>
      <c r="E70" s="145"/>
      <c r="F70" s="80"/>
      <c r="G70" s="138"/>
      <c r="H70" s="82"/>
      <c r="I70" s="82"/>
    </row>
    <row r="71" spans="2:10" ht="13.5" thickBot="1" x14ac:dyDescent="0.25">
      <c r="B71" s="286" t="s">
        <v>120</v>
      </c>
      <c r="C71" s="287"/>
      <c r="D71" s="288"/>
      <c r="E71" s="141">
        <f>+E62+E67</f>
        <v>1.4727959259164671</v>
      </c>
      <c r="G71" s="80"/>
      <c r="H71" s="138"/>
      <c r="I71" s="82"/>
      <c r="J71" s="145"/>
    </row>
    <row r="72" spans="2:10" x14ac:dyDescent="0.2">
      <c r="I72" s="138"/>
      <c r="J72" s="65"/>
    </row>
    <row r="73" spans="2:10" ht="13.5" thickBot="1" x14ac:dyDescent="0.25">
      <c r="B73" s="285" t="s">
        <v>121</v>
      </c>
      <c r="C73" s="285"/>
      <c r="D73" s="285"/>
      <c r="E73" s="285"/>
      <c r="F73" s="285"/>
      <c r="G73" s="80"/>
      <c r="H73" s="138"/>
      <c r="J73" s="65"/>
    </row>
    <row r="74" spans="2:10" ht="13.5" thickBot="1" x14ac:dyDescent="0.25">
      <c r="B74" s="139" t="s">
        <v>115</v>
      </c>
      <c r="C74" s="140">
        <f>+C62</f>
        <v>212.51753384785908</v>
      </c>
      <c r="D74" s="140">
        <f>+D53</f>
        <v>1</v>
      </c>
      <c r="E74" s="141">
        <f>+C74/D74</f>
        <v>212.51753384785908</v>
      </c>
      <c r="F74" s="80"/>
      <c r="G74" s="138"/>
      <c r="H74" s="82"/>
      <c r="I74" s="138"/>
      <c r="J74" s="65"/>
    </row>
    <row r="75" spans="2:10" x14ac:dyDescent="0.2">
      <c r="B75" s="142"/>
      <c r="C75" s="143"/>
      <c r="D75" s="144"/>
      <c r="E75" s="126"/>
      <c r="F75" s="80"/>
      <c r="G75" s="138"/>
      <c r="H75" s="82"/>
      <c r="I75" s="82"/>
      <c r="J75" s="65"/>
    </row>
    <row r="76" spans="2:10" x14ac:dyDescent="0.2">
      <c r="B76" s="139" t="s">
        <v>116</v>
      </c>
      <c r="C76" s="140">
        <f>+C64</f>
        <v>220.87266452481626</v>
      </c>
      <c r="D76" s="140">
        <f>+D53</f>
        <v>1</v>
      </c>
      <c r="E76" s="145">
        <f>+C76/D76</f>
        <v>220.87266452481626</v>
      </c>
      <c r="F76" s="80"/>
      <c r="G76" s="138"/>
      <c r="H76" s="82"/>
      <c r="I76" s="82"/>
      <c r="J76" s="65"/>
    </row>
    <row r="77" spans="2:10" x14ac:dyDescent="0.2">
      <c r="B77" s="139"/>
      <c r="C77" s="140"/>
      <c r="D77" s="140"/>
      <c r="E77" s="145"/>
      <c r="F77" s="80"/>
      <c r="G77" s="138"/>
      <c r="H77" s="82"/>
      <c r="I77" s="82"/>
      <c r="J77" s="65"/>
    </row>
    <row r="78" spans="2:10" ht="13.5" thickBot="1" x14ac:dyDescent="0.25">
      <c r="B78" s="139" t="s">
        <v>118</v>
      </c>
      <c r="C78" s="140">
        <f>+C66</f>
        <v>55</v>
      </c>
      <c r="D78" s="140">
        <f>+D53</f>
        <v>1</v>
      </c>
      <c r="E78" s="145">
        <f>+C78/D78</f>
        <v>55</v>
      </c>
      <c r="F78" s="147"/>
      <c r="G78" s="137"/>
      <c r="H78" s="64"/>
      <c r="I78" s="82"/>
    </row>
    <row r="79" spans="2:10" ht="13.5" thickBot="1" x14ac:dyDescent="0.25">
      <c r="B79" s="139" t="s">
        <v>118</v>
      </c>
      <c r="C79" s="140">
        <f>+C67</f>
        <v>140.95348837209303</v>
      </c>
      <c r="D79" s="140">
        <f>+D78</f>
        <v>1</v>
      </c>
      <c r="E79" s="141">
        <f>+C79/D79</f>
        <v>140.95348837209303</v>
      </c>
      <c r="F79" s="146"/>
      <c r="G79" s="137"/>
      <c r="H79" s="64"/>
      <c r="I79" s="64"/>
    </row>
    <row r="80" spans="2:10" x14ac:dyDescent="0.2">
      <c r="I80" s="64"/>
    </row>
    <row r="81" spans="1:7" x14ac:dyDescent="0.2">
      <c r="A81" s="278"/>
      <c r="B81" s="278"/>
      <c r="C81" s="148"/>
      <c r="D81" s="148"/>
      <c r="E81" s="149"/>
      <c r="G81" s="150"/>
    </row>
    <row r="82" spans="1:7" x14ac:dyDescent="0.2">
      <c r="A82" s="83"/>
      <c r="B82" s="151"/>
      <c r="C82" s="152"/>
      <c r="D82" s="152"/>
      <c r="E82" s="153"/>
      <c r="G82" s="150"/>
    </row>
    <row r="83" spans="1:7" x14ac:dyDescent="0.2">
      <c r="A83" s="83"/>
      <c r="B83" s="151"/>
      <c r="C83" s="154"/>
      <c r="D83" s="154"/>
      <c r="E83" s="83"/>
      <c r="G83" s="150"/>
    </row>
    <row r="84" spans="1:7" x14ac:dyDescent="0.2">
      <c r="A84" s="83"/>
      <c r="B84" s="151"/>
      <c r="C84" s="155"/>
      <c r="D84" s="155"/>
      <c r="E84" s="83"/>
      <c r="G84" s="150"/>
    </row>
  </sheetData>
  <mergeCells count="31">
    <mergeCell ref="B56:D56"/>
    <mergeCell ref="K56:N56"/>
    <mergeCell ref="B57:D57"/>
    <mergeCell ref="A81:B81"/>
    <mergeCell ref="B58:C58"/>
    <mergeCell ref="B59:E59"/>
    <mergeCell ref="H59:H60"/>
    <mergeCell ref="B61:F61"/>
    <mergeCell ref="B71:D71"/>
    <mergeCell ref="B73:F73"/>
    <mergeCell ref="B53:C53"/>
    <mergeCell ref="L53:M53"/>
    <mergeCell ref="B54:C54"/>
    <mergeCell ref="K54:N54"/>
    <mergeCell ref="L55:N55"/>
    <mergeCell ref="B48:E48"/>
    <mergeCell ref="L48:N48"/>
    <mergeCell ref="C49:E49"/>
    <mergeCell ref="B51:C51"/>
    <mergeCell ref="B52:C52"/>
    <mergeCell ref="M52:N52"/>
    <mergeCell ref="K26:L26"/>
    <mergeCell ref="K27:L27"/>
    <mergeCell ref="B46:E46"/>
    <mergeCell ref="B47:E47"/>
    <mergeCell ref="K47:N47"/>
    <mergeCell ref="A4:H4"/>
    <mergeCell ref="A5:H5"/>
    <mergeCell ref="F6:G6"/>
    <mergeCell ref="K24:L24"/>
    <mergeCell ref="K25:L2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DD8162-1C8F-4BB8-86BF-ED7FB6C95DD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7E3552D0-90B0-490C-BFA7-02BC54FB9259}"/>
</file>

<file path=customXml/itemProps3.xml><?xml version="1.0" encoding="utf-8"?>
<ds:datastoreItem xmlns:ds="http://schemas.openxmlformats.org/officeDocument/2006/customXml" ds:itemID="{FA16FCD8-0BBA-4E05-AA0D-E2D4A940D979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88879C85-CBD7-4E5F-B6F3-12F93FCE36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Salsa roja mexicana</vt:lpstr>
      <vt:lpstr>Hoja1</vt:lpstr>
      <vt:lpstr>Costo salsa roja mexicana</vt:lpstr>
      <vt:lpstr>Empaque</vt:lpstr>
      <vt:lpstr>costo empaque </vt:lpstr>
      <vt:lpstr>'Salsa roja mexicana'!Área_de_impresión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rsolis</dc:creator>
  <cp:keywords/>
  <dc:description/>
  <cp:lastModifiedBy>Allan Brenes</cp:lastModifiedBy>
  <cp:revision/>
  <cp:lastPrinted>2025-07-08T19:23:02Z</cp:lastPrinted>
  <dcterms:created xsi:type="dcterms:W3CDTF">2009-03-11T22:07:15Z</dcterms:created>
  <dcterms:modified xsi:type="dcterms:W3CDTF">2025-07-08T19:23:55Z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r8>136600</vt:r8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
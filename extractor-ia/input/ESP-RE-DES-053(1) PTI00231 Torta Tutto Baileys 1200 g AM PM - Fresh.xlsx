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04B75B0D-F68F-42D4-BBF6-1327D8C4F515}" xr6:coauthVersionLast="47" xr6:coauthVersionMax="47" xr10:uidLastSave="{D1011DCA-E4B4-4DEA-AF5F-9FD45722A00C}"/>
  <bookViews>
    <workbookView xWindow="-120" yWindow="-120" windowWidth="29040" windowHeight="15840" tabRatio="805" firstSheet="2" activeTab="2" xr2:uid="{93DF36B7-6ED9-40F2-93AD-A97D508EA7D8}"/>
  </bookViews>
  <sheets>
    <sheet name="Emsamble Industria" sheetId="6" state="hidden" r:id="rId1"/>
    <sheet name="Ensamble Industria 2" sheetId="12" state="hidden" r:id="rId2"/>
    <sheet name="Hoja1" sheetId="31" r:id="rId3"/>
    <sheet name="Costo Ensamble Industria " sheetId="11" state="hidden" r:id="rId4"/>
    <sheet name="Emsamble Locales" sheetId="7" state="hidden" r:id="rId5"/>
    <sheet name="Ensamble locales 2" sheetId="13" state="hidden" r:id="rId6"/>
    <sheet name="Ensamble locales 3" sheetId="15" state="hidden" r:id="rId7"/>
    <sheet name="Empaque Fudge Chocolate" sheetId="26" state="hidden" r:id="rId8"/>
    <sheet name="Fudge Chocolate " sheetId="27" state="hidden" r:id="rId9"/>
    <sheet name="Crema Beidge " sheetId="24" state="hidden" r:id="rId10"/>
    <sheet name="Crema Chantilly Blanca " sheetId="25" state="hidden" r:id="rId11"/>
    <sheet name="Mezcla tres leches c Baileys " sheetId="19" state="hidden" r:id="rId12"/>
    <sheet name="Mezcla 3 leches Pasteurizada" sheetId="20" state="hidden" r:id="rId13"/>
    <sheet name="MOusse de chocolate de leche " sheetId="16" state="hidden" r:id="rId14"/>
    <sheet name="Caramelo Crocante bañado choco " sheetId="22" state="hidden" r:id="rId15"/>
    <sheet name="Caramelo Crocante " sheetId="23" state="hidden" r:id="rId16"/>
    <sheet name="Ganache de Baileys " sheetId="21" state="hidden" r:id="rId17"/>
    <sheet name="Costo Ensamble Locales" sheetId="10" state="hidden" r:id="rId18"/>
    <sheet name="Rosquette 400 g" sheetId="8" state="hidden" r:id="rId19"/>
    <sheet name="Rosquete 400 g 2" sheetId="14" state="hidden" r:id="rId20"/>
    <sheet name="Batido nucleo vainilla Dawn" sheetId="17" state="hidden" r:id="rId21"/>
    <sheet name="Premezcla Nucleo Vainilla Dawn" sheetId="18" state="hidden" r:id="rId22"/>
    <sheet name="Costo Rosquete" sheetId="9" state="hidden" r:id="rId23"/>
    <sheet name="Costo Rosquete 450" sheetId="29" state="hidden" r:id="rId24"/>
  </sheets>
  <externalReferences>
    <externalReference r:id="rId25"/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C13" i="11"/>
  <c r="F13" i="11" s="1"/>
  <c r="B13" i="11"/>
  <c r="D73" i="29"/>
  <c r="D74" i="29" s="1"/>
  <c r="D76" i="29" s="1"/>
  <c r="D71" i="29"/>
  <c r="D69" i="29"/>
  <c r="F65" i="29"/>
  <c r="E51" i="29" s="1"/>
  <c r="F51" i="29" s="1"/>
  <c r="D60" i="29"/>
  <c r="D85" i="29" s="1"/>
  <c r="D86" i="29" s="1"/>
  <c r="C51" i="29"/>
  <c r="E50" i="29"/>
  <c r="D50" i="29"/>
  <c r="B50" i="29"/>
  <c r="E49" i="29"/>
  <c r="F49" i="29" s="1"/>
  <c r="D49" i="29"/>
  <c r="B49" i="29"/>
  <c r="A49" i="29"/>
  <c r="C49" i="29" s="1"/>
  <c r="E48" i="29"/>
  <c r="F48" i="29" s="1"/>
  <c r="D48" i="29"/>
  <c r="B48" i="29"/>
  <c r="E47" i="29"/>
  <c r="D47" i="29"/>
  <c r="B47" i="29"/>
  <c r="E46" i="29"/>
  <c r="D46" i="29"/>
  <c r="B46" i="29"/>
  <c r="E41" i="29"/>
  <c r="D41" i="29"/>
  <c r="B41" i="29"/>
  <c r="A41" i="29"/>
  <c r="A50" i="29" s="1"/>
  <c r="C50" i="29" s="1"/>
  <c r="E40" i="29"/>
  <c r="D40" i="29"/>
  <c r="B40" i="29"/>
  <c r="A40" i="29"/>
  <c r="C40" i="29" s="1"/>
  <c r="E39" i="29"/>
  <c r="D39" i="29"/>
  <c r="C39" i="29"/>
  <c r="B39" i="29"/>
  <c r="A39" i="29"/>
  <c r="A48" i="29" s="1"/>
  <c r="C48" i="29" s="1"/>
  <c r="E38" i="29"/>
  <c r="D38" i="29"/>
  <c r="B38" i="29"/>
  <c r="A38" i="29"/>
  <c r="A47" i="29" s="1"/>
  <c r="C47" i="29" s="1"/>
  <c r="F47" i="29" s="1"/>
  <c r="E37" i="29"/>
  <c r="D37" i="29"/>
  <c r="B37" i="29"/>
  <c r="A37" i="29"/>
  <c r="A46" i="29" s="1"/>
  <c r="C46" i="29" s="1"/>
  <c r="A36" i="29"/>
  <c r="A45" i="29" s="1"/>
  <c r="C45" i="29" s="1"/>
  <c r="F45" i="29" s="1"/>
  <c r="A35" i="29"/>
  <c r="A44" i="29" s="1"/>
  <c r="C44" i="29" s="1"/>
  <c r="F44" i="29" s="1"/>
  <c r="E32" i="29"/>
  <c r="D32" i="29"/>
  <c r="C32" i="29"/>
  <c r="B32" i="29"/>
  <c r="E31" i="29"/>
  <c r="F31" i="29" s="1"/>
  <c r="D31" i="29"/>
  <c r="C31" i="29"/>
  <c r="B31" i="29"/>
  <c r="E30" i="29"/>
  <c r="D30" i="29"/>
  <c r="C30" i="29"/>
  <c r="B30" i="29"/>
  <c r="E29" i="29"/>
  <c r="F29" i="29" s="1"/>
  <c r="D29" i="29"/>
  <c r="C29" i="29"/>
  <c r="B29" i="29"/>
  <c r="E28" i="29"/>
  <c r="D28" i="29"/>
  <c r="C28" i="29"/>
  <c r="B28" i="29"/>
  <c r="E27" i="29"/>
  <c r="F27" i="29" s="1"/>
  <c r="D27" i="29"/>
  <c r="C27" i="29"/>
  <c r="B27" i="29"/>
  <c r="E24" i="29"/>
  <c r="F24" i="29" s="1"/>
  <c r="D24" i="29"/>
  <c r="C24" i="29"/>
  <c r="B24" i="29"/>
  <c r="E23" i="29"/>
  <c r="F23" i="29" s="1"/>
  <c r="D23" i="29"/>
  <c r="C23" i="29"/>
  <c r="B23" i="29"/>
  <c r="E22" i="29"/>
  <c r="F22" i="29" s="1"/>
  <c r="D22" i="29"/>
  <c r="C22" i="29"/>
  <c r="B22" i="29"/>
  <c r="E21" i="29"/>
  <c r="F21" i="29" s="1"/>
  <c r="D21" i="29"/>
  <c r="C21" i="29"/>
  <c r="B21" i="29"/>
  <c r="E20" i="29"/>
  <c r="F20" i="29" s="1"/>
  <c r="D20" i="29"/>
  <c r="C20" i="29"/>
  <c r="B20" i="29"/>
  <c r="E19" i="29"/>
  <c r="F19" i="29" s="1"/>
  <c r="D19" i="29"/>
  <c r="C19" i="29"/>
  <c r="B19" i="29"/>
  <c r="D18" i="29"/>
  <c r="C18" i="29"/>
  <c r="F18" i="29" s="1"/>
  <c r="B18" i="29"/>
  <c r="C17" i="29"/>
  <c r="F17" i="29" s="1"/>
  <c r="B15" i="29"/>
  <c r="E14" i="29"/>
  <c r="F14" i="29" s="1"/>
  <c r="D14" i="29"/>
  <c r="C14" i="29"/>
  <c r="B14" i="29"/>
  <c r="E13" i="29"/>
  <c r="D13" i="29"/>
  <c r="C13" i="29"/>
  <c r="B13" i="29"/>
  <c r="E12" i="29"/>
  <c r="F12" i="29" s="1"/>
  <c r="D12" i="29"/>
  <c r="C12" i="29"/>
  <c r="B12" i="29"/>
  <c r="E11" i="29"/>
  <c r="D11" i="29"/>
  <c r="C11" i="29"/>
  <c r="B11" i="29"/>
  <c r="E10" i="29"/>
  <c r="F10" i="29" s="1"/>
  <c r="D10" i="29"/>
  <c r="C10" i="29"/>
  <c r="B10" i="29"/>
  <c r="E9" i="29"/>
  <c r="D9" i="29"/>
  <c r="C9" i="29"/>
  <c r="B9" i="29"/>
  <c r="E8" i="29"/>
  <c r="F8" i="29" s="1"/>
  <c r="D8" i="29"/>
  <c r="C8" i="29"/>
  <c r="B8" i="29"/>
  <c r="H6" i="29"/>
  <c r="F32" i="29" l="1"/>
  <c r="F9" i="29"/>
  <c r="F11" i="29"/>
  <c r="F13" i="29"/>
  <c r="F50" i="29"/>
  <c r="F30" i="29"/>
  <c r="F39" i="29"/>
  <c r="F46" i="29"/>
  <c r="F28" i="29"/>
  <c r="D81" i="29"/>
  <c r="D83" i="29"/>
  <c r="F40" i="29"/>
  <c r="C35" i="29"/>
  <c r="F35" i="29" s="1"/>
  <c r="C36" i="29"/>
  <c r="F36" i="29" s="1"/>
  <c r="C38" i="29"/>
  <c r="F38" i="29" s="1"/>
  <c r="C37" i="29"/>
  <c r="F37" i="29" s="1"/>
  <c r="C41" i="29"/>
  <c r="F41" i="29" s="1"/>
  <c r="C73" i="29"/>
  <c r="F56" i="29" l="1"/>
  <c r="F53" i="29"/>
  <c r="C69" i="29" s="1"/>
  <c r="F54" i="29"/>
  <c r="H56" i="29"/>
  <c r="C74" i="29"/>
  <c r="C85" i="29"/>
  <c r="E85" i="29" s="1"/>
  <c r="E73" i="29"/>
  <c r="F64" i="29" l="1"/>
  <c r="F55" i="29"/>
  <c r="H53" i="29"/>
  <c r="E17" i="11" s="1"/>
  <c r="F2" i="29"/>
  <c r="E17" i="10"/>
  <c r="E44" i="11"/>
  <c r="E44" i="10"/>
  <c r="H55" i="29"/>
  <c r="F63" i="29"/>
  <c r="O54" i="29"/>
  <c r="E74" i="29"/>
  <c r="C86" i="29"/>
  <c r="E86" i="29" s="1"/>
  <c r="H2" i="29"/>
  <c r="H58" i="29"/>
  <c r="H59" i="29" s="1"/>
  <c r="O58" i="29" s="1"/>
  <c r="O55" i="29"/>
  <c r="E69" i="29"/>
  <c r="C81" i="29"/>
  <c r="E81" i="29" s="1"/>
  <c r="H54" i="29"/>
  <c r="C76" i="29"/>
  <c r="E76" i="29" s="1"/>
  <c r="E78" i="29" l="1"/>
  <c r="G2" i="29"/>
  <c r="E35" i="11"/>
  <c r="E35" i="10"/>
  <c r="O56" i="29"/>
  <c r="O57" i="29" s="1"/>
  <c r="O59" i="29" s="1"/>
  <c r="C71" i="29"/>
  <c r="E63" i="29"/>
  <c r="F66" i="29"/>
  <c r="G63" i="29" s="1"/>
  <c r="C83" i="29" l="1"/>
  <c r="E83" i="29" s="1"/>
  <c r="E71" i="29"/>
  <c r="G66" i="29"/>
  <c r="G28" i="29"/>
  <c r="G8" i="29"/>
  <c r="G24" i="29"/>
  <c r="G39" i="29"/>
  <c r="G10" i="29"/>
  <c r="G45" i="29"/>
  <c r="G9" i="29"/>
  <c r="G19" i="29"/>
  <c r="G47" i="29"/>
  <c r="G65" i="29"/>
  <c r="G31" i="29"/>
  <c r="G12" i="29"/>
  <c r="G30" i="29"/>
  <c r="G21" i="29"/>
  <c r="G14" i="29"/>
  <c r="G11" i="29"/>
  <c r="G20" i="29"/>
  <c r="G23" i="29"/>
  <c r="G49" i="29"/>
  <c r="G32" i="29"/>
  <c r="G17" i="29"/>
  <c r="G27" i="29"/>
  <c r="G48" i="29"/>
  <c r="G18" i="29"/>
  <c r="G44" i="29"/>
  <c r="G50" i="29"/>
  <c r="G51" i="29"/>
  <c r="G13" i="29"/>
  <c r="G29" i="29"/>
  <c r="G22" i="29"/>
  <c r="G46" i="29"/>
  <c r="G41" i="29"/>
  <c r="G56" i="29"/>
  <c r="G40" i="29"/>
  <c r="G53" i="29"/>
  <c r="G38" i="29"/>
  <c r="G36" i="29"/>
  <c r="G35" i="29"/>
  <c r="G37" i="29"/>
  <c r="G64" i="29"/>
  <c r="G55" i="29"/>
  <c r="G54" i="29"/>
  <c r="O60" i="29"/>
  <c r="O61" i="29" s="1"/>
  <c r="O62" i="29" s="1"/>
  <c r="P62" i="29" l="1"/>
  <c r="E2" i="29"/>
  <c r="J22" i="27"/>
  <c r="D21" i="27"/>
  <c r="D25" i="27" s="1"/>
  <c r="G17" i="27"/>
  <c r="G16" i="27"/>
  <c r="G15" i="27"/>
  <c r="G14" i="27"/>
  <c r="G13" i="27"/>
  <c r="G12" i="27"/>
  <c r="G11" i="27"/>
  <c r="G10" i="27"/>
  <c r="G9" i="27"/>
  <c r="D23" i="26"/>
  <c r="E29" i="25"/>
  <c r="E32" i="25" s="1"/>
  <c r="E18" i="24"/>
  <c r="E17" i="24"/>
  <c r="H10" i="24"/>
  <c r="H9" i="24"/>
  <c r="H8" i="24"/>
  <c r="D22" i="21"/>
  <c r="D29" i="18"/>
  <c r="D32" i="18" s="1"/>
  <c r="L34" i="17"/>
  <c r="L35" i="17" s="1"/>
  <c r="L36" i="17" s="1"/>
  <c r="D30" i="17"/>
  <c r="D29" i="17"/>
  <c r="J20" i="16"/>
  <c r="J14" i="16"/>
  <c r="J13" i="16"/>
  <c r="J12" i="16"/>
  <c r="J11" i="16"/>
  <c r="J10" i="16"/>
  <c r="D74" i="11"/>
  <c r="D76" i="11" s="1"/>
  <c r="D73" i="11"/>
  <c r="C73" i="11"/>
  <c r="C85" i="11" s="1"/>
  <c r="D71" i="11"/>
  <c r="D69" i="11"/>
  <c r="F65" i="11"/>
  <c r="D60" i="11"/>
  <c r="D85" i="11" s="1"/>
  <c r="D86" i="11" s="1"/>
  <c r="E51" i="11"/>
  <c r="C51" i="11"/>
  <c r="F51" i="11" s="1"/>
  <c r="D49" i="11"/>
  <c r="B49" i="11"/>
  <c r="D46" i="11"/>
  <c r="B46" i="11"/>
  <c r="D45" i="11"/>
  <c r="B45" i="11"/>
  <c r="A44" i="11"/>
  <c r="C44" i="11" s="1"/>
  <c r="A41" i="11"/>
  <c r="A50" i="11" s="1"/>
  <c r="C50" i="11" s="1"/>
  <c r="F50" i="11" s="1"/>
  <c r="D40" i="11"/>
  <c r="B40" i="11"/>
  <c r="A40" i="11"/>
  <c r="A49" i="11" s="1"/>
  <c r="C49" i="11" s="1"/>
  <c r="F49" i="11" s="1"/>
  <c r="A39" i="11"/>
  <c r="C39" i="11" s="1"/>
  <c r="F39" i="11" s="1"/>
  <c r="A38" i="11"/>
  <c r="C38" i="11" s="1"/>
  <c r="F38" i="11" s="1"/>
  <c r="D37" i="11"/>
  <c r="B37" i="11"/>
  <c r="A37" i="11"/>
  <c r="A46" i="11" s="1"/>
  <c r="C46" i="11" s="1"/>
  <c r="F46" i="11" s="1"/>
  <c r="D36" i="11"/>
  <c r="C36" i="11"/>
  <c r="F36" i="11" s="1"/>
  <c r="B36" i="11"/>
  <c r="A36" i="11"/>
  <c r="A45" i="11" s="1"/>
  <c r="C45" i="11" s="1"/>
  <c r="F45" i="11" s="1"/>
  <c r="C35" i="11"/>
  <c r="A35" i="11"/>
  <c r="C32" i="11"/>
  <c r="F32" i="11" s="1"/>
  <c r="E31" i="11"/>
  <c r="F31" i="11" s="1"/>
  <c r="D31" i="11"/>
  <c r="C31" i="11"/>
  <c r="B31" i="11"/>
  <c r="E30" i="11"/>
  <c r="F30" i="11" s="1"/>
  <c r="D30" i="11"/>
  <c r="C30" i="11"/>
  <c r="B30" i="11"/>
  <c r="E29" i="11"/>
  <c r="F29" i="11" s="1"/>
  <c r="D29" i="11"/>
  <c r="C29" i="11"/>
  <c r="B29" i="11"/>
  <c r="F28" i="11"/>
  <c r="D28" i="11"/>
  <c r="C28" i="11"/>
  <c r="B28" i="11"/>
  <c r="D27" i="11"/>
  <c r="C27" i="11"/>
  <c r="F27" i="11" s="1"/>
  <c r="B27" i="11"/>
  <c r="E24" i="11"/>
  <c r="F24" i="11" s="1"/>
  <c r="D24" i="11"/>
  <c r="C24" i="11"/>
  <c r="B24" i="11"/>
  <c r="F23" i="11"/>
  <c r="C23" i="11"/>
  <c r="D22" i="11"/>
  <c r="C22" i="11"/>
  <c r="F22" i="11" s="1"/>
  <c r="B22" i="11"/>
  <c r="C21" i="11"/>
  <c r="F21" i="11" s="1"/>
  <c r="F20" i="11"/>
  <c r="C20" i="11"/>
  <c r="F19" i="11"/>
  <c r="D19" i="11"/>
  <c r="C19" i="11"/>
  <c r="B19" i="11"/>
  <c r="F18" i="11"/>
  <c r="D18" i="11"/>
  <c r="C18" i="11"/>
  <c r="B18" i="11"/>
  <c r="C17" i="11"/>
  <c r="B15" i="11"/>
  <c r="E14" i="11"/>
  <c r="D14" i="11"/>
  <c r="C14" i="11"/>
  <c r="B14" i="11"/>
  <c r="C12" i="11"/>
  <c r="C11" i="11"/>
  <c r="F11" i="11" s="1"/>
  <c r="C10" i="11"/>
  <c r="F10" i="11" s="1"/>
  <c r="C9" i="11"/>
  <c r="F9" i="11" s="1"/>
  <c r="C8" i="11"/>
  <c r="F8" i="11" s="1"/>
  <c r="H6" i="11"/>
  <c r="D73" i="10"/>
  <c r="D74" i="10" s="1"/>
  <c r="D76" i="10" s="1"/>
  <c r="D71" i="10"/>
  <c r="D69" i="10"/>
  <c r="F65" i="10"/>
  <c r="E51" i="10" s="1"/>
  <c r="D60" i="10"/>
  <c r="D85" i="10" s="1"/>
  <c r="D86" i="10" s="1"/>
  <c r="C51" i="10"/>
  <c r="D49" i="10"/>
  <c r="B49" i="10"/>
  <c r="D46" i="10"/>
  <c r="B46" i="10"/>
  <c r="D45" i="10"/>
  <c r="B45" i="10"/>
  <c r="A41" i="10"/>
  <c r="A50" i="10" s="1"/>
  <c r="C50" i="10" s="1"/>
  <c r="F50" i="10" s="1"/>
  <c r="D40" i="10"/>
  <c r="B40" i="10"/>
  <c r="A40" i="10"/>
  <c r="A49" i="10" s="1"/>
  <c r="C49" i="10" s="1"/>
  <c r="A39" i="10"/>
  <c r="C39" i="10" s="1"/>
  <c r="A38" i="10"/>
  <c r="C38" i="10" s="1"/>
  <c r="D37" i="10"/>
  <c r="B37" i="10"/>
  <c r="A37" i="10"/>
  <c r="A46" i="10" s="1"/>
  <c r="C46" i="10" s="1"/>
  <c r="F46" i="10" s="1"/>
  <c r="D36" i="10"/>
  <c r="B36" i="10"/>
  <c r="A36" i="10"/>
  <c r="C36" i="10" s="1"/>
  <c r="A35" i="10"/>
  <c r="C35" i="10" s="1"/>
  <c r="C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D28" i="10"/>
  <c r="C28" i="10"/>
  <c r="B28" i="10"/>
  <c r="D27" i="10"/>
  <c r="C27" i="10"/>
  <c r="B27" i="10"/>
  <c r="E24" i="10"/>
  <c r="D24" i="10"/>
  <c r="C24" i="10"/>
  <c r="B24" i="10"/>
  <c r="C23" i="10"/>
  <c r="F23" i="10" s="1"/>
  <c r="D22" i="10"/>
  <c r="C22" i="10"/>
  <c r="F22" i="10" s="1"/>
  <c r="B22" i="10"/>
  <c r="C21" i="10"/>
  <c r="F21" i="10" s="1"/>
  <c r="C20" i="10"/>
  <c r="D19" i="10"/>
  <c r="C19" i="10"/>
  <c r="B19" i="10"/>
  <c r="D18" i="10"/>
  <c r="C18" i="10"/>
  <c r="B18" i="10"/>
  <c r="C17" i="10"/>
  <c r="B15" i="10"/>
  <c r="E14" i="10"/>
  <c r="D14" i="10"/>
  <c r="C14" i="10"/>
  <c r="B14" i="10"/>
  <c r="D13" i="10"/>
  <c r="C13" i="10"/>
  <c r="B13" i="10"/>
  <c r="C12" i="10"/>
  <c r="C11" i="10"/>
  <c r="C10" i="10"/>
  <c r="C9" i="10"/>
  <c r="C8" i="10"/>
  <c r="F8" i="10" s="1"/>
  <c r="H6" i="10"/>
  <c r="D73" i="9"/>
  <c r="D74" i="9" s="1"/>
  <c r="D76" i="9" s="1"/>
  <c r="D71" i="9"/>
  <c r="D69" i="9"/>
  <c r="F65" i="9"/>
  <c r="C73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1" i="9"/>
  <c r="D41" i="9"/>
  <c r="B41" i="9"/>
  <c r="A41" i="9"/>
  <c r="A50" i="9" s="1"/>
  <c r="C50" i="9" s="1"/>
  <c r="E40" i="9"/>
  <c r="D40" i="9"/>
  <c r="B40" i="9"/>
  <c r="A40" i="9"/>
  <c r="A49" i="9" s="1"/>
  <c r="C49" i="9" s="1"/>
  <c r="E39" i="9"/>
  <c r="D39" i="9"/>
  <c r="B39" i="9"/>
  <c r="A39" i="9"/>
  <c r="A48" i="9" s="1"/>
  <c r="C48" i="9" s="1"/>
  <c r="E38" i="9"/>
  <c r="D38" i="9"/>
  <c r="B38" i="9"/>
  <c r="A38" i="9"/>
  <c r="C38" i="9" s="1"/>
  <c r="E37" i="9"/>
  <c r="D37" i="9"/>
  <c r="B37" i="9"/>
  <c r="A37" i="9"/>
  <c r="A46" i="9" s="1"/>
  <c r="C46" i="9" s="1"/>
  <c r="A36" i="9"/>
  <c r="A45" i="9" s="1"/>
  <c r="C45" i="9" s="1"/>
  <c r="F45" i="9" s="1"/>
  <c r="C35" i="9"/>
  <c r="A35" i="9"/>
  <c r="A44" i="9" s="1"/>
  <c r="C44" i="9" s="1"/>
  <c r="E32" i="9"/>
  <c r="D32" i="9"/>
  <c r="C32" i="9"/>
  <c r="B32" i="9"/>
  <c r="E31" i="9"/>
  <c r="D31" i="9"/>
  <c r="C31" i="9"/>
  <c r="B31" i="9"/>
  <c r="E30" i="9"/>
  <c r="F30" i="9" s="1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F19" i="9" s="1"/>
  <c r="D19" i="9"/>
  <c r="C19" i="9"/>
  <c r="B19" i="9"/>
  <c r="D18" i="9"/>
  <c r="C18" i="9"/>
  <c r="F18" i="9" s="1"/>
  <c r="B18" i="9"/>
  <c r="C17" i="9"/>
  <c r="B15" i="9"/>
  <c r="E14" i="9"/>
  <c r="D14" i="9"/>
  <c r="C14" i="9"/>
  <c r="B14" i="9"/>
  <c r="E13" i="9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F10" i="9" s="1"/>
  <c r="D10" i="9"/>
  <c r="C10" i="9"/>
  <c r="B10" i="9"/>
  <c r="E9" i="9"/>
  <c r="D9" i="9"/>
  <c r="C9" i="9"/>
  <c r="B9" i="9"/>
  <c r="E8" i="9"/>
  <c r="F8" i="9" s="1"/>
  <c r="D8" i="9"/>
  <c r="C8" i="9"/>
  <c r="B8" i="9"/>
  <c r="H6" i="9"/>
  <c r="D42" i="7"/>
  <c r="D40" i="7"/>
  <c r="D19" i="8"/>
  <c r="D21" i="8" s="1"/>
  <c r="E11" i="8" s="1"/>
  <c r="C40" i="11" l="1"/>
  <c r="F40" i="11" s="1"/>
  <c r="C40" i="10"/>
  <c r="F40" i="10" s="1"/>
  <c r="F32" i="9"/>
  <c r="F13" i="9"/>
  <c r="F14" i="9"/>
  <c r="F12" i="11"/>
  <c r="F14" i="11"/>
  <c r="E85" i="11"/>
  <c r="C41" i="11"/>
  <c r="F41" i="11" s="1"/>
  <c r="A47" i="11"/>
  <c r="C47" i="11" s="1"/>
  <c r="F47" i="11" s="1"/>
  <c r="A48" i="11"/>
  <c r="C48" i="11" s="1"/>
  <c r="F48" i="11" s="1"/>
  <c r="E73" i="11"/>
  <c r="D83" i="11"/>
  <c r="C37" i="11"/>
  <c r="F37" i="11" s="1"/>
  <c r="D81" i="11"/>
  <c r="F31" i="10"/>
  <c r="F29" i="10"/>
  <c r="F28" i="10"/>
  <c r="F9" i="10"/>
  <c r="F11" i="10"/>
  <c r="F13" i="10"/>
  <c r="F27" i="10"/>
  <c r="F32" i="10"/>
  <c r="C37" i="10"/>
  <c r="F10" i="10"/>
  <c r="F12" i="10"/>
  <c r="F14" i="10"/>
  <c r="F24" i="10"/>
  <c r="F30" i="10"/>
  <c r="F51" i="10"/>
  <c r="D81" i="10"/>
  <c r="D83" i="10"/>
  <c r="F36" i="10"/>
  <c r="C41" i="10"/>
  <c r="F41" i="10" s="1"/>
  <c r="A45" i="10"/>
  <c r="C45" i="10" s="1"/>
  <c r="F45" i="10" s="1"/>
  <c r="F18" i="10"/>
  <c r="F20" i="10"/>
  <c r="F19" i="10"/>
  <c r="F37" i="10"/>
  <c r="F38" i="10"/>
  <c r="F39" i="10"/>
  <c r="F49" i="10"/>
  <c r="F31" i="9"/>
  <c r="F20" i="9"/>
  <c r="F22" i="9"/>
  <c r="F24" i="9"/>
  <c r="C39" i="9"/>
  <c r="F39" i="9" s="1"/>
  <c r="F48" i="9"/>
  <c r="F21" i="9"/>
  <c r="F23" i="9"/>
  <c r="C40" i="9"/>
  <c r="F40" i="9" s="1"/>
  <c r="F9" i="9"/>
  <c r="F11" i="9"/>
  <c r="F51" i="9"/>
  <c r="E51" i="9"/>
  <c r="F28" i="9"/>
  <c r="F27" i="9"/>
  <c r="F29" i="9"/>
  <c r="C36" i="9"/>
  <c r="F36" i="9"/>
  <c r="F35" i="9"/>
  <c r="F17" i="9"/>
  <c r="A48" i="10"/>
  <c r="C48" i="10" s="1"/>
  <c r="F48" i="10" s="1"/>
  <c r="A44" i="10"/>
  <c r="C44" i="10" s="1"/>
  <c r="A47" i="10"/>
  <c r="C47" i="10" s="1"/>
  <c r="F47" i="10" s="1"/>
  <c r="C73" i="10"/>
  <c r="F46" i="9"/>
  <c r="F50" i="9"/>
  <c r="C85" i="9"/>
  <c r="E85" i="9" s="1"/>
  <c r="E73" i="9"/>
  <c r="F38" i="9"/>
  <c r="F49" i="9"/>
  <c r="F44" i="9"/>
  <c r="C37" i="9"/>
  <c r="F37" i="9" s="1"/>
  <c r="C41" i="9"/>
  <c r="F41" i="9" s="1"/>
  <c r="D83" i="9"/>
  <c r="D81" i="9"/>
  <c r="A47" i="9"/>
  <c r="C47" i="9" s="1"/>
  <c r="F47" i="9" s="1"/>
  <c r="D23" i="8"/>
  <c r="D42" i="6"/>
  <c r="F53" i="9" l="1"/>
  <c r="C69" i="9" s="1"/>
  <c r="C85" i="10"/>
  <c r="E85" i="10" s="1"/>
  <c r="E73" i="10"/>
  <c r="F54" i="9"/>
  <c r="F56" i="9"/>
  <c r="D40" i="6"/>
  <c r="F55" i="9" l="1"/>
  <c r="H55" i="9" s="1"/>
  <c r="F64" i="9"/>
  <c r="H53" i="9"/>
  <c r="F17" i="11" s="1"/>
  <c r="F53" i="11" s="1"/>
  <c r="C69" i="11" s="1"/>
  <c r="E69" i="11" s="1"/>
  <c r="H56" i="9"/>
  <c r="C74" i="9"/>
  <c r="F63" i="9"/>
  <c r="O54" i="9"/>
  <c r="H54" i="9"/>
  <c r="C76" i="9"/>
  <c r="E76" i="9" s="1"/>
  <c r="E69" i="9"/>
  <c r="C81" i="9"/>
  <c r="E81" i="9" s="1"/>
  <c r="F2" i="9" l="1"/>
  <c r="F17" i="10"/>
  <c r="F53" i="10" s="1"/>
  <c r="F64" i="10" s="1"/>
  <c r="C81" i="11"/>
  <c r="E81" i="11" s="1"/>
  <c r="F64" i="11"/>
  <c r="H53" i="11"/>
  <c r="F2" i="11" s="1"/>
  <c r="G2" i="9"/>
  <c r="F35" i="11"/>
  <c r="F54" i="11" s="1"/>
  <c r="F55" i="11" s="1"/>
  <c r="H55" i="11" s="1"/>
  <c r="F35" i="10"/>
  <c r="F54" i="10" s="1"/>
  <c r="F44" i="11"/>
  <c r="F56" i="11" s="1"/>
  <c r="F44" i="10"/>
  <c r="F56" i="10" s="1"/>
  <c r="E74" i="9"/>
  <c r="E78" i="9" s="1"/>
  <c r="C86" i="9"/>
  <c r="E86" i="9" s="1"/>
  <c r="C71" i="9"/>
  <c r="E63" i="9"/>
  <c r="F66" i="9"/>
  <c r="G63" i="9" s="1"/>
  <c r="O56" i="9"/>
  <c r="H2" i="9"/>
  <c r="H58" i="9"/>
  <c r="H59" i="9" s="1"/>
  <c r="O58" i="9" s="1"/>
  <c r="O55" i="9"/>
  <c r="C69" i="10" l="1"/>
  <c r="E69" i="10" s="1"/>
  <c r="H53" i="10"/>
  <c r="F2" i="10" s="1"/>
  <c r="O54" i="11"/>
  <c r="O56" i="11" s="1"/>
  <c r="F63" i="11"/>
  <c r="C71" i="11" s="1"/>
  <c r="C74" i="11"/>
  <c r="H56" i="11"/>
  <c r="H56" i="10"/>
  <c r="C74" i="10"/>
  <c r="F55" i="10"/>
  <c r="C76" i="10"/>
  <c r="E76" i="10" s="1"/>
  <c r="H54" i="10"/>
  <c r="G2" i="10" s="1"/>
  <c r="H54" i="11"/>
  <c r="G2" i="11" s="1"/>
  <c r="C76" i="11"/>
  <c r="E76" i="11" s="1"/>
  <c r="O57" i="9"/>
  <c r="O59" i="9" s="1"/>
  <c r="O60" i="9" s="1"/>
  <c r="O61" i="9" s="1"/>
  <c r="O62" i="9" s="1"/>
  <c r="C83" i="9"/>
  <c r="E83" i="9" s="1"/>
  <c r="E71" i="9"/>
  <c r="G66" i="9"/>
  <c r="G10" i="9"/>
  <c r="G22" i="9"/>
  <c r="G39" i="9"/>
  <c r="G28" i="9"/>
  <c r="G11" i="9"/>
  <c r="G30" i="9"/>
  <c r="G13" i="9"/>
  <c r="G40" i="9"/>
  <c r="G24" i="9"/>
  <c r="G12" i="9"/>
  <c r="G36" i="9"/>
  <c r="G51" i="9"/>
  <c r="G29" i="9"/>
  <c r="G31" i="9"/>
  <c r="G17" i="9"/>
  <c r="G19" i="9"/>
  <c r="G23" i="9"/>
  <c r="G9" i="9"/>
  <c r="G45" i="9"/>
  <c r="G14" i="9"/>
  <c r="G35" i="9"/>
  <c r="G18" i="9"/>
  <c r="G20" i="9"/>
  <c r="G21" i="9"/>
  <c r="G48" i="9"/>
  <c r="G27" i="9"/>
  <c r="G32" i="9"/>
  <c r="G8" i="9"/>
  <c r="G65" i="9"/>
  <c r="G41" i="9"/>
  <c r="G46" i="9"/>
  <c r="G44" i="9"/>
  <c r="G50" i="9"/>
  <c r="G38" i="9"/>
  <c r="G53" i="9"/>
  <c r="G37" i="9"/>
  <c r="G49" i="9"/>
  <c r="G47" i="9"/>
  <c r="G55" i="9"/>
  <c r="G64" i="9"/>
  <c r="G56" i="9"/>
  <c r="G54" i="9"/>
  <c r="C81" i="10" l="1"/>
  <c r="E81" i="10" s="1"/>
  <c r="E63" i="11"/>
  <c r="F66" i="11"/>
  <c r="O55" i="10"/>
  <c r="H58" i="10"/>
  <c r="H59" i="10" s="1"/>
  <c r="O58" i="10" s="1"/>
  <c r="H2" i="10"/>
  <c r="O55" i="11"/>
  <c r="O57" i="11" s="1"/>
  <c r="H2" i="11"/>
  <c r="H58" i="11"/>
  <c r="H59" i="11" s="1"/>
  <c r="O58" i="11" s="1"/>
  <c r="E74" i="10"/>
  <c r="E78" i="10" s="1"/>
  <c r="C86" i="10"/>
  <c r="E86" i="10" s="1"/>
  <c r="F63" i="10"/>
  <c r="O54" i="10"/>
  <c r="H55" i="10"/>
  <c r="E74" i="11"/>
  <c r="E78" i="11" s="1"/>
  <c r="C86" i="11"/>
  <c r="E86" i="11" s="1"/>
  <c r="C83" i="11"/>
  <c r="E83" i="11" s="1"/>
  <c r="E71" i="11"/>
  <c r="G11" i="11"/>
  <c r="P62" i="9"/>
  <c r="E2" i="9"/>
  <c r="G63" i="11" l="1"/>
  <c r="G13" i="11"/>
  <c r="G66" i="11"/>
  <c r="G64" i="11"/>
  <c r="G14" i="11"/>
  <c r="G53" i="11"/>
  <c r="G49" i="11"/>
  <c r="G65" i="11"/>
  <c r="G24" i="11"/>
  <c r="G45" i="11"/>
  <c r="G38" i="11"/>
  <c r="G30" i="11"/>
  <c r="G48" i="11"/>
  <c r="G27" i="11"/>
  <c r="G12" i="11"/>
  <c r="G18" i="11"/>
  <c r="G47" i="11"/>
  <c r="G37" i="11"/>
  <c r="G10" i="11"/>
  <c r="G40" i="11"/>
  <c r="G51" i="11"/>
  <c r="G44" i="11"/>
  <c r="G19" i="11"/>
  <c r="G35" i="11"/>
  <c r="G21" i="11"/>
  <c r="G20" i="11"/>
  <c r="G56" i="11"/>
  <c r="G17" i="11"/>
  <c r="G29" i="11"/>
  <c r="G36" i="11"/>
  <c r="G8" i="11"/>
  <c r="G55" i="11"/>
  <c r="G54" i="11"/>
  <c r="G41" i="11"/>
  <c r="G31" i="11"/>
  <c r="G32" i="11"/>
  <c r="G50" i="11"/>
  <c r="G28" i="11"/>
  <c r="G39" i="11"/>
  <c r="G9" i="11"/>
  <c r="G46" i="11"/>
  <c r="G23" i="11"/>
  <c r="G22" i="11"/>
  <c r="O59" i="11"/>
  <c r="O60" i="11" s="1"/>
  <c r="O61" i="11" s="1"/>
  <c r="O62" i="11" s="1"/>
  <c r="P62" i="11" s="1"/>
  <c r="O56" i="10"/>
  <c r="O57" i="10" s="1"/>
  <c r="O59" i="10" s="1"/>
  <c r="E63" i="10"/>
  <c r="F66" i="10"/>
  <c r="C71" i="10"/>
  <c r="E2" i="11" l="1"/>
  <c r="O60" i="10"/>
  <c r="O61" i="10" s="1"/>
  <c r="O62" i="10" s="1"/>
  <c r="G66" i="10"/>
  <c r="G29" i="10"/>
  <c r="G24" i="10"/>
  <c r="G9" i="10"/>
  <c r="G46" i="10"/>
  <c r="G11" i="10"/>
  <c r="G37" i="10"/>
  <c r="G13" i="10"/>
  <c r="G8" i="10"/>
  <c r="G54" i="10"/>
  <c r="G55" i="10"/>
  <c r="G49" i="10"/>
  <c r="G40" i="10"/>
  <c r="G51" i="10"/>
  <c r="G39" i="10"/>
  <c r="G38" i="10"/>
  <c r="G18" i="10"/>
  <c r="G12" i="10"/>
  <c r="G27" i="10"/>
  <c r="G14" i="10"/>
  <c r="G28" i="10"/>
  <c r="G21" i="10"/>
  <c r="G47" i="10"/>
  <c r="G56" i="10"/>
  <c r="G32" i="10"/>
  <c r="G22" i="10"/>
  <c r="G30" i="10"/>
  <c r="G19" i="10"/>
  <c r="G20" i="10"/>
  <c r="G44" i="10"/>
  <c r="G17" i="10"/>
  <c r="G10" i="10"/>
  <c r="G23" i="10"/>
  <c r="G36" i="10"/>
  <c r="G31" i="10"/>
  <c r="G50" i="10"/>
  <c r="G35" i="10"/>
  <c r="G41" i="10"/>
  <c r="G48" i="10"/>
  <c r="G53" i="10"/>
  <c r="G64" i="10"/>
  <c r="G65" i="10"/>
  <c r="G45" i="10"/>
  <c r="G63" i="10"/>
  <c r="E71" i="10"/>
  <c r="C83" i="10"/>
  <c r="E83" i="10" s="1"/>
  <c r="P62" i="10" l="1"/>
  <c r="E2" i="10"/>
</calcChain>
</file>

<file path=xl/sharedStrings.xml><?xml version="1.0" encoding="utf-8"?>
<sst xmlns="http://schemas.openxmlformats.org/spreadsheetml/2006/main" count="2333" uniqueCount="524">
  <si>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</si>
  <si>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</si>
  <si>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</si>
  <si>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</si>
  <si>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</si>
  <si>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</si>
  <si>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</si>
  <si>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</si>
  <si>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</si>
  <si>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</si>
  <si>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</si>
  <si>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</si>
  <si>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</si>
  <si>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</si>
  <si>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</si>
  <si>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</si>
  <si>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</si>
  <si>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</si>
  <si>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</si>
  <si>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</si>
  <si>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</si>
  <si>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</si>
  <si>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</si>
  <si>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</si>
  <si>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</si>
  <si>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</si>
  <si>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</si>
  <si>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</si>
  <si>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</si>
  <si>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</si>
  <si>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</si>
  <si>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</si>
  <si>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</si>
  <si>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</si>
  <si>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</si>
  <si>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</si>
  <si>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EM10124</t>
  </si>
  <si>
    <t>EM10011</t>
  </si>
  <si>
    <t>Jose Brizuela, chef</t>
  </si>
  <si>
    <t>EMSABLE</t>
  </si>
  <si>
    <t xml:space="preserve">Relleno </t>
  </si>
  <si>
    <t xml:space="preserve">Decoracion </t>
  </si>
  <si>
    <t>EM10009</t>
  </si>
  <si>
    <t>EM10008</t>
  </si>
  <si>
    <t>QUEQUERA RED  BASE/DOMO 10 (CAJA:50)</t>
  </si>
  <si>
    <t>MAYCA</t>
  </si>
  <si>
    <t>ORLA CARTON 10" DORADA UND</t>
  </si>
  <si>
    <t>Ud</t>
  </si>
  <si>
    <t>ETIPLAST</t>
  </si>
  <si>
    <t>0703020</t>
  </si>
  <si>
    <t>EM10248</t>
  </si>
  <si>
    <t>CINTA ADHESIVA TRANSPARENTE 2*100</t>
  </si>
  <si>
    <t>Mayca</t>
  </si>
  <si>
    <t>cm</t>
  </si>
  <si>
    <t xml:space="preserve">ETIQUETA BLANCA R-153 </t>
  </si>
  <si>
    <t>Cemusa</t>
  </si>
  <si>
    <t>Etiplast</t>
  </si>
  <si>
    <t>0702123</t>
  </si>
  <si>
    <t>ETIQUETA BLANCA 2 5/8X1 15/16 PRE BLANCA</t>
  </si>
  <si>
    <t xml:space="preserve">Empaque </t>
  </si>
  <si>
    <t>EM10002</t>
  </si>
  <si>
    <t>Etiq.Blanca 1 1/4 * 3/4</t>
  </si>
  <si>
    <t>3,Colocar  el otro Rosquete,</t>
  </si>
  <si>
    <t>Decoracion</t>
  </si>
  <si>
    <t>EM10314</t>
  </si>
  <si>
    <t>Etiqueta Edicion Especial</t>
  </si>
  <si>
    <t>1-Colocar (un) Rosquete entero</t>
  </si>
  <si>
    <t>4,Encremar  con crema beige y cubrir el rosquete de forma liza los costados,</t>
  </si>
  <si>
    <t xml:space="preserve">5,Con Ayuda de la boquilla 6CS hacer los colochos, </t>
  </si>
  <si>
    <t xml:space="preserve">6,Colocar los chips de colores en el centro de la torta y sobre los colochos,y tapar, </t>
  </si>
  <si>
    <t>7,Tapar, etiquetar con la etiqueta especial fecha de vencimiento, Colocar lote, y etiqueta de ingredientes.</t>
  </si>
  <si>
    <t>2,Rellenar con  leche condensada cocinada y Agregarle al Rosquete  y Exparsir bien en el Rosquete a su centro y costado,y agregar la galleta con chocolate</t>
  </si>
  <si>
    <t xml:space="preserve">Rosquette Melo 400 g </t>
  </si>
  <si>
    <t>SE00084</t>
  </si>
  <si>
    <t>Mezcla Tres Leches C/Baileys</t>
  </si>
  <si>
    <t>SE00087</t>
  </si>
  <si>
    <t>Ganache Baileys</t>
  </si>
  <si>
    <t>1/3 Taza</t>
  </si>
  <si>
    <t>1 taza y media</t>
  </si>
  <si>
    <t xml:space="preserve">1/3 Taza por capa </t>
  </si>
  <si>
    <t>1/2 Taza</t>
  </si>
  <si>
    <t xml:space="preserve">Encremado </t>
  </si>
  <si>
    <t>SE00467</t>
  </si>
  <si>
    <t>Caramelo Crocante Bañado chocolate De Leche</t>
  </si>
  <si>
    <t>SE00468</t>
  </si>
  <si>
    <t>Mousse Chocolate de Leche</t>
  </si>
  <si>
    <t>Partido a la mitad</t>
  </si>
  <si>
    <t>Monedas Color Rojo Navidad Chocolate 7,5</t>
  </si>
  <si>
    <t>Moneda Color Dorada Chocolate 7,5</t>
  </si>
  <si>
    <t>unidad</t>
  </si>
  <si>
    <t>Moneda Color Dorada Chocolate 5,5</t>
  </si>
  <si>
    <t>Moneda Color Rojo NavidaChocolate 5,5</t>
  </si>
  <si>
    <t>SE00337</t>
  </si>
  <si>
    <t>Empaque Fudge De Chocolate</t>
  </si>
  <si>
    <t>SE00069</t>
  </si>
  <si>
    <t>Crema Beidge</t>
  </si>
  <si>
    <t xml:space="preserve">Decorado </t>
  </si>
  <si>
    <t>Boquilla 127 Wilton</t>
  </si>
  <si>
    <t>Torta Tutto Baileys  Navidad 2024 Spoon</t>
  </si>
  <si>
    <t>Esteban Cartín. Gte de Manufactura</t>
  </si>
  <si>
    <t>EMPAQUE</t>
  </si>
  <si>
    <t>902000019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</si>
  <si>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</si>
  <si>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</si>
  <si>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</si>
  <si>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</si>
  <si>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</si>
  <si>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</si>
  <si>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</si>
  <si>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0702069</t>
  </si>
  <si>
    <t>ETIQ.BLANCA 1 1/4 * 3/4 (UND)</t>
  </si>
  <si>
    <t>Min</t>
  </si>
  <si>
    <t>2.- Hornear por Dicte 1 o 2 a 175°C por 50 min</t>
  </si>
  <si>
    <t>3.- Enfriar, desmoldar, colocar 12 rosquetes por lata, etiquetar con nombre y fecha de producción.</t>
  </si>
  <si>
    <t>Control de cambios</t>
  </si>
  <si>
    <t xml:space="preserve"> Rosquete nucleo vainilla Dawn Redondo 400 g</t>
  </si>
  <si>
    <t>1.- Pesar 400 g de mezcla en los moldes previamente engrasados.</t>
  </si>
  <si>
    <t>Jose Brizuela, Chef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</si>
  <si>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</si>
  <si>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</si>
  <si>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</si>
  <si>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</si>
  <si>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</si>
  <si>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</si>
  <si>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</si>
  <si>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</si>
  <si>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</si>
  <si>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</si>
  <si>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</si>
  <si>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</si>
  <si>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</si>
  <si>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</si>
  <si>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</si>
  <si>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</si>
  <si>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</si>
  <si>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</si>
  <si>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</si>
  <si>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</si>
  <si>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</si>
  <si>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</si>
  <si>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</si>
  <si>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</si>
  <si>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</si>
  <si>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</si>
  <si>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</si>
  <si>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</si>
  <si>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</si>
  <si>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</si>
  <si>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</si>
  <si>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</si>
  <si>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</si>
  <si>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</si>
  <si>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</si>
  <si>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</si>
  <si>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</si>
  <si>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</si>
  <si>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</si>
  <si>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</si>
  <si>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</si>
  <si>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</si>
  <si>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</si>
  <si>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</si>
  <si>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</si>
  <si>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</si>
  <si>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</si>
  <si>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</si>
  <si>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</si>
  <si>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</si>
  <si>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</si>
  <si>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BATIDO NUCLEO VAINILLA DAWN </t>
  </si>
  <si>
    <t>SE00444</t>
  </si>
  <si>
    <t>Gramos</t>
  </si>
  <si>
    <t xml:space="preserve">Gramos </t>
  </si>
  <si>
    <t>1950928</t>
  </si>
  <si>
    <t xml:space="preserve">UND </t>
  </si>
  <si>
    <t>910000007</t>
  </si>
  <si>
    <t>908000048</t>
  </si>
  <si>
    <t>902000168</t>
  </si>
  <si>
    <t>902000167</t>
  </si>
  <si>
    <t>910000018</t>
  </si>
  <si>
    <t>Gramo</t>
  </si>
  <si>
    <t>UND</t>
  </si>
  <si>
    <t>20100163</t>
  </si>
  <si>
    <t>gramo</t>
  </si>
  <si>
    <t>121603</t>
  </si>
  <si>
    <t>1950692</t>
  </si>
  <si>
    <t>701096</t>
  </si>
  <si>
    <t>60100120</t>
  </si>
  <si>
    <t xml:space="preserve">Barra de Tutto Baileys </t>
  </si>
  <si>
    <t>5 cabos de 2 unidades</t>
  </si>
  <si>
    <t>1 tableta x torta</t>
  </si>
  <si>
    <t xml:space="preserve">1-Colocar la mitad del Rosquete </t>
  </si>
  <si>
    <t>2-Bañar con la leche</t>
  </si>
  <si>
    <t>3-Colocar el Ganache</t>
  </si>
  <si>
    <t>4-Colocar la Mousse</t>
  </si>
  <si>
    <t>5-Agregar el Caramelo</t>
  </si>
  <si>
    <t>6-Colocar la Otra mitad del Rosquette</t>
  </si>
  <si>
    <t>7-Cubrir con la crema de Forma Liza</t>
  </si>
  <si>
    <t xml:space="preserve">8-Con la Boquilla 127 Cubrir las lineas de la Torta ,al igual que con la del ganache de forma Intercalda , y terminar Colocando las Monedas </t>
  </si>
  <si>
    <t>Etiqueta Temporada navideña SPOON</t>
  </si>
  <si>
    <t xml:space="preserve">Rosquette Vainilla Dawn 400 g </t>
  </si>
  <si>
    <t xml:space="preserve">ESP-RE-POS-260  </t>
  </si>
  <si>
    <t>03</t>
  </si>
  <si>
    <t>SE00468 902000168 MOUSSE DE CHOCOLATE DE LECHE</t>
  </si>
  <si>
    <t>Maria Jose Rodriguez, Chef</t>
  </si>
  <si>
    <t>POSTRES</t>
  </si>
  <si>
    <t>MP10492</t>
  </si>
  <si>
    <t>CHOCOLATE SEMI AMARGO 54% (PAQ 5 k)</t>
  </si>
  <si>
    <t>MP10048</t>
  </si>
  <si>
    <t>CREMA PRESTIGE GRAND (UND:4 K)</t>
  </si>
  <si>
    <t>RICHS</t>
  </si>
  <si>
    <t>Para batir</t>
  </si>
  <si>
    <t>1, Colocar el chocolate en un recipiente junto con la crema del ganache y derretir en microondas o Baño maria.</t>
  </si>
  <si>
    <t>2, Batir la otra cantidad de crema hasta punto yogurt con globo en velocidad alta.</t>
  </si>
  <si>
    <t>3, Agregar el chocolate derretido a la crema batida en velocidad media hasta homogeneo.</t>
  </si>
  <si>
    <t>4, Utilizar de inmediato</t>
  </si>
  <si>
    <t>CONTROL DE CAMBIOS</t>
  </si>
  <si>
    <t>2,- Se aumenta la cantida de prestige por tanda</t>
  </si>
  <si>
    <t>3,- Se ajusta el rendimiento.</t>
  </si>
  <si>
    <t>4- Se agrega codigo netsuite</t>
  </si>
  <si>
    <t xml:space="preserve">ESP-RE-BAS-169 </t>
  </si>
  <si>
    <t>SE00444 Batido Nucleo vainilla Dawn</t>
  </si>
  <si>
    <t>Javier Tong, chef</t>
  </si>
  <si>
    <t>Batidos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</si>
  <si>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</si>
  <si>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</si>
  <si>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</si>
  <si>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</si>
  <si>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</si>
  <si>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</si>
  <si>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</si>
  <si>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</si>
  <si>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</si>
  <si>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</si>
  <si>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</si>
  <si>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</si>
  <si>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</si>
  <si>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</si>
  <si>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</si>
  <si>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</si>
  <si>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 xml:space="preserve">3, Se cambia el peso de la premezcla. </t>
  </si>
  <si>
    <t>ESP-RE-PRES-132</t>
  </si>
  <si>
    <t>SE00443 Premezcla Batido Nucleo Vainilla  Dawn</t>
  </si>
  <si>
    <t>Premezcla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</si>
  <si>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</si>
  <si>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</si>
  <si>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</si>
  <si>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</si>
  <si>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</si>
  <si>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</si>
  <si>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</si>
  <si>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</si>
  <si>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</si>
  <si>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</si>
  <si>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</si>
  <si>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</si>
  <si>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</si>
  <si>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</si>
  <si>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MP10008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</si>
  <si>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</si>
  <si>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</si>
  <si>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</si>
  <si>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</si>
  <si>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</si>
  <si>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</si>
  <si>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</si>
  <si>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</si>
  <si>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</si>
  <si>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</si>
  <si>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</si>
  <si>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</si>
  <si>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</si>
  <si>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</si>
  <si>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</si>
  <si>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</si>
  <si>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</si>
  <si>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</si>
  <si>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huevo. Etiquetar</t>
  </si>
  <si>
    <t>3, En una bolsa 8*12 pesar el preservante y el bicarbonato (se debe pesar justo antes de su uso)</t>
  </si>
  <si>
    <t>4, En una bolsa 8*12 pesar la clara</t>
  </si>
  <si>
    <t>Revision #2: Ajuste en la cantidad de goma xantana y cmc</t>
  </si>
  <si>
    <t>Revision #3: Se adiciona clara deshidratada</t>
  </si>
  <si>
    <t>ESP-RE-POS-247</t>
  </si>
  <si>
    <t>02</t>
  </si>
  <si>
    <t>Mezcla Tres Leches con Baileys(3600g) 910000007(SE00084)</t>
  </si>
  <si>
    <t>Juan Pablo Brenes, Chef</t>
  </si>
  <si>
    <t>Esteban Cartin. Gte de Manufactura</t>
  </si>
  <si>
    <t>907000001</t>
  </si>
  <si>
    <t>SE00031</t>
  </si>
  <si>
    <t>MEZCLA TRES LECHES PASTEURIZADA KILO</t>
  </si>
  <si>
    <t>SPOON</t>
  </si>
  <si>
    <t xml:space="preserve">AGUA POTABLE </t>
  </si>
  <si>
    <t>Spoon</t>
  </si>
  <si>
    <t>1012341</t>
  </si>
  <si>
    <t>MP10406</t>
  </si>
  <si>
    <t>Licor de Baileys</t>
  </si>
  <si>
    <t>Baileys</t>
  </si>
  <si>
    <t>1212410</t>
  </si>
  <si>
    <t>PRESERVANTE 1047S KILO (pre mezclas)</t>
  </si>
  <si>
    <t>Aseal</t>
  </si>
  <si>
    <t>Unid</t>
  </si>
  <si>
    <t>EM10259</t>
  </si>
  <si>
    <t>Plástico Autoaderible 1/ 18*2000</t>
  </si>
  <si>
    <t>Cm</t>
  </si>
  <si>
    <t>Min.</t>
  </si>
  <si>
    <t>Tortas</t>
  </si>
  <si>
    <t>1.- Mezclar en un bote de acero inoxidable mezcla de tres leches, preservante, el agua y el baileys.</t>
  </si>
  <si>
    <t>Si sobra tiene 1 dia de vida util</t>
  </si>
  <si>
    <t>Revisión #2: Actualización de codigo y codigo de la mezcla de leches</t>
  </si>
  <si>
    <t>SERVICIOS DE PASTELERÍA S.A.</t>
  </si>
  <si>
    <t>CODIGO:</t>
  </si>
  <si>
    <t>ESP-RE-POS-072</t>
  </si>
  <si>
    <t>ESPECIFICACIÓN DE RECETA</t>
  </si>
  <si>
    <t>REVISION:</t>
  </si>
  <si>
    <t>15</t>
  </si>
  <si>
    <t>Mezcla para Tres Leches Pasteurizada SE00031</t>
  </si>
  <si>
    <t>FECHA DE APROBACION:</t>
  </si>
  <si>
    <t>ELABORADO:</t>
  </si>
  <si>
    <t>Javier, Tong. Chef</t>
  </si>
  <si>
    <t>APROBADO:</t>
  </si>
  <si>
    <t xml:space="preserve"># Código Netsuite </t>
  </si>
  <si>
    <t>MP10030</t>
  </si>
  <si>
    <t>LECHE 2% PASTEURIZADA (UND)</t>
  </si>
  <si>
    <t>Dos Pinos</t>
  </si>
  <si>
    <t xml:space="preserve">g </t>
  </si>
  <si>
    <t>1110414</t>
  </si>
  <si>
    <t>MP10024</t>
  </si>
  <si>
    <t>LECHE EVAPORADA (LITRO)</t>
  </si>
  <si>
    <t>Nestle</t>
  </si>
  <si>
    <t>MP10050</t>
  </si>
  <si>
    <t>LECHE CONDENSADA</t>
  </si>
  <si>
    <t xml:space="preserve">CREMA PRESTIGE GRAND </t>
  </si>
  <si>
    <t>Rich</t>
  </si>
  <si>
    <t>SE00016</t>
  </si>
  <si>
    <t>AZUCAR BLANCO INDUSTRIAL KILO</t>
  </si>
  <si>
    <t>TIEMPO mano obra directa</t>
  </si>
  <si>
    <t>8  Min</t>
  </si>
  <si>
    <t>MANO OBRA EMPACANDO</t>
  </si>
  <si>
    <t>3 Min</t>
  </si>
  <si>
    <t>62500g</t>
  </si>
  <si>
    <t>205g</t>
  </si>
  <si>
    <t>PORCIONES OBTENIDAS</t>
  </si>
  <si>
    <t>1 Tanda</t>
  </si>
  <si>
    <t>TIEMPO  PASTEURIZACIÓN EN MAQUINA</t>
  </si>
  <si>
    <t>1 HORA</t>
  </si>
  <si>
    <t>DESCRIPCION DE LA PREPARACION DE LA  RECETA</t>
  </si>
  <si>
    <t xml:space="preserve">1. Disolver completamente  el preservante en un litro de leche estandar empleando el homogenizador manual. </t>
  </si>
  <si>
    <t>2. Colocar en la batidora,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</si>
  <si>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</si>
  <si>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</si>
  <si>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</si>
  <si>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</si>
  <si>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>14, Actualizacion de codigos</t>
  </si>
  <si>
    <t>Revision #15: Actualizacion del procedimiento.</t>
  </si>
  <si>
    <t>ESP-RE-COCS-071</t>
  </si>
  <si>
    <t>04</t>
  </si>
  <si>
    <t>GANACHE BAILEYS SE00087</t>
  </si>
  <si>
    <t>Jeffry Rodriguez. Gte de Manufactura</t>
  </si>
  <si>
    <t>COCINA</t>
  </si>
  <si>
    <t>11400031</t>
  </si>
  <si>
    <t>CREMA PRESTIGE GRAND (UND=4 K)</t>
  </si>
  <si>
    <t>1210387</t>
  </si>
  <si>
    <t>MP10143</t>
  </si>
  <si>
    <t>COBERTURA CHOCOLATE BLANCO (PAQ:5 K)</t>
  </si>
  <si>
    <t>NACIONAL</t>
  </si>
  <si>
    <t>BAILEYS (BOTELLA=1 LITRO)</t>
  </si>
  <si>
    <t>BAILEYS</t>
  </si>
  <si>
    <t>ETIQ.BLANCA 1 1/4 * 3/4</t>
  </si>
  <si>
    <t>512000002</t>
  </si>
  <si>
    <t>PLAST. AUTOAD 18 * 2000</t>
  </si>
  <si>
    <t>TANDAS</t>
  </si>
  <si>
    <t>1, Colocar en una olla la crema Prestige a 55 grados . Calentar</t>
  </si>
  <si>
    <t>2, Agregar el chocolate en trozos. Mezclar hasta que se derrita el chocolate.</t>
  </si>
  <si>
    <t xml:space="preserve">3, Agregar el Baileys. </t>
  </si>
  <si>
    <t>4, Colocar en bandejas, hacer choque térmico.</t>
  </si>
  <si>
    <t>Versión #3 : Se actualiza instructivo</t>
  </si>
  <si>
    <t>Version # 4 : Se agrega temperatura</t>
  </si>
  <si>
    <t xml:space="preserve">ESP-RE-POS-261 </t>
  </si>
  <si>
    <t xml:space="preserve"> SE00467 Caramelo Crocante bañado con chocolate de leche</t>
  </si>
  <si>
    <t>Postres</t>
  </si>
  <si>
    <t>Emsamble</t>
  </si>
  <si>
    <t>SE00355</t>
  </si>
  <si>
    <t>Caramelo Crocante</t>
  </si>
  <si>
    <t>Victoria</t>
  </si>
  <si>
    <t>MP10001</t>
  </si>
  <si>
    <t>Cobertura Chocolate Leche</t>
  </si>
  <si>
    <t xml:space="preserve">Nacional </t>
  </si>
  <si>
    <t>EM10016</t>
  </si>
  <si>
    <t>Bolsa 12X18 Transparente</t>
  </si>
  <si>
    <t>EM10120</t>
  </si>
  <si>
    <t>Etiq.Blanca 1 13/16 * 1 7/8</t>
  </si>
  <si>
    <t>1.- Derretir el chocolate y mezclar con el caramelo picado.</t>
  </si>
  <si>
    <t>2.- Refrigerar.</t>
  </si>
  <si>
    <t>3.- Partir en la maquina hasta obtener cuadros pequeños.</t>
  </si>
  <si>
    <t>4.- Mantener en refrigeracion hasta utilizar.</t>
  </si>
  <si>
    <t xml:space="preserve">5-Empacar y etiquetar </t>
  </si>
  <si>
    <t xml:space="preserve">1,- Se cambia el chocolate oscuro por chocolate de leche. </t>
  </si>
  <si>
    <t xml:space="preserve">2-Actualizacion de Codigos y  Netsuit </t>
  </si>
  <si>
    <t>ESP-RE-POS-100</t>
  </si>
  <si>
    <t>Caramelo Crocante 1000g Spoon SE00355</t>
  </si>
  <si>
    <t>Javier Tong ,Chef</t>
  </si>
  <si>
    <t>MP10078</t>
  </si>
  <si>
    <t>Azucar Refino Industrial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</si>
  <si>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</si>
  <si>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</si>
  <si>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</si>
  <si>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</si>
  <si>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 xml:space="preserve">2- Actualizacion con Codigos Netsuit </t>
  </si>
  <si>
    <t xml:space="preserve">ESP-RE-DES-042 </t>
  </si>
  <si>
    <t>07</t>
  </si>
  <si>
    <t>Crema Beidge 910000018(SE00069)</t>
  </si>
  <si>
    <t>24/04/2023</t>
  </si>
  <si>
    <t>Javier Tong, Chef</t>
  </si>
  <si>
    <t>SE00010</t>
  </si>
  <si>
    <t>CREMA CHANTILLY BLANCA SPOON-IND KILO</t>
  </si>
  <si>
    <t>MP10150</t>
  </si>
  <si>
    <t>COLORANTE GEL EGG YELLOW  (UND= 130 ML)</t>
  </si>
  <si>
    <t>Master Pack</t>
  </si>
  <si>
    <t>Etiplas</t>
  </si>
  <si>
    <t>PESO POR PORCION</t>
  </si>
  <si>
    <t>1, Mezclar la crema con los colorantes, hatsa homogeneo</t>
  </si>
  <si>
    <t>2.- Mantener en refrigeración.</t>
  </si>
  <si>
    <t>4: Actualización de codigos.</t>
  </si>
  <si>
    <t>5: Actualización de rendimiento</t>
  </si>
  <si>
    <t>6: Actualizacion del peso del colorante</t>
  </si>
  <si>
    <t>7: Se Elimina la crema supremo, la crema prestige, el preservante, el agua. Se agrega el subproducto crema chantilly Spoon</t>
  </si>
  <si>
    <t xml:space="preserve">ESP-RE-DES-036 </t>
  </si>
  <si>
    <t>11</t>
  </si>
  <si>
    <t>Crema Blanca Spoon (20800g)  SE00010</t>
  </si>
  <si>
    <t>ICG</t>
  </si>
  <si>
    <t>MP10047</t>
  </si>
  <si>
    <t>BETTERCREME SUPREMO (UND:4 K)</t>
  </si>
  <si>
    <t>Richs</t>
  </si>
  <si>
    <t>AyA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</si>
  <si>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</si>
  <si>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</si>
  <si>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</si>
  <si>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</si>
  <si>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</si>
  <si>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</si>
  <si>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</si>
  <si>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</si>
  <si>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11,Cambio de Pesos </t>
  </si>
  <si>
    <t>ESP-RE-EMPS-246</t>
  </si>
  <si>
    <t>20100163(SE00337) Empaque Fudge de chocolate Spoon</t>
  </si>
  <si>
    <t>Cocina</t>
  </si>
  <si>
    <t>90100354</t>
  </si>
  <si>
    <t>SE00338</t>
  </si>
  <si>
    <t>FUDGE DE CHOCOLATE SPOON</t>
  </si>
  <si>
    <t>EM10307</t>
  </si>
  <si>
    <t>BOLSA MARMITA 14 x 20 (KILO)</t>
  </si>
  <si>
    <t>16.07</t>
  </si>
  <si>
    <t>Minutos</t>
  </si>
  <si>
    <t>Bolsas</t>
  </si>
  <si>
    <t>1. Vaciar la marmita en bolsas de 5kg aprox.</t>
  </si>
  <si>
    <t>2. Amarrar la bolsa y etiquetar</t>
  </si>
  <si>
    <t>2, Se cambia la bolsa termica</t>
  </si>
  <si>
    <t>ESP-RE-COCS-355</t>
  </si>
  <si>
    <t>90100354(SE00338) Fudge de chocolate Spoon</t>
  </si>
  <si>
    <t>11400066</t>
  </si>
  <si>
    <t>MP10007</t>
  </si>
  <si>
    <t>Manjar Leche Condensada</t>
  </si>
  <si>
    <t>0512255</t>
  </si>
  <si>
    <t>MP10146</t>
  </si>
  <si>
    <t xml:space="preserve">Cocoa Dutch Process </t>
  </si>
  <si>
    <t>Cia Nacional</t>
  </si>
  <si>
    <t>MP10476</t>
  </si>
  <si>
    <t>CHOCOLATE JOHNNYS MARMITA (CAJA: 12K)</t>
  </si>
  <si>
    <t>JOHNNYS</t>
  </si>
  <si>
    <t>0310107</t>
  </si>
  <si>
    <t>MP10022</t>
  </si>
  <si>
    <t>Lactocrema Granel</t>
  </si>
  <si>
    <t>PRESERVANTE 1047 (PAQ=5 KILOS)</t>
  </si>
  <si>
    <t>MIN</t>
  </si>
  <si>
    <t>TANDA</t>
  </si>
  <si>
    <t>GRAMOS</t>
  </si>
  <si>
    <t>1. Licuar la cocoa, el preservante y el Johnnys con la leche. Colocar el licuado en olla y agregar el resto de ingredientes.</t>
  </si>
  <si>
    <t>2. Encender la marmita en progrmacion Fudge.</t>
  </si>
  <si>
    <t>3. Apagar y empezar el proceso de empaque</t>
  </si>
  <si>
    <t>2, Se cambia el Milo por Johnnys</t>
  </si>
  <si>
    <t>3; Cambio de preservante 1017 al 1047</t>
  </si>
  <si>
    <t xml:space="preserve">Rosquette Melo 450 g </t>
  </si>
  <si>
    <t>1/3 TAZA</t>
  </si>
  <si>
    <t>11400027</t>
  </si>
  <si>
    <t>SE00655</t>
  </si>
  <si>
    <t>MP10724</t>
  </si>
  <si>
    <t>MP10725</t>
  </si>
  <si>
    <t>MP10720</t>
  </si>
  <si>
    <t>ETIQUETA NAVIDAD TUTTO BAILEYS</t>
  </si>
  <si>
    <t xml:space="preserve">1. Partir el Rosquette a la  mitad </t>
  </si>
  <si>
    <t>2. Bañar con la leche de Baileys cada tapa del rosquete</t>
  </si>
  <si>
    <t xml:space="preserve">3. Colocar el Ganache de Baileys </t>
  </si>
  <si>
    <t>4. Colocar la Mousse de chocolate leche</t>
  </si>
  <si>
    <t>5. Agregar el Caramelo Crocante Bañado chocolate De Leche</t>
  </si>
  <si>
    <t>6. Colocar la Otra mitad del Rosquete.</t>
  </si>
  <si>
    <t>7. Cubrir con la crema de Forma Liza.</t>
  </si>
  <si>
    <t>8. Con la Boquilla 127 Cubrir las lineas de fudge la mitad de la Torta y colocar los cuadros de chocolate y a un costado colocar las monedas de forma Intercalada</t>
  </si>
  <si>
    <t>EM10408</t>
  </si>
  <si>
    <t>EM10296</t>
  </si>
  <si>
    <t>STICKER AZUL</t>
  </si>
  <si>
    <t xml:space="preserve"> PTI00231 Torta Tutto Baileys 1200 g AM PM / Fresh</t>
  </si>
  <si>
    <t>01</t>
  </si>
  <si>
    <t>Decoración</t>
  </si>
  <si>
    <t># Código Netsuite</t>
  </si>
  <si>
    <t>Ensamble</t>
  </si>
  <si>
    <t>ROSQUETE NUCLEO VAINILLA DAWN REDONDO 450 G</t>
  </si>
  <si>
    <t>1 UND</t>
  </si>
  <si>
    <t/>
  </si>
  <si>
    <t xml:space="preserve">RELLENO </t>
  </si>
  <si>
    <t>MEZCLA TRES LECHES C/BAILEYS</t>
  </si>
  <si>
    <t>80 GRAMOS CAPA</t>
  </si>
  <si>
    <t>GANACHE BAILEYS</t>
  </si>
  <si>
    <t>1/2 TAZA</t>
  </si>
  <si>
    <t>MOUSSE CHOCOLATE DE LECHE</t>
  </si>
  <si>
    <t>1 TAZA + 1/2 TAZA</t>
  </si>
  <si>
    <t>CARAMELO CROCANTE BAÑADO CHOCOLATE DE LECHE</t>
  </si>
  <si>
    <t>ENCREMAR</t>
  </si>
  <si>
    <t>COLOCHO BOQUILLA 127</t>
  </si>
  <si>
    <t>3 UND</t>
  </si>
  <si>
    <t>2 UND</t>
  </si>
  <si>
    <t>1 TABLETA</t>
  </si>
  <si>
    <t>Empaque</t>
  </si>
  <si>
    <t>CEMUSA</t>
  </si>
  <si>
    <t>ESP-RE-DES-053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</si>
</sst>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#,##0.0000"/>
    <numFmt numFmtId="171" formatCode="_(* #,##0.000_);_(* \(#,##0.000\);_(* &quot;-&quot;??_);_(@_)"/>
  </numFmts>
  <fonts count="65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sz val="11"/>
      <name val="Calibri"/>
      <family val="2"/>
    </font>
    <font>
      <sz val="11"/>
      <color theme="1"/>
      <name val="Segoe UI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974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4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" fillId="0" borderId="9" xfId="0" applyFont="1" applyBorder="1"/>
    <xf numFmtId="0" fontId="9" fillId="0" borderId="1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5" fillId="0" borderId="9" xfId="0" applyFont="1" applyBorder="1"/>
    <xf numFmtId="1" fontId="0" fillId="0" borderId="9" xfId="0" applyNumberFormat="1" applyBorder="1" applyAlignment="1">
      <alignment horizontal="center"/>
    </xf>
    <xf numFmtId="0" fontId="2" fillId="0" borderId="33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1" fontId="2" fillId="0" borderId="37" xfId="0" applyNumberFormat="1" applyFont="1" applyBorder="1" applyAlignment="1">
      <alignment horizontal="center" wrapText="1"/>
    </xf>
    <xf numFmtId="0" fontId="1" fillId="0" borderId="6" xfId="0" applyFont="1" applyBorder="1"/>
    <xf numFmtId="0" fontId="4" fillId="0" borderId="30" xfId="0" applyFont="1" applyBorder="1" applyAlignment="1">
      <alignment horizontal="center" vertical="center"/>
    </xf>
    <xf numFmtId="14" fontId="7" fillId="3" borderId="13" xfId="4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1" fontId="4" fillId="0" borderId="17" xfId="0" applyNumberFormat="1" applyFont="1" applyBorder="1" applyAlignment="1">
      <alignment horizontal="center" vertical="center" wrapText="1"/>
    </xf>
    <xf numFmtId="0" fontId="3" fillId="5" borderId="9" xfId="3" applyFill="1" applyBorder="1" applyAlignment="1">
      <alignment horizontal="center"/>
    </xf>
    <xf numFmtId="0" fontId="3" fillId="5" borderId="9" xfId="3" applyFill="1" applyBorder="1"/>
    <xf numFmtId="0" fontId="2" fillId="0" borderId="9" xfId="3" applyFont="1" applyBorder="1" applyAlignment="1">
      <alignment horizontal="center" vertical="center"/>
    </xf>
    <xf numFmtId="1" fontId="2" fillId="0" borderId="9" xfId="3" applyNumberFormat="1" applyFont="1" applyBorder="1" applyAlignment="1">
      <alignment horizontal="center"/>
    </xf>
    <xf numFmtId="165" fontId="11" fillId="0" borderId="9" xfId="3" applyNumberFormat="1" applyFont="1" applyBorder="1"/>
    <xf numFmtId="165" fontId="11" fillId="0" borderId="9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0" fontId="3" fillId="5" borderId="0" xfId="3" applyFill="1" applyAlignment="1">
      <alignment horizontal="left"/>
    </xf>
    <xf numFmtId="0" fontId="2" fillId="0" borderId="9" xfId="3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 wrapText="1"/>
    </xf>
    <xf numFmtId="49" fontId="12" fillId="5" borderId="10" xfId="3" applyNumberFormat="1" applyFont="1" applyFill="1" applyBorder="1" applyAlignment="1">
      <alignment horizontal="center"/>
    </xf>
    <xf numFmtId="49" fontId="12" fillId="5" borderId="18" xfId="3" applyNumberFormat="1" applyFont="1" applyFill="1" applyBorder="1" applyAlignment="1">
      <alignment horizontal="center"/>
    </xf>
    <xf numFmtId="49" fontId="13" fillId="5" borderId="9" xfId="3" applyNumberFormat="1" applyFont="1" applyFill="1" applyBorder="1"/>
    <xf numFmtId="0" fontId="12" fillId="0" borderId="9" xfId="3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165" fontId="12" fillId="0" borderId="3" xfId="3" applyNumberFormat="1" applyFont="1" applyBorder="1" applyAlignment="1">
      <alignment horizontal="center"/>
    </xf>
    <xf numFmtId="0" fontId="14" fillId="0" borderId="9" xfId="3" applyFont="1" applyBorder="1" applyAlignment="1">
      <alignment horizontal="center"/>
    </xf>
    <xf numFmtId="12" fontId="12" fillId="0" borderId="9" xfId="3" applyNumberFormat="1" applyFont="1" applyBorder="1" applyAlignment="1">
      <alignment horizontal="center"/>
    </xf>
    <xf numFmtId="0" fontId="12" fillId="0" borderId="8" xfId="3" applyFont="1" applyBorder="1" applyAlignment="1">
      <alignment horizontal="center"/>
    </xf>
    <xf numFmtId="0" fontId="2" fillId="0" borderId="10" xfId="0" applyFont="1" applyBorder="1"/>
    <xf numFmtId="0" fontId="2" fillId="0" borderId="18" xfId="0" applyFont="1" applyBorder="1"/>
    <xf numFmtId="0" fontId="2" fillId="0" borderId="9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/>
    </xf>
    <xf numFmtId="1" fontId="0" fillId="0" borderId="9" xfId="0" applyNumberFormat="1" applyBorder="1"/>
    <xf numFmtId="1" fontId="0" fillId="0" borderId="0" xfId="0" applyNumberFormat="1" applyAlignment="1">
      <alignment horizontal="center"/>
    </xf>
    <xf numFmtId="0" fontId="1" fillId="0" borderId="0" xfId="0" applyFont="1"/>
    <xf numFmtId="16" fontId="2" fillId="0" borderId="7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4" fillId="3" borderId="12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center"/>
    </xf>
    <xf numFmtId="0" fontId="2" fillId="3" borderId="0" xfId="0" applyFont="1" applyFill="1"/>
    <xf numFmtId="0" fontId="4" fillId="3" borderId="9" xfId="4" applyFont="1" applyFill="1" applyBorder="1" applyAlignment="1">
      <alignment horizontal="right"/>
    </xf>
    <xf numFmtId="49" fontId="2" fillId="3" borderId="8" xfId="4" applyNumberFormat="1" applyFont="1" applyFill="1" applyBorder="1" applyAlignment="1">
      <alignment horizontal="center"/>
    </xf>
    <xf numFmtId="0" fontId="2" fillId="3" borderId="7" xfId="4" applyFont="1" applyFill="1" applyBorder="1" applyAlignment="1">
      <alignment horizontal="right"/>
    </xf>
    <xf numFmtId="0" fontId="2" fillId="3" borderId="9" xfId="4" applyFont="1" applyFill="1" applyBorder="1" applyAlignment="1">
      <alignment horizontal="right"/>
    </xf>
    <xf numFmtId="0" fontId="4" fillId="4" borderId="11" xfId="0" applyFont="1" applyFill="1" applyBorder="1" applyAlignment="1">
      <alignment horizontal="center" vertical="center" wrapText="1"/>
    </xf>
    <xf numFmtId="1" fontId="4" fillId="4" borderId="25" xfId="0" applyNumberFormat="1" applyFont="1" applyFill="1" applyBorder="1" applyAlignment="1">
      <alignment horizontal="center"/>
    </xf>
    <xf numFmtId="1" fontId="4" fillId="4" borderId="25" xfId="0" applyNumberFormat="1" applyFont="1" applyFill="1" applyBorder="1" applyAlignment="1">
      <alignment horizontal="center" wrapText="1"/>
    </xf>
    <xf numFmtId="1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 wrapText="1"/>
    </xf>
    <xf numFmtId="0" fontId="4" fillId="4" borderId="46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13" fillId="0" borderId="9" xfId="0" applyNumberFormat="1" applyFont="1" applyBorder="1"/>
    <xf numFmtId="1" fontId="12" fillId="0" borderId="9" xfId="0" applyNumberFormat="1" applyFont="1" applyBorder="1" applyAlignment="1">
      <alignment horizontal="center"/>
    </xf>
    <xf numFmtId="49" fontId="12" fillId="0" borderId="47" xfId="0" applyNumberFormat="1" applyFont="1" applyBorder="1" applyAlignment="1">
      <alignment horizontal="center"/>
    </xf>
    <xf numFmtId="49" fontId="12" fillId="0" borderId="4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 wrapText="1"/>
    </xf>
    <xf numFmtId="0" fontId="1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49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/>
    <xf numFmtId="0" fontId="12" fillId="0" borderId="25" xfId="0" applyFont="1" applyBorder="1"/>
    <xf numFmtId="1" fontId="2" fillId="0" borderId="25" xfId="0" applyNumberFormat="1" applyFont="1" applyBorder="1" applyAlignment="1">
      <alignment horizontal="center" wrapText="1"/>
    </xf>
    <xf numFmtId="0" fontId="2" fillId="0" borderId="26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2" fillId="0" borderId="9" xfId="0" quotePrefix="1" applyFont="1" applyBorder="1"/>
    <xf numFmtId="0" fontId="12" fillId="0" borderId="9" xfId="0" applyFont="1" applyBorder="1"/>
    <xf numFmtId="1" fontId="2" fillId="0" borderId="9" xfId="0" applyNumberFormat="1" applyFont="1" applyBorder="1" applyAlignment="1">
      <alignment horizontal="center" wrapText="1"/>
    </xf>
    <xf numFmtId="49" fontId="15" fillId="3" borderId="14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4" borderId="38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39" xfId="0" applyFont="1" applyFill="1" applyBorder="1"/>
    <xf numFmtId="0" fontId="4" fillId="4" borderId="39" xfId="0" applyFont="1" applyFill="1" applyBorder="1" applyAlignment="1">
      <alignment horizontal="center"/>
    </xf>
    <xf numFmtId="1" fontId="4" fillId="4" borderId="39" xfId="0" applyNumberFormat="1" applyFont="1" applyFill="1" applyBorder="1" applyAlignment="1">
      <alignment horizontal="center"/>
    </xf>
    <xf numFmtId="164" fontId="2" fillId="4" borderId="39" xfId="0" applyNumberFormat="1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2" fillId="3" borderId="0" xfId="2" applyFont="1" applyFill="1"/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3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7" fillId="7" borderId="9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7" fillId="0" borderId="9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 wrapText="1"/>
    </xf>
    <xf numFmtId="0" fontId="17" fillId="8" borderId="5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7" fillId="0" borderId="0" xfId="6" applyNumberFormat="1" applyFont="1" applyFill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13" fillId="0" borderId="0" xfId="0" applyFont="1"/>
    <xf numFmtId="49" fontId="17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8" borderId="56" xfId="2" applyNumberFormat="1" applyFont="1" applyFill="1" applyBorder="1" applyAlignment="1">
      <alignment vertical="center"/>
    </xf>
    <xf numFmtId="0" fontId="13" fillId="8" borderId="39" xfId="0" applyFont="1" applyFill="1" applyBorder="1" applyAlignment="1">
      <alignment vertical="center"/>
    </xf>
    <xf numFmtId="0" fontId="13" fillId="8" borderId="56" xfId="0" applyFont="1" applyFill="1" applyBorder="1" applyAlignment="1">
      <alignment vertical="center"/>
    </xf>
    <xf numFmtId="43" fontId="25" fillId="8" borderId="57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13" fillId="8" borderId="57" xfId="0" applyFont="1" applyFill="1" applyBorder="1" applyAlignment="1">
      <alignment vertical="center"/>
    </xf>
    <xf numFmtId="10" fontId="18" fillId="8" borderId="57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3" xfId="0" applyFont="1" applyBorder="1" applyAlignment="1">
      <alignment horizontal="right"/>
    </xf>
    <xf numFmtId="43" fontId="31" fillId="6" borderId="58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7" fillId="0" borderId="9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9" fontId="17" fillId="8" borderId="9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7" fillId="9" borderId="9" xfId="5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8" borderId="59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13" fillId="8" borderId="59" xfId="0" applyFont="1" applyFill="1" applyBorder="1" applyAlignment="1">
      <alignment vertical="center"/>
    </xf>
    <xf numFmtId="10" fontId="13" fillId="0" borderId="0" xfId="2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31" fillId="8" borderId="39" xfId="5" applyFont="1" applyFill="1" applyBorder="1" applyAlignment="1">
      <alignment horizontal="right"/>
    </xf>
    <xf numFmtId="0" fontId="17" fillId="8" borderId="40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0" fontId="13" fillId="5" borderId="58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7" fillId="11" borderId="58" xfId="5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3" fontId="41" fillId="0" borderId="0" xfId="5" applyFont="1" applyFill="1" applyAlignment="1">
      <alignment vertical="center"/>
    </xf>
    <xf numFmtId="9" fontId="41" fillId="0" borderId="0" xfId="5" applyNumberFormat="1" applyFont="1" applyFill="1" applyAlignment="1">
      <alignment vertical="center"/>
    </xf>
    <xf numFmtId="4" fontId="17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6" fontId="17" fillId="0" borderId="0" xfId="0" applyNumberFormat="1" applyFont="1"/>
    <xf numFmtId="170" fontId="17" fillId="0" borderId="0" xfId="6" applyNumberFormat="1" applyFont="1" applyFill="1" applyAlignment="1">
      <alignment horizontal="center" vertical="center"/>
    </xf>
    <xf numFmtId="0" fontId="2" fillId="0" borderId="17" xfId="0" applyFont="1" applyBorder="1"/>
    <xf numFmtId="0" fontId="2" fillId="0" borderId="4" xfId="0" applyFont="1" applyBorder="1"/>
    <xf numFmtId="0" fontId="3" fillId="3" borderId="21" xfId="4" applyFont="1" applyFill="1" applyBorder="1" applyAlignment="1">
      <alignment horizontal="center"/>
    </xf>
    <xf numFmtId="0" fontId="46" fillId="3" borderId="12" xfId="4" applyFont="1" applyFill="1" applyBorder="1" applyAlignment="1">
      <alignment horizontal="right"/>
    </xf>
    <xf numFmtId="0" fontId="3" fillId="3" borderId="11" xfId="4" applyFont="1" applyFill="1" applyBorder="1" applyAlignment="1">
      <alignment horizontal="center"/>
    </xf>
    <xf numFmtId="0" fontId="3" fillId="3" borderId="18" xfId="4" applyFont="1" applyFill="1" applyBorder="1" applyAlignment="1">
      <alignment horizontal="center"/>
    </xf>
    <xf numFmtId="0" fontId="46" fillId="3" borderId="9" xfId="4" applyFont="1" applyFill="1" applyBorder="1" applyAlignment="1">
      <alignment horizontal="right"/>
    </xf>
    <xf numFmtId="49" fontId="3" fillId="3" borderId="8" xfId="4" applyNumberFormat="1" applyFont="1" applyFill="1" applyBorder="1" applyAlignment="1">
      <alignment horizontal="center"/>
    </xf>
    <xf numFmtId="0" fontId="3" fillId="3" borderId="9" xfId="4" applyFont="1" applyFill="1" applyBorder="1" applyAlignment="1">
      <alignment horizontal="right"/>
    </xf>
    <xf numFmtId="0" fontId="3" fillId="3" borderId="35" xfId="4" applyFont="1" applyFill="1" applyBorder="1" applyAlignment="1">
      <alignment horizontal="center"/>
    </xf>
    <xf numFmtId="0" fontId="3" fillId="3" borderId="1" xfId="4" applyFont="1" applyFill="1" applyBorder="1" applyAlignment="1">
      <alignment horizontal="right"/>
    </xf>
    <xf numFmtId="0" fontId="3" fillId="3" borderId="14" xfId="4" applyFont="1" applyFill="1" applyBorder="1" applyAlignment="1">
      <alignment horizontal="center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6" fillId="3" borderId="0" xfId="4" applyFont="1" applyFill="1" applyAlignment="1">
      <alignment horizontal="right" vertical="top" wrapText="1"/>
    </xf>
    <xf numFmtId="14" fontId="3" fillId="3" borderId="13" xfId="4" applyNumberFormat="1" applyFont="1" applyFill="1" applyBorder="1" applyAlignment="1">
      <alignment horizontal="center" vertical="center" wrapText="1"/>
    </xf>
    <xf numFmtId="14" fontId="48" fillId="3" borderId="13" xfId="4" applyNumberFormat="1" applyFont="1" applyFill="1" applyBorder="1" applyAlignment="1">
      <alignment horizontal="center" vertical="center" wrapText="1"/>
    </xf>
    <xf numFmtId="0" fontId="46" fillId="4" borderId="21" xfId="3" applyFont="1" applyFill="1" applyBorder="1" applyAlignment="1">
      <alignment horizontal="center" vertical="center"/>
    </xf>
    <xf numFmtId="0" fontId="46" fillId="4" borderId="11" xfId="3" applyFont="1" applyFill="1" applyBorder="1" applyAlignment="1">
      <alignment horizontal="center" vertical="center" wrapText="1"/>
    </xf>
    <xf numFmtId="0" fontId="46" fillId="4" borderId="35" xfId="3" applyFont="1" applyFill="1" applyBorder="1" applyAlignment="1">
      <alignment horizontal="center" vertical="center"/>
    </xf>
    <xf numFmtId="1" fontId="46" fillId="4" borderId="1" xfId="3" applyNumberFormat="1" applyFont="1" applyFill="1" applyBorder="1" applyAlignment="1">
      <alignment horizontal="center"/>
    </xf>
    <xf numFmtId="1" fontId="46" fillId="4" borderId="1" xfId="3" applyNumberFormat="1" applyFont="1" applyFill="1" applyBorder="1" applyAlignment="1">
      <alignment horizontal="center" wrapText="1"/>
    </xf>
    <xf numFmtId="0" fontId="46" fillId="4" borderId="46" xfId="3" applyFont="1" applyFill="1" applyBorder="1" applyAlignment="1">
      <alignment horizontal="center"/>
    </xf>
    <xf numFmtId="0" fontId="2" fillId="0" borderId="10" xfId="3" applyFont="1" applyBorder="1" applyAlignment="1">
      <alignment horizontal="center"/>
    </xf>
    <xf numFmtId="0" fontId="2" fillId="0" borderId="18" xfId="3" applyFont="1" applyBorder="1" applyAlignment="1">
      <alignment horizontal="center"/>
    </xf>
    <xf numFmtId="0" fontId="2" fillId="0" borderId="9" xfId="3" applyFont="1" applyBorder="1"/>
    <xf numFmtId="1" fontId="2" fillId="0" borderId="9" xfId="3" applyNumberFormat="1" applyFont="1" applyBorder="1" applyAlignment="1">
      <alignment vertical="center"/>
    </xf>
    <xf numFmtId="1" fontId="2" fillId="0" borderId="8" xfId="3" applyNumberFormat="1" applyFont="1" applyBorder="1" applyAlignment="1">
      <alignment vertical="center"/>
    </xf>
    <xf numFmtId="43" fontId="0" fillId="0" borderId="0" xfId="5" applyFont="1"/>
    <xf numFmtId="0" fontId="2" fillId="0" borderId="10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9" xfId="3" applyFont="1" applyBorder="1" applyAlignment="1">
      <alignment horizontal="left" vertical="center"/>
    </xf>
    <xf numFmtId="0" fontId="15" fillId="0" borderId="10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4" fillId="0" borderId="9" xfId="3" applyFont="1" applyBorder="1"/>
    <xf numFmtId="0" fontId="4" fillId="5" borderId="8" xfId="3" applyFont="1" applyFill="1" applyBorder="1" applyAlignment="1">
      <alignment horizontal="center"/>
    </xf>
    <xf numFmtId="49" fontId="2" fillId="5" borderId="10" xfId="3" applyNumberFormat="1" applyFont="1" applyFill="1" applyBorder="1" applyAlignment="1">
      <alignment horizontal="right"/>
    </xf>
    <xf numFmtId="49" fontId="2" fillId="5" borderId="18" xfId="3" applyNumberFormat="1" applyFont="1" applyFill="1" applyBorder="1" applyAlignment="1">
      <alignment horizontal="right"/>
    </xf>
    <xf numFmtId="49" fontId="2" fillId="5" borderId="9" xfId="3" applyNumberFormat="1" applyFont="1" applyFill="1" applyBorder="1"/>
    <xf numFmtId="0" fontId="2" fillId="0" borderId="8" xfId="3" applyFont="1" applyBorder="1" applyAlignment="1">
      <alignment horizontal="center"/>
    </xf>
    <xf numFmtId="0" fontId="2" fillId="0" borderId="10" xfId="3" quotePrefix="1" applyFont="1" applyBorder="1" applyAlignment="1">
      <alignment horizontal="right"/>
    </xf>
    <xf numFmtId="0" fontId="2" fillId="0" borderId="18" xfId="3" quotePrefix="1" applyFont="1" applyBorder="1" applyAlignment="1">
      <alignment horizontal="right"/>
    </xf>
    <xf numFmtId="0" fontId="2" fillId="0" borderId="9" xfId="3" quotePrefix="1" applyFont="1" applyBorder="1"/>
    <xf numFmtId="1" fontId="2" fillId="0" borderId="9" xfId="3" applyNumberFormat="1" applyFont="1" applyBorder="1" applyAlignment="1">
      <alignment horizontal="center" wrapText="1"/>
    </xf>
    <xf numFmtId="49" fontId="15" fillId="3" borderId="24" xfId="3" applyNumberFormat="1" applyFont="1" applyFill="1" applyBorder="1" applyAlignment="1">
      <alignment horizontal="center" vertical="center"/>
    </xf>
    <xf numFmtId="49" fontId="15" fillId="3" borderId="23" xfId="3" applyNumberFormat="1" applyFont="1" applyFill="1" applyBorder="1" applyAlignment="1">
      <alignment horizontal="center" vertical="center"/>
    </xf>
    <xf numFmtId="0" fontId="2" fillId="3" borderId="23" xfId="3" applyFont="1" applyFill="1" applyBorder="1"/>
    <xf numFmtId="1" fontId="2" fillId="3" borderId="23" xfId="3" applyNumberFormat="1" applyFont="1" applyFill="1" applyBorder="1" applyAlignment="1">
      <alignment horizontal="center"/>
    </xf>
    <xf numFmtId="164" fontId="2" fillId="3" borderId="23" xfId="3" applyNumberFormat="1" applyFont="1" applyFill="1" applyBorder="1" applyAlignment="1">
      <alignment horizontal="center" wrapText="1"/>
    </xf>
    <xf numFmtId="0" fontId="2" fillId="3" borderId="60" xfId="3" applyFont="1" applyFill="1" applyBorder="1" applyAlignment="1">
      <alignment horizontal="center"/>
    </xf>
    <xf numFmtId="0" fontId="3" fillId="0" borderId="0" xfId="3"/>
    <xf numFmtId="0" fontId="3" fillId="3" borderId="0" xfId="3" applyFill="1" applyAlignment="1">
      <alignment horizontal="left" indent="1"/>
    </xf>
    <xf numFmtId="0" fontId="3" fillId="4" borderId="38" xfId="3" applyFill="1" applyBorder="1" applyAlignment="1">
      <alignment horizontal="center"/>
    </xf>
    <xf numFmtId="0" fontId="3" fillId="4" borderId="39" xfId="3" applyFill="1" applyBorder="1" applyAlignment="1">
      <alignment horizontal="center"/>
    </xf>
    <xf numFmtId="0" fontId="3" fillId="4" borderId="39" xfId="3" applyFill="1" applyBorder="1"/>
    <xf numFmtId="0" fontId="46" fillId="4" borderId="39" xfId="3" applyFont="1" applyFill="1" applyBorder="1" applyAlignment="1">
      <alignment horizontal="center"/>
    </xf>
    <xf numFmtId="1" fontId="46" fillId="4" borderId="39" xfId="3" applyNumberFormat="1" applyFont="1" applyFill="1" applyBorder="1" applyAlignment="1">
      <alignment horizontal="center"/>
    </xf>
    <xf numFmtId="164" fontId="3" fillId="4" borderId="39" xfId="3" applyNumberFormat="1" applyFill="1" applyBorder="1" applyAlignment="1">
      <alignment horizontal="center" wrapText="1"/>
    </xf>
    <xf numFmtId="0" fontId="3" fillId="4" borderId="40" xfId="3" applyFill="1" applyBorder="1" applyAlignment="1">
      <alignment horizontal="center"/>
    </xf>
    <xf numFmtId="1" fontId="3" fillId="0" borderId="7" xfId="3" applyNumberFormat="1" applyBorder="1" applyAlignment="1">
      <alignment horizontal="center"/>
    </xf>
    <xf numFmtId="0" fontId="3" fillId="0" borderId="37" xfId="3" applyBorder="1" applyAlignment="1">
      <alignment horizontal="center"/>
    </xf>
    <xf numFmtId="0" fontId="46" fillId="0" borderId="9" xfId="3" applyFont="1" applyBorder="1" applyAlignment="1">
      <alignment horizontal="center"/>
    </xf>
    <xf numFmtId="0" fontId="3" fillId="0" borderId="9" xfId="3" applyBorder="1" applyAlignment="1">
      <alignment horizontal="center"/>
    </xf>
    <xf numFmtId="1" fontId="3" fillId="0" borderId="9" xfId="3" applyNumberFormat="1" applyBorder="1" applyAlignment="1">
      <alignment horizontal="center"/>
    </xf>
    <xf numFmtId="9" fontId="3" fillId="3" borderId="0" xfId="2" applyFont="1" applyFill="1"/>
    <xf numFmtId="1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1" fontId="3" fillId="0" borderId="0" xfId="3" applyNumberFormat="1"/>
    <xf numFmtId="0" fontId="3" fillId="0" borderId="38" xfId="0" applyFont="1" applyBorder="1"/>
    <xf numFmtId="0" fontId="3" fillId="0" borderId="39" xfId="0" applyFont="1" applyBorder="1"/>
    <xf numFmtId="0" fontId="0" fillId="0" borderId="39" xfId="0" applyBorder="1"/>
    <xf numFmtId="0" fontId="0" fillId="0" borderId="40" xfId="0" applyBorder="1"/>
    <xf numFmtId="0" fontId="3" fillId="3" borderId="0" xfId="0" applyFont="1" applyFill="1"/>
    <xf numFmtId="14" fontId="3" fillId="3" borderId="0" xfId="4" applyNumberFormat="1" applyFont="1" applyFill="1" applyAlignment="1">
      <alignment horizontal="center" vertical="center" wrapText="1"/>
    </xf>
    <xf numFmtId="14" fontId="48" fillId="3" borderId="0" xfId="4" applyNumberFormat="1" applyFont="1" applyFill="1" applyAlignment="1">
      <alignment horizontal="center" vertical="center" wrapText="1"/>
    </xf>
    <xf numFmtId="0" fontId="46" fillId="4" borderId="11" xfId="0" applyFont="1" applyFill="1" applyBorder="1" applyAlignment="1">
      <alignment horizontal="center" vertical="center" wrapText="1"/>
    </xf>
    <xf numFmtId="1" fontId="46" fillId="4" borderId="1" xfId="0" applyNumberFormat="1" applyFont="1" applyFill="1" applyBorder="1" applyAlignment="1">
      <alignment horizontal="center"/>
    </xf>
    <xf numFmtId="1" fontId="46" fillId="4" borderId="1" xfId="0" applyNumberFormat="1" applyFont="1" applyFill="1" applyBorder="1" applyAlignment="1">
      <alignment horizontal="center" wrapText="1"/>
    </xf>
    <xf numFmtId="0" fontId="46" fillId="4" borderId="46" xfId="0" applyFont="1" applyFill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65" xfId="0" applyFont="1" applyBorder="1" applyAlignment="1">
      <alignment horizontal="left" vertical="center"/>
    </xf>
    <xf numFmtId="0" fontId="6" fillId="0" borderId="9" xfId="3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51" fillId="0" borderId="52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2" fillId="0" borderId="7" xfId="0" applyFont="1" applyBorder="1"/>
    <xf numFmtId="165" fontId="0" fillId="0" borderId="9" xfId="0" applyNumberFormat="1" applyBorder="1" applyAlignment="1">
      <alignment horizontal="left" vertical="center"/>
    </xf>
    <xf numFmtId="1" fontId="50" fillId="0" borderId="9" xfId="3" applyNumberFormat="1" applyFont="1" applyBorder="1" applyAlignment="1">
      <alignment horizontal="center"/>
    </xf>
    <xf numFmtId="1" fontId="50" fillId="0" borderId="9" xfId="3" applyNumberFormat="1" applyFont="1" applyBorder="1" applyAlignment="1">
      <alignment horizontal="center" wrapText="1"/>
    </xf>
    <xf numFmtId="1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49" fontId="50" fillId="0" borderId="10" xfId="3" applyNumberFormat="1" applyFont="1" applyBorder="1" applyAlignment="1">
      <alignment horizontal="center"/>
    </xf>
    <xf numFmtId="49" fontId="50" fillId="0" borderId="18" xfId="3" applyNumberFormat="1" applyFont="1" applyBorder="1" applyAlignment="1">
      <alignment horizontal="center"/>
    </xf>
    <xf numFmtId="49" fontId="3" fillId="0" borderId="9" xfId="3" applyNumberFormat="1" applyBorder="1"/>
    <xf numFmtId="16" fontId="50" fillId="0" borderId="9" xfId="3" applyNumberFormat="1" applyFont="1" applyBorder="1" applyAlignment="1">
      <alignment horizontal="center"/>
    </xf>
    <xf numFmtId="49" fontId="46" fillId="0" borderId="9" xfId="3" applyNumberFormat="1" applyFont="1" applyBorder="1"/>
    <xf numFmtId="49" fontId="50" fillId="5" borderId="10" xfId="0" applyNumberFormat="1" applyFont="1" applyFill="1" applyBorder="1" applyAlignment="1">
      <alignment horizontal="right"/>
    </xf>
    <xf numFmtId="49" fontId="50" fillId="5" borderId="18" xfId="0" applyNumberFormat="1" applyFont="1" applyFill="1" applyBorder="1" applyAlignment="1">
      <alignment horizontal="right"/>
    </xf>
    <xf numFmtId="49" fontId="3" fillId="5" borderId="9" xfId="0" applyNumberFormat="1" applyFont="1" applyFill="1" applyBorder="1"/>
    <xf numFmtId="0" fontId="6" fillId="0" borderId="9" xfId="0" applyFont="1" applyBorder="1"/>
    <xf numFmtId="0" fontId="3" fillId="0" borderId="8" xfId="0" applyFont="1" applyBorder="1" applyAlignment="1">
      <alignment horizontal="center"/>
    </xf>
    <xf numFmtId="0" fontId="3" fillId="0" borderId="10" xfId="0" quotePrefix="1" applyFont="1" applyBorder="1" applyAlignment="1">
      <alignment horizontal="right"/>
    </xf>
    <xf numFmtId="0" fontId="3" fillId="0" borderId="18" xfId="0" quotePrefix="1" applyFont="1" applyBorder="1" applyAlignment="1">
      <alignment horizontal="right"/>
    </xf>
    <xf numFmtId="0" fontId="3" fillId="0" borderId="9" xfId="0" quotePrefix="1" applyFont="1" applyBorder="1"/>
    <xf numFmtId="0" fontId="50" fillId="0" borderId="9" xfId="0" applyFont="1" applyBorder="1"/>
    <xf numFmtId="1" fontId="3" fillId="0" borderId="9" xfId="0" applyNumberFormat="1" applyFont="1" applyBorder="1" applyAlignment="1">
      <alignment horizontal="center" wrapText="1"/>
    </xf>
    <xf numFmtId="49" fontId="53" fillId="3" borderId="14" xfId="0" applyNumberFormat="1" applyFont="1" applyFill="1" applyBorder="1" applyAlignment="1">
      <alignment horizontal="center" vertical="center"/>
    </xf>
    <xf numFmtId="49" fontId="5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38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3" fillId="4" borderId="39" xfId="0" applyFont="1" applyFill="1" applyBorder="1"/>
    <xf numFmtId="0" fontId="46" fillId="4" borderId="39" xfId="0" applyFont="1" applyFill="1" applyBorder="1" applyAlignment="1">
      <alignment horizontal="center"/>
    </xf>
    <xf numFmtId="1" fontId="46" fillId="4" borderId="39" xfId="0" applyNumberFormat="1" applyFont="1" applyFill="1" applyBorder="1" applyAlignment="1">
      <alignment horizontal="center"/>
    </xf>
    <xf numFmtId="164" fontId="3" fillId="4" borderId="39" xfId="0" applyNumberFormat="1" applyFont="1" applyFill="1" applyBorder="1" applyAlignment="1">
      <alignment horizontal="center" wrapText="1"/>
    </xf>
    <xf numFmtId="0" fontId="3" fillId="4" borderId="40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/>
    <xf numFmtId="0" fontId="53" fillId="3" borderId="0" xfId="0" applyFont="1" applyFill="1" applyAlignment="1">
      <alignment vertical="center"/>
    </xf>
    <xf numFmtId="49" fontId="0" fillId="3" borderId="8" xfId="4" applyNumberFormat="1" applyFont="1" applyFill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0" fontId="51" fillId="0" borderId="9" xfId="0" applyFont="1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6" fillId="0" borderId="66" xfId="0" applyFont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2" fontId="3" fillId="0" borderId="9" xfId="0" applyNumberFormat="1" applyFont="1" applyBorder="1" applyAlignment="1">
      <alignment horizontal="center" wrapText="1"/>
    </xf>
    <xf numFmtId="16" fontId="12" fillId="3" borderId="9" xfId="0" applyNumberFormat="1" applyFont="1" applyFill="1" applyBorder="1" applyAlignment="1">
      <alignment horizontal="center"/>
    </xf>
    <xf numFmtId="1" fontId="14" fillId="3" borderId="9" xfId="0" applyNumberFormat="1" applyFont="1" applyFill="1" applyBorder="1" applyAlignment="1">
      <alignment horizontal="center"/>
    </xf>
    <xf numFmtId="1" fontId="12" fillId="3" borderId="9" xfId="0" applyNumberFormat="1" applyFont="1" applyFill="1" applyBorder="1" applyAlignment="1">
      <alignment horizontal="center" wrapText="1"/>
    </xf>
    <xf numFmtId="49" fontId="12" fillId="0" borderId="10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4" fillId="3" borderId="9" xfId="4" applyFont="1" applyFill="1" applyBorder="1" applyAlignment="1">
      <alignment horizontal="left"/>
    </xf>
    <xf numFmtId="0" fontId="3" fillId="3" borderId="9" xfId="4" applyFont="1" applyFill="1" applyBorder="1" applyAlignment="1">
      <alignment horizontal="center"/>
    </xf>
    <xf numFmtId="0" fontId="14" fillId="5" borderId="0" xfId="0" applyFont="1" applyFill="1"/>
    <xf numFmtId="49" fontId="3" fillId="3" borderId="9" xfId="4" applyNumberFormat="1" applyFont="1" applyFill="1" applyBorder="1" applyAlignment="1">
      <alignment horizontal="center"/>
    </xf>
    <xf numFmtId="0" fontId="55" fillId="3" borderId="9" xfId="4" applyFont="1" applyFill="1" applyBorder="1" applyAlignment="1">
      <alignment horizontal="right"/>
    </xf>
    <xf numFmtId="0" fontId="46" fillId="4" borderId="11" xfId="1" applyFont="1" applyFill="1" applyBorder="1" applyAlignment="1">
      <alignment horizontal="center" vertical="center" wrapText="1"/>
    </xf>
    <xf numFmtId="0" fontId="56" fillId="5" borderId="0" xfId="0" applyFont="1" applyFill="1" applyAlignment="1">
      <alignment horizontal="center" vertical="center"/>
    </xf>
    <xf numFmtId="1" fontId="46" fillId="4" borderId="1" xfId="1" applyNumberFormat="1" applyFont="1" applyFill="1" applyBorder="1" applyAlignment="1">
      <alignment horizontal="center"/>
    </xf>
    <xf numFmtId="1" fontId="46" fillId="4" borderId="1" xfId="1" applyNumberFormat="1" applyFont="1" applyFill="1" applyBorder="1" applyAlignment="1">
      <alignment horizontal="center" wrapText="1"/>
    </xf>
    <xf numFmtId="0" fontId="46" fillId="4" borderId="46" xfId="1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1" fontId="56" fillId="0" borderId="9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 wrapText="1"/>
    </xf>
    <xf numFmtId="1" fontId="14" fillId="0" borderId="9" xfId="0" applyNumberFormat="1" applyFont="1" applyBorder="1" applyAlignment="1">
      <alignment horizontal="center"/>
    </xf>
    <xf numFmtId="16" fontId="14" fillId="0" borderId="9" xfId="0" applyNumberFormat="1" applyFont="1" applyBorder="1" applyAlignment="1">
      <alignment horizontal="center"/>
    </xf>
    <xf numFmtId="0" fontId="3" fillId="4" borderId="38" xfId="1" applyFill="1" applyBorder="1" applyAlignment="1">
      <alignment horizontal="center"/>
    </xf>
    <xf numFmtId="0" fontId="3" fillId="4" borderId="39" xfId="1" applyFill="1" applyBorder="1" applyAlignment="1">
      <alignment horizontal="center"/>
    </xf>
    <xf numFmtId="0" fontId="3" fillId="4" borderId="39" xfId="1" applyFill="1" applyBorder="1"/>
    <xf numFmtId="0" fontId="46" fillId="4" borderId="39" xfId="1" applyFont="1" applyFill="1" applyBorder="1" applyAlignment="1">
      <alignment horizontal="center"/>
    </xf>
    <xf numFmtId="1" fontId="46" fillId="4" borderId="39" xfId="1" applyNumberFormat="1" applyFont="1" applyFill="1" applyBorder="1" applyAlignment="1">
      <alignment horizontal="center"/>
    </xf>
    <xf numFmtId="164" fontId="3" fillId="4" borderId="39" xfId="1" applyNumberFormat="1" applyFill="1" applyBorder="1" applyAlignment="1">
      <alignment horizontal="center" wrapText="1"/>
    </xf>
    <xf numFmtId="0" fontId="3" fillId="4" borderId="40" xfId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6" fillId="5" borderId="0" xfId="0" applyFont="1" applyFill="1" applyAlignment="1">
      <alignment horizontal="left" indent="1"/>
    </xf>
    <xf numFmtId="164" fontId="11" fillId="0" borderId="9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left" wrapText="1"/>
    </xf>
    <xf numFmtId="0" fontId="13" fillId="5" borderId="0" xfId="0" applyFont="1" applyFill="1" applyAlignment="1">
      <alignment horizontal="center"/>
    </xf>
    <xf numFmtId="0" fontId="1" fillId="13" borderId="0" xfId="0" applyFont="1" applyFill="1"/>
    <xf numFmtId="0" fontId="0" fillId="13" borderId="9" xfId="0" applyFill="1" applyBorder="1"/>
    <xf numFmtId="14" fontId="48" fillId="3" borderId="40" xfId="4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/>
    </xf>
    <xf numFmtId="49" fontId="12" fillId="0" borderId="21" xfId="0" applyNumberFormat="1" applyFont="1" applyBorder="1" applyAlignment="1">
      <alignment horizontal="center"/>
    </xf>
    <xf numFmtId="49" fontId="13" fillId="0" borderId="12" xfId="0" applyNumberFormat="1" applyFont="1" applyBorder="1"/>
    <xf numFmtId="16" fontId="12" fillId="3" borderId="12" xfId="0" applyNumberFormat="1" applyFont="1" applyFill="1" applyBorder="1" applyAlignment="1">
      <alignment horizontal="center"/>
    </xf>
    <xf numFmtId="1" fontId="56" fillId="3" borderId="12" xfId="0" applyNumberFormat="1" applyFont="1" applyFill="1" applyBorder="1" applyAlignment="1">
      <alignment horizontal="center"/>
    </xf>
    <xf numFmtId="1" fontId="12" fillId="3" borderId="12" xfId="0" applyNumberFormat="1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1" fontId="56" fillId="3" borderId="9" xfId="0" applyNumberFormat="1" applyFont="1" applyFill="1" applyBorder="1" applyAlignment="1">
      <alignment horizontal="center"/>
    </xf>
    <xf numFmtId="16" fontId="12" fillId="3" borderId="25" xfId="0" applyNumberFormat="1" applyFont="1" applyFill="1" applyBorder="1" applyAlignment="1">
      <alignment horizontal="center"/>
    </xf>
    <xf numFmtId="1" fontId="14" fillId="3" borderId="7" xfId="0" applyNumberFormat="1" applyFont="1" applyFill="1" applyBorder="1" applyAlignment="1">
      <alignment horizontal="center"/>
    </xf>
    <xf numFmtId="1" fontId="12" fillId="3" borderId="7" xfId="0" applyNumberFormat="1" applyFont="1" applyFill="1" applyBorder="1" applyAlignment="1">
      <alignment horizontal="center" wrapText="1"/>
    </xf>
    <xf numFmtId="49" fontId="12" fillId="5" borderId="10" xfId="0" applyNumberFormat="1" applyFont="1" applyFill="1" applyBorder="1" applyAlignment="1">
      <alignment horizontal="center"/>
    </xf>
    <xf numFmtId="49" fontId="12" fillId="5" borderId="18" xfId="0" applyNumberFormat="1" applyFont="1" applyFill="1" applyBorder="1" applyAlignment="1">
      <alignment horizontal="center"/>
    </xf>
    <xf numFmtId="49" fontId="13" fillId="5" borderId="9" xfId="0" applyNumberFormat="1" applyFont="1" applyFill="1" applyBorder="1"/>
    <xf numFmtId="49" fontId="15" fillId="3" borderId="24" xfId="0" applyNumberFormat="1" applyFont="1" applyFill="1" applyBorder="1" applyAlignment="1">
      <alignment horizontal="center" vertical="center"/>
    </xf>
    <xf numFmtId="49" fontId="15" fillId="3" borderId="23" xfId="0" applyNumberFormat="1" applyFont="1" applyFill="1" applyBorder="1" applyAlignment="1">
      <alignment horizontal="center" vertical="center"/>
    </xf>
    <xf numFmtId="0" fontId="2" fillId="3" borderId="23" xfId="0" applyFont="1" applyFill="1" applyBorder="1"/>
    <xf numFmtId="1" fontId="2" fillId="3" borderId="23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 wrapText="1"/>
    </xf>
    <xf numFmtId="0" fontId="2" fillId="3" borderId="60" xfId="0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9" fontId="2" fillId="3" borderId="0" xfId="18" applyFont="1" applyFill="1"/>
    <xf numFmtId="0" fontId="2" fillId="3" borderId="17" xfId="0" applyFont="1" applyFill="1" applyBorder="1"/>
    <xf numFmtId="0" fontId="2" fillId="3" borderId="4" xfId="0" applyFont="1" applyFill="1" applyBorder="1"/>
    <xf numFmtId="0" fontId="2" fillId="3" borderId="18" xfId="0" applyFont="1" applyFill="1" applyBorder="1"/>
    <xf numFmtId="0" fontId="2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6" fontId="12" fillId="0" borderId="9" xfId="3" applyNumberFormat="1" applyFont="1" applyBorder="1" applyAlignment="1">
      <alignment horizontal="center"/>
    </xf>
    <xf numFmtId="1" fontId="3" fillId="0" borderId="8" xfId="3" applyNumberFormat="1" applyBorder="1"/>
    <xf numFmtId="49" fontId="13" fillId="0" borderId="9" xfId="0" applyNumberFormat="1" applyFont="1" applyBorder="1" applyAlignment="1">
      <alignment horizontal="center"/>
    </xf>
    <xf numFmtId="1" fontId="3" fillId="0" borderId="8" xfId="3" applyNumberFormat="1" applyBorder="1" applyAlignment="1">
      <alignment horizontal="center"/>
    </xf>
    <xf numFmtId="0" fontId="3" fillId="5" borderId="8" xfId="3" applyFill="1" applyBorder="1" applyAlignment="1">
      <alignment horizontal="center"/>
    </xf>
    <xf numFmtId="0" fontId="3" fillId="0" borderId="9" xfId="3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16" fontId="2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0" fontId="2" fillId="3" borderId="9" xfId="0" applyFont="1" applyFill="1" applyBorder="1"/>
    <xf numFmtId="0" fontId="4" fillId="4" borderId="26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4" fillId="0" borderId="9" xfId="0" applyNumberFormat="1" applyFont="1" applyBorder="1"/>
    <xf numFmtId="0" fontId="4" fillId="5" borderId="8" xfId="0" applyFont="1" applyFill="1" applyBorder="1" applyAlignment="1">
      <alignment horizontal="center"/>
    </xf>
    <xf numFmtId="16" fontId="12" fillId="0" borderId="9" xfId="0" applyNumberFormat="1" applyFont="1" applyBorder="1" applyAlignment="1">
      <alignment horizontal="center"/>
    </xf>
    <xf numFmtId="49" fontId="12" fillId="0" borderId="31" xfId="0" applyNumberFormat="1" applyFont="1" applyBorder="1" applyAlignment="1">
      <alignment horizontal="center"/>
    </xf>
    <xf numFmtId="49" fontId="13" fillId="0" borderId="25" xfId="0" applyNumberFormat="1" applyFont="1" applyBorder="1"/>
    <xf numFmtId="16" fontId="12" fillId="0" borderId="25" xfId="0" applyNumberFormat="1" applyFont="1" applyBorder="1" applyAlignment="1">
      <alignment horizontal="center"/>
    </xf>
    <xf numFmtId="1" fontId="14" fillId="0" borderId="25" xfId="0" applyNumberFormat="1" applyFont="1" applyBorder="1" applyAlignment="1">
      <alignment horizontal="center"/>
    </xf>
    <xf numFmtId="1" fontId="14" fillId="0" borderId="25" xfId="0" applyNumberFormat="1" applyFont="1" applyBorder="1" applyAlignment="1">
      <alignment horizontal="center" wrapText="1"/>
    </xf>
    <xf numFmtId="1" fontId="2" fillId="0" borderId="66" xfId="0" applyNumberFormat="1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49" fontId="12" fillId="5" borderId="34" xfId="0" applyNumberFormat="1" applyFont="1" applyFill="1" applyBorder="1" applyAlignment="1">
      <alignment horizontal="center"/>
    </xf>
    <xf numFmtId="49" fontId="12" fillId="5" borderId="36" xfId="0" applyNumberFormat="1" applyFont="1" applyFill="1" applyBorder="1" applyAlignment="1">
      <alignment horizontal="center"/>
    </xf>
    <xf numFmtId="49" fontId="13" fillId="5" borderId="36" xfId="0" applyNumberFormat="1" applyFont="1" applyFill="1" applyBorder="1"/>
    <xf numFmtId="16" fontId="12" fillId="5" borderId="36" xfId="0" applyNumberFormat="1" applyFont="1" applyFill="1" applyBorder="1" applyAlignment="1">
      <alignment horizontal="center"/>
    </xf>
    <xf numFmtId="1" fontId="14" fillId="5" borderId="36" xfId="0" applyNumberFormat="1" applyFont="1" applyFill="1" applyBorder="1" applyAlignment="1">
      <alignment horizontal="center"/>
    </xf>
    <xf numFmtId="1" fontId="14" fillId="5" borderId="36" xfId="0" applyNumberFormat="1" applyFont="1" applyFill="1" applyBorder="1" applyAlignment="1">
      <alignment horizontal="center" wrapText="1"/>
    </xf>
    <xf numFmtId="1" fontId="2" fillId="5" borderId="36" xfId="0" applyNumberFormat="1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5" borderId="61" xfId="0" applyFont="1" applyFill="1" applyBorder="1" applyAlignment="1">
      <alignment horizontal="center"/>
    </xf>
    <xf numFmtId="49" fontId="12" fillId="5" borderId="14" xfId="0" applyNumberFormat="1" applyFont="1" applyFill="1" applyBorder="1" applyAlignment="1">
      <alignment horizontal="center"/>
    </xf>
    <xf numFmtId="49" fontId="12" fillId="5" borderId="0" xfId="0" applyNumberFormat="1" applyFont="1" applyFill="1" applyAlignment="1">
      <alignment horizontal="center"/>
    </xf>
    <xf numFmtId="49" fontId="13" fillId="5" borderId="0" xfId="0" applyNumberFormat="1" applyFont="1" applyFill="1"/>
    <xf numFmtId="16" fontId="12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24" xfId="0" quotePrefix="1" applyFont="1" applyFill="1" applyBorder="1" applyAlignment="1">
      <alignment horizontal="right"/>
    </xf>
    <xf numFmtId="0" fontId="2" fillId="5" borderId="23" xfId="0" quotePrefix="1" applyFont="1" applyFill="1" applyBorder="1" applyAlignment="1">
      <alignment horizontal="right"/>
    </xf>
    <xf numFmtId="0" fontId="2" fillId="5" borderId="23" xfId="0" quotePrefix="1" applyFont="1" applyFill="1" applyBorder="1"/>
    <xf numFmtId="0" fontId="12" fillId="5" borderId="23" xfId="0" applyFont="1" applyFill="1" applyBorder="1"/>
    <xf numFmtId="1" fontId="2" fillId="5" borderId="23" xfId="0" applyNumberFormat="1" applyFont="1" applyFill="1" applyBorder="1" applyAlignment="1">
      <alignment horizontal="center" wrapText="1"/>
    </xf>
    <xf numFmtId="0" fontId="2" fillId="5" borderId="60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5" fillId="3" borderId="4" xfId="0" applyFont="1" applyFill="1" applyBorder="1" applyAlignment="1">
      <alignment vertical="center"/>
    </xf>
    <xf numFmtId="0" fontId="2" fillId="3" borderId="37" xfId="0" applyFont="1" applyFill="1" applyBorder="1"/>
    <xf numFmtId="0" fontId="2" fillId="3" borderId="50" xfId="0" applyFont="1" applyFill="1" applyBorder="1"/>
    <xf numFmtId="0" fontId="2" fillId="3" borderId="33" xfId="0" applyFont="1" applyFill="1" applyBorder="1"/>
    <xf numFmtId="0" fontId="2" fillId="3" borderId="33" xfId="4" applyFont="1" applyFill="1" applyBorder="1" applyAlignment="1">
      <alignment horizontal="right"/>
    </xf>
    <xf numFmtId="0" fontId="2" fillId="3" borderId="31" xfId="4" applyFont="1" applyFill="1" applyBorder="1" applyAlignment="1">
      <alignment horizontal="right"/>
    </xf>
    <xf numFmtId="49" fontId="12" fillId="0" borderId="25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49" fontId="12" fillId="0" borderId="67" xfId="0" applyNumberFormat="1" applyFont="1" applyBorder="1" applyAlignment="1">
      <alignment horizontal="center"/>
    </xf>
    <xf numFmtId="0" fontId="2" fillId="0" borderId="10" xfId="0" quotePrefix="1" applyFont="1" applyBorder="1" applyAlignment="1">
      <alignment horizontal="right"/>
    </xf>
    <xf numFmtId="0" fontId="2" fillId="0" borderId="18" xfId="0" quotePrefix="1" applyFont="1" applyBorder="1" applyAlignment="1">
      <alignment horizontal="right"/>
    </xf>
    <xf numFmtId="0" fontId="3" fillId="3" borderId="25" xfId="4" applyFont="1" applyFill="1" applyBorder="1" applyAlignment="1">
      <alignment horizontal="right"/>
    </xf>
    <xf numFmtId="164" fontId="46" fillId="5" borderId="6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53" fillId="3" borderId="38" xfId="0" applyFont="1" applyFill="1" applyBorder="1" applyAlignment="1">
      <alignment vertical="center"/>
    </xf>
    <xf numFmtId="0" fontId="53" fillId="3" borderId="39" xfId="0" applyFont="1" applyFill="1" applyBorder="1" applyAlignment="1">
      <alignment vertical="center"/>
    </xf>
    <xf numFmtId="0" fontId="3" fillId="3" borderId="39" xfId="0" applyFont="1" applyFill="1" applyBorder="1"/>
    <xf numFmtId="0" fontId="3" fillId="3" borderId="40" xfId="0" applyFont="1" applyFill="1" applyBorder="1"/>
    <xf numFmtId="0" fontId="13" fillId="13" borderId="0" xfId="0" applyFont="1" applyFill="1" applyAlignment="1">
      <alignment vertical="center"/>
    </xf>
    <xf numFmtId="2" fontId="23" fillId="13" borderId="0" xfId="0" applyNumberFormat="1" applyFont="1" applyFill="1" applyAlignment="1">
      <alignment horizontal="center"/>
    </xf>
    <xf numFmtId="0" fontId="0" fillId="0" borderId="18" xfId="0" applyBorder="1" applyAlignment="1">
      <alignment horizontal="center"/>
    </xf>
    <xf numFmtId="0" fontId="4" fillId="4" borderId="11" xfId="3" applyFont="1" applyFill="1" applyBorder="1" applyAlignment="1">
      <alignment horizontal="center" vertical="center" wrapText="1"/>
    </xf>
    <xf numFmtId="1" fontId="4" fillId="4" borderId="1" xfId="3" applyNumberFormat="1" applyFont="1" applyFill="1" applyBorder="1" applyAlignment="1">
      <alignment horizontal="center"/>
    </xf>
    <xf numFmtId="1" fontId="4" fillId="4" borderId="1" xfId="3" applyNumberFormat="1" applyFont="1" applyFill="1" applyBorder="1" applyAlignment="1">
      <alignment horizontal="center" wrapText="1"/>
    </xf>
    <xf numFmtId="0" fontId="4" fillId="4" borderId="46" xfId="3" applyFont="1" applyFill="1" applyBorder="1" applyAlignment="1">
      <alignment horizontal="center"/>
    </xf>
    <xf numFmtId="0" fontId="11" fillId="0" borderId="10" xfId="3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0" fontId="61" fillId="0" borderId="9" xfId="3" applyFont="1" applyBorder="1" applyAlignment="1">
      <alignment vertical="center"/>
    </xf>
    <xf numFmtId="0" fontId="11" fillId="0" borderId="9" xfId="3" applyFont="1" applyBorder="1" applyAlignment="1">
      <alignment horizontal="center" vertical="center"/>
    </xf>
    <xf numFmtId="1" fontId="11" fillId="0" borderId="9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2" fontId="2" fillId="0" borderId="7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62" fillId="0" borderId="9" xfId="0" applyFont="1" applyBorder="1" applyAlignment="1">
      <alignment horizontal="center" vertical="center"/>
    </xf>
    <xf numFmtId="0" fontId="56" fillId="0" borderId="9" xfId="0" applyFont="1" applyBorder="1"/>
    <xf numFmtId="49" fontId="12" fillId="0" borderId="10" xfId="3" applyNumberFormat="1" applyFont="1" applyBorder="1" applyAlignment="1">
      <alignment horizontal="center"/>
    </xf>
    <xf numFmtId="49" fontId="12" fillId="0" borderId="18" xfId="3" applyNumberFormat="1" applyFont="1" applyBorder="1" applyAlignment="1">
      <alignment horizontal="center"/>
    </xf>
    <xf numFmtId="0" fontId="56" fillId="5" borderId="9" xfId="3" applyFont="1" applyFill="1" applyBorder="1" applyAlignment="1">
      <alignment horizontal="left"/>
    </xf>
    <xf numFmtId="0" fontId="2" fillId="5" borderId="9" xfId="3" applyFont="1" applyFill="1" applyBorder="1" applyAlignment="1">
      <alignment horizontal="center"/>
    </xf>
    <xf numFmtId="1" fontId="0" fillId="0" borderId="18" xfId="0" applyNumberFormat="1" applyBorder="1"/>
    <xf numFmtId="165" fontId="12" fillId="0" borderId="9" xfId="3" applyNumberFormat="1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7" xfId="0" applyFont="1" applyFill="1" applyBorder="1"/>
    <xf numFmtId="0" fontId="2" fillId="5" borderId="18" xfId="0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 wrapText="1"/>
    </xf>
    <xf numFmtId="49" fontId="11" fillId="0" borderId="5" xfId="3" applyNumberFormat="1" applyFont="1" applyBorder="1" applyAlignment="1">
      <alignment horizontal="center"/>
    </xf>
    <xf numFmtId="49" fontId="11" fillId="0" borderId="4" xfId="3" applyNumberFormat="1" applyFont="1" applyBorder="1" applyAlignment="1">
      <alignment horizontal="center"/>
    </xf>
    <xf numFmtId="0" fontId="63" fillId="5" borderId="9" xfId="3" applyFont="1" applyFill="1" applyBorder="1" applyAlignment="1">
      <alignment vertical="center"/>
    </xf>
    <xf numFmtId="0" fontId="11" fillId="0" borderId="18" xfId="3" applyFont="1" applyBorder="1" applyAlignment="1">
      <alignment horizontal="center"/>
    </xf>
    <xf numFmtId="49" fontId="17" fillId="0" borderId="9" xfId="0" applyNumberFormat="1" applyFont="1" applyBorder="1"/>
    <xf numFmtId="171" fontId="4" fillId="5" borderId="9" xfId="5" applyNumberFormat="1" applyFont="1" applyFill="1" applyBorder="1" applyAlignment="1">
      <alignment horizontal="center"/>
    </xf>
    <xf numFmtId="0" fontId="64" fillId="0" borderId="10" xfId="0" applyFont="1" applyBorder="1" applyAlignment="1">
      <alignment horizontal="center"/>
    </xf>
    <xf numFmtId="0" fontId="64" fillId="0" borderId="18" xfId="0" applyFont="1" applyBorder="1" applyAlignment="1">
      <alignment horizontal="center"/>
    </xf>
    <xf numFmtId="0" fontId="41" fillId="0" borderId="9" xfId="0" applyFont="1" applyBorder="1"/>
    <xf numFmtId="0" fontId="2" fillId="0" borderId="9" xfId="0" quotePrefix="1" applyFont="1" applyBorder="1" applyAlignment="1">
      <alignment horizontal="center"/>
    </xf>
    <xf numFmtId="49" fontId="15" fillId="3" borderId="14" xfId="3" applyNumberFormat="1" applyFont="1" applyFill="1" applyBorder="1" applyAlignment="1">
      <alignment horizontal="center" vertical="center"/>
    </xf>
    <xf numFmtId="49" fontId="1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3" xfId="3" applyFont="1" applyFill="1" applyBorder="1" applyAlignment="1">
      <alignment horizontal="center"/>
    </xf>
    <xf numFmtId="0" fontId="2" fillId="4" borderId="38" xfId="3" applyFont="1" applyFill="1" applyBorder="1" applyAlignment="1">
      <alignment horizontal="center"/>
    </xf>
    <xf numFmtId="0" fontId="2" fillId="4" borderId="39" xfId="3" applyFont="1" applyFill="1" applyBorder="1" applyAlignment="1">
      <alignment horizontal="center"/>
    </xf>
    <xf numFmtId="0" fontId="2" fillId="4" borderId="39" xfId="3" applyFont="1" applyFill="1" applyBorder="1"/>
    <xf numFmtId="0" fontId="4" fillId="4" borderId="39" xfId="3" applyFont="1" applyFill="1" applyBorder="1" applyAlignment="1">
      <alignment horizontal="center"/>
    </xf>
    <xf numFmtId="1" fontId="4" fillId="4" borderId="39" xfId="3" applyNumberFormat="1" applyFont="1" applyFill="1" applyBorder="1" applyAlignment="1">
      <alignment horizontal="center"/>
    </xf>
    <xf numFmtId="164" fontId="2" fillId="4" borderId="39" xfId="3" applyNumberFormat="1" applyFont="1" applyFill="1" applyBorder="1" applyAlignment="1">
      <alignment horizontal="center" wrapText="1"/>
    </xf>
    <xf numFmtId="0" fontId="2" fillId="4" borderId="40" xfId="3" applyFont="1" applyFill="1" applyBorder="1" applyAlignment="1">
      <alignment horizontal="center"/>
    </xf>
    <xf numFmtId="0" fontId="4" fillId="4" borderId="38" xfId="0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0" fontId="4" fillId="4" borderId="40" xfId="0" applyFont="1" applyFill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2" fillId="0" borderId="9" xfId="0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2" fillId="0" borderId="16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4" fillId="0" borderId="22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4" fontId="2" fillId="3" borderId="26" xfId="4" applyNumberFormat="1" applyFont="1" applyFill="1" applyBorder="1" applyAlignment="1">
      <alignment horizontal="center" vertical="center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27" xfId="4" applyNumberFormat="1" applyFont="1" applyFill="1" applyBorder="1" applyAlignment="1">
      <alignment horizontal="center" vertical="center" wrapText="1"/>
    </xf>
    <xf numFmtId="0" fontId="2" fillId="3" borderId="9" xfId="4" applyFont="1" applyFill="1" applyBorder="1" applyAlignment="1">
      <alignment horizontal="left"/>
    </xf>
    <xf numFmtId="0" fontId="2" fillId="3" borderId="1" xfId="4" applyFont="1" applyFill="1" applyBorder="1" applyAlignment="1">
      <alignment horizontal="left"/>
    </xf>
    <xf numFmtId="0" fontId="2" fillId="3" borderId="34" xfId="4" applyFont="1" applyFill="1" applyBorder="1" applyAlignment="1">
      <alignment horizontal="center"/>
    </xf>
    <xf numFmtId="0" fontId="2" fillId="3" borderId="36" xfId="4" applyFont="1" applyFill="1" applyBorder="1" applyAlignment="1">
      <alignment horizontal="center"/>
    </xf>
    <xf numFmtId="0" fontId="2" fillId="3" borderId="14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4" xfId="4" applyFont="1" applyFill="1" applyBorder="1" applyAlignment="1">
      <alignment horizontal="center"/>
    </xf>
    <xf numFmtId="0" fontId="2" fillId="3" borderId="23" xfId="4" applyFont="1" applyFill="1" applyBorder="1" applyAlignment="1">
      <alignment horizontal="center"/>
    </xf>
    <xf numFmtId="0" fontId="10" fillId="3" borderId="12" xfId="4" applyFont="1" applyFill="1" applyBorder="1" applyAlignment="1">
      <alignment horizontal="center"/>
    </xf>
    <xf numFmtId="0" fontId="10" fillId="3" borderId="25" xfId="4" applyFont="1" applyFill="1" applyBorder="1" applyAlignment="1">
      <alignment horizontal="center"/>
    </xf>
    <xf numFmtId="0" fontId="8" fillId="6" borderId="22" xfId="4" applyFont="1" applyFill="1" applyBorder="1" applyAlignment="1">
      <alignment horizontal="center" vertical="center" wrapText="1"/>
    </xf>
    <xf numFmtId="0" fontId="8" fillId="6" borderId="32" xfId="4" applyFont="1" applyFill="1" applyBorder="1" applyAlignment="1">
      <alignment horizontal="center" vertical="center" wrapText="1"/>
    </xf>
    <xf numFmtId="0" fontId="8" fillId="6" borderId="19" xfId="4" applyFont="1" applyFill="1" applyBorder="1" applyAlignment="1">
      <alignment horizontal="center" vertical="center" wrapText="1"/>
    </xf>
    <xf numFmtId="0" fontId="4" fillId="3" borderId="31" xfId="4" applyFont="1" applyFill="1" applyBorder="1" applyAlignment="1">
      <alignment horizontal="right" vertical="top" wrapText="1"/>
    </xf>
    <xf numFmtId="0" fontId="4" fillId="3" borderId="30" xfId="4" applyFont="1" applyFill="1" applyBorder="1" applyAlignment="1">
      <alignment horizontal="right" vertical="top" wrapText="1"/>
    </xf>
    <xf numFmtId="0" fontId="4" fillId="3" borderId="28" xfId="4" applyFont="1" applyFill="1" applyBorder="1" applyAlignment="1">
      <alignment horizontal="right" vertical="top" wrapText="1"/>
    </xf>
    <xf numFmtId="0" fontId="2" fillId="0" borderId="2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8" fillId="3" borderId="14" xfId="4" applyFont="1" applyFill="1" applyBorder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7" fillId="3" borderId="0" xfId="4" applyFont="1" applyFill="1" applyAlignment="1">
      <alignment horizontal="center" vertical="center"/>
    </xf>
    <xf numFmtId="0" fontId="8" fillId="3" borderId="0" xfId="4" applyFont="1" applyFill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/>
    </xf>
    <xf numFmtId="0" fontId="2" fillId="3" borderId="2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0" borderId="38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9" fillId="0" borderId="17" xfId="0" applyFont="1" applyBorder="1"/>
    <xf numFmtId="0" fontId="9" fillId="0" borderId="4" xfId="0" applyFont="1" applyBorder="1"/>
    <xf numFmtId="0" fontId="9" fillId="0" borderId="18" xfId="0" applyFont="1" applyBorder="1"/>
    <xf numFmtId="0" fontId="2" fillId="0" borderId="17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4" fillId="2" borderId="2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41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2" fillId="0" borderId="34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14" fontId="2" fillId="3" borderId="6" xfId="4" applyNumberFormat="1" applyFont="1" applyFill="1" applyBorder="1" applyAlignment="1">
      <alignment horizontal="center" vertical="center" wrapText="1"/>
    </xf>
    <xf numFmtId="0" fontId="2" fillId="3" borderId="20" xfId="4" applyFont="1" applyFill="1" applyBorder="1" applyAlignment="1">
      <alignment horizontal="left"/>
    </xf>
    <xf numFmtId="0" fontId="2" fillId="3" borderId="32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17" xfId="4" applyFont="1" applyFill="1" applyBorder="1" applyAlignment="1">
      <alignment horizontal="left"/>
    </xf>
    <xf numFmtId="0" fontId="2" fillId="3" borderId="4" xfId="4" applyFont="1" applyFill="1" applyBorder="1" applyAlignment="1">
      <alignment horizontal="left"/>
    </xf>
    <xf numFmtId="0" fontId="2" fillId="3" borderId="18" xfId="4" applyFont="1" applyFill="1" applyBorder="1" applyAlignment="1">
      <alignment horizontal="left"/>
    </xf>
    <xf numFmtId="0" fontId="2" fillId="3" borderId="49" xfId="4" applyFont="1" applyFill="1" applyBorder="1" applyAlignment="1">
      <alignment horizontal="center"/>
    </xf>
    <xf numFmtId="0" fontId="2" fillId="3" borderId="50" xfId="4" applyFont="1" applyFill="1" applyBorder="1" applyAlignment="1">
      <alignment horizontal="center"/>
    </xf>
    <xf numFmtId="0" fontId="10" fillId="3" borderId="16" xfId="4" applyFont="1" applyFill="1" applyBorder="1" applyAlignment="1">
      <alignment horizontal="center"/>
    </xf>
    <xf numFmtId="0" fontId="10" fillId="3" borderId="42" xfId="4" applyFont="1" applyFill="1" applyBorder="1" applyAlignment="1">
      <alignment horizontal="center"/>
    </xf>
    <xf numFmtId="0" fontId="10" fillId="3" borderId="35" xfId="4" applyFont="1" applyFill="1" applyBorder="1" applyAlignment="1">
      <alignment horizontal="center"/>
    </xf>
    <xf numFmtId="0" fontId="45" fillId="3" borderId="0" xfId="4" applyFont="1" applyFill="1" applyAlignment="1">
      <alignment horizontal="right"/>
    </xf>
    <xf numFmtId="0" fontId="48" fillId="3" borderId="23" xfId="4" applyFont="1" applyFill="1" applyBorder="1" applyAlignment="1">
      <alignment horizontal="center"/>
    </xf>
    <xf numFmtId="0" fontId="45" fillId="3" borderId="0" xfId="4" applyFont="1" applyFill="1"/>
    <xf numFmtId="0" fontId="4" fillId="4" borderId="43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4" borderId="43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 wrapText="1"/>
    </xf>
    <xf numFmtId="0" fontId="4" fillId="4" borderId="12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4" fillId="0" borderId="49" xfId="3" applyFont="1" applyBorder="1" applyAlignment="1">
      <alignment horizontal="right"/>
    </xf>
    <xf numFmtId="0" fontId="4" fillId="0" borderId="50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64" fontId="2" fillId="0" borderId="7" xfId="3" applyNumberFormat="1" applyFont="1" applyBorder="1" applyAlignment="1">
      <alignment horizontal="right"/>
    </xf>
    <xf numFmtId="0" fontId="2" fillId="3" borderId="37" xfId="3" applyFont="1" applyFill="1" applyBorder="1" applyAlignment="1">
      <alignment horizontal="center"/>
    </xf>
    <xf numFmtId="0" fontId="2" fillId="3" borderId="51" xfId="3" applyFont="1" applyFill="1" applyBorder="1" applyAlignment="1">
      <alignment horizontal="center"/>
    </xf>
    <xf numFmtId="0" fontId="4" fillId="0" borderId="5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2" fillId="0" borderId="9" xfId="3" applyFont="1" applyBorder="1" applyAlignment="1">
      <alignment horizontal="right"/>
    </xf>
    <xf numFmtId="164" fontId="2" fillId="0" borderId="17" xfId="3" applyNumberFormat="1" applyFont="1" applyBorder="1" applyAlignment="1">
      <alignment horizontal="center"/>
    </xf>
    <xf numFmtId="164" fontId="2" fillId="0" borderId="3" xfId="3" applyNumberFormat="1" applyFont="1" applyBorder="1" applyAlignment="1">
      <alignment horizontal="center"/>
    </xf>
    <xf numFmtId="164" fontId="2" fillId="0" borderId="17" xfId="3" applyNumberFormat="1" applyFont="1" applyBorder="1" applyAlignment="1">
      <alignment horizontal="right" wrapText="1"/>
    </xf>
    <xf numFmtId="164" fontId="2" fillId="0" borderId="18" xfId="3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4" fillId="0" borderId="2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0" fontId="2" fillId="0" borderId="1" xfId="3" applyFont="1" applyBorder="1" applyAlignment="1">
      <alignment horizontal="right"/>
    </xf>
    <xf numFmtId="0" fontId="4" fillId="4" borderId="38" xfId="3" applyFont="1" applyFill="1" applyBorder="1" applyAlignment="1">
      <alignment horizontal="left"/>
    </xf>
    <xf numFmtId="0" fontId="4" fillId="4" borderId="39" xfId="3" applyFont="1" applyFill="1" applyBorder="1" applyAlignment="1">
      <alignment horizontal="left"/>
    </xf>
    <xf numFmtId="0" fontId="4" fillId="4" borderId="40" xfId="3" applyFont="1" applyFill="1" applyBorder="1" applyAlignment="1">
      <alignment horizontal="left"/>
    </xf>
    <xf numFmtId="0" fontId="2" fillId="3" borderId="68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  <xf numFmtId="0" fontId="2" fillId="0" borderId="41" xfId="0" applyFont="1" applyBorder="1" applyAlignment="1">
      <alignment horizontal="left" wrapText="1"/>
    </xf>
    <xf numFmtId="0" fontId="2" fillId="0" borderId="42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17" borderId="69" xfId="4" applyFont="1" applyFill="1" applyBorder="1" applyAlignment="1">
      <alignment horizontal="center"/>
    </xf>
    <xf numFmtId="0" fontId="4" fillId="17" borderId="36" xfId="4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42" fillId="0" borderId="38" xfId="0" applyFont="1" applyBorder="1" applyAlignment="1">
      <alignment horizontal="right" vertical="center"/>
    </xf>
    <xf numFmtId="0" fontId="42" fillId="0" borderId="39" xfId="0" applyFont="1" applyBorder="1" applyAlignment="1">
      <alignment horizontal="right" vertical="center"/>
    </xf>
    <xf numFmtId="0" fontId="42" fillId="0" borderId="40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3" fillId="0" borderId="23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8" borderId="38" xfId="0" applyFont="1" applyFill="1" applyBorder="1" applyAlignment="1">
      <alignment horizontal="right"/>
    </xf>
    <xf numFmtId="0" fontId="31" fillId="8" borderId="39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17" fillId="0" borderId="60" xfId="0" applyFont="1" applyBorder="1" applyAlignment="1">
      <alignment horizontal="right" vertical="center"/>
    </xf>
    <xf numFmtId="0" fontId="17" fillId="10" borderId="38" xfId="0" applyFont="1" applyFill="1" applyBorder="1" applyAlignment="1">
      <alignment horizontal="right" vertical="center"/>
    </xf>
    <xf numFmtId="0" fontId="17" fillId="10" borderId="39" xfId="0" applyFont="1" applyFill="1" applyBorder="1" applyAlignment="1">
      <alignment horizontal="right" vertical="center"/>
    </xf>
    <xf numFmtId="0" fontId="17" fillId="10" borderId="40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0" fontId="34" fillId="0" borderId="9" xfId="0" applyFont="1" applyBorder="1" applyAlignment="1">
      <alignment horizontal="right" vertical="center"/>
    </xf>
    <xf numFmtId="0" fontId="35" fillId="0" borderId="14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3" xfId="0" applyFont="1" applyBorder="1" applyAlignment="1">
      <alignment horizontal="righ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26" fillId="0" borderId="34" xfId="0" applyFont="1" applyBorder="1" applyAlignment="1">
      <alignment horizontal="right"/>
    </xf>
    <xf numFmtId="0" fontId="26" fillId="0" borderId="36" xfId="0" applyFont="1" applyBorder="1" applyAlignment="1">
      <alignment horizontal="right"/>
    </xf>
    <xf numFmtId="0" fontId="13" fillId="0" borderId="9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0" fillId="0" borderId="23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14" fillId="0" borderId="5" xfId="3" applyFont="1" applyBorder="1" applyAlignment="1">
      <alignment horizontal="left"/>
    </xf>
    <xf numFmtId="0" fontId="14" fillId="0" borderId="4" xfId="3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164" fontId="2" fillId="0" borderId="17" xfId="0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right" wrapText="1"/>
    </xf>
    <xf numFmtId="0" fontId="4" fillId="0" borderId="49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0" fontId="4" fillId="0" borderId="33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3" borderId="37" xfId="0" applyFont="1" applyFill="1" applyBorder="1" applyAlignment="1">
      <alignment horizontal="center"/>
    </xf>
    <xf numFmtId="0" fontId="2" fillId="3" borderId="51" xfId="0" applyFont="1" applyFill="1" applyBorder="1" applyAlignment="1">
      <alignment horizontal="center"/>
    </xf>
    <xf numFmtId="0" fontId="45" fillId="3" borderId="38" xfId="4" applyFont="1" applyFill="1" applyBorder="1" applyAlignment="1">
      <alignment horizontal="right"/>
    </xf>
    <xf numFmtId="0" fontId="45" fillId="3" borderId="39" xfId="4" applyFont="1" applyFill="1" applyBorder="1" applyAlignment="1">
      <alignment horizontal="right"/>
    </xf>
    <xf numFmtId="0" fontId="48" fillId="3" borderId="39" xfId="4" applyFont="1" applyFill="1" applyBorder="1" applyAlignment="1">
      <alignment horizontal="center"/>
    </xf>
    <xf numFmtId="0" fontId="45" fillId="3" borderId="39" xfId="4" applyFont="1" applyFill="1" applyBorder="1"/>
    <xf numFmtId="0" fontId="4" fillId="4" borderId="4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67" xfId="4" applyFont="1" applyFill="1" applyBorder="1" applyAlignment="1">
      <alignment horizontal="left"/>
    </xf>
    <xf numFmtId="0" fontId="2" fillId="3" borderId="48" xfId="4" applyFont="1" applyFill="1" applyBorder="1" applyAlignment="1">
      <alignment horizontal="left"/>
    </xf>
    <xf numFmtId="0" fontId="2" fillId="3" borderId="31" xfId="4" applyFont="1" applyFill="1" applyBorder="1" applyAlignment="1">
      <alignment horizontal="left"/>
    </xf>
    <xf numFmtId="0" fontId="2" fillId="3" borderId="62" xfId="4" applyFont="1" applyFill="1" applyBorder="1" applyAlignment="1">
      <alignment horizontal="center"/>
    </xf>
    <xf numFmtId="0" fontId="2" fillId="3" borderId="30" xfId="4" applyFont="1" applyFill="1" applyBorder="1" applyAlignment="1">
      <alignment horizontal="center"/>
    </xf>
    <xf numFmtId="0" fontId="2" fillId="3" borderId="28" xfId="4" applyFont="1" applyFill="1" applyBorder="1" applyAlignment="1">
      <alignment horizontal="center"/>
    </xf>
    <xf numFmtId="0" fontId="10" fillId="3" borderId="21" xfId="4" applyFont="1" applyFill="1" applyBorder="1" applyAlignment="1">
      <alignment horizontal="center"/>
    </xf>
    <xf numFmtId="0" fontId="10" fillId="3" borderId="31" xfId="4" applyFont="1" applyFill="1" applyBorder="1" applyAlignment="1">
      <alignment horizontal="center"/>
    </xf>
    <xf numFmtId="0" fontId="8" fillId="6" borderId="39" xfId="4" applyFont="1" applyFill="1" applyBorder="1" applyAlignment="1">
      <alignment horizontal="center" vertical="center" wrapText="1"/>
    </xf>
    <xf numFmtId="0" fontId="8" fillId="6" borderId="40" xfId="4" applyFont="1" applyFill="1" applyBorder="1" applyAlignment="1">
      <alignment horizontal="center" vertical="center" wrapText="1"/>
    </xf>
    <xf numFmtId="0" fontId="50" fillId="0" borderId="49" xfId="3" applyFont="1" applyBorder="1" applyAlignment="1">
      <alignment horizontal="left"/>
    </xf>
    <xf numFmtId="0" fontId="50" fillId="0" borderId="50" xfId="3" applyFont="1" applyBorder="1" applyAlignment="1">
      <alignment horizontal="left"/>
    </xf>
    <xf numFmtId="0" fontId="50" fillId="0" borderId="51" xfId="3" applyFont="1" applyBorder="1" applyAlignment="1">
      <alignment horizontal="left"/>
    </xf>
    <xf numFmtId="0" fontId="50" fillId="0" borderId="24" xfId="3" applyFont="1" applyBorder="1" applyAlignment="1">
      <alignment horizontal="left"/>
    </xf>
    <xf numFmtId="0" fontId="50" fillId="0" borderId="23" xfId="3" applyFont="1" applyBorder="1" applyAlignment="1">
      <alignment horizontal="left"/>
    </xf>
    <xf numFmtId="0" fontId="50" fillId="0" borderId="60" xfId="3" applyFont="1" applyBorder="1" applyAlignment="1">
      <alignment horizontal="left"/>
    </xf>
    <xf numFmtId="0" fontId="46" fillId="4" borderId="38" xfId="0" applyFont="1" applyFill="1" applyBorder="1" applyAlignment="1">
      <alignment horizontal="left"/>
    </xf>
    <xf numFmtId="0" fontId="46" fillId="4" borderId="39" xfId="0" applyFont="1" applyFill="1" applyBorder="1" applyAlignment="1">
      <alignment horizontal="left"/>
    </xf>
    <xf numFmtId="0" fontId="46" fillId="4" borderId="40" xfId="0" applyFont="1" applyFill="1" applyBorder="1" applyAlignment="1">
      <alignment horizontal="left"/>
    </xf>
    <xf numFmtId="0" fontId="46" fillId="0" borderId="2" xfId="0" applyFont="1" applyBorder="1" applyAlignment="1">
      <alignment horizontal="right"/>
    </xf>
    <xf numFmtId="0" fontId="46" fillId="0" borderId="35" xfId="0" applyFont="1" applyBorder="1" applyAlignment="1">
      <alignment horizontal="right"/>
    </xf>
    <xf numFmtId="0" fontId="46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6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49" fillId="0" borderId="49" xfId="3" applyFont="1" applyBorder="1" applyAlignment="1">
      <alignment horizontal="left" wrapText="1"/>
    </xf>
    <xf numFmtId="0" fontId="49" fillId="0" borderId="50" xfId="3" applyFont="1" applyBorder="1" applyAlignment="1">
      <alignment horizontal="left" wrapText="1"/>
    </xf>
    <xf numFmtId="0" fontId="49" fillId="0" borderId="51" xfId="3" applyFont="1" applyBorder="1" applyAlignment="1">
      <alignment horizontal="left" wrapText="1"/>
    </xf>
    <xf numFmtId="0" fontId="46" fillId="0" borderId="5" xfId="0" applyFont="1" applyBorder="1" applyAlignment="1">
      <alignment horizontal="right"/>
    </xf>
    <xf numFmtId="0" fontId="46" fillId="0" borderId="4" xfId="0" applyFont="1" applyBorder="1" applyAlignment="1">
      <alignment horizontal="right"/>
    </xf>
    <xf numFmtId="0" fontId="46" fillId="0" borderId="1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164" fontId="3" fillId="0" borderId="17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right" wrapText="1"/>
    </xf>
    <xf numFmtId="164" fontId="3" fillId="0" borderId="18" xfId="0" applyNumberFormat="1" applyFont="1" applyBorder="1" applyAlignment="1">
      <alignment horizontal="right" wrapText="1"/>
    </xf>
    <xf numFmtId="0" fontId="46" fillId="0" borderId="49" xfId="0" applyFont="1" applyBorder="1" applyAlignment="1">
      <alignment horizontal="right"/>
    </xf>
    <xf numFmtId="0" fontId="46" fillId="0" borderId="50" xfId="0" applyFont="1" applyBorder="1" applyAlignment="1">
      <alignment horizontal="right"/>
    </xf>
    <xf numFmtId="0" fontId="46" fillId="0" borderId="33" xfId="0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0" fontId="3" fillId="3" borderId="37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46" fillId="4" borderId="43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4" borderId="44" xfId="0" applyFont="1" applyFill="1" applyBorder="1" applyAlignment="1">
      <alignment horizontal="center" vertical="center" wrapText="1"/>
    </xf>
    <xf numFmtId="0" fontId="46" fillId="4" borderId="63" xfId="0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14" fontId="3" fillId="3" borderId="8" xfId="4" applyNumberFormat="1" applyFont="1" applyFill="1" applyBorder="1" applyAlignment="1">
      <alignment horizontal="center" vertical="center" wrapText="1"/>
    </xf>
    <xf numFmtId="14" fontId="3" fillId="3" borderId="26" xfId="4" applyNumberFormat="1" applyFont="1" applyFill="1" applyBorder="1" applyAlignment="1">
      <alignment horizontal="center" vertical="center" wrapText="1"/>
    </xf>
    <xf numFmtId="0" fontId="3" fillId="3" borderId="9" xfId="4" applyFont="1" applyFill="1" applyBorder="1" applyAlignment="1">
      <alignment horizontal="left"/>
    </xf>
    <xf numFmtId="0" fontId="3" fillId="3" borderId="34" xfId="4" applyFont="1" applyFill="1" applyBorder="1" applyAlignment="1">
      <alignment horizontal="center"/>
    </xf>
    <xf numFmtId="0" fontId="3" fillId="3" borderId="62" xfId="4" applyFont="1" applyFill="1" applyBorder="1" applyAlignment="1">
      <alignment horizontal="center"/>
    </xf>
    <xf numFmtId="0" fontId="3" fillId="3" borderId="14" xfId="4" applyFont="1" applyFill="1" applyBorder="1" applyAlignment="1">
      <alignment horizontal="center"/>
    </xf>
    <xf numFmtId="0" fontId="3" fillId="3" borderId="30" xfId="4" applyFont="1" applyFill="1" applyBorder="1" applyAlignment="1">
      <alignment horizontal="center"/>
    </xf>
    <xf numFmtId="0" fontId="3" fillId="3" borderId="24" xfId="4" applyFont="1" applyFill="1" applyBorder="1" applyAlignment="1">
      <alignment horizontal="center"/>
    </xf>
    <xf numFmtId="0" fontId="3" fillId="3" borderId="28" xfId="4" applyFont="1" applyFill="1" applyBorder="1" applyAlignment="1">
      <alignment horizontal="center"/>
    </xf>
    <xf numFmtId="0" fontId="45" fillId="3" borderId="12" xfId="4" applyFont="1" applyFill="1" applyBorder="1" applyAlignment="1">
      <alignment horizontal="center"/>
    </xf>
    <xf numFmtId="0" fontId="45" fillId="3" borderId="9" xfId="4" applyFont="1" applyFill="1" applyBorder="1" applyAlignment="1">
      <alignment horizontal="center"/>
    </xf>
    <xf numFmtId="0" fontId="47" fillId="6" borderId="17" xfId="4" applyFont="1" applyFill="1" applyBorder="1" applyAlignment="1">
      <alignment horizontal="center" vertical="center" wrapText="1"/>
    </xf>
    <xf numFmtId="0" fontId="47" fillId="6" borderId="4" xfId="4" applyFont="1" applyFill="1" applyBorder="1" applyAlignment="1">
      <alignment horizontal="center" vertical="center" wrapText="1"/>
    </xf>
    <xf numFmtId="0" fontId="47" fillId="6" borderId="18" xfId="4" applyFont="1" applyFill="1" applyBorder="1" applyAlignment="1">
      <alignment horizontal="center" vertical="center" wrapText="1"/>
    </xf>
    <xf numFmtId="0" fontId="46" fillId="3" borderId="9" xfId="4" applyFont="1" applyFill="1" applyBorder="1" applyAlignment="1">
      <alignment horizontal="right" vertical="top" wrapText="1"/>
    </xf>
    <xf numFmtId="0" fontId="46" fillId="3" borderId="25" xfId="4" applyFont="1" applyFill="1" applyBorder="1" applyAlignment="1">
      <alignment horizontal="right" vertical="top" wrapText="1"/>
    </xf>
    <xf numFmtId="0" fontId="4" fillId="4" borderId="34" xfId="0" applyFont="1" applyFill="1" applyBorder="1" applyAlignment="1">
      <alignment horizontal="left"/>
    </xf>
    <xf numFmtId="0" fontId="4" fillId="4" borderId="36" xfId="0" applyFont="1" applyFill="1" applyBorder="1" applyAlignment="1">
      <alignment horizontal="left"/>
    </xf>
    <xf numFmtId="0" fontId="4" fillId="4" borderId="61" xfId="0" applyFont="1" applyFill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50" xfId="0" applyFont="1" applyBorder="1" applyAlignment="1">
      <alignment horizontal="left"/>
    </xf>
    <xf numFmtId="0" fontId="12" fillId="0" borderId="5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16" borderId="10" xfId="0" applyFont="1" applyFill="1" applyBorder="1" applyAlignment="1">
      <alignment horizontal="left"/>
    </xf>
    <xf numFmtId="0" fontId="4" fillId="16" borderId="18" xfId="0" applyFont="1" applyFill="1" applyBorder="1" applyAlignment="1">
      <alignment horizontal="left"/>
    </xf>
    <xf numFmtId="0" fontId="4" fillId="16" borderId="9" xfId="0" applyFont="1" applyFill="1" applyBorder="1" applyAlignment="1">
      <alignment horizontal="left"/>
    </xf>
    <xf numFmtId="0" fontId="4" fillId="16" borderId="8" xfId="0" applyFont="1" applyFill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8" fillId="6" borderId="38" xfId="4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 wrapText="1"/>
    </xf>
    <xf numFmtId="1" fontId="14" fillId="0" borderId="17" xfId="0" applyNumberFormat="1" applyFont="1" applyBorder="1" applyAlignment="1">
      <alignment horizontal="center"/>
    </xf>
    <xf numFmtId="1" fontId="14" fillId="0" borderId="18" xfId="0" applyNumberFormat="1" applyFont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2" fillId="3" borderId="69" xfId="4" applyFont="1" applyFill="1" applyBorder="1" applyAlignment="1">
      <alignment horizontal="center"/>
    </xf>
    <xf numFmtId="0" fontId="2" fillId="3" borderId="68" xfId="4" applyFont="1" applyFill="1" applyBorder="1" applyAlignment="1">
      <alignment horizontal="center"/>
    </xf>
    <xf numFmtId="0" fontId="2" fillId="3" borderId="70" xfId="4" applyFont="1" applyFill="1" applyBorder="1" applyAlignment="1">
      <alignment horizontal="center"/>
    </xf>
    <xf numFmtId="0" fontId="4" fillId="12" borderId="2" xfId="0" applyFont="1" applyFill="1" applyBorder="1" applyAlignment="1">
      <alignment horizontal="left"/>
    </xf>
    <xf numFmtId="0" fontId="4" fillId="12" borderId="35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12" borderId="46" xfId="0" applyFont="1" applyFill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0" fillId="0" borderId="5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3" fillId="5" borderId="9" xfId="0" applyFont="1" applyFill="1" applyBorder="1" applyAlignment="1">
      <alignment horizontal="left"/>
    </xf>
    <xf numFmtId="0" fontId="12" fillId="0" borderId="9" xfId="0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1" fillId="12" borderId="9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9" xfId="0" applyFont="1" applyBorder="1" applyAlignment="1">
      <alignment horizontal="left" wrapText="1"/>
    </xf>
    <xf numFmtId="1" fontId="56" fillId="0" borderId="9" xfId="0" applyNumberFormat="1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14" fontId="3" fillId="3" borderId="9" xfId="4" applyNumberFormat="1" applyFont="1" applyFill="1" applyBorder="1" applyAlignment="1">
      <alignment horizontal="center" vertical="center" wrapText="1"/>
    </xf>
    <xf numFmtId="0" fontId="14" fillId="3" borderId="9" xfId="4" applyFont="1" applyFill="1" applyBorder="1" applyAlignment="1">
      <alignment horizontal="left"/>
    </xf>
    <xf numFmtId="0" fontId="46" fillId="4" borderId="12" xfId="1" applyFont="1" applyFill="1" applyBorder="1" applyAlignment="1">
      <alignment horizontal="center" vertical="center"/>
    </xf>
    <xf numFmtId="0" fontId="6" fillId="3" borderId="67" xfId="4" applyFill="1" applyBorder="1" applyAlignment="1">
      <alignment horizontal="center"/>
    </xf>
    <xf numFmtId="0" fontId="6" fillId="3" borderId="31" xfId="4" applyFill="1" applyBorder="1" applyAlignment="1">
      <alignment horizontal="center"/>
    </xf>
    <xf numFmtId="0" fontId="6" fillId="3" borderId="68" xfId="4" applyFill="1" applyBorder="1" applyAlignment="1">
      <alignment horizontal="center"/>
    </xf>
    <xf numFmtId="0" fontId="6" fillId="3" borderId="30" xfId="4" applyFill="1" applyBorder="1" applyAlignment="1">
      <alignment horizontal="center"/>
    </xf>
    <xf numFmtId="0" fontId="47" fillId="3" borderId="9" xfId="4" applyFont="1" applyFill="1" applyBorder="1" applyAlignment="1">
      <alignment horizontal="center"/>
    </xf>
    <xf numFmtId="0" fontId="54" fillId="3" borderId="9" xfId="4" applyFont="1" applyFill="1" applyBorder="1" applyAlignment="1">
      <alignment horizontal="left" vertical="top" wrapText="1"/>
    </xf>
    <xf numFmtId="0" fontId="46" fillId="4" borderId="43" xfId="1" applyFont="1" applyFill="1" applyBorder="1" applyAlignment="1">
      <alignment horizontal="center" vertical="center"/>
    </xf>
    <xf numFmtId="0" fontId="46" fillId="4" borderId="2" xfId="1" applyFont="1" applyFill="1" applyBorder="1" applyAlignment="1">
      <alignment horizontal="center" vertical="center"/>
    </xf>
    <xf numFmtId="0" fontId="46" fillId="4" borderId="43" xfId="1" applyFont="1" applyFill="1" applyBorder="1" applyAlignment="1">
      <alignment horizontal="center" vertical="center" wrapText="1"/>
    </xf>
    <xf numFmtId="0" fontId="46" fillId="4" borderId="2" xfId="1" applyFont="1" applyFill="1" applyBorder="1" applyAlignment="1">
      <alignment horizontal="center" vertical="center" wrapText="1"/>
    </xf>
    <xf numFmtId="0" fontId="46" fillId="4" borderId="1" xfId="1" applyFont="1" applyFill="1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46" fillId="0" borderId="5" xfId="3" applyFont="1" applyBorder="1" applyAlignment="1">
      <alignment horizontal="right"/>
    </xf>
    <xf numFmtId="0" fontId="46" fillId="0" borderId="4" xfId="3" applyFont="1" applyBorder="1" applyAlignment="1">
      <alignment horizontal="right"/>
    </xf>
    <xf numFmtId="0" fontId="46" fillId="0" borderId="18" xfId="3" applyFont="1" applyBorder="1" applyAlignment="1">
      <alignment horizontal="right"/>
    </xf>
    <xf numFmtId="0" fontId="3" fillId="0" borderId="9" xfId="3" applyBorder="1" applyAlignment="1">
      <alignment horizontal="right"/>
    </xf>
    <xf numFmtId="164" fontId="3" fillId="0" borderId="17" xfId="3" applyNumberFormat="1" applyBorder="1" applyAlignment="1">
      <alignment horizontal="center"/>
    </xf>
    <xf numFmtId="164" fontId="3" fillId="0" borderId="3" xfId="3" applyNumberFormat="1" applyBorder="1" applyAlignment="1">
      <alignment horizontal="center"/>
    </xf>
    <xf numFmtId="164" fontId="3" fillId="0" borderId="17" xfId="3" applyNumberFormat="1" applyBorder="1" applyAlignment="1">
      <alignment horizontal="right" wrapText="1"/>
    </xf>
    <xf numFmtId="164" fontId="3" fillId="0" borderId="18" xfId="3" applyNumberFormat="1" applyBorder="1" applyAlignment="1">
      <alignment horizontal="right" wrapText="1"/>
    </xf>
    <xf numFmtId="0" fontId="46" fillId="0" borderId="2" xfId="3" applyFont="1" applyBorder="1" applyAlignment="1">
      <alignment horizontal="right"/>
    </xf>
    <xf numFmtId="0" fontId="46" fillId="0" borderId="35" xfId="3" applyFont="1" applyBorder="1" applyAlignment="1">
      <alignment horizontal="right"/>
    </xf>
    <xf numFmtId="0" fontId="46" fillId="0" borderId="1" xfId="3" applyFont="1" applyBorder="1" applyAlignment="1">
      <alignment horizontal="right"/>
    </xf>
    <xf numFmtId="0" fontId="3" fillId="0" borderId="1" xfId="3" applyBorder="1" applyAlignment="1">
      <alignment horizontal="right"/>
    </xf>
    <xf numFmtId="164" fontId="3" fillId="0" borderId="16" xfId="3" applyNumberFormat="1" applyBorder="1" applyAlignment="1">
      <alignment horizontal="center"/>
    </xf>
    <xf numFmtId="164" fontId="3" fillId="0" borderId="15" xfId="3" applyNumberFormat="1" applyBorder="1" applyAlignment="1">
      <alignment horizontal="center"/>
    </xf>
    <xf numFmtId="0" fontId="46" fillId="4" borderId="38" xfId="3" applyFont="1" applyFill="1" applyBorder="1" applyAlignment="1">
      <alignment horizontal="left"/>
    </xf>
    <xf numFmtId="0" fontId="46" fillId="4" borderId="39" xfId="3" applyFont="1" applyFill="1" applyBorder="1" applyAlignment="1">
      <alignment horizontal="left"/>
    </xf>
    <xf numFmtId="0" fontId="46" fillId="4" borderId="40" xfId="3" applyFont="1" applyFill="1" applyBorder="1" applyAlignment="1">
      <alignment horizontal="left"/>
    </xf>
    <xf numFmtId="1" fontId="2" fillId="0" borderId="9" xfId="3" applyNumberFormat="1" applyFont="1" applyBorder="1" applyAlignment="1">
      <alignment horizontal="center"/>
    </xf>
    <xf numFmtId="1" fontId="2" fillId="0" borderId="8" xfId="3" applyNumberFormat="1" applyFont="1" applyBorder="1" applyAlignment="1">
      <alignment horizontal="center"/>
    </xf>
    <xf numFmtId="0" fontId="46" fillId="0" borderId="49" xfId="3" applyFont="1" applyBorder="1" applyAlignment="1">
      <alignment horizontal="right"/>
    </xf>
    <xf numFmtId="0" fontId="46" fillId="0" borderId="50" xfId="3" applyFont="1" applyBorder="1" applyAlignment="1">
      <alignment horizontal="right"/>
    </xf>
    <xf numFmtId="0" fontId="46" fillId="0" borderId="33" xfId="3" applyFont="1" applyBorder="1" applyAlignment="1">
      <alignment horizontal="right"/>
    </xf>
    <xf numFmtId="164" fontId="3" fillId="0" borderId="7" xfId="3" applyNumberFormat="1" applyBorder="1" applyAlignment="1">
      <alignment horizontal="right"/>
    </xf>
    <xf numFmtId="0" fontId="3" fillId="3" borderId="37" xfId="3" applyFill="1" applyBorder="1" applyAlignment="1">
      <alignment horizontal="center"/>
    </xf>
    <xf numFmtId="0" fontId="3" fillId="3" borderId="51" xfId="3" applyFill="1" applyBorder="1" applyAlignment="1">
      <alignment horizontal="center"/>
    </xf>
    <xf numFmtId="0" fontId="45" fillId="3" borderId="14" xfId="4" applyFont="1" applyFill="1" applyBorder="1" applyAlignment="1">
      <alignment horizontal="right"/>
    </xf>
    <xf numFmtId="0" fontId="46" fillId="4" borderId="43" xfId="3" applyFont="1" applyFill="1" applyBorder="1" applyAlignment="1">
      <alignment horizontal="center" vertical="center"/>
    </xf>
    <xf numFmtId="0" fontId="46" fillId="4" borderId="2" xfId="3" applyFont="1" applyFill="1" applyBorder="1" applyAlignment="1">
      <alignment horizontal="center" vertical="center"/>
    </xf>
    <xf numFmtId="0" fontId="46" fillId="4" borderId="12" xfId="3" applyFont="1" applyFill="1" applyBorder="1" applyAlignment="1">
      <alignment horizontal="center" vertical="center"/>
    </xf>
    <xf numFmtId="0" fontId="46" fillId="4" borderId="1" xfId="3" applyFont="1" applyFill="1" applyBorder="1" applyAlignment="1">
      <alignment horizontal="center" vertical="center"/>
    </xf>
    <xf numFmtId="14" fontId="3" fillId="3" borderId="46" xfId="4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left"/>
    </xf>
    <xf numFmtId="0" fontId="3" fillId="3" borderId="43" xfId="4" applyFont="1" applyFill="1" applyBorder="1" applyAlignment="1">
      <alignment horizontal="center"/>
    </xf>
    <xf numFmtId="0" fontId="3" fillId="3" borderId="10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47" fillId="6" borderId="9" xfId="4" applyFont="1" applyFill="1" applyBorder="1" applyAlignment="1">
      <alignment horizontal="center" vertical="center" wrapText="1"/>
    </xf>
    <xf numFmtId="0" fontId="46" fillId="3" borderId="1" xfId="4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wrapText="1"/>
    </xf>
    <xf numFmtId="0" fontId="2" fillId="0" borderId="3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46" xfId="0" applyFont="1" applyBorder="1" applyAlignment="1">
      <alignment horizontal="left" wrapText="1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46" xfId="0" applyFont="1" applyBorder="1" applyAlignment="1">
      <alignment horizontal="left" wrapText="1"/>
    </xf>
    <xf numFmtId="0" fontId="4" fillId="0" borderId="41" xfId="0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4" fillId="4" borderId="14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3" xfId="0" applyFont="1" applyFill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52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3" borderId="16" xfId="4" applyFont="1" applyFill="1" applyBorder="1" applyAlignment="1">
      <alignment horizontal="left"/>
    </xf>
    <xf numFmtId="0" fontId="2" fillId="3" borderId="42" xfId="4" applyFont="1" applyFill="1" applyBorder="1" applyAlignment="1">
      <alignment horizontal="left"/>
    </xf>
    <xf numFmtId="0" fontId="2" fillId="3" borderId="35" xfId="4" applyFont="1" applyFill="1" applyBorder="1" applyAlignment="1">
      <alignment horizontal="left"/>
    </xf>
    <xf numFmtId="14" fontId="2" fillId="3" borderId="25" xfId="4" applyNumberFormat="1" applyFont="1" applyFill="1" applyBorder="1" applyAlignment="1">
      <alignment horizontal="center" vertical="center" wrapText="1"/>
    </xf>
    <xf numFmtId="14" fontId="2" fillId="3" borderId="66" xfId="4" applyNumberFormat="1" applyFont="1" applyFill="1" applyBorder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5" fillId="14" borderId="34" xfId="3" applyFont="1" applyFill="1" applyBorder="1" applyAlignment="1">
      <alignment horizontal="left" vertical="center"/>
    </xf>
    <xf numFmtId="0" fontId="5" fillId="14" borderId="36" xfId="3" applyFont="1" applyFill="1" applyBorder="1" applyAlignment="1">
      <alignment horizontal="left" vertical="center"/>
    </xf>
    <xf numFmtId="0" fontId="5" fillId="14" borderId="61" xfId="3" applyFont="1" applyFill="1" applyBorder="1" applyAlignment="1">
      <alignment horizontal="left" vertical="center"/>
    </xf>
    <xf numFmtId="0" fontId="57" fillId="15" borderId="17" xfId="3" applyFont="1" applyFill="1" applyBorder="1" applyAlignment="1">
      <alignment horizontal="left" vertical="center"/>
    </xf>
    <xf numFmtId="0" fontId="57" fillId="15" borderId="4" xfId="3" applyFont="1" applyFill="1" applyBorder="1" applyAlignment="1">
      <alignment horizontal="left" vertical="center"/>
    </xf>
    <xf numFmtId="0" fontId="57" fillId="15" borderId="18" xfId="3" applyFont="1" applyFill="1" applyBorder="1" applyAlignment="1">
      <alignment horizontal="left" vertical="center"/>
    </xf>
    <xf numFmtId="0" fontId="45" fillId="3" borderId="38" xfId="4" applyFont="1" applyFill="1" applyBorder="1" applyAlignment="1">
      <alignment horizontal="right" vertical="center"/>
    </xf>
    <xf numFmtId="0" fontId="45" fillId="3" borderId="39" xfId="4" applyFont="1" applyFill="1" applyBorder="1" applyAlignment="1">
      <alignment horizontal="right" vertical="center"/>
    </xf>
    <xf numFmtId="0" fontId="48" fillId="3" borderId="39" xfId="4" applyFont="1" applyFill="1" applyBorder="1" applyAlignment="1">
      <alignment horizontal="center" vertical="center"/>
    </xf>
    <xf numFmtId="0" fontId="45" fillId="3" borderId="39" xfId="4" applyFont="1" applyFill="1" applyBorder="1" applyAlignment="1">
      <alignment horizontal="center" vertical="center"/>
    </xf>
    <xf numFmtId="14" fontId="2" fillId="5" borderId="26" xfId="4" applyNumberFormat="1" applyFont="1" applyFill="1" applyBorder="1" applyAlignment="1">
      <alignment horizontal="center" vertical="center" wrapText="1"/>
    </xf>
    <xf numFmtId="14" fontId="2" fillId="5" borderId="29" xfId="4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3" borderId="9" xfId="4" applyFont="1" applyFill="1" applyBorder="1" applyAlignment="1">
      <alignment horizontal="left"/>
    </xf>
    <xf numFmtId="0" fontId="46" fillId="4" borderId="45" xfId="0" applyFont="1" applyFill="1" applyBorder="1" applyAlignment="1">
      <alignment horizontal="center" vertical="center"/>
    </xf>
    <xf numFmtId="0" fontId="46" fillId="4" borderId="7" xfId="0" applyFont="1" applyFill="1" applyBorder="1" applyAlignment="1">
      <alignment horizontal="center" vertical="center" wrapText="1"/>
    </xf>
    <xf numFmtId="0" fontId="46" fillId="4" borderId="25" xfId="0" applyFont="1" applyFill="1" applyBorder="1" applyAlignment="1">
      <alignment horizontal="center" vertical="center"/>
    </xf>
    <xf numFmtId="14" fontId="0" fillId="3" borderId="8" xfId="4" applyNumberFormat="1" applyFont="1" applyFill="1" applyBorder="1" applyAlignment="1">
      <alignment horizontal="center" vertical="center" wrapText="1"/>
    </xf>
  </cellXfs>
  <cellStyles count="27">
    <cellStyle name="Millares" xfId="5" builtinId="3"/>
    <cellStyle name="Millares [0]" xfId="6" builtinId="6"/>
    <cellStyle name="Millares [0] 2" xfId="8" xr:uid="{8C3FD65D-28B1-4A5F-8AD9-8DE3ACD35F35}"/>
    <cellStyle name="Millares [0] 2 2" xfId="14" xr:uid="{0EB4E660-61B8-4D58-8146-BD3B254ABAED}"/>
    <cellStyle name="Millares [0] 2 3" xfId="22" xr:uid="{C8C62D1D-9729-4795-BEEB-18FE28FC1028}"/>
    <cellStyle name="Millares [0] 3" xfId="12" xr:uid="{187C64DC-85F7-4B66-9CCB-AEDE2DB69FA5}"/>
    <cellStyle name="Millares [0] 4" xfId="20" xr:uid="{1F1B86CF-93FB-49C8-8EA4-DF9C7A5DE807}"/>
    <cellStyle name="Millares 2" xfId="7" xr:uid="{74282F66-D70C-4898-926E-16FF18CAD744}"/>
    <cellStyle name="Millares 2 2" xfId="13" xr:uid="{84288E2D-2469-4965-8213-34A26586E3BC}"/>
    <cellStyle name="Millares 2 3" xfId="21" xr:uid="{61855C24-9EBE-4E0E-9DBC-19B799ADCF3D}"/>
    <cellStyle name="Millares 3" xfId="9" xr:uid="{DCC80F38-7469-40C0-9705-FE7C5D3E13A9}"/>
    <cellStyle name="Millares 3 2" xfId="15" xr:uid="{0B62EA0B-090B-44AE-B625-095F3AB3BF2A}"/>
    <cellStyle name="Millares 3 3" xfId="23" xr:uid="{9D1D9748-9F0B-4CA9-8644-945A9C67E46E}"/>
    <cellStyle name="Millares 4" xfId="10" xr:uid="{66DD1BD8-9C7C-411B-9E5B-EFC32232B8B2}"/>
    <cellStyle name="Millares 4 2" xfId="16" xr:uid="{4F0CA167-C055-477D-901D-9870DB923907}"/>
    <cellStyle name="Millares 4 3" xfId="24" xr:uid="{4ECC74F1-3B29-411C-A63B-4381B3FFB62A}"/>
    <cellStyle name="Millares 5" xfId="11" xr:uid="{0747EEC3-8148-4FEB-91DA-751F8BB600EF}"/>
    <cellStyle name="Millares 6" xfId="17" xr:uid="{53CD1B01-4986-42E0-841A-0073703828BF}"/>
    <cellStyle name="Millares 7" xfId="19" xr:uid="{2C492236-CACD-4318-A504-9CA573D53781}"/>
    <cellStyle name="Millares 8" xfId="25" xr:uid="{CAA1D615-5C31-4524-B31F-B96ABAA2B063}"/>
    <cellStyle name="Millares 9" xfId="26" xr:uid="{5864EFD5-5E20-4CE1-8F5E-5A654C70116E}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" xfId="18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gif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AB744DD-FFD5-4030-A19F-B3640788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FD72B848-5CE0-45A1-97CB-D4944DCD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9025E630-1EEB-43F4-8102-387C0754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EB2DAA-0DA4-468D-BD31-40D334E1E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31751</xdr:colOff>
      <xdr:row>0</xdr:row>
      <xdr:rowOff>12700</xdr:rowOff>
    </xdr:from>
    <xdr:ext cx="1473200" cy="900289"/>
    <xdr:pic>
      <xdr:nvPicPr>
        <xdr:cNvPr id="2" name="Imagen 2">
          <a:extLst>
            <a:ext uri="{FF2B5EF4-FFF2-40B4-BE49-F238E27FC236}">
              <a16:creationId xmlns:a16="http://schemas.microsoft.com/office/drawing/2014/main" id="{5A7100D1-FDAC-486C-B6E6-A3EB383B9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12700"/>
          <a:ext cx="1473200" cy="900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179243</xdr:colOff>
      <xdr:row>0</xdr:row>
      <xdr:rowOff>202046</xdr:rowOff>
    </xdr:from>
    <xdr:to>
      <xdr:col>1</xdr:col>
      <xdr:colOff>371475</xdr:colOff>
      <xdr:row>4</xdr:row>
      <xdr:rowOff>62361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F69ABA0-89AC-4C49-8624-0E20A0D6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43" y="202046"/>
          <a:ext cx="1268557" cy="1108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114301</xdr:rowOff>
    </xdr:from>
    <xdr:ext cx="1143000" cy="788068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A468D47E-D7E6-4003-9BA8-D5A6CD87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066800" y="114301"/>
          <a:ext cx="1143000" cy="788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25A7DFCE-87FA-4F8E-B1CF-65391B8B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285750</xdr:colOff>
      <xdr:row>4</xdr:row>
      <xdr:rowOff>20326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74FE9FDB-1CD9-4150-9434-E7B25E2A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0"/>
          <a:ext cx="1304925" cy="1230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618402</xdr:colOff>
      <xdr:row>14</xdr:row>
      <xdr:rowOff>180975</xdr:rowOff>
    </xdr:from>
    <xdr:to>
      <xdr:col>3</xdr:col>
      <xdr:colOff>1838325</xdr:colOff>
      <xdr:row>25</xdr:row>
      <xdr:rowOff>19050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96F0EBC8-5102-427B-B153-CA4321B3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456727" y="3629025"/>
          <a:ext cx="2096223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2</xdr:col>
      <xdr:colOff>285468</xdr:colOff>
      <xdr:row>3</xdr:row>
      <xdr:rowOff>161925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066871C6-1FD8-4AB5-936E-F6B26331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647700" y="114300"/>
          <a:ext cx="1323693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</xdr:rowOff>
    </xdr:from>
    <xdr:to>
      <xdr:col>1</xdr:col>
      <xdr:colOff>545034</xdr:colOff>
      <xdr:row>3</xdr:row>
      <xdr:rowOff>123826</xdr:rowOff>
    </xdr:to>
    <xdr:pic>
      <xdr:nvPicPr>
        <xdr:cNvPr id="2" name="6 Imagen" descr="C:\Users\mbeeche\Desktop\logo de spoon nuevo.gif">
          <a:extLst>
            <a:ext uri="{FF2B5EF4-FFF2-40B4-BE49-F238E27FC236}">
              <a16:creationId xmlns:a16="http://schemas.microsoft.com/office/drawing/2014/main" id="{B317965D-6696-4431-BA66-BF3F07AC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"/>
          <a:ext cx="1383234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4395" cy="95948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E85D3B0F-F7FD-4E5B-81D2-DAE825A5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0"/>
          <a:ext cx="874395" cy="959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177166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CACDEA2-00D4-42FF-B20F-3145D09F7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16231"/>
          <a:ext cx="1336519" cy="64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142875</xdr:rowOff>
    </xdr:from>
    <xdr:to>
      <xdr:col>1</xdr:col>
      <xdr:colOff>514350</xdr:colOff>
      <xdr:row>5</xdr:row>
      <xdr:rowOff>9525</xdr:rowOff>
    </xdr:to>
    <xdr:pic>
      <xdr:nvPicPr>
        <xdr:cNvPr id="2" name="Imagen 3" descr="C:\Users\mbeeche\Desktop\logo de spoon nuevo - copia.gif">
          <a:extLst>
            <a:ext uri="{FF2B5EF4-FFF2-40B4-BE49-F238E27FC236}">
              <a16:creationId xmlns:a16="http://schemas.microsoft.com/office/drawing/2014/main" id="{D11E22E2-D4DF-47C2-BD3D-1264F573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2875"/>
          <a:ext cx="10763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1</xdr:col>
      <xdr:colOff>295275</xdr:colOff>
      <xdr:row>5</xdr:row>
      <xdr:rowOff>54270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33979BC9-4F71-4E52-A216-9531A42CE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71450" y="133350"/>
          <a:ext cx="1200150" cy="921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240628</xdr:colOff>
      <xdr:row>0</xdr:row>
      <xdr:rowOff>0</xdr:rowOff>
    </xdr:from>
    <xdr:to>
      <xdr:col>1</xdr:col>
      <xdr:colOff>403860</xdr:colOff>
      <xdr:row>4</xdr:row>
      <xdr:rowOff>105453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137825FF-B885-45EC-A8EC-92355487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40628" y="0"/>
          <a:ext cx="1275752" cy="890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2638DD82-2524-4B52-983E-58AEFDC5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C321B1B-8331-4A99-8EB4-A84331A9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C8A3-7A1D-4AFE-B1A5-68ACDCEA03C4}">
  <dimension ref="A1:I60"/>
  <sheetViews>
    <sheetView topLeftCell="A26" workbookViewId="0">
      <selection activeCell="H23" sqref="H23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f>D38/D41</f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f>SUM(E10:E25)-D38</f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07" t="s">
        <v>66</v>
      </c>
      <c r="B44" s="608"/>
      <c r="C44" s="608"/>
      <c r="D44" s="608"/>
      <c r="E44" s="608"/>
      <c r="F44" s="608"/>
      <c r="G44" s="608"/>
      <c r="H44" s="608"/>
      <c r="I44" s="609"/>
    </row>
    <row r="45" spans="1:9" ht="14.4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610" t="s">
        <v>62</v>
      </c>
      <c r="B46" s="611"/>
      <c r="C46" s="611"/>
      <c r="D46" s="611"/>
      <c r="E46" s="611"/>
      <c r="F46" s="611"/>
      <c r="G46" s="611"/>
      <c r="H46" s="611"/>
      <c r="I46" s="612"/>
    </row>
    <row r="47" spans="1:9" ht="16.5" x14ac:dyDescent="0.3">
      <c r="A47" s="632" t="s">
        <v>67</v>
      </c>
      <c r="B47" s="633"/>
      <c r="C47" s="633"/>
      <c r="D47" s="633"/>
      <c r="E47" s="633"/>
      <c r="F47" s="633"/>
      <c r="G47" s="633"/>
      <c r="H47" s="633"/>
      <c r="I47" s="634"/>
    </row>
    <row r="48" spans="1:9" ht="14.45" customHeight="1" x14ac:dyDescent="0.25">
      <c r="A48" s="613" t="s">
        <v>68</v>
      </c>
      <c r="B48" s="614"/>
      <c r="C48" s="614"/>
      <c r="D48" s="614"/>
      <c r="E48" s="614"/>
      <c r="F48" s="614"/>
      <c r="G48" s="614"/>
      <c r="H48" s="614"/>
      <c r="I48" s="615"/>
    </row>
    <row r="49" spans="1:9" ht="14.45" customHeight="1" x14ac:dyDescent="0.25">
      <c r="A49" s="635" t="s">
        <v>69</v>
      </c>
      <c r="B49" s="614"/>
      <c r="C49" s="614"/>
      <c r="D49" s="614"/>
      <c r="E49" s="614"/>
      <c r="F49" s="614"/>
      <c r="G49" s="614"/>
      <c r="H49" s="614"/>
      <c r="I49" s="636"/>
    </row>
    <row r="50" spans="1:9" ht="14.45" customHeight="1" x14ac:dyDescent="0.25">
      <c r="A50" s="635" t="s">
        <v>70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/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7:I57"/>
    <mergeCell ref="A58:I58"/>
    <mergeCell ref="A59:I59"/>
    <mergeCell ref="A60:I60"/>
    <mergeCell ref="A47:I47"/>
    <mergeCell ref="A49:I49"/>
    <mergeCell ref="A50:I50"/>
    <mergeCell ref="A52:I52"/>
    <mergeCell ref="A53:I53"/>
    <mergeCell ref="A54:I54"/>
    <mergeCell ref="A55:I55"/>
    <mergeCell ref="A56:I56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I3:I5"/>
    <mergeCell ref="D4:G4"/>
    <mergeCell ref="D5:G5"/>
    <mergeCell ref="A1:B5"/>
    <mergeCell ref="C1:G1"/>
    <mergeCell ref="C2:G2"/>
    <mergeCell ref="C3:G3"/>
    <mergeCell ref="H3:H5"/>
    <mergeCell ref="A38:C38"/>
    <mergeCell ref="A40:C40"/>
    <mergeCell ref="F39:G39"/>
    <mergeCell ref="H39:I39"/>
    <mergeCell ref="A41:C41"/>
    <mergeCell ref="F40:G40"/>
    <mergeCell ref="H40:I40"/>
    <mergeCell ref="A43:I43"/>
    <mergeCell ref="A42:C42"/>
    <mergeCell ref="F41:G41"/>
    <mergeCell ref="H41:I41"/>
    <mergeCell ref="F42:G42"/>
    <mergeCell ref="H42:I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809E-36DB-407A-8267-4B42FD412C53}">
  <dimension ref="A1:I60"/>
  <sheetViews>
    <sheetView topLeftCell="A19" workbookViewId="0">
      <selection activeCell="C14" sqref="C14"/>
    </sheetView>
  </sheetViews>
  <sheetFormatPr baseColWidth="10" defaultRowHeight="15" x14ac:dyDescent="0.25"/>
  <cols>
    <col min="3" max="3" width="43.7109375" customWidth="1"/>
    <col min="8" max="8" width="12.85546875" customWidth="1"/>
    <col min="9" max="9" width="17.8554687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ht="25.5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43" t="s">
        <v>191</v>
      </c>
      <c r="B44" s="644"/>
      <c r="C44" s="644"/>
      <c r="D44" s="644"/>
      <c r="E44" s="644"/>
      <c r="F44" s="644"/>
      <c r="G44" s="644"/>
      <c r="H44" s="644"/>
      <c r="I44" s="645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46" t="s">
        <v>193</v>
      </c>
      <c r="B46" s="647"/>
      <c r="C46" s="647"/>
      <c r="D46" s="647"/>
      <c r="E46" s="647"/>
      <c r="F46" s="647"/>
      <c r="G46" s="647"/>
      <c r="H46" s="647"/>
      <c r="I46" s="648"/>
    </row>
    <row r="47" spans="1:9" ht="16.5" x14ac:dyDescent="0.3">
      <c r="A47" s="632" t="s">
        <v>194</v>
      </c>
      <c r="B47" s="633"/>
      <c r="C47" s="633"/>
      <c r="D47" s="633"/>
      <c r="E47" s="633"/>
      <c r="F47" s="633"/>
      <c r="G47" s="633"/>
      <c r="H47" s="633"/>
      <c r="I47" s="634"/>
    </row>
    <row r="48" spans="1:9" x14ac:dyDescent="0.25">
      <c r="A48" s="613" t="s">
        <v>195</v>
      </c>
      <c r="B48" s="614"/>
      <c r="C48" s="614"/>
      <c r="D48" s="614"/>
      <c r="E48" s="614"/>
      <c r="F48" s="614"/>
      <c r="G48" s="614"/>
      <c r="H48" s="614"/>
      <c r="I48" s="615"/>
    </row>
    <row r="49" spans="1:9" x14ac:dyDescent="0.25">
      <c r="A49" s="635" t="s">
        <v>196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197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 t="s">
        <v>198</v>
      </c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4:I54"/>
    <mergeCell ref="A55:I55"/>
    <mergeCell ref="A56:I56"/>
    <mergeCell ref="A47:I47"/>
    <mergeCell ref="A49:I49"/>
    <mergeCell ref="A50:I50"/>
    <mergeCell ref="A52:I52"/>
    <mergeCell ref="A53:I53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A57:I57"/>
    <mergeCell ref="A58:I58"/>
    <mergeCell ref="A59:I59"/>
    <mergeCell ref="A60:I60"/>
    <mergeCell ref="I3:I5"/>
    <mergeCell ref="D4:G4"/>
    <mergeCell ref="D5:G5"/>
    <mergeCell ref="A1:B5"/>
    <mergeCell ref="C1:G1"/>
    <mergeCell ref="C2:G2"/>
    <mergeCell ref="C3:G3"/>
    <mergeCell ref="H3:H5"/>
    <mergeCell ref="F41:G41"/>
    <mergeCell ref="H41:I41"/>
    <mergeCell ref="A38:C38"/>
    <mergeCell ref="A40:C40"/>
    <mergeCell ref="A43:I43"/>
    <mergeCell ref="A42:C42"/>
    <mergeCell ref="F42:G42"/>
    <mergeCell ref="H42:I42"/>
    <mergeCell ref="F39:G39"/>
    <mergeCell ref="H39:I39"/>
    <mergeCell ref="A41:C41"/>
    <mergeCell ref="F40:G40"/>
    <mergeCell ref="H40:I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6358-ADC4-42C4-9FC2-CD6B0E1CFAB7}">
  <dimension ref="A1:I54"/>
  <sheetViews>
    <sheetView tabSelected="1" view="pageBreakPreview" zoomScale="60" zoomScaleNormal="70" workbookViewId="0">
      <selection activeCell="S7" sqref="S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19" t="s">
        <v>523</v>
      </c>
    </row>
    <row r="2" spans="1:9" ht="18" customHeight="1" thickBot="1" x14ac:dyDescent="0.3">
      <c r="A2" s="595"/>
      <c r="B2" s="596"/>
      <c r="C2" s="658" t="s">
        <v>32</v>
      </c>
      <c r="D2" s="659"/>
      <c r="E2" s="659"/>
      <c r="F2" s="659"/>
      <c r="G2" s="660"/>
      <c r="H2" s="77" t="s">
        <v>31</v>
      </c>
      <c r="I2" s="78" t="s">
        <v>501</v>
      </c>
    </row>
    <row r="3" spans="1:9" ht="31.5" customHeight="1" thickBot="1" x14ac:dyDescent="0.3">
      <c r="A3" s="595"/>
      <c r="B3" s="596"/>
      <c r="C3" s="601" t="s">
        <v>500</v>
      </c>
      <c r="D3" s="602"/>
      <c r="E3" s="602"/>
      <c r="F3" s="602"/>
      <c r="G3" s="603"/>
      <c r="H3" s="604" t="s">
        <v>30</v>
      </c>
      <c r="I3" s="588">
        <v>45618</v>
      </c>
    </row>
    <row r="4" spans="1:9" ht="18" customHeight="1" x14ac:dyDescent="0.25">
      <c r="A4" s="595"/>
      <c r="B4" s="596"/>
      <c r="C4" s="79" t="s">
        <v>29</v>
      </c>
      <c r="D4" s="650" t="s">
        <v>412</v>
      </c>
      <c r="E4" s="651"/>
      <c r="F4" s="651"/>
      <c r="G4" s="652"/>
      <c r="H4" s="605"/>
      <c r="I4" s="589"/>
    </row>
    <row r="5" spans="1:9" ht="15.75" thickBot="1" x14ac:dyDescent="0.3">
      <c r="A5" s="656"/>
      <c r="B5" s="657"/>
      <c r="C5" s="80" t="s">
        <v>28</v>
      </c>
      <c r="D5" s="653" t="s">
        <v>27</v>
      </c>
      <c r="E5" s="654"/>
      <c r="F5" s="654"/>
      <c r="G5" s="655"/>
      <c r="H5" s="606"/>
      <c r="I5" s="649"/>
    </row>
    <row r="6" spans="1:9" ht="18.75" thickBot="1" x14ac:dyDescent="0.3">
      <c r="A6" s="661" t="s">
        <v>26</v>
      </c>
      <c r="B6" s="661"/>
      <c r="C6" s="661"/>
      <c r="D6" s="662" t="s">
        <v>502</v>
      </c>
      <c r="E6" s="662"/>
      <c r="F6" s="662"/>
      <c r="G6" s="663" t="s">
        <v>25</v>
      </c>
      <c r="H6" s="663"/>
      <c r="I6" s="309" t="s">
        <v>502</v>
      </c>
    </row>
    <row r="7" spans="1:9" x14ac:dyDescent="0.25">
      <c r="A7" s="664" t="s">
        <v>24</v>
      </c>
      <c r="B7" s="666" t="s">
        <v>503</v>
      </c>
      <c r="C7" s="668" t="s">
        <v>23</v>
      </c>
      <c r="D7" s="668" t="s">
        <v>22</v>
      </c>
      <c r="E7" s="668" t="s">
        <v>21</v>
      </c>
      <c r="F7" s="668"/>
      <c r="G7" s="668" t="s">
        <v>20</v>
      </c>
      <c r="H7" s="668"/>
      <c r="I7" s="518" t="s">
        <v>19</v>
      </c>
    </row>
    <row r="8" spans="1:9" ht="27" thickBot="1" x14ac:dyDescent="0.3">
      <c r="A8" s="665"/>
      <c r="B8" s="667"/>
      <c r="C8" s="669"/>
      <c r="D8" s="669"/>
      <c r="E8" s="519" t="s">
        <v>15</v>
      </c>
      <c r="F8" s="520" t="s">
        <v>18</v>
      </c>
      <c r="G8" s="519" t="s">
        <v>15</v>
      </c>
      <c r="H8" s="520" t="s">
        <v>18</v>
      </c>
      <c r="I8" s="521" t="s">
        <v>17</v>
      </c>
    </row>
    <row r="9" spans="1:9" ht="18.600000000000001" customHeight="1" x14ac:dyDescent="0.25">
      <c r="A9" s="522"/>
      <c r="B9" s="523"/>
      <c r="C9" s="524" t="s">
        <v>504</v>
      </c>
      <c r="D9" s="525"/>
      <c r="E9" s="526"/>
      <c r="F9" s="527"/>
      <c r="G9" s="526"/>
      <c r="H9" s="527"/>
      <c r="I9" s="62"/>
    </row>
    <row r="10" spans="1:9" ht="18" customHeight="1" x14ac:dyDescent="0.25">
      <c r="A10" s="68"/>
      <c r="B10" s="23" t="s">
        <v>484</v>
      </c>
      <c r="C10" s="22" t="s">
        <v>505</v>
      </c>
      <c r="D10" s="440" t="s">
        <v>16</v>
      </c>
      <c r="E10" s="442">
        <v>420</v>
      </c>
      <c r="F10" s="443" t="s">
        <v>2</v>
      </c>
      <c r="G10" s="528"/>
      <c r="H10" s="529" t="s">
        <v>506</v>
      </c>
      <c r="I10" s="62"/>
    </row>
    <row r="11" spans="1:9" x14ac:dyDescent="0.25">
      <c r="A11" s="440"/>
      <c r="B11" s="440"/>
      <c r="C11" s="530" t="s">
        <v>507</v>
      </c>
      <c r="D11" s="440"/>
      <c r="E11" s="442"/>
      <c r="F11" s="443"/>
      <c r="G11" s="528"/>
      <c r="H11" s="529"/>
      <c r="I11" s="62"/>
    </row>
    <row r="12" spans="1:9" ht="15.75" x14ac:dyDescent="0.25">
      <c r="A12" s="23"/>
      <c r="B12" s="23"/>
      <c r="C12" s="531" t="s">
        <v>508</v>
      </c>
      <c r="D12" s="392"/>
      <c r="E12" s="392"/>
      <c r="F12" s="392"/>
      <c r="G12" s="5"/>
      <c r="H12" s="529"/>
      <c r="I12" s="62"/>
    </row>
    <row r="13" spans="1:9" ht="15.75" x14ac:dyDescent="0.25">
      <c r="A13" s="532">
        <v>910000007</v>
      </c>
      <c r="B13" s="532" t="s">
        <v>73</v>
      </c>
      <c r="C13" s="533" t="s">
        <v>509</v>
      </c>
      <c r="D13" s="392" t="s">
        <v>16</v>
      </c>
      <c r="E13" s="392">
        <v>160</v>
      </c>
      <c r="F13" s="392" t="s">
        <v>2</v>
      </c>
      <c r="G13" s="5"/>
      <c r="H13" s="529" t="s">
        <v>510</v>
      </c>
      <c r="I13" s="62"/>
    </row>
    <row r="14" spans="1:9" ht="15.75" x14ac:dyDescent="0.25">
      <c r="A14" s="532">
        <v>908000048</v>
      </c>
      <c r="B14" s="532" t="s">
        <v>75</v>
      </c>
      <c r="C14" s="533" t="s">
        <v>511</v>
      </c>
      <c r="D14" s="392" t="s">
        <v>16</v>
      </c>
      <c r="E14" s="392">
        <v>100</v>
      </c>
      <c r="F14" s="392" t="s">
        <v>2</v>
      </c>
      <c r="G14" s="5"/>
      <c r="H14" s="529" t="s">
        <v>512</v>
      </c>
      <c r="I14" s="62"/>
    </row>
    <row r="15" spans="1:9" ht="15.75" x14ac:dyDescent="0.25">
      <c r="A15" s="532">
        <v>902000168</v>
      </c>
      <c r="B15" s="532" t="s">
        <v>84</v>
      </c>
      <c r="C15" s="533" t="s">
        <v>513</v>
      </c>
      <c r="D15" s="392" t="s">
        <v>16</v>
      </c>
      <c r="E15" s="392">
        <v>270</v>
      </c>
      <c r="F15" s="392" t="s">
        <v>2</v>
      </c>
      <c r="G15" s="5"/>
      <c r="H15" s="529" t="s">
        <v>514</v>
      </c>
      <c r="I15" s="62"/>
    </row>
    <row r="16" spans="1:9" ht="15.75" x14ac:dyDescent="0.25">
      <c r="A16" s="532">
        <v>902000167</v>
      </c>
      <c r="B16" s="532" t="s">
        <v>82</v>
      </c>
      <c r="C16" s="533" t="s">
        <v>515</v>
      </c>
      <c r="D16" s="392" t="s">
        <v>16</v>
      </c>
      <c r="E16" s="392">
        <v>50</v>
      </c>
      <c r="F16" s="392" t="s">
        <v>2</v>
      </c>
      <c r="G16" s="5"/>
      <c r="H16" s="529" t="s">
        <v>482</v>
      </c>
      <c r="I16" s="62"/>
    </row>
    <row r="17" spans="1:9" ht="15.75" x14ac:dyDescent="0.25">
      <c r="A17" s="532"/>
      <c r="B17" s="532"/>
      <c r="C17" s="533"/>
      <c r="D17" s="392"/>
      <c r="E17" s="392"/>
      <c r="F17" s="392"/>
      <c r="G17" s="5"/>
      <c r="H17" s="529"/>
      <c r="I17" s="62"/>
    </row>
    <row r="18" spans="1:9" ht="15.75" x14ac:dyDescent="0.25">
      <c r="A18" s="532"/>
      <c r="B18" s="532"/>
      <c r="C18" s="533"/>
      <c r="D18" s="392"/>
      <c r="E18" s="392"/>
      <c r="F18" s="392"/>
      <c r="G18" s="5"/>
      <c r="H18" s="529"/>
      <c r="I18" s="62"/>
    </row>
    <row r="19" spans="1:9" ht="15.75" x14ac:dyDescent="0.25">
      <c r="A19" s="23"/>
      <c r="B19" s="23"/>
      <c r="C19" s="22"/>
      <c r="D19" s="392"/>
      <c r="E19" s="392"/>
      <c r="F19" s="392"/>
      <c r="G19" s="5"/>
      <c r="H19" s="529"/>
      <c r="I19" s="62"/>
    </row>
    <row r="20" spans="1:9" ht="15.75" x14ac:dyDescent="0.25">
      <c r="A20" s="534"/>
      <c r="B20" s="535"/>
      <c r="C20" s="536" t="s">
        <v>502</v>
      </c>
      <c r="D20" s="392"/>
      <c r="E20" s="392"/>
      <c r="F20" s="392"/>
      <c r="G20" s="5"/>
      <c r="H20" s="529"/>
      <c r="I20" s="62"/>
    </row>
    <row r="21" spans="1:9" x14ac:dyDescent="0.25">
      <c r="A21" s="68">
        <v>910000018</v>
      </c>
      <c r="B21" s="23" t="s">
        <v>94</v>
      </c>
      <c r="C21" s="22" t="s">
        <v>95</v>
      </c>
      <c r="D21" s="537" t="s">
        <v>16</v>
      </c>
      <c r="E21" s="537">
        <v>150</v>
      </c>
      <c r="F21" s="537" t="s">
        <v>2</v>
      </c>
      <c r="G21" s="526"/>
      <c r="H21" s="529" t="s">
        <v>516</v>
      </c>
      <c r="I21" s="62"/>
    </row>
    <row r="22" spans="1:9" x14ac:dyDescent="0.25">
      <c r="A22" s="538">
        <v>20100163</v>
      </c>
      <c r="B22" s="517" t="s">
        <v>92</v>
      </c>
      <c r="C22" s="22" t="s">
        <v>93</v>
      </c>
      <c r="D22" s="537" t="s">
        <v>16</v>
      </c>
      <c r="E22" s="537">
        <v>130</v>
      </c>
      <c r="F22" s="537" t="s">
        <v>2</v>
      </c>
      <c r="G22" s="526"/>
      <c r="H22" s="529" t="s">
        <v>517</v>
      </c>
      <c r="I22" s="62"/>
    </row>
    <row r="23" spans="1:9" x14ac:dyDescent="0.25">
      <c r="A23" s="538"/>
      <c r="B23" s="517" t="s">
        <v>485</v>
      </c>
      <c r="C23" s="22" t="s">
        <v>90</v>
      </c>
      <c r="D23" s="537"/>
      <c r="E23" s="537">
        <v>9</v>
      </c>
      <c r="F23" s="537" t="s">
        <v>2</v>
      </c>
      <c r="G23" s="526"/>
      <c r="H23" s="529" t="s">
        <v>518</v>
      </c>
      <c r="I23" s="62"/>
    </row>
    <row r="24" spans="1:9" ht="15.75" x14ac:dyDescent="0.25">
      <c r="A24" s="534"/>
      <c r="B24" s="535" t="s">
        <v>486</v>
      </c>
      <c r="C24" s="536" t="s">
        <v>91</v>
      </c>
      <c r="D24" s="56"/>
      <c r="E24" s="539">
        <v>6</v>
      </c>
      <c r="F24" s="52" t="s">
        <v>2</v>
      </c>
      <c r="G24" s="526"/>
      <c r="H24" s="529" t="s">
        <v>519</v>
      </c>
      <c r="I24" s="62"/>
    </row>
    <row r="25" spans="1:9" x14ac:dyDescent="0.25">
      <c r="A25" s="540"/>
      <c r="B25" s="541" t="s">
        <v>487</v>
      </c>
      <c r="C25" s="542" t="s">
        <v>188</v>
      </c>
      <c r="D25" s="543"/>
      <c r="E25" s="544">
        <v>42</v>
      </c>
      <c r="F25" s="545" t="s">
        <v>2</v>
      </c>
      <c r="G25" s="526"/>
      <c r="H25" s="529" t="s">
        <v>520</v>
      </c>
      <c r="I25" s="62"/>
    </row>
    <row r="26" spans="1:9" x14ac:dyDescent="0.25">
      <c r="A26" s="23"/>
      <c r="B26" s="23"/>
      <c r="C26" s="22"/>
      <c r="D26" s="451"/>
      <c r="E26" s="14"/>
      <c r="F26" s="114"/>
      <c r="G26" s="526"/>
      <c r="H26" s="527"/>
      <c r="I26" s="62"/>
    </row>
    <row r="27" spans="1:9" ht="15.75" x14ac:dyDescent="0.25">
      <c r="A27" s="546"/>
      <c r="B27" s="547"/>
      <c r="C27" s="548" t="s">
        <v>521</v>
      </c>
      <c r="D27" s="549"/>
      <c r="E27" s="47"/>
      <c r="F27" s="527"/>
      <c r="G27" s="526"/>
      <c r="I27" s="62"/>
    </row>
    <row r="28" spans="1:9" x14ac:dyDescent="0.25">
      <c r="A28" s="379">
        <v>121603</v>
      </c>
      <c r="B28" s="380" t="s">
        <v>42</v>
      </c>
      <c r="C28" s="550" t="s">
        <v>44</v>
      </c>
      <c r="D28" s="404" t="s">
        <v>45</v>
      </c>
      <c r="E28" s="94">
        <v>1</v>
      </c>
      <c r="F28" s="89" t="s">
        <v>7</v>
      </c>
      <c r="G28" s="551"/>
      <c r="H28" s="527"/>
      <c r="I28" s="62"/>
    </row>
    <row r="29" spans="1:9" x14ac:dyDescent="0.25">
      <c r="A29" s="379">
        <v>1950692</v>
      </c>
      <c r="B29" s="380" t="s">
        <v>43</v>
      </c>
      <c r="C29" s="550" t="s">
        <v>46</v>
      </c>
      <c r="D29" s="404" t="s">
        <v>45</v>
      </c>
      <c r="E29" s="94">
        <v>1</v>
      </c>
      <c r="F29" s="89" t="s">
        <v>47</v>
      </c>
      <c r="G29" s="551"/>
      <c r="H29" s="527"/>
      <c r="I29" s="62"/>
    </row>
    <row r="30" spans="1:9" x14ac:dyDescent="0.25">
      <c r="A30" s="552">
        <v>702069</v>
      </c>
      <c r="B30" s="553" t="s">
        <v>60</v>
      </c>
      <c r="C30" s="554" t="s">
        <v>367</v>
      </c>
      <c r="D30" s="404" t="s">
        <v>48</v>
      </c>
      <c r="E30" s="94">
        <v>1</v>
      </c>
      <c r="F30" s="89" t="s">
        <v>7</v>
      </c>
      <c r="G30" s="551"/>
      <c r="H30" s="527"/>
      <c r="I30" s="62"/>
    </row>
    <row r="31" spans="1:9" x14ac:dyDescent="0.25">
      <c r="A31" s="103" t="s">
        <v>49</v>
      </c>
      <c r="B31" s="103" t="s">
        <v>50</v>
      </c>
      <c r="C31" s="104" t="s">
        <v>51</v>
      </c>
      <c r="D31" s="404" t="s">
        <v>45</v>
      </c>
      <c r="E31" s="94">
        <v>60</v>
      </c>
      <c r="F31" s="89" t="s">
        <v>53</v>
      </c>
      <c r="G31" s="526"/>
      <c r="H31" s="527"/>
      <c r="I31" s="62"/>
    </row>
    <row r="32" spans="1:9" x14ac:dyDescent="0.25">
      <c r="A32" s="103">
        <v>701096</v>
      </c>
      <c r="B32" s="103" t="s">
        <v>36</v>
      </c>
      <c r="C32" s="104" t="s">
        <v>54</v>
      </c>
      <c r="D32" s="404" t="s">
        <v>522</v>
      </c>
      <c r="E32" s="94">
        <v>1</v>
      </c>
      <c r="F32" s="89" t="s">
        <v>7</v>
      </c>
      <c r="G32" s="526"/>
      <c r="H32" s="527"/>
      <c r="I32" s="62"/>
    </row>
    <row r="33" spans="1:9" x14ac:dyDescent="0.25">
      <c r="A33" s="103" t="s">
        <v>57</v>
      </c>
      <c r="B33" s="103" t="s">
        <v>37</v>
      </c>
      <c r="C33" s="104" t="s">
        <v>58</v>
      </c>
      <c r="D33" s="404" t="s">
        <v>48</v>
      </c>
      <c r="E33" s="94">
        <v>1</v>
      </c>
      <c r="F33" s="89" t="s">
        <v>7</v>
      </c>
      <c r="G33" s="61"/>
      <c r="H33" s="527"/>
      <c r="I33" s="62"/>
    </row>
    <row r="34" spans="1:9" ht="15.75" x14ac:dyDescent="0.25">
      <c r="A34" s="103"/>
      <c r="B34" s="103" t="s">
        <v>497</v>
      </c>
      <c r="C34" s="104" t="s">
        <v>488</v>
      </c>
      <c r="D34" s="392" t="s">
        <v>48</v>
      </c>
      <c r="E34" s="94">
        <v>1</v>
      </c>
      <c r="F34" s="89" t="s">
        <v>7</v>
      </c>
      <c r="G34" s="51"/>
      <c r="H34" s="527"/>
      <c r="I34" s="62"/>
    </row>
    <row r="35" spans="1:9" x14ac:dyDescent="0.25">
      <c r="A35" s="555"/>
      <c r="B35" s="555" t="s">
        <v>498</v>
      </c>
      <c r="C35" s="112" t="s">
        <v>499</v>
      </c>
      <c r="D35" s="404"/>
      <c r="E35" s="114">
        <v>1</v>
      </c>
      <c r="F35" s="114" t="s">
        <v>7</v>
      </c>
      <c r="G35" s="51"/>
      <c r="H35" s="527"/>
      <c r="I35" s="62"/>
    </row>
    <row r="36" spans="1:9" ht="15.75" thickBot="1" x14ac:dyDescent="0.3">
      <c r="A36" s="556"/>
      <c r="B36" s="557"/>
      <c r="C36" s="558"/>
      <c r="D36" s="558"/>
      <c r="E36" s="559"/>
      <c r="F36" s="560"/>
      <c r="G36" s="558"/>
      <c r="H36" s="558"/>
      <c r="I36" s="561"/>
    </row>
    <row r="37" spans="1:9" ht="15.75" thickBot="1" x14ac:dyDescent="0.3">
      <c r="A37" s="562"/>
      <c r="B37" s="563"/>
      <c r="C37" s="564"/>
      <c r="D37" s="565" t="s">
        <v>15</v>
      </c>
      <c r="E37" s="566" t="s">
        <v>14</v>
      </c>
      <c r="F37" s="567"/>
      <c r="G37" s="564"/>
      <c r="H37" s="564"/>
      <c r="I37" s="568"/>
    </row>
    <row r="38" spans="1:9" x14ac:dyDescent="0.25">
      <c r="A38" s="670" t="s">
        <v>13</v>
      </c>
      <c r="B38" s="671"/>
      <c r="C38" s="672"/>
      <c r="D38" s="27">
        <v>1200</v>
      </c>
      <c r="E38" s="129" t="s">
        <v>2</v>
      </c>
      <c r="F38" s="673" t="s">
        <v>12</v>
      </c>
      <c r="G38" s="673"/>
      <c r="H38" s="674"/>
      <c r="I38" s="675"/>
    </row>
    <row r="39" spans="1:9" x14ac:dyDescent="0.25">
      <c r="A39" s="676" t="s">
        <v>11</v>
      </c>
      <c r="B39" s="677"/>
      <c r="C39" s="678"/>
      <c r="D39" s="14">
        <v>5</v>
      </c>
      <c r="E39" s="5" t="s">
        <v>10</v>
      </c>
      <c r="F39" s="679" t="s">
        <v>9</v>
      </c>
      <c r="G39" s="679"/>
      <c r="H39" s="680"/>
      <c r="I39" s="681"/>
    </row>
    <row r="40" spans="1:9" x14ac:dyDescent="0.25">
      <c r="A40" s="676" t="s">
        <v>8</v>
      </c>
      <c r="B40" s="677"/>
      <c r="C40" s="678"/>
      <c r="D40" s="14">
        <v>1</v>
      </c>
      <c r="E40" s="5" t="s">
        <v>7</v>
      </c>
      <c r="F40" s="679" t="s">
        <v>6</v>
      </c>
      <c r="G40" s="679"/>
      <c r="H40" s="680"/>
      <c r="I40" s="681"/>
    </row>
    <row r="41" spans="1:9" x14ac:dyDescent="0.25">
      <c r="A41" s="676" t="s">
        <v>5</v>
      </c>
      <c r="B41" s="677"/>
      <c r="C41" s="678"/>
      <c r="D41" s="14">
        <v>1200</v>
      </c>
      <c r="E41" s="5" t="s">
        <v>2</v>
      </c>
      <c r="F41" s="682" t="s">
        <v>4</v>
      </c>
      <c r="G41" s="683"/>
      <c r="H41" s="684"/>
      <c r="I41" s="685"/>
    </row>
    <row r="42" spans="1:9" ht="15.75" thickBot="1" x14ac:dyDescent="0.3">
      <c r="A42" s="686" t="s">
        <v>3</v>
      </c>
      <c r="B42" s="687"/>
      <c r="C42" s="688"/>
      <c r="D42" s="494">
        <v>54</v>
      </c>
      <c r="E42" s="134" t="s">
        <v>2</v>
      </c>
      <c r="F42" s="689"/>
      <c r="G42" s="689"/>
      <c r="H42" s="680"/>
      <c r="I42" s="681"/>
    </row>
    <row r="43" spans="1:9" ht="15.75" thickBot="1" x14ac:dyDescent="0.3">
      <c r="A43" s="690" t="s">
        <v>1</v>
      </c>
      <c r="B43" s="691"/>
      <c r="C43" s="691"/>
      <c r="D43" s="691"/>
      <c r="E43" s="691"/>
      <c r="F43" s="691"/>
      <c r="G43" s="691"/>
      <c r="H43" s="691"/>
      <c r="I43" s="692"/>
    </row>
    <row r="44" spans="1:9" ht="14.45" customHeight="1" x14ac:dyDescent="0.25">
      <c r="A44" s="643" t="s">
        <v>489</v>
      </c>
      <c r="B44" s="644"/>
      <c r="C44" s="644"/>
      <c r="D44" s="644"/>
      <c r="E44" s="644"/>
      <c r="F44" s="644"/>
      <c r="G44" s="644"/>
      <c r="H44" s="644"/>
      <c r="I44" s="645"/>
    </row>
    <row r="45" spans="1:9" ht="15.6" customHeight="1" x14ac:dyDescent="0.25">
      <c r="A45" s="234" t="s">
        <v>490</v>
      </c>
      <c r="B45" s="235"/>
      <c r="C45" s="235"/>
      <c r="D45" s="235"/>
      <c r="E45" s="235"/>
      <c r="F45" s="235"/>
      <c r="G45" s="235"/>
      <c r="H45" s="235"/>
      <c r="I45" s="64"/>
    </row>
    <row r="46" spans="1:9" ht="14.45" customHeight="1" x14ac:dyDescent="0.25">
      <c r="A46" s="646" t="s">
        <v>491</v>
      </c>
      <c r="B46" s="647"/>
      <c r="C46" s="647"/>
      <c r="D46" s="647"/>
      <c r="E46" s="647"/>
      <c r="F46" s="647"/>
      <c r="G46" s="647"/>
      <c r="H46" s="647"/>
      <c r="I46" s="648"/>
    </row>
    <row r="47" spans="1:9" ht="14.45" customHeight="1" x14ac:dyDescent="0.3">
      <c r="A47" s="632" t="s">
        <v>492</v>
      </c>
      <c r="B47" s="633"/>
      <c r="C47" s="633"/>
      <c r="D47" s="633"/>
      <c r="E47" s="633"/>
      <c r="F47" s="633"/>
      <c r="G47" s="633"/>
      <c r="H47" s="633"/>
      <c r="I47" s="634"/>
    </row>
    <row r="48" spans="1:9" ht="14.45" customHeight="1" x14ac:dyDescent="0.25">
      <c r="A48" s="613" t="s">
        <v>493</v>
      </c>
      <c r="B48" s="614"/>
      <c r="C48" s="614"/>
      <c r="D48" s="614"/>
      <c r="E48" s="614"/>
      <c r="F48" s="614"/>
      <c r="G48" s="614"/>
      <c r="H48" s="614"/>
      <c r="I48" s="615"/>
    </row>
    <row r="49" spans="1:9" ht="18" customHeight="1" x14ac:dyDescent="0.25">
      <c r="A49" s="635" t="s">
        <v>494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495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95" t="s">
        <v>496</v>
      </c>
      <c r="B51" s="696"/>
      <c r="C51" s="696"/>
      <c r="D51" s="696"/>
      <c r="E51" s="696"/>
      <c r="F51" s="696"/>
      <c r="G51" s="696"/>
      <c r="H51" s="696"/>
      <c r="I51" s="697"/>
    </row>
    <row r="52" spans="1:9" x14ac:dyDescent="0.25">
      <c r="A52" s="698" t="s">
        <v>216</v>
      </c>
      <c r="B52" s="699"/>
      <c r="C52" s="699"/>
      <c r="D52" s="699"/>
      <c r="E52" s="699"/>
      <c r="F52" s="699"/>
      <c r="G52" s="699"/>
      <c r="H52" s="699"/>
      <c r="I52" s="699"/>
    </row>
    <row r="53" spans="1:9" x14ac:dyDescent="0.25">
      <c r="A53" s="693"/>
      <c r="B53" s="694"/>
      <c r="C53" s="694"/>
      <c r="D53" s="694"/>
      <c r="E53" s="694"/>
      <c r="F53" s="694"/>
      <c r="G53" s="694"/>
      <c r="H53" s="694"/>
      <c r="I53" s="694"/>
    </row>
    <row r="54" spans="1:9" x14ac:dyDescent="0.25">
      <c r="A54" s="693"/>
      <c r="B54" s="694"/>
      <c r="C54" s="694"/>
      <c r="D54" s="694"/>
      <c r="E54" s="694"/>
      <c r="F54" s="694"/>
      <c r="G54" s="694"/>
      <c r="H54" s="694"/>
      <c r="I54" s="694"/>
    </row>
  </sheetData>
  <mergeCells count="43">
    <mergeCell ref="A53:I53"/>
    <mergeCell ref="A54:I54"/>
    <mergeCell ref="A47:I47"/>
    <mergeCell ref="A48:I48"/>
    <mergeCell ref="A49:I49"/>
    <mergeCell ref="A50:I50"/>
    <mergeCell ref="A51:I51"/>
    <mergeCell ref="A52:I52"/>
    <mergeCell ref="A46:I46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074D-01AB-4B73-AD38-211CDAA27044}">
  <dimension ref="A1:Q91"/>
  <sheetViews>
    <sheetView topLeftCell="A42" workbookViewId="0">
      <selection activeCell="H68" sqref="H68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7225.2357090163923</v>
      </c>
      <c r="F2" s="142">
        <f>IFERROR(H53,"")</f>
        <v>4940.4562499999993</v>
      </c>
      <c r="G2" s="142">
        <f>IFERROR(H54,"")</f>
        <v>652.4944999999999</v>
      </c>
      <c r="H2" s="142">
        <f>IFERROR(H56,"")</f>
        <v>836.71749999999997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26"/>
      <c r="B4" s="726"/>
      <c r="C4" s="726"/>
      <c r="D4" s="726"/>
      <c r="E4" s="726"/>
      <c r="F4" s="726"/>
      <c r="G4" s="726"/>
      <c r="H4" s="726"/>
      <c r="I4" s="145"/>
    </row>
    <row r="5" spans="1:10" ht="19.5" customHeight="1" thickBot="1" x14ac:dyDescent="0.3">
      <c r="A5" s="727" t="s">
        <v>122</v>
      </c>
      <c r="B5" s="728"/>
      <c r="C5" s="728"/>
      <c r="D5" s="728"/>
      <c r="E5" s="728"/>
      <c r="F5" s="728"/>
      <c r="G5" s="728"/>
      <c r="H5" s="729"/>
      <c r="I5" s="146"/>
    </row>
    <row r="6" spans="1:10" ht="19.5" thickBot="1" x14ac:dyDescent="0.3">
      <c r="A6" s="146"/>
      <c r="B6" s="146"/>
      <c r="C6" s="146"/>
      <c r="D6" s="146"/>
      <c r="E6" s="146"/>
      <c r="F6" s="730" t="s">
        <v>123</v>
      </c>
      <c r="G6" s="730"/>
      <c r="H6" s="147">
        <f ca="1">TODAY()</f>
        <v>45741</v>
      </c>
      <c r="I6" s="147"/>
    </row>
    <row r="7" spans="1:10" ht="26.25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>
        <v>0</v>
      </c>
      <c r="B8" s="141" t="s">
        <v>87</v>
      </c>
      <c r="C8" s="154">
        <f>+A8</f>
        <v>0</v>
      </c>
      <c r="D8" s="155" t="s">
        <v>181</v>
      </c>
      <c r="E8" s="155">
        <v>352</v>
      </c>
      <c r="F8" s="155">
        <f>IFERROR(C8*E8,"")</f>
        <v>0</v>
      </c>
      <c r="G8" s="156">
        <f t="shared" ref="G8:G14" si="0">IFERROR(F8/$F$66,"")</f>
        <v>0</v>
      </c>
      <c r="H8" s="157"/>
      <c r="I8" s="157"/>
      <c r="J8" s="158"/>
    </row>
    <row r="9" spans="1:10" ht="13.5" hidden="1" x14ac:dyDescent="0.25">
      <c r="A9" s="153">
        <v>0</v>
      </c>
      <c r="B9" s="141" t="s">
        <v>88</v>
      </c>
      <c r="C9" s="154">
        <f t="shared" ref="C9:C14" si="1">+A9</f>
        <v>0</v>
      </c>
      <c r="D9" s="155" t="s">
        <v>181</v>
      </c>
      <c r="E9" s="155">
        <v>352</v>
      </c>
      <c r="F9" s="155">
        <f t="shared" ref="F9:F14" si="2">IFERROR(C9*E9,"")</f>
        <v>0</v>
      </c>
      <c r="G9" s="156">
        <f t="shared" si="0"/>
        <v>0</v>
      </c>
      <c r="H9" s="157"/>
      <c r="I9" s="157"/>
      <c r="J9" s="158"/>
    </row>
    <row r="10" spans="1:10" ht="13.5" x14ac:dyDescent="0.25">
      <c r="A10" s="153">
        <v>3</v>
      </c>
      <c r="B10" s="141" t="s">
        <v>90</v>
      </c>
      <c r="C10" s="154">
        <f t="shared" si="1"/>
        <v>3</v>
      </c>
      <c r="D10" s="155" t="s">
        <v>181</v>
      </c>
      <c r="E10" s="155">
        <v>85</v>
      </c>
      <c r="F10" s="155">
        <f t="shared" si="2"/>
        <v>255</v>
      </c>
      <c r="G10" s="156">
        <f t="shared" si="0"/>
        <v>4.2522963286069554E-2</v>
      </c>
      <c r="H10" s="157"/>
      <c r="I10" s="157"/>
      <c r="J10" s="158"/>
    </row>
    <row r="11" spans="1:10" ht="13.5" x14ac:dyDescent="0.25">
      <c r="A11" s="153">
        <v>2</v>
      </c>
      <c r="B11" s="141" t="s">
        <v>91</v>
      </c>
      <c r="C11" s="154">
        <f t="shared" si="1"/>
        <v>2</v>
      </c>
      <c r="D11" s="155" t="s">
        <v>181</v>
      </c>
      <c r="E11" s="155">
        <v>85</v>
      </c>
      <c r="F11" s="155">
        <f t="shared" si="2"/>
        <v>170</v>
      </c>
      <c r="G11" s="156">
        <f t="shared" si="0"/>
        <v>2.8348642190713036E-2</v>
      </c>
      <c r="H11" s="157"/>
      <c r="I11" s="157"/>
      <c r="J11" s="158"/>
    </row>
    <row r="12" spans="1:10" ht="13.5" x14ac:dyDescent="0.25">
      <c r="A12" s="153">
        <v>1</v>
      </c>
      <c r="B12" s="141" t="s">
        <v>188</v>
      </c>
      <c r="C12" s="154">
        <f t="shared" si="1"/>
        <v>1</v>
      </c>
      <c r="D12" s="155" t="s">
        <v>181</v>
      </c>
      <c r="E12" s="155">
        <v>413</v>
      </c>
      <c r="F12" s="155">
        <f t="shared" si="2"/>
        <v>413</v>
      </c>
      <c r="G12" s="156">
        <f t="shared" si="0"/>
        <v>6.8870524851555787E-2</v>
      </c>
      <c r="H12" s="157"/>
      <c r="I12" s="157"/>
      <c r="J12" s="158"/>
    </row>
    <row r="13" spans="1:10" ht="13.5" x14ac:dyDescent="0.25">
      <c r="A13" s="516">
        <v>20</v>
      </c>
      <c r="B13" s="515" t="str">
        <f>IFERROR(VLOOKUP(H13,'[1]Consolidado MP Planta'!$A$2:$M$823,3,0),"")</f>
        <v>CREMA BETTERCREAM DOBLE CHOCO (UND:4 K)</v>
      </c>
      <c r="C13" s="154">
        <f t="shared" si="1"/>
        <v>20</v>
      </c>
      <c r="D13" s="155" t="str">
        <f>IFERROR(VLOOKUP(H13,'[1]Consolidado MP Planta'!$A$2:$M$823,13,0),"")</f>
        <v>Gramos</v>
      </c>
      <c r="E13" s="155">
        <v>2.5</v>
      </c>
      <c r="F13" s="155">
        <f t="shared" si="2"/>
        <v>50</v>
      </c>
      <c r="G13" s="156">
        <f t="shared" si="0"/>
        <v>8.337835938445011E-3</v>
      </c>
      <c r="H13" s="157" t="s">
        <v>483</v>
      </c>
      <c r="I13" s="157"/>
      <c r="J13" s="158"/>
    </row>
    <row r="14" spans="1:10" ht="13.5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1</v>
      </c>
      <c r="B17" s="141" t="s">
        <v>481</v>
      </c>
      <c r="C17" s="154">
        <f>+A17</f>
        <v>1</v>
      </c>
      <c r="D17" s="154" t="s">
        <v>174</v>
      </c>
      <c r="E17" s="155">
        <f>+'Costo Rosquete 450'!H53</f>
        <v>837.35624999999993</v>
      </c>
      <c r="F17" s="155">
        <f>IFERROR(E17*C17,"")</f>
        <v>837.35624999999993</v>
      </c>
      <c r="G17" s="156">
        <f t="shared" ref="G17:G24" si="3">IFERROR(F17/$F$66,"")</f>
        <v>0.1396347806906309</v>
      </c>
      <c r="H17" s="157"/>
      <c r="I17" s="157"/>
      <c r="J17" s="158"/>
    </row>
    <row r="18" spans="1:12" ht="13.5" x14ac:dyDescent="0.25">
      <c r="A18" s="153">
        <v>160</v>
      </c>
      <c r="B18" s="141" t="str">
        <f>IFERROR(VLOOKUP(H18,[1]SEMIELABORADOS!$A$2:$M$6000,2,0),"")</f>
        <v>MEZCLA TRES LECHES C/BAILEYS LITRO</v>
      </c>
      <c r="C18" s="154">
        <f t="shared" ref="C18:C24" si="4">+A18</f>
        <v>160</v>
      </c>
      <c r="D18" s="154" t="str">
        <f>IFERROR(VLOOKUP(H18,[1]SEMIELABORADOS!$A$2:$M$6000,6,0),"")</f>
        <v>Gramo</v>
      </c>
      <c r="E18" s="155">
        <v>7.9</v>
      </c>
      <c r="F18" s="155">
        <f t="shared" ref="F18:F24" si="5">IFERROR(E18*C18,"")</f>
        <v>1264</v>
      </c>
      <c r="G18" s="156">
        <f t="shared" si="3"/>
        <v>0.21078049252388986</v>
      </c>
      <c r="H18" s="157" t="s">
        <v>175</v>
      </c>
      <c r="I18" s="157"/>
      <c r="J18" s="158"/>
    </row>
    <row r="19" spans="1:12" ht="13.5" x14ac:dyDescent="0.25">
      <c r="A19" s="153">
        <v>100</v>
      </c>
      <c r="B19" s="141" t="str">
        <f>IFERROR(VLOOKUP(H19,[1]SEMIELABORADOS!$A$2:$M$6000,2,0),"")</f>
        <v>GANACHE BAILEYS (KILO)</v>
      </c>
      <c r="C19" s="154">
        <f>+A19</f>
        <v>100</v>
      </c>
      <c r="D19" s="154" t="str">
        <f>IFERROR(VLOOKUP(H19,[1]SEMIELABORADOS!$A$2:$M$6000,6,0),"")</f>
        <v>Gramo</v>
      </c>
      <c r="E19" s="155">
        <v>4.88</v>
      </c>
      <c r="F19" s="155">
        <f>IFERROR(E19*C19,"")</f>
        <v>488</v>
      </c>
      <c r="G19" s="156">
        <f t="shared" si="3"/>
        <v>8.1377278759223307E-2</v>
      </c>
      <c r="H19" s="157" t="s">
        <v>176</v>
      </c>
      <c r="I19" s="157"/>
      <c r="J19" s="158"/>
    </row>
    <row r="20" spans="1:12" ht="13.5" x14ac:dyDescent="0.25">
      <c r="A20" s="153">
        <v>230</v>
      </c>
      <c r="B20" s="141" t="s">
        <v>85</v>
      </c>
      <c r="C20" s="154">
        <f>+A20</f>
        <v>230</v>
      </c>
      <c r="D20" s="154" t="s">
        <v>180</v>
      </c>
      <c r="E20" s="155">
        <v>2.94</v>
      </c>
      <c r="F20" s="155">
        <f>IFERROR(E20*C20,"")</f>
        <v>676.19999999999993</v>
      </c>
      <c r="G20" s="156">
        <f t="shared" si="3"/>
        <v>0.11276089323153031</v>
      </c>
      <c r="H20" s="157" t="s">
        <v>177</v>
      </c>
      <c r="I20" s="157"/>
      <c r="J20" s="158"/>
    </row>
    <row r="21" spans="1:12" ht="13.5" x14ac:dyDescent="0.25">
      <c r="A21" s="153">
        <v>50</v>
      </c>
      <c r="B21" s="141" t="s">
        <v>83</v>
      </c>
      <c r="C21" s="154">
        <f>+A21</f>
        <v>50</v>
      </c>
      <c r="D21" s="154" t="s">
        <v>180</v>
      </c>
      <c r="E21" s="155">
        <v>2.7</v>
      </c>
      <c r="F21" s="155">
        <f>IFERROR(E21*C21,"")</f>
        <v>135</v>
      </c>
      <c r="G21" s="156">
        <f t="shared" si="3"/>
        <v>2.2512157033801529E-2</v>
      </c>
      <c r="H21" s="157" t="s">
        <v>178</v>
      </c>
      <c r="I21" s="157"/>
      <c r="J21" s="158"/>
    </row>
    <row r="22" spans="1:12" ht="13.5" x14ac:dyDescent="0.25">
      <c r="A22" s="153">
        <v>150</v>
      </c>
      <c r="B22" s="141" t="str">
        <f>IFERROR(VLOOKUP(H22,[1]SEMIELABORADOS!$A$2:$M$6000,2,0),"")</f>
        <v>CREMA BEIDGE (KILO)</v>
      </c>
      <c r="C22" s="154">
        <f t="shared" si="4"/>
        <v>150</v>
      </c>
      <c r="D22" s="154" t="str">
        <f>IFERROR(VLOOKUP(H22,[1]SEMIELABORADOS!$A$2:$M$6000,6,0),"")</f>
        <v>Gramo</v>
      </c>
      <c r="E22" s="155">
        <v>2.2400000000000002</v>
      </c>
      <c r="F22" s="155">
        <f t="shared" si="5"/>
        <v>336.00000000000006</v>
      </c>
      <c r="G22" s="156">
        <f t="shared" si="3"/>
        <v>5.6030257506350482E-2</v>
      </c>
      <c r="H22" s="157" t="s">
        <v>179</v>
      </c>
      <c r="I22" s="157"/>
      <c r="J22" s="158"/>
    </row>
    <row r="23" spans="1:12" ht="13.5" x14ac:dyDescent="0.25">
      <c r="A23" s="153">
        <v>130</v>
      </c>
      <c r="B23" s="141" t="s">
        <v>93</v>
      </c>
      <c r="C23" s="154">
        <f t="shared" si="4"/>
        <v>130</v>
      </c>
      <c r="D23" s="154" t="s">
        <v>180</v>
      </c>
      <c r="E23" s="155">
        <v>2.4300000000000002</v>
      </c>
      <c r="F23" s="155">
        <f t="shared" si="5"/>
        <v>315.90000000000003</v>
      </c>
      <c r="G23" s="156">
        <f t="shared" si="3"/>
        <v>5.2678447459095584E-2</v>
      </c>
      <c r="H23" s="157" t="s">
        <v>182</v>
      </c>
      <c r="I23" s="157"/>
      <c r="J23" s="158"/>
    </row>
    <row r="24" spans="1:12" ht="13.5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1</v>
      </c>
      <c r="B27" s="159" t="str">
        <f>IFERROR(VLOOKUP(H27,'[1]Consolidado MP Planta'!$A$2:$M$823,3,0),"")</f>
        <v>QUEQUERA RED  BASE/DOMO 10 (CAJA:50)</v>
      </c>
      <c r="C27" s="154">
        <f t="shared" ref="C27:C32" si="6">+A27</f>
        <v>1</v>
      </c>
      <c r="D27" s="155" t="str">
        <f>IFERROR(VLOOKUP(H27,'[1]Consolidado MP Planta'!$A$2:$M$823,13,0),"")</f>
        <v>UND</v>
      </c>
      <c r="E27" s="155">
        <v>346</v>
      </c>
      <c r="F27" s="155">
        <f t="shared" ref="F27:F32" si="7">IFERROR(C27*E27,"")</f>
        <v>346</v>
      </c>
      <c r="G27" s="156">
        <f t="shared" ref="G27:G32" si="8">IFERROR(F27/$F$66,"")</f>
        <v>5.7697824694039473E-2</v>
      </c>
      <c r="H27" s="160" t="s">
        <v>184</v>
      </c>
      <c r="I27" s="160"/>
      <c r="J27" s="158"/>
      <c r="K27" s="720"/>
      <c r="L27" s="720"/>
    </row>
    <row r="28" spans="1:12" ht="13.5" x14ac:dyDescent="0.25">
      <c r="A28" s="153">
        <v>1</v>
      </c>
      <c r="B28" s="159" t="str">
        <f>IFERROR(VLOOKUP(H28,'[1]Consolidado MP Planta'!$A$2:$M$823,3,0),"")</f>
        <v>ORLA CARTON 10" DORADA (UND)</v>
      </c>
      <c r="C28" s="154">
        <f t="shared" si="6"/>
        <v>1</v>
      </c>
      <c r="D28" s="155" t="str">
        <f>IFERROR(VLOOKUP(H28,'[1]Consolidado MP Planta'!$A$2:$M$823,13,0),"")</f>
        <v>Und</v>
      </c>
      <c r="E28" s="155">
        <v>117</v>
      </c>
      <c r="F28" s="155">
        <f t="shared" si="7"/>
        <v>117</v>
      </c>
      <c r="G28" s="156">
        <f t="shared" si="8"/>
        <v>1.9510536095961324E-2</v>
      </c>
      <c r="H28" s="160" t="s">
        <v>185</v>
      </c>
      <c r="I28" s="160"/>
      <c r="J28" s="158"/>
      <c r="K28" s="720"/>
      <c r="L28" s="720"/>
    </row>
    <row r="29" spans="1:12" ht="13.5" x14ac:dyDescent="0.25">
      <c r="A29" s="153">
        <v>1</v>
      </c>
      <c r="B29" s="159" t="str">
        <f>IFERROR(VLOOKUP(H29,'[1]Consolidado MP Planta'!$A$2:$M$823,3,0),"")</f>
        <v>ETIQ.BLANCA 1 1/4 * 3/4 (UND)</v>
      </c>
      <c r="C29" s="154">
        <f t="shared" si="6"/>
        <v>1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0.57999999999999996</v>
      </c>
      <c r="G29" s="156">
        <f t="shared" si="8"/>
        <v>9.6718896885962123E-5</v>
      </c>
      <c r="H29" s="160" t="s">
        <v>109</v>
      </c>
      <c r="I29" s="160"/>
      <c r="J29" s="158"/>
      <c r="K29" s="720"/>
      <c r="L29" s="720"/>
    </row>
    <row r="30" spans="1:12" ht="13.5" x14ac:dyDescent="0.25">
      <c r="A30" s="153">
        <v>1</v>
      </c>
      <c r="B30" s="159" t="str">
        <f>IFERROR(VLOOKUP(H30,'[1]Consolidado MP Planta'!$A$2:$M$823,3,0),"")</f>
        <v>ETIQUETA BLANCA R-153 (UND)</v>
      </c>
      <c r="C30" s="154">
        <f t="shared" si="6"/>
        <v>1</v>
      </c>
      <c r="D30" s="155" t="str">
        <f>IFERROR(VLOOKUP(H30,'[1]Consolidado MP Planta'!$A$2:$M$823,13,0),"")</f>
        <v>Und</v>
      </c>
      <c r="E30" s="155">
        <f>IFERROR(VLOOKUP(H30,'[1]Consolidado MP Planta'!$A$2:$M$823,12,0),"")</f>
        <v>0.39</v>
      </c>
      <c r="F30" s="155">
        <f t="shared" si="7"/>
        <v>0.39</v>
      </c>
      <c r="G30" s="156">
        <f t="shared" si="8"/>
        <v>6.5035120319871081E-5</v>
      </c>
      <c r="H30" s="160" t="s">
        <v>186</v>
      </c>
      <c r="I30" s="160"/>
      <c r="J30" s="158"/>
      <c r="K30" s="720"/>
      <c r="L30" s="720"/>
    </row>
    <row r="31" spans="1:12" ht="13.5" x14ac:dyDescent="0.25">
      <c r="A31" s="153">
        <v>1</v>
      </c>
      <c r="B31" s="159" t="str">
        <f>IFERROR(VLOOKUP(H31,'[1]Consolidado MP Planta'!$A$2:$M$823,3,0),"")</f>
        <v>ETIQUETA BLANCA 2 5/8X1 15/16 (UND)</v>
      </c>
      <c r="C31" s="154">
        <f t="shared" si="6"/>
        <v>1</v>
      </c>
      <c r="D31" s="155" t="str">
        <f>IFERROR(VLOOKUP(H31,'[1]Consolidado MP Planta'!$A$2:$M$823,13,0),"")</f>
        <v>Und</v>
      </c>
      <c r="E31" s="155">
        <f>IFERROR(VLOOKUP(H31,'[1]Consolidado MP Planta'!$A$2:$M$823,12,0),"")</f>
        <v>2.1280000000000001</v>
      </c>
      <c r="F31" s="155">
        <f t="shared" si="7"/>
        <v>2.1280000000000001</v>
      </c>
      <c r="G31" s="156">
        <f t="shared" si="8"/>
        <v>3.5485829754021967E-4</v>
      </c>
      <c r="H31" s="160" t="s">
        <v>57</v>
      </c>
      <c r="I31" s="160"/>
      <c r="J31" s="158"/>
      <c r="K31" s="161"/>
      <c r="L31" s="162"/>
    </row>
    <row r="32" spans="1:12" ht="13.5" x14ac:dyDescent="0.25">
      <c r="A32" s="153">
        <v>1</v>
      </c>
      <c r="B32" s="159" t="s">
        <v>65</v>
      </c>
      <c r="C32" s="154">
        <f t="shared" si="6"/>
        <v>1</v>
      </c>
      <c r="D32" s="155" t="s">
        <v>181</v>
      </c>
      <c r="E32" s="155">
        <v>110</v>
      </c>
      <c r="F32" s="155">
        <f t="shared" si="7"/>
        <v>110</v>
      </c>
      <c r="G32" s="156">
        <f t="shared" si="8"/>
        <v>1.8343239064579023E-2</v>
      </c>
      <c r="H32" s="160" t="s">
        <v>187</v>
      </c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 t="shared" ref="A35:A41" si="9">+A17</f>
        <v>1</v>
      </c>
      <c r="B35" s="159" t="s">
        <v>481</v>
      </c>
      <c r="C35" s="154">
        <f>+A35</f>
        <v>1</v>
      </c>
      <c r="D35" s="155" t="s">
        <v>181</v>
      </c>
      <c r="E35" s="155">
        <f>+'Costo Rosquete 450'!H54</f>
        <v>10.381500000000001</v>
      </c>
      <c r="F35" s="155">
        <f>IFERROR(E35*C35,"")</f>
        <v>10.381500000000001</v>
      </c>
      <c r="G35" s="156">
        <f t="shared" ref="G35:G41" si="10">IFERROR(F35/$F$66,"")</f>
        <v>1.7311848758993376E-3</v>
      </c>
      <c r="H35" s="160"/>
      <c r="I35" s="160"/>
      <c r="J35" s="158"/>
    </row>
    <row r="36" spans="1:13" ht="13.5" x14ac:dyDescent="0.25">
      <c r="A36" s="153">
        <f t="shared" si="9"/>
        <v>160</v>
      </c>
      <c r="B36" s="159" t="str">
        <f>IFERROR(VLOOKUP(H36,[1]SEMIELABORADOS!$A$2:$M$6000,2,0),"")</f>
        <v>MEZCLA TRES LECHES C/BAILEYS LITRO</v>
      </c>
      <c r="C36" s="154">
        <f t="shared" ref="C36:C41" si="11">+A36</f>
        <v>160</v>
      </c>
      <c r="D36" s="155" t="str">
        <f>IFERROR(VLOOKUP(H36,[1]SEMIELABORADOS!$A$2:$M$6000,6,0),"")</f>
        <v>Gramo</v>
      </c>
      <c r="E36" s="155">
        <v>0</v>
      </c>
      <c r="F36" s="155">
        <f t="shared" ref="F36:F41" si="12">IFERROR(E36*C36,"")</f>
        <v>0</v>
      </c>
      <c r="G36" s="156">
        <f t="shared" si="10"/>
        <v>0</v>
      </c>
      <c r="H36" s="160" t="s">
        <v>175</v>
      </c>
      <c r="I36" s="160"/>
      <c r="J36" s="158"/>
    </row>
    <row r="37" spans="1:13" ht="13.5" x14ac:dyDescent="0.25">
      <c r="A37" s="153">
        <f t="shared" si="9"/>
        <v>100</v>
      </c>
      <c r="B37" s="159" t="str">
        <f>IFERROR(VLOOKUP(H37,[1]SEMIELABORADOS!$A$2:$M$6000,2,0),"")</f>
        <v>GANACHE BAILEYS (KILO)</v>
      </c>
      <c r="C37" s="154">
        <f t="shared" si="11"/>
        <v>100</v>
      </c>
      <c r="D37" s="155" t="str">
        <f>IFERROR(VLOOKUP(H37,[1]SEMIELABORADOS!$A$2:$M$6000,6,0),"")</f>
        <v>Gramo</v>
      </c>
      <c r="E37" s="155">
        <v>0.02</v>
      </c>
      <c r="F37" s="155">
        <f t="shared" si="12"/>
        <v>2</v>
      </c>
      <c r="G37" s="156">
        <f t="shared" si="10"/>
        <v>3.3351343753780044E-4</v>
      </c>
      <c r="H37" s="160" t="s">
        <v>176</v>
      </c>
      <c r="I37" s="160"/>
      <c r="J37" s="158"/>
    </row>
    <row r="38" spans="1:13" ht="13.5" x14ac:dyDescent="0.25">
      <c r="A38" s="153">
        <f t="shared" si="9"/>
        <v>230</v>
      </c>
      <c r="B38" s="159" t="s">
        <v>85</v>
      </c>
      <c r="C38" s="154">
        <f>+A38</f>
        <v>230</v>
      </c>
      <c r="D38" s="155" t="s">
        <v>180</v>
      </c>
      <c r="E38" s="155">
        <v>0.09</v>
      </c>
      <c r="F38" s="155">
        <f>IFERROR(E38*C38,"")</f>
        <v>20.7</v>
      </c>
      <c r="G38" s="156">
        <f t="shared" si="10"/>
        <v>3.4518640785162341E-3</v>
      </c>
      <c r="H38" s="160" t="s">
        <v>177</v>
      </c>
      <c r="I38" s="160"/>
      <c r="J38" s="158"/>
    </row>
    <row r="39" spans="1:13" ht="13.5" x14ac:dyDescent="0.25">
      <c r="A39" s="153">
        <f t="shared" si="9"/>
        <v>50</v>
      </c>
      <c r="B39" s="159" t="s">
        <v>83</v>
      </c>
      <c r="C39" s="154">
        <f>+A39</f>
        <v>50</v>
      </c>
      <c r="D39" s="155" t="s">
        <v>180</v>
      </c>
      <c r="E39" s="155">
        <v>0.84</v>
      </c>
      <c r="F39" s="155">
        <f>IFERROR(E39*C39,"")</f>
        <v>42</v>
      </c>
      <c r="G39" s="156">
        <f t="shared" si="10"/>
        <v>7.0037821882938086E-3</v>
      </c>
      <c r="H39" s="160" t="s">
        <v>178</v>
      </c>
      <c r="I39" s="160"/>
      <c r="J39" s="158"/>
    </row>
    <row r="40" spans="1:13" ht="13.5" x14ac:dyDescent="0.25">
      <c r="A40" s="153">
        <f t="shared" si="9"/>
        <v>150</v>
      </c>
      <c r="B40" s="159" t="str">
        <f>IFERROR(VLOOKUP(H40,[1]SEMIELABORADOS!$A$2:$M$6000,2,0),"")</f>
        <v>CREMA BEIDGE (KILO)</v>
      </c>
      <c r="C40" s="154">
        <f t="shared" si="11"/>
        <v>150</v>
      </c>
      <c r="D40" s="155" t="str">
        <f>IFERROR(VLOOKUP(H40,[1]SEMIELABORADOS!$A$2:$M$6000,6,0),"")</f>
        <v>Gramo</v>
      </c>
      <c r="E40" s="233">
        <v>1E-4</v>
      </c>
      <c r="F40" s="155">
        <f t="shared" si="12"/>
        <v>1.5000000000000001E-2</v>
      </c>
      <c r="G40" s="156">
        <f t="shared" si="10"/>
        <v>2.5013507815335032E-6</v>
      </c>
      <c r="H40" s="160" t="s">
        <v>179</v>
      </c>
      <c r="I40" s="160"/>
      <c r="J40" s="158"/>
    </row>
    <row r="41" spans="1:13" ht="13.5" x14ac:dyDescent="0.25">
      <c r="A41" s="153">
        <f t="shared" si="9"/>
        <v>130</v>
      </c>
      <c r="B41" s="159" t="s">
        <v>93</v>
      </c>
      <c r="C41" s="154">
        <f t="shared" si="11"/>
        <v>130</v>
      </c>
      <c r="D41" s="155" t="s">
        <v>183</v>
      </c>
      <c r="E41" s="155">
        <v>0.01</v>
      </c>
      <c r="F41" s="155">
        <f t="shared" si="12"/>
        <v>1.3</v>
      </c>
      <c r="G41" s="156">
        <f t="shared" si="10"/>
        <v>2.1678373439957028E-4</v>
      </c>
      <c r="H41" s="160" t="s">
        <v>182</v>
      </c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1</v>
      </c>
      <c r="B44" s="159" t="s">
        <v>481</v>
      </c>
      <c r="C44" s="154">
        <f>+A44</f>
        <v>1</v>
      </c>
      <c r="D44" s="155" t="s">
        <v>181</v>
      </c>
      <c r="E44" s="155">
        <f>+'Costo Rosquete 450'!H56</f>
        <v>31.117499999999996</v>
      </c>
      <c r="F44" s="155">
        <f>IFERROR(E44*C44,"")</f>
        <v>31.117499999999996</v>
      </c>
      <c r="G44" s="156">
        <f>IFERROR(F44/$F$66,"")</f>
        <v>5.1890521962912519E-3</v>
      </c>
      <c r="H44" s="160"/>
      <c r="I44" s="152"/>
      <c r="J44" s="158"/>
    </row>
    <row r="45" spans="1:13" ht="13.5" x14ac:dyDescent="0.25">
      <c r="A45" s="153">
        <f t="shared" ref="A45:A50" si="13">+A36</f>
        <v>160</v>
      </c>
      <c r="B45" s="159" t="str">
        <f>IFERROR(VLOOKUP(H45,[1]SEMIELABORADOS!$A$2:$M$6000,2,0),"")</f>
        <v>MEZCLA TRES LECHES C/BAILEYS LITRO</v>
      </c>
      <c r="C45" s="154">
        <f t="shared" ref="C45:C50" si="14">+A45</f>
        <v>160</v>
      </c>
      <c r="D45" s="155" t="str">
        <f>IFERROR(VLOOKUP(H45,[1]SEMIELABORADOS!$A$2:$M$6000,6,0),"")</f>
        <v>Gramo</v>
      </c>
      <c r="E45" s="155">
        <v>1.39</v>
      </c>
      <c r="F45" s="155">
        <f t="shared" ref="F45:F50" si="15">IFERROR(E45*C45,"")</f>
        <v>222.39999999999998</v>
      </c>
      <c r="G45" s="156">
        <f t="shared" ref="G45:G50" si="16">IFERROR(F45/$F$66,"")</f>
        <v>3.7086694254203405E-2</v>
      </c>
      <c r="H45" s="160" t="s">
        <v>175</v>
      </c>
      <c r="I45" s="152"/>
      <c r="J45" s="158"/>
      <c r="M45" s="163"/>
    </row>
    <row r="46" spans="1:13" ht="13.5" x14ac:dyDescent="0.25">
      <c r="A46" s="153">
        <f t="shared" si="13"/>
        <v>100</v>
      </c>
      <c r="B46" s="159" t="str">
        <f>IFERROR(VLOOKUP(H46,[1]SEMIELABORADOS!$A$2:$M$6000,2,0),"")</f>
        <v>GANACHE BAILEYS (KILO)</v>
      </c>
      <c r="C46" s="154">
        <f t="shared" si="14"/>
        <v>100</v>
      </c>
      <c r="D46" s="155" t="str">
        <f>IFERROR(VLOOKUP(H46,[1]SEMIELABORADOS!$A$2:$M$6000,6,0),"")</f>
        <v>Gramo</v>
      </c>
      <c r="E46" s="155">
        <v>0.93</v>
      </c>
      <c r="F46" s="155">
        <f t="shared" si="15"/>
        <v>93</v>
      </c>
      <c r="G46" s="156">
        <f t="shared" si="16"/>
        <v>1.550837484550772E-2</v>
      </c>
      <c r="H46" s="160" t="s">
        <v>176</v>
      </c>
      <c r="I46" s="152"/>
      <c r="J46" s="158"/>
    </row>
    <row r="47" spans="1:13" ht="13.5" x14ac:dyDescent="0.25">
      <c r="A47" s="153">
        <f t="shared" si="13"/>
        <v>230</v>
      </c>
      <c r="B47" s="159" t="s">
        <v>85</v>
      </c>
      <c r="C47" s="154">
        <f t="shared" si="14"/>
        <v>230</v>
      </c>
      <c r="D47" s="155" t="s">
        <v>180</v>
      </c>
      <c r="E47" s="155">
        <v>0.1</v>
      </c>
      <c r="F47" s="155">
        <f t="shared" si="15"/>
        <v>23</v>
      </c>
      <c r="G47" s="156">
        <f t="shared" si="16"/>
        <v>3.8354045316847051E-3</v>
      </c>
      <c r="H47" s="160" t="s">
        <v>177</v>
      </c>
      <c r="I47" s="152"/>
      <c r="J47" s="158"/>
    </row>
    <row r="48" spans="1:13" ht="13.5" x14ac:dyDescent="0.25">
      <c r="A48" s="153">
        <f t="shared" si="13"/>
        <v>50</v>
      </c>
      <c r="B48" s="159" t="s">
        <v>83</v>
      </c>
      <c r="C48" s="154">
        <f t="shared" si="14"/>
        <v>50</v>
      </c>
      <c r="D48" s="155" t="s">
        <v>180</v>
      </c>
      <c r="E48" s="155">
        <v>0.49</v>
      </c>
      <c r="F48" s="155">
        <f t="shared" si="15"/>
        <v>24.5</v>
      </c>
      <c r="G48" s="156">
        <f t="shared" si="16"/>
        <v>4.0855396098380551E-3</v>
      </c>
      <c r="H48" s="160" t="s">
        <v>178</v>
      </c>
      <c r="I48" s="152"/>
      <c r="J48" s="158"/>
    </row>
    <row r="49" spans="1:17" ht="13.5" x14ac:dyDescent="0.25">
      <c r="A49" s="153">
        <f t="shared" si="13"/>
        <v>150</v>
      </c>
      <c r="B49" s="159" t="str">
        <f>IFERROR(VLOOKUP(H49,[1]SEMIELABORADOS!$A$2:$M$6000,2,0),"")</f>
        <v>CREMA BEIDGE (KILO)</v>
      </c>
      <c r="C49" s="154">
        <f t="shared" si="14"/>
        <v>150</v>
      </c>
      <c r="D49" s="155" t="str">
        <f>IFERROR(VLOOKUP(H49,[1]SEMIELABORADOS!$A$2:$M$6000,6,0),"")</f>
        <v>Gramo</v>
      </c>
      <c r="E49" s="155">
        <v>0.84</v>
      </c>
      <c r="F49" s="155">
        <f t="shared" si="15"/>
        <v>126</v>
      </c>
      <c r="G49" s="156">
        <f t="shared" si="16"/>
        <v>2.1011346564881427E-2</v>
      </c>
      <c r="H49" s="160" t="s">
        <v>179</v>
      </c>
      <c r="I49" s="152"/>
      <c r="J49" s="158"/>
    </row>
    <row r="50" spans="1:17" ht="13.5" x14ac:dyDescent="0.25">
      <c r="A50" s="153">
        <f t="shared" si="13"/>
        <v>130</v>
      </c>
      <c r="B50" s="159" t="s">
        <v>93</v>
      </c>
      <c r="C50" s="154">
        <f t="shared" si="14"/>
        <v>130</v>
      </c>
      <c r="D50" s="155" t="s">
        <v>180</v>
      </c>
      <c r="E50" s="155">
        <v>0.09</v>
      </c>
      <c r="F50" s="155">
        <f t="shared" si="15"/>
        <v>11.7</v>
      </c>
      <c r="G50" s="156">
        <f t="shared" si="16"/>
        <v>1.9510536095961324E-3</v>
      </c>
      <c r="H50" s="159" t="s">
        <v>182</v>
      </c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305</v>
      </c>
      <c r="F51" s="155">
        <f>IFERROR(C51*E51,"")</f>
        <v>305</v>
      </c>
      <c r="G51" s="156">
        <f>IFERROR(F51/$F$66,"")</f>
        <v>5.0860799224514565E-2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21" t="s">
        <v>136</v>
      </c>
      <c r="C53" s="721"/>
      <c r="D53" s="721"/>
      <c r="E53" s="721"/>
      <c r="F53" s="167">
        <f>SUM(F8:F14,F17:F24)</f>
        <v>4940.4562499999993</v>
      </c>
      <c r="G53" s="156">
        <f>+F53/$F$66</f>
        <v>0.82385427347130524</v>
      </c>
      <c r="H53" s="168">
        <f>+F53/$D$60</f>
        <v>4940.4562499999993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21" t="s">
        <v>137</v>
      </c>
      <c r="C54" s="721"/>
      <c r="D54" s="721"/>
      <c r="E54" s="721"/>
      <c r="F54" s="167">
        <f>SUM(F27:F32,F35:F41)</f>
        <v>652.4944999999999</v>
      </c>
      <c r="G54" s="156">
        <f>+F54/$F$66</f>
        <v>0.10880784183475414</v>
      </c>
      <c r="H54" s="168">
        <f>+F54/$D$60</f>
        <v>652.4944999999999</v>
      </c>
      <c r="I54" s="168"/>
      <c r="J54" s="172"/>
      <c r="K54" s="722" t="s">
        <v>138</v>
      </c>
      <c r="L54" s="723"/>
      <c r="M54" s="723"/>
      <c r="N54" s="723"/>
      <c r="O54" s="173">
        <f>+F55</f>
        <v>5592.9507499999991</v>
      </c>
      <c r="P54" s="173"/>
      <c r="Q54" s="174"/>
    </row>
    <row r="55" spans="1:17" x14ac:dyDescent="0.2">
      <c r="A55" s="165"/>
      <c r="B55" s="721" t="s">
        <v>139</v>
      </c>
      <c r="C55" s="721"/>
      <c r="D55" s="721"/>
      <c r="E55" s="721"/>
      <c r="F55" s="167">
        <f>+F53+F54</f>
        <v>5592.9507499999991</v>
      </c>
      <c r="G55" s="156">
        <f>+F55/$F$66</f>
        <v>0.93266211530605936</v>
      </c>
      <c r="H55" s="168">
        <f>+F55/$D$60</f>
        <v>5592.9507499999991</v>
      </c>
      <c r="I55" s="168"/>
      <c r="J55" s="175"/>
      <c r="K55" s="176"/>
      <c r="M55" s="177" t="s">
        <v>140</v>
      </c>
      <c r="N55" s="178"/>
      <c r="O55" s="173">
        <f>+H56</f>
        <v>836.71749999999997</v>
      </c>
      <c r="P55" s="173"/>
      <c r="Q55" s="174"/>
    </row>
    <row r="56" spans="1:17" ht="13.5" thickBot="1" x14ac:dyDescent="0.25">
      <c r="A56" s="165"/>
      <c r="B56" s="166"/>
      <c r="C56" s="721" t="s">
        <v>141</v>
      </c>
      <c r="D56" s="721"/>
      <c r="E56" s="721"/>
      <c r="F56" s="167">
        <f>SUM(F44:F51)</f>
        <v>836.71749999999997</v>
      </c>
      <c r="G56" s="156">
        <f>+F56/$F$66</f>
        <v>0.13952826483651726</v>
      </c>
      <c r="H56" s="168">
        <f>+F56/$D$60</f>
        <v>836.71749999999997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6429.6682499999988</v>
      </c>
      <c r="P57" s="187"/>
      <c r="Q57" s="174"/>
    </row>
    <row r="58" spans="1:17" x14ac:dyDescent="0.2">
      <c r="B58" s="724" t="s">
        <v>144</v>
      </c>
      <c r="C58" s="724"/>
      <c r="D58" s="188">
        <v>1200</v>
      </c>
      <c r="E58" s="189"/>
      <c r="G58" s="156"/>
      <c r="H58" s="182">
        <f>+H56/61</f>
        <v>13.716680327868852</v>
      </c>
      <c r="I58" s="190"/>
      <c r="J58" s="175"/>
      <c r="K58" s="183"/>
      <c r="L58" s="176"/>
      <c r="M58" s="176" t="s">
        <v>145</v>
      </c>
      <c r="N58" s="191"/>
      <c r="O58" s="173">
        <f>+H59</f>
        <v>795.5674590163934</v>
      </c>
      <c r="P58" s="173"/>
      <c r="Q58" s="174"/>
    </row>
    <row r="59" spans="1:17" x14ac:dyDescent="0.2">
      <c r="B59" s="724" t="s">
        <v>146</v>
      </c>
      <c r="C59" s="724"/>
      <c r="D59" s="192">
        <v>1200</v>
      </c>
      <c r="E59" s="189"/>
      <c r="G59" s="156"/>
      <c r="H59" s="182">
        <f>+H58*58</f>
        <v>795.5674590163934</v>
      </c>
      <c r="I59" s="190"/>
      <c r="J59" s="175"/>
      <c r="K59" s="183"/>
      <c r="L59" s="176"/>
      <c r="M59" s="725" t="s">
        <v>143</v>
      </c>
      <c r="N59" s="725"/>
      <c r="O59" s="173">
        <f>SUM(O57:O58)</f>
        <v>7225.2357090163923</v>
      </c>
      <c r="P59" s="173"/>
      <c r="Q59" s="174"/>
    </row>
    <row r="60" spans="1:17" ht="13.5" thickBot="1" x14ac:dyDescent="0.25">
      <c r="B60" s="716" t="s">
        <v>147</v>
      </c>
      <c r="C60" s="716"/>
      <c r="D60" s="188">
        <f>+D58/D59</f>
        <v>1</v>
      </c>
      <c r="E60" s="189"/>
      <c r="F60" s="193"/>
      <c r="G60" s="156"/>
      <c r="H60" s="182"/>
      <c r="I60" s="190"/>
      <c r="J60" s="175"/>
      <c r="K60" s="183"/>
      <c r="L60" s="725"/>
      <c r="M60" s="725"/>
      <c r="N60" s="191"/>
      <c r="O60" s="173">
        <f>+O59*N60</f>
        <v>0</v>
      </c>
      <c r="P60" s="173"/>
      <c r="Q60" s="174"/>
    </row>
    <row r="61" spans="1:17" ht="13.5" thickBot="1" x14ac:dyDescent="0.25">
      <c r="B61" s="716" t="s">
        <v>148</v>
      </c>
      <c r="C61" s="716"/>
      <c r="D61" s="194"/>
      <c r="E61" s="189"/>
      <c r="F61" s="193"/>
      <c r="G61" s="156"/>
      <c r="H61" s="182"/>
      <c r="I61" s="190"/>
      <c r="J61" s="175"/>
      <c r="K61" s="717" t="s">
        <v>149</v>
      </c>
      <c r="L61" s="718"/>
      <c r="M61" s="718"/>
      <c r="N61" s="719"/>
      <c r="O61" s="186">
        <f>SUM(O59:O60)</f>
        <v>7225.2357090163923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05" t="s">
        <v>154</v>
      </c>
      <c r="M62" s="705"/>
      <c r="N62" s="705"/>
      <c r="O62" s="200">
        <f>+O61/D60</f>
        <v>7225.2357090163923</v>
      </c>
      <c r="P62" s="201">
        <f>+O62/D59</f>
        <v>6.0210297575136602</v>
      </c>
      <c r="Q62" s="202"/>
    </row>
    <row r="63" spans="1:17" ht="13.5" thickBot="1" x14ac:dyDescent="0.25">
      <c r="B63" s="706" t="s">
        <v>139</v>
      </c>
      <c r="C63" s="706"/>
      <c r="D63" s="706"/>
      <c r="E63" s="203">
        <f>+F63/F63</f>
        <v>1</v>
      </c>
      <c r="F63" s="204">
        <f>SUM(F55)</f>
        <v>5592.9507499999991</v>
      </c>
      <c r="G63" s="156">
        <f>+F63/$F$66</f>
        <v>0.93266211530605936</v>
      </c>
      <c r="H63" s="182"/>
      <c r="I63" s="190"/>
      <c r="K63" s="707"/>
      <c r="L63" s="708"/>
      <c r="M63" s="708"/>
      <c r="N63" s="708"/>
      <c r="O63" s="205"/>
      <c r="P63" s="206"/>
    </row>
    <row r="64" spans="1:17" ht="13.5" thickBot="1" x14ac:dyDescent="0.3">
      <c r="B64" s="709" t="s">
        <v>155</v>
      </c>
      <c r="C64" s="709"/>
      <c r="D64" s="709"/>
      <c r="E64" s="207">
        <v>0.02</v>
      </c>
      <c r="F64" s="204">
        <f>+F53*E64</f>
        <v>98.809124999999995</v>
      </c>
      <c r="G64" s="156">
        <f>+F64/$F$66</f>
        <v>1.6477085469426108E-2</v>
      </c>
      <c r="H64" s="168"/>
      <c r="I64" s="190"/>
      <c r="J64" s="208"/>
      <c r="O64" s="209"/>
      <c r="P64" s="166"/>
    </row>
    <row r="65" spans="2:13" ht="13.5" thickBot="1" x14ac:dyDescent="0.3">
      <c r="B65" s="710" t="s">
        <v>156</v>
      </c>
      <c r="C65" s="711"/>
      <c r="D65" s="210">
        <v>5</v>
      </c>
      <c r="E65" s="211">
        <v>61</v>
      </c>
      <c r="F65" s="204">
        <f>+E65*D65</f>
        <v>305</v>
      </c>
      <c r="G65" s="156">
        <f>+F65/$F$66</f>
        <v>5.0860799224514565E-2</v>
      </c>
      <c r="H65" s="168"/>
      <c r="I65" s="168"/>
      <c r="J65" s="158"/>
    </row>
    <row r="66" spans="2:13" ht="13.5" thickBot="1" x14ac:dyDescent="0.3">
      <c r="B66" s="712" t="s">
        <v>157</v>
      </c>
      <c r="C66" s="713"/>
      <c r="D66" s="713"/>
      <c r="E66" s="714"/>
      <c r="F66" s="181">
        <f>SUM(F63:F65)</f>
        <v>5996.7598749999988</v>
      </c>
      <c r="G66" s="156">
        <f>+F66/$F$66</f>
        <v>1</v>
      </c>
      <c r="H66" s="715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15"/>
      <c r="I67" s="212"/>
      <c r="J67" s="141"/>
      <c r="M67" s="141" t="s">
        <v>159</v>
      </c>
    </row>
    <row r="68" spans="2:13" ht="13.5" thickBot="1" x14ac:dyDescent="0.3">
      <c r="B68" s="700" t="s">
        <v>160</v>
      </c>
      <c r="C68" s="700"/>
      <c r="D68" s="700"/>
      <c r="E68" s="700"/>
      <c r="F68" s="700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4940.4562499999993</v>
      </c>
      <c r="D69" s="217">
        <f>+D58</f>
        <v>1200</v>
      </c>
      <c r="E69" s="218">
        <f>+C69/D69</f>
        <v>4.1170468749999998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5691.7598749999988</v>
      </c>
      <c r="D71" s="217">
        <f>+D58</f>
        <v>1200</v>
      </c>
      <c r="E71" s="222">
        <f>+C71/D71</f>
        <v>4.7431332291666655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305</v>
      </c>
      <c r="D73" s="217">
        <f>+D58</f>
        <v>1200</v>
      </c>
      <c r="E73" s="222">
        <f>+C73/D73</f>
        <v>0.25416666666666665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836.71749999999997</v>
      </c>
      <c r="D74" s="217">
        <f>+D73</f>
        <v>1200</v>
      </c>
      <c r="E74" s="218">
        <f>+C74/D74</f>
        <v>0.6972645833333333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652.4944999999999</v>
      </c>
      <c r="D76" s="217">
        <f>+D74</f>
        <v>1200</v>
      </c>
      <c r="E76" s="218">
        <f>+C76/D76</f>
        <v>0.54374541666666654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01" t="s">
        <v>167</v>
      </c>
      <c r="C78" s="702"/>
      <c r="D78" s="703"/>
      <c r="E78" s="218">
        <f>+E69+E74</f>
        <v>4.8143114583333331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00" t="s">
        <v>168</v>
      </c>
      <c r="C80" s="700"/>
      <c r="D80" s="700"/>
      <c r="E80" s="700"/>
      <c r="F80" s="700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4940.4562499999993</v>
      </c>
      <c r="D81" s="217">
        <f>+D60</f>
        <v>1</v>
      </c>
      <c r="E81" s="218">
        <f>+C81/D81</f>
        <v>4940.4562499999993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5691.7598749999988</v>
      </c>
      <c r="D83" s="217">
        <f>+D60</f>
        <v>1</v>
      </c>
      <c r="E83" s="222">
        <f>+C83/D83</f>
        <v>5691.7598749999988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305</v>
      </c>
      <c r="D85" s="217">
        <f>+D60</f>
        <v>1</v>
      </c>
      <c r="E85" s="222">
        <f>+C85/D85</f>
        <v>305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836.71749999999997</v>
      </c>
      <c r="D86" s="217">
        <f>+D85</f>
        <v>1</v>
      </c>
      <c r="E86" s="218">
        <f>+C86/D86</f>
        <v>836.71749999999997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04"/>
      <c r="B88" s="704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DDC0-38B1-4B53-B0F0-43A1A454B0B0}">
  <dimension ref="A1:I60"/>
  <sheetViews>
    <sheetView topLeftCell="A3" workbookViewId="0">
      <selection activeCell="C22" sqref="C22:C25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f>D38/D41</f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f>SUM(E10:E25)-D38</f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07" t="s">
        <v>66</v>
      </c>
      <c r="B44" s="608"/>
      <c r="C44" s="608"/>
      <c r="D44" s="608"/>
      <c r="E44" s="608"/>
      <c r="F44" s="608"/>
      <c r="G44" s="608"/>
      <c r="H44" s="608"/>
      <c r="I44" s="609"/>
    </row>
    <row r="45" spans="1:9" ht="14.4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610" t="s">
        <v>62</v>
      </c>
      <c r="B46" s="611"/>
      <c r="C46" s="611"/>
      <c r="D46" s="611"/>
      <c r="E46" s="611"/>
      <c r="F46" s="611"/>
      <c r="G46" s="611"/>
      <c r="H46" s="611"/>
      <c r="I46" s="612"/>
    </row>
    <row r="47" spans="1:9" ht="16.5" x14ac:dyDescent="0.3">
      <c r="A47" s="632" t="s">
        <v>67</v>
      </c>
      <c r="B47" s="633"/>
      <c r="C47" s="633"/>
      <c r="D47" s="633"/>
      <c r="E47" s="633"/>
      <c r="F47" s="633"/>
      <c r="G47" s="633"/>
      <c r="H47" s="633"/>
      <c r="I47" s="634"/>
    </row>
    <row r="48" spans="1:9" ht="14.45" customHeight="1" x14ac:dyDescent="0.25">
      <c r="A48" s="613" t="s">
        <v>68</v>
      </c>
      <c r="B48" s="614"/>
      <c r="C48" s="614"/>
      <c r="D48" s="614"/>
      <c r="E48" s="614"/>
      <c r="F48" s="614"/>
      <c r="G48" s="614"/>
      <c r="H48" s="614"/>
      <c r="I48" s="615"/>
    </row>
    <row r="49" spans="1:9" ht="14.45" customHeight="1" x14ac:dyDescent="0.25">
      <c r="A49" s="635" t="s">
        <v>69</v>
      </c>
      <c r="B49" s="614"/>
      <c r="C49" s="614"/>
      <c r="D49" s="614"/>
      <c r="E49" s="614"/>
      <c r="F49" s="614"/>
      <c r="G49" s="614"/>
      <c r="H49" s="614"/>
      <c r="I49" s="636"/>
    </row>
    <row r="50" spans="1:9" ht="14.45" customHeight="1" x14ac:dyDescent="0.25">
      <c r="A50" s="635" t="s">
        <v>70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/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EBD-78E6-45AE-88C2-72F61DB822D7}">
  <dimension ref="A1:I60"/>
  <sheetViews>
    <sheetView topLeftCell="A10" workbookViewId="0">
      <selection activeCell="C26" sqref="C26"/>
    </sheetView>
  </sheetViews>
  <sheetFormatPr baseColWidth="10" defaultRowHeight="15" x14ac:dyDescent="0.25"/>
  <cols>
    <col min="3" max="3" width="44.140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25.5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ht="25.5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43" t="s">
        <v>191</v>
      </c>
      <c r="B44" s="644"/>
      <c r="C44" s="644"/>
      <c r="D44" s="644"/>
      <c r="E44" s="644"/>
      <c r="F44" s="644"/>
      <c r="G44" s="644"/>
      <c r="H44" s="644"/>
      <c r="I44" s="645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46" t="s">
        <v>193</v>
      </c>
      <c r="B46" s="647"/>
      <c r="C46" s="647"/>
      <c r="D46" s="647"/>
      <c r="E46" s="647"/>
      <c r="F46" s="647"/>
      <c r="G46" s="647"/>
      <c r="H46" s="647"/>
      <c r="I46" s="648"/>
    </row>
    <row r="47" spans="1:9" ht="16.5" x14ac:dyDescent="0.3">
      <c r="A47" s="632" t="s">
        <v>194</v>
      </c>
      <c r="B47" s="633"/>
      <c r="C47" s="633"/>
      <c r="D47" s="633"/>
      <c r="E47" s="633"/>
      <c r="F47" s="633"/>
      <c r="G47" s="633"/>
      <c r="H47" s="633"/>
      <c r="I47" s="634"/>
    </row>
    <row r="48" spans="1:9" x14ac:dyDescent="0.25">
      <c r="A48" s="613" t="s">
        <v>195</v>
      </c>
      <c r="B48" s="614"/>
      <c r="C48" s="614"/>
      <c r="D48" s="614"/>
      <c r="E48" s="614"/>
      <c r="F48" s="614"/>
      <c r="G48" s="614"/>
      <c r="H48" s="614"/>
      <c r="I48" s="615"/>
    </row>
    <row r="49" spans="1:9" x14ac:dyDescent="0.25">
      <c r="A49" s="635" t="s">
        <v>196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197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 t="s">
        <v>198</v>
      </c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235A-ECC4-430D-B74B-AF98B30BBC82}">
  <dimension ref="A1:I60"/>
  <sheetViews>
    <sheetView topLeftCell="A9" workbookViewId="0">
      <selection activeCell="C22" sqref="C22"/>
    </sheetView>
  </sheetViews>
  <sheetFormatPr baseColWidth="10" defaultRowHeight="15" x14ac:dyDescent="0.25"/>
  <cols>
    <col min="3" max="3" width="43" bestFit="1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19"/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18"/>
    </row>
    <row r="3" spans="1:9" ht="18" x14ac:dyDescent="0.25">
      <c r="A3" s="595"/>
      <c r="B3" s="596"/>
      <c r="C3" s="601" t="s">
        <v>98</v>
      </c>
      <c r="D3" s="602"/>
      <c r="E3" s="602"/>
      <c r="F3" s="602"/>
      <c r="G3" s="603"/>
      <c r="H3" s="604" t="s">
        <v>30</v>
      </c>
      <c r="I3" s="588"/>
    </row>
    <row r="4" spans="1:9" ht="16.5" x14ac:dyDescent="0.3">
      <c r="A4" s="595"/>
      <c r="B4" s="596"/>
      <c r="C4" s="17" t="s">
        <v>29</v>
      </c>
      <c r="D4" s="591" t="s">
        <v>38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592" t="s">
        <v>27</v>
      </c>
      <c r="E5" s="592"/>
      <c r="F5" s="592"/>
      <c r="G5" s="592"/>
      <c r="H5" s="606"/>
      <c r="I5" s="590"/>
    </row>
    <row r="6" spans="1:9" ht="25.5" x14ac:dyDescent="0.25">
      <c r="A6" s="619" t="s">
        <v>26</v>
      </c>
      <c r="B6" s="620"/>
      <c r="C6" s="620"/>
      <c r="D6" s="621" t="s">
        <v>63</v>
      </c>
      <c r="E6" s="621"/>
      <c r="F6" s="621"/>
      <c r="G6" s="622" t="s">
        <v>25</v>
      </c>
      <c r="H6" s="622"/>
      <c r="I6" s="32" t="s">
        <v>63</v>
      </c>
    </row>
    <row r="7" spans="1:9" ht="25.5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409" t="s">
        <v>200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410" t="s">
        <v>74</v>
      </c>
      <c r="D14" s="26" t="s">
        <v>16</v>
      </c>
      <c r="E14" s="27">
        <v>140</v>
      </c>
      <c r="F14" s="28" t="s">
        <v>2</v>
      </c>
      <c r="G14" s="71"/>
      <c r="H14" s="29"/>
      <c r="I14" s="72"/>
    </row>
    <row r="15" spans="1:9" x14ac:dyDescent="0.25">
      <c r="A15" s="68">
        <v>908000048</v>
      </c>
      <c r="B15" s="23" t="s">
        <v>75</v>
      </c>
      <c r="C15" s="410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410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410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/>
      <c r="B35" s="23"/>
      <c r="C35" t="s">
        <v>199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581" t="s">
        <v>13</v>
      </c>
      <c r="B38" s="582"/>
      <c r="C38" s="583"/>
      <c r="D38" s="7">
        <v>1200</v>
      </c>
      <c r="E38" s="6" t="s">
        <v>2</v>
      </c>
      <c r="F38" s="626" t="s">
        <v>12</v>
      </c>
      <c r="G38" s="626"/>
      <c r="H38" s="627"/>
      <c r="I38" s="628"/>
    </row>
    <row r="39" spans="1:9" x14ac:dyDescent="0.25">
      <c r="A39" s="584" t="s">
        <v>11</v>
      </c>
      <c r="B39" s="585"/>
      <c r="C39" s="586"/>
      <c r="D39" s="5">
        <v>5</v>
      </c>
      <c r="E39" s="5" t="s">
        <v>10</v>
      </c>
      <c r="F39" s="587" t="s">
        <v>9</v>
      </c>
      <c r="G39" s="587"/>
      <c r="H39" s="576"/>
      <c r="I39" s="577"/>
    </row>
    <row r="40" spans="1:9" x14ac:dyDescent="0.25">
      <c r="A40" s="584" t="s">
        <v>8</v>
      </c>
      <c r="B40" s="585"/>
      <c r="C40" s="586"/>
      <c r="D40" s="14">
        <v>1</v>
      </c>
      <c r="E40" s="5" t="s">
        <v>7</v>
      </c>
      <c r="F40" s="587" t="s">
        <v>6</v>
      </c>
      <c r="G40" s="587"/>
      <c r="H40" s="576"/>
      <c r="I40" s="577"/>
    </row>
    <row r="41" spans="1:9" x14ac:dyDescent="0.25">
      <c r="A41" s="584" t="s">
        <v>5</v>
      </c>
      <c r="B41" s="585"/>
      <c r="C41" s="586"/>
      <c r="D41" s="4">
        <v>1200</v>
      </c>
      <c r="E41" s="3" t="s">
        <v>2</v>
      </c>
      <c r="F41" s="575" t="s">
        <v>4</v>
      </c>
      <c r="G41" s="575"/>
      <c r="H41" s="576"/>
      <c r="I41" s="577"/>
    </row>
    <row r="42" spans="1:9" ht="15.75" thickBot="1" x14ac:dyDescent="0.3">
      <c r="A42" s="572" t="s">
        <v>3</v>
      </c>
      <c r="B42" s="573"/>
      <c r="C42" s="574"/>
      <c r="D42" s="2">
        <v>54</v>
      </c>
      <c r="E42" s="1" t="s">
        <v>2</v>
      </c>
      <c r="F42" s="578"/>
      <c r="G42" s="578"/>
      <c r="H42" s="579"/>
      <c r="I42" s="580"/>
    </row>
    <row r="43" spans="1:9" ht="15.75" thickBot="1" x14ac:dyDescent="0.3">
      <c r="A43" s="569" t="s">
        <v>1</v>
      </c>
      <c r="B43" s="570"/>
      <c r="C43" s="570"/>
      <c r="D43" s="570"/>
      <c r="E43" s="570"/>
      <c r="F43" s="570"/>
      <c r="G43" s="570"/>
      <c r="H43" s="570"/>
      <c r="I43" s="571"/>
    </row>
    <row r="44" spans="1:9" x14ac:dyDescent="0.25">
      <c r="A44" s="643" t="s">
        <v>191</v>
      </c>
      <c r="B44" s="644"/>
      <c r="C44" s="644"/>
      <c r="D44" s="644"/>
      <c r="E44" s="644"/>
      <c r="F44" s="644"/>
      <c r="G44" s="644"/>
      <c r="H44" s="644"/>
      <c r="I44" s="645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46" t="s">
        <v>193</v>
      </c>
      <c r="B46" s="647"/>
      <c r="C46" s="647"/>
      <c r="D46" s="647"/>
      <c r="E46" s="647"/>
      <c r="F46" s="647"/>
      <c r="G46" s="647"/>
      <c r="H46" s="647"/>
      <c r="I46" s="648"/>
    </row>
    <row r="47" spans="1:9" ht="16.5" x14ac:dyDescent="0.3">
      <c r="A47" s="632" t="s">
        <v>194</v>
      </c>
      <c r="B47" s="633"/>
      <c r="C47" s="633"/>
      <c r="D47" s="633"/>
      <c r="E47" s="633"/>
      <c r="F47" s="633"/>
      <c r="G47" s="633"/>
      <c r="H47" s="633"/>
      <c r="I47" s="634"/>
    </row>
    <row r="48" spans="1:9" x14ac:dyDescent="0.25">
      <c r="A48" s="613" t="s">
        <v>195</v>
      </c>
      <c r="B48" s="614"/>
      <c r="C48" s="614"/>
      <c r="D48" s="614"/>
      <c r="E48" s="614"/>
      <c r="F48" s="614"/>
      <c r="G48" s="614"/>
      <c r="H48" s="614"/>
      <c r="I48" s="615"/>
    </row>
    <row r="49" spans="1:9" x14ac:dyDescent="0.25">
      <c r="A49" s="635" t="s">
        <v>196</v>
      </c>
      <c r="B49" s="614"/>
      <c r="C49" s="614"/>
      <c r="D49" s="614"/>
      <c r="E49" s="614"/>
      <c r="F49" s="614"/>
      <c r="G49" s="614"/>
      <c r="H49" s="614"/>
      <c r="I49" s="636"/>
    </row>
    <row r="50" spans="1:9" x14ac:dyDescent="0.25">
      <c r="A50" s="635" t="s">
        <v>197</v>
      </c>
      <c r="B50" s="614"/>
      <c r="C50" s="614"/>
      <c r="D50" s="614"/>
      <c r="E50" s="614"/>
      <c r="F50" s="614"/>
      <c r="G50" s="614"/>
      <c r="H50" s="614"/>
      <c r="I50" s="636"/>
    </row>
    <row r="51" spans="1:9" ht="15.75" thickBot="1" x14ac:dyDescent="0.3">
      <c r="A51" s="616" t="s">
        <v>198</v>
      </c>
      <c r="B51" s="617"/>
      <c r="C51" s="617"/>
      <c r="D51" s="617"/>
      <c r="E51" s="617"/>
      <c r="F51" s="617"/>
      <c r="G51" s="617"/>
      <c r="H51" s="617"/>
      <c r="I51" s="618"/>
    </row>
    <row r="52" spans="1:9" x14ac:dyDescent="0.25">
      <c r="A52" s="637" t="s">
        <v>0</v>
      </c>
      <c r="B52" s="638"/>
      <c r="C52" s="638"/>
      <c r="D52" s="638"/>
      <c r="E52" s="638"/>
      <c r="F52" s="638"/>
      <c r="G52" s="638"/>
      <c r="H52" s="638"/>
      <c r="I52" s="639"/>
    </row>
    <row r="53" spans="1:9" ht="15.75" thickBot="1" x14ac:dyDescent="0.3">
      <c r="A53" s="640"/>
      <c r="B53" s="641"/>
      <c r="C53" s="641"/>
      <c r="D53" s="641"/>
      <c r="E53" s="641"/>
      <c r="F53" s="641"/>
      <c r="G53" s="641"/>
      <c r="H53" s="641"/>
      <c r="I53" s="642"/>
    </row>
    <row r="54" spans="1:9" ht="15.75" thickBot="1" x14ac:dyDescent="0.3">
      <c r="A54" s="629"/>
      <c r="B54" s="630"/>
      <c r="C54" s="630"/>
      <c r="D54" s="630"/>
      <c r="E54" s="630"/>
      <c r="F54" s="630"/>
      <c r="G54" s="630"/>
      <c r="H54" s="630"/>
      <c r="I54" s="631"/>
    </row>
    <row r="55" spans="1:9" ht="15.75" thickBot="1" x14ac:dyDescent="0.3">
      <c r="A55" s="629"/>
      <c r="B55" s="630"/>
      <c r="C55" s="630"/>
      <c r="D55" s="630"/>
      <c r="E55" s="630"/>
      <c r="F55" s="630"/>
      <c r="G55" s="630"/>
      <c r="H55" s="630"/>
      <c r="I55" s="631"/>
    </row>
    <row r="56" spans="1:9" ht="15.75" thickBot="1" x14ac:dyDescent="0.3">
      <c r="A56" s="629"/>
      <c r="B56" s="630"/>
      <c r="C56" s="630"/>
      <c r="D56" s="630"/>
      <c r="E56" s="630"/>
      <c r="F56" s="630"/>
      <c r="G56" s="630"/>
      <c r="H56" s="630"/>
      <c r="I56" s="631"/>
    </row>
    <row r="57" spans="1:9" ht="15.75" thickBot="1" x14ac:dyDescent="0.3">
      <c r="A57" s="629"/>
      <c r="B57" s="630"/>
      <c r="C57" s="630"/>
      <c r="D57" s="630"/>
      <c r="E57" s="630"/>
      <c r="F57" s="630"/>
      <c r="G57" s="630"/>
      <c r="H57" s="630"/>
      <c r="I57" s="631"/>
    </row>
    <row r="58" spans="1:9" ht="15.75" thickBot="1" x14ac:dyDescent="0.3">
      <c r="A58" s="629"/>
      <c r="B58" s="630"/>
      <c r="C58" s="630"/>
      <c r="D58" s="630"/>
      <c r="E58" s="630"/>
      <c r="F58" s="630"/>
      <c r="G58" s="630"/>
      <c r="H58" s="630"/>
      <c r="I58" s="631"/>
    </row>
    <row r="59" spans="1:9" ht="15.75" thickBot="1" x14ac:dyDescent="0.3">
      <c r="A59" s="629"/>
      <c r="B59" s="630"/>
      <c r="C59" s="630"/>
      <c r="D59" s="630"/>
      <c r="E59" s="630"/>
      <c r="F59" s="630"/>
      <c r="G59" s="630"/>
      <c r="H59" s="630"/>
      <c r="I59" s="631"/>
    </row>
    <row r="60" spans="1:9" ht="15.75" thickBot="1" x14ac:dyDescent="0.3">
      <c r="A60" s="629"/>
      <c r="B60" s="630"/>
      <c r="C60" s="630"/>
      <c r="D60" s="630"/>
      <c r="E60" s="630"/>
      <c r="F60" s="630"/>
      <c r="G60" s="630"/>
      <c r="H60" s="630"/>
      <c r="I60" s="63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F92F-AB65-4328-ADEE-685B9CFB3CA2}">
  <dimension ref="A1:K30"/>
  <sheetViews>
    <sheetView workbookViewId="0">
      <selection activeCell="B10" sqref="B10"/>
    </sheetView>
  </sheetViews>
  <sheetFormatPr baseColWidth="10" defaultRowHeight="13.5" x14ac:dyDescent="0.25"/>
  <cols>
    <col min="1" max="1" width="16.140625" style="76" customWidth="1"/>
    <col min="2" max="2" width="14.42578125" style="76" customWidth="1"/>
    <col min="3" max="3" width="40.5703125" style="76" customWidth="1"/>
    <col min="4" max="4" width="15.5703125" style="76" customWidth="1"/>
    <col min="5" max="5" width="11.42578125" style="76"/>
    <col min="6" max="6" width="13.140625" style="76" customWidth="1"/>
    <col min="7" max="7" width="12.5703125" style="76" customWidth="1"/>
    <col min="8" max="8" width="15.5703125" style="76" customWidth="1"/>
    <col min="9" max="9" width="18.140625" style="76" customWidth="1"/>
    <col min="10" max="257" width="11.42578125" style="76"/>
    <col min="258" max="258" width="16.140625" style="76" customWidth="1"/>
    <col min="259" max="259" width="40.5703125" style="76" customWidth="1"/>
    <col min="260" max="260" width="15.5703125" style="76" customWidth="1"/>
    <col min="261" max="261" width="11.42578125" style="76"/>
    <col min="262" max="262" width="13.140625" style="76" customWidth="1"/>
    <col min="263" max="263" width="12.5703125" style="76" customWidth="1"/>
    <col min="264" max="264" width="15.5703125" style="76" customWidth="1"/>
    <col min="265" max="265" width="16" style="76" customWidth="1"/>
    <col min="266" max="513" width="11.42578125" style="76"/>
    <col min="514" max="514" width="16.140625" style="76" customWidth="1"/>
    <col min="515" max="515" width="40.5703125" style="76" customWidth="1"/>
    <col min="516" max="516" width="15.5703125" style="76" customWidth="1"/>
    <col min="517" max="517" width="11.42578125" style="76"/>
    <col min="518" max="518" width="13.140625" style="76" customWidth="1"/>
    <col min="519" max="519" width="12.5703125" style="76" customWidth="1"/>
    <col min="520" max="520" width="15.5703125" style="76" customWidth="1"/>
    <col min="521" max="521" width="16" style="76" customWidth="1"/>
    <col min="522" max="769" width="11.42578125" style="76"/>
    <col min="770" max="770" width="16.140625" style="76" customWidth="1"/>
    <col min="771" max="771" width="40.5703125" style="76" customWidth="1"/>
    <col min="772" max="772" width="15.5703125" style="76" customWidth="1"/>
    <col min="773" max="773" width="11.42578125" style="76"/>
    <col min="774" max="774" width="13.140625" style="76" customWidth="1"/>
    <col min="775" max="775" width="12.5703125" style="76" customWidth="1"/>
    <col min="776" max="776" width="15.5703125" style="76" customWidth="1"/>
    <col min="777" max="777" width="16" style="76" customWidth="1"/>
    <col min="778" max="1025" width="11.42578125" style="76"/>
    <col min="1026" max="1026" width="16.140625" style="76" customWidth="1"/>
    <col min="1027" max="1027" width="40.5703125" style="76" customWidth="1"/>
    <col min="1028" max="1028" width="15.5703125" style="76" customWidth="1"/>
    <col min="1029" max="1029" width="11.42578125" style="76"/>
    <col min="1030" max="1030" width="13.140625" style="76" customWidth="1"/>
    <col min="1031" max="1031" width="12.5703125" style="76" customWidth="1"/>
    <col min="1032" max="1032" width="15.5703125" style="76" customWidth="1"/>
    <col min="1033" max="1033" width="16" style="76" customWidth="1"/>
    <col min="1034" max="1281" width="11.42578125" style="76"/>
    <col min="1282" max="1282" width="16.140625" style="76" customWidth="1"/>
    <col min="1283" max="1283" width="40.5703125" style="76" customWidth="1"/>
    <col min="1284" max="1284" width="15.5703125" style="76" customWidth="1"/>
    <col min="1285" max="1285" width="11.42578125" style="76"/>
    <col min="1286" max="1286" width="13.140625" style="76" customWidth="1"/>
    <col min="1287" max="1287" width="12.5703125" style="76" customWidth="1"/>
    <col min="1288" max="1288" width="15.5703125" style="76" customWidth="1"/>
    <col min="1289" max="1289" width="16" style="76" customWidth="1"/>
    <col min="1290" max="1537" width="11.42578125" style="76"/>
    <col min="1538" max="1538" width="16.140625" style="76" customWidth="1"/>
    <col min="1539" max="1539" width="40.5703125" style="76" customWidth="1"/>
    <col min="1540" max="1540" width="15.5703125" style="76" customWidth="1"/>
    <col min="1541" max="1541" width="11.42578125" style="76"/>
    <col min="1542" max="1542" width="13.140625" style="76" customWidth="1"/>
    <col min="1543" max="1543" width="12.5703125" style="76" customWidth="1"/>
    <col min="1544" max="1544" width="15.5703125" style="76" customWidth="1"/>
    <col min="1545" max="1545" width="16" style="76" customWidth="1"/>
    <col min="1546" max="1793" width="11.42578125" style="76"/>
    <col min="1794" max="1794" width="16.140625" style="76" customWidth="1"/>
    <col min="1795" max="1795" width="40.5703125" style="76" customWidth="1"/>
    <col min="1796" max="1796" width="15.5703125" style="76" customWidth="1"/>
    <col min="1797" max="1797" width="11.42578125" style="76"/>
    <col min="1798" max="1798" width="13.140625" style="76" customWidth="1"/>
    <col min="1799" max="1799" width="12.5703125" style="76" customWidth="1"/>
    <col min="1800" max="1800" width="15.5703125" style="76" customWidth="1"/>
    <col min="1801" max="1801" width="16" style="76" customWidth="1"/>
    <col min="1802" max="2049" width="11.42578125" style="76"/>
    <col min="2050" max="2050" width="16.140625" style="76" customWidth="1"/>
    <col min="2051" max="2051" width="40.5703125" style="76" customWidth="1"/>
    <col min="2052" max="2052" width="15.5703125" style="76" customWidth="1"/>
    <col min="2053" max="2053" width="11.42578125" style="76"/>
    <col min="2054" max="2054" width="13.140625" style="76" customWidth="1"/>
    <col min="2055" max="2055" width="12.5703125" style="76" customWidth="1"/>
    <col min="2056" max="2056" width="15.5703125" style="76" customWidth="1"/>
    <col min="2057" max="2057" width="16" style="76" customWidth="1"/>
    <col min="2058" max="2305" width="11.42578125" style="76"/>
    <col min="2306" max="2306" width="16.140625" style="76" customWidth="1"/>
    <col min="2307" max="2307" width="40.5703125" style="76" customWidth="1"/>
    <col min="2308" max="2308" width="15.5703125" style="76" customWidth="1"/>
    <col min="2309" max="2309" width="11.42578125" style="76"/>
    <col min="2310" max="2310" width="13.140625" style="76" customWidth="1"/>
    <col min="2311" max="2311" width="12.5703125" style="76" customWidth="1"/>
    <col min="2312" max="2312" width="15.5703125" style="76" customWidth="1"/>
    <col min="2313" max="2313" width="16" style="76" customWidth="1"/>
    <col min="2314" max="2561" width="11.42578125" style="76"/>
    <col min="2562" max="2562" width="16.140625" style="76" customWidth="1"/>
    <col min="2563" max="2563" width="40.5703125" style="76" customWidth="1"/>
    <col min="2564" max="2564" width="15.5703125" style="76" customWidth="1"/>
    <col min="2565" max="2565" width="11.42578125" style="76"/>
    <col min="2566" max="2566" width="13.140625" style="76" customWidth="1"/>
    <col min="2567" max="2567" width="12.5703125" style="76" customWidth="1"/>
    <col min="2568" max="2568" width="15.5703125" style="76" customWidth="1"/>
    <col min="2569" max="2569" width="16" style="76" customWidth="1"/>
    <col min="2570" max="2817" width="11.42578125" style="76"/>
    <col min="2818" max="2818" width="16.140625" style="76" customWidth="1"/>
    <col min="2819" max="2819" width="40.5703125" style="76" customWidth="1"/>
    <col min="2820" max="2820" width="15.5703125" style="76" customWidth="1"/>
    <col min="2821" max="2821" width="11.42578125" style="76"/>
    <col min="2822" max="2822" width="13.140625" style="76" customWidth="1"/>
    <col min="2823" max="2823" width="12.5703125" style="76" customWidth="1"/>
    <col min="2824" max="2824" width="15.5703125" style="76" customWidth="1"/>
    <col min="2825" max="2825" width="16" style="76" customWidth="1"/>
    <col min="2826" max="3073" width="11.42578125" style="76"/>
    <col min="3074" max="3074" width="16.140625" style="76" customWidth="1"/>
    <col min="3075" max="3075" width="40.5703125" style="76" customWidth="1"/>
    <col min="3076" max="3076" width="15.5703125" style="76" customWidth="1"/>
    <col min="3077" max="3077" width="11.42578125" style="76"/>
    <col min="3078" max="3078" width="13.140625" style="76" customWidth="1"/>
    <col min="3079" max="3079" width="12.5703125" style="76" customWidth="1"/>
    <col min="3080" max="3080" width="15.5703125" style="76" customWidth="1"/>
    <col min="3081" max="3081" width="16" style="76" customWidth="1"/>
    <col min="3082" max="3329" width="11.42578125" style="76"/>
    <col min="3330" max="3330" width="16.140625" style="76" customWidth="1"/>
    <col min="3331" max="3331" width="40.5703125" style="76" customWidth="1"/>
    <col min="3332" max="3332" width="15.5703125" style="76" customWidth="1"/>
    <col min="3333" max="3333" width="11.42578125" style="76"/>
    <col min="3334" max="3334" width="13.140625" style="76" customWidth="1"/>
    <col min="3335" max="3335" width="12.5703125" style="76" customWidth="1"/>
    <col min="3336" max="3336" width="15.5703125" style="76" customWidth="1"/>
    <col min="3337" max="3337" width="16" style="76" customWidth="1"/>
    <col min="3338" max="3585" width="11.42578125" style="76"/>
    <col min="3586" max="3586" width="16.140625" style="76" customWidth="1"/>
    <col min="3587" max="3587" width="40.5703125" style="76" customWidth="1"/>
    <col min="3588" max="3588" width="15.5703125" style="76" customWidth="1"/>
    <col min="3589" max="3589" width="11.42578125" style="76"/>
    <col min="3590" max="3590" width="13.140625" style="76" customWidth="1"/>
    <col min="3591" max="3591" width="12.5703125" style="76" customWidth="1"/>
    <col min="3592" max="3592" width="15.5703125" style="76" customWidth="1"/>
    <col min="3593" max="3593" width="16" style="76" customWidth="1"/>
    <col min="3594" max="3841" width="11.42578125" style="76"/>
    <col min="3842" max="3842" width="16.140625" style="76" customWidth="1"/>
    <col min="3843" max="3843" width="40.5703125" style="76" customWidth="1"/>
    <col min="3844" max="3844" width="15.5703125" style="76" customWidth="1"/>
    <col min="3845" max="3845" width="11.42578125" style="76"/>
    <col min="3846" max="3846" width="13.140625" style="76" customWidth="1"/>
    <col min="3847" max="3847" width="12.5703125" style="76" customWidth="1"/>
    <col min="3848" max="3848" width="15.5703125" style="76" customWidth="1"/>
    <col min="3849" max="3849" width="16" style="76" customWidth="1"/>
    <col min="3850" max="4097" width="11.42578125" style="76"/>
    <col min="4098" max="4098" width="16.140625" style="76" customWidth="1"/>
    <col min="4099" max="4099" width="40.5703125" style="76" customWidth="1"/>
    <col min="4100" max="4100" width="15.5703125" style="76" customWidth="1"/>
    <col min="4101" max="4101" width="11.42578125" style="76"/>
    <col min="4102" max="4102" width="13.140625" style="76" customWidth="1"/>
    <col min="4103" max="4103" width="12.5703125" style="76" customWidth="1"/>
    <col min="4104" max="4104" width="15.5703125" style="76" customWidth="1"/>
    <col min="4105" max="4105" width="16" style="76" customWidth="1"/>
    <col min="4106" max="4353" width="11.42578125" style="76"/>
    <col min="4354" max="4354" width="16.140625" style="76" customWidth="1"/>
    <col min="4355" max="4355" width="40.5703125" style="76" customWidth="1"/>
    <col min="4356" max="4356" width="15.5703125" style="76" customWidth="1"/>
    <col min="4357" max="4357" width="11.42578125" style="76"/>
    <col min="4358" max="4358" width="13.140625" style="76" customWidth="1"/>
    <col min="4359" max="4359" width="12.5703125" style="76" customWidth="1"/>
    <col min="4360" max="4360" width="15.5703125" style="76" customWidth="1"/>
    <col min="4361" max="4361" width="16" style="76" customWidth="1"/>
    <col min="4362" max="4609" width="11.42578125" style="76"/>
    <col min="4610" max="4610" width="16.140625" style="76" customWidth="1"/>
    <col min="4611" max="4611" width="40.5703125" style="76" customWidth="1"/>
    <col min="4612" max="4612" width="15.5703125" style="76" customWidth="1"/>
    <col min="4613" max="4613" width="11.42578125" style="76"/>
    <col min="4614" max="4614" width="13.140625" style="76" customWidth="1"/>
    <col min="4615" max="4615" width="12.5703125" style="76" customWidth="1"/>
    <col min="4616" max="4616" width="15.5703125" style="76" customWidth="1"/>
    <col min="4617" max="4617" width="16" style="76" customWidth="1"/>
    <col min="4618" max="4865" width="11.42578125" style="76"/>
    <col min="4866" max="4866" width="16.140625" style="76" customWidth="1"/>
    <col min="4867" max="4867" width="40.5703125" style="76" customWidth="1"/>
    <col min="4868" max="4868" width="15.5703125" style="76" customWidth="1"/>
    <col min="4869" max="4869" width="11.42578125" style="76"/>
    <col min="4870" max="4870" width="13.140625" style="76" customWidth="1"/>
    <col min="4871" max="4871" width="12.5703125" style="76" customWidth="1"/>
    <col min="4872" max="4872" width="15.5703125" style="76" customWidth="1"/>
    <col min="4873" max="4873" width="16" style="76" customWidth="1"/>
    <col min="4874" max="5121" width="11.42578125" style="76"/>
    <col min="5122" max="5122" width="16.140625" style="76" customWidth="1"/>
    <col min="5123" max="5123" width="40.5703125" style="76" customWidth="1"/>
    <col min="5124" max="5124" width="15.5703125" style="76" customWidth="1"/>
    <col min="5125" max="5125" width="11.42578125" style="76"/>
    <col min="5126" max="5126" width="13.140625" style="76" customWidth="1"/>
    <col min="5127" max="5127" width="12.5703125" style="76" customWidth="1"/>
    <col min="5128" max="5128" width="15.5703125" style="76" customWidth="1"/>
    <col min="5129" max="5129" width="16" style="76" customWidth="1"/>
    <col min="5130" max="5377" width="11.42578125" style="76"/>
    <col min="5378" max="5378" width="16.140625" style="76" customWidth="1"/>
    <col min="5379" max="5379" width="40.5703125" style="76" customWidth="1"/>
    <col min="5380" max="5380" width="15.5703125" style="76" customWidth="1"/>
    <col min="5381" max="5381" width="11.42578125" style="76"/>
    <col min="5382" max="5382" width="13.140625" style="76" customWidth="1"/>
    <col min="5383" max="5383" width="12.5703125" style="76" customWidth="1"/>
    <col min="5384" max="5384" width="15.5703125" style="76" customWidth="1"/>
    <col min="5385" max="5385" width="16" style="76" customWidth="1"/>
    <col min="5386" max="5633" width="11.42578125" style="76"/>
    <col min="5634" max="5634" width="16.140625" style="76" customWidth="1"/>
    <col min="5635" max="5635" width="40.5703125" style="76" customWidth="1"/>
    <col min="5636" max="5636" width="15.5703125" style="76" customWidth="1"/>
    <col min="5637" max="5637" width="11.42578125" style="76"/>
    <col min="5638" max="5638" width="13.140625" style="76" customWidth="1"/>
    <col min="5639" max="5639" width="12.5703125" style="76" customWidth="1"/>
    <col min="5640" max="5640" width="15.5703125" style="76" customWidth="1"/>
    <col min="5641" max="5641" width="16" style="76" customWidth="1"/>
    <col min="5642" max="5889" width="11.42578125" style="76"/>
    <col min="5890" max="5890" width="16.140625" style="76" customWidth="1"/>
    <col min="5891" max="5891" width="40.5703125" style="76" customWidth="1"/>
    <col min="5892" max="5892" width="15.5703125" style="76" customWidth="1"/>
    <col min="5893" max="5893" width="11.42578125" style="76"/>
    <col min="5894" max="5894" width="13.140625" style="76" customWidth="1"/>
    <col min="5895" max="5895" width="12.5703125" style="76" customWidth="1"/>
    <col min="5896" max="5896" width="15.5703125" style="76" customWidth="1"/>
    <col min="5897" max="5897" width="16" style="76" customWidth="1"/>
    <col min="5898" max="6145" width="11.42578125" style="76"/>
    <col min="6146" max="6146" width="16.140625" style="76" customWidth="1"/>
    <col min="6147" max="6147" width="40.5703125" style="76" customWidth="1"/>
    <col min="6148" max="6148" width="15.5703125" style="76" customWidth="1"/>
    <col min="6149" max="6149" width="11.42578125" style="76"/>
    <col min="6150" max="6150" width="13.140625" style="76" customWidth="1"/>
    <col min="6151" max="6151" width="12.5703125" style="76" customWidth="1"/>
    <col min="6152" max="6152" width="15.5703125" style="76" customWidth="1"/>
    <col min="6153" max="6153" width="16" style="76" customWidth="1"/>
    <col min="6154" max="6401" width="11.42578125" style="76"/>
    <col min="6402" max="6402" width="16.140625" style="76" customWidth="1"/>
    <col min="6403" max="6403" width="40.5703125" style="76" customWidth="1"/>
    <col min="6404" max="6404" width="15.5703125" style="76" customWidth="1"/>
    <col min="6405" max="6405" width="11.42578125" style="76"/>
    <col min="6406" max="6406" width="13.140625" style="76" customWidth="1"/>
    <col min="6407" max="6407" width="12.5703125" style="76" customWidth="1"/>
    <col min="6408" max="6408" width="15.5703125" style="76" customWidth="1"/>
    <col min="6409" max="6409" width="16" style="76" customWidth="1"/>
    <col min="6410" max="6657" width="11.42578125" style="76"/>
    <col min="6658" max="6658" width="16.140625" style="76" customWidth="1"/>
    <col min="6659" max="6659" width="40.5703125" style="76" customWidth="1"/>
    <col min="6660" max="6660" width="15.5703125" style="76" customWidth="1"/>
    <col min="6661" max="6661" width="11.42578125" style="76"/>
    <col min="6662" max="6662" width="13.140625" style="76" customWidth="1"/>
    <col min="6663" max="6663" width="12.5703125" style="76" customWidth="1"/>
    <col min="6664" max="6664" width="15.5703125" style="76" customWidth="1"/>
    <col min="6665" max="6665" width="16" style="76" customWidth="1"/>
    <col min="6666" max="6913" width="11.42578125" style="76"/>
    <col min="6914" max="6914" width="16.140625" style="76" customWidth="1"/>
    <col min="6915" max="6915" width="40.5703125" style="76" customWidth="1"/>
    <col min="6916" max="6916" width="15.5703125" style="76" customWidth="1"/>
    <col min="6917" max="6917" width="11.42578125" style="76"/>
    <col min="6918" max="6918" width="13.140625" style="76" customWidth="1"/>
    <col min="6919" max="6919" width="12.5703125" style="76" customWidth="1"/>
    <col min="6920" max="6920" width="15.5703125" style="76" customWidth="1"/>
    <col min="6921" max="6921" width="16" style="76" customWidth="1"/>
    <col min="6922" max="7169" width="11.42578125" style="76"/>
    <col min="7170" max="7170" width="16.140625" style="76" customWidth="1"/>
    <col min="7171" max="7171" width="40.5703125" style="76" customWidth="1"/>
    <col min="7172" max="7172" width="15.5703125" style="76" customWidth="1"/>
    <col min="7173" max="7173" width="11.42578125" style="76"/>
    <col min="7174" max="7174" width="13.140625" style="76" customWidth="1"/>
    <col min="7175" max="7175" width="12.5703125" style="76" customWidth="1"/>
    <col min="7176" max="7176" width="15.5703125" style="76" customWidth="1"/>
    <col min="7177" max="7177" width="16" style="76" customWidth="1"/>
    <col min="7178" max="7425" width="11.42578125" style="76"/>
    <col min="7426" max="7426" width="16.140625" style="76" customWidth="1"/>
    <col min="7427" max="7427" width="40.5703125" style="76" customWidth="1"/>
    <col min="7428" max="7428" width="15.5703125" style="76" customWidth="1"/>
    <col min="7429" max="7429" width="11.42578125" style="76"/>
    <col min="7430" max="7430" width="13.140625" style="76" customWidth="1"/>
    <col min="7431" max="7431" width="12.5703125" style="76" customWidth="1"/>
    <col min="7432" max="7432" width="15.5703125" style="76" customWidth="1"/>
    <col min="7433" max="7433" width="16" style="76" customWidth="1"/>
    <col min="7434" max="7681" width="11.42578125" style="76"/>
    <col min="7682" max="7682" width="16.140625" style="76" customWidth="1"/>
    <col min="7683" max="7683" width="40.5703125" style="76" customWidth="1"/>
    <col min="7684" max="7684" width="15.5703125" style="76" customWidth="1"/>
    <col min="7685" max="7685" width="11.42578125" style="76"/>
    <col min="7686" max="7686" width="13.140625" style="76" customWidth="1"/>
    <col min="7687" max="7687" width="12.5703125" style="76" customWidth="1"/>
    <col min="7688" max="7688" width="15.5703125" style="76" customWidth="1"/>
    <col min="7689" max="7689" width="16" style="76" customWidth="1"/>
    <col min="7690" max="7937" width="11.42578125" style="76"/>
    <col min="7938" max="7938" width="16.140625" style="76" customWidth="1"/>
    <col min="7939" max="7939" width="40.5703125" style="76" customWidth="1"/>
    <col min="7940" max="7940" width="15.5703125" style="76" customWidth="1"/>
    <col min="7941" max="7941" width="11.42578125" style="76"/>
    <col min="7942" max="7942" width="13.140625" style="76" customWidth="1"/>
    <col min="7943" max="7943" width="12.5703125" style="76" customWidth="1"/>
    <col min="7944" max="7944" width="15.5703125" style="76" customWidth="1"/>
    <col min="7945" max="7945" width="16" style="76" customWidth="1"/>
    <col min="7946" max="8193" width="11.42578125" style="76"/>
    <col min="8194" max="8194" width="16.140625" style="76" customWidth="1"/>
    <col min="8195" max="8195" width="40.5703125" style="76" customWidth="1"/>
    <col min="8196" max="8196" width="15.5703125" style="76" customWidth="1"/>
    <col min="8197" max="8197" width="11.42578125" style="76"/>
    <col min="8198" max="8198" width="13.140625" style="76" customWidth="1"/>
    <col min="8199" max="8199" width="12.5703125" style="76" customWidth="1"/>
    <col min="8200" max="8200" width="15.5703125" style="76" customWidth="1"/>
    <col min="8201" max="8201" width="16" style="76" customWidth="1"/>
    <col min="8202" max="8449" width="11.42578125" style="76"/>
    <col min="8450" max="8450" width="16.140625" style="76" customWidth="1"/>
    <col min="8451" max="8451" width="40.5703125" style="76" customWidth="1"/>
    <col min="8452" max="8452" width="15.5703125" style="76" customWidth="1"/>
    <col min="8453" max="8453" width="11.42578125" style="76"/>
    <col min="8454" max="8454" width="13.140625" style="76" customWidth="1"/>
    <col min="8455" max="8455" width="12.5703125" style="76" customWidth="1"/>
    <col min="8456" max="8456" width="15.5703125" style="76" customWidth="1"/>
    <col min="8457" max="8457" width="16" style="76" customWidth="1"/>
    <col min="8458" max="8705" width="11.42578125" style="76"/>
    <col min="8706" max="8706" width="16.140625" style="76" customWidth="1"/>
    <col min="8707" max="8707" width="40.5703125" style="76" customWidth="1"/>
    <col min="8708" max="8708" width="15.5703125" style="76" customWidth="1"/>
    <col min="8709" max="8709" width="11.42578125" style="76"/>
    <col min="8710" max="8710" width="13.140625" style="76" customWidth="1"/>
    <col min="8711" max="8711" width="12.5703125" style="76" customWidth="1"/>
    <col min="8712" max="8712" width="15.5703125" style="76" customWidth="1"/>
    <col min="8713" max="8713" width="16" style="76" customWidth="1"/>
    <col min="8714" max="8961" width="11.42578125" style="76"/>
    <col min="8962" max="8962" width="16.140625" style="76" customWidth="1"/>
    <col min="8963" max="8963" width="40.5703125" style="76" customWidth="1"/>
    <col min="8964" max="8964" width="15.5703125" style="76" customWidth="1"/>
    <col min="8965" max="8965" width="11.42578125" style="76"/>
    <col min="8966" max="8966" width="13.140625" style="76" customWidth="1"/>
    <col min="8967" max="8967" width="12.5703125" style="76" customWidth="1"/>
    <col min="8968" max="8968" width="15.5703125" style="76" customWidth="1"/>
    <col min="8969" max="8969" width="16" style="76" customWidth="1"/>
    <col min="8970" max="9217" width="11.42578125" style="76"/>
    <col min="9218" max="9218" width="16.140625" style="76" customWidth="1"/>
    <col min="9219" max="9219" width="40.5703125" style="76" customWidth="1"/>
    <col min="9220" max="9220" width="15.5703125" style="76" customWidth="1"/>
    <col min="9221" max="9221" width="11.42578125" style="76"/>
    <col min="9222" max="9222" width="13.140625" style="76" customWidth="1"/>
    <col min="9223" max="9223" width="12.5703125" style="76" customWidth="1"/>
    <col min="9224" max="9224" width="15.5703125" style="76" customWidth="1"/>
    <col min="9225" max="9225" width="16" style="76" customWidth="1"/>
    <col min="9226" max="9473" width="11.42578125" style="76"/>
    <col min="9474" max="9474" width="16.140625" style="76" customWidth="1"/>
    <col min="9475" max="9475" width="40.5703125" style="76" customWidth="1"/>
    <col min="9476" max="9476" width="15.5703125" style="76" customWidth="1"/>
    <col min="9477" max="9477" width="11.42578125" style="76"/>
    <col min="9478" max="9478" width="13.140625" style="76" customWidth="1"/>
    <col min="9479" max="9479" width="12.5703125" style="76" customWidth="1"/>
    <col min="9480" max="9480" width="15.5703125" style="76" customWidth="1"/>
    <col min="9481" max="9481" width="16" style="76" customWidth="1"/>
    <col min="9482" max="9729" width="11.42578125" style="76"/>
    <col min="9730" max="9730" width="16.140625" style="76" customWidth="1"/>
    <col min="9731" max="9731" width="40.5703125" style="76" customWidth="1"/>
    <col min="9732" max="9732" width="15.5703125" style="76" customWidth="1"/>
    <col min="9733" max="9733" width="11.42578125" style="76"/>
    <col min="9734" max="9734" width="13.140625" style="76" customWidth="1"/>
    <col min="9735" max="9735" width="12.5703125" style="76" customWidth="1"/>
    <col min="9736" max="9736" width="15.5703125" style="76" customWidth="1"/>
    <col min="9737" max="9737" width="16" style="76" customWidth="1"/>
    <col min="9738" max="9985" width="11.42578125" style="76"/>
    <col min="9986" max="9986" width="16.140625" style="76" customWidth="1"/>
    <col min="9987" max="9987" width="40.5703125" style="76" customWidth="1"/>
    <col min="9988" max="9988" width="15.5703125" style="76" customWidth="1"/>
    <col min="9989" max="9989" width="11.42578125" style="76"/>
    <col min="9990" max="9990" width="13.140625" style="76" customWidth="1"/>
    <col min="9991" max="9991" width="12.5703125" style="76" customWidth="1"/>
    <col min="9992" max="9992" width="15.5703125" style="76" customWidth="1"/>
    <col min="9993" max="9993" width="16" style="76" customWidth="1"/>
    <col min="9994" max="10241" width="11.42578125" style="76"/>
    <col min="10242" max="10242" width="16.140625" style="76" customWidth="1"/>
    <col min="10243" max="10243" width="40.5703125" style="76" customWidth="1"/>
    <col min="10244" max="10244" width="15.5703125" style="76" customWidth="1"/>
    <col min="10245" max="10245" width="11.42578125" style="76"/>
    <col min="10246" max="10246" width="13.140625" style="76" customWidth="1"/>
    <col min="10247" max="10247" width="12.5703125" style="76" customWidth="1"/>
    <col min="10248" max="10248" width="15.5703125" style="76" customWidth="1"/>
    <col min="10249" max="10249" width="16" style="76" customWidth="1"/>
    <col min="10250" max="10497" width="11.42578125" style="76"/>
    <col min="10498" max="10498" width="16.140625" style="76" customWidth="1"/>
    <col min="10499" max="10499" width="40.5703125" style="76" customWidth="1"/>
    <col min="10500" max="10500" width="15.5703125" style="76" customWidth="1"/>
    <col min="10501" max="10501" width="11.42578125" style="76"/>
    <col min="10502" max="10502" width="13.140625" style="76" customWidth="1"/>
    <col min="10503" max="10503" width="12.5703125" style="76" customWidth="1"/>
    <col min="10504" max="10504" width="15.5703125" style="76" customWidth="1"/>
    <col min="10505" max="10505" width="16" style="76" customWidth="1"/>
    <col min="10506" max="10753" width="11.42578125" style="76"/>
    <col min="10754" max="10754" width="16.140625" style="76" customWidth="1"/>
    <col min="10755" max="10755" width="40.5703125" style="76" customWidth="1"/>
    <col min="10756" max="10756" width="15.5703125" style="76" customWidth="1"/>
    <col min="10757" max="10757" width="11.42578125" style="76"/>
    <col min="10758" max="10758" width="13.140625" style="76" customWidth="1"/>
    <col min="10759" max="10759" width="12.5703125" style="76" customWidth="1"/>
    <col min="10760" max="10760" width="15.5703125" style="76" customWidth="1"/>
    <col min="10761" max="10761" width="16" style="76" customWidth="1"/>
    <col min="10762" max="11009" width="11.42578125" style="76"/>
    <col min="11010" max="11010" width="16.140625" style="76" customWidth="1"/>
    <col min="11011" max="11011" width="40.5703125" style="76" customWidth="1"/>
    <col min="11012" max="11012" width="15.5703125" style="76" customWidth="1"/>
    <col min="11013" max="11013" width="11.42578125" style="76"/>
    <col min="11014" max="11014" width="13.140625" style="76" customWidth="1"/>
    <col min="11015" max="11015" width="12.5703125" style="76" customWidth="1"/>
    <col min="11016" max="11016" width="15.5703125" style="76" customWidth="1"/>
    <col min="11017" max="11017" width="16" style="76" customWidth="1"/>
    <col min="11018" max="11265" width="11.42578125" style="76"/>
    <col min="11266" max="11266" width="16.140625" style="76" customWidth="1"/>
    <col min="11267" max="11267" width="40.5703125" style="76" customWidth="1"/>
    <col min="11268" max="11268" width="15.5703125" style="76" customWidth="1"/>
    <col min="11269" max="11269" width="11.42578125" style="76"/>
    <col min="11270" max="11270" width="13.140625" style="76" customWidth="1"/>
    <col min="11271" max="11271" width="12.5703125" style="76" customWidth="1"/>
    <col min="11272" max="11272" width="15.5703125" style="76" customWidth="1"/>
    <col min="11273" max="11273" width="16" style="76" customWidth="1"/>
    <col min="11274" max="11521" width="11.42578125" style="76"/>
    <col min="11522" max="11522" width="16.140625" style="76" customWidth="1"/>
    <col min="11523" max="11523" width="40.5703125" style="76" customWidth="1"/>
    <col min="11524" max="11524" width="15.5703125" style="76" customWidth="1"/>
    <col min="11525" max="11525" width="11.42578125" style="76"/>
    <col min="11526" max="11526" width="13.140625" style="76" customWidth="1"/>
    <col min="11527" max="11527" width="12.5703125" style="76" customWidth="1"/>
    <col min="11528" max="11528" width="15.5703125" style="76" customWidth="1"/>
    <col min="11529" max="11529" width="16" style="76" customWidth="1"/>
    <col min="11530" max="11777" width="11.42578125" style="76"/>
    <col min="11778" max="11778" width="16.140625" style="76" customWidth="1"/>
    <col min="11779" max="11779" width="40.5703125" style="76" customWidth="1"/>
    <col min="11780" max="11780" width="15.5703125" style="76" customWidth="1"/>
    <col min="11781" max="11781" width="11.42578125" style="76"/>
    <col min="11782" max="11782" width="13.140625" style="76" customWidth="1"/>
    <col min="11783" max="11783" width="12.5703125" style="76" customWidth="1"/>
    <col min="11784" max="11784" width="15.5703125" style="76" customWidth="1"/>
    <col min="11785" max="11785" width="16" style="76" customWidth="1"/>
    <col min="11786" max="12033" width="11.42578125" style="76"/>
    <col min="12034" max="12034" width="16.140625" style="76" customWidth="1"/>
    <col min="12035" max="12035" width="40.5703125" style="76" customWidth="1"/>
    <col min="12036" max="12036" width="15.5703125" style="76" customWidth="1"/>
    <col min="12037" max="12037" width="11.42578125" style="76"/>
    <col min="12038" max="12038" width="13.140625" style="76" customWidth="1"/>
    <col min="12039" max="12039" width="12.5703125" style="76" customWidth="1"/>
    <col min="12040" max="12040" width="15.5703125" style="76" customWidth="1"/>
    <col min="12041" max="12041" width="16" style="76" customWidth="1"/>
    <col min="12042" max="12289" width="11.42578125" style="76"/>
    <col min="12290" max="12290" width="16.140625" style="76" customWidth="1"/>
    <col min="12291" max="12291" width="40.5703125" style="76" customWidth="1"/>
    <col min="12292" max="12292" width="15.5703125" style="76" customWidth="1"/>
    <col min="12293" max="12293" width="11.42578125" style="76"/>
    <col min="12294" max="12294" width="13.140625" style="76" customWidth="1"/>
    <col min="12295" max="12295" width="12.5703125" style="76" customWidth="1"/>
    <col min="12296" max="12296" width="15.5703125" style="76" customWidth="1"/>
    <col min="12297" max="12297" width="16" style="76" customWidth="1"/>
    <col min="12298" max="12545" width="11.42578125" style="76"/>
    <col min="12546" max="12546" width="16.140625" style="76" customWidth="1"/>
    <col min="12547" max="12547" width="40.5703125" style="76" customWidth="1"/>
    <col min="12548" max="12548" width="15.5703125" style="76" customWidth="1"/>
    <col min="12549" max="12549" width="11.42578125" style="76"/>
    <col min="12550" max="12550" width="13.140625" style="76" customWidth="1"/>
    <col min="12551" max="12551" width="12.5703125" style="76" customWidth="1"/>
    <col min="12552" max="12552" width="15.5703125" style="76" customWidth="1"/>
    <col min="12553" max="12553" width="16" style="76" customWidth="1"/>
    <col min="12554" max="12801" width="11.42578125" style="76"/>
    <col min="12802" max="12802" width="16.140625" style="76" customWidth="1"/>
    <col min="12803" max="12803" width="40.5703125" style="76" customWidth="1"/>
    <col min="12804" max="12804" width="15.5703125" style="76" customWidth="1"/>
    <col min="12805" max="12805" width="11.42578125" style="76"/>
    <col min="12806" max="12806" width="13.140625" style="76" customWidth="1"/>
    <col min="12807" max="12807" width="12.5703125" style="76" customWidth="1"/>
    <col min="12808" max="12808" width="15.5703125" style="76" customWidth="1"/>
    <col min="12809" max="12809" width="16" style="76" customWidth="1"/>
    <col min="12810" max="13057" width="11.42578125" style="76"/>
    <col min="13058" max="13058" width="16.140625" style="76" customWidth="1"/>
    <col min="13059" max="13059" width="40.5703125" style="76" customWidth="1"/>
    <col min="13060" max="13060" width="15.5703125" style="76" customWidth="1"/>
    <col min="13061" max="13061" width="11.42578125" style="76"/>
    <col min="13062" max="13062" width="13.140625" style="76" customWidth="1"/>
    <col min="13063" max="13063" width="12.5703125" style="76" customWidth="1"/>
    <col min="13064" max="13064" width="15.5703125" style="76" customWidth="1"/>
    <col min="13065" max="13065" width="16" style="76" customWidth="1"/>
    <col min="13066" max="13313" width="11.42578125" style="76"/>
    <col min="13314" max="13314" width="16.140625" style="76" customWidth="1"/>
    <col min="13315" max="13315" width="40.5703125" style="76" customWidth="1"/>
    <col min="13316" max="13316" width="15.5703125" style="76" customWidth="1"/>
    <col min="13317" max="13317" width="11.42578125" style="76"/>
    <col min="13318" max="13318" width="13.140625" style="76" customWidth="1"/>
    <col min="13319" max="13319" width="12.5703125" style="76" customWidth="1"/>
    <col min="13320" max="13320" width="15.5703125" style="76" customWidth="1"/>
    <col min="13321" max="13321" width="16" style="76" customWidth="1"/>
    <col min="13322" max="13569" width="11.42578125" style="76"/>
    <col min="13570" max="13570" width="16.140625" style="76" customWidth="1"/>
    <col min="13571" max="13571" width="40.5703125" style="76" customWidth="1"/>
    <col min="13572" max="13572" width="15.5703125" style="76" customWidth="1"/>
    <col min="13573" max="13573" width="11.42578125" style="76"/>
    <col min="13574" max="13574" width="13.140625" style="76" customWidth="1"/>
    <col min="13575" max="13575" width="12.5703125" style="76" customWidth="1"/>
    <col min="13576" max="13576" width="15.5703125" style="76" customWidth="1"/>
    <col min="13577" max="13577" width="16" style="76" customWidth="1"/>
    <col min="13578" max="13825" width="11.42578125" style="76"/>
    <col min="13826" max="13826" width="16.140625" style="76" customWidth="1"/>
    <col min="13827" max="13827" width="40.5703125" style="76" customWidth="1"/>
    <col min="13828" max="13828" width="15.5703125" style="76" customWidth="1"/>
    <col min="13829" max="13829" width="11.42578125" style="76"/>
    <col min="13830" max="13830" width="13.140625" style="76" customWidth="1"/>
    <col min="13831" max="13831" width="12.5703125" style="76" customWidth="1"/>
    <col min="13832" max="13832" width="15.5703125" style="76" customWidth="1"/>
    <col min="13833" max="13833" width="16" style="76" customWidth="1"/>
    <col min="13834" max="14081" width="11.42578125" style="76"/>
    <col min="14082" max="14082" width="16.140625" style="76" customWidth="1"/>
    <col min="14083" max="14083" width="40.5703125" style="76" customWidth="1"/>
    <col min="14084" max="14084" width="15.5703125" style="76" customWidth="1"/>
    <col min="14085" max="14085" width="11.42578125" style="76"/>
    <col min="14086" max="14086" width="13.140625" style="76" customWidth="1"/>
    <col min="14087" max="14087" width="12.5703125" style="76" customWidth="1"/>
    <col min="14088" max="14088" width="15.5703125" style="76" customWidth="1"/>
    <col min="14089" max="14089" width="16" style="76" customWidth="1"/>
    <col min="14090" max="14337" width="11.42578125" style="76"/>
    <col min="14338" max="14338" width="16.140625" style="76" customWidth="1"/>
    <col min="14339" max="14339" width="40.5703125" style="76" customWidth="1"/>
    <col min="14340" max="14340" width="15.5703125" style="76" customWidth="1"/>
    <col min="14341" max="14341" width="11.42578125" style="76"/>
    <col min="14342" max="14342" width="13.140625" style="76" customWidth="1"/>
    <col min="14343" max="14343" width="12.5703125" style="76" customWidth="1"/>
    <col min="14344" max="14344" width="15.5703125" style="76" customWidth="1"/>
    <col min="14345" max="14345" width="16" style="76" customWidth="1"/>
    <col min="14346" max="14593" width="11.42578125" style="76"/>
    <col min="14594" max="14594" width="16.140625" style="76" customWidth="1"/>
    <col min="14595" max="14595" width="40.5703125" style="76" customWidth="1"/>
    <col min="14596" max="14596" width="15.5703125" style="76" customWidth="1"/>
    <col min="14597" max="14597" width="11.42578125" style="76"/>
    <col min="14598" max="14598" width="13.140625" style="76" customWidth="1"/>
    <col min="14599" max="14599" width="12.5703125" style="76" customWidth="1"/>
    <col min="14600" max="14600" width="15.5703125" style="76" customWidth="1"/>
    <col min="14601" max="14601" width="16" style="76" customWidth="1"/>
    <col min="14602" max="14849" width="11.42578125" style="76"/>
    <col min="14850" max="14850" width="16.140625" style="76" customWidth="1"/>
    <col min="14851" max="14851" width="40.5703125" style="76" customWidth="1"/>
    <col min="14852" max="14852" width="15.5703125" style="76" customWidth="1"/>
    <col min="14853" max="14853" width="11.42578125" style="76"/>
    <col min="14854" max="14854" width="13.140625" style="76" customWidth="1"/>
    <col min="14855" max="14855" width="12.5703125" style="76" customWidth="1"/>
    <col min="14856" max="14856" width="15.5703125" style="76" customWidth="1"/>
    <col min="14857" max="14857" width="16" style="76" customWidth="1"/>
    <col min="14858" max="15105" width="11.42578125" style="76"/>
    <col min="15106" max="15106" width="16.140625" style="76" customWidth="1"/>
    <col min="15107" max="15107" width="40.5703125" style="76" customWidth="1"/>
    <col min="15108" max="15108" width="15.5703125" style="76" customWidth="1"/>
    <col min="15109" max="15109" width="11.42578125" style="76"/>
    <col min="15110" max="15110" width="13.140625" style="76" customWidth="1"/>
    <col min="15111" max="15111" width="12.5703125" style="76" customWidth="1"/>
    <col min="15112" max="15112" width="15.5703125" style="76" customWidth="1"/>
    <col min="15113" max="15113" width="16" style="76" customWidth="1"/>
    <col min="15114" max="15361" width="11.42578125" style="76"/>
    <col min="15362" max="15362" width="16.140625" style="76" customWidth="1"/>
    <col min="15363" max="15363" width="40.5703125" style="76" customWidth="1"/>
    <col min="15364" max="15364" width="15.5703125" style="76" customWidth="1"/>
    <col min="15365" max="15365" width="11.42578125" style="76"/>
    <col min="15366" max="15366" width="13.140625" style="76" customWidth="1"/>
    <col min="15367" max="15367" width="12.5703125" style="76" customWidth="1"/>
    <col min="15368" max="15368" width="15.5703125" style="76" customWidth="1"/>
    <col min="15369" max="15369" width="16" style="76" customWidth="1"/>
    <col min="15370" max="15617" width="11.42578125" style="76"/>
    <col min="15618" max="15618" width="16.140625" style="76" customWidth="1"/>
    <col min="15619" max="15619" width="40.5703125" style="76" customWidth="1"/>
    <col min="15620" max="15620" width="15.5703125" style="76" customWidth="1"/>
    <col min="15621" max="15621" width="11.42578125" style="76"/>
    <col min="15622" max="15622" width="13.140625" style="76" customWidth="1"/>
    <col min="15623" max="15623" width="12.5703125" style="76" customWidth="1"/>
    <col min="15624" max="15624" width="15.5703125" style="76" customWidth="1"/>
    <col min="15625" max="15625" width="16" style="76" customWidth="1"/>
    <col min="15626" max="15873" width="11.42578125" style="76"/>
    <col min="15874" max="15874" width="16.140625" style="76" customWidth="1"/>
    <col min="15875" max="15875" width="40.5703125" style="76" customWidth="1"/>
    <col min="15876" max="15876" width="15.5703125" style="76" customWidth="1"/>
    <col min="15877" max="15877" width="11.42578125" style="76"/>
    <col min="15878" max="15878" width="13.140625" style="76" customWidth="1"/>
    <col min="15879" max="15879" width="12.5703125" style="76" customWidth="1"/>
    <col min="15880" max="15880" width="15.5703125" style="76" customWidth="1"/>
    <col min="15881" max="15881" width="16" style="76" customWidth="1"/>
    <col min="15882" max="16129" width="11.42578125" style="76"/>
    <col min="16130" max="16130" width="16.140625" style="76" customWidth="1"/>
    <col min="16131" max="16131" width="40.5703125" style="76" customWidth="1"/>
    <col min="16132" max="16132" width="15.5703125" style="76" customWidth="1"/>
    <col min="16133" max="16133" width="11.42578125" style="76"/>
    <col min="16134" max="16134" width="13.140625" style="76" customWidth="1"/>
    <col min="16135" max="16135" width="12.5703125" style="76" customWidth="1"/>
    <col min="16136" max="16136" width="15.5703125" style="76" customWidth="1"/>
    <col min="16137" max="16137" width="16" style="76" customWidth="1"/>
    <col min="16138" max="16384" width="11.42578125" style="76"/>
  </cols>
  <sheetData>
    <row r="1" spans="1:9" ht="15.75" x14ac:dyDescent="0.25">
      <c r="A1" s="593"/>
      <c r="B1" s="759"/>
      <c r="C1" s="762" t="s">
        <v>34</v>
      </c>
      <c r="D1" s="599"/>
      <c r="E1" s="599"/>
      <c r="F1" s="599"/>
      <c r="G1" s="599"/>
      <c r="H1" s="74" t="s">
        <v>33</v>
      </c>
      <c r="I1" s="75" t="s">
        <v>443</v>
      </c>
    </row>
    <row r="2" spans="1:9" ht="16.5" thickBot="1" x14ac:dyDescent="0.3">
      <c r="A2" s="595"/>
      <c r="B2" s="760"/>
      <c r="C2" s="763" t="s">
        <v>32</v>
      </c>
      <c r="D2" s="600"/>
      <c r="E2" s="600"/>
      <c r="F2" s="600"/>
      <c r="G2" s="600"/>
      <c r="H2" s="77" t="s">
        <v>31</v>
      </c>
      <c r="I2" s="78" t="s">
        <v>283</v>
      </c>
    </row>
    <row r="3" spans="1:9" ht="18.75" thickBot="1" x14ac:dyDescent="0.3">
      <c r="A3" s="595"/>
      <c r="B3" s="760"/>
      <c r="C3" s="764" t="s">
        <v>444</v>
      </c>
      <c r="D3" s="764"/>
      <c r="E3" s="764"/>
      <c r="F3" s="764"/>
      <c r="G3" s="765"/>
      <c r="H3" s="604" t="s">
        <v>30</v>
      </c>
      <c r="I3" s="588">
        <v>45235</v>
      </c>
    </row>
    <row r="4" spans="1:9" x14ac:dyDescent="0.25">
      <c r="A4" s="595"/>
      <c r="B4" s="760"/>
      <c r="C4" s="499" t="s">
        <v>29</v>
      </c>
      <c r="D4" s="650" t="s">
        <v>412</v>
      </c>
      <c r="E4" s="651"/>
      <c r="F4" s="651"/>
      <c r="G4" s="652"/>
      <c r="H4" s="605"/>
      <c r="I4" s="589"/>
    </row>
    <row r="5" spans="1:9" ht="14.25" thickBot="1" x14ac:dyDescent="0.3">
      <c r="A5" s="597"/>
      <c r="B5" s="761"/>
      <c r="C5" s="500" t="s">
        <v>28</v>
      </c>
      <c r="D5" s="756" t="s">
        <v>27</v>
      </c>
      <c r="E5" s="757"/>
      <c r="F5" s="757"/>
      <c r="G5" s="758"/>
      <c r="H5" s="605"/>
      <c r="I5" s="589"/>
    </row>
    <row r="6" spans="1:9" s="307" customFormat="1" ht="18.75" thickBot="1" x14ac:dyDescent="0.3">
      <c r="A6" s="746" t="s">
        <v>26</v>
      </c>
      <c r="B6" s="747"/>
      <c r="C6" s="747"/>
      <c r="D6" s="748" t="s">
        <v>358</v>
      </c>
      <c r="E6" s="748"/>
      <c r="F6" s="748"/>
      <c r="G6" s="749" t="s">
        <v>25</v>
      </c>
      <c r="H6" s="749"/>
      <c r="I6" s="411" t="s">
        <v>445</v>
      </c>
    </row>
    <row r="7" spans="1:9" x14ac:dyDescent="0.25">
      <c r="A7" s="750" t="s">
        <v>24</v>
      </c>
      <c r="B7" s="752" t="s">
        <v>35</v>
      </c>
      <c r="C7" s="754" t="s">
        <v>23</v>
      </c>
      <c r="D7" s="754" t="s">
        <v>22</v>
      </c>
      <c r="E7" s="754" t="s">
        <v>21</v>
      </c>
      <c r="F7" s="754"/>
      <c r="G7" s="754" t="s">
        <v>20</v>
      </c>
      <c r="H7" s="754"/>
      <c r="I7" s="81" t="s">
        <v>19</v>
      </c>
    </row>
    <row r="8" spans="1:9" ht="27" thickBot="1" x14ac:dyDescent="0.3">
      <c r="A8" s="751"/>
      <c r="B8" s="753"/>
      <c r="C8" s="755"/>
      <c r="D8" s="755"/>
      <c r="E8" s="84" t="s">
        <v>15</v>
      </c>
      <c r="F8" s="85" t="s">
        <v>18</v>
      </c>
      <c r="G8" s="84" t="s">
        <v>15</v>
      </c>
      <c r="H8" s="85" t="s">
        <v>18</v>
      </c>
      <c r="I8" s="456" t="s">
        <v>17</v>
      </c>
    </row>
    <row r="9" spans="1:9" ht="15" x14ac:dyDescent="0.25">
      <c r="A9" s="92"/>
      <c r="B9" s="92"/>
      <c r="C9" s="93"/>
      <c r="D9" s="451"/>
      <c r="E9" s="5"/>
      <c r="F9" s="114"/>
      <c r="G9" s="14"/>
      <c r="H9" s="5"/>
      <c r="I9" s="460"/>
    </row>
    <row r="10" spans="1:9" ht="15" x14ac:dyDescent="0.25">
      <c r="A10" s="92" t="s">
        <v>446</v>
      </c>
      <c r="B10" s="92" t="s">
        <v>447</v>
      </c>
      <c r="C10" s="93" t="s">
        <v>448</v>
      </c>
      <c r="D10" s="451" t="s">
        <v>16</v>
      </c>
      <c r="E10" s="5">
        <v>5000</v>
      </c>
      <c r="F10" s="114" t="s">
        <v>2</v>
      </c>
      <c r="G10" s="14"/>
      <c r="H10" s="5"/>
      <c r="I10" s="460"/>
    </row>
    <row r="11" spans="1:9" ht="15" x14ac:dyDescent="0.25">
      <c r="A11" s="92"/>
      <c r="B11" s="501"/>
      <c r="C11" s="463"/>
      <c r="D11" s="451"/>
      <c r="E11" s="5"/>
      <c r="F11" s="114"/>
      <c r="G11" s="27"/>
      <c r="H11" s="90"/>
      <c r="I11" s="502"/>
    </row>
    <row r="12" spans="1:9" ht="15" x14ac:dyDescent="0.25">
      <c r="A12" s="503"/>
      <c r="B12" s="503"/>
      <c r="C12" s="97" t="s">
        <v>100</v>
      </c>
      <c r="D12" s="98"/>
      <c r="E12" s="27"/>
      <c r="F12" s="90"/>
      <c r="G12" s="14"/>
      <c r="H12" s="5"/>
      <c r="I12" s="102"/>
    </row>
    <row r="13" spans="1:9" ht="15" x14ac:dyDescent="0.25">
      <c r="A13" s="103">
        <v>51600050</v>
      </c>
      <c r="B13" s="103" t="s">
        <v>449</v>
      </c>
      <c r="C13" s="104" t="s">
        <v>450</v>
      </c>
      <c r="D13" s="98"/>
      <c r="E13" s="27">
        <v>1</v>
      </c>
      <c r="F13" s="90" t="s">
        <v>7</v>
      </c>
      <c r="G13" s="14"/>
      <c r="H13" s="5"/>
      <c r="I13" s="102"/>
    </row>
    <row r="14" spans="1:9" ht="15" x14ac:dyDescent="0.25">
      <c r="A14" s="103">
        <v>702123</v>
      </c>
      <c r="B14" s="103" t="s">
        <v>37</v>
      </c>
      <c r="C14" s="104" t="s">
        <v>273</v>
      </c>
      <c r="D14" s="98" t="s">
        <v>418</v>
      </c>
      <c r="E14" s="14">
        <v>1</v>
      </c>
      <c r="F14" s="90" t="s">
        <v>7</v>
      </c>
      <c r="G14" s="14"/>
      <c r="H14" s="5"/>
      <c r="I14" s="102"/>
    </row>
    <row r="15" spans="1:9" ht="15" x14ac:dyDescent="0.25">
      <c r="A15" s="92"/>
      <c r="B15" s="92"/>
      <c r="C15" s="93"/>
      <c r="D15" s="98"/>
      <c r="E15" s="27"/>
      <c r="F15" s="90"/>
      <c r="G15" s="14" t="s">
        <v>451</v>
      </c>
      <c r="H15" s="5"/>
      <c r="I15" s="102"/>
    </row>
    <row r="16" spans="1:9" ht="15" x14ac:dyDescent="0.25">
      <c r="A16" s="92"/>
      <c r="B16" s="92"/>
      <c r="C16" s="93"/>
      <c r="D16" s="98"/>
      <c r="E16" s="27"/>
      <c r="F16" s="90"/>
      <c r="G16" s="14"/>
      <c r="H16" s="5"/>
      <c r="I16" s="102"/>
    </row>
    <row r="17" spans="1:11" ht="15" x14ac:dyDescent="0.25">
      <c r="A17" s="504"/>
      <c r="B17" s="505"/>
      <c r="C17" s="112"/>
      <c r="D17" s="113"/>
      <c r="E17" s="114"/>
      <c r="F17" s="114"/>
      <c r="G17" s="114"/>
      <c r="H17" s="114"/>
      <c r="I17" s="102"/>
    </row>
    <row r="18" spans="1:11" ht="14.25" thickBot="1" x14ac:dyDescent="0.3">
      <c r="A18" s="115"/>
      <c r="B18" s="116"/>
      <c r="E18" s="117"/>
      <c r="F18" s="118"/>
      <c r="I18" s="119"/>
    </row>
    <row r="19" spans="1:11" ht="14.25" thickBot="1" x14ac:dyDescent="0.3">
      <c r="A19" s="121"/>
      <c r="B19" s="122"/>
      <c r="C19" s="123"/>
      <c r="D19" s="124" t="s">
        <v>15</v>
      </c>
      <c r="E19" s="125" t="s">
        <v>14</v>
      </c>
      <c r="F19" s="126"/>
      <c r="G19" s="123"/>
      <c r="H19" s="123"/>
      <c r="I19" s="127"/>
    </row>
    <row r="20" spans="1:11" x14ac:dyDescent="0.25">
      <c r="A20" s="740" t="s">
        <v>13</v>
      </c>
      <c r="B20" s="741"/>
      <c r="C20" s="742"/>
      <c r="D20" s="27">
        <v>5000</v>
      </c>
      <c r="E20" s="129" t="s">
        <v>2</v>
      </c>
      <c r="F20" s="743" t="s">
        <v>12</v>
      </c>
      <c r="G20" s="743"/>
      <c r="H20" s="744"/>
      <c r="I20" s="745"/>
    </row>
    <row r="21" spans="1:11" x14ac:dyDescent="0.25">
      <c r="A21" s="584" t="s">
        <v>11</v>
      </c>
      <c r="B21" s="585"/>
      <c r="C21" s="586"/>
      <c r="D21" s="131">
        <v>3</v>
      </c>
      <c r="E21" s="5" t="s">
        <v>452</v>
      </c>
      <c r="F21" s="587" t="s">
        <v>9</v>
      </c>
      <c r="G21" s="587"/>
      <c r="H21" s="576"/>
      <c r="I21" s="577"/>
    </row>
    <row r="22" spans="1:11" x14ac:dyDescent="0.25">
      <c r="A22" s="584" t="s">
        <v>8</v>
      </c>
      <c r="B22" s="585"/>
      <c r="C22" s="586"/>
      <c r="D22" s="5">
        <v>1</v>
      </c>
      <c r="E22" s="5" t="s">
        <v>453</v>
      </c>
      <c r="F22" s="587" t="s">
        <v>6</v>
      </c>
      <c r="G22" s="587"/>
      <c r="H22" s="576"/>
      <c r="I22" s="577"/>
    </row>
    <row r="23" spans="1:11" x14ac:dyDescent="0.25">
      <c r="A23" s="584" t="s">
        <v>5</v>
      </c>
      <c r="B23" s="585"/>
      <c r="C23" s="586"/>
      <c r="D23" s="14">
        <f>D20/D22</f>
        <v>5000</v>
      </c>
      <c r="E23" s="5" t="s">
        <v>2</v>
      </c>
      <c r="F23" s="738" t="s">
        <v>4</v>
      </c>
      <c r="G23" s="739"/>
      <c r="H23" s="576"/>
      <c r="I23" s="577"/>
      <c r="K23" s="132"/>
    </row>
    <row r="24" spans="1:11" ht="14.25" thickBot="1" x14ac:dyDescent="0.3">
      <c r="A24" s="572" t="s">
        <v>3</v>
      </c>
      <c r="B24" s="573"/>
      <c r="C24" s="574"/>
      <c r="D24" s="494"/>
      <c r="E24" s="134" t="s">
        <v>2</v>
      </c>
      <c r="F24" s="578"/>
      <c r="G24" s="578"/>
      <c r="H24" s="579"/>
      <c r="I24" s="580"/>
    </row>
    <row r="25" spans="1:11" ht="14.25" thickBot="1" x14ac:dyDescent="0.3">
      <c r="A25" s="569" t="s">
        <v>1</v>
      </c>
      <c r="B25" s="570"/>
      <c r="C25" s="570"/>
      <c r="D25" s="570"/>
      <c r="E25" s="570"/>
      <c r="F25" s="570"/>
      <c r="G25" s="570"/>
      <c r="H25" s="570"/>
      <c r="I25" s="571"/>
    </row>
    <row r="26" spans="1:11" ht="15.75" x14ac:dyDescent="0.25">
      <c r="A26" s="735" t="s">
        <v>454</v>
      </c>
      <c r="B26" s="736"/>
      <c r="C26" s="736"/>
      <c r="D26" s="736"/>
      <c r="E26" s="736"/>
      <c r="F26" s="736"/>
      <c r="G26" s="736"/>
      <c r="H26" s="736"/>
      <c r="I26" s="737"/>
    </row>
    <row r="27" spans="1:11" ht="15.75" x14ac:dyDescent="0.25">
      <c r="A27" s="735" t="s">
        <v>455</v>
      </c>
      <c r="B27" s="736"/>
      <c r="C27" s="736"/>
      <c r="D27" s="736"/>
      <c r="E27" s="736"/>
      <c r="F27" s="736"/>
      <c r="G27" s="736"/>
      <c r="H27" s="736"/>
      <c r="I27" s="737"/>
    </row>
    <row r="28" spans="1:11" ht="14.25" thickBot="1" x14ac:dyDescent="0.3">
      <c r="A28" s="731"/>
      <c r="B28" s="732"/>
      <c r="C28" s="733"/>
      <c r="D28" s="733"/>
      <c r="E28" s="733"/>
      <c r="F28" s="733"/>
      <c r="G28" s="733"/>
      <c r="H28" s="733"/>
      <c r="I28" s="734"/>
    </row>
    <row r="29" spans="1:11" ht="14.25" thickBot="1" x14ac:dyDescent="0.3">
      <c r="A29" s="569" t="s">
        <v>216</v>
      </c>
      <c r="B29" s="570"/>
      <c r="C29" s="570"/>
      <c r="D29" s="570"/>
      <c r="E29" s="570"/>
      <c r="F29" s="570"/>
      <c r="G29" s="570"/>
      <c r="H29" s="570"/>
      <c r="I29" s="571"/>
    </row>
    <row r="30" spans="1:11" x14ac:dyDescent="0.25">
      <c r="A30" s="135" t="s">
        <v>456</v>
      </c>
      <c r="B30" s="135"/>
      <c r="C30" s="135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4901-BEC4-461F-8C52-2037E9AA7916}">
  <dimension ref="A1:M34"/>
  <sheetViews>
    <sheetView topLeftCell="A3" workbookViewId="0">
      <selection activeCell="C7" sqref="C7:C8"/>
    </sheetView>
  </sheetViews>
  <sheetFormatPr baseColWidth="10" defaultColWidth="11.42578125" defaultRowHeight="12.75" x14ac:dyDescent="0.2"/>
  <cols>
    <col min="1" max="1" width="16.140625" style="307" customWidth="1"/>
    <col min="2" max="2" width="15.7109375" style="307" customWidth="1"/>
    <col min="3" max="3" width="40.5703125" style="307" customWidth="1"/>
    <col min="4" max="4" width="15.5703125" style="307" customWidth="1"/>
    <col min="5" max="5" width="11.42578125" style="307"/>
    <col min="6" max="6" width="13.140625" style="307" customWidth="1"/>
    <col min="7" max="7" width="12.5703125" style="307" customWidth="1"/>
    <col min="8" max="8" width="18.42578125" style="307" customWidth="1"/>
    <col min="9" max="9" width="17.140625" style="307" customWidth="1"/>
    <col min="10" max="16384" width="11.42578125" style="307"/>
  </cols>
  <sheetData>
    <row r="1" spans="1:9" ht="18" x14ac:dyDescent="0.25">
      <c r="A1" s="807"/>
      <c r="B1" s="808"/>
      <c r="C1" s="813" t="s">
        <v>34</v>
      </c>
      <c r="D1" s="813"/>
      <c r="E1" s="813"/>
      <c r="F1" s="813"/>
      <c r="G1" s="813"/>
      <c r="H1" s="237" t="s">
        <v>33</v>
      </c>
      <c r="I1" s="238" t="s">
        <v>457</v>
      </c>
    </row>
    <row r="2" spans="1:9" ht="18" x14ac:dyDescent="0.25">
      <c r="A2" s="809"/>
      <c r="B2" s="810"/>
      <c r="C2" s="814" t="s">
        <v>32</v>
      </c>
      <c r="D2" s="814"/>
      <c r="E2" s="814"/>
      <c r="F2" s="814"/>
      <c r="G2" s="814"/>
      <c r="H2" s="240" t="s">
        <v>31</v>
      </c>
      <c r="I2" s="241" t="s">
        <v>202</v>
      </c>
    </row>
    <row r="3" spans="1:9" ht="50.1" customHeight="1" x14ac:dyDescent="0.2">
      <c r="A3" s="809"/>
      <c r="B3" s="810"/>
      <c r="C3" s="815" t="s">
        <v>458</v>
      </c>
      <c r="D3" s="816"/>
      <c r="E3" s="816"/>
      <c r="F3" s="816"/>
      <c r="G3" s="817"/>
      <c r="H3" s="818" t="s">
        <v>30</v>
      </c>
      <c r="I3" s="804">
        <v>44929</v>
      </c>
    </row>
    <row r="4" spans="1:9" x14ac:dyDescent="0.2">
      <c r="A4" s="809"/>
      <c r="B4" s="810"/>
      <c r="C4" s="242" t="s">
        <v>29</v>
      </c>
      <c r="D4" s="806" t="s">
        <v>412</v>
      </c>
      <c r="E4" s="806"/>
      <c r="F4" s="806"/>
      <c r="G4" s="806"/>
      <c r="H4" s="818"/>
      <c r="I4" s="804"/>
    </row>
    <row r="5" spans="1:9" ht="14.25" thickBot="1" x14ac:dyDescent="0.3">
      <c r="A5" s="811"/>
      <c r="B5" s="812"/>
      <c r="C5" s="506" t="s">
        <v>28</v>
      </c>
      <c r="D5" s="756" t="s">
        <v>27</v>
      </c>
      <c r="E5" s="757"/>
      <c r="F5" s="757"/>
      <c r="G5" s="758"/>
      <c r="H5" s="819"/>
      <c r="I5" s="805"/>
    </row>
    <row r="6" spans="1:9" ht="18.75" thickBot="1" x14ac:dyDescent="0.3">
      <c r="A6" s="746" t="s">
        <v>26</v>
      </c>
      <c r="B6" s="747"/>
      <c r="C6" s="747"/>
      <c r="D6" s="748" t="s">
        <v>358</v>
      </c>
      <c r="E6" s="748"/>
      <c r="F6" s="748"/>
      <c r="G6" s="749" t="s">
        <v>25</v>
      </c>
      <c r="H6" s="749"/>
      <c r="I6" s="411" t="s">
        <v>358</v>
      </c>
    </row>
    <row r="7" spans="1:9" ht="25.5" x14ac:dyDescent="0.2">
      <c r="A7" s="798" t="s">
        <v>24</v>
      </c>
      <c r="B7" s="800" t="s">
        <v>35</v>
      </c>
      <c r="C7" s="802" t="s">
        <v>23</v>
      </c>
      <c r="D7" s="802" t="s">
        <v>22</v>
      </c>
      <c r="E7" s="802" t="s">
        <v>21</v>
      </c>
      <c r="F7" s="802"/>
      <c r="G7" s="802" t="s">
        <v>20</v>
      </c>
      <c r="H7" s="802"/>
      <c r="I7" s="310" t="s">
        <v>19</v>
      </c>
    </row>
    <row r="8" spans="1:9" ht="26.25" thickBot="1" x14ac:dyDescent="0.25">
      <c r="A8" s="799"/>
      <c r="B8" s="801"/>
      <c r="C8" s="803"/>
      <c r="D8" s="803"/>
      <c r="E8" s="311" t="s">
        <v>15</v>
      </c>
      <c r="F8" s="312" t="s">
        <v>18</v>
      </c>
      <c r="G8" s="311" t="s">
        <v>15</v>
      </c>
      <c r="H8" s="312" t="s">
        <v>18</v>
      </c>
      <c r="I8" s="313" t="s">
        <v>17</v>
      </c>
    </row>
    <row r="9" spans="1:9" ht="15" x14ac:dyDescent="0.2">
      <c r="A9" s="324" t="s">
        <v>459</v>
      </c>
      <c r="B9" s="325" t="s">
        <v>460</v>
      </c>
      <c r="C9" s="320" t="s">
        <v>461</v>
      </c>
      <c r="D9" s="318" t="s">
        <v>328</v>
      </c>
      <c r="E9" s="318">
        <v>72000</v>
      </c>
      <c r="F9" s="318" t="s">
        <v>2</v>
      </c>
      <c r="G9" s="319">
        <f>E9/80.361</f>
        <v>895.95699406428491</v>
      </c>
      <c r="H9" s="320"/>
      <c r="I9" s="507"/>
    </row>
    <row r="10" spans="1:9" ht="15" x14ac:dyDescent="0.2">
      <c r="A10" s="324">
        <v>1110414</v>
      </c>
      <c r="B10" s="325" t="s">
        <v>326</v>
      </c>
      <c r="C10" s="508" t="s">
        <v>327</v>
      </c>
      <c r="D10" s="318" t="s">
        <v>328</v>
      </c>
      <c r="E10" s="318">
        <v>13000</v>
      </c>
      <c r="F10" s="318" t="s">
        <v>2</v>
      </c>
      <c r="G10" s="319">
        <f t="shared" ref="G10:G17" si="0">E10/80.361</f>
        <v>161.77001281716255</v>
      </c>
      <c r="H10" s="320"/>
      <c r="I10" s="321"/>
    </row>
    <row r="11" spans="1:9" ht="15" x14ac:dyDescent="0.2">
      <c r="A11" s="324" t="s">
        <v>462</v>
      </c>
      <c r="B11" s="325" t="s">
        <v>463</v>
      </c>
      <c r="C11" s="508" t="s">
        <v>464</v>
      </c>
      <c r="D11" s="318" t="s">
        <v>465</v>
      </c>
      <c r="E11" s="318">
        <v>1700</v>
      </c>
      <c r="F11" s="318" t="s">
        <v>2</v>
      </c>
      <c r="G11" s="319">
        <f t="shared" si="0"/>
        <v>21.154540137628949</v>
      </c>
      <c r="H11" s="320"/>
      <c r="I11" s="321"/>
    </row>
    <row r="12" spans="1:9" ht="15" x14ac:dyDescent="0.2">
      <c r="A12" s="509">
        <v>10200035</v>
      </c>
      <c r="B12" s="509" t="s">
        <v>466</v>
      </c>
      <c r="C12" s="508" t="s">
        <v>467</v>
      </c>
      <c r="D12" s="318" t="s">
        <v>468</v>
      </c>
      <c r="E12" s="318">
        <v>1000</v>
      </c>
      <c r="F12" s="318" t="s">
        <v>2</v>
      </c>
      <c r="G12" s="319">
        <f t="shared" si="0"/>
        <v>12.443847139781735</v>
      </c>
      <c r="H12" s="320"/>
      <c r="I12" s="321"/>
    </row>
    <row r="13" spans="1:9" ht="15" x14ac:dyDescent="0.2">
      <c r="A13" s="324" t="s">
        <v>469</v>
      </c>
      <c r="B13" s="325" t="s">
        <v>470</v>
      </c>
      <c r="C13" s="508" t="s">
        <v>471</v>
      </c>
      <c r="D13" s="318" t="s">
        <v>323</v>
      </c>
      <c r="E13" s="318">
        <v>1320</v>
      </c>
      <c r="F13" s="318" t="s">
        <v>2</v>
      </c>
      <c r="G13" s="319">
        <f t="shared" si="0"/>
        <v>16.425878224511891</v>
      </c>
      <c r="H13" s="320"/>
      <c r="I13" s="321"/>
    </row>
    <row r="14" spans="1:9" ht="16.5" x14ac:dyDescent="0.3">
      <c r="A14" s="510">
        <v>1212410</v>
      </c>
      <c r="B14" s="510" t="s">
        <v>258</v>
      </c>
      <c r="C14" s="335" t="s">
        <v>472</v>
      </c>
      <c r="D14" s="336" t="s">
        <v>299</v>
      </c>
      <c r="E14" s="328">
        <v>270</v>
      </c>
      <c r="F14" s="318" t="s">
        <v>2</v>
      </c>
      <c r="G14" s="319">
        <f t="shared" si="0"/>
        <v>3.3598387277410682</v>
      </c>
      <c r="H14" s="320"/>
      <c r="I14" s="332"/>
    </row>
    <row r="15" spans="1:9" ht="14.25" x14ac:dyDescent="0.2">
      <c r="A15" s="333"/>
      <c r="B15" s="334"/>
      <c r="C15" s="335"/>
      <c r="D15" s="336"/>
      <c r="E15" s="328"/>
      <c r="F15" s="329"/>
      <c r="G15" s="319">
        <f t="shared" si="0"/>
        <v>0</v>
      </c>
      <c r="H15" s="331"/>
      <c r="I15" s="332"/>
    </row>
    <row r="16" spans="1:9" ht="14.25" x14ac:dyDescent="0.2">
      <c r="A16" s="333"/>
      <c r="B16" s="334"/>
      <c r="C16" s="335"/>
      <c r="D16" s="336"/>
      <c r="E16" s="328"/>
      <c r="F16" s="329"/>
      <c r="G16" s="319">
        <f t="shared" si="0"/>
        <v>0</v>
      </c>
      <c r="H16" s="331"/>
      <c r="I16" s="332"/>
    </row>
    <row r="17" spans="1:13" ht="15" x14ac:dyDescent="0.2">
      <c r="A17" s="338"/>
      <c r="B17" s="339"/>
      <c r="C17" s="340"/>
      <c r="D17" s="341"/>
      <c r="E17" s="322"/>
      <c r="F17" s="322"/>
      <c r="G17" s="319">
        <f t="shared" si="0"/>
        <v>0</v>
      </c>
      <c r="H17" s="331"/>
      <c r="I17" s="342"/>
    </row>
    <row r="18" spans="1:13" ht="14.25" x14ac:dyDescent="0.2">
      <c r="A18" s="343"/>
      <c r="B18" s="344"/>
      <c r="C18" s="345"/>
      <c r="D18" s="346"/>
      <c r="E18" s="347"/>
      <c r="F18" s="347"/>
      <c r="G18" s="347"/>
      <c r="H18" s="347"/>
      <c r="I18" s="342"/>
    </row>
    <row r="19" spans="1:13" ht="13.5" thickBot="1" x14ac:dyDescent="0.25">
      <c r="A19" s="348"/>
      <c r="B19" s="349"/>
      <c r="E19" s="350"/>
      <c r="F19" s="351"/>
      <c r="I19" s="352"/>
      <c r="L19" s="353"/>
    </row>
    <row r="20" spans="1:13" ht="13.5" thickBot="1" x14ac:dyDescent="0.25">
      <c r="A20" s="354"/>
      <c r="B20" s="355"/>
      <c r="C20" s="356"/>
      <c r="D20" s="357" t="s">
        <v>15</v>
      </c>
      <c r="E20" s="358" t="s">
        <v>14</v>
      </c>
      <c r="F20" s="359"/>
      <c r="G20" s="356"/>
      <c r="H20" s="356"/>
      <c r="I20" s="360"/>
      <c r="L20" s="353"/>
    </row>
    <row r="21" spans="1:13" x14ac:dyDescent="0.2">
      <c r="A21" s="792" t="s">
        <v>13</v>
      </c>
      <c r="B21" s="793"/>
      <c r="C21" s="794"/>
      <c r="D21" s="319">
        <f>SUM(E9:E14)*0.9</f>
        <v>80361</v>
      </c>
      <c r="E21" s="361" t="s">
        <v>2</v>
      </c>
      <c r="F21" s="795"/>
      <c r="G21" s="795"/>
      <c r="H21" s="796"/>
      <c r="I21" s="797"/>
      <c r="L21" s="353"/>
    </row>
    <row r="22" spans="1:13" x14ac:dyDescent="0.2">
      <c r="A22" s="784" t="s">
        <v>11</v>
      </c>
      <c r="B22" s="785"/>
      <c r="C22" s="786"/>
      <c r="D22" s="362">
        <v>58</v>
      </c>
      <c r="E22" s="331" t="s">
        <v>473</v>
      </c>
      <c r="F22" s="787"/>
      <c r="G22" s="787"/>
      <c r="H22" s="788"/>
      <c r="I22" s="789"/>
      <c r="J22" s="307">
        <f>58/80.361</f>
        <v>0.72174313410734059</v>
      </c>
      <c r="L22" s="353"/>
    </row>
    <row r="23" spans="1:13" x14ac:dyDescent="0.2">
      <c r="A23" s="784" t="s">
        <v>8</v>
      </c>
      <c r="B23" s="785"/>
      <c r="C23" s="786"/>
      <c r="D23" s="331">
        <v>1</v>
      </c>
      <c r="E23" s="331" t="s">
        <v>474</v>
      </c>
      <c r="F23" s="787"/>
      <c r="G23" s="787"/>
      <c r="H23" s="788"/>
      <c r="I23" s="789"/>
      <c r="L23" s="353"/>
    </row>
    <row r="24" spans="1:13" x14ac:dyDescent="0.2">
      <c r="A24" s="784" t="s">
        <v>5</v>
      </c>
      <c r="B24" s="785"/>
      <c r="C24" s="786"/>
      <c r="D24" s="330">
        <v>5000</v>
      </c>
      <c r="E24" s="331" t="s">
        <v>475</v>
      </c>
      <c r="F24" s="790"/>
      <c r="G24" s="791"/>
      <c r="H24" s="788"/>
      <c r="I24" s="789"/>
      <c r="L24" s="353"/>
      <c r="M24" s="299"/>
    </row>
    <row r="25" spans="1:13" ht="13.5" thickBot="1" x14ac:dyDescent="0.25">
      <c r="A25" s="775" t="s">
        <v>3</v>
      </c>
      <c r="B25" s="776"/>
      <c r="C25" s="777"/>
      <c r="D25" s="363">
        <f>SUM(E9:E14)-D21</f>
        <v>8929</v>
      </c>
      <c r="E25" s="331" t="s">
        <v>475</v>
      </c>
      <c r="F25" s="778"/>
      <c r="G25" s="778"/>
      <c r="H25" s="779"/>
      <c r="I25" s="780"/>
      <c r="L25" s="353"/>
    </row>
    <row r="26" spans="1:13" ht="13.5" thickBot="1" x14ac:dyDescent="0.25">
      <c r="A26" s="772" t="s">
        <v>1</v>
      </c>
      <c r="B26" s="773"/>
      <c r="C26" s="773"/>
      <c r="D26" s="773"/>
      <c r="E26" s="773"/>
      <c r="F26" s="773"/>
      <c r="G26" s="773"/>
      <c r="H26" s="773"/>
      <c r="I26" s="774"/>
    </row>
    <row r="27" spans="1:13" ht="15" x14ac:dyDescent="0.25">
      <c r="A27" s="781" t="s">
        <v>476</v>
      </c>
      <c r="B27" s="782"/>
      <c r="C27" s="782"/>
      <c r="D27" s="782"/>
      <c r="E27" s="782"/>
      <c r="F27" s="782"/>
      <c r="G27" s="782"/>
      <c r="H27" s="782"/>
      <c r="I27" s="783"/>
    </row>
    <row r="28" spans="1:13" ht="15" x14ac:dyDescent="0.25">
      <c r="A28" s="781" t="s">
        <v>477</v>
      </c>
      <c r="B28" s="782"/>
      <c r="C28" s="782"/>
      <c r="D28" s="782"/>
      <c r="E28" s="782"/>
      <c r="F28" s="782"/>
      <c r="G28" s="782"/>
      <c r="H28" s="782"/>
      <c r="I28" s="783"/>
    </row>
    <row r="29" spans="1:13" ht="14.25" x14ac:dyDescent="0.2">
      <c r="A29" s="766" t="s">
        <v>478</v>
      </c>
      <c r="B29" s="767"/>
      <c r="C29" s="767"/>
      <c r="D29" s="767"/>
      <c r="E29" s="767"/>
      <c r="F29" s="767"/>
      <c r="G29" s="767"/>
      <c r="H29" s="767"/>
      <c r="I29" s="768"/>
    </row>
    <row r="30" spans="1:13" ht="14.25" x14ac:dyDescent="0.2">
      <c r="A30" s="766"/>
      <c r="B30" s="767"/>
      <c r="C30" s="767"/>
      <c r="D30" s="767"/>
      <c r="E30" s="767"/>
      <c r="F30" s="767"/>
      <c r="G30" s="767"/>
      <c r="H30" s="767"/>
      <c r="I30" s="768"/>
    </row>
    <row r="31" spans="1:13" ht="15" thickBot="1" x14ac:dyDescent="0.25">
      <c r="A31" s="769"/>
      <c r="B31" s="770"/>
      <c r="C31" s="770"/>
      <c r="D31" s="770"/>
      <c r="E31" s="770"/>
      <c r="F31" s="770"/>
      <c r="G31" s="770"/>
      <c r="H31" s="770"/>
      <c r="I31" s="771"/>
    </row>
    <row r="32" spans="1:13" ht="13.5" thickBot="1" x14ac:dyDescent="0.25">
      <c r="A32" s="772" t="s">
        <v>216</v>
      </c>
      <c r="B32" s="773"/>
      <c r="C32" s="773"/>
      <c r="D32" s="773"/>
      <c r="E32" s="773"/>
      <c r="F32" s="773"/>
      <c r="G32" s="773"/>
      <c r="H32" s="773"/>
      <c r="I32" s="774"/>
    </row>
    <row r="33" spans="1:9" ht="13.5" thickBot="1" x14ac:dyDescent="0.25">
      <c r="A33" s="511" t="s">
        <v>479</v>
      </c>
      <c r="B33" s="512"/>
      <c r="C33" s="512"/>
      <c r="D33" s="513"/>
      <c r="E33" s="513"/>
      <c r="F33" s="513"/>
      <c r="G33" s="513"/>
      <c r="H33" s="513"/>
      <c r="I33" s="514"/>
    </row>
    <row r="34" spans="1:9" x14ac:dyDescent="0.2">
      <c r="A34" s="307" t="s">
        <v>480</v>
      </c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9:I29"/>
    <mergeCell ref="A30:I30"/>
    <mergeCell ref="A31:I31"/>
    <mergeCell ref="A32:I32"/>
    <mergeCell ref="A25:C25"/>
    <mergeCell ref="F25:G25"/>
    <mergeCell ref="H25:I25"/>
    <mergeCell ref="A26:I26"/>
    <mergeCell ref="A27:I27"/>
    <mergeCell ref="A28:I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569F-A1C5-405C-A7CA-468362D66F06}">
  <dimension ref="A1:N29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1.42578125" style="76"/>
    <col min="2" max="2" width="16.140625" style="76" customWidth="1"/>
    <col min="3" max="3" width="13.42578125" style="76" customWidth="1"/>
    <col min="4" max="4" width="45.140625" style="76" customWidth="1"/>
    <col min="5" max="5" width="15.7109375" style="76" customWidth="1"/>
    <col min="6" max="6" width="11.42578125" style="76"/>
    <col min="7" max="7" width="12.140625" style="76" customWidth="1"/>
    <col min="8" max="8" width="12" style="76" customWidth="1"/>
    <col min="9" max="9" width="14.28515625" style="76" customWidth="1"/>
    <col min="10" max="10" width="16" style="76" customWidth="1"/>
    <col min="11" max="16384" width="11.42578125" style="76"/>
  </cols>
  <sheetData>
    <row r="1" spans="1:13" ht="15.75" x14ac:dyDescent="0.25">
      <c r="B1" s="593"/>
      <c r="C1" s="594"/>
      <c r="D1" s="599" t="s">
        <v>34</v>
      </c>
      <c r="E1" s="599"/>
      <c r="F1" s="599"/>
      <c r="G1" s="599"/>
      <c r="H1" s="599"/>
      <c r="I1" s="74" t="s">
        <v>33</v>
      </c>
      <c r="J1" s="75" t="s">
        <v>408</v>
      </c>
    </row>
    <row r="2" spans="1:13" ht="16.5" thickBot="1" x14ac:dyDescent="0.3">
      <c r="B2" s="595"/>
      <c r="C2" s="596"/>
      <c r="D2" s="600" t="s">
        <v>32</v>
      </c>
      <c r="E2" s="600"/>
      <c r="F2" s="600"/>
      <c r="G2" s="600"/>
      <c r="H2" s="600"/>
      <c r="I2" s="77" t="s">
        <v>31</v>
      </c>
      <c r="J2" s="78" t="s">
        <v>409</v>
      </c>
    </row>
    <row r="3" spans="1:13" ht="18.75" thickBot="1" x14ac:dyDescent="0.3">
      <c r="B3" s="595"/>
      <c r="C3" s="596"/>
      <c r="D3" s="840" t="s">
        <v>410</v>
      </c>
      <c r="E3" s="764"/>
      <c r="F3" s="764"/>
      <c r="G3" s="764"/>
      <c r="H3" s="765"/>
      <c r="I3" s="604" t="s">
        <v>30</v>
      </c>
      <c r="J3" s="588" t="s">
        <v>411</v>
      </c>
    </row>
    <row r="4" spans="1:13" x14ac:dyDescent="0.25">
      <c r="B4" s="595"/>
      <c r="C4" s="596"/>
      <c r="D4" s="79" t="s">
        <v>29</v>
      </c>
      <c r="E4" s="650" t="s">
        <v>412</v>
      </c>
      <c r="F4" s="651"/>
      <c r="G4" s="651"/>
      <c r="H4" s="652"/>
      <c r="I4" s="605"/>
      <c r="J4" s="589"/>
    </row>
    <row r="5" spans="1:13" ht="14.25" thickBot="1" x14ac:dyDescent="0.3">
      <c r="B5" s="597"/>
      <c r="C5" s="598"/>
      <c r="D5" s="80" t="s">
        <v>28</v>
      </c>
      <c r="E5" s="653" t="s">
        <v>27</v>
      </c>
      <c r="F5" s="654"/>
      <c r="G5" s="654"/>
      <c r="H5" s="655"/>
      <c r="I5" s="606"/>
      <c r="J5" s="589"/>
    </row>
    <row r="6" spans="1:13" ht="25.5" x14ac:dyDescent="0.25">
      <c r="B6" s="750" t="s">
        <v>24</v>
      </c>
      <c r="C6" s="752" t="s">
        <v>35</v>
      </c>
      <c r="D6" s="754" t="s">
        <v>23</v>
      </c>
      <c r="E6" s="754" t="s">
        <v>22</v>
      </c>
      <c r="F6" s="754" t="s">
        <v>21</v>
      </c>
      <c r="G6" s="754"/>
      <c r="H6" s="754" t="s">
        <v>20</v>
      </c>
      <c r="I6" s="754"/>
      <c r="J6" s="81" t="s">
        <v>19</v>
      </c>
    </row>
    <row r="7" spans="1:13" ht="27" thickBot="1" x14ac:dyDescent="0.3">
      <c r="B7" s="841"/>
      <c r="C7" s="842"/>
      <c r="D7" s="624"/>
      <c r="E7" s="755"/>
      <c r="F7" s="84" t="s">
        <v>15</v>
      </c>
      <c r="G7" s="85" t="s">
        <v>18</v>
      </c>
      <c r="H7" s="84" t="s">
        <v>15</v>
      </c>
      <c r="I7" s="85" t="s">
        <v>18</v>
      </c>
      <c r="J7" s="86" t="s">
        <v>17</v>
      </c>
    </row>
    <row r="8" spans="1:13" ht="15.75" x14ac:dyDescent="0.25">
      <c r="B8" s="381">
        <v>95717</v>
      </c>
      <c r="C8" s="381" t="s">
        <v>413</v>
      </c>
      <c r="D8" t="s">
        <v>414</v>
      </c>
      <c r="E8" s="451" t="s">
        <v>16</v>
      </c>
      <c r="F8" s="5">
        <v>20800</v>
      </c>
      <c r="G8" s="89" t="s">
        <v>2</v>
      </c>
      <c r="H8" s="452">
        <f>F8/20.8</f>
        <v>1000</v>
      </c>
      <c r="I8" s="392"/>
      <c r="J8" s="453"/>
    </row>
    <row r="9" spans="1:13" ht="15.75" x14ac:dyDescent="0.25">
      <c r="A9" s="76">
        <v>104000001</v>
      </c>
      <c r="B9" s="103">
        <v>10400008</v>
      </c>
      <c r="C9" s="103" t="s">
        <v>415</v>
      </c>
      <c r="D9" s="104" t="s">
        <v>416</v>
      </c>
      <c r="E9" s="396" t="s">
        <v>417</v>
      </c>
      <c r="F9" s="395">
        <v>7</v>
      </c>
      <c r="G9" s="89" t="s">
        <v>2</v>
      </c>
      <c r="H9" s="452">
        <f>F9/20.8</f>
        <v>0.33653846153846151</v>
      </c>
      <c r="I9" s="838"/>
      <c r="J9" s="839"/>
    </row>
    <row r="10" spans="1:13" ht="15.75" x14ac:dyDescent="0.25">
      <c r="B10" s="92" t="s">
        <v>109</v>
      </c>
      <c r="C10" s="92" t="s">
        <v>60</v>
      </c>
      <c r="D10" s="93" t="s">
        <v>367</v>
      </c>
      <c r="E10" s="404" t="s">
        <v>418</v>
      </c>
      <c r="F10" s="94">
        <v>1</v>
      </c>
      <c r="G10" s="89" t="s">
        <v>7</v>
      </c>
      <c r="H10" s="452">
        <f>F10/20.8</f>
        <v>4.8076923076923073E-2</v>
      </c>
      <c r="I10" s="404"/>
      <c r="J10" s="453"/>
    </row>
    <row r="11" spans="1:13" ht="15.75" x14ac:dyDescent="0.25">
      <c r="B11" s="110"/>
      <c r="C11" s="111"/>
      <c r="D11" s="112"/>
      <c r="E11" s="113"/>
      <c r="F11" s="114"/>
      <c r="G11" s="114"/>
      <c r="H11" s="454"/>
      <c r="I11" s="114"/>
      <c r="J11" s="102"/>
    </row>
    <row r="12" spans="1:13" ht="14.25" thickBot="1" x14ac:dyDescent="0.3">
      <c r="B12" s="115"/>
      <c r="C12" s="116"/>
      <c r="F12" s="117"/>
      <c r="G12" s="118"/>
      <c r="J12" s="119"/>
      <c r="M12" s="120"/>
    </row>
    <row r="13" spans="1:13" ht="14.25" thickBot="1" x14ac:dyDescent="0.3">
      <c r="B13" s="121"/>
      <c r="C13" s="122"/>
      <c r="D13" s="123"/>
      <c r="E13" s="124" t="s">
        <v>15</v>
      </c>
      <c r="F13" s="125" t="s">
        <v>14</v>
      </c>
      <c r="G13" s="126"/>
      <c r="H13" s="123"/>
      <c r="I13" s="123"/>
      <c r="J13" s="127"/>
      <c r="M13" s="120"/>
    </row>
    <row r="14" spans="1:13" x14ac:dyDescent="0.25">
      <c r="B14" s="740" t="s">
        <v>13</v>
      </c>
      <c r="C14" s="741"/>
      <c r="D14" s="742"/>
      <c r="E14" s="27">
        <v>20800</v>
      </c>
      <c r="F14" s="129" t="s">
        <v>2</v>
      </c>
      <c r="G14" s="743" t="s">
        <v>12</v>
      </c>
      <c r="H14" s="743"/>
      <c r="I14" s="744"/>
      <c r="J14" s="745"/>
      <c r="M14" s="120"/>
    </row>
    <row r="15" spans="1:13" x14ac:dyDescent="0.25">
      <c r="B15" s="584" t="s">
        <v>11</v>
      </c>
      <c r="C15" s="585"/>
      <c r="D15" s="586"/>
      <c r="E15" s="5">
        <v>2</v>
      </c>
      <c r="F15" s="5" t="s">
        <v>111</v>
      </c>
      <c r="G15" s="587" t="s">
        <v>9</v>
      </c>
      <c r="H15" s="587"/>
      <c r="I15" s="576"/>
      <c r="J15" s="577"/>
      <c r="M15" s="120"/>
    </row>
    <row r="16" spans="1:13" x14ac:dyDescent="0.25">
      <c r="B16" s="584" t="s">
        <v>8</v>
      </c>
      <c r="C16" s="585"/>
      <c r="D16" s="586"/>
      <c r="E16" s="5">
        <v>1</v>
      </c>
      <c r="F16" s="5" t="s">
        <v>234</v>
      </c>
      <c r="G16" s="587" t="s">
        <v>6</v>
      </c>
      <c r="H16" s="587"/>
      <c r="I16" s="576"/>
      <c r="J16" s="577"/>
      <c r="M16" s="120"/>
    </row>
    <row r="17" spans="2:14" x14ac:dyDescent="0.25">
      <c r="B17" s="584" t="s">
        <v>419</v>
      </c>
      <c r="C17" s="585"/>
      <c r="D17" s="586"/>
      <c r="E17" s="14">
        <f>+E14</f>
        <v>20800</v>
      </c>
      <c r="F17" s="5" t="s">
        <v>2</v>
      </c>
      <c r="G17" s="738" t="s">
        <v>4</v>
      </c>
      <c r="H17" s="739"/>
      <c r="I17" s="576"/>
      <c r="J17" s="577"/>
      <c r="M17" s="120"/>
      <c r="N17" s="132"/>
    </row>
    <row r="18" spans="2:14" ht="14.25" thickBot="1" x14ac:dyDescent="0.3">
      <c r="B18" s="572" t="s">
        <v>3</v>
      </c>
      <c r="C18" s="573"/>
      <c r="D18" s="574"/>
      <c r="E18" s="133">
        <f>SUM(F8:F10)-E14</f>
        <v>8</v>
      </c>
      <c r="F18" s="134" t="s">
        <v>2</v>
      </c>
      <c r="G18" s="578"/>
      <c r="H18" s="578"/>
      <c r="I18" s="579"/>
      <c r="J18" s="580"/>
      <c r="M18" s="120"/>
    </row>
    <row r="19" spans="2:14" x14ac:dyDescent="0.25">
      <c r="B19" s="820" t="s">
        <v>1</v>
      </c>
      <c r="C19" s="821"/>
      <c r="D19" s="821"/>
      <c r="E19" s="821"/>
      <c r="F19" s="821"/>
      <c r="G19" s="821"/>
      <c r="H19" s="821"/>
      <c r="I19" s="821"/>
      <c r="J19" s="822"/>
    </row>
    <row r="20" spans="2:14" ht="16.5" customHeight="1" x14ac:dyDescent="0.25">
      <c r="B20" s="823" t="s">
        <v>420</v>
      </c>
      <c r="C20" s="824"/>
      <c r="D20" s="824"/>
      <c r="E20" s="824"/>
      <c r="F20" s="824"/>
      <c r="G20" s="824"/>
      <c r="H20" s="824"/>
      <c r="I20" s="824"/>
      <c r="J20" s="825"/>
    </row>
    <row r="21" spans="2:14" ht="16.5" customHeight="1" x14ac:dyDescent="0.25">
      <c r="B21" s="823" t="s">
        <v>421</v>
      </c>
      <c r="C21" s="824"/>
      <c r="D21" s="824"/>
      <c r="E21" s="824"/>
      <c r="F21" s="824"/>
      <c r="G21" s="824"/>
      <c r="H21" s="824"/>
      <c r="I21" s="824"/>
      <c r="J21" s="825"/>
    </row>
    <row r="22" spans="2:14" x14ac:dyDescent="0.25">
      <c r="B22" s="826"/>
      <c r="C22" s="827"/>
      <c r="D22" s="828"/>
      <c r="E22" s="828"/>
      <c r="F22" s="828"/>
      <c r="G22" s="828"/>
      <c r="H22" s="828"/>
      <c r="I22" s="828"/>
      <c r="J22" s="829"/>
    </row>
    <row r="23" spans="2:14" x14ac:dyDescent="0.25">
      <c r="B23" s="830"/>
      <c r="C23" s="831"/>
      <c r="D23" s="832"/>
      <c r="E23" s="832"/>
      <c r="F23" s="832"/>
      <c r="G23" s="832"/>
      <c r="H23" s="832"/>
      <c r="I23" s="832"/>
      <c r="J23" s="833"/>
    </row>
    <row r="24" spans="2:14" x14ac:dyDescent="0.25">
      <c r="B24" s="826"/>
      <c r="C24" s="827"/>
      <c r="D24" s="828"/>
      <c r="E24" s="828"/>
      <c r="F24" s="828"/>
      <c r="G24" s="828"/>
      <c r="H24" s="828"/>
      <c r="I24" s="828"/>
      <c r="J24" s="829"/>
    </row>
    <row r="25" spans="2:14" x14ac:dyDescent="0.25">
      <c r="B25" s="834" t="s">
        <v>216</v>
      </c>
      <c r="C25" s="835"/>
      <c r="D25" s="836"/>
      <c r="E25" s="836"/>
      <c r="F25" s="836"/>
      <c r="G25" s="836"/>
      <c r="H25" s="836"/>
      <c r="I25" s="836"/>
      <c r="J25" s="837"/>
    </row>
    <row r="26" spans="2:14" ht="14.25" thickBot="1" x14ac:dyDescent="0.3">
      <c r="B26" s="731" t="s">
        <v>422</v>
      </c>
      <c r="C26" s="732"/>
      <c r="D26" s="733"/>
      <c r="E26" s="733"/>
      <c r="F26" s="733"/>
      <c r="G26" s="733"/>
      <c r="H26" s="733"/>
      <c r="I26" s="733"/>
      <c r="J26" s="734"/>
    </row>
    <row r="27" spans="2:14" ht="14.25" thickBot="1" x14ac:dyDescent="0.3">
      <c r="B27" s="731" t="s">
        <v>423</v>
      </c>
      <c r="C27" s="732"/>
      <c r="D27" s="733"/>
      <c r="E27" s="733"/>
      <c r="F27" s="733"/>
      <c r="G27" s="733"/>
      <c r="H27" s="733"/>
      <c r="I27" s="733"/>
      <c r="J27" s="734"/>
    </row>
    <row r="28" spans="2:14" x14ac:dyDescent="0.25">
      <c r="B28" s="135" t="s">
        <v>424</v>
      </c>
      <c r="C28" s="135"/>
      <c r="D28" s="135"/>
    </row>
    <row r="29" spans="2:14" x14ac:dyDescent="0.25">
      <c r="B29" s="76" t="s">
        <v>425</v>
      </c>
    </row>
  </sheetData>
  <mergeCells count="39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I9:J9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27:J27"/>
    <mergeCell ref="B18:D18"/>
    <mergeCell ref="G18:H18"/>
    <mergeCell ref="I18:J18"/>
    <mergeCell ref="B19:J19"/>
    <mergeCell ref="B20:J20"/>
    <mergeCell ref="B21:J21"/>
    <mergeCell ref="B22:J22"/>
    <mergeCell ref="B23:J23"/>
    <mergeCell ref="B24:J24"/>
    <mergeCell ref="B25:J25"/>
    <mergeCell ref="B26:J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2A05-480C-4C04-94B5-4F633AE9E07B}">
  <dimension ref="A1:N43"/>
  <sheetViews>
    <sheetView workbookViewId="0">
      <selection activeCell="B1" sqref="B1:C5"/>
    </sheetView>
  </sheetViews>
  <sheetFormatPr baseColWidth="10" defaultRowHeight="13.5" x14ac:dyDescent="0.25"/>
  <cols>
    <col min="1" max="1" width="11.42578125" style="76"/>
    <col min="2" max="2" width="16.140625" style="76" customWidth="1"/>
    <col min="3" max="3" width="13.140625" style="76" customWidth="1"/>
    <col min="4" max="4" width="40.5703125" style="76" customWidth="1"/>
    <col min="5" max="5" width="15.5703125" style="76" customWidth="1"/>
    <col min="6" max="6" width="11.42578125" style="76"/>
    <col min="7" max="7" width="13.140625" style="76" customWidth="1"/>
    <col min="8" max="8" width="12.5703125" style="76" customWidth="1"/>
    <col min="9" max="9" width="15.5703125" style="76" customWidth="1"/>
    <col min="10" max="10" width="16" style="76" customWidth="1"/>
    <col min="11" max="257" width="11.42578125" style="76"/>
    <col min="258" max="258" width="16.140625" style="76" customWidth="1"/>
    <col min="259" max="259" width="13.140625" style="76" customWidth="1"/>
    <col min="260" max="260" width="40.5703125" style="76" customWidth="1"/>
    <col min="261" max="261" width="15.5703125" style="76" customWidth="1"/>
    <col min="262" max="262" width="11.42578125" style="76"/>
    <col min="263" max="263" width="13.140625" style="76" customWidth="1"/>
    <col min="264" max="264" width="12.5703125" style="76" customWidth="1"/>
    <col min="265" max="265" width="15.5703125" style="76" customWidth="1"/>
    <col min="266" max="266" width="16" style="76" customWidth="1"/>
    <col min="267" max="513" width="11.42578125" style="76"/>
    <col min="514" max="514" width="16.140625" style="76" customWidth="1"/>
    <col min="515" max="515" width="13.140625" style="76" customWidth="1"/>
    <col min="516" max="516" width="40.5703125" style="76" customWidth="1"/>
    <col min="517" max="517" width="15.5703125" style="76" customWidth="1"/>
    <col min="518" max="518" width="11.42578125" style="76"/>
    <col min="519" max="519" width="13.140625" style="76" customWidth="1"/>
    <col min="520" max="520" width="12.5703125" style="76" customWidth="1"/>
    <col min="521" max="521" width="15.5703125" style="76" customWidth="1"/>
    <col min="522" max="522" width="16" style="76" customWidth="1"/>
    <col min="523" max="769" width="11.42578125" style="76"/>
    <col min="770" max="770" width="16.140625" style="76" customWidth="1"/>
    <col min="771" max="771" width="13.140625" style="76" customWidth="1"/>
    <col min="772" max="772" width="40.5703125" style="76" customWidth="1"/>
    <col min="773" max="773" width="15.5703125" style="76" customWidth="1"/>
    <col min="774" max="774" width="11.42578125" style="76"/>
    <col min="775" max="775" width="13.140625" style="76" customWidth="1"/>
    <col min="776" max="776" width="12.5703125" style="76" customWidth="1"/>
    <col min="777" max="777" width="15.5703125" style="76" customWidth="1"/>
    <col min="778" max="778" width="16" style="76" customWidth="1"/>
    <col min="779" max="1025" width="11.42578125" style="76"/>
    <col min="1026" max="1026" width="16.140625" style="76" customWidth="1"/>
    <col min="1027" max="1027" width="13.140625" style="76" customWidth="1"/>
    <col min="1028" max="1028" width="40.5703125" style="76" customWidth="1"/>
    <col min="1029" max="1029" width="15.5703125" style="76" customWidth="1"/>
    <col min="1030" max="1030" width="11.42578125" style="76"/>
    <col min="1031" max="1031" width="13.140625" style="76" customWidth="1"/>
    <col min="1032" max="1032" width="12.5703125" style="76" customWidth="1"/>
    <col min="1033" max="1033" width="15.5703125" style="76" customWidth="1"/>
    <col min="1034" max="1034" width="16" style="76" customWidth="1"/>
    <col min="1035" max="1281" width="11.42578125" style="76"/>
    <col min="1282" max="1282" width="16.140625" style="76" customWidth="1"/>
    <col min="1283" max="1283" width="13.140625" style="76" customWidth="1"/>
    <col min="1284" max="1284" width="40.5703125" style="76" customWidth="1"/>
    <col min="1285" max="1285" width="15.5703125" style="76" customWidth="1"/>
    <col min="1286" max="1286" width="11.42578125" style="76"/>
    <col min="1287" max="1287" width="13.140625" style="76" customWidth="1"/>
    <col min="1288" max="1288" width="12.5703125" style="76" customWidth="1"/>
    <col min="1289" max="1289" width="15.5703125" style="76" customWidth="1"/>
    <col min="1290" max="1290" width="16" style="76" customWidth="1"/>
    <col min="1291" max="1537" width="11.42578125" style="76"/>
    <col min="1538" max="1538" width="16.140625" style="76" customWidth="1"/>
    <col min="1539" max="1539" width="13.140625" style="76" customWidth="1"/>
    <col min="1540" max="1540" width="40.5703125" style="76" customWidth="1"/>
    <col min="1541" max="1541" width="15.5703125" style="76" customWidth="1"/>
    <col min="1542" max="1542" width="11.42578125" style="76"/>
    <col min="1543" max="1543" width="13.140625" style="76" customWidth="1"/>
    <col min="1544" max="1544" width="12.5703125" style="76" customWidth="1"/>
    <col min="1545" max="1545" width="15.5703125" style="76" customWidth="1"/>
    <col min="1546" max="1546" width="16" style="76" customWidth="1"/>
    <col min="1547" max="1793" width="11.42578125" style="76"/>
    <col min="1794" max="1794" width="16.140625" style="76" customWidth="1"/>
    <col min="1795" max="1795" width="13.140625" style="76" customWidth="1"/>
    <col min="1796" max="1796" width="40.5703125" style="76" customWidth="1"/>
    <col min="1797" max="1797" width="15.5703125" style="76" customWidth="1"/>
    <col min="1798" max="1798" width="11.42578125" style="76"/>
    <col min="1799" max="1799" width="13.140625" style="76" customWidth="1"/>
    <col min="1800" max="1800" width="12.5703125" style="76" customWidth="1"/>
    <col min="1801" max="1801" width="15.5703125" style="76" customWidth="1"/>
    <col min="1802" max="1802" width="16" style="76" customWidth="1"/>
    <col min="1803" max="2049" width="11.42578125" style="76"/>
    <col min="2050" max="2050" width="16.140625" style="76" customWidth="1"/>
    <col min="2051" max="2051" width="13.140625" style="76" customWidth="1"/>
    <col min="2052" max="2052" width="40.5703125" style="76" customWidth="1"/>
    <col min="2053" max="2053" width="15.5703125" style="76" customWidth="1"/>
    <col min="2054" max="2054" width="11.42578125" style="76"/>
    <col min="2055" max="2055" width="13.140625" style="76" customWidth="1"/>
    <col min="2056" max="2056" width="12.5703125" style="76" customWidth="1"/>
    <col min="2057" max="2057" width="15.5703125" style="76" customWidth="1"/>
    <col min="2058" max="2058" width="16" style="76" customWidth="1"/>
    <col min="2059" max="2305" width="11.42578125" style="76"/>
    <col min="2306" max="2306" width="16.140625" style="76" customWidth="1"/>
    <col min="2307" max="2307" width="13.140625" style="76" customWidth="1"/>
    <col min="2308" max="2308" width="40.5703125" style="76" customWidth="1"/>
    <col min="2309" max="2309" width="15.5703125" style="76" customWidth="1"/>
    <col min="2310" max="2310" width="11.42578125" style="76"/>
    <col min="2311" max="2311" width="13.140625" style="76" customWidth="1"/>
    <col min="2312" max="2312" width="12.5703125" style="76" customWidth="1"/>
    <col min="2313" max="2313" width="15.5703125" style="76" customWidth="1"/>
    <col min="2314" max="2314" width="16" style="76" customWidth="1"/>
    <col min="2315" max="2561" width="11.42578125" style="76"/>
    <col min="2562" max="2562" width="16.140625" style="76" customWidth="1"/>
    <col min="2563" max="2563" width="13.140625" style="76" customWidth="1"/>
    <col min="2564" max="2564" width="40.5703125" style="76" customWidth="1"/>
    <col min="2565" max="2565" width="15.5703125" style="76" customWidth="1"/>
    <col min="2566" max="2566" width="11.42578125" style="76"/>
    <col min="2567" max="2567" width="13.140625" style="76" customWidth="1"/>
    <col min="2568" max="2568" width="12.5703125" style="76" customWidth="1"/>
    <col min="2569" max="2569" width="15.5703125" style="76" customWidth="1"/>
    <col min="2570" max="2570" width="16" style="76" customWidth="1"/>
    <col min="2571" max="2817" width="11.42578125" style="76"/>
    <col min="2818" max="2818" width="16.140625" style="76" customWidth="1"/>
    <col min="2819" max="2819" width="13.140625" style="76" customWidth="1"/>
    <col min="2820" max="2820" width="40.5703125" style="76" customWidth="1"/>
    <col min="2821" max="2821" width="15.5703125" style="76" customWidth="1"/>
    <col min="2822" max="2822" width="11.42578125" style="76"/>
    <col min="2823" max="2823" width="13.140625" style="76" customWidth="1"/>
    <col min="2824" max="2824" width="12.5703125" style="76" customWidth="1"/>
    <col min="2825" max="2825" width="15.5703125" style="76" customWidth="1"/>
    <col min="2826" max="2826" width="16" style="76" customWidth="1"/>
    <col min="2827" max="3073" width="11.42578125" style="76"/>
    <col min="3074" max="3074" width="16.140625" style="76" customWidth="1"/>
    <col min="3075" max="3075" width="13.140625" style="76" customWidth="1"/>
    <col min="3076" max="3076" width="40.5703125" style="76" customWidth="1"/>
    <col min="3077" max="3077" width="15.5703125" style="76" customWidth="1"/>
    <col min="3078" max="3078" width="11.42578125" style="76"/>
    <col min="3079" max="3079" width="13.140625" style="76" customWidth="1"/>
    <col min="3080" max="3080" width="12.5703125" style="76" customWidth="1"/>
    <col min="3081" max="3081" width="15.5703125" style="76" customWidth="1"/>
    <col min="3082" max="3082" width="16" style="76" customWidth="1"/>
    <col min="3083" max="3329" width="11.42578125" style="76"/>
    <col min="3330" max="3330" width="16.140625" style="76" customWidth="1"/>
    <col min="3331" max="3331" width="13.140625" style="76" customWidth="1"/>
    <col min="3332" max="3332" width="40.5703125" style="76" customWidth="1"/>
    <col min="3333" max="3333" width="15.5703125" style="76" customWidth="1"/>
    <col min="3334" max="3334" width="11.42578125" style="76"/>
    <col min="3335" max="3335" width="13.140625" style="76" customWidth="1"/>
    <col min="3336" max="3336" width="12.5703125" style="76" customWidth="1"/>
    <col min="3337" max="3337" width="15.5703125" style="76" customWidth="1"/>
    <col min="3338" max="3338" width="16" style="76" customWidth="1"/>
    <col min="3339" max="3585" width="11.42578125" style="76"/>
    <col min="3586" max="3586" width="16.140625" style="76" customWidth="1"/>
    <col min="3587" max="3587" width="13.140625" style="76" customWidth="1"/>
    <col min="3588" max="3588" width="40.5703125" style="76" customWidth="1"/>
    <col min="3589" max="3589" width="15.5703125" style="76" customWidth="1"/>
    <col min="3590" max="3590" width="11.42578125" style="76"/>
    <col min="3591" max="3591" width="13.140625" style="76" customWidth="1"/>
    <col min="3592" max="3592" width="12.5703125" style="76" customWidth="1"/>
    <col min="3593" max="3593" width="15.5703125" style="76" customWidth="1"/>
    <col min="3594" max="3594" width="16" style="76" customWidth="1"/>
    <col min="3595" max="3841" width="11.42578125" style="76"/>
    <col min="3842" max="3842" width="16.140625" style="76" customWidth="1"/>
    <col min="3843" max="3843" width="13.140625" style="76" customWidth="1"/>
    <col min="3844" max="3844" width="40.5703125" style="76" customWidth="1"/>
    <col min="3845" max="3845" width="15.5703125" style="76" customWidth="1"/>
    <col min="3846" max="3846" width="11.42578125" style="76"/>
    <col min="3847" max="3847" width="13.140625" style="76" customWidth="1"/>
    <col min="3848" max="3848" width="12.5703125" style="76" customWidth="1"/>
    <col min="3849" max="3849" width="15.5703125" style="76" customWidth="1"/>
    <col min="3850" max="3850" width="16" style="76" customWidth="1"/>
    <col min="3851" max="4097" width="11.42578125" style="76"/>
    <col min="4098" max="4098" width="16.140625" style="76" customWidth="1"/>
    <col min="4099" max="4099" width="13.140625" style="76" customWidth="1"/>
    <col min="4100" max="4100" width="40.5703125" style="76" customWidth="1"/>
    <col min="4101" max="4101" width="15.5703125" style="76" customWidth="1"/>
    <col min="4102" max="4102" width="11.42578125" style="76"/>
    <col min="4103" max="4103" width="13.140625" style="76" customWidth="1"/>
    <col min="4104" max="4104" width="12.5703125" style="76" customWidth="1"/>
    <col min="4105" max="4105" width="15.5703125" style="76" customWidth="1"/>
    <col min="4106" max="4106" width="16" style="76" customWidth="1"/>
    <col min="4107" max="4353" width="11.42578125" style="76"/>
    <col min="4354" max="4354" width="16.140625" style="76" customWidth="1"/>
    <col min="4355" max="4355" width="13.140625" style="76" customWidth="1"/>
    <col min="4356" max="4356" width="40.5703125" style="76" customWidth="1"/>
    <col min="4357" max="4357" width="15.5703125" style="76" customWidth="1"/>
    <col min="4358" max="4358" width="11.42578125" style="76"/>
    <col min="4359" max="4359" width="13.140625" style="76" customWidth="1"/>
    <col min="4360" max="4360" width="12.5703125" style="76" customWidth="1"/>
    <col min="4361" max="4361" width="15.5703125" style="76" customWidth="1"/>
    <col min="4362" max="4362" width="16" style="76" customWidth="1"/>
    <col min="4363" max="4609" width="11.42578125" style="76"/>
    <col min="4610" max="4610" width="16.140625" style="76" customWidth="1"/>
    <col min="4611" max="4611" width="13.140625" style="76" customWidth="1"/>
    <col min="4612" max="4612" width="40.5703125" style="76" customWidth="1"/>
    <col min="4613" max="4613" width="15.5703125" style="76" customWidth="1"/>
    <col min="4614" max="4614" width="11.42578125" style="76"/>
    <col min="4615" max="4615" width="13.140625" style="76" customWidth="1"/>
    <col min="4616" max="4616" width="12.5703125" style="76" customWidth="1"/>
    <col min="4617" max="4617" width="15.5703125" style="76" customWidth="1"/>
    <col min="4618" max="4618" width="16" style="76" customWidth="1"/>
    <col min="4619" max="4865" width="11.42578125" style="76"/>
    <col min="4866" max="4866" width="16.140625" style="76" customWidth="1"/>
    <col min="4867" max="4867" width="13.140625" style="76" customWidth="1"/>
    <col min="4868" max="4868" width="40.5703125" style="76" customWidth="1"/>
    <col min="4869" max="4869" width="15.5703125" style="76" customWidth="1"/>
    <col min="4870" max="4870" width="11.42578125" style="76"/>
    <col min="4871" max="4871" width="13.140625" style="76" customWidth="1"/>
    <col min="4872" max="4872" width="12.5703125" style="76" customWidth="1"/>
    <col min="4873" max="4873" width="15.5703125" style="76" customWidth="1"/>
    <col min="4874" max="4874" width="16" style="76" customWidth="1"/>
    <col min="4875" max="5121" width="11.42578125" style="76"/>
    <col min="5122" max="5122" width="16.140625" style="76" customWidth="1"/>
    <col min="5123" max="5123" width="13.140625" style="76" customWidth="1"/>
    <col min="5124" max="5124" width="40.5703125" style="76" customWidth="1"/>
    <col min="5125" max="5125" width="15.5703125" style="76" customWidth="1"/>
    <col min="5126" max="5126" width="11.42578125" style="76"/>
    <col min="5127" max="5127" width="13.140625" style="76" customWidth="1"/>
    <col min="5128" max="5128" width="12.5703125" style="76" customWidth="1"/>
    <col min="5129" max="5129" width="15.5703125" style="76" customWidth="1"/>
    <col min="5130" max="5130" width="16" style="76" customWidth="1"/>
    <col min="5131" max="5377" width="11.42578125" style="76"/>
    <col min="5378" max="5378" width="16.140625" style="76" customWidth="1"/>
    <col min="5379" max="5379" width="13.140625" style="76" customWidth="1"/>
    <col min="5380" max="5380" width="40.5703125" style="76" customWidth="1"/>
    <col min="5381" max="5381" width="15.5703125" style="76" customWidth="1"/>
    <col min="5382" max="5382" width="11.42578125" style="76"/>
    <col min="5383" max="5383" width="13.140625" style="76" customWidth="1"/>
    <col min="5384" max="5384" width="12.5703125" style="76" customWidth="1"/>
    <col min="5385" max="5385" width="15.5703125" style="76" customWidth="1"/>
    <col min="5386" max="5386" width="16" style="76" customWidth="1"/>
    <col min="5387" max="5633" width="11.42578125" style="76"/>
    <col min="5634" max="5634" width="16.140625" style="76" customWidth="1"/>
    <col min="5635" max="5635" width="13.140625" style="76" customWidth="1"/>
    <col min="5636" max="5636" width="40.5703125" style="76" customWidth="1"/>
    <col min="5637" max="5637" width="15.5703125" style="76" customWidth="1"/>
    <col min="5638" max="5638" width="11.42578125" style="76"/>
    <col min="5639" max="5639" width="13.140625" style="76" customWidth="1"/>
    <col min="5640" max="5640" width="12.5703125" style="76" customWidth="1"/>
    <col min="5641" max="5641" width="15.5703125" style="76" customWidth="1"/>
    <col min="5642" max="5642" width="16" style="76" customWidth="1"/>
    <col min="5643" max="5889" width="11.42578125" style="76"/>
    <col min="5890" max="5890" width="16.140625" style="76" customWidth="1"/>
    <col min="5891" max="5891" width="13.140625" style="76" customWidth="1"/>
    <col min="5892" max="5892" width="40.5703125" style="76" customWidth="1"/>
    <col min="5893" max="5893" width="15.5703125" style="76" customWidth="1"/>
    <col min="5894" max="5894" width="11.42578125" style="76"/>
    <col min="5895" max="5895" width="13.140625" style="76" customWidth="1"/>
    <col min="5896" max="5896" width="12.5703125" style="76" customWidth="1"/>
    <col min="5897" max="5897" width="15.5703125" style="76" customWidth="1"/>
    <col min="5898" max="5898" width="16" style="76" customWidth="1"/>
    <col min="5899" max="6145" width="11.42578125" style="76"/>
    <col min="6146" max="6146" width="16.140625" style="76" customWidth="1"/>
    <col min="6147" max="6147" width="13.140625" style="76" customWidth="1"/>
    <col min="6148" max="6148" width="40.5703125" style="76" customWidth="1"/>
    <col min="6149" max="6149" width="15.5703125" style="76" customWidth="1"/>
    <col min="6150" max="6150" width="11.42578125" style="76"/>
    <col min="6151" max="6151" width="13.140625" style="76" customWidth="1"/>
    <col min="6152" max="6152" width="12.5703125" style="76" customWidth="1"/>
    <col min="6153" max="6153" width="15.5703125" style="76" customWidth="1"/>
    <col min="6154" max="6154" width="16" style="76" customWidth="1"/>
    <col min="6155" max="6401" width="11.42578125" style="76"/>
    <col min="6402" max="6402" width="16.140625" style="76" customWidth="1"/>
    <col min="6403" max="6403" width="13.140625" style="76" customWidth="1"/>
    <col min="6404" max="6404" width="40.5703125" style="76" customWidth="1"/>
    <col min="6405" max="6405" width="15.5703125" style="76" customWidth="1"/>
    <col min="6406" max="6406" width="11.42578125" style="76"/>
    <col min="6407" max="6407" width="13.140625" style="76" customWidth="1"/>
    <col min="6408" max="6408" width="12.5703125" style="76" customWidth="1"/>
    <col min="6409" max="6409" width="15.5703125" style="76" customWidth="1"/>
    <col min="6410" max="6410" width="16" style="76" customWidth="1"/>
    <col min="6411" max="6657" width="11.42578125" style="76"/>
    <col min="6658" max="6658" width="16.140625" style="76" customWidth="1"/>
    <col min="6659" max="6659" width="13.140625" style="76" customWidth="1"/>
    <col min="6660" max="6660" width="40.5703125" style="76" customWidth="1"/>
    <col min="6661" max="6661" width="15.5703125" style="76" customWidth="1"/>
    <col min="6662" max="6662" width="11.42578125" style="76"/>
    <col min="6663" max="6663" width="13.140625" style="76" customWidth="1"/>
    <col min="6664" max="6664" width="12.5703125" style="76" customWidth="1"/>
    <col min="6665" max="6665" width="15.5703125" style="76" customWidth="1"/>
    <col min="6666" max="6666" width="16" style="76" customWidth="1"/>
    <col min="6667" max="6913" width="11.42578125" style="76"/>
    <col min="6914" max="6914" width="16.140625" style="76" customWidth="1"/>
    <col min="6915" max="6915" width="13.140625" style="76" customWidth="1"/>
    <col min="6916" max="6916" width="40.5703125" style="76" customWidth="1"/>
    <col min="6917" max="6917" width="15.5703125" style="76" customWidth="1"/>
    <col min="6918" max="6918" width="11.42578125" style="76"/>
    <col min="6919" max="6919" width="13.140625" style="76" customWidth="1"/>
    <col min="6920" max="6920" width="12.5703125" style="76" customWidth="1"/>
    <col min="6921" max="6921" width="15.5703125" style="76" customWidth="1"/>
    <col min="6922" max="6922" width="16" style="76" customWidth="1"/>
    <col min="6923" max="7169" width="11.42578125" style="76"/>
    <col min="7170" max="7170" width="16.140625" style="76" customWidth="1"/>
    <col min="7171" max="7171" width="13.140625" style="76" customWidth="1"/>
    <col min="7172" max="7172" width="40.5703125" style="76" customWidth="1"/>
    <col min="7173" max="7173" width="15.5703125" style="76" customWidth="1"/>
    <col min="7174" max="7174" width="11.42578125" style="76"/>
    <col min="7175" max="7175" width="13.140625" style="76" customWidth="1"/>
    <col min="7176" max="7176" width="12.5703125" style="76" customWidth="1"/>
    <col min="7177" max="7177" width="15.5703125" style="76" customWidth="1"/>
    <col min="7178" max="7178" width="16" style="76" customWidth="1"/>
    <col min="7179" max="7425" width="11.42578125" style="76"/>
    <col min="7426" max="7426" width="16.140625" style="76" customWidth="1"/>
    <col min="7427" max="7427" width="13.140625" style="76" customWidth="1"/>
    <col min="7428" max="7428" width="40.5703125" style="76" customWidth="1"/>
    <col min="7429" max="7429" width="15.5703125" style="76" customWidth="1"/>
    <col min="7430" max="7430" width="11.42578125" style="76"/>
    <col min="7431" max="7431" width="13.140625" style="76" customWidth="1"/>
    <col min="7432" max="7432" width="12.5703125" style="76" customWidth="1"/>
    <col min="7433" max="7433" width="15.5703125" style="76" customWidth="1"/>
    <col min="7434" max="7434" width="16" style="76" customWidth="1"/>
    <col min="7435" max="7681" width="11.42578125" style="76"/>
    <col min="7682" max="7682" width="16.140625" style="76" customWidth="1"/>
    <col min="7683" max="7683" width="13.140625" style="76" customWidth="1"/>
    <col min="7684" max="7684" width="40.5703125" style="76" customWidth="1"/>
    <col min="7685" max="7685" width="15.5703125" style="76" customWidth="1"/>
    <col min="7686" max="7686" width="11.42578125" style="76"/>
    <col min="7687" max="7687" width="13.140625" style="76" customWidth="1"/>
    <col min="7688" max="7688" width="12.5703125" style="76" customWidth="1"/>
    <col min="7689" max="7689" width="15.5703125" style="76" customWidth="1"/>
    <col min="7690" max="7690" width="16" style="76" customWidth="1"/>
    <col min="7691" max="7937" width="11.42578125" style="76"/>
    <col min="7938" max="7938" width="16.140625" style="76" customWidth="1"/>
    <col min="7939" max="7939" width="13.140625" style="76" customWidth="1"/>
    <col min="7940" max="7940" width="40.5703125" style="76" customWidth="1"/>
    <col min="7941" max="7941" width="15.5703125" style="76" customWidth="1"/>
    <col min="7942" max="7942" width="11.42578125" style="76"/>
    <col min="7943" max="7943" width="13.140625" style="76" customWidth="1"/>
    <col min="7944" max="7944" width="12.5703125" style="76" customWidth="1"/>
    <col min="7945" max="7945" width="15.5703125" style="76" customWidth="1"/>
    <col min="7946" max="7946" width="16" style="76" customWidth="1"/>
    <col min="7947" max="8193" width="11.42578125" style="76"/>
    <col min="8194" max="8194" width="16.140625" style="76" customWidth="1"/>
    <col min="8195" max="8195" width="13.140625" style="76" customWidth="1"/>
    <col min="8196" max="8196" width="40.5703125" style="76" customWidth="1"/>
    <col min="8197" max="8197" width="15.5703125" style="76" customWidth="1"/>
    <col min="8198" max="8198" width="11.42578125" style="76"/>
    <col min="8199" max="8199" width="13.140625" style="76" customWidth="1"/>
    <col min="8200" max="8200" width="12.5703125" style="76" customWidth="1"/>
    <col min="8201" max="8201" width="15.5703125" style="76" customWidth="1"/>
    <col min="8202" max="8202" width="16" style="76" customWidth="1"/>
    <col min="8203" max="8449" width="11.42578125" style="76"/>
    <col min="8450" max="8450" width="16.140625" style="76" customWidth="1"/>
    <col min="8451" max="8451" width="13.140625" style="76" customWidth="1"/>
    <col min="8452" max="8452" width="40.5703125" style="76" customWidth="1"/>
    <col min="8453" max="8453" width="15.5703125" style="76" customWidth="1"/>
    <col min="8454" max="8454" width="11.42578125" style="76"/>
    <col min="8455" max="8455" width="13.140625" style="76" customWidth="1"/>
    <col min="8456" max="8456" width="12.5703125" style="76" customWidth="1"/>
    <col min="8457" max="8457" width="15.5703125" style="76" customWidth="1"/>
    <col min="8458" max="8458" width="16" style="76" customWidth="1"/>
    <col min="8459" max="8705" width="11.42578125" style="76"/>
    <col min="8706" max="8706" width="16.140625" style="76" customWidth="1"/>
    <col min="8707" max="8707" width="13.140625" style="76" customWidth="1"/>
    <col min="8708" max="8708" width="40.5703125" style="76" customWidth="1"/>
    <col min="8709" max="8709" width="15.5703125" style="76" customWidth="1"/>
    <col min="8710" max="8710" width="11.42578125" style="76"/>
    <col min="8711" max="8711" width="13.140625" style="76" customWidth="1"/>
    <col min="8712" max="8712" width="12.5703125" style="76" customWidth="1"/>
    <col min="8713" max="8713" width="15.5703125" style="76" customWidth="1"/>
    <col min="8714" max="8714" width="16" style="76" customWidth="1"/>
    <col min="8715" max="8961" width="11.42578125" style="76"/>
    <col min="8962" max="8962" width="16.140625" style="76" customWidth="1"/>
    <col min="8963" max="8963" width="13.140625" style="76" customWidth="1"/>
    <col min="8964" max="8964" width="40.5703125" style="76" customWidth="1"/>
    <col min="8965" max="8965" width="15.5703125" style="76" customWidth="1"/>
    <col min="8966" max="8966" width="11.42578125" style="76"/>
    <col min="8967" max="8967" width="13.140625" style="76" customWidth="1"/>
    <col min="8968" max="8968" width="12.5703125" style="76" customWidth="1"/>
    <col min="8969" max="8969" width="15.5703125" style="76" customWidth="1"/>
    <col min="8970" max="8970" width="16" style="76" customWidth="1"/>
    <col min="8971" max="9217" width="11.42578125" style="76"/>
    <col min="9218" max="9218" width="16.140625" style="76" customWidth="1"/>
    <col min="9219" max="9219" width="13.140625" style="76" customWidth="1"/>
    <col min="9220" max="9220" width="40.5703125" style="76" customWidth="1"/>
    <col min="9221" max="9221" width="15.5703125" style="76" customWidth="1"/>
    <col min="9222" max="9222" width="11.42578125" style="76"/>
    <col min="9223" max="9223" width="13.140625" style="76" customWidth="1"/>
    <col min="9224" max="9224" width="12.5703125" style="76" customWidth="1"/>
    <col min="9225" max="9225" width="15.5703125" style="76" customWidth="1"/>
    <col min="9226" max="9226" width="16" style="76" customWidth="1"/>
    <col min="9227" max="9473" width="11.42578125" style="76"/>
    <col min="9474" max="9474" width="16.140625" style="76" customWidth="1"/>
    <col min="9475" max="9475" width="13.140625" style="76" customWidth="1"/>
    <col min="9476" max="9476" width="40.5703125" style="76" customWidth="1"/>
    <col min="9477" max="9477" width="15.5703125" style="76" customWidth="1"/>
    <col min="9478" max="9478" width="11.42578125" style="76"/>
    <col min="9479" max="9479" width="13.140625" style="76" customWidth="1"/>
    <col min="9480" max="9480" width="12.5703125" style="76" customWidth="1"/>
    <col min="9481" max="9481" width="15.5703125" style="76" customWidth="1"/>
    <col min="9482" max="9482" width="16" style="76" customWidth="1"/>
    <col min="9483" max="9729" width="11.42578125" style="76"/>
    <col min="9730" max="9730" width="16.140625" style="76" customWidth="1"/>
    <col min="9731" max="9731" width="13.140625" style="76" customWidth="1"/>
    <col min="9732" max="9732" width="40.5703125" style="76" customWidth="1"/>
    <col min="9733" max="9733" width="15.5703125" style="76" customWidth="1"/>
    <col min="9734" max="9734" width="11.42578125" style="76"/>
    <col min="9735" max="9735" width="13.140625" style="76" customWidth="1"/>
    <col min="9736" max="9736" width="12.5703125" style="76" customWidth="1"/>
    <col min="9737" max="9737" width="15.5703125" style="76" customWidth="1"/>
    <col min="9738" max="9738" width="16" style="76" customWidth="1"/>
    <col min="9739" max="9985" width="11.42578125" style="76"/>
    <col min="9986" max="9986" width="16.140625" style="76" customWidth="1"/>
    <col min="9987" max="9987" width="13.140625" style="76" customWidth="1"/>
    <col min="9988" max="9988" width="40.5703125" style="76" customWidth="1"/>
    <col min="9989" max="9989" width="15.5703125" style="76" customWidth="1"/>
    <col min="9990" max="9990" width="11.42578125" style="76"/>
    <col min="9991" max="9991" width="13.140625" style="76" customWidth="1"/>
    <col min="9992" max="9992" width="12.5703125" style="76" customWidth="1"/>
    <col min="9993" max="9993" width="15.5703125" style="76" customWidth="1"/>
    <col min="9994" max="9994" width="16" style="76" customWidth="1"/>
    <col min="9995" max="10241" width="11.42578125" style="76"/>
    <col min="10242" max="10242" width="16.140625" style="76" customWidth="1"/>
    <col min="10243" max="10243" width="13.140625" style="76" customWidth="1"/>
    <col min="10244" max="10244" width="40.5703125" style="76" customWidth="1"/>
    <col min="10245" max="10245" width="15.5703125" style="76" customWidth="1"/>
    <col min="10246" max="10246" width="11.42578125" style="76"/>
    <col min="10247" max="10247" width="13.140625" style="76" customWidth="1"/>
    <col min="10248" max="10248" width="12.5703125" style="76" customWidth="1"/>
    <col min="10249" max="10249" width="15.5703125" style="76" customWidth="1"/>
    <col min="10250" max="10250" width="16" style="76" customWidth="1"/>
    <col min="10251" max="10497" width="11.42578125" style="76"/>
    <col min="10498" max="10498" width="16.140625" style="76" customWidth="1"/>
    <col min="10499" max="10499" width="13.140625" style="76" customWidth="1"/>
    <col min="10500" max="10500" width="40.5703125" style="76" customWidth="1"/>
    <col min="10501" max="10501" width="15.5703125" style="76" customWidth="1"/>
    <col min="10502" max="10502" width="11.42578125" style="76"/>
    <col min="10503" max="10503" width="13.140625" style="76" customWidth="1"/>
    <col min="10504" max="10504" width="12.5703125" style="76" customWidth="1"/>
    <col min="10505" max="10505" width="15.5703125" style="76" customWidth="1"/>
    <col min="10506" max="10506" width="16" style="76" customWidth="1"/>
    <col min="10507" max="10753" width="11.42578125" style="76"/>
    <col min="10754" max="10754" width="16.140625" style="76" customWidth="1"/>
    <col min="10755" max="10755" width="13.140625" style="76" customWidth="1"/>
    <col min="10756" max="10756" width="40.5703125" style="76" customWidth="1"/>
    <col min="10757" max="10757" width="15.5703125" style="76" customWidth="1"/>
    <col min="10758" max="10758" width="11.42578125" style="76"/>
    <col min="10759" max="10759" width="13.140625" style="76" customWidth="1"/>
    <col min="10760" max="10760" width="12.5703125" style="76" customWidth="1"/>
    <col min="10761" max="10761" width="15.5703125" style="76" customWidth="1"/>
    <col min="10762" max="10762" width="16" style="76" customWidth="1"/>
    <col min="10763" max="11009" width="11.42578125" style="76"/>
    <col min="11010" max="11010" width="16.140625" style="76" customWidth="1"/>
    <col min="11011" max="11011" width="13.140625" style="76" customWidth="1"/>
    <col min="11012" max="11012" width="40.5703125" style="76" customWidth="1"/>
    <col min="11013" max="11013" width="15.5703125" style="76" customWidth="1"/>
    <col min="11014" max="11014" width="11.42578125" style="76"/>
    <col min="11015" max="11015" width="13.140625" style="76" customWidth="1"/>
    <col min="11016" max="11016" width="12.5703125" style="76" customWidth="1"/>
    <col min="11017" max="11017" width="15.5703125" style="76" customWidth="1"/>
    <col min="11018" max="11018" width="16" style="76" customWidth="1"/>
    <col min="11019" max="11265" width="11.42578125" style="76"/>
    <col min="11266" max="11266" width="16.140625" style="76" customWidth="1"/>
    <col min="11267" max="11267" width="13.140625" style="76" customWidth="1"/>
    <col min="11268" max="11268" width="40.5703125" style="76" customWidth="1"/>
    <col min="11269" max="11269" width="15.5703125" style="76" customWidth="1"/>
    <col min="11270" max="11270" width="11.42578125" style="76"/>
    <col min="11271" max="11271" width="13.140625" style="76" customWidth="1"/>
    <col min="11272" max="11272" width="12.5703125" style="76" customWidth="1"/>
    <col min="11273" max="11273" width="15.5703125" style="76" customWidth="1"/>
    <col min="11274" max="11274" width="16" style="76" customWidth="1"/>
    <col min="11275" max="11521" width="11.42578125" style="76"/>
    <col min="11522" max="11522" width="16.140625" style="76" customWidth="1"/>
    <col min="11523" max="11523" width="13.140625" style="76" customWidth="1"/>
    <col min="11524" max="11524" width="40.5703125" style="76" customWidth="1"/>
    <col min="11525" max="11525" width="15.5703125" style="76" customWidth="1"/>
    <col min="11526" max="11526" width="11.42578125" style="76"/>
    <col min="11527" max="11527" width="13.140625" style="76" customWidth="1"/>
    <col min="11528" max="11528" width="12.5703125" style="76" customWidth="1"/>
    <col min="11529" max="11529" width="15.5703125" style="76" customWidth="1"/>
    <col min="11530" max="11530" width="16" style="76" customWidth="1"/>
    <col min="11531" max="11777" width="11.42578125" style="76"/>
    <col min="11778" max="11778" width="16.140625" style="76" customWidth="1"/>
    <col min="11779" max="11779" width="13.140625" style="76" customWidth="1"/>
    <col min="11780" max="11780" width="40.5703125" style="76" customWidth="1"/>
    <col min="11781" max="11781" width="15.5703125" style="76" customWidth="1"/>
    <col min="11782" max="11782" width="11.42578125" style="76"/>
    <col min="11783" max="11783" width="13.140625" style="76" customWidth="1"/>
    <col min="11784" max="11784" width="12.5703125" style="76" customWidth="1"/>
    <col min="11785" max="11785" width="15.5703125" style="76" customWidth="1"/>
    <col min="11786" max="11786" width="16" style="76" customWidth="1"/>
    <col min="11787" max="12033" width="11.42578125" style="76"/>
    <col min="12034" max="12034" width="16.140625" style="76" customWidth="1"/>
    <col min="12035" max="12035" width="13.140625" style="76" customWidth="1"/>
    <col min="12036" max="12036" width="40.5703125" style="76" customWidth="1"/>
    <col min="12037" max="12037" width="15.5703125" style="76" customWidth="1"/>
    <col min="12038" max="12038" width="11.42578125" style="76"/>
    <col min="12039" max="12039" width="13.140625" style="76" customWidth="1"/>
    <col min="12040" max="12040" width="12.5703125" style="76" customWidth="1"/>
    <col min="12041" max="12041" width="15.5703125" style="76" customWidth="1"/>
    <col min="12042" max="12042" width="16" style="76" customWidth="1"/>
    <col min="12043" max="12289" width="11.42578125" style="76"/>
    <col min="12290" max="12290" width="16.140625" style="76" customWidth="1"/>
    <col min="12291" max="12291" width="13.140625" style="76" customWidth="1"/>
    <col min="12292" max="12292" width="40.5703125" style="76" customWidth="1"/>
    <col min="12293" max="12293" width="15.5703125" style="76" customWidth="1"/>
    <col min="12294" max="12294" width="11.42578125" style="76"/>
    <col min="12295" max="12295" width="13.140625" style="76" customWidth="1"/>
    <col min="12296" max="12296" width="12.5703125" style="76" customWidth="1"/>
    <col min="12297" max="12297" width="15.5703125" style="76" customWidth="1"/>
    <col min="12298" max="12298" width="16" style="76" customWidth="1"/>
    <col min="12299" max="12545" width="11.42578125" style="76"/>
    <col min="12546" max="12546" width="16.140625" style="76" customWidth="1"/>
    <col min="12547" max="12547" width="13.140625" style="76" customWidth="1"/>
    <col min="12548" max="12548" width="40.5703125" style="76" customWidth="1"/>
    <col min="12549" max="12549" width="15.5703125" style="76" customWidth="1"/>
    <col min="12550" max="12550" width="11.42578125" style="76"/>
    <col min="12551" max="12551" width="13.140625" style="76" customWidth="1"/>
    <col min="12552" max="12552" width="12.5703125" style="76" customWidth="1"/>
    <col min="12553" max="12553" width="15.5703125" style="76" customWidth="1"/>
    <col min="12554" max="12554" width="16" style="76" customWidth="1"/>
    <col min="12555" max="12801" width="11.42578125" style="76"/>
    <col min="12802" max="12802" width="16.140625" style="76" customWidth="1"/>
    <col min="12803" max="12803" width="13.140625" style="76" customWidth="1"/>
    <col min="12804" max="12804" width="40.5703125" style="76" customWidth="1"/>
    <col min="12805" max="12805" width="15.5703125" style="76" customWidth="1"/>
    <col min="12806" max="12806" width="11.42578125" style="76"/>
    <col min="12807" max="12807" width="13.140625" style="76" customWidth="1"/>
    <col min="12808" max="12808" width="12.5703125" style="76" customWidth="1"/>
    <col min="12809" max="12809" width="15.5703125" style="76" customWidth="1"/>
    <col min="12810" max="12810" width="16" style="76" customWidth="1"/>
    <col min="12811" max="13057" width="11.42578125" style="76"/>
    <col min="13058" max="13058" width="16.140625" style="76" customWidth="1"/>
    <col min="13059" max="13059" width="13.140625" style="76" customWidth="1"/>
    <col min="13060" max="13060" width="40.5703125" style="76" customWidth="1"/>
    <col min="13061" max="13061" width="15.5703125" style="76" customWidth="1"/>
    <col min="13062" max="13062" width="11.42578125" style="76"/>
    <col min="13063" max="13063" width="13.140625" style="76" customWidth="1"/>
    <col min="13064" max="13064" width="12.5703125" style="76" customWidth="1"/>
    <col min="13065" max="13065" width="15.5703125" style="76" customWidth="1"/>
    <col min="13066" max="13066" width="16" style="76" customWidth="1"/>
    <col min="13067" max="13313" width="11.42578125" style="76"/>
    <col min="13314" max="13314" width="16.140625" style="76" customWidth="1"/>
    <col min="13315" max="13315" width="13.140625" style="76" customWidth="1"/>
    <col min="13316" max="13316" width="40.5703125" style="76" customWidth="1"/>
    <col min="13317" max="13317" width="15.5703125" style="76" customWidth="1"/>
    <col min="13318" max="13318" width="11.42578125" style="76"/>
    <col min="13319" max="13319" width="13.140625" style="76" customWidth="1"/>
    <col min="13320" max="13320" width="12.5703125" style="76" customWidth="1"/>
    <col min="13321" max="13321" width="15.5703125" style="76" customWidth="1"/>
    <col min="13322" max="13322" width="16" style="76" customWidth="1"/>
    <col min="13323" max="13569" width="11.42578125" style="76"/>
    <col min="13570" max="13570" width="16.140625" style="76" customWidth="1"/>
    <col min="13571" max="13571" width="13.140625" style="76" customWidth="1"/>
    <col min="13572" max="13572" width="40.5703125" style="76" customWidth="1"/>
    <col min="13573" max="13573" width="15.5703125" style="76" customWidth="1"/>
    <col min="13574" max="13574" width="11.42578125" style="76"/>
    <col min="13575" max="13575" width="13.140625" style="76" customWidth="1"/>
    <col min="13576" max="13576" width="12.5703125" style="76" customWidth="1"/>
    <col min="13577" max="13577" width="15.5703125" style="76" customWidth="1"/>
    <col min="13578" max="13578" width="16" style="76" customWidth="1"/>
    <col min="13579" max="13825" width="11.42578125" style="76"/>
    <col min="13826" max="13826" width="16.140625" style="76" customWidth="1"/>
    <col min="13827" max="13827" width="13.140625" style="76" customWidth="1"/>
    <col min="13828" max="13828" width="40.5703125" style="76" customWidth="1"/>
    <col min="13829" max="13829" width="15.5703125" style="76" customWidth="1"/>
    <col min="13830" max="13830" width="11.42578125" style="76"/>
    <col min="13831" max="13831" width="13.140625" style="76" customWidth="1"/>
    <col min="13832" max="13832" width="12.5703125" style="76" customWidth="1"/>
    <col min="13833" max="13833" width="15.5703125" style="76" customWidth="1"/>
    <col min="13834" max="13834" width="16" style="76" customWidth="1"/>
    <col min="13835" max="14081" width="11.42578125" style="76"/>
    <col min="14082" max="14082" width="16.140625" style="76" customWidth="1"/>
    <col min="14083" max="14083" width="13.140625" style="76" customWidth="1"/>
    <col min="14084" max="14084" width="40.5703125" style="76" customWidth="1"/>
    <col min="14085" max="14085" width="15.5703125" style="76" customWidth="1"/>
    <col min="14086" max="14086" width="11.42578125" style="76"/>
    <col min="14087" max="14087" width="13.140625" style="76" customWidth="1"/>
    <col min="14088" max="14088" width="12.5703125" style="76" customWidth="1"/>
    <col min="14089" max="14089" width="15.5703125" style="76" customWidth="1"/>
    <col min="14090" max="14090" width="16" style="76" customWidth="1"/>
    <col min="14091" max="14337" width="11.42578125" style="76"/>
    <col min="14338" max="14338" width="16.140625" style="76" customWidth="1"/>
    <col min="14339" max="14339" width="13.140625" style="76" customWidth="1"/>
    <col min="14340" max="14340" width="40.5703125" style="76" customWidth="1"/>
    <col min="14341" max="14341" width="15.5703125" style="76" customWidth="1"/>
    <col min="14342" max="14342" width="11.42578125" style="76"/>
    <col min="14343" max="14343" width="13.140625" style="76" customWidth="1"/>
    <col min="14344" max="14344" width="12.5703125" style="76" customWidth="1"/>
    <col min="14345" max="14345" width="15.5703125" style="76" customWidth="1"/>
    <col min="14346" max="14346" width="16" style="76" customWidth="1"/>
    <col min="14347" max="14593" width="11.42578125" style="76"/>
    <col min="14594" max="14594" width="16.140625" style="76" customWidth="1"/>
    <col min="14595" max="14595" width="13.140625" style="76" customWidth="1"/>
    <col min="14596" max="14596" width="40.5703125" style="76" customWidth="1"/>
    <col min="14597" max="14597" width="15.5703125" style="76" customWidth="1"/>
    <col min="14598" max="14598" width="11.42578125" style="76"/>
    <col min="14599" max="14599" width="13.140625" style="76" customWidth="1"/>
    <col min="14600" max="14600" width="12.5703125" style="76" customWidth="1"/>
    <col min="14601" max="14601" width="15.5703125" style="76" customWidth="1"/>
    <col min="14602" max="14602" width="16" style="76" customWidth="1"/>
    <col min="14603" max="14849" width="11.42578125" style="76"/>
    <col min="14850" max="14850" width="16.140625" style="76" customWidth="1"/>
    <col min="14851" max="14851" width="13.140625" style="76" customWidth="1"/>
    <col min="14852" max="14852" width="40.5703125" style="76" customWidth="1"/>
    <col min="14853" max="14853" width="15.5703125" style="76" customWidth="1"/>
    <col min="14854" max="14854" width="11.42578125" style="76"/>
    <col min="14855" max="14855" width="13.140625" style="76" customWidth="1"/>
    <col min="14856" max="14856" width="12.5703125" style="76" customWidth="1"/>
    <col min="14857" max="14857" width="15.5703125" style="76" customWidth="1"/>
    <col min="14858" max="14858" width="16" style="76" customWidth="1"/>
    <col min="14859" max="15105" width="11.42578125" style="76"/>
    <col min="15106" max="15106" width="16.140625" style="76" customWidth="1"/>
    <col min="15107" max="15107" width="13.140625" style="76" customWidth="1"/>
    <col min="15108" max="15108" width="40.5703125" style="76" customWidth="1"/>
    <col min="15109" max="15109" width="15.5703125" style="76" customWidth="1"/>
    <col min="15110" max="15110" width="11.42578125" style="76"/>
    <col min="15111" max="15111" width="13.140625" style="76" customWidth="1"/>
    <col min="15112" max="15112" width="12.5703125" style="76" customWidth="1"/>
    <col min="15113" max="15113" width="15.5703125" style="76" customWidth="1"/>
    <col min="15114" max="15114" width="16" style="76" customWidth="1"/>
    <col min="15115" max="15361" width="11.42578125" style="76"/>
    <col min="15362" max="15362" width="16.140625" style="76" customWidth="1"/>
    <col min="15363" max="15363" width="13.140625" style="76" customWidth="1"/>
    <col min="15364" max="15364" width="40.5703125" style="76" customWidth="1"/>
    <col min="15365" max="15365" width="15.5703125" style="76" customWidth="1"/>
    <col min="15366" max="15366" width="11.42578125" style="76"/>
    <col min="15367" max="15367" width="13.140625" style="76" customWidth="1"/>
    <col min="15368" max="15368" width="12.5703125" style="76" customWidth="1"/>
    <col min="15369" max="15369" width="15.5703125" style="76" customWidth="1"/>
    <col min="15370" max="15370" width="16" style="76" customWidth="1"/>
    <col min="15371" max="15617" width="11.42578125" style="76"/>
    <col min="15618" max="15618" width="16.140625" style="76" customWidth="1"/>
    <col min="15619" max="15619" width="13.140625" style="76" customWidth="1"/>
    <col min="15620" max="15620" width="40.5703125" style="76" customWidth="1"/>
    <col min="15621" max="15621" width="15.5703125" style="76" customWidth="1"/>
    <col min="15622" max="15622" width="11.42578125" style="76"/>
    <col min="15623" max="15623" width="13.140625" style="76" customWidth="1"/>
    <col min="15624" max="15624" width="12.5703125" style="76" customWidth="1"/>
    <col min="15625" max="15625" width="15.5703125" style="76" customWidth="1"/>
    <col min="15626" max="15626" width="16" style="76" customWidth="1"/>
    <col min="15627" max="15873" width="11.42578125" style="76"/>
    <col min="15874" max="15874" width="16.140625" style="76" customWidth="1"/>
    <col min="15875" max="15875" width="13.140625" style="76" customWidth="1"/>
    <col min="15876" max="15876" width="40.5703125" style="76" customWidth="1"/>
    <col min="15877" max="15877" width="15.5703125" style="76" customWidth="1"/>
    <col min="15878" max="15878" width="11.42578125" style="76"/>
    <col min="15879" max="15879" width="13.140625" style="76" customWidth="1"/>
    <col min="15880" max="15880" width="12.5703125" style="76" customWidth="1"/>
    <col min="15881" max="15881" width="15.5703125" style="76" customWidth="1"/>
    <col min="15882" max="15882" width="16" style="76" customWidth="1"/>
    <col min="15883" max="16129" width="11.42578125" style="76"/>
    <col min="16130" max="16130" width="16.140625" style="76" customWidth="1"/>
    <col min="16131" max="16131" width="13.140625" style="76" customWidth="1"/>
    <col min="16132" max="16132" width="40.5703125" style="76" customWidth="1"/>
    <col min="16133" max="16133" width="15.5703125" style="76" customWidth="1"/>
    <col min="16134" max="16134" width="11.42578125" style="76"/>
    <col min="16135" max="16135" width="13.140625" style="76" customWidth="1"/>
    <col min="16136" max="16136" width="12.5703125" style="76" customWidth="1"/>
    <col min="16137" max="16137" width="15.5703125" style="76" customWidth="1"/>
    <col min="16138" max="16138" width="16" style="76" customWidth="1"/>
    <col min="16139" max="16384" width="11.42578125" style="76"/>
  </cols>
  <sheetData>
    <row r="1" spans="1:10" ht="15.75" x14ac:dyDescent="0.25">
      <c r="A1" s="455"/>
      <c r="B1" s="847"/>
      <c r="C1" s="594"/>
      <c r="D1" s="599" t="s">
        <v>34</v>
      </c>
      <c r="E1" s="599"/>
      <c r="F1" s="599"/>
      <c r="G1" s="599"/>
      <c r="H1" s="599"/>
      <c r="I1" s="74" t="s">
        <v>33</v>
      </c>
      <c r="J1" s="75" t="s">
        <v>426</v>
      </c>
    </row>
    <row r="2" spans="1:10" ht="16.5" thickBot="1" x14ac:dyDescent="0.3">
      <c r="A2" s="455"/>
      <c r="B2" s="848"/>
      <c r="C2" s="596"/>
      <c r="D2" s="600" t="s">
        <v>32</v>
      </c>
      <c r="E2" s="600"/>
      <c r="F2" s="600"/>
      <c r="G2" s="600"/>
      <c r="H2" s="600"/>
      <c r="I2" s="77" t="s">
        <v>31</v>
      </c>
      <c r="J2" s="78" t="s">
        <v>427</v>
      </c>
    </row>
    <row r="3" spans="1:10" ht="50.1" customHeight="1" thickBot="1" x14ac:dyDescent="0.3">
      <c r="A3" s="455"/>
      <c r="B3" s="848"/>
      <c r="C3" s="596"/>
      <c r="D3" s="840" t="s">
        <v>428</v>
      </c>
      <c r="E3" s="764"/>
      <c r="F3" s="764"/>
      <c r="G3" s="764"/>
      <c r="H3" s="765"/>
      <c r="I3" s="604" t="s">
        <v>30</v>
      </c>
      <c r="J3" s="588">
        <v>45383</v>
      </c>
    </row>
    <row r="4" spans="1:10" x14ac:dyDescent="0.25">
      <c r="A4" s="455"/>
      <c r="B4" s="848"/>
      <c r="C4" s="596"/>
      <c r="D4" s="79" t="s">
        <v>29</v>
      </c>
      <c r="E4" s="650" t="s">
        <v>412</v>
      </c>
      <c r="F4" s="651"/>
      <c r="G4" s="651"/>
      <c r="H4" s="652"/>
      <c r="I4" s="605"/>
      <c r="J4" s="589"/>
    </row>
    <row r="5" spans="1:10" ht="15" customHeight="1" thickBot="1" x14ac:dyDescent="0.3">
      <c r="A5" s="455"/>
      <c r="B5" s="849"/>
      <c r="C5" s="598"/>
      <c r="D5" s="80" t="s">
        <v>28</v>
      </c>
      <c r="E5" s="653" t="s">
        <v>27</v>
      </c>
      <c r="F5" s="654"/>
      <c r="G5" s="654"/>
      <c r="H5" s="655"/>
      <c r="I5" s="606"/>
      <c r="J5" s="589"/>
    </row>
    <row r="6" spans="1:10" ht="25.5" x14ac:dyDescent="0.25">
      <c r="A6" s="845" t="s">
        <v>24</v>
      </c>
      <c r="B6" s="845" t="s">
        <v>24</v>
      </c>
      <c r="C6" s="752" t="s">
        <v>35</v>
      </c>
      <c r="D6" s="754" t="s">
        <v>23</v>
      </c>
      <c r="E6" s="754" t="s">
        <v>22</v>
      </c>
      <c r="F6" s="754" t="s">
        <v>21</v>
      </c>
      <c r="G6" s="754"/>
      <c r="H6" s="754" t="s">
        <v>20</v>
      </c>
      <c r="I6" s="754"/>
      <c r="J6" s="81" t="s">
        <v>19</v>
      </c>
    </row>
    <row r="7" spans="1:10" ht="27" thickBot="1" x14ac:dyDescent="0.3">
      <c r="A7" s="846"/>
      <c r="B7" s="846"/>
      <c r="C7" s="753"/>
      <c r="D7" s="755"/>
      <c r="E7" s="755"/>
      <c r="F7" s="84" t="s">
        <v>15</v>
      </c>
      <c r="G7" s="85" t="s">
        <v>18</v>
      </c>
      <c r="H7" s="84" t="s">
        <v>15</v>
      </c>
      <c r="I7" s="85" t="s">
        <v>18</v>
      </c>
      <c r="J7" s="456" t="s">
        <v>17</v>
      </c>
    </row>
    <row r="8" spans="1:10" x14ac:dyDescent="0.25">
      <c r="A8" s="457" t="s">
        <v>429</v>
      </c>
      <c r="B8" s="458"/>
      <c r="C8" s="458"/>
      <c r="D8" s="459"/>
      <c r="E8" s="451"/>
      <c r="F8" s="5"/>
      <c r="G8" s="114"/>
      <c r="H8" s="14"/>
      <c r="I8" s="5"/>
      <c r="J8" s="460"/>
    </row>
    <row r="9" spans="1:10" ht="15.75" x14ac:dyDescent="0.25">
      <c r="A9" s="457">
        <v>310148</v>
      </c>
      <c r="B9" s="103">
        <v>310148</v>
      </c>
      <c r="C9" s="381" t="s">
        <v>430</v>
      </c>
      <c r="D9" s="104" t="s">
        <v>431</v>
      </c>
      <c r="E9" s="461" t="s">
        <v>432</v>
      </c>
      <c r="F9" s="395">
        <v>12800</v>
      </c>
      <c r="G9" s="89" t="s">
        <v>2</v>
      </c>
      <c r="H9" s="843"/>
      <c r="I9" s="844"/>
      <c r="J9" s="91"/>
    </row>
    <row r="10" spans="1:10" ht="15.75" x14ac:dyDescent="0.25">
      <c r="A10" s="457">
        <v>11400031</v>
      </c>
      <c r="B10" s="103">
        <v>11400031</v>
      </c>
      <c r="C10" s="381" t="s">
        <v>208</v>
      </c>
      <c r="D10" s="104" t="s">
        <v>209</v>
      </c>
      <c r="E10" s="461" t="s">
        <v>432</v>
      </c>
      <c r="F10" s="395">
        <v>3200</v>
      </c>
      <c r="G10" s="89" t="s">
        <v>2</v>
      </c>
      <c r="H10" s="843"/>
      <c r="I10" s="844"/>
      <c r="J10" s="91"/>
    </row>
    <row r="11" spans="1:10" ht="15.75" x14ac:dyDescent="0.25">
      <c r="A11" s="457">
        <v>10415</v>
      </c>
      <c r="B11" s="23" t="s">
        <v>229</v>
      </c>
      <c r="C11" s="23"/>
      <c r="D11" s="22" t="s">
        <v>230</v>
      </c>
      <c r="E11" s="461" t="s">
        <v>433</v>
      </c>
      <c r="F11" s="395">
        <v>800</v>
      </c>
      <c r="G11" s="89" t="s">
        <v>2</v>
      </c>
      <c r="H11" s="395"/>
      <c r="I11" s="392"/>
      <c r="J11" s="91"/>
    </row>
    <row r="12" spans="1:10" ht="15.75" x14ac:dyDescent="0.25">
      <c r="A12" s="457">
        <v>1212410</v>
      </c>
      <c r="B12" s="103">
        <v>1212410</v>
      </c>
      <c r="C12" s="381" t="s">
        <v>258</v>
      </c>
      <c r="D12" s="104" t="s">
        <v>259</v>
      </c>
      <c r="E12" s="461" t="s">
        <v>299</v>
      </c>
      <c r="F12" s="395">
        <v>12</v>
      </c>
      <c r="G12" s="89" t="s">
        <v>2</v>
      </c>
      <c r="H12" s="395"/>
      <c r="I12" s="392"/>
      <c r="J12" s="91"/>
    </row>
    <row r="13" spans="1:10" ht="15.75" x14ac:dyDescent="0.25">
      <c r="A13" s="457">
        <v>702069</v>
      </c>
      <c r="B13" s="103">
        <v>702123</v>
      </c>
      <c r="C13" s="103" t="s">
        <v>37</v>
      </c>
      <c r="D13" s="104" t="s">
        <v>273</v>
      </c>
      <c r="E13" s="461" t="s">
        <v>418</v>
      </c>
      <c r="F13" s="395">
        <v>1</v>
      </c>
      <c r="G13" s="394" t="s">
        <v>7</v>
      </c>
      <c r="H13" s="27"/>
      <c r="I13" s="90"/>
      <c r="J13" s="91"/>
    </row>
    <row r="14" spans="1:10" ht="16.5" thickBot="1" x14ac:dyDescent="0.3">
      <c r="A14" s="455"/>
      <c r="B14" s="462"/>
      <c r="C14" s="462"/>
      <c r="D14" s="463"/>
      <c r="E14" s="464"/>
      <c r="F14" s="465"/>
      <c r="G14" s="466"/>
      <c r="H14" s="467"/>
      <c r="I14" s="468"/>
      <c r="J14" s="469"/>
    </row>
    <row r="15" spans="1:10" ht="15.75" x14ac:dyDescent="0.25">
      <c r="B15" s="470"/>
      <c r="C15" s="471"/>
      <c r="D15" s="472"/>
      <c r="E15" s="473"/>
      <c r="F15" s="474"/>
      <c r="G15" s="475"/>
      <c r="H15" s="476"/>
      <c r="I15" s="477"/>
      <c r="J15" s="478"/>
    </row>
    <row r="16" spans="1:10" ht="15.75" x14ac:dyDescent="0.25">
      <c r="B16" s="479"/>
      <c r="C16" s="480"/>
      <c r="D16" s="481"/>
      <c r="E16" s="482"/>
      <c r="F16" s="483"/>
      <c r="G16" s="484"/>
      <c r="H16" s="485"/>
      <c r="I16" s="486"/>
      <c r="J16" s="487"/>
    </row>
    <row r="17" spans="2:14" ht="15.75" x14ac:dyDescent="0.25">
      <c r="B17" s="479"/>
      <c r="C17" s="480"/>
      <c r="D17" s="481"/>
      <c r="E17" s="482"/>
      <c r="F17" s="483"/>
      <c r="G17" s="484"/>
      <c r="H17" s="485"/>
      <c r="I17" s="486"/>
      <c r="J17" s="487"/>
    </row>
    <row r="18" spans="2:14" ht="15.75" x14ac:dyDescent="0.25">
      <c r="B18" s="479"/>
      <c r="C18" s="480"/>
      <c r="D18" s="481"/>
      <c r="E18" s="482"/>
      <c r="F18" s="483"/>
      <c r="G18" s="484"/>
      <c r="H18" s="485"/>
      <c r="I18" s="486"/>
      <c r="J18" s="487"/>
    </row>
    <row r="19" spans="2:14" ht="15.75" x14ac:dyDescent="0.25">
      <c r="B19" s="479"/>
      <c r="C19" s="480"/>
      <c r="D19" s="481"/>
      <c r="E19" s="482"/>
      <c r="F19" s="483"/>
      <c r="G19" s="484"/>
      <c r="H19" s="485"/>
      <c r="I19" s="486"/>
      <c r="J19" s="487"/>
    </row>
    <row r="20" spans="2:14" ht="15.75" x14ac:dyDescent="0.25">
      <c r="B20" s="479"/>
      <c r="C20" s="480"/>
      <c r="D20" s="481"/>
      <c r="E20" s="482"/>
      <c r="F20" s="483"/>
      <c r="G20" s="484"/>
      <c r="H20" s="485"/>
      <c r="I20" s="486"/>
      <c r="J20" s="487"/>
    </row>
    <row r="21" spans="2:14" ht="15.75" x14ac:dyDescent="0.25">
      <c r="B21" s="479"/>
      <c r="C21" s="480"/>
      <c r="D21" s="481"/>
      <c r="E21" s="482"/>
      <c r="F21" s="483"/>
      <c r="G21" s="484"/>
      <c r="H21" s="485"/>
      <c r="I21" s="486"/>
      <c r="J21" s="487"/>
    </row>
    <row r="22" spans="2:14" ht="15.75" x14ac:dyDescent="0.25">
      <c r="B22" s="479"/>
      <c r="C22" s="480"/>
      <c r="D22" s="481"/>
      <c r="E22" s="482"/>
      <c r="F22" s="483"/>
      <c r="G22" s="484"/>
      <c r="H22" s="485"/>
      <c r="I22" s="486"/>
      <c r="J22" s="487"/>
    </row>
    <row r="23" spans="2:14" ht="15.75" x14ac:dyDescent="0.25">
      <c r="B23" s="479"/>
      <c r="C23" s="480"/>
      <c r="D23" s="481"/>
      <c r="E23" s="482"/>
      <c r="F23" s="483"/>
      <c r="G23" s="484"/>
      <c r="H23" s="485"/>
      <c r="I23" s="486"/>
      <c r="J23" s="487"/>
    </row>
    <row r="24" spans="2:14" ht="15.75" x14ac:dyDescent="0.25">
      <c r="B24" s="479"/>
      <c r="C24" s="480"/>
      <c r="D24" s="481"/>
      <c r="E24" s="482"/>
      <c r="F24" s="483"/>
      <c r="G24" s="484"/>
      <c r="H24" s="485"/>
      <c r="I24" s="486"/>
      <c r="J24" s="487"/>
    </row>
    <row r="25" spans="2:14" ht="15.75" x14ac:dyDescent="0.25">
      <c r="B25" s="479"/>
      <c r="C25" s="480"/>
      <c r="D25" s="481"/>
      <c r="E25" s="482"/>
      <c r="F25" s="483"/>
      <c r="G25" s="484"/>
      <c r="H25" s="485"/>
      <c r="I25" s="486"/>
      <c r="J25" s="487"/>
    </row>
    <row r="26" spans="2:14" ht="15.75" thickBot="1" x14ac:dyDescent="0.3">
      <c r="B26" s="488"/>
      <c r="C26" s="489"/>
      <c r="D26" s="490"/>
      <c r="E26" s="491"/>
      <c r="F26" s="492"/>
      <c r="G26" s="492"/>
      <c r="H26" s="492"/>
      <c r="I26" s="492"/>
      <c r="J26" s="493"/>
    </row>
    <row r="27" spans="2:14" ht="14.25" thickBot="1" x14ac:dyDescent="0.3">
      <c r="B27" s="115"/>
      <c r="C27" s="116"/>
      <c r="F27" s="117"/>
      <c r="G27" s="118"/>
      <c r="J27" s="119"/>
      <c r="M27" s="120"/>
    </row>
    <row r="28" spans="2:14" ht="14.25" thickBot="1" x14ac:dyDescent="0.3">
      <c r="B28" s="121"/>
      <c r="C28" s="122"/>
      <c r="D28" s="123"/>
      <c r="E28" s="124" t="s">
        <v>15</v>
      </c>
      <c r="F28" s="125" t="s">
        <v>14</v>
      </c>
      <c r="G28" s="126"/>
      <c r="H28" s="123"/>
      <c r="I28" s="123"/>
      <c r="J28" s="127"/>
      <c r="M28" s="120"/>
    </row>
    <row r="29" spans="2:14" x14ac:dyDescent="0.25">
      <c r="B29" s="740" t="s">
        <v>13</v>
      </c>
      <c r="C29" s="741"/>
      <c r="D29" s="742"/>
      <c r="E29" s="27">
        <f>SUM(F9:F12)-E33</f>
        <v>16597</v>
      </c>
      <c r="F29" s="129" t="s">
        <v>2</v>
      </c>
      <c r="G29" s="743" t="s">
        <v>12</v>
      </c>
      <c r="H29" s="743"/>
      <c r="I29" s="744">
        <v>16597</v>
      </c>
      <c r="J29" s="745"/>
      <c r="M29" s="120"/>
    </row>
    <row r="30" spans="2:14" x14ac:dyDescent="0.25">
      <c r="B30" s="584" t="s">
        <v>11</v>
      </c>
      <c r="C30" s="585"/>
      <c r="D30" s="586"/>
      <c r="E30" s="131">
        <v>10</v>
      </c>
      <c r="F30" s="5" t="s">
        <v>10</v>
      </c>
      <c r="G30" s="587" t="s">
        <v>9</v>
      </c>
      <c r="H30" s="587"/>
      <c r="I30" s="576"/>
      <c r="J30" s="577"/>
      <c r="M30" s="120"/>
    </row>
    <row r="31" spans="2:14" x14ac:dyDescent="0.25">
      <c r="B31" s="584" t="s">
        <v>8</v>
      </c>
      <c r="C31" s="585"/>
      <c r="D31" s="586"/>
      <c r="E31" s="5">
        <v>1</v>
      </c>
      <c r="F31" s="5" t="s">
        <v>234</v>
      </c>
      <c r="G31" s="587" t="s">
        <v>6</v>
      </c>
      <c r="H31" s="587"/>
      <c r="I31" s="576"/>
      <c r="J31" s="577"/>
      <c r="M31" s="120"/>
    </row>
    <row r="32" spans="2:14" x14ac:dyDescent="0.25">
      <c r="B32" s="584" t="s">
        <v>5</v>
      </c>
      <c r="C32" s="585"/>
      <c r="D32" s="586"/>
      <c r="E32" s="14">
        <f>E29</f>
        <v>16597</v>
      </c>
      <c r="F32" s="5" t="s">
        <v>2</v>
      </c>
      <c r="G32" s="738" t="s">
        <v>4</v>
      </c>
      <c r="H32" s="739"/>
      <c r="I32" s="576"/>
      <c r="J32" s="577"/>
      <c r="M32" s="120"/>
      <c r="N32" s="132"/>
    </row>
    <row r="33" spans="2:13" ht="14.25" thickBot="1" x14ac:dyDescent="0.3">
      <c r="B33" s="572" t="s">
        <v>3</v>
      </c>
      <c r="C33" s="573"/>
      <c r="D33" s="574"/>
      <c r="E33" s="494">
        <v>215</v>
      </c>
      <c r="F33" s="134" t="s">
        <v>2</v>
      </c>
      <c r="G33" s="578"/>
      <c r="H33" s="578"/>
      <c r="I33" s="579"/>
      <c r="J33" s="580"/>
      <c r="M33" s="120"/>
    </row>
    <row r="34" spans="2:13" ht="14.25" thickBot="1" x14ac:dyDescent="0.3">
      <c r="B34" s="569" t="s">
        <v>1</v>
      </c>
      <c r="C34" s="570"/>
      <c r="D34" s="570"/>
      <c r="E34" s="570"/>
      <c r="F34" s="570"/>
      <c r="G34" s="570"/>
      <c r="H34" s="570"/>
      <c r="I34" s="570"/>
      <c r="J34" s="571"/>
    </row>
    <row r="35" spans="2:13" ht="16.5" customHeight="1" x14ac:dyDescent="0.25">
      <c r="B35" s="823" t="s">
        <v>434</v>
      </c>
      <c r="C35" s="824"/>
      <c r="D35" s="824"/>
      <c r="E35" s="824"/>
      <c r="F35" s="824"/>
      <c r="G35" s="824"/>
      <c r="H35" s="824"/>
      <c r="I35" s="824"/>
      <c r="J35" s="825"/>
    </row>
    <row r="36" spans="2:13" ht="16.5" customHeight="1" x14ac:dyDescent="0.25">
      <c r="B36" s="823" t="s">
        <v>435</v>
      </c>
      <c r="C36" s="824"/>
      <c r="D36" s="824"/>
      <c r="E36" s="824"/>
      <c r="F36" s="824"/>
      <c r="G36" s="824"/>
      <c r="H36" s="824"/>
      <c r="I36" s="824"/>
      <c r="J36" s="825"/>
    </row>
    <row r="37" spans="2:13" ht="16.5" customHeight="1" x14ac:dyDescent="0.25">
      <c r="B37" s="823" t="s">
        <v>436</v>
      </c>
      <c r="C37" s="824"/>
      <c r="D37" s="824"/>
      <c r="E37" s="824"/>
      <c r="F37" s="824"/>
      <c r="G37" s="824"/>
      <c r="H37" s="824"/>
      <c r="I37" s="824"/>
      <c r="J37" s="825"/>
    </row>
    <row r="38" spans="2:13" ht="16.5" customHeight="1" x14ac:dyDescent="0.25">
      <c r="B38" s="823" t="s">
        <v>437</v>
      </c>
      <c r="C38" s="824"/>
      <c r="D38" s="824"/>
      <c r="E38" s="824"/>
      <c r="F38" s="824"/>
      <c r="G38" s="824"/>
      <c r="H38" s="824"/>
      <c r="I38" s="824"/>
      <c r="J38" s="825"/>
    </row>
    <row r="39" spans="2:13" ht="16.5" customHeight="1" thickBot="1" x14ac:dyDescent="0.3">
      <c r="B39" s="823" t="s">
        <v>438</v>
      </c>
      <c r="C39" s="824"/>
      <c r="D39" s="824"/>
      <c r="E39" s="824"/>
      <c r="F39" s="824"/>
      <c r="G39" s="824"/>
      <c r="H39" s="824"/>
      <c r="I39" s="824"/>
      <c r="J39" s="825"/>
    </row>
    <row r="40" spans="2:13" ht="16.5" customHeight="1" x14ac:dyDescent="0.25">
      <c r="B40" s="820" t="s">
        <v>439</v>
      </c>
      <c r="C40" s="821"/>
      <c r="D40" s="821"/>
      <c r="E40" s="821"/>
      <c r="F40" s="821"/>
      <c r="G40" s="821"/>
      <c r="H40" s="821"/>
      <c r="I40" s="821"/>
      <c r="J40" s="822"/>
    </row>
    <row r="41" spans="2:13" x14ac:dyDescent="0.25">
      <c r="B41" s="437" t="s">
        <v>440</v>
      </c>
      <c r="C41" s="438"/>
      <c r="D41" s="438"/>
      <c r="E41" s="438"/>
      <c r="F41" s="438"/>
      <c r="G41" s="438"/>
      <c r="H41" s="438"/>
      <c r="I41" s="438"/>
      <c r="J41" s="439"/>
    </row>
    <row r="42" spans="2:13" x14ac:dyDescent="0.25">
      <c r="B42" s="437" t="s">
        <v>441</v>
      </c>
      <c r="C42" s="438"/>
      <c r="D42" s="495"/>
      <c r="E42" s="438"/>
      <c r="F42" s="438"/>
      <c r="G42" s="438"/>
      <c r="H42" s="438"/>
      <c r="I42" s="438"/>
      <c r="J42" s="439"/>
    </row>
    <row r="43" spans="2:13" x14ac:dyDescent="0.25">
      <c r="B43" s="496" t="s">
        <v>442</v>
      </c>
      <c r="C43" s="497"/>
      <c r="D43" s="497"/>
      <c r="E43" s="497"/>
      <c r="F43" s="497"/>
      <c r="G43" s="497"/>
      <c r="H43" s="497"/>
      <c r="I43" s="497"/>
      <c r="J43" s="498"/>
    </row>
  </sheetData>
  <mergeCells count="39">
    <mergeCell ref="J3:J5"/>
    <mergeCell ref="E4:H4"/>
    <mergeCell ref="E5:H5"/>
    <mergeCell ref="B1:C5"/>
    <mergeCell ref="D1:H1"/>
    <mergeCell ref="D2:H2"/>
    <mergeCell ref="D3:H3"/>
    <mergeCell ref="I3:I5"/>
    <mergeCell ref="A6:A7"/>
    <mergeCell ref="B6:B7"/>
    <mergeCell ref="C6:C7"/>
    <mergeCell ref="D6:D7"/>
    <mergeCell ref="E6:E7"/>
    <mergeCell ref="H6:I6"/>
    <mergeCell ref="H9:I9"/>
    <mergeCell ref="H10:I10"/>
    <mergeCell ref="B29:D29"/>
    <mergeCell ref="G29:H29"/>
    <mergeCell ref="I29:J29"/>
    <mergeCell ref="F6:G6"/>
    <mergeCell ref="B30:D30"/>
    <mergeCell ref="G30:H30"/>
    <mergeCell ref="I30:J30"/>
    <mergeCell ref="B31:D31"/>
    <mergeCell ref="G31:H31"/>
    <mergeCell ref="I31:J31"/>
    <mergeCell ref="B32:D32"/>
    <mergeCell ref="G32:H32"/>
    <mergeCell ref="I32:J32"/>
    <mergeCell ref="B33:D33"/>
    <mergeCell ref="G33:H33"/>
    <mergeCell ref="I33:J33"/>
    <mergeCell ref="B40:J40"/>
    <mergeCell ref="B34:J34"/>
    <mergeCell ref="B35:J35"/>
    <mergeCell ref="B36:J36"/>
    <mergeCell ref="B37:J37"/>
    <mergeCell ref="B38:J38"/>
    <mergeCell ref="B39:J3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A10A-5CF7-4031-A669-1D0F8ACA827D}">
  <dimension ref="A1:N29"/>
  <sheetViews>
    <sheetView workbookViewId="0">
      <selection activeCell="C8" sqref="C8"/>
    </sheetView>
  </sheetViews>
  <sheetFormatPr baseColWidth="10" defaultColWidth="9.140625" defaultRowHeight="13.5" x14ac:dyDescent="0.25"/>
  <cols>
    <col min="1" max="1" width="9.140625" style="76"/>
    <col min="2" max="2" width="16.140625" style="76" customWidth="1"/>
    <col min="3" max="3" width="15.28515625" style="76" customWidth="1"/>
    <col min="4" max="4" width="39.28515625" style="76" customWidth="1"/>
    <col min="5" max="5" width="13.140625" style="76" customWidth="1"/>
    <col min="6" max="6" width="9.140625" style="76"/>
    <col min="7" max="7" width="12.140625" style="76" customWidth="1"/>
    <col min="8" max="8" width="9.140625" style="76"/>
    <col min="9" max="9" width="14.28515625" style="76" customWidth="1"/>
    <col min="10" max="10" width="16" style="76" customWidth="1"/>
    <col min="11" max="257" width="9.140625" style="76"/>
    <col min="258" max="258" width="16.140625" style="76" customWidth="1"/>
    <col min="259" max="259" width="15.28515625" style="76" customWidth="1"/>
    <col min="260" max="260" width="39.28515625" style="76" customWidth="1"/>
    <col min="261" max="261" width="13.140625" style="76" customWidth="1"/>
    <col min="262" max="262" width="9.140625" style="76"/>
    <col min="263" max="263" width="12.140625" style="76" customWidth="1"/>
    <col min="264" max="264" width="9.140625" style="76"/>
    <col min="265" max="265" width="14.28515625" style="76" customWidth="1"/>
    <col min="266" max="266" width="16" style="76" customWidth="1"/>
    <col min="267" max="513" width="9.140625" style="76"/>
    <col min="514" max="514" width="16.140625" style="76" customWidth="1"/>
    <col min="515" max="515" width="15.28515625" style="76" customWidth="1"/>
    <col min="516" max="516" width="39.28515625" style="76" customWidth="1"/>
    <col min="517" max="517" width="13.140625" style="76" customWidth="1"/>
    <col min="518" max="518" width="9.140625" style="76"/>
    <col min="519" max="519" width="12.140625" style="76" customWidth="1"/>
    <col min="520" max="520" width="9.140625" style="76"/>
    <col min="521" max="521" width="14.28515625" style="76" customWidth="1"/>
    <col min="522" max="522" width="16" style="76" customWidth="1"/>
    <col min="523" max="769" width="9.140625" style="76"/>
    <col min="770" max="770" width="16.140625" style="76" customWidth="1"/>
    <col min="771" max="771" width="15.28515625" style="76" customWidth="1"/>
    <col min="772" max="772" width="39.28515625" style="76" customWidth="1"/>
    <col min="773" max="773" width="13.140625" style="76" customWidth="1"/>
    <col min="774" max="774" width="9.140625" style="76"/>
    <col min="775" max="775" width="12.140625" style="76" customWidth="1"/>
    <col min="776" max="776" width="9.140625" style="76"/>
    <col min="777" max="777" width="14.28515625" style="76" customWidth="1"/>
    <col min="778" max="778" width="16" style="76" customWidth="1"/>
    <col min="779" max="1025" width="9.140625" style="76"/>
    <col min="1026" max="1026" width="16.140625" style="76" customWidth="1"/>
    <col min="1027" max="1027" width="15.28515625" style="76" customWidth="1"/>
    <col min="1028" max="1028" width="39.28515625" style="76" customWidth="1"/>
    <col min="1029" max="1029" width="13.140625" style="76" customWidth="1"/>
    <col min="1030" max="1030" width="9.140625" style="76"/>
    <col min="1031" max="1031" width="12.140625" style="76" customWidth="1"/>
    <col min="1032" max="1032" width="9.140625" style="76"/>
    <col min="1033" max="1033" width="14.28515625" style="76" customWidth="1"/>
    <col min="1034" max="1034" width="16" style="76" customWidth="1"/>
    <col min="1035" max="1281" width="9.140625" style="76"/>
    <col min="1282" max="1282" width="16.140625" style="76" customWidth="1"/>
    <col min="1283" max="1283" width="15.28515625" style="76" customWidth="1"/>
    <col min="1284" max="1284" width="39.28515625" style="76" customWidth="1"/>
    <col min="1285" max="1285" width="13.140625" style="76" customWidth="1"/>
    <col min="1286" max="1286" width="9.140625" style="76"/>
    <col min="1287" max="1287" width="12.140625" style="76" customWidth="1"/>
    <col min="1288" max="1288" width="9.140625" style="76"/>
    <col min="1289" max="1289" width="14.28515625" style="76" customWidth="1"/>
    <col min="1290" max="1290" width="16" style="76" customWidth="1"/>
    <col min="1291" max="1537" width="9.140625" style="76"/>
    <col min="1538" max="1538" width="16.140625" style="76" customWidth="1"/>
    <col min="1539" max="1539" width="15.28515625" style="76" customWidth="1"/>
    <col min="1540" max="1540" width="39.28515625" style="76" customWidth="1"/>
    <col min="1541" max="1541" width="13.140625" style="76" customWidth="1"/>
    <col min="1542" max="1542" width="9.140625" style="76"/>
    <col min="1543" max="1543" width="12.140625" style="76" customWidth="1"/>
    <col min="1544" max="1544" width="9.140625" style="76"/>
    <col min="1545" max="1545" width="14.28515625" style="76" customWidth="1"/>
    <col min="1546" max="1546" width="16" style="76" customWidth="1"/>
    <col min="1547" max="1793" width="9.140625" style="76"/>
    <col min="1794" max="1794" width="16.140625" style="76" customWidth="1"/>
    <col min="1795" max="1795" width="15.28515625" style="76" customWidth="1"/>
    <col min="1796" max="1796" width="39.28515625" style="76" customWidth="1"/>
    <col min="1797" max="1797" width="13.140625" style="76" customWidth="1"/>
    <col min="1798" max="1798" width="9.140625" style="76"/>
    <col min="1799" max="1799" width="12.140625" style="76" customWidth="1"/>
    <col min="1800" max="1800" width="9.140625" style="76"/>
    <col min="1801" max="1801" width="14.28515625" style="76" customWidth="1"/>
    <col min="1802" max="1802" width="16" style="76" customWidth="1"/>
    <col min="1803" max="2049" width="9.140625" style="76"/>
    <col min="2050" max="2050" width="16.140625" style="76" customWidth="1"/>
    <col min="2051" max="2051" width="15.28515625" style="76" customWidth="1"/>
    <col min="2052" max="2052" width="39.28515625" style="76" customWidth="1"/>
    <col min="2053" max="2053" width="13.140625" style="76" customWidth="1"/>
    <col min="2054" max="2054" width="9.140625" style="76"/>
    <col min="2055" max="2055" width="12.140625" style="76" customWidth="1"/>
    <col min="2056" max="2056" width="9.140625" style="76"/>
    <col min="2057" max="2057" width="14.28515625" style="76" customWidth="1"/>
    <col min="2058" max="2058" width="16" style="76" customWidth="1"/>
    <col min="2059" max="2305" width="9.140625" style="76"/>
    <col min="2306" max="2306" width="16.140625" style="76" customWidth="1"/>
    <col min="2307" max="2307" width="15.28515625" style="76" customWidth="1"/>
    <col min="2308" max="2308" width="39.28515625" style="76" customWidth="1"/>
    <col min="2309" max="2309" width="13.140625" style="76" customWidth="1"/>
    <col min="2310" max="2310" width="9.140625" style="76"/>
    <col min="2311" max="2311" width="12.140625" style="76" customWidth="1"/>
    <col min="2312" max="2312" width="9.140625" style="76"/>
    <col min="2313" max="2313" width="14.28515625" style="76" customWidth="1"/>
    <col min="2314" max="2314" width="16" style="76" customWidth="1"/>
    <col min="2315" max="2561" width="9.140625" style="76"/>
    <col min="2562" max="2562" width="16.140625" style="76" customWidth="1"/>
    <col min="2563" max="2563" width="15.28515625" style="76" customWidth="1"/>
    <col min="2564" max="2564" width="39.28515625" style="76" customWidth="1"/>
    <col min="2565" max="2565" width="13.140625" style="76" customWidth="1"/>
    <col min="2566" max="2566" width="9.140625" style="76"/>
    <col min="2567" max="2567" width="12.140625" style="76" customWidth="1"/>
    <col min="2568" max="2568" width="9.140625" style="76"/>
    <col min="2569" max="2569" width="14.28515625" style="76" customWidth="1"/>
    <col min="2570" max="2570" width="16" style="76" customWidth="1"/>
    <col min="2571" max="2817" width="9.140625" style="76"/>
    <col min="2818" max="2818" width="16.140625" style="76" customWidth="1"/>
    <col min="2819" max="2819" width="15.28515625" style="76" customWidth="1"/>
    <col min="2820" max="2820" width="39.28515625" style="76" customWidth="1"/>
    <col min="2821" max="2821" width="13.140625" style="76" customWidth="1"/>
    <col min="2822" max="2822" width="9.140625" style="76"/>
    <col min="2823" max="2823" width="12.140625" style="76" customWidth="1"/>
    <col min="2824" max="2824" width="9.140625" style="76"/>
    <col min="2825" max="2825" width="14.28515625" style="76" customWidth="1"/>
    <col min="2826" max="2826" width="16" style="76" customWidth="1"/>
    <col min="2827" max="3073" width="9.140625" style="76"/>
    <col min="3074" max="3074" width="16.140625" style="76" customWidth="1"/>
    <col min="3075" max="3075" width="15.28515625" style="76" customWidth="1"/>
    <col min="3076" max="3076" width="39.28515625" style="76" customWidth="1"/>
    <col min="3077" max="3077" width="13.140625" style="76" customWidth="1"/>
    <col min="3078" max="3078" width="9.140625" style="76"/>
    <col min="3079" max="3079" width="12.140625" style="76" customWidth="1"/>
    <col min="3080" max="3080" width="9.140625" style="76"/>
    <col min="3081" max="3081" width="14.28515625" style="76" customWidth="1"/>
    <col min="3082" max="3082" width="16" style="76" customWidth="1"/>
    <col min="3083" max="3329" width="9.140625" style="76"/>
    <col min="3330" max="3330" width="16.140625" style="76" customWidth="1"/>
    <col min="3331" max="3331" width="15.28515625" style="76" customWidth="1"/>
    <col min="3332" max="3332" width="39.28515625" style="76" customWidth="1"/>
    <col min="3333" max="3333" width="13.140625" style="76" customWidth="1"/>
    <col min="3334" max="3334" width="9.140625" style="76"/>
    <col min="3335" max="3335" width="12.140625" style="76" customWidth="1"/>
    <col min="3336" max="3336" width="9.140625" style="76"/>
    <col min="3337" max="3337" width="14.28515625" style="76" customWidth="1"/>
    <col min="3338" max="3338" width="16" style="76" customWidth="1"/>
    <col min="3339" max="3585" width="9.140625" style="76"/>
    <col min="3586" max="3586" width="16.140625" style="76" customWidth="1"/>
    <col min="3587" max="3587" width="15.28515625" style="76" customWidth="1"/>
    <col min="3588" max="3588" width="39.28515625" style="76" customWidth="1"/>
    <col min="3589" max="3589" width="13.140625" style="76" customWidth="1"/>
    <col min="3590" max="3590" width="9.140625" style="76"/>
    <col min="3591" max="3591" width="12.140625" style="76" customWidth="1"/>
    <col min="3592" max="3592" width="9.140625" style="76"/>
    <col min="3593" max="3593" width="14.28515625" style="76" customWidth="1"/>
    <col min="3594" max="3594" width="16" style="76" customWidth="1"/>
    <col min="3595" max="3841" width="9.140625" style="76"/>
    <col min="3842" max="3842" width="16.140625" style="76" customWidth="1"/>
    <col min="3843" max="3843" width="15.28515625" style="76" customWidth="1"/>
    <col min="3844" max="3844" width="39.28515625" style="76" customWidth="1"/>
    <col min="3845" max="3845" width="13.140625" style="76" customWidth="1"/>
    <col min="3846" max="3846" width="9.140625" style="76"/>
    <col min="3847" max="3847" width="12.140625" style="76" customWidth="1"/>
    <col min="3848" max="3848" width="9.140625" style="76"/>
    <col min="3849" max="3849" width="14.28515625" style="76" customWidth="1"/>
    <col min="3850" max="3850" width="16" style="76" customWidth="1"/>
    <col min="3851" max="4097" width="9.140625" style="76"/>
    <col min="4098" max="4098" width="16.140625" style="76" customWidth="1"/>
    <col min="4099" max="4099" width="15.28515625" style="76" customWidth="1"/>
    <col min="4100" max="4100" width="39.28515625" style="76" customWidth="1"/>
    <col min="4101" max="4101" width="13.140625" style="76" customWidth="1"/>
    <col min="4102" max="4102" width="9.140625" style="76"/>
    <col min="4103" max="4103" width="12.140625" style="76" customWidth="1"/>
    <col min="4104" max="4104" width="9.140625" style="76"/>
    <col min="4105" max="4105" width="14.28515625" style="76" customWidth="1"/>
    <col min="4106" max="4106" width="16" style="76" customWidth="1"/>
    <col min="4107" max="4353" width="9.140625" style="76"/>
    <col min="4354" max="4354" width="16.140625" style="76" customWidth="1"/>
    <col min="4355" max="4355" width="15.28515625" style="76" customWidth="1"/>
    <col min="4356" max="4356" width="39.28515625" style="76" customWidth="1"/>
    <col min="4357" max="4357" width="13.140625" style="76" customWidth="1"/>
    <col min="4358" max="4358" width="9.140625" style="76"/>
    <col min="4359" max="4359" width="12.140625" style="76" customWidth="1"/>
    <col min="4360" max="4360" width="9.140625" style="76"/>
    <col min="4361" max="4361" width="14.28515625" style="76" customWidth="1"/>
    <col min="4362" max="4362" width="16" style="76" customWidth="1"/>
    <col min="4363" max="4609" width="9.140625" style="76"/>
    <col min="4610" max="4610" width="16.140625" style="76" customWidth="1"/>
    <col min="4611" max="4611" width="15.28515625" style="76" customWidth="1"/>
    <col min="4612" max="4612" width="39.28515625" style="76" customWidth="1"/>
    <col min="4613" max="4613" width="13.140625" style="76" customWidth="1"/>
    <col min="4614" max="4614" width="9.140625" style="76"/>
    <col min="4615" max="4615" width="12.140625" style="76" customWidth="1"/>
    <col min="4616" max="4616" width="9.140625" style="76"/>
    <col min="4617" max="4617" width="14.28515625" style="76" customWidth="1"/>
    <col min="4618" max="4618" width="16" style="76" customWidth="1"/>
    <col min="4619" max="4865" width="9.140625" style="76"/>
    <col min="4866" max="4866" width="16.140625" style="76" customWidth="1"/>
    <col min="4867" max="4867" width="15.28515625" style="76" customWidth="1"/>
    <col min="4868" max="4868" width="39.28515625" style="76" customWidth="1"/>
    <col min="4869" max="4869" width="13.140625" style="76" customWidth="1"/>
    <col min="4870" max="4870" width="9.140625" style="76"/>
    <col min="4871" max="4871" width="12.140625" style="76" customWidth="1"/>
    <col min="4872" max="4872" width="9.140625" style="76"/>
    <col min="4873" max="4873" width="14.28515625" style="76" customWidth="1"/>
    <col min="4874" max="4874" width="16" style="76" customWidth="1"/>
    <col min="4875" max="5121" width="9.140625" style="76"/>
    <col min="5122" max="5122" width="16.140625" style="76" customWidth="1"/>
    <col min="5123" max="5123" width="15.28515625" style="76" customWidth="1"/>
    <col min="5124" max="5124" width="39.28515625" style="76" customWidth="1"/>
    <col min="5125" max="5125" width="13.140625" style="76" customWidth="1"/>
    <col min="5126" max="5126" width="9.140625" style="76"/>
    <col min="5127" max="5127" width="12.140625" style="76" customWidth="1"/>
    <col min="5128" max="5128" width="9.140625" style="76"/>
    <col min="5129" max="5129" width="14.28515625" style="76" customWidth="1"/>
    <col min="5130" max="5130" width="16" style="76" customWidth="1"/>
    <col min="5131" max="5377" width="9.140625" style="76"/>
    <col min="5378" max="5378" width="16.140625" style="76" customWidth="1"/>
    <col min="5379" max="5379" width="15.28515625" style="76" customWidth="1"/>
    <col min="5380" max="5380" width="39.28515625" style="76" customWidth="1"/>
    <col min="5381" max="5381" width="13.140625" style="76" customWidth="1"/>
    <col min="5382" max="5382" width="9.140625" style="76"/>
    <col min="5383" max="5383" width="12.140625" style="76" customWidth="1"/>
    <col min="5384" max="5384" width="9.140625" style="76"/>
    <col min="5385" max="5385" width="14.28515625" style="76" customWidth="1"/>
    <col min="5386" max="5386" width="16" style="76" customWidth="1"/>
    <col min="5387" max="5633" width="9.140625" style="76"/>
    <col min="5634" max="5634" width="16.140625" style="76" customWidth="1"/>
    <col min="5635" max="5635" width="15.28515625" style="76" customWidth="1"/>
    <col min="5636" max="5636" width="39.28515625" style="76" customWidth="1"/>
    <col min="5637" max="5637" width="13.140625" style="76" customWidth="1"/>
    <col min="5638" max="5638" width="9.140625" style="76"/>
    <col min="5639" max="5639" width="12.140625" style="76" customWidth="1"/>
    <col min="5640" max="5640" width="9.140625" style="76"/>
    <col min="5641" max="5641" width="14.28515625" style="76" customWidth="1"/>
    <col min="5642" max="5642" width="16" style="76" customWidth="1"/>
    <col min="5643" max="5889" width="9.140625" style="76"/>
    <col min="5890" max="5890" width="16.140625" style="76" customWidth="1"/>
    <col min="5891" max="5891" width="15.28515625" style="76" customWidth="1"/>
    <col min="5892" max="5892" width="39.28515625" style="76" customWidth="1"/>
    <col min="5893" max="5893" width="13.140625" style="76" customWidth="1"/>
    <col min="5894" max="5894" width="9.140625" style="76"/>
    <col min="5895" max="5895" width="12.140625" style="76" customWidth="1"/>
    <col min="5896" max="5896" width="9.140625" style="76"/>
    <col min="5897" max="5897" width="14.28515625" style="76" customWidth="1"/>
    <col min="5898" max="5898" width="16" style="76" customWidth="1"/>
    <col min="5899" max="6145" width="9.140625" style="76"/>
    <col min="6146" max="6146" width="16.140625" style="76" customWidth="1"/>
    <col min="6147" max="6147" width="15.28515625" style="76" customWidth="1"/>
    <col min="6148" max="6148" width="39.28515625" style="76" customWidth="1"/>
    <col min="6149" max="6149" width="13.140625" style="76" customWidth="1"/>
    <col min="6150" max="6150" width="9.140625" style="76"/>
    <col min="6151" max="6151" width="12.140625" style="76" customWidth="1"/>
    <col min="6152" max="6152" width="9.140625" style="76"/>
    <col min="6153" max="6153" width="14.28515625" style="76" customWidth="1"/>
    <col min="6154" max="6154" width="16" style="76" customWidth="1"/>
    <col min="6155" max="6401" width="9.140625" style="76"/>
    <col min="6402" max="6402" width="16.140625" style="76" customWidth="1"/>
    <col min="6403" max="6403" width="15.28515625" style="76" customWidth="1"/>
    <col min="6404" max="6404" width="39.28515625" style="76" customWidth="1"/>
    <col min="6405" max="6405" width="13.140625" style="76" customWidth="1"/>
    <col min="6406" max="6406" width="9.140625" style="76"/>
    <col min="6407" max="6407" width="12.140625" style="76" customWidth="1"/>
    <col min="6408" max="6408" width="9.140625" style="76"/>
    <col min="6409" max="6409" width="14.28515625" style="76" customWidth="1"/>
    <col min="6410" max="6410" width="16" style="76" customWidth="1"/>
    <col min="6411" max="6657" width="9.140625" style="76"/>
    <col min="6658" max="6658" width="16.140625" style="76" customWidth="1"/>
    <col min="6659" max="6659" width="15.28515625" style="76" customWidth="1"/>
    <col min="6660" max="6660" width="39.28515625" style="76" customWidth="1"/>
    <col min="6661" max="6661" width="13.140625" style="76" customWidth="1"/>
    <col min="6662" max="6662" width="9.140625" style="76"/>
    <col min="6663" max="6663" width="12.140625" style="76" customWidth="1"/>
    <col min="6664" max="6664" width="9.140625" style="76"/>
    <col min="6665" max="6665" width="14.28515625" style="76" customWidth="1"/>
    <col min="6666" max="6666" width="16" style="76" customWidth="1"/>
    <col min="6667" max="6913" width="9.140625" style="76"/>
    <col min="6914" max="6914" width="16.140625" style="76" customWidth="1"/>
    <col min="6915" max="6915" width="15.28515625" style="76" customWidth="1"/>
    <col min="6916" max="6916" width="39.28515625" style="76" customWidth="1"/>
    <col min="6917" max="6917" width="13.140625" style="76" customWidth="1"/>
    <col min="6918" max="6918" width="9.140625" style="76"/>
    <col min="6919" max="6919" width="12.140625" style="76" customWidth="1"/>
    <col min="6920" max="6920" width="9.140625" style="76"/>
    <col min="6921" max="6921" width="14.28515625" style="76" customWidth="1"/>
    <col min="6922" max="6922" width="16" style="76" customWidth="1"/>
    <col min="6923" max="7169" width="9.140625" style="76"/>
    <col min="7170" max="7170" width="16.140625" style="76" customWidth="1"/>
    <col min="7171" max="7171" width="15.28515625" style="76" customWidth="1"/>
    <col min="7172" max="7172" width="39.28515625" style="76" customWidth="1"/>
    <col min="7173" max="7173" width="13.140625" style="76" customWidth="1"/>
    <col min="7174" max="7174" width="9.140625" style="76"/>
    <col min="7175" max="7175" width="12.140625" style="76" customWidth="1"/>
    <col min="7176" max="7176" width="9.140625" style="76"/>
    <col min="7177" max="7177" width="14.28515625" style="76" customWidth="1"/>
    <col min="7178" max="7178" width="16" style="76" customWidth="1"/>
    <col min="7179" max="7425" width="9.140625" style="76"/>
    <col min="7426" max="7426" width="16.140625" style="76" customWidth="1"/>
    <col min="7427" max="7427" width="15.28515625" style="76" customWidth="1"/>
    <col min="7428" max="7428" width="39.28515625" style="76" customWidth="1"/>
    <col min="7429" max="7429" width="13.140625" style="76" customWidth="1"/>
    <col min="7430" max="7430" width="9.140625" style="76"/>
    <col min="7431" max="7431" width="12.140625" style="76" customWidth="1"/>
    <col min="7432" max="7432" width="9.140625" style="76"/>
    <col min="7433" max="7433" width="14.28515625" style="76" customWidth="1"/>
    <col min="7434" max="7434" width="16" style="76" customWidth="1"/>
    <col min="7435" max="7681" width="9.140625" style="76"/>
    <col min="7682" max="7682" width="16.140625" style="76" customWidth="1"/>
    <col min="7683" max="7683" width="15.28515625" style="76" customWidth="1"/>
    <col min="7684" max="7684" width="39.28515625" style="76" customWidth="1"/>
    <col min="7685" max="7685" width="13.140625" style="76" customWidth="1"/>
    <col min="7686" max="7686" width="9.140625" style="76"/>
    <col min="7687" max="7687" width="12.140625" style="76" customWidth="1"/>
    <col min="7688" max="7688" width="9.140625" style="76"/>
    <col min="7689" max="7689" width="14.28515625" style="76" customWidth="1"/>
    <col min="7690" max="7690" width="16" style="76" customWidth="1"/>
    <col min="7691" max="7937" width="9.140625" style="76"/>
    <col min="7938" max="7938" width="16.140625" style="76" customWidth="1"/>
    <col min="7939" max="7939" width="15.28515625" style="76" customWidth="1"/>
    <col min="7940" max="7940" width="39.28515625" style="76" customWidth="1"/>
    <col min="7941" max="7941" width="13.140625" style="76" customWidth="1"/>
    <col min="7942" max="7942" width="9.140625" style="76"/>
    <col min="7943" max="7943" width="12.140625" style="76" customWidth="1"/>
    <col min="7944" max="7944" width="9.140625" style="76"/>
    <col min="7945" max="7945" width="14.28515625" style="76" customWidth="1"/>
    <col min="7946" max="7946" width="16" style="76" customWidth="1"/>
    <col min="7947" max="8193" width="9.140625" style="76"/>
    <col min="8194" max="8194" width="16.140625" style="76" customWidth="1"/>
    <col min="8195" max="8195" width="15.28515625" style="76" customWidth="1"/>
    <col min="8196" max="8196" width="39.28515625" style="76" customWidth="1"/>
    <col min="8197" max="8197" width="13.140625" style="76" customWidth="1"/>
    <col min="8198" max="8198" width="9.140625" style="76"/>
    <col min="8199" max="8199" width="12.140625" style="76" customWidth="1"/>
    <col min="8200" max="8200" width="9.140625" style="76"/>
    <col min="8201" max="8201" width="14.28515625" style="76" customWidth="1"/>
    <col min="8202" max="8202" width="16" style="76" customWidth="1"/>
    <col min="8203" max="8449" width="9.140625" style="76"/>
    <col min="8450" max="8450" width="16.140625" style="76" customWidth="1"/>
    <col min="8451" max="8451" width="15.28515625" style="76" customWidth="1"/>
    <col min="8452" max="8452" width="39.28515625" style="76" customWidth="1"/>
    <col min="8453" max="8453" width="13.140625" style="76" customWidth="1"/>
    <col min="8454" max="8454" width="9.140625" style="76"/>
    <col min="8455" max="8455" width="12.140625" style="76" customWidth="1"/>
    <col min="8456" max="8456" width="9.140625" style="76"/>
    <col min="8457" max="8457" width="14.28515625" style="76" customWidth="1"/>
    <col min="8458" max="8458" width="16" style="76" customWidth="1"/>
    <col min="8459" max="8705" width="9.140625" style="76"/>
    <col min="8706" max="8706" width="16.140625" style="76" customWidth="1"/>
    <col min="8707" max="8707" width="15.28515625" style="76" customWidth="1"/>
    <col min="8708" max="8708" width="39.28515625" style="76" customWidth="1"/>
    <col min="8709" max="8709" width="13.140625" style="76" customWidth="1"/>
    <col min="8710" max="8710" width="9.140625" style="76"/>
    <col min="8711" max="8711" width="12.140625" style="76" customWidth="1"/>
    <col min="8712" max="8712" width="9.140625" style="76"/>
    <col min="8713" max="8713" width="14.28515625" style="76" customWidth="1"/>
    <col min="8714" max="8714" width="16" style="76" customWidth="1"/>
    <col min="8715" max="8961" width="9.140625" style="76"/>
    <col min="8962" max="8962" width="16.140625" style="76" customWidth="1"/>
    <col min="8963" max="8963" width="15.28515625" style="76" customWidth="1"/>
    <col min="8964" max="8964" width="39.28515625" style="76" customWidth="1"/>
    <col min="8965" max="8965" width="13.140625" style="76" customWidth="1"/>
    <col min="8966" max="8966" width="9.140625" style="76"/>
    <col min="8967" max="8967" width="12.140625" style="76" customWidth="1"/>
    <col min="8968" max="8968" width="9.140625" style="76"/>
    <col min="8969" max="8969" width="14.28515625" style="76" customWidth="1"/>
    <col min="8970" max="8970" width="16" style="76" customWidth="1"/>
    <col min="8971" max="9217" width="9.140625" style="76"/>
    <col min="9218" max="9218" width="16.140625" style="76" customWidth="1"/>
    <col min="9219" max="9219" width="15.28515625" style="76" customWidth="1"/>
    <col min="9220" max="9220" width="39.28515625" style="76" customWidth="1"/>
    <col min="9221" max="9221" width="13.140625" style="76" customWidth="1"/>
    <col min="9222" max="9222" width="9.140625" style="76"/>
    <col min="9223" max="9223" width="12.140625" style="76" customWidth="1"/>
    <col min="9224" max="9224" width="9.140625" style="76"/>
    <col min="9225" max="9225" width="14.28515625" style="76" customWidth="1"/>
    <col min="9226" max="9226" width="16" style="76" customWidth="1"/>
    <col min="9227" max="9473" width="9.140625" style="76"/>
    <col min="9474" max="9474" width="16.140625" style="76" customWidth="1"/>
    <col min="9475" max="9475" width="15.28515625" style="76" customWidth="1"/>
    <col min="9476" max="9476" width="39.28515625" style="76" customWidth="1"/>
    <col min="9477" max="9477" width="13.140625" style="76" customWidth="1"/>
    <col min="9478" max="9478" width="9.140625" style="76"/>
    <col min="9479" max="9479" width="12.140625" style="76" customWidth="1"/>
    <col min="9480" max="9480" width="9.140625" style="76"/>
    <col min="9481" max="9481" width="14.28515625" style="76" customWidth="1"/>
    <col min="9482" max="9482" width="16" style="76" customWidth="1"/>
    <col min="9483" max="9729" width="9.140625" style="76"/>
    <col min="9730" max="9730" width="16.140625" style="76" customWidth="1"/>
    <col min="9731" max="9731" width="15.28515625" style="76" customWidth="1"/>
    <col min="9732" max="9732" width="39.28515625" style="76" customWidth="1"/>
    <col min="9733" max="9733" width="13.140625" style="76" customWidth="1"/>
    <col min="9734" max="9734" width="9.140625" style="76"/>
    <col min="9735" max="9735" width="12.140625" style="76" customWidth="1"/>
    <col min="9736" max="9736" width="9.140625" style="76"/>
    <col min="9737" max="9737" width="14.28515625" style="76" customWidth="1"/>
    <col min="9738" max="9738" width="16" style="76" customWidth="1"/>
    <col min="9739" max="9985" width="9.140625" style="76"/>
    <col min="9986" max="9986" width="16.140625" style="76" customWidth="1"/>
    <col min="9987" max="9987" width="15.28515625" style="76" customWidth="1"/>
    <col min="9988" max="9988" width="39.28515625" style="76" customWidth="1"/>
    <col min="9989" max="9989" width="13.140625" style="76" customWidth="1"/>
    <col min="9990" max="9990" width="9.140625" style="76"/>
    <col min="9991" max="9991" width="12.140625" style="76" customWidth="1"/>
    <col min="9992" max="9992" width="9.140625" style="76"/>
    <col min="9993" max="9993" width="14.28515625" style="76" customWidth="1"/>
    <col min="9994" max="9994" width="16" style="76" customWidth="1"/>
    <col min="9995" max="10241" width="9.140625" style="76"/>
    <col min="10242" max="10242" width="16.140625" style="76" customWidth="1"/>
    <col min="10243" max="10243" width="15.28515625" style="76" customWidth="1"/>
    <col min="10244" max="10244" width="39.28515625" style="76" customWidth="1"/>
    <col min="10245" max="10245" width="13.140625" style="76" customWidth="1"/>
    <col min="10246" max="10246" width="9.140625" style="76"/>
    <col min="10247" max="10247" width="12.140625" style="76" customWidth="1"/>
    <col min="10248" max="10248" width="9.140625" style="76"/>
    <col min="10249" max="10249" width="14.28515625" style="76" customWidth="1"/>
    <col min="10250" max="10250" width="16" style="76" customWidth="1"/>
    <col min="10251" max="10497" width="9.140625" style="76"/>
    <col min="10498" max="10498" width="16.140625" style="76" customWidth="1"/>
    <col min="10499" max="10499" width="15.28515625" style="76" customWidth="1"/>
    <col min="10500" max="10500" width="39.28515625" style="76" customWidth="1"/>
    <col min="10501" max="10501" width="13.140625" style="76" customWidth="1"/>
    <col min="10502" max="10502" width="9.140625" style="76"/>
    <col min="10503" max="10503" width="12.140625" style="76" customWidth="1"/>
    <col min="10504" max="10504" width="9.140625" style="76"/>
    <col min="10505" max="10505" width="14.28515625" style="76" customWidth="1"/>
    <col min="10506" max="10506" width="16" style="76" customWidth="1"/>
    <col min="10507" max="10753" width="9.140625" style="76"/>
    <col min="10754" max="10754" width="16.140625" style="76" customWidth="1"/>
    <col min="10755" max="10755" width="15.28515625" style="76" customWidth="1"/>
    <col min="10756" max="10756" width="39.28515625" style="76" customWidth="1"/>
    <col min="10757" max="10757" width="13.140625" style="76" customWidth="1"/>
    <col min="10758" max="10758" width="9.140625" style="76"/>
    <col min="10759" max="10759" width="12.140625" style="76" customWidth="1"/>
    <col min="10760" max="10760" width="9.140625" style="76"/>
    <col min="10761" max="10761" width="14.28515625" style="76" customWidth="1"/>
    <col min="10762" max="10762" width="16" style="76" customWidth="1"/>
    <col min="10763" max="11009" width="9.140625" style="76"/>
    <col min="11010" max="11010" width="16.140625" style="76" customWidth="1"/>
    <col min="11011" max="11011" width="15.28515625" style="76" customWidth="1"/>
    <col min="11012" max="11012" width="39.28515625" style="76" customWidth="1"/>
    <col min="11013" max="11013" width="13.140625" style="76" customWidth="1"/>
    <col min="11014" max="11014" width="9.140625" style="76"/>
    <col min="11015" max="11015" width="12.140625" style="76" customWidth="1"/>
    <col min="11016" max="11016" width="9.140625" style="76"/>
    <col min="11017" max="11017" width="14.28515625" style="76" customWidth="1"/>
    <col min="11018" max="11018" width="16" style="76" customWidth="1"/>
    <col min="11019" max="11265" width="9.140625" style="76"/>
    <col min="11266" max="11266" width="16.140625" style="76" customWidth="1"/>
    <col min="11267" max="11267" width="15.28515625" style="76" customWidth="1"/>
    <col min="11268" max="11268" width="39.28515625" style="76" customWidth="1"/>
    <col min="11269" max="11269" width="13.140625" style="76" customWidth="1"/>
    <col min="11270" max="11270" width="9.140625" style="76"/>
    <col min="11271" max="11271" width="12.140625" style="76" customWidth="1"/>
    <col min="11272" max="11272" width="9.140625" style="76"/>
    <col min="11273" max="11273" width="14.28515625" style="76" customWidth="1"/>
    <col min="11274" max="11274" width="16" style="76" customWidth="1"/>
    <col min="11275" max="11521" width="9.140625" style="76"/>
    <col min="11522" max="11522" width="16.140625" style="76" customWidth="1"/>
    <col min="11523" max="11523" width="15.28515625" style="76" customWidth="1"/>
    <col min="11524" max="11524" width="39.28515625" style="76" customWidth="1"/>
    <col min="11525" max="11525" width="13.140625" style="76" customWidth="1"/>
    <col min="11526" max="11526" width="9.140625" style="76"/>
    <col min="11527" max="11527" width="12.140625" style="76" customWidth="1"/>
    <col min="11528" max="11528" width="9.140625" style="76"/>
    <col min="11529" max="11529" width="14.28515625" style="76" customWidth="1"/>
    <col min="11530" max="11530" width="16" style="76" customWidth="1"/>
    <col min="11531" max="11777" width="9.140625" style="76"/>
    <col min="11778" max="11778" width="16.140625" style="76" customWidth="1"/>
    <col min="11779" max="11779" width="15.28515625" style="76" customWidth="1"/>
    <col min="11780" max="11780" width="39.28515625" style="76" customWidth="1"/>
    <col min="11781" max="11781" width="13.140625" style="76" customWidth="1"/>
    <col min="11782" max="11782" width="9.140625" style="76"/>
    <col min="11783" max="11783" width="12.140625" style="76" customWidth="1"/>
    <col min="11784" max="11784" width="9.140625" style="76"/>
    <col min="11785" max="11785" width="14.28515625" style="76" customWidth="1"/>
    <col min="11786" max="11786" width="16" style="76" customWidth="1"/>
    <col min="11787" max="12033" width="9.140625" style="76"/>
    <col min="12034" max="12034" width="16.140625" style="76" customWidth="1"/>
    <col min="12035" max="12035" width="15.28515625" style="76" customWidth="1"/>
    <col min="12036" max="12036" width="39.28515625" style="76" customWidth="1"/>
    <col min="12037" max="12037" width="13.140625" style="76" customWidth="1"/>
    <col min="12038" max="12038" width="9.140625" style="76"/>
    <col min="12039" max="12039" width="12.140625" style="76" customWidth="1"/>
    <col min="12040" max="12040" width="9.140625" style="76"/>
    <col min="12041" max="12041" width="14.28515625" style="76" customWidth="1"/>
    <col min="12042" max="12042" width="16" style="76" customWidth="1"/>
    <col min="12043" max="12289" width="9.140625" style="76"/>
    <col min="12290" max="12290" width="16.140625" style="76" customWidth="1"/>
    <col min="12291" max="12291" width="15.28515625" style="76" customWidth="1"/>
    <col min="12292" max="12292" width="39.28515625" style="76" customWidth="1"/>
    <col min="12293" max="12293" width="13.140625" style="76" customWidth="1"/>
    <col min="12294" max="12294" width="9.140625" style="76"/>
    <col min="12295" max="12295" width="12.140625" style="76" customWidth="1"/>
    <col min="12296" max="12296" width="9.140625" style="76"/>
    <col min="12297" max="12297" width="14.28515625" style="76" customWidth="1"/>
    <col min="12298" max="12298" width="16" style="76" customWidth="1"/>
    <col min="12299" max="12545" width="9.140625" style="76"/>
    <col min="12546" max="12546" width="16.140625" style="76" customWidth="1"/>
    <col min="12547" max="12547" width="15.28515625" style="76" customWidth="1"/>
    <col min="12548" max="12548" width="39.28515625" style="76" customWidth="1"/>
    <col min="12549" max="12549" width="13.140625" style="76" customWidth="1"/>
    <col min="12550" max="12550" width="9.140625" style="76"/>
    <col min="12551" max="12551" width="12.140625" style="76" customWidth="1"/>
    <col min="12552" max="12552" width="9.140625" style="76"/>
    <col min="12553" max="12553" width="14.28515625" style="76" customWidth="1"/>
    <col min="12554" max="12554" width="16" style="76" customWidth="1"/>
    <col min="12555" max="12801" width="9.140625" style="76"/>
    <col min="12802" max="12802" width="16.140625" style="76" customWidth="1"/>
    <col min="12803" max="12803" width="15.28515625" style="76" customWidth="1"/>
    <col min="12804" max="12804" width="39.28515625" style="76" customWidth="1"/>
    <col min="12805" max="12805" width="13.140625" style="76" customWidth="1"/>
    <col min="12806" max="12806" width="9.140625" style="76"/>
    <col min="12807" max="12807" width="12.140625" style="76" customWidth="1"/>
    <col min="12808" max="12808" width="9.140625" style="76"/>
    <col min="12809" max="12809" width="14.28515625" style="76" customWidth="1"/>
    <col min="12810" max="12810" width="16" style="76" customWidth="1"/>
    <col min="12811" max="13057" width="9.140625" style="76"/>
    <col min="13058" max="13058" width="16.140625" style="76" customWidth="1"/>
    <col min="13059" max="13059" width="15.28515625" style="76" customWidth="1"/>
    <col min="13060" max="13060" width="39.28515625" style="76" customWidth="1"/>
    <col min="13061" max="13061" width="13.140625" style="76" customWidth="1"/>
    <col min="13062" max="13062" width="9.140625" style="76"/>
    <col min="13063" max="13063" width="12.140625" style="76" customWidth="1"/>
    <col min="13064" max="13064" width="9.140625" style="76"/>
    <col min="13065" max="13065" width="14.28515625" style="76" customWidth="1"/>
    <col min="13066" max="13066" width="16" style="76" customWidth="1"/>
    <col min="13067" max="13313" width="9.140625" style="76"/>
    <col min="13314" max="13314" width="16.140625" style="76" customWidth="1"/>
    <col min="13315" max="13315" width="15.28515625" style="76" customWidth="1"/>
    <col min="13316" max="13316" width="39.28515625" style="76" customWidth="1"/>
    <col min="13317" max="13317" width="13.140625" style="76" customWidth="1"/>
    <col min="13318" max="13318" width="9.140625" style="76"/>
    <col min="13319" max="13319" width="12.140625" style="76" customWidth="1"/>
    <col min="13320" max="13320" width="9.140625" style="76"/>
    <col min="13321" max="13321" width="14.28515625" style="76" customWidth="1"/>
    <col min="13322" max="13322" width="16" style="76" customWidth="1"/>
    <col min="13323" max="13569" width="9.140625" style="76"/>
    <col min="13570" max="13570" width="16.140625" style="76" customWidth="1"/>
    <col min="13571" max="13571" width="15.28515625" style="76" customWidth="1"/>
    <col min="13572" max="13572" width="39.28515625" style="76" customWidth="1"/>
    <col min="13573" max="13573" width="13.140625" style="76" customWidth="1"/>
    <col min="13574" max="13574" width="9.140625" style="76"/>
    <col min="13575" max="13575" width="12.140625" style="76" customWidth="1"/>
    <col min="13576" max="13576" width="9.140625" style="76"/>
    <col min="13577" max="13577" width="14.28515625" style="76" customWidth="1"/>
    <col min="13578" max="13578" width="16" style="76" customWidth="1"/>
    <col min="13579" max="13825" width="9.140625" style="76"/>
    <col min="13826" max="13826" width="16.140625" style="76" customWidth="1"/>
    <col min="13827" max="13827" width="15.28515625" style="76" customWidth="1"/>
    <col min="13828" max="13828" width="39.28515625" style="76" customWidth="1"/>
    <col min="13829" max="13829" width="13.140625" style="76" customWidth="1"/>
    <col min="13830" max="13830" width="9.140625" style="76"/>
    <col min="13831" max="13831" width="12.140625" style="76" customWidth="1"/>
    <col min="13832" max="13832" width="9.140625" style="76"/>
    <col min="13833" max="13833" width="14.28515625" style="76" customWidth="1"/>
    <col min="13834" max="13834" width="16" style="76" customWidth="1"/>
    <col min="13835" max="14081" width="9.140625" style="76"/>
    <col min="14082" max="14082" width="16.140625" style="76" customWidth="1"/>
    <col min="14083" max="14083" width="15.28515625" style="76" customWidth="1"/>
    <col min="14084" max="14084" width="39.28515625" style="76" customWidth="1"/>
    <col min="14085" max="14085" width="13.140625" style="76" customWidth="1"/>
    <col min="14086" max="14086" width="9.140625" style="76"/>
    <col min="14087" max="14087" width="12.140625" style="76" customWidth="1"/>
    <col min="14088" max="14088" width="9.140625" style="76"/>
    <col min="14089" max="14089" width="14.28515625" style="76" customWidth="1"/>
    <col min="14090" max="14090" width="16" style="76" customWidth="1"/>
    <col min="14091" max="14337" width="9.140625" style="76"/>
    <col min="14338" max="14338" width="16.140625" style="76" customWidth="1"/>
    <col min="14339" max="14339" width="15.28515625" style="76" customWidth="1"/>
    <col min="14340" max="14340" width="39.28515625" style="76" customWidth="1"/>
    <col min="14341" max="14341" width="13.140625" style="76" customWidth="1"/>
    <col min="14342" max="14342" width="9.140625" style="76"/>
    <col min="14343" max="14343" width="12.140625" style="76" customWidth="1"/>
    <col min="14344" max="14344" width="9.140625" style="76"/>
    <col min="14345" max="14345" width="14.28515625" style="76" customWidth="1"/>
    <col min="14346" max="14346" width="16" style="76" customWidth="1"/>
    <col min="14347" max="14593" width="9.140625" style="76"/>
    <col min="14594" max="14594" width="16.140625" style="76" customWidth="1"/>
    <col min="14595" max="14595" width="15.28515625" style="76" customWidth="1"/>
    <col min="14596" max="14596" width="39.28515625" style="76" customWidth="1"/>
    <col min="14597" max="14597" width="13.140625" style="76" customWidth="1"/>
    <col min="14598" max="14598" width="9.140625" style="76"/>
    <col min="14599" max="14599" width="12.140625" style="76" customWidth="1"/>
    <col min="14600" max="14600" width="9.140625" style="76"/>
    <col min="14601" max="14601" width="14.28515625" style="76" customWidth="1"/>
    <col min="14602" max="14602" width="16" style="76" customWidth="1"/>
    <col min="14603" max="14849" width="9.140625" style="76"/>
    <col min="14850" max="14850" width="16.140625" style="76" customWidth="1"/>
    <col min="14851" max="14851" width="15.28515625" style="76" customWidth="1"/>
    <col min="14852" max="14852" width="39.28515625" style="76" customWidth="1"/>
    <col min="14853" max="14853" width="13.140625" style="76" customWidth="1"/>
    <col min="14854" max="14854" width="9.140625" style="76"/>
    <col min="14855" max="14855" width="12.140625" style="76" customWidth="1"/>
    <col min="14856" max="14856" width="9.140625" style="76"/>
    <col min="14857" max="14857" width="14.28515625" style="76" customWidth="1"/>
    <col min="14858" max="14858" width="16" style="76" customWidth="1"/>
    <col min="14859" max="15105" width="9.140625" style="76"/>
    <col min="15106" max="15106" width="16.140625" style="76" customWidth="1"/>
    <col min="15107" max="15107" width="15.28515625" style="76" customWidth="1"/>
    <col min="15108" max="15108" width="39.28515625" style="76" customWidth="1"/>
    <col min="15109" max="15109" width="13.140625" style="76" customWidth="1"/>
    <col min="15110" max="15110" width="9.140625" style="76"/>
    <col min="15111" max="15111" width="12.140625" style="76" customWidth="1"/>
    <col min="15112" max="15112" width="9.140625" style="76"/>
    <col min="15113" max="15113" width="14.28515625" style="76" customWidth="1"/>
    <col min="15114" max="15114" width="16" style="76" customWidth="1"/>
    <col min="15115" max="15361" width="9.140625" style="76"/>
    <col min="15362" max="15362" width="16.140625" style="76" customWidth="1"/>
    <col min="15363" max="15363" width="15.28515625" style="76" customWidth="1"/>
    <col min="15364" max="15364" width="39.28515625" style="76" customWidth="1"/>
    <col min="15365" max="15365" width="13.140625" style="76" customWidth="1"/>
    <col min="15366" max="15366" width="9.140625" style="76"/>
    <col min="15367" max="15367" width="12.140625" style="76" customWidth="1"/>
    <col min="15368" max="15368" width="9.140625" style="76"/>
    <col min="15369" max="15369" width="14.28515625" style="76" customWidth="1"/>
    <col min="15370" max="15370" width="16" style="76" customWidth="1"/>
    <col min="15371" max="15617" width="9.140625" style="76"/>
    <col min="15618" max="15618" width="16.140625" style="76" customWidth="1"/>
    <col min="15619" max="15619" width="15.28515625" style="76" customWidth="1"/>
    <col min="15620" max="15620" width="39.28515625" style="76" customWidth="1"/>
    <col min="15621" max="15621" width="13.140625" style="76" customWidth="1"/>
    <col min="15622" max="15622" width="9.140625" style="76"/>
    <col min="15623" max="15623" width="12.140625" style="76" customWidth="1"/>
    <col min="15624" max="15624" width="9.140625" style="76"/>
    <col min="15625" max="15625" width="14.28515625" style="76" customWidth="1"/>
    <col min="15626" max="15626" width="16" style="76" customWidth="1"/>
    <col min="15627" max="15873" width="9.140625" style="76"/>
    <col min="15874" max="15874" width="16.140625" style="76" customWidth="1"/>
    <col min="15875" max="15875" width="15.28515625" style="76" customWidth="1"/>
    <col min="15876" max="15876" width="39.28515625" style="76" customWidth="1"/>
    <col min="15877" max="15877" width="13.140625" style="76" customWidth="1"/>
    <col min="15878" max="15878" width="9.140625" style="76"/>
    <col min="15879" max="15879" width="12.140625" style="76" customWidth="1"/>
    <col min="15880" max="15880" width="9.140625" style="76"/>
    <col min="15881" max="15881" width="14.28515625" style="76" customWidth="1"/>
    <col min="15882" max="15882" width="16" style="76" customWidth="1"/>
    <col min="15883" max="16129" width="9.140625" style="76"/>
    <col min="16130" max="16130" width="16.140625" style="76" customWidth="1"/>
    <col min="16131" max="16131" width="15.28515625" style="76" customWidth="1"/>
    <col min="16132" max="16132" width="39.28515625" style="76" customWidth="1"/>
    <col min="16133" max="16133" width="13.140625" style="76" customWidth="1"/>
    <col min="16134" max="16134" width="9.140625" style="76"/>
    <col min="16135" max="16135" width="12.140625" style="76" customWidth="1"/>
    <col min="16136" max="16136" width="9.140625" style="76"/>
    <col min="16137" max="16137" width="14.28515625" style="76" customWidth="1"/>
    <col min="16138" max="16138" width="16" style="76" customWidth="1"/>
    <col min="16139" max="16384" width="9.140625" style="76"/>
  </cols>
  <sheetData>
    <row r="1" spans="1:13" ht="15.75" x14ac:dyDescent="0.25">
      <c r="B1" s="593"/>
      <c r="C1" s="594"/>
      <c r="D1" s="599" t="s">
        <v>34</v>
      </c>
      <c r="E1" s="599"/>
      <c r="F1" s="599"/>
      <c r="G1" s="599"/>
      <c r="H1" s="599"/>
      <c r="I1" s="74" t="s">
        <v>33</v>
      </c>
      <c r="J1" s="75" t="s">
        <v>282</v>
      </c>
    </row>
    <row r="2" spans="1:13" ht="16.5" thickBot="1" x14ac:dyDescent="0.3">
      <c r="B2" s="595"/>
      <c r="C2" s="596"/>
      <c r="D2" s="600" t="s">
        <v>32</v>
      </c>
      <c r="E2" s="600"/>
      <c r="F2" s="600"/>
      <c r="G2" s="600"/>
      <c r="H2" s="600"/>
      <c r="I2" s="77" t="s">
        <v>31</v>
      </c>
      <c r="J2" s="78" t="s">
        <v>283</v>
      </c>
    </row>
    <row r="3" spans="1:13" ht="18.75" thickBot="1" x14ac:dyDescent="0.3">
      <c r="B3" s="595"/>
      <c r="C3" s="596"/>
      <c r="D3" s="840" t="s">
        <v>284</v>
      </c>
      <c r="E3" s="764"/>
      <c r="F3" s="764"/>
      <c r="G3" s="764"/>
      <c r="H3" s="765"/>
      <c r="I3" s="604" t="s">
        <v>30</v>
      </c>
      <c r="J3" s="588">
        <v>44459</v>
      </c>
    </row>
    <row r="4" spans="1:13" x14ac:dyDescent="0.25">
      <c r="B4" s="595"/>
      <c r="C4" s="596"/>
      <c r="D4" s="79" t="s">
        <v>29</v>
      </c>
      <c r="E4" s="650" t="s">
        <v>285</v>
      </c>
      <c r="F4" s="651"/>
      <c r="G4" s="651"/>
      <c r="H4" s="652"/>
      <c r="I4" s="605"/>
      <c r="J4" s="589"/>
    </row>
    <row r="5" spans="1:13" ht="14.25" thickBot="1" x14ac:dyDescent="0.3">
      <c r="B5" s="597"/>
      <c r="C5" s="598"/>
      <c r="D5" s="80" t="s">
        <v>28</v>
      </c>
      <c r="E5" s="653" t="s">
        <v>286</v>
      </c>
      <c r="F5" s="654"/>
      <c r="G5" s="654"/>
      <c r="H5" s="655"/>
      <c r="I5" s="606"/>
      <c r="J5" s="589"/>
    </row>
    <row r="6" spans="1:13" ht="25.5" x14ac:dyDescent="0.25">
      <c r="B6" s="750" t="s">
        <v>24</v>
      </c>
      <c r="C6" s="752" t="s">
        <v>35</v>
      </c>
      <c r="D6" s="754" t="s">
        <v>23</v>
      </c>
      <c r="E6" s="754" t="s">
        <v>22</v>
      </c>
      <c r="F6" s="754" t="s">
        <v>21</v>
      </c>
      <c r="G6" s="754"/>
      <c r="H6" s="754" t="s">
        <v>20</v>
      </c>
      <c r="I6" s="754"/>
      <c r="J6" s="81" t="s">
        <v>19</v>
      </c>
    </row>
    <row r="7" spans="1:13" ht="27" thickBot="1" x14ac:dyDescent="0.3">
      <c r="B7" s="751"/>
      <c r="C7" s="753"/>
      <c r="D7" s="755"/>
      <c r="E7" s="755"/>
      <c r="F7" s="84" t="s">
        <v>15</v>
      </c>
      <c r="G7" s="85" t="s">
        <v>18</v>
      </c>
      <c r="H7" s="84" t="s">
        <v>15</v>
      </c>
      <c r="I7" s="85" t="s">
        <v>18</v>
      </c>
      <c r="J7" s="86" t="s">
        <v>17</v>
      </c>
    </row>
    <row r="8" spans="1:13" ht="15.75" x14ac:dyDescent="0.25">
      <c r="B8" s="92" t="s">
        <v>287</v>
      </c>
      <c r="C8" s="92" t="s">
        <v>288</v>
      </c>
      <c r="D8" s="93" t="s">
        <v>289</v>
      </c>
      <c r="E8" s="376" t="s">
        <v>290</v>
      </c>
      <c r="F8" s="377">
        <v>1500</v>
      </c>
      <c r="G8" s="378" t="s">
        <v>2</v>
      </c>
      <c r="H8" s="27"/>
      <c r="I8" s="90"/>
      <c r="J8" s="91"/>
    </row>
    <row r="9" spans="1:13" ht="15.75" x14ac:dyDescent="0.25">
      <c r="B9" s="92" t="s">
        <v>229</v>
      </c>
      <c r="C9" s="92"/>
      <c r="D9" s="93" t="s">
        <v>291</v>
      </c>
      <c r="E9" s="376" t="s">
        <v>292</v>
      </c>
      <c r="F9" s="377">
        <v>300</v>
      </c>
      <c r="G9" s="378" t="s">
        <v>2</v>
      </c>
      <c r="H9" s="27"/>
      <c r="I9" s="90"/>
      <c r="J9" s="91"/>
    </row>
    <row r="10" spans="1:13" ht="15.75" x14ac:dyDescent="0.25">
      <c r="A10" s="76">
        <v>102000013</v>
      </c>
      <c r="B10" s="379" t="s">
        <v>293</v>
      </c>
      <c r="C10" s="380" t="s">
        <v>294</v>
      </c>
      <c r="D10" s="93" t="s">
        <v>295</v>
      </c>
      <c r="E10" s="376" t="s">
        <v>296</v>
      </c>
      <c r="F10" s="377">
        <v>1800</v>
      </c>
      <c r="G10" s="378" t="s">
        <v>2</v>
      </c>
      <c r="H10" s="27"/>
      <c r="I10" s="90"/>
      <c r="J10" s="91"/>
    </row>
    <row r="11" spans="1:13" ht="15.75" x14ac:dyDescent="0.25">
      <c r="A11" s="76">
        <v>116000001</v>
      </c>
      <c r="B11" s="92" t="s">
        <v>297</v>
      </c>
      <c r="C11" s="92" t="s">
        <v>258</v>
      </c>
      <c r="D11" s="93" t="s">
        <v>298</v>
      </c>
      <c r="E11" s="376" t="s">
        <v>299</v>
      </c>
      <c r="F11" s="377">
        <v>4</v>
      </c>
      <c r="G11" s="378" t="s">
        <v>2</v>
      </c>
      <c r="H11" s="27"/>
      <c r="I11" s="90"/>
      <c r="J11" s="91"/>
    </row>
    <row r="12" spans="1:13" ht="15.75" x14ac:dyDescent="0.25">
      <c r="B12" s="92"/>
      <c r="C12" s="92"/>
      <c r="D12" s="93"/>
      <c r="E12" s="376"/>
      <c r="F12" s="377"/>
      <c r="G12" s="378"/>
      <c r="H12" s="27"/>
      <c r="I12" s="90"/>
      <c r="J12" s="91"/>
    </row>
    <row r="13" spans="1:13" ht="15.75" x14ac:dyDescent="0.25">
      <c r="B13" s="381">
        <v>702069</v>
      </c>
      <c r="C13" s="381" t="s">
        <v>60</v>
      </c>
      <c r="D13" t="s">
        <v>61</v>
      </c>
      <c r="E13" s="376" t="s">
        <v>55</v>
      </c>
      <c r="F13" s="377">
        <v>1</v>
      </c>
      <c r="G13" s="378" t="s">
        <v>300</v>
      </c>
      <c r="H13" s="27"/>
      <c r="I13" s="90"/>
      <c r="J13" s="91"/>
    </row>
    <row r="14" spans="1:13" ht="15.75" x14ac:dyDescent="0.25">
      <c r="B14" s="92">
        <v>512000002</v>
      </c>
      <c r="C14" s="92" t="s">
        <v>301</v>
      </c>
      <c r="D14" s="93" t="s">
        <v>302</v>
      </c>
      <c r="E14" s="376" t="s">
        <v>52</v>
      </c>
      <c r="F14" s="377">
        <v>20</v>
      </c>
      <c r="G14" s="378" t="s">
        <v>303</v>
      </c>
      <c r="H14" s="27"/>
      <c r="I14" s="90"/>
      <c r="J14" s="91"/>
    </row>
    <row r="15" spans="1:13" ht="15" x14ac:dyDescent="0.25">
      <c r="B15" s="110"/>
      <c r="C15" s="111"/>
      <c r="D15" s="112"/>
      <c r="E15" s="113"/>
      <c r="F15" s="114"/>
      <c r="G15" s="114"/>
      <c r="H15" s="114"/>
      <c r="I15" s="114"/>
      <c r="J15" s="102"/>
    </row>
    <row r="16" spans="1:13" ht="14.25" thickBot="1" x14ac:dyDescent="0.3">
      <c r="B16" s="115"/>
      <c r="C16" s="116"/>
      <c r="F16" s="117"/>
      <c r="G16" s="118"/>
      <c r="J16" s="119"/>
      <c r="M16" s="120"/>
    </row>
    <row r="17" spans="2:14" ht="14.25" thickBot="1" x14ac:dyDescent="0.3">
      <c r="B17" s="121"/>
      <c r="C17" s="122"/>
      <c r="D17" s="123"/>
      <c r="E17" s="124" t="s">
        <v>15</v>
      </c>
      <c r="F17" s="125" t="s">
        <v>14</v>
      </c>
      <c r="G17" s="126"/>
      <c r="H17" s="123"/>
      <c r="I17" s="123"/>
      <c r="J17" s="127"/>
      <c r="M17" s="120"/>
    </row>
    <row r="18" spans="2:14" x14ac:dyDescent="0.25">
      <c r="B18" s="740" t="s">
        <v>13</v>
      </c>
      <c r="C18" s="741"/>
      <c r="D18" s="742"/>
      <c r="E18" s="27">
        <v>3600</v>
      </c>
      <c r="F18" s="129" t="s">
        <v>2</v>
      </c>
      <c r="G18" s="743" t="s">
        <v>12</v>
      </c>
      <c r="H18" s="743"/>
      <c r="I18" s="744"/>
      <c r="J18" s="745"/>
      <c r="M18" s="120"/>
    </row>
    <row r="19" spans="2:14" x14ac:dyDescent="0.25">
      <c r="B19" s="584" t="s">
        <v>11</v>
      </c>
      <c r="C19" s="585"/>
      <c r="D19" s="586"/>
      <c r="E19" s="5">
        <v>2</v>
      </c>
      <c r="F19" s="5" t="s">
        <v>304</v>
      </c>
      <c r="G19" s="587" t="s">
        <v>9</v>
      </c>
      <c r="H19" s="587"/>
      <c r="I19" s="576"/>
      <c r="J19" s="577"/>
      <c r="M19" s="120"/>
    </row>
    <row r="20" spans="2:14" x14ac:dyDescent="0.25">
      <c r="B20" s="584" t="s">
        <v>8</v>
      </c>
      <c r="C20" s="585"/>
      <c r="D20" s="586"/>
      <c r="E20" s="5">
        <v>10</v>
      </c>
      <c r="F20" s="5" t="s">
        <v>305</v>
      </c>
      <c r="G20" s="587" t="s">
        <v>6</v>
      </c>
      <c r="H20" s="587"/>
      <c r="I20" s="576"/>
      <c r="J20" s="577"/>
      <c r="M20" s="120"/>
    </row>
    <row r="21" spans="2:14" x14ac:dyDescent="0.25">
      <c r="B21" s="584" t="s">
        <v>5</v>
      </c>
      <c r="C21" s="585"/>
      <c r="D21" s="586"/>
      <c r="E21" s="5">
        <v>3600</v>
      </c>
      <c r="F21" s="5" t="s">
        <v>2</v>
      </c>
      <c r="G21" s="738" t="s">
        <v>4</v>
      </c>
      <c r="H21" s="739"/>
      <c r="I21" s="576"/>
      <c r="J21" s="577"/>
      <c r="M21" s="120"/>
      <c r="N21" s="132"/>
    </row>
    <row r="22" spans="2:14" ht="14.25" thickBot="1" x14ac:dyDescent="0.3">
      <c r="B22" s="572" t="s">
        <v>3</v>
      </c>
      <c r="C22" s="573"/>
      <c r="D22" s="574"/>
      <c r="E22" s="134">
        <v>0</v>
      </c>
      <c r="F22" s="134" t="s">
        <v>2</v>
      </c>
      <c r="G22" s="578"/>
      <c r="H22" s="578"/>
      <c r="I22" s="579"/>
      <c r="J22" s="580"/>
      <c r="M22" s="120"/>
    </row>
    <row r="23" spans="2:14" ht="14.25" thickBot="1" x14ac:dyDescent="0.3">
      <c r="B23" s="569" t="s">
        <v>1</v>
      </c>
      <c r="C23" s="570"/>
      <c r="D23" s="570"/>
      <c r="E23" s="570"/>
      <c r="F23" s="570"/>
      <c r="G23" s="570"/>
      <c r="H23" s="570"/>
      <c r="I23" s="570"/>
      <c r="J23" s="571"/>
    </row>
    <row r="24" spans="2:14" x14ac:dyDescent="0.25">
      <c r="B24" s="854" t="s">
        <v>306</v>
      </c>
      <c r="C24" s="855"/>
      <c r="D24" s="856"/>
      <c r="E24" s="856"/>
      <c r="F24" s="856"/>
      <c r="G24" s="856"/>
      <c r="H24" s="856"/>
      <c r="I24" s="856"/>
      <c r="J24" s="857"/>
    </row>
    <row r="25" spans="2:14" ht="15.75" x14ac:dyDescent="0.25">
      <c r="B25" s="858" t="s">
        <v>307</v>
      </c>
      <c r="C25" s="859"/>
      <c r="D25" s="860"/>
      <c r="E25" s="860"/>
      <c r="F25" s="860"/>
      <c r="G25" s="860"/>
      <c r="H25" s="860"/>
      <c r="I25" s="860"/>
      <c r="J25" s="861"/>
    </row>
    <row r="26" spans="2:14" x14ac:dyDescent="0.25">
      <c r="B26" s="610"/>
      <c r="C26" s="611"/>
      <c r="D26" s="611"/>
      <c r="E26" s="611"/>
      <c r="F26" s="611"/>
      <c r="G26" s="611"/>
      <c r="H26" s="611"/>
      <c r="I26" s="611"/>
      <c r="J26" s="612"/>
    </row>
    <row r="27" spans="2:14" ht="14.25" thickBot="1" x14ac:dyDescent="0.3">
      <c r="B27" s="850" t="s">
        <v>216</v>
      </c>
      <c r="C27" s="851"/>
      <c r="D27" s="852"/>
      <c r="E27" s="852"/>
      <c r="F27" s="852"/>
      <c r="G27" s="852"/>
      <c r="H27" s="852"/>
      <c r="I27" s="852"/>
      <c r="J27" s="853"/>
    </row>
    <row r="28" spans="2:14" ht="14.25" thickBot="1" x14ac:dyDescent="0.3">
      <c r="B28" s="731" t="s">
        <v>308</v>
      </c>
      <c r="C28" s="732"/>
      <c r="D28" s="733"/>
      <c r="E28" s="733"/>
      <c r="F28" s="733"/>
      <c r="G28" s="733"/>
      <c r="H28" s="733"/>
      <c r="I28" s="733"/>
      <c r="J28" s="734"/>
    </row>
    <row r="29" spans="2:14" ht="14.25" thickBot="1" x14ac:dyDescent="0.3">
      <c r="B29" s="731"/>
      <c r="C29" s="732"/>
      <c r="D29" s="733"/>
      <c r="E29" s="733"/>
      <c r="F29" s="733"/>
      <c r="G29" s="733"/>
      <c r="H29" s="733"/>
      <c r="I29" s="733"/>
      <c r="J29" s="734"/>
    </row>
  </sheetData>
  <mergeCells count="36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6:J26"/>
    <mergeCell ref="B27:J27"/>
    <mergeCell ref="B28:J28"/>
    <mergeCell ref="B29:J29"/>
    <mergeCell ref="B22:D22"/>
    <mergeCell ref="G22:H22"/>
    <mergeCell ref="I22:J22"/>
    <mergeCell ref="B23:J23"/>
    <mergeCell ref="B24:J24"/>
    <mergeCell ref="B25:J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1083-3766-492A-A91F-4481DEE38312}">
  <dimension ref="A1:L30"/>
  <sheetViews>
    <sheetView workbookViewId="0">
      <selection activeCell="C6" sqref="C6:C7"/>
    </sheetView>
  </sheetViews>
  <sheetFormatPr baseColWidth="10" defaultColWidth="9.85546875" defaultRowHeight="15.75" x14ac:dyDescent="0.25"/>
  <cols>
    <col min="1" max="2" width="15" style="408" customWidth="1"/>
    <col min="3" max="3" width="44" style="384" customWidth="1"/>
    <col min="4" max="4" width="17.85546875" style="384" customWidth="1"/>
    <col min="5" max="5" width="12.7109375" style="384" customWidth="1"/>
    <col min="6" max="6" width="16.28515625" style="384" customWidth="1"/>
    <col min="7" max="7" width="11.28515625" style="384" customWidth="1"/>
    <col min="8" max="8" width="15.42578125" style="384" customWidth="1"/>
    <col min="9" max="9" width="16.7109375" style="384" customWidth="1"/>
    <col min="10" max="10" width="8.28515625" style="384" customWidth="1"/>
    <col min="11" max="256" width="9.85546875" style="384"/>
    <col min="257" max="258" width="15" style="384" customWidth="1"/>
    <col min="259" max="259" width="44" style="384" customWidth="1"/>
    <col min="260" max="260" width="17.85546875" style="384" customWidth="1"/>
    <col min="261" max="261" width="12.7109375" style="384" customWidth="1"/>
    <col min="262" max="262" width="16.28515625" style="384" customWidth="1"/>
    <col min="263" max="263" width="11.28515625" style="384" customWidth="1"/>
    <col min="264" max="264" width="15.42578125" style="384" customWidth="1"/>
    <col min="265" max="265" width="16.7109375" style="384" customWidth="1"/>
    <col min="266" max="266" width="8.28515625" style="384" customWidth="1"/>
    <col min="267" max="512" width="9.85546875" style="384"/>
    <col min="513" max="514" width="15" style="384" customWidth="1"/>
    <col min="515" max="515" width="44" style="384" customWidth="1"/>
    <col min="516" max="516" width="17.85546875" style="384" customWidth="1"/>
    <col min="517" max="517" width="12.7109375" style="384" customWidth="1"/>
    <col min="518" max="518" width="16.28515625" style="384" customWidth="1"/>
    <col min="519" max="519" width="11.28515625" style="384" customWidth="1"/>
    <col min="520" max="520" width="15.42578125" style="384" customWidth="1"/>
    <col min="521" max="521" width="16.7109375" style="384" customWidth="1"/>
    <col min="522" max="522" width="8.28515625" style="384" customWidth="1"/>
    <col min="523" max="768" width="9.85546875" style="384"/>
    <col min="769" max="770" width="15" style="384" customWidth="1"/>
    <col min="771" max="771" width="44" style="384" customWidth="1"/>
    <col min="772" max="772" width="17.85546875" style="384" customWidth="1"/>
    <col min="773" max="773" width="12.7109375" style="384" customWidth="1"/>
    <col min="774" max="774" width="16.28515625" style="384" customWidth="1"/>
    <col min="775" max="775" width="11.28515625" style="384" customWidth="1"/>
    <col min="776" max="776" width="15.42578125" style="384" customWidth="1"/>
    <col min="777" max="777" width="16.7109375" style="384" customWidth="1"/>
    <col min="778" max="778" width="8.28515625" style="384" customWidth="1"/>
    <col min="779" max="1024" width="9.85546875" style="384"/>
    <col min="1025" max="1026" width="15" style="384" customWidth="1"/>
    <col min="1027" max="1027" width="44" style="384" customWidth="1"/>
    <col min="1028" max="1028" width="17.85546875" style="384" customWidth="1"/>
    <col min="1029" max="1029" width="12.7109375" style="384" customWidth="1"/>
    <col min="1030" max="1030" width="16.28515625" style="384" customWidth="1"/>
    <col min="1031" max="1031" width="11.28515625" style="384" customWidth="1"/>
    <col min="1032" max="1032" width="15.42578125" style="384" customWidth="1"/>
    <col min="1033" max="1033" width="16.7109375" style="384" customWidth="1"/>
    <col min="1034" max="1034" width="8.28515625" style="384" customWidth="1"/>
    <col min="1035" max="1280" width="9.85546875" style="384"/>
    <col min="1281" max="1282" width="15" style="384" customWidth="1"/>
    <col min="1283" max="1283" width="44" style="384" customWidth="1"/>
    <col min="1284" max="1284" width="17.85546875" style="384" customWidth="1"/>
    <col min="1285" max="1285" width="12.7109375" style="384" customWidth="1"/>
    <col min="1286" max="1286" width="16.28515625" style="384" customWidth="1"/>
    <col min="1287" max="1287" width="11.28515625" style="384" customWidth="1"/>
    <col min="1288" max="1288" width="15.42578125" style="384" customWidth="1"/>
    <col min="1289" max="1289" width="16.7109375" style="384" customWidth="1"/>
    <col min="1290" max="1290" width="8.28515625" style="384" customWidth="1"/>
    <col min="1291" max="1536" width="9.85546875" style="384"/>
    <col min="1537" max="1538" width="15" style="384" customWidth="1"/>
    <col min="1539" max="1539" width="44" style="384" customWidth="1"/>
    <col min="1540" max="1540" width="17.85546875" style="384" customWidth="1"/>
    <col min="1541" max="1541" width="12.7109375" style="384" customWidth="1"/>
    <col min="1542" max="1542" width="16.28515625" style="384" customWidth="1"/>
    <col min="1543" max="1543" width="11.28515625" style="384" customWidth="1"/>
    <col min="1544" max="1544" width="15.42578125" style="384" customWidth="1"/>
    <col min="1545" max="1545" width="16.7109375" style="384" customWidth="1"/>
    <col min="1546" max="1546" width="8.28515625" style="384" customWidth="1"/>
    <col min="1547" max="1792" width="9.85546875" style="384"/>
    <col min="1793" max="1794" width="15" style="384" customWidth="1"/>
    <col min="1795" max="1795" width="44" style="384" customWidth="1"/>
    <col min="1796" max="1796" width="17.85546875" style="384" customWidth="1"/>
    <col min="1797" max="1797" width="12.7109375" style="384" customWidth="1"/>
    <col min="1798" max="1798" width="16.28515625" style="384" customWidth="1"/>
    <col min="1799" max="1799" width="11.28515625" style="384" customWidth="1"/>
    <col min="1800" max="1800" width="15.42578125" style="384" customWidth="1"/>
    <col min="1801" max="1801" width="16.7109375" style="384" customWidth="1"/>
    <col min="1802" max="1802" width="8.28515625" style="384" customWidth="1"/>
    <col min="1803" max="2048" width="9.85546875" style="384"/>
    <col min="2049" max="2050" width="15" style="384" customWidth="1"/>
    <col min="2051" max="2051" width="44" style="384" customWidth="1"/>
    <col min="2052" max="2052" width="17.85546875" style="384" customWidth="1"/>
    <col min="2053" max="2053" width="12.7109375" style="384" customWidth="1"/>
    <col min="2054" max="2054" width="16.28515625" style="384" customWidth="1"/>
    <col min="2055" max="2055" width="11.28515625" style="384" customWidth="1"/>
    <col min="2056" max="2056" width="15.42578125" style="384" customWidth="1"/>
    <col min="2057" max="2057" width="16.7109375" style="384" customWidth="1"/>
    <col min="2058" max="2058" width="8.28515625" style="384" customWidth="1"/>
    <col min="2059" max="2304" width="9.85546875" style="384"/>
    <col min="2305" max="2306" width="15" style="384" customWidth="1"/>
    <col min="2307" max="2307" width="44" style="384" customWidth="1"/>
    <col min="2308" max="2308" width="17.85546875" style="384" customWidth="1"/>
    <col min="2309" max="2309" width="12.7109375" style="384" customWidth="1"/>
    <col min="2310" max="2310" width="16.28515625" style="384" customWidth="1"/>
    <col min="2311" max="2311" width="11.28515625" style="384" customWidth="1"/>
    <col min="2312" max="2312" width="15.42578125" style="384" customWidth="1"/>
    <col min="2313" max="2313" width="16.7109375" style="384" customWidth="1"/>
    <col min="2314" max="2314" width="8.28515625" style="384" customWidth="1"/>
    <col min="2315" max="2560" width="9.85546875" style="384"/>
    <col min="2561" max="2562" width="15" style="384" customWidth="1"/>
    <col min="2563" max="2563" width="44" style="384" customWidth="1"/>
    <col min="2564" max="2564" width="17.85546875" style="384" customWidth="1"/>
    <col min="2565" max="2565" width="12.7109375" style="384" customWidth="1"/>
    <col min="2566" max="2566" width="16.28515625" style="384" customWidth="1"/>
    <col min="2567" max="2567" width="11.28515625" style="384" customWidth="1"/>
    <col min="2568" max="2568" width="15.42578125" style="384" customWidth="1"/>
    <col min="2569" max="2569" width="16.7109375" style="384" customWidth="1"/>
    <col min="2570" max="2570" width="8.28515625" style="384" customWidth="1"/>
    <col min="2571" max="2816" width="9.85546875" style="384"/>
    <col min="2817" max="2818" width="15" style="384" customWidth="1"/>
    <col min="2819" max="2819" width="44" style="384" customWidth="1"/>
    <col min="2820" max="2820" width="17.85546875" style="384" customWidth="1"/>
    <col min="2821" max="2821" width="12.7109375" style="384" customWidth="1"/>
    <col min="2822" max="2822" width="16.28515625" style="384" customWidth="1"/>
    <col min="2823" max="2823" width="11.28515625" style="384" customWidth="1"/>
    <col min="2824" max="2824" width="15.42578125" style="384" customWidth="1"/>
    <col min="2825" max="2825" width="16.7109375" style="384" customWidth="1"/>
    <col min="2826" max="2826" width="8.28515625" style="384" customWidth="1"/>
    <col min="2827" max="3072" width="9.85546875" style="384"/>
    <col min="3073" max="3074" width="15" style="384" customWidth="1"/>
    <col min="3075" max="3075" width="44" style="384" customWidth="1"/>
    <col min="3076" max="3076" width="17.85546875" style="384" customWidth="1"/>
    <col min="3077" max="3077" width="12.7109375" style="384" customWidth="1"/>
    <col min="3078" max="3078" width="16.28515625" style="384" customWidth="1"/>
    <col min="3079" max="3079" width="11.28515625" style="384" customWidth="1"/>
    <col min="3080" max="3080" width="15.42578125" style="384" customWidth="1"/>
    <col min="3081" max="3081" width="16.7109375" style="384" customWidth="1"/>
    <col min="3082" max="3082" width="8.28515625" style="384" customWidth="1"/>
    <col min="3083" max="3328" width="9.85546875" style="384"/>
    <col min="3329" max="3330" width="15" style="384" customWidth="1"/>
    <col min="3331" max="3331" width="44" style="384" customWidth="1"/>
    <col min="3332" max="3332" width="17.85546875" style="384" customWidth="1"/>
    <col min="3333" max="3333" width="12.7109375" style="384" customWidth="1"/>
    <col min="3334" max="3334" width="16.28515625" style="384" customWidth="1"/>
    <col min="3335" max="3335" width="11.28515625" style="384" customWidth="1"/>
    <col min="3336" max="3336" width="15.42578125" style="384" customWidth="1"/>
    <col min="3337" max="3337" width="16.7109375" style="384" customWidth="1"/>
    <col min="3338" max="3338" width="8.28515625" style="384" customWidth="1"/>
    <col min="3339" max="3584" width="9.85546875" style="384"/>
    <col min="3585" max="3586" width="15" style="384" customWidth="1"/>
    <col min="3587" max="3587" width="44" style="384" customWidth="1"/>
    <col min="3588" max="3588" width="17.85546875" style="384" customWidth="1"/>
    <col min="3589" max="3589" width="12.7109375" style="384" customWidth="1"/>
    <col min="3590" max="3590" width="16.28515625" style="384" customWidth="1"/>
    <col min="3591" max="3591" width="11.28515625" style="384" customWidth="1"/>
    <col min="3592" max="3592" width="15.42578125" style="384" customWidth="1"/>
    <col min="3593" max="3593" width="16.7109375" style="384" customWidth="1"/>
    <col min="3594" max="3594" width="8.28515625" style="384" customWidth="1"/>
    <col min="3595" max="3840" width="9.85546875" style="384"/>
    <col min="3841" max="3842" width="15" style="384" customWidth="1"/>
    <col min="3843" max="3843" width="44" style="384" customWidth="1"/>
    <col min="3844" max="3844" width="17.85546875" style="384" customWidth="1"/>
    <col min="3845" max="3845" width="12.7109375" style="384" customWidth="1"/>
    <col min="3846" max="3846" width="16.28515625" style="384" customWidth="1"/>
    <col min="3847" max="3847" width="11.28515625" style="384" customWidth="1"/>
    <col min="3848" max="3848" width="15.42578125" style="384" customWidth="1"/>
    <col min="3849" max="3849" width="16.7109375" style="384" customWidth="1"/>
    <col min="3850" max="3850" width="8.28515625" style="384" customWidth="1"/>
    <col min="3851" max="4096" width="9.85546875" style="384"/>
    <col min="4097" max="4098" width="15" style="384" customWidth="1"/>
    <col min="4099" max="4099" width="44" style="384" customWidth="1"/>
    <col min="4100" max="4100" width="17.85546875" style="384" customWidth="1"/>
    <col min="4101" max="4101" width="12.7109375" style="384" customWidth="1"/>
    <col min="4102" max="4102" width="16.28515625" style="384" customWidth="1"/>
    <col min="4103" max="4103" width="11.28515625" style="384" customWidth="1"/>
    <col min="4104" max="4104" width="15.42578125" style="384" customWidth="1"/>
    <col min="4105" max="4105" width="16.7109375" style="384" customWidth="1"/>
    <col min="4106" max="4106" width="8.28515625" style="384" customWidth="1"/>
    <col min="4107" max="4352" width="9.85546875" style="384"/>
    <col min="4353" max="4354" width="15" style="384" customWidth="1"/>
    <col min="4355" max="4355" width="44" style="384" customWidth="1"/>
    <col min="4356" max="4356" width="17.85546875" style="384" customWidth="1"/>
    <col min="4357" max="4357" width="12.7109375" style="384" customWidth="1"/>
    <col min="4358" max="4358" width="16.28515625" style="384" customWidth="1"/>
    <col min="4359" max="4359" width="11.28515625" style="384" customWidth="1"/>
    <col min="4360" max="4360" width="15.42578125" style="384" customWidth="1"/>
    <col min="4361" max="4361" width="16.7109375" style="384" customWidth="1"/>
    <col min="4362" max="4362" width="8.28515625" style="384" customWidth="1"/>
    <col min="4363" max="4608" width="9.85546875" style="384"/>
    <col min="4609" max="4610" width="15" style="384" customWidth="1"/>
    <col min="4611" max="4611" width="44" style="384" customWidth="1"/>
    <col min="4612" max="4612" width="17.85546875" style="384" customWidth="1"/>
    <col min="4613" max="4613" width="12.7109375" style="384" customWidth="1"/>
    <col min="4614" max="4614" width="16.28515625" style="384" customWidth="1"/>
    <col min="4615" max="4615" width="11.28515625" style="384" customWidth="1"/>
    <col min="4616" max="4616" width="15.42578125" style="384" customWidth="1"/>
    <col min="4617" max="4617" width="16.7109375" style="384" customWidth="1"/>
    <col min="4618" max="4618" width="8.28515625" style="384" customWidth="1"/>
    <col min="4619" max="4864" width="9.85546875" style="384"/>
    <col min="4865" max="4866" width="15" style="384" customWidth="1"/>
    <col min="4867" max="4867" width="44" style="384" customWidth="1"/>
    <col min="4868" max="4868" width="17.85546875" style="384" customWidth="1"/>
    <col min="4869" max="4869" width="12.7109375" style="384" customWidth="1"/>
    <col min="4870" max="4870" width="16.28515625" style="384" customWidth="1"/>
    <col min="4871" max="4871" width="11.28515625" style="384" customWidth="1"/>
    <col min="4872" max="4872" width="15.42578125" style="384" customWidth="1"/>
    <col min="4873" max="4873" width="16.7109375" style="384" customWidth="1"/>
    <col min="4874" max="4874" width="8.28515625" style="384" customWidth="1"/>
    <col min="4875" max="5120" width="9.85546875" style="384"/>
    <col min="5121" max="5122" width="15" style="384" customWidth="1"/>
    <col min="5123" max="5123" width="44" style="384" customWidth="1"/>
    <col min="5124" max="5124" width="17.85546875" style="384" customWidth="1"/>
    <col min="5125" max="5125" width="12.7109375" style="384" customWidth="1"/>
    <col min="5126" max="5126" width="16.28515625" style="384" customWidth="1"/>
    <col min="5127" max="5127" width="11.28515625" style="384" customWidth="1"/>
    <col min="5128" max="5128" width="15.42578125" style="384" customWidth="1"/>
    <col min="5129" max="5129" width="16.7109375" style="384" customWidth="1"/>
    <col min="5130" max="5130" width="8.28515625" style="384" customWidth="1"/>
    <col min="5131" max="5376" width="9.85546875" style="384"/>
    <col min="5377" max="5378" width="15" style="384" customWidth="1"/>
    <col min="5379" max="5379" width="44" style="384" customWidth="1"/>
    <col min="5380" max="5380" width="17.85546875" style="384" customWidth="1"/>
    <col min="5381" max="5381" width="12.7109375" style="384" customWidth="1"/>
    <col min="5382" max="5382" width="16.28515625" style="384" customWidth="1"/>
    <col min="5383" max="5383" width="11.28515625" style="384" customWidth="1"/>
    <col min="5384" max="5384" width="15.42578125" style="384" customWidth="1"/>
    <col min="5385" max="5385" width="16.7109375" style="384" customWidth="1"/>
    <col min="5386" max="5386" width="8.28515625" style="384" customWidth="1"/>
    <col min="5387" max="5632" width="9.85546875" style="384"/>
    <col min="5633" max="5634" width="15" style="384" customWidth="1"/>
    <col min="5635" max="5635" width="44" style="384" customWidth="1"/>
    <col min="5636" max="5636" width="17.85546875" style="384" customWidth="1"/>
    <col min="5637" max="5637" width="12.7109375" style="384" customWidth="1"/>
    <col min="5638" max="5638" width="16.28515625" style="384" customWidth="1"/>
    <col min="5639" max="5639" width="11.28515625" style="384" customWidth="1"/>
    <col min="5640" max="5640" width="15.42578125" style="384" customWidth="1"/>
    <col min="5641" max="5641" width="16.7109375" style="384" customWidth="1"/>
    <col min="5642" max="5642" width="8.28515625" style="384" customWidth="1"/>
    <col min="5643" max="5888" width="9.85546875" style="384"/>
    <col min="5889" max="5890" width="15" style="384" customWidth="1"/>
    <col min="5891" max="5891" width="44" style="384" customWidth="1"/>
    <col min="5892" max="5892" width="17.85546875" style="384" customWidth="1"/>
    <col min="5893" max="5893" width="12.7109375" style="384" customWidth="1"/>
    <col min="5894" max="5894" width="16.28515625" style="384" customWidth="1"/>
    <col min="5895" max="5895" width="11.28515625" style="384" customWidth="1"/>
    <col min="5896" max="5896" width="15.42578125" style="384" customWidth="1"/>
    <col min="5897" max="5897" width="16.7109375" style="384" customWidth="1"/>
    <col min="5898" max="5898" width="8.28515625" style="384" customWidth="1"/>
    <col min="5899" max="6144" width="9.85546875" style="384"/>
    <col min="6145" max="6146" width="15" style="384" customWidth="1"/>
    <col min="6147" max="6147" width="44" style="384" customWidth="1"/>
    <col min="6148" max="6148" width="17.85546875" style="384" customWidth="1"/>
    <col min="6149" max="6149" width="12.7109375" style="384" customWidth="1"/>
    <col min="6150" max="6150" width="16.28515625" style="384" customWidth="1"/>
    <col min="6151" max="6151" width="11.28515625" style="384" customWidth="1"/>
    <col min="6152" max="6152" width="15.42578125" style="384" customWidth="1"/>
    <col min="6153" max="6153" width="16.7109375" style="384" customWidth="1"/>
    <col min="6154" max="6154" width="8.28515625" style="384" customWidth="1"/>
    <col min="6155" max="6400" width="9.85546875" style="384"/>
    <col min="6401" max="6402" width="15" style="384" customWidth="1"/>
    <col min="6403" max="6403" width="44" style="384" customWidth="1"/>
    <col min="6404" max="6404" width="17.85546875" style="384" customWidth="1"/>
    <col min="6405" max="6405" width="12.7109375" style="384" customWidth="1"/>
    <col min="6406" max="6406" width="16.28515625" style="384" customWidth="1"/>
    <col min="6407" max="6407" width="11.28515625" style="384" customWidth="1"/>
    <col min="6408" max="6408" width="15.42578125" style="384" customWidth="1"/>
    <col min="6409" max="6409" width="16.7109375" style="384" customWidth="1"/>
    <col min="6410" max="6410" width="8.28515625" style="384" customWidth="1"/>
    <col min="6411" max="6656" width="9.85546875" style="384"/>
    <col min="6657" max="6658" width="15" style="384" customWidth="1"/>
    <col min="6659" max="6659" width="44" style="384" customWidth="1"/>
    <col min="6660" max="6660" width="17.85546875" style="384" customWidth="1"/>
    <col min="6661" max="6661" width="12.7109375" style="384" customWidth="1"/>
    <col min="6662" max="6662" width="16.28515625" style="384" customWidth="1"/>
    <col min="6663" max="6663" width="11.28515625" style="384" customWidth="1"/>
    <col min="6664" max="6664" width="15.42578125" style="384" customWidth="1"/>
    <col min="6665" max="6665" width="16.7109375" style="384" customWidth="1"/>
    <col min="6666" max="6666" width="8.28515625" style="384" customWidth="1"/>
    <col min="6667" max="6912" width="9.85546875" style="384"/>
    <col min="6913" max="6914" width="15" style="384" customWidth="1"/>
    <col min="6915" max="6915" width="44" style="384" customWidth="1"/>
    <col min="6916" max="6916" width="17.85546875" style="384" customWidth="1"/>
    <col min="6917" max="6917" width="12.7109375" style="384" customWidth="1"/>
    <col min="6918" max="6918" width="16.28515625" style="384" customWidth="1"/>
    <col min="6919" max="6919" width="11.28515625" style="384" customWidth="1"/>
    <col min="6920" max="6920" width="15.42578125" style="384" customWidth="1"/>
    <col min="6921" max="6921" width="16.7109375" style="384" customWidth="1"/>
    <col min="6922" max="6922" width="8.28515625" style="384" customWidth="1"/>
    <col min="6923" max="7168" width="9.85546875" style="384"/>
    <col min="7169" max="7170" width="15" style="384" customWidth="1"/>
    <col min="7171" max="7171" width="44" style="384" customWidth="1"/>
    <col min="7172" max="7172" width="17.85546875" style="384" customWidth="1"/>
    <col min="7173" max="7173" width="12.7109375" style="384" customWidth="1"/>
    <col min="7174" max="7174" width="16.28515625" style="384" customWidth="1"/>
    <col min="7175" max="7175" width="11.28515625" style="384" customWidth="1"/>
    <col min="7176" max="7176" width="15.42578125" style="384" customWidth="1"/>
    <col min="7177" max="7177" width="16.7109375" style="384" customWidth="1"/>
    <col min="7178" max="7178" width="8.28515625" style="384" customWidth="1"/>
    <col min="7179" max="7424" width="9.85546875" style="384"/>
    <col min="7425" max="7426" width="15" style="384" customWidth="1"/>
    <col min="7427" max="7427" width="44" style="384" customWidth="1"/>
    <col min="7428" max="7428" width="17.85546875" style="384" customWidth="1"/>
    <col min="7429" max="7429" width="12.7109375" style="384" customWidth="1"/>
    <col min="7430" max="7430" width="16.28515625" style="384" customWidth="1"/>
    <col min="7431" max="7431" width="11.28515625" style="384" customWidth="1"/>
    <col min="7432" max="7432" width="15.42578125" style="384" customWidth="1"/>
    <col min="7433" max="7433" width="16.7109375" style="384" customWidth="1"/>
    <col min="7434" max="7434" width="8.28515625" style="384" customWidth="1"/>
    <col min="7435" max="7680" width="9.85546875" style="384"/>
    <col min="7681" max="7682" width="15" style="384" customWidth="1"/>
    <col min="7683" max="7683" width="44" style="384" customWidth="1"/>
    <col min="7684" max="7684" width="17.85546875" style="384" customWidth="1"/>
    <col min="7685" max="7685" width="12.7109375" style="384" customWidth="1"/>
    <col min="7686" max="7686" width="16.28515625" style="384" customWidth="1"/>
    <col min="7687" max="7687" width="11.28515625" style="384" customWidth="1"/>
    <col min="7688" max="7688" width="15.42578125" style="384" customWidth="1"/>
    <col min="7689" max="7689" width="16.7109375" style="384" customWidth="1"/>
    <col min="7690" max="7690" width="8.28515625" style="384" customWidth="1"/>
    <col min="7691" max="7936" width="9.85546875" style="384"/>
    <col min="7937" max="7938" width="15" style="384" customWidth="1"/>
    <col min="7939" max="7939" width="44" style="384" customWidth="1"/>
    <col min="7940" max="7940" width="17.85546875" style="384" customWidth="1"/>
    <col min="7941" max="7941" width="12.7109375" style="384" customWidth="1"/>
    <col min="7942" max="7942" width="16.28515625" style="384" customWidth="1"/>
    <col min="7943" max="7943" width="11.28515625" style="384" customWidth="1"/>
    <col min="7944" max="7944" width="15.42578125" style="384" customWidth="1"/>
    <col min="7945" max="7945" width="16.7109375" style="384" customWidth="1"/>
    <col min="7946" max="7946" width="8.28515625" style="384" customWidth="1"/>
    <col min="7947" max="8192" width="9.85546875" style="384"/>
    <col min="8193" max="8194" width="15" style="384" customWidth="1"/>
    <col min="8195" max="8195" width="44" style="384" customWidth="1"/>
    <col min="8196" max="8196" width="17.85546875" style="384" customWidth="1"/>
    <col min="8197" max="8197" width="12.7109375" style="384" customWidth="1"/>
    <col min="8198" max="8198" width="16.28515625" style="384" customWidth="1"/>
    <col min="8199" max="8199" width="11.28515625" style="384" customWidth="1"/>
    <col min="8200" max="8200" width="15.42578125" style="384" customWidth="1"/>
    <col min="8201" max="8201" width="16.7109375" style="384" customWidth="1"/>
    <col min="8202" max="8202" width="8.28515625" style="384" customWidth="1"/>
    <col min="8203" max="8448" width="9.85546875" style="384"/>
    <col min="8449" max="8450" width="15" style="384" customWidth="1"/>
    <col min="8451" max="8451" width="44" style="384" customWidth="1"/>
    <col min="8452" max="8452" width="17.85546875" style="384" customWidth="1"/>
    <col min="8453" max="8453" width="12.7109375" style="384" customWidth="1"/>
    <col min="8454" max="8454" width="16.28515625" style="384" customWidth="1"/>
    <col min="8455" max="8455" width="11.28515625" style="384" customWidth="1"/>
    <col min="8456" max="8456" width="15.42578125" style="384" customWidth="1"/>
    <col min="8457" max="8457" width="16.7109375" style="384" customWidth="1"/>
    <col min="8458" max="8458" width="8.28515625" style="384" customWidth="1"/>
    <col min="8459" max="8704" width="9.85546875" style="384"/>
    <col min="8705" max="8706" width="15" style="384" customWidth="1"/>
    <col min="8707" max="8707" width="44" style="384" customWidth="1"/>
    <col min="8708" max="8708" width="17.85546875" style="384" customWidth="1"/>
    <col min="8709" max="8709" width="12.7109375" style="384" customWidth="1"/>
    <col min="8710" max="8710" width="16.28515625" style="384" customWidth="1"/>
    <col min="8711" max="8711" width="11.28515625" style="384" customWidth="1"/>
    <col min="8712" max="8712" width="15.42578125" style="384" customWidth="1"/>
    <col min="8713" max="8713" width="16.7109375" style="384" customWidth="1"/>
    <col min="8714" max="8714" width="8.28515625" style="384" customWidth="1"/>
    <col min="8715" max="8960" width="9.85546875" style="384"/>
    <col min="8961" max="8962" width="15" style="384" customWidth="1"/>
    <col min="8963" max="8963" width="44" style="384" customWidth="1"/>
    <col min="8964" max="8964" width="17.85546875" style="384" customWidth="1"/>
    <col min="8965" max="8965" width="12.7109375" style="384" customWidth="1"/>
    <col min="8966" max="8966" width="16.28515625" style="384" customWidth="1"/>
    <col min="8967" max="8967" width="11.28515625" style="384" customWidth="1"/>
    <col min="8968" max="8968" width="15.42578125" style="384" customWidth="1"/>
    <col min="8969" max="8969" width="16.7109375" style="384" customWidth="1"/>
    <col min="8970" max="8970" width="8.28515625" style="384" customWidth="1"/>
    <col min="8971" max="9216" width="9.85546875" style="384"/>
    <col min="9217" max="9218" width="15" style="384" customWidth="1"/>
    <col min="9219" max="9219" width="44" style="384" customWidth="1"/>
    <col min="9220" max="9220" width="17.85546875" style="384" customWidth="1"/>
    <col min="9221" max="9221" width="12.7109375" style="384" customWidth="1"/>
    <col min="9222" max="9222" width="16.28515625" style="384" customWidth="1"/>
    <col min="9223" max="9223" width="11.28515625" style="384" customWidth="1"/>
    <col min="9224" max="9224" width="15.42578125" style="384" customWidth="1"/>
    <col min="9225" max="9225" width="16.7109375" style="384" customWidth="1"/>
    <col min="9226" max="9226" width="8.28515625" style="384" customWidth="1"/>
    <col min="9227" max="9472" width="9.85546875" style="384"/>
    <col min="9473" max="9474" width="15" style="384" customWidth="1"/>
    <col min="9475" max="9475" width="44" style="384" customWidth="1"/>
    <col min="9476" max="9476" width="17.85546875" style="384" customWidth="1"/>
    <col min="9477" max="9477" width="12.7109375" style="384" customWidth="1"/>
    <col min="9478" max="9478" width="16.28515625" style="384" customWidth="1"/>
    <col min="9479" max="9479" width="11.28515625" style="384" customWidth="1"/>
    <col min="9480" max="9480" width="15.42578125" style="384" customWidth="1"/>
    <col min="9481" max="9481" width="16.7109375" style="384" customWidth="1"/>
    <col min="9482" max="9482" width="8.28515625" style="384" customWidth="1"/>
    <col min="9483" max="9728" width="9.85546875" style="384"/>
    <col min="9729" max="9730" width="15" style="384" customWidth="1"/>
    <col min="9731" max="9731" width="44" style="384" customWidth="1"/>
    <col min="9732" max="9732" width="17.85546875" style="384" customWidth="1"/>
    <col min="9733" max="9733" width="12.7109375" style="384" customWidth="1"/>
    <col min="9734" max="9734" width="16.28515625" style="384" customWidth="1"/>
    <col min="9735" max="9735" width="11.28515625" style="384" customWidth="1"/>
    <col min="9736" max="9736" width="15.42578125" style="384" customWidth="1"/>
    <col min="9737" max="9737" width="16.7109375" style="384" customWidth="1"/>
    <col min="9738" max="9738" width="8.28515625" style="384" customWidth="1"/>
    <col min="9739" max="9984" width="9.85546875" style="384"/>
    <col min="9985" max="9986" width="15" style="384" customWidth="1"/>
    <col min="9987" max="9987" width="44" style="384" customWidth="1"/>
    <col min="9988" max="9988" width="17.85546875" style="384" customWidth="1"/>
    <col min="9989" max="9989" width="12.7109375" style="384" customWidth="1"/>
    <col min="9990" max="9990" width="16.28515625" style="384" customWidth="1"/>
    <col min="9991" max="9991" width="11.28515625" style="384" customWidth="1"/>
    <col min="9992" max="9992" width="15.42578125" style="384" customWidth="1"/>
    <col min="9993" max="9993" width="16.7109375" style="384" customWidth="1"/>
    <col min="9994" max="9994" width="8.28515625" style="384" customWidth="1"/>
    <col min="9995" max="10240" width="9.85546875" style="384"/>
    <col min="10241" max="10242" width="15" style="384" customWidth="1"/>
    <col min="10243" max="10243" width="44" style="384" customWidth="1"/>
    <col min="10244" max="10244" width="17.85546875" style="384" customWidth="1"/>
    <col min="10245" max="10245" width="12.7109375" style="384" customWidth="1"/>
    <col min="10246" max="10246" width="16.28515625" style="384" customWidth="1"/>
    <col min="10247" max="10247" width="11.28515625" style="384" customWidth="1"/>
    <col min="10248" max="10248" width="15.42578125" style="384" customWidth="1"/>
    <col min="10249" max="10249" width="16.7109375" style="384" customWidth="1"/>
    <col min="10250" max="10250" width="8.28515625" style="384" customWidth="1"/>
    <col min="10251" max="10496" width="9.85546875" style="384"/>
    <col min="10497" max="10498" width="15" style="384" customWidth="1"/>
    <col min="10499" max="10499" width="44" style="384" customWidth="1"/>
    <col min="10500" max="10500" width="17.85546875" style="384" customWidth="1"/>
    <col min="10501" max="10501" width="12.7109375" style="384" customWidth="1"/>
    <col min="10502" max="10502" width="16.28515625" style="384" customWidth="1"/>
    <col min="10503" max="10503" width="11.28515625" style="384" customWidth="1"/>
    <col min="10504" max="10504" width="15.42578125" style="384" customWidth="1"/>
    <col min="10505" max="10505" width="16.7109375" style="384" customWidth="1"/>
    <col min="10506" max="10506" width="8.28515625" style="384" customWidth="1"/>
    <col min="10507" max="10752" width="9.85546875" style="384"/>
    <col min="10753" max="10754" width="15" style="384" customWidth="1"/>
    <col min="10755" max="10755" width="44" style="384" customWidth="1"/>
    <col min="10756" max="10756" width="17.85546875" style="384" customWidth="1"/>
    <col min="10757" max="10757" width="12.7109375" style="384" customWidth="1"/>
    <col min="10758" max="10758" width="16.28515625" style="384" customWidth="1"/>
    <col min="10759" max="10759" width="11.28515625" style="384" customWidth="1"/>
    <col min="10760" max="10760" width="15.42578125" style="384" customWidth="1"/>
    <col min="10761" max="10761" width="16.7109375" style="384" customWidth="1"/>
    <col min="10762" max="10762" width="8.28515625" style="384" customWidth="1"/>
    <col min="10763" max="11008" width="9.85546875" style="384"/>
    <col min="11009" max="11010" width="15" style="384" customWidth="1"/>
    <col min="11011" max="11011" width="44" style="384" customWidth="1"/>
    <col min="11012" max="11012" width="17.85546875" style="384" customWidth="1"/>
    <col min="11013" max="11013" width="12.7109375" style="384" customWidth="1"/>
    <col min="11014" max="11014" width="16.28515625" style="384" customWidth="1"/>
    <col min="11015" max="11015" width="11.28515625" style="384" customWidth="1"/>
    <col min="11016" max="11016" width="15.42578125" style="384" customWidth="1"/>
    <col min="11017" max="11017" width="16.7109375" style="384" customWidth="1"/>
    <col min="11018" max="11018" width="8.28515625" style="384" customWidth="1"/>
    <col min="11019" max="11264" width="9.85546875" style="384"/>
    <col min="11265" max="11266" width="15" style="384" customWidth="1"/>
    <col min="11267" max="11267" width="44" style="384" customWidth="1"/>
    <col min="11268" max="11268" width="17.85546875" style="384" customWidth="1"/>
    <col min="11269" max="11269" width="12.7109375" style="384" customWidth="1"/>
    <col min="11270" max="11270" width="16.28515625" style="384" customWidth="1"/>
    <col min="11271" max="11271" width="11.28515625" style="384" customWidth="1"/>
    <col min="11272" max="11272" width="15.42578125" style="384" customWidth="1"/>
    <col min="11273" max="11273" width="16.7109375" style="384" customWidth="1"/>
    <col min="11274" max="11274" width="8.28515625" style="384" customWidth="1"/>
    <col min="11275" max="11520" width="9.85546875" style="384"/>
    <col min="11521" max="11522" width="15" style="384" customWidth="1"/>
    <col min="11523" max="11523" width="44" style="384" customWidth="1"/>
    <col min="11524" max="11524" width="17.85546875" style="384" customWidth="1"/>
    <col min="11525" max="11525" width="12.7109375" style="384" customWidth="1"/>
    <col min="11526" max="11526" width="16.28515625" style="384" customWidth="1"/>
    <col min="11527" max="11527" width="11.28515625" style="384" customWidth="1"/>
    <col min="11528" max="11528" width="15.42578125" style="384" customWidth="1"/>
    <col min="11529" max="11529" width="16.7109375" style="384" customWidth="1"/>
    <col min="11530" max="11530" width="8.28515625" style="384" customWidth="1"/>
    <col min="11531" max="11776" width="9.85546875" style="384"/>
    <col min="11777" max="11778" width="15" style="384" customWidth="1"/>
    <col min="11779" max="11779" width="44" style="384" customWidth="1"/>
    <col min="11780" max="11780" width="17.85546875" style="384" customWidth="1"/>
    <col min="11781" max="11781" width="12.7109375" style="384" customWidth="1"/>
    <col min="11782" max="11782" width="16.28515625" style="384" customWidth="1"/>
    <col min="11783" max="11783" width="11.28515625" style="384" customWidth="1"/>
    <col min="11784" max="11784" width="15.42578125" style="384" customWidth="1"/>
    <col min="11785" max="11785" width="16.7109375" style="384" customWidth="1"/>
    <col min="11786" max="11786" width="8.28515625" style="384" customWidth="1"/>
    <col min="11787" max="12032" width="9.85546875" style="384"/>
    <col min="12033" max="12034" width="15" style="384" customWidth="1"/>
    <col min="12035" max="12035" width="44" style="384" customWidth="1"/>
    <col min="12036" max="12036" width="17.85546875" style="384" customWidth="1"/>
    <col min="12037" max="12037" width="12.7109375" style="384" customWidth="1"/>
    <col min="12038" max="12038" width="16.28515625" style="384" customWidth="1"/>
    <col min="12039" max="12039" width="11.28515625" style="384" customWidth="1"/>
    <col min="12040" max="12040" width="15.42578125" style="384" customWidth="1"/>
    <col min="12041" max="12041" width="16.7109375" style="384" customWidth="1"/>
    <col min="12042" max="12042" width="8.28515625" style="384" customWidth="1"/>
    <col min="12043" max="12288" width="9.85546875" style="384"/>
    <col min="12289" max="12290" width="15" style="384" customWidth="1"/>
    <col min="12291" max="12291" width="44" style="384" customWidth="1"/>
    <col min="12292" max="12292" width="17.85546875" style="384" customWidth="1"/>
    <col min="12293" max="12293" width="12.7109375" style="384" customWidth="1"/>
    <col min="12294" max="12294" width="16.28515625" style="384" customWidth="1"/>
    <col min="12295" max="12295" width="11.28515625" style="384" customWidth="1"/>
    <col min="12296" max="12296" width="15.42578125" style="384" customWidth="1"/>
    <col min="12297" max="12297" width="16.7109375" style="384" customWidth="1"/>
    <col min="12298" max="12298" width="8.28515625" style="384" customWidth="1"/>
    <col min="12299" max="12544" width="9.85546875" style="384"/>
    <col min="12545" max="12546" width="15" style="384" customWidth="1"/>
    <col min="12547" max="12547" width="44" style="384" customWidth="1"/>
    <col min="12548" max="12548" width="17.85546875" style="384" customWidth="1"/>
    <col min="12549" max="12549" width="12.7109375" style="384" customWidth="1"/>
    <col min="12550" max="12550" width="16.28515625" style="384" customWidth="1"/>
    <col min="12551" max="12551" width="11.28515625" style="384" customWidth="1"/>
    <col min="12552" max="12552" width="15.42578125" style="384" customWidth="1"/>
    <col min="12553" max="12553" width="16.7109375" style="384" customWidth="1"/>
    <col min="12554" max="12554" width="8.28515625" style="384" customWidth="1"/>
    <col min="12555" max="12800" width="9.85546875" style="384"/>
    <col min="12801" max="12802" width="15" style="384" customWidth="1"/>
    <col min="12803" max="12803" width="44" style="384" customWidth="1"/>
    <col min="12804" max="12804" width="17.85546875" style="384" customWidth="1"/>
    <col min="12805" max="12805" width="12.7109375" style="384" customWidth="1"/>
    <col min="12806" max="12806" width="16.28515625" style="384" customWidth="1"/>
    <col min="12807" max="12807" width="11.28515625" style="384" customWidth="1"/>
    <col min="12808" max="12808" width="15.42578125" style="384" customWidth="1"/>
    <col min="12809" max="12809" width="16.7109375" style="384" customWidth="1"/>
    <col min="12810" max="12810" width="8.28515625" style="384" customWidth="1"/>
    <col min="12811" max="13056" width="9.85546875" style="384"/>
    <col min="13057" max="13058" width="15" style="384" customWidth="1"/>
    <col min="13059" max="13059" width="44" style="384" customWidth="1"/>
    <col min="13060" max="13060" width="17.85546875" style="384" customWidth="1"/>
    <col min="13061" max="13061" width="12.7109375" style="384" customWidth="1"/>
    <col min="13062" max="13062" width="16.28515625" style="384" customWidth="1"/>
    <col min="13063" max="13063" width="11.28515625" style="384" customWidth="1"/>
    <col min="13064" max="13064" width="15.42578125" style="384" customWidth="1"/>
    <col min="13065" max="13065" width="16.7109375" style="384" customWidth="1"/>
    <col min="13066" max="13066" width="8.28515625" style="384" customWidth="1"/>
    <col min="13067" max="13312" width="9.85546875" style="384"/>
    <col min="13313" max="13314" width="15" style="384" customWidth="1"/>
    <col min="13315" max="13315" width="44" style="384" customWidth="1"/>
    <col min="13316" max="13316" width="17.85546875" style="384" customWidth="1"/>
    <col min="13317" max="13317" width="12.7109375" style="384" customWidth="1"/>
    <col min="13318" max="13318" width="16.28515625" style="384" customWidth="1"/>
    <col min="13319" max="13319" width="11.28515625" style="384" customWidth="1"/>
    <col min="13320" max="13320" width="15.42578125" style="384" customWidth="1"/>
    <col min="13321" max="13321" width="16.7109375" style="384" customWidth="1"/>
    <col min="13322" max="13322" width="8.28515625" style="384" customWidth="1"/>
    <col min="13323" max="13568" width="9.85546875" style="384"/>
    <col min="13569" max="13570" width="15" style="384" customWidth="1"/>
    <col min="13571" max="13571" width="44" style="384" customWidth="1"/>
    <col min="13572" max="13572" width="17.85546875" style="384" customWidth="1"/>
    <col min="13573" max="13573" width="12.7109375" style="384" customWidth="1"/>
    <col min="13574" max="13574" width="16.28515625" style="384" customWidth="1"/>
    <col min="13575" max="13575" width="11.28515625" style="384" customWidth="1"/>
    <col min="13576" max="13576" width="15.42578125" style="384" customWidth="1"/>
    <col min="13577" max="13577" width="16.7109375" style="384" customWidth="1"/>
    <col min="13578" max="13578" width="8.28515625" style="384" customWidth="1"/>
    <col min="13579" max="13824" width="9.85546875" style="384"/>
    <col min="13825" max="13826" width="15" style="384" customWidth="1"/>
    <col min="13827" max="13827" width="44" style="384" customWidth="1"/>
    <col min="13828" max="13828" width="17.85546875" style="384" customWidth="1"/>
    <col min="13829" max="13829" width="12.7109375" style="384" customWidth="1"/>
    <col min="13830" max="13830" width="16.28515625" style="384" customWidth="1"/>
    <col min="13831" max="13831" width="11.28515625" style="384" customWidth="1"/>
    <col min="13832" max="13832" width="15.42578125" style="384" customWidth="1"/>
    <col min="13833" max="13833" width="16.7109375" style="384" customWidth="1"/>
    <col min="13834" max="13834" width="8.28515625" style="384" customWidth="1"/>
    <col min="13835" max="14080" width="9.85546875" style="384"/>
    <col min="14081" max="14082" width="15" style="384" customWidth="1"/>
    <col min="14083" max="14083" width="44" style="384" customWidth="1"/>
    <col min="14084" max="14084" width="17.85546875" style="384" customWidth="1"/>
    <col min="14085" max="14085" width="12.7109375" style="384" customWidth="1"/>
    <col min="14086" max="14086" width="16.28515625" style="384" customWidth="1"/>
    <col min="14087" max="14087" width="11.28515625" style="384" customWidth="1"/>
    <col min="14088" max="14088" width="15.42578125" style="384" customWidth="1"/>
    <col min="14089" max="14089" width="16.7109375" style="384" customWidth="1"/>
    <col min="14090" max="14090" width="8.28515625" style="384" customWidth="1"/>
    <col min="14091" max="14336" width="9.85546875" style="384"/>
    <col min="14337" max="14338" width="15" style="384" customWidth="1"/>
    <col min="14339" max="14339" width="44" style="384" customWidth="1"/>
    <col min="14340" max="14340" width="17.85546875" style="384" customWidth="1"/>
    <col min="14341" max="14341" width="12.7109375" style="384" customWidth="1"/>
    <col min="14342" max="14342" width="16.28515625" style="384" customWidth="1"/>
    <col min="14343" max="14343" width="11.28515625" style="384" customWidth="1"/>
    <col min="14344" max="14344" width="15.42578125" style="384" customWidth="1"/>
    <col min="14345" max="14345" width="16.7109375" style="384" customWidth="1"/>
    <col min="14346" max="14346" width="8.28515625" style="384" customWidth="1"/>
    <col min="14347" max="14592" width="9.85546875" style="384"/>
    <col min="14593" max="14594" width="15" style="384" customWidth="1"/>
    <col min="14595" max="14595" width="44" style="384" customWidth="1"/>
    <col min="14596" max="14596" width="17.85546875" style="384" customWidth="1"/>
    <col min="14597" max="14597" width="12.7109375" style="384" customWidth="1"/>
    <col min="14598" max="14598" width="16.28515625" style="384" customWidth="1"/>
    <col min="14599" max="14599" width="11.28515625" style="384" customWidth="1"/>
    <col min="14600" max="14600" width="15.42578125" style="384" customWidth="1"/>
    <col min="14601" max="14601" width="16.7109375" style="384" customWidth="1"/>
    <col min="14602" max="14602" width="8.28515625" style="384" customWidth="1"/>
    <col min="14603" max="14848" width="9.85546875" style="384"/>
    <col min="14849" max="14850" width="15" style="384" customWidth="1"/>
    <col min="14851" max="14851" width="44" style="384" customWidth="1"/>
    <col min="14852" max="14852" width="17.85546875" style="384" customWidth="1"/>
    <col min="14853" max="14853" width="12.7109375" style="384" customWidth="1"/>
    <col min="14854" max="14854" width="16.28515625" style="384" customWidth="1"/>
    <col min="14855" max="14855" width="11.28515625" style="384" customWidth="1"/>
    <col min="14856" max="14856" width="15.42578125" style="384" customWidth="1"/>
    <col min="14857" max="14857" width="16.7109375" style="384" customWidth="1"/>
    <col min="14858" max="14858" width="8.28515625" style="384" customWidth="1"/>
    <col min="14859" max="15104" width="9.85546875" style="384"/>
    <col min="15105" max="15106" width="15" style="384" customWidth="1"/>
    <col min="15107" max="15107" width="44" style="384" customWidth="1"/>
    <col min="15108" max="15108" width="17.85546875" style="384" customWidth="1"/>
    <col min="15109" max="15109" width="12.7109375" style="384" customWidth="1"/>
    <col min="15110" max="15110" width="16.28515625" style="384" customWidth="1"/>
    <col min="15111" max="15111" width="11.28515625" style="384" customWidth="1"/>
    <col min="15112" max="15112" width="15.42578125" style="384" customWidth="1"/>
    <col min="15113" max="15113" width="16.7109375" style="384" customWidth="1"/>
    <col min="15114" max="15114" width="8.28515625" style="384" customWidth="1"/>
    <col min="15115" max="15360" width="9.85546875" style="384"/>
    <col min="15361" max="15362" width="15" style="384" customWidth="1"/>
    <col min="15363" max="15363" width="44" style="384" customWidth="1"/>
    <col min="15364" max="15364" width="17.85546875" style="384" customWidth="1"/>
    <col min="15365" max="15365" width="12.7109375" style="384" customWidth="1"/>
    <col min="15366" max="15366" width="16.28515625" style="384" customWidth="1"/>
    <col min="15367" max="15367" width="11.28515625" style="384" customWidth="1"/>
    <col min="15368" max="15368" width="15.42578125" style="384" customWidth="1"/>
    <col min="15369" max="15369" width="16.7109375" style="384" customWidth="1"/>
    <col min="15370" max="15370" width="8.28515625" style="384" customWidth="1"/>
    <col min="15371" max="15616" width="9.85546875" style="384"/>
    <col min="15617" max="15618" width="15" style="384" customWidth="1"/>
    <col min="15619" max="15619" width="44" style="384" customWidth="1"/>
    <col min="15620" max="15620" width="17.85546875" style="384" customWidth="1"/>
    <col min="15621" max="15621" width="12.7109375" style="384" customWidth="1"/>
    <col min="15622" max="15622" width="16.28515625" style="384" customWidth="1"/>
    <col min="15623" max="15623" width="11.28515625" style="384" customWidth="1"/>
    <col min="15624" max="15624" width="15.42578125" style="384" customWidth="1"/>
    <col min="15625" max="15625" width="16.7109375" style="384" customWidth="1"/>
    <col min="15626" max="15626" width="8.28515625" style="384" customWidth="1"/>
    <col min="15627" max="15872" width="9.85546875" style="384"/>
    <col min="15873" max="15874" width="15" style="384" customWidth="1"/>
    <col min="15875" max="15875" width="44" style="384" customWidth="1"/>
    <col min="15876" max="15876" width="17.85546875" style="384" customWidth="1"/>
    <col min="15877" max="15877" width="12.7109375" style="384" customWidth="1"/>
    <col min="15878" max="15878" width="16.28515625" style="384" customWidth="1"/>
    <col min="15879" max="15879" width="11.28515625" style="384" customWidth="1"/>
    <col min="15880" max="15880" width="15.42578125" style="384" customWidth="1"/>
    <col min="15881" max="15881" width="16.7109375" style="384" customWidth="1"/>
    <col min="15882" max="15882" width="8.28515625" style="384" customWidth="1"/>
    <col min="15883" max="16128" width="9.85546875" style="384"/>
    <col min="16129" max="16130" width="15" style="384" customWidth="1"/>
    <col min="16131" max="16131" width="44" style="384" customWidth="1"/>
    <col min="16132" max="16132" width="17.85546875" style="384" customWidth="1"/>
    <col min="16133" max="16133" width="12.7109375" style="384" customWidth="1"/>
    <col min="16134" max="16134" width="16.28515625" style="384" customWidth="1"/>
    <col min="16135" max="16135" width="11.28515625" style="384" customWidth="1"/>
    <col min="16136" max="16136" width="15.42578125" style="384" customWidth="1"/>
    <col min="16137" max="16137" width="16.7109375" style="384" customWidth="1"/>
    <col min="16138" max="16138" width="8.28515625" style="384" customWidth="1"/>
    <col min="16139" max="16384" width="9.85546875" style="384"/>
  </cols>
  <sheetData>
    <row r="1" spans="1:12" ht="18" x14ac:dyDescent="0.25">
      <c r="A1" s="875"/>
      <c r="B1" s="876"/>
      <c r="C1" s="814" t="s">
        <v>309</v>
      </c>
      <c r="D1" s="814"/>
      <c r="E1" s="814"/>
      <c r="F1" s="814"/>
      <c r="G1" s="814"/>
      <c r="H1" s="382" t="s">
        <v>310</v>
      </c>
      <c r="I1" s="383" t="s">
        <v>311</v>
      </c>
    </row>
    <row r="2" spans="1:12" ht="18" x14ac:dyDescent="0.25">
      <c r="A2" s="877"/>
      <c r="B2" s="878"/>
      <c r="C2" s="814" t="s">
        <v>312</v>
      </c>
      <c r="D2" s="814"/>
      <c r="E2" s="814"/>
      <c r="F2" s="814"/>
      <c r="G2" s="814"/>
      <c r="H2" s="382" t="s">
        <v>313</v>
      </c>
      <c r="I2" s="385" t="s">
        <v>314</v>
      </c>
    </row>
    <row r="3" spans="1:12" x14ac:dyDescent="0.25">
      <c r="A3" s="877"/>
      <c r="B3" s="878"/>
      <c r="C3" s="879" t="s">
        <v>315</v>
      </c>
      <c r="D3" s="879"/>
      <c r="E3" s="879"/>
      <c r="F3" s="879"/>
      <c r="G3" s="879"/>
      <c r="H3" s="880" t="s">
        <v>316</v>
      </c>
      <c r="I3" s="872">
        <v>45235</v>
      </c>
    </row>
    <row r="4" spans="1:12" x14ac:dyDescent="0.25">
      <c r="A4" s="877"/>
      <c r="B4" s="878"/>
      <c r="C4" s="386" t="s">
        <v>317</v>
      </c>
      <c r="D4" s="873" t="s">
        <v>318</v>
      </c>
      <c r="E4" s="873"/>
      <c r="F4" s="873"/>
      <c r="G4" s="873"/>
      <c r="H4" s="880"/>
      <c r="I4" s="872"/>
    </row>
    <row r="5" spans="1:12" ht="16.5" thickBot="1" x14ac:dyDescent="0.3">
      <c r="A5" s="877"/>
      <c r="B5" s="878"/>
      <c r="C5" s="386" t="s">
        <v>319</v>
      </c>
      <c r="D5" s="873" t="s">
        <v>286</v>
      </c>
      <c r="E5" s="873"/>
      <c r="F5" s="873"/>
      <c r="G5" s="873"/>
      <c r="H5" s="873"/>
      <c r="I5" s="873"/>
    </row>
    <row r="6" spans="1:12" s="388" customFormat="1" ht="25.5" x14ac:dyDescent="0.25">
      <c r="A6" s="881" t="s">
        <v>24</v>
      </c>
      <c r="B6" s="883" t="s">
        <v>320</v>
      </c>
      <c r="C6" s="874" t="s">
        <v>23</v>
      </c>
      <c r="D6" s="874" t="s">
        <v>22</v>
      </c>
      <c r="E6" s="874" t="s">
        <v>21</v>
      </c>
      <c r="F6" s="874"/>
      <c r="G6" s="874" t="s">
        <v>20</v>
      </c>
      <c r="H6" s="874"/>
      <c r="I6" s="387" t="s">
        <v>19</v>
      </c>
    </row>
    <row r="7" spans="1:12" ht="16.5" thickBot="1" x14ac:dyDescent="0.3">
      <c r="A7" s="882"/>
      <c r="B7" s="884"/>
      <c r="C7" s="885"/>
      <c r="D7" s="885"/>
      <c r="E7" s="389" t="s">
        <v>15</v>
      </c>
      <c r="F7" s="390" t="s">
        <v>18</v>
      </c>
      <c r="G7" s="389" t="s">
        <v>15</v>
      </c>
      <c r="H7" s="390" t="s">
        <v>18</v>
      </c>
      <c r="I7" s="391" t="s">
        <v>17</v>
      </c>
    </row>
    <row r="8" spans="1:12" x14ac:dyDescent="0.25">
      <c r="A8" s="103">
        <v>11400047</v>
      </c>
      <c r="B8" s="381" t="s">
        <v>321</v>
      </c>
      <c r="C8" s="104" t="s">
        <v>322</v>
      </c>
      <c r="D8" s="392" t="s">
        <v>323</v>
      </c>
      <c r="E8" s="393">
        <v>12230</v>
      </c>
      <c r="F8" s="394" t="s">
        <v>324</v>
      </c>
      <c r="G8" s="395"/>
      <c r="H8" s="392"/>
      <c r="I8" s="392"/>
    </row>
    <row r="9" spans="1:12" x14ac:dyDescent="0.25">
      <c r="A9" s="92" t="s">
        <v>325</v>
      </c>
      <c r="B9" s="381" t="s">
        <v>326</v>
      </c>
      <c r="C9" s="93" t="s">
        <v>327</v>
      </c>
      <c r="D9" s="396" t="s">
        <v>328</v>
      </c>
      <c r="E9" s="393">
        <v>17430</v>
      </c>
      <c r="F9" s="394" t="s">
        <v>2</v>
      </c>
      <c r="G9" s="395"/>
      <c r="H9" s="392"/>
      <c r="I9" s="392"/>
    </row>
    <row r="10" spans="1:12" x14ac:dyDescent="0.25">
      <c r="A10" s="103">
        <v>11400046</v>
      </c>
      <c r="B10" s="381" t="s">
        <v>329</v>
      </c>
      <c r="C10" s="104" t="s">
        <v>330</v>
      </c>
      <c r="D10" s="396" t="s">
        <v>328</v>
      </c>
      <c r="E10" s="393">
        <v>17430</v>
      </c>
      <c r="F10" s="394" t="s">
        <v>2</v>
      </c>
      <c r="G10" s="395"/>
      <c r="H10" s="392"/>
      <c r="I10" s="392"/>
    </row>
    <row r="11" spans="1:12" x14ac:dyDescent="0.25">
      <c r="A11" s="103">
        <v>11400031</v>
      </c>
      <c r="B11" s="381" t="s">
        <v>208</v>
      </c>
      <c r="C11" s="104" t="s">
        <v>331</v>
      </c>
      <c r="D11" s="396" t="s">
        <v>332</v>
      </c>
      <c r="E11" s="393">
        <v>14000</v>
      </c>
      <c r="F11" s="394" t="s">
        <v>2</v>
      </c>
      <c r="G11" s="395"/>
      <c r="H11" s="392"/>
      <c r="I11" s="392"/>
    </row>
    <row r="12" spans="1:12" x14ac:dyDescent="0.25">
      <c r="A12" s="23">
        <v>90100131</v>
      </c>
      <c r="B12" s="23" t="s">
        <v>333</v>
      </c>
      <c r="C12" s="22" t="s">
        <v>334</v>
      </c>
      <c r="D12" s="396" t="s">
        <v>16</v>
      </c>
      <c r="E12" s="393">
        <v>1475</v>
      </c>
      <c r="F12" s="394" t="s">
        <v>2</v>
      </c>
      <c r="G12" s="395"/>
      <c r="H12" s="392"/>
      <c r="I12" s="392"/>
    </row>
    <row r="13" spans="1:12" ht="16.5" thickBot="1" x14ac:dyDescent="0.3">
      <c r="A13" s="103">
        <v>1212410</v>
      </c>
      <c r="B13" s="381" t="s">
        <v>258</v>
      </c>
      <c r="C13" s="104" t="s">
        <v>259</v>
      </c>
      <c r="D13" s="396" t="s">
        <v>299</v>
      </c>
      <c r="E13" s="393">
        <v>140</v>
      </c>
      <c r="F13" s="394" t="s">
        <v>2</v>
      </c>
      <c r="G13" s="395"/>
      <c r="H13" s="392"/>
      <c r="I13" s="392"/>
    </row>
    <row r="14" spans="1:12" ht="16.5" thickBot="1" x14ac:dyDescent="0.3">
      <c r="A14" s="397"/>
      <c r="B14" s="398"/>
      <c r="C14" s="399"/>
      <c r="D14" s="400" t="s">
        <v>15</v>
      </c>
      <c r="E14" s="401" t="s">
        <v>14</v>
      </c>
      <c r="F14" s="402"/>
      <c r="G14" s="399"/>
      <c r="H14" s="399"/>
      <c r="I14" s="403"/>
    </row>
    <row r="15" spans="1:12" x14ac:dyDescent="0.25">
      <c r="A15" s="863" t="s">
        <v>335</v>
      </c>
      <c r="B15" s="863"/>
      <c r="C15" s="863"/>
      <c r="D15" s="864" t="s">
        <v>336</v>
      </c>
      <c r="E15" s="864"/>
      <c r="F15" s="863"/>
      <c r="G15" s="863"/>
      <c r="H15" s="113"/>
      <c r="I15" s="113"/>
      <c r="L15" s="405"/>
    </row>
    <row r="16" spans="1:12" x14ac:dyDescent="0.25">
      <c r="A16" s="869" t="s">
        <v>337</v>
      </c>
      <c r="B16" s="870"/>
      <c r="C16" s="871"/>
      <c r="D16" s="864" t="s">
        <v>338</v>
      </c>
      <c r="E16" s="864"/>
      <c r="F16" s="863"/>
      <c r="G16" s="863"/>
      <c r="H16" s="113"/>
      <c r="I16" s="113"/>
      <c r="L16" s="405"/>
    </row>
    <row r="17" spans="1:12" x14ac:dyDescent="0.25">
      <c r="A17" s="863" t="s">
        <v>13</v>
      </c>
      <c r="B17" s="863"/>
      <c r="C17" s="863"/>
      <c r="D17" s="868" t="s">
        <v>339</v>
      </c>
      <c r="E17" s="868"/>
      <c r="F17" s="863" t="s">
        <v>3</v>
      </c>
      <c r="G17" s="863"/>
      <c r="H17" s="406" t="s">
        <v>340</v>
      </c>
      <c r="I17" s="404"/>
      <c r="L17" s="405"/>
    </row>
    <row r="18" spans="1:12" x14ac:dyDescent="0.25">
      <c r="A18" s="863" t="s">
        <v>341</v>
      </c>
      <c r="B18" s="863"/>
      <c r="C18" s="863"/>
      <c r="D18" s="864" t="s">
        <v>342</v>
      </c>
      <c r="E18" s="864"/>
      <c r="F18" s="863"/>
      <c r="G18" s="863"/>
      <c r="H18" s="407"/>
      <c r="I18" s="404"/>
      <c r="L18" s="405"/>
    </row>
    <row r="19" spans="1:12" x14ac:dyDescent="0.25">
      <c r="A19" s="863" t="s">
        <v>343</v>
      </c>
      <c r="B19" s="863"/>
      <c r="C19" s="863"/>
      <c r="D19" s="864" t="s">
        <v>344</v>
      </c>
      <c r="E19" s="864"/>
      <c r="F19" s="863"/>
      <c r="G19" s="863"/>
      <c r="H19" s="113"/>
      <c r="I19" s="113"/>
      <c r="L19" s="405"/>
    </row>
    <row r="20" spans="1:12" x14ac:dyDescent="0.25">
      <c r="A20" s="865" t="s">
        <v>345</v>
      </c>
      <c r="B20" s="865"/>
      <c r="C20" s="865"/>
      <c r="D20" s="865"/>
      <c r="E20" s="865"/>
      <c r="F20" s="865"/>
      <c r="G20" s="865"/>
      <c r="H20" s="865"/>
      <c r="I20" s="865"/>
    </row>
    <row r="21" spans="1:12" x14ac:dyDescent="0.25">
      <c r="A21" s="866" t="s">
        <v>346</v>
      </c>
      <c r="B21" s="866"/>
      <c r="C21" s="866"/>
      <c r="D21" s="866"/>
      <c r="E21" s="866"/>
      <c r="F21" s="866"/>
      <c r="G21" s="866"/>
      <c r="H21" s="866"/>
      <c r="I21" s="866"/>
    </row>
    <row r="22" spans="1:12" x14ac:dyDescent="0.25">
      <c r="A22" s="867" t="s">
        <v>347</v>
      </c>
      <c r="B22" s="867"/>
      <c r="C22" s="867"/>
      <c r="D22" s="867"/>
      <c r="E22" s="867"/>
      <c r="F22" s="867"/>
      <c r="G22" s="867"/>
      <c r="H22" s="867"/>
      <c r="I22" s="867"/>
    </row>
    <row r="23" spans="1:12" x14ac:dyDescent="0.25">
      <c r="A23" s="867" t="s">
        <v>348</v>
      </c>
      <c r="B23" s="867"/>
      <c r="C23" s="866"/>
      <c r="D23" s="866"/>
      <c r="E23" s="866"/>
      <c r="F23" s="866"/>
      <c r="G23" s="866"/>
      <c r="H23" s="866"/>
      <c r="I23" s="866"/>
    </row>
    <row r="24" spans="1:12" x14ac:dyDescent="0.25">
      <c r="A24" s="866" t="s">
        <v>349</v>
      </c>
      <c r="B24" s="866"/>
      <c r="C24" s="866"/>
      <c r="D24" s="866"/>
      <c r="E24" s="866"/>
      <c r="F24" s="866"/>
      <c r="G24" s="866"/>
      <c r="H24" s="866"/>
      <c r="I24" s="866"/>
    </row>
    <row r="25" spans="1:12" x14ac:dyDescent="0.25">
      <c r="A25" s="866" t="s">
        <v>350</v>
      </c>
      <c r="B25" s="866"/>
      <c r="C25" s="866"/>
      <c r="D25" s="866"/>
      <c r="E25" s="866"/>
      <c r="F25" s="866"/>
      <c r="G25" s="866"/>
      <c r="H25" s="866"/>
      <c r="I25" s="866"/>
    </row>
    <row r="26" spans="1:12" x14ac:dyDescent="0.25">
      <c r="A26" s="866" t="s">
        <v>351</v>
      </c>
      <c r="B26" s="866"/>
      <c r="C26" s="866"/>
      <c r="D26" s="866"/>
      <c r="E26" s="866"/>
      <c r="F26" s="866"/>
      <c r="G26" s="866"/>
      <c r="H26" s="866"/>
      <c r="I26" s="866"/>
    </row>
    <row r="27" spans="1:12" x14ac:dyDescent="0.25">
      <c r="A27" s="865" t="s">
        <v>114</v>
      </c>
      <c r="B27" s="865"/>
      <c r="C27" s="865"/>
      <c r="D27" s="865"/>
      <c r="E27" s="865"/>
      <c r="F27" s="865"/>
      <c r="G27" s="865"/>
      <c r="H27" s="865"/>
      <c r="I27" s="865"/>
    </row>
    <row r="28" spans="1:12" x14ac:dyDescent="0.25">
      <c r="A28" s="862" t="s">
        <v>352</v>
      </c>
      <c r="B28" s="862"/>
      <c r="C28" s="862"/>
      <c r="D28" s="862"/>
      <c r="E28" s="862"/>
      <c r="F28" s="862"/>
      <c r="G28" s="862"/>
      <c r="H28" s="862"/>
      <c r="I28" s="862"/>
    </row>
    <row r="29" spans="1:12" x14ac:dyDescent="0.25">
      <c r="A29" s="862"/>
      <c r="B29" s="862"/>
      <c r="C29" s="862"/>
      <c r="D29" s="862"/>
      <c r="E29" s="862"/>
      <c r="F29" s="862"/>
      <c r="G29" s="862"/>
      <c r="H29" s="862"/>
      <c r="I29" s="862"/>
    </row>
    <row r="30" spans="1:12" x14ac:dyDescent="0.25">
      <c r="A30" s="408" t="s">
        <v>353</v>
      </c>
    </row>
  </sheetData>
  <mergeCells count="38">
    <mergeCell ref="I3:I4"/>
    <mergeCell ref="D4:G4"/>
    <mergeCell ref="D5:I5"/>
    <mergeCell ref="G6:H6"/>
    <mergeCell ref="A1:B5"/>
    <mergeCell ref="C1:G1"/>
    <mergeCell ref="C2:G2"/>
    <mergeCell ref="C3:G3"/>
    <mergeCell ref="H3:H4"/>
    <mergeCell ref="A6:A7"/>
    <mergeCell ref="B6:B7"/>
    <mergeCell ref="C6:C7"/>
    <mergeCell ref="D6:D7"/>
    <mergeCell ref="E6:F6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28:I29"/>
    <mergeCell ref="A19:C19"/>
    <mergeCell ref="D19:E19"/>
    <mergeCell ref="F19:G19"/>
    <mergeCell ref="A20:I20"/>
    <mergeCell ref="A21:I21"/>
    <mergeCell ref="A22:I22"/>
    <mergeCell ref="A23:I23"/>
    <mergeCell ref="A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E36A-C06E-4DD6-89F1-8BB6C9DBBEAC}">
  <dimension ref="A1:M37"/>
  <sheetViews>
    <sheetView workbookViewId="0">
      <selection activeCell="C12" sqref="C12"/>
    </sheetView>
  </sheetViews>
  <sheetFormatPr baseColWidth="10" defaultRowHeight="15" x14ac:dyDescent="0.25"/>
  <cols>
    <col min="1" max="2" width="15.7109375" customWidth="1"/>
    <col min="3" max="3" width="38.5703125" customWidth="1"/>
    <col min="8" max="8" width="15.5703125" customWidth="1"/>
    <col min="9" max="9" width="18.140625" customWidth="1"/>
  </cols>
  <sheetData>
    <row r="1" spans="1:10" ht="18" x14ac:dyDescent="0.25">
      <c r="A1" s="921"/>
      <c r="B1" s="236"/>
      <c r="C1" s="813" t="s">
        <v>34</v>
      </c>
      <c r="D1" s="813"/>
      <c r="E1" s="813"/>
      <c r="F1" s="813"/>
      <c r="G1" s="813"/>
      <c r="H1" s="237" t="s">
        <v>33</v>
      </c>
      <c r="I1" s="238" t="s">
        <v>201</v>
      </c>
    </row>
    <row r="2" spans="1:10" ht="18" x14ac:dyDescent="0.25">
      <c r="A2" s="922"/>
      <c r="B2" s="239"/>
      <c r="C2" s="814" t="s">
        <v>32</v>
      </c>
      <c r="D2" s="814"/>
      <c r="E2" s="814"/>
      <c r="F2" s="814"/>
      <c r="G2" s="814"/>
      <c r="H2" s="240" t="s">
        <v>31</v>
      </c>
      <c r="I2" s="241" t="s">
        <v>202</v>
      </c>
    </row>
    <row r="3" spans="1:10" x14ac:dyDescent="0.25">
      <c r="A3" s="922"/>
      <c r="B3" s="239"/>
      <c r="C3" s="924" t="s">
        <v>203</v>
      </c>
      <c r="D3" s="924"/>
      <c r="E3" s="924"/>
      <c r="F3" s="924"/>
      <c r="G3" s="924"/>
      <c r="H3" s="818" t="s">
        <v>30</v>
      </c>
      <c r="I3" s="804">
        <v>45117</v>
      </c>
    </row>
    <row r="4" spans="1:10" x14ac:dyDescent="0.25">
      <c r="A4" s="922"/>
      <c r="B4" s="239"/>
      <c r="C4" s="242" t="s">
        <v>29</v>
      </c>
      <c r="D4" s="655" t="s">
        <v>204</v>
      </c>
      <c r="E4" s="591"/>
      <c r="F4" s="591"/>
      <c r="G4" s="591"/>
      <c r="H4" s="818"/>
      <c r="I4" s="804"/>
    </row>
    <row r="5" spans="1:10" ht="15.75" thickBot="1" x14ac:dyDescent="0.3">
      <c r="A5" s="923"/>
      <c r="B5" s="243"/>
      <c r="C5" s="244" t="s">
        <v>28</v>
      </c>
      <c r="D5" s="920" t="s">
        <v>27</v>
      </c>
      <c r="E5" s="920"/>
      <c r="F5" s="920"/>
      <c r="G5" s="920"/>
      <c r="H5" s="925"/>
      <c r="I5" s="919"/>
    </row>
    <row r="6" spans="1:10" x14ac:dyDescent="0.25">
      <c r="A6" s="245"/>
      <c r="B6" s="246"/>
      <c r="C6" s="247"/>
      <c r="D6" s="248"/>
      <c r="E6" s="248"/>
      <c r="F6" s="248"/>
      <c r="G6" s="248"/>
      <c r="H6" s="249"/>
      <c r="I6" s="250"/>
    </row>
    <row r="7" spans="1:10" ht="18.75" thickBot="1" x14ac:dyDescent="0.3">
      <c r="A7" s="914" t="s">
        <v>26</v>
      </c>
      <c r="B7" s="661"/>
      <c r="C7" s="661"/>
      <c r="D7" s="662" t="s">
        <v>205</v>
      </c>
      <c r="E7" s="662"/>
      <c r="F7" s="662"/>
      <c r="G7" s="663" t="s">
        <v>25</v>
      </c>
      <c r="H7" s="663"/>
      <c r="I7" s="251" t="s">
        <v>205</v>
      </c>
    </row>
    <row r="8" spans="1:10" x14ac:dyDescent="0.25">
      <c r="A8" s="915" t="s">
        <v>24</v>
      </c>
      <c r="B8" s="252"/>
      <c r="C8" s="917" t="s">
        <v>23</v>
      </c>
      <c r="D8" s="917" t="s">
        <v>22</v>
      </c>
      <c r="E8" s="917" t="s">
        <v>21</v>
      </c>
      <c r="F8" s="917"/>
      <c r="G8" s="917" t="s">
        <v>20</v>
      </c>
      <c r="H8" s="917"/>
      <c r="I8" s="253" t="s">
        <v>19</v>
      </c>
    </row>
    <row r="9" spans="1:10" ht="27" thickBot="1" x14ac:dyDescent="0.3">
      <c r="A9" s="916"/>
      <c r="B9" s="254"/>
      <c r="C9" s="918"/>
      <c r="D9" s="918"/>
      <c r="E9" s="255" t="s">
        <v>15</v>
      </c>
      <c r="F9" s="256" t="s">
        <v>18</v>
      </c>
      <c r="G9" s="255" t="s">
        <v>15</v>
      </c>
      <c r="H9" s="256" t="s">
        <v>18</v>
      </c>
      <c r="I9" s="257" t="s">
        <v>17</v>
      </c>
    </row>
    <row r="10" spans="1:10" x14ac:dyDescent="0.25">
      <c r="A10" s="258">
        <v>10100331</v>
      </c>
      <c r="B10" s="259" t="s">
        <v>206</v>
      </c>
      <c r="C10" s="260" t="s">
        <v>207</v>
      </c>
      <c r="D10" s="50"/>
      <c r="E10" s="50">
        <v>1500</v>
      </c>
      <c r="F10" s="50"/>
      <c r="G10" s="261"/>
      <c r="H10" s="261"/>
      <c r="I10" s="262"/>
      <c r="J10" s="263">
        <f>+E10/4.2</f>
        <v>357.14285714285711</v>
      </c>
    </row>
    <row r="11" spans="1:10" x14ac:dyDescent="0.25">
      <c r="A11" s="264">
        <v>11400031</v>
      </c>
      <c r="B11" s="265" t="s">
        <v>208</v>
      </c>
      <c r="C11" s="266" t="s">
        <v>209</v>
      </c>
      <c r="D11" s="50" t="s">
        <v>210</v>
      </c>
      <c r="E11" s="50">
        <v>1000</v>
      </c>
      <c r="F11" s="50" t="s">
        <v>2</v>
      </c>
      <c r="G11" s="261"/>
      <c r="H11" s="261"/>
      <c r="I11" s="262"/>
      <c r="J11" s="263">
        <f>+E11/4.2</f>
        <v>238.09523809523807</v>
      </c>
    </row>
    <row r="12" spans="1:10" x14ac:dyDescent="0.25">
      <c r="A12" s="267"/>
      <c r="B12" s="268"/>
      <c r="C12" s="269"/>
      <c r="D12" s="50"/>
      <c r="E12" s="50"/>
      <c r="F12" s="50"/>
      <c r="G12" s="45"/>
      <c r="H12" s="50"/>
      <c r="I12" s="270"/>
      <c r="J12" s="263">
        <f>+E12/4.2</f>
        <v>0</v>
      </c>
    </row>
    <row r="13" spans="1:10" x14ac:dyDescent="0.25">
      <c r="A13" s="264">
        <v>11400031</v>
      </c>
      <c r="B13" s="265" t="s">
        <v>208</v>
      </c>
      <c r="C13" s="266" t="s">
        <v>209</v>
      </c>
      <c r="D13" s="50" t="s">
        <v>210</v>
      </c>
      <c r="E13" s="50">
        <v>2000</v>
      </c>
      <c r="F13" s="50" t="s">
        <v>2</v>
      </c>
      <c r="G13" s="906" t="s">
        <v>211</v>
      </c>
      <c r="H13" s="906"/>
      <c r="I13" s="907"/>
      <c r="J13" s="263">
        <f>+E13/4.2</f>
        <v>476.19047619047615</v>
      </c>
    </row>
    <row r="14" spans="1:10" x14ac:dyDescent="0.25">
      <c r="A14" s="267"/>
      <c r="B14" s="268"/>
      <c r="C14" s="269"/>
      <c r="D14" s="50"/>
      <c r="E14" s="50"/>
      <c r="F14" s="50"/>
      <c r="G14" s="45"/>
      <c r="H14" s="50"/>
      <c r="I14" s="270"/>
      <c r="J14" s="263">
        <f>+E14/4.2</f>
        <v>0</v>
      </c>
    </row>
    <row r="15" spans="1:10" x14ac:dyDescent="0.25">
      <c r="A15" s="271"/>
      <c r="B15" s="272"/>
      <c r="C15" s="273"/>
      <c r="D15" s="260"/>
      <c r="E15" s="50"/>
      <c r="F15" s="50"/>
      <c r="G15" s="45"/>
      <c r="H15" s="50"/>
      <c r="I15" s="274"/>
    </row>
    <row r="16" spans="1:10" x14ac:dyDescent="0.25">
      <c r="A16" s="275"/>
      <c r="B16" s="276"/>
      <c r="C16" s="277"/>
      <c r="D16" s="260"/>
      <c r="E16" s="278"/>
      <c r="F16" s="278"/>
      <c r="G16" s="278"/>
      <c r="H16" s="278"/>
      <c r="I16" s="274"/>
    </row>
    <row r="17" spans="1:13" ht="15.75" thickBot="1" x14ac:dyDescent="0.3">
      <c r="A17" s="279"/>
      <c r="B17" s="280"/>
      <c r="C17" s="281"/>
      <c r="D17" s="281"/>
      <c r="E17" s="282"/>
      <c r="F17" s="283"/>
      <c r="G17" s="281"/>
      <c r="H17" s="281"/>
      <c r="I17" s="284"/>
      <c r="J17" s="285"/>
      <c r="K17" s="285"/>
      <c r="L17" s="286"/>
      <c r="M17" s="285"/>
    </row>
    <row r="18" spans="1:13" ht="15.75" thickBot="1" x14ac:dyDescent="0.3">
      <c r="A18" s="287"/>
      <c r="B18" s="288"/>
      <c r="C18" s="289"/>
      <c r="D18" s="290" t="s">
        <v>15</v>
      </c>
      <c r="E18" s="291" t="s">
        <v>14</v>
      </c>
      <c r="F18" s="292"/>
      <c r="G18" s="289"/>
      <c r="H18" s="289"/>
      <c r="I18" s="293"/>
      <c r="J18" s="285"/>
      <c r="K18" s="285"/>
      <c r="L18" s="286"/>
      <c r="M18" s="285"/>
    </row>
    <row r="19" spans="1:13" x14ac:dyDescent="0.25">
      <c r="A19" s="908" t="s">
        <v>13</v>
      </c>
      <c r="B19" s="909"/>
      <c r="C19" s="910"/>
      <c r="D19" s="294">
        <v>4200</v>
      </c>
      <c r="E19" s="295" t="s">
        <v>2</v>
      </c>
      <c r="F19" s="911"/>
      <c r="G19" s="911"/>
      <c r="H19" s="912"/>
      <c r="I19" s="913"/>
      <c r="J19" s="285"/>
      <c r="K19" s="285"/>
      <c r="L19" s="286"/>
      <c r="M19" s="285"/>
    </row>
    <row r="20" spans="1:13" x14ac:dyDescent="0.25">
      <c r="A20" s="889" t="s">
        <v>11</v>
      </c>
      <c r="B20" s="890"/>
      <c r="C20" s="891"/>
      <c r="D20" s="296">
        <v>15</v>
      </c>
      <c r="E20" s="297" t="s">
        <v>10</v>
      </c>
      <c r="F20" s="892"/>
      <c r="G20" s="892"/>
      <c r="H20" s="893"/>
      <c r="I20" s="894"/>
      <c r="J20" s="285">
        <f>15/4.2</f>
        <v>3.5714285714285712</v>
      </c>
      <c r="K20" s="285"/>
      <c r="L20" s="286"/>
      <c r="M20" s="285"/>
    </row>
    <row r="21" spans="1:13" x14ac:dyDescent="0.25">
      <c r="A21" s="889" t="s">
        <v>8</v>
      </c>
      <c r="B21" s="890"/>
      <c r="C21" s="891"/>
      <c r="D21" s="297">
        <v>13</v>
      </c>
      <c r="E21" s="297" t="s">
        <v>7</v>
      </c>
      <c r="F21" s="892"/>
      <c r="G21" s="892"/>
      <c r="H21" s="893"/>
      <c r="I21" s="894"/>
      <c r="J21" s="285"/>
      <c r="K21" s="285"/>
      <c r="L21" s="286"/>
      <c r="M21" s="285"/>
    </row>
    <row r="22" spans="1:13" x14ac:dyDescent="0.25">
      <c r="A22" s="889" t="s">
        <v>5</v>
      </c>
      <c r="B22" s="890"/>
      <c r="C22" s="891"/>
      <c r="D22" s="298">
        <v>300</v>
      </c>
      <c r="E22" s="297" t="s">
        <v>2</v>
      </c>
      <c r="F22" s="895"/>
      <c r="G22" s="896"/>
      <c r="H22" s="893"/>
      <c r="I22" s="894"/>
      <c r="J22" s="285"/>
      <c r="K22" s="285"/>
      <c r="L22" s="286"/>
      <c r="M22" s="299"/>
    </row>
    <row r="23" spans="1:13" ht="15.75" thickBot="1" x14ac:dyDescent="0.3">
      <c r="A23" s="897" t="s">
        <v>3</v>
      </c>
      <c r="B23" s="898"/>
      <c r="C23" s="899"/>
      <c r="D23" s="300">
        <v>300</v>
      </c>
      <c r="E23" s="301" t="s">
        <v>2</v>
      </c>
      <c r="F23" s="900"/>
      <c r="G23" s="900"/>
      <c r="H23" s="901"/>
      <c r="I23" s="902"/>
      <c r="J23" s="285"/>
      <c r="K23" s="285"/>
      <c r="L23" s="286"/>
      <c r="M23" s="285"/>
    </row>
    <row r="24" spans="1:13" ht="15.75" thickBot="1" x14ac:dyDescent="0.3">
      <c r="A24" s="903" t="s">
        <v>1</v>
      </c>
      <c r="B24" s="904"/>
      <c r="C24" s="904"/>
      <c r="D24" s="904"/>
      <c r="E24" s="904"/>
      <c r="F24" s="904"/>
      <c r="G24" s="904"/>
      <c r="H24" s="904"/>
      <c r="I24" s="905"/>
      <c r="J24" s="285"/>
      <c r="K24" s="285"/>
      <c r="L24" s="285"/>
      <c r="M24" s="285"/>
    </row>
    <row r="25" spans="1:13" x14ac:dyDescent="0.25">
      <c r="A25" s="781" t="s">
        <v>212</v>
      </c>
      <c r="B25" s="782"/>
      <c r="C25" s="782"/>
      <c r="D25" s="782"/>
      <c r="E25" s="782"/>
      <c r="F25" s="782"/>
      <c r="G25" s="782"/>
      <c r="H25" s="782"/>
      <c r="I25" s="783"/>
      <c r="J25" s="285"/>
      <c r="K25" s="285"/>
      <c r="L25" s="285"/>
      <c r="M25" s="285"/>
    </row>
    <row r="26" spans="1:13" x14ac:dyDescent="0.25">
      <c r="A26" s="781" t="s">
        <v>213</v>
      </c>
      <c r="B26" s="782"/>
      <c r="C26" s="782"/>
      <c r="D26" s="782"/>
      <c r="E26" s="782"/>
      <c r="F26" s="782"/>
      <c r="G26" s="782"/>
      <c r="H26" s="782"/>
      <c r="I26" s="783"/>
      <c r="J26" s="285"/>
      <c r="L26" s="285"/>
      <c r="M26" s="285"/>
    </row>
    <row r="27" spans="1:13" x14ac:dyDescent="0.25">
      <c r="A27" s="781" t="s">
        <v>214</v>
      </c>
      <c r="B27" s="782"/>
      <c r="C27" s="782"/>
      <c r="D27" s="782"/>
      <c r="E27" s="782"/>
      <c r="F27" s="782"/>
      <c r="G27" s="782"/>
      <c r="H27" s="782"/>
      <c r="I27" s="783"/>
      <c r="J27" s="285"/>
      <c r="K27" s="285"/>
      <c r="L27" s="285"/>
      <c r="M27" s="285"/>
    </row>
    <row r="28" spans="1:13" x14ac:dyDescent="0.25">
      <c r="A28" s="781" t="s">
        <v>215</v>
      </c>
      <c r="B28" s="782"/>
      <c r="C28" s="782"/>
      <c r="D28" s="782"/>
      <c r="E28" s="782"/>
      <c r="F28" s="782"/>
      <c r="G28" s="782"/>
      <c r="H28" s="782"/>
      <c r="I28" s="783"/>
      <c r="J28" s="285"/>
      <c r="K28" s="285"/>
      <c r="L28" s="285"/>
      <c r="M28" s="285"/>
    </row>
    <row r="29" spans="1:13" x14ac:dyDescent="0.25">
      <c r="A29" s="781"/>
      <c r="B29" s="782"/>
      <c r="C29" s="782"/>
      <c r="D29" s="782"/>
      <c r="E29" s="782"/>
      <c r="F29" s="782"/>
      <c r="G29" s="782"/>
      <c r="H29" s="782"/>
      <c r="I29" s="783"/>
      <c r="J29" s="285"/>
      <c r="K29" s="285"/>
      <c r="L29" s="285"/>
      <c r="M29" s="285"/>
    </row>
    <row r="30" spans="1:13" x14ac:dyDescent="0.25">
      <c r="A30" s="781"/>
      <c r="B30" s="782"/>
      <c r="C30" s="782"/>
      <c r="D30" s="782"/>
      <c r="E30" s="782"/>
      <c r="F30" s="782"/>
      <c r="G30" s="782"/>
      <c r="H30" s="782"/>
      <c r="I30" s="783"/>
      <c r="J30" s="285"/>
      <c r="K30" s="302"/>
      <c r="L30" s="285"/>
      <c r="M30" s="285"/>
    </row>
    <row r="31" spans="1:13" x14ac:dyDescent="0.25">
      <c r="A31" s="766"/>
      <c r="B31" s="767"/>
      <c r="C31" s="767"/>
      <c r="D31" s="767"/>
      <c r="E31" s="767"/>
      <c r="F31" s="767"/>
      <c r="G31" s="767"/>
      <c r="H31" s="767"/>
      <c r="I31" s="768"/>
      <c r="J31" s="285"/>
      <c r="K31" s="285"/>
      <c r="L31" s="285"/>
      <c r="M31" s="285"/>
    </row>
    <row r="32" spans="1:13" x14ac:dyDescent="0.25">
      <c r="A32" s="766"/>
      <c r="B32" s="767"/>
      <c r="C32" s="767"/>
      <c r="D32" s="767"/>
      <c r="E32" s="767"/>
      <c r="F32" s="767"/>
      <c r="G32" s="767"/>
      <c r="H32" s="767"/>
      <c r="I32" s="768"/>
      <c r="J32" s="285"/>
      <c r="K32" s="285"/>
      <c r="L32" s="285"/>
      <c r="M32" s="285"/>
    </row>
    <row r="33" spans="1:9" ht="15.75" thickBot="1" x14ac:dyDescent="0.3">
      <c r="A33" s="769"/>
      <c r="B33" s="770"/>
      <c r="C33" s="770"/>
      <c r="D33" s="770"/>
      <c r="E33" s="770"/>
      <c r="F33" s="770"/>
      <c r="G33" s="770"/>
      <c r="H33" s="770"/>
      <c r="I33" s="771"/>
    </row>
    <row r="34" spans="1:9" ht="15.75" thickBot="1" x14ac:dyDescent="0.3">
      <c r="A34" s="690" t="s">
        <v>216</v>
      </c>
      <c r="B34" s="691"/>
      <c r="C34" s="691"/>
      <c r="D34" s="691"/>
      <c r="E34" s="691"/>
      <c r="F34" s="691"/>
      <c r="G34" s="691"/>
      <c r="H34" s="691"/>
      <c r="I34" s="692"/>
    </row>
    <row r="35" spans="1:9" ht="15.75" thickBot="1" x14ac:dyDescent="0.3">
      <c r="A35" s="886" t="s">
        <v>217</v>
      </c>
      <c r="B35" s="887"/>
      <c r="C35" s="887"/>
      <c r="D35" s="887"/>
      <c r="E35" s="887"/>
      <c r="F35" s="887"/>
      <c r="G35" s="887"/>
      <c r="H35" s="887"/>
      <c r="I35" s="888"/>
    </row>
    <row r="36" spans="1:9" ht="15.75" thickBot="1" x14ac:dyDescent="0.3">
      <c r="A36" s="886" t="s">
        <v>218</v>
      </c>
      <c r="B36" s="887"/>
      <c r="C36" s="887"/>
      <c r="D36" s="887"/>
      <c r="E36" s="887"/>
      <c r="F36" s="887"/>
      <c r="G36" s="887"/>
      <c r="H36" s="887"/>
      <c r="I36" s="888"/>
    </row>
    <row r="37" spans="1:9" ht="15.75" thickBot="1" x14ac:dyDescent="0.3">
      <c r="A37" s="303" t="s">
        <v>219</v>
      </c>
      <c r="B37" s="304"/>
      <c r="C37" s="305"/>
      <c r="D37" s="305"/>
      <c r="E37" s="305"/>
      <c r="F37" s="305"/>
      <c r="G37" s="305"/>
      <c r="H37" s="305"/>
      <c r="I37" s="306"/>
    </row>
  </sheetData>
  <mergeCells count="45">
    <mergeCell ref="I3:I5"/>
    <mergeCell ref="D4:G4"/>
    <mergeCell ref="D5:G5"/>
    <mergeCell ref="A1:A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G8:H8"/>
    <mergeCell ref="G13:I13"/>
    <mergeCell ref="A19:C19"/>
    <mergeCell ref="F19:G19"/>
    <mergeCell ref="H19:I19"/>
    <mergeCell ref="A20:C20"/>
    <mergeCell ref="F20:G20"/>
    <mergeCell ref="H20:I20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33:I33"/>
    <mergeCell ref="A34:I34"/>
    <mergeCell ref="A35:I35"/>
    <mergeCell ref="A36:I36"/>
    <mergeCell ref="A27:I27"/>
    <mergeCell ref="A28:I28"/>
    <mergeCell ref="A29:I29"/>
    <mergeCell ref="A30:I30"/>
    <mergeCell ref="A31:I31"/>
    <mergeCell ref="A32:I3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724F-4604-44FB-B96C-F528AC192E66}">
  <dimension ref="A1:I45"/>
  <sheetViews>
    <sheetView workbookViewId="0">
      <selection activeCell="C11" sqref="C11"/>
    </sheetView>
  </sheetViews>
  <sheetFormatPr baseColWidth="10" defaultRowHeight="15" x14ac:dyDescent="0.25"/>
  <cols>
    <col min="2" max="2" width="12" customWidth="1"/>
    <col min="3" max="3" width="39.7109375" customWidth="1"/>
    <col min="7" max="7" width="28.140625" customWidth="1"/>
    <col min="8" max="8" width="17.5703125" customWidth="1"/>
    <col min="9" max="9" width="17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238" t="s">
        <v>377</v>
      </c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241" t="s">
        <v>283</v>
      </c>
    </row>
    <row r="3" spans="1:9" ht="18" x14ac:dyDescent="0.25">
      <c r="A3" s="595"/>
      <c r="B3" s="596"/>
      <c r="C3" s="601" t="s">
        <v>378</v>
      </c>
      <c r="D3" s="602"/>
      <c r="E3" s="602"/>
      <c r="F3" s="602"/>
      <c r="G3" s="603"/>
      <c r="H3" s="604" t="s">
        <v>30</v>
      </c>
      <c r="I3" s="588">
        <v>45422</v>
      </c>
    </row>
    <row r="4" spans="1:9" ht="16.5" x14ac:dyDescent="0.3">
      <c r="A4" s="595"/>
      <c r="B4" s="596"/>
      <c r="C4" s="17" t="s">
        <v>29</v>
      </c>
      <c r="D4" s="655" t="s">
        <v>204</v>
      </c>
      <c r="E4" s="591"/>
      <c r="F4" s="591"/>
      <c r="G4" s="591"/>
      <c r="H4" s="605"/>
      <c r="I4" s="589"/>
    </row>
    <row r="5" spans="1:9" ht="17.25" thickBot="1" x14ac:dyDescent="0.35">
      <c r="A5" s="597"/>
      <c r="B5" s="598"/>
      <c r="C5" s="16" t="s">
        <v>28</v>
      </c>
      <c r="D5" s="950" t="s">
        <v>286</v>
      </c>
      <c r="E5" s="951"/>
      <c r="F5" s="951"/>
      <c r="G5" s="952"/>
      <c r="H5" s="606"/>
      <c r="I5" s="590"/>
    </row>
    <row r="6" spans="1:9" ht="18" x14ac:dyDescent="0.25">
      <c r="A6" s="619" t="s">
        <v>26</v>
      </c>
      <c r="B6" s="620"/>
      <c r="C6" s="620"/>
      <c r="D6" s="621" t="s">
        <v>379</v>
      </c>
      <c r="E6" s="621"/>
      <c r="F6" s="621"/>
      <c r="G6" s="622" t="s">
        <v>25</v>
      </c>
      <c r="H6" s="622"/>
      <c r="I6" s="32" t="s">
        <v>379</v>
      </c>
    </row>
    <row r="7" spans="1:9" ht="22.15" customHeight="1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440"/>
      <c r="B9" s="440"/>
      <c r="C9" s="441" t="s">
        <v>380</v>
      </c>
      <c r="D9" s="440"/>
      <c r="E9" s="442"/>
      <c r="F9" s="443"/>
      <c r="G9" s="442"/>
      <c r="H9" s="443"/>
      <c r="I9" s="440"/>
    </row>
    <row r="10" spans="1:9" x14ac:dyDescent="0.25">
      <c r="A10" s="25">
        <v>907000027</v>
      </c>
      <c r="B10" s="23" t="s">
        <v>381</v>
      </c>
      <c r="C10" s="23" t="s">
        <v>382</v>
      </c>
      <c r="D10" s="444" t="s">
        <v>383</v>
      </c>
      <c r="E10" s="51">
        <v>1000</v>
      </c>
      <c r="F10" s="52" t="s">
        <v>2</v>
      </c>
      <c r="G10" s="442"/>
      <c r="H10" s="443"/>
      <c r="I10" s="440"/>
    </row>
    <row r="11" spans="1:9" x14ac:dyDescent="0.25">
      <c r="A11" s="25">
        <v>1210386</v>
      </c>
      <c r="B11" s="23" t="s">
        <v>384</v>
      </c>
      <c r="C11" s="23" t="s">
        <v>385</v>
      </c>
      <c r="D11" s="444" t="s">
        <v>386</v>
      </c>
      <c r="E11" s="51">
        <v>1000</v>
      </c>
      <c r="F11" s="52" t="s">
        <v>2</v>
      </c>
      <c r="G11" s="298"/>
      <c r="H11" s="298"/>
      <c r="I11" s="445"/>
    </row>
    <row r="12" spans="1:9" x14ac:dyDescent="0.25">
      <c r="A12" s="92"/>
      <c r="B12" s="23"/>
      <c r="C12" s="446"/>
      <c r="D12" s="444"/>
      <c r="E12" s="51"/>
      <c r="F12" s="52"/>
      <c r="G12" s="298"/>
      <c r="H12" s="298"/>
      <c r="I12" s="447"/>
    </row>
    <row r="13" spans="1:9" x14ac:dyDescent="0.25">
      <c r="A13" s="25">
        <v>1950702</v>
      </c>
      <c r="B13" s="23" t="s">
        <v>387</v>
      </c>
      <c r="C13" s="23" t="s">
        <v>388</v>
      </c>
      <c r="D13" s="444" t="s">
        <v>105</v>
      </c>
      <c r="E13" s="51">
        <v>1</v>
      </c>
      <c r="F13" s="52" t="s">
        <v>300</v>
      </c>
      <c r="G13" s="298"/>
      <c r="H13" s="298"/>
      <c r="I13" s="447"/>
    </row>
    <row r="14" spans="1:9" x14ac:dyDescent="0.25">
      <c r="A14" s="25">
        <v>702067</v>
      </c>
      <c r="B14" s="23" t="s">
        <v>389</v>
      </c>
      <c r="C14" s="23" t="s">
        <v>390</v>
      </c>
      <c r="D14" s="297" t="s">
        <v>52</v>
      </c>
      <c r="E14" s="297">
        <v>1</v>
      </c>
      <c r="F14" s="297" t="s">
        <v>300</v>
      </c>
      <c r="G14" s="298"/>
      <c r="H14" s="298"/>
      <c r="I14" s="447"/>
    </row>
    <row r="15" spans="1:9" x14ac:dyDescent="0.25">
      <c r="A15" s="25"/>
      <c r="B15" s="23"/>
      <c r="C15" s="22"/>
      <c r="D15" s="22"/>
      <c r="E15" s="297"/>
      <c r="F15" s="297"/>
      <c r="G15" s="298"/>
      <c r="H15" s="297"/>
      <c r="I15" s="448"/>
    </row>
    <row r="16" spans="1:9" x14ac:dyDescent="0.25">
      <c r="A16" s="25"/>
      <c r="B16" s="23"/>
      <c r="C16" s="22"/>
      <c r="D16" s="297"/>
      <c r="E16" s="297"/>
      <c r="F16" s="297"/>
      <c r="G16" s="298"/>
      <c r="H16" s="298"/>
      <c r="I16" s="447"/>
    </row>
    <row r="17" spans="1:9" x14ac:dyDescent="0.25">
      <c r="A17" s="25"/>
      <c r="B17" s="23"/>
      <c r="C17" s="22"/>
      <c r="D17" s="297"/>
      <c r="E17" s="297"/>
      <c r="F17" s="297"/>
      <c r="G17" s="298"/>
      <c r="H17" s="298"/>
      <c r="I17" s="447"/>
    </row>
    <row r="18" spans="1:9" x14ac:dyDescent="0.25">
      <c r="A18" s="25"/>
      <c r="B18" s="23"/>
      <c r="C18" s="449"/>
      <c r="D18" s="297"/>
      <c r="E18" s="297"/>
      <c r="F18" s="297"/>
      <c r="G18" s="298"/>
      <c r="H18" s="298"/>
      <c r="I18" s="447"/>
    </row>
    <row r="19" spans="1:9" ht="15.75" x14ac:dyDescent="0.25">
      <c r="A19" s="53"/>
      <c r="B19" s="54"/>
      <c r="C19" s="55"/>
      <c r="D19" s="60"/>
      <c r="E19" s="51"/>
      <c r="F19" s="52"/>
      <c r="G19" s="27"/>
      <c r="H19" s="29"/>
      <c r="I19" s="450"/>
    </row>
    <row r="20" spans="1:9" ht="0.6" customHeight="1" x14ac:dyDescent="0.25">
      <c r="A20" s="69">
        <v>60100120</v>
      </c>
      <c r="B20" s="23" t="s">
        <v>64</v>
      </c>
      <c r="C20" t="s">
        <v>65</v>
      </c>
      <c r="D20" s="60" t="s">
        <v>48</v>
      </c>
      <c r="E20" s="51">
        <v>1</v>
      </c>
      <c r="F20" s="52" t="s">
        <v>7</v>
      </c>
      <c r="G20" s="46"/>
      <c r="H20" s="47"/>
      <c r="I20" s="59"/>
    </row>
    <row r="21" spans="1:9" ht="15.75" x14ac:dyDescent="0.25">
      <c r="A21" s="53"/>
      <c r="B21" s="54"/>
      <c r="C21" s="55"/>
      <c r="D21" s="60"/>
      <c r="E21" s="51"/>
      <c r="F21" s="52"/>
      <c r="G21" s="61"/>
      <c r="H21" s="56"/>
      <c r="I21" s="62"/>
    </row>
    <row r="22" spans="1:9" ht="15.75" thickBot="1" x14ac:dyDescent="0.3">
      <c r="A22" s="13"/>
      <c r="B22" s="21"/>
      <c r="C22" s="9"/>
      <c r="D22" s="12" t="s">
        <v>15</v>
      </c>
      <c r="E22" s="11" t="s">
        <v>14</v>
      </c>
      <c r="F22" s="10"/>
      <c r="G22" s="9"/>
      <c r="H22" s="9"/>
      <c r="I22" s="8"/>
    </row>
    <row r="23" spans="1:9" x14ac:dyDescent="0.25">
      <c r="A23" s="581" t="s">
        <v>13</v>
      </c>
      <c r="B23" s="582"/>
      <c r="C23" s="583"/>
      <c r="D23" s="298">
        <v>1950</v>
      </c>
      <c r="E23" s="6" t="s">
        <v>2</v>
      </c>
      <c r="F23" s="626" t="s">
        <v>12</v>
      </c>
      <c r="G23" s="626"/>
      <c r="H23" s="627"/>
      <c r="I23" s="628"/>
    </row>
    <row r="24" spans="1:9" x14ac:dyDescent="0.25">
      <c r="A24" s="584" t="s">
        <v>11</v>
      </c>
      <c r="B24" s="585"/>
      <c r="C24" s="586"/>
      <c r="D24" s="297">
        <v>8</v>
      </c>
      <c r="E24" s="5" t="s">
        <v>10</v>
      </c>
      <c r="F24" s="587" t="s">
        <v>9</v>
      </c>
      <c r="G24" s="587"/>
      <c r="H24" s="576"/>
      <c r="I24" s="577"/>
    </row>
    <row r="25" spans="1:9" x14ac:dyDescent="0.25">
      <c r="A25" s="584" t="s">
        <v>8</v>
      </c>
      <c r="B25" s="585"/>
      <c r="C25" s="586"/>
      <c r="D25" s="298">
        <v>1</v>
      </c>
      <c r="E25" s="5" t="s">
        <v>7</v>
      </c>
      <c r="F25" s="587" t="s">
        <v>6</v>
      </c>
      <c r="G25" s="587"/>
      <c r="H25" s="576"/>
      <c r="I25" s="577"/>
    </row>
    <row r="26" spans="1:9" x14ac:dyDescent="0.25">
      <c r="A26" s="584" t="s">
        <v>5</v>
      </c>
      <c r="B26" s="585"/>
      <c r="C26" s="586"/>
      <c r="D26" s="298">
        <v>1950</v>
      </c>
      <c r="E26" s="3" t="s">
        <v>2</v>
      </c>
      <c r="F26" s="575" t="s">
        <v>4</v>
      </c>
      <c r="G26" s="575"/>
      <c r="H26" s="576"/>
      <c r="I26" s="577"/>
    </row>
    <row r="27" spans="1:9" ht="15.75" thickBot="1" x14ac:dyDescent="0.3">
      <c r="A27" s="937" t="s">
        <v>3</v>
      </c>
      <c r="B27" s="938"/>
      <c r="C27" s="573"/>
      <c r="D27" s="300">
        <v>50</v>
      </c>
      <c r="E27" s="1" t="s">
        <v>2</v>
      </c>
      <c r="F27" s="578"/>
      <c r="G27" s="578"/>
      <c r="H27" s="579"/>
      <c r="I27" s="580"/>
    </row>
    <row r="28" spans="1:9" ht="15.75" thickBot="1" x14ac:dyDescent="0.3">
      <c r="A28" s="939" t="s">
        <v>1</v>
      </c>
      <c r="B28" s="940"/>
      <c r="C28" s="940"/>
      <c r="D28" s="940"/>
      <c r="E28" s="940"/>
      <c r="F28" s="940"/>
      <c r="G28" s="940"/>
      <c r="H28" s="940"/>
      <c r="I28" s="941"/>
    </row>
    <row r="29" spans="1:9" x14ac:dyDescent="0.25">
      <c r="A29" s="942" t="s">
        <v>391</v>
      </c>
      <c r="B29" s="943"/>
      <c r="C29" s="944"/>
      <c r="D29" s="944"/>
      <c r="E29" s="944"/>
      <c r="F29" s="944"/>
      <c r="G29" s="944"/>
      <c r="H29" s="944"/>
      <c r="I29" s="945"/>
    </row>
    <row r="30" spans="1:9" ht="14.45" customHeight="1" x14ac:dyDescent="0.25">
      <c r="A30" s="635" t="s">
        <v>392</v>
      </c>
      <c r="B30" s="614"/>
      <c r="C30" s="614"/>
      <c r="D30" s="614"/>
      <c r="E30" s="614"/>
      <c r="F30" s="614"/>
      <c r="G30" s="614"/>
      <c r="H30" s="614"/>
      <c r="I30" s="636"/>
    </row>
    <row r="31" spans="1:9" x14ac:dyDescent="0.25">
      <c r="A31" s="826" t="s">
        <v>393</v>
      </c>
      <c r="B31" s="827"/>
      <c r="C31" s="828"/>
      <c r="D31" s="828"/>
      <c r="E31" s="828"/>
      <c r="F31" s="828"/>
      <c r="G31" s="828"/>
      <c r="H31" s="828"/>
      <c r="I31" s="829"/>
    </row>
    <row r="32" spans="1:9" ht="16.5" x14ac:dyDescent="0.3">
      <c r="A32" s="632" t="s">
        <v>394</v>
      </c>
      <c r="B32" s="633"/>
      <c r="C32" s="633"/>
      <c r="D32" s="633"/>
      <c r="E32" s="633"/>
      <c r="F32" s="633"/>
      <c r="G32" s="633"/>
      <c r="H32" s="633"/>
      <c r="I32" s="634"/>
    </row>
    <row r="33" spans="1:9" x14ac:dyDescent="0.25">
      <c r="A33" s="946" t="s">
        <v>395</v>
      </c>
      <c r="B33" s="947"/>
      <c r="C33" s="948"/>
      <c r="D33" s="948"/>
      <c r="E33" s="948"/>
      <c r="F33" s="948"/>
      <c r="G33" s="948"/>
      <c r="H33" s="948"/>
      <c r="I33" s="949"/>
    </row>
    <row r="34" spans="1:9" x14ac:dyDescent="0.25">
      <c r="A34" s="635"/>
      <c r="B34" s="614"/>
      <c r="C34" s="614"/>
      <c r="D34" s="614"/>
      <c r="E34" s="614"/>
      <c r="F34" s="614"/>
      <c r="G34" s="614"/>
      <c r="H34" s="614"/>
      <c r="I34" s="636"/>
    </row>
    <row r="35" spans="1:9" x14ac:dyDescent="0.25">
      <c r="A35" s="635"/>
      <c r="B35" s="614"/>
      <c r="C35" s="614"/>
      <c r="D35" s="614"/>
      <c r="E35" s="614"/>
      <c r="F35" s="614"/>
      <c r="G35" s="614"/>
      <c r="H35" s="614"/>
      <c r="I35" s="636"/>
    </row>
    <row r="36" spans="1:9" ht="15.75" thickBot="1" x14ac:dyDescent="0.3">
      <c r="A36" s="731"/>
      <c r="B36" s="732"/>
      <c r="C36" s="733"/>
      <c r="D36" s="733"/>
      <c r="E36" s="733"/>
      <c r="F36" s="733"/>
      <c r="G36" s="733"/>
      <c r="H36" s="733"/>
      <c r="I36" s="734"/>
    </row>
    <row r="37" spans="1:9" x14ac:dyDescent="0.25">
      <c r="A37" s="930" t="s">
        <v>0</v>
      </c>
      <c r="B37" s="931"/>
      <c r="C37" s="931"/>
      <c r="D37" s="931"/>
      <c r="E37" s="931"/>
      <c r="F37" s="931"/>
      <c r="G37" s="931"/>
      <c r="H37" s="931"/>
      <c r="I37" s="932"/>
    </row>
    <row r="38" spans="1:9" ht="15.75" thickBot="1" x14ac:dyDescent="0.3">
      <c r="A38" s="933" t="s">
        <v>396</v>
      </c>
      <c r="B38" s="934"/>
      <c r="C38" s="935"/>
      <c r="D38" s="935"/>
      <c r="E38" s="935"/>
      <c r="F38" s="935"/>
      <c r="G38" s="935"/>
      <c r="H38" s="935"/>
      <c r="I38" s="936"/>
    </row>
    <row r="39" spans="1:9" ht="15.75" thickBot="1" x14ac:dyDescent="0.3">
      <c r="A39" s="926" t="s">
        <v>397</v>
      </c>
      <c r="B39" s="927"/>
      <c r="C39" s="928"/>
      <c r="D39" s="928"/>
      <c r="E39" s="928"/>
      <c r="F39" s="928"/>
      <c r="G39" s="928"/>
      <c r="H39" s="928"/>
      <c r="I39" s="929"/>
    </row>
    <row r="40" spans="1:9" ht="15.75" thickBot="1" x14ac:dyDescent="0.3">
      <c r="A40" s="926"/>
      <c r="B40" s="927"/>
      <c r="C40" s="928"/>
      <c r="D40" s="928"/>
      <c r="E40" s="928"/>
      <c r="F40" s="928"/>
      <c r="G40" s="928"/>
      <c r="H40" s="928"/>
      <c r="I40" s="929"/>
    </row>
    <row r="41" spans="1:9" ht="15.75" thickBot="1" x14ac:dyDescent="0.3">
      <c r="A41" s="926"/>
      <c r="B41" s="927"/>
      <c r="C41" s="928"/>
      <c r="D41" s="928"/>
      <c r="E41" s="928"/>
      <c r="F41" s="928"/>
      <c r="G41" s="928"/>
      <c r="H41" s="928"/>
      <c r="I41" s="929"/>
    </row>
    <row r="42" spans="1:9" ht="15.75" thickBot="1" x14ac:dyDescent="0.3">
      <c r="A42" s="926"/>
      <c r="B42" s="927"/>
      <c r="C42" s="928"/>
      <c r="D42" s="928"/>
      <c r="E42" s="928"/>
      <c r="F42" s="928"/>
      <c r="G42" s="928"/>
      <c r="H42" s="928"/>
      <c r="I42" s="929"/>
    </row>
    <row r="43" spans="1:9" ht="15.75" thickBot="1" x14ac:dyDescent="0.3">
      <c r="A43" s="926"/>
      <c r="B43" s="927"/>
      <c r="C43" s="928"/>
      <c r="D43" s="928"/>
      <c r="E43" s="928"/>
      <c r="F43" s="928"/>
      <c r="G43" s="928"/>
      <c r="H43" s="928"/>
      <c r="I43" s="929"/>
    </row>
    <row r="44" spans="1:9" ht="15.75" thickBot="1" x14ac:dyDescent="0.3">
      <c r="A44" s="926"/>
      <c r="B44" s="927"/>
      <c r="C44" s="928"/>
      <c r="D44" s="928"/>
      <c r="E44" s="928"/>
      <c r="F44" s="928"/>
      <c r="G44" s="928"/>
      <c r="H44" s="928"/>
      <c r="I44" s="929"/>
    </row>
    <row r="45" spans="1:9" ht="15.75" thickBot="1" x14ac:dyDescent="0.3">
      <c r="A45" s="926"/>
      <c r="B45" s="927"/>
      <c r="C45" s="928"/>
      <c r="D45" s="928"/>
      <c r="E45" s="928"/>
      <c r="F45" s="928"/>
      <c r="G45" s="928"/>
      <c r="H45" s="928"/>
      <c r="I45" s="929"/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EA9F-C954-4347-A017-B3D7C99C17D5}">
  <dimension ref="A1:I45"/>
  <sheetViews>
    <sheetView workbookViewId="0">
      <selection activeCell="D13" sqref="D13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  <col min="258" max="258" width="12" customWidth="1"/>
    <col min="259" max="259" width="44.5703125" customWidth="1"/>
    <col min="264" max="264" width="17.5703125" customWidth="1"/>
    <col min="265" max="265" width="17.28515625" customWidth="1"/>
    <col min="514" max="514" width="12" customWidth="1"/>
    <col min="515" max="515" width="44.5703125" customWidth="1"/>
    <col min="520" max="520" width="17.5703125" customWidth="1"/>
    <col min="521" max="521" width="17.28515625" customWidth="1"/>
    <col min="770" max="770" width="12" customWidth="1"/>
    <col min="771" max="771" width="44.5703125" customWidth="1"/>
    <col min="776" max="776" width="17.5703125" customWidth="1"/>
    <col min="777" max="777" width="17.28515625" customWidth="1"/>
    <col min="1026" max="1026" width="12" customWidth="1"/>
    <col min="1027" max="1027" width="44.5703125" customWidth="1"/>
    <col min="1032" max="1032" width="17.5703125" customWidth="1"/>
    <col min="1033" max="1033" width="17.28515625" customWidth="1"/>
    <col min="1282" max="1282" width="12" customWidth="1"/>
    <col min="1283" max="1283" width="44.5703125" customWidth="1"/>
    <col min="1288" max="1288" width="17.5703125" customWidth="1"/>
    <col min="1289" max="1289" width="17.28515625" customWidth="1"/>
    <col min="1538" max="1538" width="12" customWidth="1"/>
    <col min="1539" max="1539" width="44.5703125" customWidth="1"/>
    <col min="1544" max="1544" width="17.5703125" customWidth="1"/>
    <col min="1545" max="1545" width="17.28515625" customWidth="1"/>
    <col min="1794" max="1794" width="12" customWidth="1"/>
    <col min="1795" max="1795" width="44.5703125" customWidth="1"/>
    <col min="1800" max="1800" width="17.5703125" customWidth="1"/>
    <col min="1801" max="1801" width="17.28515625" customWidth="1"/>
    <col min="2050" max="2050" width="12" customWidth="1"/>
    <col min="2051" max="2051" width="44.5703125" customWidth="1"/>
    <col min="2056" max="2056" width="17.5703125" customWidth="1"/>
    <col min="2057" max="2057" width="17.28515625" customWidth="1"/>
    <col min="2306" max="2306" width="12" customWidth="1"/>
    <col min="2307" max="2307" width="44.5703125" customWidth="1"/>
    <col min="2312" max="2312" width="17.5703125" customWidth="1"/>
    <col min="2313" max="2313" width="17.28515625" customWidth="1"/>
    <col min="2562" max="2562" width="12" customWidth="1"/>
    <col min="2563" max="2563" width="44.5703125" customWidth="1"/>
    <col min="2568" max="2568" width="17.5703125" customWidth="1"/>
    <col min="2569" max="2569" width="17.28515625" customWidth="1"/>
    <col min="2818" max="2818" width="12" customWidth="1"/>
    <col min="2819" max="2819" width="44.5703125" customWidth="1"/>
    <col min="2824" max="2824" width="17.5703125" customWidth="1"/>
    <col min="2825" max="2825" width="17.28515625" customWidth="1"/>
    <col min="3074" max="3074" width="12" customWidth="1"/>
    <col min="3075" max="3075" width="44.5703125" customWidth="1"/>
    <col min="3080" max="3080" width="17.5703125" customWidth="1"/>
    <col min="3081" max="3081" width="17.28515625" customWidth="1"/>
    <col min="3330" max="3330" width="12" customWidth="1"/>
    <col min="3331" max="3331" width="44.5703125" customWidth="1"/>
    <col min="3336" max="3336" width="17.5703125" customWidth="1"/>
    <col min="3337" max="3337" width="17.28515625" customWidth="1"/>
    <col min="3586" max="3586" width="12" customWidth="1"/>
    <col min="3587" max="3587" width="44.5703125" customWidth="1"/>
    <col min="3592" max="3592" width="17.5703125" customWidth="1"/>
    <col min="3593" max="3593" width="17.28515625" customWidth="1"/>
    <col min="3842" max="3842" width="12" customWidth="1"/>
    <col min="3843" max="3843" width="44.5703125" customWidth="1"/>
    <col min="3848" max="3848" width="17.5703125" customWidth="1"/>
    <col min="3849" max="3849" width="17.28515625" customWidth="1"/>
    <col min="4098" max="4098" width="12" customWidth="1"/>
    <col min="4099" max="4099" width="44.5703125" customWidth="1"/>
    <col min="4104" max="4104" width="17.5703125" customWidth="1"/>
    <col min="4105" max="4105" width="17.28515625" customWidth="1"/>
    <col min="4354" max="4354" width="12" customWidth="1"/>
    <col min="4355" max="4355" width="44.5703125" customWidth="1"/>
    <col min="4360" max="4360" width="17.5703125" customWidth="1"/>
    <col min="4361" max="4361" width="17.28515625" customWidth="1"/>
    <col min="4610" max="4610" width="12" customWidth="1"/>
    <col min="4611" max="4611" width="44.5703125" customWidth="1"/>
    <col min="4616" max="4616" width="17.5703125" customWidth="1"/>
    <col min="4617" max="4617" width="17.28515625" customWidth="1"/>
    <col min="4866" max="4866" width="12" customWidth="1"/>
    <col min="4867" max="4867" width="44.5703125" customWidth="1"/>
    <col min="4872" max="4872" width="17.5703125" customWidth="1"/>
    <col min="4873" max="4873" width="17.28515625" customWidth="1"/>
    <col min="5122" max="5122" width="12" customWidth="1"/>
    <col min="5123" max="5123" width="44.5703125" customWidth="1"/>
    <col min="5128" max="5128" width="17.5703125" customWidth="1"/>
    <col min="5129" max="5129" width="17.28515625" customWidth="1"/>
    <col min="5378" max="5378" width="12" customWidth="1"/>
    <col min="5379" max="5379" width="44.5703125" customWidth="1"/>
    <col min="5384" max="5384" width="17.5703125" customWidth="1"/>
    <col min="5385" max="5385" width="17.28515625" customWidth="1"/>
    <col min="5634" max="5634" width="12" customWidth="1"/>
    <col min="5635" max="5635" width="44.5703125" customWidth="1"/>
    <col min="5640" max="5640" width="17.5703125" customWidth="1"/>
    <col min="5641" max="5641" width="17.28515625" customWidth="1"/>
    <col min="5890" max="5890" width="12" customWidth="1"/>
    <col min="5891" max="5891" width="44.5703125" customWidth="1"/>
    <col min="5896" max="5896" width="17.5703125" customWidth="1"/>
    <col min="5897" max="5897" width="17.28515625" customWidth="1"/>
    <col min="6146" max="6146" width="12" customWidth="1"/>
    <col min="6147" max="6147" width="44.5703125" customWidth="1"/>
    <col min="6152" max="6152" width="17.5703125" customWidth="1"/>
    <col min="6153" max="6153" width="17.28515625" customWidth="1"/>
    <col min="6402" max="6402" width="12" customWidth="1"/>
    <col min="6403" max="6403" width="44.5703125" customWidth="1"/>
    <col min="6408" max="6408" width="17.5703125" customWidth="1"/>
    <col min="6409" max="6409" width="17.28515625" customWidth="1"/>
    <col min="6658" max="6658" width="12" customWidth="1"/>
    <col min="6659" max="6659" width="44.5703125" customWidth="1"/>
    <col min="6664" max="6664" width="17.5703125" customWidth="1"/>
    <col min="6665" max="6665" width="17.28515625" customWidth="1"/>
    <col min="6914" max="6914" width="12" customWidth="1"/>
    <col min="6915" max="6915" width="44.5703125" customWidth="1"/>
    <col min="6920" max="6920" width="17.5703125" customWidth="1"/>
    <col min="6921" max="6921" width="17.28515625" customWidth="1"/>
    <col min="7170" max="7170" width="12" customWidth="1"/>
    <col min="7171" max="7171" width="44.5703125" customWidth="1"/>
    <col min="7176" max="7176" width="17.5703125" customWidth="1"/>
    <col min="7177" max="7177" width="17.28515625" customWidth="1"/>
    <col min="7426" max="7426" width="12" customWidth="1"/>
    <col min="7427" max="7427" width="44.5703125" customWidth="1"/>
    <col min="7432" max="7432" width="17.5703125" customWidth="1"/>
    <col min="7433" max="7433" width="17.28515625" customWidth="1"/>
    <col min="7682" max="7682" width="12" customWidth="1"/>
    <col min="7683" max="7683" width="44.5703125" customWidth="1"/>
    <col min="7688" max="7688" width="17.5703125" customWidth="1"/>
    <col min="7689" max="7689" width="17.28515625" customWidth="1"/>
    <col min="7938" max="7938" width="12" customWidth="1"/>
    <col min="7939" max="7939" width="44.5703125" customWidth="1"/>
    <col min="7944" max="7944" width="17.5703125" customWidth="1"/>
    <col min="7945" max="7945" width="17.28515625" customWidth="1"/>
    <col min="8194" max="8194" width="12" customWidth="1"/>
    <col min="8195" max="8195" width="44.5703125" customWidth="1"/>
    <col min="8200" max="8200" width="17.5703125" customWidth="1"/>
    <col min="8201" max="8201" width="17.28515625" customWidth="1"/>
    <col min="8450" max="8450" width="12" customWidth="1"/>
    <col min="8451" max="8451" width="44.5703125" customWidth="1"/>
    <col min="8456" max="8456" width="17.5703125" customWidth="1"/>
    <col min="8457" max="8457" width="17.28515625" customWidth="1"/>
    <col min="8706" max="8706" width="12" customWidth="1"/>
    <col min="8707" max="8707" width="44.5703125" customWidth="1"/>
    <col min="8712" max="8712" width="17.5703125" customWidth="1"/>
    <col min="8713" max="8713" width="17.28515625" customWidth="1"/>
    <col min="8962" max="8962" width="12" customWidth="1"/>
    <col min="8963" max="8963" width="44.5703125" customWidth="1"/>
    <col min="8968" max="8968" width="17.5703125" customWidth="1"/>
    <col min="8969" max="8969" width="17.28515625" customWidth="1"/>
    <col min="9218" max="9218" width="12" customWidth="1"/>
    <col min="9219" max="9219" width="44.5703125" customWidth="1"/>
    <col min="9224" max="9224" width="17.5703125" customWidth="1"/>
    <col min="9225" max="9225" width="17.28515625" customWidth="1"/>
    <col min="9474" max="9474" width="12" customWidth="1"/>
    <col min="9475" max="9475" width="44.5703125" customWidth="1"/>
    <col min="9480" max="9480" width="17.5703125" customWidth="1"/>
    <col min="9481" max="9481" width="17.28515625" customWidth="1"/>
    <col min="9730" max="9730" width="12" customWidth="1"/>
    <col min="9731" max="9731" width="44.5703125" customWidth="1"/>
    <col min="9736" max="9736" width="17.5703125" customWidth="1"/>
    <col min="9737" max="9737" width="17.28515625" customWidth="1"/>
    <col min="9986" max="9986" width="12" customWidth="1"/>
    <col min="9987" max="9987" width="44.5703125" customWidth="1"/>
    <col min="9992" max="9992" width="17.5703125" customWidth="1"/>
    <col min="9993" max="9993" width="17.28515625" customWidth="1"/>
    <col min="10242" max="10242" width="12" customWidth="1"/>
    <col min="10243" max="10243" width="44.5703125" customWidth="1"/>
    <col min="10248" max="10248" width="17.5703125" customWidth="1"/>
    <col min="10249" max="10249" width="17.28515625" customWidth="1"/>
    <col min="10498" max="10498" width="12" customWidth="1"/>
    <col min="10499" max="10499" width="44.5703125" customWidth="1"/>
    <col min="10504" max="10504" width="17.5703125" customWidth="1"/>
    <col min="10505" max="10505" width="17.28515625" customWidth="1"/>
    <col min="10754" max="10754" width="12" customWidth="1"/>
    <col min="10755" max="10755" width="44.5703125" customWidth="1"/>
    <col min="10760" max="10760" width="17.5703125" customWidth="1"/>
    <col min="10761" max="10761" width="17.28515625" customWidth="1"/>
    <col min="11010" max="11010" width="12" customWidth="1"/>
    <col min="11011" max="11011" width="44.5703125" customWidth="1"/>
    <col min="11016" max="11016" width="17.5703125" customWidth="1"/>
    <col min="11017" max="11017" width="17.28515625" customWidth="1"/>
    <col min="11266" max="11266" width="12" customWidth="1"/>
    <col min="11267" max="11267" width="44.5703125" customWidth="1"/>
    <col min="11272" max="11272" width="17.5703125" customWidth="1"/>
    <col min="11273" max="11273" width="17.28515625" customWidth="1"/>
    <col min="11522" max="11522" width="12" customWidth="1"/>
    <col min="11523" max="11523" width="44.5703125" customWidth="1"/>
    <col min="11528" max="11528" width="17.5703125" customWidth="1"/>
    <col min="11529" max="11529" width="17.28515625" customWidth="1"/>
    <col min="11778" max="11778" width="12" customWidth="1"/>
    <col min="11779" max="11779" width="44.5703125" customWidth="1"/>
    <col min="11784" max="11784" width="17.5703125" customWidth="1"/>
    <col min="11785" max="11785" width="17.28515625" customWidth="1"/>
    <col min="12034" max="12034" width="12" customWidth="1"/>
    <col min="12035" max="12035" width="44.5703125" customWidth="1"/>
    <col min="12040" max="12040" width="17.5703125" customWidth="1"/>
    <col min="12041" max="12041" width="17.28515625" customWidth="1"/>
    <col min="12290" max="12290" width="12" customWidth="1"/>
    <col min="12291" max="12291" width="44.5703125" customWidth="1"/>
    <col min="12296" max="12296" width="17.5703125" customWidth="1"/>
    <col min="12297" max="12297" width="17.28515625" customWidth="1"/>
    <col min="12546" max="12546" width="12" customWidth="1"/>
    <col min="12547" max="12547" width="44.5703125" customWidth="1"/>
    <col min="12552" max="12552" width="17.5703125" customWidth="1"/>
    <col min="12553" max="12553" width="17.28515625" customWidth="1"/>
    <col min="12802" max="12802" width="12" customWidth="1"/>
    <col min="12803" max="12803" width="44.5703125" customWidth="1"/>
    <col min="12808" max="12808" width="17.5703125" customWidth="1"/>
    <col min="12809" max="12809" width="17.28515625" customWidth="1"/>
    <col min="13058" max="13058" width="12" customWidth="1"/>
    <col min="13059" max="13059" width="44.5703125" customWidth="1"/>
    <col min="13064" max="13064" width="17.5703125" customWidth="1"/>
    <col min="13065" max="13065" width="17.28515625" customWidth="1"/>
    <col min="13314" max="13314" width="12" customWidth="1"/>
    <col min="13315" max="13315" width="44.5703125" customWidth="1"/>
    <col min="13320" max="13320" width="17.5703125" customWidth="1"/>
    <col min="13321" max="13321" width="17.28515625" customWidth="1"/>
    <col min="13570" max="13570" width="12" customWidth="1"/>
    <col min="13571" max="13571" width="44.5703125" customWidth="1"/>
    <col min="13576" max="13576" width="17.5703125" customWidth="1"/>
    <col min="13577" max="13577" width="17.28515625" customWidth="1"/>
    <col min="13826" max="13826" width="12" customWidth="1"/>
    <col min="13827" max="13827" width="44.5703125" customWidth="1"/>
    <col min="13832" max="13832" width="17.5703125" customWidth="1"/>
    <col min="13833" max="13833" width="17.28515625" customWidth="1"/>
    <col min="14082" max="14082" width="12" customWidth="1"/>
    <col min="14083" max="14083" width="44.5703125" customWidth="1"/>
    <col min="14088" max="14088" width="17.5703125" customWidth="1"/>
    <col min="14089" max="14089" width="17.28515625" customWidth="1"/>
    <col min="14338" max="14338" width="12" customWidth="1"/>
    <col min="14339" max="14339" width="44.5703125" customWidth="1"/>
    <col min="14344" max="14344" width="17.5703125" customWidth="1"/>
    <col min="14345" max="14345" width="17.28515625" customWidth="1"/>
    <col min="14594" max="14594" width="12" customWidth="1"/>
    <col min="14595" max="14595" width="44.5703125" customWidth="1"/>
    <col min="14600" max="14600" width="17.5703125" customWidth="1"/>
    <col min="14601" max="14601" width="17.28515625" customWidth="1"/>
    <col min="14850" max="14850" width="12" customWidth="1"/>
    <col min="14851" max="14851" width="44.5703125" customWidth="1"/>
    <col min="14856" max="14856" width="17.5703125" customWidth="1"/>
    <col min="14857" max="14857" width="17.28515625" customWidth="1"/>
    <col min="15106" max="15106" width="12" customWidth="1"/>
    <col min="15107" max="15107" width="44.5703125" customWidth="1"/>
    <col min="15112" max="15112" width="17.5703125" customWidth="1"/>
    <col min="15113" max="15113" width="17.28515625" customWidth="1"/>
    <col min="15362" max="15362" width="12" customWidth="1"/>
    <col min="15363" max="15363" width="44.5703125" customWidth="1"/>
    <col min="15368" max="15368" width="17.5703125" customWidth="1"/>
    <col min="15369" max="15369" width="17.28515625" customWidth="1"/>
    <col min="15618" max="15618" width="12" customWidth="1"/>
    <col min="15619" max="15619" width="44.5703125" customWidth="1"/>
    <col min="15624" max="15624" width="17.5703125" customWidth="1"/>
    <col min="15625" max="15625" width="17.28515625" customWidth="1"/>
    <col min="15874" max="15874" width="12" customWidth="1"/>
    <col min="15875" max="15875" width="44.5703125" customWidth="1"/>
    <col min="15880" max="15880" width="17.5703125" customWidth="1"/>
    <col min="15881" max="15881" width="17.28515625" customWidth="1"/>
    <col min="16130" max="16130" width="12" customWidth="1"/>
    <col min="16131" max="16131" width="44.5703125" customWidth="1"/>
    <col min="16136" max="16136" width="17.5703125" customWidth="1"/>
    <col min="16137" max="16137" width="17.28515625" customWidth="1"/>
  </cols>
  <sheetData>
    <row r="1" spans="1:9" ht="16.5" x14ac:dyDescent="0.3">
      <c r="A1" s="593"/>
      <c r="B1" s="594"/>
      <c r="C1" s="599" t="s">
        <v>34</v>
      </c>
      <c r="D1" s="599"/>
      <c r="E1" s="599"/>
      <c r="F1" s="599"/>
      <c r="G1" s="599"/>
      <c r="H1" s="20" t="s">
        <v>33</v>
      </c>
      <c r="I1" s="238" t="s">
        <v>398</v>
      </c>
    </row>
    <row r="2" spans="1:9" ht="17.25" thickBot="1" x14ac:dyDescent="0.35">
      <c r="A2" s="595"/>
      <c r="B2" s="596"/>
      <c r="C2" s="600" t="s">
        <v>32</v>
      </c>
      <c r="D2" s="600"/>
      <c r="E2" s="600"/>
      <c r="F2" s="600"/>
      <c r="G2" s="600"/>
      <c r="H2" s="17" t="s">
        <v>31</v>
      </c>
      <c r="I2" s="241" t="s">
        <v>283</v>
      </c>
    </row>
    <row r="3" spans="1:9" ht="18" x14ac:dyDescent="0.25">
      <c r="A3" s="595"/>
      <c r="B3" s="596"/>
      <c r="C3" s="601" t="s">
        <v>399</v>
      </c>
      <c r="D3" s="602"/>
      <c r="E3" s="602"/>
      <c r="F3" s="602"/>
      <c r="G3" s="603"/>
      <c r="H3" s="604" t="s">
        <v>30</v>
      </c>
      <c r="I3" s="953">
        <v>45432</v>
      </c>
    </row>
    <row r="4" spans="1:9" ht="16.5" x14ac:dyDescent="0.3">
      <c r="A4" s="595"/>
      <c r="B4" s="596"/>
      <c r="C4" s="17" t="s">
        <v>29</v>
      </c>
      <c r="D4" s="655" t="s">
        <v>400</v>
      </c>
      <c r="E4" s="591"/>
      <c r="F4" s="591"/>
      <c r="G4" s="591"/>
      <c r="H4" s="605"/>
      <c r="I4" s="954"/>
    </row>
    <row r="5" spans="1:9" ht="17.25" thickBot="1" x14ac:dyDescent="0.35">
      <c r="A5" s="597"/>
      <c r="B5" s="598"/>
      <c r="C5" s="16" t="s">
        <v>28</v>
      </c>
      <c r="D5" s="950" t="s">
        <v>286</v>
      </c>
      <c r="E5" s="951"/>
      <c r="F5" s="951"/>
      <c r="G5" s="952"/>
      <c r="H5" s="606"/>
      <c r="I5" s="955"/>
    </row>
    <row r="6" spans="1:9" ht="18" x14ac:dyDescent="0.25">
      <c r="A6" s="619" t="s">
        <v>26</v>
      </c>
      <c r="B6" s="620"/>
      <c r="C6" s="620"/>
      <c r="D6" s="621" t="s">
        <v>379</v>
      </c>
      <c r="E6" s="621"/>
      <c r="F6" s="621"/>
      <c r="G6" s="622" t="s">
        <v>25</v>
      </c>
      <c r="H6" s="622"/>
      <c r="I6" s="32" t="s">
        <v>379</v>
      </c>
    </row>
    <row r="7" spans="1:9" ht="22.15" customHeight="1" x14ac:dyDescent="0.25">
      <c r="A7" s="623" t="s">
        <v>24</v>
      </c>
      <c r="B7" s="624" t="s">
        <v>35</v>
      </c>
      <c r="C7" s="623" t="s">
        <v>23</v>
      </c>
      <c r="D7" s="623" t="s">
        <v>22</v>
      </c>
      <c r="E7" s="623" t="s">
        <v>21</v>
      </c>
      <c r="F7" s="623"/>
      <c r="G7" s="623" t="s">
        <v>20</v>
      </c>
      <c r="H7" s="623"/>
      <c r="I7" s="34" t="s">
        <v>19</v>
      </c>
    </row>
    <row r="8" spans="1:9" ht="25.5" x14ac:dyDescent="0.25">
      <c r="A8" s="623"/>
      <c r="B8" s="625"/>
      <c r="C8" s="623"/>
      <c r="D8" s="62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440"/>
      <c r="B9" s="440"/>
      <c r="C9" s="441" t="s">
        <v>380</v>
      </c>
      <c r="D9" s="440"/>
      <c r="E9" s="442"/>
      <c r="F9" s="443"/>
      <c r="G9" s="442"/>
      <c r="H9" s="443"/>
      <c r="I9" s="440"/>
    </row>
    <row r="10" spans="1:9" x14ac:dyDescent="0.25">
      <c r="A10" s="25">
        <v>510302</v>
      </c>
      <c r="B10" s="23" t="s">
        <v>401</v>
      </c>
      <c r="C10" s="23" t="s">
        <v>402</v>
      </c>
      <c r="D10" s="444" t="s">
        <v>52</v>
      </c>
      <c r="E10" s="51">
        <v>1100</v>
      </c>
      <c r="F10" s="52" t="s">
        <v>2</v>
      </c>
      <c r="G10" s="51"/>
      <c r="H10" s="443"/>
      <c r="I10" s="440"/>
    </row>
    <row r="11" spans="1:9" x14ac:dyDescent="0.25">
      <c r="A11" s="92"/>
      <c r="B11" s="23"/>
      <c r="C11" s="93"/>
      <c r="D11" s="444"/>
      <c r="E11" s="51"/>
      <c r="F11" s="52"/>
      <c r="G11" s="51"/>
      <c r="H11" s="298"/>
      <c r="I11" s="445"/>
    </row>
    <row r="12" spans="1:9" x14ac:dyDescent="0.25">
      <c r="A12" s="25">
        <v>1950702</v>
      </c>
      <c r="B12" s="23" t="s">
        <v>387</v>
      </c>
      <c r="C12" s="23" t="s">
        <v>388</v>
      </c>
      <c r="D12" s="444" t="s">
        <v>105</v>
      </c>
      <c r="E12" s="51">
        <v>1</v>
      </c>
      <c r="F12" s="52" t="s">
        <v>300</v>
      </c>
      <c r="G12" s="51"/>
      <c r="H12" s="298"/>
      <c r="I12" s="447"/>
    </row>
    <row r="13" spans="1:9" x14ac:dyDescent="0.25">
      <c r="A13" s="25">
        <v>702067</v>
      </c>
      <c r="B13" s="23" t="s">
        <v>389</v>
      </c>
      <c r="C13" s="23" t="s">
        <v>390</v>
      </c>
      <c r="D13" s="297" t="s">
        <v>52</v>
      </c>
      <c r="E13" s="297">
        <v>1</v>
      </c>
      <c r="F13" s="297" t="s">
        <v>300</v>
      </c>
      <c r="G13" s="298"/>
      <c r="H13" s="298"/>
      <c r="I13" s="447"/>
    </row>
    <row r="14" spans="1:9" x14ac:dyDescent="0.25">
      <c r="A14" s="25"/>
      <c r="B14" s="23"/>
      <c r="C14" s="23"/>
      <c r="D14" s="297"/>
      <c r="E14" s="297"/>
      <c r="F14" s="297"/>
      <c r="G14" s="298"/>
      <c r="H14" s="298"/>
      <c r="I14" s="447"/>
    </row>
    <row r="15" spans="1:9" x14ac:dyDescent="0.25">
      <c r="A15" s="25"/>
      <c r="B15" s="23"/>
      <c r="C15" s="22"/>
      <c r="D15" s="22"/>
      <c r="E15" s="297"/>
      <c r="F15" s="297"/>
      <c r="G15" s="298"/>
      <c r="H15" s="297"/>
      <c r="I15" s="448"/>
    </row>
    <row r="16" spans="1:9" x14ac:dyDescent="0.25">
      <c r="A16" s="25"/>
      <c r="B16" s="23"/>
      <c r="C16" s="22"/>
      <c r="D16" s="297"/>
      <c r="E16" s="297"/>
      <c r="F16" s="297"/>
      <c r="G16" s="298"/>
      <c r="H16" s="298"/>
      <c r="I16" s="447"/>
    </row>
    <row r="17" spans="1:9" x14ac:dyDescent="0.25">
      <c r="A17" s="25"/>
      <c r="B17" s="23"/>
      <c r="C17" s="22"/>
      <c r="D17" s="297"/>
      <c r="E17" s="297"/>
      <c r="F17" s="297"/>
      <c r="G17" s="298"/>
      <c r="H17" s="298"/>
      <c r="I17" s="447"/>
    </row>
    <row r="18" spans="1:9" x14ac:dyDescent="0.25">
      <c r="A18" s="25"/>
      <c r="B18" s="23"/>
      <c r="C18" s="449"/>
      <c r="D18" s="297"/>
      <c r="E18" s="297"/>
      <c r="F18" s="297"/>
      <c r="G18" s="298"/>
      <c r="H18" s="298"/>
      <c r="I18" s="447"/>
    </row>
    <row r="19" spans="1:9" ht="15.75" x14ac:dyDescent="0.25">
      <c r="A19" s="53"/>
      <c r="B19" s="54"/>
      <c r="C19" s="55"/>
      <c r="D19" s="60"/>
      <c r="E19" s="51"/>
      <c r="F19" s="52"/>
      <c r="G19" s="27"/>
      <c r="H19" s="29"/>
      <c r="I19" s="450"/>
    </row>
    <row r="20" spans="1:9" ht="0.6" customHeight="1" x14ac:dyDescent="0.25">
      <c r="A20" s="69">
        <v>60100120</v>
      </c>
      <c r="B20" s="23" t="s">
        <v>64</v>
      </c>
      <c r="C20" t="s">
        <v>65</v>
      </c>
      <c r="D20" s="60" t="s">
        <v>48</v>
      </c>
      <c r="E20" s="51">
        <v>1</v>
      </c>
      <c r="F20" s="52" t="s">
        <v>7</v>
      </c>
      <c r="G20" s="46"/>
      <c r="H20" s="47"/>
      <c r="I20" s="59"/>
    </row>
    <row r="21" spans="1:9" ht="15.75" x14ac:dyDescent="0.25">
      <c r="A21" s="53"/>
      <c r="B21" s="54"/>
      <c r="C21" s="55"/>
      <c r="D21" s="60"/>
      <c r="E21" s="51"/>
      <c r="F21" s="52"/>
      <c r="G21" s="61"/>
      <c r="H21" s="56"/>
      <c r="I21" s="62"/>
    </row>
    <row r="22" spans="1:9" ht="15.75" thickBot="1" x14ac:dyDescent="0.3">
      <c r="A22" s="13"/>
      <c r="B22" s="21"/>
      <c r="C22" s="9"/>
      <c r="D22" s="12" t="s">
        <v>15</v>
      </c>
      <c r="E22" s="11" t="s">
        <v>14</v>
      </c>
      <c r="F22" s="10"/>
      <c r="G22" s="9"/>
      <c r="H22" s="9"/>
      <c r="I22" s="8"/>
    </row>
    <row r="23" spans="1:9" x14ac:dyDescent="0.25">
      <c r="A23" s="581" t="s">
        <v>13</v>
      </c>
      <c r="B23" s="582"/>
      <c r="C23" s="583"/>
      <c r="D23" s="298">
        <v>1000</v>
      </c>
      <c r="E23" s="6" t="s">
        <v>2</v>
      </c>
      <c r="F23" s="626" t="s">
        <v>12</v>
      </c>
      <c r="G23" s="626"/>
      <c r="H23" s="627"/>
      <c r="I23" s="628"/>
    </row>
    <row r="24" spans="1:9" x14ac:dyDescent="0.25">
      <c r="A24" s="584" t="s">
        <v>11</v>
      </c>
      <c r="B24" s="585"/>
      <c r="C24" s="586"/>
      <c r="D24" s="297">
        <v>6</v>
      </c>
      <c r="E24" s="5" t="s">
        <v>10</v>
      </c>
      <c r="F24" s="587" t="s">
        <v>9</v>
      </c>
      <c r="G24" s="587"/>
      <c r="H24" s="576"/>
      <c r="I24" s="577"/>
    </row>
    <row r="25" spans="1:9" x14ac:dyDescent="0.25">
      <c r="A25" s="584" t="s">
        <v>8</v>
      </c>
      <c r="B25" s="585"/>
      <c r="C25" s="586"/>
      <c r="D25" s="298">
        <v>1</v>
      </c>
      <c r="E25" s="5" t="s">
        <v>7</v>
      </c>
      <c r="F25" s="587" t="s">
        <v>6</v>
      </c>
      <c r="G25" s="587"/>
      <c r="H25" s="576"/>
      <c r="I25" s="577"/>
    </row>
    <row r="26" spans="1:9" x14ac:dyDescent="0.25">
      <c r="A26" s="584" t="s">
        <v>5</v>
      </c>
      <c r="B26" s="585"/>
      <c r="C26" s="586"/>
      <c r="D26" s="298">
        <v>1000</v>
      </c>
      <c r="E26" s="3" t="s">
        <v>2</v>
      </c>
      <c r="F26" s="575" t="s">
        <v>4</v>
      </c>
      <c r="G26" s="575"/>
      <c r="H26" s="576"/>
      <c r="I26" s="577"/>
    </row>
    <row r="27" spans="1:9" ht="15.75" thickBot="1" x14ac:dyDescent="0.3">
      <c r="A27" s="937" t="s">
        <v>3</v>
      </c>
      <c r="B27" s="938"/>
      <c r="C27" s="573"/>
      <c r="D27" s="300">
        <v>100</v>
      </c>
      <c r="E27" s="1" t="s">
        <v>2</v>
      </c>
      <c r="F27" s="578"/>
      <c r="G27" s="578"/>
      <c r="H27" s="579"/>
      <c r="I27" s="580"/>
    </row>
    <row r="28" spans="1:9" ht="15.75" thickBot="1" x14ac:dyDescent="0.3">
      <c r="A28" s="939" t="s">
        <v>1</v>
      </c>
      <c r="B28" s="940"/>
      <c r="C28" s="940"/>
      <c r="D28" s="940"/>
      <c r="E28" s="940"/>
      <c r="F28" s="940"/>
      <c r="G28" s="940"/>
      <c r="H28" s="940"/>
      <c r="I28" s="941"/>
    </row>
    <row r="29" spans="1:9" x14ac:dyDescent="0.25">
      <c r="A29" s="942" t="s">
        <v>403</v>
      </c>
      <c r="B29" s="943"/>
      <c r="C29" s="944"/>
      <c r="D29" s="944"/>
      <c r="E29" s="944"/>
      <c r="F29" s="944"/>
      <c r="G29" s="944"/>
      <c r="H29" s="944"/>
      <c r="I29" s="945"/>
    </row>
    <row r="30" spans="1:9" ht="14.45" customHeight="1" x14ac:dyDescent="0.25">
      <c r="A30" s="635" t="s">
        <v>404</v>
      </c>
      <c r="B30" s="614"/>
      <c r="C30" s="614"/>
      <c r="D30" s="614"/>
      <c r="E30" s="614"/>
      <c r="F30" s="614"/>
      <c r="G30" s="614"/>
      <c r="H30" s="614"/>
      <c r="I30" s="636"/>
    </row>
    <row r="31" spans="1:9" x14ac:dyDescent="0.25">
      <c r="A31" s="826" t="s">
        <v>405</v>
      </c>
      <c r="B31" s="827"/>
      <c r="C31" s="828"/>
      <c r="D31" s="828"/>
      <c r="E31" s="828"/>
      <c r="F31" s="828"/>
      <c r="G31" s="828"/>
      <c r="H31" s="828"/>
      <c r="I31" s="829"/>
    </row>
    <row r="32" spans="1:9" ht="16.5" x14ac:dyDescent="0.3">
      <c r="A32" s="632" t="s">
        <v>406</v>
      </c>
      <c r="B32" s="633"/>
      <c r="C32" s="633"/>
      <c r="D32" s="633"/>
      <c r="E32" s="633"/>
      <c r="F32" s="633"/>
      <c r="G32" s="633"/>
      <c r="H32" s="633"/>
      <c r="I32" s="634"/>
    </row>
    <row r="33" spans="1:9" x14ac:dyDescent="0.25">
      <c r="A33" s="946"/>
      <c r="B33" s="947"/>
      <c r="C33" s="948"/>
      <c r="D33" s="948"/>
      <c r="E33" s="948"/>
      <c r="F33" s="948"/>
      <c r="G33" s="948"/>
      <c r="H33" s="948"/>
      <c r="I33" s="949"/>
    </row>
    <row r="34" spans="1:9" x14ac:dyDescent="0.25">
      <c r="A34" s="635"/>
      <c r="B34" s="614"/>
      <c r="C34" s="614"/>
      <c r="D34" s="614"/>
      <c r="E34" s="614"/>
      <c r="F34" s="614"/>
      <c r="G34" s="614"/>
      <c r="H34" s="614"/>
      <c r="I34" s="636"/>
    </row>
    <row r="35" spans="1:9" x14ac:dyDescent="0.25">
      <c r="A35" s="635"/>
      <c r="B35" s="614"/>
      <c r="C35" s="614"/>
      <c r="D35" s="614"/>
      <c r="E35" s="614"/>
      <c r="F35" s="614"/>
      <c r="G35" s="614"/>
      <c r="H35" s="614"/>
      <c r="I35" s="636"/>
    </row>
    <row r="36" spans="1:9" ht="15.75" thickBot="1" x14ac:dyDescent="0.3">
      <c r="A36" s="731"/>
      <c r="B36" s="732"/>
      <c r="C36" s="733"/>
      <c r="D36" s="733"/>
      <c r="E36" s="733"/>
      <c r="F36" s="733"/>
      <c r="G36" s="733"/>
      <c r="H36" s="733"/>
      <c r="I36" s="734"/>
    </row>
    <row r="37" spans="1:9" x14ac:dyDescent="0.25">
      <c r="A37" s="930" t="s">
        <v>0</v>
      </c>
      <c r="B37" s="931"/>
      <c r="C37" s="931"/>
      <c r="D37" s="931"/>
      <c r="E37" s="931"/>
      <c r="F37" s="931"/>
      <c r="G37" s="931"/>
      <c r="H37" s="931"/>
      <c r="I37" s="932"/>
    </row>
    <row r="38" spans="1:9" ht="15.75" thickBot="1" x14ac:dyDescent="0.3">
      <c r="A38" s="926" t="s">
        <v>407</v>
      </c>
      <c r="B38" s="927"/>
      <c r="C38" s="928"/>
      <c r="D38" s="928"/>
      <c r="E38" s="928"/>
      <c r="F38" s="928"/>
      <c r="G38" s="928"/>
      <c r="H38" s="928"/>
      <c r="I38" s="929"/>
    </row>
    <row r="39" spans="1:9" ht="15.75" thickBot="1" x14ac:dyDescent="0.3">
      <c r="A39" s="926"/>
      <c r="B39" s="927"/>
      <c r="C39" s="928"/>
      <c r="D39" s="928"/>
      <c r="E39" s="928"/>
      <c r="F39" s="928"/>
      <c r="G39" s="928"/>
      <c r="H39" s="928"/>
      <c r="I39" s="929"/>
    </row>
    <row r="40" spans="1:9" ht="15.75" thickBot="1" x14ac:dyDescent="0.3">
      <c r="A40" s="926"/>
      <c r="B40" s="927"/>
      <c r="C40" s="928"/>
      <c r="D40" s="928"/>
      <c r="E40" s="928"/>
      <c r="F40" s="928"/>
      <c r="G40" s="928"/>
      <c r="H40" s="928"/>
      <c r="I40" s="929"/>
    </row>
    <row r="41" spans="1:9" ht="15.75" thickBot="1" x14ac:dyDescent="0.3">
      <c r="A41" s="926"/>
      <c r="B41" s="927"/>
      <c r="C41" s="928"/>
      <c r="D41" s="928"/>
      <c r="E41" s="928"/>
      <c r="F41" s="928"/>
      <c r="G41" s="928"/>
      <c r="H41" s="928"/>
      <c r="I41" s="929"/>
    </row>
    <row r="42" spans="1:9" ht="15.75" thickBot="1" x14ac:dyDescent="0.3">
      <c r="A42" s="926"/>
      <c r="B42" s="927"/>
      <c r="C42" s="928"/>
      <c r="D42" s="928"/>
      <c r="E42" s="928"/>
      <c r="F42" s="928"/>
      <c r="G42" s="928"/>
      <c r="H42" s="928"/>
      <c r="I42" s="929"/>
    </row>
    <row r="43" spans="1:9" ht="15.75" thickBot="1" x14ac:dyDescent="0.3">
      <c r="A43" s="926"/>
      <c r="B43" s="927"/>
      <c r="C43" s="928"/>
      <c r="D43" s="928"/>
      <c r="E43" s="928"/>
      <c r="F43" s="928"/>
      <c r="G43" s="928"/>
      <c r="H43" s="928"/>
      <c r="I43" s="929"/>
    </row>
    <row r="44" spans="1:9" ht="15.75" thickBot="1" x14ac:dyDescent="0.3">
      <c r="A44" s="926"/>
      <c r="B44" s="927"/>
      <c r="C44" s="928"/>
      <c r="D44" s="928"/>
      <c r="E44" s="928"/>
      <c r="F44" s="928"/>
      <c r="G44" s="928"/>
      <c r="H44" s="928"/>
      <c r="I44" s="929"/>
    </row>
    <row r="45" spans="1:9" ht="15.75" thickBot="1" x14ac:dyDescent="0.3">
      <c r="A45" s="926"/>
      <c r="B45" s="927"/>
      <c r="C45" s="928"/>
      <c r="D45" s="928"/>
      <c r="E45" s="928"/>
      <c r="F45" s="928"/>
      <c r="G45" s="928"/>
      <c r="H45" s="928"/>
      <c r="I45" s="929"/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51BA-086D-408C-8816-22E2DA28A41D}">
  <dimension ref="A1:J31"/>
  <sheetViews>
    <sheetView workbookViewId="0">
      <selection activeCell="A6" sqref="A6:C6"/>
    </sheetView>
  </sheetViews>
  <sheetFormatPr baseColWidth="10" defaultColWidth="9.140625" defaultRowHeight="13.5" x14ac:dyDescent="0.25"/>
  <cols>
    <col min="1" max="1" width="16.140625" style="76" customWidth="1"/>
    <col min="2" max="2" width="10.85546875" style="76" customWidth="1"/>
    <col min="3" max="3" width="41" style="76" customWidth="1"/>
    <col min="4" max="4" width="14.140625" style="76" customWidth="1"/>
    <col min="5" max="6" width="11.42578125" style="76" customWidth="1"/>
    <col min="7" max="8" width="14.5703125" style="76" customWidth="1"/>
    <col min="9" max="9" width="17.140625" style="76" customWidth="1"/>
    <col min="10" max="256" width="9.140625" style="76"/>
    <col min="257" max="257" width="16.140625" style="76" customWidth="1"/>
    <col min="258" max="258" width="10.85546875" style="76" customWidth="1"/>
    <col min="259" max="259" width="41" style="76" customWidth="1"/>
    <col min="260" max="260" width="14.140625" style="76" customWidth="1"/>
    <col min="261" max="262" width="11.42578125" style="76" customWidth="1"/>
    <col min="263" max="264" width="14.5703125" style="76" customWidth="1"/>
    <col min="265" max="265" width="17.140625" style="76" customWidth="1"/>
    <col min="266" max="512" width="9.140625" style="76"/>
    <col min="513" max="513" width="16.140625" style="76" customWidth="1"/>
    <col min="514" max="514" width="10.85546875" style="76" customWidth="1"/>
    <col min="515" max="515" width="41" style="76" customWidth="1"/>
    <col min="516" max="516" width="14.140625" style="76" customWidth="1"/>
    <col min="517" max="518" width="11.42578125" style="76" customWidth="1"/>
    <col min="519" max="520" width="14.5703125" style="76" customWidth="1"/>
    <col min="521" max="521" width="17.140625" style="76" customWidth="1"/>
    <col min="522" max="768" width="9.140625" style="76"/>
    <col min="769" max="769" width="16.140625" style="76" customWidth="1"/>
    <col min="770" max="770" width="10.85546875" style="76" customWidth="1"/>
    <col min="771" max="771" width="41" style="76" customWidth="1"/>
    <col min="772" max="772" width="14.140625" style="76" customWidth="1"/>
    <col min="773" max="774" width="11.42578125" style="76" customWidth="1"/>
    <col min="775" max="776" width="14.5703125" style="76" customWidth="1"/>
    <col min="777" max="777" width="17.140625" style="76" customWidth="1"/>
    <col min="778" max="1024" width="9.140625" style="76"/>
    <col min="1025" max="1025" width="16.140625" style="76" customWidth="1"/>
    <col min="1026" max="1026" width="10.85546875" style="76" customWidth="1"/>
    <col min="1027" max="1027" width="41" style="76" customWidth="1"/>
    <col min="1028" max="1028" width="14.140625" style="76" customWidth="1"/>
    <col min="1029" max="1030" width="11.42578125" style="76" customWidth="1"/>
    <col min="1031" max="1032" width="14.5703125" style="76" customWidth="1"/>
    <col min="1033" max="1033" width="17.140625" style="76" customWidth="1"/>
    <col min="1034" max="1280" width="9.140625" style="76"/>
    <col min="1281" max="1281" width="16.140625" style="76" customWidth="1"/>
    <col min="1282" max="1282" width="10.85546875" style="76" customWidth="1"/>
    <col min="1283" max="1283" width="41" style="76" customWidth="1"/>
    <col min="1284" max="1284" width="14.140625" style="76" customWidth="1"/>
    <col min="1285" max="1286" width="11.42578125" style="76" customWidth="1"/>
    <col min="1287" max="1288" width="14.5703125" style="76" customWidth="1"/>
    <col min="1289" max="1289" width="17.140625" style="76" customWidth="1"/>
    <col min="1290" max="1536" width="9.140625" style="76"/>
    <col min="1537" max="1537" width="16.140625" style="76" customWidth="1"/>
    <col min="1538" max="1538" width="10.85546875" style="76" customWidth="1"/>
    <col min="1539" max="1539" width="41" style="76" customWidth="1"/>
    <col min="1540" max="1540" width="14.140625" style="76" customWidth="1"/>
    <col min="1541" max="1542" width="11.42578125" style="76" customWidth="1"/>
    <col min="1543" max="1544" width="14.5703125" style="76" customWidth="1"/>
    <col min="1545" max="1545" width="17.140625" style="76" customWidth="1"/>
    <col min="1546" max="1792" width="9.140625" style="76"/>
    <col min="1793" max="1793" width="16.140625" style="76" customWidth="1"/>
    <col min="1794" max="1794" width="10.85546875" style="76" customWidth="1"/>
    <col min="1795" max="1795" width="41" style="76" customWidth="1"/>
    <col min="1796" max="1796" width="14.140625" style="76" customWidth="1"/>
    <col min="1797" max="1798" width="11.42578125" style="76" customWidth="1"/>
    <col min="1799" max="1800" width="14.5703125" style="76" customWidth="1"/>
    <col min="1801" max="1801" width="17.140625" style="76" customWidth="1"/>
    <col min="1802" max="2048" width="9.140625" style="76"/>
    <col min="2049" max="2049" width="16.140625" style="76" customWidth="1"/>
    <col min="2050" max="2050" width="10.85546875" style="76" customWidth="1"/>
    <col min="2051" max="2051" width="41" style="76" customWidth="1"/>
    <col min="2052" max="2052" width="14.140625" style="76" customWidth="1"/>
    <col min="2053" max="2054" width="11.42578125" style="76" customWidth="1"/>
    <col min="2055" max="2056" width="14.5703125" style="76" customWidth="1"/>
    <col min="2057" max="2057" width="17.140625" style="76" customWidth="1"/>
    <col min="2058" max="2304" width="9.140625" style="76"/>
    <col min="2305" max="2305" width="16.140625" style="76" customWidth="1"/>
    <col min="2306" max="2306" width="10.85546875" style="76" customWidth="1"/>
    <col min="2307" max="2307" width="41" style="76" customWidth="1"/>
    <col min="2308" max="2308" width="14.140625" style="76" customWidth="1"/>
    <col min="2309" max="2310" width="11.42578125" style="76" customWidth="1"/>
    <col min="2311" max="2312" width="14.5703125" style="76" customWidth="1"/>
    <col min="2313" max="2313" width="17.140625" style="76" customWidth="1"/>
    <col min="2314" max="2560" width="9.140625" style="76"/>
    <col min="2561" max="2561" width="16.140625" style="76" customWidth="1"/>
    <col min="2562" max="2562" width="10.85546875" style="76" customWidth="1"/>
    <col min="2563" max="2563" width="41" style="76" customWidth="1"/>
    <col min="2564" max="2564" width="14.140625" style="76" customWidth="1"/>
    <col min="2565" max="2566" width="11.42578125" style="76" customWidth="1"/>
    <col min="2567" max="2568" width="14.5703125" style="76" customWidth="1"/>
    <col min="2569" max="2569" width="17.140625" style="76" customWidth="1"/>
    <col min="2570" max="2816" width="9.140625" style="76"/>
    <col min="2817" max="2817" width="16.140625" style="76" customWidth="1"/>
    <col min="2818" max="2818" width="10.85546875" style="76" customWidth="1"/>
    <col min="2819" max="2819" width="41" style="76" customWidth="1"/>
    <col min="2820" max="2820" width="14.140625" style="76" customWidth="1"/>
    <col min="2821" max="2822" width="11.42578125" style="76" customWidth="1"/>
    <col min="2823" max="2824" width="14.5703125" style="76" customWidth="1"/>
    <col min="2825" max="2825" width="17.140625" style="76" customWidth="1"/>
    <col min="2826" max="3072" width="9.140625" style="76"/>
    <col min="3073" max="3073" width="16.140625" style="76" customWidth="1"/>
    <col min="3074" max="3074" width="10.85546875" style="76" customWidth="1"/>
    <col min="3075" max="3075" width="41" style="76" customWidth="1"/>
    <col min="3076" max="3076" width="14.140625" style="76" customWidth="1"/>
    <col min="3077" max="3078" width="11.42578125" style="76" customWidth="1"/>
    <col min="3079" max="3080" width="14.5703125" style="76" customWidth="1"/>
    <col min="3081" max="3081" width="17.140625" style="76" customWidth="1"/>
    <col min="3082" max="3328" width="9.140625" style="76"/>
    <col min="3329" max="3329" width="16.140625" style="76" customWidth="1"/>
    <col min="3330" max="3330" width="10.85546875" style="76" customWidth="1"/>
    <col min="3331" max="3331" width="41" style="76" customWidth="1"/>
    <col min="3332" max="3332" width="14.140625" style="76" customWidth="1"/>
    <col min="3333" max="3334" width="11.42578125" style="76" customWidth="1"/>
    <col min="3335" max="3336" width="14.5703125" style="76" customWidth="1"/>
    <col min="3337" max="3337" width="17.140625" style="76" customWidth="1"/>
    <col min="3338" max="3584" width="9.140625" style="76"/>
    <col min="3585" max="3585" width="16.140625" style="76" customWidth="1"/>
    <col min="3586" max="3586" width="10.85546875" style="76" customWidth="1"/>
    <col min="3587" max="3587" width="41" style="76" customWidth="1"/>
    <col min="3588" max="3588" width="14.140625" style="76" customWidth="1"/>
    <col min="3589" max="3590" width="11.42578125" style="76" customWidth="1"/>
    <col min="3591" max="3592" width="14.5703125" style="76" customWidth="1"/>
    <col min="3593" max="3593" width="17.140625" style="76" customWidth="1"/>
    <col min="3594" max="3840" width="9.140625" style="76"/>
    <col min="3841" max="3841" width="16.140625" style="76" customWidth="1"/>
    <col min="3842" max="3842" width="10.85546875" style="76" customWidth="1"/>
    <col min="3843" max="3843" width="41" style="76" customWidth="1"/>
    <col min="3844" max="3844" width="14.140625" style="76" customWidth="1"/>
    <col min="3845" max="3846" width="11.42578125" style="76" customWidth="1"/>
    <col min="3847" max="3848" width="14.5703125" style="76" customWidth="1"/>
    <col min="3849" max="3849" width="17.140625" style="76" customWidth="1"/>
    <col min="3850" max="4096" width="9.140625" style="76"/>
    <col min="4097" max="4097" width="16.140625" style="76" customWidth="1"/>
    <col min="4098" max="4098" width="10.85546875" style="76" customWidth="1"/>
    <col min="4099" max="4099" width="41" style="76" customWidth="1"/>
    <col min="4100" max="4100" width="14.140625" style="76" customWidth="1"/>
    <col min="4101" max="4102" width="11.42578125" style="76" customWidth="1"/>
    <col min="4103" max="4104" width="14.5703125" style="76" customWidth="1"/>
    <col min="4105" max="4105" width="17.140625" style="76" customWidth="1"/>
    <col min="4106" max="4352" width="9.140625" style="76"/>
    <col min="4353" max="4353" width="16.140625" style="76" customWidth="1"/>
    <col min="4354" max="4354" width="10.85546875" style="76" customWidth="1"/>
    <col min="4355" max="4355" width="41" style="76" customWidth="1"/>
    <col min="4356" max="4356" width="14.140625" style="76" customWidth="1"/>
    <col min="4357" max="4358" width="11.42578125" style="76" customWidth="1"/>
    <col min="4359" max="4360" width="14.5703125" style="76" customWidth="1"/>
    <col min="4361" max="4361" width="17.140625" style="76" customWidth="1"/>
    <col min="4362" max="4608" width="9.140625" style="76"/>
    <col min="4609" max="4609" width="16.140625" style="76" customWidth="1"/>
    <col min="4610" max="4610" width="10.85546875" style="76" customWidth="1"/>
    <col min="4611" max="4611" width="41" style="76" customWidth="1"/>
    <col min="4612" max="4612" width="14.140625" style="76" customWidth="1"/>
    <col min="4613" max="4614" width="11.42578125" style="76" customWidth="1"/>
    <col min="4615" max="4616" width="14.5703125" style="76" customWidth="1"/>
    <col min="4617" max="4617" width="17.140625" style="76" customWidth="1"/>
    <col min="4618" max="4864" width="9.140625" style="76"/>
    <col min="4865" max="4865" width="16.140625" style="76" customWidth="1"/>
    <col min="4866" max="4866" width="10.85546875" style="76" customWidth="1"/>
    <col min="4867" max="4867" width="41" style="76" customWidth="1"/>
    <col min="4868" max="4868" width="14.140625" style="76" customWidth="1"/>
    <col min="4869" max="4870" width="11.42578125" style="76" customWidth="1"/>
    <col min="4871" max="4872" width="14.5703125" style="76" customWidth="1"/>
    <col min="4873" max="4873" width="17.140625" style="76" customWidth="1"/>
    <col min="4874" max="5120" width="9.140625" style="76"/>
    <col min="5121" max="5121" width="16.140625" style="76" customWidth="1"/>
    <col min="5122" max="5122" width="10.85546875" style="76" customWidth="1"/>
    <col min="5123" max="5123" width="41" style="76" customWidth="1"/>
    <col min="5124" max="5124" width="14.140625" style="76" customWidth="1"/>
    <col min="5125" max="5126" width="11.42578125" style="76" customWidth="1"/>
    <col min="5127" max="5128" width="14.5703125" style="76" customWidth="1"/>
    <col min="5129" max="5129" width="17.140625" style="76" customWidth="1"/>
    <col min="5130" max="5376" width="9.140625" style="76"/>
    <col min="5377" max="5377" width="16.140625" style="76" customWidth="1"/>
    <col min="5378" max="5378" width="10.85546875" style="76" customWidth="1"/>
    <col min="5379" max="5379" width="41" style="76" customWidth="1"/>
    <col min="5380" max="5380" width="14.140625" style="76" customWidth="1"/>
    <col min="5381" max="5382" width="11.42578125" style="76" customWidth="1"/>
    <col min="5383" max="5384" width="14.5703125" style="76" customWidth="1"/>
    <col min="5385" max="5385" width="17.140625" style="76" customWidth="1"/>
    <col min="5386" max="5632" width="9.140625" style="76"/>
    <col min="5633" max="5633" width="16.140625" style="76" customWidth="1"/>
    <col min="5634" max="5634" width="10.85546875" style="76" customWidth="1"/>
    <col min="5635" max="5635" width="41" style="76" customWidth="1"/>
    <col min="5636" max="5636" width="14.140625" style="76" customWidth="1"/>
    <col min="5637" max="5638" width="11.42578125" style="76" customWidth="1"/>
    <col min="5639" max="5640" width="14.5703125" style="76" customWidth="1"/>
    <col min="5641" max="5641" width="17.140625" style="76" customWidth="1"/>
    <col min="5642" max="5888" width="9.140625" style="76"/>
    <col min="5889" max="5889" width="16.140625" style="76" customWidth="1"/>
    <col min="5890" max="5890" width="10.85546875" style="76" customWidth="1"/>
    <col min="5891" max="5891" width="41" style="76" customWidth="1"/>
    <col min="5892" max="5892" width="14.140625" style="76" customWidth="1"/>
    <col min="5893" max="5894" width="11.42578125" style="76" customWidth="1"/>
    <col min="5895" max="5896" width="14.5703125" style="76" customWidth="1"/>
    <col min="5897" max="5897" width="17.140625" style="76" customWidth="1"/>
    <col min="5898" max="6144" width="9.140625" style="76"/>
    <col min="6145" max="6145" width="16.140625" style="76" customWidth="1"/>
    <col min="6146" max="6146" width="10.85546875" style="76" customWidth="1"/>
    <col min="6147" max="6147" width="41" style="76" customWidth="1"/>
    <col min="6148" max="6148" width="14.140625" style="76" customWidth="1"/>
    <col min="6149" max="6150" width="11.42578125" style="76" customWidth="1"/>
    <col min="6151" max="6152" width="14.5703125" style="76" customWidth="1"/>
    <col min="6153" max="6153" width="17.140625" style="76" customWidth="1"/>
    <col min="6154" max="6400" width="9.140625" style="76"/>
    <col min="6401" max="6401" width="16.140625" style="76" customWidth="1"/>
    <col min="6402" max="6402" width="10.85546875" style="76" customWidth="1"/>
    <col min="6403" max="6403" width="41" style="76" customWidth="1"/>
    <col min="6404" max="6404" width="14.140625" style="76" customWidth="1"/>
    <col min="6405" max="6406" width="11.42578125" style="76" customWidth="1"/>
    <col min="6407" max="6408" width="14.5703125" style="76" customWidth="1"/>
    <col min="6409" max="6409" width="17.140625" style="76" customWidth="1"/>
    <col min="6410" max="6656" width="9.140625" style="76"/>
    <col min="6657" max="6657" width="16.140625" style="76" customWidth="1"/>
    <col min="6658" max="6658" width="10.85546875" style="76" customWidth="1"/>
    <col min="6659" max="6659" width="41" style="76" customWidth="1"/>
    <col min="6660" max="6660" width="14.140625" style="76" customWidth="1"/>
    <col min="6661" max="6662" width="11.42578125" style="76" customWidth="1"/>
    <col min="6663" max="6664" width="14.5703125" style="76" customWidth="1"/>
    <col min="6665" max="6665" width="17.140625" style="76" customWidth="1"/>
    <col min="6666" max="6912" width="9.140625" style="76"/>
    <col min="6913" max="6913" width="16.140625" style="76" customWidth="1"/>
    <col min="6914" max="6914" width="10.85546875" style="76" customWidth="1"/>
    <col min="6915" max="6915" width="41" style="76" customWidth="1"/>
    <col min="6916" max="6916" width="14.140625" style="76" customWidth="1"/>
    <col min="6917" max="6918" width="11.42578125" style="76" customWidth="1"/>
    <col min="6919" max="6920" width="14.5703125" style="76" customWidth="1"/>
    <col min="6921" max="6921" width="17.140625" style="76" customWidth="1"/>
    <col min="6922" max="7168" width="9.140625" style="76"/>
    <col min="7169" max="7169" width="16.140625" style="76" customWidth="1"/>
    <col min="7170" max="7170" width="10.85546875" style="76" customWidth="1"/>
    <col min="7171" max="7171" width="41" style="76" customWidth="1"/>
    <col min="7172" max="7172" width="14.140625" style="76" customWidth="1"/>
    <col min="7173" max="7174" width="11.42578125" style="76" customWidth="1"/>
    <col min="7175" max="7176" width="14.5703125" style="76" customWidth="1"/>
    <col min="7177" max="7177" width="17.140625" style="76" customWidth="1"/>
    <col min="7178" max="7424" width="9.140625" style="76"/>
    <col min="7425" max="7425" width="16.140625" style="76" customWidth="1"/>
    <col min="7426" max="7426" width="10.85546875" style="76" customWidth="1"/>
    <col min="7427" max="7427" width="41" style="76" customWidth="1"/>
    <col min="7428" max="7428" width="14.140625" style="76" customWidth="1"/>
    <col min="7429" max="7430" width="11.42578125" style="76" customWidth="1"/>
    <col min="7431" max="7432" width="14.5703125" style="76" customWidth="1"/>
    <col min="7433" max="7433" width="17.140625" style="76" customWidth="1"/>
    <col min="7434" max="7680" width="9.140625" style="76"/>
    <col min="7681" max="7681" width="16.140625" style="76" customWidth="1"/>
    <col min="7682" max="7682" width="10.85546875" style="76" customWidth="1"/>
    <col min="7683" max="7683" width="41" style="76" customWidth="1"/>
    <col min="7684" max="7684" width="14.140625" style="76" customWidth="1"/>
    <col min="7685" max="7686" width="11.42578125" style="76" customWidth="1"/>
    <col min="7687" max="7688" width="14.5703125" style="76" customWidth="1"/>
    <col min="7689" max="7689" width="17.140625" style="76" customWidth="1"/>
    <col min="7690" max="7936" width="9.140625" style="76"/>
    <col min="7937" max="7937" width="16.140625" style="76" customWidth="1"/>
    <col min="7938" max="7938" width="10.85546875" style="76" customWidth="1"/>
    <col min="7939" max="7939" width="41" style="76" customWidth="1"/>
    <col min="7940" max="7940" width="14.140625" style="76" customWidth="1"/>
    <col min="7941" max="7942" width="11.42578125" style="76" customWidth="1"/>
    <col min="7943" max="7944" width="14.5703125" style="76" customWidth="1"/>
    <col min="7945" max="7945" width="17.140625" style="76" customWidth="1"/>
    <col min="7946" max="8192" width="9.140625" style="76"/>
    <col min="8193" max="8193" width="16.140625" style="76" customWidth="1"/>
    <col min="8194" max="8194" width="10.85546875" style="76" customWidth="1"/>
    <col min="8195" max="8195" width="41" style="76" customWidth="1"/>
    <col min="8196" max="8196" width="14.140625" style="76" customWidth="1"/>
    <col min="8197" max="8198" width="11.42578125" style="76" customWidth="1"/>
    <col min="8199" max="8200" width="14.5703125" style="76" customWidth="1"/>
    <col min="8201" max="8201" width="17.140625" style="76" customWidth="1"/>
    <col min="8202" max="8448" width="9.140625" style="76"/>
    <col min="8449" max="8449" width="16.140625" style="76" customWidth="1"/>
    <col min="8450" max="8450" width="10.85546875" style="76" customWidth="1"/>
    <col min="8451" max="8451" width="41" style="76" customWidth="1"/>
    <col min="8452" max="8452" width="14.140625" style="76" customWidth="1"/>
    <col min="8453" max="8454" width="11.42578125" style="76" customWidth="1"/>
    <col min="8455" max="8456" width="14.5703125" style="76" customWidth="1"/>
    <col min="8457" max="8457" width="17.140625" style="76" customWidth="1"/>
    <col min="8458" max="8704" width="9.140625" style="76"/>
    <col min="8705" max="8705" width="16.140625" style="76" customWidth="1"/>
    <col min="8706" max="8706" width="10.85546875" style="76" customWidth="1"/>
    <col min="8707" max="8707" width="41" style="76" customWidth="1"/>
    <col min="8708" max="8708" width="14.140625" style="76" customWidth="1"/>
    <col min="8709" max="8710" width="11.42578125" style="76" customWidth="1"/>
    <col min="8711" max="8712" width="14.5703125" style="76" customWidth="1"/>
    <col min="8713" max="8713" width="17.140625" style="76" customWidth="1"/>
    <col min="8714" max="8960" width="9.140625" style="76"/>
    <col min="8961" max="8961" width="16.140625" style="76" customWidth="1"/>
    <col min="8962" max="8962" width="10.85546875" style="76" customWidth="1"/>
    <col min="8963" max="8963" width="41" style="76" customWidth="1"/>
    <col min="8964" max="8964" width="14.140625" style="76" customWidth="1"/>
    <col min="8965" max="8966" width="11.42578125" style="76" customWidth="1"/>
    <col min="8967" max="8968" width="14.5703125" style="76" customWidth="1"/>
    <col min="8969" max="8969" width="17.140625" style="76" customWidth="1"/>
    <col min="8970" max="9216" width="9.140625" style="76"/>
    <col min="9217" max="9217" width="16.140625" style="76" customWidth="1"/>
    <col min="9218" max="9218" width="10.85546875" style="76" customWidth="1"/>
    <col min="9219" max="9219" width="41" style="76" customWidth="1"/>
    <col min="9220" max="9220" width="14.140625" style="76" customWidth="1"/>
    <col min="9221" max="9222" width="11.42578125" style="76" customWidth="1"/>
    <col min="9223" max="9224" width="14.5703125" style="76" customWidth="1"/>
    <col min="9225" max="9225" width="17.140625" style="76" customWidth="1"/>
    <col min="9226" max="9472" width="9.140625" style="76"/>
    <col min="9473" max="9473" width="16.140625" style="76" customWidth="1"/>
    <col min="9474" max="9474" width="10.85546875" style="76" customWidth="1"/>
    <col min="9475" max="9475" width="41" style="76" customWidth="1"/>
    <col min="9476" max="9476" width="14.140625" style="76" customWidth="1"/>
    <col min="9477" max="9478" width="11.42578125" style="76" customWidth="1"/>
    <col min="9479" max="9480" width="14.5703125" style="76" customWidth="1"/>
    <col min="9481" max="9481" width="17.140625" style="76" customWidth="1"/>
    <col min="9482" max="9728" width="9.140625" style="76"/>
    <col min="9729" max="9729" width="16.140625" style="76" customWidth="1"/>
    <col min="9730" max="9730" width="10.85546875" style="76" customWidth="1"/>
    <col min="9731" max="9731" width="41" style="76" customWidth="1"/>
    <col min="9732" max="9732" width="14.140625" style="76" customWidth="1"/>
    <col min="9733" max="9734" width="11.42578125" style="76" customWidth="1"/>
    <col min="9735" max="9736" width="14.5703125" style="76" customWidth="1"/>
    <col min="9737" max="9737" width="17.140625" style="76" customWidth="1"/>
    <col min="9738" max="9984" width="9.140625" style="76"/>
    <col min="9985" max="9985" width="16.140625" style="76" customWidth="1"/>
    <col min="9986" max="9986" width="10.85546875" style="76" customWidth="1"/>
    <col min="9987" max="9987" width="41" style="76" customWidth="1"/>
    <col min="9988" max="9988" width="14.140625" style="76" customWidth="1"/>
    <col min="9989" max="9990" width="11.42578125" style="76" customWidth="1"/>
    <col min="9991" max="9992" width="14.5703125" style="76" customWidth="1"/>
    <col min="9993" max="9993" width="17.140625" style="76" customWidth="1"/>
    <col min="9994" max="10240" width="9.140625" style="76"/>
    <col min="10241" max="10241" width="16.140625" style="76" customWidth="1"/>
    <col min="10242" max="10242" width="10.85546875" style="76" customWidth="1"/>
    <col min="10243" max="10243" width="41" style="76" customWidth="1"/>
    <col min="10244" max="10244" width="14.140625" style="76" customWidth="1"/>
    <col min="10245" max="10246" width="11.42578125" style="76" customWidth="1"/>
    <col min="10247" max="10248" width="14.5703125" style="76" customWidth="1"/>
    <col min="10249" max="10249" width="17.140625" style="76" customWidth="1"/>
    <col min="10250" max="10496" width="9.140625" style="76"/>
    <col min="10497" max="10497" width="16.140625" style="76" customWidth="1"/>
    <col min="10498" max="10498" width="10.85546875" style="76" customWidth="1"/>
    <col min="10499" max="10499" width="41" style="76" customWidth="1"/>
    <col min="10500" max="10500" width="14.140625" style="76" customWidth="1"/>
    <col min="10501" max="10502" width="11.42578125" style="76" customWidth="1"/>
    <col min="10503" max="10504" width="14.5703125" style="76" customWidth="1"/>
    <col min="10505" max="10505" width="17.140625" style="76" customWidth="1"/>
    <col min="10506" max="10752" width="9.140625" style="76"/>
    <col min="10753" max="10753" width="16.140625" style="76" customWidth="1"/>
    <col min="10754" max="10754" width="10.85546875" style="76" customWidth="1"/>
    <col min="10755" max="10755" width="41" style="76" customWidth="1"/>
    <col min="10756" max="10756" width="14.140625" style="76" customWidth="1"/>
    <col min="10757" max="10758" width="11.42578125" style="76" customWidth="1"/>
    <col min="10759" max="10760" width="14.5703125" style="76" customWidth="1"/>
    <col min="10761" max="10761" width="17.140625" style="76" customWidth="1"/>
    <col min="10762" max="11008" width="9.140625" style="76"/>
    <col min="11009" max="11009" width="16.140625" style="76" customWidth="1"/>
    <col min="11010" max="11010" width="10.85546875" style="76" customWidth="1"/>
    <col min="11011" max="11011" width="41" style="76" customWidth="1"/>
    <col min="11012" max="11012" width="14.140625" style="76" customWidth="1"/>
    <col min="11013" max="11014" width="11.42578125" style="76" customWidth="1"/>
    <col min="11015" max="11016" width="14.5703125" style="76" customWidth="1"/>
    <col min="11017" max="11017" width="17.140625" style="76" customWidth="1"/>
    <col min="11018" max="11264" width="9.140625" style="76"/>
    <col min="11265" max="11265" width="16.140625" style="76" customWidth="1"/>
    <col min="11266" max="11266" width="10.85546875" style="76" customWidth="1"/>
    <col min="11267" max="11267" width="41" style="76" customWidth="1"/>
    <col min="11268" max="11268" width="14.140625" style="76" customWidth="1"/>
    <col min="11269" max="11270" width="11.42578125" style="76" customWidth="1"/>
    <col min="11271" max="11272" width="14.5703125" style="76" customWidth="1"/>
    <col min="11273" max="11273" width="17.140625" style="76" customWidth="1"/>
    <col min="11274" max="11520" width="9.140625" style="76"/>
    <col min="11521" max="11521" width="16.140625" style="76" customWidth="1"/>
    <col min="11522" max="11522" width="10.85546875" style="76" customWidth="1"/>
    <col min="11523" max="11523" width="41" style="76" customWidth="1"/>
    <col min="11524" max="11524" width="14.140625" style="76" customWidth="1"/>
    <col min="11525" max="11526" width="11.42578125" style="76" customWidth="1"/>
    <col min="11527" max="11528" width="14.5703125" style="76" customWidth="1"/>
    <col min="11529" max="11529" width="17.140625" style="76" customWidth="1"/>
    <col min="11530" max="11776" width="9.140625" style="76"/>
    <col min="11777" max="11777" width="16.140625" style="76" customWidth="1"/>
    <col min="11778" max="11778" width="10.85546875" style="76" customWidth="1"/>
    <col min="11779" max="11779" width="41" style="76" customWidth="1"/>
    <col min="11780" max="11780" width="14.140625" style="76" customWidth="1"/>
    <col min="11781" max="11782" width="11.42578125" style="76" customWidth="1"/>
    <col min="11783" max="11784" width="14.5703125" style="76" customWidth="1"/>
    <col min="11785" max="11785" width="17.140625" style="76" customWidth="1"/>
    <col min="11786" max="12032" width="9.140625" style="76"/>
    <col min="12033" max="12033" width="16.140625" style="76" customWidth="1"/>
    <col min="12034" max="12034" width="10.85546875" style="76" customWidth="1"/>
    <col min="12035" max="12035" width="41" style="76" customWidth="1"/>
    <col min="12036" max="12036" width="14.140625" style="76" customWidth="1"/>
    <col min="12037" max="12038" width="11.42578125" style="76" customWidth="1"/>
    <col min="12039" max="12040" width="14.5703125" style="76" customWidth="1"/>
    <col min="12041" max="12041" width="17.140625" style="76" customWidth="1"/>
    <col min="12042" max="12288" width="9.140625" style="76"/>
    <col min="12289" max="12289" width="16.140625" style="76" customWidth="1"/>
    <col min="12290" max="12290" width="10.85546875" style="76" customWidth="1"/>
    <col min="12291" max="12291" width="41" style="76" customWidth="1"/>
    <col min="12292" max="12292" width="14.140625" style="76" customWidth="1"/>
    <col min="12293" max="12294" width="11.42578125" style="76" customWidth="1"/>
    <col min="12295" max="12296" width="14.5703125" style="76" customWidth="1"/>
    <col min="12297" max="12297" width="17.140625" style="76" customWidth="1"/>
    <col min="12298" max="12544" width="9.140625" style="76"/>
    <col min="12545" max="12545" width="16.140625" style="76" customWidth="1"/>
    <col min="12546" max="12546" width="10.85546875" style="76" customWidth="1"/>
    <col min="12547" max="12547" width="41" style="76" customWidth="1"/>
    <col min="12548" max="12548" width="14.140625" style="76" customWidth="1"/>
    <col min="12549" max="12550" width="11.42578125" style="76" customWidth="1"/>
    <col min="12551" max="12552" width="14.5703125" style="76" customWidth="1"/>
    <col min="12553" max="12553" width="17.140625" style="76" customWidth="1"/>
    <col min="12554" max="12800" width="9.140625" style="76"/>
    <col min="12801" max="12801" width="16.140625" style="76" customWidth="1"/>
    <col min="12802" max="12802" width="10.85546875" style="76" customWidth="1"/>
    <col min="12803" max="12803" width="41" style="76" customWidth="1"/>
    <col min="12804" max="12804" width="14.140625" style="76" customWidth="1"/>
    <col min="12805" max="12806" width="11.42578125" style="76" customWidth="1"/>
    <col min="12807" max="12808" width="14.5703125" style="76" customWidth="1"/>
    <col min="12809" max="12809" width="17.140625" style="76" customWidth="1"/>
    <col min="12810" max="13056" width="9.140625" style="76"/>
    <col min="13057" max="13057" width="16.140625" style="76" customWidth="1"/>
    <col min="13058" max="13058" width="10.85546875" style="76" customWidth="1"/>
    <col min="13059" max="13059" width="41" style="76" customWidth="1"/>
    <col min="13060" max="13060" width="14.140625" style="76" customWidth="1"/>
    <col min="13061" max="13062" width="11.42578125" style="76" customWidth="1"/>
    <col min="13063" max="13064" width="14.5703125" style="76" customWidth="1"/>
    <col min="13065" max="13065" width="17.140625" style="76" customWidth="1"/>
    <col min="13066" max="13312" width="9.140625" style="76"/>
    <col min="13313" max="13313" width="16.140625" style="76" customWidth="1"/>
    <col min="13314" max="13314" width="10.85546875" style="76" customWidth="1"/>
    <col min="13315" max="13315" width="41" style="76" customWidth="1"/>
    <col min="13316" max="13316" width="14.140625" style="76" customWidth="1"/>
    <col min="13317" max="13318" width="11.42578125" style="76" customWidth="1"/>
    <col min="13319" max="13320" width="14.5703125" style="76" customWidth="1"/>
    <col min="13321" max="13321" width="17.140625" style="76" customWidth="1"/>
    <col min="13322" max="13568" width="9.140625" style="76"/>
    <col min="13569" max="13569" width="16.140625" style="76" customWidth="1"/>
    <col min="13570" max="13570" width="10.85546875" style="76" customWidth="1"/>
    <col min="13571" max="13571" width="41" style="76" customWidth="1"/>
    <col min="13572" max="13572" width="14.140625" style="76" customWidth="1"/>
    <col min="13573" max="13574" width="11.42578125" style="76" customWidth="1"/>
    <col min="13575" max="13576" width="14.5703125" style="76" customWidth="1"/>
    <col min="13577" max="13577" width="17.140625" style="76" customWidth="1"/>
    <col min="13578" max="13824" width="9.140625" style="76"/>
    <col min="13825" max="13825" width="16.140625" style="76" customWidth="1"/>
    <col min="13826" max="13826" width="10.85546875" style="76" customWidth="1"/>
    <col min="13827" max="13827" width="41" style="76" customWidth="1"/>
    <col min="13828" max="13828" width="14.140625" style="76" customWidth="1"/>
    <col min="13829" max="13830" width="11.42578125" style="76" customWidth="1"/>
    <col min="13831" max="13832" width="14.5703125" style="76" customWidth="1"/>
    <col min="13833" max="13833" width="17.140625" style="76" customWidth="1"/>
    <col min="13834" max="14080" width="9.140625" style="76"/>
    <col min="14081" max="14081" width="16.140625" style="76" customWidth="1"/>
    <col min="14082" max="14082" width="10.85546875" style="76" customWidth="1"/>
    <col min="14083" max="14083" width="41" style="76" customWidth="1"/>
    <col min="14084" max="14084" width="14.140625" style="76" customWidth="1"/>
    <col min="14085" max="14086" width="11.42578125" style="76" customWidth="1"/>
    <col min="14087" max="14088" width="14.5703125" style="76" customWidth="1"/>
    <col min="14089" max="14089" width="17.140625" style="76" customWidth="1"/>
    <col min="14090" max="14336" width="9.140625" style="76"/>
    <col min="14337" max="14337" width="16.140625" style="76" customWidth="1"/>
    <col min="14338" max="14338" width="10.85546875" style="76" customWidth="1"/>
    <col min="14339" max="14339" width="41" style="76" customWidth="1"/>
    <col min="14340" max="14340" width="14.140625" style="76" customWidth="1"/>
    <col min="14341" max="14342" width="11.42578125" style="76" customWidth="1"/>
    <col min="14343" max="14344" width="14.5703125" style="76" customWidth="1"/>
    <col min="14345" max="14345" width="17.140625" style="76" customWidth="1"/>
    <col min="14346" max="14592" width="9.140625" style="76"/>
    <col min="14593" max="14593" width="16.140625" style="76" customWidth="1"/>
    <col min="14594" max="14594" width="10.85546875" style="76" customWidth="1"/>
    <col min="14595" max="14595" width="41" style="76" customWidth="1"/>
    <col min="14596" max="14596" width="14.140625" style="76" customWidth="1"/>
    <col min="14597" max="14598" width="11.42578125" style="76" customWidth="1"/>
    <col min="14599" max="14600" width="14.5703125" style="76" customWidth="1"/>
    <col min="14601" max="14601" width="17.140625" style="76" customWidth="1"/>
    <col min="14602" max="14848" width="9.140625" style="76"/>
    <col min="14849" max="14849" width="16.140625" style="76" customWidth="1"/>
    <col min="14850" max="14850" width="10.85546875" style="76" customWidth="1"/>
    <col min="14851" max="14851" width="41" style="76" customWidth="1"/>
    <col min="14852" max="14852" width="14.140625" style="76" customWidth="1"/>
    <col min="14853" max="14854" width="11.42578125" style="76" customWidth="1"/>
    <col min="14855" max="14856" width="14.5703125" style="76" customWidth="1"/>
    <col min="14857" max="14857" width="17.140625" style="76" customWidth="1"/>
    <col min="14858" max="15104" width="9.140625" style="76"/>
    <col min="15105" max="15105" width="16.140625" style="76" customWidth="1"/>
    <col min="15106" max="15106" width="10.85546875" style="76" customWidth="1"/>
    <col min="15107" max="15107" width="41" style="76" customWidth="1"/>
    <col min="15108" max="15108" width="14.140625" style="76" customWidth="1"/>
    <col min="15109" max="15110" width="11.42578125" style="76" customWidth="1"/>
    <col min="15111" max="15112" width="14.5703125" style="76" customWidth="1"/>
    <col min="15113" max="15113" width="17.140625" style="76" customWidth="1"/>
    <col min="15114" max="15360" width="9.140625" style="76"/>
    <col min="15361" max="15361" width="16.140625" style="76" customWidth="1"/>
    <col min="15362" max="15362" width="10.85546875" style="76" customWidth="1"/>
    <col min="15363" max="15363" width="41" style="76" customWidth="1"/>
    <col min="15364" max="15364" width="14.140625" style="76" customWidth="1"/>
    <col min="15365" max="15366" width="11.42578125" style="76" customWidth="1"/>
    <col min="15367" max="15368" width="14.5703125" style="76" customWidth="1"/>
    <col min="15369" max="15369" width="17.140625" style="76" customWidth="1"/>
    <col min="15370" max="15616" width="9.140625" style="76"/>
    <col min="15617" max="15617" width="16.140625" style="76" customWidth="1"/>
    <col min="15618" max="15618" width="10.85546875" style="76" customWidth="1"/>
    <col min="15619" max="15619" width="41" style="76" customWidth="1"/>
    <col min="15620" max="15620" width="14.140625" style="76" customWidth="1"/>
    <col min="15621" max="15622" width="11.42578125" style="76" customWidth="1"/>
    <col min="15623" max="15624" width="14.5703125" style="76" customWidth="1"/>
    <col min="15625" max="15625" width="17.140625" style="76" customWidth="1"/>
    <col min="15626" max="15872" width="9.140625" style="76"/>
    <col min="15873" max="15873" width="16.140625" style="76" customWidth="1"/>
    <col min="15874" max="15874" width="10.85546875" style="76" customWidth="1"/>
    <col min="15875" max="15875" width="41" style="76" customWidth="1"/>
    <col min="15876" max="15876" width="14.140625" style="76" customWidth="1"/>
    <col min="15877" max="15878" width="11.42578125" style="76" customWidth="1"/>
    <col min="15879" max="15880" width="14.5703125" style="76" customWidth="1"/>
    <col min="15881" max="15881" width="17.140625" style="76" customWidth="1"/>
    <col min="15882" max="16128" width="9.140625" style="76"/>
    <col min="16129" max="16129" width="16.140625" style="76" customWidth="1"/>
    <col min="16130" max="16130" width="10.85546875" style="76" customWidth="1"/>
    <col min="16131" max="16131" width="41" style="76" customWidth="1"/>
    <col min="16132" max="16132" width="14.140625" style="76" customWidth="1"/>
    <col min="16133" max="16134" width="11.42578125" style="76" customWidth="1"/>
    <col min="16135" max="16136" width="14.5703125" style="76" customWidth="1"/>
    <col min="16137" max="16137" width="17.140625" style="76" customWidth="1"/>
    <col min="16138" max="16384" width="9.140625" style="76"/>
  </cols>
  <sheetData>
    <row r="1" spans="1:9" ht="15.75" x14ac:dyDescent="0.25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75" t="s">
        <v>354</v>
      </c>
    </row>
    <row r="2" spans="1:9" ht="16.5" thickBot="1" x14ac:dyDescent="0.3">
      <c r="A2" s="595"/>
      <c r="B2" s="596"/>
      <c r="C2" s="600" t="s">
        <v>32</v>
      </c>
      <c r="D2" s="600"/>
      <c r="E2" s="600"/>
      <c r="F2" s="600"/>
      <c r="G2" s="600"/>
      <c r="H2" s="77" t="s">
        <v>31</v>
      </c>
      <c r="I2" s="78" t="s">
        <v>355</v>
      </c>
    </row>
    <row r="3" spans="1:9" ht="18.75" thickBot="1" x14ac:dyDescent="0.3">
      <c r="A3" s="595"/>
      <c r="B3" s="596"/>
      <c r="C3" s="840" t="s">
        <v>356</v>
      </c>
      <c r="D3" s="764"/>
      <c r="E3" s="764"/>
      <c r="F3" s="764"/>
      <c r="G3" s="765"/>
      <c r="H3" s="604" t="s">
        <v>30</v>
      </c>
      <c r="I3" s="966">
        <v>45400</v>
      </c>
    </row>
    <row r="4" spans="1:9" x14ac:dyDescent="0.25">
      <c r="A4" s="595"/>
      <c r="B4" s="596"/>
      <c r="C4" s="79" t="s">
        <v>29</v>
      </c>
      <c r="D4" s="650" t="s">
        <v>222</v>
      </c>
      <c r="E4" s="651"/>
      <c r="F4" s="651"/>
      <c r="G4" s="652"/>
      <c r="H4" s="605"/>
      <c r="I4" s="967"/>
    </row>
    <row r="5" spans="1:9" ht="14.25" thickBot="1" x14ac:dyDescent="0.3">
      <c r="A5" s="597"/>
      <c r="B5" s="598"/>
      <c r="C5" s="80" t="s">
        <v>28</v>
      </c>
      <c r="D5" s="653" t="s">
        <v>357</v>
      </c>
      <c r="E5" s="654"/>
      <c r="F5" s="654"/>
      <c r="G5" s="655"/>
      <c r="H5" s="606"/>
      <c r="I5" s="967"/>
    </row>
    <row r="6" spans="1:9" ht="18.75" thickBot="1" x14ac:dyDescent="0.3">
      <c r="A6" s="962" t="s">
        <v>26</v>
      </c>
      <c r="B6" s="963"/>
      <c r="C6" s="963"/>
      <c r="D6" s="964" t="s">
        <v>358</v>
      </c>
      <c r="E6" s="964"/>
      <c r="F6" s="964"/>
      <c r="G6" s="965" t="s">
        <v>25</v>
      </c>
      <c r="H6" s="965"/>
      <c r="I6" s="411" t="s">
        <v>100</v>
      </c>
    </row>
    <row r="7" spans="1:9" ht="25.5" x14ac:dyDescent="0.25">
      <c r="A7" s="750" t="s">
        <v>24</v>
      </c>
      <c r="B7" s="752" t="s">
        <v>35</v>
      </c>
      <c r="C7" s="754" t="s">
        <v>23</v>
      </c>
      <c r="D7" s="754" t="s">
        <v>22</v>
      </c>
      <c r="E7" s="754" t="s">
        <v>21</v>
      </c>
      <c r="F7" s="754"/>
      <c r="G7" s="754" t="s">
        <v>20</v>
      </c>
      <c r="H7" s="754"/>
      <c r="I7" s="81" t="s">
        <v>19</v>
      </c>
    </row>
    <row r="8" spans="1:9" ht="26.25" thickBot="1" x14ac:dyDescent="0.3">
      <c r="A8" s="751"/>
      <c r="B8" s="753"/>
      <c r="C8" s="755"/>
      <c r="D8" s="755"/>
      <c r="E8" s="412" t="s">
        <v>15</v>
      </c>
      <c r="F8" s="413" t="s">
        <v>18</v>
      </c>
      <c r="G8" s="412" t="s">
        <v>15</v>
      </c>
      <c r="H8" s="413" t="s">
        <v>18</v>
      </c>
      <c r="I8" s="414" t="s">
        <v>17</v>
      </c>
    </row>
    <row r="9" spans="1:9" ht="15.75" x14ac:dyDescent="0.25">
      <c r="A9" s="415" t="s">
        <v>359</v>
      </c>
      <c r="B9" s="416" t="s">
        <v>208</v>
      </c>
      <c r="C9" s="417" t="s">
        <v>360</v>
      </c>
      <c r="D9" s="418" t="s">
        <v>210</v>
      </c>
      <c r="E9" s="419">
        <v>7050</v>
      </c>
      <c r="F9" s="420" t="s">
        <v>2</v>
      </c>
      <c r="G9" s="7"/>
      <c r="H9" s="6"/>
      <c r="I9" s="421"/>
    </row>
    <row r="10" spans="1:9" ht="15.75" x14ac:dyDescent="0.25">
      <c r="A10" s="379" t="s">
        <v>361</v>
      </c>
      <c r="B10" s="380" t="s">
        <v>362</v>
      </c>
      <c r="C10" s="93" t="s">
        <v>363</v>
      </c>
      <c r="D10" s="376" t="s">
        <v>364</v>
      </c>
      <c r="E10" s="422">
        <v>11400</v>
      </c>
      <c r="F10" s="378" t="s">
        <v>2</v>
      </c>
      <c r="G10" s="27"/>
      <c r="H10" s="90"/>
      <c r="I10" s="91"/>
    </row>
    <row r="11" spans="1:9" ht="15.75" x14ac:dyDescent="0.25">
      <c r="A11" s="379" t="s">
        <v>293</v>
      </c>
      <c r="B11" s="380" t="s">
        <v>294</v>
      </c>
      <c r="C11" s="93" t="s">
        <v>365</v>
      </c>
      <c r="D11" s="376" t="s">
        <v>366</v>
      </c>
      <c r="E11" s="422">
        <v>3450</v>
      </c>
      <c r="F11" s="378" t="s">
        <v>2</v>
      </c>
      <c r="G11" s="27"/>
      <c r="H11" s="90"/>
      <c r="I11" s="91"/>
    </row>
    <row r="12" spans="1:9" ht="15.75" x14ac:dyDescent="0.25">
      <c r="A12" s="379"/>
      <c r="B12" s="380"/>
      <c r="C12" s="93"/>
      <c r="D12" s="423"/>
      <c r="E12" s="424"/>
      <c r="F12" s="425"/>
      <c r="G12" s="14"/>
      <c r="H12" s="5"/>
      <c r="I12" s="102"/>
    </row>
    <row r="13" spans="1:9" ht="15.75" x14ac:dyDescent="0.25">
      <c r="A13" s="426" t="s">
        <v>109</v>
      </c>
      <c r="B13" s="427" t="s">
        <v>60</v>
      </c>
      <c r="C13" s="428" t="s">
        <v>367</v>
      </c>
      <c r="D13" s="376" t="s">
        <v>55</v>
      </c>
      <c r="E13" s="377">
        <v>1</v>
      </c>
      <c r="F13" s="378" t="s">
        <v>7</v>
      </c>
      <c r="G13" s="14"/>
      <c r="H13" s="5"/>
      <c r="I13" s="102"/>
    </row>
    <row r="14" spans="1:9" ht="15.75" x14ac:dyDescent="0.25">
      <c r="A14" s="379" t="s">
        <v>368</v>
      </c>
      <c r="B14" s="380" t="s">
        <v>301</v>
      </c>
      <c r="C14" s="93" t="s">
        <v>369</v>
      </c>
      <c r="D14" s="376" t="s">
        <v>52</v>
      </c>
      <c r="E14" s="377">
        <v>20</v>
      </c>
      <c r="F14" s="378" t="s">
        <v>53</v>
      </c>
      <c r="G14" s="114"/>
      <c r="H14" s="114"/>
      <c r="I14" s="102"/>
    </row>
    <row r="15" spans="1:9" ht="15" x14ac:dyDescent="0.25">
      <c r="A15" s="110"/>
      <c r="B15" s="111"/>
      <c r="C15" s="112"/>
      <c r="D15" s="113"/>
      <c r="E15" s="114"/>
      <c r="F15" s="114"/>
      <c r="G15" s="114"/>
      <c r="H15" s="114"/>
      <c r="I15" s="102"/>
    </row>
    <row r="16" spans="1:9" ht="14.25" thickBot="1" x14ac:dyDescent="0.3">
      <c r="A16" s="429"/>
      <c r="B16" s="430"/>
      <c r="C16" s="431"/>
      <c r="D16" s="431"/>
      <c r="E16" s="432"/>
      <c r="F16" s="433"/>
      <c r="G16" s="431"/>
      <c r="H16" s="431"/>
      <c r="I16" s="434"/>
    </row>
    <row r="17" spans="1:10" ht="14.25" thickBot="1" x14ac:dyDescent="0.3">
      <c r="A17" s="121"/>
      <c r="B17" s="122"/>
      <c r="C17" s="123"/>
      <c r="D17" s="124" t="s">
        <v>15</v>
      </c>
      <c r="E17" s="125" t="s">
        <v>14</v>
      </c>
      <c r="F17" s="126"/>
      <c r="G17" s="123"/>
      <c r="H17" s="123"/>
      <c r="I17" s="127"/>
    </row>
    <row r="18" spans="1:10" x14ac:dyDescent="0.25">
      <c r="A18" s="740" t="s">
        <v>13</v>
      </c>
      <c r="B18" s="741"/>
      <c r="C18" s="742"/>
      <c r="D18" s="27">
        <v>21000</v>
      </c>
      <c r="E18" s="129" t="s">
        <v>2</v>
      </c>
      <c r="F18" s="743" t="s">
        <v>12</v>
      </c>
      <c r="G18" s="743"/>
      <c r="H18" s="744"/>
      <c r="I18" s="745"/>
    </row>
    <row r="19" spans="1:10" x14ac:dyDescent="0.25">
      <c r="A19" s="584" t="s">
        <v>11</v>
      </c>
      <c r="B19" s="585"/>
      <c r="C19" s="586"/>
      <c r="D19" s="5">
        <v>5</v>
      </c>
      <c r="E19" s="5" t="s">
        <v>10</v>
      </c>
      <c r="F19" s="587" t="s">
        <v>9</v>
      </c>
      <c r="G19" s="587"/>
      <c r="H19" s="576"/>
      <c r="I19" s="577"/>
    </row>
    <row r="20" spans="1:10" x14ac:dyDescent="0.25">
      <c r="A20" s="584" t="s">
        <v>8</v>
      </c>
      <c r="B20" s="585"/>
      <c r="C20" s="586"/>
      <c r="D20" s="435">
        <v>1</v>
      </c>
      <c r="E20" s="5" t="s">
        <v>370</v>
      </c>
      <c r="F20" s="587" t="s">
        <v>6</v>
      </c>
      <c r="G20" s="587"/>
      <c r="H20" s="576"/>
      <c r="I20" s="577"/>
    </row>
    <row r="21" spans="1:10" x14ac:dyDescent="0.25">
      <c r="A21" s="584" t="s">
        <v>5</v>
      </c>
      <c r="B21" s="585"/>
      <c r="C21" s="586"/>
      <c r="D21" s="5">
        <v>21000</v>
      </c>
      <c r="E21" s="5" t="s">
        <v>2</v>
      </c>
      <c r="F21" s="738" t="s">
        <v>4</v>
      </c>
      <c r="G21" s="739"/>
      <c r="H21" s="576"/>
      <c r="I21" s="577"/>
      <c r="J21" s="436"/>
    </row>
    <row r="22" spans="1:10" ht="14.25" thickBot="1" x14ac:dyDescent="0.3">
      <c r="A22" s="572" t="s">
        <v>3</v>
      </c>
      <c r="B22" s="573"/>
      <c r="C22" s="574"/>
      <c r="D22" s="133">
        <f>SUM(E9:E11)-D18</f>
        <v>900</v>
      </c>
      <c r="E22" s="134" t="s">
        <v>2</v>
      </c>
      <c r="F22" s="578"/>
      <c r="G22" s="578"/>
      <c r="H22" s="579"/>
      <c r="I22" s="580"/>
    </row>
    <row r="23" spans="1:10" ht="14.25" thickBot="1" x14ac:dyDescent="0.3">
      <c r="A23" s="569" t="s">
        <v>1</v>
      </c>
      <c r="B23" s="570"/>
      <c r="C23" s="570"/>
      <c r="D23" s="570"/>
      <c r="E23" s="570"/>
      <c r="F23" s="570"/>
      <c r="G23" s="570"/>
      <c r="H23" s="570"/>
      <c r="I23" s="571"/>
    </row>
    <row r="24" spans="1:10" x14ac:dyDescent="0.25">
      <c r="A24" s="854" t="s">
        <v>371</v>
      </c>
      <c r="B24" s="855"/>
      <c r="C24" s="856"/>
      <c r="D24" s="856"/>
      <c r="E24" s="856"/>
      <c r="F24" s="856"/>
      <c r="G24" s="856"/>
      <c r="H24" s="856"/>
      <c r="I24" s="857"/>
    </row>
    <row r="25" spans="1:10" x14ac:dyDescent="0.25">
      <c r="A25" s="854" t="s">
        <v>372</v>
      </c>
      <c r="B25" s="855"/>
      <c r="C25" s="856"/>
      <c r="D25" s="856"/>
      <c r="E25" s="856"/>
      <c r="F25" s="856"/>
      <c r="G25" s="856"/>
      <c r="H25" s="856"/>
      <c r="I25" s="857"/>
    </row>
    <row r="26" spans="1:10" x14ac:dyDescent="0.25">
      <c r="A26" s="854" t="s">
        <v>373</v>
      </c>
      <c r="B26" s="855"/>
      <c r="C26" s="856"/>
      <c r="D26" s="856"/>
      <c r="E26" s="856"/>
      <c r="F26" s="856"/>
      <c r="G26" s="856"/>
      <c r="H26" s="856"/>
      <c r="I26" s="857"/>
    </row>
    <row r="27" spans="1:10" x14ac:dyDescent="0.25">
      <c r="A27" s="854" t="s">
        <v>374</v>
      </c>
      <c r="B27" s="855"/>
      <c r="C27" s="856"/>
      <c r="D27" s="856"/>
      <c r="E27" s="856"/>
      <c r="F27" s="856"/>
      <c r="G27" s="856"/>
      <c r="H27" s="856"/>
      <c r="I27" s="857"/>
    </row>
    <row r="28" spans="1:10" ht="14.25" thickBot="1" x14ac:dyDescent="0.3">
      <c r="A28" s="731"/>
      <c r="B28" s="732"/>
      <c r="C28" s="733"/>
      <c r="D28" s="733"/>
      <c r="E28" s="733"/>
      <c r="F28" s="733"/>
      <c r="G28" s="733"/>
      <c r="H28" s="733"/>
      <c r="I28" s="734"/>
    </row>
    <row r="29" spans="1:10" x14ac:dyDescent="0.25">
      <c r="A29" s="956" t="s">
        <v>216</v>
      </c>
      <c r="B29" s="957"/>
      <c r="C29" s="957"/>
      <c r="D29" s="957"/>
      <c r="E29" s="957"/>
      <c r="F29" s="957"/>
      <c r="G29" s="957"/>
      <c r="H29" s="957"/>
      <c r="I29" s="958"/>
    </row>
    <row r="30" spans="1:10" x14ac:dyDescent="0.25">
      <c r="A30" s="959" t="s">
        <v>375</v>
      </c>
      <c r="B30" s="960"/>
      <c r="C30" s="960"/>
      <c r="D30" s="960"/>
      <c r="E30" s="960"/>
      <c r="F30" s="960"/>
      <c r="G30" s="960"/>
      <c r="H30" s="960"/>
      <c r="I30" s="961"/>
    </row>
    <row r="31" spans="1:10" x14ac:dyDescent="0.25">
      <c r="A31" s="437" t="s">
        <v>376</v>
      </c>
      <c r="B31" s="438"/>
      <c r="C31" s="438"/>
      <c r="D31" s="438"/>
      <c r="E31" s="438"/>
      <c r="F31" s="438"/>
      <c r="G31" s="438"/>
      <c r="H31" s="438"/>
      <c r="I31" s="439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26:I26"/>
    <mergeCell ref="A27:I27"/>
    <mergeCell ref="A28:I28"/>
    <mergeCell ref="A29:I29"/>
    <mergeCell ref="A30:I3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E75C-A6C6-4D0C-A006-761DAA13B1B4}">
  <dimension ref="A1:Q91"/>
  <sheetViews>
    <sheetView topLeftCell="A5" workbookViewId="0">
      <selection activeCell="B17" sqref="B17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7225.2357090163923</v>
      </c>
      <c r="F2" s="142">
        <f>IFERROR(H53,"")</f>
        <v>4940.4562499999993</v>
      </c>
      <c r="G2" s="142">
        <f>IFERROR(H54,"")</f>
        <v>652.4944999999999</v>
      </c>
      <c r="H2" s="142">
        <f>IFERROR(H56,"")</f>
        <v>836.71749999999997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26"/>
      <c r="B4" s="726"/>
      <c r="C4" s="726"/>
      <c r="D4" s="726"/>
      <c r="E4" s="726"/>
      <c r="F4" s="726"/>
      <c r="G4" s="726"/>
      <c r="H4" s="726"/>
      <c r="I4" s="145"/>
    </row>
    <row r="5" spans="1:10" ht="19.5" customHeight="1" thickBot="1" x14ac:dyDescent="0.3">
      <c r="A5" s="727" t="s">
        <v>122</v>
      </c>
      <c r="B5" s="728"/>
      <c r="C5" s="728"/>
      <c r="D5" s="728"/>
      <c r="E5" s="728"/>
      <c r="F5" s="728"/>
      <c r="G5" s="728"/>
      <c r="H5" s="729"/>
      <c r="I5" s="146"/>
    </row>
    <row r="6" spans="1:10" ht="19.5" thickBot="1" x14ac:dyDescent="0.3">
      <c r="A6" s="146"/>
      <c r="B6" s="146"/>
      <c r="C6" s="146"/>
      <c r="D6" s="146"/>
      <c r="E6" s="146"/>
      <c r="F6" s="730" t="s">
        <v>123</v>
      </c>
      <c r="G6" s="730"/>
      <c r="H6" s="147">
        <f ca="1">TODAY()</f>
        <v>45741</v>
      </c>
      <c r="I6" s="147"/>
    </row>
    <row r="7" spans="1:10" ht="26.25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>
        <v>0</v>
      </c>
      <c r="B8" s="141" t="s">
        <v>87</v>
      </c>
      <c r="C8" s="154">
        <f>+A8</f>
        <v>0</v>
      </c>
      <c r="D8" s="155" t="s">
        <v>181</v>
      </c>
      <c r="E8" s="155">
        <v>115</v>
      </c>
      <c r="F8" s="155">
        <f>IFERROR(C8*E8,"")</f>
        <v>0</v>
      </c>
      <c r="G8" s="156">
        <f t="shared" ref="G8:G14" si="0">IFERROR(F8/$F$66,"")</f>
        <v>0</v>
      </c>
      <c r="H8" s="157"/>
      <c r="I8" s="157"/>
      <c r="J8" s="158"/>
    </row>
    <row r="9" spans="1:10" ht="13.5" hidden="1" x14ac:dyDescent="0.25">
      <c r="A9" s="153">
        <v>0</v>
      </c>
      <c r="B9" s="141" t="s">
        <v>88</v>
      </c>
      <c r="C9" s="154">
        <f t="shared" ref="C9:C14" si="1">+A9</f>
        <v>0</v>
      </c>
      <c r="D9" s="155" t="s">
        <v>181</v>
      </c>
      <c r="E9" s="155">
        <v>115</v>
      </c>
      <c r="F9" s="155">
        <f t="shared" ref="F9:F14" si="2">IFERROR(C9*E9,"")</f>
        <v>0</v>
      </c>
      <c r="G9" s="156">
        <f t="shared" si="0"/>
        <v>0</v>
      </c>
      <c r="H9" s="157"/>
      <c r="I9" s="157"/>
      <c r="J9" s="158"/>
    </row>
    <row r="10" spans="1:10" ht="13.5" x14ac:dyDescent="0.25">
      <c r="A10" s="516">
        <v>3</v>
      </c>
      <c r="B10" s="515" t="s">
        <v>90</v>
      </c>
      <c r="C10" s="154">
        <f t="shared" si="1"/>
        <v>3</v>
      </c>
      <c r="D10" s="155" t="s">
        <v>181</v>
      </c>
      <c r="E10" s="155">
        <v>85</v>
      </c>
      <c r="F10" s="155">
        <f t="shared" si="2"/>
        <v>255</v>
      </c>
      <c r="G10" s="156">
        <f t="shared" si="0"/>
        <v>4.2522963286069554E-2</v>
      </c>
      <c r="H10" s="157"/>
      <c r="I10" s="157"/>
      <c r="J10" s="158"/>
    </row>
    <row r="11" spans="1:10" ht="13.5" x14ac:dyDescent="0.25">
      <c r="A11" s="516">
        <v>2</v>
      </c>
      <c r="B11" s="515" t="s">
        <v>91</v>
      </c>
      <c r="C11" s="154">
        <f t="shared" si="1"/>
        <v>2</v>
      </c>
      <c r="D11" s="155" t="s">
        <v>181</v>
      </c>
      <c r="E11" s="155">
        <v>85</v>
      </c>
      <c r="F11" s="155">
        <f t="shared" si="2"/>
        <v>170</v>
      </c>
      <c r="G11" s="156">
        <f t="shared" si="0"/>
        <v>2.8348642190713036E-2</v>
      </c>
      <c r="H11" s="157"/>
      <c r="I11" s="157"/>
      <c r="J11" s="158"/>
    </row>
    <row r="12" spans="1:10" ht="13.5" x14ac:dyDescent="0.25">
      <c r="A12" s="153">
        <v>1</v>
      </c>
      <c r="B12" s="141" t="s">
        <v>188</v>
      </c>
      <c r="C12" s="154">
        <f t="shared" si="1"/>
        <v>1</v>
      </c>
      <c r="D12" s="155" t="s">
        <v>181</v>
      </c>
      <c r="E12" s="155">
        <v>413</v>
      </c>
      <c r="F12" s="155">
        <f t="shared" si="2"/>
        <v>413</v>
      </c>
      <c r="G12" s="156">
        <f t="shared" si="0"/>
        <v>6.8870524851555787E-2</v>
      </c>
      <c r="H12" s="157"/>
      <c r="I12" s="157"/>
      <c r="J12" s="158"/>
    </row>
    <row r="13" spans="1:10" ht="13.5" x14ac:dyDescent="0.25">
      <c r="A13" s="516">
        <v>20</v>
      </c>
      <c r="B13" s="515" t="str">
        <f>IFERROR(VLOOKUP(H13,'[1]Consolidado MP Planta'!$A$2:$M$823,3,0),"")</f>
        <v>CREMA BETTERCREAM DOBLE CHOCO (UND:4 K)</v>
      </c>
      <c r="C13" s="154">
        <f t="shared" si="1"/>
        <v>20</v>
      </c>
      <c r="D13" s="155" t="str">
        <f>IFERROR(VLOOKUP(H13,'[1]Consolidado MP Planta'!$A$2:$M$823,13,0),"")</f>
        <v>Gramos</v>
      </c>
      <c r="E13" s="155">
        <v>2.5</v>
      </c>
      <c r="F13" s="155">
        <f t="shared" si="2"/>
        <v>50</v>
      </c>
      <c r="G13" s="156">
        <f t="shared" si="0"/>
        <v>8.337835938445011E-3</v>
      </c>
      <c r="H13" s="157" t="s">
        <v>483</v>
      </c>
      <c r="I13" s="157"/>
      <c r="J13" s="158"/>
    </row>
    <row r="14" spans="1:10" ht="13.5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516">
        <v>1</v>
      </c>
      <c r="B17" s="515" t="s">
        <v>481</v>
      </c>
      <c r="C17" s="154">
        <f>+A17</f>
        <v>1</v>
      </c>
      <c r="D17" s="154" t="s">
        <v>174</v>
      </c>
      <c r="E17" s="155">
        <f>+'Costo Rosquete 450'!H53</f>
        <v>837.35624999999993</v>
      </c>
      <c r="F17" s="155">
        <f>IFERROR(E17*C17,"")</f>
        <v>837.35624999999993</v>
      </c>
      <c r="G17" s="156">
        <f t="shared" ref="G17:G24" si="3">IFERROR(F17/$F$66,"")</f>
        <v>0.1396347806906309</v>
      </c>
      <c r="H17" s="157"/>
      <c r="I17" s="157"/>
      <c r="J17" s="158"/>
    </row>
    <row r="18" spans="1:12" ht="13.5" x14ac:dyDescent="0.25">
      <c r="A18" s="516">
        <v>160</v>
      </c>
      <c r="B18" s="515" t="str">
        <f>IFERROR(VLOOKUP(H18,[1]SEMIELABORADOS!$A$2:$M$6000,2,0),"")</f>
        <v>MEZCLA TRES LECHES C/BAILEYS LITRO</v>
      </c>
      <c r="C18" s="154">
        <f t="shared" ref="C18:C24" si="4">+A18</f>
        <v>160</v>
      </c>
      <c r="D18" s="154" t="str">
        <f>IFERROR(VLOOKUP(H18,[1]SEMIELABORADOS!$A$2:$M$6000,6,0),"")</f>
        <v>Gramo</v>
      </c>
      <c r="E18" s="155">
        <v>7.9</v>
      </c>
      <c r="F18" s="155">
        <f t="shared" ref="F18:F24" si="5">IFERROR(E18*C18,"")</f>
        <v>1264</v>
      </c>
      <c r="G18" s="156">
        <f t="shared" si="3"/>
        <v>0.21078049252388986</v>
      </c>
      <c r="H18" s="157" t="s">
        <v>175</v>
      </c>
      <c r="I18" s="157"/>
      <c r="J18" s="158"/>
    </row>
    <row r="19" spans="1:12" ht="13.5" x14ac:dyDescent="0.25">
      <c r="A19" s="516">
        <v>100</v>
      </c>
      <c r="B19" s="515" t="str">
        <f>IFERROR(VLOOKUP(H19,[1]SEMIELABORADOS!$A$2:$M$6000,2,0),"")</f>
        <v>GANACHE BAILEYS (KILO)</v>
      </c>
      <c r="C19" s="154">
        <f>+A19</f>
        <v>100</v>
      </c>
      <c r="D19" s="154" t="str">
        <f>IFERROR(VLOOKUP(H19,[1]SEMIELABORADOS!$A$2:$M$6000,6,0),"")</f>
        <v>Gramo</v>
      </c>
      <c r="E19" s="155">
        <v>4.88</v>
      </c>
      <c r="F19" s="155">
        <f>IFERROR(E19*C19,"")</f>
        <v>488</v>
      </c>
      <c r="G19" s="156">
        <f t="shared" si="3"/>
        <v>8.1377278759223307E-2</v>
      </c>
      <c r="H19" s="157" t="s">
        <v>176</v>
      </c>
      <c r="I19" s="157"/>
      <c r="J19" s="158"/>
    </row>
    <row r="20" spans="1:12" ht="13.5" x14ac:dyDescent="0.25">
      <c r="A20" s="516">
        <v>230</v>
      </c>
      <c r="B20" s="515" t="s">
        <v>85</v>
      </c>
      <c r="C20" s="154">
        <f>+A20</f>
        <v>230</v>
      </c>
      <c r="D20" s="154" t="s">
        <v>180</v>
      </c>
      <c r="E20" s="155">
        <v>2.94</v>
      </c>
      <c r="F20" s="155">
        <f>IFERROR(E20*C20,"")</f>
        <v>676.19999999999993</v>
      </c>
      <c r="G20" s="156">
        <f t="shared" si="3"/>
        <v>0.11276089323153031</v>
      </c>
      <c r="H20" s="157" t="s">
        <v>177</v>
      </c>
      <c r="I20" s="157"/>
      <c r="J20" s="158"/>
    </row>
    <row r="21" spans="1:12" ht="13.5" x14ac:dyDescent="0.25">
      <c r="A21" s="516">
        <v>50</v>
      </c>
      <c r="B21" s="515" t="s">
        <v>83</v>
      </c>
      <c r="C21" s="154">
        <f>+A21</f>
        <v>50</v>
      </c>
      <c r="D21" s="154" t="s">
        <v>180</v>
      </c>
      <c r="E21" s="155">
        <v>2.7</v>
      </c>
      <c r="F21" s="155">
        <f>IFERROR(E21*C21,"")</f>
        <v>135</v>
      </c>
      <c r="G21" s="156">
        <f t="shared" si="3"/>
        <v>2.2512157033801529E-2</v>
      </c>
      <c r="H21" s="157" t="s">
        <v>178</v>
      </c>
      <c r="I21" s="157"/>
      <c r="J21" s="158"/>
    </row>
    <row r="22" spans="1:12" ht="13.5" x14ac:dyDescent="0.25">
      <c r="A22" s="516">
        <v>150</v>
      </c>
      <c r="B22" s="515" t="str">
        <f>IFERROR(VLOOKUP(H22,[1]SEMIELABORADOS!$A$2:$M$6000,2,0),"")</f>
        <v>CREMA BEIDGE (KILO)</v>
      </c>
      <c r="C22" s="154">
        <f t="shared" si="4"/>
        <v>150</v>
      </c>
      <c r="D22" s="154" t="str">
        <f>IFERROR(VLOOKUP(H22,[1]SEMIELABORADOS!$A$2:$M$6000,6,0),"")</f>
        <v>Gramo</v>
      </c>
      <c r="E22" s="155">
        <v>2.2400000000000002</v>
      </c>
      <c r="F22" s="155">
        <f t="shared" si="5"/>
        <v>336.00000000000006</v>
      </c>
      <c r="G22" s="156">
        <f t="shared" si="3"/>
        <v>5.6030257506350482E-2</v>
      </c>
      <c r="H22" s="157" t="s">
        <v>179</v>
      </c>
      <c r="I22" s="157"/>
      <c r="J22" s="158"/>
    </row>
    <row r="23" spans="1:12" ht="13.5" x14ac:dyDescent="0.25">
      <c r="A23" s="516">
        <v>130</v>
      </c>
      <c r="B23" s="515" t="s">
        <v>93</v>
      </c>
      <c r="C23" s="154">
        <f t="shared" si="4"/>
        <v>130</v>
      </c>
      <c r="D23" s="154" t="s">
        <v>180</v>
      </c>
      <c r="E23" s="155">
        <v>2.4300000000000002</v>
      </c>
      <c r="F23" s="155">
        <f t="shared" si="5"/>
        <v>315.90000000000003</v>
      </c>
      <c r="G23" s="156">
        <f t="shared" si="3"/>
        <v>5.2678447459095584E-2</v>
      </c>
      <c r="H23" s="157" t="s">
        <v>182</v>
      </c>
      <c r="I23" s="157"/>
      <c r="J23" s="158"/>
    </row>
    <row r="24" spans="1:12" ht="13.5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1</v>
      </c>
      <c r="B27" s="159" t="str">
        <f>IFERROR(VLOOKUP(H27,'[1]Consolidado MP Planta'!$A$2:$M$823,3,0),"")</f>
        <v>QUEQUERA RED  BASE/DOMO 10 (CAJA:50)</v>
      </c>
      <c r="C27" s="154">
        <f t="shared" ref="C27:C32" si="6">+A27</f>
        <v>1</v>
      </c>
      <c r="D27" s="155" t="str">
        <f>IFERROR(VLOOKUP(H27,'[1]Consolidado MP Planta'!$A$2:$M$823,13,0),"")</f>
        <v>UND</v>
      </c>
      <c r="E27" s="155">
        <v>346</v>
      </c>
      <c r="F27" s="155">
        <f t="shared" ref="F27:F32" si="7">IFERROR(C27*E27,"")</f>
        <v>346</v>
      </c>
      <c r="G27" s="156">
        <f t="shared" ref="G27:G32" si="8">IFERROR(F27/$F$66,"")</f>
        <v>5.7697824694039473E-2</v>
      </c>
      <c r="H27" s="160" t="s">
        <v>184</v>
      </c>
      <c r="I27" s="160"/>
      <c r="J27" s="158"/>
      <c r="K27" s="720"/>
      <c r="L27" s="720"/>
    </row>
    <row r="28" spans="1:12" ht="13.5" x14ac:dyDescent="0.25">
      <c r="A28" s="153">
        <v>1</v>
      </c>
      <c r="B28" s="159" t="str">
        <f>IFERROR(VLOOKUP(H28,'[1]Consolidado MP Planta'!$A$2:$M$823,3,0),"")</f>
        <v>ORLA CARTON 10" DORADA (UND)</v>
      </c>
      <c r="C28" s="154">
        <f t="shared" si="6"/>
        <v>1</v>
      </c>
      <c r="D28" s="155" t="str">
        <f>IFERROR(VLOOKUP(H28,'[1]Consolidado MP Planta'!$A$2:$M$823,13,0),"")</f>
        <v>Und</v>
      </c>
      <c r="E28" s="155">
        <v>117</v>
      </c>
      <c r="F28" s="155">
        <f t="shared" si="7"/>
        <v>117</v>
      </c>
      <c r="G28" s="156">
        <f t="shared" si="8"/>
        <v>1.9510536095961324E-2</v>
      </c>
      <c r="H28" s="160" t="s">
        <v>185</v>
      </c>
      <c r="I28" s="160"/>
      <c r="J28" s="158"/>
      <c r="K28" s="720"/>
      <c r="L28" s="720"/>
    </row>
    <row r="29" spans="1:12" ht="13.5" x14ac:dyDescent="0.25">
      <c r="A29" s="153">
        <v>1</v>
      </c>
      <c r="B29" s="159" t="str">
        <f>IFERROR(VLOOKUP(H29,'[1]Consolidado MP Planta'!$A$2:$M$823,3,0),"")</f>
        <v>ETIQ.BLANCA 1 1/4 * 3/4 (UND)</v>
      </c>
      <c r="C29" s="154">
        <f t="shared" si="6"/>
        <v>1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0.57999999999999996</v>
      </c>
      <c r="G29" s="156">
        <f t="shared" si="8"/>
        <v>9.6718896885962123E-5</v>
      </c>
      <c r="H29" s="160" t="s">
        <v>109</v>
      </c>
      <c r="I29" s="160"/>
      <c r="J29" s="158"/>
      <c r="K29" s="720"/>
      <c r="L29" s="720"/>
    </row>
    <row r="30" spans="1:12" ht="13.5" x14ac:dyDescent="0.25">
      <c r="A30" s="153">
        <v>1</v>
      </c>
      <c r="B30" s="159" t="str">
        <f>IFERROR(VLOOKUP(H30,'[1]Consolidado MP Planta'!$A$2:$M$823,3,0),"")</f>
        <v>ETIQUETA BLANCA R-153 (UND)</v>
      </c>
      <c r="C30" s="154">
        <f t="shared" si="6"/>
        <v>1</v>
      </c>
      <c r="D30" s="155" t="str">
        <f>IFERROR(VLOOKUP(H30,'[1]Consolidado MP Planta'!$A$2:$M$823,13,0),"")</f>
        <v>Und</v>
      </c>
      <c r="E30" s="155">
        <f>IFERROR(VLOOKUP(H30,'[1]Consolidado MP Planta'!$A$2:$M$823,12,0),"")</f>
        <v>0.39</v>
      </c>
      <c r="F30" s="155">
        <f t="shared" si="7"/>
        <v>0.39</v>
      </c>
      <c r="G30" s="156">
        <f t="shared" si="8"/>
        <v>6.5035120319871081E-5</v>
      </c>
      <c r="H30" s="160" t="s">
        <v>186</v>
      </c>
      <c r="I30" s="160"/>
      <c r="J30" s="158"/>
      <c r="K30" s="720"/>
      <c r="L30" s="720"/>
    </row>
    <row r="31" spans="1:12" ht="13.5" x14ac:dyDescent="0.25">
      <c r="A31" s="153">
        <v>1</v>
      </c>
      <c r="B31" s="159" t="str">
        <f>IFERROR(VLOOKUP(H31,'[1]Consolidado MP Planta'!$A$2:$M$823,3,0),"")</f>
        <v>ETIQUETA BLANCA 2 5/8X1 15/16 (UND)</v>
      </c>
      <c r="C31" s="154">
        <f t="shared" si="6"/>
        <v>1</v>
      </c>
      <c r="D31" s="155" t="str">
        <f>IFERROR(VLOOKUP(H31,'[1]Consolidado MP Planta'!$A$2:$M$823,13,0),"")</f>
        <v>Und</v>
      </c>
      <c r="E31" s="155">
        <f>IFERROR(VLOOKUP(H31,'[1]Consolidado MP Planta'!$A$2:$M$823,12,0),"")</f>
        <v>2.1280000000000001</v>
      </c>
      <c r="F31" s="155">
        <f t="shared" si="7"/>
        <v>2.1280000000000001</v>
      </c>
      <c r="G31" s="156">
        <f t="shared" si="8"/>
        <v>3.5485829754021967E-4</v>
      </c>
      <c r="H31" s="160" t="s">
        <v>57</v>
      </c>
      <c r="I31" s="160"/>
      <c r="J31" s="158"/>
      <c r="K31" s="161"/>
      <c r="L31" s="162"/>
    </row>
    <row r="32" spans="1:12" ht="13.5" x14ac:dyDescent="0.25">
      <c r="A32" s="153">
        <v>1</v>
      </c>
      <c r="B32" s="159" t="s">
        <v>65</v>
      </c>
      <c r="C32" s="154">
        <f t="shared" si="6"/>
        <v>1</v>
      </c>
      <c r="D32" s="155" t="s">
        <v>181</v>
      </c>
      <c r="E32" s="155">
        <v>110</v>
      </c>
      <c r="F32" s="155">
        <f t="shared" si="7"/>
        <v>110</v>
      </c>
      <c r="G32" s="156">
        <f t="shared" si="8"/>
        <v>1.8343239064579023E-2</v>
      </c>
      <c r="H32" s="160" t="s">
        <v>187</v>
      </c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 t="shared" ref="A35:A41" si="9">+A17</f>
        <v>1</v>
      </c>
      <c r="B35" s="159" t="s">
        <v>72</v>
      </c>
      <c r="C35" s="154">
        <f>+A35</f>
        <v>1</v>
      </c>
      <c r="D35" s="155" t="s">
        <v>181</v>
      </c>
      <c r="E35" s="155">
        <f>+'Costo Rosquete 450'!H54</f>
        <v>10.381500000000001</v>
      </c>
      <c r="F35" s="155">
        <f>IFERROR(E35*C35,"")</f>
        <v>10.381500000000001</v>
      </c>
      <c r="G35" s="156">
        <f t="shared" ref="G35:G41" si="10">IFERROR(F35/$F$66,"")</f>
        <v>1.7311848758993376E-3</v>
      </c>
      <c r="H35" s="160"/>
      <c r="I35" s="160"/>
      <c r="J35" s="158"/>
    </row>
    <row r="36" spans="1:13" ht="13.5" x14ac:dyDescent="0.25">
      <c r="A36" s="153">
        <f t="shared" si="9"/>
        <v>160</v>
      </c>
      <c r="B36" s="159" t="str">
        <f>IFERROR(VLOOKUP(H36,[1]SEMIELABORADOS!$A$2:$M$6000,2,0),"")</f>
        <v>MEZCLA TRES LECHES C/BAILEYS LITRO</v>
      </c>
      <c r="C36" s="154">
        <f t="shared" ref="C36:C41" si="11">+A36</f>
        <v>160</v>
      </c>
      <c r="D36" s="155" t="str">
        <f>IFERROR(VLOOKUP(H36,[1]SEMIELABORADOS!$A$2:$M$6000,6,0),"")</f>
        <v>Gramo</v>
      </c>
      <c r="E36" s="155">
        <v>0</v>
      </c>
      <c r="F36" s="155">
        <f t="shared" ref="F36:F41" si="12">IFERROR(E36*C36,"")</f>
        <v>0</v>
      </c>
      <c r="G36" s="156">
        <f t="shared" si="10"/>
        <v>0</v>
      </c>
      <c r="H36" s="160" t="s">
        <v>175</v>
      </c>
      <c r="I36" s="160"/>
      <c r="J36" s="158"/>
    </row>
    <row r="37" spans="1:13" ht="13.5" x14ac:dyDescent="0.25">
      <c r="A37" s="153">
        <f t="shared" si="9"/>
        <v>100</v>
      </c>
      <c r="B37" s="159" t="str">
        <f>IFERROR(VLOOKUP(H37,[1]SEMIELABORADOS!$A$2:$M$6000,2,0),"")</f>
        <v>GANACHE BAILEYS (KILO)</v>
      </c>
      <c r="C37" s="154">
        <f t="shared" si="11"/>
        <v>100</v>
      </c>
      <c r="D37" s="155" t="str">
        <f>IFERROR(VLOOKUP(H37,[1]SEMIELABORADOS!$A$2:$M$6000,6,0),"")</f>
        <v>Gramo</v>
      </c>
      <c r="E37" s="155">
        <v>0.02</v>
      </c>
      <c r="F37" s="155">
        <f t="shared" si="12"/>
        <v>2</v>
      </c>
      <c r="G37" s="156">
        <f t="shared" si="10"/>
        <v>3.3351343753780044E-4</v>
      </c>
      <c r="H37" s="160" t="s">
        <v>176</v>
      </c>
      <c r="I37" s="160"/>
      <c r="J37" s="158"/>
    </row>
    <row r="38" spans="1:13" ht="13.5" x14ac:dyDescent="0.25">
      <c r="A38" s="153">
        <f t="shared" si="9"/>
        <v>230</v>
      </c>
      <c r="B38" s="159" t="s">
        <v>85</v>
      </c>
      <c r="C38" s="154">
        <f>+A38</f>
        <v>230</v>
      </c>
      <c r="D38" s="155" t="s">
        <v>180</v>
      </c>
      <c r="E38" s="155">
        <v>0.09</v>
      </c>
      <c r="F38" s="155">
        <f>IFERROR(E38*C38,"")</f>
        <v>20.7</v>
      </c>
      <c r="G38" s="156">
        <f t="shared" si="10"/>
        <v>3.4518640785162341E-3</v>
      </c>
      <c r="H38" s="160" t="s">
        <v>177</v>
      </c>
      <c r="I38" s="160"/>
      <c r="J38" s="158"/>
    </row>
    <row r="39" spans="1:13" ht="13.5" x14ac:dyDescent="0.25">
      <c r="A39" s="153">
        <f t="shared" si="9"/>
        <v>50</v>
      </c>
      <c r="B39" s="159" t="s">
        <v>83</v>
      </c>
      <c r="C39" s="154">
        <f>+A39</f>
        <v>50</v>
      </c>
      <c r="D39" s="155" t="s">
        <v>180</v>
      </c>
      <c r="E39" s="155">
        <v>0.84</v>
      </c>
      <c r="F39" s="155">
        <f>IFERROR(E39*C39,"")</f>
        <v>42</v>
      </c>
      <c r="G39" s="156">
        <f t="shared" si="10"/>
        <v>7.0037821882938086E-3</v>
      </c>
      <c r="H39" s="160" t="s">
        <v>178</v>
      </c>
      <c r="I39" s="160"/>
      <c r="J39" s="158"/>
    </row>
    <row r="40" spans="1:13" ht="13.5" x14ac:dyDescent="0.25">
      <c r="A40" s="153">
        <f t="shared" si="9"/>
        <v>150</v>
      </c>
      <c r="B40" s="159" t="str">
        <f>IFERROR(VLOOKUP(H40,[1]SEMIELABORADOS!$A$2:$M$6000,2,0),"")</f>
        <v>CREMA BEIDGE (KILO)</v>
      </c>
      <c r="C40" s="154">
        <f t="shared" si="11"/>
        <v>150</v>
      </c>
      <c r="D40" s="155" t="str">
        <f>IFERROR(VLOOKUP(H40,[1]SEMIELABORADOS!$A$2:$M$6000,6,0),"")</f>
        <v>Gramo</v>
      </c>
      <c r="E40" s="233">
        <v>1E-4</v>
      </c>
      <c r="F40" s="155">
        <f t="shared" si="12"/>
        <v>1.5000000000000001E-2</v>
      </c>
      <c r="G40" s="156">
        <f t="shared" si="10"/>
        <v>2.5013507815335032E-6</v>
      </c>
      <c r="H40" s="160" t="s">
        <v>179</v>
      </c>
      <c r="I40" s="160"/>
      <c r="J40" s="158"/>
    </row>
    <row r="41" spans="1:13" ht="13.5" x14ac:dyDescent="0.25">
      <c r="A41" s="153">
        <f t="shared" si="9"/>
        <v>130</v>
      </c>
      <c r="B41" s="159" t="s">
        <v>93</v>
      </c>
      <c r="C41" s="154">
        <f t="shared" si="11"/>
        <v>130</v>
      </c>
      <c r="D41" s="155" t="s">
        <v>183</v>
      </c>
      <c r="E41" s="155">
        <v>0.01</v>
      </c>
      <c r="F41" s="155">
        <f t="shared" si="12"/>
        <v>1.3</v>
      </c>
      <c r="G41" s="156">
        <f t="shared" si="10"/>
        <v>2.1678373439957028E-4</v>
      </c>
      <c r="H41" s="160" t="s">
        <v>182</v>
      </c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1</v>
      </c>
      <c r="B44" s="159" t="s">
        <v>72</v>
      </c>
      <c r="C44" s="154">
        <f>+A44</f>
        <v>1</v>
      </c>
      <c r="D44" s="155" t="s">
        <v>181</v>
      </c>
      <c r="E44" s="155">
        <f>+'Costo Rosquete 450'!H56</f>
        <v>31.117499999999996</v>
      </c>
      <c r="F44" s="155">
        <f>IFERROR(E44*C44,"")</f>
        <v>31.117499999999996</v>
      </c>
      <c r="G44" s="156">
        <f>IFERROR(F44/$F$66,"")</f>
        <v>5.1890521962912519E-3</v>
      </c>
      <c r="H44" s="160"/>
      <c r="I44" s="152"/>
      <c r="J44" s="158"/>
    </row>
    <row r="45" spans="1:13" ht="13.5" x14ac:dyDescent="0.25">
      <c r="A45" s="153">
        <f t="shared" ref="A45:A50" si="13">+A36</f>
        <v>160</v>
      </c>
      <c r="B45" s="159" t="str">
        <f>IFERROR(VLOOKUP(H45,[1]SEMIELABORADOS!$A$2:$M$6000,2,0),"")</f>
        <v>MEZCLA TRES LECHES C/BAILEYS LITRO</v>
      </c>
      <c r="C45" s="154">
        <f t="shared" ref="C45:C50" si="14">+A45</f>
        <v>160</v>
      </c>
      <c r="D45" s="155" t="str">
        <f>IFERROR(VLOOKUP(H45,[1]SEMIELABORADOS!$A$2:$M$6000,6,0),"")</f>
        <v>Gramo</v>
      </c>
      <c r="E45" s="155">
        <v>1.39</v>
      </c>
      <c r="F45" s="155">
        <f t="shared" ref="F45:F50" si="15">IFERROR(E45*C45,"")</f>
        <v>222.39999999999998</v>
      </c>
      <c r="G45" s="156">
        <f t="shared" ref="G45:G50" si="16">IFERROR(F45/$F$66,"")</f>
        <v>3.7086694254203405E-2</v>
      </c>
      <c r="H45" s="160" t="s">
        <v>175</v>
      </c>
      <c r="I45" s="152"/>
      <c r="J45" s="158"/>
      <c r="M45" s="163"/>
    </row>
    <row r="46" spans="1:13" ht="13.5" x14ac:dyDescent="0.25">
      <c r="A46" s="153">
        <f t="shared" si="13"/>
        <v>100</v>
      </c>
      <c r="B46" s="159" t="str">
        <f>IFERROR(VLOOKUP(H46,[1]SEMIELABORADOS!$A$2:$M$6000,2,0),"")</f>
        <v>GANACHE BAILEYS (KILO)</v>
      </c>
      <c r="C46" s="154">
        <f t="shared" si="14"/>
        <v>100</v>
      </c>
      <c r="D46" s="155" t="str">
        <f>IFERROR(VLOOKUP(H46,[1]SEMIELABORADOS!$A$2:$M$6000,6,0),"")</f>
        <v>Gramo</v>
      </c>
      <c r="E46" s="155">
        <v>0.93</v>
      </c>
      <c r="F46" s="155">
        <f t="shared" si="15"/>
        <v>93</v>
      </c>
      <c r="G46" s="156">
        <f t="shared" si="16"/>
        <v>1.550837484550772E-2</v>
      </c>
      <c r="H46" s="160" t="s">
        <v>176</v>
      </c>
      <c r="I46" s="152"/>
      <c r="J46" s="158"/>
    </row>
    <row r="47" spans="1:13" ht="13.5" x14ac:dyDescent="0.25">
      <c r="A47" s="153">
        <f t="shared" si="13"/>
        <v>230</v>
      </c>
      <c r="B47" s="159" t="s">
        <v>85</v>
      </c>
      <c r="C47" s="154">
        <f t="shared" si="14"/>
        <v>230</v>
      </c>
      <c r="D47" s="155" t="s">
        <v>180</v>
      </c>
      <c r="E47" s="155">
        <v>0.1</v>
      </c>
      <c r="F47" s="155">
        <f t="shared" si="15"/>
        <v>23</v>
      </c>
      <c r="G47" s="156">
        <f t="shared" si="16"/>
        <v>3.8354045316847051E-3</v>
      </c>
      <c r="H47" s="160" t="s">
        <v>177</v>
      </c>
      <c r="I47" s="152"/>
      <c r="J47" s="158"/>
    </row>
    <row r="48" spans="1:13" ht="13.5" x14ac:dyDescent="0.25">
      <c r="A48" s="153">
        <f t="shared" si="13"/>
        <v>50</v>
      </c>
      <c r="B48" s="159" t="s">
        <v>83</v>
      </c>
      <c r="C48" s="154">
        <f t="shared" si="14"/>
        <v>50</v>
      </c>
      <c r="D48" s="155" t="s">
        <v>180</v>
      </c>
      <c r="E48" s="155">
        <v>0.49</v>
      </c>
      <c r="F48" s="155">
        <f t="shared" si="15"/>
        <v>24.5</v>
      </c>
      <c r="G48" s="156">
        <f t="shared" si="16"/>
        <v>4.0855396098380551E-3</v>
      </c>
      <c r="H48" s="160" t="s">
        <v>178</v>
      </c>
      <c r="I48" s="152"/>
      <c r="J48" s="158"/>
    </row>
    <row r="49" spans="1:17" ht="13.5" x14ac:dyDescent="0.25">
      <c r="A49" s="153">
        <f t="shared" si="13"/>
        <v>150</v>
      </c>
      <c r="B49" s="159" t="str">
        <f>IFERROR(VLOOKUP(H49,[1]SEMIELABORADOS!$A$2:$M$6000,2,0),"")</f>
        <v>CREMA BEIDGE (KILO)</v>
      </c>
      <c r="C49" s="154">
        <f t="shared" si="14"/>
        <v>150</v>
      </c>
      <c r="D49" s="155" t="str">
        <f>IFERROR(VLOOKUP(H49,[1]SEMIELABORADOS!$A$2:$M$6000,6,0),"")</f>
        <v>Gramo</v>
      </c>
      <c r="E49" s="155">
        <v>0.84</v>
      </c>
      <c r="F49" s="155">
        <f t="shared" si="15"/>
        <v>126</v>
      </c>
      <c r="G49" s="156">
        <f t="shared" si="16"/>
        <v>2.1011346564881427E-2</v>
      </c>
      <c r="H49" s="160" t="s">
        <v>179</v>
      </c>
      <c r="I49" s="152"/>
      <c r="J49" s="158"/>
    </row>
    <row r="50" spans="1:17" ht="13.5" x14ac:dyDescent="0.25">
      <c r="A50" s="153">
        <f t="shared" si="13"/>
        <v>130</v>
      </c>
      <c r="B50" s="159" t="s">
        <v>93</v>
      </c>
      <c r="C50" s="154">
        <f t="shared" si="14"/>
        <v>130</v>
      </c>
      <c r="D50" s="155" t="s">
        <v>180</v>
      </c>
      <c r="E50" s="155">
        <v>0.09</v>
      </c>
      <c r="F50" s="155">
        <f t="shared" si="15"/>
        <v>11.7</v>
      </c>
      <c r="G50" s="156">
        <f t="shared" si="16"/>
        <v>1.9510536095961324E-3</v>
      </c>
      <c r="H50" s="159" t="s">
        <v>182</v>
      </c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305</v>
      </c>
      <c r="F51" s="155">
        <f>IFERROR(C51*E51,"")</f>
        <v>305</v>
      </c>
      <c r="G51" s="156">
        <f>IFERROR(F51/$F$66,"")</f>
        <v>5.0860799224514565E-2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21" t="s">
        <v>136</v>
      </c>
      <c r="C53" s="721"/>
      <c r="D53" s="721"/>
      <c r="E53" s="721"/>
      <c r="F53" s="167">
        <f>SUM(F8:F14,F17:F24)</f>
        <v>4940.4562499999993</v>
      </c>
      <c r="G53" s="156">
        <f>+F53/$F$66</f>
        <v>0.82385427347130524</v>
      </c>
      <c r="H53" s="168">
        <f>+F53/$D$60</f>
        <v>4940.4562499999993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21" t="s">
        <v>137</v>
      </c>
      <c r="C54" s="721"/>
      <c r="D54" s="721"/>
      <c r="E54" s="721"/>
      <c r="F54" s="167">
        <f>SUM(F27:F32,F35:F41)</f>
        <v>652.4944999999999</v>
      </c>
      <c r="G54" s="156">
        <f>+F54/$F$66</f>
        <v>0.10880784183475414</v>
      </c>
      <c r="H54" s="168">
        <f>+F54/$D$60</f>
        <v>652.4944999999999</v>
      </c>
      <c r="I54" s="168"/>
      <c r="J54" s="172"/>
      <c r="K54" s="722" t="s">
        <v>138</v>
      </c>
      <c r="L54" s="723"/>
      <c r="M54" s="723"/>
      <c r="N54" s="723"/>
      <c r="O54" s="173">
        <f>+F55</f>
        <v>5592.9507499999991</v>
      </c>
      <c r="P54" s="173"/>
      <c r="Q54" s="174"/>
    </row>
    <row r="55" spans="1:17" x14ac:dyDescent="0.2">
      <c r="A55" s="165"/>
      <c r="B55" s="721" t="s">
        <v>139</v>
      </c>
      <c r="C55" s="721"/>
      <c r="D55" s="721"/>
      <c r="E55" s="721"/>
      <c r="F55" s="167">
        <f>+F53+F54</f>
        <v>5592.9507499999991</v>
      </c>
      <c r="G55" s="156">
        <f>+F55/$F$66</f>
        <v>0.93266211530605936</v>
      </c>
      <c r="H55" s="168">
        <f>+F55/$D$60</f>
        <v>5592.9507499999991</v>
      </c>
      <c r="I55" s="168"/>
      <c r="J55" s="175"/>
      <c r="K55" s="176"/>
      <c r="M55" s="177" t="s">
        <v>140</v>
      </c>
      <c r="N55" s="178"/>
      <c r="O55" s="173">
        <f>+H56</f>
        <v>836.71749999999997</v>
      </c>
      <c r="P55" s="173"/>
      <c r="Q55" s="174"/>
    </row>
    <row r="56" spans="1:17" ht="13.5" thickBot="1" x14ac:dyDescent="0.25">
      <c r="A56" s="165"/>
      <c r="B56" s="166"/>
      <c r="C56" s="721" t="s">
        <v>141</v>
      </c>
      <c r="D56" s="721"/>
      <c r="E56" s="721"/>
      <c r="F56" s="167">
        <f>SUM(F44:F51)</f>
        <v>836.71749999999997</v>
      </c>
      <c r="G56" s="156">
        <f>+F56/$F$66</f>
        <v>0.13952826483651726</v>
      </c>
      <c r="H56" s="168">
        <f>+F56/$D$60</f>
        <v>836.71749999999997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6429.6682499999988</v>
      </c>
      <c r="P57" s="187"/>
      <c r="Q57" s="174"/>
    </row>
    <row r="58" spans="1:17" x14ac:dyDescent="0.2">
      <c r="B58" s="724" t="s">
        <v>144</v>
      </c>
      <c r="C58" s="724"/>
      <c r="D58" s="188">
        <v>1200</v>
      </c>
      <c r="E58" s="189"/>
      <c r="G58" s="156"/>
      <c r="H58" s="182">
        <f>+H56/61</f>
        <v>13.716680327868852</v>
      </c>
      <c r="I58" s="190"/>
      <c r="J58" s="175"/>
      <c r="K58" s="183"/>
      <c r="L58" s="176"/>
      <c r="M58" s="176" t="s">
        <v>145</v>
      </c>
      <c r="N58" s="191"/>
      <c r="O58" s="173">
        <f>+H59</f>
        <v>795.5674590163934</v>
      </c>
      <c r="P58" s="173"/>
      <c r="Q58" s="174"/>
    </row>
    <row r="59" spans="1:17" x14ac:dyDescent="0.2">
      <c r="B59" s="724" t="s">
        <v>146</v>
      </c>
      <c r="C59" s="724"/>
      <c r="D59" s="192">
        <v>1200</v>
      </c>
      <c r="E59" s="189"/>
      <c r="G59" s="156"/>
      <c r="H59" s="182">
        <f>+H58*58</f>
        <v>795.5674590163934</v>
      </c>
      <c r="I59" s="190"/>
      <c r="J59" s="175"/>
      <c r="K59" s="183"/>
      <c r="L59" s="176"/>
      <c r="M59" s="725" t="s">
        <v>143</v>
      </c>
      <c r="N59" s="725"/>
      <c r="O59" s="173">
        <f>SUM(O57:O58)</f>
        <v>7225.2357090163923</v>
      </c>
      <c r="P59" s="173"/>
      <c r="Q59" s="174"/>
    </row>
    <row r="60" spans="1:17" ht="13.5" thickBot="1" x14ac:dyDescent="0.25">
      <c r="B60" s="716" t="s">
        <v>147</v>
      </c>
      <c r="C60" s="716"/>
      <c r="D60" s="188">
        <f>+D58/D59</f>
        <v>1</v>
      </c>
      <c r="E60" s="189"/>
      <c r="F60" s="193"/>
      <c r="G60" s="156"/>
      <c r="H60" s="182"/>
      <c r="I60" s="190"/>
      <c r="J60" s="175"/>
      <c r="K60" s="183"/>
      <c r="L60" s="725"/>
      <c r="M60" s="725"/>
      <c r="N60" s="191"/>
      <c r="O60" s="173">
        <f>+O59*N60</f>
        <v>0</v>
      </c>
      <c r="P60" s="173"/>
      <c r="Q60" s="174"/>
    </row>
    <row r="61" spans="1:17" ht="13.5" thickBot="1" x14ac:dyDescent="0.25">
      <c r="B61" s="716" t="s">
        <v>148</v>
      </c>
      <c r="C61" s="716"/>
      <c r="D61" s="194"/>
      <c r="E61" s="189"/>
      <c r="F61" s="193"/>
      <c r="G61" s="156"/>
      <c r="H61" s="182"/>
      <c r="I61" s="190"/>
      <c r="J61" s="175"/>
      <c r="K61" s="717" t="s">
        <v>149</v>
      </c>
      <c r="L61" s="718"/>
      <c r="M61" s="718"/>
      <c r="N61" s="719"/>
      <c r="O61" s="186">
        <f>SUM(O59:O60)</f>
        <v>7225.2357090163923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05" t="s">
        <v>154</v>
      </c>
      <c r="M62" s="705"/>
      <c r="N62" s="705"/>
      <c r="O62" s="200">
        <f>+O61/D60</f>
        <v>7225.2357090163923</v>
      </c>
      <c r="P62" s="201">
        <f>+O62/D59</f>
        <v>6.0210297575136602</v>
      </c>
      <c r="Q62" s="202"/>
    </row>
    <row r="63" spans="1:17" ht="13.5" thickBot="1" x14ac:dyDescent="0.25">
      <c r="B63" s="706" t="s">
        <v>139</v>
      </c>
      <c r="C63" s="706"/>
      <c r="D63" s="706"/>
      <c r="E63" s="203">
        <f>+F63/F63</f>
        <v>1</v>
      </c>
      <c r="F63" s="204">
        <f>SUM(F55)</f>
        <v>5592.9507499999991</v>
      </c>
      <c r="G63" s="156">
        <f>+F63/$F$66</f>
        <v>0.93266211530605936</v>
      </c>
      <c r="H63" s="182"/>
      <c r="I63" s="190"/>
      <c r="K63" s="707"/>
      <c r="L63" s="708"/>
      <c r="M63" s="708"/>
      <c r="N63" s="708"/>
      <c r="O63" s="205"/>
      <c r="P63" s="206"/>
    </row>
    <row r="64" spans="1:17" ht="13.5" thickBot="1" x14ac:dyDescent="0.3">
      <c r="B64" s="709" t="s">
        <v>155</v>
      </c>
      <c r="C64" s="709"/>
      <c r="D64" s="709"/>
      <c r="E64" s="207">
        <v>0.02</v>
      </c>
      <c r="F64" s="204">
        <f>+F53*E64</f>
        <v>98.809124999999995</v>
      </c>
      <c r="G64" s="156">
        <f>+F64/$F$66</f>
        <v>1.6477085469426108E-2</v>
      </c>
      <c r="H64" s="168"/>
      <c r="I64" s="190"/>
      <c r="J64" s="208"/>
      <c r="O64" s="209"/>
      <c r="P64" s="166"/>
    </row>
    <row r="65" spans="2:13" ht="13.5" thickBot="1" x14ac:dyDescent="0.3">
      <c r="B65" s="710" t="s">
        <v>156</v>
      </c>
      <c r="C65" s="711"/>
      <c r="D65" s="210">
        <v>5</v>
      </c>
      <c r="E65" s="211">
        <v>61</v>
      </c>
      <c r="F65" s="204">
        <f>+E65*D65</f>
        <v>305</v>
      </c>
      <c r="G65" s="156">
        <f>+F65/$F$66</f>
        <v>5.0860799224514565E-2</v>
      </c>
      <c r="H65" s="168"/>
      <c r="I65" s="168"/>
      <c r="J65" s="158"/>
    </row>
    <row r="66" spans="2:13" ht="13.5" thickBot="1" x14ac:dyDescent="0.3">
      <c r="B66" s="712" t="s">
        <v>157</v>
      </c>
      <c r="C66" s="713"/>
      <c r="D66" s="713"/>
      <c r="E66" s="714"/>
      <c r="F66" s="181">
        <f>SUM(F63:F65)</f>
        <v>5996.7598749999988</v>
      </c>
      <c r="G66" s="156">
        <f>+F66/$F$66</f>
        <v>1</v>
      </c>
      <c r="H66" s="715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15"/>
      <c r="I67" s="212"/>
      <c r="J67" s="141"/>
      <c r="M67" s="141" t="s">
        <v>159</v>
      </c>
    </row>
    <row r="68" spans="2:13" ht="13.5" thickBot="1" x14ac:dyDescent="0.3">
      <c r="B68" s="700" t="s">
        <v>160</v>
      </c>
      <c r="C68" s="700"/>
      <c r="D68" s="700"/>
      <c r="E68" s="700"/>
      <c r="F68" s="700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4940.4562499999993</v>
      </c>
      <c r="D69" s="217">
        <f>+D58</f>
        <v>1200</v>
      </c>
      <c r="E69" s="218">
        <f>+C69/D69</f>
        <v>4.1170468749999998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5691.7598749999988</v>
      </c>
      <c r="D71" s="217">
        <f>+D58</f>
        <v>1200</v>
      </c>
      <c r="E71" s="222">
        <f>+C71/D71</f>
        <v>4.7431332291666655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305</v>
      </c>
      <c r="D73" s="217">
        <f>+D58</f>
        <v>1200</v>
      </c>
      <c r="E73" s="222">
        <f>+C73/D73</f>
        <v>0.25416666666666665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836.71749999999997</v>
      </c>
      <c r="D74" s="217">
        <f>+D73</f>
        <v>1200</v>
      </c>
      <c r="E74" s="218">
        <f>+C74/D74</f>
        <v>0.6972645833333333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652.4944999999999</v>
      </c>
      <c r="D76" s="217">
        <f>+D74</f>
        <v>1200</v>
      </c>
      <c r="E76" s="218">
        <f>+C76/D76</f>
        <v>0.54374541666666654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01" t="s">
        <v>167</v>
      </c>
      <c r="C78" s="702"/>
      <c r="D78" s="703"/>
      <c r="E78" s="218">
        <f>+E69+E74</f>
        <v>4.8143114583333331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00" t="s">
        <v>168</v>
      </c>
      <c r="C80" s="700"/>
      <c r="D80" s="700"/>
      <c r="E80" s="700"/>
      <c r="F80" s="700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4940.4562499999993</v>
      </c>
      <c r="D81" s="217">
        <f>+D60</f>
        <v>1</v>
      </c>
      <c r="E81" s="218">
        <f>+C81/D81</f>
        <v>4940.4562499999993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5691.7598749999988</v>
      </c>
      <c r="D83" s="217">
        <f>+D60</f>
        <v>1</v>
      </c>
      <c r="E83" s="222">
        <f>+C83/D83</f>
        <v>5691.7598749999988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305</v>
      </c>
      <c r="D85" s="217">
        <f>+D60</f>
        <v>1</v>
      </c>
      <c r="E85" s="222">
        <f>+C85/D85</f>
        <v>305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836.71749999999997</v>
      </c>
      <c r="D86" s="217">
        <f>+D85</f>
        <v>1</v>
      </c>
      <c r="E86" s="218">
        <f>+C86/D86</f>
        <v>836.71749999999997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04"/>
      <c r="B88" s="704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4CD8-E414-4842-83BC-A76BC6D3F6F7}">
  <dimension ref="A1:M31"/>
  <sheetViews>
    <sheetView topLeftCell="A6" workbookViewId="0">
      <selection activeCell="D8" sqref="D8"/>
    </sheetView>
  </sheetViews>
  <sheetFormatPr baseColWidth="10" defaultColWidth="11.42578125" defaultRowHeight="13.5" x14ac:dyDescent="0.25"/>
  <cols>
    <col min="1" max="1" width="16.28515625" style="76" customWidth="1"/>
    <col min="2" max="2" width="11.7109375" style="76" customWidth="1"/>
    <col min="3" max="3" width="45.5703125" style="76" customWidth="1"/>
    <col min="4" max="4" width="14.28515625" style="76" customWidth="1"/>
    <col min="5" max="5" width="11.42578125" style="76"/>
    <col min="6" max="6" width="12.28515625" style="76" customWidth="1"/>
    <col min="7" max="7" width="11.42578125" style="76"/>
    <col min="8" max="8" width="14.28515625" style="76" customWidth="1"/>
    <col min="9" max="9" width="16" style="76" customWidth="1"/>
    <col min="10" max="16384" width="11.42578125" style="76"/>
  </cols>
  <sheetData>
    <row r="1" spans="1:9" ht="15.75" x14ac:dyDescent="0.25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75"/>
    </row>
    <row r="2" spans="1:9" ht="16.5" thickBot="1" x14ac:dyDescent="0.3">
      <c r="A2" s="595"/>
      <c r="B2" s="596"/>
      <c r="C2" s="600" t="s">
        <v>32</v>
      </c>
      <c r="D2" s="600"/>
      <c r="E2" s="600"/>
      <c r="F2" s="600"/>
      <c r="G2" s="600"/>
      <c r="H2" s="77" t="s">
        <v>31</v>
      </c>
      <c r="I2" s="78"/>
    </row>
    <row r="3" spans="1:9" ht="18.75" thickBot="1" x14ac:dyDescent="0.3">
      <c r="A3" s="595"/>
      <c r="B3" s="596"/>
      <c r="C3" s="840" t="s">
        <v>115</v>
      </c>
      <c r="D3" s="764"/>
      <c r="E3" s="764"/>
      <c r="F3" s="764"/>
      <c r="G3" s="765"/>
      <c r="H3" s="604" t="s">
        <v>30</v>
      </c>
      <c r="I3" s="588"/>
    </row>
    <row r="4" spans="1:9" x14ac:dyDescent="0.25">
      <c r="A4" s="595"/>
      <c r="B4" s="596"/>
      <c r="C4" s="79" t="s">
        <v>29</v>
      </c>
      <c r="D4" s="650" t="s">
        <v>117</v>
      </c>
      <c r="E4" s="651"/>
      <c r="F4" s="651"/>
      <c r="G4" s="652"/>
      <c r="H4" s="605"/>
      <c r="I4" s="589"/>
    </row>
    <row r="5" spans="1:9" ht="14.25" thickBot="1" x14ac:dyDescent="0.3">
      <c r="A5" s="597"/>
      <c r="B5" s="598"/>
      <c r="C5" s="80" t="s">
        <v>28</v>
      </c>
      <c r="D5" s="653" t="s">
        <v>99</v>
      </c>
      <c r="E5" s="654"/>
      <c r="F5" s="654"/>
      <c r="G5" s="655"/>
      <c r="H5" s="606"/>
      <c r="I5" s="589"/>
    </row>
    <row r="6" spans="1:9" ht="25.5" x14ac:dyDescent="0.25">
      <c r="A6" s="750" t="s">
        <v>24</v>
      </c>
      <c r="B6" s="752" t="s">
        <v>35</v>
      </c>
      <c r="C6" s="754" t="s">
        <v>23</v>
      </c>
      <c r="D6" s="754" t="s">
        <v>22</v>
      </c>
      <c r="E6" s="754" t="s">
        <v>21</v>
      </c>
      <c r="F6" s="754"/>
      <c r="G6" s="754" t="s">
        <v>20</v>
      </c>
      <c r="H6" s="754"/>
      <c r="I6" s="81" t="s">
        <v>19</v>
      </c>
    </row>
    <row r="7" spans="1:9" ht="27" thickBot="1" x14ac:dyDescent="0.3">
      <c r="A7" s="841"/>
      <c r="B7" s="968"/>
      <c r="C7" s="624"/>
      <c r="D7" s="624"/>
      <c r="E7" s="82" t="s">
        <v>15</v>
      </c>
      <c r="F7" s="83" t="s">
        <v>18</v>
      </c>
      <c r="G7" s="84" t="s">
        <v>15</v>
      </c>
      <c r="H7" s="85" t="s">
        <v>18</v>
      </c>
      <c r="I7" s="86" t="s">
        <v>17</v>
      </c>
    </row>
    <row r="8" spans="1:9" ht="15" x14ac:dyDescent="0.25">
      <c r="A8" s="23"/>
      <c r="B8" s="23" t="s">
        <v>170</v>
      </c>
      <c r="C8" s="22" t="s">
        <v>169</v>
      </c>
      <c r="D8" s="87" t="s">
        <v>16</v>
      </c>
      <c r="E8" s="88">
        <v>24820</v>
      </c>
      <c r="F8" s="89" t="s">
        <v>2</v>
      </c>
      <c r="G8" s="27"/>
      <c r="H8" s="90"/>
      <c r="I8" s="91"/>
    </row>
    <row r="9" spans="1:9" ht="15" x14ac:dyDescent="0.25">
      <c r="A9" s="92"/>
      <c r="B9" s="92"/>
      <c r="C9" s="93"/>
      <c r="D9" s="87"/>
      <c r="E9" s="94"/>
      <c r="F9" s="89"/>
      <c r="G9" s="27"/>
      <c r="H9" s="90"/>
      <c r="I9" s="91"/>
    </row>
    <row r="10" spans="1:9" ht="15" x14ac:dyDescent="0.25">
      <c r="A10" s="95"/>
      <c r="B10" s="96"/>
      <c r="C10" s="97" t="s">
        <v>100</v>
      </c>
      <c r="D10" s="98"/>
      <c r="E10" s="99"/>
      <c r="F10" s="100"/>
      <c r="G10" s="27"/>
      <c r="H10" s="90"/>
      <c r="I10" s="91"/>
    </row>
    <row r="11" spans="1:9" ht="15" x14ac:dyDescent="0.25">
      <c r="A11" s="23" t="s">
        <v>101</v>
      </c>
      <c r="B11" s="23"/>
      <c r="C11" s="22" t="s">
        <v>102</v>
      </c>
      <c r="D11" s="101" t="s">
        <v>16</v>
      </c>
      <c r="E11" s="99">
        <f>10*D21</f>
        <v>687.05882352941171</v>
      </c>
      <c r="F11" s="100" t="s">
        <v>2</v>
      </c>
      <c r="G11" s="27"/>
      <c r="H11" s="90"/>
      <c r="I11" s="102"/>
    </row>
    <row r="12" spans="1:9" ht="15" x14ac:dyDescent="0.25">
      <c r="A12" s="103">
        <v>1950928</v>
      </c>
      <c r="B12" s="103" t="s">
        <v>103</v>
      </c>
      <c r="C12" s="104" t="s">
        <v>104</v>
      </c>
      <c r="D12" s="101" t="s">
        <v>105</v>
      </c>
      <c r="E12" s="99">
        <v>6</v>
      </c>
      <c r="F12" s="27" t="s">
        <v>7</v>
      </c>
      <c r="G12" s="27"/>
      <c r="H12" s="90"/>
      <c r="I12" s="102"/>
    </row>
    <row r="13" spans="1:9" ht="15" x14ac:dyDescent="0.25">
      <c r="A13" s="23" t="s">
        <v>106</v>
      </c>
      <c r="B13" s="23" t="s">
        <v>107</v>
      </c>
      <c r="C13" s="22" t="s">
        <v>108</v>
      </c>
      <c r="D13" s="101" t="s">
        <v>56</v>
      </c>
      <c r="E13" s="99">
        <v>6</v>
      </c>
      <c r="F13" s="27" t="s">
        <v>7</v>
      </c>
      <c r="G13" s="27"/>
      <c r="H13" s="5"/>
      <c r="I13" s="102"/>
    </row>
    <row r="14" spans="1:9" ht="15" x14ac:dyDescent="0.25">
      <c r="A14" s="23" t="s">
        <v>109</v>
      </c>
      <c r="B14" s="23" t="s">
        <v>60</v>
      </c>
      <c r="C14" s="22" t="s">
        <v>110</v>
      </c>
      <c r="D14" s="101" t="s">
        <v>55</v>
      </c>
      <c r="E14" s="99">
        <v>6</v>
      </c>
      <c r="F14" s="27" t="s">
        <v>7</v>
      </c>
      <c r="G14" s="27"/>
      <c r="H14" s="5"/>
      <c r="I14" s="102"/>
    </row>
    <row r="15" spans="1:9" ht="15" x14ac:dyDescent="0.25">
      <c r="A15" s="105"/>
      <c r="B15" s="105"/>
      <c r="C15" s="106"/>
      <c r="D15" s="107"/>
      <c r="E15" s="27"/>
      <c r="F15" s="90"/>
      <c r="G15" s="108"/>
      <c r="H15" s="108"/>
      <c r="I15" s="109"/>
    </row>
    <row r="16" spans="1:9" ht="15" x14ac:dyDescent="0.25">
      <c r="A16" s="110"/>
      <c r="B16" s="111"/>
      <c r="C16" s="112"/>
      <c r="D16" s="113"/>
      <c r="E16" s="114"/>
      <c r="F16" s="114"/>
      <c r="G16" s="114"/>
      <c r="H16" s="114"/>
      <c r="I16" s="102"/>
    </row>
    <row r="17" spans="1:13" ht="14.25" thickBot="1" x14ac:dyDescent="0.3">
      <c r="A17" s="115"/>
      <c r="B17" s="116"/>
      <c r="E17" s="117"/>
      <c r="F17" s="118"/>
      <c r="I17" s="119"/>
      <c r="L17" s="120"/>
    </row>
    <row r="18" spans="1:13" ht="14.25" thickBot="1" x14ac:dyDescent="0.3">
      <c r="A18" s="121"/>
      <c r="B18" s="122"/>
      <c r="C18" s="123"/>
      <c r="D18" s="124" t="s">
        <v>15</v>
      </c>
      <c r="E18" s="125" t="s">
        <v>14</v>
      </c>
      <c r="F18" s="126"/>
      <c r="G18" s="123"/>
      <c r="H18" s="123"/>
      <c r="I18" s="127"/>
      <c r="L18" s="120"/>
    </row>
    <row r="19" spans="1:13" x14ac:dyDescent="0.25">
      <c r="A19" s="740" t="s">
        <v>13</v>
      </c>
      <c r="B19" s="741"/>
      <c r="C19" s="742"/>
      <c r="D19" s="128">
        <f>73*320</f>
        <v>23360</v>
      </c>
      <c r="E19" s="129" t="s">
        <v>2</v>
      </c>
      <c r="F19" s="743" t="s">
        <v>12</v>
      </c>
      <c r="G19" s="743"/>
      <c r="H19" s="744"/>
      <c r="I19" s="745"/>
      <c r="L19" s="120"/>
    </row>
    <row r="20" spans="1:13" x14ac:dyDescent="0.25">
      <c r="A20" s="584" t="s">
        <v>11</v>
      </c>
      <c r="B20" s="585"/>
      <c r="C20" s="586"/>
      <c r="D20" s="5">
        <v>15</v>
      </c>
      <c r="E20" s="5" t="s">
        <v>111</v>
      </c>
      <c r="F20" s="587" t="s">
        <v>9</v>
      </c>
      <c r="G20" s="587"/>
      <c r="H20" s="576"/>
      <c r="I20" s="577"/>
      <c r="L20" s="120"/>
    </row>
    <row r="21" spans="1:13" x14ac:dyDescent="0.25">
      <c r="A21" s="584" t="s">
        <v>8</v>
      </c>
      <c r="B21" s="585"/>
      <c r="C21" s="586"/>
      <c r="D21" s="130">
        <f>+D19/D22</f>
        <v>68.705882352941174</v>
      </c>
      <c r="E21" s="131" t="s">
        <v>7</v>
      </c>
      <c r="F21" s="587" t="s">
        <v>6</v>
      </c>
      <c r="G21" s="587"/>
      <c r="H21" s="576"/>
      <c r="I21" s="577"/>
      <c r="L21" s="120"/>
    </row>
    <row r="22" spans="1:13" x14ac:dyDescent="0.25">
      <c r="A22" s="584" t="s">
        <v>5</v>
      </c>
      <c r="B22" s="585"/>
      <c r="C22" s="586"/>
      <c r="D22" s="5">
        <v>340</v>
      </c>
      <c r="E22" s="5" t="s">
        <v>2</v>
      </c>
      <c r="F22" s="738" t="s">
        <v>4</v>
      </c>
      <c r="G22" s="739"/>
      <c r="H22" s="576"/>
      <c r="I22" s="577"/>
      <c r="L22" s="120"/>
      <c r="M22" s="132"/>
    </row>
    <row r="23" spans="1:13" ht="14.25" thickBot="1" x14ac:dyDescent="0.3">
      <c r="A23" s="572" t="s">
        <v>3</v>
      </c>
      <c r="B23" s="573"/>
      <c r="C23" s="574"/>
      <c r="D23" s="133">
        <f>+E8-D19</f>
        <v>1460</v>
      </c>
      <c r="E23" s="134" t="s">
        <v>2</v>
      </c>
      <c r="F23" s="578"/>
      <c r="G23" s="578"/>
      <c r="H23" s="579"/>
      <c r="I23" s="580"/>
      <c r="L23" s="120"/>
    </row>
    <row r="24" spans="1:13" ht="14.25" thickBot="1" x14ac:dyDescent="0.3">
      <c r="A24" s="569" t="s">
        <v>1</v>
      </c>
      <c r="B24" s="570"/>
      <c r="C24" s="570"/>
      <c r="D24" s="570"/>
      <c r="E24" s="570"/>
      <c r="F24" s="570"/>
      <c r="G24" s="570"/>
      <c r="H24" s="570"/>
      <c r="I24" s="571"/>
    </row>
    <row r="25" spans="1:13" x14ac:dyDescent="0.25">
      <c r="A25" s="854" t="s">
        <v>116</v>
      </c>
      <c r="B25" s="855"/>
      <c r="C25" s="856"/>
      <c r="D25" s="856"/>
      <c r="E25" s="856"/>
      <c r="F25" s="856"/>
      <c r="G25" s="856"/>
      <c r="H25" s="856"/>
      <c r="I25" s="857"/>
    </row>
    <row r="26" spans="1:13" x14ac:dyDescent="0.25">
      <c r="A26" s="946" t="s">
        <v>112</v>
      </c>
      <c r="B26" s="947"/>
      <c r="C26" s="948"/>
      <c r="D26" s="948"/>
      <c r="E26" s="948"/>
      <c r="F26" s="948"/>
      <c r="G26" s="948"/>
      <c r="H26" s="948"/>
      <c r="I26" s="949"/>
    </row>
    <row r="27" spans="1:13" x14ac:dyDescent="0.25">
      <c r="A27" s="610" t="s">
        <v>113</v>
      </c>
      <c r="B27" s="611"/>
      <c r="C27" s="611"/>
      <c r="D27" s="611"/>
      <c r="E27" s="611"/>
      <c r="F27" s="611"/>
      <c r="G27" s="611"/>
      <c r="H27" s="611"/>
      <c r="I27" s="612"/>
    </row>
    <row r="28" spans="1:13" ht="14.25" thickBot="1" x14ac:dyDescent="0.3">
      <c r="A28" s="731"/>
      <c r="B28" s="732"/>
      <c r="C28" s="733"/>
      <c r="D28" s="733"/>
      <c r="E28" s="733"/>
      <c r="F28" s="733"/>
      <c r="G28" s="733"/>
      <c r="H28" s="733"/>
      <c r="I28" s="734"/>
    </row>
    <row r="29" spans="1:13" ht="14.25" thickBot="1" x14ac:dyDescent="0.3">
      <c r="A29" s="569" t="s">
        <v>114</v>
      </c>
      <c r="B29" s="570"/>
      <c r="C29" s="570"/>
      <c r="D29" s="570"/>
      <c r="E29" s="570"/>
      <c r="F29" s="570"/>
      <c r="G29" s="570"/>
      <c r="H29" s="570"/>
      <c r="I29" s="571"/>
    </row>
    <row r="30" spans="1:13" x14ac:dyDescent="0.25">
      <c r="A30" s="135"/>
      <c r="B30" s="135"/>
      <c r="C30" s="135"/>
    </row>
    <row r="31" spans="1:13" x14ac:dyDescent="0.25">
      <c r="A31" s="135"/>
      <c r="B31" s="135"/>
    </row>
  </sheetData>
  <mergeCells count="35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1AF9-0A8A-4E27-B16B-871D078982B4}">
  <dimension ref="A1:M31"/>
  <sheetViews>
    <sheetView topLeftCell="A8" workbookViewId="0">
      <selection activeCell="B8" sqref="B8"/>
    </sheetView>
  </sheetViews>
  <sheetFormatPr baseColWidth="10" defaultRowHeight="15" x14ac:dyDescent="0.25"/>
  <cols>
    <col min="3" max="3" width="43.28515625" customWidth="1"/>
  </cols>
  <sheetData>
    <row r="1" spans="1:9" ht="15.75" x14ac:dyDescent="0.25">
      <c r="A1" s="593"/>
      <c r="B1" s="594"/>
      <c r="C1" s="599" t="s">
        <v>34</v>
      </c>
      <c r="D1" s="599"/>
      <c r="E1" s="599"/>
      <c r="F1" s="599"/>
      <c r="G1" s="599"/>
      <c r="H1" s="74" t="s">
        <v>33</v>
      </c>
      <c r="I1" s="75"/>
    </row>
    <row r="2" spans="1:9" ht="16.5" thickBot="1" x14ac:dyDescent="0.3">
      <c r="A2" s="595"/>
      <c r="B2" s="596"/>
      <c r="C2" s="600" t="s">
        <v>32</v>
      </c>
      <c r="D2" s="600"/>
      <c r="E2" s="600"/>
      <c r="F2" s="600"/>
      <c r="G2" s="600"/>
      <c r="H2" s="77" t="s">
        <v>31</v>
      </c>
      <c r="I2" s="78"/>
    </row>
    <row r="3" spans="1:9" ht="18.75" thickBot="1" x14ac:dyDescent="0.3">
      <c r="A3" s="595"/>
      <c r="B3" s="596"/>
      <c r="C3" s="840" t="s">
        <v>115</v>
      </c>
      <c r="D3" s="764"/>
      <c r="E3" s="764"/>
      <c r="F3" s="764"/>
      <c r="G3" s="765"/>
      <c r="H3" s="604" t="s">
        <v>30</v>
      </c>
      <c r="I3" s="588"/>
    </row>
    <row r="4" spans="1:9" x14ac:dyDescent="0.25">
      <c r="A4" s="595"/>
      <c r="B4" s="596"/>
      <c r="C4" s="79" t="s">
        <v>29</v>
      </c>
      <c r="D4" s="650" t="s">
        <v>117</v>
      </c>
      <c r="E4" s="651"/>
      <c r="F4" s="651"/>
      <c r="G4" s="652"/>
      <c r="H4" s="605"/>
      <c r="I4" s="589"/>
    </row>
    <row r="5" spans="1:9" ht="15.75" thickBot="1" x14ac:dyDescent="0.3">
      <c r="A5" s="597"/>
      <c r="B5" s="598"/>
      <c r="C5" s="80" t="s">
        <v>28</v>
      </c>
      <c r="D5" s="653" t="s">
        <v>99</v>
      </c>
      <c r="E5" s="654"/>
      <c r="F5" s="654"/>
      <c r="G5" s="655"/>
      <c r="H5" s="606"/>
      <c r="I5" s="589"/>
    </row>
    <row r="6" spans="1:9" ht="25.5" x14ac:dyDescent="0.25">
      <c r="A6" s="750" t="s">
        <v>24</v>
      </c>
      <c r="B6" s="752" t="s">
        <v>35</v>
      </c>
      <c r="C6" s="754" t="s">
        <v>23</v>
      </c>
      <c r="D6" s="754" t="s">
        <v>22</v>
      </c>
      <c r="E6" s="754" t="s">
        <v>21</v>
      </c>
      <c r="F6" s="754"/>
      <c r="G6" s="754" t="s">
        <v>20</v>
      </c>
      <c r="H6" s="754"/>
      <c r="I6" s="81" t="s">
        <v>19</v>
      </c>
    </row>
    <row r="7" spans="1:9" ht="27" thickBot="1" x14ac:dyDescent="0.3">
      <c r="A7" s="841"/>
      <c r="B7" s="968"/>
      <c r="C7" s="624"/>
      <c r="D7" s="624"/>
      <c r="E7" s="82" t="s">
        <v>15</v>
      </c>
      <c r="F7" s="83" t="s">
        <v>18</v>
      </c>
      <c r="G7" s="84" t="s">
        <v>15</v>
      </c>
      <c r="H7" s="85" t="s">
        <v>18</v>
      </c>
      <c r="I7" s="86" t="s">
        <v>17</v>
      </c>
    </row>
    <row r="8" spans="1:9" x14ac:dyDescent="0.25">
      <c r="A8" s="23"/>
      <c r="B8" s="23" t="s">
        <v>170</v>
      </c>
      <c r="C8" s="22" t="s">
        <v>169</v>
      </c>
      <c r="D8" s="87" t="s">
        <v>16</v>
      </c>
      <c r="E8" s="88">
        <v>24820</v>
      </c>
      <c r="F8" s="89" t="s">
        <v>2</v>
      </c>
      <c r="G8" s="27">
        <v>62.05</v>
      </c>
      <c r="H8" s="90"/>
      <c r="I8" s="91"/>
    </row>
    <row r="9" spans="1:9" x14ac:dyDescent="0.25">
      <c r="A9" s="92"/>
      <c r="B9" s="92"/>
      <c r="C9" s="93"/>
      <c r="D9" s="87"/>
      <c r="E9" s="94"/>
      <c r="F9" s="89"/>
      <c r="G9" s="27"/>
      <c r="H9" s="90"/>
      <c r="I9" s="91"/>
    </row>
    <row r="10" spans="1:9" x14ac:dyDescent="0.25">
      <c r="A10" s="95"/>
      <c r="B10" s="96"/>
      <c r="C10" s="97" t="s">
        <v>100</v>
      </c>
      <c r="D10" s="98"/>
      <c r="E10" s="99"/>
      <c r="F10" s="100"/>
      <c r="G10" s="27"/>
      <c r="H10" s="90"/>
      <c r="I10" s="91"/>
    </row>
    <row r="11" spans="1:9" x14ac:dyDescent="0.25">
      <c r="A11" s="23" t="s">
        <v>101</v>
      </c>
      <c r="B11" s="23"/>
      <c r="C11" s="22" t="s">
        <v>102</v>
      </c>
      <c r="D11" s="101" t="s">
        <v>16</v>
      </c>
      <c r="E11" s="99">
        <v>600</v>
      </c>
      <c r="F11" s="100" t="s">
        <v>2</v>
      </c>
      <c r="G11" s="27"/>
      <c r="H11" s="90"/>
      <c r="I11" s="102"/>
    </row>
    <row r="12" spans="1:9" x14ac:dyDescent="0.25">
      <c r="A12" s="103">
        <v>1950928</v>
      </c>
      <c r="B12" s="103" t="s">
        <v>103</v>
      </c>
      <c r="C12" s="104" t="s">
        <v>104</v>
      </c>
      <c r="D12" s="101" t="s">
        <v>105</v>
      </c>
      <c r="E12" s="99">
        <v>6</v>
      </c>
      <c r="F12" s="27" t="s">
        <v>7</v>
      </c>
      <c r="G12" s="27"/>
      <c r="H12" s="90"/>
      <c r="I12" s="102"/>
    </row>
    <row r="13" spans="1:9" x14ac:dyDescent="0.25">
      <c r="A13" s="23" t="s">
        <v>106</v>
      </c>
      <c r="B13" s="23" t="s">
        <v>107</v>
      </c>
      <c r="C13" s="22" t="s">
        <v>108</v>
      </c>
      <c r="D13" s="101" t="s">
        <v>56</v>
      </c>
      <c r="E13" s="99">
        <v>6</v>
      </c>
      <c r="F13" s="27" t="s">
        <v>7</v>
      </c>
      <c r="G13" s="27"/>
      <c r="H13" s="5"/>
      <c r="I13" s="102"/>
    </row>
    <row r="14" spans="1:9" x14ac:dyDescent="0.25">
      <c r="A14" s="23" t="s">
        <v>109</v>
      </c>
      <c r="B14" s="23" t="s">
        <v>60</v>
      </c>
      <c r="C14" s="22" t="s">
        <v>110</v>
      </c>
      <c r="D14" s="101" t="s">
        <v>55</v>
      </c>
      <c r="E14" s="99">
        <v>6</v>
      </c>
      <c r="F14" s="27" t="s">
        <v>7</v>
      </c>
      <c r="G14" s="27"/>
      <c r="H14" s="5"/>
      <c r="I14" s="102"/>
    </row>
    <row r="15" spans="1:9" x14ac:dyDescent="0.25">
      <c r="A15" s="105"/>
      <c r="B15" s="105"/>
      <c r="C15" s="106"/>
      <c r="D15" s="107"/>
      <c r="E15" s="27"/>
      <c r="F15" s="90"/>
      <c r="G15" s="108"/>
      <c r="H15" s="108"/>
      <c r="I15" s="109"/>
    </row>
    <row r="16" spans="1:9" x14ac:dyDescent="0.25">
      <c r="A16" s="110"/>
      <c r="B16" s="111"/>
      <c r="C16" s="112"/>
      <c r="D16" s="113"/>
      <c r="E16" s="114"/>
      <c r="F16" s="114"/>
      <c r="G16" s="114"/>
      <c r="H16" s="114"/>
      <c r="I16" s="102"/>
    </row>
    <row r="17" spans="1:13" ht="15.75" thickBot="1" x14ac:dyDescent="0.3">
      <c r="A17" s="115"/>
      <c r="B17" s="116"/>
      <c r="E17" s="117"/>
      <c r="F17" s="118"/>
      <c r="I17" s="119"/>
      <c r="L17" s="120"/>
    </row>
    <row r="18" spans="1:13" ht="15.75" thickBot="1" x14ac:dyDescent="0.3">
      <c r="A18" s="121"/>
      <c r="B18" s="122"/>
      <c r="C18" s="123"/>
      <c r="D18" s="124" t="s">
        <v>15</v>
      </c>
      <c r="E18" s="125" t="s">
        <v>14</v>
      </c>
      <c r="F18" s="126"/>
      <c r="G18" s="123"/>
      <c r="H18" s="123"/>
      <c r="I18" s="127"/>
      <c r="L18" s="120"/>
    </row>
    <row r="19" spans="1:13" x14ac:dyDescent="0.25">
      <c r="A19" s="740" t="s">
        <v>13</v>
      </c>
      <c r="B19" s="741"/>
      <c r="C19" s="742"/>
      <c r="D19" s="128">
        <v>24000</v>
      </c>
      <c r="E19" s="129" t="s">
        <v>2</v>
      </c>
      <c r="F19" s="743" t="s">
        <v>12</v>
      </c>
      <c r="G19" s="743"/>
      <c r="H19" s="744"/>
      <c r="I19" s="745"/>
      <c r="L19" s="120"/>
    </row>
    <row r="20" spans="1:13" x14ac:dyDescent="0.25">
      <c r="A20" s="584" t="s">
        <v>11</v>
      </c>
      <c r="B20" s="585"/>
      <c r="C20" s="586"/>
      <c r="D20" s="5">
        <v>15</v>
      </c>
      <c r="E20" s="5" t="s">
        <v>111</v>
      </c>
      <c r="F20" s="587" t="s">
        <v>9</v>
      </c>
      <c r="G20" s="587"/>
      <c r="H20" s="576"/>
      <c r="I20" s="577"/>
      <c r="L20" s="120"/>
    </row>
    <row r="21" spans="1:13" x14ac:dyDescent="0.25">
      <c r="A21" s="584" t="s">
        <v>8</v>
      </c>
      <c r="B21" s="585"/>
      <c r="C21" s="586"/>
      <c r="D21" s="130">
        <v>60</v>
      </c>
      <c r="E21" s="131" t="s">
        <v>7</v>
      </c>
      <c r="F21" s="587" t="s">
        <v>6</v>
      </c>
      <c r="G21" s="587"/>
      <c r="H21" s="576"/>
      <c r="I21" s="577"/>
      <c r="L21" s="120"/>
    </row>
    <row r="22" spans="1:13" x14ac:dyDescent="0.25">
      <c r="A22" s="584" t="s">
        <v>5</v>
      </c>
      <c r="B22" s="585"/>
      <c r="C22" s="586"/>
      <c r="D22" s="5">
        <v>400</v>
      </c>
      <c r="E22" s="5" t="s">
        <v>2</v>
      </c>
      <c r="F22" s="738" t="s">
        <v>4</v>
      </c>
      <c r="G22" s="739"/>
      <c r="H22" s="576"/>
      <c r="I22" s="577"/>
      <c r="L22" s="120"/>
      <c r="M22" s="132"/>
    </row>
    <row r="23" spans="1:13" ht="15.75" thickBot="1" x14ac:dyDescent="0.3">
      <c r="A23" s="572" t="s">
        <v>3</v>
      </c>
      <c r="B23" s="573"/>
      <c r="C23" s="574"/>
      <c r="D23" s="133">
        <v>820</v>
      </c>
      <c r="E23" s="134" t="s">
        <v>2</v>
      </c>
      <c r="F23" s="578"/>
      <c r="G23" s="578"/>
      <c r="H23" s="579"/>
      <c r="I23" s="580"/>
      <c r="L23" s="120"/>
    </row>
    <row r="24" spans="1:13" ht="15.75" thickBot="1" x14ac:dyDescent="0.3">
      <c r="A24" s="569" t="s">
        <v>1</v>
      </c>
      <c r="B24" s="570"/>
      <c r="C24" s="570"/>
      <c r="D24" s="570"/>
      <c r="E24" s="570"/>
      <c r="F24" s="570"/>
      <c r="G24" s="570"/>
      <c r="H24" s="570"/>
      <c r="I24" s="571"/>
    </row>
    <row r="25" spans="1:13" x14ac:dyDescent="0.25">
      <c r="A25" s="854" t="s">
        <v>116</v>
      </c>
      <c r="B25" s="855"/>
      <c r="C25" s="856"/>
      <c r="D25" s="856"/>
      <c r="E25" s="856"/>
      <c r="F25" s="856"/>
      <c r="G25" s="856"/>
      <c r="H25" s="856"/>
      <c r="I25" s="857"/>
    </row>
    <row r="26" spans="1:13" x14ac:dyDescent="0.25">
      <c r="A26" s="946" t="s">
        <v>112</v>
      </c>
      <c r="B26" s="947"/>
      <c r="C26" s="948"/>
      <c r="D26" s="948"/>
      <c r="E26" s="948"/>
      <c r="F26" s="948"/>
      <c r="G26" s="948"/>
      <c r="H26" s="948"/>
      <c r="I26" s="949"/>
    </row>
    <row r="27" spans="1:13" x14ac:dyDescent="0.25">
      <c r="A27" s="610" t="s">
        <v>113</v>
      </c>
      <c r="B27" s="611"/>
      <c r="C27" s="611"/>
      <c r="D27" s="611"/>
      <c r="E27" s="611"/>
      <c r="F27" s="611"/>
      <c r="G27" s="611"/>
      <c r="H27" s="611"/>
      <c r="I27" s="612"/>
    </row>
    <row r="28" spans="1:13" ht="15.75" thickBot="1" x14ac:dyDescent="0.3">
      <c r="A28" s="731"/>
      <c r="B28" s="732"/>
      <c r="C28" s="733"/>
      <c r="D28" s="733"/>
      <c r="E28" s="733"/>
      <c r="F28" s="733"/>
      <c r="G28" s="733"/>
      <c r="H28" s="733"/>
      <c r="I28" s="734"/>
    </row>
    <row r="29" spans="1:13" ht="15.75" thickBot="1" x14ac:dyDescent="0.3">
      <c r="A29" s="569" t="s">
        <v>114</v>
      </c>
      <c r="B29" s="570"/>
      <c r="C29" s="570"/>
      <c r="D29" s="570"/>
      <c r="E29" s="570"/>
      <c r="F29" s="570"/>
      <c r="G29" s="570"/>
      <c r="H29" s="570"/>
      <c r="I29" s="571"/>
    </row>
    <row r="30" spans="1:13" x14ac:dyDescent="0.25">
      <c r="A30" s="135"/>
      <c r="B30" s="135"/>
      <c r="C30" s="135"/>
    </row>
    <row r="31" spans="1:13" x14ac:dyDescent="0.25">
      <c r="A31" s="135"/>
      <c r="B31" s="135"/>
    </row>
  </sheetData>
  <mergeCells count="35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C31F-5B48-482F-8D59-3CFCA569D3C8}">
  <dimension ref="A1:M43"/>
  <sheetViews>
    <sheetView zoomScale="85" zoomScaleNormal="85" workbookViewId="0">
      <selection activeCell="F15" sqref="F15"/>
    </sheetView>
  </sheetViews>
  <sheetFormatPr baseColWidth="10" defaultColWidth="11.42578125" defaultRowHeight="12.75" x14ac:dyDescent="0.2"/>
  <cols>
    <col min="1" max="1" width="16.140625" style="307" customWidth="1"/>
    <col min="2" max="2" width="12.5703125" style="307" customWidth="1"/>
    <col min="3" max="3" width="46.7109375" style="307" customWidth="1"/>
    <col min="4" max="4" width="18.5703125" style="307" customWidth="1"/>
    <col min="5" max="5" width="11.42578125" style="307"/>
    <col min="6" max="6" width="13.140625" style="307" customWidth="1"/>
    <col min="7" max="7" width="12.5703125" style="307" customWidth="1"/>
    <col min="8" max="8" width="15.5703125" style="307" customWidth="1"/>
    <col min="9" max="9" width="17.42578125" style="307" customWidth="1"/>
    <col min="10" max="16384" width="11.42578125" style="307"/>
  </cols>
  <sheetData>
    <row r="1" spans="1:9" ht="18" x14ac:dyDescent="0.25">
      <c r="A1" s="807"/>
      <c r="B1" s="808"/>
      <c r="C1" s="813" t="s">
        <v>34</v>
      </c>
      <c r="D1" s="813"/>
      <c r="E1" s="813"/>
      <c r="F1" s="813"/>
      <c r="G1" s="813"/>
      <c r="H1" s="237" t="s">
        <v>33</v>
      </c>
      <c r="I1" s="238" t="s">
        <v>220</v>
      </c>
    </row>
    <row r="2" spans="1:9" ht="18" x14ac:dyDescent="0.25">
      <c r="A2" s="809"/>
      <c r="B2" s="810"/>
      <c r="C2" s="814" t="s">
        <v>32</v>
      </c>
      <c r="D2" s="814"/>
      <c r="E2" s="814"/>
      <c r="F2" s="814"/>
      <c r="G2" s="814"/>
      <c r="H2" s="240" t="s">
        <v>31</v>
      </c>
      <c r="I2" s="241" t="s">
        <v>202</v>
      </c>
    </row>
    <row r="3" spans="1:9" ht="50.1" customHeight="1" x14ac:dyDescent="0.2">
      <c r="A3" s="809"/>
      <c r="B3" s="810"/>
      <c r="C3" s="815" t="s">
        <v>221</v>
      </c>
      <c r="D3" s="816"/>
      <c r="E3" s="816"/>
      <c r="F3" s="816"/>
      <c r="G3" s="817"/>
      <c r="H3" s="818" t="s">
        <v>30</v>
      </c>
      <c r="I3" s="804">
        <v>45411</v>
      </c>
    </row>
    <row r="4" spans="1:9" ht="15" x14ac:dyDescent="0.25">
      <c r="A4" s="809"/>
      <c r="B4" s="810"/>
      <c r="C4" s="242" t="s">
        <v>29</v>
      </c>
      <c r="D4" s="969" t="s">
        <v>222</v>
      </c>
      <c r="E4" s="806"/>
      <c r="F4" s="806"/>
      <c r="G4" s="806"/>
      <c r="H4" s="818"/>
      <c r="I4" s="804"/>
    </row>
    <row r="5" spans="1:9" ht="13.5" thickBot="1" x14ac:dyDescent="0.25">
      <c r="A5" s="811"/>
      <c r="B5" s="812"/>
      <c r="C5" s="244" t="s">
        <v>28</v>
      </c>
      <c r="D5" s="920" t="s">
        <v>27</v>
      </c>
      <c r="E5" s="920"/>
      <c r="F5" s="920"/>
      <c r="G5" s="920"/>
      <c r="H5" s="925"/>
      <c r="I5" s="919"/>
    </row>
    <row r="6" spans="1:9" x14ac:dyDescent="0.2">
      <c r="A6" s="246"/>
      <c r="B6" s="246"/>
      <c r="C6" s="247"/>
      <c r="D6" s="248"/>
      <c r="E6" s="248"/>
      <c r="F6" s="248"/>
      <c r="G6" s="248"/>
      <c r="H6" s="249"/>
      <c r="I6" s="308"/>
    </row>
    <row r="7" spans="1:9" ht="18.75" thickBot="1" x14ac:dyDescent="0.3">
      <c r="A7" s="661" t="s">
        <v>26</v>
      </c>
      <c r="B7" s="661"/>
      <c r="C7" s="661"/>
      <c r="D7" s="662" t="s">
        <v>223</v>
      </c>
      <c r="E7" s="662"/>
      <c r="F7" s="662"/>
      <c r="G7" s="663" t="s">
        <v>25</v>
      </c>
      <c r="H7" s="663"/>
      <c r="I7" s="309" t="s">
        <v>223</v>
      </c>
    </row>
    <row r="8" spans="1:9" ht="25.5" x14ac:dyDescent="0.2">
      <c r="A8" s="798" t="s">
        <v>24</v>
      </c>
      <c r="B8" s="800" t="s">
        <v>35</v>
      </c>
      <c r="C8" s="802" t="s">
        <v>23</v>
      </c>
      <c r="D8" s="802" t="s">
        <v>22</v>
      </c>
      <c r="E8" s="802" t="s">
        <v>21</v>
      </c>
      <c r="F8" s="802"/>
      <c r="G8" s="802" t="s">
        <v>20</v>
      </c>
      <c r="H8" s="802"/>
      <c r="I8" s="310" t="s">
        <v>19</v>
      </c>
    </row>
    <row r="9" spans="1:9" ht="26.25" thickBot="1" x14ac:dyDescent="0.25">
      <c r="A9" s="799"/>
      <c r="B9" s="801"/>
      <c r="C9" s="803"/>
      <c r="D9" s="803"/>
      <c r="E9" s="311" t="s">
        <v>15</v>
      </c>
      <c r="F9" s="312" t="s">
        <v>18</v>
      </c>
      <c r="G9" s="311"/>
      <c r="H9" s="312" t="s">
        <v>18</v>
      </c>
      <c r="I9" s="313" t="s">
        <v>17</v>
      </c>
    </row>
    <row r="10" spans="1:9" ht="15" x14ac:dyDescent="0.2">
      <c r="A10" s="314">
        <v>906000138</v>
      </c>
      <c r="B10" s="315" t="s">
        <v>224</v>
      </c>
      <c r="C10" s="316" t="s">
        <v>225</v>
      </c>
      <c r="D10" s="317" t="s">
        <v>16</v>
      </c>
      <c r="E10" s="318">
        <v>13995</v>
      </c>
      <c r="F10" s="317" t="s">
        <v>2</v>
      </c>
      <c r="G10" s="319"/>
      <c r="H10" s="320"/>
      <c r="I10" s="321"/>
    </row>
    <row r="11" spans="1:9" ht="15" x14ac:dyDescent="0.2">
      <c r="A11" s="103">
        <v>1210482</v>
      </c>
      <c r="B11" s="103" t="s">
        <v>226</v>
      </c>
      <c r="C11" s="104" t="s">
        <v>227</v>
      </c>
      <c r="D11" s="322" t="s">
        <v>228</v>
      </c>
      <c r="E11" s="322">
        <v>9055</v>
      </c>
      <c r="F11" s="322" t="s">
        <v>2</v>
      </c>
      <c r="G11" s="319"/>
      <c r="H11" s="320"/>
      <c r="I11" s="321"/>
    </row>
    <row r="12" spans="1:9" ht="15.75" x14ac:dyDescent="0.25">
      <c r="A12" s="23" t="s">
        <v>229</v>
      </c>
      <c r="B12" s="23"/>
      <c r="C12" s="22" t="s">
        <v>230</v>
      </c>
      <c r="D12" s="322" t="s">
        <v>16</v>
      </c>
      <c r="E12" s="322">
        <v>1940</v>
      </c>
      <c r="F12" s="322" t="s">
        <v>2</v>
      </c>
      <c r="G12" s="319"/>
      <c r="H12" s="320"/>
      <c r="I12" s="321"/>
    </row>
    <row r="13" spans="1:9" ht="15" x14ac:dyDescent="0.2">
      <c r="A13" s="103">
        <v>1212437</v>
      </c>
      <c r="B13" s="103" t="s">
        <v>231</v>
      </c>
      <c r="C13" s="104" t="s">
        <v>232</v>
      </c>
      <c r="D13" s="322" t="s">
        <v>233</v>
      </c>
      <c r="E13" s="322">
        <v>855</v>
      </c>
      <c r="F13" s="322" t="s">
        <v>2</v>
      </c>
      <c r="G13" s="319"/>
      <c r="H13" s="320"/>
      <c r="I13" s="321"/>
    </row>
    <row r="14" spans="1:9" ht="15" x14ac:dyDescent="0.2">
      <c r="A14" s="103"/>
      <c r="B14" s="103"/>
      <c r="C14" s="323"/>
      <c r="D14" s="322"/>
      <c r="E14" s="322"/>
      <c r="F14" s="322"/>
      <c r="G14" s="319"/>
      <c r="H14" s="320"/>
      <c r="I14" s="321"/>
    </row>
    <row r="15" spans="1:9" ht="15" x14ac:dyDescent="0.2">
      <c r="A15" s="324"/>
      <c r="B15" s="325"/>
      <c r="C15" s="323"/>
      <c r="D15" s="318"/>
      <c r="E15" s="318"/>
      <c r="F15" s="318"/>
      <c r="G15" s="319"/>
      <c r="H15" s="320"/>
      <c r="I15" s="321"/>
    </row>
    <row r="16" spans="1:9" ht="15.75" x14ac:dyDescent="0.25">
      <c r="A16" s="324"/>
      <c r="B16" s="325"/>
      <c r="C16" s="326"/>
      <c r="D16" s="318"/>
      <c r="E16" s="318"/>
      <c r="F16" s="318"/>
      <c r="G16" s="319"/>
      <c r="H16" s="320"/>
      <c r="I16" s="321"/>
    </row>
    <row r="17" spans="1:13" ht="15" x14ac:dyDescent="0.2">
      <c r="A17" s="103"/>
      <c r="B17" s="103"/>
      <c r="C17" s="104"/>
      <c r="D17" s="318"/>
      <c r="E17" s="318"/>
      <c r="F17" s="318"/>
      <c r="G17" s="319"/>
      <c r="H17" s="320"/>
      <c r="I17" s="321"/>
    </row>
    <row r="18" spans="1:13" ht="15" x14ac:dyDescent="0.2">
      <c r="A18" s="103"/>
      <c r="B18" s="103"/>
      <c r="C18" s="327"/>
      <c r="D18" s="318"/>
      <c r="E18" s="318"/>
      <c r="F18" s="318"/>
      <c r="G18" s="319"/>
      <c r="H18" s="320"/>
      <c r="I18" s="321"/>
    </row>
    <row r="19" spans="1:13" ht="15" x14ac:dyDescent="0.2">
      <c r="A19" s="103"/>
      <c r="B19" s="103"/>
      <c r="C19" s="104"/>
      <c r="D19" s="318"/>
      <c r="E19" s="328"/>
      <c r="F19" s="329"/>
      <c r="G19" s="330"/>
      <c r="H19" s="331"/>
      <c r="I19" s="332"/>
    </row>
    <row r="20" spans="1:13" ht="14.25" x14ac:dyDescent="0.2">
      <c r="A20" s="333"/>
      <c r="B20" s="334"/>
      <c r="C20" s="335"/>
      <c r="D20" s="336"/>
      <c r="E20" s="328"/>
      <c r="F20" s="329"/>
      <c r="G20" s="330"/>
      <c r="H20" s="331"/>
      <c r="I20" s="332"/>
    </row>
    <row r="21" spans="1:13" ht="14.25" x14ac:dyDescent="0.2">
      <c r="A21" s="333"/>
      <c r="B21" s="334"/>
      <c r="C21" s="337"/>
      <c r="D21" s="336"/>
      <c r="E21" s="328"/>
      <c r="F21" s="329"/>
      <c r="G21" s="330"/>
      <c r="H21" s="331"/>
      <c r="I21" s="332"/>
    </row>
    <row r="22" spans="1:13" ht="15" x14ac:dyDescent="0.2">
      <c r="A22" s="338"/>
      <c r="B22" s="339"/>
      <c r="C22" s="340"/>
      <c r="D22" s="341"/>
      <c r="E22" s="322"/>
      <c r="F22" s="322"/>
      <c r="G22" s="330"/>
      <c r="H22" s="331"/>
      <c r="I22" s="342"/>
    </row>
    <row r="23" spans="1:13" ht="14.25" x14ac:dyDescent="0.2">
      <c r="A23" s="343"/>
      <c r="B23" s="344"/>
      <c r="C23" s="345"/>
      <c r="D23" s="346"/>
      <c r="E23" s="347"/>
      <c r="F23" s="347"/>
      <c r="G23" s="347"/>
      <c r="H23" s="347"/>
      <c r="I23" s="342"/>
    </row>
    <row r="24" spans="1:13" ht="13.5" thickBot="1" x14ac:dyDescent="0.25">
      <c r="A24" s="348"/>
      <c r="B24" s="349"/>
      <c r="E24" s="350"/>
      <c r="F24" s="351"/>
      <c r="I24" s="352"/>
      <c r="L24" s="353"/>
    </row>
    <row r="25" spans="1:13" ht="13.5" thickBot="1" x14ac:dyDescent="0.25">
      <c r="A25" s="354"/>
      <c r="B25" s="355"/>
      <c r="C25" s="356"/>
      <c r="D25" s="357" t="s">
        <v>15</v>
      </c>
      <c r="E25" s="358" t="s">
        <v>14</v>
      </c>
      <c r="F25" s="359"/>
      <c r="G25" s="356"/>
      <c r="H25" s="356"/>
      <c r="I25" s="360"/>
      <c r="L25" s="353"/>
    </row>
    <row r="26" spans="1:13" x14ac:dyDescent="0.2">
      <c r="A26" s="792" t="s">
        <v>13</v>
      </c>
      <c r="B26" s="793"/>
      <c r="C26" s="794"/>
      <c r="D26" s="319">
        <v>24000</v>
      </c>
      <c r="E26" s="361" t="s">
        <v>2</v>
      </c>
      <c r="F26" s="795"/>
      <c r="G26" s="795"/>
      <c r="H26" s="796"/>
      <c r="I26" s="797"/>
      <c r="L26" s="353"/>
    </row>
    <row r="27" spans="1:13" x14ac:dyDescent="0.2">
      <c r="A27" s="784" t="s">
        <v>11</v>
      </c>
      <c r="B27" s="785"/>
      <c r="C27" s="786"/>
      <c r="D27" s="362">
        <v>10</v>
      </c>
      <c r="E27" s="331" t="s">
        <v>10</v>
      </c>
      <c r="F27" s="787"/>
      <c r="G27" s="787"/>
      <c r="H27" s="788"/>
      <c r="I27" s="789"/>
      <c r="L27" s="353"/>
    </row>
    <row r="28" spans="1:13" x14ac:dyDescent="0.2">
      <c r="A28" s="784" t="s">
        <v>8</v>
      </c>
      <c r="B28" s="785"/>
      <c r="C28" s="786"/>
      <c r="D28" s="331">
        <v>1</v>
      </c>
      <c r="E28" s="331" t="s">
        <v>234</v>
      </c>
      <c r="F28" s="787"/>
      <c r="G28" s="787"/>
      <c r="H28" s="788"/>
      <c r="I28" s="789"/>
      <c r="L28" s="353"/>
    </row>
    <row r="29" spans="1:13" x14ac:dyDescent="0.2">
      <c r="A29" s="784" t="s">
        <v>5</v>
      </c>
      <c r="B29" s="785"/>
      <c r="C29" s="786"/>
      <c r="D29" s="330">
        <f>+D26</f>
        <v>24000</v>
      </c>
      <c r="E29" s="331" t="s">
        <v>2</v>
      </c>
      <c r="F29" s="790"/>
      <c r="G29" s="791"/>
      <c r="H29" s="788"/>
      <c r="I29" s="789"/>
      <c r="L29" s="353"/>
      <c r="M29" s="299"/>
    </row>
    <row r="30" spans="1:13" ht="13.5" thickBot="1" x14ac:dyDescent="0.25">
      <c r="A30" s="775" t="s">
        <v>3</v>
      </c>
      <c r="B30" s="776"/>
      <c r="C30" s="777"/>
      <c r="D30" s="363">
        <f>SUM(E10:E13)-D26</f>
        <v>1845</v>
      </c>
      <c r="E30" s="364" t="s">
        <v>2</v>
      </c>
      <c r="F30" s="778"/>
      <c r="G30" s="778"/>
      <c r="H30" s="779"/>
      <c r="I30" s="780"/>
      <c r="L30" s="353"/>
    </row>
    <row r="31" spans="1:13" ht="13.5" thickBot="1" x14ac:dyDescent="0.25">
      <c r="A31" s="772" t="s">
        <v>1</v>
      </c>
      <c r="B31" s="773"/>
      <c r="C31" s="773"/>
      <c r="D31" s="773"/>
      <c r="E31" s="773"/>
      <c r="F31" s="773"/>
      <c r="G31" s="773"/>
      <c r="H31" s="773"/>
      <c r="I31" s="774"/>
    </row>
    <row r="32" spans="1:13" ht="15" x14ac:dyDescent="0.25">
      <c r="A32" s="781" t="s">
        <v>235</v>
      </c>
      <c r="B32" s="782"/>
      <c r="C32" s="782"/>
      <c r="D32" s="782"/>
      <c r="E32" s="782"/>
      <c r="F32" s="782"/>
      <c r="G32" s="782"/>
      <c r="H32" s="782"/>
      <c r="I32" s="783"/>
    </row>
    <row r="33" spans="1:12" ht="15" x14ac:dyDescent="0.25">
      <c r="A33" s="781" t="s">
        <v>236</v>
      </c>
      <c r="B33" s="782"/>
      <c r="C33" s="782"/>
      <c r="D33" s="782"/>
      <c r="E33" s="782"/>
      <c r="F33" s="782"/>
      <c r="G33" s="782"/>
      <c r="H33" s="782"/>
      <c r="I33" s="783"/>
    </row>
    <row r="34" spans="1:12" ht="15" x14ac:dyDescent="0.25">
      <c r="A34" s="781" t="s">
        <v>237</v>
      </c>
      <c r="B34" s="782"/>
      <c r="C34" s="782"/>
      <c r="D34" s="782"/>
      <c r="E34" s="782"/>
      <c r="F34" s="782"/>
      <c r="G34" s="782"/>
      <c r="H34" s="782"/>
      <c r="I34" s="783"/>
      <c r="L34" s="307">
        <f>3492/24000</f>
        <v>0.14549999999999999</v>
      </c>
    </row>
    <row r="35" spans="1:12" ht="15" x14ac:dyDescent="0.25">
      <c r="A35" s="781" t="s">
        <v>238</v>
      </c>
      <c r="B35" s="782"/>
      <c r="C35" s="782"/>
      <c r="D35" s="782"/>
      <c r="E35" s="782"/>
      <c r="F35" s="782"/>
      <c r="G35" s="782"/>
      <c r="H35" s="782"/>
      <c r="I35" s="783"/>
      <c r="L35" s="307">
        <f>+L34*300</f>
        <v>43.65</v>
      </c>
    </row>
    <row r="36" spans="1:12" ht="15" x14ac:dyDescent="0.25">
      <c r="A36" s="781"/>
      <c r="B36" s="782"/>
      <c r="C36" s="782"/>
      <c r="D36" s="782"/>
      <c r="E36" s="782"/>
      <c r="F36" s="782"/>
      <c r="G36" s="782"/>
      <c r="H36" s="782"/>
      <c r="I36" s="783"/>
      <c r="L36" s="307">
        <f>+L35*1.5</f>
        <v>65.474999999999994</v>
      </c>
    </row>
    <row r="37" spans="1:12" ht="15" x14ac:dyDescent="0.25">
      <c r="A37" s="781"/>
      <c r="B37" s="782"/>
      <c r="C37" s="782"/>
      <c r="D37" s="782"/>
      <c r="E37" s="782"/>
      <c r="F37" s="782"/>
      <c r="G37" s="782"/>
      <c r="H37" s="782"/>
      <c r="I37" s="783"/>
    </row>
    <row r="38" spans="1:12" ht="15" x14ac:dyDescent="0.25">
      <c r="A38" s="781"/>
      <c r="B38" s="782"/>
      <c r="C38" s="782"/>
      <c r="D38" s="782"/>
      <c r="E38" s="782"/>
      <c r="F38" s="782"/>
      <c r="G38" s="782"/>
      <c r="H38" s="782"/>
      <c r="I38" s="783"/>
    </row>
    <row r="39" spans="1:12" ht="14.25" x14ac:dyDescent="0.2">
      <c r="A39" s="766"/>
      <c r="B39" s="767"/>
      <c r="C39" s="767"/>
      <c r="D39" s="767"/>
      <c r="E39" s="767"/>
      <c r="F39" s="767"/>
      <c r="G39" s="767"/>
      <c r="H39" s="767"/>
      <c r="I39" s="768"/>
    </row>
    <row r="40" spans="1:12" ht="15" thickBot="1" x14ac:dyDescent="0.25">
      <c r="A40" s="766"/>
      <c r="B40" s="767"/>
      <c r="C40" s="767"/>
      <c r="D40" s="767"/>
      <c r="E40" s="767"/>
      <c r="F40" s="767"/>
      <c r="G40" s="767"/>
      <c r="H40" s="767"/>
      <c r="I40" s="768"/>
    </row>
    <row r="41" spans="1:12" ht="13.5" thickBot="1" x14ac:dyDescent="0.25">
      <c r="A41" s="772" t="s">
        <v>114</v>
      </c>
      <c r="B41" s="773"/>
      <c r="C41" s="773"/>
      <c r="D41" s="773"/>
      <c r="E41" s="773"/>
      <c r="F41" s="773"/>
      <c r="G41" s="773"/>
      <c r="H41" s="773"/>
      <c r="I41" s="774"/>
    </row>
    <row r="42" spans="1:12" ht="15" x14ac:dyDescent="0.25">
      <c r="A42" s="365" t="s">
        <v>239</v>
      </c>
      <c r="B42" s="365"/>
    </row>
    <row r="43" spans="1:12" x14ac:dyDescent="0.2">
      <c r="A43" s="366" t="s">
        <v>240</v>
      </c>
      <c r="B43" s="366"/>
      <c r="C43" s="366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40:I40"/>
    <mergeCell ref="A41:I41"/>
    <mergeCell ref="A34:I34"/>
    <mergeCell ref="A35:I35"/>
    <mergeCell ref="A36:I36"/>
    <mergeCell ref="A37:I37"/>
    <mergeCell ref="A38:I38"/>
    <mergeCell ref="A39:I3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D150-2BDA-497D-8D5E-2520ED09973F}">
  <dimension ref="A1:M46"/>
  <sheetViews>
    <sheetView zoomScale="85" zoomScaleNormal="85" workbookViewId="0">
      <selection activeCell="D16" sqref="D16"/>
    </sheetView>
  </sheetViews>
  <sheetFormatPr baseColWidth="10" defaultColWidth="11.42578125" defaultRowHeight="12.75" x14ac:dyDescent="0.2"/>
  <cols>
    <col min="1" max="1" width="16.140625" style="307" customWidth="1"/>
    <col min="2" max="2" width="12.42578125" style="307" customWidth="1"/>
    <col min="3" max="3" width="40.5703125" style="307" customWidth="1"/>
    <col min="4" max="4" width="30.28515625" style="307" customWidth="1"/>
    <col min="5" max="5" width="11.42578125" style="307"/>
    <col min="6" max="6" width="13.140625" style="307" customWidth="1"/>
    <col min="7" max="7" width="12.5703125" style="307" customWidth="1"/>
    <col min="8" max="8" width="15.5703125" style="307" customWidth="1"/>
    <col min="9" max="9" width="18" style="307" customWidth="1"/>
    <col min="10" max="16384" width="11.42578125" style="307"/>
  </cols>
  <sheetData>
    <row r="1" spans="1:9" ht="18" x14ac:dyDescent="0.25">
      <c r="A1" s="807"/>
      <c r="B1" s="808"/>
      <c r="C1" s="813" t="s">
        <v>34</v>
      </c>
      <c r="D1" s="813"/>
      <c r="E1" s="813"/>
      <c r="F1" s="813"/>
      <c r="G1" s="813"/>
      <c r="H1" s="237" t="s">
        <v>33</v>
      </c>
      <c r="I1" s="238" t="s">
        <v>241</v>
      </c>
    </row>
    <row r="2" spans="1:9" ht="18" x14ac:dyDescent="0.25">
      <c r="A2" s="809"/>
      <c r="B2" s="810"/>
      <c r="C2" s="814" t="s">
        <v>32</v>
      </c>
      <c r="D2" s="814"/>
      <c r="E2" s="814"/>
      <c r="F2" s="814"/>
      <c r="G2" s="814"/>
      <c r="H2" s="240" t="s">
        <v>31</v>
      </c>
      <c r="I2" s="367" t="s">
        <v>202</v>
      </c>
    </row>
    <row r="3" spans="1:9" ht="50.1" customHeight="1" x14ac:dyDescent="0.2">
      <c r="A3" s="809"/>
      <c r="B3" s="810"/>
      <c r="C3" s="815" t="s">
        <v>242</v>
      </c>
      <c r="D3" s="816"/>
      <c r="E3" s="816"/>
      <c r="F3" s="816"/>
      <c r="G3" s="817"/>
      <c r="H3" s="818" t="s">
        <v>30</v>
      </c>
      <c r="I3" s="973">
        <v>45411</v>
      </c>
    </row>
    <row r="4" spans="1:9" ht="15" x14ac:dyDescent="0.25">
      <c r="A4" s="809"/>
      <c r="B4" s="810"/>
      <c r="C4" s="242" t="s">
        <v>29</v>
      </c>
      <c r="D4" s="969" t="s">
        <v>222</v>
      </c>
      <c r="E4" s="806"/>
      <c r="F4" s="806"/>
      <c r="G4" s="806"/>
      <c r="H4" s="818"/>
      <c r="I4" s="804"/>
    </row>
    <row r="5" spans="1:9" ht="15" customHeight="1" thickBot="1" x14ac:dyDescent="0.25">
      <c r="A5" s="811"/>
      <c r="B5" s="812"/>
      <c r="C5" s="244" t="s">
        <v>28</v>
      </c>
      <c r="D5" s="920" t="s">
        <v>27</v>
      </c>
      <c r="E5" s="920"/>
      <c r="F5" s="920"/>
      <c r="G5" s="920"/>
      <c r="H5" s="925"/>
      <c r="I5" s="919"/>
    </row>
    <row r="6" spans="1:9" ht="15" customHeight="1" x14ac:dyDescent="0.2">
      <c r="A6" s="246"/>
      <c r="B6" s="246"/>
      <c r="C6" s="247"/>
      <c r="D6" s="248"/>
      <c r="E6" s="248"/>
      <c r="F6" s="248"/>
      <c r="G6" s="248"/>
      <c r="H6" s="249"/>
      <c r="I6" s="308"/>
    </row>
    <row r="7" spans="1:9" ht="21" customHeight="1" thickBot="1" x14ac:dyDescent="0.3">
      <c r="A7" s="661" t="s">
        <v>26</v>
      </c>
      <c r="B7" s="661"/>
      <c r="C7" s="661"/>
      <c r="D7" s="662" t="s">
        <v>243</v>
      </c>
      <c r="E7" s="662"/>
      <c r="F7" s="662"/>
      <c r="G7" s="663" t="s">
        <v>25</v>
      </c>
      <c r="H7" s="663"/>
      <c r="I7" s="309" t="s">
        <v>243</v>
      </c>
    </row>
    <row r="8" spans="1:9" x14ac:dyDescent="0.2">
      <c r="A8" s="798" t="s">
        <v>24</v>
      </c>
      <c r="B8" s="800" t="s">
        <v>35</v>
      </c>
      <c r="C8" s="802" t="s">
        <v>23</v>
      </c>
      <c r="D8" s="802" t="s">
        <v>22</v>
      </c>
      <c r="E8" s="802" t="s">
        <v>21</v>
      </c>
      <c r="F8" s="802"/>
      <c r="G8" s="802" t="s">
        <v>20</v>
      </c>
      <c r="H8" s="802"/>
      <c r="I8" s="310" t="s">
        <v>19</v>
      </c>
    </row>
    <row r="9" spans="1:9" ht="26.25" thickBot="1" x14ac:dyDescent="0.25">
      <c r="A9" s="970"/>
      <c r="B9" s="971"/>
      <c r="C9" s="972"/>
      <c r="D9" s="803"/>
      <c r="E9" s="311" t="s">
        <v>15</v>
      </c>
      <c r="F9" s="312" t="s">
        <v>18</v>
      </c>
      <c r="G9" s="311" t="s">
        <v>15</v>
      </c>
      <c r="H9" s="312" t="s">
        <v>18</v>
      </c>
      <c r="I9" s="313" t="s">
        <v>17</v>
      </c>
    </row>
    <row r="10" spans="1:9" ht="15" x14ac:dyDescent="0.2">
      <c r="A10" s="103">
        <v>510301</v>
      </c>
      <c r="B10" s="103" t="s">
        <v>244</v>
      </c>
      <c r="C10" s="104" t="s">
        <v>245</v>
      </c>
      <c r="D10" s="317" t="s">
        <v>246</v>
      </c>
      <c r="E10" s="317">
        <v>5820</v>
      </c>
      <c r="F10" s="317" t="s">
        <v>2</v>
      </c>
      <c r="G10" s="368"/>
      <c r="H10" s="320"/>
      <c r="I10" s="321"/>
    </row>
    <row r="11" spans="1:9" ht="15.75" x14ac:dyDescent="0.25">
      <c r="A11" s="25">
        <v>1210445</v>
      </c>
      <c r="B11" s="23" t="s">
        <v>247</v>
      </c>
      <c r="C11" s="22" t="s">
        <v>248</v>
      </c>
      <c r="D11" s="369"/>
      <c r="E11" s="369">
        <v>350</v>
      </c>
      <c r="F11" s="369" t="s">
        <v>2</v>
      </c>
      <c r="G11" s="368"/>
      <c r="H11" s="320"/>
      <c r="I11" s="321"/>
    </row>
    <row r="12" spans="1:9" ht="15" x14ac:dyDescent="0.2">
      <c r="A12" s="370">
        <v>11200072</v>
      </c>
      <c r="B12" s="370" t="s">
        <v>249</v>
      </c>
      <c r="C12" s="323" t="s">
        <v>250</v>
      </c>
      <c r="D12" s="318" t="s">
        <v>251</v>
      </c>
      <c r="E12" s="318">
        <v>3622</v>
      </c>
      <c r="F12" s="318" t="s">
        <v>2</v>
      </c>
      <c r="G12" s="368"/>
      <c r="H12" s="320"/>
      <c r="I12" s="321"/>
    </row>
    <row r="13" spans="1:9" ht="15" x14ac:dyDescent="0.2">
      <c r="A13" s="370">
        <v>11200087</v>
      </c>
      <c r="B13" s="370" t="s">
        <v>252</v>
      </c>
      <c r="C13" s="104" t="s">
        <v>253</v>
      </c>
      <c r="D13" s="318" t="s">
        <v>254</v>
      </c>
      <c r="E13" s="318">
        <v>3492</v>
      </c>
      <c r="F13" s="318" t="s">
        <v>2</v>
      </c>
      <c r="G13" s="368"/>
      <c r="H13" s="320"/>
      <c r="I13" s="321"/>
    </row>
    <row r="14" spans="1:9" ht="15" x14ac:dyDescent="0.2">
      <c r="A14" s="324">
        <v>1160001</v>
      </c>
      <c r="B14" s="325" t="s">
        <v>255</v>
      </c>
      <c r="C14" s="323" t="s">
        <v>256</v>
      </c>
      <c r="D14" s="318" t="s">
        <v>257</v>
      </c>
      <c r="E14" s="318">
        <v>60</v>
      </c>
      <c r="F14" s="318" t="s">
        <v>2</v>
      </c>
      <c r="G14" s="368"/>
      <c r="H14" s="320"/>
      <c r="I14" s="321"/>
    </row>
    <row r="15" spans="1:9" ht="15" x14ac:dyDescent="0.2">
      <c r="A15" s="103">
        <v>1212410</v>
      </c>
      <c r="B15" s="103" t="s">
        <v>258</v>
      </c>
      <c r="C15" s="323" t="s">
        <v>259</v>
      </c>
      <c r="D15" s="322" t="s">
        <v>260</v>
      </c>
      <c r="E15" s="318">
        <v>38</v>
      </c>
      <c r="F15" s="318" t="s">
        <v>2</v>
      </c>
      <c r="G15" s="368"/>
      <c r="H15" s="320"/>
      <c r="I15" s="321"/>
    </row>
    <row r="16" spans="1:9" ht="15" x14ac:dyDescent="0.2">
      <c r="A16" s="103">
        <v>10100337</v>
      </c>
      <c r="B16" s="103" t="s">
        <v>261</v>
      </c>
      <c r="C16" s="104" t="s">
        <v>262</v>
      </c>
      <c r="D16" s="322" t="s">
        <v>263</v>
      </c>
      <c r="E16" s="318">
        <v>30</v>
      </c>
      <c r="F16" s="318" t="s">
        <v>2</v>
      </c>
      <c r="G16" s="368"/>
      <c r="H16" s="320"/>
      <c r="I16" s="321"/>
    </row>
    <row r="17" spans="1:13" ht="15" x14ac:dyDescent="0.2">
      <c r="A17" s="314">
        <v>310145</v>
      </c>
      <c r="B17" s="315" t="s">
        <v>264</v>
      </c>
      <c r="C17" s="371" t="s">
        <v>265</v>
      </c>
      <c r="D17" s="372" t="s">
        <v>266</v>
      </c>
      <c r="E17" s="372">
        <v>518</v>
      </c>
      <c r="F17" s="372" t="s">
        <v>2</v>
      </c>
      <c r="G17" s="368"/>
      <c r="H17" s="320"/>
      <c r="I17" s="321"/>
    </row>
    <row r="18" spans="1:13" ht="15" x14ac:dyDescent="0.2">
      <c r="A18" s="103">
        <v>503000036</v>
      </c>
      <c r="B18" s="103" t="s">
        <v>267</v>
      </c>
      <c r="C18" s="104" t="s">
        <v>268</v>
      </c>
      <c r="D18" s="373"/>
      <c r="E18" s="322">
        <v>65</v>
      </c>
      <c r="F18" s="374" t="s">
        <v>2</v>
      </c>
      <c r="G18" s="368"/>
      <c r="H18" s="320"/>
      <c r="I18" s="321"/>
    </row>
    <row r="19" spans="1:13" ht="15.75" x14ac:dyDescent="0.25">
      <c r="A19" s="325"/>
      <c r="B19" s="325"/>
      <c r="C19" s="326"/>
      <c r="D19" s="318"/>
      <c r="E19" s="318"/>
      <c r="F19" s="318"/>
      <c r="G19" s="368"/>
      <c r="H19" s="320"/>
      <c r="I19" s="321"/>
    </row>
    <row r="20" spans="1:13" ht="15" x14ac:dyDescent="0.2">
      <c r="A20" s="103">
        <v>1950708</v>
      </c>
      <c r="B20" s="103" t="s">
        <v>269</v>
      </c>
      <c r="C20" s="104" t="s">
        <v>270</v>
      </c>
      <c r="D20" s="318"/>
      <c r="E20" s="318">
        <v>2</v>
      </c>
      <c r="F20" s="318" t="s">
        <v>7</v>
      </c>
      <c r="G20" s="368"/>
      <c r="H20" s="320"/>
      <c r="I20" s="321"/>
    </row>
    <row r="21" spans="1:13" ht="15" x14ac:dyDescent="0.2">
      <c r="A21" s="103">
        <v>60100010</v>
      </c>
      <c r="B21" s="103" t="s">
        <v>271</v>
      </c>
      <c r="C21" s="104" t="s">
        <v>272</v>
      </c>
      <c r="D21" s="318"/>
      <c r="E21" s="318">
        <v>2</v>
      </c>
      <c r="F21" s="318" t="s">
        <v>7</v>
      </c>
      <c r="G21" s="368"/>
      <c r="H21" s="320"/>
      <c r="I21" s="321"/>
    </row>
    <row r="22" spans="1:13" ht="13.5" customHeight="1" x14ac:dyDescent="0.2">
      <c r="A22" s="103">
        <v>702123</v>
      </c>
      <c r="B22" s="103" t="s">
        <v>37</v>
      </c>
      <c r="C22" s="104" t="s">
        <v>273</v>
      </c>
      <c r="D22" s="336"/>
      <c r="E22" s="328">
        <v>2</v>
      </c>
      <c r="F22" s="329" t="s">
        <v>7</v>
      </c>
      <c r="G22" s="368"/>
      <c r="H22" s="331"/>
      <c r="I22" s="332"/>
    </row>
    <row r="23" spans="1:13" ht="15" x14ac:dyDescent="0.2">
      <c r="A23" s="314">
        <v>1950705</v>
      </c>
      <c r="B23" s="315" t="s">
        <v>274</v>
      </c>
      <c r="C23" s="371" t="s">
        <v>275</v>
      </c>
      <c r="D23" s="336"/>
      <c r="E23" s="328">
        <v>1</v>
      </c>
      <c r="F23" s="329" t="s">
        <v>7</v>
      </c>
      <c r="G23" s="368"/>
      <c r="H23" s="331"/>
      <c r="I23" s="332"/>
    </row>
    <row r="24" spans="1:13" ht="14.25" x14ac:dyDescent="0.2">
      <c r="A24" s="333"/>
      <c r="B24" s="334"/>
      <c r="C24" s="337"/>
      <c r="D24" s="336"/>
      <c r="E24" s="328"/>
      <c r="F24" s="329"/>
      <c r="G24" s="330"/>
      <c r="H24" s="331"/>
      <c r="I24" s="332"/>
    </row>
    <row r="25" spans="1:13" ht="15" x14ac:dyDescent="0.2">
      <c r="A25" s="338"/>
      <c r="B25" s="339"/>
      <c r="C25" s="340"/>
      <c r="D25" s="341"/>
      <c r="E25" s="322"/>
      <c r="F25" s="322"/>
      <c r="G25" s="330"/>
      <c r="H25" s="331"/>
      <c r="I25" s="342"/>
    </row>
    <row r="26" spans="1:13" ht="14.25" x14ac:dyDescent="0.2">
      <c r="A26" s="343"/>
      <c r="B26" s="344"/>
      <c r="C26" s="345"/>
      <c r="D26" s="346"/>
      <c r="E26" s="347"/>
      <c r="F26" s="347"/>
      <c r="G26" s="319"/>
      <c r="H26" s="375"/>
      <c r="I26" s="342"/>
    </row>
    <row r="27" spans="1:13" ht="13.5" thickBot="1" x14ac:dyDescent="0.25">
      <c r="A27" s="348"/>
      <c r="B27" s="349"/>
      <c r="E27" s="350"/>
      <c r="F27" s="351"/>
      <c r="I27" s="352"/>
      <c r="L27" s="353"/>
    </row>
    <row r="28" spans="1:13" ht="13.5" thickBot="1" x14ac:dyDescent="0.25">
      <c r="A28" s="354"/>
      <c r="B28" s="355"/>
      <c r="C28" s="356"/>
      <c r="D28" s="357" t="s">
        <v>15</v>
      </c>
      <c r="E28" s="358" t="s">
        <v>14</v>
      </c>
      <c r="F28" s="359"/>
      <c r="G28" s="356"/>
      <c r="H28" s="356"/>
      <c r="I28" s="360"/>
      <c r="L28" s="353"/>
    </row>
    <row r="29" spans="1:13" x14ac:dyDescent="0.2">
      <c r="A29" s="792" t="s">
        <v>13</v>
      </c>
      <c r="B29" s="793"/>
      <c r="C29" s="794"/>
      <c r="D29" s="319">
        <f>SUM(E10:E18)</f>
        <v>13995</v>
      </c>
      <c r="E29" s="361" t="s">
        <v>2</v>
      </c>
      <c r="F29" s="795"/>
      <c r="G29" s="795"/>
      <c r="H29" s="796"/>
      <c r="I29" s="797"/>
      <c r="L29" s="353"/>
    </row>
    <row r="30" spans="1:13" x14ac:dyDescent="0.2">
      <c r="A30" s="784" t="s">
        <v>11</v>
      </c>
      <c r="B30" s="785"/>
      <c r="C30" s="786"/>
      <c r="D30" s="362">
        <v>3</v>
      </c>
      <c r="E30" s="331" t="s">
        <v>10</v>
      </c>
      <c r="F30" s="787"/>
      <c r="G30" s="787"/>
      <c r="H30" s="788"/>
      <c r="I30" s="789"/>
      <c r="L30" s="353"/>
    </row>
    <row r="31" spans="1:13" x14ac:dyDescent="0.2">
      <c r="A31" s="784" t="s">
        <v>8</v>
      </c>
      <c r="B31" s="785"/>
      <c r="C31" s="786"/>
      <c r="D31" s="331">
        <v>1</v>
      </c>
      <c r="E31" s="331" t="s">
        <v>7</v>
      </c>
      <c r="F31" s="787"/>
      <c r="G31" s="787"/>
      <c r="H31" s="788"/>
      <c r="I31" s="789"/>
      <c r="L31" s="353"/>
    </row>
    <row r="32" spans="1:13" x14ac:dyDescent="0.2">
      <c r="A32" s="784" t="s">
        <v>5</v>
      </c>
      <c r="B32" s="785"/>
      <c r="C32" s="786"/>
      <c r="D32" s="330">
        <f>+D29</f>
        <v>13995</v>
      </c>
      <c r="E32" s="331" t="s">
        <v>2</v>
      </c>
      <c r="F32" s="790"/>
      <c r="G32" s="791"/>
      <c r="H32" s="788"/>
      <c r="I32" s="789"/>
      <c r="L32" s="353"/>
      <c r="M32" s="299"/>
    </row>
    <row r="33" spans="1:12" ht="13.5" thickBot="1" x14ac:dyDescent="0.25">
      <c r="A33" s="775" t="s">
        <v>3</v>
      </c>
      <c r="B33" s="776"/>
      <c r="C33" s="777"/>
      <c r="D33" s="363">
        <v>0</v>
      </c>
      <c r="E33" s="364" t="s">
        <v>2</v>
      </c>
      <c r="F33" s="778"/>
      <c r="G33" s="778"/>
      <c r="H33" s="779"/>
      <c r="I33" s="780"/>
      <c r="L33" s="353"/>
    </row>
    <row r="34" spans="1:12" ht="13.5" thickBot="1" x14ac:dyDescent="0.25">
      <c r="A34" s="772" t="s">
        <v>1</v>
      </c>
      <c r="B34" s="773"/>
      <c r="C34" s="773"/>
      <c r="D34" s="773"/>
      <c r="E34" s="773"/>
      <c r="F34" s="773"/>
      <c r="G34" s="773"/>
      <c r="H34" s="773"/>
      <c r="I34" s="774"/>
    </row>
    <row r="35" spans="1:12" ht="15" x14ac:dyDescent="0.25">
      <c r="A35" s="781" t="s">
        <v>276</v>
      </c>
      <c r="B35" s="782"/>
      <c r="C35" s="782"/>
      <c r="D35" s="782"/>
      <c r="E35" s="782"/>
      <c r="F35" s="782"/>
      <c r="G35" s="782"/>
      <c r="H35" s="782"/>
      <c r="I35" s="783"/>
    </row>
    <row r="36" spans="1:12" ht="15" x14ac:dyDescent="0.25">
      <c r="A36" s="781" t="s">
        <v>277</v>
      </c>
      <c r="B36" s="782"/>
      <c r="C36" s="782"/>
      <c r="D36" s="782"/>
      <c r="E36" s="782"/>
      <c r="F36" s="782"/>
      <c r="G36" s="782"/>
      <c r="H36" s="782"/>
      <c r="I36" s="783"/>
    </row>
    <row r="37" spans="1:12" ht="15" x14ac:dyDescent="0.25">
      <c r="A37" s="781" t="s">
        <v>278</v>
      </c>
      <c r="B37" s="782"/>
      <c r="C37" s="782"/>
      <c r="D37" s="782"/>
      <c r="E37" s="782"/>
      <c r="F37" s="782"/>
      <c r="G37" s="782"/>
      <c r="H37" s="782"/>
      <c r="I37" s="783"/>
    </row>
    <row r="38" spans="1:12" ht="15" x14ac:dyDescent="0.25">
      <c r="A38" s="781" t="s">
        <v>279</v>
      </c>
      <c r="B38" s="782"/>
      <c r="C38" s="782"/>
      <c r="D38" s="782"/>
      <c r="E38" s="782"/>
      <c r="F38" s="782"/>
      <c r="G38" s="782"/>
      <c r="H38" s="782"/>
      <c r="I38" s="783"/>
    </row>
    <row r="39" spans="1:12" ht="15" x14ac:dyDescent="0.25">
      <c r="A39" s="781"/>
      <c r="B39" s="782"/>
      <c r="C39" s="782"/>
      <c r="D39" s="782"/>
      <c r="E39" s="782"/>
      <c r="F39" s="782"/>
      <c r="G39" s="782"/>
      <c r="H39" s="782"/>
      <c r="I39" s="783"/>
    </row>
    <row r="40" spans="1:12" ht="15" x14ac:dyDescent="0.25">
      <c r="A40" s="781"/>
      <c r="B40" s="782"/>
      <c r="C40" s="782"/>
      <c r="D40" s="782"/>
      <c r="E40" s="782"/>
      <c r="F40" s="782"/>
      <c r="G40" s="782"/>
      <c r="H40" s="782"/>
      <c r="I40" s="783"/>
    </row>
    <row r="41" spans="1:12" ht="16.5" customHeight="1" x14ac:dyDescent="0.2">
      <c r="A41" s="766"/>
      <c r="B41" s="767"/>
      <c r="C41" s="767"/>
      <c r="D41" s="767"/>
      <c r="E41" s="767"/>
      <c r="F41" s="767"/>
      <c r="G41" s="767"/>
      <c r="H41" s="767"/>
      <c r="I41" s="768"/>
    </row>
    <row r="42" spans="1:12" ht="16.5" customHeight="1" x14ac:dyDescent="0.2">
      <c r="A42" s="766"/>
      <c r="B42" s="767"/>
      <c r="C42" s="767"/>
      <c r="D42" s="767"/>
      <c r="E42" s="767"/>
      <c r="F42" s="767"/>
      <c r="G42" s="767"/>
      <c r="H42" s="767"/>
      <c r="I42" s="768"/>
    </row>
    <row r="43" spans="1:12" ht="16.5" customHeight="1" thickBot="1" x14ac:dyDescent="0.25">
      <c r="A43" s="769"/>
      <c r="B43" s="770"/>
      <c r="C43" s="770"/>
      <c r="D43" s="770"/>
      <c r="E43" s="770"/>
      <c r="F43" s="770"/>
      <c r="G43" s="770"/>
      <c r="H43" s="770"/>
      <c r="I43" s="771"/>
    </row>
    <row r="44" spans="1:12" ht="13.5" thickBot="1" x14ac:dyDescent="0.25">
      <c r="A44" s="772" t="s">
        <v>114</v>
      </c>
      <c r="B44" s="773"/>
      <c r="C44" s="773"/>
      <c r="D44" s="773"/>
      <c r="E44" s="773"/>
      <c r="F44" s="773"/>
      <c r="G44" s="773"/>
      <c r="H44" s="773"/>
      <c r="I44" s="774"/>
    </row>
    <row r="45" spans="1:12" x14ac:dyDescent="0.2">
      <c r="A45" s="366" t="s">
        <v>280</v>
      </c>
      <c r="B45" s="366"/>
      <c r="C45" s="366"/>
    </row>
    <row r="46" spans="1:12" ht="15" x14ac:dyDescent="0.25">
      <c r="A46" s="366" t="s">
        <v>281</v>
      </c>
      <c r="B46" s="365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9:C29"/>
    <mergeCell ref="F29:G29"/>
    <mergeCell ref="H29:I29"/>
    <mergeCell ref="A30:C30"/>
    <mergeCell ref="F30:G30"/>
    <mergeCell ref="H30:I30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43:I43"/>
    <mergeCell ref="A44:I44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E7D5-FE41-466B-A8F3-3D56C3B9AD78}">
  <dimension ref="A1:Q91"/>
  <sheetViews>
    <sheetView topLeftCell="A42" workbookViewId="0">
      <selection sqref="A1:XFD1048576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754.44399453551921</v>
      </c>
      <c r="F2" s="142">
        <f>IFERROR(H53,"")</f>
        <v>744.31666666666672</v>
      </c>
      <c r="G2" s="142">
        <f>IFERROR(H54,"")</f>
        <v>9.2280000000000015</v>
      </c>
      <c r="H2" s="142">
        <f>IFERROR(H56,"")</f>
        <v>27.66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26"/>
      <c r="B4" s="726"/>
      <c r="C4" s="726"/>
      <c r="D4" s="726"/>
      <c r="E4" s="726"/>
      <c r="F4" s="726"/>
      <c r="G4" s="726"/>
      <c r="H4" s="726"/>
      <c r="I4" s="145"/>
    </row>
    <row r="5" spans="1:10" ht="19.5" customHeight="1" thickBot="1" x14ac:dyDescent="0.3">
      <c r="A5" s="727" t="s">
        <v>122</v>
      </c>
      <c r="B5" s="728"/>
      <c r="C5" s="728"/>
      <c r="D5" s="728"/>
      <c r="E5" s="728"/>
      <c r="F5" s="728"/>
      <c r="G5" s="728"/>
      <c r="H5" s="729"/>
      <c r="I5" s="146"/>
    </row>
    <row r="6" spans="1:10" ht="19.5" thickBot="1" x14ac:dyDescent="0.3">
      <c r="A6" s="146"/>
      <c r="B6" s="146"/>
      <c r="C6" s="146"/>
      <c r="D6" s="146"/>
      <c r="E6" s="146"/>
      <c r="F6" s="730" t="s">
        <v>123</v>
      </c>
      <c r="G6" s="730"/>
      <c r="H6" s="147">
        <f ca="1">TODAY()</f>
        <v>45741</v>
      </c>
      <c r="I6" s="147"/>
    </row>
    <row r="7" spans="1:10" ht="26.25" hidden="1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/>
      <c r="B8" s="141" t="str">
        <f>IFERROR(VLOOKUP(H8,'[1]Consolidado MP Planta'!$A$2:$M$823,3,0),"")</f>
        <v/>
      </c>
      <c r="C8" s="154">
        <f>+A8</f>
        <v>0</v>
      </c>
      <c r="D8" s="155" t="str">
        <f>IFERROR(VLOOKUP(H8,'[1]Consolidado MP Planta'!$A$2:$M$823,13,0),"")</f>
        <v/>
      </c>
      <c r="E8" s="155" t="str">
        <f>IFERROR(VLOOKUP(H8,'[1]Consolidado MP Planta'!$A$2:$M$823,12,0),"")</f>
        <v/>
      </c>
      <c r="F8" s="155" t="str">
        <f>IFERROR(C8*E8,"")</f>
        <v/>
      </c>
      <c r="G8" s="156" t="str">
        <f t="shared" ref="G8:G14" si="0">IFERROR(F8/$F$66,"")</f>
        <v/>
      </c>
      <c r="H8" s="157"/>
      <c r="I8" s="157"/>
      <c r="J8" s="158"/>
    </row>
    <row r="9" spans="1:10" ht="13.5" hidden="1" x14ac:dyDescent="0.25">
      <c r="A9" s="153"/>
      <c r="B9" s="141" t="str">
        <f>IFERROR(VLOOKUP(H9,'[1]Consolidado MP Planta'!$A$2:$M$823,3,0),"")</f>
        <v/>
      </c>
      <c r="C9" s="154">
        <f t="shared" ref="C9:C14" si="1">+A9</f>
        <v>0</v>
      </c>
      <c r="D9" s="155" t="str">
        <f>IFERROR(VLOOKUP(H9,'[1]Consolidado MP Planta'!$A$2:$M$823,13,0),"")</f>
        <v/>
      </c>
      <c r="E9" s="155" t="str">
        <f>IFERROR(VLOOKUP(H9,'[1]Consolidado MP Planta'!$A$2:$M$823,12,0),"")</f>
        <v/>
      </c>
      <c r="F9" s="155" t="str">
        <f t="shared" ref="F9:F14" si="2">IFERROR(C9*E9,"")</f>
        <v/>
      </c>
      <c r="G9" s="156" t="str">
        <f t="shared" si="0"/>
        <v/>
      </c>
      <c r="H9" s="157"/>
      <c r="I9" s="157"/>
      <c r="J9" s="158"/>
    </row>
    <row r="10" spans="1:10" ht="13.5" hidden="1" x14ac:dyDescent="0.25">
      <c r="A10" s="153"/>
      <c r="B10" s="141" t="str">
        <f>IFERROR(VLOOKUP(H10,'[1]Consolidado MP Planta'!$A$2:$M$823,3,0),"")</f>
        <v/>
      </c>
      <c r="C10" s="154">
        <f t="shared" si="1"/>
        <v>0</v>
      </c>
      <c r="D10" s="155" t="str">
        <f>IFERROR(VLOOKUP(H10,'[1]Consolidado MP Planta'!$A$2:$M$823,13,0),"")</f>
        <v/>
      </c>
      <c r="E10" s="155" t="str">
        <f>IFERROR(VLOOKUP(H10,'[1]Consolidado MP Planta'!$A$2:$M$823,12,0),"")</f>
        <v/>
      </c>
      <c r="F10" s="155" t="str">
        <f t="shared" si="2"/>
        <v/>
      </c>
      <c r="G10" s="156" t="str">
        <f t="shared" si="0"/>
        <v/>
      </c>
      <c r="H10" s="157"/>
      <c r="I10" s="157"/>
      <c r="J10" s="158"/>
    </row>
    <row r="11" spans="1:10" ht="13.5" hidden="1" x14ac:dyDescent="0.25">
      <c r="A11" s="153"/>
      <c r="B11" s="141" t="str">
        <f>IFERROR(VLOOKUP(H11,'[1]Consolidado MP Planta'!$A$2:$M$823,3,0),"")</f>
        <v/>
      </c>
      <c r="C11" s="154">
        <f t="shared" si="1"/>
        <v>0</v>
      </c>
      <c r="D11" s="155" t="str">
        <f>IFERROR(VLOOKUP(H11,'[1]Consolidado MP Planta'!$A$2:$M$823,13,0),"")</f>
        <v/>
      </c>
      <c r="E11" s="155" t="str">
        <f>IFERROR(VLOOKUP(H11,'[1]Consolidado MP Planta'!$A$2:$M$823,12,0),"")</f>
        <v/>
      </c>
      <c r="F11" s="155" t="str">
        <f t="shared" si="2"/>
        <v/>
      </c>
      <c r="G11" s="156" t="str">
        <f t="shared" si="0"/>
        <v/>
      </c>
      <c r="H11" s="157"/>
      <c r="I11" s="157"/>
      <c r="J11" s="158"/>
    </row>
    <row r="12" spans="1:10" ht="13.5" hidden="1" x14ac:dyDescent="0.25">
      <c r="A12" s="153"/>
      <c r="B12" s="141" t="str">
        <f>IFERROR(VLOOKUP(H12,'[1]Consolidado MP Planta'!$A$2:$M$823,3,0),"")</f>
        <v/>
      </c>
      <c r="C12" s="154">
        <f t="shared" si="1"/>
        <v>0</v>
      </c>
      <c r="D12" s="155" t="str">
        <f>IFERROR(VLOOKUP(H12,'[1]Consolidado MP Planta'!$A$2:$M$823,13,0),"")</f>
        <v/>
      </c>
      <c r="E12" s="155" t="str">
        <f>IFERROR(VLOOKUP(H12,'[1]Consolidado MP Planta'!$A$2:$M$823,12,0),"")</f>
        <v/>
      </c>
      <c r="F12" s="155" t="str">
        <f t="shared" si="2"/>
        <v/>
      </c>
      <c r="G12" s="156" t="str">
        <f t="shared" si="0"/>
        <v/>
      </c>
      <c r="H12" s="157"/>
      <c r="I12" s="157"/>
      <c r="J12" s="158"/>
    </row>
    <row r="13" spans="1:10" ht="13.5" hidden="1" x14ac:dyDescent="0.25">
      <c r="A13" s="153"/>
      <c r="B13" s="141" t="str">
        <f>IFERROR(VLOOKUP(H13,'[1]Consolidado MP Planta'!$A$2:$M$823,3,0),"")</f>
        <v/>
      </c>
      <c r="C13" s="154">
        <f t="shared" si="1"/>
        <v>0</v>
      </c>
      <c r="D13" s="155" t="str">
        <f>IFERROR(VLOOKUP(H13,'[1]Consolidado MP Planta'!$A$2:$M$823,13,0),"")</f>
        <v/>
      </c>
      <c r="E13" s="155" t="str">
        <f>IFERROR(VLOOKUP(H13,'[1]Consolidado MP Planta'!$A$2:$M$823,12,0),"")</f>
        <v/>
      </c>
      <c r="F13" s="155" t="str">
        <f t="shared" si="2"/>
        <v/>
      </c>
      <c r="G13" s="156" t="str">
        <f t="shared" si="0"/>
        <v/>
      </c>
      <c r="H13" s="157"/>
      <c r="I13" s="157"/>
      <c r="J13" s="158"/>
    </row>
    <row r="14" spans="1:10" ht="13.5" hidden="1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hidden="1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24820</v>
      </c>
      <c r="B17" s="141" t="s">
        <v>169</v>
      </c>
      <c r="C17" s="154">
        <f>+A17</f>
        <v>24820</v>
      </c>
      <c r="D17" s="154" t="s">
        <v>171</v>
      </c>
      <c r="E17" s="155">
        <v>1.75</v>
      </c>
      <c r="F17" s="155">
        <f>IFERROR(E17*C17,"")</f>
        <v>43435</v>
      </c>
      <c r="G17" s="156">
        <f t="shared" ref="G17:G24" si="3">IFERROR(F17/$F$66,"")</f>
        <v>0.92373895330710665</v>
      </c>
      <c r="H17" s="157" t="s">
        <v>170</v>
      </c>
      <c r="I17" s="157"/>
      <c r="J17" s="158"/>
    </row>
    <row r="18" spans="1:12" ht="13.5" x14ac:dyDescent="0.25">
      <c r="A18" s="153">
        <v>600</v>
      </c>
      <c r="B18" s="141" t="str">
        <f>IFERROR(VLOOKUP(H18,[1]SEMIELABORADOS!$A$2:$M$6000,2,0),"")</f>
        <v>MEZCLA P/ENGRASE MOLDES KILO</v>
      </c>
      <c r="C18" s="154">
        <f t="shared" ref="C18:C24" si="4">+A18</f>
        <v>600</v>
      </c>
      <c r="D18" s="154" t="str">
        <f>IFERROR(VLOOKUP(H18,[1]SEMIELABORADOS!$A$2:$M$6000,6,0),"")</f>
        <v>Gramo</v>
      </c>
      <c r="E18" s="155">
        <v>2.04</v>
      </c>
      <c r="F18" s="155">
        <f t="shared" ref="F18:F24" si="5">IFERROR(E18*C18,"")</f>
        <v>1224</v>
      </c>
      <c r="G18" s="156">
        <f t="shared" si="3"/>
        <v>2.6030999858360736E-2</v>
      </c>
      <c r="H18" s="157" t="s">
        <v>101</v>
      </c>
      <c r="I18" s="157"/>
      <c r="J18" s="158"/>
    </row>
    <row r="19" spans="1:12" ht="13.5" hidden="1" x14ac:dyDescent="0.25">
      <c r="A19" s="153"/>
      <c r="B19" s="141" t="str">
        <f>IFERROR(VLOOKUP(H19,[1]SEMIELABORADOS!$A$2:$M$6000,2,0),"")</f>
        <v/>
      </c>
      <c r="C19" s="154">
        <f>+A19</f>
        <v>0</v>
      </c>
      <c r="D19" s="154" t="str">
        <f>IFERROR(VLOOKUP(H19,[1]SEMIELABORADOS!$A$2:$M$6000,6,0),"")</f>
        <v/>
      </c>
      <c r="E19" s="155" t="str">
        <f>IFERROR(VLOOKUP(H19,[1]SEMIELABORADOS!$A$2:$H$65536,8,0),"")</f>
        <v/>
      </c>
      <c r="F19" s="155" t="str">
        <f>IFERROR(E19*C19,"")</f>
        <v/>
      </c>
      <c r="G19" s="156" t="str">
        <f t="shared" si="3"/>
        <v/>
      </c>
      <c r="H19" s="157"/>
      <c r="I19" s="157"/>
      <c r="J19" s="158"/>
    </row>
    <row r="20" spans="1:12" ht="13.5" hidden="1" x14ac:dyDescent="0.25">
      <c r="A20" s="153"/>
      <c r="B20" s="141" t="str">
        <f>IFERROR(VLOOKUP(H20,[1]SEMIELABORADOS!$A$2:$M$6000,2,0),"")</f>
        <v/>
      </c>
      <c r="C20" s="154">
        <f>+A20</f>
        <v>0</v>
      </c>
      <c r="D20" s="154" t="str">
        <f>IFERROR(VLOOKUP(H20,[1]SEMIELABORADOS!$A$2:$M$6000,6,0),"")</f>
        <v/>
      </c>
      <c r="E20" s="155" t="str">
        <f>IFERROR(VLOOKUP(H20,[1]SEMIELABORADOS!$A$2:$H$65536,8,0),"")</f>
        <v/>
      </c>
      <c r="F20" s="155" t="str">
        <f>IFERROR(E20*C20,"")</f>
        <v/>
      </c>
      <c r="G20" s="156" t="str">
        <f t="shared" si="3"/>
        <v/>
      </c>
      <c r="H20" s="157"/>
      <c r="I20" s="157"/>
      <c r="J20" s="158"/>
    </row>
    <row r="21" spans="1:12" ht="13.5" hidden="1" x14ac:dyDescent="0.25">
      <c r="A21" s="153"/>
      <c r="B21" s="141" t="str">
        <f>IFERROR(VLOOKUP(H21,[1]SEMIELABORADOS!$A$2:$M$6000,2,0),"")</f>
        <v/>
      </c>
      <c r="C21" s="154">
        <f>+A21</f>
        <v>0</v>
      </c>
      <c r="D21" s="154" t="str">
        <f>IFERROR(VLOOKUP(H21,[1]SEMIELABORADOS!$A$2:$M$6000,6,0),"")</f>
        <v/>
      </c>
      <c r="E21" s="155" t="str">
        <f>IFERROR(VLOOKUP(H21,[1]SEMIELABORADOS!$A$2:$H$65536,8,0),"")</f>
        <v/>
      </c>
      <c r="F21" s="155" t="str">
        <f>IFERROR(E21*C21,"")</f>
        <v/>
      </c>
      <c r="G21" s="156" t="str">
        <f t="shared" si="3"/>
        <v/>
      </c>
      <c r="H21" s="157"/>
      <c r="I21" s="157"/>
      <c r="J21" s="158"/>
    </row>
    <row r="22" spans="1:12" ht="13.5" hidden="1" x14ac:dyDescent="0.25">
      <c r="A22" s="153"/>
      <c r="B22" s="141" t="str">
        <f>IFERROR(VLOOKUP(H22,[1]SEMIELABORADOS!$A$2:$M$6000,2,0),"")</f>
        <v/>
      </c>
      <c r="C22" s="154">
        <f t="shared" si="4"/>
        <v>0</v>
      </c>
      <c r="D22" s="154" t="str">
        <f>IFERROR(VLOOKUP(H22,[1]SEMIELABORADOS!$A$2:$M$6000,6,0),"")</f>
        <v/>
      </c>
      <c r="E22" s="155" t="str">
        <f>IFERROR(VLOOKUP(H22,[1]SEMIELABORADOS!$A$2:$H$65536,8,0),"")</f>
        <v/>
      </c>
      <c r="F22" s="155" t="str">
        <f t="shared" si="5"/>
        <v/>
      </c>
      <c r="G22" s="156" t="str">
        <f t="shared" si="3"/>
        <v/>
      </c>
      <c r="H22" s="157"/>
      <c r="I22" s="157"/>
      <c r="J22" s="158"/>
    </row>
    <row r="23" spans="1:12" ht="13.5" hidden="1" x14ac:dyDescent="0.25">
      <c r="A23" s="153"/>
      <c r="B23" s="141" t="str">
        <f>IFERROR(VLOOKUP(H23,[1]SEMIELABORADOS!$A$2:$M$6000,2,0),"")</f>
        <v/>
      </c>
      <c r="C23" s="154">
        <f t="shared" si="4"/>
        <v>0</v>
      </c>
      <c r="D23" s="154" t="str">
        <f>IFERROR(VLOOKUP(H23,[1]SEMIELABORADOS!$A$2:$M$6000,6,0),"")</f>
        <v/>
      </c>
      <c r="E23" s="155" t="str">
        <f>IFERROR(VLOOKUP(H23,[1]SEMIELABORADOS!$A$2:$H$65536,8,0),"")</f>
        <v/>
      </c>
      <c r="F23" s="155" t="str">
        <f t="shared" si="5"/>
        <v/>
      </c>
      <c r="G23" s="156" t="str">
        <f t="shared" si="3"/>
        <v/>
      </c>
      <c r="H23" s="157"/>
      <c r="I23" s="157"/>
      <c r="J23" s="158"/>
    </row>
    <row r="24" spans="1:12" ht="13.5" hidden="1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6</v>
      </c>
      <c r="B27" s="159" t="str">
        <f>IFERROR(VLOOKUP(H27,'[1]Consolidado MP Planta'!$A$2:$M$823,3,0),"")</f>
        <v>BOLSA TRANSPARENTE 56X96X1.80 KILO</v>
      </c>
      <c r="C27" s="154">
        <f t="shared" ref="C27:C32" si="6">+A27</f>
        <v>6</v>
      </c>
      <c r="D27" s="155" t="str">
        <f>IFERROR(VLOOKUP(H27,'[1]Consolidado MP Planta'!$A$2:$M$823,13,0),"")</f>
        <v>Und</v>
      </c>
      <c r="E27" s="155">
        <f>IFERROR(VLOOKUP(H27,'[1]Consolidado MP Planta'!$A$2:$M$823,12,0),"")</f>
        <v>50</v>
      </c>
      <c r="F27" s="155">
        <f t="shared" ref="F27:F32" si="7">IFERROR(C27*E27,"")</f>
        <v>300</v>
      </c>
      <c r="G27" s="156">
        <f t="shared" ref="G27:G32" si="8">IFERROR(F27/$F$66,"")</f>
        <v>6.3801470241080238E-3</v>
      </c>
      <c r="H27" s="160" t="s">
        <v>173</v>
      </c>
      <c r="I27" s="160"/>
      <c r="J27" s="158"/>
      <c r="K27" s="720"/>
      <c r="L27" s="720"/>
    </row>
    <row r="28" spans="1:12" ht="13.5" x14ac:dyDescent="0.25">
      <c r="A28" s="153">
        <v>6</v>
      </c>
      <c r="B28" s="159" t="str">
        <f>IFERROR(VLOOKUP(H28,'[1]Consolidado MP Planta'!$A$2:$M$823,3,0),"")</f>
        <v>ETIQ.FECHA VENCIMIENTO BLANCO (ROLLO)</v>
      </c>
      <c r="C28" s="154">
        <f t="shared" si="6"/>
        <v>6</v>
      </c>
      <c r="D28" s="155" t="str">
        <f>IFERROR(VLOOKUP(H28,'[1]Consolidado MP Planta'!$A$2:$M$823,13,0),"")</f>
        <v>Gramos</v>
      </c>
      <c r="E28" s="155">
        <f>IFERROR(VLOOKUP(H28,'[1]Consolidado MP Planta'!$A$2:$M$823,12,0),"")</f>
        <v>0.33333333333333331</v>
      </c>
      <c r="F28" s="155">
        <f t="shared" si="7"/>
        <v>2</v>
      </c>
      <c r="G28" s="156">
        <f t="shared" si="8"/>
        <v>4.2534313494053487E-5</v>
      </c>
      <c r="H28" s="160" t="s">
        <v>106</v>
      </c>
      <c r="I28" s="160"/>
      <c r="J28" s="158"/>
      <c r="K28" s="720"/>
      <c r="L28" s="720"/>
    </row>
    <row r="29" spans="1:12" ht="13.5" x14ac:dyDescent="0.25">
      <c r="A29" s="153">
        <v>6</v>
      </c>
      <c r="B29" s="159" t="str">
        <f>IFERROR(VLOOKUP(H29,'[1]Consolidado MP Planta'!$A$2:$M$823,3,0),"")</f>
        <v>ETIQ.BLANCA 1 1/4 * 3/4 (UND)</v>
      </c>
      <c r="C29" s="154">
        <f t="shared" si="6"/>
        <v>6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3.4799999999999995</v>
      </c>
      <c r="G29" s="156">
        <f t="shared" si="8"/>
        <v>7.4009705479653065E-5</v>
      </c>
      <c r="H29" s="160" t="s">
        <v>109</v>
      </c>
      <c r="I29" s="160"/>
      <c r="J29" s="158"/>
      <c r="K29" s="720"/>
      <c r="L29" s="720"/>
    </row>
    <row r="30" spans="1:12" ht="13.5" hidden="1" x14ac:dyDescent="0.25">
      <c r="A30" s="153"/>
      <c r="B30" s="159" t="str">
        <f>IFERROR(VLOOKUP(H30,'[1]Consolidado MP Planta'!$A$2:$M$823,3,0),"")</f>
        <v/>
      </c>
      <c r="C30" s="154">
        <f t="shared" si="6"/>
        <v>0</v>
      </c>
      <c r="D30" s="155" t="str">
        <f>IFERROR(VLOOKUP(H30,'[1]Consolidado MP Planta'!$A$2:$M$823,13,0),"")</f>
        <v/>
      </c>
      <c r="E30" s="155" t="str">
        <f>IFERROR(VLOOKUP(H30,'[1]Consolidado MP Planta'!$A$2:$M$823,12,0),"")</f>
        <v/>
      </c>
      <c r="F30" s="155" t="str">
        <f t="shared" si="7"/>
        <v/>
      </c>
      <c r="G30" s="156" t="str">
        <f t="shared" si="8"/>
        <v/>
      </c>
      <c r="H30" s="160"/>
      <c r="I30" s="160"/>
      <c r="J30" s="158"/>
      <c r="K30" s="720"/>
      <c r="L30" s="720"/>
    </row>
    <row r="31" spans="1:12" ht="13.5" hidden="1" x14ac:dyDescent="0.25">
      <c r="A31" s="153"/>
      <c r="B31" s="159" t="str">
        <f>IFERROR(VLOOKUP(H31,'[1]Consolidado MP Planta'!$A$2:$M$823,3,0),"")</f>
        <v/>
      </c>
      <c r="C31" s="154">
        <f t="shared" si="6"/>
        <v>0</v>
      </c>
      <c r="D31" s="155" t="str">
        <f>IFERROR(VLOOKUP(H31,'[1]Consolidado MP Planta'!$A$2:$M$823,13,0),"")</f>
        <v/>
      </c>
      <c r="E31" s="155" t="str">
        <f>IFERROR(VLOOKUP(H31,'[1]Consolidado MP Planta'!$A$2:$M$823,12,0),"")</f>
        <v/>
      </c>
      <c r="F31" s="155" t="str">
        <f t="shared" si="7"/>
        <v/>
      </c>
      <c r="G31" s="156" t="str">
        <f t="shared" si="8"/>
        <v/>
      </c>
      <c r="H31" s="160"/>
      <c r="I31" s="160"/>
      <c r="J31" s="158"/>
      <c r="K31" s="161"/>
      <c r="L31" s="162"/>
    </row>
    <row r="32" spans="1:12" ht="13.5" hidden="1" x14ac:dyDescent="0.25">
      <c r="A32" s="153"/>
      <c r="B32" s="159" t="str">
        <f>IFERROR(VLOOKUP(H32,'[1]Consolidado MP Planta'!$A$2:$M$823,3,0),"")</f>
        <v/>
      </c>
      <c r="C32" s="154">
        <f t="shared" si="6"/>
        <v>0</v>
      </c>
      <c r="D32" s="155" t="str">
        <f>IFERROR(VLOOKUP(H32,'[1]Consolidado MP Planta'!$A$2:$M$823,13,0),"")</f>
        <v/>
      </c>
      <c r="E32" s="155" t="str">
        <f>IFERROR(VLOOKUP(H32,'[1]Consolidado MP Planta'!$A$2:$M$823,12,0),"")</f>
        <v/>
      </c>
      <c r="F32" s="155" t="str">
        <f t="shared" si="7"/>
        <v/>
      </c>
      <c r="G32" s="156" t="str">
        <f t="shared" si="8"/>
        <v/>
      </c>
      <c r="H32" s="160"/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>+A17</f>
        <v>24820</v>
      </c>
      <c r="B35" s="159" t="s">
        <v>169</v>
      </c>
      <c r="C35" s="154">
        <f>+A35</f>
        <v>24820</v>
      </c>
      <c r="D35" s="155" t="s">
        <v>171</v>
      </c>
      <c r="E35" s="155">
        <v>0.01</v>
      </c>
      <c r="F35" s="155">
        <f>IFERROR(E35*C35,"")</f>
        <v>248.20000000000002</v>
      </c>
      <c r="G35" s="156">
        <f t="shared" ref="G35:G41" si="9">IFERROR(F35/$F$66,"")</f>
        <v>5.2785083046120382E-3</v>
      </c>
      <c r="H35" s="160" t="s">
        <v>170</v>
      </c>
      <c r="I35" s="160"/>
      <c r="J35" s="158"/>
    </row>
    <row r="36" spans="1:13" ht="13.5" x14ac:dyDescent="0.25">
      <c r="A36" s="153">
        <f t="shared" ref="A36:A41" si="10">+A18</f>
        <v>600</v>
      </c>
      <c r="B36" s="159" t="s">
        <v>102</v>
      </c>
      <c r="C36" s="154">
        <f t="shared" ref="C36:C41" si="11">+A36</f>
        <v>600</v>
      </c>
      <c r="D36" s="155" t="s">
        <v>171</v>
      </c>
      <c r="E36" s="155">
        <v>0</v>
      </c>
      <c r="F36" s="155">
        <f t="shared" ref="F36:F41" si="12">IFERROR(E36*C36,"")</f>
        <v>0</v>
      </c>
      <c r="G36" s="156">
        <f t="shared" si="9"/>
        <v>0</v>
      </c>
      <c r="H36" s="157" t="s">
        <v>101</v>
      </c>
      <c r="I36" s="160"/>
      <c r="J36" s="158"/>
    </row>
    <row r="37" spans="1:13" ht="13.5" hidden="1" x14ac:dyDescent="0.25">
      <c r="A37" s="153">
        <f t="shared" si="10"/>
        <v>0</v>
      </c>
      <c r="B37" s="159" t="str">
        <f>IFERROR(VLOOKUP(H37,[1]SEMIELABORADOS!$A$2:$M$6000,2,0),"")</f>
        <v/>
      </c>
      <c r="C37" s="154">
        <f t="shared" si="11"/>
        <v>0</v>
      </c>
      <c r="D37" s="155" t="str">
        <f>IFERROR(VLOOKUP(H37,[1]SEMIELABORADOS!$A$2:$M$6000,6,0),"")</f>
        <v/>
      </c>
      <c r="E37" s="155" t="str">
        <f>IFERROR(VLOOKUP(H37,[1]SEMIELABORADOS!$A$2:$M$65536,10,0),"")</f>
        <v/>
      </c>
      <c r="F37" s="155" t="str">
        <f t="shared" si="12"/>
        <v/>
      </c>
      <c r="G37" s="156" t="str">
        <f t="shared" si="9"/>
        <v/>
      </c>
      <c r="H37" s="160"/>
      <c r="I37" s="160"/>
      <c r="J37" s="158"/>
    </row>
    <row r="38" spans="1:13" ht="13.5" hidden="1" x14ac:dyDescent="0.25">
      <c r="A38" s="153">
        <f t="shared" si="10"/>
        <v>0</v>
      </c>
      <c r="B38" s="159" t="str">
        <f>IFERROR(VLOOKUP(H38,[1]SEMIELABORADOS!$A$2:$M$6000,2,0),"")</f>
        <v/>
      </c>
      <c r="C38" s="154">
        <f>+A38</f>
        <v>0</v>
      </c>
      <c r="D38" s="155" t="str">
        <f>IFERROR(VLOOKUP(H38,[1]SEMIELABORADOS!$A$2:$M$6000,6,0),"")</f>
        <v/>
      </c>
      <c r="E38" s="155" t="str">
        <f>IFERROR(VLOOKUP(H38,[1]SEMIELABORADOS!$A$2:$M$65536,10,0),"")</f>
        <v/>
      </c>
      <c r="F38" s="155" t="str">
        <f>IFERROR(E38*C38,"")</f>
        <v/>
      </c>
      <c r="G38" s="156" t="str">
        <f t="shared" si="9"/>
        <v/>
      </c>
      <c r="H38" s="160"/>
      <c r="I38" s="160"/>
      <c r="J38" s="158"/>
    </row>
    <row r="39" spans="1:13" ht="13.5" hidden="1" x14ac:dyDescent="0.25">
      <c r="A39" s="153">
        <f t="shared" si="10"/>
        <v>0</v>
      </c>
      <c r="B39" s="159" t="str">
        <f>IFERROR(VLOOKUP(H39,[1]SEMIELABORADOS!$A$2:$M$6000,2,0),"")</f>
        <v/>
      </c>
      <c r="C39" s="154">
        <f>+A39</f>
        <v>0</v>
      </c>
      <c r="D39" s="155" t="str">
        <f>IFERROR(VLOOKUP(H39,[1]SEMIELABORADOS!$A$2:$M$6000,6,0),"")</f>
        <v/>
      </c>
      <c r="E39" s="155" t="str">
        <f>IFERROR(VLOOKUP(H39,[1]SEMIELABORADOS!$A$2:$M$65536,10,0),"")</f>
        <v/>
      </c>
      <c r="F39" s="155" t="str">
        <f>IFERROR(E39*C39,"")</f>
        <v/>
      </c>
      <c r="G39" s="156" t="str">
        <f t="shared" si="9"/>
        <v/>
      </c>
      <c r="H39" s="160"/>
      <c r="I39" s="160"/>
      <c r="J39" s="158"/>
    </row>
    <row r="40" spans="1:13" ht="13.5" hidden="1" x14ac:dyDescent="0.25">
      <c r="A40" s="153">
        <f t="shared" si="10"/>
        <v>0</v>
      </c>
      <c r="B40" s="159" t="str">
        <f>IFERROR(VLOOKUP(H40,[1]SEMIELABORADOS!$A$2:$M$6000,2,0),"")</f>
        <v/>
      </c>
      <c r="C40" s="154">
        <f t="shared" si="11"/>
        <v>0</v>
      </c>
      <c r="D40" s="155" t="str">
        <f>IFERROR(VLOOKUP(H40,[1]SEMIELABORADOS!$A$2:$M$6000,6,0),"")</f>
        <v/>
      </c>
      <c r="E40" s="155" t="str">
        <f>IFERROR(VLOOKUP(H40,[1]SEMIELABORADOS!$A$2:$M$65536,10,0),"")</f>
        <v/>
      </c>
      <c r="F40" s="155" t="str">
        <f t="shared" si="12"/>
        <v/>
      </c>
      <c r="G40" s="156" t="str">
        <f t="shared" si="9"/>
        <v/>
      </c>
      <c r="H40" s="160"/>
      <c r="I40" s="160"/>
      <c r="J40" s="158"/>
    </row>
    <row r="41" spans="1:13" ht="13.5" hidden="1" x14ac:dyDescent="0.25">
      <c r="A41" s="153">
        <f t="shared" si="10"/>
        <v>0</v>
      </c>
      <c r="B41" s="159" t="str">
        <f>IFERROR(VLOOKUP(H41,[1]SEMIELABORADOS!$A$2:$M$6000,2,0),"")</f>
        <v/>
      </c>
      <c r="C41" s="154">
        <f t="shared" si="11"/>
        <v>0</v>
      </c>
      <c r="D41" s="155" t="str">
        <f>IFERROR(VLOOKUP(H41,[1]SEMIELABORADOS!$A$2:$M$6000,6,0),"")</f>
        <v/>
      </c>
      <c r="E41" s="155" t="str">
        <f>IFERROR(VLOOKUP(H41,[1]SEMIELABORADOS!$A$2:$M$65536,10,0),"")</f>
        <v/>
      </c>
      <c r="F41" s="155" t="str">
        <f t="shared" si="12"/>
        <v/>
      </c>
      <c r="G41" s="156" t="str">
        <f t="shared" si="9"/>
        <v/>
      </c>
      <c r="H41" s="160"/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24820</v>
      </c>
      <c r="B44" s="159" t="s">
        <v>169</v>
      </c>
      <c r="C44" s="154">
        <f>+A44</f>
        <v>24820</v>
      </c>
      <c r="D44" s="155" t="s">
        <v>172</v>
      </c>
      <c r="E44" s="155">
        <v>0.03</v>
      </c>
      <c r="F44" s="155">
        <f>IFERROR(E44*C44,"")</f>
        <v>744.6</v>
      </c>
      <c r="G44" s="156">
        <f>IFERROR(F44/$F$66,"")</f>
        <v>1.5835524913836115E-2</v>
      </c>
      <c r="H44" s="160" t="s">
        <v>170</v>
      </c>
      <c r="I44" s="152"/>
      <c r="J44" s="158"/>
    </row>
    <row r="45" spans="1:13" ht="13.5" x14ac:dyDescent="0.25">
      <c r="A45" s="153">
        <f t="shared" ref="A45:A50" si="13">+A36</f>
        <v>600</v>
      </c>
      <c r="B45" s="159" t="s">
        <v>102</v>
      </c>
      <c r="C45" s="154">
        <f t="shared" ref="C45:C50" si="14">+A45</f>
        <v>600</v>
      </c>
      <c r="D45" s="155" t="s">
        <v>172</v>
      </c>
      <c r="E45" s="155">
        <v>0</v>
      </c>
      <c r="F45" s="155">
        <f t="shared" ref="F45:F50" si="15">IFERROR(E45*C45,"")</f>
        <v>0</v>
      </c>
      <c r="G45" s="156">
        <f t="shared" ref="G45:G50" si="16">IFERROR(F45/$F$66,"")</f>
        <v>0</v>
      </c>
      <c r="H45" s="157" t="s">
        <v>101</v>
      </c>
      <c r="I45" s="152"/>
      <c r="J45" s="158"/>
      <c r="M45" s="163"/>
    </row>
    <row r="46" spans="1:13" ht="13.5" hidden="1" x14ac:dyDescent="0.25">
      <c r="A46" s="153">
        <f t="shared" si="13"/>
        <v>0</v>
      </c>
      <c r="B46" s="159" t="str">
        <f>IFERROR(VLOOKUP(H46,[1]SEMIELABORADOS!$A$2:$M$6000,2,0),"")</f>
        <v/>
      </c>
      <c r="C46" s="154">
        <f t="shared" si="14"/>
        <v>0</v>
      </c>
      <c r="D46" s="155" t="str">
        <f>IFERROR(VLOOKUP(H46,[1]SEMIELABORADOS!$A$2:$M$6000,6,0),"")</f>
        <v/>
      </c>
      <c r="E46" s="155" t="str">
        <f>IFERROR(VLOOKUP(H46,[1]SEMIELABORADOS!$A$2:$M$65536,12,0),"")</f>
        <v/>
      </c>
      <c r="F46" s="155" t="str">
        <f t="shared" si="15"/>
        <v/>
      </c>
      <c r="G46" s="156" t="str">
        <f t="shared" si="16"/>
        <v/>
      </c>
      <c r="H46" s="160"/>
      <c r="I46" s="152"/>
      <c r="J46" s="158"/>
    </row>
    <row r="47" spans="1:13" ht="13.5" hidden="1" x14ac:dyDescent="0.25">
      <c r="A47" s="153">
        <f t="shared" si="13"/>
        <v>0</v>
      </c>
      <c r="B47" s="159" t="str">
        <f>IFERROR(VLOOKUP(H47,[1]SEMIELABORADOS!$A$2:$M$6000,2,0),"")</f>
        <v/>
      </c>
      <c r="C47" s="154">
        <f t="shared" si="14"/>
        <v>0</v>
      </c>
      <c r="D47" s="155" t="str">
        <f>IFERROR(VLOOKUP(H47,[1]SEMIELABORADOS!$A$2:$M$6000,6,0),"")</f>
        <v/>
      </c>
      <c r="E47" s="155" t="str">
        <f>IFERROR(VLOOKUP(H47,[1]SEMIELABORADOS!$A$2:$M$65536,12,0),"")</f>
        <v/>
      </c>
      <c r="F47" s="155" t="str">
        <f t="shared" si="15"/>
        <v/>
      </c>
      <c r="G47" s="156" t="str">
        <f t="shared" si="16"/>
        <v/>
      </c>
      <c r="H47" s="160"/>
      <c r="I47" s="152"/>
      <c r="J47" s="158"/>
    </row>
    <row r="48" spans="1:13" ht="13.5" hidden="1" x14ac:dyDescent="0.25">
      <c r="A48" s="153">
        <f t="shared" si="13"/>
        <v>0</v>
      </c>
      <c r="B48" s="159" t="str">
        <f>IFERROR(VLOOKUP(H48,[1]SEMIELABORADOS!$A$2:$M$6000,2,0),"")</f>
        <v/>
      </c>
      <c r="C48" s="154">
        <f t="shared" si="14"/>
        <v>0</v>
      </c>
      <c r="D48" s="155" t="str">
        <f>IFERROR(VLOOKUP(H48,[1]SEMIELABORADOS!$A$2:$M$6000,6,0),"")</f>
        <v/>
      </c>
      <c r="E48" s="155" t="str">
        <f>IFERROR(VLOOKUP(H48,[1]SEMIELABORADOS!$A$2:$M$65536,12,0),"")</f>
        <v/>
      </c>
      <c r="F48" s="155" t="str">
        <f t="shared" si="15"/>
        <v/>
      </c>
      <c r="G48" s="156" t="str">
        <f t="shared" si="16"/>
        <v/>
      </c>
      <c r="H48" s="160"/>
      <c r="I48" s="152"/>
      <c r="J48" s="158"/>
    </row>
    <row r="49" spans="1:17" ht="13.5" hidden="1" x14ac:dyDescent="0.25">
      <c r="A49" s="153">
        <f t="shared" si="13"/>
        <v>0</v>
      </c>
      <c r="B49" s="159" t="str">
        <f>IFERROR(VLOOKUP(H49,[1]SEMIELABORADOS!$A$2:$M$6000,2,0),"")</f>
        <v/>
      </c>
      <c r="C49" s="154">
        <f t="shared" si="14"/>
        <v>0</v>
      </c>
      <c r="D49" s="155" t="str">
        <f>IFERROR(VLOOKUP(H49,[1]SEMIELABORADOS!$A$2:$M$6000,6,0),"")</f>
        <v/>
      </c>
      <c r="E49" s="155" t="str">
        <f>IFERROR(VLOOKUP(H49,[1]SEMIELABORADOS!$A$2:$M$65536,12,0),"")</f>
        <v/>
      </c>
      <c r="F49" s="155" t="str">
        <f t="shared" si="15"/>
        <v/>
      </c>
      <c r="G49" s="156" t="str">
        <f t="shared" si="16"/>
        <v/>
      </c>
      <c r="H49" s="160"/>
      <c r="I49" s="152"/>
      <c r="J49" s="158"/>
    </row>
    <row r="50" spans="1:17" ht="13.5" hidden="1" x14ac:dyDescent="0.25">
      <c r="A50" s="153">
        <f t="shared" si="13"/>
        <v>0</v>
      </c>
      <c r="B50" s="159" t="str">
        <f>IFERROR(VLOOKUP(H50,[1]SEMIELABORADOS!$A$2:$M$6000,2,0),"")</f>
        <v/>
      </c>
      <c r="C50" s="154">
        <f t="shared" si="14"/>
        <v>0</v>
      </c>
      <c r="D50" s="155" t="str">
        <f>IFERROR(VLOOKUP(H50,[1]SEMIELABORADOS!$A$2:$M$6000,6,0),"")</f>
        <v/>
      </c>
      <c r="E50" s="155" t="str">
        <f>IFERROR(VLOOKUP(H50,[1]SEMIELABORADOS!$A$2:$M$65536,12,0),"")</f>
        <v/>
      </c>
      <c r="F50" s="155" t="str">
        <f t="shared" si="15"/>
        <v/>
      </c>
      <c r="G50" s="156" t="str">
        <f t="shared" si="16"/>
        <v/>
      </c>
      <c r="H50" s="159"/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915</v>
      </c>
      <c r="F51" s="155">
        <f>IFERROR(C51*E51,"")</f>
        <v>915</v>
      </c>
      <c r="G51" s="156">
        <f>IFERROR(F51/$F$66,"")</f>
        <v>1.9459448423529473E-2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21" t="s">
        <v>136</v>
      </c>
      <c r="C53" s="721"/>
      <c r="D53" s="721"/>
      <c r="E53" s="721"/>
      <c r="F53" s="167">
        <f>SUM(F8:F14,F17:F24)</f>
        <v>44659</v>
      </c>
      <c r="G53" s="156">
        <f>+F53/$F$66</f>
        <v>0.94976995316546742</v>
      </c>
      <c r="H53" s="168">
        <f>+F53/$D$60</f>
        <v>744.31666666666672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21" t="s">
        <v>137</v>
      </c>
      <c r="C54" s="721"/>
      <c r="D54" s="721"/>
      <c r="E54" s="721"/>
      <c r="F54" s="167">
        <f>SUM(F27:F32,F35:F41)</f>
        <v>553.68000000000006</v>
      </c>
      <c r="G54" s="156">
        <f>+F54/$F$66</f>
        <v>1.177519934769377E-2</v>
      </c>
      <c r="H54" s="168">
        <f>+F54/$D$60</f>
        <v>9.2280000000000015</v>
      </c>
      <c r="I54" s="168"/>
      <c r="J54" s="172"/>
      <c r="K54" s="722" t="s">
        <v>138</v>
      </c>
      <c r="L54" s="723"/>
      <c r="M54" s="723"/>
      <c r="N54" s="723"/>
      <c r="O54" s="173">
        <f>+F55</f>
        <v>45212.68</v>
      </c>
      <c r="P54" s="173"/>
      <c r="Q54" s="174"/>
    </row>
    <row r="55" spans="1:17" x14ac:dyDescent="0.2">
      <c r="A55" s="165"/>
      <c r="B55" s="721" t="s">
        <v>139</v>
      </c>
      <c r="C55" s="721"/>
      <c r="D55" s="721"/>
      <c r="E55" s="721"/>
      <c r="F55" s="167">
        <f>+F53+F54</f>
        <v>45212.68</v>
      </c>
      <c r="G55" s="156">
        <f>+F55/$F$66</f>
        <v>0.96154515251316119</v>
      </c>
      <c r="H55" s="168">
        <f>+F55/$D$60</f>
        <v>753.54466666666667</v>
      </c>
      <c r="I55" s="168"/>
      <c r="J55" s="175"/>
      <c r="K55" s="176"/>
      <c r="M55" s="177" t="s">
        <v>140</v>
      </c>
      <c r="N55" s="178"/>
      <c r="O55" s="173">
        <f>+H56</f>
        <v>27.66</v>
      </c>
      <c r="P55" s="173"/>
      <c r="Q55" s="174"/>
    </row>
    <row r="56" spans="1:17" ht="13.5" thickBot="1" x14ac:dyDescent="0.25">
      <c r="A56" s="165"/>
      <c r="B56" s="166"/>
      <c r="C56" s="721" t="s">
        <v>141</v>
      </c>
      <c r="D56" s="721"/>
      <c r="E56" s="721"/>
      <c r="F56" s="167">
        <f>SUM(F44:F51)</f>
        <v>1659.6</v>
      </c>
      <c r="G56" s="156">
        <f>+F56/$F$66</f>
        <v>3.5294973337365587E-2</v>
      </c>
      <c r="H56" s="168">
        <f>+F56/$D$60</f>
        <v>27.66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45240.340000000004</v>
      </c>
      <c r="P57" s="187"/>
      <c r="Q57" s="174"/>
    </row>
    <row r="58" spans="1:17" x14ac:dyDescent="0.2">
      <c r="B58" s="724" t="s">
        <v>144</v>
      </c>
      <c r="C58" s="724"/>
      <c r="D58" s="188">
        <v>24000</v>
      </c>
      <c r="E58" s="189"/>
      <c r="G58" s="156"/>
      <c r="H58" s="182">
        <f>+H56/61</f>
        <v>0.45344262295081966</v>
      </c>
      <c r="I58" s="190"/>
      <c r="J58" s="175"/>
      <c r="K58" s="183"/>
      <c r="L58" s="176"/>
      <c r="M58" s="176" t="s">
        <v>145</v>
      </c>
      <c r="N58" s="191"/>
      <c r="O58" s="173">
        <f>+H59</f>
        <v>26.299672131147542</v>
      </c>
      <c r="P58" s="173"/>
      <c r="Q58" s="174"/>
    </row>
    <row r="59" spans="1:17" x14ac:dyDescent="0.2">
      <c r="B59" s="724" t="s">
        <v>146</v>
      </c>
      <c r="C59" s="724"/>
      <c r="D59" s="192">
        <v>400</v>
      </c>
      <c r="E59" s="189"/>
      <c r="G59" s="156"/>
      <c r="H59" s="182">
        <f>+H58*58</f>
        <v>26.299672131147542</v>
      </c>
      <c r="I59" s="190"/>
      <c r="J59" s="175"/>
      <c r="K59" s="183"/>
      <c r="L59" s="176"/>
      <c r="M59" s="725" t="s">
        <v>143</v>
      </c>
      <c r="N59" s="725"/>
      <c r="O59" s="173">
        <f>SUM(O57:O58)</f>
        <v>45266.639672131154</v>
      </c>
      <c r="P59" s="173"/>
      <c r="Q59" s="174"/>
    </row>
    <row r="60" spans="1:17" ht="13.5" thickBot="1" x14ac:dyDescent="0.25">
      <c r="B60" s="716" t="s">
        <v>147</v>
      </c>
      <c r="C60" s="716"/>
      <c r="D60" s="188">
        <f>+D58/D59</f>
        <v>60</v>
      </c>
      <c r="E60" s="189"/>
      <c r="F60" s="193"/>
      <c r="G60" s="156"/>
      <c r="H60" s="182"/>
      <c r="I60" s="190"/>
      <c r="J60" s="175"/>
      <c r="K60" s="183"/>
      <c r="L60" s="725"/>
      <c r="M60" s="725"/>
      <c r="N60" s="191"/>
      <c r="O60" s="173">
        <f>+O59*N60</f>
        <v>0</v>
      </c>
      <c r="P60" s="173"/>
      <c r="Q60" s="174"/>
    </row>
    <row r="61" spans="1:17" ht="13.5" thickBot="1" x14ac:dyDescent="0.25">
      <c r="B61" s="716" t="s">
        <v>148</v>
      </c>
      <c r="C61" s="716"/>
      <c r="D61" s="194"/>
      <c r="E61" s="189"/>
      <c r="F61" s="193"/>
      <c r="G61" s="156"/>
      <c r="H61" s="182"/>
      <c r="I61" s="190"/>
      <c r="J61" s="175"/>
      <c r="K61" s="717" t="s">
        <v>149</v>
      </c>
      <c r="L61" s="718"/>
      <c r="M61" s="718"/>
      <c r="N61" s="719"/>
      <c r="O61" s="186">
        <f>SUM(O59:O60)</f>
        <v>45266.639672131154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05" t="s">
        <v>154</v>
      </c>
      <c r="M62" s="705"/>
      <c r="N62" s="705"/>
      <c r="O62" s="200">
        <f>+O61/D60</f>
        <v>754.44399453551921</v>
      </c>
      <c r="P62" s="201">
        <f>+O62/D59</f>
        <v>1.886109986338798</v>
      </c>
      <c r="Q62" s="202"/>
    </row>
    <row r="63" spans="1:17" ht="13.5" thickBot="1" x14ac:dyDescent="0.25">
      <c r="B63" s="706" t="s">
        <v>139</v>
      </c>
      <c r="C63" s="706"/>
      <c r="D63" s="706"/>
      <c r="E63" s="203">
        <f>+F63/F63</f>
        <v>1</v>
      </c>
      <c r="F63" s="204">
        <f>SUM(F55)</f>
        <v>45212.68</v>
      </c>
      <c r="G63" s="156">
        <f>+F63/$F$66</f>
        <v>0.96154515251316119</v>
      </c>
      <c r="H63" s="182"/>
      <c r="I63" s="190"/>
      <c r="K63" s="707"/>
      <c r="L63" s="708"/>
      <c r="M63" s="708"/>
      <c r="N63" s="708"/>
      <c r="O63" s="205"/>
      <c r="P63" s="206"/>
    </row>
    <row r="64" spans="1:17" ht="13.5" thickBot="1" x14ac:dyDescent="0.3">
      <c r="B64" s="709" t="s">
        <v>155</v>
      </c>
      <c r="C64" s="709"/>
      <c r="D64" s="709"/>
      <c r="E64" s="207">
        <v>0.02</v>
      </c>
      <c r="F64" s="204">
        <f>+F53*E64</f>
        <v>893.18000000000006</v>
      </c>
      <c r="G64" s="156">
        <f>+F64/$F$66</f>
        <v>1.899539906330935E-2</v>
      </c>
      <c r="H64" s="168"/>
      <c r="I64" s="190"/>
      <c r="J64" s="208"/>
      <c r="O64" s="209"/>
      <c r="P64" s="166"/>
    </row>
    <row r="65" spans="2:13" ht="13.5" thickBot="1" x14ac:dyDescent="0.3">
      <c r="B65" s="710" t="s">
        <v>156</v>
      </c>
      <c r="C65" s="711"/>
      <c r="D65" s="210">
        <v>15</v>
      </c>
      <c r="E65" s="211">
        <v>61</v>
      </c>
      <c r="F65" s="204">
        <f>+E65*D65</f>
        <v>915</v>
      </c>
      <c r="G65" s="156">
        <f>+F65/$F$66</f>
        <v>1.9459448423529473E-2</v>
      </c>
      <c r="H65" s="168"/>
      <c r="I65" s="168"/>
      <c r="J65" s="158"/>
    </row>
    <row r="66" spans="2:13" ht="13.5" thickBot="1" x14ac:dyDescent="0.3">
      <c r="B66" s="712" t="s">
        <v>157</v>
      </c>
      <c r="C66" s="713"/>
      <c r="D66" s="713"/>
      <c r="E66" s="714"/>
      <c r="F66" s="181">
        <f>SUM(F63:F65)</f>
        <v>47020.86</v>
      </c>
      <c r="G66" s="156">
        <f>+F66/$F$66</f>
        <v>1</v>
      </c>
      <c r="H66" s="715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15"/>
      <c r="I67" s="212"/>
      <c r="J67" s="141"/>
      <c r="M67" s="141" t="s">
        <v>159</v>
      </c>
    </row>
    <row r="68" spans="2:13" ht="13.5" thickBot="1" x14ac:dyDescent="0.3">
      <c r="B68" s="700" t="s">
        <v>160</v>
      </c>
      <c r="C68" s="700"/>
      <c r="D68" s="700"/>
      <c r="E68" s="700"/>
      <c r="F68" s="700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44659</v>
      </c>
      <c r="D69" s="217">
        <f>+D58</f>
        <v>24000</v>
      </c>
      <c r="E69" s="218">
        <f>+C69/D69</f>
        <v>1.8607916666666666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46105.86</v>
      </c>
      <c r="D71" s="217">
        <f>+D58</f>
        <v>24000</v>
      </c>
      <c r="E71" s="222">
        <f>+C71/D71</f>
        <v>1.9210775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915</v>
      </c>
      <c r="D73" s="217">
        <f>+D58</f>
        <v>24000</v>
      </c>
      <c r="E73" s="222">
        <f>+C73/D73</f>
        <v>3.8124999999999999E-2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1659.6</v>
      </c>
      <c r="D74" s="217">
        <f>+D73</f>
        <v>24000</v>
      </c>
      <c r="E74" s="218">
        <f>+C74/D74</f>
        <v>6.9150000000000003E-2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553.68000000000006</v>
      </c>
      <c r="D76" s="217">
        <f>+D74</f>
        <v>24000</v>
      </c>
      <c r="E76" s="218">
        <f>+C76/D76</f>
        <v>2.3070000000000004E-2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01" t="s">
        <v>167</v>
      </c>
      <c r="C78" s="702"/>
      <c r="D78" s="703"/>
      <c r="E78" s="218">
        <f>+E69+E74</f>
        <v>1.9299416666666667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00" t="s">
        <v>168</v>
      </c>
      <c r="C80" s="700"/>
      <c r="D80" s="700"/>
      <c r="E80" s="700"/>
      <c r="F80" s="700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44659</v>
      </c>
      <c r="D81" s="217">
        <f>+D60</f>
        <v>60</v>
      </c>
      <c r="E81" s="218">
        <f>+C81/D81</f>
        <v>744.31666666666672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46105.86</v>
      </c>
      <c r="D83" s="217">
        <f>+D60</f>
        <v>60</v>
      </c>
      <c r="E83" s="222">
        <f>+C83/D83</f>
        <v>768.43100000000004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915</v>
      </c>
      <c r="D85" s="217">
        <f>+D60</f>
        <v>60</v>
      </c>
      <c r="E85" s="222">
        <f>+C85/D85</f>
        <v>15.25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1659.6</v>
      </c>
      <c r="D86" s="217">
        <f>+D85</f>
        <v>60</v>
      </c>
      <c r="E86" s="218">
        <f>+C86/D86</f>
        <v>27.66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04"/>
      <c r="B88" s="704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1A26-0F6D-434B-A21C-862C0272D8E2}">
  <dimension ref="A1:Q91"/>
  <sheetViews>
    <sheetView topLeftCell="A42" workbookViewId="0">
      <selection activeCell="D60" sqref="D60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848.87596183401638</v>
      </c>
      <c r="F2" s="142">
        <f>IFERROR(H53,"")</f>
        <v>837.35624999999993</v>
      </c>
      <c r="G2" s="142">
        <f>IFERROR(H54,"")</f>
        <v>10.381500000000001</v>
      </c>
      <c r="H2" s="142">
        <f>IFERROR(H56,"")</f>
        <v>31.117499999999996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26"/>
      <c r="B4" s="726"/>
      <c r="C4" s="726"/>
      <c r="D4" s="726"/>
      <c r="E4" s="726"/>
      <c r="F4" s="726"/>
      <c r="G4" s="726"/>
      <c r="H4" s="726"/>
      <c r="I4" s="145"/>
    </row>
    <row r="5" spans="1:10" ht="19.5" customHeight="1" thickBot="1" x14ac:dyDescent="0.3">
      <c r="A5" s="727" t="s">
        <v>122</v>
      </c>
      <c r="B5" s="728"/>
      <c r="C5" s="728"/>
      <c r="D5" s="728"/>
      <c r="E5" s="728"/>
      <c r="F5" s="728"/>
      <c r="G5" s="728"/>
      <c r="H5" s="729"/>
      <c r="I5" s="146"/>
    </row>
    <row r="6" spans="1:10" ht="19.5" thickBot="1" x14ac:dyDescent="0.3">
      <c r="A6" s="146"/>
      <c r="B6" s="146"/>
      <c r="C6" s="146"/>
      <c r="D6" s="146"/>
      <c r="E6" s="146"/>
      <c r="F6" s="730" t="s">
        <v>123</v>
      </c>
      <c r="G6" s="730"/>
      <c r="H6" s="147">
        <f ca="1">TODAY()</f>
        <v>45741</v>
      </c>
      <c r="I6" s="147"/>
    </row>
    <row r="7" spans="1:10" ht="26.25" hidden="1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4.25" hidden="1" thickBot="1" x14ac:dyDescent="0.3">
      <c r="A8" s="153"/>
      <c r="B8" s="141" t="str">
        <f>IFERROR(VLOOKUP(H8,'[1]Consolidado MP Planta'!$A$2:$M$823,3,0),"")</f>
        <v/>
      </c>
      <c r="C8" s="154">
        <f>+A8</f>
        <v>0</v>
      </c>
      <c r="D8" s="155" t="str">
        <f>IFERROR(VLOOKUP(H8,'[1]Consolidado MP Planta'!$A$2:$M$823,13,0),"")</f>
        <v/>
      </c>
      <c r="E8" s="155" t="str">
        <f>IFERROR(VLOOKUP(H8,'[1]Consolidado MP Planta'!$A$2:$M$823,12,0),"")</f>
        <v/>
      </c>
      <c r="F8" s="155" t="str">
        <f>IFERROR(C8*E8,"")</f>
        <v/>
      </c>
      <c r="G8" s="156" t="str">
        <f t="shared" ref="G8:G14" si="0">IFERROR(F8/$F$66,"")</f>
        <v/>
      </c>
      <c r="H8" s="157"/>
      <c r="I8" s="157"/>
      <c r="J8" s="158"/>
    </row>
    <row r="9" spans="1:10" ht="14.25" hidden="1" thickBot="1" x14ac:dyDescent="0.3">
      <c r="A9" s="153"/>
      <c r="B9" s="141" t="str">
        <f>IFERROR(VLOOKUP(H9,'[1]Consolidado MP Planta'!$A$2:$M$823,3,0),"")</f>
        <v/>
      </c>
      <c r="C9" s="154">
        <f t="shared" ref="C9:C14" si="1">+A9</f>
        <v>0</v>
      </c>
      <c r="D9" s="155" t="str">
        <f>IFERROR(VLOOKUP(H9,'[1]Consolidado MP Planta'!$A$2:$M$823,13,0),"")</f>
        <v/>
      </c>
      <c r="E9" s="155" t="str">
        <f>IFERROR(VLOOKUP(H9,'[1]Consolidado MP Planta'!$A$2:$M$823,12,0),"")</f>
        <v/>
      </c>
      <c r="F9" s="155" t="str">
        <f t="shared" ref="F9:F14" si="2">IFERROR(C9*E9,"")</f>
        <v/>
      </c>
      <c r="G9" s="156" t="str">
        <f t="shared" si="0"/>
        <v/>
      </c>
      <c r="H9" s="157"/>
      <c r="I9" s="157"/>
      <c r="J9" s="158"/>
    </row>
    <row r="10" spans="1:10" ht="14.25" hidden="1" thickBot="1" x14ac:dyDescent="0.3">
      <c r="A10" s="153"/>
      <c r="B10" s="141" t="str">
        <f>IFERROR(VLOOKUP(H10,'[1]Consolidado MP Planta'!$A$2:$M$823,3,0),"")</f>
        <v/>
      </c>
      <c r="C10" s="154">
        <f t="shared" si="1"/>
        <v>0</v>
      </c>
      <c r="D10" s="155" t="str">
        <f>IFERROR(VLOOKUP(H10,'[1]Consolidado MP Planta'!$A$2:$M$823,13,0),"")</f>
        <v/>
      </c>
      <c r="E10" s="155" t="str">
        <f>IFERROR(VLOOKUP(H10,'[1]Consolidado MP Planta'!$A$2:$M$823,12,0),"")</f>
        <v/>
      </c>
      <c r="F10" s="155" t="str">
        <f t="shared" si="2"/>
        <v/>
      </c>
      <c r="G10" s="156" t="str">
        <f t="shared" si="0"/>
        <v/>
      </c>
      <c r="H10" s="157"/>
      <c r="I10" s="157"/>
      <c r="J10" s="158"/>
    </row>
    <row r="11" spans="1:10" ht="14.25" hidden="1" thickBot="1" x14ac:dyDescent="0.3">
      <c r="A11" s="153"/>
      <c r="B11" s="141" t="str">
        <f>IFERROR(VLOOKUP(H11,'[1]Consolidado MP Planta'!$A$2:$M$823,3,0),"")</f>
        <v/>
      </c>
      <c r="C11" s="154">
        <f t="shared" si="1"/>
        <v>0</v>
      </c>
      <c r="D11" s="155" t="str">
        <f>IFERROR(VLOOKUP(H11,'[1]Consolidado MP Planta'!$A$2:$M$823,13,0),"")</f>
        <v/>
      </c>
      <c r="E11" s="155" t="str">
        <f>IFERROR(VLOOKUP(H11,'[1]Consolidado MP Planta'!$A$2:$M$823,12,0),"")</f>
        <v/>
      </c>
      <c r="F11" s="155" t="str">
        <f t="shared" si="2"/>
        <v/>
      </c>
      <c r="G11" s="156" t="str">
        <f t="shared" si="0"/>
        <v/>
      </c>
      <c r="H11" s="157"/>
      <c r="I11" s="157"/>
      <c r="J11" s="158"/>
    </row>
    <row r="12" spans="1:10" ht="14.25" hidden="1" thickBot="1" x14ac:dyDescent="0.3">
      <c r="A12" s="153"/>
      <c r="B12" s="141" t="str">
        <f>IFERROR(VLOOKUP(H12,'[1]Consolidado MP Planta'!$A$2:$M$823,3,0),"")</f>
        <v/>
      </c>
      <c r="C12" s="154">
        <f t="shared" si="1"/>
        <v>0</v>
      </c>
      <c r="D12" s="155" t="str">
        <f>IFERROR(VLOOKUP(H12,'[1]Consolidado MP Planta'!$A$2:$M$823,13,0),"")</f>
        <v/>
      </c>
      <c r="E12" s="155" t="str">
        <f>IFERROR(VLOOKUP(H12,'[1]Consolidado MP Planta'!$A$2:$M$823,12,0),"")</f>
        <v/>
      </c>
      <c r="F12" s="155" t="str">
        <f t="shared" si="2"/>
        <v/>
      </c>
      <c r="G12" s="156" t="str">
        <f t="shared" si="0"/>
        <v/>
      </c>
      <c r="H12" s="157"/>
      <c r="I12" s="157"/>
      <c r="J12" s="158"/>
    </row>
    <row r="13" spans="1:10" ht="14.25" hidden="1" thickBot="1" x14ac:dyDescent="0.3">
      <c r="A13" s="153"/>
      <c r="B13" s="141" t="str">
        <f>IFERROR(VLOOKUP(H13,'[1]Consolidado MP Planta'!$A$2:$M$823,3,0),"")</f>
        <v/>
      </c>
      <c r="C13" s="154">
        <f t="shared" si="1"/>
        <v>0</v>
      </c>
      <c r="D13" s="155" t="str">
        <f>IFERROR(VLOOKUP(H13,'[1]Consolidado MP Planta'!$A$2:$M$823,13,0),"")</f>
        <v/>
      </c>
      <c r="E13" s="155" t="str">
        <f>IFERROR(VLOOKUP(H13,'[1]Consolidado MP Planta'!$A$2:$M$823,12,0),"")</f>
        <v/>
      </c>
      <c r="F13" s="155" t="str">
        <f t="shared" si="2"/>
        <v/>
      </c>
      <c r="G13" s="156" t="str">
        <f t="shared" si="0"/>
        <v/>
      </c>
      <c r="H13" s="157"/>
      <c r="I13" s="157"/>
      <c r="J13" s="158"/>
    </row>
    <row r="14" spans="1:10" ht="14.25" hidden="1" thickBot="1" x14ac:dyDescent="0.3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hidden="1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24820</v>
      </c>
      <c r="B17" s="141" t="s">
        <v>169</v>
      </c>
      <c r="C17" s="154">
        <f>+A17</f>
        <v>24820</v>
      </c>
      <c r="D17" s="154" t="s">
        <v>171</v>
      </c>
      <c r="E17" s="155">
        <v>1.75</v>
      </c>
      <c r="F17" s="155">
        <f>IFERROR(E17*C17,"")</f>
        <v>43435</v>
      </c>
      <c r="G17" s="156">
        <f t="shared" ref="G17:G24" si="3">IFERROR(F17/$F$66,"")</f>
        <v>0.92373895330710665</v>
      </c>
      <c r="H17" s="157" t="s">
        <v>170</v>
      </c>
      <c r="I17" s="157"/>
      <c r="J17" s="158"/>
    </row>
    <row r="18" spans="1:12" ht="13.5" x14ac:dyDescent="0.25">
      <c r="A18" s="153">
        <v>600</v>
      </c>
      <c r="B18" s="141" t="str">
        <f>IFERROR(VLOOKUP(H18,[1]SEMIELABORADOS!$A$2:$M$6000,2,0),"")</f>
        <v>MEZCLA P/ENGRASE MOLDES KILO</v>
      </c>
      <c r="C18" s="154">
        <f t="shared" ref="C18:C24" si="4">+A18</f>
        <v>600</v>
      </c>
      <c r="D18" s="154" t="str">
        <f>IFERROR(VLOOKUP(H18,[1]SEMIELABORADOS!$A$2:$M$6000,6,0),"")</f>
        <v>Gramo</v>
      </c>
      <c r="E18" s="155">
        <v>2.04</v>
      </c>
      <c r="F18" s="155">
        <f t="shared" ref="F18:F24" si="5">IFERROR(E18*C18,"")</f>
        <v>1224</v>
      </c>
      <c r="G18" s="156">
        <f t="shared" si="3"/>
        <v>2.6030999858360736E-2</v>
      </c>
      <c r="H18" s="157" t="s">
        <v>101</v>
      </c>
      <c r="I18" s="157"/>
      <c r="J18" s="158"/>
    </row>
    <row r="19" spans="1:12" ht="13.5" hidden="1" x14ac:dyDescent="0.25">
      <c r="A19" s="153"/>
      <c r="B19" s="141" t="str">
        <f>IFERROR(VLOOKUP(H19,[1]SEMIELABORADOS!$A$2:$M$6000,2,0),"")</f>
        <v/>
      </c>
      <c r="C19" s="154">
        <f>+A19</f>
        <v>0</v>
      </c>
      <c r="D19" s="154" t="str">
        <f>IFERROR(VLOOKUP(H19,[1]SEMIELABORADOS!$A$2:$M$6000,6,0),"")</f>
        <v/>
      </c>
      <c r="E19" s="155" t="str">
        <f>IFERROR(VLOOKUP(H19,[1]SEMIELABORADOS!$A$2:$H$65536,8,0),"")</f>
        <v/>
      </c>
      <c r="F19" s="155" t="str">
        <f>IFERROR(E19*C19,"")</f>
        <v/>
      </c>
      <c r="G19" s="156" t="str">
        <f t="shared" si="3"/>
        <v/>
      </c>
      <c r="H19" s="157"/>
      <c r="I19" s="157"/>
      <c r="J19" s="158"/>
    </row>
    <row r="20" spans="1:12" ht="13.5" hidden="1" x14ac:dyDescent="0.25">
      <c r="A20" s="153"/>
      <c r="B20" s="141" t="str">
        <f>IFERROR(VLOOKUP(H20,[1]SEMIELABORADOS!$A$2:$M$6000,2,0),"")</f>
        <v/>
      </c>
      <c r="C20" s="154">
        <f>+A20</f>
        <v>0</v>
      </c>
      <c r="D20" s="154" t="str">
        <f>IFERROR(VLOOKUP(H20,[1]SEMIELABORADOS!$A$2:$M$6000,6,0),"")</f>
        <v/>
      </c>
      <c r="E20" s="155" t="str">
        <f>IFERROR(VLOOKUP(H20,[1]SEMIELABORADOS!$A$2:$H$65536,8,0),"")</f>
        <v/>
      </c>
      <c r="F20" s="155" t="str">
        <f>IFERROR(E20*C20,"")</f>
        <v/>
      </c>
      <c r="G20" s="156" t="str">
        <f t="shared" si="3"/>
        <v/>
      </c>
      <c r="H20" s="157"/>
      <c r="I20" s="157"/>
      <c r="J20" s="158"/>
    </row>
    <row r="21" spans="1:12" ht="13.5" hidden="1" x14ac:dyDescent="0.25">
      <c r="A21" s="153"/>
      <c r="B21" s="141" t="str">
        <f>IFERROR(VLOOKUP(H21,[1]SEMIELABORADOS!$A$2:$M$6000,2,0),"")</f>
        <v/>
      </c>
      <c r="C21" s="154">
        <f>+A21</f>
        <v>0</v>
      </c>
      <c r="D21" s="154" t="str">
        <f>IFERROR(VLOOKUP(H21,[1]SEMIELABORADOS!$A$2:$M$6000,6,0),"")</f>
        <v/>
      </c>
      <c r="E21" s="155" t="str">
        <f>IFERROR(VLOOKUP(H21,[1]SEMIELABORADOS!$A$2:$H$65536,8,0),"")</f>
        <v/>
      </c>
      <c r="F21" s="155" t="str">
        <f>IFERROR(E21*C21,"")</f>
        <v/>
      </c>
      <c r="G21" s="156" t="str">
        <f t="shared" si="3"/>
        <v/>
      </c>
      <c r="H21" s="157"/>
      <c r="I21" s="157"/>
      <c r="J21" s="158"/>
    </row>
    <row r="22" spans="1:12" ht="13.5" hidden="1" x14ac:dyDescent="0.25">
      <c r="A22" s="153"/>
      <c r="B22" s="141" t="str">
        <f>IFERROR(VLOOKUP(H22,[1]SEMIELABORADOS!$A$2:$M$6000,2,0),"")</f>
        <v/>
      </c>
      <c r="C22" s="154">
        <f t="shared" si="4"/>
        <v>0</v>
      </c>
      <c r="D22" s="154" t="str">
        <f>IFERROR(VLOOKUP(H22,[1]SEMIELABORADOS!$A$2:$M$6000,6,0),"")</f>
        <v/>
      </c>
      <c r="E22" s="155" t="str">
        <f>IFERROR(VLOOKUP(H22,[1]SEMIELABORADOS!$A$2:$H$65536,8,0),"")</f>
        <v/>
      </c>
      <c r="F22" s="155" t="str">
        <f t="shared" si="5"/>
        <v/>
      </c>
      <c r="G22" s="156" t="str">
        <f t="shared" si="3"/>
        <v/>
      </c>
      <c r="H22" s="157"/>
      <c r="I22" s="157"/>
      <c r="J22" s="158"/>
    </row>
    <row r="23" spans="1:12" ht="13.5" hidden="1" x14ac:dyDescent="0.25">
      <c r="A23" s="153"/>
      <c r="B23" s="141" t="str">
        <f>IFERROR(VLOOKUP(H23,[1]SEMIELABORADOS!$A$2:$M$6000,2,0),"")</f>
        <v/>
      </c>
      <c r="C23" s="154">
        <f t="shared" si="4"/>
        <v>0</v>
      </c>
      <c r="D23" s="154" t="str">
        <f>IFERROR(VLOOKUP(H23,[1]SEMIELABORADOS!$A$2:$M$6000,6,0),"")</f>
        <v/>
      </c>
      <c r="E23" s="155" t="str">
        <f>IFERROR(VLOOKUP(H23,[1]SEMIELABORADOS!$A$2:$H$65536,8,0),"")</f>
        <v/>
      </c>
      <c r="F23" s="155" t="str">
        <f t="shared" si="5"/>
        <v/>
      </c>
      <c r="G23" s="156" t="str">
        <f t="shared" si="3"/>
        <v/>
      </c>
      <c r="H23" s="157"/>
      <c r="I23" s="157"/>
      <c r="J23" s="158"/>
    </row>
    <row r="24" spans="1:12" ht="13.5" hidden="1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6</v>
      </c>
      <c r="B27" s="159" t="str">
        <f>IFERROR(VLOOKUP(H27,'[1]Consolidado MP Planta'!$A$2:$M$823,3,0),"")</f>
        <v>BOLSA TRANSPARENTE 56X96X1.80 KILO</v>
      </c>
      <c r="C27" s="154">
        <f t="shared" ref="C27:C32" si="6">+A27</f>
        <v>6</v>
      </c>
      <c r="D27" s="155" t="str">
        <f>IFERROR(VLOOKUP(H27,'[1]Consolidado MP Planta'!$A$2:$M$823,13,0),"")</f>
        <v>Und</v>
      </c>
      <c r="E27" s="155">
        <f>IFERROR(VLOOKUP(H27,'[1]Consolidado MP Planta'!$A$2:$M$823,12,0),"")</f>
        <v>50</v>
      </c>
      <c r="F27" s="155">
        <f t="shared" ref="F27:F32" si="7">IFERROR(C27*E27,"")</f>
        <v>300</v>
      </c>
      <c r="G27" s="156">
        <f t="shared" ref="G27:G32" si="8">IFERROR(F27/$F$66,"")</f>
        <v>6.3801470241080238E-3</v>
      </c>
      <c r="H27" s="160" t="s">
        <v>173</v>
      </c>
      <c r="I27" s="160"/>
      <c r="J27" s="158"/>
      <c r="K27" s="720"/>
      <c r="L27" s="720"/>
    </row>
    <row r="28" spans="1:12" ht="13.5" x14ac:dyDescent="0.25">
      <c r="A28" s="153">
        <v>6</v>
      </c>
      <c r="B28" s="159" t="str">
        <f>IFERROR(VLOOKUP(H28,'[1]Consolidado MP Planta'!$A$2:$M$823,3,0),"")</f>
        <v>ETIQ.FECHA VENCIMIENTO BLANCO (ROLLO)</v>
      </c>
      <c r="C28" s="154">
        <f t="shared" si="6"/>
        <v>6</v>
      </c>
      <c r="D28" s="155" t="str">
        <f>IFERROR(VLOOKUP(H28,'[1]Consolidado MP Planta'!$A$2:$M$823,13,0),"")</f>
        <v>Gramos</v>
      </c>
      <c r="E28" s="155">
        <f>IFERROR(VLOOKUP(H28,'[1]Consolidado MP Planta'!$A$2:$M$823,12,0),"")</f>
        <v>0.33333333333333331</v>
      </c>
      <c r="F28" s="155">
        <f t="shared" si="7"/>
        <v>2</v>
      </c>
      <c r="G28" s="156">
        <f t="shared" si="8"/>
        <v>4.2534313494053487E-5</v>
      </c>
      <c r="H28" s="160" t="s">
        <v>106</v>
      </c>
      <c r="I28" s="160"/>
      <c r="J28" s="158"/>
      <c r="K28" s="720"/>
      <c r="L28" s="720"/>
    </row>
    <row r="29" spans="1:12" ht="13.5" x14ac:dyDescent="0.25">
      <c r="A29" s="153">
        <v>6</v>
      </c>
      <c r="B29" s="159" t="str">
        <f>IFERROR(VLOOKUP(H29,'[1]Consolidado MP Planta'!$A$2:$M$823,3,0),"")</f>
        <v>ETIQ.BLANCA 1 1/4 * 3/4 (UND)</v>
      </c>
      <c r="C29" s="154">
        <f t="shared" si="6"/>
        <v>6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3.4799999999999995</v>
      </c>
      <c r="G29" s="156">
        <f t="shared" si="8"/>
        <v>7.4009705479653065E-5</v>
      </c>
      <c r="H29" s="160" t="s">
        <v>109</v>
      </c>
      <c r="I29" s="160"/>
      <c r="J29" s="158"/>
      <c r="K29" s="720"/>
      <c r="L29" s="720"/>
    </row>
    <row r="30" spans="1:12" ht="13.5" hidden="1" x14ac:dyDescent="0.25">
      <c r="A30" s="153"/>
      <c r="B30" s="159" t="str">
        <f>IFERROR(VLOOKUP(H30,'[1]Consolidado MP Planta'!$A$2:$M$823,3,0),"")</f>
        <v/>
      </c>
      <c r="C30" s="154">
        <f t="shared" si="6"/>
        <v>0</v>
      </c>
      <c r="D30" s="155" t="str">
        <f>IFERROR(VLOOKUP(H30,'[1]Consolidado MP Planta'!$A$2:$M$823,13,0),"")</f>
        <v/>
      </c>
      <c r="E30" s="155" t="str">
        <f>IFERROR(VLOOKUP(H30,'[1]Consolidado MP Planta'!$A$2:$M$823,12,0),"")</f>
        <v/>
      </c>
      <c r="F30" s="155" t="str">
        <f t="shared" si="7"/>
        <v/>
      </c>
      <c r="G30" s="156" t="str">
        <f t="shared" si="8"/>
        <v/>
      </c>
      <c r="H30" s="160"/>
      <c r="I30" s="160"/>
      <c r="J30" s="158"/>
      <c r="K30" s="720"/>
      <c r="L30" s="720"/>
    </row>
    <row r="31" spans="1:12" ht="13.5" hidden="1" x14ac:dyDescent="0.25">
      <c r="A31" s="153"/>
      <c r="B31" s="159" t="str">
        <f>IFERROR(VLOOKUP(H31,'[1]Consolidado MP Planta'!$A$2:$M$823,3,0),"")</f>
        <v/>
      </c>
      <c r="C31" s="154">
        <f t="shared" si="6"/>
        <v>0</v>
      </c>
      <c r="D31" s="155" t="str">
        <f>IFERROR(VLOOKUP(H31,'[1]Consolidado MP Planta'!$A$2:$M$823,13,0),"")</f>
        <v/>
      </c>
      <c r="E31" s="155" t="str">
        <f>IFERROR(VLOOKUP(H31,'[1]Consolidado MP Planta'!$A$2:$M$823,12,0),"")</f>
        <v/>
      </c>
      <c r="F31" s="155" t="str">
        <f t="shared" si="7"/>
        <v/>
      </c>
      <c r="G31" s="156" t="str">
        <f t="shared" si="8"/>
        <v/>
      </c>
      <c r="H31" s="160"/>
      <c r="I31" s="160"/>
      <c r="J31" s="158"/>
      <c r="K31" s="161"/>
      <c r="L31" s="162"/>
    </row>
    <row r="32" spans="1:12" ht="13.5" hidden="1" x14ac:dyDescent="0.25">
      <c r="A32" s="153"/>
      <c r="B32" s="159" t="str">
        <f>IFERROR(VLOOKUP(H32,'[1]Consolidado MP Planta'!$A$2:$M$823,3,0),"")</f>
        <v/>
      </c>
      <c r="C32" s="154">
        <f t="shared" si="6"/>
        <v>0</v>
      </c>
      <c r="D32" s="155" t="str">
        <f>IFERROR(VLOOKUP(H32,'[1]Consolidado MP Planta'!$A$2:$M$823,13,0),"")</f>
        <v/>
      </c>
      <c r="E32" s="155" t="str">
        <f>IFERROR(VLOOKUP(H32,'[1]Consolidado MP Planta'!$A$2:$M$823,12,0),"")</f>
        <v/>
      </c>
      <c r="F32" s="155" t="str">
        <f t="shared" si="7"/>
        <v/>
      </c>
      <c r="G32" s="156" t="str">
        <f t="shared" si="8"/>
        <v/>
      </c>
      <c r="H32" s="160"/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>+A17</f>
        <v>24820</v>
      </c>
      <c r="B35" s="159" t="s">
        <v>169</v>
      </c>
      <c r="C35" s="154">
        <f>+A35</f>
        <v>24820</v>
      </c>
      <c r="D35" s="155" t="s">
        <v>171</v>
      </c>
      <c r="E35" s="155">
        <v>0.01</v>
      </c>
      <c r="F35" s="155">
        <f>IFERROR(E35*C35,"")</f>
        <v>248.20000000000002</v>
      </c>
      <c r="G35" s="156">
        <f t="shared" ref="G35:G41" si="9">IFERROR(F35/$F$66,"")</f>
        <v>5.2785083046120382E-3</v>
      </c>
      <c r="H35" s="160" t="s">
        <v>170</v>
      </c>
      <c r="I35" s="160"/>
      <c r="J35" s="158"/>
    </row>
    <row r="36" spans="1:13" ht="13.5" x14ac:dyDescent="0.25">
      <c r="A36" s="153">
        <f t="shared" ref="A36:A41" si="10">+A18</f>
        <v>600</v>
      </c>
      <c r="B36" s="159" t="s">
        <v>102</v>
      </c>
      <c r="C36" s="154">
        <f t="shared" ref="C36:C41" si="11">+A36</f>
        <v>600</v>
      </c>
      <c r="D36" s="155" t="s">
        <v>171</v>
      </c>
      <c r="E36" s="155">
        <v>0</v>
      </c>
      <c r="F36" s="155">
        <f t="shared" ref="F36:F41" si="12">IFERROR(E36*C36,"")</f>
        <v>0</v>
      </c>
      <c r="G36" s="156">
        <f t="shared" si="9"/>
        <v>0</v>
      </c>
      <c r="H36" s="157" t="s">
        <v>101</v>
      </c>
      <c r="I36" s="160"/>
      <c r="J36" s="158"/>
    </row>
    <row r="37" spans="1:13" ht="13.5" hidden="1" x14ac:dyDescent="0.25">
      <c r="A37" s="153">
        <f t="shared" si="10"/>
        <v>0</v>
      </c>
      <c r="B37" s="159" t="str">
        <f>IFERROR(VLOOKUP(H37,[1]SEMIELABORADOS!$A$2:$M$6000,2,0),"")</f>
        <v/>
      </c>
      <c r="C37" s="154">
        <f t="shared" si="11"/>
        <v>0</v>
      </c>
      <c r="D37" s="155" t="str">
        <f>IFERROR(VLOOKUP(H37,[1]SEMIELABORADOS!$A$2:$M$6000,6,0),"")</f>
        <v/>
      </c>
      <c r="E37" s="155" t="str">
        <f>IFERROR(VLOOKUP(H37,[1]SEMIELABORADOS!$A$2:$M$65536,10,0),"")</f>
        <v/>
      </c>
      <c r="F37" s="155" t="str">
        <f t="shared" si="12"/>
        <v/>
      </c>
      <c r="G37" s="156" t="str">
        <f t="shared" si="9"/>
        <v/>
      </c>
      <c r="H37" s="160"/>
      <c r="I37" s="160"/>
      <c r="J37" s="158"/>
    </row>
    <row r="38" spans="1:13" ht="13.5" hidden="1" x14ac:dyDescent="0.25">
      <c r="A38" s="153">
        <f t="shared" si="10"/>
        <v>0</v>
      </c>
      <c r="B38" s="159" t="str">
        <f>IFERROR(VLOOKUP(H38,[1]SEMIELABORADOS!$A$2:$M$6000,2,0),"")</f>
        <v/>
      </c>
      <c r="C38" s="154">
        <f>+A38</f>
        <v>0</v>
      </c>
      <c r="D38" s="155" t="str">
        <f>IFERROR(VLOOKUP(H38,[1]SEMIELABORADOS!$A$2:$M$6000,6,0),"")</f>
        <v/>
      </c>
      <c r="E38" s="155" t="str">
        <f>IFERROR(VLOOKUP(H38,[1]SEMIELABORADOS!$A$2:$M$65536,10,0),"")</f>
        <v/>
      </c>
      <c r="F38" s="155" t="str">
        <f>IFERROR(E38*C38,"")</f>
        <v/>
      </c>
      <c r="G38" s="156" t="str">
        <f t="shared" si="9"/>
        <v/>
      </c>
      <c r="H38" s="160"/>
      <c r="I38" s="160"/>
      <c r="J38" s="158"/>
    </row>
    <row r="39" spans="1:13" ht="13.5" hidden="1" x14ac:dyDescent="0.25">
      <c r="A39" s="153">
        <f t="shared" si="10"/>
        <v>0</v>
      </c>
      <c r="B39" s="159" t="str">
        <f>IFERROR(VLOOKUP(H39,[1]SEMIELABORADOS!$A$2:$M$6000,2,0),"")</f>
        <v/>
      </c>
      <c r="C39" s="154">
        <f>+A39</f>
        <v>0</v>
      </c>
      <c r="D39" s="155" t="str">
        <f>IFERROR(VLOOKUP(H39,[1]SEMIELABORADOS!$A$2:$M$6000,6,0),"")</f>
        <v/>
      </c>
      <c r="E39" s="155" t="str">
        <f>IFERROR(VLOOKUP(H39,[1]SEMIELABORADOS!$A$2:$M$65536,10,0),"")</f>
        <v/>
      </c>
      <c r="F39" s="155" t="str">
        <f>IFERROR(E39*C39,"")</f>
        <v/>
      </c>
      <c r="G39" s="156" t="str">
        <f t="shared" si="9"/>
        <v/>
      </c>
      <c r="H39" s="160"/>
      <c r="I39" s="160"/>
      <c r="J39" s="158"/>
    </row>
    <row r="40" spans="1:13" ht="13.5" hidden="1" x14ac:dyDescent="0.25">
      <c r="A40" s="153">
        <f t="shared" si="10"/>
        <v>0</v>
      </c>
      <c r="B40" s="159" t="str">
        <f>IFERROR(VLOOKUP(H40,[1]SEMIELABORADOS!$A$2:$M$6000,2,0),"")</f>
        <v/>
      </c>
      <c r="C40" s="154">
        <f t="shared" si="11"/>
        <v>0</v>
      </c>
      <c r="D40" s="155" t="str">
        <f>IFERROR(VLOOKUP(H40,[1]SEMIELABORADOS!$A$2:$M$6000,6,0),"")</f>
        <v/>
      </c>
      <c r="E40" s="155" t="str">
        <f>IFERROR(VLOOKUP(H40,[1]SEMIELABORADOS!$A$2:$M$65536,10,0),"")</f>
        <v/>
      </c>
      <c r="F40" s="155" t="str">
        <f t="shared" si="12"/>
        <v/>
      </c>
      <c r="G40" s="156" t="str">
        <f t="shared" si="9"/>
        <v/>
      </c>
      <c r="H40" s="160"/>
      <c r="I40" s="160"/>
      <c r="J40" s="158"/>
    </row>
    <row r="41" spans="1:13" ht="13.5" hidden="1" x14ac:dyDescent="0.25">
      <c r="A41" s="153">
        <f t="shared" si="10"/>
        <v>0</v>
      </c>
      <c r="B41" s="159" t="str">
        <f>IFERROR(VLOOKUP(H41,[1]SEMIELABORADOS!$A$2:$M$6000,2,0),"")</f>
        <v/>
      </c>
      <c r="C41" s="154">
        <f t="shared" si="11"/>
        <v>0</v>
      </c>
      <c r="D41" s="155" t="str">
        <f>IFERROR(VLOOKUP(H41,[1]SEMIELABORADOS!$A$2:$M$6000,6,0),"")</f>
        <v/>
      </c>
      <c r="E41" s="155" t="str">
        <f>IFERROR(VLOOKUP(H41,[1]SEMIELABORADOS!$A$2:$M$65536,10,0),"")</f>
        <v/>
      </c>
      <c r="F41" s="155" t="str">
        <f t="shared" si="12"/>
        <v/>
      </c>
      <c r="G41" s="156" t="str">
        <f t="shared" si="9"/>
        <v/>
      </c>
      <c r="H41" s="160"/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24820</v>
      </c>
      <c r="B44" s="159" t="s">
        <v>169</v>
      </c>
      <c r="C44" s="154">
        <f>+A44</f>
        <v>24820</v>
      </c>
      <c r="D44" s="155" t="s">
        <v>172</v>
      </c>
      <c r="E44" s="155">
        <v>0.03</v>
      </c>
      <c r="F44" s="155">
        <f>IFERROR(E44*C44,"")</f>
        <v>744.6</v>
      </c>
      <c r="G44" s="156">
        <f>IFERROR(F44/$F$66,"")</f>
        <v>1.5835524913836115E-2</v>
      </c>
      <c r="H44" s="160" t="s">
        <v>170</v>
      </c>
      <c r="I44" s="152"/>
      <c r="J44" s="158"/>
    </row>
    <row r="45" spans="1:13" ht="13.5" x14ac:dyDescent="0.25">
      <c r="A45" s="153">
        <f t="shared" ref="A45:A50" si="13">+A36</f>
        <v>600</v>
      </c>
      <c r="B45" s="159" t="s">
        <v>102</v>
      </c>
      <c r="C45" s="154">
        <f t="shared" ref="C45:C50" si="14">+A45</f>
        <v>600</v>
      </c>
      <c r="D45" s="155" t="s">
        <v>172</v>
      </c>
      <c r="E45" s="155">
        <v>0</v>
      </c>
      <c r="F45" s="155">
        <f t="shared" ref="F45:F50" si="15">IFERROR(E45*C45,"")</f>
        <v>0</v>
      </c>
      <c r="G45" s="156">
        <f t="shared" ref="G45:G50" si="16">IFERROR(F45/$F$66,"")</f>
        <v>0</v>
      </c>
      <c r="H45" s="157" t="s">
        <v>101</v>
      </c>
      <c r="I45" s="152"/>
      <c r="J45" s="158"/>
      <c r="M45" s="163"/>
    </row>
    <row r="46" spans="1:13" ht="13.5" hidden="1" x14ac:dyDescent="0.25">
      <c r="A46" s="153">
        <f t="shared" si="13"/>
        <v>0</v>
      </c>
      <c r="B46" s="159" t="str">
        <f>IFERROR(VLOOKUP(H46,[1]SEMIELABORADOS!$A$2:$M$6000,2,0),"")</f>
        <v/>
      </c>
      <c r="C46" s="154">
        <f t="shared" si="14"/>
        <v>0</v>
      </c>
      <c r="D46" s="155" t="str">
        <f>IFERROR(VLOOKUP(H46,[1]SEMIELABORADOS!$A$2:$M$6000,6,0),"")</f>
        <v/>
      </c>
      <c r="E46" s="155" t="str">
        <f>IFERROR(VLOOKUP(H46,[1]SEMIELABORADOS!$A$2:$M$65536,12,0),"")</f>
        <v/>
      </c>
      <c r="F46" s="155" t="str">
        <f t="shared" si="15"/>
        <v/>
      </c>
      <c r="G46" s="156" t="str">
        <f t="shared" si="16"/>
        <v/>
      </c>
      <c r="H46" s="160"/>
      <c r="I46" s="152"/>
      <c r="J46" s="158"/>
    </row>
    <row r="47" spans="1:13" ht="13.5" hidden="1" x14ac:dyDescent="0.25">
      <c r="A47" s="153">
        <f t="shared" si="13"/>
        <v>0</v>
      </c>
      <c r="B47" s="159" t="str">
        <f>IFERROR(VLOOKUP(H47,[1]SEMIELABORADOS!$A$2:$M$6000,2,0),"")</f>
        <v/>
      </c>
      <c r="C47" s="154">
        <f t="shared" si="14"/>
        <v>0</v>
      </c>
      <c r="D47" s="155" t="str">
        <f>IFERROR(VLOOKUP(H47,[1]SEMIELABORADOS!$A$2:$M$6000,6,0),"")</f>
        <v/>
      </c>
      <c r="E47" s="155" t="str">
        <f>IFERROR(VLOOKUP(H47,[1]SEMIELABORADOS!$A$2:$M$65536,12,0),"")</f>
        <v/>
      </c>
      <c r="F47" s="155" t="str">
        <f t="shared" si="15"/>
        <v/>
      </c>
      <c r="G47" s="156" t="str">
        <f t="shared" si="16"/>
        <v/>
      </c>
      <c r="H47" s="160"/>
      <c r="I47" s="152"/>
      <c r="J47" s="158"/>
    </row>
    <row r="48" spans="1:13" ht="13.5" hidden="1" x14ac:dyDescent="0.25">
      <c r="A48" s="153">
        <f t="shared" si="13"/>
        <v>0</v>
      </c>
      <c r="B48" s="159" t="str">
        <f>IFERROR(VLOOKUP(H48,[1]SEMIELABORADOS!$A$2:$M$6000,2,0),"")</f>
        <v/>
      </c>
      <c r="C48" s="154">
        <f t="shared" si="14"/>
        <v>0</v>
      </c>
      <c r="D48" s="155" t="str">
        <f>IFERROR(VLOOKUP(H48,[1]SEMIELABORADOS!$A$2:$M$6000,6,0),"")</f>
        <v/>
      </c>
      <c r="E48" s="155" t="str">
        <f>IFERROR(VLOOKUP(H48,[1]SEMIELABORADOS!$A$2:$M$65536,12,0),"")</f>
        <v/>
      </c>
      <c r="F48" s="155" t="str">
        <f t="shared" si="15"/>
        <v/>
      </c>
      <c r="G48" s="156" t="str">
        <f t="shared" si="16"/>
        <v/>
      </c>
      <c r="H48" s="160"/>
      <c r="I48" s="152"/>
      <c r="J48" s="158"/>
    </row>
    <row r="49" spans="1:17" ht="13.5" hidden="1" x14ac:dyDescent="0.25">
      <c r="A49" s="153">
        <f t="shared" si="13"/>
        <v>0</v>
      </c>
      <c r="B49" s="159" t="str">
        <f>IFERROR(VLOOKUP(H49,[1]SEMIELABORADOS!$A$2:$M$6000,2,0),"")</f>
        <v/>
      </c>
      <c r="C49" s="154">
        <f t="shared" si="14"/>
        <v>0</v>
      </c>
      <c r="D49" s="155" t="str">
        <f>IFERROR(VLOOKUP(H49,[1]SEMIELABORADOS!$A$2:$M$6000,6,0),"")</f>
        <v/>
      </c>
      <c r="E49" s="155" t="str">
        <f>IFERROR(VLOOKUP(H49,[1]SEMIELABORADOS!$A$2:$M$65536,12,0),"")</f>
        <v/>
      </c>
      <c r="F49" s="155" t="str">
        <f t="shared" si="15"/>
        <v/>
      </c>
      <c r="G49" s="156" t="str">
        <f t="shared" si="16"/>
        <v/>
      </c>
      <c r="H49" s="160"/>
      <c r="I49" s="152"/>
      <c r="J49" s="158"/>
    </row>
    <row r="50" spans="1:17" ht="13.5" hidden="1" x14ac:dyDescent="0.25">
      <c r="A50" s="153">
        <f t="shared" si="13"/>
        <v>0</v>
      </c>
      <c r="B50" s="159" t="str">
        <f>IFERROR(VLOOKUP(H50,[1]SEMIELABORADOS!$A$2:$M$6000,2,0),"")</f>
        <v/>
      </c>
      <c r="C50" s="154">
        <f t="shared" si="14"/>
        <v>0</v>
      </c>
      <c r="D50" s="155" t="str">
        <f>IFERROR(VLOOKUP(H50,[1]SEMIELABORADOS!$A$2:$M$6000,6,0),"")</f>
        <v/>
      </c>
      <c r="E50" s="155" t="str">
        <f>IFERROR(VLOOKUP(H50,[1]SEMIELABORADOS!$A$2:$M$65536,12,0),"")</f>
        <v/>
      </c>
      <c r="F50" s="155" t="str">
        <f t="shared" si="15"/>
        <v/>
      </c>
      <c r="G50" s="156" t="str">
        <f t="shared" si="16"/>
        <v/>
      </c>
      <c r="H50" s="159"/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915</v>
      </c>
      <c r="F51" s="155">
        <f>IFERROR(C51*E51,"")</f>
        <v>915</v>
      </c>
      <c r="G51" s="156">
        <f>IFERROR(F51/$F$66,"")</f>
        <v>1.9459448423529473E-2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21" t="s">
        <v>136</v>
      </c>
      <c r="C53" s="721"/>
      <c r="D53" s="721"/>
      <c r="E53" s="721"/>
      <c r="F53" s="167">
        <f>SUM(F8:F14,F17:F24)</f>
        <v>44659</v>
      </c>
      <c r="G53" s="156">
        <f>+F53/$F$66</f>
        <v>0.94976995316546742</v>
      </c>
      <c r="H53" s="168">
        <f>+F53/$D$60</f>
        <v>837.35624999999993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21" t="s">
        <v>137</v>
      </c>
      <c r="C54" s="721"/>
      <c r="D54" s="721"/>
      <c r="E54" s="721"/>
      <c r="F54" s="167">
        <f>SUM(F27:F32,F35:F41)</f>
        <v>553.68000000000006</v>
      </c>
      <c r="G54" s="156">
        <f>+F54/$F$66</f>
        <v>1.177519934769377E-2</v>
      </c>
      <c r="H54" s="168">
        <f>+F54/$D$60</f>
        <v>10.381500000000001</v>
      </c>
      <c r="I54" s="168"/>
      <c r="J54" s="172"/>
      <c r="K54" s="722" t="s">
        <v>138</v>
      </c>
      <c r="L54" s="723"/>
      <c r="M54" s="723"/>
      <c r="N54" s="723"/>
      <c r="O54" s="173">
        <f>+F55</f>
        <v>45212.68</v>
      </c>
      <c r="P54" s="173"/>
      <c r="Q54" s="174"/>
    </row>
    <row r="55" spans="1:17" x14ac:dyDescent="0.2">
      <c r="A55" s="165"/>
      <c r="B55" s="721" t="s">
        <v>139</v>
      </c>
      <c r="C55" s="721"/>
      <c r="D55" s="721"/>
      <c r="E55" s="721"/>
      <c r="F55" s="167">
        <f>+F53+F54</f>
        <v>45212.68</v>
      </c>
      <c r="G55" s="156">
        <f>+F55/$F$66</f>
        <v>0.96154515251316119</v>
      </c>
      <c r="H55" s="168">
        <f>+F55/$D$60</f>
        <v>847.73775000000001</v>
      </c>
      <c r="I55" s="168"/>
      <c r="J55" s="175"/>
      <c r="K55" s="176"/>
      <c r="M55" s="177" t="s">
        <v>140</v>
      </c>
      <c r="N55" s="178"/>
      <c r="O55" s="173">
        <f>+H56</f>
        <v>31.117499999999996</v>
      </c>
      <c r="P55" s="173"/>
      <c r="Q55" s="174"/>
    </row>
    <row r="56" spans="1:17" ht="13.5" thickBot="1" x14ac:dyDescent="0.25">
      <c r="A56" s="165"/>
      <c r="B56" s="166"/>
      <c r="C56" s="721" t="s">
        <v>141</v>
      </c>
      <c r="D56" s="721"/>
      <c r="E56" s="721"/>
      <c r="F56" s="167">
        <f>SUM(F44:F51)</f>
        <v>1659.6</v>
      </c>
      <c r="G56" s="156">
        <f>+F56/$F$66</f>
        <v>3.5294973337365587E-2</v>
      </c>
      <c r="H56" s="168">
        <f>+F56/$D$60</f>
        <v>31.117499999999996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45243.797500000001</v>
      </c>
      <c r="P57" s="187"/>
      <c r="Q57" s="174"/>
    </row>
    <row r="58" spans="1:17" x14ac:dyDescent="0.2">
      <c r="B58" s="724" t="s">
        <v>144</v>
      </c>
      <c r="C58" s="724"/>
      <c r="D58" s="188">
        <v>24000</v>
      </c>
      <c r="E58" s="189"/>
      <c r="G58" s="156"/>
      <c r="H58" s="182">
        <f>+H56/61</f>
        <v>0.51012295081967207</v>
      </c>
      <c r="I58" s="190"/>
      <c r="J58" s="175"/>
      <c r="K58" s="183"/>
      <c r="L58" s="176"/>
      <c r="M58" s="176" t="s">
        <v>145</v>
      </c>
      <c r="N58" s="191"/>
      <c r="O58" s="173">
        <f>+H59</f>
        <v>29.58713114754098</v>
      </c>
      <c r="P58" s="173"/>
      <c r="Q58" s="174"/>
    </row>
    <row r="59" spans="1:17" x14ac:dyDescent="0.2">
      <c r="B59" s="724" t="s">
        <v>146</v>
      </c>
      <c r="C59" s="724"/>
      <c r="D59" s="192">
        <v>450</v>
      </c>
      <c r="E59" s="189"/>
      <c r="G59" s="156"/>
      <c r="H59" s="182">
        <f>+H58*58</f>
        <v>29.58713114754098</v>
      </c>
      <c r="I59" s="190"/>
      <c r="J59" s="175"/>
      <c r="K59" s="183"/>
      <c r="L59" s="176"/>
      <c r="M59" s="725" t="s">
        <v>143</v>
      </c>
      <c r="N59" s="725"/>
      <c r="O59" s="173">
        <f>SUM(O57:O58)</f>
        <v>45273.384631147543</v>
      </c>
      <c r="P59" s="173"/>
      <c r="Q59" s="174"/>
    </row>
    <row r="60" spans="1:17" ht="13.5" thickBot="1" x14ac:dyDescent="0.25">
      <c r="B60" s="716" t="s">
        <v>147</v>
      </c>
      <c r="C60" s="716"/>
      <c r="D60" s="188">
        <f>+D58/D59</f>
        <v>53.333333333333336</v>
      </c>
      <c r="E60" s="189"/>
      <c r="F60" s="193"/>
      <c r="G60" s="156"/>
      <c r="H60" s="182"/>
      <c r="I60" s="190"/>
      <c r="J60" s="175"/>
      <c r="K60" s="183"/>
      <c r="L60" s="725"/>
      <c r="M60" s="725"/>
      <c r="N60" s="191"/>
      <c r="O60" s="173">
        <f>+O59*N60</f>
        <v>0</v>
      </c>
      <c r="P60" s="173"/>
      <c r="Q60" s="174"/>
    </row>
    <row r="61" spans="1:17" ht="13.5" thickBot="1" x14ac:dyDescent="0.25">
      <c r="B61" s="716" t="s">
        <v>148</v>
      </c>
      <c r="C61" s="716"/>
      <c r="D61" s="194"/>
      <c r="E61" s="189"/>
      <c r="F61" s="193"/>
      <c r="G61" s="156"/>
      <c r="H61" s="182"/>
      <c r="I61" s="190"/>
      <c r="J61" s="175"/>
      <c r="K61" s="717" t="s">
        <v>149</v>
      </c>
      <c r="L61" s="718"/>
      <c r="M61" s="718"/>
      <c r="N61" s="719"/>
      <c r="O61" s="186">
        <f>SUM(O59:O60)</f>
        <v>45273.384631147543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05" t="s">
        <v>154</v>
      </c>
      <c r="M62" s="705"/>
      <c r="N62" s="705"/>
      <c r="O62" s="200">
        <f>+O61/D60</f>
        <v>848.87596183401638</v>
      </c>
      <c r="P62" s="201">
        <f>+O62/D59</f>
        <v>1.8863910262978141</v>
      </c>
      <c r="Q62" s="202"/>
    </row>
    <row r="63" spans="1:17" ht="13.5" thickBot="1" x14ac:dyDescent="0.25">
      <c r="B63" s="706" t="s">
        <v>139</v>
      </c>
      <c r="C63" s="706"/>
      <c r="D63" s="706"/>
      <c r="E63" s="203">
        <f>+F63/F63</f>
        <v>1</v>
      </c>
      <c r="F63" s="204">
        <f>SUM(F55)</f>
        <v>45212.68</v>
      </c>
      <c r="G63" s="156">
        <f>+F63/$F$66</f>
        <v>0.96154515251316119</v>
      </c>
      <c r="H63" s="182"/>
      <c r="I63" s="190"/>
      <c r="K63" s="707"/>
      <c r="L63" s="708"/>
      <c r="M63" s="708"/>
      <c r="N63" s="708"/>
      <c r="O63" s="205"/>
      <c r="P63" s="206"/>
    </row>
    <row r="64" spans="1:17" ht="13.5" thickBot="1" x14ac:dyDescent="0.3">
      <c r="B64" s="709" t="s">
        <v>155</v>
      </c>
      <c r="C64" s="709"/>
      <c r="D64" s="709"/>
      <c r="E64" s="207">
        <v>0.02</v>
      </c>
      <c r="F64" s="204">
        <f>+F53*E64</f>
        <v>893.18000000000006</v>
      </c>
      <c r="G64" s="156">
        <f>+F64/$F$66</f>
        <v>1.899539906330935E-2</v>
      </c>
      <c r="H64" s="168"/>
      <c r="I64" s="190"/>
      <c r="J64" s="208"/>
      <c r="O64" s="209"/>
      <c r="P64" s="166"/>
    </row>
    <row r="65" spans="2:13" ht="13.5" thickBot="1" x14ac:dyDescent="0.3">
      <c r="B65" s="710" t="s">
        <v>156</v>
      </c>
      <c r="C65" s="711"/>
      <c r="D65" s="210">
        <v>15</v>
      </c>
      <c r="E65" s="211">
        <v>61</v>
      </c>
      <c r="F65" s="204">
        <f>+E65*D65</f>
        <v>915</v>
      </c>
      <c r="G65" s="156">
        <f>+F65/$F$66</f>
        <v>1.9459448423529473E-2</v>
      </c>
      <c r="H65" s="168"/>
      <c r="I65" s="168"/>
      <c r="J65" s="158"/>
    </row>
    <row r="66" spans="2:13" ht="13.5" thickBot="1" x14ac:dyDescent="0.3">
      <c r="B66" s="712" t="s">
        <v>157</v>
      </c>
      <c r="C66" s="713"/>
      <c r="D66" s="713"/>
      <c r="E66" s="714"/>
      <c r="F66" s="181">
        <f>SUM(F63:F65)</f>
        <v>47020.86</v>
      </c>
      <c r="G66" s="156">
        <f>+F66/$F$66</f>
        <v>1</v>
      </c>
      <c r="H66" s="715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15"/>
      <c r="I67" s="212"/>
      <c r="J67" s="141"/>
      <c r="M67" s="141" t="s">
        <v>159</v>
      </c>
    </row>
    <row r="68" spans="2:13" ht="13.5" thickBot="1" x14ac:dyDescent="0.3">
      <c r="B68" s="700" t="s">
        <v>160</v>
      </c>
      <c r="C68" s="700"/>
      <c r="D68" s="700"/>
      <c r="E68" s="700"/>
      <c r="F68" s="700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44659</v>
      </c>
      <c r="D69" s="217">
        <f>+D58</f>
        <v>24000</v>
      </c>
      <c r="E69" s="218">
        <f>+C69/D69</f>
        <v>1.8607916666666666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46105.86</v>
      </c>
      <c r="D71" s="217">
        <f>+D58</f>
        <v>24000</v>
      </c>
      <c r="E71" s="222">
        <f>+C71/D71</f>
        <v>1.9210775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915</v>
      </c>
      <c r="D73" s="217">
        <f>+D58</f>
        <v>24000</v>
      </c>
      <c r="E73" s="222">
        <f>+C73/D73</f>
        <v>3.8124999999999999E-2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1659.6</v>
      </c>
      <c r="D74" s="217">
        <f>+D73</f>
        <v>24000</v>
      </c>
      <c r="E74" s="218">
        <f>+C74/D74</f>
        <v>6.9150000000000003E-2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553.68000000000006</v>
      </c>
      <c r="D76" s="217">
        <f>+D74</f>
        <v>24000</v>
      </c>
      <c r="E76" s="218">
        <f>+C76/D76</f>
        <v>2.3070000000000004E-2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01" t="s">
        <v>167</v>
      </c>
      <c r="C78" s="702"/>
      <c r="D78" s="703"/>
      <c r="E78" s="218">
        <f>+E69+E74</f>
        <v>1.9299416666666667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00" t="s">
        <v>168</v>
      </c>
      <c r="C80" s="700"/>
      <c r="D80" s="700"/>
      <c r="E80" s="700"/>
      <c r="F80" s="700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44659</v>
      </c>
      <c r="D81" s="217">
        <f>+D60</f>
        <v>53.333333333333336</v>
      </c>
      <c r="E81" s="218">
        <f>+C81/D81</f>
        <v>837.35624999999993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46105.86</v>
      </c>
      <c r="D83" s="217">
        <f>+D60</f>
        <v>53.333333333333336</v>
      </c>
      <c r="E83" s="222">
        <f>+C83/D83</f>
        <v>864.48487499999999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915</v>
      </c>
      <c r="D85" s="217">
        <f>+D60</f>
        <v>53.333333333333336</v>
      </c>
      <c r="E85" s="222">
        <f>+C85/D85</f>
        <v>17.15625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1659.6</v>
      </c>
      <c r="D86" s="217">
        <f>+D85</f>
        <v>53.333333333333336</v>
      </c>
      <c r="E86" s="218">
        <f>+C86/D86</f>
        <v>31.117499999999996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04"/>
      <c r="B88" s="704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BC4ED2-AA82-4383-83DE-7055EF0DF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Emsamble Industria</vt:lpstr>
      <vt:lpstr>Ensamble Industria 2</vt:lpstr>
      <vt:lpstr>Hoja1</vt:lpstr>
      <vt:lpstr>Costo Ensamble Industria </vt:lpstr>
      <vt:lpstr>Emsamble Locales</vt:lpstr>
      <vt:lpstr>Ensamble locales 2</vt:lpstr>
      <vt:lpstr>Ensamble locales 3</vt:lpstr>
      <vt:lpstr>Empaque Fudge Chocolate</vt:lpstr>
      <vt:lpstr>Fudge Chocolate </vt:lpstr>
      <vt:lpstr>Crema Beidge </vt:lpstr>
      <vt:lpstr>Crema Chantilly Blanca </vt:lpstr>
      <vt:lpstr>Mezcla tres leches c Baileys </vt:lpstr>
      <vt:lpstr>Mezcla 3 leches Pasteurizada</vt:lpstr>
      <vt:lpstr>MOusse de chocolate de leche </vt:lpstr>
      <vt:lpstr>Caramelo Crocante bañado choco </vt:lpstr>
      <vt:lpstr>Caramelo Crocante </vt:lpstr>
      <vt:lpstr>Ganache de Baileys </vt:lpstr>
      <vt:lpstr>Costo Ensamble Locales</vt:lpstr>
      <vt:lpstr>Rosquette 400 g</vt:lpstr>
      <vt:lpstr>Rosquete 400 g 2</vt:lpstr>
      <vt:lpstr>Batido nucleo vainilla Dawn</vt:lpstr>
      <vt:lpstr>Premezcla Nucleo Vainilla Dawn</vt:lpstr>
      <vt:lpstr>Costo Rosquete</vt:lpstr>
      <vt:lpstr>Costo Rosquete 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2025-03-25T22:56:11Z</cp:lastPrinted>
  <dcterms:created xsi:type="dcterms:W3CDTF">2023-07-28T19:10:29Z</dcterms:created>
  <dcterms:modified xsi:type="dcterms:W3CDTF">2025-03-25T22:56:12Z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
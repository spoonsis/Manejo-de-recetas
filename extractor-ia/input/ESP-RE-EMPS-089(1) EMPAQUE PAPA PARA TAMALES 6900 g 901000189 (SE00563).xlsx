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BDC51A35-90B8-4E5F-9EC4-B4AEC48C3BFB}" xr6:coauthVersionLast="47" xr6:coauthVersionMax="47" xr10:uidLastSave="{80BC4CB1-3DE9-4A2E-B93E-2F14AA13DB1D}"/>
  <bookViews>
    <workbookView xWindow="-120" yWindow="-120" windowWidth="20730" windowHeight="11040" tabRatio="879" xr2:uid="{1F059D81-9297-43FA-A1C7-0DF30E94CCC9}"/>
  </bookViews>
  <sheets>
    <sheet name="Receta" sheetId="37" r:id="rId1"/>
    <sheet name="Hoja1" sheetId="38" state="hidden" r:id="rId2"/>
  </sheets>
  <externalReferences>
    <externalReference r:id="rId3"/>
    <externalReference r:id="rId4"/>
  </externalReferences>
  <definedNames>
    <definedName name="_xlnm.Print_Area" localSheetId="0">Receta!$A$1:$I$32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8" l="1"/>
  <c r="D74" i="38"/>
  <c r="D76" i="38"/>
  <c r="C73" i="38"/>
  <c r="C85" i="38"/>
  <c r="D71" i="38"/>
  <c r="D69" i="38"/>
  <c r="F65" i="38"/>
  <c r="D60" i="38"/>
  <c r="D85" i="38"/>
  <c r="D86" i="38"/>
  <c r="E51" i="38"/>
  <c r="F51" i="38"/>
  <c r="C51" i="38"/>
  <c r="E50" i="38"/>
  <c r="F50" i="38"/>
  <c r="D50" i="38"/>
  <c r="B50" i="38"/>
  <c r="E49" i="38"/>
  <c r="F49" i="38"/>
  <c r="D49" i="38"/>
  <c r="B49" i="38"/>
  <c r="E48" i="38"/>
  <c r="D48" i="38"/>
  <c r="B48" i="38"/>
  <c r="E47" i="38"/>
  <c r="F47" i="38"/>
  <c r="D47" i="38"/>
  <c r="B47" i="38"/>
  <c r="E46" i="38"/>
  <c r="F46" i="38"/>
  <c r="D46" i="38"/>
  <c r="B46" i="38"/>
  <c r="E45" i="38"/>
  <c r="F45" i="38"/>
  <c r="D45" i="38"/>
  <c r="B45" i="38"/>
  <c r="D44" i="38"/>
  <c r="B44" i="38"/>
  <c r="E41" i="38"/>
  <c r="F41" i="38"/>
  <c r="D41" i="38"/>
  <c r="B41" i="38"/>
  <c r="A41" i="38"/>
  <c r="A50" i="38"/>
  <c r="C50" i="38"/>
  <c r="E40" i="38"/>
  <c r="F40" i="38"/>
  <c r="D40" i="38"/>
  <c r="B40" i="38"/>
  <c r="A40" i="38"/>
  <c r="C40" i="38"/>
  <c r="E39" i="38"/>
  <c r="F39" i="38"/>
  <c r="D39" i="38"/>
  <c r="B39" i="38"/>
  <c r="A39" i="38"/>
  <c r="A48" i="38"/>
  <c r="C48" i="38"/>
  <c r="E38" i="38"/>
  <c r="F38" i="38"/>
  <c r="D38" i="38"/>
  <c r="B38" i="38"/>
  <c r="A38" i="38"/>
  <c r="C38" i="38"/>
  <c r="E37" i="38"/>
  <c r="D37" i="38"/>
  <c r="C37" i="38"/>
  <c r="B37" i="38"/>
  <c r="A37" i="38"/>
  <c r="A46" i="38"/>
  <c r="C46" i="38"/>
  <c r="E36" i="38"/>
  <c r="F36" i="38"/>
  <c r="D36" i="38"/>
  <c r="B36" i="38"/>
  <c r="A36" i="38"/>
  <c r="C36" i="38"/>
  <c r="D35" i="38"/>
  <c r="B35" i="38"/>
  <c r="A35" i="38"/>
  <c r="A44" i="38"/>
  <c r="C44" i="38"/>
  <c r="E32" i="38"/>
  <c r="F32" i="38"/>
  <c r="D32" i="38"/>
  <c r="C32" i="38"/>
  <c r="B32" i="38"/>
  <c r="E31" i="38"/>
  <c r="F31" i="38"/>
  <c r="D31" i="38"/>
  <c r="C31" i="38"/>
  <c r="B31" i="38"/>
  <c r="E30" i="38"/>
  <c r="F30" i="38"/>
  <c r="D30" i="38"/>
  <c r="C30" i="38"/>
  <c r="B30" i="38"/>
  <c r="E29" i="38"/>
  <c r="F29" i="38"/>
  <c r="D29" i="38"/>
  <c r="C29" i="38"/>
  <c r="B29" i="38"/>
  <c r="C28" i="38"/>
  <c r="E27" i="38"/>
  <c r="F27" i="38"/>
  <c r="D27" i="38"/>
  <c r="C27" i="38"/>
  <c r="B27" i="38"/>
  <c r="E24" i="38"/>
  <c r="F24" i="38"/>
  <c r="D24" i="38"/>
  <c r="C24" i="38"/>
  <c r="B24" i="38"/>
  <c r="E23" i="38"/>
  <c r="F23" i="38"/>
  <c r="D23" i="38"/>
  <c r="C23" i="38"/>
  <c r="B23" i="38"/>
  <c r="E22" i="38"/>
  <c r="F22" i="38"/>
  <c r="D22" i="38"/>
  <c r="C22" i="38"/>
  <c r="B22" i="38"/>
  <c r="E21" i="38"/>
  <c r="F21" i="38"/>
  <c r="D21" i="38"/>
  <c r="C21" i="38"/>
  <c r="B21" i="38"/>
  <c r="E20" i="38"/>
  <c r="F20" i="38"/>
  <c r="D20" i="38"/>
  <c r="C20" i="38"/>
  <c r="B20" i="38"/>
  <c r="E19" i="38"/>
  <c r="F19" i="38"/>
  <c r="D19" i="38"/>
  <c r="C19" i="38"/>
  <c r="B19" i="38"/>
  <c r="E18" i="38"/>
  <c r="F18" i="38"/>
  <c r="D18" i="38"/>
  <c r="C18" i="38"/>
  <c r="B18" i="38"/>
  <c r="D17" i="38"/>
  <c r="C17" i="38"/>
  <c r="B17" i="38"/>
  <c r="B15" i="38"/>
  <c r="E14" i="38"/>
  <c r="F14" i="38"/>
  <c r="D14" i="38"/>
  <c r="C14" i="38"/>
  <c r="B14" i="38"/>
  <c r="E13" i="38"/>
  <c r="F13" i="38"/>
  <c r="D13" i="38"/>
  <c r="C13" i="38"/>
  <c r="B13" i="38"/>
  <c r="E12" i="38"/>
  <c r="F12" i="38"/>
  <c r="D12" i="38"/>
  <c r="C12" i="38"/>
  <c r="B12" i="38"/>
  <c r="E11" i="38"/>
  <c r="F11" i="38"/>
  <c r="D11" i="38"/>
  <c r="C11" i="38"/>
  <c r="B11" i="38"/>
  <c r="E10" i="38"/>
  <c r="F10" i="38"/>
  <c r="D10" i="38"/>
  <c r="C10" i="38"/>
  <c r="B10" i="38"/>
  <c r="E9" i="38"/>
  <c r="F9" i="38"/>
  <c r="D9" i="38"/>
  <c r="C9" i="38"/>
  <c r="B9" i="38"/>
  <c r="E8" i="38"/>
  <c r="F8" i="38"/>
  <c r="D8" i="38"/>
  <c r="C8" i="38"/>
  <c r="B8" i="38"/>
  <c r="H6" i="38"/>
  <c r="J20" i="37"/>
  <c r="D22" i="37"/>
  <c r="D23" i="37"/>
  <c r="C41" i="38"/>
  <c r="F37" i="38"/>
  <c r="F28" i="38"/>
  <c r="E85" i="38"/>
  <c r="F44" i="38"/>
  <c r="F48" i="38"/>
  <c r="C35" i="38"/>
  <c r="C39" i="38"/>
  <c r="A47" i="38"/>
  <c r="C47" i="38"/>
  <c r="E73" i="38"/>
  <c r="D83" i="38"/>
  <c r="D81" i="38"/>
  <c r="A45" i="38"/>
  <c r="C45" i="38"/>
  <c r="A49" i="38"/>
  <c r="C49" i="38"/>
  <c r="F35" i="38"/>
  <c r="F17" i="38"/>
  <c r="F54" i="38"/>
  <c r="C76" i="38"/>
  <c r="E76" i="38"/>
  <c r="F53" i="38"/>
  <c r="F56" i="38"/>
  <c r="H54" i="38"/>
  <c r="G2" i="38"/>
  <c r="F64" i="38"/>
  <c r="C69" i="38"/>
  <c r="F55" i="38"/>
  <c r="H53" i="38"/>
  <c r="F2" i="38"/>
  <c r="C74" i="38"/>
  <c r="H56" i="38"/>
  <c r="H2" i="38"/>
  <c r="E74" i="38"/>
  <c r="C86" i="38"/>
  <c r="E86" i="38"/>
  <c r="F63" i="38"/>
  <c r="O54" i="38"/>
  <c r="H55" i="38"/>
  <c r="C81" i="38"/>
  <c r="E81" i="38"/>
  <c r="E69" i="38"/>
  <c r="E78" i="38"/>
  <c r="E63" i="38"/>
  <c r="C71" i="38"/>
  <c r="F66" i="38"/>
  <c r="G63" i="38"/>
  <c r="O55" i="38"/>
  <c r="O56" i="38"/>
  <c r="O58" i="38"/>
  <c r="O57" i="38"/>
  <c r="O59" i="38"/>
  <c r="G35" i="38"/>
  <c r="G48" i="38"/>
  <c r="G28" i="38"/>
  <c r="G29" i="38"/>
  <c r="G30" i="38"/>
  <c r="G39" i="38"/>
  <c r="G65" i="38"/>
  <c r="G66" i="38"/>
  <c r="G17" i="38"/>
  <c r="G41" i="38"/>
  <c r="G40" i="38"/>
  <c r="G45" i="38"/>
  <c r="G32" i="38"/>
  <c r="G27" i="38"/>
  <c r="G49" i="38"/>
  <c r="G44" i="38"/>
  <c r="G50" i="38"/>
  <c r="G12" i="38"/>
  <c r="G51" i="38"/>
  <c r="G37" i="38"/>
  <c r="G18" i="38"/>
  <c r="G38" i="38"/>
  <c r="G9" i="38"/>
  <c r="G24" i="38"/>
  <c r="G13" i="38"/>
  <c r="G54" i="38"/>
  <c r="G19" i="38"/>
  <c r="G47" i="38"/>
  <c r="G10" i="38"/>
  <c r="G46" i="38"/>
  <c r="G14" i="38"/>
  <c r="G20" i="38"/>
  <c r="G36" i="38"/>
  <c r="G22" i="38"/>
  <c r="G11" i="38"/>
  <c r="G8" i="38"/>
  <c r="G21" i="38"/>
  <c r="G23" i="38"/>
  <c r="G31" i="38"/>
  <c r="G53" i="38"/>
  <c r="G56" i="38"/>
  <c r="G64" i="38"/>
  <c r="G55" i="38"/>
  <c r="C83" i="38"/>
  <c r="E83" i="38"/>
  <c r="E71" i="38"/>
  <c r="O60" i="38"/>
  <c r="O61" i="38"/>
  <c r="O62" i="38"/>
  <c r="P62" i="38"/>
  <c r="E2" i="38"/>
</calcChain>
</file>

<file path=xl/sharedStrings.xml><?xml version="1.0" encoding="utf-8"?>
<sst xmlns="http://schemas.openxmlformats.org/spreadsheetml/2006/main" count="155" uniqueCount="107">
  <si>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</si>
  <si>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</si>
  <si>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</si>
  <si>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</si>
  <si>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</si>
  <si>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</si>
  <si>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</si>
  <si>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</si>
  <si>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</si>
  <si>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</si>
  <si>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</si>
  <si>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</si>
  <si>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PROCEDIMIENTO DE PREPARACION DE LA  RECETA</t>
  </si>
  <si>
    <t>OTROS</t>
  </si>
  <si>
    <t>PESO DE CADA PORCIÓN</t>
  </si>
  <si>
    <t>TEMPERATURA HORNEO</t>
  </si>
  <si>
    <t>Tanda</t>
  </si>
  <si>
    <t>CANTIDAD DE PORCIONES OBTENIDAS</t>
  </si>
  <si>
    <t>HORNO</t>
  </si>
  <si>
    <t>Minutos</t>
  </si>
  <si>
    <t>TIEMPO DE HORNEO</t>
  </si>
  <si>
    <t>Unidad</t>
  </si>
  <si>
    <t>ETIQ.FECHA VENCIMIENTO BLANCO</t>
  </si>
  <si>
    <t>0702007</t>
  </si>
  <si>
    <t>Medida alternativa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</si>
  <si>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</si>
  <si>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</si>
  <si>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</si>
  <si>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</si>
  <si>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</si>
  <si>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</si>
  <si>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</si>
  <si>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</si>
  <si>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Enmanuel Madrigal, Chef</t>
  </si>
  <si>
    <t>CONTROL DE CAMBIOS</t>
  </si>
  <si>
    <t>Ud</t>
  </si>
  <si>
    <t>FAS</t>
  </si>
  <si>
    <t>COCINA</t>
  </si>
  <si>
    <t>0702123</t>
  </si>
  <si>
    <t>ETIQUETA BLANCA 2 5/8X1 15/16 (UND)</t>
  </si>
  <si>
    <t>ETIPLAS</t>
  </si>
  <si>
    <t>EMPAQUE</t>
  </si>
  <si>
    <t>1950708</t>
  </si>
  <si>
    <t>BOLSA 17x25 TRANSP</t>
  </si>
  <si>
    <t>PLASTICOS P</t>
  </si>
  <si>
    <t>COCCIÓN PAPA PARA TAMALES 6900 g</t>
  </si>
  <si>
    <t>1.- Empacar en bolsa 17x25, hacer nudo y etiquetar con nombre y fecha</t>
  </si>
  <si>
    <t>2.- Mantener en refrigeración hasta que se vaya a utilizar</t>
  </si>
  <si>
    <t>908000028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</si>
  <si>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</si>
  <si>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</si>
  <si>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</si>
  <si>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</si>
  <si>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</si>
  <si>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</si>
  <si>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</si>
  <si>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</si>
  <si>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</si>
  <si>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</si>
  <si>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</si>
  <si>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</si>
  <si>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</si>
  <si>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</si>
  <si>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</si>
  <si>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</si>
  <si>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</si>
  <si>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</si>
  <si>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</si>
  <si>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</si>
  <si>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</si>
  <si>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</si>
  <si>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</si>
  <si>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</si>
  <si>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</si>
  <si>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</si>
  <si>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</si>
  <si>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</si>
  <si>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</si>
  <si>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</si>
  <si>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</si>
  <si>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</si>
  <si>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</si>
  <si>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</si>
  <si>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</si>
  <si>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</si>
  <si>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</si>
  <si>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</si>
  <si>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</si>
  <si>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</si>
  <si>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</si>
  <si>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</si>
  <si>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</si>
  <si>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</si>
  <si>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</si>
  <si>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</si>
  <si>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</si>
  <si>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</si>
  <si>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</si>
  <si>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Esteban Cartin, Gerente Manufactura</t>
  </si>
  <si>
    <t>EM10013</t>
  </si>
  <si>
    <t>EM10004</t>
  </si>
  <si>
    <t>EM10011</t>
  </si>
  <si>
    <t>SE00551</t>
  </si>
  <si>
    <t>EMPAQUE PAPA PARA TAMALES 6900 g 901000189 (SE00563)</t>
  </si>
  <si>
    <t># Codigo Netsuite</t>
  </si>
  <si>
    <t>01</t>
  </si>
  <si>
    <t>ESP-RE-EMPS-089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</si>
</sst>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([$€]* #,##0.00_);_([$€]* \(#,##0.00\);_([$€]* &quot;-&quot;??_);_(@_)"/>
    <numFmt numFmtId="170" formatCode="[$-409]d\-mmm\-yy;@"/>
    <numFmt numFmtId="171" formatCode="_-* #,##0.0\ _€_-;\-* #,##0.0\ _€_-;_-* &quot;-&quot;??\ _€_-;_-@_-"/>
  </numFmts>
  <fonts count="43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2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b/>
      <i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4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44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left" indent="1"/>
    </xf>
    <xf numFmtId="9" fontId="6" fillId="2" borderId="0" xfId="8" applyFont="1" applyFill="1"/>
    <xf numFmtId="0" fontId="7" fillId="3" borderId="10" xfId="0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 wrapText="1"/>
    </xf>
    <xf numFmtId="1" fontId="7" fillId="3" borderId="11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49" fontId="6" fillId="2" borderId="7" xfId="6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right"/>
    </xf>
    <xf numFmtId="0" fontId="6" fillId="2" borderId="12" xfId="6" applyFont="1" applyFill="1" applyBorder="1" applyAlignment="1">
      <alignment horizontal="left"/>
    </xf>
    <xf numFmtId="0" fontId="7" fillId="2" borderId="13" xfId="6" applyFont="1" applyFill="1" applyBorder="1" applyAlignment="1">
      <alignment horizontal="right"/>
    </xf>
    <xf numFmtId="0" fontId="6" fillId="2" borderId="14" xfId="6" applyFont="1" applyFill="1" applyBorder="1" applyAlignment="1">
      <alignment horizontal="right" vertical="center"/>
    </xf>
    <xf numFmtId="0" fontId="6" fillId="2" borderId="15" xfId="6" applyFont="1" applyFill="1" applyBorder="1" applyAlignment="1">
      <alignment horizontal="right" vertical="center"/>
    </xf>
    <xf numFmtId="0" fontId="3" fillId="9" borderId="0" xfId="0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8" fillId="0" borderId="1" xfId="3" applyFont="1" applyFill="1" applyBorder="1" applyAlignment="1">
      <alignment horizontal="center" vertical="center"/>
    </xf>
    <xf numFmtId="166" fontId="8" fillId="0" borderId="0" xfId="3" applyFont="1" applyFill="1" applyBorder="1" applyAlignment="1">
      <alignment horizontal="center" vertical="center"/>
    </xf>
    <xf numFmtId="166" fontId="10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0" fontId="13" fillId="0" borderId="0" xfId="0" applyNumberFormat="1" applyFont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4" applyNumberFormat="1" applyFont="1" applyFill="1" applyAlignment="1">
      <alignment horizontal="center" vertical="center"/>
    </xf>
    <xf numFmtId="4" fontId="8" fillId="0" borderId="0" xfId="4" applyNumberFormat="1" applyFont="1" applyFill="1" applyAlignment="1">
      <alignment horizontal="center" vertical="center"/>
    </xf>
    <xf numFmtId="10" fontId="8" fillId="0" borderId="0" xfId="7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7" applyNumberFormat="1" applyFont="1" applyFill="1" applyAlignment="1">
      <alignment vertical="center"/>
    </xf>
    <xf numFmtId="0" fontId="3" fillId="0" borderId="0" xfId="0" applyFont="1"/>
    <xf numFmtId="49" fontId="8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6" fontId="3" fillId="0" borderId="0" xfId="3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3" applyNumberFormat="1" applyFont="1" applyFill="1" applyAlignment="1">
      <alignment vertical="center"/>
    </xf>
    <xf numFmtId="166" fontId="16" fillId="0" borderId="0" xfId="3" applyFont="1" applyFill="1" applyAlignment="1">
      <alignment horizontal="center" vertical="center"/>
    </xf>
    <xf numFmtId="10" fontId="9" fillId="4" borderId="24" xfId="7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166" fontId="16" fillId="4" borderId="25" xfId="3" applyFont="1" applyFill="1" applyBorder="1" applyAlignment="1">
      <alignment horizontal="center" vertical="center"/>
    </xf>
    <xf numFmtId="166" fontId="18" fillId="0" borderId="0" xfId="3" applyFont="1" applyFill="1" applyBorder="1" applyAlignment="1">
      <alignment horizontal="right"/>
    </xf>
    <xf numFmtId="0" fontId="3" fillId="4" borderId="25" xfId="0" applyFont="1" applyFill="1" applyBorder="1" applyAlignment="1">
      <alignment vertical="center"/>
    </xf>
    <xf numFmtId="10" fontId="9" fillId="4" borderId="25" xfId="7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35" fillId="0" borderId="0" xfId="7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3" applyNumberFormat="1" applyFont="1" applyFill="1" applyAlignment="1">
      <alignment vertical="center"/>
    </xf>
    <xf numFmtId="4" fontId="16" fillId="0" borderId="0" xfId="4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right"/>
    </xf>
    <xf numFmtId="166" fontId="21" fillId="5" borderId="26" xfId="3" applyFont="1" applyFill="1" applyBorder="1" applyAlignment="1">
      <alignment horizontal="right"/>
    </xf>
    <xf numFmtId="166" fontId="21" fillId="0" borderId="0" xfId="3" applyFont="1" applyFill="1" applyBorder="1" applyAlignment="1">
      <alignment horizontal="right"/>
    </xf>
    <xf numFmtId="166" fontId="8" fillId="0" borderId="1" xfId="3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6" fillId="0" borderId="0" xfId="4" applyNumberFormat="1" applyFont="1" applyFill="1" applyAlignment="1">
      <alignment horizontal="center" vertical="center"/>
    </xf>
    <xf numFmtId="10" fontId="23" fillId="0" borderId="0" xfId="7" applyNumberFormat="1" applyFont="1" applyFill="1" applyAlignment="1">
      <alignment horizontal="right"/>
    </xf>
    <xf numFmtId="171" fontId="8" fillId="4" borderId="1" xfId="3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166" fontId="8" fillId="6" borderId="1" xfId="3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3" applyNumberFormat="1" applyFont="1" applyFill="1" applyBorder="1" applyAlignment="1">
      <alignment horizontal="center"/>
    </xf>
    <xf numFmtId="2" fontId="20" fillId="0" borderId="0" xfId="3" applyNumberFormat="1" applyFont="1" applyFill="1" applyBorder="1" applyAlignment="1">
      <alignment horizontal="center"/>
    </xf>
    <xf numFmtId="0" fontId="3" fillId="4" borderId="27" xfId="0" applyFont="1" applyFill="1" applyBorder="1" applyAlignment="1">
      <alignment vertical="center"/>
    </xf>
    <xf numFmtId="10" fontId="3" fillId="0" borderId="0" xfId="7" applyNumberFormat="1" applyFont="1" applyFill="1" applyAlignment="1">
      <alignment vertical="center"/>
    </xf>
    <xf numFmtId="4" fontId="3" fillId="0" borderId="0" xfId="3" applyNumberFormat="1" applyFont="1" applyFill="1" applyAlignment="1">
      <alignment vertical="center"/>
    </xf>
    <xf numFmtId="166" fontId="21" fillId="4" borderId="3" xfId="3" applyFont="1" applyFill="1" applyBorder="1" applyAlignment="1">
      <alignment horizontal="right"/>
    </xf>
    <xf numFmtId="0" fontId="8" fillId="4" borderId="2" xfId="0" applyFont="1" applyFill="1" applyBorder="1" applyAlignment="1">
      <alignment horizontal="right" vertical="center"/>
    </xf>
    <xf numFmtId="10" fontId="27" fillId="0" borderId="0" xfId="3" applyNumberFormat="1" applyFont="1" applyFill="1" applyAlignment="1">
      <alignment vertical="center"/>
    </xf>
    <xf numFmtId="10" fontId="9" fillId="0" borderId="0" xfId="7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66" fontId="29" fillId="0" borderId="0" xfId="3" applyFont="1" applyFill="1" applyAlignment="1">
      <alignment vertical="center"/>
    </xf>
    <xf numFmtId="4" fontId="30" fillId="0" borderId="0" xfId="4" applyNumberFormat="1" applyFont="1" applyFill="1" applyAlignment="1">
      <alignment horizontal="center" vertical="center" wrapText="1"/>
    </xf>
    <xf numFmtId="9" fontId="3" fillId="0" borderId="0" xfId="3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8" fillId="7" borderId="26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3" applyFont="1" applyFill="1" applyAlignment="1">
      <alignment vertical="center"/>
    </xf>
    <xf numFmtId="9" fontId="31" fillId="0" borderId="0" xfId="3" applyNumberFormat="1" applyFont="1" applyFill="1" applyAlignment="1">
      <alignment vertical="center"/>
    </xf>
    <xf numFmtId="4" fontId="8" fillId="0" borderId="0" xfId="3" applyNumberFormat="1" applyFont="1" applyFill="1" applyAlignment="1">
      <alignment horizontal="center" vertical="center"/>
    </xf>
    <xf numFmtId="10" fontId="24" fillId="0" borderId="0" xfId="7" applyNumberFormat="1" applyFont="1" applyFill="1" applyAlignment="1">
      <alignment vertical="center"/>
    </xf>
    <xf numFmtId="166" fontId="24" fillId="0" borderId="0" xfId="3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166" fontId="3" fillId="0" borderId="0" xfId="3" applyFont="1" applyFill="1" applyBorder="1"/>
    <xf numFmtId="10" fontId="24" fillId="0" borderId="0" xfId="7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3" fillId="0" borderId="0" xfId="3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7" fillId="3" borderId="13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right" vertical="top" wrapText="1"/>
    </xf>
    <xf numFmtId="0" fontId="7" fillId="2" borderId="11" xfId="6" applyFont="1" applyFill="1" applyBorder="1" applyAlignment="1">
      <alignment horizontal="right" vertical="top" wrapText="1"/>
    </xf>
    <xf numFmtId="0" fontId="6" fillId="2" borderId="11" xfId="6" applyFont="1" applyFill="1" applyBorder="1" applyAlignment="1">
      <alignment horizontal="left" vertical="center"/>
    </xf>
    <xf numFmtId="0" fontId="5" fillId="2" borderId="6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right" vertical="center"/>
    </xf>
    <xf numFmtId="0" fontId="5" fillId="2" borderId="0" xfId="6" applyFont="1" applyFill="1" applyAlignment="1">
      <alignment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5" fillId="2" borderId="47" xfId="6" applyFont="1" applyFill="1" applyBorder="1" applyAlignment="1">
      <alignment horizontal="center"/>
    </xf>
    <xf numFmtId="0" fontId="5" fillId="2" borderId="13" xfId="6" applyFont="1" applyFill="1" applyBorder="1" applyAlignment="1">
      <alignment horizontal="center"/>
    </xf>
    <xf numFmtId="0" fontId="5" fillId="2" borderId="14" xfId="6" applyFont="1" applyFill="1" applyBorder="1" applyAlignment="1">
      <alignment horizontal="center"/>
    </xf>
    <xf numFmtId="0" fontId="5" fillId="2" borderId="1" xfId="6" applyFont="1" applyFill="1" applyBorder="1" applyAlignment="1">
      <alignment horizontal="center"/>
    </xf>
    <xf numFmtId="0" fontId="6" fillId="2" borderId="1" xfId="6" applyFont="1" applyFill="1" applyBorder="1" applyAlignment="1">
      <alignment horizontal="left" vertical="center"/>
    </xf>
    <xf numFmtId="0" fontId="6" fillId="2" borderId="40" xfId="6" applyFont="1" applyFill="1" applyBorder="1" applyAlignment="1">
      <alignment horizontal="center"/>
    </xf>
    <xf numFmtId="0" fontId="6" fillId="2" borderId="48" xfId="6" applyFont="1" applyFill="1" applyBorder="1" applyAlignment="1">
      <alignment horizontal="center"/>
    </xf>
    <xf numFmtId="0" fontId="6" fillId="2" borderId="6" xfId="6" applyFont="1" applyFill="1" applyBorder="1" applyAlignment="1">
      <alignment horizontal="center"/>
    </xf>
    <xf numFmtId="0" fontId="6" fillId="2" borderId="5" xfId="6" applyFont="1" applyFill="1" applyBorder="1" applyAlignment="1">
      <alignment horizontal="center"/>
    </xf>
    <xf numFmtId="0" fontId="6" fillId="2" borderId="45" xfId="6" applyFont="1" applyFill="1" applyBorder="1" applyAlignment="1">
      <alignment horizontal="center"/>
    </xf>
    <xf numFmtId="0" fontId="6" fillId="2" borderId="46" xfId="6" applyFont="1" applyFill="1" applyBorder="1" applyAlignment="1">
      <alignment horizontal="center"/>
    </xf>
    <xf numFmtId="14" fontId="6" fillId="2" borderId="7" xfId="6" applyNumberFormat="1" applyFont="1" applyFill="1" applyBorder="1" applyAlignment="1">
      <alignment horizontal="center" vertical="center" wrapText="1"/>
    </xf>
    <xf numFmtId="14" fontId="6" fillId="2" borderId="10" xfId="6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right" vertical="center"/>
    </xf>
    <xf numFmtId="0" fontId="32" fillId="0" borderId="3" xfId="0" applyFont="1" applyBorder="1" applyAlignment="1">
      <alignment horizontal="right" vertical="center"/>
    </xf>
    <xf numFmtId="0" fontId="32" fillId="0" borderId="2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5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4" xfId="0" applyFont="1" applyFill="1" applyBorder="1" applyAlignment="1">
      <alignment horizontal="right"/>
    </xf>
    <xf numFmtId="0" fontId="21" fillId="4" borderId="3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0" borderId="46" xfId="0" applyFont="1" applyBorder="1" applyAlignment="1">
      <alignment horizontal="right" vertical="center"/>
    </xf>
    <xf numFmtId="0" fontId="8" fillId="8" borderId="4" xfId="0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right" vertical="center"/>
    </xf>
    <xf numFmtId="4" fontId="30" fillId="0" borderId="0" xfId="4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4" fillId="0" borderId="1" xfId="0" applyFont="1" applyBorder="1" applyAlignment="1">
      <alignment horizontal="right" vertical="center"/>
    </xf>
    <xf numFmtId="0" fontId="25" fillId="0" borderId="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5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40" xfId="0" applyFont="1" applyBorder="1" applyAlignment="1">
      <alignment horizontal="right"/>
    </xf>
    <xf numFmtId="0" fontId="17" fillId="0" borderId="41" xfId="0" applyFont="1" applyBorder="1" applyAlignment="1">
      <alignment horizontal="right"/>
    </xf>
    <xf numFmtId="0" fontId="11" fillId="0" borderId="3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/>
    </xf>
    <xf numFmtId="0" fontId="36" fillId="2" borderId="35" xfId="6" applyFont="1" applyFill="1" applyBorder="1" applyAlignment="1">
      <alignment horizontal="center" vertical="center"/>
    </xf>
    <xf numFmtId="14" fontId="36" fillId="2" borderId="5" xfId="6" applyNumberFormat="1" applyFont="1" applyFill="1" applyBorder="1" applyAlignment="1">
      <alignment horizontal="center" vertical="center" wrapText="1"/>
    </xf>
    <xf numFmtId="0" fontId="37" fillId="0" borderId="8" xfId="5" applyFont="1" applyBorder="1" applyAlignment="1">
      <alignment horizontal="center"/>
    </xf>
    <xf numFmtId="0" fontId="37" fillId="0" borderId="14" xfId="5" applyFont="1" applyBorder="1" applyAlignment="1">
      <alignment horizontal="center"/>
    </xf>
    <xf numFmtId="49" fontId="37" fillId="0" borderId="1" xfId="5" applyNumberFormat="1" applyFont="1" applyBorder="1"/>
    <xf numFmtId="0" fontId="37" fillId="0" borderId="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/>
    </xf>
    <xf numFmtId="1" fontId="37" fillId="0" borderId="1" xfId="0" applyNumberFormat="1" applyFont="1" applyBorder="1" applyAlignment="1">
      <alignment horizontal="center" wrapText="1"/>
    </xf>
    <xf numFmtId="167" fontId="37" fillId="0" borderId="1" xfId="0" applyNumberFormat="1" applyFont="1" applyBorder="1" applyAlignment="1">
      <alignment horizontal="center"/>
    </xf>
    <xf numFmtId="0" fontId="38" fillId="9" borderId="7" xfId="0" applyFont="1" applyFill="1" applyBorder="1" applyAlignment="1">
      <alignment horizontal="center"/>
    </xf>
    <xf numFmtId="49" fontId="37" fillId="0" borderId="8" xfId="5" applyNumberFormat="1" applyFont="1" applyBorder="1" applyAlignment="1">
      <alignment horizontal="center"/>
    </xf>
    <xf numFmtId="0" fontId="38" fillId="9" borderId="9" xfId="0" applyFont="1" applyFill="1" applyBorder="1" applyAlignment="1">
      <alignment horizontal="center"/>
    </xf>
    <xf numFmtId="1" fontId="37" fillId="0" borderId="1" xfId="0" applyNumberFormat="1" applyFont="1" applyBorder="1"/>
    <xf numFmtId="0" fontId="37" fillId="0" borderId="8" xfId="0" applyFont="1" applyBorder="1" applyAlignment="1">
      <alignment horizontal="center"/>
    </xf>
    <xf numFmtId="0" fontId="37" fillId="0" borderId="1" xfId="0" applyFont="1" applyBorder="1"/>
    <xf numFmtId="49" fontId="37" fillId="0" borderId="8" xfId="0" applyNumberFormat="1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7" fillId="0" borderId="8" xfId="0" quotePrefix="1" applyFont="1" applyBorder="1" applyAlignment="1">
      <alignment horizontal="right"/>
    </xf>
    <xf numFmtId="0" fontId="37" fillId="0" borderId="14" xfId="0" quotePrefix="1" applyFont="1" applyBorder="1" applyAlignment="1">
      <alignment horizontal="right"/>
    </xf>
    <xf numFmtId="0" fontId="37" fillId="0" borderId="1" xfId="0" quotePrefix="1" applyFont="1" applyBorder="1"/>
    <xf numFmtId="0" fontId="37" fillId="0" borderId="7" xfId="0" applyFont="1" applyBorder="1" applyAlignment="1">
      <alignment horizontal="center"/>
    </xf>
    <xf numFmtId="49" fontId="39" fillId="2" borderId="6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7" fillId="2" borderId="0" xfId="0" applyFont="1" applyFill="1"/>
    <xf numFmtId="1" fontId="37" fillId="2" borderId="0" xfId="0" applyNumberFormat="1" applyFont="1" applyFill="1" applyAlignment="1">
      <alignment horizontal="center"/>
    </xf>
    <xf numFmtId="168" fontId="37" fillId="2" borderId="0" xfId="0" applyNumberFormat="1" applyFont="1" applyFill="1" applyAlignment="1">
      <alignment horizontal="center" wrapText="1"/>
    </xf>
    <xf numFmtId="0" fontId="37" fillId="2" borderId="5" xfId="0" applyFont="1" applyFill="1" applyBorder="1" applyAlignment="1">
      <alignment horizontal="center"/>
    </xf>
    <xf numFmtId="0" fontId="37" fillId="3" borderId="4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/>
    </xf>
    <xf numFmtId="0" fontId="37" fillId="3" borderId="3" xfId="0" applyFont="1" applyFill="1" applyBorder="1"/>
    <xf numFmtId="0" fontId="38" fillId="3" borderId="3" xfId="0" applyFont="1" applyFill="1" applyBorder="1" applyAlignment="1">
      <alignment horizontal="center"/>
    </xf>
    <xf numFmtId="1" fontId="38" fillId="3" borderId="3" xfId="0" applyNumberFormat="1" applyFont="1" applyFill="1" applyBorder="1" applyAlignment="1">
      <alignment horizontal="center"/>
    </xf>
    <xf numFmtId="168" fontId="37" fillId="3" borderId="3" xfId="0" applyNumberFormat="1" applyFont="1" applyFill="1" applyBorder="1" applyAlignment="1">
      <alignment horizontal="center" wrapText="1"/>
    </xf>
    <xf numFmtId="0" fontId="37" fillId="3" borderId="2" xfId="0" applyFont="1" applyFill="1" applyBorder="1" applyAlignment="1">
      <alignment horizontal="center"/>
    </xf>
    <xf numFmtId="0" fontId="38" fillId="0" borderId="28" xfId="0" applyFont="1" applyBorder="1" applyAlignment="1">
      <alignment horizontal="right" vertical="center"/>
    </xf>
    <xf numFmtId="0" fontId="38" fillId="0" borderId="29" xfId="0" applyFont="1" applyBorder="1" applyAlignment="1">
      <alignment horizontal="right" vertical="center"/>
    </xf>
    <xf numFmtId="0" fontId="38" fillId="0" borderId="30" xfId="0" applyFont="1" applyBorder="1" applyAlignment="1">
      <alignment horizontal="right" vertical="center"/>
    </xf>
    <xf numFmtId="1" fontId="38" fillId="0" borderId="16" xfId="0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8" fillId="0" borderId="16" xfId="0" applyFont="1" applyBorder="1" applyAlignment="1">
      <alignment horizontal="right" vertical="center"/>
    </xf>
    <xf numFmtId="0" fontId="37" fillId="2" borderId="17" xfId="0" applyFont="1" applyFill="1" applyBorder="1" applyAlignment="1">
      <alignment horizontal="center"/>
    </xf>
    <xf numFmtId="0" fontId="37" fillId="2" borderId="31" xfId="0" applyFont="1" applyFill="1" applyBorder="1" applyAlignment="1">
      <alignment horizontal="center"/>
    </xf>
    <xf numFmtId="0" fontId="38" fillId="0" borderId="33" xfId="0" applyFont="1" applyBorder="1" applyAlignment="1">
      <alignment horizontal="right" vertical="center"/>
    </xf>
    <xf numFmtId="0" fontId="38" fillId="0" borderId="34" xfId="0" applyFont="1" applyBorder="1" applyAlignment="1">
      <alignment horizontal="right" vertical="center"/>
    </xf>
    <xf numFmtId="0" fontId="38" fillId="0" borderId="14" xfId="0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8" fillId="0" borderId="1" xfId="0" applyFont="1" applyBorder="1" applyAlignment="1">
      <alignment horizontal="right" vertical="center"/>
    </xf>
    <xf numFmtId="168" fontId="37" fillId="0" borderId="18" xfId="0" applyNumberFormat="1" applyFont="1" applyBorder="1" applyAlignment="1">
      <alignment horizontal="center"/>
    </xf>
    <xf numFmtId="168" fontId="37" fillId="0" borderId="42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38" fillId="0" borderId="43" xfId="0" applyFont="1" applyBorder="1" applyAlignment="1">
      <alignment horizontal="right" vertical="center"/>
    </xf>
    <xf numFmtId="0" fontId="38" fillId="0" borderId="44" xfId="0" applyFont="1" applyBorder="1" applyAlignment="1">
      <alignment horizontal="right" vertical="center"/>
    </xf>
    <xf numFmtId="0" fontId="38" fillId="0" borderId="19" xfId="0" applyFont="1" applyBorder="1" applyAlignment="1">
      <alignment horizontal="right" vertical="center"/>
    </xf>
    <xf numFmtId="1" fontId="37" fillId="0" borderId="19" xfId="0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68" fontId="37" fillId="0" borderId="20" xfId="0" applyNumberFormat="1" applyFont="1" applyBorder="1" applyAlignment="1">
      <alignment horizontal="center"/>
    </xf>
    <xf numFmtId="168" fontId="37" fillId="0" borderId="32" xfId="0" applyNumberFormat="1" applyFont="1" applyBorder="1" applyAlignment="1">
      <alignment horizontal="center"/>
    </xf>
    <xf numFmtId="0" fontId="37" fillId="0" borderId="28" xfId="5" applyFont="1" applyBorder="1" applyAlignment="1">
      <alignment horizontal="left" vertical="center"/>
    </xf>
    <xf numFmtId="0" fontId="37" fillId="0" borderId="29" xfId="5" applyFont="1" applyBorder="1" applyAlignment="1">
      <alignment horizontal="left" vertical="center"/>
    </xf>
    <xf numFmtId="0" fontId="37" fillId="0" borderId="31" xfId="5" applyFont="1" applyBorder="1" applyAlignment="1">
      <alignment horizontal="left" vertical="center"/>
    </xf>
    <xf numFmtId="0" fontId="37" fillId="0" borderId="28" xfId="5" applyFont="1" applyBorder="1" applyAlignment="1">
      <alignment horizontal="left"/>
    </xf>
    <xf numFmtId="0" fontId="37" fillId="0" borderId="29" xfId="5" applyFont="1" applyBorder="1" applyAlignment="1">
      <alignment horizontal="left"/>
    </xf>
    <xf numFmtId="0" fontId="37" fillId="0" borderId="31" xfId="5" applyFont="1" applyBorder="1" applyAlignment="1">
      <alignment horizontal="left"/>
    </xf>
    <xf numFmtId="0" fontId="37" fillId="0" borderId="45" xfId="5" applyFont="1" applyBorder="1" applyAlignment="1">
      <alignment horizontal="left"/>
    </xf>
    <xf numFmtId="0" fontId="37" fillId="0" borderId="35" xfId="5" applyFont="1" applyBorder="1" applyAlignment="1">
      <alignment horizontal="left"/>
    </xf>
    <xf numFmtId="0" fontId="37" fillId="0" borderId="46" xfId="5" applyFont="1" applyBorder="1" applyAlignment="1">
      <alignment horizontal="left"/>
    </xf>
    <xf numFmtId="0" fontId="41" fillId="11" borderId="1" xfId="5" applyFont="1" applyFill="1" applyBorder="1" applyAlignment="1">
      <alignment horizontal="left" vertical="center"/>
    </xf>
    <xf numFmtId="0" fontId="40" fillId="12" borderId="40" xfId="5" applyFont="1" applyFill="1" applyBorder="1" applyAlignment="1">
      <alignment horizontal="center" vertical="center"/>
    </xf>
    <xf numFmtId="0" fontId="40" fillId="12" borderId="41" xfId="5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42" fillId="5" borderId="14" xfId="6" applyFont="1" applyFill="1" applyBorder="1" applyAlignment="1">
      <alignment horizontal="center" vertical="center" wrapText="1"/>
    </xf>
    <xf numFmtId="0" fontId="42" fillId="5" borderId="1" xfId="6" applyFont="1" applyFill="1" applyBorder="1" applyAlignment="1">
      <alignment horizontal="center" vertical="center" wrapText="1"/>
    </xf>
    <xf numFmtId="1" fontId="37" fillId="0" borderId="1" xfId="0" applyNumberFormat="1" applyFont="1" applyBorder="1" applyAlignment="1"/>
  </cellXfs>
  <cellStyles count="9">
    <cellStyle name="Euro" xfId="1" xr:uid="{3ACF36D8-A469-4D9F-BB66-0A27731005B4}"/>
    <cellStyle name="Euro 2" xfId="2" xr:uid="{619C2C5E-A7F3-4665-AD42-0EE53CCAC6CD}"/>
    <cellStyle name="Millares" xfId="3" builtinId="3"/>
    <cellStyle name="Millares [0]" xfId="4" builtinId="6"/>
    <cellStyle name="Normal" xfId="0" builtinId="0"/>
    <cellStyle name="Normal 2" xfId="5" xr:uid="{366E12D9-623E-4B49-8889-E529A905D540}"/>
    <cellStyle name="Normal_CRITERIOS DE EVALUACION PT DE GB 2" xfId="6" xr:uid="{FA550F2E-0B7A-41CB-B359-84EE29030F42}"/>
    <cellStyle name="Porcentaje" xfId="7" builtinId="5"/>
    <cellStyle name="Porcentaje 2" xfId="8" xr:uid="{B82BD7D1-3EFD-4571-BC3A-BD610987BA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3" name="Picture 1">
          <a:extLst>
            <a:ext uri="{FF2B5EF4-FFF2-40B4-BE49-F238E27FC236}">
              <a16:creationId xmlns:a16="http://schemas.microsoft.com/office/drawing/2014/main" id="{3647BFE0-954C-027F-1A3C-D8039344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4" name="Picture 2">
          <a:extLst>
            <a:ext uri="{FF2B5EF4-FFF2-40B4-BE49-F238E27FC236}">
              <a16:creationId xmlns:a16="http://schemas.microsoft.com/office/drawing/2014/main" id="{647DD6C9-B1FB-F628-0837-00A0113A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5" name="Picture 4">
          <a:extLst>
            <a:ext uri="{FF2B5EF4-FFF2-40B4-BE49-F238E27FC236}">
              <a16:creationId xmlns:a16="http://schemas.microsoft.com/office/drawing/2014/main" id="{5A261294-B136-5AEA-3D5B-B224EC88B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6" name="Picture 5">
          <a:extLst>
            <a:ext uri="{FF2B5EF4-FFF2-40B4-BE49-F238E27FC236}">
              <a16:creationId xmlns:a16="http://schemas.microsoft.com/office/drawing/2014/main" id="{E32A8CD3-EF16-50BA-BB7A-386B7FBD1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7" name="Picture 7">
          <a:extLst>
            <a:ext uri="{FF2B5EF4-FFF2-40B4-BE49-F238E27FC236}">
              <a16:creationId xmlns:a16="http://schemas.microsoft.com/office/drawing/2014/main" id="{F13DB2D9-397A-BEEE-BFB8-37499A95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8" name="Picture 8">
          <a:extLst>
            <a:ext uri="{FF2B5EF4-FFF2-40B4-BE49-F238E27FC236}">
              <a16:creationId xmlns:a16="http://schemas.microsoft.com/office/drawing/2014/main" id="{15792436-D6AB-907E-34AE-B3F05F9BA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79" name="Picture 10">
          <a:extLst>
            <a:ext uri="{FF2B5EF4-FFF2-40B4-BE49-F238E27FC236}">
              <a16:creationId xmlns:a16="http://schemas.microsoft.com/office/drawing/2014/main" id="{4579667F-AA6B-6A8B-79D4-1D471EB69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0" name="Picture 11">
          <a:extLst>
            <a:ext uri="{FF2B5EF4-FFF2-40B4-BE49-F238E27FC236}">
              <a16:creationId xmlns:a16="http://schemas.microsoft.com/office/drawing/2014/main" id="{CB6B71CD-9BE6-CC68-EE6C-3DD4A48B7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1" name="Picture 13">
          <a:extLst>
            <a:ext uri="{FF2B5EF4-FFF2-40B4-BE49-F238E27FC236}">
              <a16:creationId xmlns:a16="http://schemas.microsoft.com/office/drawing/2014/main" id="{D923BE09-5439-F5C8-308D-A16783DF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2" name="Picture 14">
          <a:extLst>
            <a:ext uri="{FF2B5EF4-FFF2-40B4-BE49-F238E27FC236}">
              <a16:creationId xmlns:a16="http://schemas.microsoft.com/office/drawing/2014/main" id="{43A85AC2-A604-0362-6A54-4793CE8D7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3" name="Picture 16">
          <a:extLst>
            <a:ext uri="{FF2B5EF4-FFF2-40B4-BE49-F238E27FC236}">
              <a16:creationId xmlns:a16="http://schemas.microsoft.com/office/drawing/2014/main" id="{0035B80E-2117-A32B-B801-5037687A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4" name="Picture 17">
          <a:extLst>
            <a:ext uri="{FF2B5EF4-FFF2-40B4-BE49-F238E27FC236}">
              <a16:creationId xmlns:a16="http://schemas.microsoft.com/office/drawing/2014/main" id="{22EDCA47-4D63-E775-9C4F-AB4D2B669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5" name="Picture 19">
          <a:extLst>
            <a:ext uri="{FF2B5EF4-FFF2-40B4-BE49-F238E27FC236}">
              <a16:creationId xmlns:a16="http://schemas.microsoft.com/office/drawing/2014/main" id="{247FFB27-BD3C-3ED5-614E-C3C7698F9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6" name="Picture 20">
          <a:extLst>
            <a:ext uri="{FF2B5EF4-FFF2-40B4-BE49-F238E27FC236}">
              <a16:creationId xmlns:a16="http://schemas.microsoft.com/office/drawing/2014/main" id="{94B08AF4-612F-654E-5F07-6DF4AFCC0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7" name="Picture 22">
          <a:extLst>
            <a:ext uri="{FF2B5EF4-FFF2-40B4-BE49-F238E27FC236}">
              <a16:creationId xmlns:a16="http://schemas.microsoft.com/office/drawing/2014/main" id="{AC0C6846-E2A4-92B4-E8D2-C0B26871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8" name="Picture 23">
          <a:extLst>
            <a:ext uri="{FF2B5EF4-FFF2-40B4-BE49-F238E27FC236}">
              <a16:creationId xmlns:a16="http://schemas.microsoft.com/office/drawing/2014/main" id="{31225386-CBF4-22A9-962F-61CCC0FA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89" name="Picture 25">
          <a:extLst>
            <a:ext uri="{FF2B5EF4-FFF2-40B4-BE49-F238E27FC236}">
              <a16:creationId xmlns:a16="http://schemas.microsoft.com/office/drawing/2014/main" id="{22178BBC-FBCA-6FA2-9BAA-7A83A9BA2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0" name="Picture 26">
          <a:extLst>
            <a:ext uri="{FF2B5EF4-FFF2-40B4-BE49-F238E27FC236}">
              <a16:creationId xmlns:a16="http://schemas.microsoft.com/office/drawing/2014/main" id="{D3161D99-7C22-8350-1FAC-532520C4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1" name="Picture 28">
          <a:extLst>
            <a:ext uri="{FF2B5EF4-FFF2-40B4-BE49-F238E27FC236}">
              <a16:creationId xmlns:a16="http://schemas.microsoft.com/office/drawing/2014/main" id="{BBDC1C64-1166-4A01-94F3-BCA0A17AF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2" name="Picture 29">
          <a:extLst>
            <a:ext uri="{FF2B5EF4-FFF2-40B4-BE49-F238E27FC236}">
              <a16:creationId xmlns:a16="http://schemas.microsoft.com/office/drawing/2014/main" id="{51860CA1-B57A-2DC9-891F-B724BC3A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3" name="Picture 31">
          <a:extLst>
            <a:ext uri="{FF2B5EF4-FFF2-40B4-BE49-F238E27FC236}">
              <a16:creationId xmlns:a16="http://schemas.microsoft.com/office/drawing/2014/main" id="{6AF1C1F8-CB94-0B18-7DC9-F5569406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4" name="Picture 32">
          <a:extLst>
            <a:ext uri="{FF2B5EF4-FFF2-40B4-BE49-F238E27FC236}">
              <a16:creationId xmlns:a16="http://schemas.microsoft.com/office/drawing/2014/main" id="{CFF76464-A587-9949-105B-EA43F831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5" name="Picture 34">
          <a:extLst>
            <a:ext uri="{FF2B5EF4-FFF2-40B4-BE49-F238E27FC236}">
              <a16:creationId xmlns:a16="http://schemas.microsoft.com/office/drawing/2014/main" id="{8B7A3FE4-689D-A61B-7229-33EDAD80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6" name="Picture 35">
          <a:extLst>
            <a:ext uri="{FF2B5EF4-FFF2-40B4-BE49-F238E27FC236}">
              <a16:creationId xmlns:a16="http://schemas.microsoft.com/office/drawing/2014/main" id="{E49DD078-6F70-1A76-9A41-D487054C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7" name="Picture 37">
          <a:extLst>
            <a:ext uri="{FF2B5EF4-FFF2-40B4-BE49-F238E27FC236}">
              <a16:creationId xmlns:a16="http://schemas.microsoft.com/office/drawing/2014/main" id="{869AC9E6-1756-535B-6CF9-5CF3270F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8" name="Picture 38">
          <a:extLst>
            <a:ext uri="{FF2B5EF4-FFF2-40B4-BE49-F238E27FC236}">
              <a16:creationId xmlns:a16="http://schemas.microsoft.com/office/drawing/2014/main" id="{18B9DBDB-1C94-3BC6-C32D-22361901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799" name="Picture 40">
          <a:extLst>
            <a:ext uri="{FF2B5EF4-FFF2-40B4-BE49-F238E27FC236}">
              <a16:creationId xmlns:a16="http://schemas.microsoft.com/office/drawing/2014/main" id="{F58DEB52-9FD2-7D73-ECB2-0193DA8D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0" name="Picture 41">
          <a:extLst>
            <a:ext uri="{FF2B5EF4-FFF2-40B4-BE49-F238E27FC236}">
              <a16:creationId xmlns:a16="http://schemas.microsoft.com/office/drawing/2014/main" id="{D903A07E-9113-32CB-55F9-D43616FC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1" name="Picture 43">
          <a:extLst>
            <a:ext uri="{FF2B5EF4-FFF2-40B4-BE49-F238E27FC236}">
              <a16:creationId xmlns:a16="http://schemas.microsoft.com/office/drawing/2014/main" id="{25C36AEC-3949-7DBF-5ABE-AFDF0B6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2" name="Picture 44">
          <a:extLst>
            <a:ext uri="{FF2B5EF4-FFF2-40B4-BE49-F238E27FC236}">
              <a16:creationId xmlns:a16="http://schemas.microsoft.com/office/drawing/2014/main" id="{DA674504-7253-50AA-FB1E-6111BF65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3" name="Picture 46">
          <a:extLst>
            <a:ext uri="{FF2B5EF4-FFF2-40B4-BE49-F238E27FC236}">
              <a16:creationId xmlns:a16="http://schemas.microsoft.com/office/drawing/2014/main" id="{E7A918B7-688A-4B5A-3B4A-34564C48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4" name="Picture 47">
          <a:extLst>
            <a:ext uri="{FF2B5EF4-FFF2-40B4-BE49-F238E27FC236}">
              <a16:creationId xmlns:a16="http://schemas.microsoft.com/office/drawing/2014/main" id="{5E88CB76-6759-041B-A347-37E9DB13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5" name="Picture 49">
          <a:extLst>
            <a:ext uri="{FF2B5EF4-FFF2-40B4-BE49-F238E27FC236}">
              <a16:creationId xmlns:a16="http://schemas.microsoft.com/office/drawing/2014/main" id="{B9DA7D93-4281-F02B-53BC-A7F7354D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6" name="Picture 50">
          <a:extLst>
            <a:ext uri="{FF2B5EF4-FFF2-40B4-BE49-F238E27FC236}">
              <a16:creationId xmlns:a16="http://schemas.microsoft.com/office/drawing/2014/main" id="{6B322F03-3DF0-8CFB-DA18-5F787397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7" name="Picture 52">
          <a:extLst>
            <a:ext uri="{FF2B5EF4-FFF2-40B4-BE49-F238E27FC236}">
              <a16:creationId xmlns:a16="http://schemas.microsoft.com/office/drawing/2014/main" id="{F48CBA6E-67A9-148C-598C-BB23D6B6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8" name="Picture 53">
          <a:extLst>
            <a:ext uri="{FF2B5EF4-FFF2-40B4-BE49-F238E27FC236}">
              <a16:creationId xmlns:a16="http://schemas.microsoft.com/office/drawing/2014/main" id="{8E52AC9A-1D69-1526-089B-8A92A086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09" name="Picture 1">
          <a:extLst>
            <a:ext uri="{FF2B5EF4-FFF2-40B4-BE49-F238E27FC236}">
              <a16:creationId xmlns:a16="http://schemas.microsoft.com/office/drawing/2014/main" id="{FB7187EE-97A0-FF2A-8F88-E1A1C0345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0" name="Picture 2">
          <a:extLst>
            <a:ext uri="{FF2B5EF4-FFF2-40B4-BE49-F238E27FC236}">
              <a16:creationId xmlns:a16="http://schemas.microsoft.com/office/drawing/2014/main" id="{381AB49A-94BA-1ED1-6303-2C44977C5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1" name="Picture 4">
          <a:extLst>
            <a:ext uri="{FF2B5EF4-FFF2-40B4-BE49-F238E27FC236}">
              <a16:creationId xmlns:a16="http://schemas.microsoft.com/office/drawing/2014/main" id="{963294D8-3E89-9432-DCD2-6032860F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2" name="Picture 5">
          <a:extLst>
            <a:ext uri="{FF2B5EF4-FFF2-40B4-BE49-F238E27FC236}">
              <a16:creationId xmlns:a16="http://schemas.microsoft.com/office/drawing/2014/main" id="{5390F540-A6B7-DF59-EFBB-2ED68F1D9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3" name="Picture 7">
          <a:extLst>
            <a:ext uri="{FF2B5EF4-FFF2-40B4-BE49-F238E27FC236}">
              <a16:creationId xmlns:a16="http://schemas.microsoft.com/office/drawing/2014/main" id="{9A3824CD-51B4-C61D-2875-492E56E85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4" name="Picture 8">
          <a:extLst>
            <a:ext uri="{FF2B5EF4-FFF2-40B4-BE49-F238E27FC236}">
              <a16:creationId xmlns:a16="http://schemas.microsoft.com/office/drawing/2014/main" id="{D84755A1-1DAE-3479-0687-025CE956E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5" name="Picture 10">
          <a:extLst>
            <a:ext uri="{FF2B5EF4-FFF2-40B4-BE49-F238E27FC236}">
              <a16:creationId xmlns:a16="http://schemas.microsoft.com/office/drawing/2014/main" id="{BF6E8319-0D8A-4EA8-08EC-D95410E24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6" name="Picture 11">
          <a:extLst>
            <a:ext uri="{FF2B5EF4-FFF2-40B4-BE49-F238E27FC236}">
              <a16:creationId xmlns:a16="http://schemas.microsoft.com/office/drawing/2014/main" id="{4C89CAB7-8EF1-AFB0-9C82-03A83086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7" name="Picture 13">
          <a:extLst>
            <a:ext uri="{FF2B5EF4-FFF2-40B4-BE49-F238E27FC236}">
              <a16:creationId xmlns:a16="http://schemas.microsoft.com/office/drawing/2014/main" id="{E79C4B12-088D-510F-178C-D681DC713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8" name="Picture 14">
          <a:extLst>
            <a:ext uri="{FF2B5EF4-FFF2-40B4-BE49-F238E27FC236}">
              <a16:creationId xmlns:a16="http://schemas.microsoft.com/office/drawing/2014/main" id="{9086C5EE-D35C-3E46-112D-DABE2458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19" name="Picture 16">
          <a:extLst>
            <a:ext uri="{FF2B5EF4-FFF2-40B4-BE49-F238E27FC236}">
              <a16:creationId xmlns:a16="http://schemas.microsoft.com/office/drawing/2014/main" id="{7A68EC39-813F-C944-6C85-3533C3FC9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0" name="Picture 17">
          <a:extLst>
            <a:ext uri="{FF2B5EF4-FFF2-40B4-BE49-F238E27FC236}">
              <a16:creationId xmlns:a16="http://schemas.microsoft.com/office/drawing/2014/main" id="{D1063A49-8AD6-49ED-C000-49DB634E8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1" name="Picture 19">
          <a:extLst>
            <a:ext uri="{FF2B5EF4-FFF2-40B4-BE49-F238E27FC236}">
              <a16:creationId xmlns:a16="http://schemas.microsoft.com/office/drawing/2014/main" id="{F25B1797-8909-0866-14FA-98B0AF7A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2" name="Picture 20">
          <a:extLst>
            <a:ext uri="{FF2B5EF4-FFF2-40B4-BE49-F238E27FC236}">
              <a16:creationId xmlns:a16="http://schemas.microsoft.com/office/drawing/2014/main" id="{5B2C1717-7DF5-E03D-46AA-2C13AF1F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3" name="Picture 22">
          <a:extLst>
            <a:ext uri="{FF2B5EF4-FFF2-40B4-BE49-F238E27FC236}">
              <a16:creationId xmlns:a16="http://schemas.microsoft.com/office/drawing/2014/main" id="{A7948B2F-F572-7F93-A6BD-4637212DC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4" name="Picture 23">
          <a:extLst>
            <a:ext uri="{FF2B5EF4-FFF2-40B4-BE49-F238E27FC236}">
              <a16:creationId xmlns:a16="http://schemas.microsoft.com/office/drawing/2014/main" id="{07CA3906-8182-BA8C-453B-620E3560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5" name="Picture 25">
          <a:extLst>
            <a:ext uri="{FF2B5EF4-FFF2-40B4-BE49-F238E27FC236}">
              <a16:creationId xmlns:a16="http://schemas.microsoft.com/office/drawing/2014/main" id="{9A6AE5CD-D4CA-923A-4BE5-B545A9E6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6" name="Picture 26">
          <a:extLst>
            <a:ext uri="{FF2B5EF4-FFF2-40B4-BE49-F238E27FC236}">
              <a16:creationId xmlns:a16="http://schemas.microsoft.com/office/drawing/2014/main" id="{629704C6-B5E1-59D5-D735-BD89E9EF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7" name="Picture 28">
          <a:extLst>
            <a:ext uri="{FF2B5EF4-FFF2-40B4-BE49-F238E27FC236}">
              <a16:creationId xmlns:a16="http://schemas.microsoft.com/office/drawing/2014/main" id="{09ECFA74-A885-2135-B391-AA418C9F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8" name="Picture 29">
          <a:extLst>
            <a:ext uri="{FF2B5EF4-FFF2-40B4-BE49-F238E27FC236}">
              <a16:creationId xmlns:a16="http://schemas.microsoft.com/office/drawing/2014/main" id="{3940179F-CB35-12D6-BB18-B2B11AAE7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29" name="Picture 31">
          <a:extLst>
            <a:ext uri="{FF2B5EF4-FFF2-40B4-BE49-F238E27FC236}">
              <a16:creationId xmlns:a16="http://schemas.microsoft.com/office/drawing/2014/main" id="{F3DF554F-B42C-4B59-91B7-8B7CA533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0" name="Picture 32">
          <a:extLst>
            <a:ext uri="{FF2B5EF4-FFF2-40B4-BE49-F238E27FC236}">
              <a16:creationId xmlns:a16="http://schemas.microsoft.com/office/drawing/2014/main" id="{C03D2D7D-7078-851F-5D80-60B73F2A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1" name="Picture 34">
          <a:extLst>
            <a:ext uri="{FF2B5EF4-FFF2-40B4-BE49-F238E27FC236}">
              <a16:creationId xmlns:a16="http://schemas.microsoft.com/office/drawing/2014/main" id="{01DFC4AA-5C87-665B-1C7B-A866287C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2" name="Picture 35">
          <a:extLst>
            <a:ext uri="{FF2B5EF4-FFF2-40B4-BE49-F238E27FC236}">
              <a16:creationId xmlns:a16="http://schemas.microsoft.com/office/drawing/2014/main" id="{633F49CE-F5ED-166C-8B75-6AEA521A2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3" name="Picture 37">
          <a:extLst>
            <a:ext uri="{FF2B5EF4-FFF2-40B4-BE49-F238E27FC236}">
              <a16:creationId xmlns:a16="http://schemas.microsoft.com/office/drawing/2014/main" id="{1EB998E4-51B8-85D1-77B1-4ACAC25D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4" name="Picture 38">
          <a:extLst>
            <a:ext uri="{FF2B5EF4-FFF2-40B4-BE49-F238E27FC236}">
              <a16:creationId xmlns:a16="http://schemas.microsoft.com/office/drawing/2014/main" id="{A76DCC7D-E68E-99A8-F2B4-32C7B16AD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5" name="Picture 40">
          <a:extLst>
            <a:ext uri="{FF2B5EF4-FFF2-40B4-BE49-F238E27FC236}">
              <a16:creationId xmlns:a16="http://schemas.microsoft.com/office/drawing/2014/main" id="{77D02864-A80D-5354-77B0-CCD921191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6" name="Picture 41">
          <a:extLst>
            <a:ext uri="{FF2B5EF4-FFF2-40B4-BE49-F238E27FC236}">
              <a16:creationId xmlns:a16="http://schemas.microsoft.com/office/drawing/2014/main" id="{B2D45887-398E-58B8-EFB1-4757F60F7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7" name="Picture 43">
          <a:extLst>
            <a:ext uri="{FF2B5EF4-FFF2-40B4-BE49-F238E27FC236}">
              <a16:creationId xmlns:a16="http://schemas.microsoft.com/office/drawing/2014/main" id="{680437F9-04EA-B805-9D0B-561A0F15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8" name="Picture 44">
          <a:extLst>
            <a:ext uri="{FF2B5EF4-FFF2-40B4-BE49-F238E27FC236}">
              <a16:creationId xmlns:a16="http://schemas.microsoft.com/office/drawing/2014/main" id="{7BA35B31-798A-F0D5-2D0E-B3F0F9E4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39" name="Picture 46">
          <a:extLst>
            <a:ext uri="{FF2B5EF4-FFF2-40B4-BE49-F238E27FC236}">
              <a16:creationId xmlns:a16="http://schemas.microsoft.com/office/drawing/2014/main" id="{9517F592-AA64-2F19-6B72-F97D6806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0" name="Picture 47">
          <a:extLst>
            <a:ext uri="{FF2B5EF4-FFF2-40B4-BE49-F238E27FC236}">
              <a16:creationId xmlns:a16="http://schemas.microsoft.com/office/drawing/2014/main" id="{871F15F3-33A8-2624-9F85-858211ED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1" name="Picture 49">
          <a:extLst>
            <a:ext uri="{FF2B5EF4-FFF2-40B4-BE49-F238E27FC236}">
              <a16:creationId xmlns:a16="http://schemas.microsoft.com/office/drawing/2014/main" id="{0E058761-C047-93E2-AD9F-6038B8BE6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2" name="Picture 50">
          <a:extLst>
            <a:ext uri="{FF2B5EF4-FFF2-40B4-BE49-F238E27FC236}">
              <a16:creationId xmlns:a16="http://schemas.microsoft.com/office/drawing/2014/main" id="{F406B831-0780-42B2-4E98-89CA7624B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3" name="Picture 52">
          <a:extLst>
            <a:ext uri="{FF2B5EF4-FFF2-40B4-BE49-F238E27FC236}">
              <a16:creationId xmlns:a16="http://schemas.microsoft.com/office/drawing/2014/main" id="{488B1CDE-BA9D-2616-B0D4-FB5D1ED9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4" name="Picture 53">
          <a:extLst>
            <a:ext uri="{FF2B5EF4-FFF2-40B4-BE49-F238E27FC236}">
              <a16:creationId xmlns:a16="http://schemas.microsoft.com/office/drawing/2014/main" id="{4F8EF2EF-368C-C6D7-D513-E30520CC4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5" name="Picture 1">
          <a:extLst>
            <a:ext uri="{FF2B5EF4-FFF2-40B4-BE49-F238E27FC236}">
              <a16:creationId xmlns:a16="http://schemas.microsoft.com/office/drawing/2014/main" id="{B152E11F-FB92-33FD-0008-D1E5306F5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6" name="Picture 2">
          <a:extLst>
            <a:ext uri="{FF2B5EF4-FFF2-40B4-BE49-F238E27FC236}">
              <a16:creationId xmlns:a16="http://schemas.microsoft.com/office/drawing/2014/main" id="{4A98B7C7-F2B4-25E8-9D97-D7DA9A225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7" name="Picture 4">
          <a:extLst>
            <a:ext uri="{FF2B5EF4-FFF2-40B4-BE49-F238E27FC236}">
              <a16:creationId xmlns:a16="http://schemas.microsoft.com/office/drawing/2014/main" id="{E5824848-78DE-D780-453C-BFE5F097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8" name="Picture 5">
          <a:extLst>
            <a:ext uri="{FF2B5EF4-FFF2-40B4-BE49-F238E27FC236}">
              <a16:creationId xmlns:a16="http://schemas.microsoft.com/office/drawing/2014/main" id="{3381CF4B-E918-62DF-D6F3-E19FD06B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49" name="Picture 7">
          <a:extLst>
            <a:ext uri="{FF2B5EF4-FFF2-40B4-BE49-F238E27FC236}">
              <a16:creationId xmlns:a16="http://schemas.microsoft.com/office/drawing/2014/main" id="{381CA2AB-DEA9-BE4B-64CE-AED7FFE4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0" name="Picture 8">
          <a:extLst>
            <a:ext uri="{FF2B5EF4-FFF2-40B4-BE49-F238E27FC236}">
              <a16:creationId xmlns:a16="http://schemas.microsoft.com/office/drawing/2014/main" id="{CAE22FED-A037-5196-5D7C-CEFAABEF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1" name="Picture 10">
          <a:extLst>
            <a:ext uri="{FF2B5EF4-FFF2-40B4-BE49-F238E27FC236}">
              <a16:creationId xmlns:a16="http://schemas.microsoft.com/office/drawing/2014/main" id="{158B7BF5-FBDC-83D9-CC96-B089B1AC6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2" name="Picture 11">
          <a:extLst>
            <a:ext uri="{FF2B5EF4-FFF2-40B4-BE49-F238E27FC236}">
              <a16:creationId xmlns:a16="http://schemas.microsoft.com/office/drawing/2014/main" id="{D00ED1DF-AE68-7AD1-28A9-9E50BBB8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3" name="Picture 13">
          <a:extLst>
            <a:ext uri="{FF2B5EF4-FFF2-40B4-BE49-F238E27FC236}">
              <a16:creationId xmlns:a16="http://schemas.microsoft.com/office/drawing/2014/main" id="{FE86B98F-A01C-1B2F-D1C1-5831961CA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4" name="Picture 14">
          <a:extLst>
            <a:ext uri="{FF2B5EF4-FFF2-40B4-BE49-F238E27FC236}">
              <a16:creationId xmlns:a16="http://schemas.microsoft.com/office/drawing/2014/main" id="{CA363537-2ADF-0637-5AD8-C657D62D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5" name="Picture 16">
          <a:extLst>
            <a:ext uri="{FF2B5EF4-FFF2-40B4-BE49-F238E27FC236}">
              <a16:creationId xmlns:a16="http://schemas.microsoft.com/office/drawing/2014/main" id="{4B0322C5-079C-6738-EB6B-E396F77F4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6" name="Picture 17">
          <a:extLst>
            <a:ext uri="{FF2B5EF4-FFF2-40B4-BE49-F238E27FC236}">
              <a16:creationId xmlns:a16="http://schemas.microsoft.com/office/drawing/2014/main" id="{4498075E-C622-E07F-F3F9-69E153EC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7" name="Picture 19">
          <a:extLst>
            <a:ext uri="{FF2B5EF4-FFF2-40B4-BE49-F238E27FC236}">
              <a16:creationId xmlns:a16="http://schemas.microsoft.com/office/drawing/2014/main" id="{32FCE915-054B-CDB1-6F90-3EC2219E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8" name="Picture 20">
          <a:extLst>
            <a:ext uri="{FF2B5EF4-FFF2-40B4-BE49-F238E27FC236}">
              <a16:creationId xmlns:a16="http://schemas.microsoft.com/office/drawing/2014/main" id="{7626331C-0C8E-0D87-0C39-C762607E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59" name="Picture 22">
          <a:extLst>
            <a:ext uri="{FF2B5EF4-FFF2-40B4-BE49-F238E27FC236}">
              <a16:creationId xmlns:a16="http://schemas.microsoft.com/office/drawing/2014/main" id="{895ED5E4-B80C-1B0E-6C62-C51C2530C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0" name="Picture 23">
          <a:extLst>
            <a:ext uri="{FF2B5EF4-FFF2-40B4-BE49-F238E27FC236}">
              <a16:creationId xmlns:a16="http://schemas.microsoft.com/office/drawing/2014/main" id="{812C7317-8613-E6A7-F4D9-F1E55A49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1" name="Picture 25">
          <a:extLst>
            <a:ext uri="{FF2B5EF4-FFF2-40B4-BE49-F238E27FC236}">
              <a16:creationId xmlns:a16="http://schemas.microsoft.com/office/drawing/2014/main" id="{837A0C8D-7B00-A52F-E640-4012FA6D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2" name="Picture 26">
          <a:extLst>
            <a:ext uri="{FF2B5EF4-FFF2-40B4-BE49-F238E27FC236}">
              <a16:creationId xmlns:a16="http://schemas.microsoft.com/office/drawing/2014/main" id="{0FFABF06-1B08-1F04-B544-1368E622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3" name="Picture 28">
          <a:extLst>
            <a:ext uri="{FF2B5EF4-FFF2-40B4-BE49-F238E27FC236}">
              <a16:creationId xmlns:a16="http://schemas.microsoft.com/office/drawing/2014/main" id="{9692CF2E-D098-7494-40D8-727950FA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4" name="Picture 29">
          <a:extLst>
            <a:ext uri="{FF2B5EF4-FFF2-40B4-BE49-F238E27FC236}">
              <a16:creationId xmlns:a16="http://schemas.microsoft.com/office/drawing/2014/main" id="{4C5CC51C-3AD8-AE94-1B39-ED014FFA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5" name="Picture 31">
          <a:extLst>
            <a:ext uri="{FF2B5EF4-FFF2-40B4-BE49-F238E27FC236}">
              <a16:creationId xmlns:a16="http://schemas.microsoft.com/office/drawing/2014/main" id="{04F86CED-2DDB-7255-DA7D-FA89EB15E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6" name="Picture 32">
          <a:extLst>
            <a:ext uri="{FF2B5EF4-FFF2-40B4-BE49-F238E27FC236}">
              <a16:creationId xmlns:a16="http://schemas.microsoft.com/office/drawing/2014/main" id="{7F9B81E5-8F3A-4E34-DE0D-1D173E3F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7" name="Picture 34">
          <a:extLst>
            <a:ext uri="{FF2B5EF4-FFF2-40B4-BE49-F238E27FC236}">
              <a16:creationId xmlns:a16="http://schemas.microsoft.com/office/drawing/2014/main" id="{5485FE88-21BD-BCD6-3141-9F156763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8" name="Picture 35">
          <a:extLst>
            <a:ext uri="{FF2B5EF4-FFF2-40B4-BE49-F238E27FC236}">
              <a16:creationId xmlns:a16="http://schemas.microsoft.com/office/drawing/2014/main" id="{CEC462EB-F4D2-444E-A266-925706276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69" name="Picture 37">
          <a:extLst>
            <a:ext uri="{FF2B5EF4-FFF2-40B4-BE49-F238E27FC236}">
              <a16:creationId xmlns:a16="http://schemas.microsoft.com/office/drawing/2014/main" id="{470B6829-954C-A43C-C863-7DCC4A7BE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0" name="Picture 38">
          <a:extLst>
            <a:ext uri="{FF2B5EF4-FFF2-40B4-BE49-F238E27FC236}">
              <a16:creationId xmlns:a16="http://schemas.microsoft.com/office/drawing/2014/main" id="{D118AC2A-224A-E32A-5456-105838E0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1" name="Picture 40">
          <a:extLst>
            <a:ext uri="{FF2B5EF4-FFF2-40B4-BE49-F238E27FC236}">
              <a16:creationId xmlns:a16="http://schemas.microsoft.com/office/drawing/2014/main" id="{25457736-A304-9FAC-E91F-7075CC48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2" name="Picture 41">
          <a:extLst>
            <a:ext uri="{FF2B5EF4-FFF2-40B4-BE49-F238E27FC236}">
              <a16:creationId xmlns:a16="http://schemas.microsoft.com/office/drawing/2014/main" id="{616FE07F-163F-96A0-9EB7-FE5C81A22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3" name="Picture 43">
          <a:extLst>
            <a:ext uri="{FF2B5EF4-FFF2-40B4-BE49-F238E27FC236}">
              <a16:creationId xmlns:a16="http://schemas.microsoft.com/office/drawing/2014/main" id="{576E7ED0-65ED-6517-4AA3-68B71C19F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4" name="Picture 44">
          <a:extLst>
            <a:ext uri="{FF2B5EF4-FFF2-40B4-BE49-F238E27FC236}">
              <a16:creationId xmlns:a16="http://schemas.microsoft.com/office/drawing/2014/main" id="{60A5897F-2F77-1855-25EE-53D18BF30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5" name="Picture 46">
          <a:extLst>
            <a:ext uri="{FF2B5EF4-FFF2-40B4-BE49-F238E27FC236}">
              <a16:creationId xmlns:a16="http://schemas.microsoft.com/office/drawing/2014/main" id="{951022C4-D3A0-048B-B115-D44E27611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6" name="Picture 47">
          <a:extLst>
            <a:ext uri="{FF2B5EF4-FFF2-40B4-BE49-F238E27FC236}">
              <a16:creationId xmlns:a16="http://schemas.microsoft.com/office/drawing/2014/main" id="{D13762B3-1E3E-F9F6-F57F-8DE8409C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7" name="Picture 49">
          <a:extLst>
            <a:ext uri="{FF2B5EF4-FFF2-40B4-BE49-F238E27FC236}">
              <a16:creationId xmlns:a16="http://schemas.microsoft.com/office/drawing/2014/main" id="{5E0FCFDD-CFDA-0A60-E4BC-12212139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8" name="Picture 50">
          <a:extLst>
            <a:ext uri="{FF2B5EF4-FFF2-40B4-BE49-F238E27FC236}">
              <a16:creationId xmlns:a16="http://schemas.microsoft.com/office/drawing/2014/main" id="{FCF62513-3BC6-88CB-F6C6-5967B3E1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79" name="Picture 52">
          <a:extLst>
            <a:ext uri="{FF2B5EF4-FFF2-40B4-BE49-F238E27FC236}">
              <a16:creationId xmlns:a16="http://schemas.microsoft.com/office/drawing/2014/main" id="{BD4A53A6-8618-26C7-8C54-35361A59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0" name="Picture 53">
          <a:extLst>
            <a:ext uri="{FF2B5EF4-FFF2-40B4-BE49-F238E27FC236}">
              <a16:creationId xmlns:a16="http://schemas.microsoft.com/office/drawing/2014/main" id="{F43C2A49-F36E-52B9-EB70-6DA8FCDD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1" name="Picture 1">
          <a:extLst>
            <a:ext uri="{FF2B5EF4-FFF2-40B4-BE49-F238E27FC236}">
              <a16:creationId xmlns:a16="http://schemas.microsoft.com/office/drawing/2014/main" id="{D97C84CC-4123-D7D3-94C6-DDD031884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2" name="Picture 2">
          <a:extLst>
            <a:ext uri="{FF2B5EF4-FFF2-40B4-BE49-F238E27FC236}">
              <a16:creationId xmlns:a16="http://schemas.microsoft.com/office/drawing/2014/main" id="{B32AFABE-E457-BE7D-79F2-99AA8F84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3" name="Picture 4">
          <a:extLst>
            <a:ext uri="{FF2B5EF4-FFF2-40B4-BE49-F238E27FC236}">
              <a16:creationId xmlns:a16="http://schemas.microsoft.com/office/drawing/2014/main" id="{64E90A04-4711-A6EF-544D-7FDC33EC5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4" name="Picture 5">
          <a:extLst>
            <a:ext uri="{FF2B5EF4-FFF2-40B4-BE49-F238E27FC236}">
              <a16:creationId xmlns:a16="http://schemas.microsoft.com/office/drawing/2014/main" id="{F54208D3-29FA-5826-8BAB-3746220D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5" name="Picture 7">
          <a:extLst>
            <a:ext uri="{FF2B5EF4-FFF2-40B4-BE49-F238E27FC236}">
              <a16:creationId xmlns:a16="http://schemas.microsoft.com/office/drawing/2014/main" id="{30E74122-EFB9-BB41-DA7B-2CD31707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6" name="Picture 8">
          <a:extLst>
            <a:ext uri="{FF2B5EF4-FFF2-40B4-BE49-F238E27FC236}">
              <a16:creationId xmlns:a16="http://schemas.microsoft.com/office/drawing/2014/main" id="{7146D964-D958-8167-E950-C00C06C2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7" name="Picture 10">
          <a:extLst>
            <a:ext uri="{FF2B5EF4-FFF2-40B4-BE49-F238E27FC236}">
              <a16:creationId xmlns:a16="http://schemas.microsoft.com/office/drawing/2014/main" id="{2C18EF0E-A48A-397A-2A9C-E354F2A7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8" name="Picture 11">
          <a:extLst>
            <a:ext uri="{FF2B5EF4-FFF2-40B4-BE49-F238E27FC236}">
              <a16:creationId xmlns:a16="http://schemas.microsoft.com/office/drawing/2014/main" id="{6BF35380-E23D-F1A9-9265-733D1592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89" name="Picture 13">
          <a:extLst>
            <a:ext uri="{FF2B5EF4-FFF2-40B4-BE49-F238E27FC236}">
              <a16:creationId xmlns:a16="http://schemas.microsoft.com/office/drawing/2014/main" id="{3906012E-F5A0-F39D-3152-C3458653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0" name="Picture 14">
          <a:extLst>
            <a:ext uri="{FF2B5EF4-FFF2-40B4-BE49-F238E27FC236}">
              <a16:creationId xmlns:a16="http://schemas.microsoft.com/office/drawing/2014/main" id="{7BCC59E8-2399-1E94-0777-84479B1E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1" name="Picture 16">
          <a:extLst>
            <a:ext uri="{FF2B5EF4-FFF2-40B4-BE49-F238E27FC236}">
              <a16:creationId xmlns:a16="http://schemas.microsoft.com/office/drawing/2014/main" id="{2D06E01C-1072-F28C-0854-D049AB68C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2" name="Picture 17">
          <a:extLst>
            <a:ext uri="{FF2B5EF4-FFF2-40B4-BE49-F238E27FC236}">
              <a16:creationId xmlns:a16="http://schemas.microsoft.com/office/drawing/2014/main" id="{85807AA2-8411-1F50-A14B-E1FD18A6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3" name="Picture 19">
          <a:extLst>
            <a:ext uri="{FF2B5EF4-FFF2-40B4-BE49-F238E27FC236}">
              <a16:creationId xmlns:a16="http://schemas.microsoft.com/office/drawing/2014/main" id="{F438C17C-6AD6-C830-C778-1A6A7D9E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4" name="Picture 20">
          <a:extLst>
            <a:ext uri="{FF2B5EF4-FFF2-40B4-BE49-F238E27FC236}">
              <a16:creationId xmlns:a16="http://schemas.microsoft.com/office/drawing/2014/main" id="{492CBDC6-B287-08C3-166C-D7AF7FA95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5" name="Picture 22">
          <a:extLst>
            <a:ext uri="{FF2B5EF4-FFF2-40B4-BE49-F238E27FC236}">
              <a16:creationId xmlns:a16="http://schemas.microsoft.com/office/drawing/2014/main" id="{759FC976-19F9-303C-5063-19250DE75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6" name="Picture 23">
          <a:extLst>
            <a:ext uri="{FF2B5EF4-FFF2-40B4-BE49-F238E27FC236}">
              <a16:creationId xmlns:a16="http://schemas.microsoft.com/office/drawing/2014/main" id="{E4B675CA-CB13-1EC6-98FB-9EDF97F1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7" name="Picture 25">
          <a:extLst>
            <a:ext uri="{FF2B5EF4-FFF2-40B4-BE49-F238E27FC236}">
              <a16:creationId xmlns:a16="http://schemas.microsoft.com/office/drawing/2014/main" id="{3ECB4535-3034-D5DD-970F-287B867F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8" name="Picture 26">
          <a:extLst>
            <a:ext uri="{FF2B5EF4-FFF2-40B4-BE49-F238E27FC236}">
              <a16:creationId xmlns:a16="http://schemas.microsoft.com/office/drawing/2014/main" id="{B42B31F9-1229-6AF5-9B58-DE25CF72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899" name="Picture 28">
          <a:extLst>
            <a:ext uri="{FF2B5EF4-FFF2-40B4-BE49-F238E27FC236}">
              <a16:creationId xmlns:a16="http://schemas.microsoft.com/office/drawing/2014/main" id="{4910FD1B-E2D6-8248-A94E-70D62B56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0" name="Picture 29">
          <a:extLst>
            <a:ext uri="{FF2B5EF4-FFF2-40B4-BE49-F238E27FC236}">
              <a16:creationId xmlns:a16="http://schemas.microsoft.com/office/drawing/2014/main" id="{E15B8A83-4C5A-5E5A-FCBD-EEA861CF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1" name="Picture 31">
          <a:extLst>
            <a:ext uri="{FF2B5EF4-FFF2-40B4-BE49-F238E27FC236}">
              <a16:creationId xmlns:a16="http://schemas.microsoft.com/office/drawing/2014/main" id="{9EE00379-30CC-1733-151A-BD18F82C1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2" name="Picture 32">
          <a:extLst>
            <a:ext uri="{FF2B5EF4-FFF2-40B4-BE49-F238E27FC236}">
              <a16:creationId xmlns:a16="http://schemas.microsoft.com/office/drawing/2014/main" id="{A695F35D-D889-72A7-E84B-5B6AD664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3" name="Picture 34">
          <a:extLst>
            <a:ext uri="{FF2B5EF4-FFF2-40B4-BE49-F238E27FC236}">
              <a16:creationId xmlns:a16="http://schemas.microsoft.com/office/drawing/2014/main" id="{2068DF09-CB78-C9BE-616F-B09244C70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4" name="Picture 35">
          <a:extLst>
            <a:ext uri="{FF2B5EF4-FFF2-40B4-BE49-F238E27FC236}">
              <a16:creationId xmlns:a16="http://schemas.microsoft.com/office/drawing/2014/main" id="{C096F7AA-34A2-1EBE-F882-43B09C69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5" name="Picture 37">
          <a:extLst>
            <a:ext uri="{FF2B5EF4-FFF2-40B4-BE49-F238E27FC236}">
              <a16:creationId xmlns:a16="http://schemas.microsoft.com/office/drawing/2014/main" id="{52C29F52-D161-6CEB-9C4C-0C3D1665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6" name="Picture 38">
          <a:extLst>
            <a:ext uri="{FF2B5EF4-FFF2-40B4-BE49-F238E27FC236}">
              <a16:creationId xmlns:a16="http://schemas.microsoft.com/office/drawing/2014/main" id="{FF78D5B4-D3D4-B8F1-0ADD-1D08EC89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7" name="Picture 40">
          <a:extLst>
            <a:ext uri="{FF2B5EF4-FFF2-40B4-BE49-F238E27FC236}">
              <a16:creationId xmlns:a16="http://schemas.microsoft.com/office/drawing/2014/main" id="{7282793E-113D-6660-E169-E62AF0C41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8" name="Picture 41">
          <a:extLst>
            <a:ext uri="{FF2B5EF4-FFF2-40B4-BE49-F238E27FC236}">
              <a16:creationId xmlns:a16="http://schemas.microsoft.com/office/drawing/2014/main" id="{571098B1-25FD-FB34-7480-CF3C9647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09" name="Picture 43">
          <a:extLst>
            <a:ext uri="{FF2B5EF4-FFF2-40B4-BE49-F238E27FC236}">
              <a16:creationId xmlns:a16="http://schemas.microsoft.com/office/drawing/2014/main" id="{A32CFF83-DA6D-8646-287F-1B13DCFDE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0" name="Picture 44">
          <a:extLst>
            <a:ext uri="{FF2B5EF4-FFF2-40B4-BE49-F238E27FC236}">
              <a16:creationId xmlns:a16="http://schemas.microsoft.com/office/drawing/2014/main" id="{F6F0FD4D-3B00-F117-A1D6-665D7192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1" name="Picture 46">
          <a:extLst>
            <a:ext uri="{FF2B5EF4-FFF2-40B4-BE49-F238E27FC236}">
              <a16:creationId xmlns:a16="http://schemas.microsoft.com/office/drawing/2014/main" id="{D22FC067-5506-9C47-892B-2C8E6B78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2" name="Picture 47">
          <a:extLst>
            <a:ext uri="{FF2B5EF4-FFF2-40B4-BE49-F238E27FC236}">
              <a16:creationId xmlns:a16="http://schemas.microsoft.com/office/drawing/2014/main" id="{D722CD82-D8C3-9F35-D3A3-7DB2112C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3" name="Picture 49">
          <a:extLst>
            <a:ext uri="{FF2B5EF4-FFF2-40B4-BE49-F238E27FC236}">
              <a16:creationId xmlns:a16="http://schemas.microsoft.com/office/drawing/2014/main" id="{C1C6B7D4-A408-D83C-779A-F4BFBB199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4" name="Picture 50">
          <a:extLst>
            <a:ext uri="{FF2B5EF4-FFF2-40B4-BE49-F238E27FC236}">
              <a16:creationId xmlns:a16="http://schemas.microsoft.com/office/drawing/2014/main" id="{9900D822-B35E-18AB-6256-D6127720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5" name="Picture 52">
          <a:extLst>
            <a:ext uri="{FF2B5EF4-FFF2-40B4-BE49-F238E27FC236}">
              <a16:creationId xmlns:a16="http://schemas.microsoft.com/office/drawing/2014/main" id="{2BC96B9C-0BE8-9F14-D878-A8CDFFC1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6" name="Picture 53">
          <a:extLst>
            <a:ext uri="{FF2B5EF4-FFF2-40B4-BE49-F238E27FC236}">
              <a16:creationId xmlns:a16="http://schemas.microsoft.com/office/drawing/2014/main" id="{5C55CF09-0EFD-4E7A-5394-9B6DA9A8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7" name="Picture 1">
          <a:extLst>
            <a:ext uri="{FF2B5EF4-FFF2-40B4-BE49-F238E27FC236}">
              <a16:creationId xmlns:a16="http://schemas.microsoft.com/office/drawing/2014/main" id="{C7D7CD2D-F265-2958-6076-BC2DFB5BE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8" name="Picture 2">
          <a:extLst>
            <a:ext uri="{FF2B5EF4-FFF2-40B4-BE49-F238E27FC236}">
              <a16:creationId xmlns:a16="http://schemas.microsoft.com/office/drawing/2014/main" id="{F8A8268C-7D2D-625B-FAF5-6A3DC418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19" name="Picture 4">
          <a:extLst>
            <a:ext uri="{FF2B5EF4-FFF2-40B4-BE49-F238E27FC236}">
              <a16:creationId xmlns:a16="http://schemas.microsoft.com/office/drawing/2014/main" id="{922A64A0-A902-646D-470E-BF925632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0" name="Picture 5">
          <a:extLst>
            <a:ext uri="{FF2B5EF4-FFF2-40B4-BE49-F238E27FC236}">
              <a16:creationId xmlns:a16="http://schemas.microsoft.com/office/drawing/2014/main" id="{5976EE08-405D-0E7D-E381-BAE845CD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1" name="Picture 7">
          <a:extLst>
            <a:ext uri="{FF2B5EF4-FFF2-40B4-BE49-F238E27FC236}">
              <a16:creationId xmlns:a16="http://schemas.microsoft.com/office/drawing/2014/main" id="{CFE5CDAF-70E9-7B64-38D1-BCFECAF46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2" name="Picture 8">
          <a:extLst>
            <a:ext uri="{FF2B5EF4-FFF2-40B4-BE49-F238E27FC236}">
              <a16:creationId xmlns:a16="http://schemas.microsoft.com/office/drawing/2014/main" id="{0F9C2884-DF67-730E-6815-069CEF1F7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3" name="Picture 10">
          <a:extLst>
            <a:ext uri="{FF2B5EF4-FFF2-40B4-BE49-F238E27FC236}">
              <a16:creationId xmlns:a16="http://schemas.microsoft.com/office/drawing/2014/main" id="{25EE035C-FD93-7A48-8FA5-50D7A71C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4" name="Picture 11">
          <a:extLst>
            <a:ext uri="{FF2B5EF4-FFF2-40B4-BE49-F238E27FC236}">
              <a16:creationId xmlns:a16="http://schemas.microsoft.com/office/drawing/2014/main" id="{C5A55194-ACCE-2B7C-A8D3-3E19CCAD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5" name="Picture 13">
          <a:extLst>
            <a:ext uri="{FF2B5EF4-FFF2-40B4-BE49-F238E27FC236}">
              <a16:creationId xmlns:a16="http://schemas.microsoft.com/office/drawing/2014/main" id="{98571B52-BD38-8544-8FBF-2DA6F5DC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6" name="Picture 14">
          <a:extLst>
            <a:ext uri="{FF2B5EF4-FFF2-40B4-BE49-F238E27FC236}">
              <a16:creationId xmlns:a16="http://schemas.microsoft.com/office/drawing/2014/main" id="{3957B302-0BB7-0057-11FA-098E34B03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7" name="Picture 16">
          <a:extLst>
            <a:ext uri="{FF2B5EF4-FFF2-40B4-BE49-F238E27FC236}">
              <a16:creationId xmlns:a16="http://schemas.microsoft.com/office/drawing/2014/main" id="{818C5EB0-AA8A-5B16-5D65-633B8635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8" name="Picture 17">
          <a:extLst>
            <a:ext uri="{FF2B5EF4-FFF2-40B4-BE49-F238E27FC236}">
              <a16:creationId xmlns:a16="http://schemas.microsoft.com/office/drawing/2014/main" id="{6B186D73-9777-8494-6E4C-B31867F7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29" name="Picture 19">
          <a:extLst>
            <a:ext uri="{FF2B5EF4-FFF2-40B4-BE49-F238E27FC236}">
              <a16:creationId xmlns:a16="http://schemas.microsoft.com/office/drawing/2014/main" id="{ED6C1D3A-23C7-549F-0710-0C9D7E1A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0" name="Picture 20">
          <a:extLst>
            <a:ext uri="{FF2B5EF4-FFF2-40B4-BE49-F238E27FC236}">
              <a16:creationId xmlns:a16="http://schemas.microsoft.com/office/drawing/2014/main" id="{C602459D-8613-6DF9-E288-0D3AD95A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1" name="Picture 22">
          <a:extLst>
            <a:ext uri="{FF2B5EF4-FFF2-40B4-BE49-F238E27FC236}">
              <a16:creationId xmlns:a16="http://schemas.microsoft.com/office/drawing/2014/main" id="{ED3DAB50-DF0E-7606-BE8B-EB1CFB34B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2" name="Picture 23">
          <a:extLst>
            <a:ext uri="{FF2B5EF4-FFF2-40B4-BE49-F238E27FC236}">
              <a16:creationId xmlns:a16="http://schemas.microsoft.com/office/drawing/2014/main" id="{43B57361-8E78-CA3A-D683-32B50721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3" name="Picture 25">
          <a:extLst>
            <a:ext uri="{FF2B5EF4-FFF2-40B4-BE49-F238E27FC236}">
              <a16:creationId xmlns:a16="http://schemas.microsoft.com/office/drawing/2014/main" id="{781DA9BD-219A-0262-C0B9-6D94B4DB0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4" name="Picture 26">
          <a:extLst>
            <a:ext uri="{FF2B5EF4-FFF2-40B4-BE49-F238E27FC236}">
              <a16:creationId xmlns:a16="http://schemas.microsoft.com/office/drawing/2014/main" id="{1159983F-62F5-4C56-A049-968CFC7FB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5" name="Picture 28">
          <a:extLst>
            <a:ext uri="{FF2B5EF4-FFF2-40B4-BE49-F238E27FC236}">
              <a16:creationId xmlns:a16="http://schemas.microsoft.com/office/drawing/2014/main" id="{181B609D-CCDA-C267-DBEA-80E060D9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6" name="Picture 29">
          <a:extLst>
            <a:ext uri="{FF2B5EF4-FFF2-40B4-BE49-F238E27FC236}">
              <a16:creationId xmlns:a16="http://schemas.microsoft.com/office/drawing/2014/main" id="{B5A84605-21DB-B957-4AD1-5312A807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7" name="Picture 31">
          <a:extLst>
            <a:ext uri="{FF2B5EF4-FFF2-40B4-BE49-F238E27FC236}">
              <a16:creationId xmlns:a16="http://schemas.microsoft.com/office/drawing/2014/main" id="{07996DFD-DD5E-2BC2-FC9A-9773D050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8" name="Picture 32">
          <a:extLst>
            <a:ext uri="{FF2B5EF4-FFF2-40B4-BE49-F238E27FC236}">
              <a16:creationId xmlns:a16="http://schemas.microsoft.com/office/drawing/2014/main" id="{9D8B0618-C00F-A4E0-E1C9-0D45F8882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39" name="Picture 34">
          <a:extLst>
            <a:ext uri="{FF2B5EF4-FFF2-40B4-BE49-F238E27FC236}">
              <a16:creationId xmlns:a16="http://schemas.microsoft.com/office/drawing/2014/main" id="{9CA0EDF7-A335-EB73-E401-C27FFB380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0" name="Picture 35">
          <a:extLst>
            <a:ext uri="{FF2B5EF4-FFF2-40B4-BE49-F238E27FC236}">
              <a16:creationId xmlns:a16="http://schemas.microsoft.com/office/drawing/2014/main" id="{8ED402B6-7A4D-7BAD-1D4A-0D3379F67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1" name="Picture 37">
          <a:extLst>
            <a:ext uri="{FF2B5EF4-FFF2-40B4-BE49-F238E27FC236}">
              <a16:creationId xmlns:a16="http://schemas.microsoft.com/office/drawing/2014/main" id="{1BA5265F-A390-4A46-B8B7-6DB26075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2" name="Picture 38">
          <a:extLst>
            <a:ext uri="{FF2B5EF4-FFF2-40B4-BE49-F238E27FC236}">
              <a16:creationId xmlns:a16="http://schemas.microsoft.com/office/drawing/2014/main" id="{642D5FB4-A342-3301-192E-C2C5016D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3" name="Picture 40">
          <a:extLst>
            <a:ext uri="{FF2B5EF4-FFF2-40B4-BE49-F238E27FC236}">
              <a16:creationId xmlns:a16="http://schemas.microsoft.com/office/drawing/2014/main" id="{BC80430C-B83A-19DC-1EE4-0110791F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4" name="Picture 41">
          <a:extLst>
            <a:ext uri="{FF2B5EF4-FFF2-40B4-BE49-F238E27FC236}">
              <a16:creationId xmlns:a16="http://schemas.microsoft.com/office/drawing/2014/main" id="{468CA531-7738-FBB1-6898-7966B726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5" name="Picture 43">
          <a:extLst>
            <a:ext uri="{FF2B5EF4-FFF2-40B4-BE49-F238E27FC236}">
              <a16:creationId xmlns:a16="http://schemas.microsoft.com/office/drawing/2014/main" id="{1F426B32-218E-4C0C-DA73-795392BA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6" name="Picture 44">
          <a:extLst>
            <a:ext uri="{FF2B5EF4-FFF2-40B4-BE49-F238E27FC236}">
              <a16:creationId xmlns:a16="http://schemas.microsoft.com/office/drawing/2014/main" id="{D1E3D6E7-23FE-9BED-421E-B9B7CA15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7" name="Picture 46">
          <a:extLst>
            <a:ext uri="{FF2B5EF4-FFF2-40B4-BE49-F238E27FC236}">
              <a16:creationId xmlns:a16="http://schemas.microsoft.com/office/drawing/2014/main" id="{CD77D9D2-C18F-FF7F-0FDC-88E1AEC48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8" name="Picture 47">
          <a:extLst>
            <a:ext uri="{FF2B5EF4-FFF2-40B4-BE49-F238E27FC236}">
              <a16:creationId xmlns:a16="http://schemas.microsoft.com/office/drawing/2014/main" id="{B224BB14-8670-08AF-AB07-1749B6879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49" name="Picture 49">
          <a:extLst>
            <a:ext uri="{FF2B5EF4-FFF2-40B4-BE49-F238E27FC236}">
              <a16:creationId xmlns:a16="http://schemas.microsoft.com/office/drawing/2014/main" id="{938B9E02-D924-72ED-6049-B8E9CAD9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0" name="Picture 50">
          <a:extLst>
            <a:ext uri="{FF2B5EF4-FFF2-40B4-BE49-F238E27FC236}">
              <a16:creationId xmlns:a16="http://schemas.microsoft.com/office/drawing/2014/main" id="{6BD3F9C7-A89B-6632-5FD2-17C05639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1" name="Picture 52">
          <a:extLst>
            <a:ext uri="{FF2B5EF4-FFF2-40B4-BE49-F238E27FC236}">
              <a16:creationId xmlns:a16="http://schemas.microsoft.com/office/drawing/2014/main" id="{3E2B72F2-30B6-3D7F-983C-541AECC1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2" name="Picture 53">
          <a:extLst>
            <a:ext uri="{FF2B5EF4-FFF2-40B4-BE49-F238E27FC236}">
              <a16:creationId xmlns:a16="http://schemas.microsoft.com/office/drawing/2014/main" id="{63B86A1C-31D0-6D34-54FB-A73B722B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3" name="Picture 1">
          <a:extLst>
            <a:ext uri="{FF2B5EF4-FFF2-40B4-BE49-F238E27FC236}">
              <a16:creationId xmlns:a16="http://schemas.microsoft.com/office/drawing/2014/main" id="{53973EA2-A955-6B6E-E45D-5F4DEC2F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4" name="Picture 2">
          <a:extLst>
            <a:ext uri="{FF2B5EF4-FFF2-40B4-BE49-F238E27FC236}">
              <a16:creationId xmlns:a16="http://schemas.microsoft.com/office/drawing/2014/main" id="{11FE9FBE-BDD3-3F42-C598-92E608D5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5" name="Picture 4">
          <a:extLst>
            <a:ext uri="{FF2B5EF4-FFF2-40B4-BE49-F238E27FC236}">
              <a16:creationId xmlns:a16="http://schemas.microsoft.com/office/drawing/2014/main" id="{D9020044-307E-6E20-FE1A-5DE23A5E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6" name="Picture 5">
          <a:extLst>
            <a:ext uri="{FF2B5EF4-FFF2-40B4-BE49-F238E27FC236}">
              <a16:creationId xmlns:a16="http://schemas.microsoft.com/office/drawing/2014/main" id="{456A7FA3-231F-82B6-179F-FDAADC86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7" name="Picture 7">
          <a:extLst>
            <a:ext uri="{FF2B5EF4-FFF2-40B4-BE49-F238E27FC236}">
              <a16:creationId xmlns:a16="http://schemas.microsoft.com/office/drawing/2014/main" id="{58304981-C89F-80DD-40F7-196C32F60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8" name="Picture 8">
          <a:extLst>
            <a:ext uri="{FF2B5EF4-FFF2-40B4-BE49-F238E27FC236}">
              <a16:creationId xmlns:a16="http://schemas.microsoft.com/office/drawing/2014/main" id="{EB5C8C59-377C-12EA-A657-873ADF4C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59" name="Picture 10">
          <a:extLst>
            <a:ext uri="{FF2B5EF4-FFF2-40B4-BE49-F238E27FC236}">
              <a16:creationId xmlns:a16="http://schemas.microsoft.com/office/drawing/2014/main" id="{CAD834F3-FF5A-C934-EC4D-75F3B3309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0" name="Picture 11">
          <a:extLst>
            <a:ext uri="{FF2B5EF4-FFF2-40B4-BE49-F238E27FC236}">
              <a16:creationId xmlns:a16="http://schemas.microsoft.com/office/drawing/2014/main" id="{457C428A-AF70-2A7D-7150-8907CE7C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1" name="Picture 13">
          <a:extLst>
            <a:ext uri="{FF2B5EF4-FFF2-40B4-BE49-F238E27FC236}">
              <a16:creationId xmlns:a16="http://schemas.microsoft.com/office/drawing/2014/main" id="{33C307F6-A3C1-57D3-5893-CE1994DC5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2" name="Picture 14">
          <a:extLst>
            <a:ext uri="{FF2B5EF4-FFF2-40B4-BE49-F238E27FC236}">
              <a16:creationId xmlns:a16="http://schemas.microsoft.com/office/drawing/2014/main" id="{D14539AF-6D2B-D7DD-D2F7-2736EF3D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3" name="Picture 16">
          <a:extLst>
            <a:ext uri="{FF2B5EF4-FFF2-40B4-BE49-F238E27FC236}">
              <a16:creationId xmlns:a16="http://schemas.microsoft.com/office/drawing/2014/main" id="{CDC25497-7D9C-C4C8-D27F-4EC6AB962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4" name="Picture 17">
          <a:extLst>
            <a:ext uri="{FF2B5EF4-FFF2-40B4-BE49-F238E27FC236}">
              <a16:creationId xmlns:a16="http://schemas.microsoft.com/office/drawing/2014/main" id="{784E794C-1AB2-97E5-11A5-E2BD439A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5" name="Picture 19">
          <a:extLst>
            <a:ext uri="{FF2B5EF4-FFF2-40B4-BE49-F238E27FC236}">
              <a16:creationId xmlns:a16="http://schemas.microsoft.com/office/drawing/2014/main" id="{FED1C508-81C0-C504-FCBE-5C18A1360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6" name="Picture 20">
          <a:extLst>
            <a:ext uri="{FF2B5EF4-FFF2-40B4-BE49-F238E27FC236}">
              <a16:creationId xmlns:a16="http://schemas.microsoft.com/office/drawing/2014/main" id="{107353D8-FD6D-7E3F-2A7E-FE07A4705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7" name="Picture 22">
          <a:extLst>
            <a:ext uri="{FF2B5EF4-FFF2-40B4-BE49-F238E27FC236}">
              <a16:creationId xmlns:a16="http://schemas.microsoft.com/office/drawing/2014/main" id="{0D180827-6AD2-72D1-5FCC-1DE7993B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8" name="Picture 23">
          <a:extLst>
            <a:ext uri="{FF2B5EF4-FFF2-40B4-BE49-F238E27FC236}">
              <a16:creationId xmlns:a16="http://schemas.microsoft.com/office/drawing/2014/main" id="{1013F2CB-B3E3-D3B3-656A-E8496A47E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69" name="Picture 25">
          <a:extLst>
            <a:ext uri="{FF2B5EF4-FFF2-40B4-BE49-F238E27FC236}">
              <a16:creationId xmlns:a16="http://schemas.microsoft.com/office/drawing/2014/main" id="{DCB2CC7C-D682-DC2D-169F-51176C35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0" name="Picture 26">
          <a:extLst>
            <a:ext uri="{FF2B5EF4-FFF2-40B4-BE49-F238E27FC236}">
              <a16:creationId xmlns:a16="http://schemas.microsoft.com/office/drawing/2014/main" id="{88C4FBC9-AA59-3BA2-9146-25567CFB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1" name="Picture 28">
          <a:extLst>
            <a:ext uri="{FF2B5EF4-FFF2-40B4-BE49-F238E27FC236}">
              <a16:creationId xmlns:a16="http://schemas.microsoft.com/office/drawing/2014/main" id="{43C6015C-2A04-168D-9414-8AC89CE2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2" name="Picture 29">
          <a:extLst>
            <a:ext uri="{FF2B5EF4-FFF2-40B4-BE49-F238E27FC236}">
              <a16:creationId xmlns:a16="http://schemas.microsoft.com/office/drawing/2014/main" id="{549BF4AD-31BF-D52F-BC10-1494AD63D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3" name="Picture 31">
          <a:extLst>
            <a:ext uri="{FF2B5EF4-FFF2-40B4-BE49-F238E27FC236}">
              <a16:creationId xmlns:a16="http://schemas.microsoft.com/office/drawing/2014/main" id="{6BFF2381-2B05-995F-1960-28BE8078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4" name="Picture 32">
          <a:extLst>
            <a:ext uri="{FF2B5EF4-FFF2-40B4-BE49-F238E27FC236}">
              <a16:creationId xmlns:a16="http://schemas.microsoft.com/office/drawing/2014/main" id="{7589C0CC-F598-B028-EBDF-E190EA9E2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5" name="Picture 34">
          <a:extLst>
            <a:ext uri="{FF2B5EF4-FFF2-40B4-BE49-F238E27FC236}">
              <a16:creationId xmlns:a16="http://schemas.microsoft.com/office/drawing/2014/main" id="{8AF2EDDF-455E-1319-9AA6-AA5CF3A5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6" name="Picture 35">
          <a:extLst>
            <a:ext uri="{FF2B5EF4-FFF2-40B4-BE49-F238E27FC236}">
              <a16:creationId xmlns:a16="http://schemas.microsoft.com/office/drawing/2014/main" id="{FDEC3CAE-E456-D305-13B0-C6E2FA329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7" name="Picture 37">
          <a:extLst>
            <a:ext uri="{FF2B5EF4-FFF2-40B4-BE49-F238E27FC236}">
              <a16:creationId xmlns:a16="http://schemas.microsoft.com/office/drawing/2014/main" id="{C97FB550-98B8-450C-2FBE-399101A9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8" name="Picture 38">
          <a:extLst>
            <a:ext uri="{FF2B5EF4-FFF2-40B4-BE49-F238E27FC236}">
              <a16:creationId xmlns:a16="http://schemas.microsoft.com/office/drawing/2014/main" id="{249B7A3C-0929-7AF9-14DE-D8578365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79" name="Picture 40">
          <a:extLst>
            <a:ext uri="{FF2B5EF4-FFF2-40B4-BE49-F238E27FC236}">
              <a16:creationId xmlns:a16="http://schemas.microsoft.com/office/drawing/2014/main" id="{41F9FB3E-666A-43E4-4695-4BD92316B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0" name="Picture 41">
          <a:extLst>
            <a:ext uri="{FF2B5EF4-FFF2-40B4-BE49-F238E27FC236}">
              <a16:creationId xmlns:a16="http://schemas.microsoft.com/office/drawing/2014/main" id="{D7FA4941-D63D-BC20-27B7-8FAD1C21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1" name="Picture 43">
          <a:extLst>
            <a:ext uri="{FF2B5EF4-FFF2-40B4-BE49-F238E27FC236}">
              <a16:creationId xmlns:a16="http://schemas.microsoft.com/office/drawing/2014/main" id="{B4A809B6-FBF3-EEA2-77A3-8A9B96F1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2" name="Picture 44">
          <a:extLst>
            <a:ext uri="{FF2B5EF4-FFF2-40B4-BE49-F238E27FC236}">
              <a16:creationId xmlns:a16="http://schemas.microsoft.com/office/drawing/2014/main" id="{9B599B98-39FD-8B11-ADB7-4DDC28CA5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3" name="Picture 46">
          <a:extLst>
            <a:ext uri="{FF2B5EF4-FFF2-40B4-BE49-F238E27FC236}">
              <a16:creationId xmlns:a16="http://schemas.microsoft.com/office/drawing/2014/main" id="{E614A4F7-50EB-29E8-7FD6-E46BC2D4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4" name="Picture 47">
          <a:extLst>
            <a:ext uri="{FF2B5EF4-FFF2-40B4-BE49-F238E27FC236}">
              <a16:creationId xmlns:a16="http://schemas.microsoft.com/office/drawing/2014/main" id="{E4B113B2-136E-D9E9-A883-C0775460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5" name="Picture 49">
          <a:extLst>
            <a:ext uri="{FF2B5EF4-FFF2-40B4-BE49-F238E27FC236}">
              <a16:creationId xmlns:a16="http://schemas.microsoft.com/office/drawing/2014/main" id="{47F7CE0E-C33E-F42A-875D-E04C9700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6" name="Picture 50">
          <a:extLst>
            <a:ext uri="{FF2B5EF4-FFF2-40B4-BE49-F238E27FC236}">
              <a16:creationId xmlns:a16="http://schemas.microsoft.com/office/drawing/2014/main" id="{813A15D3-7119-5CCD-B45F-8451D1B5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7" name="Picture 52">
          <a:extLst>
            <a:ext uri="{FF2B5EF4-FFF2-40B4-BE49-F238E27FC236}">
              <a16:creationId xmlns:a16="http://schemas.microsoft.com/office/drawing/2014/main" id="{29933AFA-03B4-C4C5-E2C1-9407FEA0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8" name="Picture 53">
          <a:extLst>
            <a:ext uri="{FF2B5EF4-FFF2-40B4-BE49-F238E27FC236}">
              <a16:creationId xmlns:a16="http://schemas.microsoft.com/office/drawing/2014/main" id="{FA80A0A8-8ADE-088E-48E0-734BBDD7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89" name="Picture 1">
          <a:extLst>
            <a:ext uri="{FF2B5EF4-FFF2-40B4-BE49-F238E27FC236}">
              <a16:creationId xmlns:a16="http://schemas.microsoft.com/office/drawing/2014/main" id="{64ED9214-9222-EA7F-21E4-D8E2B090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0" name="Picture 2">
          <a:extLst>
            <a:ext uri="{FF2B5EF4-FFF2-40B4-BE49-F238E27FC236}">
              <a16:creationId xmlns:a16="http://schemas.microsoft.com/office/drawing/2014/main" id="{F3DC6F6B-7003-AAA6-648E-BF26DF1D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1" name="Picture 4">
          <a:extLst>
            <a:ext uri="{FF2B5EF4-FFF2-40B4-BE49-F238E27FC236}">
              <a16:creationId xmlns:a16="http://schemas.microsoft.com/office/drawing/2014/main" id="{A5F2C66B-C890-AC81-9A71-9D3FC74B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2" name="Picture 5">
          <a:extLst>
            <a:ext uri="{FF2B5EF4-FFF2-40B4-BE49-F238E27FC236}">
              <a16:creationId xmlns:a16="http://schemas.microsoft.com/office/drawing/2014/main" id="{866FDB03-1FFD-BB6C-772D-2E7004D96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3" name="Picture 7">
          <a:extLst>
            <a:ext uri="{FF2B5EF4-FFF2-40B4-BE49-F238E27FC236}">
              <a16:creationId xmlns:a16="http://schemas.microsoft.com/office/drawing/2014/main" id="{DAB5CAF1-4366-E97D-DA7A-0F22BAA67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4" name="Picture 8">
          <a:extLst>
            <a:ext uri="{FF2B5EF4-FFF2-40B4-BE49-F238E27FC236}">
              <a16:creationId xmlns:a16="http://schemas.microsoft.com/office/drawing/2014/main" id="{789EA765-CA6F-CD95-1B6B-43A58BB91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5" name="Picture 10">
          <a:extLst>
            <a:ext uri="{FF2B5EF4-FFF2-40B4-BE49-F238E27FC236}">
              <a16:creationId xmlns:a16="http://schemas.microsoft.com/office/drawing/2014/main" id="{EB1E19E1-8AB3-228A-9540-0C84F4CF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6" name="Picture 11">
          <a:extLst>
            <a:ext uri="{FF2B5EF4-FFF2-40B4-BE49-F238E27FC236}">
              <a16:creationId xmlns:a16="http://schemas.microsoft.com/office/drawing/2014/main" id="{89132158-E37E-004B-BD75-163CF78FA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7" name="Picture 13">
          <a:extLst>
            <a:ext uri="{FF2B5EF4-FFF2-40B4-BE49-F238E27FC236}">
              <a16:creationId xmlns:a16="http://schemas.microsoft.com/office/drawing/2014/main" id="{C85EB9F9-F4D4-EF12-8977-8CDF73CF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8" name="Picture 14">
          <a:extLst>
            <a:ext uri="{FF2B5EF4-FFF2-40B4-BE49-F238E27FC236}">
              <a16:creationId xmlns:a16="http://schemas.microsoft.com/office/drawing/2014/main" id="{7D3CFDE0-72FE-A941-D2B8-3D32BE97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5999" name="Picture 16">
          <a:extLst>
            <a:ext uri="{FF2B5EF4-FFF2-40B4-BE49-F238E27FC236}">
              <a16:creationId xmlns:a16="http://schemas.microsoft.com/office/drawing/2014/main" id="{DD98E7A3-1701-5D27-2100-34C320EEC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0" name="Picture 17">
          <a:extLst>
            <a:ext uri="{FF2B5EF4-FFF2-40B4-BE49-F238E27FC236}">
              <a16:creationId xmlns:a16="http://schemas.microsoft.com/office/drawing/2014/main" id="{360FB437-F9F8-43F3-25BB-F80A0E488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1" name="Picture 19">
          <a:extLst>
            <a:ext uri="{FF2B5EF4-FFF2-40B4-BE49-F238E27FC236}">
              <a16:creationId xmlns:a16="http://schemas.microsoft.com/office/drawing/2014/main" id="{6DF3318E-CEA5-EA16-73DC-DCE8517D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2" name="Picture 20">
          <a:extLst>
            <a:ext uri="{FF2B5EF4-FFF2-40B4-BE49-F238E27FC236}">
              <a16:creationId xmlns:a16="http://schemas.microsoft.com/office/drawing/2014/main" id="{C20141BE-76FB-18CE-8D26-403FCCCF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3" name="Picture 22">
          <a:extLst>
            <a:ext uri="{FF2B5EF4-FFF2-40B4-BE49-F238E27FC236}">
              <a16:creationId xmlns:a16="http://schemas.microsoft.com/office/drawing/2014/main" id="{83694D1D-A6A3-A2C2-F161-CCCE197FE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4" name="Picture 23">
          <a:extLst>
            <a:ext uri="{FF2B5EF4-FFF2-40B4-BE49-F238E27FC236}">
              <a16:creationId xmlns:a16="http://schemas.microsoft.com/office/drawing/2014/main" id="{05154BD8-35DB-1E99-3CC7-A4C10AA5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5" name="Picture 25">
          <a:extLst>
            <a:ext uri="{FF2B5EF4-FFF2-40B4-BE49-F238E27FC236}">
              <a16:creationId xmlns:a16="http://schemas.microsoft.com/office/drawing/2014/main" id="{76AF69F8-B6E7-C483-0B5D-65278075D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6" name="Picture 26">
          <a:extLst>
            <a:ext uri="{FF2B5EF4-FFF2-40B4-BE49-F238E27FC236}">
              <a16:creationId xmlns:a16="http://schemas.microsoft.com/office/drawing/2014/main" id="{5F21658C-48F8-36B7-7340-2BEE83A16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7" name="Picture 28">
          <a:extLst>
            <a:ext uri="{FF2B5EF4-FFF2-40B4-BE49-F238E27FC236}">
              <a16:creationId xmlns:a16="http://schemas.microsoft.com/office/drawing/2014/main" id="{A0FAEF4E-D540-30D4-6202-999DCF5E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8" name="Picture 29">
          <a:extLst>
            <a:ext uri="{FF2B5EF4-FFF2-40B4-BE49-F238E27FC236}">
              <a16:creationId xmlns:a16="http://schemas.microsoft.com/office/drawing/2014/main" id="{5D6C8642-A0C9-51D0-AA2E-553AFD28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09" name="Picture 31">
          <a:extLst>
            <a:ext uri="{FF2B5EF4-FFF2-40B4-BE49-F238E27FC236}">
              <a16:creationId xmlns:a16="http://schemas.microsoft.com/office/drawing/2014/main" id="{F018E09E-257B-6931-652F-D91CE2D0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0" name="Picture 32">
          <a:extLst>
            <a:ext uri="{FF2B5EF4-FFF2-40B4-BE49-F238E27FC236}">
              <a16:creationId xmlns:a16="http://schemas.microsoft.com/office/drawing/2014/main" id="{79F45F38-BBDB-21ED-388B-483AC7AA4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1" name="Picture 34">
          <a:extLst>
            <a:ext uri="{FF2B5EF4-FFF2-40B4-BE49-F238E27FC236}">
              <a16:creationId xmlns:a16="http://schemas.microsoft.com/office/drawing/2014/main" id="{35502017-295C-AC23-A6FA-FD2D07C13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2" name="Picture 35">
          <a:extLst>
            <a:ext uri="{FF2B5EF4-FFF2-40B4-BE49-F238E27FC236}">
              <a16:creationId xmlns:a16="http://schemas.microsoft.com/office/drawing/2014/main" id="{36E79606-7BF2-2975-7224-D9997DF29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3" name="Picture 37">
          <a:extLst>
            <a:ext uri="{FF2B5EF4-FFF2-40B4-BE49-F238E27FC236}">
              <a16:creationId xmlns:a16="http://schemas.microsoft.com/office/drawing/2014/main" id="{D1202D44-B290-9FBC-04F2-170880F6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4" name="Picture 38">
          <a:extLst>
            <a:ext uri="{FF2B5EF4-FFF2-40B4-BE49-F238E27FC236}">
              <a16:creationId xmlns:a16="http://schemas.microsoft.com/office/drawing/2014/main" id="{CDB4310B-4BD1-8A9D-B390-BF31C71A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5" name="Picture 40">
          <a:extLst>
            <a:ext uri="{FF2B5EF4-FFF2-40B4-BE49-F238E27FC236}">
              <a16:creationId xmlns:a16="http://schemas.microsoft.com/office/drawing/2014/main" id="{4BB7D616-D926-D663-68D3-36096339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6" name="Picture 41">
          <a:extLst>
            <a:ext uri="{FF2B5EF4-FFF2-40B4-BE49-F238E27FC236}">
              <a16:creationId xmlns:a16="http://schemas.microsoft.com/office/drawing/2014/main" id="{BE673D26-89FE-EBE1-4A7E-E90E1009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7" name="Picture 43">
          <a:extLst>
            <a:ext uri="{FF2B5EF4-FFF2-40B4-BE49-F238E27FC236}">
              <a16:creationId xmlns:a16="http://schemas.microsoft.com/office/drawing/2014/main" id="{49E76814-480B-61C2-3B8A-0AD501804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8" name="Picture 44">
          <a:extLst>
            <a:ext uri="{FF2B5EF4-FFF2-40B4-BE49-F238E27FC236}">
              <a16:creationId xmlns:a16="http://schemas.microsoft.com/office/drawing/2014/main" id="{B118448E-3BA9-F593-503B-7CCE2EB6E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19" name="Picture 46">
          <a:extLst>
            <a:ext uri="{FF2B5EF4-FFF2-40B4-BE49-F238E27FC236}">
              <a16:creationId xmlns:a16="http://schemas.microsoft.com/office/drawing/2014/main" id="{D9CA8423-56FC-134D-67BE-69EA6912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0" name="Picture 47">
          <a:extLst>
            <a:ext uri="{FF2B5EF4-FFF2-40B4-BE49-F238E27FC236}">
              <a16:creationId xmlns:a16="http://schemas.microsoft.com/office/drawing/2014/main" id="{E8C3043B-E948-6353-7B5B-0FAC7BEAE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1" name="Picture 49">
          <a:extLst>
            <a:ext uri="{FF2B5EF4-FFF2-40B4-BE49-F238E27FC236}">
              <a16:creationId xmlns:a16="http://schemas.microsoft.com/office/drawing/2014/main" id="{E5B4677A-881F-AE6A-B9B6-E678F375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2" name="Picture 50">
          <a:extLst>
            <a:ext uri="{FF2B5EF4-FFF2-40B4-BE49-F238E27FC236}">
              <a16:creationId xmlns:a16="http://schemas.microsoft.com/office/drawing/2014/main" id="{A535783F-05F9-CB1E-E658-C08B7F38B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3" name="Picture 52">
          <a:extLst>
            <a:ext uri="{FF2B5EF4-FFF2-40B4-BE49-F238E27FC236}">
              <a16:creationId xmlns:a16="http://schemas.microsoft.com/office/drawing/2014/main" id="{3A07505F-2B05-72AF-F8A5-2A4D43C7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4" name="Picture 53">
          <a:extLst>
            <a:ext uri="{FF2B5EF4-FFF2-40B4-BE49-F238E27FC236}">
              <a16:creationId xmlns:a16="http://schemas.microsoft.com/office/drawing/2014/main" id="{CA201FAC-951A-67A4-B218-6573CF157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5" name="Picture 1">
          <a:extLst>
            <a:ext uri="{FF2B5EF4-FFF2-40B4-BE49-F238E27FC236}">
              <a16:creationId xmlns:a16="http://schemas.microsoft.com/office/drawing/2014/main" id="{6C52F166-C074-1EB6-123B-96F85790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6" name="Picture 2">
          <a:extLst>
            <a:ext uri="{FF2B5EF4-FFF2-40B4-BE49-F238E27FC236}">
              <a16:creationId xmlns:a16="http://schemas.microsoft.com/office/drawing/2014/main" id="{B2583900-09DE-7F0D-1E21-F8C7D5105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7" name="Picture 4">
          <a:extLst>
            <a:ext uri="{FF2B5EF4-FFF2-40B4-BE49-F238E27FC236}">
              <a16:creationId xmlns:a16="http://schemas.microsoft.com/office/drawing/2014/main" id="{D2EFC841-B139-18DF-C2CF-0DDD4FD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8" name="Picture 5">
          <a:extLst>
            <a:ext uri="{FF2B5EF4-FFF2-40B4-BE49-F238E27FC236}">
              <a16:creationId xmlns:a16="http://schemas.microsoft.com/office/drawing/2014/main" id="{24579427-354A-22BB-1B11-56B11561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29" name="Picture 7">
          <a:extLst>
            <a:ext uri="{FF2B5EF4-FFF2-40B4-BE49-F238E27FC236}">
              <a16:creationId xmlns:a16="http://schemas.microsoft.com/office/drawing/2014/main" id="{ABDBC02B-6E97-7887-0CE5-5E095396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0" name="Picture 8">
          <a:extLst>
            <a:ext uri="{FF2B5EF4-FFF2-40B4-BE49-F238E27FC236}">
              <a16:creationId xmlns:a16="http://schemas.microsoft.com/office/drawing/2014/main" id="{C0BC5286-2CB5-C75E-7AF7-24504F87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1" name="Picture 10">
          <a:extLst>
            <a:ext uri="{FF2B5EF4-FFF2-40B4-BE49-F238E27FC236}">
              <a16:creationId xmlns:a16="http://schemas.microsoft.com/office/drawing/2014/main" id="{0D3EC701-1DBC-EF6B-BE7A-FA91A6763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2" name="Picture 11">
          <a:extLst>
            <a:ext uri="{FF2B5EF4-FFF2-40B4-BE49-F238E27FC236}">
              <a16:creationId xmlns:a16="http://schemas.microsoft.com/office/drawing/2014/main" id="{042E7151-858F-2F3E-E297-73906F99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3" name="Picture 13">
          <a:extLst>
            <a:ext uri="{FF2B5EF4-FFF2-40B4-BE49-F238E27FC236}">
              <a16:creationId xmlns:a16="http://schemas.microsoft.com/office/drawing/2014/main" id="{E12393CE-318B-082E-950B-4EC291F0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4" name="Picture 14">
          <a:extLst>
            <a:ext uri="{FF2B5EF4-FFF2-40B4-BE49-F238E27FC236}">
              <a16:creationId xmlns:a16="http://schemas.microsoft.com/office/drawing/2014/main" id="{E3D05AFD-AD41-9D88-FAC2-34F2E0CF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5" name="Picture 16">
          <a:extLst>
            <a:ext uri="{FF2B5EF4-FFF2-40B4-BE49-F238E27FC236}">
              <a16:creationId xmlns:a16="http://schemas.microsoft.com/office/drawing/2014/main" id="{9AE545F2-F7D3-1AC0-11C3-637F6C7D1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6" name="Picture 17">
          <a:extLst>
            <a:ext uri="{FF2B5EF4-FFF2-40B4-BE49-F238E27FC236}">
              <a16:creationId xmlns:a16="http://schemas.microsoft.com/office/drawing/2014/main" id="{AD43EEF3-8724-1F51-F198-A23DA72D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7" name="Picture 19">
          <a:extLst>
            <a:ext uri="{FF2B5EF4-FFF2-40B4-BE49-F238E27FC236}">
              <a16:creationId xmlns:a16="http://schemas.microsoft.com/office/drawing/2014/main" id="{B2B2D87D-1961-99A7-AEA3-A2590A93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8" name="Picture 20">
          <a:extLst>
            <a:ext uri="{FF2B5EF4-FFF2-40B4-BE49-F238E27FC236}">
              <a16:creationId xmlns:a16="http://schemas.microsoft.com/office/drawing/2014/main" id="{83DB1401-2E7E-9C88-888F-6DEF41B6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39" name="Picture 22">
          <a:extLst>
            <a:ext uri="{FF2B5EF4-FFF2-40B4-BE49-F238E27FC236}">
              <a16:creationId xmlns:a16="http://schemas.microsoft.com/office/drawing/2014/main" id="{6019A750-F2F0-2CA3-7679-7F50929AB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0" name="Picture 23">
          <a:extLst>
            <a:ext uri="{FF2B5EF4-FFF2-40B4-BE49-F238E27FC236}">
              <a16:creationId xmlns:a16="http://schemas.microsoft.com/office/drawing/2014/main" id="{2C8DBC71-B7BC-5895-1D97-E19C97E8D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1" name="Picture 25">
          <a:extLst>
            <a:ext uri="{FF2B5EF4-FFF2-40B4-BE49-F238E27FC236}">
              <a16:creationId xmlns:a16="http://schemas.microsoft.com/office/drawing/2014/main" id="{A28CCB9E-B8D1-B956-82E7-AFE74D092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2" name="Picture 26">
          <a:extLst>
            <a:ext uri="{FF2B5EF4-FFF2-40B4-BE49-F238E27FC236}">
              <a16:creationId xmlns:a16="http://schemas.microsoft.com/office/drawing/2014/main" id="{2E47720E-1ED3-A7E3-992D-C8D04832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3" name="Picture 28">
          <a:extLst>
            <a:ext uri="{FF2B5EF4-FFF2-40B4-BE49-F238E27FC236}">
              <a16:creationId xmlns:a16="http://schemas.microsoft.com/office/drawing/2014/main" id="{BDCE6662-3D3B-71F6-62AC-D7C5CC893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4" name="Picture 29">
          <a:extLst>
            <a:ext uri="{FF2B5EF4-FFF2-40B4-BE49-F238E27FC236}">
              <a16:creationId xmlns:a16="http://schemas.microsoft.com/office/drawing/2014/main" id="{D1402C4D-397C-CA2A-D067-FECB371A3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5" name="Picture 31">
          <a:extLst>
            <a:ext uri="{FF2B5EF4-FFF2-40B4-BE49-F238E27FC236}">
              <a16:creationId xmlns:a16="http://schemas.microsoft.com/office/drawing/2014/main" id="{DCC62A93-D3CC-4272-4A2D-A9E3468C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6" name="Picture 32">
          <a:extLst>
            <a:ext uri="{FF2B5EF4-FFF2-40B4-BE49-F238E27FC236}">
              <a16:creationId xmlns:a16="http://schemas.microsoft.com/office/drawing/2014/main" id="{7A82423C-2394-614A-17E8-E4241C80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7" name="Picture 34">
          <a:extLst>
            <a:ext uri="{FF2B5EF4-FFF2-40B4-BE49-F238E27FC236}">
              <a16:creationId xmlns:a16="http://schemas.microsoft.com/office/drawing/2014/main" id="{08285504-C557-B07D-E38B-91A3D677B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8" name="Picture 35">
          <a:extLst>
            <a:ext uri="{FF2B5EF4-FFF2-40B4-BE49-F238E27FC236}">
              <a16:creationId xmlns:a16="http://schemas.microsoft.com/office/drawing/2014/main" id="{C732017F-A8EE-C1C0-A540-974D1F67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49" name="Picture 37">
          <a:extLst>
            <a:ext uri="{FF2B5EF4-FFF2-40B4-BE49-F238E27FC236}">
              <a16:creationId xmlns:a16="http://schemas.microsoft.com/office/drawing/2014/main" id="{0EA8D56B-E77F-DC22-C878-065F5884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0" name="Picture 38">
          <a:extLst>
            <a:ext uri="{FF2B5EF4-FFF2-40B4-BE49-F238E27FC236}">
              <a16:creationId xmlns:a16="http://schemas.microsoft.com/office/drawing/2014/main" id="{013CA01C-A7E8-96D4-5F53-30CC3531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1" name="Picture 40">
          <a:extLst>
            <a:ext uri="{FF2B5EF4-FFF2-40B4-BE49-F238E27FC236}">
              <a16:creationId xmlns:a16="http://schemas.microsoft.com/office/drawing/2014/main" id="{2D9AC3DF-1BB2-CEA4-C445-32806C61B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2" name="Picture 41">
          <a:extLst>
            <a:ext uri="{FF2B5EF4-FFF2-40B4-BE49-F238E27FC236}">
              <a16:creationId xmlns:a16="http://schemas.microsoft.com/office/drawing/2014/main" id="{84BA2DBC-C006-C14E-226C-1B4C8D488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3" name="Picture 43">
          <a:extLst>
            <a:ext uri="{FF2B5EF4-FFF2-40B4-BE49-F238E27FC236}">
              <a16:creationId xmlns:a16="http://schemas.microsoft.com/office/drawing/2014/main" id="{3E97C13C-74E6-1870-F758-B7D5B291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4" name="Picture 44">
          <a:extLst>
            <a:ext uri="{FF2B5EF4-FFF2-40B4-BE49-F238E27FC236}">
              <a16:creationId xmlns:a16="http://schemas.microsoft.com/office/drawing/2014/main" id="{0908DEFC-2032-7023-3671-9D5C80E2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5" name="Picture 46">
          <a:extLst>
            <a:ext uri="{FF2B5EF4-FFF2-40B4-BE49-F238E27FC236}">
              <a16:creationId xmlns:a16="http://schemas.microsoft.com/office/drawing/2014/main" id="{738C784F-C548-1AE9-9FB2-7721EE86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6" name="Picture 47">
          <a:extLst>
            <a:ext uri="{FF2B5EF4-FFF2-40B4-BE49-F238E27FC236}">
              <a16:creationId xmlns:a16="http://schemas.microsoft.com/office/drawing/2014/main" id="{CAAD3174-C8C5-4F03-D253-55A481EB8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7" name="Picture 49">
          <a:extLst>
            <a:ext uri="{FF2B5EF4-FFF2-40B4-BE49-F238E27FC236}">
              <a16:creationId xmlns:a16="http://schemas.microsoft.com/office/drawing/2014/main" id="{651138C1-550E-C684-ABB9-720D9914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8" name="Picture 50">
          <a:extLst>
            <a:ext uri="{FF2B5EF4-FFF2-40B4-BE49-F238E27FC236}">
              <a16:creationId xmlns:a16="http://schemas.microsoft.com/office/drawing/2014/main" id="{C4CC79D4-F82E-A478-19BD-2EAD7BD57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59" name="Picture 52">
          <a:extLst>
            <a:ext uri="{FF2B5EF4-FFF2-40B4-BE49-F238E27FC236}">
              <a16:creationId xmlns:a16="http://schemas.microsoft.com/office/drawing/2014/main" id="{0A545792-3118-46C3-A8DA-600EAB9C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6060" name="Picture 53">
          <a:extLst>
            <a:ext uri="{FF2B5EF4-FFF2-40B4-BE49-F238E27FC236}">
              <a16:creationId xmlns:a16="http://schemas.microsoft.com/office/drawing/2014/main" id="{E5E3E728-A371-EDE9-C644-C37E5FA9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59532</xdr:colOff>
      <xdr:row>0</xdr:row>
      <xdr:rowOff>174626</xdr:rowOff>
    </xdr:from>
    <xdr:to>
      <xdr:col>1</xdr:col>
      <xdr:colOff>900220</xdr:colOff>
      <xdr:row>3</xdr:row>
      <xdr:rowOff>202406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3A6089F-1EBB-46F9-BD80-65259215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174626"/>
          <a:ext cx="1959876" cy="896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6516-8896-43E2-838A-802C6481E2D6}">
  <sheetPr codeName="Hoja1">
    <pageSetUpPr fitToPage="1"/>
  </sheetPr>
  <dimension ref="A1:M39"/>
  <sheetViews>
    <sheetView tabSelected="1" zoomScale="80" zoomScaleNormal="80" workbookViewId="0">
      <selection activeCell="C1" sqref="C1:G1"/>
    </sheetView>
  </sheetViews>
  <sheetFormatPr baseColWidth="10" defaultColWidth="9.140625" defaultRowHeight="12.75" x14ac:dyDescent="0.2"/>
  <cols>
    <col min="1" max="1" width="16.85546875" style="1" bestFit="1" customWidth="1"/>
    <col min="2" max="2" width="14.28515625" style="1" bestFit="1" customWidth="1"/>
    <col min="3" max="3" width="56.42578125" style="1" customWidth="1"/>
    <col min="4" max="4" width="20.85546875" style="1" bestFit="1" customWidth="1"/>
    <col min="5" max="6" width="12.42578125" style="1" customWidth="1"/>
    <col min="7" max="7" width="24.5703125" style="1" customWidth="1"/>
    <col min="8" max="8" width="17.42578125" style="1" customWidth="1"/>
    <col min="9" max="9" width="17.7109375" style="1" bestFit="1" customWidth="1"/>
    <col min="10" max="16384" width="9.140625" style="1"/>
  </cols>
  <sheetData>
    <row r="1" spans="1:9" ht="19.5" customHeight="1" x14ac:dyDescent="0.25">
      <c r="A1" s="128"/>
      <c r="B1" s="129"/>
      <c r="C1" s="123" t="s">
        <v>32</v>
      </c>
      <c r="D1" s="124"/>
      <c r="E1" s="124"/>
      <c r="F1" s="124"/>
      <c r="G1" s="124"/>
      <c r="H1" s="11" t="s">
        <v>31</v>
      </c>
      <c r="I1" s="10" t="s">
        <v>106</v>
      </c>
    </row>
    <row r="2" spans="1:9" ht="19.5" customHeight="1" x14ac:dyDescent="0.25">
      <c r="A2" s="130"/>
      <c r="B2" s="131"/>
      <c r="C2" s="125" t="s">
        <v>0</v>
      </c>
      <c r="D2" s="126"/>
      <c r="E2" s="126"/>
      <c r="F2" s="126"/>
      <c r="G2" s="126"/>
      <c r="H2" s="9" t="s">
        <v>30</v>
      </c>
      <c r="I2" s="8" t="s">
        <v>105</v>
      </c>
    </row>
    <row r="3" spans="1:9" ht="29.25" customHeight="1" x14ac:dyDescent="0.2">
      <c r="A3" s="130"/>
      <c r="B3" s="131"/>
      <c r="C3" s="241" t="s">
        <v>103</v>
      </c>
      <c r="D3" s="242"/>
      <c r="E3" s="242"/>
      <c r="F3" s="242"/>
      <c r="G3" s="242"/>
      <c r="H3" s="113" t="s">
        <v>29</v>
      </c>
      <c r="I3" s="134">
        <v>45945</v>
      </c>
    </row>
    <row r="4" spans="1:9" ht="19.5" customHeight="1" x14ac:dyDescent="0.2">
      <c r="A4" s="130"/>
      <c r="B4" s="131"/>
      <c r="C4" s="12" t="s">
        <v>28</v>
      </c>
      <c r="D4" s="127" t="s">
        <v>33</v>
      </c>
      <c r="E4" s="127"/>
      <c r="F4" s="127"/>
      <c r="G4" s="127"/>
      <c r="H4" s="113"/>
      <c r="I4" s="134"/>
    </row>
    <row r="5" spans="1:9" ht="19.5" customHeight="1" thickBot="1" x14ac:dyDescent="0.25">
      <c r="A5" s="132"/>
      <c r="B5" s="133"/>
      <c r="C5" s="13" t="s">
        <v>27</v>
      </c>
      <c r="D5" s="115" t="s">
        <v>98</v>
      </c>
      <c r="E5" s="115"/>
      <c r="F5" s="115"/>
      <c r="G5" s="115"/>
      <c r="H5" s="114"/>
      <c r="I5" s="135"/>
    </row>
    <row r="6" spans="1:9" ht="26.25" customHeight="1" thickBot="1" x14ac:dyDescent="0.25">
      <c r="A6" s="116" t="s">
        <v>26</v>
      </c>
      <c r="B6" s="117"/>
      <c r="C6" s="117"/>
      <c r="D6" s="167" t="s">
        <v>37</v>
      </c>
      <c r="E6" s="167"/>
      <c r="F6" s="167"/>
      <c r="G6" s="118" t="s">
        <v>25</v>
      </c>
      <c r="H6" s="118"/>
      <c r="I6" s="168" t="s">
        <v>41</v>
      </c>
    </row>
    <row r="7" spans="1:9" ht="28.5" customHeight="1" x14ac:dyDescent="0.2">
      <c r="A7" s="121" t="s">
        <v>1</v>
      </c>
      <c r="B7" s="119" t="s">
        <v>104</v>
      </c>
      <c r="C7" s="111"/>
      <c r="D7" s="111" t="s">
        <v>2</v>
      </c>
      <c r="E7" s="111" t="s">
        <v>3</v>
      </c>
      <c r="F7" s="111"/>
      <c r="G7" s="111" t="s">
        <v>24</v>
      </c>
      <c r="H7" s="111"/>
      <c r="I7" s="7" t="s">
        <v>4</v>
      </c>
    </row>
    <row r="8" spans="1:9" ht="31.5" customHeight="1" thickBot="1" x14ac:dyDescent="0.25">
      <c r="A8" s="122"/>
      <c r="B8" s="120"/>
      <c r="C8" s="112"/>
      <c r="D8" s="112"/>
      <c r="E8" s="6" t="s">
        <v>5</v>
      </c>
      <c r="F8" s="5" t="s">
        <v>6</v>
      </c>
      <c r="G8" s="6" t="s">
        <v>5</v>
      </c>
      <c r="H8" s="5" t="s">
        <v>6</v>
      </c>
      <c r="I8" s="4" t="s">
        <v>7</v>
      </c>
    </row>
    <row r="9" spans="1:9" ht="20.25" x14ac:dyDescent="0.3">
      <c r="A9" s="169">
        <v>908000028</v>
      </c>
      <c r="B9" s="170" t="s">
        <v>102</v>
      </c>
      <c r="C9" s="171" t="s">
        <v>45</v>
      </c>
      <c r="D9" s="172" t="s">
        <v>36</v>
      </c>
      <c r="E9" s="173">
        <v>6900</v>
      </c>
      <c r="F9" s="174" t="s">
        <v>11</v>
      </c>
      <c r="G9" s="175"/>
      <c r="H9" s="172"/>
      <c r="I9" s="176"/>
    </row>
    <row r="10" spans="1:9" ht="18" customHeight="1" x14ac:dyDescent="0.3">
      <c r="A10" s="177"/>
      <c r="B10" s="170"/>
      <c r="C10" s="171"/>
      <c r="D10" s="172"/>
      <c r="E10" s="173"/>
      <c r="F10" s="174"/>
      <c r="G10" s="243"/>
      <c r="H10" s="243"/>
      <c r="I10" s="178"/>
    </row>
    <row r="11" spans="1:9" ht="18" customHeight="1" x14ac:dyDescent="0.3">
      <c r="A11" s="177"/>
      <c r="B11" s="170"/>
      <c r="C11" s="171"/>
      <c r="D11" s="172"/>
      <c r="E11" s="173"/>
      <c r="F11" s="174"/>
      <c r="G11" s="179"/>
      <c r="H11" s="179"/>
      <c r="I11" s="176"/>
    </row>
    <row r="12" spans="1:9" ht="20.25" x14ac:dyDescent="0.3">
      <c r="A12" s="169">
        <v>1950708</v>
      </c>
      <c r="B12" s="170" t="s">
        <v>99</v>
      </c>
      <c r="C12" s="171" t="s">
        <v>43</v>
      </c>
      <c r="D12" s="172" t="s">
        <v>44</v>
      </c>
      <c r="E12" s="173">
        <v>1</v>
      </c>
      <c r="F12" s="174" t="s">
        <v>35</v>
      </c>
      <c r="G12" s="173"/>
      <c r="H12" s="172"/>
      <c r="I12" s="176"/>
    </row>
    <row r="13" spans="1:9" ht="20.25" x14ac:dyDescent="0.3">
      <c r="A13" s="169">
        <v>702007</v>
      </c>
      <c r="B13" s="170" t="s">
        <v>100</v>
      </c>
      <c r="C13" s="171" t="s">
        <v>22</v>
      </c>
      <c r="D13" s="172" t="s">
        <v>40</v>
      </c>
      <c r="E13" s="173">
        <v>1</v>
      </c>
      <c r="F13" s="174" t="s">
        <v>35</v>
      </c>
      <c r="G13" s="173"/>
      <c r="H13" s="172"/>
      <c r="I13" s="176"/>
    </row>
    <row r="14" spans="1:9" ht="20.25" x14ac:dyDescent="0.3">
      <c r="A14" s="180">
        <v>702123</v>
      </c>
      <c r="B14" s="170" t="s">
        <v>101</v>
      </c>
      <c r="C14" s="181" t="s">
        <v>39</v>
      </c>
      <c r="D14" s="172" t="s">
        <v>40</v>
      </c>
      <c r="E14" s="173">
        <v>1</v>
      </c>
      <c r="F14" s="174" t="s">
        <v>35</v>
      </c>
      <c r="G14" s="173"/>
      <c r="H14" s="172"/>
      <c r="I14" s="176"/>
    </row>
    <row r="15" spans="1:9" ht="18" customHeight="1" x14ac:dyDescent="0.3">
      <c r="A15" s="182"/>
      <c r="B15" s="183"/>
      <c r="C15" s="181"/>
      <c r="D15" s="172"/>
      <c r="E15" s="173"/>
      <c r="F15" s="174"/>
      <c r="G15" s="173"/>
      <c r="H15" s="172"/>
      <c r="I15" s="176"/>
    </row>
    <row r="16" spans="1:9" ht="18" customHeight="1" x14ac:dyDescent="0.3">
      <c r="A16" s="184"/>
      <c r="B16" s="185"/>
      <c r="C16" s="186"/>
      <c r="D16" s="181"/>
      <c r="E16" s="174"/>
      <c r="F16" s="174"/>
      <c r="G16" s="174"/>
      <c r="H16" s="174"/>
      <c r="I16" s="187"/>
    </row>
    <row r="17" spans="1:13" ht="18" customHeight="1" thickBot="1" x14ac:dyDescent="0.35">
      <c r="A17" s="188"/>
      <c r="B17" s="189"/>
      <c r="C17" s="190"/>
      <c r="D17" s="190"/>
      <c r="E17" s="191"/>
      <c r="F17" s="192"/>
      <c r="G17" s="190"/>
      <c r="H17" s="190"/>
      <c r="I17" s="193"/>
      <c r="L17" s="2"/>
    </row>
    <row r="18" spans="1:13" ht="18" customHeight="1" thickBot="1" x14ac:dyDescent="0.35">
      <c r="A18" s="194"/>
      <c r="B18" s="195"/>
      <c r="C18" s="196"/>
      <c r="D18" s="197" t="s">
        <v>5</v>
      </c>
      <c r="E18" s="198" t="s">
        <v>21</v>
      </c>
      <c r="F18" s="199"/>
      <c r="G18" s="196"/>
      <c r="H18" s="196"/>
      <c r="I18" s="200"/>
      <c r="L18" s="2"/>
    </row>
    <row r="19" spans="1:13" ht="20.25" x14ac:dyDescent="0.3">
      <c r="A19" s="201" t="s">
        <v>9</v>
      </c>
      <c r="B19" s="202"/>
      <c r="C19" s="203"/>
      <c r="D19" s="204">
        <v>6900</v>
      </c>
      <c r="E19" s="205" t="s">
        <v>11</v>
      </c>
      <c r="F19" s="206" t="s">
        <v>20</v>
      </c>
      <c r="G19" s="206"/>
      <c r="H19" s="207"/>
      <c r="I19" s="208"/>
      <c r="L19" s="2"/>
    </row>
    <row r="20" spans="1:13" ht="20.25" x14ac:dyDescent="0.3">
      <c r="A20" s="209" t="s">
        <v>8</v>
      </c>
      <c r="B20" s="210"/>
      <c r="C20" s="211"/>
      <c r="D20" s="212">
        <v>5</v>
      </c>
      <c r="E20" s="213" t="s">
        <v>19</v>
      </c>
      <c r="F20" s="214" t="s">
        <v>18</v>
      </c>
      <c r="G20" s="214"/>
      <c r="H20" s="215"/>
      <c r="I20" s="216"/>
      <c r="J20" s="1">
        <f>5/6.9</f>
        <v>0.72463768115942029</v>
      </c>
      <c r="L20" s="2"/>
    </row>
    <row r="21" spans="1:13" ht="20.25" customHeight="1" x14ac:dyDescent="0.3">
      <c r="A21" s="209" t="s">
        <v>17</v>
      </c>
      <c r="B21" s="210"/>
      <c r="C21" s="211"/>
      <c r="D21" s="217">
        <v>1</v>
      </c>
      <c r="E21" s="213" t="s">
        <v>16</v>
      </c>
      <c r="F21" s="214" t="s">
        <v>15</v>
      </c>
      <c r="G21" s="214"/>
      <c r="H21" s="215"/>
      <c r="I21" s="216"/>
      <c r="L21" s="2"/>
    </row>
    <row r="22" spans="1:13" ht="20.25" customHeight="1" x14ac:dyDescent="0.3">
      <c r="A22" s="209" t="s">
        <v>14</v>
      </c>
      <c r="B22" s="210"/>
      <c r="C22" s="211"/>
      <c r="D22" s="218">
        <f>D19</f>
        <v>6900</v>
      </c>
      <c r="E22" s="213" t="s">
        <v>11</v>
      </c>
      <c r="F22" s="214" t="s">
        <v>13</v>
      </c>
      <c r="G22" s="214"/>
      <c r="H22" s="215"/>
      <c r="I22" s="216"/>
      <c r="L22" s="2"/>
      <c r="M22" s="3"/>
    </row>
    <row r="23" spans="1:13" ht="17.25" customHeight="1" thickBot="1" x14ac:dyDescent="0.35">
      <c r="A23" s="219" t="s">
        <v>10</v>
      </c>
      <c r="B23" s="220"/>
      <c r="C23" s="221"/>
      <c r="D23" s="222">
        <f>SUM(E9:E11)-D22</f>
        <v>0</v>
      </c>
      <c r="E23" s="223" t="s">
        <v>11</v>
      </c>
      <c r="F23" s="221"/>
      <c r="G23" s="221"/>
      <c r="H23" s="224"/>
      <c r="I23" s="225"/>
      <c r="L23" s="2"/>
    </row>
    <row r="24" spans="1:13" ht="21" thickBot="1" x14ac:dyDescent="0.35">
      <c r="A24" s="238" t="s">
        <v>12</v>
      </c>
      <c r="B24" s="239"/>
      <c r="C24" s="239"/>
      <c r="D24" s="239"/>
      <c r="E24" s="239"/>
      <c r="F24" s="239"/>
      <c r="G24" s="239"/>
      <c r="H24" s="239"/>
      <c r="I24" s="240"/>
    </row>
    <row r="25" spans="1:13" ht="20.25" x14ac:dyDescent="0.2">
      <c r="A25" s="226" t="s">
        <v>46</v>
      </c>
      <c r="B25" s="227"/>
      <c r="C25" s="227"/>
      <c r="D25" s="227"/>
      <c r="E25" s="227"/>
      <c r="F25" s="227"/>
      <c r="G25" s="227"/>
      <c r="H25" s="227"/>
      <c r="I25" s="228"/>
    </row>
    <row r="26" spans="1:13" ht="20.25" x14ac:dyDescent="0.2">
      <c r="A26" s="226" t="s">
        <v>47</v>
      </c>
      <c r="B26" s="227"/>
      <c r="C26" s="227"/>
      <c r="D26" s="227"/>
      <c r="E26" s="227"/>
      <c r="F26" s="227"/>
      <c r="G26" s="227"/>
      <c r="H26" s="227"/>
      <c r="I26" s="228"/>
    </row>
    <row r="27" spans="1:13" ht="21.6" customHeight="1" x14ac:dyDescent="0.3">
      <c r="A27" s="229"/>
      <c r="B27" s="230"/>
      <c r="C27" s="230"/>
      <c r="D27" s="230"/>
      <c r="E27" s="230"/>
      <c r="F27" s="230"/>
      <c r="G27" s="230"/>
      <c r="H27" s="230"/>
      <c r="I27" s="231"/>
    </row>
    <row r="28" spans="1:13" ht="21.6" customHeight="1" thickBot="1" x14ac:dyDescent="0.35">
      <c r="A28" s="232"/>
      <c r="B28" s="233"/>
      <c r="C28" s="233"/>
      <c r="D28" s="233"/>
      <c r="E28" s="233"/>
      <c r="F28" s="233"/>
      <c r="G28" s="233"/>
      <c r="H28" s="233"/>
      <c r="I28" s="234"/>
    </row>
    <row r="29" spans="1:13" ht="20.100000000000001" customHeight="1" x14ac:dyDescent="0.2">
      <c r="A29" s="236" t="s">
        <v>34</v>
      </c>
      <c r="B29" s="237"/>
      <c r="C29" s="237"/>
      <c r="D29" s="237"/>
      <c r="E29" s="237"/>
      <c r="F29" s="237"/>
      <c r="G29" s="237"/>
      <c r="H29" s="237"/>
      <c r="I29" s="237"/>
    </row>
    <row r="30" spans="1:13" ht="20.100000000000001" customHeight="1" x14ac:dyDescent="0.2">
      <c r="A30" s="235"/>
      <c r="B30" s="235"/>
      <c r="C30" s="235"/>
      <c r="D30" s="235"/>
      <c r="E30" s="235"/>
      <c r="F30" s="235"/>
      <c r="G30" s="235"/>
      <c r="H30" s="235"/>
      <c r="I30" s="235"/>
    </row>
    <row r="31" spans="1:13" ht="20.100000000000001" customHeight="1" x14ac:dyDescent="0.2">
      <c r="A31" s="235"/>
      <c r="B31" s="235"/>
      <c r="C31" s="235"/>
      <c r="D31" s="235"/>
      <c r="E31" s="235"/>
      <c r="F31" s="235"/>
      <c r="G31" s="235"/>
      <c r="H31" s="235"/>
      <c r="I31" s="235"/>
    </row>
    <row r="32" spans="1:13" ht="20.100000000000001" customHeight="1" x14ac:dyDescent="0.2">
      <c r="A32" s="235"/>
      <c r="B32" s="235"/>
      <c r="C32" s="235"/>
      <c r="D32" s="235"/>
      <c r="E32" s="235"/>
      <c r="F32" s="235"/>
      <c r="G32" s="235"/>
      <c r="H32" s="235"/>
      <c r="I32" s="235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</sheetData>
  <mergeCells count="41">
    <mergeCell ref="I3:I5"/>
    <mergeCell ref="A31:I31"/>
    <mergeCell ref="A32:I32"/>
    <mergeCell ref="C1:G1"/>
    <mergeCell ref="C2:G2"/>
    <mergeCell ref="C3:G3"/>
    <mergeCell ref="D4:G4"/>
    <mergeCell ref="A1:B5"/>
    <mergeCell ref="A30:I30"/>
    <mergeCell ref="A29:I29"/>
    <mergeCell ref="H20:I20"/>
    <mergeCell ref="H21:I21"/>
    <mergeCell ref="H22:I22"/>
    <mergeCell ref="A23:C23"/>
    <mergeCell ref="A26:I26"/>
    <mergeCell ref="A20:C20"/>
    <mergeCell ref="A22:C22"/>
    <mergeCell ref="F22:G22"/>
    <mergeCell ref="A27:I27"/>
    <mergeCell ref="A28:I28"/>
    <mergeCell ref="A24:I24"/>
    <mergeCell ref="F21:G21"/>
    <mergeCell ref="A25:I25"/>
    <mergeCell ref="F19:G19"/>
    <mergeCell ref="H23:I23"/>
    <mergeCell ref="A21:C21"/>
    <mergeCell ref="F23:G23"/>
    <mergeCell ref="H19:I19"/>
    <mergeCell ref="F20:G20"/>
    <mergeCell ref="D7:D8"/>
    <mergeCell ref="G7:H7"/>
    <mergeCell ref="H3:H5"/>
    <mergeCell ref="E7:F7"/>
    <mergeCell ref="A19:C19"/>
    <mergeCell ref="D5:G5"/>
    <mergeCell ref="A6:C6"/>
    <mergeCell ref="D6:F6"/>
    <mergeCell ref="G6:H6"/>
    <mergeCell ref="B7:B8"/>
    <mergeCell ref="A7:A8"/>
    <mergeCell ref="C7:C8"/>
  </mergeCells>
  <phoneticPr fontId="2" type="noConversion"/>
  <printOptions horizontalCentered="1"/>
  <pageMargins left="0.7" right="0.7" top="0.75" bottom="0.75" header="0.3" footer="0.3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9364-1D6A-457A-8BF3-0D3680559B00}">
  <dimension ref="A1:Q91"/>
  <sheetViews>
    <sheetView topLeftCell="A51" workbookViewId="0">
      <selection activeCell="E69" sqref="E69"/>
    </sheetView>
  </sheetViews>
  <sheetFormatPr baseColWidth="10" defaultColWidth="8.42578125" defaultRowHeight="12.75" x14ac:dyDescent="0.2"/>
  <cols>
    <col min="1" max="1" width="10" style="19" bestFit="1" customWidth="1"/>
    <col min="2" max="2" width="44.42578125" style="19" bestFit="1" customWidth="1"/>
    <col min="3" max="3" width="10.42578125" style="19" bestFit="1" customWidth="1"/>
    <col min="4" max="4" width="10.42578125" style="19" customWidth="1"/>
    <col min="5" max="6" width="9.5703125" style="19" bestFit="1" customWidth="1"/>
    <col min="7" max="7" width="9.5703125" style="101" bestFit="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425781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42578125" style="19" customWidth="1"/>
    <col min="18" max="16384" width="8.42578125" style="19"/>
  </cols>
  <sheetData>
    <row r="1" spans="1:10" ht="27.75" customHeight="1" x14ac:dyDescent="0.2">
      <c r="A1" s="14"/>
      <c r="B1" s="14"/>
      <c r="C1" s="14"/>
      <c r="D1" s="14"/>
      <c r="E1" s="15" t="s">
        <v>49</v>
      </c>
      <c r="F1" s="16" t="s">
        <v>50</v>
      </c>
      <c r="G1" s="16" t="s">
        <v>51</v>
      </c>
      <c r="H1" s="16" t="s">
        <v>52</v>
      </c>
      <c r="I1" s="17"/>
    </row>
    <row r="2" spans="1:10" ht="30.75" customHeight="1" x14ac:dyDescent="0.2">
      <c r="A2" s="14"/>
      <c r="B2" s="14"/>
      <c r="C2" s="14"/>
      <c r="D2" s="14"/>
      <c r="E2" s="20">
        <f>IFERROR(O62,"")</f>
        <v>17866.994280000003</v>
      </c>
      <c r="F2" s="20">
        <f>IFERROR(H53,"")</f>
        <v>13393.5</v>
      </c>
      <c r="G2" s="20">
        <f>IFERROR(H54,"")</f>
        <v>40.330285714285715</v>
      </c>
      <c r="H2" s="20">
        <f>IFERROR(H56,"")</f>
        <v>550</v>
      </c>
      <c r="I2" s="21"/>
    </row>
    <row r="3" spans="1:10" ht="15" customHeight="1" x14ac:dyDescent="0.2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25">
      <c r="A4" s="162"/>
      <c r="B4" s="162"/>
      <c r="C4" s="162"/>
      <c r="D4" s="162"/>
      <c r="E4" s="162"/>
      <c r="F4" s="162"/>
      <c r="G4" s="162"/>
      <c r="H4" s="162"/>
      <c r="I4" s="23"/>
    </row>
    <row r="5" spans="1:10" ht="19.5" customHeight="1" thickBot="1" x14ac:dyDescent="0.25">
      <c r="A5" s="163" t="s">
        <v>53</v>
      </c>
      <c r="B5" s="164"/>
      <c r="C5" s="164"/>
      <c r="D5" s="164"/>
      <c r="E5" s="164"/>
      <c r="F5" s="164"/>
      <c r="G5" s="164"/>
      <c r="H5" s="165"/>
      <c r="I5" s="24"/>
    </row>
    <row r="6" spans="1:10" ht="19.5" thickBot="1" x14ac:dyDescent="0.25">
      <c r="A6" s="24"/>
      <c r="B6" s="24"/>
      <c r="C6" s="24"/>
      <c r="D6" s="24"/>
      <c r="E6" s="24"/>
      <c r="F6" s="166" t="s">
        <v>54</v>
      </c>
      <c r="G6" s="166"/>
      <c r="H6" s="25">
        <f ca="1">TODAY()</f>
        <v>45945</v>
      </c>
      <c r="I6" s="25"/>
    </row>
    <row r="7" spans="1:10" ht="39" hidden="1" thickBot="1" x14ac:dyDescent="0.25">
      <c r="A7" s="26" t="s">
        <v>55</v>
      </c>
      <c r="B7" s="27" t="s">
        <v>56</v>
      </c>
      <c r="C7" s="27" t="s">
        <v>55</v>
      </c>
      <c r="D7" s="28" t="s">
        <v>57</v>
      </c>
      <c r="E7" s="28" t="s">
        <v>58</v>
      </c>
      <c r="F7" s="28" t="s">
        <v>59</v>
      </c>
      <c r="G7" s="28" t="s">
        <v>60</v>
      </c>
      <c r="H7" s="29" t="s">
        <v>61</v>
      </c>
      <c r="I7" s="30"/>
    </row>
    <row r="8" spans="1:10" ht="13.5" hidden="1" x14ac:dyDescent="0.25">
      <c r="A8" s="31"/>
      <c r="B8" s="19" t="str">
        <f>IFERROR(VLOOKUP(H8,'[1]Consolidado MP Planta'!$A$2:$M$823,3,0),"")</f>
        <v/>
      </c>
      <c r="C8" s="32">
        <f>+A8</f>
        <v>0</v>
      </c>
      <c r="D8" s="33" t="str">
        <f>IFERROR(VLOOKUP(H8,'[1]Consolidado MP Planta'!$A$2:$M$823,13,0),"")</f>
        <v/>
      </c>
      <c r="E8" s="33" t="str">
        <f>IFERROR(VLOOKUP(H8,'[1]Consolidado MP Planta'!$A$2:$M$823,12,0),"")</f>
        <v/>
      </c>
      <c r="F8" s="33" t="str">
        <f>IFERROR(C8*E8,"")</f>
        <v/>
      </c>
      <c r="G8" s="34" t="str">
        <f t="shared" ref="G8:G14" si="0">IFERROR(F8/$F$66,"")</f>
        <v/>
      </c>
      <c r="H8" s="35"/>
      <c r="I8" s="35"/>
      <c r="J8" s="36"/>
    </row>
    <row r="9" spans="1:10" ht="13.5" hidden="1" x14ac:dyDescent="0.25">
      <c r="A9" s="31"/>
      <c r="B9" s="19" t="str">
        <f>IFERROR(VLOOKUP(H9,'[1]Consolidado MP Planta'!$A$2:$M$823,3,0),"")</f>
        <v/>
      </c>
      <c r="C9" s="32">
        <f t="shared" ref="C9:C14" si="1">+A9</f>
        <v>0</v>
      </c>
      <c r="D9" s="33" t="str">
        <f>IFERROR(VLOOKUP(H9,'[1]Consolidado MP Planta'!$A$2:$M$823,13,0),"")</f>
        <v/>
      </c>
      <c r="E9" s="33" t="str">
        <f>IFERROR(VLOOKUP(H9,'[1]Consolidado MP Planta'!$A$2:$M$823,12,0),"")</f>
        <v/>
      </c>
      <c r="F9" s="33" t="str">
        <f t="shared" ref="F9:F14" si="2">IFERROR(C9*E9,"")</f>
        <v/>
      </c>
      <c r="G9" s="34" t="str">
        <f t="shared" si="0"/>
        <v/>
      </c>
      <c r="H9" s="35"/>
      <c r="I9" s="35"/>
      <c r="J9" s="36"/>
    </row>
    <row r="10" spans="1:10" ht="13.5" hidden="1" x14ac:dyDescent="0.25">
      <c r="A10" s="31"/>
      <c r="B10" s="19" t="str">
        <f>IFERROR(VLOOKUP(H10,'[1]Consolidado MP Planta'!$A$2:$M$823,3,0),"")</f>
        <v/>
      </c>
      <c r="C10" s="32">
        <f t="shared" si="1"/>
        <v>0</v>
      </c>
      <c r="D10" s="33" t="str">
        <f>IFERROR(VLOOKUP(H10,'[1]Consolidado MP Planta'!$A$2:$M$823,13,0),"")</f>
        <v/>
      </c>
      <c r="E10" s="33" t="str">
        <f>IFERROR(VLOOKUP(H10,'[1]Consolidado MP Planta'!$A$2:$M$823,12,0),"")</f>
        <v/>
      </c>
      <c r="F10" s="33" t="str">
        <f t="shared" si="2"/>
        <v/>
      </c>
      <c r="G10" s="34" t="str">
        <f t="shared" si="0"/>
        <v/>
      </c>
      <c r="H10" s="35"/>
      <c r="I10" s="35"/>
      <c r="J10" s="36"/>
    </row>
    <row r="11" spans="1:10" ht="13.5" hidden="1" x14ac:dyDescent="0.25">
      <c r="A11" s="31"/>
      <c r="B11" s="19" t="str">
        <f>IFERROR(VLOOKUP(H11,'[1]Consolidado MP Planta'!$A$2:$M$823,3,0),"")</f>
        <v/>
      </c>
      <c r="C11" s="32">
        <f t="shared" si="1"/>
        <v>0</v>
      </c>
      <c r="D11" s="33" t="str">
        <f>IFERROR(VLOOKUP(H11,'[1]Consolidado MP Planta'!$A$2:$M$823,13,0),"")</f>
        <v/>
      </c>
      <c r="E11" s="33" t="str">
        <f>IFERROR(VLOOKUP(H11,'[1]Consolidado MP Planta'!$A$2:$M$823,12,0),"")</f>
        <v/>
      </c>
      <c r="F11" s="33" t="str">
        <f t="shared" si="2"/>
        <v/>
      </c>
      <c r="G11" s="34" t="str">
        <f t="shared" si="0"/>
        <v/>
      </c>
      <c r="H11" s="35"/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hidden="1" thickBot="1" x14ac:dyDescent="0.3">
      <c r="A15" s="31"/>
      <c r="B15" s="19" t="str">
        <f>IFERROR(VLOOKUP(H15,'[2]Consolidado MP Planta'!$A$2:$G$589,2,0),"")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39" thickBot="1" x14ac:dyDescent="0.25">
      <c r="A16" s="26" t="s">
        <v>55</v>
      </c>
      <c r="B16" s="27" t="s">
        <v>62</v>
      </c>
      <c r="C16" s="27" t="s">
        <v>55</v>
      </c>
      <c r="D16" s="28" t="s">
        <v>57</v>
      </c>
      <c r="E16" s="28" t="s">
        <v>58</v>
      </c>
      <c r="F16" s="28" t="s">
        <v>59</v>
      </c>
      <c r="G16" s="28" t="s">
        <v>60</v>
      </c>
      <c r="H16" s="29" t="s">
        <v>61</v>
      </c>
      <c r="I16" s="30"/>
      <c r="J16" s="36"/>
    </row>
    <row r="17" spans="1:12" ht="13.5" x14ac:dyDescent="0.25">
      <c r="A17" s="31">
        <v>6900</v>
      </c>
      <c r="B17" s="19" t="str">
        <f>IFERROR(VLOOKUP(H17,[1]SEMIELABORADOS!$A$2:$M$6000,2,0),"")</f>
        <v>COCCION PAPA P/TAMAL (KILO)</v>
      </c>
      <c r="C17" s="32">
        <f>+A17</f>
        <v>6900</v>
      </c>
      <c r="D17" s="32" t="str">
        <f>IFERROR(VLOOKUP(H17,[1]SEMIELABORADOS!$A$2:$M$6000,6,0),"")</f>
        <v>Gramo</v>
      </c>
      <c r="E17" s="33">
        <v>1.9410869565217392</v>
      </c>
      <c r="F17" s="33">
        <f>IFERROR(E17*C17,"")</f>
        <v>13393.5</v>
      </c>
      <c r="G17" s="34">
        <f t="shared" ref="G17:G24" si="3">IFERROR(F17/$F$66,"")</f>
        <v>0.95827339258963851</v>
      </c>
      <c r="H17" s="35" t="s">
        <v>48</v>
      </c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39" thickBot="1" x14ac:dyDescent="0.25">
      <c r="A26" s="26" t="s">
        <v>55</v>
      </c>
      <c r="B26" s="27" t="s">
        <v>41</v>
      </c>
      <c r="C26" s="27" t="s">
        <v>55</v>
      </c>
      <c r="D26" s="28" t="s">
        <v>57</v>
      </c>
      <c r="E26" s="28" t="s">
        <v>58</v>
      </c>
      <c r="F26" s="28" t="s">
        <v>59</v>
      </c>
      <c r="G26" s="28" t="s">
        <v>60</v>
      </c>
      <c r="H26" s="29" t="s">
        <v>61</v>
      </c>
      <c r="I26" s="30"/>
    </row>
    <row r="27" spans="1:12" ht="13.5" x14ac:dyDescent="0.25">
      <c r="A27" s="31">
        <v>1</v>
      </c>
      <c r="B27" s="37" t="str">
        <f>IFERROR(VLOOKUP(H27,'[1]Consolidado MP Planta'!$A$2:$M$823,3,0),"")</f>
        <v>BOLSA 17x25 TRANSP KILO</v>
      </c>
      <c r="C27" s="32">
        <f t="shared" ref="C27:C32" si="6">+A27</f>
        <v>1</v>
      </c>
      <c r="D27" s="33" t="str">
        <f>IFERROR(VLOOKUP(H27,'[1]Consolidado MP Planta'!$A$2:$M$823,13,0),"")</f>
        <v>Und</v>
      </c>
      <c r="E27" s="33">
        <f>IFERROR(VLOOKUP(H27,'[1]Consolidado MP Planta'!$A$2:$M$823,12,0),"")</f>
        <v>35.714285714285715</v>
      </c>
      <c r="F27" s="33">
        <f t="shared" ref="F27:F32" si="7">IFERROR(C27*E27,"")</f>
        <v>35.714285714285715</v>
      </c>
      <c r="G27" s="34">
        <f t="shared" ref="G27:G32" si="8">IFERROR(F27/$F$66,"")</f>
        <v>2.5552730604654671E-3</v>
      </c>
      <c r="H27" s="38" t="s">
        <v>42</v>
      </c>
      <c r="I27" s="38"/>
      <c r="J27" s="36"/>
      <c r="K27" s="158"/>
      <c r="L27" s="158"/>
    </row>
    <row r="28" spans="1:12" ht="13.5" x14ac:dyDescent="0.25">
      <c r="A28" s="31">
        <v>1</v>
      </c>
      <c r="B28" s="37" t="s">
        <v>22</v>
      </c>
      <c r="C28" s="32">
        <f t="shared" si="6"/>
        <v>1</v>
      </c>
      <c r="D28" s="33" t="s">
        <v>97</v>
      </c>
      <c r="E28" s="33">
        <v>0.18</v>
      </c>
      <c r="F28" s="33">
        <f t="shared" si="7"/>
        <v>0.18</v>
      </c>
      <c r="G28" s="34">
        <f t="shared" si="8"/>
        <v>1.2878576224745954E-5</v>
      </c>
      <c r="H28" s="38" t="s">
        <v>23</v>
      </c>
      <c r="I28" s="38"/>
      <c r="J28" s="36"/>
      <c r="K28" s="158"/>
      <c r="L28" s="158"/>
    </row>
    <row r="29" spans="1:12" ht="13.5" x14ac:dyDescent="0.25">
      <c r="A29" s="31">
        <v>1</v>
      </c>
      <c r="B29" s="37" t="str">
        <f>IFERROR(VLOOKUP(H29,'[1]Consolidado MP Planta'!$A$2:$M$823,3,0),"")</f>
        <v>ETIQUETA BLANCA 2 5/8X1 15/16 (UND)</v>
      </c>
      <c r="C29" s="32">
        <f t="shared" si="6"/>
        <v>1</v>
      </c>
      <c r="D29" s="33" t="str">
        <f>IFERROR(VLOOKUP(H29,'[1]Consolidado MP Planta'!$A$2:$M$823,13,0),"")</f>
        <v>Und</v>
      </c>
      <c r="E29" s="33">
        <f>IFERROR(VLOOKUP(H29,'[1]Consolidado MP Planta'!$A$2:$M$823,12,0),"")</f>
        <v>2.1280000000000001</v>
      </c>
      <c r="F29" s="33">
        <f t="shared" si="7"/>
        <v>2.1280000000000001</v>
      </c>
      <c r="G29" s="34">
        <f t="shared" si="8"/>
        <v>1.522533900347744E-4</v>
      </c>
      <c r="H29" s="38" t="s">
        <v>38</v>
      </c>
      <c r="I29" s="38"/>
      <c r="J29" s="36"/>
      <c r="K29" s="158"/>
      <c r="L29" s="158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158"/>
      <c r="L30" s="158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39" thickBot="1" x14ac:dyDescent="0.25">
      <c r="A34" s="26" t="s">
        <v>55</v>
      </c>
      <c r="B34" s="27" t="s">
        <v>63</v>
      </c>
      <c r="C34" s="27" t="s">
        <v>55</v>
      </c>
      <c r="D34" s="28" t="s">
        <v>57</v>
      </c>
      <c r="E34" s="28" t="s">
        <v>58</v>
      </c>
      <c r="F34" s="28" t="s">
        <v>59</v>
      </c>
      <c r="G34" s="28" t="s">
        <v>60</v>
      </c>
      <c r="H34" s="29" t="s">
        <v>61</v>
      </c>
      <c r="I34" s="38"/>
      <c r="J34" s="36"/>
    </row>
    <row r="35" spans="1:13" ht="13.5" x14ac:dyDescent="0.25">
      <c r="A35" s="31">
        <f>+A17</f>
        <v>6900</v>
      </c>
      <c r="B35" s="37" t="str">
        <f>IFERROR(VLOOKUP(H35,[1]SEMIELABORADOS!$A$2:$M$6000,2,0),"")</f>
        <v>COCCION PAPA P/TAMAL (KILO)</v>
      </c>
      <c r="C35" s="32">
        <f>+A35</f>
        <v>6900</v>
      </c>
      <c r="D35" s="33" t="str">
        <f>IFERROR(VLOOKUP(H35,[1]SEMIELABORADOS!$A$2:$M$6000,6,0),"")</f>
        <v>Gramo</v>
      </c>
      <c r="E35" s="33">
        <v>3.3449275362318847E-4</v>
      </c>
      <c r="F35" s="33">
        <f>IFERROR(E35*C35,"")</f>
        <v>2.3080000000000003</v>
      </c>
      <c r="G35" s="34">
        <f t="shared" ref="G35:G41" si="9">IFERROR(F35/$F$66,"")</f>
        <v>1.6513196625952037E-4</v>
      </c>
      <c r="H35" s="38" t="s">
        <v>48</v>
      </c>
      <c r="I35" s="38"/>
      <c r="J35" s="36"/>
    </row>
    <row r="36" spans="1:13" ht="13.5" hidden="1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hidden="1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hidden="1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39" thickBot="1" x14ac:dyDescent="0.25">
      <c r="A43" s="26" t="s">
        <v>55</v>
      </c>
      <c r="B43" s="27" t="s">
        <v>64</v>
      </c>
      <c r="C43" s="27" t="s">
        <v>55</v>
      </c>
      <c r="D43" s="28" t="s">
        <v>57</v>
      </c>
      <c r="E43" s="28" t="s">
        <v>58</v>
      </c>
      <c r="F43" s="28" t="s">
        <v>59</v>
      </c>
      <c r="G43" s="28" t="s">
        <v>60</v>
      </c>
      <c r="H43" s="29" t="s">
        <v>61</v>
      </c>
      <c r="I43" s="30"/>
      <c r="J43" s="36"/>
    </row>
    <row r="44" spans="1:13" ht="13.5" x14ac:dyDescent="0.25">
      <c r="A44" s="31">
        <f>+A35</f>
        <v>6900</v>
      </c>
      <c r="B44" s="37" t="str">
        <f>IFERROR(VLOOKUP(H44,[1]SEMIELABORADOS!$A$2:$M$6000,2,0),"")</f>
        <v>COCCION PAPA P/TAMAL (KILO)</v>
      </c>
      <c r="C44" s="32">
        <f>+A44</f>
        <v>6900</v>
      </c>
      <c r="D44" s="33" t="str">
        <f>IFERROR(VLOOKUP(H44,[1]SEMIELABORADOS!$A$2:$M$6000,6,0),"")</f>
        <v>Gramo</v>
      </c>
      <c r="E44" s="33">
        <v>3.9855072463768113E-2</v>
      </c>
      <c r="F44" s="33">
        <f>IFERROR(E44*C44,"")</f>
        <v>275</v>
      </c>
      <c r="G44" s="34">
        <f>IFERROR(F44/$F$66,"")</f>
        <v>1.9675602565584097E-2</v>
      </c>
      <c r="H44" s="38" t="s">
        <v>48</v>
      </c>
      <c r="I44" s="30"/>
      <c r="J44" s="36"/>
    </row>
    <row r="45" spans="1:13" ht="13.5" hidden="1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hidden="1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65</v>
      </c>
      <c r="C51" s="32">
        <f>+A51</f>
        <v>1</v>
      </c>
      <c r="D51" s="32" t="s">
        <v>66</v>
      </c>
      <c r="E51" s="33">
        <f>+F65</f>
        <v>275</v>
      </c>
      <c r="F51" s="33">
        <f>IFERROR(C51*E51,"")</f>
        <v>275</v>
      </c>
      <c r="G51" s="34">
        <f>IFERROR(F51/$F$66,"")</f>
        <v>1.9675602565584097E-2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25">
      <c r="A53" s="43"/>
      <c r="B53" s="159" t="s">
        <v>67</v>
      </c>
      <c r="C53" s="159"/>
      <c r="D53" s="159"/>
      <c r="E53" s="159"/>
      <c r="F53" s="45">
        <f>SUM(F8:F14,F17:F24)</f>
        <v>13393.5</v>
      </c>
      <c r="G53" s="34">
        <f>+F53/$F$66</f>
        <v>0.95827339258963851</v>
      </c>
      <c r="H53" s="46">
        <f>+F53/$D$60</f>
        <v>13393.5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159" t="s">
        <v>68</v>
      </c>
      <c r="C54" s="159"/>
      <c r="D54" s="159"/>
      <c r="E54" s="159"/>
      <c r="F54" s="45">
        <f>SUM(F27:F32,F35:F41)</f>
        <v>40.330285714285715</v>
      </c>
      <c r="G54" s="34">
        <f>+F54/$F$66</f>
        <v>2.8855369929845077E-3</v>
      </c>
      <c r="H54" s="46">
        <f>+F54/$D$60</f>
        <v>40.330285714285715</v>
      </c>
      <c r="I54" s="46"/>
      <c r="J54" s="50"/>
      <c r="K54" s="160" t="s">
        <v>69</v>
      </c>
      <c r="L54" s="161"/>
      <c r="M54" s="161"/>
      <c r="N54" s="161"/>
      <c r="O54" s="51">
        <f>+F55</f>
        <v>13433.830285714286</v>
      </c>
      <c r="P54" s="51"/>
      <c r="Q54" s="52"/>
    </row>
    <row r="55" spans="1:17" x14ac:dyDescent="0.2">
      <c r="A55" s="43"/>
      <c r="B55" s="159" t="s">
        <v>70</v>
      </c>
      <c r="C55" s="159"/>
      <c r="D55" s="159"/>
      <c r="E55" s="159"/>
      <c r="F55" s="45">
        <f>+F53+F54</f>
        <v>13433.830285714286</v>
      </c>
      <c r="G55" s="34">
        <f>+F55/$F$66</f>
        <v>0.96115892958262306</v>
      </c>
      <c r="H55" s="46">
        <f>+F55/$D$60</f>
        <v>13433.830285714286</v>
      </c>
      <c r="I55" s="46"/>
      <c r="J55" s="53"/>
      <c r="K55" s="54"/>
      <c r="L55" s="55" t="s">
        <v>71</v>
      </c>
      <c r="M55" s="55"/>
      <c r="N55" s="56">
        <v>0.18</v>
      </c>
      <c r="O55" s="51">
        <f>+O54*N55</f>
        <v>2418.0894514285715</v>
      </c>
      <c r="P55" s="51"/>
      <c r="Q55" s="52"/>
    </row>
    <row r="56" spans="1:17" ht="13.5" thickBot="1" x14ac:dyDescent="0.25">
      <c r="A56" s="43"/>
      <c r="B56" s="44"/>
      <c r="C56" s="159" t="s">
        <v>72</v>
      </c>
      <c r="D56" s="159"/>
      <c r="E56" s="159"/>
      <c r="F56" s="45">
        <f>SUM(F44:F51)</f>
        <v>550</v>
      </c>
      <c r="G56" s="34">
        <f>+F56/$F$66</f>
        <v>3.9351205131168195E-2</v>
      </c>
      <c r="H56" s="46">
        <f>+F56/$D$60</f>
        <v>550</v>
      </c>
      <c r="I56" s="46"/>
      <c r="J56" s="53"/>
      <c r="K56" s="54"/>
      <c r="L56" s="54"/>
      <c r="M56" s="54" t="s">
        <v>73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74</v>
      </c>
      <c r="N57" s="63"/>
      <c r="O57" s="64">
        <f>SUM(O54:O56)</f>
        <v>15851.919737142858</v>
      </c>
      <c r="P57" s="65"/>
      <c r="Q57" s="52"/>
    </row>
    <row r="58" spans="1:17" x14ac:dyDescent="0.2">
      <c r="B58" s="152" t="s">
        <v>75</v>
      </c>
      <c r="C58" s="152"/>
      <c r="D58" s="66">
        <v>6900</v>
      </c>
      <c r="E58" s="67"/>
      <c r="G58" s="34"/>
      <c r="H58" s="60"/>
      <c r="I58" s="68"/>
      <c r="J58" s="53"/>
      <c r="K58" s="61"/>
      <c r="L58" s="54"/>
      <c r="M58" s="54" t="s">
        <v>76</v>
      </c>
      <c r="N58" s="69">
        <v>0.15</v>
      </c>
      <c r="O58" s="51">
        <f>+O54*N58</f>
        <v>2015.0745428571429</v>
      </c>
      <c r="P58" s="51"/>
      <c r="Q58" s="52"/>
    </row>
    <row r="59" spans="1:17" x14ac:dyDescent="0.2">
      <c r="B59" s="152" t="s">
        <v>77</v>
      </c>
      <c r="C59" s="152"/>
      <c r="D59" s="70">
        <v>6900</v>
      </c>
      <c r="E59" s="67"/>
      <c r="G59" s="34"/>
      <c r="H59" s="60"/>
      <c r="I59" s="68"/>
      <c r="J59" s="53"/>
      <c r="K59" s="61"/>
      <c r="L59" s="54"/>
      <c r="M59" s="153" t="s">
        <v>74</v>
      </c>
      <c r="N59" s="153"/>
      <c r="O59" s="51">
        <f>SUM(O57:O58)</f>
        <v>17866.994280000003</v>
      </c>
      <c r="P59" s="51"/>
      <c r="Q59" s="52"/>
    </row>
    <row r="60" spans="1:17" ht="13.5" thickBot="1" x14ac:dyDescent="0.25">
      <c r="B60" s="154" t="s">
        <v>78</v>
      </c>
      <c r="C60" s="154"/>
      <c r="D60" s="66">
        <f>+D58/D59</f>
        <v>1</v>
      </c>
      <c r="E60" s="67"/>
      <c r="F60" s="71"/>
      <c r="G60" s="34"/>
      <c r="H60" s="60"/>
      <c r="I60" s="68"/>
      <c r="J60" s="53"/>
      <c r="K60" s="61"/>
      <c r="L60" s="153"/>
      <c r="M60" s="153"/>
      <c r="N60" s="69"/>
      <c r="O60" s="51">
        <f>+O59*N60</f>
        <v>0</v>
      </c>
      <c r="P60" s="51"/>
      <c r="Q60" s="52"/>
    </row>
    <row r="61" spans="1:17" ht="13.5" thickBot="1" x14ac:dyDescent="0.25">
      <c r="B61" s="154" t="s">
        <v>79</v>
      </c>
      <c r="C61" s="154"/>
      <c r="D61" s="72"/>
      <c r="E61" s="67"/>
      <c r="F61" s="71"/>
      <c r="G61" s="34"/>
      <c r="H61" s="60"/>
      <c r="I61" s="68"/>
      <c r="J61" s="53"/>
      <c r="K61" s="155" t="s">
        <v>80</v>
      </c>
      <c r="L61" s="156"/>
      <c r="M61" s="156"/>
      <c r="N61" s="157"/>
      <c r="O61" s="64">
        <f>SUM(O59:O60)</f>
        <v>17866.994280000003</v>
      </c>
      <c r="P61" s="73" t="s">
        <v>81</v>
      </c>
      <c r="Q61" s="52"/>
    </row>
    <row r="62" spans="1:17" ht="13.5" thickBot="1" x14ac:dyDescent="0.25">
      <c r="C62" s="43" t="s">
        <v>82</v>
      </c>
      <c r="D62" s="74"/>
      <c r="E62" s="17" t="s">
        <v>83</v>
      </c>
      <c r="F62" s="75" t="s">
        <v>84</v>
      </c>
      <c r="G62" s="34"/>
      <c r="H62" s="60"/>
      <c r="I62" s="68"/>
      <c r="J62" s="76"/>
      <c r="K62" s="77"/>
      <c r="L62" s="141" t="s">
        <v>85</v>
      </c>
      <c r="M62" s="141"/>
      <c r="N62" s="141"/>
      <c r="O62" s="78">
        <f>+O61/D60</f>
        <v>17866.994280000003</v>
      </c>
      <c r="P62" s="79">
        <f>+O62/D59</f>
        <v>2.5894194608695655</v>
      </c>
      <c r="Q62" s="80"/>
    </row>
    <row r="63" spans="1:17" ht="13.5" thickBot="1" x14ac:dyDescent="0.25">
      <c r="B63" s="142" t="s">
        <v>70</v>
      </c>
      <c r="C63" s="142"/>
      <c r="D63" s="142"/>
      <c r="E63" s="81">
        <f>+F63/F63</f>
        <v>1</v>
      </c>
      <c r="F63" s="82">
        <f>SUM(F55)</f>
        <v>13433.830285714286</v>
      </c>
      <c r="G63" s="34">
        <f>+F63/$F$66</f>
        <v>0.96115892958262306</v>
      </c>
      <c r="H63" s="60"/>
      <c r="I63" s="68"/>
      <c r="K63" s="143"/>
      <c r="L63" s="144"/>
      <c r="M63" s="144"/>
      <c r="N63" s="144"/>
      <c r="O63" s="83"/>
      <c r="P63" s="84"/>
    </row>
    <row r="64" spans="1:17" ht="13.5" thickBot="1" x14ac:dyDescent="0.25">
      <c r="B64" s="145" t="s">
        <v>86</v>
      </c>
      <c r="C64" s="145"/>
      <c r="D64" s="145"/>
      <c r="E64" s="85">
        <v>0.02</v>
      </c>
      <c r="F64" s="82">
        <f>+F53*E64</f>
        <v>267.87</v>
      </c>
      <c r="G64" s="34">
        <f>+F64/$F$66</f>
        <v>1.916546785179277E-2</v>
      </c>
      <c r="H64" s="46"/>
      <c r="I64" s="68"/>
      <c r="J64" s="86"/>
      <c r="O64" s="87"/>
      <c r="P64" s="44"/>
    </row>
    <row r="65" spans="2:10" ht="13.5" thickBot="1" x14ac:dyDescent="0.25">
      <c r="B65" s="146" t="s">
        <v>87</v>
      </c>
      <c r="C65" s="147"/>
      <c r="D65" s="88">
        <v>5</v>
      </c>
      <c r="E65" s="89">
        <v>55</v>
      </c>
      <c r="F65" s="82">
        <f>+E65*D65</f>
        <v>275</v>
      </c>
      <c r="G65" s="34">
        <f>+F65/$F$66</f>
        <v>1.9675602565584097E-2</v>
      </c>
      <c r="H65" s="46"/>
      <c r="I65" s="46"/>
      <c r="J65" s="36"/>
    </row>
    <row r="66" spans="2:10" ht="13.5" thickBot="1" x14ac:dyDescent="0.25">
      <c r="B66" s="148" t="s">
        <v>88</v>
      </c>
      <c r="C66" s="149"/>
      <c r="D66" s="149"/>
      <c r="E66" s="150"/>
      <c r="F66" s="59">
        <f>SUM(F63:F65)</f>
        <v>13976.700285714287</v>
      </c>
      <c r="G66" s="34">
        <f>+F66/$F$66</f>
        <v>1</v>
      </c>
      <c r="H66" s="151"/>
      <c r="I66" s="46"/>
      <c r="J66" s="36"/>
    </row>
    <row r="67" spans="2:10" x14ac:dyDescent="0.2">
      <c r="C67" s="41"/>
      <c r="D67" s="41"/>
      <c r="E67" s="91"/>
      <c r="F67" s="82"/>
      <c r="G67" s="34"/>
      <c r="H67" s="151"/>
      <c r="I67" s="90"/>
      <c r="J67" s="19"/>
    </row>
    <row r="68" spans="2:10" ht="13.5" thickBot="1" x14ac:dyDescent="0.25">
      <c r="B68" s="136" t="s">
        <v>89</v>
      </c>
      <c r="C68" s="136"/>
      <c r="D68" s="136"/>
      <c r="E68" s="136"/>
      <c r="F68" s="136"/>
      <c r="G68" s="34"/>
      <c r="H68" s="93"/>
      <c r="I68" s="90"/>
      <c r="J68" s="19"/>
    </row>
    <row r="69" spans="2:10" ht="13.5" thickBot="1" x14ac:dyDescent="0.25">
      <c r="B69" s="94" t="s">
        <v>90</v>
      </c>
      <c r="C69" s="95">
        <f>+F53</f>
        <v>13393.5</v>
      </c>
      <c r="D69" s="95">
        <f>+D58</f>
        <v>6900</v>
      </c>
      <c r="E69" s="96">
        <f>+C69/D69</f>
        <v>1.9410869565217392</v>
      </c>
      <c r="F69" s="34"/>
      <c r="G69" s="93"/>
      <c r="H69" s="36"/>
      <c r="I69" s="93"/>
      <c r="J69" s="19"/>
    </row>
    <row r="70" spans="2:10" x14ac:dyDescent="0.2">
      <c r="B70" s="97"/>
      <c r="C70" s="98"/>
      <c r="D70" s="99"/>
      <c r="E70" s="82"/>
      <c r="F70" s="34"/>
      <c r="G70" s="93"/>
      <c r="H70" s="36"/>
      <c r="I70" s="36"/>
      <c r="J70" s="19"/>
    </row>
    <row r="71" spans="2:10" x14ac:dyDescent="0.2">
      <c r="B71" s="94" t="s">
        <v>91</v>
      </c>
      <c r="C71" s="95">
        <f>SUM(F63:F64)</f>
        <v>13701.700285714287</v>
      </c>
      <c r="D71" s="95">
        <f>+D58</f>
        <v>6900</v>
      </c>
      <c r="E71" s="100">
        <f>+C71/D71</f>
        <v>1.9857536645962734</v>
      </c>
      <c r="F71" s="34"/>
      <c r="G71" s="93"/>
      <c r="H71" s="36"/>
      <c r="I71" s="36"/>
      <c r="J71" s="19"/>
    </row>
    <row r="72" spans="2:10" x14ac:dyDescent="0.2">
      <c r="B72" s="94"/>
      <c r="C72" s="95"/>
      <c r="D72" s="95"/>
      <c r="E72" s="100"/>
      <c r="F72" s="34"/>
      <c r="G72" s="93"/>
      <c r="H72" s="36"/>
      <c r="I72" s="36"/>
      <c r="J72" s="19"/>
    </row>
    <row r="73" spans="2:10" ht="13.5" thickBot="1" x14ac:dyDescent="0.25">
      <c r="B73" s="94" t="s">
        <v>92</v>
      </c>
      <c r="C73" s="95">
        <f>+F65</f>
        <v>275</v>
      </c>
      <c r="D73" s="95">
        <f>+D58</f>
        <v>6900</v>
      </c>
      <c r="E73" s="100">
        <f>+C73/D73</f>
        <v>3.9855072463768113E-2</v>
      </c>
      <c r="F73" s="34"/>
      <c r="G73" s="93"/>
      <c r="H73" s="36"/>
      <c r="I73" s="36"/>
      <c r="J73" s="19"/>
    </row>
    <row r="74" spans="2:10" ht="13.5" thickBot="1" x14ac:dyDescent="0.25">
      <c r="B74" s="94" t="s">
        <v>93</v>
      </c>
      <c r="C74" s="95">
        <f>+F56</f>
        <v>550</v>
      </c>
      <c r="D74" s="95">
        <f>+D73</f>
        <v>6900</v>
      </c>
      <c r="E74" s="96">
        <f>+C74/D74</f>
        <v>7.9710144927536225E-2</v>
      </c>
      <c r="F74" s="34"/>
      <c r="G74" s="93"/>
      <c r="H74" s="36"/>
      <c r="I74" s="36"/>
      <c r="J74" s="19"/>
    </row>
    <row r="75" spans="2:10" ht="13.5" thickBot="1" x14ac:dyDescent="0.25">
      <c r="B75" s="58"/>
      <c r="C75" s="59"/>
      <c r="D75" s="59"/>
      <c r="E75" s="100"/>
      <c r="F75" s="34"/>
      <c r="G75" s="93"/>
      <c r="H75" s="36"/>
      <c r="I75" s="36"/>
      <c r="J75" s="19"/>
    </row>
    <row r="76" spans="2:10" ht="13.5" thickBot="1" x14ac:dyDescent="0.25">
      <c r="B76" s="94" t="s">
        <v>94</v>
      </c>
      <c r="C76" s="95">
        <f>+F54</f>
        <v>40.330285714285715</v>
      </c>
      <c r="D76" s="95">
        <f>+D74</f>
        <v>6900</v>
      </c>
      <c r="E76" s="96">
        <f>+C76/D76</f>
        <v>5.8449689440993793E-3</v>
      </c>
      <c r="F76" s="34"/>
      <c r="G76" s="93"/>
      <c r="H76" s="36"/>
      <c r="I76" s="36"/>
      <c r="J76" s="36"/>
    </row>
    <row r="77" spans="2:10" ht="13.5" thickBot="1" x14ac:dyDescent="0.25">
      <c r="B77" s="58"/>
      <c r="C77" s="59"/>
      <c r="D77" s="59"/>
      <c r="E77" s="100"/>
      <c r="F77" s="34"/>
      <c r="G77" s="93"/>
      <c r="H77" s="36"/>
      <c r="I77" s="36"/>
    </row>
    <row r="78" spans="2:10" ht="13.5" thickBot="1" x14ac:dyDescent="0.25">
      <c r="B78" s="137" t="s">
        <v>95</v>
      </c>
      <c r="C78" s="138"/>
      <c r="D78" s="139"/>
      <c r="E78" s="96">
        <f>+E69+E74</f>
        <v>2.0207971014492756</v>
      </c>
      <c r="G78" s="34"/>
      <c r="H78" s="93"/>
      <c r="I78" s="36"/>
      <c r="J78" s="100"/>
    </row>
    <row r="79" spans="2:10" x14ac:dyDescent="0.2">
      <c r="I79" s="93"/>
      <c r="J79" s="19"/>
    </row>
    <row r="80" spans="2:10" ht="13.5" thickBot="1" x14ac:dyDescent="0.25">
      <c r="B80" s="136" t="s">
        <v>96</v>
      </c>
      <c r="C80" s="136"/>
      <c r="D80" s="136"/>
      <c r="E80" s="136"/>
      <c r="F80" s="136"/>
      <c r="G80" s="34"/>
      <c r="H80" s="93"/>
      <c r="J80" s="19"/>
    </row>
    <row r="81" spans="1:10" ht="13.5" thickBot="1" x14ac:dyDescent="0.25">
      <c r="B81" s="94" t="s">
        <v>90</v>
      </c>
      <c r="C81" s="95">
        <f>+C69</f>
        <v>13393.5</v>
      </c>
      <c r="D81" s="95">
        <f>+D60</f>
        <v>1</v>
      </c>
      <c r="E81" s="96">
        <f>+C81/D81</f>
        <v>13393.5</v>
      </c>
      <c r="F81" s="34"/>
      <c r="G81" s="93"/>
      <c r="H81" s="36"/>
      <c r="I81" s="93"/>
      <c r="J81" s="19"/>
    </row>
    <row r="82" spans="1:10" x14ac:dyDescent="0.2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">
      <c r="B83" s="94" t="s">
        <v>91</v>
      </c>
      <c r="C83" s="95">
        <f>+C71</f>
        <v>13701.700285714287</v>
      </c>
      <c r="D83" s="95">
        <f>+D60</f>
        <v>1</v>
      </c>
      <c r="E83" s="100">
        <f>+C83/D83</f>
        <v>13701.700285714287</v>
      </c>
      <c r="F83" s="34"/>
      <c r="G83" s="93"/>
      <c r="H83" s="36"/>
      <c r="I83" s="36"/>
      <c r="J83" s="19"/>
    </row>
    <row r="84" spans="1:10" x14ac:dyDescent="0.2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25">
      <c r="B85" s="94" t="s">
        <v>93</v>
      </c>
      <c r="C85" s="95">
        <f>+C73</f>
        <v>275</v>
      </c>
      <c r="D85" s="95">
        <f>+D60</f>
        <v>1</v>
      </c>
      <c r="E85" s="100">
        <f>+C85/D85</f>
        <v>275</v>
      </c>
      <c r="F85" s="102"/>
      <c r="G85" s="92"/>
      <c r="H85" s="18"/>
      <c r="I85" s="36"/>
    </row>
    <row r="86" spans="1:10" ht="13.5" thickBot="1" x14ac:dyDescent="0.25">
      <c r="B86" s="94" t="s">
        <v>93</v>
      </c>
      <c r="C86" s="95">
        <f>+C74</f>
        <v>550</v>
      </c>
      <c r="D86" s="95">
        <f>+D85</f>
        <v>1</v>
      </c>
      <c r="E86" s="96">
        <f>+C86/D86</f>
        <v>550</v>
      </c>
      <c r="F86" s="101"/>
      <c r="G86" s="92"/>
      <c r="H86" s="18"/>
      <c r="I86" s="18"/>
    </row>
    <row r="87" spans="1:10" x14ac:dyDescent="0.2">
      <c r="I87" s="18"/>
    </row>
    <row r="88" spans="1:10" x14ac:dyDescent="0.2">
      <c r="A88" s="140"/>
      <c r="B88" s="140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0EBC32-3385-475E-A36C-75CE2FF8E52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9E448B6-374D-469C-B8A6-46FA5F184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753A4A-CBD8-4086-A771-EBC31D14C6D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01B333C-98C7-4042-AF56-A5272F2E7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Receta</vt:lpstr>
      <vt:lpstr>Hoja1</vt:lpstr>
      <vt:lpstr>Receta!Área_de_impresión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Allan Brenes</cp:lastModifiedBy>
  <cp:lastPrinted>2025-10-15T17:16:10Z</cp:lastPrinted>
  <dcterms:created xsi:type="dcterms:W3CDTF">2003-03-11T22:35:36Z</dcterms:created>
  <dcterms:modified xsi:type="dcterms:W3CDTF">2025-10-15T17:16:47Z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275000.000000000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</Properties>
</file>
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71920F60-6C29-4D29-A076-C2FA7FBF2F88}" xr6:coauthVersionLast="47" xr6:coauthVersionMax="47" xr10:uidLastSave="{B781B4A5-1F8E-49B1-B9BD-6E870AE9CC4E}"/>
  <bookViews>
    <workbookView xWindow="-120" yWindow="-120" windowWidth="20730" windowHeight="11040" xr2:uid="{EB665BDA-6398-4047-9B72-D833BC382AA7}"/>
  </bookViews>
  <sheets>
    <sheet name="Hoja1" sheetId="12" r:id="rId1"/>
  </sheets>
  <definedNames>
    <definedName name="_xlnm.Print_Area" localSheetId="0">Hoja1!$A$1:$I$43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2" l="1"/>
  <c r="D33" i="12"/>
</calcChain>
</file>

<file path=xl/sharedStrings.xml><?xml version="1.0" encoding="utf-8"?>
<sst xmlns="http://schemas.openxmlformats.org/spreadsheetml/2006/main" count="95" uniqueCount="79">
  <si>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</si>
  <si>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</si>
  <si>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</si>
  <si>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</si>
  <si>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</si>
  <si>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</si>
  <si>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</si>
  <si>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</si>
  <si>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</si>
  <si>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</si>
  <si>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</si>
  <si>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</si>
  <si>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</si>
  <si>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</si>
  <si>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</si>
  <si>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</si>
  <si>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</si>
  <si>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</si>
  <si>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Empaque</t>
  </si>
  <si>
    <t>Unidad</t>
  </si>
  <si>
    <t>ETIQ.BLANCA 1 1/4 * 3/4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</si>
  <si>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</si>
  <si>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</si>
  <si>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</si>
  <si>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</si>
  <si>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</si>
  <si>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</si>
  <si>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</si>
  <si>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</si>
  <si>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</si>
  <si>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</si>
  <si>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en el empaque transparente. Colocar la mezcla de cuatro leches, decorar con colocho de crema con boquilla 2C.</t>
  </si>
  <si>
    <t>2.-Hacer un colocho de manjar suave en el centro con boquilla 2C</t>
  </si>
  <si>
    <t>Javier Tong, Chef</t>
  </si>
  <si>
    <t>3.- Tapar. Etiquetar con nombre y fecha de vencimiento y etiqueta.</t>
  </si>
  <si>
    <t>ud</t>
  </si>
  <si>
    <t>min</t>
  </si>
  <si>
    <t>caja</t>
  </si>
  <si>
    <t>1952445</t>
  </si>
  <si>
    <t>CAJA SIX PACK MUSMANNI (UND)</t>
  </si>
  <si>
    <t>4- Empacar 6 unidades en la caja sixpack con etiqueta con nombre y vencimiento.</t>
  </si>
  <si>
    <t>MP10007</t>
  </si>
  <si>
    <t>EM10066</t>
  </si>
  <si>
    <t>SE00304</t>
  </si>
  <si>
    <t xml:space="preserve">MANJAR DE LECHE CONDENSADA </t>
  </si>
  <si>
    <t>95717</t>
  </si>
  <si>
    <t>SE00010</t>
  </si>
  <si>
    <t>EM10002</t>
  </si>
  <si>
    <t>702174</t>
  </si>
  <si>
    <t>EM10135</t>
  </si>
  <si>
    <t>Esteban Cartin, Gte Manufactura</t>
  </si>
  <si>
    <t>AREA QUE PRODUCE:</t>
  </si>
  <si>
    <t>Postres</t>
  </si>
  <si>
    <t xml:space="preserve">AREA QUE EMPACA: </t>
  </si>
  <si>
    <t># Código Netsuite</t>
  </si>
  <si>
    <t xml:space="preserve">MEZCLA P/CUATRO LECHES </t>
  </si>
  <si>
    <t>FAS</t>
  </si>
  <si>
    <t>NESTLE</t>
  </si>
  <si>
    <t>CREMA CHANTILLY BLANCA (SPOON-IND)</t>
  </si>
  <si>
    <t>Decoración</t>
  </si>
  <si>
    <t>ETIPLAST</t>
  </si>
  <si>
    <t>SELLO DE SEGURIDAD</t>
  </si>
  <si>
    <t>CONTROL DE CAMBIOS</t>
  </si>
  <si>
    <t>ESP-RE-POF-016</t>
  </si>
  <si>
    <t>EM10128</t>
  </si>
  <si>
    <t>Etiqueta Logo Musmanni</t>
  </si>
  <si>
    <t>EM10011</t>
  </si>
  <si>
    <t>Etiqueta Blanca 2 5/8X1 15/16</t>
  </si>
  <si>
    <t>EM10073</t>
  </si>
  <si>
    <t>Combo Pack Doble Uso 8 Onz</t>
  </si>
  <si>
    <t xml:space="preserve">2, Se agrega etiqueta de ingredientes, se cambia etiqueta logo bucca por logo musmanni, se cambia vaso y tapa por compo pack 6 unidades y se actualizan pesos finales. </t>
  </si>
  <si>
    <t>130g x ud</t>
  </si>
  <si>
    <t>20g x ud</t>
  </si>
  <si>
    <t>1/2 TAZA</t>
  </si>
  <si>
    <t>BOQUILLA #842</t>
  </si>
  <si>
    <t xml:space="preserve">3, Se actualiza datos de receta </t>
  </si>
  <si>
    <t>BOQUILLA #852</t>
  </si>
  <si>
    <t>03</t>
  </si>
  <si>
    <t>Cuatro Leches Caramelo Musmanni caja 6 85223(PTI00127)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</si>
</sst>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3" fillId="0" borderId="0"/>
  </cellStyleXfs>
  <cellXfs count="153">
    <xf numFmtId="0" fontId="0" fillId="0" borderId="0" xfId="0"/>
    <xf numFmtId="0" fontId="2" fillId="2" borderId="1" xfId="2" applyFont="1" applyFill="1" applyBorder="1" applyAlignment="1">
      <alignment horizontal="right"/>
    </xf>
    <xf numFmtId="0" fontId="6" fillId="2" borderId="38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right"/>
    </xf>
    <xf numFmtId="49" fontId="6" fillId="2" borderId="40" xfId="2" applyNumberFormat="1" applyFont="1" applyFill="1" applyBorder="1" applyAlignment="1">
      <alignment horizontal="center"/>
    </xf>
    <xf numFmtId="0" fontId="6" fillId="2" borderId="3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right"/>
    </xf>
    <xf numFmtId="0" fontId="2" fillId="3" borderId="38" xfId="4" applyFont="1" applyFill="1" applyBorder="1" applyAlignment="1">
      <alignment horizontal="center" vertical="center" wrapText="1"/>
    </xf>
    <xf numFmtId="1" fontId="2" fillId="3" borderId="27" xfId="4" applyNumberFormat="1" applyFont="1" applyFill="1" applyBorder="1" applyAlignment="1">
      <alignment horizontal="center"/>
    </xf>
    <xf numFmtId="1" fontId="2" fillId="3" borderId="27" xfId="4" applyNumberFormat="1" applyFont="1" applyFill="1" applyBorder="1" applyAlignment="1">
      <alignment horizontal="center" wrapText="1"/>
    </xf>
    <xf numFmtId="0" fontId="2" fillId="3" borderId="42" xfId="4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4" fillId="2" borderId="0" xfId="3" applyFont="1" applyFill="1"/>
    <xf numFmtId="0" fontId="2" fillId="3" borderId="14" xfId="4" applyFont="1" applyFill="1" applyBorder="1" applyAlignment="1">
      <alignment horizontal="center" vertical="center"/>
    </xf>
    <xf numFmtId="0" fontId="2" fillId="3" borderId="25" xfId="4" applyFont="1" applyFill="1" applyBorder="1" applyAlignment="1">
      <alignment horizontal="center" vertical="center"/>
    </xf>
    <xf numFmtId="0" fontId="2" fillId="3" borderId="14" xfId="4" applyFont="1" applyFill="1" applyBorder="1" applyAlignment="1">
      <alignment horizontal="center" vertical="center" wrapText="1"/>
    </xf>
    <xf numFmtId="0" fontId="2" fillId="3" borderId="25" xfId="4" applyFont="1" applyFill="1" applyBorder="1" applyAlignment="1">
      <alignment horizontal="center" vertical="center" wrapText="1"/>
    </xf>
    <xf numFmtId="0" fontId="2" fillId="3" borderId="1" xfId="4" applyFont="1" applyFill="1" applyBorder="1" applyAlignment="1">
      <alignment horizontal="center" vertical="center"/>
    </xf>
    <xf numFmtId="0" fontId="2" fillId="3" borderId="27" xfId="4" applyFont="1" applyFill="1" applyBorder="1" applyAlignment="1">
      <alignment horizontal="center" vertical="center"/>
    </xf>
    <xf numFmtId="14" fontId="6" fillId="2" borderId="5" xfId="2" applyNumberFormat="1" applyFont="1" applyFill="1" applyBorder="1" applyAlignment="1">
      <alignment horizontal="center" vertical="center" wrapText="1"/>
    </xf>
    <xf numFmtId="14" fontId="6" fillId="2" borderId="41" xfId="2" applyNumberFormat="1" applyFont="1" applyFill="1" applyBorder="1" applyAlignment="1">
      <alignment horizontal="center" vertical="center" wrapText="1"/>
    </xf>
    <xf numFmtId="14" fontId="6" fillId="2" borderId="6" xfId="2" applyNumberFormat="1" applyFont="1" applyFill="1" applyBorder="1" applyAlignment="1">
      <alignment horizontal="center" vertical="center" wrapText="1"/>
    </xf>
    <xf numFmtId="0" fontId="6" fillId="2" borderId="28" xfId="2" applyFont="1" applyFill="1" applyBorder="1" applyAlignment="1">
      <alignment horizontal="left"/>
    </xf>
    <xf numFmtId="0" fontId="6" fillId="2" borderId="29" xfId="2" applyFont="1" applyFill="1" applyBorder="1" applyAlignment="1">
      <alignment horizontal="left"/>
    </xf>
    <xf numFmtId="0" fontId="6" fillId="2" borderId="30" xfId="2" applyFont="1" applyFill="1" applyBorder="1" applyAlignment="1">
      <alignment horizontal="left"/>
    </xf>
    <xf numFmtId="0" fontId="6" fillId="2" borderId="31" xfId="2" applyFont="1" applyFill="1" applyBorder="1" applyAlignment="1">
      <alignment horizontal="left"/>
    </xf>
    <xf numFmtId="0" fontId="6" fillId="2" borderId="22" xfId="2" applyFont="1" applyFill="1" applyBorder="1" applyAlignment="1">
      <alignment horizontal="left"/>
    </xf>
    <xf numFmtId="0" fontId="6" fillId="2" borderId="12" xfId="2" applyFont="1" applyFill="1" applyBorder="1" applyAlignment="1">
      <alignment horizontal="left"/>
    </xf>
    <xf numFmtId="0" fontId="6" fillId="2" borderId="16" xfId="2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/>
    </xf>
    <xf numFmtId="0" fontId="6" fillId="2" borderId="7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34" xfId="2" applyFont="1" applyFill="1" applyBorder="1" applyAlignment="1">
      <alignment horizontal="center"/>
    </xf>
    <xf numFmtId="0" fontId="6" fillId="2" borderId="35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24" xfId="2" applyFont="1" applyFill="1" applyBorder="1" applyAlignment="1">
      <alignment horizontal="center"/>
    </xf>
    <xf numFmtId="0" fontId="2" fillId="2" borderId="39" xfId="2" applyFont="1" applyFill="1" applyBorder="1" applyAlignment="1">
      <alignment horizontal="center"/>
    </xf>
    <xf numFmtId="0" fontId="2" fillId="2" borderId="26" xfId="2" applyFont="1" applyFill="1" applyBorder="1" applyAlignment="1">
      <alignment horizontal="center"/>
    </xf>
    <xf numFmtId="0" fontId="2" fillId="2" borderId="18" xfId="2" applyFont="1" applyFill="1" applyBorder="1" applyAlignment="1">
      <alignment horizontal="right" vertical="top" wrapText="1"/>
    </xf>
    <xf numFmtId="0" fontId="2" fillId="2" borderId="19" xfId="2" applyFont="1" applyFill="1" applyBorder="1" applyAlignment="1">
      <alignment horizontal="right" vertical="top" wrapText="1"/>
    </xf>
    <xf numFmtId="0" fontId="2" fillId="2" borderId="20" xfId="2" applyFont="1" applyFill="1" applyBorder="1" applyAlignment="1">
      <alignment horizontal="right" vertical="top" wrapText="1"/>
    </xf>
    <xf numFmtId="0" fontId="7" fillId="4" borderId="9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 wrapText="1"/>
    </xf>
    <xf numFmtId="0" fontId="7" fillId="4" borderId="11" xfId="2" applyFont="1" applyFill="1" applyBorder="1" applyAlignment="1">
      <alignment horizontal="center" vertical="center" wrapText="1"/>
    </xf>
    <xf numFmtId="0" fontId="8" fillId="2" borderId="17" xfId="3" applyFont="1" applyFill="1" applyBorder="1" applyAlignment="1">
      <alignment horizontal="center"/>
    </xf>
    <xf numFmtId="14" fontId="8" fillId="2" borderId="0" xfId="3" applyNumberFormat="1" applyFont="1" applyFill="1" applyAlignment="1">
      <alignment horizontal="center" vertical="center" wrapText="1"/>
    </xf>
    <xf numFmtId="0" fontId="9" fillId="0" borderId="43" xfId="4" applyFont="1" applyBorder="1" applyAlignment="1">
      <alignment horizontal="center" vertical="center"/>
    </xf>
    <xf numFmtId="0" fontId="9" fillId="0" borderId="12" xfId="4" applyFont="1" applyBorder="1" applyAlignment="1">
      <alignment horizontal="center" vertical="center"/>
    </xf>
    <xf numFmtId="0" fontId="10" fillId="0" borderId="2" xfId="4" applyFont="1" applyBorder="1" applyAlignment="1">
      <alignment vertical="center"/>
    </xf>
    <xf numFmtId="0" fontId="9" fillId="0" borderId="2" xfId="4" applyFont="1" applyBorder="1" applyAlignment="1">
      <alignment horizontal="center" vertical="center"/>
    </xf>
    <xf numFmtId="1" fontId="9" fillId="0" borderId="2" xfId="4" applyNumberFormat="1" applyFont="1" applyBorder="1" applyAlignment="1">
      <alignment horizontal="center"/>
    </xf>
    <xf numFmtId="1" fontId="9" fillId="0" borderId="2" xfId="4" applyNumberFormat="1" applyFont="1" applyBorder="1" applyAlignment="1">
      <alignment horizontal="center" wrapText="1"/>
    </xf>
    <xf numFmtId="0" fontId="11" fillId="0" borderId="40" xfId="4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6" fontId="11" fillId="2" borderId="2" xfId="0" applyNumberFormat="1" applyFont="1" applyFill="1" applyBorder="1" applyAlignment="1">
      <alignment horizontal="center"/>
    </xf>
    <xf numFmtId="1" fontId="11" fillId="2" borderId="2" xfId="0" applyNumberFormat="1" applyFont="1" applyFill="1" applyBorder="1" applyAlignment="1">
      <alignment horizontal="center"/>
    </xf>
    <xf numFmtId="1" fontId="11" fillId="2" borderId="2" xfId="0" applyNumberFormat="1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12" fontId="11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 vertical="top"/>
    </xf>
    <xf numFmtId="0" fontId="12" fillId="0" borderId="2" xfId="0" applyFont="1" applyBorder="1" applyAlignment="1">
      <alignment vertical="top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2" fillId="5" borderId="2" xfId="0" applyFont="1" applyFill="1" applyBorder="1"/>
    <xf numFmtId="1" fontId="11" fillId="0" borderId="2" xfId="4" applyNumberFormat="1" applyFont="1" applyBorder="1" applyAlignment="1">
      <alignment horizontal="center"/>
    </xf>
    <xf numFmtId="0" fontId="11" fillId="0" borderId="2" xfId="4" applyFont="1" applyBorder="1" applyAlignment="1">
      <alignment horizontal="center"/>
    </xf>
    <xf numFmtId="1" fontId="11" fillId="0" borderId="2" xfId="4" applyNumberFormat="1" applyFont="1" applyBorder="1" applyAlignment="1">
      <alignment horizontal="center" wrapText="1"/>
    </xf>
    <xf numFmtId="1" fontId="12" fillId="0" borderId="2" xfId="0" applyNumberFormat="1" applyFont="1" applyBorder="1"/>
    <xf numFmtId="0" fontId="11" fillId="5" borderId="2" xfId="4" applyFont="1" applyFill="1" applyBorder="1" applyAlignment="1">
      <alignment horizontal="center"/>
    </xf>
    <xf numFmtId="49" fontId="11" fillId="0" borderId="2" xfId="4" applyNumberFormat="1" applyFont="1" applyBorder="1" applyAlignment="1">
      <alignment horizontal="center"/>
    </xf>
    <xf numFmtId="0" fontId="9" fillId="5" borderId="2" xfId="4" applyFont="1" applyFill="1" applyBorder="1" applyAlignment="1">
      <alignment horizontal="left"/>
    </xf>
    <xf numFmtId="166" fontId="11" fillId="0" borderId="2" xfId="4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16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 wrapText="1"/>
    </xf>
    <xf numFmtId="49" fontId="9" fillId="0" borderId="2" xfId="4" applyNumberFormat="1" applyFont="1" applyBorder="1" applyAlignment="1">
      <alignment horizontal="center"/>
    </xf>
    <xf numFmtId="0" fontId="10" fillId="5" borderId="2" xfId="4" applyFont="1" applyFill="1" applyBorder="1" applyAlignment="1">
      <alignment vertical="center"/>
    </xf>
    <xf numFmtId="0" fontId="9" fillId="0" borderId="2" xfId="4" applyFont="1" applyBorder="1" applyAlignment="1">
      <alignment horizontal="center"/>
    </xf>
    <xf numFmtId="166" fontId="9" fillId="0" borderId="2" xfId="4" applyNumberFormat="1" applyFont="1" applyBorder="1" applyAlignment="1">
      <alignment horizontal="center"/>
    </xf>
    <xf numFmtId="0" fontId="12" fillId="0" borderId="0" xfId="0" applyFont="1"/>
    <xf numFmtId="49" fontId="11" fillId="0" borderId="2" xfId="0" applyNumberFormat="1" applyFont="1" applyBorder="1" applyAlignment="1">
      <alignment horizontal="center"/>
    </xf>
    <xf numFmtId="49" fontId="11" fillId="0" borderId="2" xfId="0" applyNumberFormat="1" applyFont="1" applyBorder="1"/>
    <xf numFmtId="167" fontId="9" fillId="5" borderId="2" xfId="1" applyNumberFormat="1" applyFont="1" applyFill="1" applyBorder="1" applyAlignment="1">
      <alignment horizontal="center"/>
    </xf>
    <xf numFmtId="0" fontId="12" fillId="0" borderId="2" xfId="5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12" fontId="11" fillId="0" borderId="2" xfId="4" applyNumberFormat="1" applyFont="1" applyBorder="1" applyAlignment="1">
      <alignment horizontal="center"/>
    </xf>
    <xf numFmtId="49" fontId="11" fillId="0" borderId="43" xfId="4" applyNumberFormat="1" applyFont="1" applyBorder="1" applyAlignment="1">
      <alignment horizontal="center"/>
    </xf>
    <xf numFmtId="49" fontId="11" fillId="0" borderId="12" xfId="4" applyNumberFormat="1" applyFont="1" applyBorder="1" applyAlignment="1">
      <alignment horizontal="center"/>
    </xf>
    <xf numFmtId="49" fontId="11" fillId="0" borderId="2" xfId="4" applyNumberFormat="1" applyFont="1" applyBorder="1"/>
    <xf numFmtId="49" fontId="13" fillId="2" borderId="7" xfId="4" applyNumberFormat="1" applyFont="1" applyFill="1" applyBorder="1" applyAlignment="1">
      <alignment horizontal="center" vertical="center"/>
    </xf>
    <xf numFmtId="49" fontId="13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5" fontId="11" fillId="2" borderId="0" xfId="4" applyNumberFormat="1" applyFont="1" applyFill="1" applyAlignment="1">
      <alignment horizontal="center" wrapText="1"/>
    </xf>
    <xf numFmtId="0" fontId="11" fillId="2" borderId="8" xfId="4" applyFont="1" applyFill="1" applyBorder="1" applyAlignment="1">
      <alignment horizontal="center"/>
    </xf>
    <xf numFmtId="0" fontId="11" fillId="3" borderId="9" xfId="4" applyFont="1" applyFill="1" applyBorder="1" applyAlignment="1">
      <alignment horizontal="center"/>
    </xf>
    <xf numFmtId="0" fontId="11" fillId="3" borderId="10" xfId="4" applyFont="1" applyFill="1" applyBorder="1" applyAlignment="1">
      <alignment horizontal="center"/>
    </xf>
    <xf numFmtId="0" fontId="11" fillId="3" borderId="10" xfId="4" applyFont="1" applyFill="1" applyBorder="1"/>
    <xf numFmtId="0" fontId="9" fillId="3" borderId="10" xfId="4" applyFont="1" applyFill="1" applyBorder="1" applyAlignment="1">
      <alignment horizontal="center"/>
    </xf>
    <xf numFmtId="1" fontId="9" fillId="3" borderId="10" xfId="4" applyNumberFormat="1" applyFont="1" applyFill="1" applyBorder="1" applyAlignment="1">
      <alignment horizontal="center"/>
    </xf>
    <xf numFmtId="165" fontId="11" fillId="3" borderId="10" xfId="4" applyNumberFormat="1" applyFont="1" applyFill="1" applyBorder="1" applyAlignment="1">
      <alignment horizontal="center" wrapText="1"/>
    </xf>
    <xf numFmtId="0" fontId="11" fillId="3" borderId="11" xfId="4" applyFont="1" applyFill="1" applyBorder="1" applyAlignment="1">
      <alignment horizontal="center"/>
    </xf>
    <xf numFmtId="0" fontId="9" fillId="0" borderId="34" xfId="4" applyFont="1" applyBorder="1" applyAlignment="1">
      <alignment horizontal="right"/>
    </xf>
    <xf numFmtId="0" fontId="9" fillId="0" borderId="35" xfId="4" applyFont="1" applyBorder="1" applyAlignment="1">
      <alignment horizontal="right"/>
    </xf>
    <xf numFmtId="0" fontId="9" fillId="0" borderId="36" xfId="4" applyFont="1" applyBorder="1" applyAlignment="1">
      <alignment horizontal="right"/>
    </xf>
    <xf numFmtId="1" fontId="11" fillId="0" borderId="3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165" fontId="11" fillId="0" borderId="3" xfId="4" applyNumberFormat="1" applyFont="1" applyBorder="1" applyAlignment="1">
      <alignment horizontal="right"/>
    </xf>
    <xf numFmtId="0" fontId="11" fillId="2" borderId="32" xfId="4" applyFont="1" applyFill="1" applyBorder="1" applyAlignment="1">
      <alignment horizontal="center"/>
    </xf>
    <xf numFmtId="0" fontId="11" fillId="2" borderId="33" xfId="4" applyFont="1" applyFill="1" applyBorder="1" applyAlignment="1">
      <alignment horizontal="center"/>
    </xf>
    <xf numFmtId="0" fontId="9" fillId="0" borderId="21" xfId="4" applyFont="1" applyBorder="1" applyAlignment="1">
      <alignment horizontal="right"/>
    </xf>
    <xf numFmtId="0" fontId="9" fillId="0" borderId="22" xfId="4" applyFont="1" applyBorder="1" applyAlignment="1">
      <alignment horizontal="right"/>
    </xf>
    <xf numFmtId="0" fontId="9" fillId="0" borderId="12" xfId="4" applyFont="1" applyBorder="1" applyAlignment="1">
      <alignment horizontal="right"/>
    </xf>
    <xf numFmtId="0" fontId="11" fillId="0" borderId="2" xfId="4" applyFont="1" applyBorder="1" applyAlignment="1">
      <alignment horizontal="right"/>
    </xf>
    <xf numFmtId="165" fontId="11" fillId="0" borderId="31" xfId="4" applyNumberFormat="1" applyFont="1" applyBorder="1" applyAlignment="1">
      <alignment horizontal="center"/>
    </xf>
    <xf numFmtId="165" fontId="11" fillId="0" borderId="23" xfId="4" applyNumberFormat="1" applyFont="1" applyBorder="1" applyAlignment="1">
      <alignment horizontal="center"/>
    </xf>
    <xf numFmtId="165" fontId="11" fillId="0" borderId="31" xfId="4" applyNumberFormat="1" applyFont="1" applyBorder="1" applyAlignment="1">
      <alignment horizontal="right" wrapText="1"/>
    </xf>
    <xf numFmtId="165" fontId="11" fillId="0" borderId="12" xfId="4" applyNumberFormat="1" applyFont="1" applyBorder="1" applyAlignment="1">
      <alignment horizontal="right" wrapText="1"/>
    </xf>
    <xf numFmtId="165" fontId="11" fillId="0" borderId="31" xfId="0" applyNumberFormat="1" applyFont="1" applyBorder="1" applyAlignment="1">
      <alignment horizontal="center" wrapText="1"/>
    </xf>
    <xf numFmtId="165" fontId="11" fillId="0" borderId="23" xfId="0" applyNumberFormat="1" applyFont="1" applyBorder="1" applyAlignment="1">
      <alignment horizontal="center" wrapText="1"/>
    </xf>
    <xf numFmtId="0" fontId="9" fillId="0" borderId="25" xfId="4" applyFont="1" applyBorder="1" applyAlignment="1">
      <alignment horizontal="right"/>
    </xf>
    <xf numFmtId="0" fontId="9" fillId="0" borderId="26" xfId="4" applyFont="1" applyBorder="1" applyAlignment="1">
      <alignment horizontal="right"/>
    </xf>
    <xf numFmtId="0" fontId="9" fillId="0" borderId="27" xfId="4" applyFont="1" applyBorder="1" applyAlignment="1">
      <alignment horizontal="right"/>
    </xf>
    <xf numFmtId="1" fontId="11" fillId="0" borderId="27" xfId="0" applyNumberFormat="1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7" xfId="4" applyFont="1" applyBorder="1" applyAlignment="1">
      <alignment horizontal="right"/>
    </xf>
    <xf numFmtId="0" fontId="11" fillId="0" borderId="37" xfId="0" applyFont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13" xfId="2" applyFont="1" applyFill="1" applyBorder="1" applyAlignment="1">
      <alignment horizontal="center"/>
    </xf>
    <xf numFmtId="0" fontId="11" fillId="2" borderId="31" xfId="2" applyFont="1" applyFill="1" applyBorder="1" applyAlignment="1">
      <alignment horizontal="left" wrapText="1"/>
    </xf>
    <xf numFmtId="0" fontId="11" fillId="2" borderId="22" xfId="2" applyFont="1" applyFill="1" applyBorder="1" applyAlignment="1">
      <alignment horizontal="left" wrapText="1"/>
    </xf>
    <xf numFmtId="0" fontId="11" fillId="2" borderId="12" xfId="2" applyFont="1" applyFill="1" applyBorder="1" applyAlignment="1">
      <alignment horizontal="left" wrapText="1"/>
    </xf>
    <xf numFmtId="0" fontId="11" fillId="2" borderId="2" xfId="2" applyFont="1" applyFill="1" applyBorder="1" applyAlignment="1">
      <alignment horizontal="left"/>
    </xf>
    <xf numFmtId="0" fontId="9" fillId="3" borderId="9" xfId="4" applyFont="1" applyFill="1" applyBorder="1" applyAlignment="1">
      <alignment horizontal="center"/>
    </xf>
    <xf numFmtId="0" fontId="9" fillId="3" borderId="10" xfId="4" applyFont="1" applyFill="1" applyBorder="1" applyAlignment="1">
      <alignment horizontal="center"/>
    </xf>
    <xf numFmtId="0" fontId="9" fillId="3" borderId="11" xfId="4" applyFont="1" applyFill="1" applyBorder="1" applyAlignment="1">
      <alignment horizontal="center"/>
    </xf>
    <xf numFmtId="0" fontId="9" fillId="0" borderId="2" xfId="4" applyFont="1" applyBorder="1" applyAlignment="1">
      <alignment horizontal="left" wrapText="1"/>
    </xf>
  </cellXfs>
  <cellStyles count="6">
    <cellStyle name="Millares" xfId="1" builtinId="3"/>
    <cellStyle name="Normal" xfId="0" builtinId="0"/>
    <cellStyle name="Normal 2" xfId="4" xr:uid="{7E6CAA6B-B384-4D4C-841E-DDCCBACCBDFD}"/>
    <cellStyle name="Normal 3" xfId="5" xr:uid="{E654E1E3-7E96-4A7C-B6BB-374F10BE4223}"/>
    <cellStyle name="Normal_CRITERIOS DE EVALUACION PT DE GB" xfId="2" xr:uid="{8DA08E15-C30B-4648-97E1-6CCDA329DF0B}"/>
    <cellStyle name="Normal_CRITERIOS DE EVALUACION PT DE GB 2" xfId="3" xr:uid="{A41C83AB-62FD-403D-AF3E-5EBB13FEE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73139</xdr:colOff>
      <xdr:row>0</xdr:row>
      <xdr:rowOff>88449</xdr:rowOff>
    </xdr:from>
    <xdr:to>
      <xdr:col>1</xdr:col>
      <xdr:colOff>857249</xdr:colOff>
      <xdr:row>4</xdr:row>
      <xdr:rowOff>138362</xdr:rowOff>
    </xdr:to>
    <xdr:pic>
      <xdr:nvPicPr>
        <xdr:cNvPr id="4" name="Imagen 13">
          <a:extLst>
            <a:ext uri="{FF2B5EF4-FFF2-40B4-BE49-F238E27FC236}">
              <a16:creationId xmlns:a16="http://schemas.microsoft.com/office/drawing/2014/main" id="{7B702DDC-1FC1-4F94-A90D-8560CE88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39" y="88449"/>
          <a:ext cx="1903298" cy="1133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FC03-4D30-45DE-B24E-F4516343A7DC}">
  <sheetPr>
    <pageSetUpPr fitToPage="1"/>
  </sheetPr>
  <dimension ref="A1:J4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28515625" bestFit="1" customWidth="1"/>
    <col min="3" max="3" width="61.85546875" bestFit="1" customWidth="1"/>
    <col min="4" max="4" width="16.7109375" customWidth="1"/>
    <col min="5" max="5" width="14.7109375" customWidth="1"/>
    <col min="6" max="6" width="15.140625" customWidth="1"/>
    <col min="7" max="7" width="19" customWidth="1"/>
    <col min="8" max="8" width="24.140625" customWidth="1"/>
    <col min="9" max="9" width="21.5703125" bestFit="1" customWidth="1"/>
  </cols>
  <sheetData>
    <row r="1" spans="1:10" ht="18" x14ac:dyDescent="0.25">
      <c r="A1" s="28"/>
      <c r="B1" s="29"/>
      <c r="C1" s="34" t="s">
        <v>0</v>
      </c>
      <c r="D1" s="34"/>
      <c r="E1" s="34"/>
      <c r="F1" s="34"/>
      <c r="G1" s="34"/>
      <c r="H1" s="1" t="s">
        <v>1</v>
      </c>
      <c r="I1" s="2" t="s">
        <v>63</v>
      </c>
    </row>
    <row r="2" spans="1:10" ht="18" customHeight="1" thickBot="1" x14ac:dyDescent="0.3">
      <c r="A2" s="30"/>
      <c r="B2" s="31"/>
      <c r="C2" s="35" t="s">
        <v>2</v>
      </c>
      <c r="D2" s="36"/>
      <c r="E2" s="36"/>
      <c r="F2" s="36"/>
      <c r="G2" s="37"/>
      <c r="H2" s="3" t="s">
        <v>3</v>
      </c>
      <c r="I2" s="4" t="s">
        <v>77</v>
      </c>
    </row>
    <row r="3" spans="1:10" ht="31.5" customHeight="1" thickBot="1" x14ac:dyDescent="0.3">
      <c r="A3" s="30"/>
      <c r="B3" s="31"/>
      <c r="C3" s="41" t="s">
        <v>78</v>
      </c>
      <c r="D3" s="42"/>
      <c r="E3" s="42"/>
      <c r="F3" s="42"/>
      <c r="G3" s="43"/>
      <c r="H3" s="38" t="s">
        <v>4</v>
      </c>
      <c r="I3" s="19">
        <v>45613</v>
      </c>
    </row>
    <row r="4" spans="1:10" ht="18" customHeight="1" x14ac:dyDescent="0.25">
      <c r="A4" s="30"/>
      <c r="B4" s="31"/>
      <c r="C4" s="5" t="s">
        <v>5</v>
      </c>
      <c r="D4" s="22" t="s">
        <v>33</v>
      </c>
      <c r="E4" s="23"/>
      <c r="F4" s="23"/>
      <c r="G4" s="24"/>
      <c r="H4" s="39"/>
      <c r="I4" s="20"/>
    </row>
    <row r="5" spans="1:10" ht="18.75" thickBot="1" x14ac:dyDescent="0.3">
      <c r="A5" s="32"/>
      <c r="B5" s="33"/>
      <c r="C5" s="6" t="s">
        <v>6</v>
      </c>
      <c r="D5" s="25" t="s">
        <v>50</v>
      </c>
      <c r="E5" s="26"/>
      <c r="F5" s="26"/>
      <c r="G5" s="27"/>
      <c r="H5" s="40"/>
      <c r="I5" s="21"/>
    </row>
    <row r="6" spans="1:10" ht="18.75" thickBot="1" x14ac:dyDescent="0.3">
      <c r="A6" s="11" t="s">
        <v>51</v>
      </c>
      <c r="B6" s="11"/>
      <c r="C6" s="11"/>
      <c r="D6" s="44" t="s">
        <v>52</v>
      </c>
      <c r="E6" s="44"/>
      <c r="F6" s="44"/>
      <c r="G6" s="12" t="s">
        <v>53</v>
      </c>
      <c r="H6" s="12"/>
      <c r="I6" s="45" t="s">
        <v>52</v>
      </c>
    </row>
    <row r="7" spans="1:10" ht="36" x14ac:dyDescent="0.25">
      <c r="A7" s="13" t="s">
        <v>7</v>
      </c>
      <c r="B7" s="15" t="s">
        <v>54</v>
      </c>
      <c r="C7" s="17" t="s">
        <v>8</v>
      </c>
      <c r="D7" s="17" t="s">
        <v>9</v>
      </c>
      <c r="E7" s="17" t="s">
        <v>10</v>
      </c>
      <c r="F7" s="17"/>
      <c r="G7" s="17" t="s">
        <v>11</v>
      </c>
      <c r="H7" s="17"/>
      <c r="I7" s="7" t="s">
        <v>12</v>
      </c>
    </row>
    <row r="8" spans="1:10" ht="54.75" thickBot="1" x14ac:dyDescent="0.3">
      <c r="A8" s="14"/>
      <c r="B8" s="16"/>
      <c r="C8" s="18"/>
      <c r="D8" s="18"/>
      <c r="E8" s="8" t="s">
        <v>13</v>
      </c>
      <c r="F8" s="9" t="s">
        <v>14</v>
      </c>
      <c r="G8" s="8" t="s">
        <v>13</v>
      </c>
      <c r="H8" s="9" t="s">
        <v>14</v>
      </c>
      <c r="I8" s="10" t="s">
        <v>15</v>
      </c>
    </row>
    <row r="9" spans="1:10" ht="18.399999999999999" customHeight="1" x14ac:dyDescent="0.3">
      <c r="A9" s="46"/>
      <c r="B9" s="47"/>
      <c r="C9" s="48" t="s">
        <v>16</v>
      </c>
      <c r="D9" s="49"/>
      <c r="E9" s="50"/>
      <c r="F9" s="51"/>
      <c r="G9" s="50"/>
      <c r="H9" s="51"/>
      <c r="I9" s="52"/>
    </row>
    <row r="10" spans="1:10" ht="20.25" x14ac:dyDescent="0.3">
      <c r="A10" s="53">
        <v>907000008</v>
      </c>
      <c r="B10" s="53" t="s">
        <v>43</v>
      </c>
      <c r="C10" s="54" t="s">
        <v>55</v>
      </c>
      <c r="D10" s="55" t="s">
        <v>56</v>
      </c>
      <c r="E10" s="56">
        <v>780</v>
      </c>
      <c r="F10" s="57" t="s">
        <v>17</v>
      </c>
      <c r="G10" s="58" t="s">
        <v>71</v>
      </c>
      <c r="H10" s="59" t="s">
        <v>73</v>
      </c>
      <c r="I10" s="52"/>
      <c r="J10">
        <f>120/6</f>
        <v>20</v>
      </c>
    </row>
    <row r="11" spans="1:10" ht="20.25" x14ac:dyDescent="0.3">
      <c r="A11" s="60">
        <v>11400066</v>
      </c>
      <c r="B11" s="60" t="s">
        <v>41</v>
      </c>
      <c r="C11" s="61" t="s">
        <v>44</v>
      </c>
      <c r="D11" s="55" t="s">
        <v>57</v>
      </c>
      <c r="E11" s="56">
        <v>120</v>
      </c>
      <c r="F11" s="57" t="s">
        <v>17</v>
      </c>
      <c r="G11" s="58" t="s">
        <v>72</v>
      </c>
      <c r="H11" s="62" t="s">
        <v>74</v>
      </c>
      <c r="I11" s="52"/>
    </row>
    <row r="12" spans="1:10" ht="20.25" x14ac:dyDescent="0.3">
      <c r="A12" s="53" t="s">
        <v>45</v>
      </c>
      <c r="B12" s="53" t="s">
        <v>46</v>
      </c>
      <c r="C12" s="63" t="s">
        <v>58</v>
      </c>
      <c r="D12" s="55" t="s">
        <v>56</v>
      </c>
      <c r="E12" s="56">
        <v>120</v>
      </c>
      <c r="F12" s="57" t="s">
        <v>17</v>
      </c>
      <c r="G12" s="58" t="s">
        <v>72</v>
      </c>
      <c r="H12" s="59" t="s">
        <v>76</v>
      </c>
      <c r="I12" s="52"/>
    </row>
    <row r="13" spans="1:10" ht="20.25" x14ac:dyDescent="0.3">
      <c r="A13" s="53"/>
      <c r="B13" s="53"/>
      <c r="C13" s="64"/>
      <c r="D13" s="65"/>
      <c r="E13" s="66"/>
      <c r="F13" s="67"/>
      <c r="G13" s="62"/>
      <c r="H13" s="59"/>
      <c r="I13" s="52"/>
    </row>
    <row r="14" spans="1:10" ht="20.25" x14ac:dyDescent="0.3">
      <c r="A14" s="68"/>
      <c r="B14" s="53"/>
      <c r="C14" s="63"/>
      <c r="D14" s="69"/>
      <c r="E14" s="69"/>
      <c r="F14" s="69"/>
      <c r="G14" s="50"/>
      <c r="H14" s="59"/>
      <c r="I14" s="52"/>
    </row>
    <row r="15" spans="1:10" ht="20.25" x14ac:dyDescent="0.3">
      <c r="A15" s="70"/>
      <c r="B15" s="70"/>
      <c r="C15" s="71" t="s">
        <v>59</v>
      </c>
      <c r="D15" s="66"/>
      <c r="E15" s="72"/>
      <c r="F15" s="67"/>
      <c r="G15" s="50"/>
      <c r="H15" s="51"/>
      <c r="I15" s="52"/>
    </row>
    <row r="16" spans="1:10" ht="20.25" x14ac:dyDescent="0.3">
      <c r="A16" s="53"/>
      <c r="B16" s="53"/>
      <c r="C16" s="63"/>
      <c r="D16" s="74"/>
      <c r="E16" s="75"/>
      <c r="F16" s="73"/>
      <c r="G16" s="50"/>
      <c r="H16" s="51"/>
      <c r="I16" s="52"/>
    </row>
    <row r="17" spans="1:9" ht="20.25" x14ac:dyDescent="0.3">
      <c r="A17" s="53"/>
      <c r="B17" s="53"/>
      <c r="C17" s="63"/>
      <c r="D17" s="74"/>
      <c r="E17" s="75"/>
      <c r="F17" s="76"/>
      <c r="G17" s="50"/>
      <c r="H17" s="51"/>
      <c r="I17" s="52"/>
    </row>
    <row r="18" spans="1:9" ht="20.25" x14ac:dyDescent="0.3">
      <c r="A18" s="77"/>
      <c r="B18" s="77"/>
      <c r="C18" s="78" t="s">
        <v>18</v>
      </c>
      <c r="D18" s="79"/>
      <c r="E18" s="80"/>
      <c r="F18" s="51"/>
      <c r="G18" s="50"/>
      <c r="H18" s="81"/>
      <c r="I18" s="52"/>
    </row>
    <row r="19" spans="1:9" ht="20.25" x14ac:dyDescent="0.3">
      <c r="A19" s="82" t="s">
        <v>38</v>
      </c>
      <c r="B19" s="82" t="s">
        <v>42</v>
      </c>
      <c r="C19" s="83" t="s">
        <v>39</v>
      </c>
      <c r="D19" s="62"/>
      <c r="E19" s="75">
        <v>1</v>
      </c>
      <c r="F19" s="76" t="s">
        <v>35</v>
      </c>
      <c r="G19" s="84"/>
      <c r="H19" s="51"/>
      <c r="I19" s="52"/>
    </row>
    <row r="20" spans="1:9" ht="20.25" x14ac:dyDescent="0.3">
      <c r="A20" s="85"/>
      <c r="B20" s="53" t="s">
        <v>68</v>
      </c>
      <c r="C20" s="63" t="s">
        <v>69</v>
      </c>
      <c r="D20" s="62"/>
      <c r="E20" s="75">
        <v>6</v>
      </c>
      <c r="F20" s="76" t="s">
        <v>35</v>
      </c>
      <c r="G20" s="84"/>
      <c r="H20" s="51"/>
      <c r="I20" s="52"/>
    </row>
    <row r="21" spans="1:9" ht="20.25" x14ac:dyDescent="0.3">
      <c r="A21" s="86">
        <v>702069</v>
      </c>
      <c r="B21" s="86" t="s">
        <v>47</v>
      </c>
      <c r="C21" s="87" t="s">
        <v>20</v>
      </c>
      <c r="D21" s="62" t="s">
        <v>60</v>
      </c>
      <c r="E21" s="75">
        <v>7</v>
      </c>
      <c r="F21" s="76" t="s">
        <v>35</v>
      </c>
      <c r="G21" s="50"/>
      <c r="H21" s="51"/>
      <c r="I21" s="52"/>
    </row>
    <row r="22" spans="1:9" ht="20.25" x14ac:dyDescent="0.3">
      <c r="A22" s="86"/>
      <c r="B22" s="53" t="s">
        <v>64</v>
      </c>
      <c r="C22" s="63" t="s">
        <v>65</v>
      </c>
      <c r="D22" s="62"/>
      <c r="E22" s="75">
        <v>6</v>
      </c>
      <c r="F22" s="76" t="s">
        <v>35</v>
      </c>
      <c r="G22" s="50"/>
      <c r="H22" s="51"/>
      <c r="I22" s="52"/>
    </row>
    <row r="23" spans="1:9" ht="20.25" x14ac:dyDescent="0.3">
      <c r="A23" s="86" t="s">
        <v>48</v>
      </c>
      <c r="B23" s="86" t="s">
        <v>49</v>
      </c>
      <c r="C23" s="87" t="s">
        <v>61</v>
      </c>
      <c r="D23" s="62"/>
      <c r="E23" s="75">
        <v>12</v>
      </c>
      <c r="F23" s="76" t="s">
        <v>35</v>
      </c>
      <c r="G23" s="88"/>
      <c r="H23" s="51"/>
      <c r="I23" s="52"/>
    </row>
    <row r="24" spans="1:9" ht="20.25" x14ac:dyDescent="0.3">
      <c r="A24" s="86"/>
      <c r="B24" s="53" t="s">
        <v>66</v>
      </c>
      <c r="C24" s="63" t="s">
        <v>67</v>
      </c>
      <c r="D24" s="62"/>
      <c r="E24" s="75">
        <v>7</v>
      </c>
      <c r="F24" s="76" t="s">
        <v>35</v>
      </c>
      <c r="G24" s="65"/>
      <c r="H24" s="51"/>
      <c r="I24" s="52"/>
    </row>
    <row r="25" spans="1:9" ht="20.25" x14ac:dyDescent="0.3">
      <c r="A25" s="86"/>
      <c r="B25" s="86"/>
      <c r="C25" s="87"/>
      <c r="D25" s="62"/>
      <c r="E25" s="75"/>
      <c r="F25" s="62"/>
      <c r="G25" s="65"/>
      <c r="H25" s="51"/>
      <c r="I25" s="52"/>
    </row>
    <row r="26" spans="1:9" ht="20.25" x14ac:dyDescent="0.3">
      <c r="A26" s="89"/>
      <c r="B26" s="90"/>
      <c r="C26" s="91"/>
      <c r="D26" s="66"/>
      <c r="E26" s="66"/>
      <c r="F26" s="67"/>
      <c r="G26" s="66"/>
      <c r="H26" s="66"/>
      <c r="I26" s="52"/>
    </row>
    <row r="27" spans="1:9" ht="21" thickBot="1" x14ac:dyDescent="0.35">
      <c r="A27" s="92"/>
      <c r="B27" s="93"/>
      <c r="C27" s="94"/>
      <c r="D27" s="94"/>
      <c r="E27" s="95"/>
      <c r="F27" s="96"/>
      <c r="G27" s="94"/>
      <c r="H27" s="94"/>
      <c r="I27" s="97"/>
    </row>
    <row r="28" spans="1:9" ht="21" thickBot="1" x14ac:dyDescent="0.35">
      <c r="A28" s="98"/>
      <c r="B28" s="99"/>
      <c r="C28" s="100"/>
      <c r="D28" s="101" t="s">
        <v>13</v>
      </c>
      <c r="E28" s="102" t="s">
        <v>19</v>
      </c>
      <c r="F28" s="103"/>
      <c r="G28" s="100"/>
      <c r="H28" s="100"/>
      <c r="I28" s="104"/>
    </row>
    <row r="29" spans="1:9" ht="20.25" x14ac:dyDescent="0.3">
      <c r="A29" s="105" t="s">
        <v>21</v>
      </c>
      <c r="B29" s="106"/>
      <c r="C29" s="107"/>
      <c r="D29" s="108">
        <v>990</v>
      </c>
      <c r="E29" s="109" t="s">
        <v>17</v>
      </c>
      <c r="F29" s="110" t="s">
        <v>22</v>
      </c>
      <c r="G29" s="110"/>
      <c r="H29" s="111"/>
      <c r="I29" s="112"/>
    </row>
    <row r="30" spans="1:9" ht="20.25" x14ac:dyDescent="0.3">
      <c r="A30" s="113" t="s">
        <v>23</v>
      </c>
      <c r="B30" s="114"/>
      <c r="C30" s="115"/>
      <c r="D30" s="75">
        <v>7</v>
      </c>
      <c r="E30" s="62" t="s">
        <v>36</v>
      </c>
      <c r="F30" s="116" t="s">
        <v>24</v>
      </c>
      <c r="G30" s="116"/>
      <c r="H30" s="117"/>
      <c r="I30" s="118"/>
    </row>
    <row r="31" spans="1:9" ht="20.25" x14ac:dyDescent="0.3">
      <c r="A31" s="113" t="s">
        <v>25</v>
      </c>
      <c r="B31" s="114"/>
      <c r="C31" s="115"/>
      <c r="D31" s="62">
        <v>1</v>
      </c>
      <c r="E31" s="62" t="s">
        <v>37</v>
      </c>
      <c r="F31" s="116" t="s">
        <v>26</v>
      </c>
      <c r="G31" s="116"/>
      <c r="H31" s="117"/>
      <c r="I31" s="118"/>
    </row>
    <row r="32" spans="1:9" ht="20.25" x14ac:dyDescent="0.3">
      <c r="A32" s="113" t="s">
        <v>27</v>
      </c>
      <c r="B32" s="114"/>
      <c r="C32" s="115"/>
      <c r="D32" s="75">
        <v>990</v>
      </c>
      <c r="E32" s="62" t="s">
        <v>17</v>
      </c>
      <c r="F32" s="119" t="s">
        <v>28</v>
      </c>
      <c r="G32" s="120"/>
      <c r="H32" s="121"/>
      <c r="I32" s="122"/>
    </row>
    <row r="33" spans="1:9" ht="21" thickBot="1" x14ac:dyDescent="0.35">
      <c r="A33" s="123" t="s">
        <v>29</v>
      </c>
      <c r="B33" s="124"/>
      <c r="C33" s="125"/>
      <c r="D33" s="126">
        <f>SUM(E10:E12)-D29</f>
        <v>30</v>
      </c>
      <c r="E33" s="127" t="s">
        <v>17</v>
      </c>
      <c r="F33" s="128"/>
      <c r="G33" s="128"/>
      <c r="H33" s="117"/>
      <c r="I33" s="118"/>
    </row>
    <row r="34" spans="1:9" ht="21" thickBot="1" x14ac:dyDescent="0.35">
      <c r="A34" s="149" t="s">
        <v>30</v>
      </c>
      <c r="B34" s="150"/>
      <c r="C34" s="150"/>
      <c r="D34" s="150"/>
      <c r="E34" s="150"/>
      <c r="F34" s="150"/>
      <c r="G34" s="150"/>
      <c r="H34" s="150"/>
      <c r="I34" s="151"/>
    </row>
    <row r="35" spans="1:9" ht="20.25" x14ac:dyDescent="0.3">
      <c r="A35" s="129" t="s">
        <v>31</v>
      </c>
      <c r="B35" s="130"/>
      <c r="C35" s="131"/>
      <c r="D35" s="131"/>
      <c r="E35" s="131"/>
      <c r="F35" s="131"/>
      <c r="G35" s="131"/>
      <c r="H35" s="131"/>
      <c r="I35" s="132"/>
    </row>
    <row r="36" spans="1:9" ht="20.25" x14ac:dyDescent="0.3">
      <c r="A36" s="129" t="s">
        <v>32</v>
      </c>
      <c r="B36" s="130"/>
      <c r="C36" s="131"/>
      <c r="D36" s="131"/>
      <c r="E36" s="131"/>
      <c r="F36" s="131"/>
      <c r="G36" s="131"/>
      <c r="H36" s="131"/>
      <c r="I36" s="132"/>
    </row>
    <row r="37" spans="1:9" ht="20.25" x14ac:dyDescent="0.3">
      <c r="A37" s="133" t="s">
        <v>34</v>
      </c>
      <c r="B37" s="134"/>
      <c r="C37" s="134"/>
      <c r="D37" s="134"/>
      <c r="E37" s="134"/>
      <c r="F37" s="134"/>
      <c r="G37" s="134"/>
      <c r="H37" s="134"/>
      <c r="I37" s="135"/>
    </row>
    <row r="38" spans="1:9" ht="20.25" x14ac:dyDescent="0.3">
      <c r="A38" s="136" t="s">
        <v>40</v>
      </c>
      <c r="B38" s="137"/>
      <c r="C38" s="138"/>
      <c r="D38" s="138"/>
      <c r="E38" s="138"/>
      <c r="F38" s="138"/>
      <c r="G38" s="138"/>
      <c r="H38" s="138"/>
      <c r="I38" s="139"/>
    </row>
    <row r="39" spans="1:9" ht="20.25" x14ac:dyDescent="0.3">
      <c r="A39" s="152"/>
      <c r="B39" s="152"/>
      <c r="C39" s="152"/>
      <c r="D39" s="152"/>
      <c r="E39" s="152"/>
      <c r="F39" s="152"/>
      <c r="G39" s="152"/>
      <c r="H39" s="152"/>
      <c r="I39" s="152"/>
    </row>
    <row r="40" spans="1:9" ht="21" thickBot="1" x14ac:dyDescent="0.35">
      <c r="A40" s="140"/>
      <c r="B40" s="141"/>
      <c r="C40" s="141"/>
      <c r="D40" s="141"/>
      <c r="E40" s="141"/>
      <c r="F40" s="141"/>
      <c r="G40" s="141"/>
      <c r="H40" s="141"/>
      <c r="I40" s="142"/>
    </row>
    <row r="41" spans="1:9" ht="20.25" x14ac:dyDescent="0.3">
      <c r="A41" s="143" t="s">
        <v>62</v>
      </c>
      <c r="B41" s="144"/>
      <c r="C41" s="144"/>
      <c r="D41" s="144"/>
      <c r="E41" s="144"/>
      <c r="F41" s="144"/>
      <c r="G41" s="144"/>
      <c r="H41" s="144"/>
      <c r="I41" s="144"/>
    </row>
    <row r="42" spans="1:9" ht="20.25" x14ac:dyDescent="0.3">
      <c r="A42" s="145" t="s">
        <v>70</v>
      </c>
      <c r="B42" s="146"/>
      <c r="C42" s="146"/>
      <c r="D42" s="146"/>
      <c r="E42" s="146"/>
      <c r="F42" s="146"/>
      <c r="G42" s="146"/>
      <c r="H42" s="146"/>
      <c r="I42" s="147"/>
    </row>
    <row r="43" spans="1:9" ht="20.25" x14ac:dyDescent="0.3">
      <c r="A43" s="148" t="s">
        <v>75</v>
      </c>
      <c r="B43" s="148"/>
      <c r="C43" s="148"/>
      <c r="D43" s="148"/>
      <c r="E43" s="148"/>
      <c r="F43" s="148"/>
      <c r="G43" s="148"/>
      <c r="H43" s="148"/>
      <c r="I43" s="148"/>
    </row>
    <row r="44" spans="1:9" ht="20.25" x14ac:dyDescent="0.3">
      <c r="A44" s="81"/>
      <c r="B44" s="81"/>
      <c r="C44" s="81"/>
      <c r="D44" s="81"/>
      <c r="E44" s="81"/>
      <c r="F44" s="81"/>
      <c r="G44" s="81"/>
      <c r="H44" s="81"/>
      <c r="I44" s="81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9:C29"/>
    <mergeCell ref="F29:G29"/>
    <mergeCell ref="H29:I29"/>
    <mergeCell ref="A30:C30"/>
    <mergeCell ref="F30:G30"/>
    <mergeCell ref="H30:I30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40:I40"/>
    <mergeCell ref="A41:I41"/>
    <mergeCell ref="A42:I42"/>
    <mergeCell ref="A43:I43"/>
    <mergeCell ref="A37:I37"/>
    <mergeCell ref="A38:I38"/>
    <mergeCell ref="A39:I39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55D6FDB-8DF9-491F-A013-A80C4960D743}"/>
</file>

<file path=customXml/itemProps2.xml><?xml version="1.0" encoding="utf-8"?>
<ds:datastoreItem xmlns:ds="http://schemas.openxmlformats.org/officeDocument/2006/customXml" ds:itemID="{AC898F38-ACD3-4BCB-952F-786D1E405FC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5F8DE2F-B38D-4D89-90D7-9D9005B4C09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0728640-2606-47C4-8CAE-0BF311B7E21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Allan Brenes</cp:lastModifiedBy>
  <cp:lastPrinted>2026-01-09T22:01:22Z</cp:lastPrinted>
  <dcterms:created xsi:type="dcterms:W3CDTF">2015-03-24T17:24:00Z</dcterms:created>
  <dcterms:modified xsi:type="dcterms:W3CDTF">2026-01-09T22:02:13Z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379600.000000000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
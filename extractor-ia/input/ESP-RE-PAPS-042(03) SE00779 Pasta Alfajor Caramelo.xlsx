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4" documentId="8_{C271DF25-A9A3-4E02-852B-37D03F8B3A84}" xr6:coauthVersionLast="47" xr6:coauthVersionMax="47" xr10:uidLastSave="{52ADE23D-E82F-412C-9D52-4ED59413C7BD}"/>
  <bookViews>
    <workbookView xWindow="20370" yWindow="-120" windowWidth="24240" windowHeight="13020" tabRatio="723" firstSheet="3" activeTab="3" xr2:uid="{86A95AF8-34C1-4DB7-AE30-E3F9DEB6557E}"/>
  </bookViews>
  <sheets>
    <sheet name="Costo Empaque " sheetId="19" state="hidden" r:id="rId1"/>
    <sheet name="Costo corte circulo" sheetId="18" state="hidden" r:id="rId2"/>
    <sheet name="Pasta Alfajor Caramelo" sheetId="13" state="hidden" r:id="rId3"/>
    <sheet name="Pasta Alfajor Caramelo 2" sheetId="20" r:id="rId4"/>
    <sheet name="Costo Pasta Alfajor Caramelo" sheetId="17" state="hidden" r:id="rId5"/>
  </sheets>
  <externalReferences>
    <externalReference r:id="rId6"/>
    <externalReference r:id="rId7"/>
  </externalReferences>
  <definedNames>
    <definedName name="_xlnm.Print_Area" localSheetId="3">'Pasta Alfajor Caramelo 2'!$A$1:$I$33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0" l="1"/>
  <c r="D73" i="19" l="1"/>
  <c r="D74" i="19" s="1"/>
  <c r="D76" i="19" s="1"/>
  <c r="D71" i="19"/>
  <c r="D69" i="19"/>
  <c r="F65" i="19"/>
  <c r="C73" i="19" s="1"/>
  <c r="D60" i="19"/>
  <c r="D85" i="19" s="1"/>
  <c r="D86" i="19" s="1"/>
  <c r="E51" i="19"/>
  <c r="C51" i="19"/>
  <c r="F51" i="19" s="1"/>
  <c r="E50" i="19"/>
  <c r="D50" i="19"/>
  <c r="B50" i="19"/>
  <c r="E49" i="19"/>
  <c r="F49" i="19" s="1"/>
  <c r="D49" i="19"/>
  <c r="B49" i="19"/>
  <c r="A49" i="19"/>
  <c r="C49" i="19" s="1"/>
  <c r="E48" i="19"/>
  <c r="D48" i="19"/>
  <c r="B48" i="19"/>
  <c r="E47" i="19"/>
  <c r="D47" i="19"/>
  <c r="B47" i="19"/>
  <c r="E46" i="19"/>
  <c r="D46" i="19"/>
  <c r="B46" i="19"/>
  <c r="E45" i="19"/>
  <c r="D45" i="19"/>
  <c r="B45" i="19"/>
  <c r="E41" i="19"/>
  <c r="D41" i="19"/>
  <c r="B41" i="19"/>
  <c r="A41" i="19"/>
  <c r="A50" i="19" s="1"/>
  <c r="C50" i="19" s="1"/>
  <c r="E40" i="19"/>
  <c r="D40" i="19"/>
  <c r="B40" i="19"/>
  <c r="A40" i="19"/>
  <c r="C40" i="19" s="1"/>
  <c r="E39" i="19"/>
  <c r="F39" i="19" s="1"/>
  <c r="D39" i="19"/>
  <c r="C39" i="19"/>
  <c r="B39" i="19"/>
  <c r="A39" i="19"/>
  <c r="A48" i="19" s="1"/>
  <c r="C48" i="19" s="1"/>
  <c r="E38" i="19"/>
  <c r="D38" i="19"/>
  <c r="B38" i="19"/>
  <c r="A38" i="19"/>
  <c r="C38" i="19" s="1"/>
  <c r="E37" i="19"/>
  <c r="D37" i="19"/>
  <c r="B37" i="19"/>
  <c r="A37" i="19"/>
  <c r="C37" i="19" s="1"/>
  <c r="E36" i="19"/>
  <c r="D36" i="19"/>
  <c r="B36" i="19"/>
  <c r="A36" i="19"/>
  <c r="A45" i="19" s="1"/>
  <c r="C45" i="19" s="1"/>
  <c r="A35" i="19"/>
  <c r="C35" i="19" s="1"/>
  <c r="E32" i="19"/>
  <c r="D32" i="19"/>
  <c r="C32" i="19"/>
  <c r="B32" i="19"/>
  <c r="F31" i="19"/>
  <c r="D31" i="19"/>
  <c r="C31" i="19"/>
  <c r="B31" i="19"/>
  <c r="F30" i="19"/>
  <c r="D30" i="19"/>
  <c r="C30" i="19"/>
  <c r="B30" i="19"/>
  <c r="F29" i="19"/>
  <c r="D29" i="19"/>
  <c r="C29" i="19"/>
  <c r="B29" i="19"/>
  <c r="F28" i="19"/>
  <c r="D28" i="19"/>
  <c r="C28" i="19"/>
  <c r="B28" i="19"/>
  <c r="F27" i="19"/>
  <c r="D27" i="19"/>
  <c r="C27" i="19"/>
  <c r="B27" i="19"/>
  <c r="E24" i="19"/>
  <c r="F24" i="19" s="1"/>
  <c r="D24" i="19"/>
  <c r="C24" i="19"/>
  <c r="B24" i="19"/>
  <c r="E23" i="19"/>
  <c r="F23" i="19" s="1"/>
  <c r="D23" i="19"/>
  <c r="C23" i="19"/>
  <c r="B23" i="19"/>
  <c r="E22" i="19"/>
  <c r="F22" i="19" s="1"/>
  <c r="D22" i="19"/>
  <c r="C22" i="19"/>
  <c r="B22" i="19"/>
  <c r="E21" i="19"/>
  <c r="F21" i="19" s="1"/>
  <c r="D21" i="19"/>
  <c r="C21" i="19"/>
  <c r="B21" i="19"/>
  <c r="E20" i="19"/>
  <c r="F20" i="19" s="1"/>
  <c r="D20" i="19"/>
  <c r="C20" i="19"/>
  <c r="B20" i="19"/>
  <c r="E19" i="19"/>
  <c r="F19" i="19" s="1"/>
  <c r="D19" i="19"/>
  <c r="C19" i="19"/>
  <c r="B19" i="19"/>
  <c r="E18" i="19"/>
  <c r="F18" i="19" s="1"/>
  <c r="D18" i="19"/>
  <c r="C18" i="19"/>
  <c r="B18" i="19"/>
  <c r="C17" i="19"/>
  <c r="B15" i="19"/>
  <c r="E14" i="19"/>
  <c r="D14" i="19"/>
  <c r="C14" i="19"/>
  <c r="B14" i="19"/>
  <c r="E13" i="19"/>
  <c r="D13" i="19"/>
  <c r="C13" i="19"/>
  <c r="B13" i="19"/>
  <c r="E12" i="19"/>
  <c r="D12" i="19"/>
  <c r="C12" i="19"/>
  <c r="B12" i="19"/>
  <c r="E11" i="19"/>
  <c r="D11" i="19"/>
  <c r="C11" i="19"/>
  <c r="B11" i="19"/>
  <c r="E10" i="19"/>
  <c r="D10" i="19"/>
  <c r="C10" i="19"/>
  <c r="B10" i="19"/>
  <c r="E9" i="19"/>
  <c r="D9" i="19"/>
  <c r="C9" i="19"/>
  <c r="B9" i="19"/>
  <c r="E8" i="19"/>
  <c r="D8" i="19"/>
  <c r="C8" i="19"/>
  <c r="B8" i="19"/>
  <c r="H6" i="19"/>
  <c r="D74" i="18"/>
  <c r="D76" i="18" s="1"/>
  <c r="D73" i="18"/>
  <c r="C73" i="18"/>
  <c r="E73" i="18" s="1"/>
  <c r="D71" i="18"/>
  <c r="D69" i="18"/>
  <c r="F65" i="18"/>
  <c r="E51" i="18" s="1"/>
  <c r="D60" i="18"/>
  <c r="D83" i="18" s="1"/>
  <c r="C51" i="18"/>
  <c r="E50" i="18"/>
  <c r="D50" i="18"/>
  <c r="B50" i="18"/>
  <c r="E49" i="18"/>
  <c r="D49" i="18"/>
  <c r="B49" i="18"/>
  <c r="E48" i="18"/>
  <c r="D48" i="18"/>
  <c r="B48" i="18"/>
  <c r="E47" i="18"/>
  <c r="D47" i="18"/>
  <c r="B47" i="18"/>
  <c r="E46" i="18"/>
  <c r="D46" i="18"/>
  <c r="B46" i="18"/>
  <c r="E41" i="18"/>
  <c r="D41" i="18"/>
  <c r="C41" i="18"/>
  <c r="B41" i="18"/>
  <c r="A41" i="18"/>
  <c r="A50" i="18" s="1"/>
  <c r="C50" i="18" s="1"/>
  <c r="E40" i="18"/>
  <c r="D40" i="18"/>
  <c r="B40" i="18"/>
  <c r="A40" i="18"/>
  <c r="C40" i="18" s="1"/>
  <c r="E39" i="18"/>
  <c r="D39" i="18"/>
  <c r="B39" i="18"/>
  <c r="A39" i="18"/>
  <c r="C39" i="18" s="1"/>
  <c r="E38" i="18"/>
  <c r="D38" i="18"/>
  <c r="B38" i="18"/>
  <c r="A38" i="18"/>
  <c r="C38" i="18" s="1"/>
  <c r="E37" i="18"/>
  <c r="D37" i="18"/>
  <c r="B37" i="18"/>
  <c r="A37" i="18"/>
  <c r="A46" i="18" s="1"/>
  <c r="C46" i="18" s="1"/>
  <c r="C36" i="18"/>
  <c r="A36" i="18"/>
  <c r="A45" i="18" s="1"/>
  <c r="C45" i="18" s="1"/>
  <c r="A35" i="18"/>
  <c r="A44" i="18" s="1"/>
  <c r="C44" i="18" s="1"/>
  <c r="E32" i="18"/>
  <c r="F32" i="18" s="1"/>
  <c r="D32" i="18"/>
  <c r="C32" i="18"/>
  <c r="B32" i="18"/>
  <c r="E31" i="18"/>
  <c r="D31" i="18"/>
  <c r="C31" i="18"/>
  <c r="B31" i="18"/>
  <c r="E30" i="18"/>
  <c r="F30" i="18" s="1"/>
  <c r="D30" i="18"/>
  <c r="C30" i="18"/>
  <c r="B30" i="18"/>
  <c r="E29" i="18"/>
  <c r="F29" i="18" s="1"/>
  <c r="D29" i="18"/>
  <c r="C29" i="18"/>
  <c r="B29" i="18"/>
  <c r="E28" i="18"/>
  <c r="F28" i="18" s="1"/>
  <c r="D28" i="18"/>
  <c r="C28" i="18"/>
  <c r="B28" i="18"/>
  <c r="E27" i="18"/>
  <c r="F27" i="18" s="1"/>
  <c r="D27" i="18"/>
  <c r="C27" i="18"/>
  <c r="B27" i="18"/>
  <c r="E24" i="18"/>
  <c r="F24" i="18" s="1"/>
  <c r="D24" i="18"/>
  <c r="C24" i="18"/>
  <c r="B24" i="18"/>
  <c r="E23" i="18"/>
  <c r="F23" i="18" s="1"/>
  <c r="D23" i="18"/>
  <c r="C23" i="18"/>
  <c r="B23" i="18"/>
  <c r="E22" i="18"/>
  <c r="F22" i="18" s="1"/>
  <c r="D22" i="18"/>
  <c r="C22" i="18"/>
  <c r="B22" i="18"/>
  <c r="E21" i="18"/>
  <c r="F21" i="18" s="1"/>
  <c r="D21" i="18"/>
  <c r="C21" i="18"/>
  <c r="B21" i="18"/>
  <c r="E20" i="18"/>
  <c r="F20" i="18" s="1"/>
  <c r="D20" i="18"/>
  <c r="C20" i="18"/>
  <c r="B20" i="18"/>
  <c r="E19" i="18"/>
  <c r="F19" i="18" s="1"/>
  <c r="D19" i="18"/>
  <c r="C19" i="18"/>
  <c r="B19" i="18"/>
  <c r="C18" i="18"/>
  <c r="C17" i="18"/>
  <c r="B15" i="18"/>
  <c r="E14" i="18"/>
  <c r="F14" i="18" s="1"/>
  <c r="D14" i="18"/>
  <c r="C14" i="18"/>
  <c r="B14" i="18"/>
  <c r="E13" i="18"/>
  <c r="D13" i="18"/>
  <c r="C13" i="18"/>
  <c r="B13" i="18"/>
  <c r="E12" i="18"/>
  <c r="F12" i="18" s="1"/>
  <c r="D12" i="18"/>
  <c r="C12" i="18"/>
  <c r="B12" i="18"/>
  <c r="E11" i="18"/>
  <c r="D11" i="18"/>
  <c r="C11" i="18"/>
  <c r="B11" i="18"/>
  <c r="E10" i="18"/>
  <c r="D10" i="18"/>
  <c r="C10" i="18"/>
  <c r="B10" i="18"/>
  <c r="E9" i="18"/>
  <c r="D9" i="18"/>
  <c r="C9" i="18"/>
  <c r="B9" i="18"/>
  <c r="E8" i="18"/>
  <c r="D8" i="18"/>
  <c r="C8" i="18"/>
  <c r="B8" i="18"/>
  <c r="H6" i="18"/>
  <c r="D73" i="17"/>
  <c r="D74" i="17" s="1"/>
  <c r="D76" i="17" s="1"/>
  <c r="D71" i="17"/>
  <c r="D69" i="17"/>
  <c r="F65" i="17"/>
  <c r="E51" i="17" s="1"/>
  <c r="D60" i="17"/>
  <c r="D85" i="17" s="1"/>
  <c r="D86" i="17" s="1"/>
  <c r="C51" i="17"/>
  <c r="E50" i="17"/>
  <c r="D50" i="17"/>
  <c r="B50" i="17"/>
  <c r="E49" i="17"/>
  <c r="D49" i="17"/>
  <c r="B49" i="17"/>
  <c r="E48" i="17"/>
  <c r="D48" i="17"/>
  <c r="B48" i="17"/>
  <c r="E47" i="17"/>
  <c r="D47" i="17"/>
  <c r="B47" i="17"/>
  <c r="E46" i="17"/>
  <c r="D46" i="17"/>
  <c r="B46" i="17"/>
  <c r="E45" i="17"/>
  <c r="D45" i="17"/>
  <c r="B45" i="17"/>
  <c r="F44" i="17"/>
  <c r="E41" i="17"/>
  <c r="D41" i="17"/>
  <c r="B41" i="17"/>
  <c r="A41" i="17"/>
  <c r="A50" i="17" s="1"/>
  <c r="C50" i="17" s="1"/>
  <c r="E40" i="17"/>
  <c r="D40" i="17"/>
  <c r="B40" i="17"/>
  <c r="A40" i="17"/>
  <c r="C40" i="17" s="1"/>
  <c r="E39" i="17"/>
  <c r="D39" i="17"/>
  <c r="B39" i="17"/>
  <c r="A39" i="17"/>
  <c r="C39" i="17" s="1"/>
  <c r="E38" i="17"/>
  <c r="D38" i="17"/>
  <c r="B38" i="17"/>
  <c r="A38" i="17"/>
  <c r="C38" i="17" s="1"/>
  <c r="E37" i="17"/>
  <c r="D37" i="17"/>
  <c r="B37" i="17"/>
  <c r="A37" i="17"/>
  <c r="C37" i="17" s="1"/>
  <c r="E36" i="17"/>
  <c r="D36" i="17"/>
  <c r="C36" i="17"/>
  <c r="B36" i="17"/>
  <c r="A36" i="17"/>
  <c r="A45" i="17" s="1"/>
  <c r="C45" i="17" s="1"/>
  <c r="A35" i="17"/>
  <c r="A44" i="17" s="1"/>
  <c r="C44" i="17" s="1"/>
  <c r="E32" i="17"/>
  <c r="D32" i="17"/>
  <c r="C32" i="17"/>
  <c r="B32" i="17"/>
  <c r="E31" i="17"/>
  <c r="F31" i="17" s="1"/>
  <c r="D31" i="17"/>
  <c r="C31" i="17"/>
  <c r="B31" i="17"/>
  <c r="E30" i="17"/>
  <c r="D30" i="17"/>
  <c r="C30" i="17"/>
  <c r="B30" i="17"/>
  <c r="E29" i="17"/>
  <c r="D29" i="17"/>
  <c r="C29" i="17"/>
  <c r="B29" i="17"/>
  <c r="E28" i="17"/>
  <c r="F28" i="17" s="1"/>
  <c r="D28" i="17"/>
  <c r="C28" i="17"/>
  <c r="B28" i="17"/>
  <c r="E27" i="17"/>
  <c r="F27" i="17" s="1"/>
  <c r="D27" i="17"/>
  <c r="C27" i="17"/>
  <c r="B27" i="17"/>
  <c r="E24" i="17"/>
  <c r="F24" i="17" s="1"/>
  <c r="D24" i="17"/>
  <c r="C24" i="17"/>
  <c r="B24" i="17"/>
  <c r="E23" i="17"/>
  <c r="F23" i="17" s="1"/>
  <c r="D23" i="17"/>
  <c r="C23" i="17"/>
  <c r="B23" i="17"/>
  <c r="E22" i="17"/>
  <c r="D22" i="17"/>
  <c r="C22" i="17"/>
  <c r="B22" i="17"/>
  <c r="E21" i="17"/>
  <c r="F21" i="17" s="1"/>
  <c r="D21" i="17"/>
  <c r="C21" i="17"/>
  <c r="B21" i="17"/>
  <c r="E20" i="17"/>
  <c r="F20" i="17" s="1"/>
  <c r="D20" i="17"/>
  <c r="C20" i="17"/>
  <c r="B20" i="17"/>
  <c r="E19" i="17"/>
  <c r="D19" i="17"/>
  <c r="C19" i="17"/>
  <c r="B19" i="17"/>
  <c r="E18" i="17"/>
  <c r="F18" i="17" s="1"/>
  <c r="D18" i="17"/>
  <c r="C18" i="17"/>
  <c r="B18" i="17"/>
  <c r="C17" i="17"/>
  <c r="B15" i="17"/>
  <c r="E14" i="17"/>
  <c r="F14" i="17" s="1"/>
  <c r="D14" i="17"/>
  <c r="C14" i="17"/>
  <c r="B14" i="17"/>
  <c r="E13" i="17"/>
  <c r="F13" i="17" s="1"/>
  <c r="D13" i="17"/>
  <c r="C13" i="17"/>
  <c r="B13" i="17"/>
  <c r="E12" i="17"/>
  <c r="F12" i="17" s="1"/>
  <c r="D12" i="17"/>
  <c r="C12" i="17"/>
  <c r="B12" i="17"/>
  <c r="E11" i="17"/>
  <c r="D11" i="17"/>
  <c r="C11" i="17"/>
  <c r="B11" i="17"/>
  <c r="E10" i="17"/>
  <c r="F10" i="17" s="1"/>
  <c r="D10" i="17"/>
  <c r="C10" i="17"/>
  <c r="B10" i="17"/>
  <c r="E9" i="17"/>
  <c r="F9" i="17" s="1"/>
  <c r="D9" i="17"/>
  <c r="C9" i="17"/>
  <c r="B9" i="17"/>
  <c r="C8" i="17"/>
  <c r="H6" i="17"/>
  <c r="D38" i="13"/>
  <c r="F9" i="19" l="1"/>
  <c r="F12" i="19"/>
  <c r="F50" i="19"/>
  <c r="F38" i="19"/>
  <c r="F30" i="17"/>
  <c r="F10" i="18"/>
  <c r="F37" i="19"/>
  <c r="F31" i="18"/>
  <c r="F8" i="18"/>
  <c r="F11" i="18"/>
  <c r="F32" i="17"/>
  <c r="F9" i="18"/>
  <c r="F10" i="19"/>
  <c r="F13" i="19"/>
  <c r="F32" i="19"/>
  <c r="F11" i="17"/>
  <c r="F13" i="18"/>
  <c r="F8" i="19"/>
  <c r="F11" i="19"/>
  <c r="F14" i="19"/>
  <c r="F45" i="19"/>
  <c r="F46" i="19"/>
  <c r="F40" i="19"/>
  <c r="F47" i="19"/>
  <c r="C85" i="19"/>
  <c r="E85" i="19" s="1"/>
  <c r="E73" i="19"/>
  <c r="F48" i="19"/>
  <c r="C41" i="19"/>
  <c r="F41" i="19" s="1"/>
  <c r="A47" i="19"/>
  <c r="C47" i="19" s="1"/>
  <c r="D81" i="19"/>
  <c r="C36" i="19"/>
  <c r="F36" i="19" s="1"/>
  <c r="D83" i="19"/>
  <c r="A44" i="19"/>
  <c r="C44" i="19" s="1"/>
  <c r="A46" i="19"/>
  <c r="C46" i="19" s="1"/>
  <c r="F51" i="18"/>
  <c r="C85" i="18"/>
  <c r="D81" i="18"/>
  <c r="D85" i="18"/>
  <c r="D86" i="18" s="1"/>
  <c r="F41" i="18"/>
  <c r="F39" i="18"/>
  <c r="F40" i="18"/>
  <c r="F46" i="18"/>
  <c r="F50" i="18"/>
  <c r="C37" i="18"/>
  <c r="F37" i="18" s="1"/>
  <c r="F36" i="18"/>
  <c r="F18" i="18"/>
  <c r="C35" i="18"/>
  <c r="F51" i="17"/>
  <c r="D81" i="17"/>
  <c r="F40" i="17"/>
  <c r="F37" i="17"/>
  <c r="F38" i="17"/>
  <c r="F29" i="17"/>
  <c r="A47" i="17"/>
  <c r="C47" i="17" s="1"/>
  <c r="F47" i="17" s="1"/>
  <c r="F45" i="17"/>
  <c r="F22" i="17"/>
  <c r="C41" i="17"/>
  <c r="F19" i="17"/>
  <c r="F41" i="17"/>
  <c r="F36" i="17"/>
  <c r="F8" i="17"/>
  <c r="C35" i="17"/>
  <c r="F17" i="17"/>
  <c r="F35" i="17"/>
  <c r="F45" i="18"/>
  <c r="F38" i="18"/>
  <c r="A47" i="18"/>
  <c r="C47" i="18" s="1"/>
  <c r="F47" i="18" s="1"/>
  <c r="A49" i="18"/>
  <c r="C49" i="18" s="1"/>
  <c r="F49" i="18" s="1"/>
  <c r="A48" i="18"/>
  <c r="C48" i="18" s="1"/>
  <c r="F48" i="18" s="1"/>
  <c r="F50" i="17"/>
  <c r="F39" i="17"/>
  <c r="C73" i="17"/>
  <c r="A49" i="17"/>
  <c r="C49" i="17" s="1"/>
  <c r="F49" i="17" s="1"/>
  <c r="D83" i="17"/>
  <c r="A46" i="17"/>
  <c r="C46" i="17" s="1"/>
  <c r="F46" i="17" s="1"/>
  <c r="A48" i="17"/>
  <c r="C48" i="17" s="1"/>
  <c r="F48" i="17" s="1"/>
  <c r="E85" i="18" l="1"/>
  <c r="F53" i="17"/>
  <c r="C69" i="17" s="1"/>
  <c r="F54" i="17"/>
  <c r="H54" i="17" s="1"/>
  <c r="G2" i="17" s="1"/>
  <c r="C85" i="17"/>
  <c r="E85" i="17" s="1"/>
  <c r="E73" i="17"/>
  <c r="F56" i="17"/>
  <c r="F64" i="17" l="1"/>
  <c r="H53" i="17"/>
  <c r="F2" i="17" s="1"/>
  <c r="F55" i="17"/>
  <c r="H55" i="17" s="1"/>
  <c r="C76" i="17"/>
  <c r="E76" i="17" s="1"/>
  <c r="E35" i="18" s="1"/>
  <c r="F35" i="18" s="1"/>
  <c r="F54" i="18" s="1"/>
  <c r="C76" i="18" s="1"/>
  <c r="E76" i="18" s="1"/>
  <c r="H56" i="17"/>
  <c r="C74" i="17"/>
  <c r="E69" i="17"/>
  <c r="E17" i="18" s="1"/>
  <c r="F17" i="18" s="1"/>
  <c r="F53" i="18" s="1"/>
  <c r="F64" i="18" s="1"/>
  <c r="C81" i="17"/>
  <c r="E81" i="17" s="1"/>
  <c r="H53" i="18" l="1"/>
  <c r="E17" i="19" s="1"/>
  <c r="F17" i="19" s="1"/>
  <c r="F53" i="19" s="1"/>
  <c r="F55" i="18"/>
  <c r="O54" i="18" s="1"/>
  <c r="O56" i="18" s="1"/>
  <c r="C69" i="18"/>
  <c r="E69" i="18" s="1"/>
  <c r="H54" i="18"/>
  <c r="F63" i="17"/>
  <c r="C71" i="17" s="1"/>
  <c r="O54" i="17"/>
  <c r="O56" i="17" s="1"/>
  <c r="C86" i="17"/>
  <c r="E86" i="17" s="1"/>
  <c r="E74" i="17"/>
  <c r="H2" i="17"/>
  <c r="O55" i="17"/>
  <c r="H58" i="17"/>
  <c r="H59" i="17" s="1"/>
  <c r="O58" i="17" s="1"/>
  <c r="F2" i="18" l="1"/>
  <c r="C81" i="18"/>
  <c r="E81" i="18" s="1"/>
  <c r="H55" i="18"/>
  <c r="O57" i="17"/>
  <c r="O59" i="17" s="1"/>
  <c r="O60" i="17" s="1"/>
  <c r="O61" i="17" s="1"/>
  <c r="O62" i="17" s="1"/>
  <c r="F63" i="18"/>
  <c r="E63" i="18" s="1"/>
  <c r="G2" i="18"/>
  <c r="E35" i="19"/>
  <c r="F35" i="19" s="1"/>
  <c r="F54" i="19" s="1"/>
  <c r="H53" i="19"/>
  <c r="F2" i="19" s="1"/>
  <c r="F64" i="19"/>
  <c r="C69" i="19"/>
  <c r="E78" i="17"/>
  <c r="E44" i="18"/>
  <c r="F44" i="18" s="1"/>
  <c r="F56" i="18" s="1"/>
  <c r="F66" i="17"/>
  <c r="G35" i="17" s="1"/>
  <c r="E63" i="17"/>
  <c r="C83" i="17"/>
  <c r="E83" i="17" s="1"/>
  <c r="E71" i="17"/>
  <c r="G23" i="17" l="1"/>
  <c r="F66" i="18"/>
  <c r="G63" i="18" s="1"/>
  <c r="C71" i="18"/>
  <c r="C83" i="18" s="1"/>
  <c r="E83" i="18" s="1"/>
  <c r="F55" i="19"/>
  <c r="H54" i="19"/>
  <c r="G2" i="19" s="1"/>
  <c r="C76" i="19"/>
  <c r="E76" i="19" s="1"/>
  <c r="G50" i="17"/>
  <c r="G47" i="17"/>
  <c r="G44" i="17"/>
  <c r="G13" i="17"/>
  <c r="H56" i="18"/>
  <c r="C74" i="18"/>
  <c r="G66" i="17"/>
  <c r="E69" i="19"/>
  <c r="C81" i="19"/>
  <c r="E81" i="19" s="1"/>
  <c r="G46" i="17"/>
  <c r="G48" i="17"/>
  <c r="G53" i="17"/>
  <c r="G49" i="17"/>
  <c r="G36" i="17"/>
  <c r="G51" i="17"/>
  <c r="G22" i="17"/>
  <c r="G45" i="17"/>
  <c r="G24" i="17"/>
  <c r="G28" i="17"/>
  <c r="G37" i="17"/>
  <c r="G21" i="17"/>
  <c r="G32" i="17"/>
  <c r="G31" i="17"/>
  <c r="G10" i="17"/>
  <c r="G11" i="17"/>
  <c r="G54" i="17"/>
  <c r="G20" i="17"/>
  <c r="G27" i="17"/>
  <c r="G18" i="17"/>
  <c r="G63" i="17"/>
  <c r="G38" i="17"/>
  <c r="G8" i="17"/>
  <c r="G39" i="17"/>
  <c r="G17" i="17"/>
  <c r="G30" i="17"/>
  <c r="G9" i="17"/>
  <c r="G29" i="17"/>
  <c r="G55" i="17"/>
  <c r="G41" i="17"/>
  <c r="G19" i="17"/>
  <c r="G65" i="17"/>
  <c r="G56" i="17"/>
  <c r="G40" i="17"/>
  <c r="G64" i="17"/>
  <c r="G12" i="17"/>
  <c r="G14" i="17"/>
  <c r="P62" i="17"/>
  <c r="E2" i="17"/>
  <c r="G65" i="18" l="1"/>
  <c r="G50" i="18"/>
  <c r="G28" i="18"/>
  <c r="G55" i="18"/>
  <c r="G37" i="18"/>
  <c r="G19" i="18"/>
  <c r="G48" i="18"/>
  <c r="G39" i="18"/>
  <c r="G31" i="18"/>
  <c r="G36" i="18"/>
  <c r="G46" i="18"/>
  <c r="G9" i="18"/>
  <c r="G29" i="18"/>
  <c r="G35" i="18"/>
  <c r="G24" i="18"/>
  <c r="G21" i="18"/>
  <c r="G53" i="18"/>
  <c r="G64" i="18"/>
  <c r="G41" i="18"/>
  <c r="G14" i="18"/>
  <c r="G47" i="18"/>
  <c r="G11" i="18"/>
  <c r="G18" i="18"/>
  <c r="G66" i="18"/>
  <c r="G49" i="18"/>
  <c r="G20" i="18"/>
  <c r="G10" i="18"/>
  <c r="G22" i="18"/>
  <c r="G13" i="18"/>
  <c r="G12" i="18"/>
  <c r="G30" i="18"/>
  <c r="G17" i="18"/>
  <c r="G32" i="18"/>
  <c r="G45" i="18"/>
  <c r="G40" i="18"/>
  <c r="G38" i="18"/>
  <c r="G23" i="18"/>
  <c r="G56" i="18"/>
  <c r="G8" i="18"/>
  <c r="G44" i="18"/>
  <c r="G51" i="18"/>
  <c r="G27" i="18"/>
  <c r="G54" i="18"/>
  <c r="E71" i="18"/>
  <c r="C86" i="18"/>
  <c r="E86" i="18" s="1"/>
  <c r="E74" i="18"/>
  <c r="E78" i="18" s="1"/>
  <c r="O54" i="19"/>
  <c r="O56" i="19" s="1"/>
  <c r="F63" i="19"/>
  <c r="H55" i="19"/>
  <c r="E44" i="19"/>
  <c r="F44" i="19" s="1"/>
  <c r="O55" i="18"/>
  <c r="O57" i="18" s="1"/>
  <c r="H2" i="18"/>
  <c r="H58" i="18"/>
  <c r="H59" i="18" s="1"/>
  <c r="O58" i="18" s="1"/>
  <c r="F66" i="19" l="1"/>
  <c r="G44" i="19" s="1"/>
  <c r="E63" i="19"/>
  <c r="C71" i="19"/>
  <c r="O59" i="18"/>
  <c r="O60" i="18" s="1"/>
  <c r="O61" i="18" s="1"/>
  <c r="O62" i="18" s="1"/>
  <c r="F56" i="19"/>
  <c r="H56" i="19" l="1"/>
  <c r="C74" i="19"/>
  <c r="G56" i="19"/>
  <c r="E2" i="18"/>
  <c r="P62" i="18"/>
  <c r="C83" i="19"/>
  <c r="E83" i="19" s="1"/>
  <c r="E71" i="19"/>
  <c r="G63" i="19"/>
  <c r="G28" i="19"/>
  <c r="G27" i="19"/>
  <c r="G23" i="19"/>
  <c r="G64" i="19"/>
  <c r="G8" i="19"/>
  <c r="G11" i="19"/>
  <c r="G41" i="19"/>
  <c r="G49" i="19"/>
  <c r="G18" i="19"/>
  <c r="G10" i="19"/>
  <c r="G21" i="19"/>
  <c r="G47" i="19"/>
  <c r="G24" i="19"/>
  <c r="G29" i="19"/>
  <c r="G35" i="19"/>
  <c r="G45" i="19"/>
  <c r="G22" i="19"/>
  <c r="G9" i="19"/>
  <c r="G53" i="19"/>
  <c r="G31" i="19"/>
  <c r="G37" i="19"/>
  <c r="G32" i="19"/>
  <c r="G46" i="19"/>
  <c r="G66" i="19"/>
  <c r="G13" i="19"/>
  <c r="G50" i="19"/>
  <c r="G40" i="19"/>
  <c r="G20" i="19"/>
  <c r="G30" i="19"/>
  <c r="G14" i="19"/>
  <c r="G12" i="19"/>
  <c r="G48" i="19"/>
  <c r="G65" i="19"/>
  <c r="G17" i="19"/>
  <c r="G51" i="19"/>
  <c r="G36" i="19"/>
  <c r="G39" i="19"/>
  <c r="G19" i="19"/>
  <c r="G38" i="19"/>
  <c r="G54" i="19"/>
  <c r="G55" i="19"/>
  <c r="C86" i="19" l="1"/>
  <c r="E86" i="19" s="1"/>
  <c r="E74" i="19"/>
  <c r="E78" i="19" s="1"/>
  <c r="O55" i="19"/>
  <c r="O57" i="19" s="1"/>
  <c r="H2" i="19"/>
  <c r="H58" i="19"/>
  <c r="H59" i="19" s="1"/>
  <c r="O58" i="19" s="1"/>
  <c r="O59" i="19" l="1"/>
  <c r="O60" i="19" s="1"/>
  <c r="O61" i="19" s="1"/>
  <c r="O62" i="19" s="1"/>
  <c r="P62" i="19" l="1"/>
  <c r="O64" i="19"/>
  <c r="E2" i="19"/>
</calcChain>
</file>

<file path=xl/sharedStrings.xml><?xml version="1.0" encoding="utf-8"?>
<sst xmlns="http://schemas.openxmlformats.org/spreadsheetml/2006/main" count="433" uniqueCount="134">
  <si>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</si>
  <si>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</si>
  <si>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</si>
  <si>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</si>
  <si>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</si>
  <si>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</si>
  <si>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</si>
  <si>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</si>
  <si>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</si>
  <si>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</si>
  <si>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</si>
  <si>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</si>
  <si>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</si>
  <si>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</si>
  <si>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</si>
  <si>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</si>
  <si>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</si>
  <si>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</si>
  <si>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</si>
  <si>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</si>
  <si>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</si>
  <si>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</si>
  <si>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</si>
  <si>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</si>
  <si>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</si>
  <si>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</si>
  <si>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</si>
  <si>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</si>
  <si>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</si>
  <si>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</si>
  <si>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</si>
  <si>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CONTROL DE CAMBIOS</t>
  </si>
  <si>
    <t>FAS</t>
  </si>
  <si>
    <t>Mariela Barrantes Sánchez, Chef</t>
  </si>
  <si>
    <t>Ensamble</t>
  </si>
  <si>
    <t>Tanda</t>
  </si>
  <si>
    <t>Sebastian Díaz, Gte Manufactura</t>
  </si>
  <si>
    <t>0702069</t>
  </si>
  <si>
    <t xml:space="preserve">Nuevo </t>
  </si>
  <si>
    <t>Pastas</t>
  </si>
  <si>
    <t>95613</t>
  </si>
  <si>
    <t>SE00461</t>
  </si>
  <si>
    <t>BASE PREMEZCLA P/PASTA ALFAJOR (23.360g)</t>
  </si>
  <si>
    <t xml:space="preserve">g </t>
  </si>
  <si>
    <t>GRAMOS</t>
  </si>
  <si>
    <t>10415</t>
  </si>
  <si>
    <t>AGUA</t>
  </si>
  <si>
    <t>AYA</t>
  </si>
  <si>
    <t>MILILITROS</t>
  </si>
  <si>
    <t>Decoración</t>
  </si>
  <si>
    <t>Empaque</t>
  </si>
  <si>
    <t>Min.</t>
  </si>
  <si>
    <t>1.- En el tazón de la batidora H600 colocar la margarina, harina y azúcar de la pre mezcla</t>
  </si>
  <si>
    <t>2.- Batir con la paleta los ingredientes por 1 min en velocidad 1 incorporando el agua poco a poco.</t>
  </si>
  <si>
    <t>4.- Sacar la masa del tazón de la batidora y colocar en un bowl de acero inoxidable,  utilizar al momento.</t>
  </si>
  <si>
    <t>NOTA: Si se quiere hacer media receta, se debe dividir la cantidad de cada ingrediente entre 2. La pasta no se debe de guardar de un día para otro.</t>
  </si>
  <si>
    <t>Pasta Alfajor Caramelo</t>
  </si>
  <si>
    <t xml:space="preserve">ASTEK </t>
  </si>
  <si>
    <t xml:space="preserve">Colorante Caramelita </t>
  </si>
  <si>
    <t>3.- Subir a velocidad 2 hasta obtener una masa suave, no hulosa y homogenea, agregar colorante y  Batir por 5 minutos mas.</t>
  </si>
  <si>
    <t>EMPAQUE HARINA ESTANDAR (KILO)</t>
  </si>
  <si>
    <t xml:space="preserve">PASTA ALFAJOR CARAMELO </t>
  </si>
  <si>
    <t xml:space="preserve">CORTE CIRCULO Galleta Mini Chilena Caramelo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</si>
  <si>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</si>
  <si>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</si>
  <si>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</si>
  <si>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</si>
  <si>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</si>
  <si>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</si>
  <si>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</si>
  <si>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</si>
  <si>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</si>
  <si>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</si>
  <si>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</si>
  <si>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</si>
  <si>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</si>
  <si>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</si>
  <si>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</si>
  <si>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</si>
  <si>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</si>
  <si>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</si>
  <si>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</si>
  <si>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</si>
  <si>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</si>
  <si>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</si>
  <si>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</si>
  <si>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</si>
  <si>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</si>
  <si>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</si>
  <si>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</si>
  <si>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</si>
  <si>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</si>
  <si>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</si>
  <si>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</si>
  <si>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</si>
  <si>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</si>
  <si>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</si>
  <si>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</si>
  <si>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</si>
  <si>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</si>
  <si>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</si>
  <si>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</si>
  <si>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</si>
  <si>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</si>
  <si>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</si>
  <si>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</si>
  <si>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</si>
  <si>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</si>
  <si>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</si>
  <si>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</si>
  <si>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</si>
  <si>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</si>
  <si>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</si>
  <si>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</si>
  <si>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</si>
  <si>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</si>
  <si>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 xml:space="preserve">UND </t>
  </si>
  <si>
    <t>SE00778</t>
  </si>
  <si>
    <t>1950769</t>
  </si>
  <si>
    <t>1950672</t>
  </si>
  <si>
    <t>0702007</t>
  </si>
  <si>
    <t>701096</t>
  </si>
  <si>
    <t>UND</t>
  </si>
  <si>
    <t>Maluquer</t>
  </si>
  <si>
    <t>SE00779 Pasta Alfajor Caramelo</t>
  </si>
  <si>
    <t>MP10914</t>
  </si>
  <si>
    <t>ESP-RE-PAPS-042</t>
  </si>
  <si>
    <t>2, Se actualiza dato de procedimiento.</t>
  </si>
  <si>
    <t>1.- En el tazón de la batidora colocar la margarina, harina y azúcar de la pre mezcla</t>
  </si>
  <si>
    <t>2.- Batir con la paleta los ingredientes por 1 min en velocidad 1 incorporando el agua con el colorante poco a poco.</t>
  </si>
  <si>
    <t>3.- Subir a velocidad 2 hasta obtener una masa suave, no hulosa y homogenea.</t>
  </si>
  <si>
    <t xml:space="preserve">4.- Sacar la masa del tazón de la batidora. </t>
  </si>
  <si>
    <t>3, Se actualiza rendimiento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</si>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</sst>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5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4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96">
    <xf numFmtId="0" fontId="0" fillId="0" borderId="0" xfId="0"/>
    <xf numFmtId="0" fontId="2" fillId="0" borderId="14" xfId="0" applyFont="1" applyBorder="1" applyAlignment="1">
      <alignment horizontal="center"/>
    </xf>
    <xf numFmtId="1" fontId="9" fillId="0" borderId="14" xfId="1" applyNumberFormat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49" fontId="10" fillId="0" borderId="14" xfId="0" applyNumberFormat="1" applyFont="1" applyBorder="1" applyAlignment="1">
      <alignment horizontal="center"/>
    </xf>
    <xf numFmtId="0" fontId="0" fillId="0" borderId="14" xfId="0" applyBorder="1"/>
    <xf numFmtId="0" fontId="4" fillId="0" borderId="14" xfId="0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16" fontId="10" fillId="0" borderId="14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3" borderId="17" xfId="2" applyFont="1" applyFill="1" applyBorder="1" applyAlignment="1">
      <alignment horizontal="right"/>
    </xf>
    <xf numFmtId="0" fontId="4" fillId="3" borderId="16" xfId="2" applyFont="1" applyFill="1" applyBorder="1" applyAlignment="1">
      <alignment horizontal="center"/>
    </xf>
    <xf numFmtId="0" fontId="6" fillId="3" borderId="14" xfId="2" applyFont="1" applyFill="1" applyBorder="1" applyAlignment="1">
      <alignment horizontal="right"/>
    </xf>
    <xf numFmtId="49" fontId="4" fillId="3" borderId="13" xfId="2" applyNumberFormat="1" applyFont="1" applyFill="1" applyBorder="1" applyAlignment="1">
      <alignment horizontal="center"/>
    </xf>
    <xf numFmtId="0" fontId="4" fillId="3" borderId="11" xfId="2" applyFont="1" applyFill="1" applyBorder="1" applyAlignment="1">
      <alignment horizontal="right"/>
    </xf>
    <xf numFmtId="0" fontId="4" fillId="3" borderId="14" xfId="2" applyFont="1" applyFill="1" applyBorder="1" applyAlignment="1">
      <alignment horizontal="right"/>
    </xf>
    <xf numFmtId="14" fontId="16" fillId="3" borderId="0" xfId="2" applyNumberFormat="1" applyFont="1" applyFill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1" fontId="6" fillId="2" borderId="2" xfId="1" applyNumberFormat="1" applyFont="1" applyFill="1" applyBorder="1" applyAlignment="1">
      <alignment horizontal="center"/>
    </xf>
    <xf numFmtId="1" fontId="6" fillId="2" borderId="2" xfId="1" applyNumberFormat="1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/>
    </xf>
    <xf numFmtId="0" fontId="12" fillId="0" borderId="15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7" fillId="0" borderId="14" xfId="1" applyFont="1" applyBorder="1" applyAlignment="1">
      <alignment vertical="center"/>
    </xf>
    <xf numFmtId="0" fontId="12" fillId="0" borderId="14" xfId="1" applyFont="1" applyBorder="1" applyAlignment="1">
      <alignment horizontal="center" vertical="center"/>
    </xf>
    <xf numFmtId="1" fontId="12" fillId="0" borderId="14" xfId="1" applyNumberFormat="1" applyFont="1" applyBorder="1" applyAlignment="1">
      <alignment horizontal="center"/>
    </xf>
    <xf numFmtId="1" fontId="12" fillId="0" borderId="14" xfId="1" applyNumberFormat="1" applyFont="1" applyBorder="1" applyAlignment="1">
      <alignment horizontal="center" wrapText="1"/>
    </xf>
    <xf numFmtId="0" fontId="10" fillId="0" borderId="13" xfId="1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2" fontId="15" fillId="0" borderId="14" xfId="1" applyNumberFormat="1" applyFont="1" applyBorder="1" applyAlignment="1">
      <alignment horizontal="center"/>
    </xf>
    <xf numFmtId="0" fontId="18" fillId="0" borderId="14" xfId="0" applyFont="1" applyBorder="1" applyAlignment="1">
      <alignment horizontal="center" wrapText="1"/>
    </xf>
    <xf numFmtId="2" fontId="15" fillId="0" borderId="14" xfId="1" applyNumberFormat="1" applyFont="1" applyBorder="1" applyAlignment="1">
      <alignment horizontal="center" wrapText="1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0" fontId="0" fillId="0" borderId="14" xfId="0" applyBorder="1" applyAlignment="1">
      <alignment horizontal="center"/>
    </xf>
    <xf numFmtId="0" fontId="0" fillId="4" borderId="14" xfId="0" applyFill="1" applyBorder="1"/>
    <xf numFmtId="1" fontId="10" fillId="0" borderId="14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 wrapText="1"/>
    </xf>
    <xf numFmtId="49" fontId="10" fillId="0" borderId="14" xfId="1" applyNumberFormat="1" applyFont="1" applyBorder="1" applyAlignment="1">
      <alignment horizontal="center"/>
    </xf>
    <xf numFmtId="0" fontId="7" fillId="4" borderId="14" xfId="1" applyFont="1" applyFill="1" applyBorder="1" applyAlignment="1">
      <alignment horizontal="left"/>
    </xf>
    <xf numFmtId="0" fontId="10" fillId="0" borderId="14" xfId="1" applyFont="1" applyBorder="1" applyAlignment="1">
      <alignment horizontal="center"/>
    </xf>
    <xf numFmtId="165" fontId="10" fillId="0" borderId="14" xfId="1" applyNumberFormat="1" applyFont="1" applyBorder="1" applyAlignment="1">
      <alignment horizontal="center"/>
    </xf>
    <xf numFmtId="0" fontId="1" fillId="0" borderId="14" xfId="4" applyBorder="1" applyAlignment="1">
      <alignment horizontal="center"/>
    </xf>
    <xf numFmtId="0" fontId="1" fillId="0" borderId="14" xfId="1" applyBorder="1" applyAlignment="1">
      <alignment horizontal="center"/>
    </xf>
    <xf numFmtId="0" fontId="1" fillId="4" borderId="14" xfId="4" applyFill="1" applyBorder="1"/>
    <xf numFmtId="16" fontId="10" fillId="0" borderId="14" xfId="4" applyNumberFormat="1" applyFont="1" applyBorder="1" applyAlignment="1">
      <alignment horizontal="center"/>
    </xf>
    <xf numFmtId="1" fontId="10" fillId="0" borderId="14" xfId="4" applyNumberFormat="1" applyFont="1" applyBorder="1" applyAlignment="1">
      <alignment horizontal="center"/>
    </xf>
    <xf numFmtId="1" fontId="10" fillId="0" borderId="14" xfId="4" applyNumberFormat="1" applyFont="1" applyBorder="1" applyAlignment="1">
      <alignment horizontal="center" wrapText="1"/>
    </xf>
    <xf numFmtId="49" fontId="12" fillId="0" borderId="14" xfId="1" applyNumberFormat="1" applyFont="1" applyBorder="1" applyAlignment="1">
      <alignment horizontal="center"/>
    </xf>
    <xf numFmtId="0" fontId="8" fillId="4" borderId="14" xfId="1" applyFont="1" applyFill="1" applyBorder="1" applyAlignment="1">
      <alignment vertical="center"/>
    </xf>
    <xf numFmtId="0" fontId="12" fillId="0" borderId="8" xfId="1" applyFont="1" applyBorder="1" applyAlignment="1">
      <alignment horizontal="center"/>
    </xf>
    <xf numFmtId="165" fontId="12" fillId="0" borderId="14" xfId="1" applyNumberFormat="1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4" xfId="0" applyFont="1" applyBorder="1"/>
    <xf numFmtId="0" fontId="10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 wrapText="1"/>
    </xf>
    <xf numFmtId="166" fontId="6" fillId="4" borderId="14" xfId="10" applyNumberFormat="1" applyFont="1" applyFill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/>
    </xf>
    <xf numFmtId="49" fontId="13" fillId="0" borderId="14" xfId="0" applyNumberFormat="1" applyFont="1" applyBorder="1"/>
    <xf numFmtId="1" fontId="4" fillId="0" borderId="14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49" fontId="4" fillId="0" borderId="14" xfId="0" applyNumberFormat="1" applyFont="1" applyBorder="1" applyAlignment="1">
      <alignment horizontal="center" wrapText="1"/>
    </xf>
    <xf numFmtId="0" fontId="11" fillId="0" borderId="14" xfId="0" quotePrefix="1" applyFont="1" applyBorder="1" applyAlignment="1">
      <alignment horizontal="center"/>
    </xf>
    <xf numFmtId="0" fontId="21" fillId="0" borderId="14" xfId="0" quotePrefix="1" applyFont="1" applyBorder="1"/>
    <xf numFmtId="1" fontId="4" fillId="4" borderId="14" xfId="0" applyNumberFormat="1" applyFont="1" applyFill="1" applyBorder="1" applyAlignment="1">
      <alignment horizontal="center"/>
    </xf>
    <xf numFmtId="1" fontId="4" fillId="4" borderId="14" xfId="0" applyNumberFormat="1" applyFont="1" applyFill="1" applyBorder="1" applyAlignment="1">
      <alignment horizontal="center" wrapText="1"/>
    </xf>
    <xf numFmtId="49" fontId="10" fillId="4" borderId="14" xfId="1" applyNumberFormat="1" applyFont="1" applyFill="1" applyBorder="1" applyAlignment="1">
      <alignment horizontal="center"/>
    </xf>
    <xf numFmtId="49" fontId="13" fillId="4" borderId="14" xfId="1" applyNumberFormat="1" applyFont="1" applyFill="1" applyBorder="1"/>
    <xf numFmtId="12" fontId="10" fillId="0" borderId="14" xfId="1" applyNumberFormat="1" applyFont="1" applyBorder="1" applyAlignment="1">
      <alignment horizontal="center"/>
    </xf>
    <xf numFmtId="49" fontId="13" fillId="0" borderId="14" xfId="1" applyNumberFormat="1" applyFont="1" applyBorder="1"/>
    <xf numFmtId="49" fontId="10" fillId="0" borderId="15" xfId="1" applyNumberFormat="1" applyFont="1" applyBorder="1" applyAlignment="1">
      <alignment horizontal="center"/>
    </xf>
    <xf numFmtId="49" fontId="10" fillId="0" borderId="8" xfId="1" applyNumberFormat="1" applyFont="1" applyBorder="1" applyAlignment="1">
      <alignment horizontal="center"/>
    </xf>
    <xf numFmtId="49" fontId="22" fillId="3" borderId="20" xfId="1" applyNumberFormat="1" applyFont="1" applyFill="1" applyBorder="1" applyAlignment="1">
      <alignment horizontal="center" vertical="center"/>
    </xf>
    <xf numFmtId="49" fontId="22" fillId="3" borderId="0" xfId="1" applyNumberFormat="1" applyFont="1" applyFill="1" applyAlignment="1">
      <alignment horizontal="center" vertical="center"/>
    </xf>
    <xf numFmtId="0" fontId="4" fillId="3" borderId="0" xfId="1" applyFont="1" applyFill="1"/>
    <xf numFmtId="1" fontId="4" fillId="3" borderId="0" xfId="1" applyNumberFormat="1" applyFont="1" applyFill="1" applyAlignment="1">
      <alignment horizontal="center"/>
    </xf>
    <xf numFmtId="164" fontId="4" fillId="3" borderId="0" xfId="1" applyNumberFormat="1" applyFont="1" applyFill="1" applyAlignment="1">
      <alignment horizontal="center" wrapText="1"/>
    </xf>
    <xf numFmtId="0" fontId="4" fillId="3" borderId="19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4" fillId="2" borderId="34" xfId="1" applyFont="1" applyFill="1" applyBorder="1"/>
    <xf numFmtId="0" fontId="6" fillId="2" borderId="34" xfId="1" applyFont="1" applyFill="1" applyBorder="1" applyAlignment="1">
      <alignment horizontal="center"/>
    </xf>
    <xf numFmtId="1" fontId="6" fillId="2" borderId="34" xfId="1" applyNumberFormat="1" applyFont="1" applyFill="1" applyBorder="1" applyAlignment="1">
      <alignment horizontal="center"/>
    </xf>
    <xf numFmtId="164" fontId="4" fillId="2" borderId="34" xfId="1" applyNumberFormat="1" applyFont="1" applyFill="1" applyBorder="1" applyAlignment="1">
      <alignment horizontal="center" wrapText="1"/>
    </xf>
    <xf numFmtId="0" fontId="4" fillId="2" borderId="35" xfId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0" fontId="2" fillId="0" borderId="14" xfId="0" applyFont="1" applyBorder="1"/>
    <xf numFmtId="1" fontId="2" fillId="0" borderId="11" xfId="0" applyNumberFormat="1" applyFont="1" applyBorder="1" applyAlignment="1">
      <alignment horizontal="center"/>
    </xf>
    <xf numFmtId="49" fontId="2" fillId="0" borderId="14" xfId="1" applyNumberFormat="1" applyFont="1" applyBorder="1"/>
    <xf numFmtId="1" fontId="2" fillId="0" borderId="14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2" fontId="2" fillId="0" borderId="14" xfId="1" applyNumberFormat="1" applyFont="1" applyBorder="1" applyAlignment="1">
      <alignment horizontal="center"/>
    </xf>
    <xf numFmtId="1" fontId="2" fillId="4" borderId="14" xfId="1" applyNumberFormat="1" applyFont="1" applyFill="1" applyBorder="1" applyAlignment="1">
      <alignment horizontal="center" wrapText="1"/>
    </xf>
    <xf numFmtId="2" fontId="2" fillId="0" borderId="14" xfId="1" applyNumberFormat="1" applyFont="1" applyBorder="1" applyAlignment="1">
      <alignment horizontal="center" wrapText="1"/>
    </xf>
    <xf numFmtId="0" fontId="13" fillId="4" borderId="0" xfId="0" applyFont="1" applyFill="1" applyAlignment="1">
      <alignment vertical="center"/>
    </xf>
    <xf numFmtId="0" fontId="23" fillId="7" borderId="14" xfId="0" applyFont="1" applyFill="1" applyBorder="1" applyAlignment="1">
      <alignment horizontal="center" vertical="center" wrapText="1"/>
    </xf>
    <xf numFmtId="0" fontId="23" fillId="7" borderId="14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23" fillId="0" borderId="14" xfId="10" applyFont="1" applyFill="1" applyBorder="1" applyAlignment="1">
      <alignment horizontal="center" vertical="center"/>
    </xf>
    <xf numFmtId="43" fontId="23" fillId="0" borderId="0" xfId="10" applyFont="1" applyFill="1" applyBorder="1" applyAlignment="1">
      <alignment horizontal="center" vertical="center"/>
    </xf>
    <xf numFmtId="43" fontId="25" fillId="0" borderId="0" xfId="1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8" fontId="28" fillId="0" borderId="0" xfId="0" applyNumberFormat="1" applyFont="1" applyAlignment="1">
      <alignment horizontal="center" vertical="center" wrapText="1"/>
    </xf>
    <xf numFmtId="0" fontId="23" fillId="8" borderId="47" xfId="0" applyFont="1" applyFill="1" applyBorder="1" applyAlignment="1">
      <alignment horizontal="center" vertical="center"/>
    </xf>
    <xf numFmtId="0" fontId="23" fillId="8" borderId="48" xfId="0" applyFont="1" applyFill="1" applyBorder="1" applyAlignment="1">
      <alignment horizontal="center" vertical="center"/>
    </xf>
    <xf numFmtId="0" fontId="23" fillId="8" borderId="48" xfId="0" applyFont="1" applyFill="1" applyBorder="1" applyAlignment="1">
      <alignment horizontal="center" vertical="center" wrapText="1"/>
    </xf>
    <xf numFmtId="0" fontId="23" fillId="8" borderId="49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29" fillId="0" borderId="0" xfId="0" applyNumberFormat="1" applyFont="1" applyAlignment="1">
      <alignment horizontal="center"/>
    </xf>
    <xf numFmtId="4" fontId="29" fillId="0" borderId="0" xfId="11" applyNumberFormat="1" applyFont="1" applyFill="1" applyAlignment="1">
      <alignment horizontal="center" vertical="center"/>
    </xf>
    <xf numFmtId="4" fontId="23" fillId="0" borderId="0" xfId="11" applyNumberFormat="1" applyFont="1" applyFill="1" applyAlignment="1">
      <alignment horizontal="center" vertical="center"/>
    </xf>
    <xf numFmtId="10" fontId="23" fillId="0" borderId="0" xfId="7" applyNumberFormat="1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10" fontId="24" fillId="0" borderId="0" xfId="7" applyNumberFormat="1" applyFont="1" applyFill="1" applyAlignment="1">
      <alignment vertical="center"/>
    </xf>
    <xf numFmtId="0" fontId="13" fillId="0" borderId="0" xfId="0" applyFont="1"/>
    <xf numFmtId="49" fontId="2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10" applyFont="1" applyFill="1" applyAlignment="1">
      <alignment vertical="center"/>
    </xf>
    <xf numFmtId="49" fontId="30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4" fontId="23" fillId="0" borderId="0" xfId="10" applyNumberFormat="1" applyFont="1" applyFill="1" applyAlignment="1">
      <alignment vertical="center"/>
    </xf>
    <xf numFmtId="43" fontId="31" fillId="0" borderId="0" xfId="10" applyFont="1" applyFill="1" applyAlignment="1">
      <alignment horizontal="center" vertical="center"/>
    </xf>
    <xf numFmtId="10" fontId="24" fillId="8" borderId="50" xfId="7" applyNumberFormat="1" applyFont="1" applyFill="1" applyBorder="1" applyAlignment="1">
      <alignment vertical="center"/>
    </xf>
    <xf numFmtId="0" fontId="13" fillId="8" borderId="34" xfId="0" applyFont="1" applyFill="1" applyBorder="1" applyAlignment="1">
      <alignment vertical="center"/>
    </xf>
    <xf numFmtId="0" fontId="13" fillId="8" borderId="50" xfId="0" applyFont="1" applyFill="1" applyBorder="1" applyAlignment="1">
      <alignment vertical="center"/>
    </xf>
    <xf numFmtId="43" fontId="31" fillId="8" borderId="51" xfId="10" applyFont="1" applyFill="1" applyBorder="1" applyAlignment="1">
      <alignment horizontal="center" vertical="center"/>
    </xf>
    <xf numFmtId="43" fontId="33" fillId="0" borderId="0" xfId="10" applyFont="1" applyFill="1" applyBorder="1" applyAlignment="1">
      <alignment horizontal="right"/>
    </xf>
    <xf numFmtId="0" fontId="13" fillId="8" borderId="51" xfId="0" applyFont="1" applyFill="1" applyBorder="1" applyAlignment="1">
      <alignment vertical="center"/>
    </xf>
    <xf numFmtId="10" fontId="24" fillId="8" borderId="51" xfId="7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0" fontId="32" fillId="0" borderId="0" xfId="0" applyFont="1"/>
    <xf numFmtId="9" fontId="32" fillId="0" borderId="0" xfId="0" applyNumberFormat="1" applyFont="1"/>
    <xf numFmtId="9" fontId="34" fillId="0" borderId="0" xfId="7" applyFont="1" applyFill="1" applyAlignment="1">
      <alignment horizontal="center"/>
    </xf>
    <xf numFmtId="0" fontId="31" fillId="0" borderId="0" xfId="0" applyFont="1" applyAlignment="1">
      <alignment horizontal="right" vertical="center"/>
    </xf>
    <xf numFmtId="4" fontId="31" fillId="0" borderId="0" xfId="10" applyNumberFormat="1" applyFont="1" applyFill="1" applyAlignment="1">
      <alignment vertical="center"/>
    </xf>
    <xf numFmtId="4" fontId="31" fillId="0" borderId="0" xfId="11" applyNumberFormat="1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19" xfId="0" applyFont="1" applyBorder="1" applyAlignment="1">
      <alignment horizontal="right"/>
    </xf>
    <xf numFmtId="43" fontId="37" fillId="5" borderId="52" xfId="10" applyFont="1" applyFill="1" applyBorder="1" applyAlignment="1">
      <alignment horizontal="right"/>
    </xf>
    <xf numFmtId="43" fontId="37" fillId="0" borderId="0" xfId="10" applyFont="1" applyFill="1" applyBorder="1" applyAlignment="1">
      <alignment horizontal="right"/>
    </xf>
    <xf numFmtId="43" fontId="23" fillId="0" borderId="14" xfId="10" applyFont="1" applyFill="1" applyBorder="1" applyAlignment="1">
      <alignment vertical="center"/>
    </xf>
    <xf numFmtId="0" fontId="38" fillId="0" borderId="0" xfId="0" applyFont="1" applyAlignment="1">
      <alignment horizontal="left" vertical="center"/>
    </xf>
    <xf numFmtId="4" fontId="31" fillId="0" borderId="0" xfId="11" applyNumberFormat="1" applyFont="1" applyFill="1" applyAlignment="1">
      <alignment horizontal="center" vertical="center"/>
    </xf>
    <xf numFmtId="10" fontId="39" fillId="0" borderId="0" xfId="7" applyNumberFormat="1" applyFont="1" applyFill="1" applyAlignment="1">
      <alignment horizontal="right"/>
    </xf>
    <xf numFmtId="170" fontId="23" fillId="8" borderId="14" xfId="10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23" fillId="9" borderId="14" xfId="10" applyFont="1" applyFill="1" applyBorder="1" applyAlignment="1">
      <alignment vertical="center"/>
    </xf>
    <xf numFmtId="167" fontId="40" fillId="0" borderId="0" xfId="0" applyNumberFormat="1" applyFont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24" fillId="8" borderId="53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2" fontId="39" fillId="0" borderId="0" xfId="10" applyNumberFormat="1" applyFont="1" applyFill="1" applyBorder="1" applyAlignment="1">
      <alignment horizontal="center"/>
    </xf>
    <xf numFmtId="2" fontId="36" fillId="0" borderId="0" xfId="10" applyNumberFormat="1" applyFont="1" applyFill="1" applyBorder="1" applyAlignment="1">
      <alignment horizontal="center"/>
    </xf>
    <xf numFmtId="0" fontId="13" fillId="8" borderId="53" xfId="0" applyFont="1" applyFill="1" applyBorder="1" applyAlignment="1">
      <alignment vertical="center"/>
    </xf>
    <xf numFmtId="10" fontId="13" fillId="0" borderId="0" xfId="7" applyNumberFormat="1" applyFont="1" applyFill="1" applyAlignment="1">
      <alignment vertical="center"/>
    </xf>
    <xf numFmtId="4" fontId="13" fillId="0" borderId="0" xfId="10" applyNumberFormat="1" applyFont="1" applyFill="1" applyAlignment="1">
      <alignment vertical="center"/>
    </xf>
    <xf numFmtId="43" fontId="37" fillId="8" borderId="34" xfId="10" applyFont="1" applyFill="1" applyBorder="1" applyAlignment="1">
      <alignment horizontal="right"/>
    </xf>
    <xf numFmtId="0" fontId="23" fillId="8" borderId="35" xfId="0" applyFont="1" applyFill="1" applyBorder="1" applyAlignment="1">
      <alignment horizontal="right" vertical="center"/>
    </xf>
    <xf numFmtId="10" fontId="43" fillId="0" borderId="0" xfId="10" applyNumberFormat="1" applyFont="1" applyFill="1" applyAlignment="1">
      <alignment vertical="center"/>
    </xf>
    <xf numFmtId="10" fontId="24" fillId="0" borderId="0" xfId="7" applyNumberFormat="1" applyFont="1" applyFill="1" applyBorder="1" applyAlignment="1">
      <alignment vertical="center"/>
    </xf>
    <xf numFmtId="167" fontId="44" fillId="0" borderId="0" xfId="0" applyNumberFormat="1" applyFont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43" fontId="45" fillId="0" borderId="0" xfId="10" applyFont="1" applyFill="1" applyAlignment="1">
      <alignment vertical="center"/>
    </xf>
    <xf numFmtId="4" fontId="46" fillId="0" borderId="0" xfId="11" applyNumberFormat="1" applyFont="1" applyFill="1" applyAlignment="1">
      <alignment horizontal="center" vertical="center" wrapText="1"/>
    </xf>
    <xf numFmtId="9" fontId="13" fillId="0" borderId="0" xfId="10" applyNumberFormat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4" fontId="30" fillId="0" borderId="0" xfId="10" applyNumberFormat="1" applyFont="1" applyFill="1" applyAlignment="1">
      <alignment vertical="center"/>
    </xf>
    <xf numFmtId="4" fontId="23" fillId="11" borderId="52" xfId="10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43" fontId="47" fillId="0" borderId="0" xfId="10" applyFont="1" applyFill="1" applyAlignment="1">
      <alignment vertical="center"/>
    </xf>
    <xf numFmtId="9" fontId="47" fillId="0" borderId="0" xfId="10" applyNumberFormat="1" applyFont="1" applyFill="1" applyAlignment="1">
      <alignment vertical="center"/>
    </xf>
    <xf numFmtId="4" fontId="23" fillId="0" borderId="0" xfId="10" applyNumberFormat="1" applyFont="1" applyFill="1" applyAlignment="1">
      <alignment horizontal="center" vertical="center"/>
    </xf>
    <xf numFmtId="10" fontId="40" fillId="0" borderId="0" xfId="7" applyNumberFormat="1" applyFont="1" applyFill="1" applyAlignment="1">
      <alignment vertical="center"/>
    </xf>
    <xf numFmtId="43" fontId="40" fillId="0" borderId="0" xfId="10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10" applyFont="1" applyFill="1" applyBorder="1"/>
    <xf numFmtId="10" fontId="40" fillId="0" borderId="0" xfId="7" applyNumberFormat="1" applyFont="1" applyFill="1" applyBorder="1" applyAlignment="1">
      <alignment vertical="center"/>
    </xf>
    <xf numFmtId="0" fontId="40" fillId="0" borderId="0" xfId="0" applyFont="1" applyAlignment="1">
      <alignment horizontal="right"/>
    </xf>
    <xf numFmtId="43" fontId="13" fillId="0" borderId="0" xfId="10" applyFont="1" applyFill="1" applyBorder="1" applyAlignment="1">
      <alignment horizontal="center"/>
    </xf>
    <xf numFmtId="9" fontId="50" fillId="0" borderId="0" xfId="0" applyNumberFormat="1" applyFont="1" applyAlignment="1">
      <alignment horizontal="left"/>
    </xf>
    <xf numFmtId="4" fontId="23" fillId="0" borderId="0" xfId="0" applyNumberFormat="1" applyFont="1" applyAlignment="1">
      <alignment horizontal="center"/>
    </xf>
    <xf numFmtId="167" fontId="23" fillId="0" borderId="0" xfId="0" applyNumberFormat="1" applyFont="1"/>
    <xf numFmtId="0" fontId="52" fillId="0" borderId="15" xfId="1" applyFont="1" applyBorder="1" applyAlignment="1">
      <alignment horizontal="center" vertical="center"/>
    </xf>
    <xf numFmtId="0" fontId="52" fillId="0" borderId="8" xfId="1" applyFont="1" applyBorder="1" applyAlignment="1">
      <alignment horizontal="center" vertical="center"/>
    </xf>
    <xf numFmtId="0" fontId="53" fillId="0" borderId="14" xfId="1" applyFont="1" applyBorder="1" applyAlignment="1">
      <alignment vertical="center"/>
    </xf>
    <xf numFmtId="0" fontId="52" fillId="0" borderId="14" xfId="1" applyFont="1" applyBorder="1" applyAlignment="1">
      <alignment horizontal="center" vertical="center"/>
    </xf>
    <xf numFmtId="1" fontId="52" fillId="0" borderId="14" xfId="1" applyNumberFormat="1" applyFont="1" applyBorder="1" applyAlignment="1">
      <alignment horizontal="center"/>
    </xf>
    <xf numFmtId="1" fontId="52" fillId="0" borderId="14" xfId="1" applyNumberFormat="1" applyFont="1" applyBorder="1" applyAlignment="1">
      <alignment horizontal="center" wrapText="1"/>
    </xf>
    <xf numFmtId="0" fontId="54" fillId="0" borderId="13" xfId="1" applyFont="1" applyBorder="1" applyAlignment="1">
      <alignment horizontal="center"/>
    </xf>
    <xf numFmtId="49" fontId="54" fillId="0" borderId="14" xfId="1" applyNumberFormat="1" applyFont="1" applyBorder="1" applyAlignment="1">
      <alignment horizontal="center"/>
    </xf>
    <xf numFmtId="0" fontId="54" fillId="0" borderId="14" xfId="0" applyFont="1" applyBorder="1"/>
    <xf numFmtId="0" fontId="54" fillId="0" borderId="14" xfId="1" applyFont="1" applyBorder="1" applyAlignment="1">
      <alignment horizontal="center"/>
    </xf>
    <xf numFmtId="1" fontId="54" fillId="0" borderId="11" xfId="0" applyNumberFormat="1" applyFont="1" applyBorder="1" applyAlignment="1">
      <alignment horizontal="center"/>
    </xf>
    <xf numFmtId="0" fontId="54" fillId="0" borderId="14" xfId="0" applyFont="1" applyBorder="1" applyAlignment="1">
      <alignment horizontal="center"/>
    </xf>
    <xf numFmtId="49" fontId="54" fillId="0" borderId="14" xfId="1" applyNumberFormat="1" applyFont="1" applyBorder="1"/>
    <xf numFmtId="2" fontId="54" fillId="0" borderId="14" xfId="1" applyNumberFormat="1" applyFont="1" applyBorder="1" applyAlignment="1">
      <alignment horizontal="center"/>
    </xf>
    <xf numFmtId="1" fontId="54" fillId="4" borderId="14" xfId="1" applyNumberFormat="1" applyFont="1" applyFill="1" applyBorder="1" applyAlignment="1">
      <alignment horizontal="center" wrapText="1"/>
    </xf>
    <xf numFmtId="1" fontId="54" fillId="0" borderId="14" xfId="0" applyNumberFormat="1" applyFont="1" applyBorder="1" applyAlignment="1">
      <alignment horizontal="center"/>
    </xf>
    <xf numFmtId="1" fontId="54" fillId="0" borderId="14" xfId="0" applyNumberFormat="1" applyFont="1" applyBorder="1" applyAlignment="1">
      <alignment horizontal="center" wrapText="1"/>
    </xf>
    <xf numFmtId="0" fontId="55" fillId="0" borderId="14" xfId="0" applyFont="1" applyBorder="1" applyAlignment="1">
      <alignment horizontal="center"/>
    </xf>
    <xf numFmtId="0" fontId="55" fillId="4" borderId="14" xfId="0" applyFont="1" applyFill="1" applyBorder="1"/>
    <xf numFmtId="1" fontId="54" fillId="0" borderId="14" xfId="1" applyNumberFormat="1" applyFont="1" applyBorder="1" applyAlignment="1">
      <alignment horizontal="center"/>
    </xf>
    <xf numFmtId="1" fontId="54" fillId="0" borderId="14" xfId="1" applyNumberFormat="1" applyFont="1" applyBorder="1" applyAlignment="1">
      <alignment horizontal="center" wrapText="1"/>
    </xf>
    <xf numFmtId="0" fontId="52" fillId="4" borderId="14" xfId="1" applyFont="1" applyFill="1" applyBorder="1" applyAlignment="1">
      <alignment horizontal="left"/>
    </xf>
    <xf numFmtId="165" fontId="54" fillId="0" borderId="14" xfId="1" applyNumberFormat="1" applyFont="1" applyBorder="1" applyAlignment="1">
      <alignment horizontal="center"/>
    </xf>
    <xf numFmtId="16" fontId="54" fillId="0" borderId="14" xfId="0" applyNumberFormat="1" applyFont="1" applyBorder="1" applyAlignment="1">
      <alignment horizontal="center"/>
    </xf>
    <xf numFmtId="1" fontId="54" fillId="0" borderId="14" xfId="4" applyNumberFormat="1" applyFont="1" applyBorder="1" applyAlignment="1">
      <alignment horizontal="center"/>
    </xf>
    <xf numFmtId="1" fontId="54" fillId="0" borderId="14" xfId="4" applyNumberFormat="1" applyFont="1" applyBorder="1" applyAlignment="1">
      <alignment horizontal="center" wrapText="1"/>
    </xf>
    <xf numFmtId="49" fontId="52" fillId="0" borderId="14" xfId="1" applyNumberFormat="1" applyFont="1" applyBorder="1" applyAlignment="1">
      <alignment horizontal="center"/>
    </xf>
    <xf numFmtId="0" fontId="53" fillId="4" borderId="14" xfId="1" applyFont="1" applyFill="1" applyBorder="1" applyAlignment="1">
      <alignment vertical="center"/>
    </xf>
    <xf numFmtId="0" fontId="52" fillId="0" borderId="8" xfId="1" applyFont="1" applyBorder="1" applyAlignment="1">
      <alignment horizontal="center"/>
    </xf>
    <xf numFmtId="165" fontId="52" fillId="0" borderId="14" xfId="1" applyNumberFormat="1" applyFont="1" applyBorder="1" applyAlignment="1">
      <alignment horizontal="center"/>
    </xf>
    <xf numFmtId="0" fontId="55" fillId="0" borderId="0" xfId="0" applyFont="1"/>
    <xf numFmtId="49" fontId="54" fillId="0" borderId="15" xfId="1" applyNumberFormat="1" applyFont="1" applyBorder="1" applyAlignment="1">
      <alignment horizontal="center"/>
    </xf>
    <xf numFmtId="49" fontId="54" fillId="0" borderId="8" xfId="1" applyNumberFormat="1" applyFont="1" applyBorder="1" applyAlignment="1">
      <alignment horizontal="center"/>
    </xf>
    <xf numFmtId="49" fontId="56" fillId="3" borderId="20" xfId="1" applyNumberFormat="1" applyFont="1" applyFill="1" applyBorder="1" applyAlignment="1">
      <alignment horizontal="center" vertical="center"/>
    </xf>
    <xf numFmtId="49" fontId="56" fillId="3" borderId="0" xfId="1" applyNumberFormat="1" applyFont="1" applyFill="1" applyAlignment="1">
      <alignment horizontal="center" vertical="center"/>
    </xf>
    <xf numFmtId="0" fontId="54" fillId="3" borderId="0" xfId="1" applyFont="1" applyFill="1"/>
    <xf numFmtId="1" fontId="54" fillId="3" borderId="0" xfId="1" applyNumberFormat="1" applyFont="1" applyFill="1" applyAlignment="1">
      <alignment horizontal="center"/>
    </xf>
    <xf numFmtId="164" fontId="54" fillId="3" borderId="0" xfId="1" applyNumberFormat="1" applyFont="1" applyFill="1" applyAlignment="1">
      <alignment horizontal="center" wrapText="1"/>
    </xf>
    <xf numFmtId="0" fontId="54" fillId="3" borderId="19" xfId="1" applyFont="1" applyFill="1" applyBorder="1" applyAlignment="1">
      <alignment horizontal="center"/>
    </xf>
    <xf numFmtId="0" fontId="54" fillId="2" borderId="39" xfId="1" applyFont="1" applyFill="1" applyBorder="1" applyAlignment="1">
      <alignment horizontal="center"/>
    </xf>
    <xf numFmtId="0" fontId="54" fillId="2" borderId="34" xfId="1" applyFont="1" applyFill="1" applyBorder="1" applyAlignment="1">
      <alignment horizontal="center"/>
    </xf>
    <xf numFmtId="0" fontId="54" fillId="2" borderId="34" xfId="1" applyFont="1" applyFill="1" applyBorder="1"/>
    <xf numFmtId="0" fontId="52" fillId="2" borderId="34" xfId="1" applyFont="1" applyFill="1" applyBorder="1" applyAlignment="1">
      <alignment horizontal="center"/>
    </xf>
    <xf numFmtId="1" fontId="52" fillId="2" borderId="34" xfId="1" applyNumberFormat="1" applyFont="1" applyFill="1" applyBorder="1" applyAlignment="1">
      <alignment horizontal="center"/>
    </xf>
    <xf numFmtId="164" fontId="54" fillId="2" borderId="34" xfId="1" applyNumberFormat="1" applyFont="1" applyFill="1" applyBorder="1" applyAlignment="1">
      <alignment horizontal="center" wrapText="1"/>
    </xf>
    <xf numFmtId="0" fontId="54" fillId="2" borderId="35" xfId="1" applyFont="1" applyFill="1" applyBorder="1" applyAlignment="1">
      <alignment horizontal="center"/>
    </xf>
    <xf numFmtId="0" fontId="54" fillId="0" borderId="25" xfId="0" applyFont="1" applyBorder="1" applyAlignment="1">
      <alignment horizontal="center"/>
    </xf>
    <xf numFmtId="0" fontId="52" fillId="0" borderId="14" xfId="0" applyFont="1" applyBorder="1" applyAlignment="1">
      <alignment horizontal="center"/>
    </xf>
    <xf numFmtId="1" fontId="54" fillId="0" borderId="2" xfId="0" applyNumberFormat="1" applyFont="1" applyBorder="1" applyAlignment="1">
      <alignment horizontal="center"/>
    </xf>
    <xf numFmtId="0" fontId="54" fillId="0" borderId="2" xfId="0" applyFont="1" applyBorder="1" applyAlignment="1">
      <alignment horizontal="center"/>
    </xf>
    <xf numFmtId="14" fontId="57" fillId="3" borderId="0" xfId="2" applyNumberFormat="1" applyFont="1" applyFill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48" fillId="0" borderId="39" xfId="0" applyFont="1" applyBorder="1" applyAlignment="1">
      <alignment horizontal="right" vertical="center"/>
    </xf>
    <xf numFmtId="0" fontId="48" fillId="0" borderId="34" xfId="0" applyFont="1" applyBorder="1" applyAlignment="1">
      <alignment horizontal="right" vertical="center"/>
    </xf>
    <xf numFmtId="0" fontId="48" fillId="0" borderId="35" xfId="0" applyFont="1" applyBorder="1" applyAlignment="1">
      <alignment horizontal="right" vertical="center"/>
    </xf>
    <xf numFmtId="0" fontId="49" fillId="0" borderId="0" xfId="0" applyFont="1" applyAlignment="1">
      <alignment horizontal="right"/>
    </xf>
    <xf numFmtId="0" fontId="39" fillId="0" borderId="27" xfId="0" applyFont="1" applyBorder="1" applyAlignment="1">
      <alignment horizontal="right"/>
    </xf>
    <xf numFmtId="0" fontId="31" fillId="0" borderId="0" xfId="0" applyFont="1" applyAlignment="1">
      <alignment horizontal="right" vertical="center"/>
    </xf>
    <xf numFmtId="0" fontId="37" fillId="8" borderId="39" xfId="0" applyFont="1" applyFill="1" applyBorder="1" applyAlignment="1">
      <alignment horizontal="right"/>
    </xf>
    <xf numFmtId="0" fontId="37" fillId="8" borderId="34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23" fillId="0" borderId="27" xfId="0" applyFont="1" applyBorder="1" applyAlignment="1">
      <alignment horizontal="right" vertical="center"/>
    </xf>
    <xf numFmtId="0" fontId="23" fillId="0" borderId="54" xfId="0" applyFont="1" applyBorder="1" applyAlignment="1">
      <alignment horizontal="right" vertical="center"/>
    </xf>
    <xf numFmtId="0" fontId="23" fillId="10" borderId="39" xfId="0" applyFont="1" applyFill="1" applyBorder="1" applyAlignment="1">
      <alignment horizontal="right" vertical="center"/>
    </xf>
    <xf numFmtId="0" fontId="23" fillId="10" borderId="34" xfId="0" applyFont="1" applyFill="1" applyBorder="1" applyAlignment="1">
      <alignment horizontal="right" vertical="center"/>
    </xf>
    <xf numFmtId="0" fontId="23" fillId="10" borderId="35" xfId="0" applyFont="1" applyFill="1" applyBorder="1" applyAlignment="1">
      <alignment horizontal="right" vertical="center"/>
    </xf>
    <xf numFmtId="4" fontId="46" fillId="0" borderId="0" xfId="11" applyNumberFormat="1" applyFont="1" applyFill="1" applyAlignment="1">
      <alignment horizontal="center" vertical="center" wrapText="1"/>
    </xf>
    <xf numFmtId="0" fontId="40" fillId="0" borderId="9" xfId="0" applyFont="1" applyBorder="1" applyAlignment="1">
      <alignment horizontal="right" vertical="center"/>
    </xf>
    <xf numFmtId="0" fontId="40" fillId="0" borderId="8" xfId="0" applyFont="1" applyBorder="1" applyAlignment="1">
      <alignment horizontal="right" vertical="center"/>
    </xf>
    <xf numFmtId="0" fontId="41" fillId="0" borderId="20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41" fillId="0" borderId="19" xfId="0" applyFont="1" applyBorder="1" applyAlignment="1">
      <alignment horizontal="right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32" fillId="0" borderId="33" xfId="0" applyFont="1" applyBorder="1" applyAlignment="1">
      <alignment horizontal="right"/>
    </xf>
    <xf numFmtId="0" fontId="32" fillId="0" borderId="32" xfId="0" applyFont="1" applyBorder="1" applyAlignment="1">
      <alignment horizontal="right"/>
    </xf>
    <xf numFmtId="0" fontId="13" fillId="0" borderId="9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26" fillId="0" borderId="27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right" vertical="center" wrapText="1"/>
    </xf>
    <xf numFmtId="0" fontId="40" fillId="0" borderId="14" xfId="0" applyFont="1" applyBorder="1" applyAlignment="1">
      <alignment horizontal="right" vertical="center"/>
    </xf>
    <xf numFmtId="0" fontId="13" fillId="0" borderId="14" xfId="0" applyFont="1" applyBorder="1" applyAlignment="1">
      <alignment horizontal="right" vertical="center"/>
    </xf>
    <xf numFmtId="0" fontId="4" fillId="0" borderId="15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14" xfId="1" applyFont="1" applyBorder="1" applyAlignment="1">
      <alignment horizontal="left"/>
    </xf>
    <xf numFmtId="0" fontId="4" fillId="0" borderId="13" xfId="1" applyFont="1" applyBorder="1" applyAlignment="1">
      <alignment horizontal="left"/>
    </xf>
    <xf numFmtId="164" fontId="4" fillId="0" borderId="9" xfId="1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0" fontId="6" fillId="2" borderId="39" xfId="1" applyFont="1" applyFill="1" applyBorder="1" applyAlignment="1">
      <alignment horizontal="left"/>
    </xf>
    <xf numFmtId="0" fontId="6" fillId="2" borderId="34" xfId="1" applyFont="1" applyFill="1" applyBorder="1" applyAlignment="1">
      <alignment horizontal="left"/>
    </xf>
    <xf numFmtId="0" fontId="6" fillId="2" borderId="35" xfId="1" applyFont="1" applyFill="1" applyBorder="1" applyAlignment="1">
      <alignment horizontal="left"/>
    </xf>
    <xf numFmtId="0" fontId="4" fillId="0" borderId="43" xfId="1" applyFont="1" applyBorder="1" applyAlignment="1">
      <alignment horizontal="left"/>
    </xf>
    <xf numFmtId="0" fontId="4" fillId="0" borderId="12" xfId="1" applyFont="1" applyBorder="1" applyAlignment="1">
      <alignment horizontal="left"/>
    </xf>
    <xf numFmtId="0" fontId="4" fillId="0" borderId="11" xfId="1" applyFont="1" applyBorder="1" applyAlignment="1">
      <alignment horizontal="left"/>
    </xf>
    <xf numFmtId="0" fontId="4" fillId="0" borderId="10" xfId="1" applyFont="1" applyBorder="1" applyAlignment="1">
      <alignment horizontal="left"/>
    </xf>
    <xf numFmtId="14" fontId="4" fillId="3" borderId="30" xfId="2" applyNumberFormat="1" applyFont="1" applyFill="1" applyBorder="1" applyAlignment="1">
      <alignment horizontal="center" vertical="center" wrapText="1"/>
    </xf>
    <xf numFmtId="14" fontId="4" fillId="3" borderId="28" xfId="2" applyNumberFormat="1" applyFont="1" applyFill="1" applyBorder="1" applyAlignment="1">
      <alignment horizontal="center" vertical="center" wrapText="1"/>
    </xf>
    <xf numFmtId="14" fontId="4" fillId="3" borderId="10" xfId="2" applyNumberFormat="1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left"/>
    </xf>
    <xf numFmtId="0" fontId="4" fillId="3" borderId="24" xfId="2" applyFont="1" applyFill="1" applyBorder="1" applyAlignment="1">
      <alignment horizontal="left"/>
    </xf>
    <xf numFmtId="0" fontId="4" fillId="3" borderId="18" xfId="2" applyFont="1" applyFill="1" applyBorder="1" applyAlignment="1">
      <alignment horizontal="left"/>
    </xf>
    <xf numFmtId="0" fontId="4" fillId="3" borderId="9" xfId="2" applyFont="1" applyFill="1" applyBorder="1" applyAlignment="1">
      <alignment horizontal="left"/>
    </xf>
    <xf numFmtId="0" fontId="4" fillId="3" borderId="6" xfId="2" applyFont="1" applyFill="1" applyBorder="1" applyAlignment="1">
      <alignment horizontal="left"/>
    </xf>
    <xf numFmtId="0" fontId="4" fillId="3" borderId="8" xfId="2" applyFont="1" applyFill="1" applyBorder="1" applyAlignment="1">
      <alignment horizontal="left"/>
    </xf>
    <xf numFmtId="0" fontId="6" fillId="0" borderId="36" xfId="1" applyFont="1" applyBorder="1" applyAlignment="1">
      <alignment horizontal="right"/>
    </xf>
    <xf numFmtId="0" fontId="6" fillId="0" borderId="37" xfId="1" applyFont="1" applyBorder="1" applyAlignment="1">
      <alignment horizontal="right"/>
    </xf>
    <xf numFmtId="0" fontId="6" fillId="0" borderId="12" xfId="1" applyFont="1" applyBorder="1" applyAlignment="1">
      <alignment horizontal="right"/>
    </xf>
    <xf numFmtId="164" fontId="4" fillId="0" borderId="11" xfId="1" applyNumberFormat="1" applyFont="1" applyBorder="1" applyAlignment="1">
      <alignment horizontal="right"/>
    </xf>
    <xf numFmtId="0" fontId="4" fillId="3" borderId="25" xfId="1" applyFont="1" applyFill="1" applyBorder="1" applyAlignment="1">
      <alignment horizontal="center"/>
    </xf>
    <xf numFmtId="0" fontId="4" fillId="3" borderId="40" xfId="1" applyFont="1" applyFill="1" applyBorder="1" applyAlignment="1">
      <alignment horizontal="center"/>
    </xf>
    <xf numFmtId="0" fontId="4" fillId="3" borderId="33" xfId="2" applyFont="1" applyFill="1" applyBorder="1" applyAlignment="1">
      <alignment horizontal="center"/>
    </xf>
    <xf numFmtId="0" fontId="4" fillId="3" borderId="32" xfId="2" applyFont="1" applyFill="1" applyBorder="1" applyAlignment="1">
      <alignment horizontal="center"/>
    </xf>
    <xf numFmtId="0" fontId="4" fillId="3" borderId="20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36" xfId="2" applyFont="1" applyFill="1" applyBorder="1" applyAlignment="1">
      <alignment horizontal="center"/>
    </xf>
    <xf numFmtId="0" fontId="4" fillId="3" borderId="37" xfId="2" applyFont="1" applyFill="1" applyBorder="1" applyAlignment="1">
      <alignment horizontal="center"/>
    </xf>
    <xf numFmtId="0" fontId="5" fillId="3" borderId="17" xfId="2" applyFont="1" applyFill="1" applyBorder="1" applyAlignment="1">
      <alignment horizontal="center"/>
    </xf>
    <xf numFmtId="0" fontId="5" fillId="3" borderId="21" xfId="2" applyFont="1" applyFill="1" applyBorder="1" applyAlignment="1">
      <alignment horizontal="center"/>
    </xf>
    <xf numFmtId="0" fontId="5" fillId="3" borderId="22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14" fillId="5" borderId="39" xfId="2" applyFont="1" applyFill="1" applyBorder="1" applyAlignment="1">
      <alignment horizontal="center" vertical="center" wrapText="1"/>
    </xf>
    <xf numFmtId="0" fontId="14" fillId="5" borderId="34" xfId="2" applyFont="1" applyFill="1" applyBorder="1" applyAlignment="1">
      <alignment horizontal="center" vertical="center" wrapText="1"/>
    </xf>
    <xf numFmtId="0" fontId="14" fillId="5" borderId="35" xfId="2" applyFont="1" applyFill="1" applyBorder="1" applyAlignment="1">
      <alignment horizontal="center" vertical="center" wrapText="1"/>
    </xf>
    <xf numFmtId="0" fontId="6" fillId="3" borderId="31" xfId="2" applyFont="1" applyFill="1" applyBorder="1" applyAlignment="1">
      <alignment horizontal="right" vertical="top" wrapText="1"/>
    </xf>
    <xf numFmtId="0" fontId="6" fillId="3" borderId="29" xfId="2" applyFont="1" applyFill="1" applyBorder="1" applyAlignment="1">
      <alignment horizontal="right" vertical="top" wrapText="1"/>
    </xf>
    <xf numFmtId="0" fontId="6" fillId="3" borderId="26" xfId="2" applyFont="1" applyFill="1" applyBorder="1" applyAlignment="1">
      <alignment horizontal="right" vertical="top" wrapText="1"/>
    </xf>
    <xf numFmtId="0" fontId="15" fillId="3" borderId="0" xfId="2" applyFont="1" applyFill="1" applyAlignment="1">
      <alignment horizontal="right"/>
    </xf>
    <xf numFmtId="0" fontId="16" fillId="3" borderId="27" xfId="2" applyFont="1" applyFill="1" applyBorder="1" applyAlignment="1">
      <alignment horizontal="center"/>
    </xf>
    <xf numFmtId="0" fontId="15" fillId="3" borderId="0" xfId="2" applyFont="1" applyFill="1"/>
    <xf numFmtId="0" fontId="6" fillId="2" borderId="38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right"/>
    </xf>
    <xf numFmtId="0" fontId="6" fillId="0" borderId="6" xfId="1" applyFont="1" applyBorder="1" applyAlignment="1">
      <alignment horizontal="right"/>
    </xf>
    <xf numFmtId="0" fontId="6" fillId="0" borderId="8" xfId="1" applyFont="1" applyBorder="1" applyAlignment="1">
      <alignment horizontal="right"/>
    </xf>
    <xf numFmtId="0" fontId="4" fillId="0" borderId="14" xfId="1" applyFont="1" applyBorder="1" applyAlignment="1">
      <alignment horizontal="right"/>
    </xf>
    <xf numFmtId="164" fontId="4" fillId="0" borderId="9" xfId="1" applyNumberFormat="1" applyFont="1" applyBorder="1" applyAlignment="1">
      <alignment horizontal="right" wrapText="1"/>
    </xf>
    <xf numFmtId="164" fontId="4" fillId="0" borderId="8" xfId="1" applyNumberFormat="1" applyFont="1" applyBorder="1" applyAlignment="1">
      <alignment horizontal="right" wrapText="1"/>
    </xf>
    <xf numFmtId="0" fontId="6" fillId="0" borderId="4" xfId="1" applyFont="1" applyBorder="1" applyAlignment="1">
      <alignment horizontal="right"/>
    </xf>
    <xf numFmtId="0" fontId="6" fillId="0" borderId="3" xfId="1" applyFont="1" applyBorder="1" applyAlignment="1">
      <alignment horizontal="right"/>
    </xf>
    <xf numFmtId="0" fontId="6" fillId="0" borderId="2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4" fillId="3" borderId="42" xfId="2" applyFont="1" applyFill="1" applyBorder="1" applyAlignment="1">
      <alignment horizontal="left"/>
    </xf>
    <xf numFmtId="0" fontId="4" fillId="3" borderId="0" xfId="2" applyFont="1" applyFill="1" applyAlignment="1">
      <alignment horizontal="left"/>
    </xf>
    <xf numFmtId="0" fontId="6" fillId="0" borderId="15" xfId="1" applyFont="1" applyBorder="1" applyAlignment="1">
      <alignment horizontal="center" wrapText="1"/>
    </xf>
    <xf numFmtId="0" fontId="6" fillId="0" borderId="8" xfId="1" applyFont="1" applyBorder="1" applyAlignment="1">
      <alignment horizontal="center" wrapText="1"/>
    </xf>
    <xf numFmtId="0" fontId="6" fillId="0" borderId="14" xfId="1" applyFont="1" applyBorder="1" applyAlignment="1">
      <alignment horizontal="center" wrapText="1"/>
    </xf>
    <xf numFmtId="0" fontId="6" fillId="0" borderId="13" xfId="1" applyFont="1" applyBorder="1" applyAlignment="1">
      <alignment horizontal="center" wrapText="1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6" fillId="6" borderId="41" xfId="2" applyFont="1" applyFill="1" applyBorder="1" applyAlignment="1">
      <alignment horizontal="center"/>
    </xf>
    <xf numFmtId="0" fontId="6" fillId="6" borderId="32" xfId="2" applyFont="1" applyFill="1" applyBorder="1" applyAlignment="1">
      <alignment horizontal="center"/>
    </xf>
    <xf numFmtId="0" fontId="54" fillId="0" borderId="15" xfId="1" applyFont="1" applyBorder="1" applyAlignment="1">
      <alignment horizontal="left"/>
    </xf>
    <xf numFmtId="0" fontId="54" fillId="0" borderId="8" xfId="1" applyFont="1" applyBorder="1" applyAlignment="1">
      <alignment horizontal="left"/>
    </xf>
    <xf numFmtId="0" fontId="54" fillId="0" borderId="14" xfId="1" applyFont="1" applyBorder="1" applyAlignment="1">
      <alignment horizontal="left"/>
    </xf>
    <xf numFmtId="0" fontId="54" fillId="0" borderId="13" xfId="1" applyFont="1" applyBorder="1" applyAlignment="1">
      <alignment horizontal="left"/>
    </xf>
    <xf numFmtId="164" fontId="54" fillId="0" borderId="9" xfId="1" applyNumberFormat="1" applyFont="1" applyBorder="1" applyAlignment="1">
      <alignment horizontal="center"/>
    </xf>
    <xf numFmtId="164" fontId="54" fillId="0" borderId="5" xfId="1" applyNumberFormat="1" applyFont="1" applyBorder="1" applyAlignment="1">
      <alignment horizontal="center"/>
    </xf>
    <xf numFmtId="0" fontId="52" fillId="2" borderId="39" xfId="1" applyFont="1" applyFill="1" applyBorder="1" applyAlignment="1">
      <alignment horizontal="center"/>
    </xf>
    <xf numFmtId="0" fontId="52" fillId="2" borderId="34" xfId="1" applyFont="1" applyFill="1" applyBorder="1" applyAlignment="1">
      <alignment horizontal="center"/>
    </xf>
    <xf numFmtId="0" fontId="52" fillId="2" borderId="35" xfId="1" applyFont="1" applyFill="1" applyBorder="1" applyAlignment="1">
      <alignment horizontal="center"/>
    </xf>
    <xf numFmtId="0" fontId="54" fillId="0" borderId="43" xfId="1" applyFont="1" applyBorder="1" applyAlignment="1">
      <alignment horizontal="left"/>
    </xf>
    <xf numFmtId="0" fontId="54" fillId="0" borderId="12" xfId="1" applyFont="1" applyBorder="1" applyAlignment="1">
      <alignment horizontal="left"/>
    </xf>
    <xf numFmtId="0" fontId="54" fillId="0" borderId="11" xfId="1" applyFont="1" applyBorder="1" applyAlignment="1">
      <alignment horizontal="left"/>
    </xf>
    <xf numFmtId="0" fontId="54" fillId="0" borderId="10" xfId="1" applyFont="1" applyBorder="1" applyAlignment="1">
      <alignment horizontal="left"/>
    </xf>
    <xf numFmtId="0" fontId="52" fillId="0" borderId="4" xfId="1" applyFont="1" applyBorder="1" applyAlignment="1">
      <alignment horizontal="right"/>
    </xf>
    <xf numFmtId="0" fontId="52" fillId="0" borderId="3" xfId="1" applyFont="1" applyBorder="1" applyAlignment="1">
      <alignment horizontal="right"/>
    </xf>
    <xf numFmtId="0" fontId="52" fillId="0" borderId="2" xfId="1" applyFont="1" applyBorder="1" applyAlignment="1">
      <alignment horizontal="right"/>
    </xf>
    <xf numFmtId="0" fontId="54" fillId="0" borderId="2" xfId="1" applyFont="1" applyBorder="1" applyAlignment="1">
      <alignment horizontal="right"/>
    </xf>
    <xf numFmtId="0" fontId="52" fillId="0" borderId="36" xfId="1" applyFont="1" applyBorder="1" applyAlignment="1">
      <alignment horizontal="right"/>
    </xf>
    <xf numFmtId="0" fontId="52" fillId="0" borderId="37" xfId="1" applyFont="1" applyBorder="1" applyAlignment="1">
      <alignment horizontal="right"/>
    </xf>
    <xf numFmtId="0" fontId="52" fillId="0" borderId="12" xfId="1" applyFont="1" applyBorder="1" applyAlignment="1">
      <alignment horizontal="right"/>
    </xf>
    <xf numFmtId="164" fontId="54" fillId="0" borderId="11" xfId="1" applyNumberFormat="1" applyFont="1" applyBorder="1" applyAlignment="1">
      <alignment horizontal="right"/>
    </xf>
    <xf numFmtId="0" fontId="54" fillId="3" borderId="25" xfId="1" applyFont="1" applyFill="1" applyBorder="1" applyAlignment="1">
      <alignment horizontal="center"/>
    </xf>
    <xf numFmtId="0" fontId="54" fillId="3" borderId="40" xfId="1" applyFont="1" applyFill="1" applyBorder="1" applyAlignment="1">
      <alignment horizontal="center"/>
    </xf>
    <xf numFmtId="0" fontId="51" fillId="5" borderId="39" xfId="2" applyFont="1" applyFill="1" applyBorder="1" applyAlignment="1">
      <alignment horizontal="center" vertical="center" wrapText="1"/>
    </xf>
    <xf numFmtId="0" fontId="51" fillId="5" borderId="34" xfId="2" applyFont="1" applyFill="1" applyBorder="1" applyAlignment="1">
      <alignment horizontal="center" vertical="center" wrapText="1"/>
    </xf>
    <xf numFmtId="0" fontId="51" fillId="5" borderId="35" xfId="2" applyFont="1" applyFill="1" applyBorder="1" applyAlignment="1">
      <alignment horizontal="center" vertical="center" wrapText="1"/>
    </xf>
    <xf numFmtId="0" fontId="57" fillId="3" borderId="27" xfId="2" applyFont="1" applyFill="1" applyBorder="1" applyAlignment="1">
      <alignment horizontal="center"/>
    </xf>
    <xf numFmtId="0" fontId="54" fillId="3" borderId="14" xfId="2" applyFont="1" applyFill="1" applyBorder="1" applyAlignment="1">
      <alignment horizontal="left"/>
    </xf>
    <xf numFmtId="0" fontId="52" fillId="0" borderId="44" xfId="0" applyFont="1" applyBorder="1" applyAlignment="1">
      <alignment horizontal="left"/>
    </xf>
    <xf numFmtId="0" fontId="52" fillId="0" borderId="45" xfId="0" applyFont="1" applyBorder="1" applyAlignment="1">
      <alignment horizontal="left"/>
    </xf>
    <xf numFmtId="0" fontId="52" fillId="0" borderId="46" xfId="0" applyFont="1" applyBorder="1" applyAlignment="1">
      <alignment horizontal="left"/>
    </xf>
    <xf numFmtId="0" fontId="52" fillId="6" borderId="14" xfId="2" applyFont="1" applyFill="1" applyBorder="1" applyAlignment="1">
      <alignment horizontal="center"/>
    </xf>
    <xf numFmtId="0" fontId="52" fillId="0" borderId="7" xfId="1" applyFont="1" applyBorder="1" applyAlignment="1">
      <alignment horizontal="right"/>
    </xf>
    <xf numFmtId="0" fontId="52" fillId="0" borderId="6" xfId="1" applyFont="1" applyBorder="1" applyAlignment="1">
      <alignment horizontal="right"/>
    </xf>
    <xf numFmtId="0" fontId="52" fillId="0" borderId="8" xfId="1" applyFont="1" applyBorder="1" applyAlignment="1">
      <alignment horizontal="right"/>
    </xf>
    <xf numFmtId="0" fontId="54" fillId="0" borderId="14" xfId="1" applyFont="1" applyBorder="1" applyAlignment="1">
      <alignment horizontal="right"/>
    </xf>
    <xf numFmtId="164" fontId="54" fillId="0" borderId="9" xfId="1" applyNumberFormat="1" applyFont="1" applyBorder="1" applyAlignment="1">
      <alignment horizontal="right" wrapText="1"/>
    </xf>
    <xf numFmtId="164" fontId="54" fillId="0" borderId="8" xfId="1" applyNumberFormat="1" applyFont="1" applyBorder="1" applyAlignment="1">
      <alignment horizontal="right" wrapText="1"/>
    </xf>
  </cellXfs>
  <cellStyles count="13">
    <cellStyle name="Millares" xfId="10" builtinId="3"/>
    <cellStyle name="Millares [0]" xfId="11" builtinId="6"/>
    <cellStyle name="Millares 2" xfId="12" xr:uid="{5EB449DF-D225-429B-96DF-080AB350D5A4}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  <cellStyle name="Porcentaje 2 2" xfId="9" xr:uid="{6C8BD6CB-4328-4E66-BCCA-669C31E66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192429</xdr:rowOff>
    </xdr:from>
    <xdr:to>
      <xdr:col>1</xdr:col>
      <xdr:colOff>725583</xdr:colOff>
      <xdr:row>4</xdr:row>
      <xdr:rowOff>74511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9B392F2-3CCF-4CFA-ABE7-7C2AA321A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192429"/>
          <a:ext cx="1411383" cy="933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59532</xdr:colOff>
      <xdr:row>1</xdr:row>
      <xdr:rowOff>33338</xdr:rowOff>
    </xdr:from>
    <xdr:ext cx="1608754" cy="716755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1736C65-DDFD-467E-B227-4CF8CA76D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2" y="235744"/>
          <a:ext cx="1608754" cy="71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F92F-B97C-4C26-9827-F358D480CBEA}">
  <dimension ref="A1:Q91"/>
  <sheetViews>
    <sheetView workbookViewId="0">
      <selection activeCell="M31" sqref="M31"/>
    </sheetView>
  </sheetViews>
  <sheetFormatPr baseColWidth="10" defaultColWidth="8.42578125" defaultRowHeight="12.75" x14ac:dyDescent="0.25"/>
  <cols>
    <col min="1" max="1" width="10" style="106" bestFit="1" customWidth="1"/>
    <col min="2" max="2" width="44.28515625" style="106" bestFit="1" customWidth="1"/>
    <col min="3" max="3" width="10.42578125" style="106" bestFit="1" customWidth="1"/>
    <col min="4" max="4" width="10.42578125" style="106" customWidth="1"/>
    <col min="5" max="5" width="11" style="106" customWidth="1"/>
    <col min="6" max="6" width="9.5703125" style="106" bestFit="1" customWidth="1"/>
    <col min="7" max="7" width="10.85546875" style="188" customWidth="1"/>
    <col min="8" max="8" width="10.42578125" style="179" bestFit="1" customWidth="1"/>
    <col min="9" max="9" width="4.5703125" style="179" customWidth="1"/>
    <col min="10" max="10" width="1.85546875" style="105" customWidth="1"/>
    <col min="11" max="11" width="7" style="106" bestFit="1" customWidth="1"/>
    <col min="12" max="12" width="6.28515625" style="106" customWidth="1"/>
    <col min="13" max="13" width="20.42578125" style="106" customWidth="1"/>
    <col min="14" max="14" width="6.42578125" style="106" bestFit="1" customWidth="1"/>
    <col min="15" max="16" width="8.42578125" style="106"/>
    <col min="17" max="17" width="3.28515625" style="106" customWidth="1"/>
    <col min="18" max="16384" width="8.42578125" style="106"/>
  </cols>
  <sheetData>
    <row r="1" spans="1:10" ht="25.5" x14ac:dyDescent="0.25">
      <c r="A1" s="101"/>
      <c r="B1" s="101"/>
      <c r="C1" s="101"/>
      <c r="D1" s="101"/>
      <c r="E1" s="102" t="s">
        <v>63</v>
      </c>
      <c r="F1" s="103" t="s">
        <v>64</v>
      </c>
      <c r="G1" s="103" t="s">
        <v>65</v>
      </c>
      <c r="H1" s="103" t="s">
        <v>66</v>
      </c>
      <c r="I1" s="104"/>
    </row>
    <row r="2" spans="1:10" x14ac:dyDescent="0.25">
      <c r="A2" s="101"/>
      <c r="B2" s="101"/>
      <c r="C2" s="101"/>
      <c r="D2" s="101"/>
      <c r="E2" s="107">
        <f>IFERROR(O62,"")</f>
        <v>1860.3892116753061</v>
      </c>
      <c r="F2" s="107">
        <f>IFERROR(H53,"")</f>
        <v>354.77411158798282</v>
      </c>
      <c r="G2" s="107">
        <f>IFERROR(H54,"")</f>
        <v>470.47724749642344</v>
      </c>
      <c r="H2" s="107">
        <f>IFERROR(H56,"")</f>
        <v>498.16009155937053</v>
      </c>
      <c r="I2" s="108"/>
    </row>
    <row r="3" spans="1:10" ht="15" x14ac:dyDescent="0.25">
      <c r="A3" s="101"/>
      <c r="B3" s="101"/>
      <c r="C3" s="101"/>
      <c r="D3" s="101"/>
      <c r="E3" s="101"/>
      <c r="F3" s="109"/>
      <c r="G3" s="109"/>
      <c r="H3" s="109"/>
      <c r="I3" s="109"/>
    </row>
    <row r="4" spans="1:10" ht="23.25" thickBot="1" x14ac:dyDescent="0.3">
      <c r="A4" s="277"/>
      <c r="B4" s="277"/>
      <c r="C4" s="277"/>
      <c r="D4" s="277"/>
      <c r="E4" s="277"/>
      <c r="F4" s="277"/>
      <c r="G4" s="277"/>
      <c r="H4" s="277"/>
      <c r="I4" s="110"/>
    </row>
    <row r="5" spans="1:10" ht="19.5" thickBot="1" x14ac:dyDescent="0.3">
      <c r="A5" s="278" t="s">
        <v>67</v>
      </c>
      <c r="B5" s="279"/>
      <c r="C5" s="279"/>
      <c r="D5" s="279"/>
      <c r="E5" s="279"/>
      <c r="F5" s="279"/>
      <c r="G5" s="279"/>
      <c r="H5" s="280"/>
      <c r="I5" s="111"/>
    </row>
    <row r="6" spans="1:10" ht="19.5" thickBot="1" x14ac:dyDescent="0.3">
      <c r="A6" s="111"/>
      <c r="B6" s="111"/>
      <c r="C6" s="111"/>
      <c r="D6" s="111"/>
      <c r="E6" s="111"/>
      <c r="F6" s="281" t="s">
        <v>68</v>
      </c>
      <c r="G6" s="281"/>
      <c r="H6" s="112">
        <f ca="1">TODAY()</f>
        <v>46083</v>
      </c>
      <c r="I6" s="112"/>
    </row>
    <row r="7" spans="1:10" ht="26.25" hidden="1" thickBot="1" x14ac:dyDescent="0.3">
      <c r="A7" s="113" t="s">
        <v>69</v>
      </c>
      <c r="B7" s="114" t="s">
        <v>70</v>
      </c>
      <c r="C7" s="114" t="s">
        <v>69</v>
      </c>
      <c r="D7" s="115" t="s">
        <v>71</v>
      </c>
      <c r="E7" s="115" t="s">
        <v>72</v>
      </c>
      <c r="F7" s="115" t="s">
        <v>73</v>
      </c>
      <c r="G7" s="115" t="s">
        <v>74</v>
      </c>
      <c r="H7" s="116" t="s">
        <v>75</v>
      </c>
      <c r="I7" s="117"/>
    </row>
    <row r="8" spans="1:10" ht="14.25" hidden="1" thickBot="1" x14ac:dyDescent="0.3">
      <c r="A8" s="118"/>
      <c r="B8" s="106" t="str">
        <f>IFERROR(VLOOKUP(H8,'[1]Consolidado MP Planta'!$A$2:$M$823,3,0),"")</f>
        <v/>
      </c>
      <c r="C8" s="119">
        <f>+A8</f>
        <v>0</v>
      </c>
      <c r="D8" s="120" t="str">
        <f>IFERROR(VLOOKUP(H8,'[1]Consolidado MP Planta'!$A$2:$M$823,13,0),"")</f>
        <v/>
      </c>
      <c r="E8" s="120" t="str">
        <f>IFERROR(VLOOKUP(H8,'[1]Consolidado MP Planta'!$A$2:$M$823,12,0),"")</f>
        <v/>
      </c>
      <c r="F8" s="120" t="str">
        <f>IFERROR(C8*E8,"")</f>
        <v/>
      </c>
      <c r="G8" s="121" t="str">
        <f t="shared" ref="G8:G14" si="0">IFERROR(F8/$F$66,"")</f>
        <v/>
      </c>
      <c r="H8" s="122"/>
      <c r="I8" s="122"/>
      <c r="J8" s="123"/>
    </row>
    <row r="9" spans="1:10" ht="14.25" hidden="1" thickBot="1" x14ac:dyDescent="0.3">
      <c r="A9" s="118"/>
      <c r="B9" s="106" t="str">
        <f>IFERROR(VLOOKUP(H9,'[1]Consolidado MP Planta'!$A$2:$M$823,3,0),"")</f>
        <v/>
      </c>
      <c r="C9" s="119">
        <f t="shared" ref="C9:C14" si="1">+A9</f>
        <v>0</v>
      </c>
      <c r="D9" s="120" t="str">
        <f>IFERROR(VLOOKUP(H9,'[1]Consolidado MP Planta'!$A$2:$M$823,13,0),"")</f>
        <v/>
      </c>
      <c r="E9" s="120" t="str">
        <f>IFERROR(VLOOKUP(H9,'[1]Consolidado MP Planta'!$A$2:$M$823,12,0),"")</f>
        <v/>
      </c>
      <c r="F9" s="120" t="str">
        <f t="shared" ref="F9:F14" si="2">IFERROR(C9*E9,"")</f>
        <v/>
      </c>
      <c r="G9" s="121" t="str">
        <f t="shared" si="0"/>
        <v/>
      </c>
      <c r="H9" s="122"/>
      <c r="I9" s="122"/>
      <c r="J9" s="123"/>
    </row>
    <row r="10" spans="1:10" ht="14.25" hidden="1" thickBot="1" x14ac:dyDescent="0.3">
      <c r="A10" s="118"/>
      <c r="B10" s="106" t="str">
        <f>IFERROR(VLOOKUP(H10,'[1]Consolidado MP Planta'!$A$2:$M$823,3,0),"")</f>
        <v/>
      </c>
      <c r="C10" s="119">
        <f t="shared" si="1"/>
        <v>0</v>
      </c>
      <c r="D10" s="120" t="str">
        <f>IFERROR(VLOOKUP(H10,'[1]Consolidado MP Planta'!$A$2:$M$823,13,0),"")</f>
        <v/>
      </c>
      <c r="E10" s="120" t="str">
        <f>IFERROR(VLOOKUP(H10,'[1]Consolidado MP Planta'!$A$2:$M$823,12,0),"")</f>
        <v/>
      </c>
      <c r="F10" s="120" t="str">
        <f t="shared" si="2"/>
        <v/>
      </c>
      <c r="G10" s="121" t="str">
        <f t="shared" si="0"/>
        <v/>
      </c>
      <c r="H10" s="122"/>
      <c r="I10" s="122"/>
      <c r="J10" s="123"/>
    </row>
    <row r="11" spans="1:10" ht="14.25" hidden="1" thickBot="1" x14ac:dyDescent="0.3">
      <c r="A11" s="118"/>
      <c r="B11" s="106" t="str">
        <f>IFERROR(VLOOKUP(H11,'[1]Consolidado MP Planta'!$A$2:$M$823,3,0),"")</f>
        <v/>
      </c>
      <c r="C11" s="119">
        <f t="shared" si="1"/>
        <v>0</v>
      </c>
      <c r="D11" s="120" t="str">
        <f>IFERROR(VLOOKUP(H11,'[1]Consolidado MP Planta'!$A$2:$M$823,13,0),"")</f>
        <v/>
      </c>
      <c r="E11" s="120" t="str">
        <f>IFERROR(VLOOKUP(H11,'[1]Consolidado MP Planta'!$A$2:$M$823,12,0),"")</f>
        <v/>
      </c>
      <c r="F11" s="120" t="str">
        <f t="shared" si="2"/>
        <v/>
      </c>
      <c r="G11" s="121" t="str">
        <f t="shared" si="0"/>
        <v/>
      </c>
      <c r="H11" s="122"/>
      <c r="I11" s="122"/>
      <c r="J11" s="123"/>
    </row>
    <row r="12" spans="1:10" ht="14.25" hidden="1" thickBot="1" x14ac:dyDescent="0.3">
      <c r="A12" s="118"/>
      <c r="B12" s="106" t="str">
        <f>IFERROR(VLOOKUP(H12,'[1]Consolidado MP Planta'!$A$2:$M$823,3,0),"")</f>
        <v/>
      </c>
      <c r="C12" s="119">
        <f t="shared" si="1"/>
        <v>0</v>
      </c>
      <c r="D12" s="120" t="str">
        <f>IFERROR(VLOOKUP(H12,'[1]Consolidado MP Planta'!$A$2:$M$823,13,0),"")</f>
        <v/>
      </c>
      <c r="E12" s="120" t="str">
        <f>IFERROR(VLOOKUP(H12,'[1]Consolidado MP Planta'!$A$2:$M$823,12,0),"")</f>
        <v/>
      </c>
      <c r="F12" s="120" t="str">
        <f t="shared" si="2"/>
        <v/>
      </c>
      <c r="G12" s="121" t="str">
        <f t="shared" si="0"/>
        <v/>
      </c>
      <c r="H12" s="122"/>
      <c r="I12" s="122"/>
      <c r="J12" s="123"/>
    </row>
    <row r="13" spans="1:10" ht="14.25" hidden="1" thickBot="1" x14ac:dyDescent="0.3">
      <c r="A13" s="118"/>
      <c r="B13" s="106" t="str">
        <f>IFERROR(VLOOKUP(H13,'[1]Consolidado MP Planta'!$A$2:$M$823,3,0),"")</f>
        <v/>
      </c>
      <c r="C13" s="119">
        <f t="shared" si="1"/>
        <v>0</v>
      </c>
      <c r="D13" s="120" t="str">
        <f>IFERROR(VLOOKUP(H13,'[1]Consolidado MP Planta'!$A$2:$M$823,13,0),"")</f>
        <v/>
      </c>
      <c r="E13" s="120" t="str">
        <f>IFERROR(VLOOKUP(H13,'[1]Consolidado MP Planta'!$A$2:$M$823,12,0),"")</f>
        <v/>
      </c>
      <c r="F13" s="120" t="str">
        <f t="shared" si="2"/>
        <v/>
      </c>
      <c r="G13" s="121" t="str">
        <f t="shared" si="0"/>
        <v/>
      </c>
      <c r="H13" s="122"/>
      <c r="I13" s="122"/>
      <c r="J13" s="123"/>
    </row>
    <row r="14" spans="1:10" ht="14.25" hidden="1" thickBot="1" x14ac:dyDescent="0.3">
      <c r="A14" s="118"/>
      <c r="B14" s="106" t="str">
        <f>IFERROR(VLOOKUP(H14,'[1]Consolidado MP Planta'!$A$2:$M$823,3,0),"")</f>
        <v/>
      </c>
      <c r="C14" s="119">
        <f t="shared" si="1"/>
        <v>0</v>
      </c>
      <c r="D14" s="120" t="str">
        <f>IFERROR(VLOOKUP(H14,'[1]Consolidado MP Planta'!$A$2:$M$823,13,0),"")</f>
        <v/>
      </c>
      <c r="E14" s="120" t="str">
        <f>IFERROR(VLOOKUP(H14,'[1]Consolidado MP Planta'!$A$2:$M$823,12,0),"")</f>
        <v/>
      </c>
      <c r="F14" s="120" t="str">
        <f t="shared" si="2"/>
        <v/>
      </c>
      <c r="G14" s="121" t="str">
        <f t="shared" si="0"/>
        <v/>
      </c>
      <c r="H14" s="122"/>
      <c r="I14" s="122"/>
      <c r="J14" s="123"/>
    </row>
    <row r="15" spans="1:10" ht="14.25" hidden="1" thickBot="1" x14ac:dyDescent="0.3">
      <c r="A15" s="118"/>
      <c r="B15" s="106" t="str">
        <f>IFERROR(VLOOKUP(H15,[2]Hoja2!$A$2:$G$589,2,0),"")</f>
        <v/>
      </c>
      <c r="C15" s="119"/>
      <c r="D15" s="120"/>
      <c r="E15" s="120"/>
      <c r="F15" s="120"/>
      <c r="G15" s="121"/>
      <c r="H15" s="122"/>
      <c r="I15" s="122"/>
      <c r="J15" s="123"/>
    </row>
    <row r="16" spans="1:10" ht="26.25" thickBot="1" x14ac:dyDescent="0.3">
      <c r="A16" s="113" t="s">
        <v>69</v>
      </c>
      <c r="B16" s="114" t="s">
        <v>76</v>
      </c>
      <c r="C16" s="114" t="s">
        <v>69</v>
      </c>
      <c r="D16" s="115" t="s">
        <v>71</v>
      </c>
      <c r="E16" s="115" t="s">
        <v>72</v>
      </c>
      <c r="F16" s="115" t="s">
        <v>73</v>
      </c>
      <c r="G16" s="115" t="s">
        <v>74</v>
      </c>
      <c r="H16" s="116" t="s">
        <v>75</v>
      </c>
      <c r="I16" s="117"/>
      <c r="J16" s="123"/>
    </row>
    <row r="17" spans="1:12" ht="15" x14ac:dyDescent="0.25">
      <c r="A17" s="118">
        <v>32</v>
      </c>
      <c r="B17" s="6" t="s">
        <v>62</v>
      </c>
      <c r="C17" s="119">
        <f>+A17</f>
        <v>32</v>
      </c>
      <c r="D17" s="119" t="s">
        <v>116</v>
      </c>
      <c r="E17" s="120">
        <f>+'Costo corte circulo'!H53</f>
        <v>11.086690987124463</v>
      </c>
      <c r="F17" s="120">
        <f>IFERROR(E17*C17,"")</f>
        <v>354.77411158798282</v>
      </c>
      <c r="G17" s="121">
        <f t="shared" ref="G17:G24" si="3">IFERROR(F17/$F$66,"")</f>
        <v>0.35968494724895939</v>
      </c>
      <c r="H17" s="122" t="s">
        <v>117</v>
      </c>
      <c r="I17" s="122"/>
      <c r="J17" s="123"/>
    </row>
    <row r="18" spans="1:12" ht="13.5" hidden="1" x14ac:dyDescent="0.25">
      <c r="A18" s="118"/>
      <c r="B18" s="106" t="str">
        <f>IFERROR(VLOOKUP(H18,[1]SEMIELABORADOS!$A$2:$M$6000,2,0),"")</f>
        <v/>
      </c>
      <c r="C18" s="119">
        <f t="shared" ref="C18:C24" si="4">+A18</f>
        <v>0</v>
      </c>
      <c r="D18" s="119" t="str">
        <f>IFERROR(VLOOKUP(H18,[1]SEMIELABORADOS!$A$2:$M$6000,6,0),"")</f>
        <v/>
      </c>
      <c r="E18" s="120" t="str">
        <f>IFERROR(VLOOKUP(H18,[1]SEMIELABORADOS!$A$2:$H$65536,8,0),"")</f>
        <v/>
      </c>
      <c r="F18" s="120" t="str">
        <f t="shared" ref="F18:F24" si="5">IFERROR(E18*C18,"")</f>
        <v/>
      </c>
      <c r="G18" s="121" t="str">
        <f t="shared" si="3"/>
        <v/>
      </c>
      <c r="H18" s="122"/>
      <c r="I18" s="122"/>
      <c r="J18" s="123"/>
    </row>
    <row r="19" spans="1:12" ht="13.5" hidden="1" x14ac:dyDescent="0.25">
      <c r="A19" s="118"/>
      <c r="B19" s="106" t="str">
        <f>IFERROR(VLOOKUP(H19,[1]SEMIELABORADOS!$A$2:$M$6000,2,0),"")</f>
        <v/>
      </c>
      <c r="C19" s="119">
        <f>+A19</f>
        <v>0</v>
      </c>
      <c r="D19" s="119" t="str">
        <f>IFERROR(VLOOKUP(H19,[1]SEMIELABORADOS!$A$2:$M$6000,6,0),"")</f>
        <v/>
      </c>
      <c r="E19" s="120" t="str">
        <f>IFERROR(VLOOKUP(H19,[1]SEMIELABORADOS!$A$2:$H$65536,8,0),"")</f>
        <v/>
      </c>
      <c r="F19" s="120" t="str">
        <f>IFERROR(E19*C19,"")</f>
        <v/>
      </c>
      <c r="G19" s="121" t="str">
        <f t="shared" si="3"/>
        <v/>
      </c>
      <c r="H19" s="122"/>
      <c r="I19" s="122"/>
      <c r="J19" s="123"/>
    </row>
    <row r="20" spans="1:12" ht="13.5" hidden="1" x14ac:dyDescent="0.25">
      <c r="A20" s="118"/>
      <c r="B20" s="106" t="str">
        <f>IFERROR(VLOOKUP(H20,[1]SEMIELABORADOS!$A$2:$M$6000,2,0),"")</f>
        <v/>
      </c>
      <c r="C20" s="119">
        <f>+A20</f>
        <v>0</v>
      </c>
      <c r="D20" s="119" t="str">
        <f>IFERROR(VLOOKUP(H20,[1]SEMIELABORADOS!$A$2:$M$6000,6,0),"")</f>
        <v/>
      </c>
      <c r="E20" s="120" t="str">
        <f>IFERROR(VLOOKUP(H20,[1]SEMIELABORADOS!$A$2:$H$65536,8,0),"")</f>
        <v/>
      </c>
      <c r="F20" s="120" t="str">
        <f>IFERROR(E20*C20,"")</f>
        <v/>
      </c>
      <c r="G20" s="121" t="str">
        <f t="shared" si="3"/>
        <v/>
      </c>
      <c r="H20" s="122"/>
      <c r="I20" s="122"/>
      <c r="J20" s="123"/>
    </row>
    <row r="21" spans="1:12" ht="13.5" hidden="1" x14ac:dyDescent="0.25">
      <c r="A21" s="118"/>
      <c r="B21" s="106" t="str">
        <f>IFERROR(VLOOKUP(H21,[1]SEMIELABORADOS!$A$2:$M$6000,2,0),"")</f>
        <v/>
      </c>
      <c r="C21" s="119">
        <f>+A21</f>
        <v>0</v>
      </c>
      <c r="D21" s="119" t="str">
        <f>IFERROR(VLOOKUP(H21,[1]SEMIELABORADOS!$A$2:$M$6000,6,0),"")</f>
        <v/>
      </c>
      <c r="E21" s="120" t="str">
        <f>IFERROR(VLOOKUP(H21,[1]SEMIELABORADOS!$A$2:$H$65536,8,0),"")</f>
        <v/>
      </c>
      <c r="F21" s="120" t="str">
        <f>IFERROR(E21*C21,"")</f>
        <v/>
      </c>
      <c r="G21" s="121" t="str">
        <f t="shared" si="3"/>
        <v/>
      </c>
      <c r="H21" s="122"/>
      <c r="I21" s="122"/>
      <c r="J21" s="123"/>
    </row>
    <row r="22" spans="1:12" ht="13.5" hidden="1" x14ac:dyDescent="0.25">
      <c r="A22" s="118"/>
      <c r="B22" s="106" t="str">
        <f>IFERROR(VLOOKUP(H22,[1]SEMIELABORADOS!$A$2:$M$6000,2,0),"")</f>
        <v/>
      </c>
      <c r="C22" s="119">
        <f t="shared" si="4"/>
        <v>0</v>
      </c>
      <c r="D22" s="119" t="str">
        <f>IFERROR(VLOOKUP(H22,[1]SEMIELABORADOS!$A$2:$M$6000,6,0),"")</f>
        <v/>
      </c>
      <c r="E22" s="120" t="str">
        <f>IFERROR(VLOOKUP(H22,[1]SEMIELABORADOS!$A$2:$H$65536,8,0),"")</f>
        <v/>
      </c>
      <c r="F22" s="120" t="str">
        <f t="shared" si="5"/>
        <v/>
      </c>
      <c r="G22" s="121" t="str">
        <f t="shared" si="3"/>
        <v/>
      </c>
      <c r="H22" s="122"/>
      <c r="I22" s="122"/>
      <c r="J22" s="123"/>
    </row>
    <row r="23" spans="1:12" ht="13.5" hidden="1" x14ac:dyDescent="0.25">
      <c r="A23" s="118"/>
      <c r="B23" s="106" t="str">
        <f>IFERROR(VLOOKUP(H23,[1]SEMIELABORADOS!$A$2:$M$6000,2,0),"")</f>
        <v/>
      </c>
      <c r="C23" s="119">
        <f t="shared" si="4"/>
        <v>0</v>
      </c>
      <c r="D23" s="119" t="str">
        <f>IFERROR(VLOOKUP(H23,[1]SEMIELABORADOS!$A$2:$M$6000,6,0),"")</f>
        <v/>
      </c>
      <c r="E23" s="120" t="str">
        <f>IFERROR(VLOOKUP(H23,[1]SEMIELABORADOS!$A$2:$H$65536,8,0),"")</f>
        <v/>
      </c>
      <c r="F23" s="120" t="str">
        <f t="shared" si="5"/>
        <v/>
      </c>
      <c r="G23" s="121" t="str">
        <f t="shared" si="3"/>
        <v/>
      </c>
      <c r="H23" s="122"/>
      <c r="I23" s="122"/>
      <c r="J23" s="123"/>
    </row>
    <row r="24" spans="1:12" ht="13.5" hidden="1" x14ac:dyDescent="0.25">
      <c r="A24" s="118"/>
      <c r="B24" s="106" t="str">
        <f>IFERROR(VLOOKUP(H24,[1]SEMIELABORADOS!$A$2:$M$6000,2,0),"")</f>
        <v/>
      </c>
      <c r="C24" s="119">
        <f t="shared" si="4"/>
        <v>0</v>
      </c>
      <c r="D24" s="119" t="str">
        <f>IFERROR(VLOOKUP(H24,[1]SEMIELABORADOS!$A$2:$M$6000,6,0),"")</f>
        <v/>
      </c>
      <c r="E24" s="120" t="str">
        <f>IFERROR(VLOOKUP(H24,[1]SEMIELABORADOS!$A$2:$H$65536,8,0),"")</f>
        <v/>
      </c>
      <c r="F24" s="120" t="str">
        <f t="shared" si="5"/>
        <v/>
      </c>
      <c r="G24" s="121" t="str">
        <f t="shared" si="3"/>
        <v/>
      </c>
      <c r="H24" s="122"/>
      <c r="I24" s="122"/>
      <c r="J24" s="123"/>
    </row>
    <row r="25" spans="1:12" ht="14.25" thickBot="1" x14ac:dyDescent="0.3">
      <c r="A25" s="118"/>
      <c r="C25" s="119"/>
      <c r="D25" s="119"/>
      <c r="E25" s="120"/>
      <c r="F25" s="120"/>
      <c r="G25" s="121"/>
      <c r="H25" s="122"/>
      <c r="I25" s="122"/>
      <c r="J25" s="123"/>
    </row>
    <row r="26" spans="1:12" ht="26.25" thickBot="1" x14ac:dyDescent="0.3">
      <c r="A26" s="113" t="s">
        <v>69</v>
      </c>
      <c r="B26" s="114" t="s">
        <v>77</v>
      </c>
      <c r="C26" s="114" t="s">
        <v>69</v>
      </c>
      <c r="D26" s="115" t="s">
        <v>71</v>
      </c>
      <c r="E26" s="115" t="s">
        <v>72</v>
      </c>
      <c r="F26" s="115" t="s">
        <v>73</v>
      </c>
      <c r="G26" s="115" t="s">
        <v>74</v>
      </c>
      <c r="H26" s="116" t="s">
        <v>75</v>
      </c>
      <c r="I26" s="117"/>
    </row>
    <row r="27" spans="1:12" ht="13.5" x14ac:dyDescent="0.25">
      <c r="A27" s="118">
        <v>8</v>
      </c>
      <c r="B27" s="124" t="str">
        <f>IFERROR(VLOOKUP(H27,'[1]Consolidado MP Planta'!$A$2:$M$823,3,0),"")</f>
        <v>ORLA N°3 DORADA (UND)</v>
      </c>
      <c r="C27" s="119">
        <f t="shared" ref="C27:C32" si="6">+A27</f>
        <v>8</v>
      </c>
      <c r="D27" s="120" t="str">
        <f>IFERROR(VLOOKUP(H27,'[1]Consolidado MP Planta'!$A$2:$M$823,13,0),"")</f>
        <v>Und</v>
      </c>
      <c r="E27" s="120">
        <v>34</v>
      </c>
      <c r="F27" s="120">
        <f t="shared" ref="F27:F32" si="7">IFERROR(C27*E27,"")</f>
        <v>272</v>
      </c>
      <c r="G27" s="121">
        <f t="shared" ref="G27:G32" si="8">IFERROR(F27/$F$66,"")</f>
        <v>0.27576506418071706</v>
      </c>
      <c r="H27" s="125" t="s">
        <v>118</v>
      </c>
      <c r="I27" s="125"/>
      <c r="J27" s="123"/>
      <c r="K27" s="270"/>
      <c r="L27" s="270"/>
    </row>
    <row r="28" spans="1:12" ht="13.5" x14ac:dyDescent="0.25">
      <c r="A28" s="118">
        <v>1</v>
      </c>
      <c r="B28" s="124" t="str">
        <f>IFERROR(VLOOKUP(H28,'[1]Consolidado MP Planta'!$A$2:$M$823,3,0),"")</f>
        <v>CONT.48 ON TRAN.TAPA PLANA (CAJA:200UND)</v>
      </c>
      <c r="C28" s="119">
        <f t="shared" si="6"/>
        <v>1</v>
      </c>
      <c r="D28" s="120" t="str">
        <f>IFERROR(VLOOKUP(H28,'[1]Consolidado MP Planta'!$A$2:$M$823,13,0),"")</f>
        <v>Und</v>
      </c>
      <c r="E28" s="120">
        <v>190.75</v>
      </c>
      <c r="F28" s="120">
        <f t="shared" si="7"/>
        <v>190.75</v>
      </c>
      <c r="G28" s="121">
        <f t="shared" si="8"/>
        <v>0.19339038967820504</v>
      </c>
      <c r="H28" s="125" t="s">
        <v>119</v>
      </c>
      <c r="I28" s="125"/>
      <c r="J28" s="123"/>
      <c r="K28" s="270"/>
      <c r="L28" s="270"/>
    </row>
    <row r="29" spans="1:12" ht="13.5" x14ac:dyDescent="0.25">
      <c r="A29" s="118">
        <v>1</v>
      </c>
      <c r="B29" s="124" t="str">
        <f>IFERROR(VLOOKUP(H29,'[1]Consolidado MP Planta'!$A$2:$M$823,3,0),"")</f>
        <v>ETIQ.FECHA VENCIMIENTO BLANCO (ROLLO)</v>
      </c>
      <c r="C29" s="119">
        <f t="shared" si="6"/>
        <v>1</v>
      </c>
      <c r="D29" s="120" t="str">
        <f>IFERROR(VLOOKUP(H29,'[1]Consolidado MP Planta'!$A$2:$M$823,13,0),"")</f>
        <v>Gramos</v>
      </c>
      <c r="E29" s="120">
        <v>0.22</v>
      </c>
      <c r="F29" s="120">
        <f t="shared" si="7"/>
        <v>0.22</v>
      </c>
      <c r="G29" s="121">
        <f t="shared" si="8"/>
        <v>2.2304527249910938E-4</v>
      </c>
      <c r="H29" s="125" t="s">
        <v>120</v>
      </c>
      <c r="I29" s="125"/>
      <c r="J29" s="123"/>
      <c r="K29" s="270"/>
      <c r="L29" s="270"/>
    </row>
    <row r="30" spans="1:12" ht="13.5" x14ac:dyDescent="0.25">
      <c r="A30" s="118">
        <v>1</v>
      </c>
      <c r="B30" s="124" t="str">
        <f>IFERROR(VLOOKUP(H30,'[1]Consolidado MP Planta'!$A$2:$M$823,3,0),"")</f>
        <v>ETIQ.BLANCA 1 1/4 * 3/4 (UND)</v>
      </c>
      <c r="C30" s="119">
        <f t="shared" si="6"/>
        <v>1</v>
      </c>
      <c r="D30" s="120" t="str">
        <f>IFERROR(VLOOKUP(H30,'[1]Consolidado MP Planta'!$A$2:$M$823,13,0),"")</f>
        <v>Und</v>
      </c>
      <c r="E30" s="120">
        <v>0.57999999999999996</v>
      </c>
      <c r="F30" s="120">
        <f t="shared" si="7"/>
        <v>0.57999999999999996</v>
      </c>
      <c r="G30" s="121">
        <f t="shared" si="8"/>
        <v>5.880284456794701E-4</v>
      </c>
      <c r="H30" s="125" t="s">
        <v>37</v>
      </c>
      <c r="I30" s="125"/>
      <c r="J30" s="123"/>
      <c r="K30" s="270"/>
      <c r="L30" s="270"/>
    </row>
    <row r="31" spans="1:12" ht="13.5" x14ac:dyDescent="0.25">
      <c r="A31" s="118">
        <v>1</v>
      </c>
      <c r="B31" s="124" t="str">
        <f>IFERROR(VLOOKUP(H31,'[1]Consolidado MP Planta'!$A$2:$M$823,3,0),"")</f>
        <v>ETIQUETA BLANCA R-153 (UND)</v>
      </c>
      <c r="C31" s="119">
        <f t="shared" si="6"/>
        <v>1</v>
      </c>
      <c r="D31" s="120" t="str">
        <f>IFERROR(VLOOKUP(H31,'[1]Consolidado MP Planta'!$A$2:$M$823,13,0),"")</f>
        <v>Und</v>
      </c>
      <c r="E31" s="120">
        <v>0.39</v>
      </c>
      <c r="F31" s="120">
        <f t="shared" si="7"/>
        <v>0.39</v>
      </c>
      <c r="G31" s="121">
        <f t="shared" si="8"/>
        <v>3.9539843761205752E-4</v>
      </c>
      <c r="H31" s="125" t="s">
        <v>121</v>
      </c>
      <c r="I31" s="125"/>
      <c r="J31" s="123"/>
      <c r="K31" s="126"/>
      <c r="L31" s="127"/>
    </row>
    <row r="32" spans="1:12" ht="13.5" x14ac:dyDescent="0.25">
      <c r="A32" s="118"/>
      <c r="B32" s="124" t="str">
        <f>IFERROR(VLOOKUP(H32,'[1]Consolidado MP Planta'!$A$2:$M$823,3,0),"")</f>
        <v/>
      </c>
      <c r="C32" s="119">
        <f t="shared" si="6"/>
        <v>0</v>
      </c>
      <c r="D32" s="120" t="str">
        <f>IFERROR(VLOOKUP(H32,'[1]Consolidado MP Planta'!$A$2:$M$823,13,0),"")</f>
        <v/>
      </c>
      <c r="E32" s="120" t="str">
        <f>IFERROR(VLOOKUP(H32,'[1]Consolidado MP Planta'!$A$2:$M$823,12,0),"")</f>
        <v/>
      </c>
      <c r="F32" s="120" t="str">
        <f t="shared" si="7"/>
        <v/>
      </c>
      <c r="G32" s="121" t="str">
        <f t="shared" si="8"/>
        <v/>
      </c>
      <c r="H32" s="125"/>
      <c r="I32" s="125"/>
      <c r="J32" s="123"/>
    </row>
    <row r="33" spans="1:13" ht="14.25" thickBot="1" x14ac:dyDescent="0.3">
      <c r="A33" s="118"/>
      <c r="B33" s="124"/>
      <c r="C33" s="119"/>
      <c r="D33" s="120"/>
      <c r="E33" s="120"/>
      <c r="F33" s="120"/>
      <c r="G33" s="121"/>
      <c r="H33" s="125"/>
      <c r="I33" s="125"/>
      <c r="J33" s="123"/>
    </row>
    <row r="34" spans="1:13" ht="26.25" thickBot="1" x14ac:dyDescent="0.25">
      <c r="A34" s="113" t="s">
        <v>69</v>
      </c>
      <c r="B34" s="114" t="s">
        <v>78</v>
      </c>
      <c r="C34" s="114" t="s">
        <v>69</v>
      </c>
      <c r="D34" s="115" t="s">
        <v>71</v>
      </c>
      <c r="E34" s="115" t="s">
        <v>72</v>
      </c>
      <c r="F34" s="115" t="s">
        <v>73</v>
      </c>
      <c r="G34" s="115" t="s">
        <v>74</v>
      </c>
      <c r="H34" s="116" t="s">
        <v>75</v>
      </c>
      <c r="I34" s="125"/>
      <c r="J34" s="123"/>
    </row>
    <row r="35" spans="1:13" ht="15" x14ac:dyDescent="0.25">
      <c r="A35" s="118">
        <f>+A17</f>
        <v>32</v>
      </c>
      <c r="B35" s="6" t="s">
        <v>62</v>
      </c>
      <c r="C35" s="119">
        <f>+A35</f>
        <v>32</v>
      </c>
      <c r="D35" s="120" t="s">
        <v>122</v>
      </c>
      <c r="E35" s="120">
        <f>+'Costo corte circulo'!H54</f>
        <v>0.20428898426323322</v>
      </c>
      <c r="F35" s="120">
        <f>IFERROR(E35*C35,"")</f>
        <v>6.537247496423463</v>
      </c>
      <c r="G35" s="121">
        <f t="shared" ref="G35:G41" si="9">IFERROR(F35/$F$66,"")</f>
        <v>6.6277370419722354E-3</v>
      </c>
      <c r="H35" s="125" t="s">
        <v>117</v>
      </c>
      <c r="I35" s="125"/>
      <c r="J35" s="123"/>
    </row>
    <row r="36" spans="1:13" ht="13.5" hidden="1" x14ac:dyDescent="0.25">
      <c r="A36" s="118">
        <f t="shared" ref="A36:A41" si="10">+A18</f>
        <v>0</v>
      </c>
      <c r="B36" s="124" t="str">
        <f>IFERROR(VLOOKUP(H36,[1]SEMIELABORADOS!$A$2:$M$6000,2,0),"")</f>
        <v/>
      </c>
      <c r="C36" s="119">
        <f t="shared" ref="C36:C41" si="11">+A36</f>
        <v>0</v>
      </c>
      <c r="D36" s="120" t="str">
        <f>IFERROR(VLOOKUP(H36,[1]SEMIELABORADOS!$A$2:$M$6000,6,0),"")</f>
        <v/>
      </c>
      <c r="E36" s="120" t="str">
        <f>IFERROR(VLOOKUP(H36,[1]SEMIELABORADOS!$A$2:$M$65536,10,0),"")</f>
        <v/>
      </c>
      <c r="F36" s="120" t="str">
        <f t="shared" ref="F36:F41" si="12">IFERROR(E36*C36,"")</f>
        <v/>
      </c>
      <c r="G36" s="121" t="str">
        <f t="shared" si="9"/>
        <v/>
      </c>
      <c r="H36" s="125"/>
      <c r="I36" s="125"/>
      <c r="J36" s="123"/>
    </row>
    <row r="37" spans="1:13" ht="13.5" hidden="1" x14ac:dyDescent="0.25">
      <c r="A37" s="118">
        <f t="shared" si="10"/>
        <v>0</v>
      </c>
      <c r="B37" s="124" t="str">
        <f>IFERROR(VLOOKUP(H37,[1]SEMIELABORADOS!$A$2:$M$6000,2,0),"")</f>
        <v/>
      </c>
      <c r="C37" s="119">
        <f t="shared" si="11"/>
        <v>0</v>
      </c>
      <c r="D37" s="120" t="str">
        <f>IFERROR(VLOOKUP(H37,[1]SEMIELABORADOS!$A$2:$M$6000,6,0),"")</f>
        <v/>
      </c>
      <c r="E37" s="120" t="str">
        <f>IFERROR(VLOOKUP(H37,[1]SEMIELABORADOS!$A$2:$M$65536,10,0),"")</f>
        <v/>
      </c>
      <c r="F37" s="120" t="str">
        <f t="shared" si="12"/>
        <v/>
      </c>
      <c r="G37" s="121" t="str">
        <f t="shared" si="9"/>
        <v/>
      </c>
      <c r="H37" s="125"/>
      <c r="I37" s="125"/>
      <c r="J37" s="123"/>
    </row>
    <row r="38" spans="1:13" ht="13.5" hidden="1" x14ac:dyDescent="0.25">
      <c r="A38" s="118">
        <f t="shared" si="10"/>
        <v>0</v>
      </c>
      <c r="B38" s="124" t="str">
        <f>IFERROR(VLOOKUP(H38,[1]SEMIELABORADOS!$A$2:$M$6000,2,0),"")</f>
        <v/>
      </c>
      <c r="C38" s="119">
        <f>+A38</f>
        <v>0</v>
      </c>
      <c r="D38" s="120" t="str">
        <f>IFERROR(VLOOKUP(H38,[1]SEMIELABORADOS!$A$2:$M$6000,6,0),"")</f>
        <v/>
      </c>
      <c r="E38" s="120" t="str">
        <f>IFERROR(VLOOKUP(H38,[1]SEMIELABORADOS!$A$2:$M$65536,10,0),"")</f>
        <v/>
      </c>
      <c r="F38" s="120" t="str">
        <f>IFERROR(E38*C38,"")</f>
        <v/>
      </c>
      <c r="G38" s="121" t="str">
        <f t="shared" si="9"/>
        <v/>
      </c>
      <c r="H38" s="125"/>
      <c r="I38" s="125"/>
      <c r="J38" s="123"/>
    </row>
    <row r="39" spans="1:13" ht="13.5" hidden="1" x14ac:dyDescent="0.25">
      <c r="A39" s="118">
        <f t="shared" si="10"/>
        <v>0</v>
      </c>
      <c r="B39" s="124" t="str">
        <f>IFERROR(VLOOKUP(H39,[1]SEMIELABORADOS!$A$2:$M$6000,2,0),"")</f>
        <v/>
      </c>
      <c r="C39" s="119">
        <f>+A39</f>
        <v>0</v>
      </c>
      <c r="D39" s="120" t="str">
        <f>IFERROR(VLOOKUP(H39,[1]SEMIELABORADOS!$A$2:$M$6000,6,0),"")</f>
        <v/>
      </c>
      <c r="E39" s="120" t="str">
        <f>IFERROR(VLOOKUP(H39,[1]SEMIELABORADOS!$A$2:$M$65536,10,0),"")</f>
        <v/>
      </c>
      <c r="F39" s="120" t="str">
        <f>IFERROR(E39*C39,"")</f>
        <v/>
      </c>
      <c r="G39" s="121" t="str">
        <f t="shared" si="9"/>
        <v/>
      </c>
      <c r="H39" s="125"/>
      <c r="I39" s="125"/>
      <c r="J39" s="123"/>
    </row>
    <row r="40" spans="1:13" ht="13.5" hidden="1" x14ac:dyDescent="0.25">
      <c r="A40" s="118">
        <f t="shared" si="10"/>
        <v>0</v>
      </c>
      <c r="B40" s="124" t="str">
        <f>IFERROR(VLOOKUP(H40,[1]SEMIELABORADOS!$A$2:$M$6000,2,0),"")</f>
        <v/>
      </c>
      <c r="C40" s="119">
        <f t="shared" si="11"/>
        <v>0</v>
      </c>
      <c r="D40" s="120" t="str">
        <f>IFERROR(VLOOKUP(H40,[1]SEMIELABORADOS!$A$2:$M$6000,6,0),"")</f>
        <v/>
      </c>
      <c r="E40" s="120" t="str">
        <f>IFERROR(VLOOKUP(H40,[1]SEMIELABORADOS!$A$2:$M$65536,10,0),"")</f>
        <v/>
      </c>
      <c r="F40" s="120" t="str">
        <f t="shared" si="12"/>
        <v/>
      </c>
      <c r="G40" s="121" t="str">
        <f t="shared" si="9"/>
        <v/>
      </c>
      <c r="H40" s="125"/>
      <c r="I40" s="125"/>
      <c r="J40" s="123"/>
    </row>
    <row r="41" spans="1:13" ht="13.5" hidden="1" x14ac:dyDescent="0.25">
      <c r="A41" s="118">
        <f t="shared" si="10"/>
        <v>0</v>
      </c>
      <c r="B41" s="124" t="str">
        <f>IFERROR(VLOOKUP(H41,[1]SEMIELABORADOS!$A$2:$M$6000,2,0),"")</f>
        <v/>
      </c>
      <c r="C41" s="119">
        <f t="shared" si="11"/>
        <v>0</v>
      </c>
      <c r="D41" s="120" t="str">
        <f>IFERROR(VLOOKUP(H41,[1]SEMIELABORADOS!$A$2:$M$6000,6,0),"")</f>
        <v/>
      </c>
      <c r="E41" s="120" t="str">
        <f>IFERROR(VLOOKUP(H41,[1]SEMIELABORADOS!$A$2:$M$65536,10,0),"")</f>
        <v/>
      </c>
      <c r="F41" s="120" t="str">
        <f t="shared" si="12"/>
        <v/>
      </c>
      <c r="G41" s="121" t="str">
        <f t="shared" si="9"/>
        <v/>
      </c>
      <c r="H41" s="125"/>
      <c r="I41" s="125"/>
      <c r="J41" s="123"/>
    </row>
    <row r="42" spans="1:13" ht="14.25" thickBot="1" x14ac:dyDescent="0.3">
      <c r="A42" s="118"/>
      <c r="B42" s="124"/>
      <c r="C42" s="119"/>
      <c r="D42" s="120"/>
      <c r="E42" s="120"/>
      <c r="F42" s="120"/>
      <c r="G42" s="121"/>
      <c r="H42" s="125"/>
      <c r="I42" s="125"/>
      <c r="J42" s="123"/>
    </row>
    <row r="43" spans="1:13" ht="26.25" thickBot="1" x14ac:dyDescent="0.3">
      <c r="A43" s="113" t="s">
        <v>69</v>
      </c>
      <c r="B43" s="114" t="s">
        <v>79</v>
      </c>
      <c r="C43" s="114" t="s">
        <v>69</v>
      </c>
      <c r="D43" s="115" t="s">
        <v>71</v>
      </c>
      <c r="E43" s="115" t="s">
        <v>72</v>
      </c>
      <c r="F43" s="115" t="s">
        <v>73</v>
      </c>
      <c r="G43" s="115" t="s">
        <v>74</v>
      </c>
      <c r="H43" s="116" t="s">
        <v>75</v>
      </c>
      <c r="I43" s="117"/>
      <c r="J43" s="123"/>
    </row>
    <row r="44" spans="1:13" ht="15" x14ac:dyDescent="0.25">
      <c r="A44" s="118">
        <f>+A35</f>
        <v>32</v>
      </c>
      <c r="B44" s="6" t="s">
        <v>62</v>
      </c>
      <c r="C44" s="119">
        <f>+A44</f>
        <v>32</v>
      </c>
      <c r="D44" s="120" t="s">
        <v>122</v>
      </c>
      <c r="E44" s="120">
        <f>+'Costo corte circulo'!H56</f>
        <v>10.755002861230329</v>
      </c>
      <c r="F44" s="120">
        <f>IFERROR(E44*C44,"")</f>
        <v>344.16009155937053</v>
      </c>
      <c r="G44" s="121">
        <f>IFERROR(F44/$F$66,"")</f>
        <v>0.34892400638717375</v>
      </c>
      <c r="H44" s="125" t="s">
        <v>117</v>
      </c>
      <c r="I44" s="117"/>
      <c r="J44" s="123"/>
    </row>
    <row r="45" spans="1:13" ht="13.5" hidden="1" x14ac:dyDescent="0.25">
      <c r="A45" s="118">
        <f t="shared" ref="A45:A50" si="13">+A36</f>
        <v>0</v>
      </c>
      <c r="B45" s="124" t="str">
        <f>IFERROR(VLOOKUP(H45,[1]SEMIELABORADOS!$A$2:$M$6000,2,0),"")</f>
        <v/>
      </c>
      <c r="C45" s="119">
        <f t="shared" ref="C45:C50" si="14">+A45</f>
        <v>0</v>
      </c>
      <c r="D45" s="120" t="str">
        <f>IFERROR(VLOOKUP(H45,[1]SEMIELABORADOS!$A$2:$M$6000,6,0),"")</f>
        <v/>
      </c>
      <c r="E45" s="120" t="str">
        <f>IFERROR(VLOOKUP(H45,[1]SEMIELABORADOS!$A$2:$M$65536,12,0),"")</f>
        <v/>
      </c>
      <c r="F45" s="120" t="str">
        <f t="shared" ref="F45:F50" si="15">IFERROR(E45*C45,"")</f>
        <v/>
      </c>
      <c r="G45" s="121" t="str">
        <f t="shared" ref="G45:G50" si="16">IFERROR(F45/$F$66,"")</f>
        <v/>
      </c>
      <c r="H45" s="125"/>
      <c r="I45" s="117"/>
      <c r="J45" s="123"/>
      <c r="M45" s="128"/>
    </row>
    <row r="46" spans="1:13" ht="13.5" hidden="1" x14ac:dyDescent="0.25">
      <c r="A46" s="118">
        <f t="shared" si="13"/>
        <v>0</v>
      </c>
      <c r="B46" s="124" t="str">
        <f>IFERROR(VLOOKUP(H46,[1]SEMIELABORADOS!$A$2:$M$6000,2,0),"")</f>
        <v/>
      </c>
      <c r="C46" s="119">
        <f t="shared" si="14"/>
        <v>0</v>
      </c>
      <c r="D46" s="120" t="str">
        <f>IFERROR(VLOOKUP(H46,[1]SEMIELABORADOS!$A$2:$M$6000,6,0),"")</f>
        <v/>
      </c>
      <c r="E46" s="120" t="str">
        <f>IFERROR(VLOOKUP(H46,[1]SEMIELABORADOS!$A$2:$M$65536,12,0),"")</f>
        <v/>
      </c>
      <c r="F46" s="120" t="str">
        <f t="shared" si="15"/>
        <v/>
      </c>
      <c r="G46" s="121" t="str">
        <f t="shared" si="16"/>
        <v/>
      </c>
      <c r="H46" s="125"/>
      <c r="I46" s="117"/>
      <c r="J46" s="123"/>
    </row>
    <row r="47" spans="1:13" ht="13.5" hidden="1" x14ac:dyDescent="0.25">
      <c r="A47" s="118">
        <f t="shared" si="13"/>
        <v>0</v>
      </c>
      <c r="B47" s="124" t="str">
        <f>IFERROR(VLOOKUP(H47,[1]SEMIELABORADOS!$A$2:$M$6000,2,0),"")</f>
        <v/>
      </c>
      <c r="C47" s="119">
        <f t="shared" si="14"/>
        <v>0</v>
      </c>
      <c r="D47" s="120" t="str">
        <f>IFERROR(VLOOKUP(H47,[1]SEMIELABORADOS!$A$2:$M$6000,6,0),"")</f>
        <v/>
      </c>
      <c r="E47" s="120" t="str">
        <f>IFERROR(VLOOKUP(H47,[1]SEMIELABORADOS!$A$2:$M$65536,12,0),"")</f>
        <v/>
      </c>
      <c r="F47" s="120" t="str">
        <f t="shared" si="15"/>
        <v/>
      </c>
      <c r="G47" s="121" t="str">
        <f t="shared" si="16"/>
        <v/>
      </c>
      <c r="H47" s="125"/>
      <c r="I47" s="117"/>
      <c r="J47" s="123"/>
    </row>
    <row r="48" spans="1:13" ht="13.5" hidden="1" x14ac:dyDescent="0.25">
      <c r="A48" s="118">
        <f t="shared" si="13"/>
        <v>0</v>
      </c>
      <c r="B48" s="124" t="str">
        <f>IFERROR(VLOOKUP(H48,[1]SEMIELABORADOS!$A$2:$M$6000,2,0),"")</f>
        <v/>
      </c>
      <c r="C48" s="119">
        <f t="shared" si="14"/>
        <v>0</v>
      </c>
      <c r="D48" s="120" t="str">
        <f>IFERROR(VLOOKUP(H48,[1]SEMIELABORADOS!$A$2:$M$6000,6,0),"")</f>
        <v/>
      </c>
      <c r="E48" s="120" t="str">
        <f>IFERROR(VLOOKUP(H48,[1]SEMIELABORADOS!$A$2:$M$65536,12,0),"")</f>
        <v/>
      </c>
      <c r="F48" s="120" t="str">
        <f t="shared" si="15"/>
        <v/>
      </c>
      <c r="G48" s="121" t="str">
        <f t="shared" si="16"/>
        <v/>
      </c>
      <c r="H48" s="125"/>
      <c r="I48" s="117"/>
      <c r="J48" s="123"/>
    </row>
    <row r="49" spans="1:17" ht="13.5" hidden="1" x14ac:dyDescent="0.25">
      <c r="A49" s="118">
        <f t="shared" si="13"/>
        <v>0</v>
      </c>
      <c r="B49" s="124" t="str">
        <f>IFERROR(VLOOKUP(H49,[1]SEMIELABORADOS!$A$2:$M$6000,2,0),"")</f>
        <v/>
      </c>
      <c r="C49" s="119">
        <f t="shared" si="14"/>
        <v>0</v>
      </c>
      <c r="D49" s="120" t="str">
        <f>IFERROR(VLOOKUP(H49,[1]SEMIELABORADOS!$A$2:$M$6000,6,0),"")</f>
        <v/>
      </c>
      <c r="E49" s="120" t="str">
        <f>IFERROR(VLOOKUP(H49,[1]SEMIELABORADOS!$A$2:$M$65536,12,0),"")</f>
        <v/>
      </c>
      <c r="F49" s="120" t="str">
        <f t="shared" si="15"/>
        <v/>
      </c>
      <c r="G49" s="121" t="str">
        <f t="shared" si="16"/>
        <v/>
      </c>
      <c r="H49" s="125"/>
      <c r="I49" s="117"/>
      <c r="J49" s="123"/>
    </row>
    <row r="50" spans="1:17" ht="13.5" hidden="1" x14ac:dyDescent="0.25">
      <c r="A50" s="118">
        <f t="shared" si="13"/>
        <v>0</v>
      </c>
      <c r="B50" s="124" t="str">
        <f>IFERROR(VLOOKUP(H50,[1]SEMIELABORADOS!$A$2:$M$6000,2,0),"")</f>
        <v/>
      </c>
      <c r="C50" s="119">
        <f t="shared" si="14"/>
        <v>0</v>
      </c>
      <c r="D50" s="120" t="str">
        <f>IFERROR(VLOOKUP(H50,[1]SEMIELABORADOS!$A$2:$M$6000,6,0),"")</f>
        <v/>
      </c>
      <c r="E50" s="120" t="str">
        <f>IFERROR(VLOOKUP(H50,[1]SEMIELABORADOS!$A$2:$M$65536,12,0),"")</f>
        <v/>
      </c>
      <c r="F50" s="120" t="str">
        <f t="shared" si="15"/>
        <v/>
      </c>
      <c r="G50" s="121" t="str">
        <f t="shared" si="16"/>
        <v/>
      </c>
      <c r="H50" s="124"/>
      <c r="I50" s="117"/>
      <c r="J50" s="123"/>
    </row>
    <row r="51" spans="1:17" ht="13.5" x14ac:dyDescent="0.25">
      <c r="A51" s="118">
        <v>1</v>
      </c>
      <c r="B51" s="124" t="s">
        <v>80</v>
      </c>
      <c r="C51" s="119">
        <f>+A51</f>
        <v>1</v>
      </c>
      <c r="D51" s="119" t="s">
        <v>81</v>
      </c>
      <c r="E51" s="120">
        <f>+F65</f>
        <v>154</v>
      </c>
      <c r="F51" s="120">
        <f>IFERROR(C51*E51,"")</f>
        <v>154</v>
      </c>
      <c r="G51" s="121">
        <f>IFERROR(F51/$F$66,"")</f>
        <v>0.15613169074937655</v>
      </c>
      <c r="H51" s="129"/>
      <c r="I51" s="129"/>
      <c r="J51" s="123"/>
    </row>
    <row r="52" spans="1:17" ht="14.25" thickBot="1" x14ac:dyDescent="0.3">
      <c r="A52" s="118"/>
      <c r="B52" s="124"/>
      <c r="C52" s="119"/>
      <c r="D52" s="119"/>
      <c r="E52" s="120"/>
      <c r="F52" s="120"/>
      <c r="G52" s="121"/>
      <c r="H52" s="129"/>
      <c r="I52" s="129"/>
      <c r="J52" s="123"/>
    </row>
    <row r="53" spans="1:17" ht="13.5" thickBot="1" x14ac:dyDescent="0.3">
      <c r="A53" s="130"/>
      <c r="B53" s="271" t="s">
        <v>82</v>
      </c>
      <c r="C53" s="271"/>
      <c r="D53" s="271"/>
      <c r="E53" s="271"/>
      <c r="F53" s="132">
        <f>SUM(F8:F14,F17:F24)</f>
        <v>354.77411158798282</v>
      </c>
      <c r="G53" s="121">
        <f>+F53/$F$66</f>
        <v>0.35968494724895939</v>
      </c>
      <c r="H53" s="133">
        <f>+F53/$D$60</f>
        <v>354.77411158798282</v>
      </c>
      <c r="I53" s="133"/>
      <c r="J53" s="134"/>
      <c r="K53" s="135"/>
      <c r="L53" s="135"/>
      <c r="M53" s="135"/>
      <c r="N53" s="135"/>
      <c r="O53" s="135"/>
      <c r="P53" s="135"/>
      <c r="Q53" s="136"/>
    </row>
    <row r="54" spans="1:17" x14ac:dyDescent="0.2">
      <c r="A54" s="130"/>
      <c r="B54" s="271" t="s">
        <v>83</v>
      </c>
      <c r="C54" s="271"/>
      <c r="D54" s="271"/>
      <c r="E54" s="271"/>
      <c r="F54" s="132">
        <f>SUM(F27:F32,F35:F41)</f>
        <v>470.47724749642344</v>
      </c>
      <c r="G54" s="121">
        <f>+F54/$F$66</f>
        <v>0.47698966305668494</v>
      </c>
      <c r="H54" s="133">
        <f>+F54/$D$60</f>
        <v>470.47724749642344</v>
      </c>
      <c r="I54" s="133"/>
      <c r="J54" s="137"/>
      <c r="K54" s="272" t="s">
        <v>84</v>
      </c>
      <c r="L54" s="273"/>
      <c r="M54" s="273"/>
      <c r="N54" s="273"/>
      <c r="O54" s="138">
        <f>+F55</f>
        <v>825.2513590844062</v>
      </c>
      <c r="P54" s="138"/>
      <c r="Q54" s="139"/>
    </row>
    <row r="55" spans="1:17" x14ac:dyDescent="0.2">
      <c r="A55" s="130"/>
      <c r="B55" s="271" t="s">
        <v>85</v>
      </c>
      <c r="C55" s="271"/>
      <c r="D55" s="271"/>
      <c r="E55" s="271"/>
      <c r="F55" s="132">
        <f>+F53+F54</f>
        <v>825.2513590844062</v>
      </c>
      <c r="G55" s="121">
        <f>+F55/$F$66</f>
        <v>0.83667461030564427</v>
      </c>
      <c r="H55" s="133">
        <f>+F55/$D$60</f>
        <v>825.2513590844062</v>
      </c>
      <c r="I55" s="133"/>
      <c r="J55" s="140"/>
      <c r="K55" s="141"/>
      <c r="M55" s="142" t="s">
        <v>86</v>
      </c>
      <c r="N55" s="143"/>
      <c r="O55" s="138">
        <f>+H56</f>
        <v>498.16009155937053</v>
      </c>
      <c r="P55" s="138"/>
      <c r="Q55" s="139"/>
    </row>
    <row r="56" spans="1:17" ht="13.5" thickBot="1" x14ac:dyDescent="0.25">
      <c r="A56" s="130"/>
      <c r="B56" s="131"/>
      <c r="C56" s="271" t="s">
        <v>87</v>
      </c>
      <c r="D56" s="271"/>
      <c r="E56" s="271"/>
      <c r="F56" s="132">
        <f>SUM(F44:F51)</f>
        <v>498.16009155937053</v>
      </c>
      <c r="G56" s="121">
        <f>+F56/$F$66</f>
        <v>0.5050556971365503</v>
      </c>
      <c r="H56" s="133">
        <f>+F56/$D$60</f>
        <v>498.16009155937053</v>
      </c>
      <c r="I56" s="133"/>
      <c r="J56" s="140"/>
      <c r="K56" s="141"/>
      <c r="L56" s="141"/>
      <c r="M56" s="141" t="s">
        <v>88</v>
      </c>
      <c r="N56" s="144"/>
      <c r="O56" s="138">
        <f>O54*N56</f>
        <v>0</v>
      </c>
      <c r="P56" s="138"/>
      <c r="Q56" s="139"/>
    </row>
    <row r="57" spans="1:17" ht="13.5" thickBot="1" x14ac:dyDescent="0.25">
      <c r="A57" s="130"/>
      <c r="B57" s="145"/>
      <c r="C57" s="145"/>
      <c r="D57" s="145"/>
      <c r="E57" s="145"/>
      <c r="F57" s="146"/>
      <c r="G57" s="121"/>
      <c r="H57" s="147"/>
      <c r="I57" s="133"/>
      <c r="J57" s="140"/>
      <c r="K57" s="148"/>
      <c r="M57" s="149" t="s">
        <v>89</v>
      </c>
      <c r="N57" s="150"/>
      <c r="O57" s="151">
        <f>SUM(O54:O56)</f>
        <v>1323.4114506437768</v>
      </c>
      <c r="P57" s="152"/>
      <c r="Q57" s="139"/>
    </row>
    <row r="58" spans="1:17" x14ac:dyDescent="0.2">
      <c r="B58" s="274" t="s">
        <v>90</v>
      </c>
      <c r="C58" s="275"/>
      <c r="D58" s="153">
        <v>576</v>
      </c>
      <c r="E58" s="154"/>
      <c r="G58" s="121"/>
      <c r="H58" s="147">
        <f>+H56/77</f>
        <v>6.4696115786931241</v>
      </c>
      <c r="I58" s="155"/>
      <c r="J58" s="140"/>
      <c r="K58" s="148"/>
      <c r="L58" s="141"/>
      <c r="M58" s="141" t="s">
        <v>91</v>
      </c>
      <c r="N58" s="156"/>
      <c r="O58" s="138">
        <f>+H59</f>
        <v>536.97776103152933</v>
      </c>
      <c r="P58" s="138"/>
      <c r="Q58" s="139"/>
    </row>
    <row r="59" spans="1:17" x14ac:dyDescent="0.2">
      <c r="B59" s="274" t="s">
        <v>92</v>
      </c>
      <c r="C59" s="275"/>
      <c r="D59" s="157">
        <v>576</v>
      </c>
      <c r="E59" s="154"/>
      <c r="G59" s="121"/>
      <c r="H59" s="147">
        <f>+H58*83</f>
        <v>536.97776103152933</v>
      </c>
      <c r="I59" s="155"/>
      <c r="J59" s="140"/>
      <c r="K59" s="148"/>
      <c r="L59" s="141"/>
      <c r="M59" s="276" t="s">
        <v>89</v>
      </c>
      <c r="N59" s="276"/>
      <c r="O59" s="138">
        <f>SUM(O57:O58)</f>
        <v>1860.3892116753061</v>
      </c>
      <c r="P59" s="138"/>
      <c r="Q59" s="139"/>
    </row>
    <row r="60" spans="1:17" ht="13.5" thickBot="1" x14ac:dyDescent="0.25">
      <c r="B60" s="265" t="s">
        <v>93</v>
      </c>
      <c r="C60" s="266"/>
      <c r="D60" s="153">
        <f>+D58/D59</f>
        <v>1</v>
      </c>
      <c r="E60" s="154"/>
      <c r="F60" s="158"/>
      <c r="G60" s="121"/>
      <c r="H60" s="147"/>
      <c r="I60" s="155"/>
      <c r="J60" s="140"/>
      <c r="K60" s="148"/>
      <c r="L60" s="276"/>
      <c r="M60" s="276"/>
      <c r="N60" s="156"/>
      <c r="O60" s="138">
        <f>+O59*N60</f>
        <v>0</v>
      </c>
      <c r="P60" s="138"/>
      <c r="Q60" s="139"/>
    </row>
    <row r="61" spans="1:17" ht="13.5" thickBot="1" x14ac:dyDescent="0.25">
      <c r="B61" s="265" t="s">
        <v>94</v>
      </c>
      <c r="C61" s="266"/>
      <c r="D61" s="159"/>
      <c r="E61" s="154"/>
      <c r="F61" s="158"/>
      <c r="G61" s="121"/>
      <c r="H61" s="147"/>
      <c r="I61" s="155"/>
      <c r="J61" s="140"/>
      <c r="K61" s="267" t="s">
        <v>95</v>
      </c>
      <c r="L61" s="268"/>
      <c r="M61" s="268"/>
      <c r="N61" s="269"/>
      <c r="O61" s="151">
        <f>SUM(O59:O60)</f>
        <v>1860.3892116753061</v>
      </c>
      <c r="P61" s="160" t="s">
        <v>96</v>
      </c>
      <c r="Q61" s="139"/>
    </row>
    <row r="62" spans="1:17" ht="13.5" thickBot="1" x14ac:dyDescent="0.25">
      <c r="C62" s="130" t="s">
        <v>97</v>
      </c>
      <c r="D62" s="161"/>
      <c r="E62" s="104" t="s">
        <v>98</v>
      </c>
      <c r="F62" s="162" t="s">
        <v>99</v>
      </c>
      <c r="G62" s="121"/>
      <c r="H62" s="147"/>
      <c r="I62" s="155"/>
      <c r="J62" s="163"/>
      <c r="K62" s="164"/>
      <c r="L62" s="254" t="s">
        <v>100</v>
      </c>
      <c r="M62" s="254"/>
      <c r="N62" s="254"/>
      <c r="O62" s="165">
        <f>+O61/D60</f>
        <v>1860.3892116753061</v>
      </c>
      <c r="P62" s="166">
        <f>+O62/D59</f>
        <v>3.22984238138074</v>
      </c>
      <c r="Q62" s="167"/>
    </row>
    <row r="63" spans="1:17" ht="13.5" thickBot="1" x14ac:dyDescent="0.25">
      <c r="B63" s="255" t="s">
        <v>85</v>
      </c>
      <c r="C63" s="255"/>
      <c r="D63" s="255"/>
      <c r="E63" s="168">
        <f>+F63/F63</f>
        <v>1</v>
      </c>
      <c r="F63" s="169">
        <f>SUM(F55)</f>
        <v>825.2513590844062</v>
      </c>
      <c r="G63" s="121">
        <f>+F63/$F$66</f>
        <v>0.83667461030564427</v>
      </c>
      <c r="H63" s="147"/>
      <c r="I63" s="155"/>
      <c r="K63" s="256"/>
      <c r="L63" s="257"/>
      <c r="M63" s="257"/>
      <c r="N63" s="257"/>
      <c r="O63" s="170"/>
      <c r="P63" s="171"/>
    </row>
    <row r="64" spans="1:17" ht="13.5" thickBot="1" x14ac:dyDescent="0.3">
      <c r="B64" s="258" t="s">
        <v>101</v>
      </c>
      <c r="C64" s="258"/>
      <c r="D64" s="258"/>
      <c r="E64" s="172">
        <v>0.02</v>
      </c>
      <c r="F64" s="169">
        <f>+F53*E64</f>
        <v>7.0954822317596564</v>
      </c>
      <c r="G64" s="121">
        <f>+F64/$F$66</f>
        <v>7.1936989449791879E-3</v>
      </c>
      <c r="H64" s="133"/>
      <c r="I64" s="155"/>
      <c r="J64" s="173"/>
      <c r="O64" s="174">
        <f>+O62/32</f>
        <v>58.137162864853316</v>
      </c>
      <c r="P64" s="131"/>
    </row>
    <row r="65" spans="2:13" ht="13.5" thickBot="1" x14ac:dyDescent="0.3">
      <c r="B65" s="259" t="s">
        <v>102</v>
      </c>
      <c r="C65" s="260"/>
      <c r="D65" s="175">
        <v>2</v>
      </c>
      <c r="E65" s="176">
        <v>77</v>
      </c>
      <c r="F65" s="169">
        <f>+E65*D65</f>
        <v>154</v>
      </c>
      <c r="G65" s="121">
        <f>+F65/$F$66</f>
        <v>0.15613169074937655</v>
      </c>
      <c r="H65" s="133"/>
      <c r="I65" s="133"/>
      <c r="J65" s="123"/>
    </row>
    <row r="66" spans="2:13" ht="13.5" thickBot="1" x14ac:dyDescent="0.3">
      <c r="B66" s="261" t="s">
        <v>103</v>
      </c>
      <c r="C66" s="262"/>
      <c r="D66" s="262"/>
      <c r="E66" s="263"/>
      <c r="F66" s="146">
        <f>SUM(F63:F65)</f>
        <v>986.34684131616586</v>
      </c>
      <c r="G66" s="121">
        <f>+F66/$F$66</f>
        <v>1</v>
      </c>
      <c r="H66" s="264"/>
      <c r="I66" s="133"/>
      <c r="J66" s="123"/>
      <c r="M66" s="106" t="s">
        <v>104</v>
      </c>
    </row>
    <row r="67" spans="2:13" x14ac:dyDescent="0.25">
      <c r="C67" s="128"/>
      <c r="D67" s="128"/>
      <c r="E67" s="178"/>
      <c r="F67" s="169"/>
      <c r="G67" s="121"/>
      <c r="H67" s="264"/>
      <c r="I67" s="177"/>
      <c r="J67" s="106"/>
      <c r="M67" s="106" t="s">
        <v>105</v>
      </c>
    </row>
    <row r="68" spans="2:13" ht="13.5" thickBot="1" x14ac:dyDescent="0.3">
      <c r="B68" s="249" t="s">
        <v>106</v>
      </c>
      <c r="C68" s="249"/>
      <c r="D68" s="249"/>
      <c r="E68" s="249"/>
      <c r="F68" s="249"/>
      <c r="G68" s="121"/>
      <c r="H68" s="180"/>
      <c r="I68" s="177"/>
      <c r="J68" s="106"/>
      <c r="M68" s="106" t="s">
        <v>107</v>
      </c>
    </row>
    <row r="69" spans="2:13" ht="13.5" thickBot="1" x14ac:dyDescent="0.3">
      <c r="B69" s="181" t="s">
        <v>108</v>
      </c>
      <c r="C69" s="182">
        <f>+F53</f>
        <v>354.77411158798282</v>
      </c>
      <c r="D69" s="182">
        <f>+D58</f>
        <v>576</v>
      </c>
      <c r="E69" s="183">
        <f>+C69/D69</f>
        <v>0.61592727706247019</v>
      </c>
      <c r="F69" s="121"/>
      <c r="G69" s="180"/>
      <c r="H69" s="123"/>
      <c r="I69" s="180"/>
      <c r="J69" s="106"/>
    </row>
    <row r="70" spans="2:13" x14ac:dyDescent="0.25">
      <c r="B70" s="184"/>
      <c r="C70" s="185"/>
      <c r="D70" s="186"/>
      <c r="E70" s="169"/>
      <c r="F70" s="121"/>
      <c r="G70" s="180"/>
      <c r="H70" s="123"/>
      <c r="I70" s="123"/>
      <c r="J70" s="106"/>
    </row>
    <row r="71" spans="2:13" x14ac:dyDescent="0.25">
      <c r="B71" s="181" t="s">
        <v>109</v>
      </c>
      <c r="C71" s="182">
        <f>SUM(F63:F64)</f>
        <v>832.34684131616586</v>
      </c>
      <c r="D71" s="182">
        <f>+D58</f>
        <v>576</v>
      </c>
      <c r="E71" s="187">
        <f>+C71/D71</f>
        <v>1.4450465995072324</v>
      </c>
      <c r="F71" s="121"/>
      <c r="G71" s="180"/>
      <c r="H71" s="123"/>
      <c r="I71" s="123"/>
      <c r="J71" s="106"/>
    </row>
    <row r="72" spans="2:13" x14ac:dyDescent="0.25">
      <c r="B72" s="181"/>
      <c r="C72" s="182"/>
      <c r="D72" s="182"/>
      <c r="E72" s="187"/>
      <c r="F72" s="121"/>
      <c r="G72" s="180"/>
      <c r="H72" s="123"/>
      <c r="I72" s="123"/>
      <c r="J72" s="106"/>
    </row>
    <row r="73" spans="2:13" ht="13.5" thickBot="1" x14ac:dyDescent="0.3">
      <c r="B73" s="181" t="s">
        <v>110</v>
      </c>
      <c r="C73" s="182">
        <f>+F65</f>
        <v>154</v>
      </c>
      <c r="D73" s="182">
        <f>+D58</f>
        <v>576</v>
      </c>
      <c r="E73" s="187">
        <f>+C73/D73</f>
        <v>0.2673611111111111</v>
      </c>
      <c r="F73" s="121"/>
      <c r="G73" s="180"/>
      <c r="H73" s="123"/>
      <c r="I73" s="123"/>
      <c r="J73" s="106"/>
    </row>
    <row r="74" spans="2:13" ht="13.5" thickBot="1" x14ac:dyDescent="0.3">
      <c r="B74" s="181" t="s">
        <v>111</v>
      </c>
      <c r="C74" s="182">
        <f>+F56</f>
        <v>498.16009155937053</v>
      </c>
      <c r="D74" s="182">
        <f>+D73</f>
        <v>576</v>
      </c>
      <c r="E74" s="183">
        <f>+C74/D74</f>
        <v>0.86486127006835156</v>
      </c>
      <c r="F74" s="121"/>
      <c r="G74" s="180"/>
      <c r="H74" s="123"/>
      <c r="I74" s="123"/>
      <c r="J74" s="106"/>
    </row>
    <row r="75" spans="2:13" ht="13.5" thickBot="1" x14ac:dyDescent="0.3">
      <c r="B75" s="145"/>
      <c r="C75" s="146"/>
      <c r="D75" s="146"/>
      <c r="E75" s="187"/>
      <c r="F75" s="121"/>
      <c r="G75" s="180"/>
      <c r="H75" s="123"/>
      <c r="I75" s="123"/>
      <c r="J75" s="106"/>
    </row>
    <row r="76" spans="2:13" ht="13.5" thickBot="1" x14ac:dyDescent="0.3">
      <c r="B76" s="181" t="s">
        <v>112</v>
      </c>
      <c r="C76" s="182">
        <f>+F54</f>
        <v>470.47724749642344</v>
      </c>
      <c r="D76" s="182">
        <f>+D74</f>
        <v>576</v>
      </c>
      <c r="E76" s="183">
        <f>+C76/D76</f>
        <v>0.81680077690351294</v>
      </c>
      <c r="F76" s="121"/>
      <c r="G76" s="180"/>
      <c r="H76" s="123"/>
      <c r="I76" s="123"/>
      <c r="J76" s="123"/>
    </row>
    <row r="77" spans="2:13" ht="13.5" thickBot="1" x14ac:dyDescent="0.3">
      <c r="B77" s="145"/>
      <c r="C77" s="146"/>
      <c r="D77" s="146"/>
      <c r="E77" s="187"/>
      <c r="F77" s="121"/>
      <c r="G77" s="180"/>
      <c r="H77" s="123"/>
      <c r="I77" s="123"/>
    </row>
    <row r="78" spans="2:13" ht="13.5" thickBot="1" x14ac:dyDescent="0.3">
      <c r="B78" s="250" t="s">
        <v>113</v>
      </c>
      <c r="C78" s="251"/>
      <c r="D78" s="252"/>
      <c r="E78" s="183">
        <f>+E69+E74</f>
        <v>1.4807885471308218</v>
      </c>
      <c r="G78" s="121"/>
      <c r="H78" s="180"/>
      <c r="I78" s="123"/>
      <c r="J78" s="187"/>
    </row>
    <row r="79" spans="2:13" x14ac:dyDescent="0.25">
      <c r="I79" s="180"/>
      <c r="J79" s="106"/>
    </row>
    <row r="80" spans="2:13" ht="13.5" thickBot="1" x14ac:dyDescent="0.3">
      <c r="B80" s="249" t="s">
        <v>114</v>
      </c>
      <c r="C80" s="249"/>
      <c r="D80" s="249"/>
      <c r="E80" s="249"/>
      <c r="F80" s="249"/>
      <c r="G80" s="121"/>
      <c r="H80" s="180"/>
      <c r="J80" s="106"/>
    </row>
    <row r="81" spans="1:10" ht="13.5" thickBot="1" x14ac:dyDescent="0.3">
      <c r="B81" s="181" t="s">
        <v>108</v>
      </c>
      <c r="C81" s="182">
        <f>+C69</f>
        <v>354.77411158798282</v>
      </c>
      <c r="D81" s="182">
        <f>+D60</f>
        <v>1</v>
      </c>
      <c r="E81" s="183">
        <f>+C81/D81</f>
        <v>354.77411158798282</v>
      </c>
      <c r="F81" s="121"/>
      <c r="G81" s="180"/>
      <c r="H81" s="123"/>
      <c r="I81" s="180"/>
      <c r="J81" s="106"/>
    </row>
    <row r="82" spans="1:10" x14ac:dyDescent="0.25">
      <c r="B82" s="184"/>
      <c r="C82" s="185"/>
      <c r="D82" s="186"/>
      <c r="E82" s="169"/>
      <c r="F82" s="121"/>
      <c r="G82" s="180"/>
      <c r="H82" s="123"/>
      <c r="I82" s="123"/>
      <c r="J82" s="106"/>
    </row>
    <row r="83" spans="1:10" x14ac:dyDescent="0.25">
      <c r="B83" s="181" t="s">
        <v>109</v>
      </c>
      <c r="C83" s="182">
        <f>+C71</f>
        <v>832.34684131616586</v>
      </c>
      <c r="D83" s="182">
        <f>+D60</f>
        <v>1</v>
      </c>
      <c r="E83" s="187">
        <f>+C83/D83</f>
        <v>832.34684131616586</v>
      </c>
      <c r="F83" s="121"/>
      <c r="G83" s="180"/>
      <c r="H83" s="123"/>
      <c r="I83" s="123"/>
      <c r="J83" s="106"/>
    </row>
    <row r="84" spans="1:10" x14ac:dyDescent="0.25">
      <c r="B84" s="181"/>
      <c r="C84" s="182"/>
      <c r="D84" s="182"/>
      <c r="E84" s="187"/>
      <c r="F84" s="121"/>
      <c r="G84" s="180"/>
      <c r="H84" s="123"/>
      <c r="I84" s="123"/>
      <c r="J84" s="106"/>
    </row>
    <row r="85" spans="1:10" ht="13.5" thickBot="1" x14ac:dyDescent="0.3">
      <c r="B85" s="181" t="s">
        <v>111</v>
      </c>
      <c r="C85" s="182">
        <f>+C73</f>
        <v>154</v>
      </c>
      <c r="D85" s="182">
        <f>+D60</f>
        <v>1</v>
      </c>
      <c r="E85" s="187">
        <f>+C85/D85</f>
        <v>154</v>
      </c>
      <c r="F85" s="189"/>
      <c r="G85" s="179"/>
      <c r="H85" s="105"/>
      <c r="I85" s="123"/>
    </row>
    <row r="86" spans="1:10" ht="13.5" thickBot="1" x14ac:dyDescent="0.3">
      <c r="B86" s="181" t="s">
        <v>111</v>
      </c>
      <c r="C86" s="182">
        <f>+C74</f>
        <v>498.16009155937053</v>
      </c>
      <c r="D86" s="182">
        <f>+D85</f>
        <v>1</v>
      </c>
      <c r="E86" s="183">
        <f>+C86/D86</f>
        <v>498.16009155937053</v>
      </c>
      <c r="F86" s="188"/>
      <c r="G86" s="179"/>
      <c r="H86" s="105"/>
      <c r="I86" s="105"/>
    </row>
    <row r="87" spans="1:10" x14ac:dyDescent="0.25">
      <c r="I87" s="105"/>
    </row>
    <row r="88" spans="1:10" x14ac:dyDescent="0.2">
      <c r="A88" s="253"/>
      <c r="B88" s="253"/>
      <c r="C88" s="190"/>
      <c r="D88" s="190"/>
      <c r="E88" s="191"/>
      <c r="G88" s="192"/>
    </row>
    <row r="89" spans="1:10" x14ac:dyDescent="0.2">
      <c r="A89" s="124"/>
      <c r="B89" s="193"/>
      <c r="C89" s="194"/>
      <c r="D89" s="194"/>
      <c r="E89" s="195"/>
      <c r="G89" s="192"/>
    </row>
    <row r="90" spans="1:10" x14ac:dyDescent="0.2">
      <c r="A90" s="124"/>
      <c r="B90" s="193"/>
      <c r="C90" s="196"/>
      <c r="D90" s="196"/>
      <c r="E90" s="124"/>
      <c r="G90" s="192"/>
    </row>
    <row r="91" spans="1:10" x14ac:dyDescent="0.2">
      <c r="A91" s="124"/>
      <c r="B91" s="193"/>
      <c r="C91" s="197"/>
      <c r="D91" s="197"/>
      <c r="E91" s="124"/>
      <c r="G91" s="19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3796-B01D-4B64-BE24-FDE40C7144E1}">
  <dimension ref="A1:Q91"/>
  <sheetViews>
    <sheetView topLeftCell="A43" workbookViewId="0">
      <selection activeCell="B66" sqref="B66:E66"/>
    </sheetView>
  </sheetViews>
  <sheetFormatPr baseColWidth="10" defaultColWidth="8.42578125" defaultRowHeight="12.75" x14ac:dyDescent="0.25"/>
  <cols>
    <col min="1" max="1" width="10" style="106" bestFit="1" customWidth="1"/>
    <col min="2" max="2" width="44.28515625" style="106" bestFit="1" customWidth="1"/>
    <col min="3" max="3" width="10.42578125" style="106" bestFit="1" customWidth="1"/>
    <col min="4" max="4" width="10.42578125" style="106" customWidth="1"/>
    <col min="5" max="5" width="11" style="106" customWidth="1"/>
    <col min="6" max="6" width="9.5703125" style="106" bestFit="1" customWidth="1"/>
    <col min="7" max="7" width="10.85546875" style="188" customWidth="1"/>
    <col min="8" max="8" width="10.42578125" style="179" bestFit="1" customWidth="1"/>
    <col min="9" max="9" width="4.5703125" style="179" customWidth="1"/>
    <col min="10" max="10" width="1.85546875" style="105" customWidth="1"/>
    <col min="11" max="11" width="7" style="106" bestFit="1" customWidth="1"/>
    <col min="12" max="12" width="6.28515625" style="106" customWidth="1"/>
    <col min="13" max="13" width="20.42578125" style="106" customWidth="1"/>
    <col min="14" max="14" width="6.42578125" style="106" bestFit="1" customWidth="1"/>
    <col min="15" max="16" width="8.42578125" style="106"/>
    <col min="17" max="17" width="3.28515625" style="106" customWidth="1"/>
    <col min="18" max="16384" width="8.42578125" style="106"/>
  </cols>
  <sheetData>
    <row r="1" spans="1:10" ht="27.75" customHeight="1" x14ac:dyDescent="0.25">
      <c r="A1" s="101"/>
      <c r="B1" s="101"/>
      <c r="C1" s="101"/>
      <c r="D1" s="101"/>
      <c r="E1" s="102" t="s">
        <v>63</v>
      </c>
      <c r="F1" s="103" t="s">
        <v>64</v>
      </c>
      <c r="G1" s="103" t="s">
        <v>65</v>
      </c>
      <c r="H1" s="103" t="s">
        <v>66</v>
      </c>
      <c r="I1" s="104"/>
    </row>
    <row r="2" spans="1:10" ht="30.75" customHeight="1" x14ac:dyDescent="0.25">
      <c r="A2" s="101"/>
      <c r="B2" s="101"/>
      <c r="C2" s="101"/>
      <c r="D2" s="101"/>
      <c r="E2" s="107">
        <f>IFERROR(O62,"")</f>
        <v>12.780850497618738</v>
      </c>
      <c r="F2" s="107">
        <f>IFERROR(H53,"")</f>
        <v>11.086690987124463</v>
      </c>
      <c r="G2" s="107">
        <f>IFERROR(H54,"")</f>
        <v>0.20428898426323322</v>
      </c>
      <c r="H2" s="107">
        <f>IFERROR(H56,"")</f>
        <v>10.755002861230329</v>
      </c>
      <c r="I2" s="108"/>
    </row>
    <row r="3" spans="1:10" ht="15" customHeight="1" x14ac:dyDescent="0.25">
      <c r="A3" s="101"/>
      <c r="B3" s="101"/>
      <c r="C3" s="101"/>
      <c r="D3" s="101"/>
      <c r="E3" s="101"/>
      <c r="F3" s="109"/>
      <c r="G3" s="109"/>
      <c r="H3" s="109"/>
      <c r="I3" s="109"/>
    </row>
    <row r="4" spans="1:10" ht="24.75" customHeight="1" thickBot="1" x14ac:dyDescent="0.3">
      <c r="A4" s="277"/>
      <c r="B4" s="277"/>
      <c r="C4" s="277"/>
      <c r="D4" s="277"/>
      <c r="E4" s="277"/>
      <c r="F4" s="277"/>
      <c r="G4" s="277"/>
      <c r="H4" s="277"/>
      <c r="I4" s="110"/>
    </row>
    <row r="5" spans="1:10" ht="19.5" customHeight="1" thickBot="1" x14ac:dyDescent="0.3">
      <c r="A5" s="278" t="s">
        <v>67</v>
      </c>
      <c r="B5" s="279"/>
      <c r="C5" s="279"/>
      <c r="D5" s="279"/>
      <c r="E5" s="279"/>
      <c r="F5" s="279"/>
      <c r="G5" s="279"/>
      <c r="H5" s="280"/>
      <c r="I5" s="111"/>
    </row>
    <row r="6" spans="1:10" ht="19.5" thickBot="1" x14ac:dyDescent="0.3">
      <c r="A6" s="111"/>
      <c r="B6" s="111"/>
      <c r="C6" s="111"/>
      <c r="D6" s="111"/>
      <c r="E6" s="111"/>
      <c r="F6" s="281" t="s">
        <v>68</v>
      </c>
      <c r="G6" s="281"/>
      <c r="H6" s="112">
        <f ca="1">TODAY()</f>
        <v>46083</v>
      </c>
      <c r="I6" s="112"/>
    </row>
    <row r="7" spans="1:10" ht="26.25" hidden="1" thickBot="1" x14ac:dyDescent="0.3">
      <c r="A7" s="113" t="s">
        <v>69</v>
      </c>
      <c r="B7" s="114" t="s">
        <v>70</v>
      </c>
      <c r="C7" s="114" t="s">
        <v>69</v>
      </c>
      <c r="D7" s="115" t="s">
        <v>71</v>
      </c>
      <c r="E7" s="115" t="s">
        <v>72</v>
      </c>
      <c r="F7" s="115" t="s">
        <v>73</v>
      </c>
      <c r="G7" s="115" t="s">
        <v>74</v>
      </c>
      <c r="H7" s="116" t="s">
        <v>75</v>
      </c>
      <c r="I7" s="117"/>
    </row>
    <row r="8" spans="1:10" ht="13.5" hidden="1" x14ac:dyDescent="0.25">
      <c r="A8" s="118"/>
      <c r="B8" s="106" t="str">
        <f>IFERROR(VLOOKUP(H8,'[1]Consolidado MP Planta'!$A$2:$M$823,3,0),"")</f>
        <v/>
      </c>
      <c r="C8" s="119">
        <f>+A8</f>
        <v>0</v>
      </c>
      <c r="D8" s="120" t="str">
        <f>IFERROR(VLOOKUP(H8,'[1]Consolidado MP Planta'!$A$2:$M$823,13,0),"")</f>
        <v/>
      </c>
      <c r="E8" s="120" t="str">
        <f>IFERROR(VLOOKUP(H8,'[1]Consolidado MP Planta'!$A$2:$M$823,12,0),"")</f>
        <v/>
      </c>
      <c r="F8" s="120" t="str">
        <f>IFERROR(C8*E8,"")</f>
        <v/>
      </c>
      <c r="G8" s="121" t="str">
        <f t="shared" ref="G8:G14" si="0">IFERROR(F8/$F$66,"")</f>
        <v/>
      </c>
      <c r="H8" s="122"/>
      <c r="I8" s="122"/>
      <c r="J8" s="123"/>
    </row>
    <row r="9" spans="1:10" ht="13.5" hidden="1" x14ac:dyDescent="0.25">
      <c r="A9" s="118"/>
      <c r="B9" s="106" t="str">
        <f>IFERROR(VLOOKUP(H9,'[1]Consolidado MP Planta'!$A$2:$M$823,3,0),"")</f>
        <v/>
      </c>
      <c r="C9" s="119">
        <f t="shared" ref="C9:C14" si="1">+A9</f>
        <v>0</v>
      </c>
      <c r="D9" s="120" t="str">
        <f>IFERROR(VLOOKUP(H9,'[1]Consolidado MP Planta'!$A$2:$M$823,13,0),"")</f>
        <v/>
      </c>
      <c r="E9" s="120" t="str">
        <f>IFERROR(VLOOKUP(H9,'[1]Consolidado MP Planta'!$A$2:$M$823,12,0),"")</f>
        <v/>
      </c>
      <c r="F9" s="120" t="str">
        <f t="shared" ref="F9:F14" si="2">IFERROR(C9*E9,"")</f>
        <v/>
      </c>
      <c r="G9" s="121" t="str">
        <f t="shared" si="0"/>
        <v/>
      </c>
      <c r="H9" s="122"/>
      <c r="I9" s="122"/>
      <c r="J9" s="123"/>
    </row>
    <row r="10" spans="1:10" ht="13.5" hidden="1" x14ac:dyDescent="0.25">
      <c r="A10" s="118"/>
      <c r="B10" s="106" t="str">
        <f>IFERROR(VLOOKUP(H10,'[1]Consolidado MP Planta'!$A$2:$M$823,3,0),"")</f>
        <v/>
      </c>
      <c r="C10" s="119">
        <f t="shared" si="1"/>
        <v>0</v>
      </c>
      <c r="D10" s="120" t="str">
        <f>IFERROR(VLOOKUP(H10,'[1]Consolidado MP Planta'!$A$2:$M$823,13,0),"")</f>
        <v/>
      </c>
      <c r="E10" s="120" t="str">
        <f>IFERROR(VLOOKUP(H10,'[1]Consolidado MP Planta'!$A$2:$M$823,12,0),"")</f>
        <v/>
      </c>
      <c r="F10" s="120" t="str">
        <f t="shared" si="2"/>
        <v/>
      </c>
      <c r="G10" s="121" t="str">
        <f t="shared" si="0"/>
        <v/>
      </c>
      <c r="H10" s="122"/>
      <c r="I10" s="122"/>
      <c r="J10" s="123"/>
    </row>
    <row r="11" spans="1:10" ht="13.5" hidden="1" x14ac:dyDescent="0.25">
      <c r="A11" s="118"/>
      <c r="B11" s="106" t="str">
        <f>IFERROR(VLOOKUP(H11,'[1]Consolidado MP Planta'!$A$2:$M$823,3,0),"")</f>
        <v/>
      </c>
      <c r="C11" s="119">
        <f t="shared" si="1"/>
        <v>0</v>
      </c>
      <c r="D11" s="120" t="str">
        <f>IFERROR(VLOOKUP(H11,'[1]Consolidado MP Planta'!$A$2:$M$823,13,0),"")</f>
        <v/>
      </c>
      <c r="E11" s="120" t="str">
        <f>IFERROR(VLOOKUP(H11,'[1]Consolidado MP Planta'!$A$2:$M$823,12,0),"")</f>
        <v/>
      </c>
      <c r="F11" s="120" t="str">
        <f t="shared" si="2"/>
        <v/>
      </c>
      <c r="G11" s="121" t="str">
        <f t="shared" si="0"/>
        <v/>
      </c>
      <c r="H11" s="122"/>
      <c r="I11" s="122"/>
      <c r="J11" s="123"/>
    </row>
    <row r="12" spans="1:10" ht="13.5" hidden="1" x14ac:dyDescent="0.25">
      <c r="A12" s="118"/>
      <c r="B12" s="106" t="str">
        <f>IFERROR(VLOOKUP(H12,'[1]Consolidado MP Planta'!$A$2:$M$823,3,0),"")</f>
        <v/>
      </c>
      <c r="C12" s="119">
        <f t="shared" si="1"/>
        <v>0</v>
      </c>
      <c r="D12" s="120" t="str">
        <f>IFERROR(VLOOKUP(H12,'[1]Consolidado MP Planta'!$A$2:$M$823,13,0),"")</f>
        <v/>
      </c>
      <c r="E12" s="120" t="str">
        <f>IFERROR(VLOOKUP(H12,'[1]Consolidado MP Planta'!$A$2:$M$823,12,0),"")</f>
        <v/>
      </c>
      <c r="F12" s="120" t="str">
        <f t="shared" si="2"/>
        <v/>
      </c>
      <c r="G12" s="121" t="str">
        <f t="shared" si="0"/>
        <v/>
      </c>
      <c r="H12" s="122"/>
      <c r="I12" s="122"/>
      <c r="J12" s="123"/>
    </row>
    <row r="13" spans="1:10" ht="13.5" hidden="1" x14ac:dyDescent="0.25">
      <c r="A13" s="118"/>
      <c r="B13" s="106" t="str">
        <f>IFERROR(VLOOKUP(H13,'[1]Consolidado MP Planta'!$A$2:$M$823,3,0),"")</f>
        <v/>
      </c>
      <c r="C13" s="119">
        <f t="shared" si="1"/>
        <v>0</v>
      </c>
      <c r="D13" s="120" t="str">
        <f>IFERROR(VLOOKUP(H13,'[1]Consolidado MP Planta'!$A$2:$M$823,13,0),"")</f>
        <v/>
      </c>
      <c r="E13" s="120" t="str">
        <f>IFERROR(VLOOKUP(H13,'[1]Consolidado MP Planta'!$A$2:$M$823,12,0),"")</f>
        <v/>
      </c>
      <c r="F13" s="120" t="str">
        <f t="shared" si="2"/>
        <v/>
      </c>
      <c r="G13" s="121" t="str">
        <f t="shared" si="0"/>
        <v/>
      </c>
      <c r="H13" s="122"/>
      <c r="I13" s="122"/>
      <c r="J13" s="123"/>
    </row>
    <row r="14" spans="1:10" ht="13.5" hidden="1" x14ac:dyDescent="0.25">
      <c r="A14" s="118"/>
      <c r="B14" s="106" t="str">
        <f>IFERROR(VLOOKUP(H14,'[1]Consolidado MP Planta'!$A$2:$M$823,3,0),"")</f>
        <v/>
      </c>
      <c r="C14" s="119">
        <f t="shared" si="1"/>
        <v>0</v>
      </c>
      <c r="D14" s="120" t="str">
        <f>IFERROR(VLOOKUP(H14,'[1]Consolidado MP Planta'!$A$2:$M$823,13,0),"")</f>
        <v/>
      </c>
      <c r="E14" s="120" t="str">
        <f>IFERROR(VLOOKUP(H14,'[1]Consolidado MP Planta'!$A$2:$M$823,12,0),"")</f>
        <v/>
      </c>
      <c r="F14" s="120" t="str">
        <f t="shared" si="2"/>
        <v/>
      </c>
      <c r="G14" s="121" t="str">
        <f t="shared" si="0"/>
        <v/>
      </c>
      <c r="H14" s="122"/>
      <c r="I14" s="122"/>
      <c r="J14" s="123"/>
    </row>
    <row r="15" spans="1:10" ht="14.25" hidden="1" thickBot="1" x14ac:dyDescent="0.3">
      <c r="A15" s="118"/>
      <c r="B15" s="106" t="str">
        <f>IFERROR(VLOOKUP(H15,[2]Hoja2!$A$2:$G$589,2,0),"")</f>
        <v/>
      </c>
      <c r="C15" s="119"/>
      <c r="D15" s="120"/>
      <c r="E15" s="120"/>
      <c r="F15" s="120"/>
      <c r="G15" s="121"/>
      <c r="H15" s="122"/>
      <c r="I15" s="122"/>
      <c r="J15" s="123"/>
    </row>
    <row r="16" spans="1:10" ht="26.25" thickBot="1" x14ac:dyDescent="0.3">
      <c r="A16" s="113" t="s">
        <v>69</v>
      </c>
      <c r="B16" s="114" t="s">
        <v>76</v>
      </c>
      <c r="C16" s="114" t="s">
        <v>69</v>
      </c>
      <c r="D16" s="115" t="s">
        <v>71</v>
      </c>
      <c r="E16" s="115" t="s">
        <v>72</v>
      </c>
      <c r="F16" s="115" t="s">
        <v>73</v>
      </c>
      <c r="G16" s="115" t="s">
        <v>74</v>
      </c>
      <c r="H16" s="116" t="s">
        <v>75</v>
      </c>
      <c r="I16" s="117"/>
      <c r="J16" s="123"/>
    </row>
    <row r="17" spans="1:12" ht="13.5" x14ac:dyDescent="0.25">
      <c r="A17" s="118">
        <v>150</v>
      </c>
      <c r="B17" s="106" t="s">
        <v>61</v>
      </c>
      <c r="C17" s="119">
        <f>+A17</f>
        <v>150</v>
      </c>
      <c r="D17" s="119" t="s">
        <v>115</v>
      </c>
      <c r="E17" s="120">
        <f>+'Costo Pasta Alfajor Caramelo'!E69</f>
        <v>1.0766690987124463</v>
      </c>
      <c r="F17" s="120">
        <f>IFERROR(E17*C17,"")</f>
        <v>161.50036480686694</v>
      </c>
      <c r="G17" s="121">
        <f t="shared" ref="G17:G24" si="3">IFERROR(F17/$F$66,"")</f>
        <v>0.49435249124683295</v>
      </c>
      <c r="H17" s="122"/>
      <c r="I17" s="122"/>
      <c r="J17" s="123"/>
    </row>
    <row r="18" spans="1:12" ht="13.5" x14ac:dyDescent="0.25">
      <c r="A18" s="118">
        <v>10</v>
      </c>
      <c r="B18" s="106" t="s">
        <v>60</v>
      </c>
      <c r="C18" s="119">
        <f t="shared" ref="C18:C24" si="4">+A18</f>
        <v>10</v>
      </c>
      <c r="D18" s="119" t="s">
        <v>115</v>
      </c>
      <c r="E18" s="120">
        <v>0.48</v>
      </c>
      <c r="F18" s="120">
        <f t="shared" ref="F18:F24" si="5">IFERROR(E18*C18,"")</f>
        <v>4.8</v>
      </c>
      <c r="G18" s="121">
        <f t="shared" si="3"/>
        <v>1.4692796272147514E-2</v>
      </c>
      <c r="H18" s="122"/>
      <c r="I18" s="122"/>
      <c r="J18" s="123"/>
    </row>
    <row r="19" spans="1:12" ht="13.5" hidden="1" x14ac:dyDescent="0.25">
      <c r="A19" s="118"/>
      <c r="B19" s="106" t="str">
        <f>IFERROR(VLOOKUP(H19,[1]SEMIELABORADOS!$A$2:$M$6000,2,0),"")</f>
        <v/>
      </c>
      <c r="C19" s="119">
        <f>+A19</f>
        <v>0</v>
      </c>
      <c r="D19" s="119" t="str">
        <f>IFERROR(VLOOKUP(H19,[1]SEMIELABORADOS!$A$2:$M$6000,6,0),"")</f>
        <v/>
      </c>
      <c r="E19" s="120" t="str">
        <f>IFERROR(VLOOKUP(H19,[1]SEMIELABORADOS!$A$2:$H$65536,8,0),"")</f>
        <v/>
      </c>
      <c r="F19" s="120" t="str">
        <f>IFERROR(E19*C19,"")</f>
        <v/>
      </c>
      <c r="G19" s="121" t="str">
        <f t="shared" si="3"/>
        <v/>
      </c>
      <c r="H19" s="122"/>
      <c r="I19" s="122"/>
      <c r="J19" s="123"/>
    </row>
    <row r="20" spans="1:12" ht="13.5" hidden="1" x14ac:dyDescent="0.25">
      <c r="A20" s="118"/>
      <c r="B20" s="106" t="str">
        <f>IFERROR(VLOOKUP(H20,[1]SEMIELABORADOS!$A$2:$M$6000,2,0),"")</f>
        <v/>
      </c>
      <c r="C20" s="119">
        <f>+A20</f>
        <v>0</v>
      </c>
      <c r="D20" s="119" t="str">
        <f>IFERROR(VLOOKUP(H20,[1]SEMIELABORADOS!$A$2:$M$6000,6,0),"")</f>
        <v/>
      </c>
      <c r="E20" s="120" t="str">
        <f>IFERROR(VLOOKUP(H20,[1]SEMIELABORADOS!$A$2:$H$65536,8,0),"")</f>
        <v/>
      </c>
      <c r="F20" s="120" t="str">
        <f>IFERROR(E20*C20,"")</f>
        <v/>
      </c>
      <c r="G20" s="121" t="str">
        <f t="shared" si="3"/>
        <v/>
      </c>
      <c r="H20" s="122"/>
      <c r="I20" s="122"/>
      <c r="J20" s="123"/>
    </row>
    <row r="21" spans="1:12" ht="13.5" hidden="1" x14ac:dyDescent="0.25">
      <c r="A21" s="118"/>
      <c r="B21" s="106" t="str">
        <f>IFERROR(VLOOKUP(H21,[1]SEMIELABORADOS!$A$2:$M$6000,2,0),"")</f>
        <v/>
      </c>
      <c r="C21" s="119">
        <f>+A21</f>
        <v>0</v>
      </c>
      <c r="D21" s="119" t="str">
        <f>IFERROR(VLOOKUP(H21,[1]SEMIELABORADOS!$A$2:$M$6000,6,0),"")</f>
        <v/>
      </c>
      <c r="E21" s="120" t="str">
        <f>IFERROR(VLOOKUP(H21,[1]SEMIELABORADOS!$A$2:$H$65536,8,0),"")</f>
        <v/>
      </c>
      <c r="F21" s="120" t="str">
        <f>IFERROR(E21*C21,"")</f>
        <v/>
      </c>
      <c r="G21" s="121" t="str">
        <f t="shared" si="3"/>
        <v/>
      </c>
      <c r="H21" s="122"/>
      <c r="I21" s="122"/>
      <c r="J21" s="123"/>
    </row>
    <row r="22" spans="1:12" ht="13.5" hidden="1" x14ac:dyDescent="0.25">
      <c r="A22" s="118"/>
      <c r="B22" s="106" t="str">
        <f>IFERROR(VLOOKUP(H22,[1]SEMIELABORADOS!$A$2:$M$6000,2,0),"")</f>
        <v/>
      </c>
      <c r="C22" s="119">
        <f t="shared" si="4"/>
        <v>0</v>
      </c>
      <c r="D22" s="119" t="str">
        <f>IFERROR(VLOOKUP(H22,[1]SEMIELABORADOS!$A$2:$M$6000,6,0),"")</f>
        <v/>
      </c>
      <c r="E22" s="120" t="str">
        <f>IFERROR(VLOOKUP(H22,[1]SEMIELABORADOS!$A$2:$H$65536,8,0),"")</f>
        <v/>
      </c>
      <c r="F22" s="120" t="str">
        <f t="shared" si="5"/>
        <v/>
      </c>
      <c r="G22" s="121" t="str">
        <f t="shared" si="3"/>
        <v/>
      </c>
      <c r="H22" s="122"/>
      <c r="I22" s="122"/>
      <c r="J22" s="123"/>
    </row>
    <row r="23" spans="1:12" ht="13.5" hidden="1" x14ac:dyDescent="0.25">
      <c r="A23" s="118"/>
      <c r="B23" s="106" t="str">
        <f>IFERROR(VLOOKUP(H23,[1]SEMIELABORADOS!$A$2:$M$6000,2,0),"")</f>
        <v/>
      </c>
      <c r="C23" s="119">
        <f t="shared" si="4"/>
        <v>0</v>
      </c>
      <c r="D23" s="119" t="str">
        <f>IFERROR(VLOOKUP(H23,[1]SEMIELABORADOS!$A$2:$M$6000,6,0),"")</f>
        <v/>
      </c>
      <c r="E23" s="120" t="str">
        <f>IFERROR(VLOOKUP(H23,[1]SEMIELABORADOS!$A$2:$H$65536,8,0),"")</f>
        <v/>
      </c>
      <c r="F23" s="120" t="str">
        <f t="shared" si="5"/>
        <v/>
      </c>
      <c r="G23" s="121" t="str">
        <f t="shared" si="3"/>
        <v/>
      </c>
      <c r="H23" s="122"/>
      <c r="I23" s="122"/>
      <c r="J23" s="123"/>
    </row>
    <row r="24" spans="1:12" ht="13.5" hidden="1" x14ac:dyDescent="0.25">
      <c r="A24" s="118"/>
      <c r="B24" s="106" t="str">
        <f>IFERROR(VLOOKUP(H24,[1]SEMIELABORADOS!$A$2:$M$6000,2,0),"")</f>
        <v/>
      </c>
      <c r="C24" s="119">
        <f t="shared" si="4"/>
        <v>0</v>
      </c>
      <c r="D24" s="119" t="str">
        <f>IFERROR(VLOOKUP(H24,[1]SEMIELABORADOS!$A$2:$M$6000,6,0),"")</f>
        <v/>
      </c>
      <c r="E24" s="120" t="str">
        <f>IFERROR(VLOOKUP(H24,[1]SEMIELABORADOS!$A$2:$H$65536,8,0),"")</f>
        <v/>
      </c>
      <c r="F24" s="120" t="str">
        <f t="shared" si="5"/>
        <v/>
      </c>
      <c r="G24" s="121" t="str">
        <f t="shared" si="3"/>
        <v/>
      </c>
      <c r="H24" s="122"/>
      <c r="I24" s="122"/>
      <c r="J24" s="123"/>
    </row>
    <row r="25" spans="1:12" ht="14.25" thickBot="1" x14ac:dyDescent="0.3">
      <c r="A25" s="118"/>
      <c r="C25" s="119"/>
      <c r="D25" s="119"/>
      <c r="E25" s="120"/>
      <c r="F25" s="120"/>
      <c r="G25" s="121"/>
      <c r="H25" s="122"/>
      <c r="I25" s="122"/>
      <c r="J25" s="123"/>
    </row>
    <row r="26" spans="1:12" ht="26.25" hidden="1" thickBot="1" x14ac:dyDescent="0.3">
      <c r="A26" s="113" t="s">
        <v>69</v>
      </c>
      <c r="B26" s="114" t="s">
        <v>77</v>
      </c>
      <c r="C26" s="114" t="s">
        <v>69</v>
      </c>
      <c r="D26" s="115" t="s">
        <v>71</v>
      </c>
      <c r="E26" s="115" t="s">
        <v>72</v>
      </c>
      <c r="F26" s="115" t="s">
        <v>73</v>
      </c>
      <c r="G26" s="115" t="s">
        <v>74</v>
      </c>
      <c r="H26" s="116" t="s">
        <v>75</v>
      </c>
      <c r="I26" s="117"/>
    </row>
    <row r="27" spans="1:12" ht="13.5" hidden="1" x14ac:dyDescent="0.25">
      <c r="A27" s="118">
        <v>0</v>
      </c>
      <c r="B27" s="124" t="str">
        <f>IFERROR(VLOOKUP(H27,'[1]Consolidado MP Planta'!$A$2:$M$823,3,0),"")</f>
        <v/>
      </c>
      <c r="C27" s="119">
        <f t="shared" ref="C27:C32" si="6">+A27</f>
        <v>0</v>
      </c>
      <c r="D27" s="120" t="str">
        <f>IFERROR(VLOOKUP(H27,'[1]Consolidado MP Planta'!$A$2:$M$823,13,0),"")</f>
        <v/>
      </c>
      <c r="E27" s="120" t="str">
        <f>IFERROR(VLOOKUP(H27,'[1]Consolidado MP Planta'!$A$2:$M$823,12,0),"")</f>
        <v/>
      </c>
      <c r="F27" s="120" t="str">
        <f t="shared" ref="F27:F32" si="7">IFERROR(C27*E27,"")</f>
        <v/>
      </c>
      <c r="G27" s="121" t="str">
        <f t="shared" ref="G27:G32" si="8">IFERROR(F27/$F$66,"")</f>
        <v/>
      </c>
      <c r="H27" s="125"/>
      <c r="I27" s="125"/>
      <c r="J27" s="123"/>
      <c r="K27" s="270"/>
      <c r="L27" s="270"/>
    </row>
    <row r="28" spans="1:12" ht="13.5" hidden="1" x14ac:dyDescent="0.25">
      <c r="A28" s="118"/>
      <c r="B28" s="124" t="str">
        <f>IFERROR(VLOOKUP(H28,'[1]Consolidado MP Planta'!$A$2:$M$823,3,0),"")</f>
        <v/>
      </c>
      <c r="C28" s="119">
        <f t="shared" si="6"/>
        <v>0</v>
      </c>
      <c r="D28" s="120" t="str">
        <f>IFERROR(VLOOKUP(H28,'[1]Consolidado MP Planta'!$A$2:$M$823,13,0),"")</f>
        <v/>
      </c>
      <c r="E28" s="120" t="str">
        <f>IFERROR(VLOOKUP(H28,'[1]Consolidado MP Planta'!$A$2:$M$823,12,0),"")</f>
        <v/>
      </c>
      <c r="F28" s="120" t="str">
        <f t="shared" si="7"/>
        <v/>
      </c>
      <c r="G28" s="121" t="str">
        <f t="shared" si="8"/>
        <v/>
      </c>
      <c r="H28" s="125"/>
      <c r="I28" s="125"/>
      <c r="J28" s="123"/>
      <c r="K28" s="270"/>
      <c r="L28" s="270"/>
    </row>
    <row r="29" spans="1:12" ht="13.5" hidden="1" x14ac:dyDescent="0.25">
      <c r="A29" s="118"/>
      <c r="B29" s="124" t="str">
        <f>IFERROR(VLOOKUP(H29,'[1]Consolidado MP Planta'!$A$2:$M$823,3,0),"")</f>
        <v/>
      </c>
      <c r="C29" s="119">
        <f t="shared" si="6"/>
        <v>0</v>
      </c>
      <c r="D29" s="120" t="str">
        <f>IFERROR(VLOOKUP(H29,'[1]Consolidado MP Planta'!$A$2:$M$823,13,0),"")</f>
        <v/>
      </c>
      <c r="E29" s="120" t="str">
        <f>IFERROR(VLOOKUP(H29,'[1]Consolidado MP Planta'!$A$2:$M$823,12,0),"")</f>
        <v/>
      </c>
      <c r="F29" s="120" t="str">
        <f t="shared" si="7"/>
        <v/>
      </c>
      <c r="G29" s="121" t="str">
        <f t="shared" si="8"/>
        <v/>
      </c>
      <c r="H29" s="125"/>
      <c r="I29" s="125"/>
      <c r="J29" s="123"/>
      <c r="K29" s="270"/>
      <c r="L29" s="270"/>
    </row>
    <row r="30" spans="1:12" ht="13.5" hidden="1" x14ac:dyDescent="0.25">
      <c r="A30" s="118"/>
      <c r="B30" s="124" t="str">
        <f>IFERROR(VLOOKUP(H30,'[1]Consolidado MP Planta'!$A$2:$M$823,3,0),"")</f>
        <v/>
      </c>
      <c r="C30" s="119">
        <f t="shared" si="6"/>
        <v>0</v>
      </c>
      <c r="D30" s="120" t="str">
        <f>IFERROR(VLOOKUP(H30,'[1]Consolidado MP Planta'!$A$2:$M$823,13,0),"")</f>
        <v/>
      </c>
      <c r="E30" s="120" t="str">
        <f>IFERROR(VLOOKUP(H30,'[1]Consolidado MP Planta'!$A$2:$M$823,12,0),"")</f>
        <v/>
      </c>
      <c r="F30" s="120" t="str">
        <f t="shared" si="7"/>
        <v/>
      </c>
      <c r="G30" s="121" t="str">
        <f t="shared" si="8"/>
        <v/>
      </c>
      <c r="H30" s="125"/>
      <c r="I30" s="125"/>
      <c r="J30" s="123"/>
      <c r="K30" s="270"/>
      <c r="L30" s="270"/>
    </row>
    <row r="31" spans="1:12" ht="13.5" hidden="1" x14ac:dyDescent="0.25">
      <c r="A31" s="118"/>
      <c r="B31" s="124" t="str">
        <f>IFERROR(VLOOKUP(H31,'[1]Consolidado MP Planta'!$A$2:$M$823,3,0),"")</f>
        <v/>
      </c>
      <c r="C31" s="119">
        <f t="shared" si="6"/>
        <v>0</v>
      </c>
      <c r="D31" s="120" t="str">
        <f>IFERROR(VLOOKUP(H31,'[1]Consolidado MP Planta'!$A$2:$M$823,13,0),"")</f>
        <v/>
      </c>
      <c r="E31" s="120" t="str">
        <f>IFERROR(VLOOKUP(H31,'[1]Consolidado MP Planta'!$A$2:$M$823,12,0),"")</f>
        <v/>
      </c>
      <c r="F31" s="120" t="str">
        <f t="shared" si="7"/>
        <v/>
      </c>
      <c r="G31" s="121" t="str">
        <f t="shared" si="8"/>
        <v/>
      </c>
      <c r="H31" s="125"/>
      <c r="I31" s="125"/>
      <c r="J31" s="123"/>
      <c r="K31" s="126"/>
      <c r="L31" s="127"/>
    </row>
    <row r="32" spans="1:12" ht="13.5" hidden="1" x14ac:dyDescent="0.25">
      <c r="A32" s="118"/>
      <c r="B32" s="124" t="str">
        <f>IFERROR(VLOOKUP(H32,'[1]Consolidado MP Planta'!$A$2:$M$823,3,0),"")</f>
        <v/>
      </c>
      <c r="C32" s="119">
        <f t="shared" si="6"/>
        <v>0</v>
      </c>
      <c r="D32" s="120" t="str">
        <f>IFERROR(VLOOKUP(H32,'[1]Consolidado MP Planta'!$A$2:$M$823,13,0),"")</f>
        <v/>
      </c>
      <c r="E32" s="120" t="str">
        <f>IFERROR(VLOOKUP(H32,'[1]Consolidado MP Planta'!$A$2:$M$823,12,0),"")</f>
        <v/>
      </c>
      <c r="F32" s="120" t="str">
        <f t="shared" si="7"/>
        <v/>
      </c>
      <c r="G32" s="121" t="str">
        <f t="shared" si="8"/>
        <v/>
      </c>
      <c r="H32" s="125"/>
      <c r="I32" s="125"/>
      <c r="J32" s="123"/>
    </row>
    <row r="33" spans="1:13" ht="14.25" hidden="1" thickBot="1" x14ac:dyDescent="0.3">
      <c r="A33" s="118"/>
      <c r="B33" s="124"/>
      <c r="C33" s="119"/>
      <c r="D33" s="120"/>
      <c r="E33" s="120"/>
      <c r="F33" s="120"/>
      <c r="G33" s="121"/>
      <c r="H33" s="125"/>
      <c r="I33" s="125"/>
      <c r="J33" s="123"/>
    </row>
    <row r="34" spans="1:13" ht="26.25" thickBot="1" x14ac:dyDescent="0.25">
      <c r="A34" s="113" t="s">
        <v>69</v>
      </c>
      <c r="B34" s="114" t="s">
        <v>78</v>
      </c>
      <c r="C34" s="114" t="s">
        <v>69</v>
      </c>
      <c r="D34" s="115" t="s">
        <v>71</v>
      </c>
      <c r="E34" s="115" t="s">
        <v>72</v>
      </c>
      <c r="F34" s="115" t="s">
        <v>73</v>
      </c>
      <c r="G34" s="115" t="s">
        <v>74</v>
      </c>
      <c r="H34" s="116" t="s">
        <v>75</v>
      </c>
      <c r="I34" s="125"/>
      <c r="J34" s="123"/>
    </row>
    <row r="35" spans="1:13" ht="13.5" x14ac:dyDescent="0.25">
      <c r="A35" s="118">
        <f>+A17</f>
        <v>150</v>
      </c>
      <c r="B35" s="124" t="s">
        <v>61</v>
      </c>
      <c r="C35" s="119">
        <f>+A35</f>
        <v>150</v>
      </c>
      <c r="D35" s="120" t="s">
        <v>115</v>
      </c>
      <c r="E35" s="120">
        <f>+'Costo Pasta Alfajor Caramelo'!E76</f>
        <v>1.9762231759656655E-2</v>
      </c>
      <c r="F35" s="120">
        <f>IFERROR(E35*C35,"")</f>
        <v>2.9643347639484983</v>
      </c>
      <c r="G35" s="121">
        <f t="shared" ref="G35:G41" si="9">IFERROR(F35/$F$66,"")</f>
        <v>9.0738264102374535E-3</v>
      </c>
      <c r="H35" s="125"/>
      <c r="I35" s="125"/>
      <c r="J35" s="123"/>
    </row>
    <row r="36" spans="1:13" ht="13.5" x14ac:dyDescent="0.25">
      <c r="A36" s="118">
        <f t="shared" ref="A36:A41" si="10">+A18</f>
        <v>10</v>
      </c>
      <c r="B36" s="124" t="s">
        <v>60</v>
      </c>
      <c r="C36" s="119">
        <f t="shared" ref="C36:C41" si="11">+A36</f>
        <v>10</v>
      </c>
      <c r="D36" s="120" t="s">
        <v>115</v>
      </c>
      <c r="E36" s="120">
        <v>0.01</v>
      </c>
      <c r="F36" s="120">
        <f t="shared" ref="F36:F41" si="12">IFERROR(E36*C36,"")</f>
        <v>0.1</v>
      </c>
      <c r="G36" s="121">
        <f t="shared" si="9"/>
        <v>3.0609992233640658E-4</v>
      </c>
      <c r="H36" s="125"/>
      <c r="I36" s="125"/>
      <c r="J36" s="123"/>
    </row>
    <row r="37" spans="1:13" ht="13.5" hidden="1" x14ac:dyDescent="0.25">
      <c r="A37" s="118">
        <f t="shared" si="10"/>
        <v>0</v>
      </c>
      <c r="B37" s="124" t="str">
        <f>IFERROR(VLOOKUP(H37,[1]SEMIELABORADOS!$A$2:$M$6000,2,0),"")</f>
        <v/>
      </c>
      <c r="C37" s="119">
        <f t="shared" si="11"/>
        <v>0</v>
      </c>
      <c r="D37" s="120" t="str">
        <f>IFERROR(VLOOKUP(H37,[1]SEMIELABORADOS!$A$2:$M$6000,6,0),"")</f>
        <v/>
      </c>
      <c r="E37" s="120" t="str">
        <f>IFERROR(VLOOKUP(H37,[1]SEMIELABORADOS!$A$2:$M$65536,10,0),"")</f>
        <v/>
      </c>
      <c r="F37" s="120" t="str">
        <f t="shared" si="12"/>
        <v/>
      </c>
      <c r="G37" s="121" t="str">
        <f t="shared" si="9"/>
        <v/>
      </c>
      <c r="H37" s="125"/>
      <c r="I37" s="125"/>
      <c r="J37" s="123"/>
    </row>
    <row r="38" spans="1:13" ht="13.5" hidden="1" x14ac:dyDescent="0.25">
      <c r="A38" s="118">
        <f t="shared" si="10"/>
        <v>0</v>
      </c>
      <c r="B38" s="124" t="str">
        <f>IFERROR(VLOOKUP(H38,[1]SEMIELABORADOS!$A$2:$M$6000,2,0),"")</f>
        <v/>
      </c>
      <c r="C38" s="119">
        <f>+A38</f>
        <v>0</v>
      </c>
      <c r="D38" s="120" t="str">
        <f>IFERROR(VLOOKUP(H38,[1]SEMIELABORADOS!$A$2:$M$6000,6,0),"")</f>
        <v/>
      </c>
      <c r="E38" s="120" t="str">
        <f>IFERROR(VLOOKUP(H38,[1]SEMIELABORADOS!$A$2:$M$65536,10,0),"")</f>
        <v/>
      </c>
      <c r="F38" s="120" t="str">
        <f>IFERROR(E38*C38,"")</f>
        <v/>
      </c>
      <c r="G38" s="121" t="str">
        <f t="shared" si="9"/>
        <v/>
      </c>
      <c r="H38" s="125"/>
      <c r="I38" s="125"/>
      <c r="J38" s="123"/>
    </row>
    <row r="39" spans="1:13" ht="13.5" hidden="1" x14ac:dyDescent="0.25">
      <c r="A39" s="118">
        <f t="shared" si="10"/>
        <v>0</v>
      </c>
      <c r="B39" s="124" t="str">
        <f>IFERROR(VLOOKUP(H39,[1]SEMIELABORADOS!$A$2:$M$6000,2,0),"")</f>
        <v/>
      </c>
      <c r="C39" s="119">
        <f>+A39</f>
        <v>0</v>
      </c>
      <c r="D39" s="120" t="str">
        <f>IFERROR(VLOOKUP(H39,[1]SEMIELABORADOS!$A$2:$M$6000,6,0),"")</f>
        <v/>
      </c>
      <c r="E39" s="120" t="str">
        <f>IFERROR(VLOOKUP(H39,[1]SEMIELABORADOS!$A$2:$M$65536,10,0),"")</f>
        <v/>
      </c>
      <c r="F39" s="120" t="str">
        <f>IFERROR(E39*C39,"")</f>
        <v/>
      </c>
      <c r="G39" s="121" t="str">
        <f t="shared" si="9"/>
        <v/>
      </c>
      <c r="H39" s="125"/>
      <c r="I39" s="125"/>
      <c r="J39" s="123"/>
    </row>
    <row r="40" spans="1:13" ht="13.5" hidden="1" x14ac:dyDescent="0.25">
      <c r="A40" s="118">
        <f t="shared" si="10"/>
        <v>0</v>
      </c>
      <c r="B40" s="124" t="str">
        <f>IFERROR(VLOOKUP(H40,[1]SEMIELABORADOS!$A$2:$M$6000,2,0),"")</f>
        <v/>
      </c>
      <c r="C40" s="119">
        <f t="shared" si="11"/>
        <v>0</v>
      </c>
      <c r="D40" s="120" t="str">
        <f>IFERROR(VLOOKUP(H40,[1]SEMIELABORADOS!$A$2:$M$6000,6,0),"")</f>
        <v/>
      </c>
      <c r="E40" s="120" t="str">
        <f>IFERROR(VLOOKUP(H40,[1]SEMIELABORADOS!$A$2:$M$65536,10,0),"")</f>
        <v/>
      </c>
      <c r="F40" s="120" t="str">
        <f t="shared" si="12"/>
        <v/>
      </c>
      <c r="G40" s="121" t="str">
        <f t="shared" si="9"/>
        <v/>
      </c>
      <c r="H40" s="125"/>
      <c r="I40" s="125"/>
      <c r="J40" s="123"/>
    </row>
    <row r="41" spans="1:13" ht="13.5" hidden="1" x14ac:dyDescent="0.25">
      <c r="A41" s="118">
        <f t="shared" si="10"/>
        <v>0</v>
      </c>
      <c r="B41" s="124" t="str">
        <f>IFERROR(VLOOKUP(H41,[1]SEMIELABORADOS!$A$2:$M$6000,2,0),"")</f>
        <v/>
      </c>
      <c r="C41" s="119">
        <f t="shared" si="11"/>
        <v>0</v>
      </c>
      <c r="D41" s="120" t="str">
        <f>IFERROR(VLOOKUP(H41,[1]SEMIELABORADOS!$A$2:$M$6000,6,0),"")</f>
        <v/>
      </c>
      <c r="E41" s="120" t="str">
        <f>IFERROR(VLOOKUP(H41,[1]SEMIELABORADOS!$A$2:$M$65536,10,0),"")</f>
        <v/>
      </c>
      <c r="F41" s="120" t="str">
        <f t="shared" si="12"/>
        <v/>
      </c>
      <c r="G41" s="121" t="str">
        <f t="shared" si="9"/>
        <v/>
      </c>
      <c r="H41" s="125"/>
      <c r="I41" s="125"/>
      <c r="J41" s="123"/>
    </row>
    <row r="42" spans="1:13" ht="14.25" thickBot="1" x14ac:dyDescent="0.3">
      <c r="A42" s="118"/>
      <c r="B42" s="124"/>
      <c r="C42" s="119"/>
      <c r="D42" s="120"/>
      <c r="E42" s="120"/>
      <c r="F42" s="120"/>
      <c r="G42" s="121"/>
      <c r="H42" s="125"/>
      <c r="I42" s="125"/>
      <c r="J42" s="123"/>
    </row>
    <row r="43" spans="1:13" ht="26.25" thickBot="1" x14ac:dyDescent="0.3">
      <c r="A43" s="113" t="s">
        <v>69</v>
      </c>
      <c r="B43" s="114" t="s">
        <v>79</v>
      </c>
      <c r="C43" s="114" t="s">
        <v>69</v>
      </c>
      <c r="D43" s="115" t="s">
        <v>71</v>
      </c>
      <c r="E43" s="115" t="s">
        <v>72</v>
      </c>
      <c r="F43" s="115" t="s">
        <v>73</v>
      </c>
      <c r="G43" s="115" t="s">
        <v>74</v>
      </c>
      <c r="H43" s="116" t="s">
        <v>75</v>
      </c>
      <c r="I43" s="117"/>
      <c r="J43" s="123"/>
    </row>
    <row r="44" spans="1:13" ht="13.5" x14ac:dyDescent="0.25">
      <c r="A44" s="118">
        <f>+A35</f>
        <v>150</v>
      </c>
      <c r="B44" s="124" t="s">
        <v>61</v>
      </c>
      <c r="C44" s="119">
        <f>+A44</f>
        <v>150</v>
      </c>
      <c r="D44" s="120" t="s">
        <v>115</v>
      </c>
      <c r="E44" s="120">
        <f>+'Costo Pasta Alfajor Caramelo'!E74</f>
        <v>4.6166952789699574E-2</v>
      </c>
      <c r="F44" s="120">
        <f>IFERROR(E44*C44,"")</f>
        <v>6.9250429184549365</v>
      </c>
      <c r="G44" s="121">
        <f>IFERROR(F44/$F$66,"")</f>
        <v>2.1197550995153382E-2</v>
      </c>
      <c r="H44" s="125"/>
      <c r="I44" s="117"/>
      <c r="J44" s="123"/>
    </row>
    <row r="45" spans="1:13" ht="13.5" x14ac:dyDescent="0.25">
      <c r="A45" s="118">
        <f t="shared" ref="A45:A50" si="13">+A36</f>
        <v>10</v>
      </c>
      <c r="B45" s="124" t="s">
        <v>60</v>
      </c>
      <c r="C45" s="119">
        <f t="shared" ref="C45:C50" si="14">+A45</f>
        <v>10</v>
      </c>
      <c r="D45" s="120" t="s">
        <v>115</v>
      </c>
      <c r="E45" s="120">
        <v>0.04</v>
      </c>
      <c r="F45" s="120">
        <f t="shared" ref="F45:F50" si="15">IFERROR(E45*C45,"")</f>
        <v>0.4</v>
      </c>
      <c r="G45" s="121">
        <f t="shared" ref="G45:G50" si="16">IFERROR(F45/$F$66,"")</f>
        <v>1.2243996893456263E-3</v>
      </c>
      <c r="H45" s="125"/>
      <c r="I45" s="117"/>
      <c r="J45" s="123"/>
      <c r="M45" s="128"/>
    </row>
    <row r="46" spans="1:13" ht="13.5" hidden="1" x14ac:dyDescent="0.25">
      <c r="A46" s="118">
        <f t="shared" si="13"/>
        <v>0</v>
      </c>
      <c r="B46" s="124" t="str">
        <f>IFERROR(VLOOKUP(H46,[1]SEMIELABORADOS!$A$2:$M$6000,2,0),"")</f>
        <v/>
      </c>
      <c r="C46" s="119">
        <f t="shared" si="14"/>
        <v>0</v>
      </c>
      <c r="D46" s="120" t="str">
        <f>IFERROR(VLOOKUP(H46,[1]SEMIELABORADOS!$A$2:$M$6000,6,0),"")</f>
        <v/>
      </c>
      <c r="E46" s="120" t="str">
        <f>IFERROR(VLOOKUP(H46,[1]SEMIELABORADOS!$A$2:$M$65536,12,0),"")</f>
        <v/>
      </c>
      <c r="F46" s="120" t="str">
        <f t="shared" si="15"/>
        <v/>
      </c>
      <c r="G46" s="121" t="str">
        <f t="shared" si="16"/>
        <v/>
      </c>
      <c r="H46" s="125"/>
      <c r="I46" s="117"/>
      <c r="J46" s="123"/>
    </row>
    <row r="47" spans="1:13" ht="13.5" hidden="1" x14ac:dyDescent="0.25">
      <c r="A47" s="118">
        <f t="shared" si="13"/>
        <v>0</v>
      </c>
      <c r="B47" s="124" t="str">
        <f>IFERROR(VLOOKUP(H47,[1]SEMIELABORADOS!$A$2:$M$6000,2,0),"")</f>
        <v/>
      </c>
      <c r="C47" s="119">
        <f t="shared" si="14"/>
        <v>0</v>
      </c>
      <c r="D47" s="120" t="str">
        <f>IFERROR(VLOOKUP(H47,[1]SEMIELABORADOS!$A$2:$M$6000,6,0),"")</f>
        <v/>
      </c>
      <c r="E47" s="120" t="str">
        <f>IFERROR(VLOOKUP(H47,[1]SEMIELABORADOS!$A$2:$M$65536,12,0),"")</f>
        <v/>
      </c>
      <c r="F47" s="120" t="str">
        <f t="shared" si="15"/>
        <v/>
      </c>
      <c r="G47" s="121" t="str">
        <f t="shared" si="16"/>
        <v/>
      </c>
      <c r="H47" s="125"/>
      <c r="I47" s="117"/>
      <c r="J47" s="123"/>
    </row>
    <row r="48" spans="1:13" ht="13.5" hidden="1" x14ac:dyDescent="0.25">
      <c r="A48" s="118">
        <f t="shared" si="13"/>
        <v>0</v>
      </c>
      <c r="B48" s="124" t="str">
        <f>IFERROR(VLOOKUP(H48,[1]SEMIELABORADOS!$A$2:$M$6000,2,0),"")</f>
        <v/>
      </c>
      <c r="C48" s="119">
        <f t="shared" si="14"/>
        <v>0</v>
      </c>
      <c r="D48" s="120" t="str">
        <f>IFERROR(VLOOKUP(H48,[1]SEMIELABORADOS!$A$2:$M$6000,6,0),"")</f>
        <v/>
      </c>
      <c r="E48" s="120" t="str">
        <f>IFERROR(VLOOKUP(H48,[1]SEMIELABORADOS!$A$2:$M$65536,12,0),"")</f>
        <v/>
      </c>
      <c r="F48" s="120" t="str">
        <f t="shared" si="15"/>
        <v/>
      </c>
      <c r="G48" s="121" t="str">
        <f t="shared" si="16"/>
        <v/>
      </c>
      <c r="H48" s="125"/>
      <c r="I48" s="117"/>
      <c r="J48" s="123"/>
    </row>
    <row r="49" spans="1:17" ht="13.5" hidden="1" x14ac:dyDescent="0.25">
      <c r="A49" s="118">
        <f t="shared" si="13"/>
        <v>0</v>
      </c>
      <c r="B49" s="124" t="str">
        <f>IFERROR(VLOOKUP(H49,[1]SEMIELABORADOS!$A$2:$M$6000,2,0),"")</f>
        <v/>
      </c>
      <c r="C49" s="119">
        <f t="shared" si="14"/>
        <v>0</v>
      </c>
      <c r="D49" s="120" t="str">
        <f>IFERROR(VLOOKUP(H49,[1]SEMIELABORADOS!$A$2:$M$6000,6,0),"")</f>
        <v/>
      </c>
      <c r="E49" s="120" t="str">
        <f>IFERROR(VLOOKUP(H49,[1]SEMIELABORADOS!$A$2:$M$65536,12,0),"")</f>
        <v/>
      </c>
      <c r="F49" s="120" t="str">
        <f t="shared" si="15"/>
        <v/>
      </c>
      <c r="G49" s="121" t="str">
        <f t="shared" si="16"/>
        <v/>
      </c>
      <c r="H49" s="125"/>
      <c r="I49" s="117"/>
      <c r="J49" s="123"/>
    </row>
    <row r="50" spans="1:17" ht="13.5" hidden="1" x14ac:dyDescent="0.25">
      <c r="A50" s="118">
        <f t="shared" si="13"/>
        <v>0</v>
      </c>
      <c r="B50" s="124" t="str">
        <f>IFERROR(VLOOKUP(H50,[1]SEMIELABORADOS!$A$2:$M$6000,2,0),"")</f>
        <v/>
      </c>
      <c r="C50" s="119">
        <f t="shared" si="14"/>
        <v>0</v>
      </c>
      <c r="D50" s="120" t="str">
        <f>IFERROR(VLOOKUP(H50,[1]SEMIELABORADOS!$A$2:$M$6000,6,0),"")</f>
        <v/>
      </c>
      <c r="E50" s="120" t="str">
        <f>IFERROR(VLOOKUP(H50,[1]SEMIELABORADOS!$A$2:$M$65536,12,0),"")</f>
        <v/>
      </c>
      <c r="F50" s="120" t="str">
        <f t="shared" si="15"/>
        <v/>
      </c>
      <c r="G50" s="121" t="str">
        <f t="shared" si="16"/>
        <v/>
      </c>
      <c r="H50" s="124"/>
      <c r="I50" s="117"/>
      <c r="J50" s="123"/>
    </row>
    <row r="51" spans="1:17" ht="13.5" x14ac:dyDescent="0.25">
      <c r="A51" s="118">
        <v>1</v>
      </c>
      <c r="B51" s="124" t="s">
        <v>80</v>
      </c>
      <c r="C51" s="119">
        <f>+A51</f>
        <v>1</v>
      </c>
      <c r="D51" s="119" t="s">
        <v>81</v>
      </c>
      <c r="E51" s="120">
        <f>+F65</f>
        <v>154</v>
      </c>
      <c r="F51" s="120">
        <f>IFERROR(C51*E51,"")</f>
        <v>154</v>
      </c>
      <c r="G51" s="121">
        <f>IFERROR(F51/$F$66,"")</f>
        <v>0.47139388039806607</v>
      </c>
      <c r="H51" s="129"/>
      <c r="I51" s="129"/>
      <c r="J51" s="123"/>
    </row>
    <row r="52" spans="1:17" ht="14.25" thickBot="1" x14ac:dyDescent="0.3">
      <c r="A52" s="118"/>
      <c r="B52" s="124"/>
      <c r="C52" s="119"/>
      <c r="D52" s="119"/>
      <c r="E52" s="120"/>
      <c r="F52" s="120"/>
      <c r="G52" s="121"/>
      <c r="H52" s="129"/>
      <c r="I52" s="129"/>
      <c r="J52" s="123"/>
    </row>
    <row r="53" spans="1:17" ht="13.5" thickBot="1" x14ac:dyDescent="0.3">
      <c r="A53" s="130"/>
      <c r="B53" s="271" t="s">
        <v>82</v>
      </c>
      <c r="C53" s="271"/>
      <c r="D53" s="271"/>
      <c r="E53" s="271"/>
      <c r="F53" s="132">
        <f>SUM(F8:F14,F17:F24)</f>
        <v>166.30036480686695</v>
      </c>
      <c r="G53" s="121">
        <f>+F53/$F$66</f>
        <v>0.50904528751898048</v>
      </c>
      <c r="H53" s="133">
        <f>+F53/$D$60</f>
        <v>11.086690987124463</v>
      </c>
      <c r="I53" s="133"/>
      <c r="J53" s="134"/>
      <c r="K53" s="135"/>
      <c r="L53" s="135"/>
      <c r="M53" s="135"/>
      <c r="N53" s="135"/>
      <c r="O53" s="135"/>
      <c r="P53" s="135"/>
      <c r="Q53" s="136"/>
    </row>
    <row r="54" spans="1:17" x14ac:dyDescent="0.2">
      <c r="A54" s="130"/>
      <c r="B54" s="271" t="s">
        <v>83</v>
      </c>
      <c r="C54" s="271"/>
      <c r="D54" s="271"/>
      <c r="E54" s="271"/>
      <c r="F54" s="132">
        <f>SUM(F27:F32,F35:F41)</f>
        <v>3.0643347639484984</v>
      </c>
      <c r="G54" s="121">
        <f>+F54/$F$66</f>
        <v>9.3799263325738593E-3</v>
      </c>
      <c r="H54" s="133">
        <f>+F54/$D$60</f>
        <v>0.20428898426323322</v>
      </c>
      <c r="I54" s="133"/>
      <c r="J54" s="137"/>
      <c r="K54" s="272" t="s">
        <v>84</v>
      </c>
      <c r="L54" s="273"/>
      <c r="M54" s="273"/>
      <c r="N54" s="273"/>
      <c r="O54" s="138">
        <f>+F55</f>
        <v>169.36469957081545</v>
      </c>
      <c r="P54" s="138"/>
      <c r="Q54" s="139"/>
    </row>
    <row r="55" spans="1:17" x14ac:dyDescent="0.2">
      <c r="A55" s="130"/>
      <c r="B55" s="271" t="s">
        <v>85</v>
      </c>
      <c r="C55" s="271"/>
      <c r="D55" s="271"/>
      <c r="E55" s="271"/>
      <c r="F55" s="132">
        <f>+F53+F54</f>
        <v>169.36469957081545</v>
      </c>
      <c r="G55" s="121">
        <f>+F55/$F$66</f>
        <v>0.51842521385155438</v>
      </c>
      <c r="H55" s="133">
        <f>+F55/$D$60</f>
        <v>11.290979971387696</v>
      </c>
      <c r="I55" s="133"/>
      <c r="J55" s="140"/>
      <c r="K55" s="141"/>
      <c r="M55" s="142" t="s">
        <v>86</v>
      </c>
      <c r="N55" s="143"/>
      <c r="O55" s="138">
        <f>+H56</f>
        <v>10.755002861230329</v>
      </c>
      <c r="P55" s="138"/>
      <c r="Q55" s="139"/>
    </row>
    <row r="56" spans="1:17" ht="13.5" thickBot="1" x14ac:dyDescent="0.25">
      <c r="A56" s="130"/>
      <c r="B56" s="131"/>
      <c r="C56" s="271" t="s">
        <v>87</v>
      </c>
      <c r="D56" s="271"/>
      <c r="E56" s="271"/>
      <c r="F56" s="132">
        <f>SUM(F44:F51)</f>
        <v>161.32504291845493</v>
      </c>
      <c r="G56" s="121">
        <f>+F56/$F$66</f>
        <v>0.49381583108256505</v>
      </c>
      <c r="H56" s="133">
        <f>+F56/$D$60</f>
        <v>10.755002861230329</v>
      </c>
      <c r="I56" s="133"/>
      <c r="J56" s="140"/>
      <c r="K56" s="141"/>
      <c r="L56" s="141"/>
      <c r="M56" s="141" t="s">
        <v>88</v>
      </c>
      <c r="N56" s="144"/>
      <c r="O56" s="138">
        <f>O54*N56</f>
        <v>0</v>
      </c>
      <c r="P56" s="138"/>
      <c r="Q56" s="139"/>
    </row>
    <row r="57" spans="1:17" ht="13.5" thickBot="1" x14ac:dyDescent="0.25">
      <c r="A57" s="130"/>
      <c r="B57" s="145"/>
      <c r="C57" s="145"/>
      <c r="D57" s="145"/>
      <c r="E57" s="145"/>
      <c r="F57" s="146"/>
      <c r="G57" s="121"/>
      <c r="H57" s="147"/>
      <c r="I57" s="133"/>
      <c r="J57" s="140"/>
      <c r="K57" s="148"/>
      <c r="M57" s="149" t="s">
        <v>89</v>
      </c>
      <c r="N57" s="150"/>
      <c r="O57" s="151">
        <f>SUM(O54:O56)</f>
        <v>180.11970243204578</v>
      </c>
      <c r="P57" s="152"/>
      <c r="Q57" s="139"/>
    </row>
    <row r="58" spans="1:17" x14ac:dyDescent="0.2">
      <c r="B58" s="283" t="s">
        <v>90</v>
      </c>
      <c r="C58" s="283"/>
      <c r="D58" s="153">
        <v>150</v>
      </c>
      <c r="E58" s="154"/>
      <c r="G58" s="121"/>
      <c r="H58" s="147">
        <f>+H56/77</f>
        <v>0.13967536183416013</v>
      </c>
      <c r="I58" s="155"/>
      <c r="J58" s="140"/>
      <c r="K58" s="148"/>
      <c r="L58" s="141"/>
      <c r="M58" s="141" t="s">
        <v>91</v>
      </c>
      <c r="N58" s="156"/>
      <c r="O58" s="138">
        <f>+H59</f>
        <v>11.593055032235291</v>
      </c>
      <c r="P58" s="138"/>
      <c r="Q58" s="139"/>
    </row>
    <row r="59" spans="1:17" x14ac:dyDescent="0.2">
      <c r="B59" s="283" t="s">
        <v>92</v>
      </c>
      <c r="C59" s="283"/>
      <c r="D59" s="157">
        <v>10</v>
      </c>
      <c r="E59" s="154"/>
      <c r="G59" s="121"/>
      <c r="H59" s="147">
        <f>+H58*83</f>
        <v>11.593055032235291</v>
      </c>
      <c r="I59" s="155"/>
      <c r="J59" s="140"/>
      <c r="K59" s="148"/>
      <c r="L59" s="141"/>
      <c r="M59" s="276" t="s">
        <v>89</v>
      </c>
      <c r="N59" s="276"/>
      <c r="O59" s="138">
        <f>SUM(O57:O58)</f>
        <v>191.71275746428108</v>
      </c>
      <c r="P59" s="138"/>
      <c r="Q59" s="139"/>
    </row>
    <row r="60" spans="1:17" ht="13.5" thickBot="1" x14ac:dyDescent="0.25">
      <c r="B60" s="282" t="s">
        <v>93</v>
      </c>
      <c r="C60" s="282"/>
      <c r="D60" s="153">
        <f>+D58/D59</f>
        <v>15</v>
      </c>
      <c r="E60" s="154"/>
      <c r="F60" s="158"/>
      <c r="G60" s="121"/>
      <c r="H60" s="147"/>
      <c r="I60" s="155"/>
      <c r="J60" s="140"/>
      <c r="K60" s="148"/>
      <c r="L60" s="276"/>
      <c r="M60" s="276"/>
      <c r="N60" s="156"/>
      <c r="O60" s="138">
        <f>+O59*N60</f>
        <v>0</v>
      </c>
      <c r="P60" s="138"/>
      <c r="Q60" s="139"/>
    </row>
    <row r="61" spans="1:17" ht="13.5" thickBot="1" x14ac:dyDescent="0.25">
      <c r="B61" s="282" t="s">
        <v>94</v>
      </c>
      <c r="C61" s="282"/>
      <c r="D61" s="159"/>
      <c r="E61" s="154"/>
      <c r="F61" s="158"/>
      <c r="G61" s="121"/>
      <c r="H61" s="147"/>
      <c r="I61" s="155"/>
      <c r="J61" s="140"/>
      <c r="K61" s="267" t="s">
        <v>95</v>
      </c>
      <c r="L61" s="268"/>
      <c r="M61" s="268"/>
      <c r="N61" s="269"/>
      <c r="O61" s="151">
        <f>SUM(O59:O60)</f>
        <v>191.71275746428108</v>
      </c>
      <c r="P61" s="160" t="s">
        <v>96</v>
      </c>
      <c r="Q61" s="139"/>
    </row>
    <row r="62" spans="1:17" ht="13.5" thickBot="1" x14ac:dyDescent="0.25">
      <c r="C62" s="130" t="s">
        <v>97</v>
      </c>
      <c r="D62" s="161"/>
      <c r="E62" s="104" t="s">
        <v>98</v>
      </c>
      <c r="F62" s="162" t="s">
        <v>99</v>
      </c>
      <c r="G62" s="121"/>
      <c r="H62" s="147"/>
      <c r="I62" s="155"/>
      <c r="J62" s="163"/>
      <c r="K62" s="164"/>
      <c r="L62" s="254" t="s">
        <v>100</v>
      </c>
      <c r="M62" s="254"/>
      <c r="N62" s="254"/>
      <c r="O62" s="165">
        <f>+O61/D60</f>
        <v>12.780850497618738</v>
      </c>
      <c r="P62" s="166">
        <f>+O62/D59</f>
        <v>1.2780850497618739</v>
      </c>
      <c r="Q62" s="167"/>
    </row>
    <row r="63" spans="1:17" ht="13.5" thickBot="1" x14ac:dyDescent="0.25">
      <c r="B63" s="255" t="s">
        <v>85</v>
      </c>
      <c r="C63" s="255"/>
      <c r="D63" s="255"/>
      <c r="E63" s="168">
        <f>+F63/F63</f>
        <v>1</v>
      </c>
      <c r="F63" s="169">
        <f>SUM(F55)</f>
        <v>169.36469957081545</v>
      </c>
      <c r="G63" s="121">
        <f>+F63/$F$66</f>
        <v>0.51842521385155438</v>
      </c>
      <c r="H63" s="147"/>
      <c r="I63" s="155"/>
      <c r="K63" s="256"/>
      <c r="L63" s="257"/>
      <c r="M63" s="257"/>
      <c r="N63" s="257"/>
      <c r="O63" s="170"/>
      <c r="P63" s="171"/>
    </row>
    <row r="64" spans="1:17" ht="13.5" thickBot="1" x14ac:dyDescent="0.3">
      <c r="B64" s="258" t="s">
        <v>101</v>
      </c>
      <c r="C64" s="258"/>
      <c r="D64" s="258"/>
      <c r="E64" s="172">
        <v>0.02</v>
      </c>
      <c r="F64" s="169">
        <f>+F53*E64</f>
        <v>3.3260072961373393</v>
      </c>
      <c r="G64" s="121">
        <f>+F64/$F$66</f>
        <v>1.018090575037961E-2</v>
      </c>
      <c r="H64" s="133"/>
      <c r="I64" s="155"/>
      <c r="J64" s="173"/>
      <c r="O64" s="174"/>
      <c r="P64" s="131"/>
    </row>
    <row r="65" spans="2:13" ht="13.5" thickBot="1" x14ac:dyDescent="0.3">
      <c r="B65" s="259" t="s">
        <v>102</v>
      </c>
      <c r="C65" s="260"/>
      <c r="D65" s="175">
        <v>2</v>
      </c>
      <c r="E65" s="176">
        <v>77</v>
      </c>
      <c r="F65" s="169">
        <f>+E65*D65</f>
        <v>154</v>
      </c>
      <c r="G65" s="121">
        <f>+F65/$F$66</f>
        <v>0.47139388039806607</v>
      </c>
      <c r="H65" s="133"/>
      <c r="I65" s="133"/>
      <c r="J65" s="123"/>
    </row>
    <row r="66" spans="2:13" ht="13.5" thickBot="1" x14ac:dyDescent="0.3">
      <c r="B66" s="261" t="s">
        <v>103</v>
      </c>
      <c r="C66" s="262"/>
      <c r="D66" s="262"/>
      <c r="E66" s="263"/>
      <c r="F66" s="146">
        <f>SUM(F63:F65)</f>
        <v>326.69070686695278</v>
      </c>
      <c r="G66" s="121">
        <f>+F66/$F$66</f>
        <v>1</v>
      </c>
      <c r="H66" s="264"/>
      <c r="I66" s="133"/>
      <c r="J66" s="123"/>
      <c r="M66" s="106" t="s">
        <v>104</v>
      </c>
    </row>
    <row r="67" spans="2:13" x14ac:dyDescent="0.25">
      <c r="C67" s="128"/>
      <c r="D67" s="128"/>
      <c r="E67" s="178"/>
      <c r="F67" s="169"/>
      <c r="G67" s="121"/>
      <c r="H67" s="264"/>
      <c r="I67" s="177"/>
      <c r="J67" s="106"/>
      <c r="M67" s="106" t="s">
        <v>105</v>
      </c>
    </row>
    <row r="68" spans="2:13" ht="13.5" thickBot="1" x14ac:dyDescent="0.3">
      <c r="B68" s="249" t="s">
        <v>106</v>
      </c>
      <c r="C68" s="249"/>
      <c r="D68" s="249"/>
      <c r="E68" s="249"/>
      <c r="F68" s="249"/>
      <c r="G68" s="121"/>
      <c r="H68" s="180"/>
      <c r="I68" s="177"/>
      <c r="J68" s="106"/>
      <c r="M68" s="106" t="s">
        <v>107</v>
      </c>
    </row>
    <row r="69" spans="2:13" ht="13.5" thickBot="1" x14ac:dyDescent="0.3">
      <c r="B69" s="181" t="s">
        <v>108</v>
      </c>
      <c r="C69" s="182">
        <f>+F53</f>
        <v>166.30036480686695</v>
      </c>
      <c r="D69" s="182">
        <f>+D58</f>
        <v>150</v>
      </c>
      <c r="E69" s="183">
        <f>+C69/D69</f>
        <v>1.1086690987124463</v>
      </c>
      <c r="F69" s="121"/>
      <c r="G69" s="180"/>
      <c r="H69" s="123"/>
      <c r="I69" s="180"/>
      <c r="J69" s="106"/>
    </row>
    <row r="70" spans="2:13" x14ac:dyDescent="0.25">
      <c r="B70" s="184"/>
      <c r="C70" s="185"/>
      <c r="D70" s="186"/>
      <c r="E70" s="169"/>
      <c r="F70" s="121"/>
      <c r="G70" s="180"/>
      <c r="H70" s="123"/>
      <c r="I70" s="123"/>
      <c r="J70" s="106"/>
    </row>
    <row r="71" spans="2:13" x14ac:dyDescent="0.25">
      <c r="B71" s="181" t="s">
        <v>109</v>
      </c>
      <c r="C71" s="182">
        <f>SUM(F63:F64)</f>
        <v>172.69070686695278</v>
      </c>
      <c r="D71" s="182">
        <f>+D58</f>
        <v>150</v>
      </c>
      <c r="E71" s="187">
        <f>+C71/D71</f>
        <v>1.1512713791130185</v>
      </c>
      <c r="F71" s="121"/>
      <c r="G71" s="180"/>
      <c r="H71" s="123"/>
      <c r="I71" s="123"/>
      <c r="J71" s="106"/>
    </row>
    <row r="72" spans="2:13" x14ac:dyDescent="0.25">
      <c r="B72" s="181"/>
      <c r="C72" s="182"/>
      <c r="D72" s="182"/>
      <c r="E72" s="187"/>
      <c r="F72" s="121"/>
      <c r="G72" s="180"/>
      <c r="H72" s="123"/>
      <c r="I72" s="123"/>
      <c r="J72" s="106"/>
    </row>
    <row r="73" spans="2:13" ht="13.5" thickBot="1" x14ac:dyDescent="0.3">
      <c r="B73" s="181" t="s">
        <v>110</v>
      </c>
      <c r="C73" s="182">
        <f>+F65</f>
        <v>154</v>
      </c>
      <c r="D73" s="182">
        <f>+D58</f>
        <v>150</v>
      </c>
      <c r="E73" s="187">
        <f>+C73/D73</f>
        <v>1.0266666666666666</v>
      </c>
      <c r="F73" s="121"/>
      <c r="G73" s="180"/>
      <c r="H73" s="123"/>
      <c r="I73" s="123"/>
      <c r="J73" s="106"/>
    </row>
    <row r="74" spans="2:13" ht="13.5" thickBot="1" x14ac:dyDescent="0.3">
      <c r="B74" s="181" t="s">
        <v>111</v>
      </c>
      <c r="C74" s="182">
        <f>+F56</f>
        <v>161.32504291845493</v>
      </c>
      <c r="D74" s="182">
        <f>+D73</f>
        <v>150</v>
      </c>
      <c r="E74" s="183">
        <f>+C74/D74</f>
        <v>1.0755002861230329</v>
      </c>
      <c r="F74" s="121"/>
      <c r="G74" s="180"/>
      <c r="H74" s="123"/>
      <c r="I74" s="123"/>
      <c r="J74" s="106"/>
    </row>
    <row r="75" spans="2:13" ht="13.5" thickBot="1" x14ac:dyDescent="0.3">
      <c r="B75" s="145"/>
      <c r="C75" s="146"/>
      <c r="D75" s="146"/>
      <c r="E75" s="187"/>
      <c r="F75" s="121"/>
      <c r="G75" s="180"/>
      <c r="H75" s="123"/>
      <c r="I75" s="123"/>
      <c r="J75" s="106"/>
    </row>
    <row r="76" spans="2:13" ht="13.5" thickBot="1" x14ac:dyDescent="0.3">
      <c r="B76" s="181" t="s">
        <v>112</v>
      </c>
      <c r="C76" s="182">
        <f>+F54</f>
        <v>3.0643347639484984</v>
      </c>
      <c r="D76" s="182">
        <f>+D74</f>
        <v>150</v>
      </c>
      <c r="E76" s="183">
        <f>+C76/D76</f>
        <v>2.0428898426323321E-2</v>
      </c>
      <c r="F76" s="121"/>
      <c r="G76" s="180"/>
      <c r="H76" s="123"/>
      <c r="I76" s="123"/>
      <c r="J76" s="123"/>
    </row>
    <row r="77" spans="2:13" ht="13.5" thickBot="1" x14ac:dyDescent="0.3">
      <c r="B77" s="145"/>
      <c r="C77" s="146"/>
      <c r="D77" s="146"/>
      <c r="E77" s="187"/>
      <c r="F77" s="121"/>
      <c r="G77" s="180"/>
      <c r="H77" s="123"/>
      <c r="I77" s="123"/>
    </row>
    <row r="78" spans="2:13" ht="13.5" thickBot="1" x14ac:dyDescent="0.3">
      <c r="B78" s="250" t="s">
        <v>113</v>
      </c>
      <c r="C78" s="251"/>
      <c r="D78" s="252"/>
      <c r="E78" s="183">
        <f>+E69+E74</f>
        <v>2.1841693848354793</v>
      </c>
      <c r="G78" s="121"/>
      <c r="H78" s="180"/>
      <c r="I78" s="123"/>
      <c r="J78" s="187"/>
    </row>
    <row r="79" spans="2:13" x14ac:dyDescent="0.25">
      <c r="I79" s="180"/>
      <c r="J79" s="106"/>
    </row>
    <row r="80" spans="2:13" ht="13.5" thickBot="1" x14ac:dyDescent="0.3">
      <c r="B80" s="249" t="s">
        <v>114</v>
      </c>
      <c r="C80" s="249"/>
      <c r="D80" s="249"/>
      <c r="E80" s="249"/>
      <c r="F80" s="249"/>
      <c r="G80" s="121"/>
      <c r="H80" s="180"/>
      <c r="J80" s="106"/>
    </row>
    <row r="81" spans="1:10" ht="13.5" thickBot="1" x14ac:dyDescent="0.3">
      <c r="B81" s="181" t="s">
        <v>108</v>
      </c>
      <c r="C81" s="182">
        <f>+C69</f>
        <v>166.30036480686695</v>
      </c>
      <c r="D81" s="182">
        <f>+D60</f>
        <v>15</v>
      </c>
      <c r="E81" s="183">
        <f>+C81/D81</f>
        <v>11.086690987124463</v>
      </c>
      <c r="F81" s="121"/>
      <c r="G81" s="180"/>
      <c r="H81" s="123"/>
      <c r="I81" s="180"/>
      <c r="J81" s="106"/>
    </row>
    <row r="82" spans="1:10" x14ac:dyDescent="0.25">
      <c r="B82" s="184"/>
      <c r="C82" s="185"/>
      <c r="D82" s="186"/>
      <c r="E82" s="169"/>
      <c r="F82" s="121"/>
      <c r="G82" s="180"/>
      <c r="H82" s="123"/>
      <c r="I82" s="123"/>
      <c r="J82" s="106"/>
    </row>
    <row r="83" spans="1:10" x14ac:dyDescent="0.25">
      <c r="B83" s="181" t="s">
        <v>109</v>
      </c>
      <c r="C83" s="182">
        <f>+C71</f>
        <v>172.69070686695278</v>
      </c>
      <c r="D83" s="182">
        <f>+D60</f>
        <v>15</v>
      </c>
      <c r="E83" s="187">
        <f>+C83/D83</f>
        <v>11.512713791130185</v>
      </c>
      <c r="F83" s="121"/>
      <c r="G83" s="180"/>
      <c r="H83" s="123"/>
      <c r="I83" s="123"/>
      <c r="J83" s="106"/>
    </row>
    <row r="84" spans="1:10" x14ac:dyDescent="0.25">
      <c r="B84" s="181"/>
      <c r="C84" s="182"/>
      <c r="D84" s="182"/>
      <c r="E84" s="187"/>
      <c r="F84" s="121"/>
      <c r="G84" s="180"/>
      <c r="H84" s="123"/>
      <c r="I84" s="123"/>
      <c r="J84" s="106"/>
    </row>
    <row r="85" spans="1:10" ht="13.5" thickBot="1" x14ac:dyDescent="0.3">
      <c r="B85" s="181" t="s">
        <v>111</v>
      </c>
      <c r="C85" s="182">
        <f>+C73</f>
        <v>154</v>
      </c>
      <c r="D85" s="182">
        <f>+D60</f>
        <v>15</v>
      </c>
      <c r="E85" s="187">
        <f>+C85/D85</f>
        <v>10.266666666666667</v>
      </c>
      <c r="F85" s="189"/>
      <c r="G85" s="179"/>
      <c r="H85" s="105"/>
      <c r="I85" s="123"/>
    </row>
    <row r="86" spans="1:10" ht="13.5" thickBot="1" x14ac:dyDescent="0.3">
      <c r="B86" s="181" t="s">
        <v>111</v>
      </c>
      <c r="C86" s="182">
        <f>+C74</f>
        <v>161.32504291845493</v>
      </c>
      <c r="D86" s="182">
        <f>+D85</f>
        <v>15</v>
      </c>
      <c r="E86" s="183">
        <f>+C86/D86</f>
        <v>10.755002861230329</v>
      </c>
      <c r="F86" s="188"/>
      <c r="G86" s="179"/>
      <c r="H86" s="105"/>
      <c r="I86" s="105"/>
    </row>
    <row r="87" spans="1:10" x14ac:dyDescent="0.25">
      <c r="I87" s="105"/>
    </row>
    <row r="88" spans="1:10" x14ac:dyDescent="0.2">
      <c r="A88" s="253"/>
      <c r="B88" s="253"/>
      <c r="C88" s="190"/>
      <c r="D88" s="190"/>
      <c r="E88" s="191"/>
      <c r="G88" s="192"/>
    </row>
    <row r="89" spans="1:10" x14ac:dyDescent="0.2">
      <c r="A89" s="124"/>
      <c r="B89" s="193"/>
      <c r="C89" s="194"/>
      <c r="D89" s="194"/>
      <c r="E89" s="195"/>
      <c r="G89" s="192"/>
    </row>
    <row r="90" spans="1:10" x14ac:dyDescent="0.2">
      <c r="A90" s="124"/>
      <c r="B90" s="193"/>
      <c r="C90" s="196"/>
      <c r="D90" s="196"/>
      <c r="E90" s="124"/>
      <c r="G90" s="192"/>
    </row>
    <row r="91" spans="1:10" x14ac:dyDescent="0.2">
      <c r="A91" s="124"/>
      <c r="B91" s="193"/>
      <c r="C91" s="197"/>
      <c r="D91" s="197"/>
      <c r="E91" s="124"/>
      <c r="G91" s="19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7C56-9E6F-450B-9040-CB2A10AF2E6E}">
  <dimension ref="A1:I51"/>
  <sheetViews>
    <sheetView topLeftCell="A12" workbookViewId="0">
      <selection activeCell="C13" sqref="C13"/>
    </sheetView>
  </sheetViews>
  <sheetFormatPr baseColWidth="10" defaultRowHeight="15" x14ac:dyDescent="0.25"/>
  <cols>
    <col min="1" max="1" width="13.7109375" customWidth="1"/>
    <col min="2" max="2" width="15.28515625" customWidth="1"/>
    <col min="3" max="3" width="59.5703125" customWidth="1"/>
    <col min="4" max="4" width="34.28515625" bestFit="1" customWidth="1"/>
    <col min="8" max="8" width="27" customWidth="1"/>
    <col min="9" max="9" width="18" bestFit="1" customWidth="1"/>
  </cols>
  <sheetData>
    <row r="1" spans="1:9" ht="15.75" x14ac:dyDescent="0.25">
      <c r="A1" s="312"/>
      <c r="B1" s="313"/>
      <c r="C1" s="318" t="s">
        <v>29</v>
      </c>
      <c r="D1" s="318"/>
      <c r="E1" s="318"/>
      <c r="F1" s="318"/>
      <c r="G1" s="318"/>
      <c r="H1" s="11" t="s">
        <v>28</v>
      </c>
      <c r="I1" s="12"/>
    </row>
    <row r="2" spans="1:9" ht="18" customHeight="1" thickBot="1" x14ac:dyDescent="0.3">
      <c r="A2" s="314"/>
      <c r="B2" s="315"/>
      <c r="C2" s="319" t="s">
        <v>27</v>
      </c>
      <c r="D2" s="320"/>
      <c r="E2" s="320"/>
      <c r="F2" s="320"/>
      <c r="G2" s="321"/>
      <c r="H2" s="13" t="s">
        <v>26</v>
      </c>
      <c r="I2" s="14"/>
    </row>
    <row r="3" spans="1:9" ht="31.5" customHeight="1" thickBot="1" x14ac:dyDescent="0.3">
      <c r="A3" s="314"/>
      <c r="B3" s="315"/>
      <c r="C3" s="322" t="s">
        <v>56</v>
      </c>
      <c r="D3" s="323"/>
      <c r="E3" s="323"/>
      <c r="F3" s="323"/>
      <c r="G3" s="324"/>
      <c r="H3" s="325" t="s">
        <v>25</v>
      </c>
      <c r="I3" s="297"/>
    </row>
    <row r="4" spans="1:9" ht="18" customHeight="1" x14ac:dyDescent="0.25">
      <c r="A4" s="314"/>
      <c r="B4" s="315"/>
      <c r="C4" s="15" t="s">
        <v>24</v>
      </c>
      <c r="D4" s="300" t="s">
        <v>33</v>
      </c>
      <c r="E4" s="301"/>
      <c r="F4" s="301"/>
      <c r="G4" s="302"/>
      <c r="H4" s="326"/>
      <c r="I4" s="298"/>
    </row>
    <row r="5" spans="1:9" ht="15.75" thickBot="1" x14ac:dyDescent="0.3">
      <c r="A5" s="316"/>
      <c r="B5" s="317"/>
      <c r="C5" s="16" t="s">
        <v>23</v>
      </c>
      <c r="D5" s="303" t="s">
        <v>36</v>
      </c>
      <c r="E5" s="304"/>
      <c r="F5" s="304"/>
      <c r="G5" s="305"/>
      <c r="H5" s="327"/>
      <c r="I5" s="299"/>
    </row>
    <row r="6" spans="1:9" ht="18.75" thickBot="1" x14ac:dyDescent="0.3">
      <c r="A6" s="328" t="s">
        <v>22</v>
      </c>
      <c r="B6" s="328"/>
      <c r="C6" s="328"/>
      <c r="D6" s="329" t="s">
        <v>39</v>
      </c>
      <c r="E6" s="329"/>
      <c r="F6" s="329"/>
      <c r="G6" s="330" t="s">
        <v>21</v>
      </c>
      <c r="H6" s="330"/>
      <c r="I6" s="17" t="s">
        <v>39</v>
      </c>
    </row>
    <row r="7" spans="1:9" ht="25.5" x14ac:dyDescent="0.25">
      <c r="A7" s="331" t="s">
        <v>20</v>
      </c>
      <c r="B7" s="333" t="s">
        <v>30</v>
      </c>
      <c r="C7" s="335" t="s">
        <v>19</v>
      </c>
      <c r="D7" s="335" t="s">
        <v>18</v>
      </c>
      <c r="E7" s="335" t="s">
        <v>17</v>
      </c>
      <c r="F7" s="335"/>
      <c r="G7" s="335" t="s">
        <v>16</v>
      </c>
      <c r="H7" s="335"/>
      <c r="I7" s="18" t="s">
        <v>15</v>
      </c>
    </row>
    <row r="8" spans="1:9" ht="27" thickBot="1" x14ac:dyDescent="0.3">
      <c r="A8" s="332"/>
      <c r="B8" s="334"/>
      <c r="C8" s="336"/>
      <c r="D8" s="336"/>
      <c r="E8" s="19" t="s">
        <v>12</v>
      </c>
      <c r="F8" s="20" t="s">
        <v>14</v>
      </c>
      <c r="G8" s="19" t="s">
        <v>12</v>
      </c>
      <c r="H8" s="20" t="s">
        <v>14</v>
      </c>
      <c r="I8" s="21" t="s">
        <v>13</v>
      </c>
    </row>
    <row r="9" spans="1:9" x14ac:dyDescent="0.25">
      <c r="A9" s="22"/>
      <c r="B9" s="23"/>
      <c r="C9" s="24" t="s">
        <v>34</v>
      </c>
      <c r="D9" s="25"/>
      <c r="E9" s="26"/>
      <c r="F9" s="27"/>
      <c r="G9" s="26"/>
      <c r="H9" s="27"/>
      <c r="I9" s="28"/>
    </row>
    <row r="10" spans="1:9" ht="18" customHeight="1" x14ac:dyDescent="0.25">
      <c r="A10" s="91" t="s">
        <v>40</v>
      </c>
      <c r="B10" s="91" t="s">
        <v>41</v>
      </c>
      <c r="C10" s="92" t="s">
        <v>42</v>
      </c>
      <c r="D10" s="91" t="s">
        <v>32</v>
      </c>
      <c r="E10" s="4">
        <v>23023</v>
      </c>
      <c r="F10" s="91" t="s">
        <v>43</v>
      </c>
      <c r="G10" s="93"/>
      <c r="H10" s="1" t="s">
        <v>44</v>
      </c>
      <c r="I10" s="28"/>
    </row>
    <row r="11" spans="1:9" ht="15.75" x14ac:dyDescent="0.25">
      <c r="A11" s="91" t="s">
        <v>45</v>
      </c>
      <c r="B11" s="91"/>
      <c r="C11" s="94" t="s">
        <v>46</v>
      </c>
      <c r="D11" s="91" t="s">
        <v>47</v>
      </c>
      <c r="E11" s="4">
        <v>245</v>
      </c>
      <c r="F11" s="91" t="s">
        <v>43</v>
      </c>
      <c r="G11" s="98"/>
      <c r="H11" s="99" t="s">
        <v>48</v>
      </c>
      <c r="I11" s="28"/>
    </row>
    <row r="12" spans="1:9" ht="15.75" x14ac:dyDescent="0.25">
      <c r="A12" s="1"/>
      <c r="B12" s="1" t="s">
        <v>38</v>
      </c>
      <c r="C12" s="92" t="s">
        <v>58</v>
      </c>
      <c r="D12" s="1" t="s">
        <v>123</v>
      </c>
      <c r="E12" s="95">
        <v>154</v>
      </c>
      <c r="F12" s="96"/>
      <c r="G12" s="98"/>
      <c r="H12" s="99"/>
      <c r="I12" s="28"/>
    </row>
    <row r="13" spans="1:9" ht="15.75" x14ac:dyDescent="0.25">
      <c r="A13" s="1"/>
      <c r="B13" s="1"/>
      <c r="C13" s="92"/>
      <c r="D13" s="1"/>
      <c r="E13" s="1"/>
      <c r="F13" s="97"/>
      <c r="G13" s="98"/>
      <c r="H13" s="100"/>
      <c r="I13" s="28"/>
    </row>
    <row r="14" spans="1:9" ht="18" x14ac:dyDescent="0.25">
      <c r="A14" s="33"/>
      <c r="B14" s="29"/>
      <c r="C14" s="34"/>
      <c r="D14" s="29"/>
      <c r="E14" s="29"/>
      <c r="F14" s="31"/>
      <c r="G14" s="30"/>
      <c r="H14" s="32"/>
      <c r="I14" s="28"/>
    </row>
    <row r="15" spans="1:9" x14ac:dyDescent="0.25">
      <c r="A15" s="35"/>
      <c r="B15" s="35"/>
      <c r="C15" s="36"/>
      <c r="D15" s="37"/>
      <c r="E15" s="37"/>
      <c r="F15" s="38"/>
      <c r="G15" s="26"/>
      <c r="H15" s="27"/>
      <c r="I15" s="28"/>
    </row>
    <row r="16" spans="1:9" ht="15.75" x14ac:dyDescent="0.25">
      <c r="A16" s="39"/>
      <c r="B16" s="39"/>
      <c r="C16" s="40" t="s">
        <v>49</v>
      </c>
      <c r="D16" s="41"/>
      <c r="E16" s="42"/>
      <c r="F16" s="38"/>
      <c r="G16" s="26"/>
      <c r="H16" s="27"/>
      <c r="I16" s="28"/>
    </row>
    <row r="17" spans="1:9" x14ac:dyDescent="0.25">
      <c r="A17" s="43"/>
      <c r="B17" s="44"/>
      <c r="C17" s="45"/>
      <c r="D17" s="46"/>
      <c r="E17" s="37"/>
      <c r="F17" s="38"/>
      <c r="G17" s="26"/>
      <c r="H17" s="27"/>
      <c r="I17" s="28"/>
    </row>
    <row r="18" spans="1:9" x14ac:dyDescent="0.25">
      <c r="A18" s="35"/>
      <c r="B18" s="35"/>
      <c r="C18" s="36"/>
      <c r="D18" s="46"/>
      <c r="E18" s="37"/>
      <c r="F18" s="38"/>
      <c r="G18" s="26"/>
      <c r="H18" s="27"/>
      <c r="I18" s="28"/>
    </row>
    <row r="19" spans="1:9" x14ac:dyDescent="0.25">
      <c r="A19" s="43"/>
      <c r="B19" s="43"/>
      <c r="C19" s="45"/>
      <c r="D19" s="46"/>
      <c r="E19" s="37"/>
      <c r="F19" s="38"/>
      <c r="G19" s="26"/>
      <c r="H19" s="27"/>
      <c r="I19" s="28"/>
    </row>
    <row r="20" spans="1:9" x14ac:dyDescent="0.25">
      <c r="A20" s="35"/>
      <c r="B20" s="35"/>
      <c r="C20" s="36"/>
      <c r="D20" s="37"/>
      <c r="E20" s="41"/>
      <c r="F20" s="38"/>
      <c r="G20" s="26"/>
      <c r="H20" s="27"/>
      <c r="I20" s="28"/>
    </row>
    <row r="21" spans="1:9" x14ac:dyDescent="0.25">
      <c r="A21" s="35"/>
      <c r="B21" s="35"/>
      <c r="C21" s="36"/>
      <c r="D21" s="9"/>
      <c r="E21" s="47"/>
      <c r="F21" s="48"/>
      <c r="G21" s="26"/>
      <c r="H21" s="27"/>
      <c r="I21" s="28"/>
    </row>
    <row r="22" spans="1:9" ht="15.75" x14ac:dyDescent="0.25">
      <c r="A22" s="49"/>
      <c r="B22" s="49"/>
      <c r="C22" s="50" t="s">
        <v>50</v>
      </c>
      <c r="D22" s="51"/>
      <c r="E22" s="52"/>
      <c r="F22" s="27"/>
      <c r="G22" s="26"/>
      <c r="I22" s="28"/>
    </row>
    <row r="23" spans="1:9" x14ac:dyDescent="0.25">
      <c r="A23" s="53"/>
      <c r="B23" s="53"/>
      <c r="C23" s="54"/>
      <c r="D23" s="55"/>
      <c r="E23" s="55"/>
      <c r="F23" s="56"/>
      <c r="G23" s="57"/>
      <c r="H23" s="27"/>
      <c r="I23" s="28"/>
    </row>
    <row r="24" spans="1:9" x14ac:dyDescent="0.25">
      <c r="A24" s="58"/>
      <c r="B24" s="35"/>
      <c r="C24" s="59"/>
      <c r="D24" s="55"/>
      <c r="E24" s="55"/>
      <c r="F24" s="56"/>
      <c r="G24" s="57"/>
      <c r="H24" s="27"/>
      <c r="I24" s="28"/>
    </row>
    <row r="25" spans="1:9" x14ac:dyDescent="0.25">
      <c r="A25" s="5"/>
      <c r="B25" s="5"/>
      <c r="C25" s="60"/>
      <c r="D25" s="55"/>
      <c r="E25" s="61"/>
      <c r="F25" s="62"/>
      <c r="G25" s="57"/>
      <c r="H25" s="27"/>
      <c r="I25" s="28"/>
    </row>
    <row r="26" spans="1:9" x14ac:dyDescent="0.25">
      <c r="A26" s="5"/>
      <c r="B26" s="35"/>
      <c r="C26" s="60"/>
      <c r="D26" s="55"/>
      <c r="E26" s="63"/>
      <c r="F26" s="62"/>
      <c r="G26" s="26"/>
      <c r="H26" s="27"/>
      <c r="I26" s="28"/>
    </row>
    <row r="27" spans="1:9" x14ac:dyDescent="0.25">
      <c r="A27" s="64"/>
      <c r="B27" s="64"/>
      <c r="C27" s="65"/>
      <c r="D27" s="55"/>
      <c r="E27" s="66"/>
      <c r="F27" s="67"/>
      <c r="G27" s="26"/>
      <c r="H27" s="27"/>
      <c r="I27" s="28"/>
    </row>
    <row r="28" spans="1:9" x14ac:dyDescent="0.25">
      <c r="A28" s="68"/>
      <c r="B28" s="68"/>
      <c r="C28" s="69"/>
      <c r="D28" s="55"/>
      <c r="E28" s="37"/>
      <c r="F28" s="38"/>
      <c r="G28" s="70"/>
      <c r="H28" s="41"/>
      <c r="I28" s="28"/>
    </row>
    <row r="29" spans="1:9" x14ac:dyDescent="0.25">
      <c r="A29" s="39"/>
      <c r="B29" s="39"/>
      <c r="C29" s="71"/>
      <c r="D29" s="55"/>
      <c r="E29" s="37"/>
      <c r="F29" s="38"/>
      <c r="G29" s="37"/>
      <c r="H29" s="41"/>
      <c r="I29" s="28"/>
    </row>
    <row r="30" spans="1:9" ht="15.75" x14ac:dyDescent="0.25">
      <c r="A30" s="39"/>
      <c r="B30" s="39"/>
      <c r="C30" s="71"/>
      <c r="D30" s="55"/>
      <c r="E30" s="37"/>
      <c r="F30" s="38"/>
      <c r="G30" s="2"/>
      <c r="H30" s="38"/>
      <c r="I30" s="28"/>
    </row>
    <row r="31" spans="1:9" ht="15.75" x14ac:dyDescent="0.25">
      <c r="A31" s="72"/>
      <c r="B31" s="73"/>
      <c r="C31" s="71"/>
      <c r="D31" s="41"/>
      <c r="E31" s="41"/>
      <c r="F31" s="38"/>
      <c r="G31" s="3"/>
      <c r="H31" s="3"/>
      <c r="I31" s="28"/>
    </row>
    <row r="32" spans="1:9" ht="15.75" thickBot="1" x14ac:dyDescent="0.3">
      <c r="A32" s="74"/>
      <c r="B32" s="75"/>
      <c r="C32" s="76"/>
      <c r="D32" s="76"/>
      <c r="E32" s="77"/>
      <c r="F32" s="78"/>
      <c r="G32" s="76"/>
      <c r="H32" s="76"/>
      <c r="I32" s="79"/>
    </row>
    <row r="33" spans="1:9" ht="15.75" thickBot="1" x14ac:dyDescent="0.3">
      <c r="A33" s="80"/>
      <c r="B33" s="81"/>
      <c r="C33" s="82"/>
      <c r="D33" s="83" t="s">
        <v>12</v>
      </c>
      <c r="E33" s="84" t="s">
        <v>11</v>
      </c>
      <c r="F33" s="85"/>
      <c r="G33" s="82"/>
      <c r="H33" s="82"/>
      <c r="I33" s="86"/>
    </row>
    <row r="34" spans="1:9" x14ac:dyDescent="0.25">
      <c r="A34" s="306" t="s">
        <v>10</v>
      </c>
      <c r="B34" s="307"/>
      <c r="C34" s="308"/>
      <c r="D34" s="87">
        <v>23300</v>
      </c>
      <c r="E34" s="88" t="s">
        <v>1</v>
      </c>
      <c r="F34" s="309" t="s">
        <v>9</v>
      </c>
      <c r="G34" s="309"/>
      <c r="H34" s="310"/>
      <c r="I34" s="311"/>
    </row>
    <row r="35" spans="1:9" x14ac:dyDescent="0.25">
      <c r="A35" s="337" t="s">
        <v>8</v>
      </c>
      <c r="B35" s="338"/>
      <c r="C35" s="339"/>
      <c r="D35" s="10">
        <v>5</v>
      </c>
      <c r="E35" s="7" t="s">
        <v>51</v>
      </c>
      <c r="F35" s="340" t="s">
        <v>7</v>
      </c>
      <c r="G35" s="340"/>
      <c r="H35" s="288"/>
      <c r="I35" s="289"/>
    </row>
    <row r="36" spans="1:9" x14ac:dyDescent="0.25">
      <c r="A36" s="337" t="s">
        <v>6</v>
      </c>
      <c r="B36" s="338"/>
      <c r="C36" s="339"/>
      <c r="D36" s="7">
        <v>1</v>
      </c>
      <c r="E36" s="7" t="s">
        <v>35</v>
      </c>
      <c r="F36" s="340" t="s">
        <v>5</v>
      </c>
      <c r="G36" s="340"/>
      <c r="H36" s="288"/>
      <c r="I36" s="289"/>
    </row>
    <row r="37" spans="1:9" x14ac:dyDescent="0.25">
      <c r="A37" s="337" t="s">
        <v>4</v>
      </c>
      <c r="B37" s="338"/>
      <c r="C37" s="339"/>
      <c r="D37" s="8">
        <v>23300</v>
      </c>
      <c r="E37" s="7" t="s">
        <v>1</v>
      </c>
      <c r="F37" s="341" t="s">
        <v>3</v>
      </c>
      <c r="G37" s="342"/>
      <c r="H37" s="288"/>
      <c r="I37" s="289"/>
    </row>
    <row r="38" spans="1:9" ht="15.75" thickBot="1" x14ac:dyDescent="0.3">
      <c r="A38" s="343" t="s">
        <v>2</v>
      </c>
      <c r="B38" s="344"/>
      <c r="C38" s="345"/>
      <c r="D38" s="89">
        <f>SUM(E10:E12)-D34</f>
        <v>122</v>
      </c>
      <c r="E38" s="90" t="s">
        <v>1</v>
      </c>
      <c r="F38" s="346"/>
      <c r="G38" s="346"/>
      <c r="H38" s="288"/>
      <c r="I38" s="289"/>
    </row>
    <row r="39" spans="1:9" ht="15.75" thickBot="1" x14ac:dyDescent="0.3">
      <c r="A39" s="290" t="s">
        <v>0</v>
      </c>
      <c r="B39" s="291"/>
      <c r="C39" s="291"/>
      <c r="D39" s="291"/>
      <c r="E39" s="291"/>
      <c r="F39" s="291"/>
      <c r="G39" s="291"/>
      <c r="H39" s="291"/>
      <c r="I39" s="292"/>
    </row>
    <row r="40" spans="1:9" ht="18.399999999999999" customHeight="1" x14ac:dyDescent="0.25">
      <c r="A40" s="293" t="s">
        <v>52</v>
      </c>
      <c r="B40" s="294"/>
      <c r="C40" s="295"/>
      <c r="D40" s="295"/>
      <c r="E40" s="295"/>
      <c r="F40" s="295"/>
      <c r="G40" s="295"/>
      <c r="H40" s="295"/>
      <c r="I40" s="296"/>
    </row>
    <row r="41" spans="1:9" ht="14.65" customHeight="1" x14ac:dyDescent="0.25">
      <c r="A41" s="284" t="s">
        <v>53</v>
      </c>
      <c r="B41" s="285"/>
      <c r="C41" s="286"/>
      <c r="D41" s="286"/>
      <c r="E41" s="286"/>
      <c r="F41" s="286"/>
      <c r="G41" s="286"/>
      <c r="H41" s="286"/>
      <c r="I41" s="287"/>
    </row>
    <row r="42" spans="1:9" ht="14.65" customHeight="1" x14ac:dyDescent="0.25">
      <c r="A42" s="284" t="s">
        <v>59</v>
      </c>
      <c r="B42" s="285"/>
      <c r="C42" s="286"/>
      <c r="D42" s="286"/>
      <c r="E42" s="286"/>
      <c r="F42" s="286"/>
      <c r="G42" s="286"/>
      <c r="H42" s="286"/>
      <c r="I42" s="287"/>
    </row>
    <row r="43" spans="1:9" x14ac:dyDescent="0.25">
      <c r="A43" s="284" t="s">
        <v>54</v>
      </c>
      <c r="B43" s="285"/>
      <c r="C43" s="286"/>
      <c r="D43" s="286"/>
      <c r="E43" s="286"/>
      <c r="F43" s="286"/>
      <c r="G43" s="286"/>
      <c r="H43" s="286"/>
      <c r="I43" s="287"/>
    </row>
    <row r="44" spans="1:9" ht="14.65" customHeight="1" x14ac:dyDescent="0.25">
      <c r="A44" s="284"/>
      <c r="B44" s="285"/>
      <c r="C44" s="286"/>
      <c r="D44" s="286"/>
      <c r="E44" s="286"/>
      <c r="F44" s="286"/>
      <c r="G44" s="286"/>
      <c r="H44" s="286"/>
      <c r="I44" s="287"/>
    </row>
    <row r="45" spans="1:9" ht="14.65" customHeight="1" x14ac:dyDescent="0.25">
      <c r="A45" s="349" t="s">
        <v>55</v>
      </c>
      <c r="B45" s="350"/>
      <c r="C45" s="351"/>
      <c r="D45" s="351"/>
      <c r="E45" s="351"/>
      <c r="F45" s="351"/>
      <c r="G45" s="351"/>
      <c r="H45" s="351"/>
      <c r="I45" s="352"/>
    </row>
    <row r="46" spans="1:9" ht="18" customHeight="1" x14ac:dyDescent="0.25">
      <c r="A46" s="353"/>
      <c r="B46" s="354"/>
      <c r="C46" s="354"/>
      <c r="D46" s="354"/>
      <c r="E46" s="354"/>
      <c r="F46" s="354"/>
      <c r="G46" s="354"/>
      <c r="H46" s="354"/>
      <c r="I46" s="355"/>
    </row>
    <row r="47" spans="1:9" x14ac:dyDescent="0.25">
      <c r="A47" s="353"/>
      <c r="B47" s="354"/>
      <c r="C47" s="354"/>
      <c r="D47" s="354"/>
      <c r="E47" s="354"/>
      <c r="F47" s="354"/>
      <c r="G47" s="354"/>
      <c r="H47" s="354"/>
      <c r="I47" s="355"/>
    </row>
    <row r="48" spans="1:9" ht="15.75" thickBot="1" x14ac:dyDescent="0.3">
      <c r="A48" s="353"/>
      <c r="B48" s="354"/>
      <c r="C48" s="354"/>
      <c r="D48" s="354"/>
      <c r="E48" s="354"/>
      <c r="F48" s="354"/>
      <c r="G48" s="354"/>
      <c r="H48" s="354"/>
      <c r="I48" s="355"/>
    </row>
    <row r="49" spans="1:9" x14ac:dyDescent="0.25">
      <c r="A49" s="356" t="s">
        <v>31</v>
      </c>
      <c r="B49" s="357"/>
      <c r="C49" s="357"/>
      <c r="D49" s="357"/>
      <c r="E49" s="357"/>
      <c r="F49" s="357"/>
      <c r="G49" s="357"/>
      <c r="H49" s="357"/>
      <c r="I49" s="357"/>
    </row>
    <row r="50" spans="1:9" x14ac:dyDescent="0.25">
      <c r="A50" s="347"/>
      <c r="B50" s="348"/>
      <c r="C50" s="348"/>
      <c r="D50" s="348"/>
      <c r="E50" s="348"/>
      <c r="F50" s="348"/>
      <c r="G50" s="348"/>
      <c r="H50" s="348"/>
      <c r="I50" s="348"/>
    </row>
    <row r="51" spans="1:9" x14ac:dyDescent="0.25">
      <c r="A51" s="347"/>
      <c r="B51" s="348"/>
      <c r="C51" s="348"/>
      <c r="D51" s="348"/>
      <c r="E51" s="348"/>
      <c r="F51" s="348"/>
      <c r="G51" s="348"/>
      <c r="H51" s="348"/>
      <c r="I51" s="348"/>
    </row>
  </sheetData>
  <mergeCells count="45">
    <mergeCell ref="A50:I50"/>
    <mergeCell ref="A51:I51"/>
    <mergeCell ref="A45:I45"/>
    <mergeCell ref="A47:I47"/>
    <mergeCell ref="A48:I48"/>
    <mergeCell ref="A46:I46"/>
    <mergeCell ref="A49:I49"/>
    <mergeCell ref="C7:C8"/>
    <mergeCell ref="D7:D8"/>
    <mergeCell ref="E7:F7"/>
    <mergeCell ref="G7:H7"/>
    <mergeCell ref="A44:I44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38:C38"/>
    <mergeCell ref="F38:G38"/>
    <mergeCell ref="I3:I5"/>
    <mergeCell ref="D4:G4"/>
    <mergeCell ref="D5:G5"/>
    <mergeCell ref="A34:C34"/>
    <mergeCell ref="F34:G34"/>
    <mergeCell ref="H34:I34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A43:I43"/>
    <mergeCell ref="H38:I38"/>
    <mergeCell ref="A39:I39"/>
    <mergeCell ref="A40:I40"/>
    <mergeCell ref="A41:I41"/>
    <mergeCell ref="A42:I4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5283-34B0-4C20-A8CD-9674270BFDF8}">
  <sheetPr>
    <pageSetUpPr fitToPage="1"/>
  </sheetPr>
  <dimension ref="A1:I33"/>
  <sheetViews>
    <sheetView tabSelected="1" zoomScale="80" zoomScaleNormal="80" workbookViewId="0">
      <selection activeCell="C3" sqref="C3:G3"/>
    </sheetView>
  </sheetViews>
  <sheetFormatPr baseColWidth="10" defaultRowHeight="15" x14ac:dyDescent="0.25"/>
  <cols>
    <col min="1" max="1" width="10.5703125" bestFit="1" customWidth="1"/>
    <col min="2" max="2" width="15.28515625" customWidth="1"/>
    <col min="3" max="3" width="68.7109375" customWidth="1"/>
    <col min="4" max="4" width="12.7109375" customWidth="1"/>
    <col min="7" max="7" width="21.42578125" customWidth="1"/>
    <col min="8" max="8" width="17.85546875" customWidth="1"/>
    <col min="9" max="9" width="18" customWidth="1"/>
  </cols>
  <sheetData>
    <row r="1" spans="1:9" ht="15.75" x14ac:dyDescent="0.25">
      <c r="A1" s="312"/>
      <c r="B1" s="313"/>
      <c r="C1" s="318" t="s">
        <v>29</v>
      </c>
      <c r="D1" s="318"/>
      <c r="E1" s="318"/>
      <c r="F1" s="318"/>
      <c r="G1" s="318"/>
      <c r="H1" s="11" t="s">
        <v>28</v>
      </c>
      <c r="I1" s="12" t="s">
        <v>126</v>
      </c>
    </row>
    <row r="2" spans="1:9" ht="16.5" thickBot="1" x14ac:dyDescent="0.3">
      <c r="A2" s="314"/>
      <c r="B2" s="315"/>
      <c r="C2" s="319" t="s">
        <v>27</v>
      </c>
      <c r="D2" s="320"/>
      <c r="E2" s="320"/>
      <c r="F2" s="320"/>
      <c r="G2" s="321"/>
      <c r="H2" s="13" t="s">
        <v>26</v>
      </c>
      <c r="I2" s="14" t="s">
        <v>133</v>
      </c>
    </row>
    <row r="3" spans="1:9" ht="33" customHeight="1" thickBot="1" x14ac:dyDescent="0.3">
      <c r="A3" s="314"/>
      <c r="B3" s="315"/>
      <c r="C3" s="381" t="s">
        <v>124</v>
      </c>
      <c r="D3" s="382"/>
      <c r="E3" s="382"/>
      <c r="F3" s="382"/>
      <c r="G3" s="383"/>
      <c r="H3" s="325" t="s">
        <v>25</v>
      </c>
      <c r="I3" s="297">
        <v>46058</v>
      </c>
    </row>
    <row r="4" spans="1:9" x14ac:dyDescent="0.25">
      <c r="A4" s="314"/>
      <c r="B4" s="315"/>
      <c r="C4" s="15" t="s">
        <v>24</v>
      </c>
      <c r="D4" s="300" t="s">
        <v>33</v>
      </c>
      <c r="E4" s="301"/>
      <c r="F4" s="301"/>
      <c r="G4" s="302"/>
      <c r="H4" s="326"/>
      <c r="I4" s="298"/>
    </row>
    <row r="5" spans="1:9" ht="15.75" thickBot="1" x14ac:dyDescent="0.3">
      <c r="A5" s="316"/>
      <c r="B5" s="317"/>
      <c r="C5" s="16" t="s">
        <v>23</v>
      </c>
      <c r="D5" s="303" t="s">
        <v>36</v>
      </c>
      <c r="E5" s="304"/>
      <c r="F5" s="304"/>
      <c r="G5" s="305"/>
      <c r="H5" s="327"/>
      <c r="I5" s="299"/>
    </row>
    <row r="6" spans="1:9" ht="18.75" thickBot="1" x14ac:dyDescent="0.3">
      <c r="A6" s="328" t="s">
        <v>22</v>
      </c>
      <c r="B6" s="328"/>
      <c r="C6" s="328"/>
      <c r="D6" s="384" t="s">
        <v>39</v>
      </c>
      <c r="E6" s="384"/>
      <c r="F6" s="384"/>
      <c r="G6" s="330" t="s">
        <v>21</v>
      </c>
      <c r="H6" s="330"/>
      <c r="I6" s="248" t="s">
        <v>39</v>
      </c>
    </row>
    <row r="7" spans="1:9" ht="37.5" customHeight="1" x14ac:dyDescent="0.25">
      <c r="A7" s="331" t="s">
        <v>20</v>
      </c>
      <c r="B7" s="333" t="s">
        <v>30</v>
      </c>
      <c r="C7" s="335" t="s">
        <v>19</v>
      </c>
      <c r="D7" s="335" t="s">
        <v>18</v>
      </c>
      <c r="E7" s="335" t="s">
        <v>17</v>
      </c>
      <c r="F7" s="335"/>
      <c r="G7" s="335" t="s">
        <v>16</v>
      </c>
      <c r="H7" s="335"/>
      <c r="I7" s="18" t="s">
        <v>15</v>
      </c>
    </row>
    <row r="8" spans="1:9" ht="33.75" customHeight="1" thickBot="1" x14ac:dyDescent="0.3">
      <c r="A8" s="332"/>
      <c r="B8" s="334"/>
      <c r="C8" s="336"/>
      <c r="D8" s="336"/>
      <c r="E8" s="19" t="s">
        <v>12</v>
      </c>
      <c r="F8" s="20" t="s">
        <v>14</v>
      </c>
      <c r="G8" s="19" t="s">
        <v>12</v>
      </c>
      <c r="H8" s="20" t="s">
        <v>14</v>
      </c>
      <c r="I8" s="21" t="s">
        <v>13</v>
      </c>
    </row>
    <row r="9" spans="1:9" ht="20.25" x14ac:dyDescent="0.3">
      <c r="A9" s="198"/>
      <c r="B9" s="199"/>
      <c r="C9" s="200" t="s">
        <v>34</v>
      </c>
      <c r="D9" s="201"/>
      <c r="E9" s="202"/>
      <c r="F9" s="203"/>
      <c r="G9" s="202"/>
      <c r="H9" s="203"/>
      <c r="I9" s="204"/>
    </row>
    <row r="10" spans="1:9" ht="20.25" x14ac:dyDescent="0.3">
      <c r="A10" s="205" t="s">
        <v>40</v>
      </c>
      <c r="B10" s="205" t="s">
        <v>41</v>
      </c>
      <c r="C10" s="206" t="s">
        <v>42</v>
      </c>
      <c r="D10" s="205" t="s">
        <v>32</v>
      </c>
      <c r="E10" s="207">
        <v>23023</v>
      </c>
      <c r="F10" s="205" t="s">
        <v>43</v>
      </c>
      <c r="G10" s="208"/>
      <c r="H10" s="209" t="s">
        <v>44</v>
      </c>
      <c r="I10" s="204"/>
    </row>
    <row r="11" spans="1:9" ht="26.25" customHeight="1" x14ac:dyDescent="0.3">
      <c r="A11" s="205" t="s">
        <v>45</v>
      </c>
      <c r="B11" s="205"/>
      <c r="C11" s="210" t="s">
        <v>46</v>
      </c>
      <c r="D11" s="205" t="s">
        <v>47</v>
      </c>
      <c r="E11" s="207">
        <v>245</v>
      </c>
      <c r="F11" s="205" t="s">
        <v>43</v>
      </c>
      <c r="G11" s="211"/>
      <c r="H11" s="212" t="s">
        <v>48</v>
      </c>
      <c r="I11" s="204"/>
    </row>
    <row r="12" spans="1:9" ht="20.25" x14ac:dyDescent="0.3">
      <c r="A12" s="209"/>
      <c r="B12" s="209" t="s">
        <v>125</v>
      </c>
      <c r="C12" s="206" t="s">
        <v>58</v>
      </c>
      <c r="D12" s="209" t="s">
        <v>57</v>
      </c>
      <c r="E12" s="213">
        <v>105</v>
      </c>
      <c r="F12" s="214"/>
      <c r="G12" s="211"/>
      <c r="H12" s="212"/>
      <c r="I12" s="204"/>
    </row>
    <row r="13" spans="1:9" ht="20.25" x14ac:dyDescent="0.3">
      <c r="A13" s="215"/>
      <c r="B13" s="215"/>
      <c r="C13" s="216"/>
      <c r="D13" s="217"/>
      <c r="E13" s="217"/>
      <c r="F13" s="218"/>
      <c r="G13" s="202"/>
      <c r="H13" s="203"/>
      <c r="I13" s="204"/>
    </row>
    <row r="14" spans="1:9" ht="20.25" x14ac:dyDescent="0.3">
      <c r="A14" s="205"/>
      <c r="B14" s="205"/>
      <c r="C14" s="219" t="s">
        <v>49</v>
      </c>
      <c r="D14" s="207"/>
      <c r="E14" s="220"/>
      <c r="F14" s="218"/>
      <c r="G14" s="202"/>
      <c r="H14" s="203"/>
      <c r="I14" s="204"/>
    </row>
    <row r="15" spans="1:9" ht="20.25" x14ac:dyDescent="0.3">
      <c r="A15" s="215"/>
      <c r="B15" s="215"/>
      <c r="C15" s="216"/>
      <c r="D15" s="221"/>
      <c r="E15" s="222"/>
      <c r="F15" s="223"/>
      <c r="G15" s="202"/>
      <c r="H15" s="203"/>
      <c r="I15" s="204"/>
    </row>
    <row r="16" spans="1:9" ht="20.25" x14ac:dyDescent="0.3">
      <c r="A16" s="224"/>
      <c r="B16" s="224"/>
      <c r="C16" s="225" t="s">
        <v>50</v>
      </c>
      <c r="D16" s="226"/>
      <c r="E16" s="227"/>
      <c r="F16" s="203"/>
      <c r="G16" s="202"/>
      <c r="H16" s="228"/>
      <c r="I16" s="204"/>
    </row>
    <row r="17" spans="1:9" ht="20.25" x14ac:dyDescent="0.3">
      <c r="A17" s="229"/>
      <c r="B17" s="230"/>
      <c r="C17" s="210"/>
      <c r="D17" s="207"/>
      <c r="E17" s="207"/>
      <c r="F17" s="218"/>
      <c r="G17" s="207"/>
      <c r="H17" s="207"/>
      <c r="I17" s="204"/>
    </row>
    <row r="18" spans="1:9" ht="21" thickBot="1" x14ac:dyDescent="0.35">
      <c r="A18" s="231"/>
      <c r="B18" s="232"/>
      <c r="C18" s="233"/>
      <c r="D18" s="233"/>
      <c r="E18" s="234"/>
      <c r="F18" s="235"/>
      <c r="G18" s="233"/>
      <c r="H18" s="233"/>
      <c r="I18" s="236"/>
    </row>
    <row r="19" spans="1:9" ht="21" thickBot="1" x14ac:dyDescent="0.35">
      <c r="A19" s="237"/>
      <c r="B19" s="238"/>
      <c r="C19" s="239"/>
      <c r="D19" s="240" t="s">
        <v>12</v>
      </c>
      <c r="E19" s="241" t="s">
        <v>11</v>
      </c>
      <c r="F19" s="242"/>
      <c r="G19" s="239"/>
      <c r="H19" s="239"/>
      <c r="I19" s="243"/>
    </row>
    <row r="20" spans="1:9" ht="20.25" x14ac:dyDescent="0.3">
      <c r="A20" s="375" t="s">
        <v>10</v>
      </c>
      <c r="B20" s="376"/>
      <c r="C20" s="377"/>
      <c r="D20" s="208">
        <v>22560</v>
      </c>
      <c r="E20" s="244" t="s">
        <v>1</v>
      </c>
      <c r="F20" s="378" t="s">
        <v>9</v>
      </c>
      <c r="G20" s="378"/>
      <c r="H20" s="379"/>
      <c r="I20" s="380"/>
    </row>
    <row r="21" spans="1:9" ht="20.25" x14ac:dyDescent="0.3">
      <c r="A21" s="390" t="s">
        <v>8</v>
      </c>
      <c r="B21" s="391"/>
      <c r="C21" s="392"/>
      <c r="D21" s="245">
        <v>5</v>
      </c>
      <c r="E21" s="209" t="s">
        <v>51</v>
      </c>
      <c r="F21" s="393" t="s">
        <v>7</v>
      </c>
      <c r="G21" s="393"/>
      <c r="H21" s="362"/>
      <c r="I21" s="363"/>
    </row>
    <row r="22" spans="1:9" ht="20.25" x14ac:dyDescent="0.3">
      <c r="A22" s="390" t="s">
        <v>6</v>
      </c>
      <c r="B22" s="391"/>
      <c r="C22" s="392"/>
      <c r="D22" s="209">
        <v>1</v>
      </c>
      <c r="E22" s="209" t="s">
        <v>35</v>
      </c>
      <c r="F22" s="393" t="s">
        <v>5</v>
      </c>
      <c r="G22" s="393"/>
      <c r="H22" s="362"/>
      <c r="I22" s="363"/>
    </row>
    <row r="23" spans="1:9" ht="20.25" x14ac:dyDescent="0.3">
      <c r="A23" s="390" t="s">
        <v>4</v>
      </c>
      <c r="B23" s="391"/>
      <c r="C23" s="392"/>
      <c r="D23" s="213">
        <v>22560</v>
      </c>
      <c r="E23" s="209" t="s">
        <v>1</v>
      </c>
      <c r="F23" s="394" t="s">
        <v>3</v>
      </c>
      <c r="G23" s="395"/>
      <c r="H23" s="362"/>
      <c r="I23" s="363"/>
    </row>
    <row r="24" spans="1:9" ht="21" thickBot="1" x14ac:dyDescent="0.35">
      <c r="A24" s="371" t="s">
        <v>2</v>
      </c>
      <c r="B24" s="372"/>
      <c r="C24" s="373"/>
      <c r="D24" s="246">
        <f>SUM(E10:E12)-D20</f>
        <v>813</v>
      </c>
      <c r="E24" s="247" t="s">
        <v>1</v>
      </c>
      <c r="F24" s="374"/>
      <c r="G24" s="374"/>
      <c r="H24" s="362"/>
      <c r="I24" s="363"/>
    </row>
    <row r="25" spans="1:9" ht="21" thickBot="1" x14ac:dyDescent="0.35">
      <c r="A25" s="364" t="s">
        <v>0</v>
      </c>
      <c r="B25" s="365"/>
      <c r="C25" s="365"/>
      <c r="D25" s="365"/>
      <c r="E25" s="365"/>
      <c r="F25" s="365"/>
      <c r="G25" s="365"/>
      <c r="H25" s="365"/>
      <c r="I25" s="366"/>
    </row>
    <row r="26" spans="1:9" ht="20.25" x14ac:dyDescent="0.3">
      <c r="A26" s="367" t="s">
        <v>128</v>
      </c>
      <c r="B26" s="368"/>
      <c r="C26" s="369"/>
      <c r="D26" s="369"/>
      <c r="E26" s="369"/>
      <c r="F26" s="369"/>
      <c r="G26" s="369"/>
      <c r="H26" s="369"/>
      <c r="I26" s="370"/>
    </row>
    <row r="27" spans="1:9" ht="20.25" x14ac:dyDescent="0.3">
      <c r="A27" s="358" t="s">
        <v>129</v>
      </c>
      <c r="B27" s="359"/>
      <c r="C27" s="360"/>
      <c r="D27" s="360"/>
      <c r="E27" s="360"/>
      <c r="F27" s="360"/>
      <c r="G27" s="360"/>
      <c r="H27" s="360"/>
      <c r="I27" s="361"/>
    </row>
    <row r="28" spans="1:9" ht="20.25" x14ac:dyDescent="0.3">
      <c r="A28" s="358" t="s">
        <v>130</v>
      </c>
      <c r="B28" s="359"/>
      <c r="C28" s="360"/>
      <c r="D28" s="360"/>
      <c r="E28" s="360"/>
      <c r="F28" s="360"/>
      <c r="G28" s="360"/>
      <c r="H28" s="360"/>
      <c r="I28" s="361"/>
    </row>
    <row r="29" spans="1:9" ht="20.25" x14ac:dyDescent="0.3">
      <c r="A29" s="358" t="s">
        <v>131</v>
      </c>
      <c r="B29" s="359"/>
      <c r="C29" s="360"/>
      <c r="D29" s="360"/>
      <c r="E29" s="360"/>
      <c r="F29" s="360"/>
      <c r="G29" s="360"/>
      <c r="H29" s="360"/>
      <c r="I29" s="361"/>
    </row>
    <row r="30" spans="1:9" ht="20.25" x14ac:dyDescent="0.3">
      <c r="A30" s="386"/>
      <c r="B30" s="387"/>
      <c r="C30" s="387"/>
      <c r="D30" s="387"/>
      <c r="E30" s="387"/>
      <c r="F30" s="387"/>
      <c r="G30" s="387"/>
      <c r="H30" s="387"/>
      <c r="I30" s="388"/>
    </row>
    <row r="31" spans="1:9" ht="20.25" x14ac:dyDescent="0.3">
      <c r="A31" s="389" t="s">
        <v>31</v>
      </c>
      <c r="B31" s="389"/>
      <c r="C31" s="389"/>
      <c r="D31" s="389"/>
      <c r="E31" s="389"/>
      <c r="F31" s="389"/>
      <c r="G31" s="389"/>
      <c r="H31" s="389"/>
      <c r="I31" s="389"/>
    </row>
    <row r="32" spans="1:9" ht="20.25" x14ac:dyDescent="0.3">
      <c r="A32" s="385" t="s">
        <v>127</v>
      </c>
      <c r="B32" s="385"/>
      <c r="C32" s="385"/>
      <c r="D32" s="385"/>
      <c r="E32" s="385"/>
      <c r="F32" s="385"/>
      <c r="G32" s="385"/>
      <c r="H32" s="385"/>
      <c r="I32" s="385"/>
    </row>
    <row r="33" spans="1:9" ht="20.25" x14ac:dyDescent="0.3">
      <c r="A33" s="385" t="s">
        <v>132</v>
      </c>
      <c r="B33" s="385"/>
      <c r="C33" s="385"/>
      <c r="D33" s="385"/>
      <c r="E33" s="385"/>
      <c r="F33" s="385"/>
      <c r="G33" s="385"/>
      <c r="H33" s="385"/>
      <c r="I33" s="385"/>
    </row>
  </sheetData>
  <mergeCells count="41">
    <mergeCell ref="A32:I32"/>
    <mergeCell ref="A33:I33"/>
    <mergeCell ref="A30:I30"/>
    <mergeCell ref="A31:I31"/>
    <mergeCell ref="C7:C8"/>
    <mergeCell ref="D7:D8"/>
    <mergeCell ref="E7:F7"/>
    <mergeCell ref="G7:H7"/>
    <mergeCell ref="A21:C21"/>
    <mergeCell ref="F21:G21"/>
    <mergeCell ref="H21:I21"/>
    <mergeCell ref="A22:C22"/>
    <mergeCell ref="F22:G22"/>
    <mergeCell ref="H22:I22"/>
    <mergeCell ref="A23:C23"/>
    <mergeCell ref="F23:G23"/>
    <mergeCell ref="I3:I5"/>
    <mergeCell ref="D4:G4"/>
    <mergeCell ref="D5:G5"/>
    <mergeCell ref="A20:C20"/>
    <mergeCell ref="F20:G20"/>
    <mergeCell ref="H20:I20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A29:I29"/>
    <mergeCell ref="H24:I24"/>
    <mergeCell ref="A25:I25"/>
    <mergeCell ref="A26:I26"/>
    <mergeCell ref="A27:I27"/>
    <mergeCell ref="A28:I28"/>
    <mergeCell ref="H23:I23"/>
    <mergeCell ref="A24:C24"/>
    <mergeCell ref="F24:G24"/>
  </mergeCells>
  <pageMargins left="0.25" right="0.25" top="0.75" bottom="0.75" header="0.3" footer="0.3"/>
  <pageSetup scale="5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A37C-E78B-4652-9213-7D1A749C7A99}">
  <dimension ref="A1:Q91"/>
  <sheetViews>
    <sheetView topLeftCell="A7" workbookViewId="0">
      <selection activeCell="A15" sqref="A15"/>
    </sheetView>
  </sheetViews>
  <sheetFormatPr baseColWidth="10" defaultColWidth="8.42578125" defaultRowHeight="12.75" x14ac:dyDescent="0.25"/>
  <cols>
    <col min="1" max="1" width="10" style="106" bestFit="1" customWidth="1"/>
    <col min="2" max="2" width="44.28515625" style="106" bestFit="1" customWidth="1"/>
    <col min="3" max="3" width="10.42578125" style="106" bestFit="1" customWidth="1"/>
    <col min="4" max="4" width="10.42578125" style="106" customWidth="1"/>
    <col min="5" max="5" width="11" style="106" customWidth="1"/>
    <col min="6" max="6" width="9.5703125" style="106" bestFit="1" customWidth="1"/>
    <col min="7" max="7" width="10.85546875" style="188" customWidth="1"/>
    <col min="8" max="8" width="10.42578125" style="179" bestFit="1" customWidth="1"/>
    <col min="9" max="9" width="4.5703125" style="179" customWidth="1"/>
    <col min="10" max="10" width="1.85546875" style="105" customWidth="1"/>
    <col min="11" max="11" width="7" style="106" bestFit="1" customWidth="1"/>
    <col min="12" max="12" width="6.28515625" style="106" customWidth="1"/>
    <col min="13" max="13" width="20.42578125" style="106" customWidth="1"/>
    <col min="14" max="14" width="6.42578125" style="106" bestFit="1" customWidth="1"/>
    <col min="15" max="16" width="8.42578125" style="106"/>
    <col min="17" max="17" width="3.28515625" style="106" customWidth="1"/>
    <col min="18" max="16384" width="8.42578125" style="106"/>
  </cols>
  <sheetData>
    <row r="1" spans="1:10" ht="27.75" customHeight="1" x14ac:dyDescent="0.25">
      <c r="A1" s="101"/>
      <c r="B1" s="101"/>
      <c r="C1" s="101"/>
      <c r="D1" s="101"/>
      <c r="E1" s="102" t="s">
        <v>63</v>
      </c>
      <c r="F1" s="103" t="s">
        <v>64</v>
      </c>
      <c r="G1" s="103" t="s">
        <v>65</v>
      </c>
      <c r="H1" s="103" t="s">
        <v>66</v>
      </c>
      <c r="I1" s="104"/>
    </row>
    <row r="2" spans="1:10" ht="30.75" customHeight="1" x14ac:dyDescent="0.25">
      <c r="A2" s="101"/>
      <c r="B2" s="101"/>
      <c r="C2" s="101"/>
      <c r="D2" s="101"/>
      <c r="E2" s="107">
        <f>IFERROR(O62,"")</f>
        <v>27782.049999999996</v>
      </c>
      <c r="F2" s="107">
        <f>IFERROR(H53,"")</f>
        <v>25086.39</v>
      </c>
      <c r="G2" s="107">
        <f>IFERROR(H54,"")</f>
        <v>460.46000000000004</v>
      </c>
      <c r="H2" s="107">
        <f>IFERROR(H56,"")</f>
        <v>1075.69</v>
      </c>
      <c r="I2" s="108"/>
    </row>
    <row r="3" spans="1:10" ht="15" customHeight="1" x14ac:dyDescent="0.25">
      <c r="A3" s="101"/>
      <c r="B3" s="101"/>
      <c r="C3" s="101"/>
      <c r="D3" s="101"/>
      <c r="E3" s="101"/>
      <c r="F3" s="109"/>
      <c r="G3" s="109"/>
      <c r="H3" s="109"/>
      <c r="I3" s="109"/>
    </row>
    <row r="4" spans="1:10" ht="24.75" customHeight="1" thickBot="1" x14ac:dyDescent="0.3">
      <c r="A4" s="277"/>
      <c r="B4" s="277"/>
      <c r="C4" s="277"/>
      <c r="D4" s="277"/>
      <c r="E4" s="277"/>
      <c r="F4" s="277"/>
      <c r="G4" s="277"/>
      <c r="H4" s="277"/>
      <c r="I4" s="110"/>
    </row>
    <row r="5" spans="1:10" ht="19.5" customHeight="1" thickBot="1" x14ac:dyDescent="0.3">
      <c r="A5" s="278" t="s">
        <v>67</v>
      </c>
      <c r="B5" s="279"/>
      <c r="C5" s="279"/>
      <c r="D5" s="279"/>
      <c r="E5" s="279"/>
      <c r="F5" s="279"/>
      <c r="G5" s="279"/>
      <c r="H5" s="280"/>
      <c r="I5" s="111"/>
    </row>
    <row r="6" spans="1:10" ht="19.5" thickBot="1" x14ac:dyDescent="0.3">
      <c r="A6" s="111"/>
      <c r="B6" s="111"/>
      <c r="C6" s="111"/>
      <c r="D6" s="111"/>
      <c r="E6" s="111"/>
      <c r="F6" s="281" t="s">
        <v>68</v>
      </c>
      <c r="G6" s="281"/>
      <c r="H6" s="112">
        <f ca="1">TODAY()</f>
        <v>46083</v>
      </c>
      <c r="I6" s="112"/>
    </row>
    <row r="7" spans="1:10" ht="26.25" thickBot="1" x14ac:dyDescent="0.3">
      <c r="A7" s="113" t="s">
        <v>69</v>
      </c>
      <c r="B7" s="114" t="s">
        <v>70</v>
      </c>
      <c r="C7" s="114" t="s">
        <v>69</v>
      </c>
      <c r="D7" s="115" t="s">
        <v>71</v>
      </c>
      <c r="E7" s="115" t="s">
        <v>72</v>
      </c>
      <c r="F7" s="115" t="s">
        <v>73</v>
      </c>
      <c r="G7" s="115" t="s">
        <v>74</v>
      </c>
      <c r="H7" s="116" t="s">
        <v>75</v>
      </c>
      <c r="I7" s="117"/>
    </row>
    <row r="8" spans="1:10" ht="13.5" x14ac:dyDescent="0.25">
      <c r="A8" s="118">
        <v>105</v>
      </c>
      <c r="B8" s="106" t="s">
        <v>58</v>
      </c>
      <c r="C8" s="119">
        <f>+A8</f>
        <v>105</v>
      </c>
      <c r="D8" s="120" t="s">
        <v>115</v>
      </c>
      <c r="E8" s="120">
        <v>35</v>
      </c>
      <c r="F8" s="120">
        <f>IFERROR(C8*E8,"")</f>
        <v>3675</v>
      </c>
      <c r="G8" s="121">
        <f t="shared" ref="G8:G14" si="0">IFERROR(F8/$F$66,"")</f>
        <v>0.13902771799585906</v>
      </c>
      <c r="H8" s="122"/>
      <c r="I8" s="122"/>
      <c r="J8" s="123"/>
    </row>
    <row r="9" spans="1:10" ht="13.5" hidden="1" x14ac:dyDescent="0.25">
      <c r="A9" s="118"/>
      <c r="B9" s="106" t="str">
        <f>IFERROR(VLOOKUP(H9,'[1]Consolidado MP Planta'!$A$2:$M$823,3,0),"")</f>
        <v/>
      </c>
      <c r="C9" s="119">
        <f t="shared" ref="C9:C14" si="1">+A9</f>
        <v>0</v>
      </c>
      <c r="D9" s="120" t="str">
        <f>IFERROR(VLOOKUP(H9,'[1]Consolidado MP Planta'!$A$2:$M$823,13,0),"")</f>
        <v/>
      </c>
      <c r="E9" s="120" t="str">
        <f>IFERROR(VLOOKUP(H9,'[1]Consolidado MP Planta'!$A$2:$M$823,12,0),"")</f>
        <v/>
      </c>
      <c r="F9" s="120" t="str">
        <f t="shared" ref="F9:F14" si="2">IFERROR(C9*E9,"")</f>
        <v/>
      </c>
      <c r="G9" s="121" t="str">
        <f t="shared" si="0"/>
        <v/>
      </c>
      <c r="H9" s="122"/>
      <c r="I9" s="122"/>
      <c r="J9" s="123"/>
    </row>
    <row r="10" spans="1:10" ht="13.5" hidden="1" x14ac:dyDescent="0.25">
      <c r="A10" s="118"/>
      <c r="B10" s="106" t="str">
        <f>IFERROR(VLOOKUP(H10,'[1]Consolidado MP Planta'!$A$2:$M$823,3,0),"")</f>
        <v/>
      </c>
      <c r="C10" s="119">
        <f t="shared" si="1"/>
        <v>0</v>
      </c>
      <c r="D10" s="120" t="str">
        <f>IFERROR(VLOOKUP(H10,'[1]Consolidado MP Planta'!$A$2:$M$823,13,0),"")</f>
        <v/>
      </c>
      <c r="E10" s="120" t="str">
        <f>IFERROR(VLOOKUP(H10,'[1]Consolidado MP Planta'!$A$2:$M$823,12,0),"")</f>
        <v/>
      </c>
      <c r="F10" s="120" t="str">
        <f t="shared" si="2"/>
        <v/>
      </c>
      <c r="G10" s="121" t="str">
        <f t="shared" si="0"/>
        <v/>
      </c>
      <c r="H10" s="122"/>
      <c r="I10" s="122"/>
      <c r="J10" s="123"/>
    </row>
    <row r="11" spans="1:10" ht="13.5" hidden="1" x14ac:dyDescent="0.25">
      <c r="A11" s="118"/>
      <c r="B11" s="106" t="str">
        <f>IFERROR(VLOOKUP(H11,'[1]Consolidado MP Planta'!$A$2:$M$823,3,0),"")</f>
        <v/>
      </c>
      <c r="C11" s="119">
        <f t="shared" si="1"/>
        <v>0</v>
      </c>
      <c r="D11" s="120" t="str">
        <f>IFERROR(VLOOKUP(H11,'[1]Consolidado MP Planta'!$A$2:$M$823,13,0),"")</f>
        <v/>
      </c>
      <c r="E11" s="120" t="str">
        <f>IFERROR(VLOOKUP(H11,'[1]Consolidado MP Planta'!$A$2:$M$823,12,0),"")</f>
        <v/>
      </c>
      <c r="F11" s="120" t="str">
        <f t="shared" si="2"/>
        <v/>
      </c>
      <c r="G11" s="121" t="str">
        <f t="shared" si="0"/>
        <v/>
      </c>
      <c r="H11" s="122"/>
      <c r="I11" s="122"/>
      <c r="J11" s="123"/>
    </row>
    <row r="12" spans="1:10" ht="13.5" hidden="1" x14ac:dyDescent="0.25">
      <c r="A12" s="118"/>
      <c r="B12" s="106" t="str">
        <f>IFERROR(VLOOKUP(H12,'[1]Consolidado MP Planta'!$A$2:$M$823,3,0),"")</f>
        <v/>
      </c>
      <c r="C12" s="119">
        <f t="shared" si="1"/>
        <v>0</v>
      </c>
      <c r="D12" s="120" t="str">
        <f>IFERROR(VLOOKUP(H12,'[1]Consolidado MP Planta'!$A$2:$M$823,13,0),"")</f>
        <v/>
      </c>
      <c r="E12" s="120" t="str">
        <f>IFERROR(VLOOKUP(H12,'[1]Consolidado MP Planta'!$A$2:$M$823,12,0),"")</f>
        <v/>
      </c>
      <c r="F12" s="120" t="str">
        <f t="shared" si="2"/>
        <v/>
      </c>
      <c r="G12" s="121" t="str">
        <f t="shared" si="0"/>
        <v/>
      </c>
      <c r="H12" s="122"/>
      <c r="I12" s="122"/>
      <c r="J12" s="123"/>
    </row>
    <row r="13" spans="1:10" ht="13.5" hidden="1" x14ac:dyDescent="0.25">
      <c r="A13" s="118"/>
      <c r="B13" s="106" t="str">
        <f>IFERROR(VLOOKUP(H13,'[1]Consolidado MP Planta'!$A$2:$M$823,3,0),"")</f>
        <v/>
      </c>
      <c r="C13" s="119">
        <f t="shared" si="1"/>
        <v>0</v>
      </c>
      <c r="D13" s="120" t="str">
        <f>IFERROR(VLOOKUP(H13,'[1]Consolidado MP Planta'!$A$2:$M$823,13,0),"")</f>
        <v/>
      </c>
      <c r="E13" s="120" t="str">
        <f>IFERROR(VLOOKUP(H13,'[1]Consolidado MP Planta'!$A$2:$M$823,12,0),"")</f>
        <v/>
      </c>
      <c r="F13" s="120" t="str">
        <f t="shared" si="2"/>
        <v/>
      </c>
      <c r="G13" s="121" t="str">
        <f t="shared" si="0"/>
        <v/>
      </c>
      <c r="H13" s="122"/>
      <c r="I13" s="122"/>
      <c r="J13" s="123"/>
    </row>
    <row r="14" spans="1:10" ht="13.5" hidden="1" x14ac:dyDescent="0.25">
      <c r="A14" s="118"/>
      <c r="B14" s="106" t="str">
        <f>IFERROR(VLOOKUP(H14,'[1]Consolidado MP Planta'!$A$2:$M$823,3,0),"")</f>
        <v/>
      </c>
      <c r="C14" s="119">
        <f t="shared" si="1"/>
        <v>0</v>
      </c>
      <c r="D14" s="120" t="str">
        <f>IFERROR(VLOOKUP(H14,'[1]Consolidado MP Planta'!$A$2:$M$823,13,0),"")</f>
        <v/>
      </c>
      <c r="E14" s="120" t="str">
        <f>IFERROR(VLOOKUP(H14,'[1]Consolidado MP Planta'!$A$2:$M$823,12,0),"")</f>
        <v/>
      </c>
      <c r="F14" s="120" t="str">
        <f t="shared" si="2"/>
        <v/>
      </c>
      <c r="G14" s="121" t="str">
        <f t="shared" si="0"/>
        <v/>
      </c>
      <c r="H14" s="122"/>
      <c r="I14" s="122"/>
      <c r="J14" s="123"/>
    </row>
    <row r="15" spans="1:10" ht="14.25" thickBot="1" x14ac:dyDescent="0.3">
      <c r="A15" s="118"/>
      <c r="B15" s="106" t="str">
        <f>IFERROR(VLOOKUP(H15,[2]Hoja2!$A$2:$G$589,2,0),"")</f>
        <v/>
      </c>
      <c r="C15" s="119"/>
      <c r="D15" s="120"/>
      <c r="E15" s="120"/>
      <c r="F15" s="120"/>
      <c r="G15" s="121"/>
      <c r="H15" s="122"/>
      <c r="I15" s="122"/>
      <c r="J15" s="123"/>
    </row>
    <row r="16" spans="1:10" ht="26.25" thickBot="1" x14ac:dyDescent="0.3">
      <c r="A16" s="113" t="s">
        <v>69</v>
      </c>
      <c r="B16" s="114" t="s">
        <v>76</v>
      </c>
      <c r="C16" s="114" t="s">
        <v>69</v>
      </c>
      <c r="D16" s="115" t="s">
        <v>71</v>
      </c>
      <c r="E16" s="115" t="s">
        <v>72</v>
      </c>
      <c r="F16" s="115" t="s">
        <v>73</v>
      </c>
      <c r="G16" s="115" t="s">
        <v>74</v>
      </c>
      <c r="H16" s="116" t="s">
        <v>75</v>
      </c>
      <c r="I16" s="117"/>
      <c r="J16" s="123"/>
    </row>
    <row r="17" spans="1:12" ht="13.5" x14ac:dyDescent="0.25">
      <c r="A17" s="118">
        <v>23023</v>
      </c>
      <c r="B17" s="106" t="s">
        <v>42</v>
      </c>
      <c r="C17" s="119">
        <f>+A17</f>
        <v>23023</v>
      </c>
      <c r="D17" s="119" t="s">
        <v>115</v>
      </c>
      <c r="E17" s="120">
        <v>0.93</v>
      </c>
      <c r="F17" s="120">
        <f>IFERROR(E17*C17,"")</f>
        <v>21411.39</v>
      </c>
      <c r="G17" s="121">
        <f t="shared" ref="G17:G24" si="3">IFERROR(F17/$F$66,"")</f>
        <v>0.81000726280798807</v>
      </c>
      <c r="H17" s="122" t="s">
        <v>41</v>
      </c>
      <c r="I17" s="122"/>
      <c r="J17" s="123"/>
    </row>
    <row r="18" spans="1:12" ht="13.5" hidden="1" x14ac:dyDescent="0.25">
      <c r="A18" s="118"/>
      <c r="B18" s="106" t="str">
        <f>IFERROR(VLOOKUP(H18,[1]SEMIELABORADOS!$A$2:$M$6000,2,0),"")</f>
        <v/>
      </c>
      <c r="C18" s="119">
        <f t="shared" ref="C18:C24" si="4">+A18</f>
        <v>0</v>
      </c>
      <c r="D18" s="119" t="str">
        <f>IFERROR(VLOOKUP(H18,[1]SEMIELABORADOS!$A$2:$M$6000,6,0),"")</f>
        <v/>
      </c>
      <c r="E18" s="120" t="str">
        <f>IFERROR(VLOOKUP(H18,[1]SEMIELABORADOS!$A$2:$H$65536,8,0),"")</f>
        <v/>
      </c>
      <c r="F18" s="120" t="str">
        <f t="shared" ref="F18:F24" si="5">IFERROR(E18*C18,"")</f>
        <v/>
      </c>
      <c r="G18" s="121" t="str">
        <f t="shared" si="3"/>
        <v/>
      </c>
      <c r="H18" s="122"/>
      <c r="I18" s="122"/>
      <c r="J18" s="123"/>
    </row>
    <row r="19" spans="1:12" ht="13.5" hidden="1" x14ac:dyDescent="0.25">
      <c r="A19" s="118"/>
      <c r="B19" s="106" t="str">
        <f>IFERROR(VLOOKUP(H19,[1]SEMIELABORADOS!$A$2:$M$6000,2,0),"")</f>
        <v/>
      </c>
      <c r="C19" s="119">
        <f>+A19</f>
        <v>0</v>
      </c>
      <c r="D19" s="119" t="str">
        <f>IFERROR(VLOOKUP(H19,[1]SEMIELABORADOS!$A$2:$M$6000,6,0),"")</f>
        <v/>
      </c>
      <c r="E19" s="120" t="str">
        <f>IFERROR(VLOOKUP(H19,[1]SEMIELABORADOS!$A$2:$H$65536,8,0),"")</f>
        <v/>
      </c>
      <c r="F19" s="120" t="str">
        <f>IFERROR(E19*C19,"")</f>
        <v/>
      </c>
      <c r="G19" s="121" t="str">
        <f t="shared" si="3"/>
        <v/>
      </c>
      <c r="H19" s="122"/>
      <c r="I19" s="122"/>
      <c r="J19" s="123"/>
    </row>
    <row r="20" spans="1:12" ht="13.5" hidden="1" x14ac:dyDescent="0.25">
      <c r="A20" s="118"/>
      <c r="B20" s="106" t="str">
        <f>IFERROR(VLOOKUP(H20,[1]SEMIELABORADOS!$A$2:$M$6000,2,0),"")</f>
        <v/>
      </c>
      <c r="C20" s="119">
        <f>+A20</f>
        <v>0</v>
      </c>
      <c r="D20" s="119" t="str">
        <f>IFERROR(VLOOKUP(H20,[1]SEMIELABORADOS!$A$2:$M$6000,6,0),"")</f>
        <v/>
      </c>
      <c r="E20" s="120" t="str">
        <f>IFERROR(VLOOKUP(H20,[1]SEMIELABORADOS!$A$2:$H$65536,8,0),"")</f>
        <v/>
      </c>
      <c r="F20" s="120" t="str">
        <f>IFERROR(E20*C20,"")</f>
        <v/>
      </c>
      <c r="G20" s="121" t="str">
        <f t="shared" si="3"/>
        <v/>
      </c>
      <c r="H20" s="122"/>
      <c r="I20" s="122"/>
      <c r="J20" s="123"/>
    </row>
    <row r="21" spans="1:12" ht="13.5" hidden="1" x14ac:dyDescent="0.25">
      <c r="A21" s="118"/>
      <c r="B21" s="106" t="str">
        <f>IFERROR(VLOOKUP(H21,[1]SEMIELABORADOS!$A$2:$M$6000,2,0),"")</f>
        <v/>
      </c>
      <c r="C21" s="119">
        <f>+A21</f>
        <v>0</v>
      </c>
      <c r="D21" s="119" t="str">
        <f>IFERROR(VLOOKUP(H21,[1]SEMIELABORADOS!$A$2:$M$6000,6,0),"")</f>
        <v/>
      </c>
      <c r="E21" s="120" t="str">
        <f>IFERROR(VLOOKUP(H21,[1]SEMIELABORADOS!$A$2:$H$65536,8,0),"")</f>
        <v/>
      </c>
      <c r="F21" s="120" t="str">
        <f>IFERROR(E21*C21,"")</f>
        <v/>
      </c>
      <c r="G21" s="121" t="str">
        <f t="shared" si="3"/>
        <v/>
      </c>
      <c r="H21" s="122"/>
      <c r="I21" s="122"/>
      <c r="J21" s="123"/>
    </row>
    <row r="22" spans="1:12" ht="13.5" hidden="1" x14ac:dyDescent="0.25">
      <c r="A22" s="118"/>
      <c r="B22" s="106" t="str">
        <f>IFERROR(VLOOKUP(H22,[1]SEMIELABORADOS!$A$2:$M$6000,2,0),"")</f>
        <v/>
      </c>
      <c r="C22" s="119">
        <f t="shared" si="4"/>
        <v>0</v>
      </c>
      <c r="D22" s="119" t="str">
        <f>IFERROR(VLOOKUP(H22,[1]SEMIELABORADOS!$A$2:$M$6000,6,0),"")</f>
        <v/>
      </c>
      <c r="E22" s="120" t="str">
        <f>IFERROR(VLOOKUP(H22,[1]SEMIELABORADOS!$A$2:$H$65536,8,0),"")</f>
        <v/>
      </c>
      <c r="F22" s="120" t="str">
        <f t="shared" si="5"/>
        <v/>
      </c>
      <c r="G22" s="121" t="str">
        <f t="shared" si="3"/>
        <v/>
      </c>
      <c r="H22" s="122"/>
      <c r="I22" s="122"/>
      <c r="J22" s="123"/>
    </row>
    <row r="23" spans="1:12" ht="13.5" hidden="1" x14ac:dyDescent="0.25">
      <c r="A23" s="118"/>
      <c r="B23" s="106" t="str">
        <f>IFERROR(VLOOKUP(H23,[1]SEMIELABORADOS!$A$2:$M$6000,2,0),"")</f>
        <v/>
      </c>
      <c r="C23" s="119">
        <f t="shared" si="4"/>
        <v>0</v>
      </c>
      <c r="D23" s="119" t="str">
        <f>IFERROR(VLOOKUP(H23,[1]SEMIELABORADOS!$A$2:$M$6000,6,0),"")</f>
        <v/>
      </c>
      <c r="E23" s="120" t="str">
        <f>IFERROR(VLOOKUP(H23,[1]SEMIELABORADOS!$A$2:$H$65536,8,0),"")</f>
        <v/>
      </c>
      <c r="F23" s="120" t="str">
        <f t="shared" si="5"/>
        <v/>
      </c>
      <c r="G23" s="121" t="str">
        <f t="shared" si="3"/>
        <v/>
      </c>
      <c r="H23" s="122"/>
      <c r="I23" s="122"/>
      <c r="J23" s="123"/>
    </row>
    <row r="24" spans="1:12" ht="13.5" hidden="1" x14ac:dyDescent="0.25">
      <c r="A24" s="118"/>
      <c r="B24" s="106" t="str">
        <f>IFERROR(VLOOKUP(H24,[1]SEMIELABORADOS!$A$2:$M$6000,2,0),"")</f>
        <v/>
      </c>
      <c r="C24" s="119">
        <f t="shared" si="4"/>
        <v>0</v>
      </c>
      <c r="D24" s="119" t="str">
        <f>IFERROR(VLOOKUP(H24,[1]SEMIELABORADOS!$A$2:$M$6000,6,0),"")</f>
        <v/>
      </c>
      <c r="E24" s="120" t="str">
        <f>IFERROR(VLOOKUP(H24,[1]SEMIELABORADOS!$A$2:$H$65536,8,0),"")</f>
        <v/>
      </c>
      <c r="F24" s="120" t="str">
        <f t="shared" si="5"/>
        <v/>
      </c>
      <c r="G24" s="121" t="str">
        <f t="shared" si="3"/>
        <v/>
      </c>
      <c r="H24" s="122"/>
      <c r="I24" s="122"/>
      <c r="J24" s="123"/>
    </row>
    <row r="25" spans="1:12" ht="14.25" thickBot="1" x14ac:dyDescent="0.3">
      <c r="A25" s="118"/>
      <c r="C25" s="119"/>
      <c r="D25" s="119"/>
      <c r="E25" s="120"/>
      <c r="F25" s="120"/>
      <c r="G25" s="121"/>
      <c r="H25" s="122"/>
      <c r="I25" s="122"/>
      <c r="J25" s="123"/>
    </row>
    <row r="26" spans="1:12" ht="26.25" hidden="1" thickBot="1" x14ac:dyDescent="0.3">
      <c r="A26" s="113" t="s">
        <v>69</v>
      </c>
      <c r="B26" s="114" t="s">
        <v>77</v>
      </c>
      <c r="C26" s="114" t="s">
        <v>69</v>
      </c>
      <c r="D26" s="115" t="s">
        <v>71</v>
      </c>
      <c r="E26" s="115" t="s">
        <v>72</v>
      </c>
      <c r="F26" s="115" t="s">
        <v>73</v>
      </c>
      <c r="G26" s="115" t="s">
        <v>74</v>
      </c>
      <c r="H26" s="116" t="s">
        <v>75</v>
      </c>
      <c r="I26" s="117"/>
    </row>
    <row r="27" spans="1:12" ht="13.5" hidden="1" x14ac:dyDescent="0.25">
      <c r="A27" s="118">
        <v>0</v>
      </c>
      <c r="B27" s="124" t="str">
        <f>IFERROR(VLOOKUP(H27,'[1]Consolidado MP Planta'!$A$2:$M$823,3,0),"")</f>
        <v/>
      </c>
      <c r="C27" s="119">
        <f t="shared" ref="C27:C32" si="6">+A27</f>
        <v>0</v>
      </c>
      <c r="D27" s="120" t="str">
        <f>IFERROR(VLOOKUP(H27,'[1]Consolidado MP Planta'!$A$2:$M$823,13,0),"")</f>
        <v/>
      </c>
      <c r="E27" s="120" t="str">
        <f>IFERROR(VLOOKUP(H27,'[1]Consolidado MP Planta'!$A$2:$M$823,12,0),"")</f>
        <v/>
      </c>
      <c r="F27" s="120" t="str">
        <f t="shared" ref="F27:F32" si="7">IFERROR(C27*E27,"")</f>
        <v/>
      </c>
      <c r="G27" s="121" t="str">
        <f t="shared" ref="G27:G32" si="8">IFERROR(F27/$F$66,"")</f>
        <v/>
      </c>
      <c r="H27" s="125"/>
      <c r="I27" s="125"/>
      <c r="J27" s="123"/>
      <c r="K27" s="270"/>
      <c r="L27" s="270"/>
    </row>
    <row r="28" spans="1:12" ht="13.5" hidden="1" x14ac:dyDescent="0.25">
      <c r="A28" s="118"/>
      <c r="B28" s="124" t="str">
        <f>IFERROR(VLOOKUP(H28,'[1]Consolidado MP Planta'!$A$2:$M$823,3,0),"")</f>
        <v/>
      </c>
      <c r="C28" s="119">
        <f t="shared" si="6"/>
        <v>0</v>
      </c>
      <c r="D28" s="120" t="str">
        <f>IFERROR(VLOOKUP(H28,'[1]Consolidado MP Planta'!$A$2:$M$823,13,0),"")</f>
        <v/>
      </c>
      <c r="E28" s="120" t="str">
        <f>IFERROR(VLOOKUP(H28,'[1]Consolidado MP Planta'!$A$2:$M$823,12,0),"")</f>
        <v/>
      </c>
      <c r="F28" s="120" t="str">
        <f t="shared" si="7"/>
        <v/>
      </c>
      <c r="G28" s="121" t="str">
        <f t="shared" si="8"/>
        <v/>
      </c>
      <c r="H28" s="125"/>
      <c r="I28" s="125"/>
      <c r="J28" s="123"/>
      <c r="K28" s="270"/>
      <c r="L28" s="270"/>
    </row>
    <row r="29" spans="1:12" ht="13.5" hidden="1" x14ac:dyDescent="0.25">
      <c r="A29" s="118"/>
      <c r="B29" s="124" t="str">
        <f>IFERROR(VLOOKUP(H29,'[1]Consolidado MP Planta'!$A$2:$M$823,3,0),"")</f>
        <v/>
      </c>
      <c r="C29" s="119">
        <f t="shared" si="6"/>
        <v>0</v>
      </c>
      <c r="D29" s="120" t="str">
        <f>IFERROR(VLOOKUP(H29,'[1]Consolidado MP Planta'!$A$2:$M$823,13,0),"")</f>
        <v/>
      </c>
      <c r="E29" s="120" t="str">
        <f>IFERROR(VLOOKUP(H29,'[1]Consolidado MP Planta'!$A$2:$M$823,12,0),"")</f>
        <v/>
      </c>
      <c r="F29" s="120" t="str">
        <f t="shared" si="7"/>
        <v/>
      </c>
      <c r="G29" s="121" t="str">
        <f t="shared" si="8"/>
        <v/>
      </c>
      <c r="H29" s="125"/>
      <c r="I29" s="125"/>
      <c r="J29" s="123"/>
      <c r="K29" s="270"/>
      <c r="L29" s="270"/>
    </row>
    <row r="30" spans="1:12" ht="13.5" hidden="1" x14ac:dyDescent="0.25">
      <c r="A30" s="118"/>
      <c r="B30" s="124" t="str">
        <f>IFERROR(VLOOKUP(H30,'[1]Consolidado MP Planta'!$A$2:$M$823,3,0),"")</f>
        <v/>
      </c>
      <c r="C30" s="119">
        <f t="shared" si="6"/>
        <v>0</v>
      </c>
      <c r="D30" s="120" t="str">
        <f>IFERROR(VLOOKUP(H30,'[1]Consolidado MP Planta'!$A$2:$M$823,13,0),"")</f>
        <v/>
      </c>
      <c r="E30" s="120" t="str">
        <f>IFERROR(VLOOKUP(H30,'[1]Consolidado MP Planta'!$A$2:$M$823,12,0),"")</f>
        <v/>
      </c>
      <c r="F30" s="120" t="str">
        <f t="shared" si="7"/>
        <v/>
      </c>
      <c r="G30" s="121" t="str">
        <f t="shared" si="8"/>
        <v/>
      </c>
      <c r="H30" s="125"/>
      <c r="I30" s="125"/>
      <c r="J30" s="123"/>
      <c r="K30" s="270"/>
      <c r="L30" s="270"/>
    </row>
    <row r="31" spans="1:12" ht="13.5" hidden="1" x14ac:dyDescent="0.25">
      <c r="A31" s="118"/>
      <c r="B31" s="124" t="str">
        <f>IFERROR(VLOOKUP(H31,'[1]Consolidado MP Planta'!$A$2:$M$823,3,0),"")</f>
        <v/>
      </c>
      <c r="C31" s="119">
        <f t="shared" si="6"/>
        <v>0</v>
      </c>
      <c r="D31" s="120" t="str">
        <f>IFERROR(VLOOKUP(H31,'[1]Consolidado MP Planta'!$A$2:$M$823,13,0),"")</f>
        <v/>
      </c>
      <c r="E31" s="120" t="str">
        <f>IFERROR(VLOOKUP(H31,'[1]Consolidado MP Planta'!$A$2:$M$823,12,0),"")</f>
        <v/>
      </c>
      <c r="F31" s="120" t="str">
        <f t="shared" si="7"/>
        <v/>
      </c>
      <c r="G31" s="121" t="str">
        <f t="shared" si="8"/>
        <v/>
      </c>
      <c r="H31" s="125"/>
      <c r="I31" s="125"/>
      <c r="J31" s="123"/>
      <c r="K31" s="126"/>
      <c r="L31" s="127"/>
    </row>
    <row r="32" spans="1:12" ht="13.5" hidden="1" x14ac:dyDescent="0.25">
      <c r="A32" s="118"/>
      <c r="B32" s="124" t="str">
        <f>IFERROR(VLOOKUP(H32,'[1]Consolidado MP Planta'!$A$2:$M$823,3,0),"")</f>
        <v/>
      </c>
      <c r="C32" s="119">
        <f t="shared" si="6"/>
        <v>0</v>
      </c>
      <c r="D32" s="120" t="str">
        <f>IFERROR(VLOOKUP(H32,'[1]Consolidado MP Planta'!$A$2:$M$823,13,0),"")</f>
        <v/>
      </c>
      <c r="E32" s="120" t="str">
        <f>IFERROR(VLOOKUP(H32,'[1]Consolidado MP Planta'!$A$2:$M$823,12,0),"")</f>
        <v/>
      </c>
      <c r="F32" s="120" t="str">
        <f t="shared" si="7"/>
        <v/>
      </c>
      <c r="G32" s="121" t="str">
        <f t="shared" si="8"/>
        <v/>
      </c>
      <c r="H32" s="125"/>
      <c r="I32" s="125"/>
      <c r="J32" s="123"/>
    </row>
    <row r="33" spans="1:13" ht="14.25" hidden="1" thickBot="1" x14ac:dyDescent="0.3">
      <c r="A33" s="118"/>
      <c r="B33" s="124"/>
      <c r="C33" s="119"/>
      <c r="D33" s="120"/>
      <c r="E33" s="120"/>
      <c r="F33" s="120"/>
      <c r="G33" s="121"/>
      <c r="H33" s="125"/>
      <c r="I33" s="125"/>
      <c r="J33" s="123"/>
    </row>
    <row r="34" spans="1:13" ht="26.25" thickBot="1" x14ac:dyDescent="0.25">
      <c r="A34" s="113" t="s">
        <v>69</v>
      </c>
      <c r="B34" s="114" t="s">
        <v>78</v>
      </c>
      <c r="C34" s="114" t="s">
        <v>69</v>
      </c>
      <c r="D34" s="115" t="s">
        <v>71</v>
      </c>
      <c r="E34" s="115" t="s">
        <v>72</v>
      </c>
      <c r="F34" s="115" t="s">
        <v>73</v>
      </c>
      <c r="G34" s="115" t="s">
        <v>74</v>
      </c>
      <c r="H34" s="116" t="s">
        <v>75</v>
      </c>
      <c r="I34" s="125"/>
      <c r="J34" s="123"/>
    </row>
    <row r="35" spans="1:13" ht="13.5" x14ac:dyDescent="0.25">
      <c r="A35" s="118">
        <f>+A17</f>
        <v>23023</v>
      </c>
      <c r="B35" s="124" t="s">
        <v>42</v>
      </c>
      <c r="C35" s="119">
        <f>+A35</f>
        <v>23023</v>
      </c>
      <c r="D35" s="120" t="s">
        <v>115</v>
      </c>
      <c r="E35" s="120">
        <v>0.02</v>
      </c>
      <c r="F35" s="120">
        <f>IFERROR(E35*C35,"")</f>
        <v>460.46000000000004</v>
      </c>
      <c r="G35" s="121">
        <f t="shared" ref="G35:G41" si="9">IFERROR(F35/$F$66,"")</f>
        <v>1.7419511028128779E-2</v>
      </c>
      <c r="H35" s="125" t="s">
        <v>41</v>
      </c>
      <c r="I35" s="125"/>
      <c r="J35" s="123"/>
    </row>
    <row r="36" spans="1:13" ht="13.5" hidden="1" x14ac:dyDescent="0.25">
      <c r="A36" s="118">
        <f t="shared" ref="A36:A41" si="10">+A18</f>
        <v>0</v>
      </c>
      <c r="B36" s="124" t="str">
        <f>IFERROR(VLOOKUP(H36,[1]SEMIELABORADOS!$A$2:$M$6000,2,0),"")</f>
        <v/>
      </c>
      <c r="C36" s="119">
        <f t="shared" ref="C36:C41" si="11">+A36</f>
        <v>0</v>
      </c>
      <c r="D36" s="120" t="str">
        <f>IFERROR(VLOOKUP(H36,[1]SEMIELABORADOS!$A$2:$M$6000,6,0),"")</f>
        <v/>
      </c>
      <c r="E36" s="120" t="str">
        <f>IFERROR(VLOOKUP(H36,[1]SEMIELABORADOS!$A$2:$M$65536,10,0),"")</f>
        <v/>
      </c>
      <c r="F36" s="120" t="str">
        <f t="shared" ref="F36:F41" si="12">IFERROR(E36*C36,"")</f>
        <v/>
      </c>
      <c r="G36" s="121" t="str">
        <f t="shared" si="9"/>
        <v/>
      </c>
      <c r="H36" s="125"/>
      <c r="I36" s="125"/>
      <c r="J36" s="123"/>
    </row>
    <row r="37" spans="1:13" ht="13.5" hidden="1" x14ac:dyDescent="0.25">
      <c r="A37" s="118">
        <f t="shared" si="10"/>
        <v>0</v>
      </c>
      <c r="B37" s="124" t="str">
        <f>IFERROR(VLOOKUP(H37,[1]SEMIELABORADOS!$A$2:$M$6000,2,0),"")</f>
        <v/>
      </c>
      <c r="C37" s="119">
        <f t="shared" si="11"/>
        <v>0</v>
      </c>
      <c r="D37" s="120" t="str">
        <f>IFERROR(VLOOKUP(H37,[1]SEMIELABORADOS!$A$2:$M$6000,6,0),"")</f>
        <v/>
      </c>
      <c r="E37" s="120" t="str">
        <f>IFERROR(VLOOKUP(H37,[1]SEMIELABORADOS!$A$2:$M$65536,10,0),"")</f>
        <v/>
      </c>
      <c r="F37" s="120" t="str">
        <f t="shared" si="12"/>
        <v/>
      </c>
      <c r="G37" s="121" t="str">
        <f t="shared" si="9"/>
        <v/>
      </c>
      <c r="H37" s="125"/>
      <c r="I37" s="125"/>
      <c r="J37" s="123"/>
    </row>
    <row r="38" spans="1:13" ht="13.5" hidden="1" x14ac:dyDescent="0.25">
      <c r="A38" s="118">
        <f t="shared" si="10"/>
        <v>0</v>
      </c>
      <c r="B38" s="124" t="str">
        <f>IFERROR(VLOOKUP(H38,[1]SEMIELABORADOS!$A$2:$M$6000,2,0),"")</f>
        <v/>
      </c>
      <c r="C38" s="119">
        <f>+A38</f>
        <v>0</v>
      </c>
      <c r="D38" s="120" t="str">
        <f>IFERROR(VLOOKUP(H38,[1]SEMIELABORADOS!$A$2:$M$6000,6,0),"")</f>
        <v/>
      </c>
      <c r="E38" s="120" t="str">
        <f>IFERROR(VLOOKUP(H38,[1]SEMIELABORADOS!$A$2:$M$65536,10,0),"")</f>
        <v/>
      </c>
      <c r="F38" s="120" t="str">
        <f>IFERROR(E38*C38,"")</f>
        <v/>
      </c>
      <c r="G38" s="121" t="str">
        <f t="shared" si="9"/>
        <v/>
      </c>
      <c r="H38" s="125"/>
      <c r="I38" s="125"/>
      <c r="J38" s="123"/>
    </row>
    <row r="39" spans="1:13" ht="13.5" hidden="1" x14ac:dyDescent="0.25">
      <c r="A39" s="118">
        <f t="shared" si="10"/>
        <v>0</v>
      </c>
      <c r="B39" s="124" t="str">
        <f>IFERROR(VLOOKUP(H39,[1]SEMIELABORADOS!$A$2:$M$6000,2,0),"")</f>
        <v/>
      </c>
      <c r="C39" s="119">
        <f>+A39</f>
        <v>0</v>
      </c>
      <c r="D39" s="120" t="str">
        <f>IFERROR(VLOOKUP(H39,[1]SEMIELABORADOS!$A$2:$M$6000,6,0),"")</f>
        <v/>
      </c>
      <c r="E39" s="120" t="str">
        <f>IFERROR(VLOOKUP(H39,[1]SEMIELABORADOS!$A$2:$M$65536,10,0),"")</f>
        <v/>
      </c>
      <c r="F39" s="120" t="str">
        <f>IFERROR(E39*C39,"")</f>
        <v/>
      </c>
      <c r="G39" s="121" t="str">
        <f t="shared" si="9"/>
        <v/>
      </c>
      <c r="H39" s="125"/>
      <c r="I39" s="125"/>
      <c r="J39" s="123"/>
    </row>
    <row r="40" spans="1:13" ht="13.5" hidden="1" x14ac:dyDescent="0.25">
      <c r="A40" s="118">
        <f t="shared" si="10"/>
        <v>0</v>
      </c>
      <c r="B40" s="124" t="str">
        <f>IFERROR(VLOOKUP(H40,[1]SEMIELABORADOS!$A$2:$M$6000,2,0),"")</f>
        <v/>
      </c>
      <c r="C40" s="119">
        <f t="shared" si="11"/>
        <v>0</v>
      </c>
      <c r="D40" s="120" t="str">
        <f>IFERROR(VLOOKUP(H40,[1]SEMIELABORADOS!$A$2:$M$6000,6,0),"")</f>
        <v/>
      </c>
      <c r="E40" s="120" t="str">
        <f>IFERROR(VLOOKUP(H40,[1]SEMIELABORADOS!$A$2:$M$65536,10,0),"")</f>
        <v/>
      </c>
      <c r="F40" s="120" t="str">
        <f t="shared" si="12"/>
        <v/>
      </c>
      <c r="G40" s="121" t="str">
        <f t="shared" si="9"/>
        <v/>
      </c>
      <c r="H40" s="125"/>
      <c r="I40" s="125"/>
      <c r="J40" s="123"/>
    </row>
    <row r="41" spans="1:13" ht="13.5" hidden="1" x14ac:dyDescent="0.25">
      <c r="A41" s="118">
        <f t="shared" si="10"/>
        <v>0</v>
      </c>
      <c r="B41" s="124" t="str">
        <f>IFERROR(VLOOKUP(H41,[1]SEMIELABORADOS!$A$2:$M$6000,2,0),"")</f>
        <v/>
      </c>
      <c r="C41" s="119">
        <f t="shared" si="11"/>
        <v>0</v>
      </c>
      <c r="D41" s="120" t="str">
        <f>IFERROR(VLOOKUP(H41,[1]SEMIELABORADOS!$A$2:$M$6000,6,0),"")</f>
        <v/>
      </c>
      <c r="E41" s="120" t="str">
        <f>IFERROR(VLOOKUP(H41,[1]SEMIELABORADOS!$A$2:$M$65536,10,0),"")</f>
        <v/>
      </c>
      <c r="F41" s="120" t="str">
        <f t="shared" si="12"/>
        <v/>
      </c>
      <c r="G41" s="121" t="str">
        <f t="shared" si="9"/>
        <v/>
      </c>
      <c r="H41" s="125"/>
      <c r="I41" s="125"/>
      <c r="J41" s="123"/>
    </row>
    <row r="42" spans="1:13" ht="14.25" thickBot="1" x14ac:dyDescent="0.3">
      <c r="A42" s="118"/>
      <c r="B42" s="124"/>
      <c r="C42" s="119"/>
      <c r="D42" s="120"/>
      <c r="E42" s="120"/>
      <c r="F42" s="120"/>
      <c r="G42" s="121"/>
      <c r="H42" s="125"/>
      <c r="I42" s="125"/>
      <c r="J42" s="123"/>
    </row>
    <row r="43" spans="1:13" ht="26.25" thickBot="1" x14ac:dyDescent="0.3">
      <c r="A43" s="113" t="s">
        <v>69</v>
      </c>
      <c r="B43" s="114" t="s">
        <v>79</v>
      </c>
      <c r="C43" s="114" t="s">
        <v>69</v>
      </c>
      <c r="D43" s="115" t="s">
        <v>71</v>
      </c>
      <c r="E43" s="115" t="s">
        <v>72</v>
      </c>
      <c r="F43" s="115" t="s">
        <v>73</v>
      </c>
      <c r="G43" s="115" t="s">
        <v>74</v>
      </c>
      <c r="H43" s="116" t="s">
        <v>75</v>
      </c>
      <c r="I43" s="117"/>
      <c r="J43" s="123"/>
    </row>
    <row r="44" spans="1:13" ht="13.5" x14ac:dyDescent="0.25">
      <c r="A44" s="118">
        <f>+A35</f>
        <v>23023</v>
      </c>
      <c r="B44" s="124" t="s">
        <v>42</v>
      </c>
      <c r="C44" s="119">
        <f>+A44</f>
        <v>23023</v>
      </c>
      <c r="D44" s="120" t="s">
        <v>115</v>
      </c>
      <c r="E44" s="120">
        <v>0.03</v>
      </c>
      <c r="F44" s="120">
        <f>IFERROR(E44*C44,"")</f>
        <v>690.68999999999994</v>
      </c>
      <c r="G44" s="121">
        <f>IFERROR(F44/$F$66,"")</f>
        <v>2.6129266542193164E-2</v>
      </c>
      <c r="H44" s="125" t="s">
        <v>41</v>
      </c>
      <c r="I44" s="117"/>
      <c r="J44" s="123"/>
    </row>
    <row r="45" spans="1:13" ht="13.5" hidden="1" x14ac:dyDescent="0.25">
      <c r="A45" s="118">
        <f t="shared" ref="A45:A50" si="13">+A36</f>
        <v>0</v>
      </c>
      <c r="B45" s="124" t="str">
        <f>IFERROR(VLOOKUP(H45,[1]SEMIELABORADOS!$A$2:$M$6000,2,0),"")</f>
        <v/>
      </c>
      <c r="C45" s="119">
        <f t="shared" ref="C45:C50" si="14">+A45</f>
        <v>0</v>
      </c>
      <c r="D45" s="120" t="str">
        <f>IFERROR(VLOOKUP(H45,[1]SEMIELABORADOS!$A$2:$M$6000,6,0),"")</f>
        <v/>
      </c>
      <c r="E45" s="120" t="str">
        <f>IFERROR(VLOOKUP(H45,[1]SEMIELABORADOS!$A$2:$M$65536,12,0),"")</f>
        <v/>
      </c>
      <c r="F45" s="120" t="str">
        <f t="shared" ref="F45:F50" si="15">IFERROR(E45*C45,"")</f>
        <v/>
      </c>
      <c r="G45" s="121" t="str">
        <f t="shared" ref="G45:G50" si="16">IFERROR(F45/$F$66,"")</f>
        <v/>
      </c>
      <c r="H45" s="125"/>
      <c r="I45" s="117"/>
      <c r="J45" s="123"/>
      <c r="M45" s="128"/>
    </row>
    <row r="46" spans="1:13" ht="13.5" hidden="1" x14ac:dyDescent="0.25">
      <c r="A46" s="118">
        <f t="shared" si="13"/>
        <v>0</v>
      </c>
      <c r="B46" s="124" t="str">
        <f>IFERROR(VLOOKUP(H46,[1]SEMIELABORADOS!$A$2:$M$6000,2,0),"")</f>
        <v/>
      </c>
      <c r="C46" s="119">
        <f t="shared" si="14"/>
        <v>0</v>
      </c>
      <c r="D46" s="120" t="str">
        <f>IFERROR(VLOOKUP(H46,[1]SEMIELABORADOS!$A$2:$M$6000,6,0),"")</f>
        <v/>
      </c>
      <c r="E46" s="120" t="str">
        <f>IFERROR(VLOOKUP(H46,[1]SEMIELABORADOS!$A$2:$M$65536,12,0),"")</f>
        <v/>
      </c>
      <c r="F46" s="120" t="str">
        <f t="shared" si="15"/>
        <v/>
      </c>
      <c r="G46" s="121" t="str">
        <f t="shared" si="16"/>
        <v/>
      </c>
      <c r="H46" s="125"/>
      <c r="I46" s="117"/>
      <c r="J46" s="123"/>
    </row>
    <row r="47" spans="1:13" ht="13.5" hidden="1" x14ac:dyDescent="0.25">
      <c r="A47" s="118">
        <f t="shared" si="13"/>
        <v>0</v>
      </c>
      <c r="B47" s="124" t="str">
        <f>IFERROR(VLOOKUP(H47,[1]SEMIELABORADOS!$A$2:$M$6000,2,0),"")</f>
        <v/>
      </c>
      <c r="C47" s="119">
        <f t="shared" si="14"/>
        <v>0</v>
      </c>
      <c r="D47" s="120" t="str">
        <f>IFERROR(VLOOKUP(H47,[1]SEMIELABORADOS!$A$2:$M$6000,6,0),"")</f>
        <v/>
      </c>
      <c r="E47" s="120" t="str">
        <f>IFERROR(VLOOKUP(H47,[1]SEMIELABORADOS!$A$2:$M$65536,12,0),"")</f>
        <v/>
      </c>
      <c r="F47" s="120" t="str">
        <f t="shared" si="15"/>
        <v/>
      </c>
      <c r="G47" s="121" t="str">
        <f t="shared" si="16"/>
        <v/>
      </c>
      <c r="H47" s="125"/>
      <c r="I47" s="117"/>
      <c r="J47" s="123"/>
    </row>
    <row r="48" spans="1:13" ht="13.5" hidden="1" x14ac:dyDescent="0.25">
      <c r="A48" s="118">
        <f t="shared" si="13"/>
        <v>0</v>
      </c>
      <c r="B48" s="124" t="str">
        <f>IFERROR(VLOOKUP(H48,[1]SEMIELABORADOS!$A$2:$M$6000,2,0),"")</f>
        <v/>
      </c>
      <c r="C48" s="119">
        <f t="shared" si="14"/>
        <v>0</v>
      </c>
      <c r="D48" s="120" t="str">
        <f>IFERROR(VLOOKUP(H48,[1]SEMIELABORADOS!$A$2:$M$6000,6,0),"")</f>
        <v/>
      </c>
      <c r="E48" s="120" t="str">
        <f>IFERROR(VLOOKUP(H48,[1]SEMIELABORADOS!$A$2:$M$65536,12,0),"")</f>
        <v/>
      </c>
      <c r="F48" s="120" t="str">
        <f t="shared" si="15"/>
        <v/>
      </c>
      <c r="G48" s="121" t="str">
        <f t="shared" si="16"/>
        <v/>
      </c>
      <c r="H48" s="125"/>
      <c r="I48" s="117"/>
      <c r="J48" s="123"/>
    </row>
    <row r="49" spans="1:17" ht="13.5" hidden="1" x14ac:dyDescent="0.25">
      <c r="A49" s="118">
        <f t="shared" si="13"/>
        <v>0</v>
      </c>
      <c r="B49" s="124" t="str">
        <f>IFERROR(VLOOKUP(H49,[1]SEMIELABORADOS!$A$2:$M$6000,2,0),"")</f>
        <v/>
      </c>
      <c r="C49" s="119">
        <f t="shared" si="14"/>
        <v>0</v>
      </c>
      <c r="D49" s="120" t="str">
        <f>IFERROR(VLOOKUP(H49,[1]SEMIELABORADOS!$A$2:$M$6000,6,0),"")</f>
        <v/>
      </c>
      <c r="E49" s="120" t="str">
        <f>IFERROR(VLOOKUP(H49,[1]SEMIELABORADOS!$A$2:$M$65536,12,0),"")</f>
        <v/>
      </c>
      <c r="F49" s="120" t="str">
        <f t="shared" si="15"/>
        <v/>
      </c>
      <c r="G49" s="121" t="str">
        <f t="shared" si="16"/>
        <v/>
      </c>
      <c r="H49" s="125"/>
      <c r="I49" s="117"/>
      <c r="J49" s="123"/>
    </row>
    <row r="50" spans="1:17" ht="13.5" hidden="1" x14ac:dyDescent="0.25">
      <c r="A50" s="118">
        <f t="shared" si="13"/>
        <v>0</v>
      </c>
      <c r="B50" s="124" t="str">
        <f>IFERROR(VLOOKUP(H50,[1]SEMIELABORADOS!$A$2:$M$6000,2,0),"")</f>
        <v/>
      </c>
      <c r="C50" s="119">
        <f t="shared" si="14"/>
        <v>0</v>
      </c>
      <c r="D50" s="120" t="str">
        <f>IFERROR(VLOOKUP(H50,[1]SEMIELABORADOS!$A$2:$M$6000,6,0),"")</f>
        <v/>
      </c>
      <c r="E50" s="120" t="str">
        <f>IFERROR(VLOOKUP(H50,[1]SEMIELABORADOS!$A$2:$M$65536,12,0),"")</f>
        <v/>
      </c>
      <c r="F50" s="120" t="str">
        <f t="shared" si="15"/>
        <v/>
      </c>
      <c r="G50" s="121" t="str">
        <f t="shared" si="16"/>
        <v/>
      </c>
      <c r="H50" s="124"/>
      <c r="I50" s="117"/>
      <c r="J50" s="123"/>
    </row>
    <row r="51" spans="1:17" ht="13.5" x14ac:dyDescent="0.25">
      <c r="A51" s="118">
        <v>1</v>
      </c>
      <c r="B51" s="124" t="s">
        <v>80</v>
      </c>
      <c r="C51" s="119">
        <f>+A51</f>
        <v>1</v>
      </c>
      <c r="D51" s="119" t="s">
        <v>81</v>
      </c>
      <c r="E51" s="120">
        <f>+F65</f>
        <v>385</v>
      </c>
      <c r="F51" s="120">
        <f>IFERROR(C51*E51,"")</f>
        <v>385</v>
      </c>
      <c r="G51" s="121">
        <f>IFERROR(F51/$F$66,"")</f>
        <v>1.4564808551947138E-2</v>
      </c>
      <c r="H51" s="129"/>
      <c r="I51" s="129"/>
      <c r="J51" s="123"/>
    </row>
    <row r="52" spans="1:17" ht="14.25" thickBot="1" x14ac:dyDescent="0.3">
      <c r="A52" s="118"/>
      <c r="B52" s="124"/>
      <c r="C52" s="119"/>
      <c r="D52" s="119"/>
      <c r="E52" s="120"/>
      <c r="F52" s="120"/>
      <c r="G52" s="121"/>
      <c r="H52" s="129"/>
      <c r="I52" s="129"/>
      <c r="J52" s="123"/>
    </row>
    <row r="53" spans="1:17" ht="13.5" thickBot="1" x14ac:dyDescent="0.3">
      <c r="A53" s="130"/>
      <c r="B53" s="271" t="s">
        <v>82</v>
      </c>
      <c r="C53" s="271"/>
      <c r="D53" s="271"/>
      <c r="E53" s="271"/>
      <c r="F53" s="132">
        <f>SUM(F8:F14,F17:F24)</f>
        <v>25086.39</v>
      </c>
      <c r="G53" s="121">
        <f>+F53/$F$66</f>
        <v>0.94903498080384718</v>
      </c>
      <c r="H53" s="133">
        <f>+F53/$D$60</f>
        <v>25086.39</v>
      </c>
      <c r="I53" s="133"/>
      <c r="J53" s="134"/>
      <c r="K53" s="135"/>
      <c r="L53" s="135"/>
      <c r="M53" s="135"/>
      <c r="N53" s="135"/>
      <c r="O53" s="135"/>
      <c r="P53" s="135"/>
      <c r="Q53" s="136"/>
    </row>
    <row r="54" spans="1:17" x14ac:dyDescent="0.2">
      <c r="A54" s="130"/>
      <c r="B54" s="271" t="s">
        <v>83</v>
      </c>
      <c r="C54" s="271"/>
      <c r="D54" s="271"/>
      <c r="E54" s="271"/>
      <c r="F54" s="132">
        <f>SUM(F27:F32,F35:F41)</f>
        <v>460.46000000000004</v>
      </c>
      <c r="G54" s="121">
        <f>+F54/$F$66</f>
        <v>1.7419511028128779E-2</v>
      </c>
      <c r="H54" s="133">
        <f>+F54/$D$60</f>
        <v>460.46000000000004</v>
      </c>
      <c r="I54" s="133"/>
      <c r="J54" s="137"/>
      <c r="K54" s="272" t="s">
        <v>84</v>
      </c>
      <c r="L54" s="273"/>
      <c r="M54" s="273"/>
      <c r="N54" s="273"/>
      <c r="O54" s="138">
        <f>+F55</f>
        <v>25546.85</v>
      </c>
      <c r="P54" s="138"/>
      <c r="Q54" s="139"/>
    </row>
    <row r="55" spans="1:17" x14ac:dyDescent="0.2">
      <c r="A55" s="130"/>
      <c r="B55" s="271" t="s">
        <v>85</v>
      </c>
      <c r="C55" s="271"/>
      <c r="D55" s="271"/>
      <c r="E55" s="271"/>
      <c r="F55" s="132">
        <f>+F53+F54</f>
        <v>25546.85</v>
      </c>
      <c r="G55" s="121">
        <f>+F55/$F$66</f>
        <v>0.96645449183197585</v>
      </c>
      <c r="H55" s="133">
        <f>+F55/$D$60</f>
        <v>25546.85</v>
      </c>
      <c r="I55" s="133"/>
      <c r="J55" s="140"/>
      <c r="K55" s="141"/>
      <c r="M55" s="142" t="s">
        <v>86</v>
      </c>
      <c r="N55" s="143"/>
      <c r="O55" s="138">
        <f>+H56</f>
        <v>1075.69</v>
      </c>
      <c r="P55" s="138"/>
      <c r="Q55" s="139"/>
    </row>
    <row r="56" spans="1:17" ht="13.5" thickBot="1" x14ac:dyDescent="0.25">
      <c r="A56" s="130"/>
      <c r="B56" s="131"/>
      <c r="C56" s="271" t="s">
        <v>87</v>
      </c>
      <c r="D56" s="271"/>
      <c r="E56" s="271"/>
      <c r="F56" s="132">
        <f>SUM(F44:F51)</f>
        <v>1075.69</v>
      </c>
      <c r="G56" s="121">
        <f>+F56/$F$66</f>
        <v>4.0694075094140303E-2</v>
      </c>
      <c r="H56" s="133">
        <f>+F56/$D$60</f>
        <v>1075.69</v>
      </c>
      <c r="I56" s="133"/>
      <c r="J56" s="140"/>
      <c r="K56" s="141"/>
      <c r="L56" s="141"/>
      <c r="M56" s="141" t="s">
        <v>88</v>
      </c>
      <c r="N56" s="144"/>
      <c r="O56" s="138">
        <f>O54*N56</f>
        <v>0</v>
      </c>
      <c r="P56" s="138"/>
      <c r="Q56" s="139"/>
    </row>
    <row r="57" spans="1:17" ht="13.5" thickBot="1" x14ac:dyDescent="0.25">
      <c r="A57" s="130"/>
      <c r="B57" s="145"/>
      <c r="C57" s="145"/>
      <c r="D57" s="145"/>
      <c r="E57" s="145"/>
      <c r="F57" s="146"/>
      <c r="G57" s="121"/>
      <c r="H57" s="147"/>
      <c r="I57" s="133"/>
      <c r="J57" s="140"/>
      <c r="K57" s="148"/>
      <c r="M57" s="149" t="s">
        <v>89</v>
      </c>
      <c r="N57" s="150"/>
      <c r="O57" s="151">
        <f>SUM(O54:O56)</f>
        <v>26622.539999999997</v>
      </c>
      <c r="P57" s="152"/>
      <c r="Q57" s="139"/>
    </row>
    <row r="58" spans="1:17" x14ac:dyDescent="0.2">
      <c r="B58" s="283" t="s">
        <v>90</v>
      </c>
      <c r="C58" s="283"/>
      <c r="D58" s="153">
        <v>23300</v>
      </c>
      <c r="E58" s="154"/>
      <c r="G58" s="121"/>
      <c r="H58" s="147">
        <f>+H56/77</f>
        <v>13.97</v>
      </c>
      <c r="I58" s="155"/>
      <c r="J58" s="140"/>
      <c r="K58" s="148"/>
      <c r="L58" s="141"/>
      <c r="M58" s="141" t="s">
        <v>91</v>
      </c>
      <c r="N58" s="156"/>
      <c r="O58" s="138">
        <f>+H59</f>
        <v>1159.51</v>
      </c>
      <c r="P58" s="138"/>
      <c r="Q58" s="139"/>
    </row>
    <row r="59" spans="1:17" x14ac:dyDescent="0.2">
      <c r="B59" s="283" t="s">
        <v>92</v>
      </c>
      <c r="C59" s="283"/>
      <c r="D59" s="157">
        <v>23300</v>
      </c>
      <c r="E59" s="154"/>
      <c r="G59" s="121"/>
      <c r="H59" s="147">
        <f>+H58*83</f>
        <v>1159.51</v>
      </c>
      <c r="I59" s="155"/>
      <c r="J59" s="140"/>
      <c r="K59" s="148"/>
      <c r="L59" s="141"/>
      <c r="M59" s="276" t="s">
        <v>89</v>
      </c>
      <c r="N59" s="276"/>
      <c r="O59" s="138">
        <f>SUM(O57:O58)</f>
        <v>27782.049999999996</v>
      </c>
      <c r="P59" s="138"/>
      <c r="Q59" s="139"/>
    </row>
    <row r="60" spans="1:17" ht="13.5" thickBot="1" x14ac:dyDescent="0.25">
      <c r="B60" s="282" t="s">
        <v>93</v>
      </c>
      <c r="C60" s="282"/>
      <c r="D60" s="153">
        <f>+D58/D59</f>
        <v>1</v>
      </c>
      <c r="E60" s="154"/>
      <c r="F60" s="158"/>
      <c r="G60" s="121"/>
      <c r="H60" s="147"/>
      <c r="I60" s="155"/>
      <c r="J60" s="140"/>
      <c r="K60" s="148"/>
      <c r="L60" s="276"/>
      <c r="M60" s="276"/>
      <c r="N60" s="156"/>
      <c r="O60" s="138">
        <f>+O59*N60</f>
        <v>0</v>
      </c>
      <c r="P60" s="138"/>
      <c r="Q60" s="139"/>
    </row>
    <row r="61" spans="1:17" ht="13.5" thickBot="1" x14ac:dyDescent="0.25">
      <c r="B61" s="282" t="s">
        <v>94</v>
      </c>
      <c r="C61" s="282"/>
      <c r="D61" s="159"/>
      <c r="E61" s="154"/>
      <c r="F61" s="158"/>
      <c r="G61" s="121"/>
      <c r="H61" s="147"/>
      <c r="I61" s="155"/>
      <c r="J61" s="140"/>
      <c r="K61" s="267" t="s">
        <v>95</v>
      </c>
      <c r="L61" s="268"/>
      <c r="M61" s="268"/>
      <c r="N61" s="269"/>
      <c r="O61" s="151">
        <f>SUM(O59:O60)</f>
        <v>27782.049999999996</v>
      </c>
      <c r="P61" s="160" t="s">
        <v>96</v>
      </c>
      <c r="Q61" s="139"/>
    </row>
    <row r="62" spans="1:17" ht="13.5" thickBot="1" x14ac:dyDescent="0.25">
      <c r="C62" s="130" t="s">
        <v>97</v>
      </c>
      <c r="D62" s="161"/>
      <c r="E62" s="104" t="s">
        <v>98</v>
      </c>
      <c r="F62" s="162" t="s">
        <v>99</v>
      </c>
      <c r="G62" s="121"/>
      <c r="H62" s="147"/>
      <c r="I62" s="155"/>
      <c r="J62" s="163"/>
      <c r="K62" s="164"/>
      <c r="L62" s="254" t="s">
        <v>100</v>
      </c>
      <c r="M62" s="254"/>
      <c r="N62" s="254"/>
      <c r="O62" s="165">
        <f>+O61/D60</f>
        <v>27782.049999999996</v>
      </c>
      <c r="P62" s="166">
        <f>+O62/D59</f>
        <v>1.1923626609442057</v>
      </c>
      <c r="Q62" s="167"/>
    </row>
    <row r="63" spans="1:17" ht="13.5" thickBot="1" x14ac:dyDescent="0.25">
      <c r="B63" s="255" t="s">
        <v>85</v>
      </c>
      <c r="C63" s="255"/>
      <c r="D63" s="255"/>
      <c r="E63" s="168">
        <f>+F63/F63</f>
        <v>1</v>
      </c>
      <c r="F63" s="169">
        <f>SUM(F55)</f>
        <v>25546.85</v>
      </c>
      <c r="G63" s="121">
        <f>+F63/$F$66</f>
        <v>0.96645449183197585</v>
      </c>
      <c r="H63" s="147"/>
      <c r="I63" s="155"/>
      <c r="K63" s="256"/>
      <c r="L63" s="257"/>
      <c r="M63" s="257"/>
      <c r="N63" s="257"/>
      <c r="O63" s="170"/>
      <c r="P63" s="171"/>
    </row>
    <row r="64" spans="1:17" ht="13.5" thickBot="1" x14ac:dyDescent="0.3">
      <c r="B64" s="258" t="s">
        <v>101</v>
      </c>
      <c r="C64" s="258"/>
      <c r="D64" s="258"/>
      <c r="E64" s="172">
        <v>0.02</v>
      </c>
      <c r="F64" s="169">
        <f>+F53*E64</f>
        <v>501.7278</v>
      </c>
      <c r="G64" s="121">
        <f>+F64/$F$66</f>
        <v>1.8980699616076943E-2</v>
      </c>
      <c r="H64" s="133"/>
      <c r="I64" s="155"/>
      <c r="J64" s="173"/>
      <c r="O64" s="174"/>
      <c r="P64" s="131"/>
    </row>
    <row r="65" spans="2:13" ht="13.5" thickBot="1" x14ac:dyDescent="0.3">
      <c r="B65" s="259" t="s">
        <v>102</v>
      </c>
      <c r="C65" s="260"/>
      <c r="D65" s="175">
        <v>5</v>
      </c>
      <c r="E65" s="176">
        <v>77</v>
      </c>
      <c r="F65" s="169">
        <f>+E65*D65</f>
        <v>385</v>
      </c>
      <c r="G65" s="121">
        <f>+F65/$F$66</f>
        <v>1.4564808551947138E-2</v>
      </c>
      <c r="H65" s="133"/>
      <c r="I65" s="133"/>
      <c r="J65" s="123"/>
    </row>
    <row r="66" spans="2:13" ht="13.5" thickBot="1" x14ac:dyDescent="0.3">
      <c r="B66" s="261" t="s">
        <v>103</v>
      </c>
      <c r="C66" s="262"/>
      <c r="D66" s="262"/>
      <c r="E66" s="263"/>
      <c r="F66" s="146">
        <f>SUM(F63:F65)</f>
        <v>26433.577799999999</v>
      </c>
      <c r="G66" s="121">
        <f>+F66/$F$66</f>
        <v>1</v>
      </c>
      <c r="H66" s="264"/>
      <c r="I66" s="133"/>
      <c r="J66" s="123"/>
      <c r="M66" s="106" t="s">
        <v>104</v>
      </c>
    </row>
    <row r="67" spans="2:13" x14ac:dyDescent="0.25">
      <c r="C67" s="128"/>
      <c r="D67" s="128"/>
      <c r="E67" s="178"/>
      <c r="F67" s="169"/>
      <c r="G67" s="121"/>
      <c r="H67" s="264"/>
      <c r="I67" s="177"/>
      <c r="J67" s="106"/>
      <c r="M67" s="106" t="s">
        <v>105</v>
      </c>
    </row>
    <row r="68" spans="2:13" ht="13.5" thickBot="1" x14ac:dyDescent="0.3">
      <c r="B68" s="249" t="s">
        <v>106</v>
      </c>
      <c r="C68" s="249"/>
      <c r="D68" s="249"/>
      <c r="E68" s="249"/>
      <c r="F68" s="249"/>
      <c r="G68" s="121"/>
      <c r="H68" s="180"/>
      <c r="I68" s="177"/>
      <c r="J68" s="106"/>
      <c r="M68" s="106" t="s">
        <v>107</v>
      </c>
    </row>
    <row r="69" spans="2:13" ht="13.5" thickBot="1" x14ac:dyDescent="0.3">
      <c r="B69" s="181" t="s">
        <v>108</v>
      </c>
      <c r="C69" s="182">
        <f>+F53</f>
        <v>25086.39</v>
      </c>
      <c r="D69" s="182">
        <f>+D58</f>
        <v>23300</v>
      </c>
      <c r="E69" s="183">
        <f>+C69/D69</f>
        <v>1.0766690987124463</v>
      </c>
      <c r="F69" s="121"/>
      <c r="G69" s="180"/>
      <c r="H69" s="123"/>
      <c r="I69" s="180"/>
      <c r="J69" s="106"/>
    </row>
    <row r="70" spans="2:13" x14ac:dyDescent="0.25">
      <c r="B70" s="184"/>
      <c r="C70" s="185"/>
      <c r="D70" s="186"/>
      <c r="E70" s="169"/>
      <c r="F70" s="121"/>
      <c r="G70" s="180"/>
      <c r="H70" s="123"/>
      <c r="I70" s="123"/>
      <c r="J70" s="106"/>
    </row>
    <row r="71" spans="2:13" x14ac:dyDescent="0.25">
      <c r="B71" s="181" t="s">
        <v>109</v>
      </c>
      <c r="C71" s="182">
        <f>SUM(F63:F64)</f>
        <v>26048.577799999999</v>
      </c>
      <c r="D71" s="182">
        <f>+D58</f>
        <v>23300</v>
      </c>
      <c r="E71" s="187">
        <f>+C71/D71</f>
        <v>1.1179647124463519</v>
      </c>
      <c r="F71" s="121"/>
      <c r="G71" s="180"/>
      <c r="H71" s="123"/>
      <c r="I71" s="123"/>
      <c r="J71" s="106"/>
    </row>
    <row r="72" spans="2:13" x14ac:dyDescent="0.25">
      <c r="B72" s="181"/>
      <c r="C72" s="182"/>
      <c r="D72" s="182"/>
      <c r="E72" s="187"/>
      <c r="F72" s="121"/>
      <c r="G72" s="180"/>
      <c r="H72" s="123"/>
      <c r="I72" s="123"/>
      <c r="J72" s="106"/>
    </row>
    <row r="73" spans="2:13" ht="13.5" thickBot="1" x14ac:dyDescent="0.3">
      <c r="B73" s="181" t="s">
        <v>110</v>
      </c>
      <c r="C73" s="182">
        <f>+F65</f>
        <v>385</v>
      </c>
      <c r="D73" s="182">
        <f>+D58</f>
        <v>23300</v>
      </c>
      <c r="E73" s="187">
        <f>+C73/D73</f>
        <v>1.6523605150214591E-2</v>
      </c>
      <c r="F73" s="121"/>
      <c r="G73" s="180"/>
      <c r="H73" s="123"/>
      <c r="I73" s="123"/>
      <c r="J73" s="106"/>
    </row>
    <row r="74" spans="2:13" ht="13.5" thickBot="1" x14ac:dyDescent="0.3">
      <c r="B74" s="181" t="s">
        <v>111</v>
      </c>
      <c r="C74" s="182">
        <f>+F56</f>
        <v>1075.69</v>
      </c>
      <c r="D74" s="182">
        <f>+D73</f>
        <v>23300</v>
      </c>
      <c r="E74" s="183">
        <f>+C74/D74</f>
        <v>4.6166952789699574E-2</v>
      </c>
      <c r="F74" s="121"/>
      <c r="G74" s="180"/>
      <c r="H74" s="123"/>
      <c r="I74" s="123"/>
      <c r="J74" s="106"/>
    </row>
    <row r="75" spans="2:13" ht="13.5" thickBot="1" x14ac:dyDescent="0.3">
      <c r="B75" s="145"/>
      <c r="C75" s="146"/>
      <c r="D75" s="146"/>
      <c r="E75" s="187"/>
      <c r="F75" s="121"/>
      <c r="G75" s="180"/>
      <c r="H75" s="123"/>
      <c r="I75" s="123"/>
      <c r="J75" s="106"/>
    </row>
    <row r="76" spans="2:13" ht="13.5" thickBot="1" x14ac:dyDescent="0.3">
      <c r="B76" s="181" t="s">
        <v>112</v>
      </c>
      <c r="C76" s="182">
        <f>+F54</f>
        <v>460.46000000000004</v>
      </c>
      <c r="D76" s="182">
        <f>+D74</f>
        <v>23300</v>
      </c>
      <c r="E76" s="183">
        <f>+C76/D76</f>
        <v>1.9762231759656655E-2</v>
      </c>
      <c r="F76" s="121"/>
      <c r="G76" s="180"/>
      <c r="H76" s="123"/>
      <c r="I76" s="123"/>
      <c r="J76" s="123"/>
    </row>
    <row r="77" spans="2:13" ht="13.5" thickBot="1" x14ac:dyDescent="0.3">
      <c r="B77" s="145"/>
      <c r="C77" s="146"/>
      <c r="D77" s="146"/>
      <c r="E77" s="187"/>
      <c r="F77" s="121"/>
      <c r="G77" s="180"/>
      <c r="H77" s="123"/>
      <c r="I77" s="123"/>
    </row>
    <row r="78" spans="2:13" ht="13.5" thickBot="1" x14ac:dyDescent="0.3">
      <c r="B78" s="250" t="s">
        <v>113</v>
      </c>
      <c r="C78" s="251"/>
      <c r="D78" s="252"/>
      <c r="E78" s="183">
        <f>+E69+E74</f>
        <v>1.1228360515021458</v>
      </c>
      <c r="G78" s="121"/>
      <c r="H78" s="180"/>
      <c r="I78" s="123"/>
      <c r="J78" s="187"/>
    </row>
    <row r="79" spans="2:13" x14ac:dyDescent="0.25">
      <c r="I79" s="180"/>
      <c r="J79" s="106"/>
    </row>
    <row r="80" spans="2:13" ht="13.5" thickBot="1" x14ac:dyDescent="0.3">
      <c r="B80" s="249" t="s">
        <v>114</v>
      </c>
      <c r="C80" s="249"/>
      <c r="D80" s="249"/>
      <c r="E80" s="249"/>
      <c r="F80" s="249"/>
      <c r="G80" s="121"/>
      <c r="H80" s="180"/>
      <c r="J80" s="106"/>
    </row>
    <row r="81" spans="1:10" ht="13.5" thickBot="1" x14ac:dyDescent="0.3">
      <c r="B81" s="181" t="s">
        <v>108</v>
      </c>
      <c r="C81" s="182">
        <f>+C69</f>
        <v>25086.39</v>
      </c>
      <c r="D81" s="182">
        <f>+D60</f>
        <v>1</v>
      </c>
      <c r="E81" s="183">
        <f>+C81/D81</f>
        <v>25086.39</v>
      </c>
      <c r="F81" s="121"/>
      <c r="G81" s="180"/>
      <c r="H81" s="123"/>
      <c r="I81" s="180"/>
      <c r="J81" s="106"/>
    </row>
    <row r="82" spans="1:10" x14ac:dyDescent="0.25">
      <c r="B82" s="184"/>
      <c r="C82" s="185"/>
      <c r="D82" s="186"/>
      <c r="E82" s="169"/>
      <c r="F82" s="121"/>
      <c r="G82" s="180"/>
      <c r="H82" s="123"/>
      <c r="I82" s="123"/>
      <c r="J82" s="106"/>
    </row>
    <row r="83" spans="1:10" x14ac:dyDescent="0.25">
      <c r="B83" s="181" t="s">
        <v>109</v>
      </c>
      <c r="C83" s="182">
        <f>+C71</f>
        <v>26048.577799999999</v>
      </c>
      <c r="D83" s="182">
        <f>+D60</f>
        <v>1</v>
      </c>
      <c r="E83" s="187">
        <f>+C83/D83</f>
        <v>26048.577799999999</v>
      </c>
      <c r="F83" s="121"/>
      <c r="G83" s="180"/>
      <c r="H83" s="123"/>
      <c r="I83" s="123"/>
      <c r="J83" s="106"/>
    </row>
    <row r="84" spans="1:10" x14ac:dyDescent="0.25">
      <c r="B84" s="181"/>
      <c r="C84" s="182"/>
      <c r="D84" s="182"/>
      <c r="E84" s="187"/>
      <c r="F84" s="121"/>
      <c r="G84" s="180"/>
      <c r="H84" s="123"/>
      <c r="I84" s="123"/>
      <c r="J84" s="106"/>
    </row>
    <row r="85" spans="1:10" ht="13.5" thickBot="1" x14ac:dyDescent="0.3">
      <c r="B85" s="181" t="s">
        <v>111</v>
      </c>
      <c r="C85" s="182">
        <f>+C73</f>
        <v>385</v>
      </c>
      <c r="D85" s="182">
        <f>+D60</f>
        <v>1</v>
      </c>
      <c r="E85" s="187">
        <f>+C85/D85</f>
        <v>385</v>
      </c>
      <c r="F85" s="189"/>
      <c r="G85" s="179"/>
      <c r="H85" s="105"/>
      <c r="I85" s="123"/>
    </row>
    <row r="86" spans="1:10" ht="13.5" thickBot="1" x14ac:dyDescent="0.3">
      <c r="B86" s="181" t="s">
        <v>111</v>
      </c>
      <c r="C86" s="182">
        <f>+C74</f>
        <v>1075.69</v>
      </c>
      <c r="D86" s="182">
        <f>+D85</f>
        <v>1</v>
      </c>
      <c r="E86" s="183">
        <f>+C86/D86</f>
        <v>1075.69</v>
      </c>
      <c r="F86" s="188"/>
      <c r="G86" s="179"/>
      <c r="H86" s="105"/>
      <c r="I86" s="105"/>
    </row>
    <row r="87" spans="1:10" x14ac:dyDescent="0.25">
      <c r="I87" s="105"/>
    </row>
    <row r="88" spans="1:10" x14ac:dyDescent="0.2">
      <c r="A88" s="253"/>
      <c r="B88" s="253"/>
      <c r="C88" s="190"/>
      <c r="D88" s="190"/>
      <c r="E88" s="191"/>
      <c r="G88" s="192"/>
    </row>
    <row r="89" spans="1:10" x14ac:dyDescent="0.2">
      <c r="A89" s="124"/>
      <c r="B89" s="193"/>
      <c r="C89" s="194"/>
      <c r="D89" s="194"/>
      <c r="E89" s="195"/>
      <c r="G89" s="192"/>
    </row>
    <row r="90" spans="1:10" x14ac:dyDescent="0.2">
      <c r="A90" s="124"/>
      <c r="B90" s="193"/>
      <c r="C90" s="196"/>
      <c r="D90" s="196"/>
      <c r="E90" s="124"/>
      <c r="G90" s="192"/>
    </row>
    <row r="91" spans="1:10" x14ac:dyDescent="0.2">
      <c r="A91" s="124"/>
      <c r="B91" s="193"/>
      <c r="C91" s="197"/>
      <c r="D91" s="197"/>
      <c r="E91" s="124"/>
      <c r="G91" s="19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395581E-FB85-4D22-AAC3-560B697397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Costo Empaque </vt:lpstr>
      <vt:lpstr>Costo corte circulo</vt:lpstr>
      <vt:lpstr>Pasta Alfajor Caramelo</vt:lpstr>
      <vt:lpstr>Pasta Alfajor Caramelo 2</vt:lpstr>
      <vt:lpstr>Costo Pasta Alfajor Caramelo</vt:lpstr>
      <vt:lpstr>'Pasta Alfajor Caramelo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2026-03-02T21:27:14Z</cp:lastPrinted>
  <dcterms:created xsi:type="dcterms:W3CDTF">2025-01-06T20:55:42Z</dcterms:created>
  <dcterms:modified xsi:type="dcterms:W3CDTF">2026-03-02T21:27:15Z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
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0" documentId="8_{6670F24C-8477-4C9A-BBDA-C35EB78DEFFD}" xr6:coauthVersionLast="47" xr6:coauthVersionMax="47" xr10:uidLastSave="{00000000-0000-0000-0000-000000000000}"/>
  <bookViews>
    <workbookView xWindow="-120" yWindow="-120" windowWidth="20730" windowHeight="11040" tabRatio="876" xr2:uid="{BB38E728-434F-44BD-8DCC-223822B1C618}"/>
  </bookViews>
  <sheets>
    <sheet name="Hoja1" sheetId="20" r:id="rId1"/>
    <sheet name="costeo brittle" sheetId="7" state="hidden" r:id="rId2"/>
    <sheet name="EMPAQUE BRITTLE" sheetId="11" state="hidden" r:id="rId3"/>
    <sheet name="COSTO EMPAQUE BRITTLE" sheetId="12" state="hidden" r:id="rId4"/>
    <sheet name="ENSAMBLE 2" sheetId="10" state="hidden" r:id="rId5"/>
    <sheet name="Hoja5" sheetId="15" state="hidden" r:id="rId6"/>
    <sheet name="COSTEO ENSAMBLE" sheetId="8" state="hidden" r:id="rId7"/>
    <sheet name="INS" sheetId="13" state="hidden" r:id="rId8"/>
    <sheet name="PRECIO 2" sheetId="14" state="hidden" r:id="rId9"/>
    <sheet name="ENSAMBLE INDUSTRIA " sheetId="17" state="hidden" r:id="rId10"/>
    <sheet name="COSTO ENSAM IND" sheetId="18" state="hidden" r:id="rId11"/>
    <sheet name="PRECIO INDUSTRIA " sheetId="19" state="hidden" r:id="rId12"/>
    <sheet name="PRECIO" sheetId="9" state="hidden" r:id="rId13"/>
    <sheet name="Ensamble" sheetId="6" state="hidden" r:id="rId14"/>
  </sheets>
  <externalReferences>
    <externalReference r:id="rId15"/>
    <externalReference r:id="rId16"/>
    <externalReference r:id="rId17"/>
    <externalReference r:id="rId1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0" l="1"/>
  <c r="N71" i="8" l="1"/>
  <c r="N72" i="8"/>
  <c r="F20" i="19"/>
  <c r="F16" i="19"/>
  <c r="F18" i="19"/>
  <c r="E20" i="18"/>
  <c r="F20" i="18"/>
  <c r="C20" i="18"/>
  <c r="C21" i="18"/>
  <c r="D9" i="19"/>
  <c r="D6" i="19"/>
  <c r="D88" i="18"/>
  <c r="D78" i="18"/>
  <c r="D79" i="18"/>
  <c r="D81" i="18"/>
  <c r="D76" i="18"/>
  <c r="D74" i="18"/>
  <c r="N71" i="18"/>
  <c r="N72" i="18"/>
  <c r="F70" i="18"/>
  <c r="C78" i="18"/>
  <c r="D65" i="18"/>
  <c r="D90" i="18"/>
  <c r="D91" i="18"/>
  <c r="E56" i="18"/>
  <c r="C56" i="18"/>
  <c r="F56" i="18"/>
  <c r="E55" i="18"/>
  <c r="D55" i="18"/>
  <c r="B55" i="18"/>
  <c r="E54" i="18"/>
  <c r="F54" i="18"/>
  <c r="D54" i="18"/>
  <c r="B54" i="18"/>
  <c r="E52" i="18"/>
  <c r="F52" i="18"/>
  <c r="D52" i="18"/>
  <c r="B52" i="18"/>
  <c r="E51" i="18"/>
  <c r="E50" i="18"/>
  <c r="D50" i="18"/>
  <c r="B50" i="18"/>
  <c r="E49" i="18"/>
  <c r="D49" i="18"/>
  <c r="B49" i="18"/>
  <c r="E46" i="18"/>
  <c r="D46" i="18"/>
  <c r="B46" i="18"/>
  <c r="A46" i="18"/>
  <c r="C46" i="18"/>
  <c r="E45" i="18"/>
  <c r="D45" i="18"/>
  <c r="B45" i="18"/>
  <c r="A45" i="18"/>
  <c r="A54" i="18"/>
  <c r="C54" i="18"/>
  <c r="A44" i="18"/>
  <c r="A53" i="18"/>
  <c r="C53" i="18"/>
  <c r="E43" i="18"/>
  <c r="D43" i="18"/>
  <c r="B43" i="18"/>
  <c r="A43" i="18"/>
  <c r="A52" i="18"/>
  <c r="C52" i="18"/>
  <c r="E42" i="18"/>
  <c r="A42" i="18"/>
  <c r="A51" i="18"/>
  <c r="C51" i="18"/>
  <c r="E41" i="18"/>
  <c r="D41" i="18"/>
  <c r="B41" i="18"/>
  <c r="A41" i="18"/>
  <c r="E40" i="18"/>
  <c r="F40" i="18"/>
  <c r="D40" i="18"/>
  <c r="C40" i="18"/>
  <c r="B40" i="18"/>
  <c r="A40" i="18"/>
  <c r="A49" i="18"/>
  <c r="C49" i="18"/>
  <c r="F49" i="18"/>
  <c r="E37" i="18"/>
  <c r="F37" i="18"/>
  <c r="D37" i="18"/>
  <c r="C37" i="18"/>
  <c r="B37" i="18"/>
  <c r="E36" i="18"/>
  <c r="F36" i="18"/>
  <c r="D36" i="18"/>
  <c r="C36" i="18"/>
  <c r="B36" i="18"/>
  <c r="E35" i="18"/>
  <c r="D35" i="18"/>
  <c r="C35" i="18"/>
  <c r="F35" i="18"/>
  <c r="B35" i="18"/>
  <c r="E34" i="18"/>
  <c r="F34" i="18"/>
  <c r="D34" i="18"/>
  <c r="C34" i="18"/>
  <c r="B34" i="18"/>
  <c r="E33" i="18"/>
  <c r="F33" i="18"/>
  <c r="D33" i="18"/>
  <c r="C33" i="18"/>
  <c r="B33" i="18"/>
  <c r="E32" i="18"/>
  <c r="D32" i="18"/>
  <c r="C32" i="18"/>
  <c r="B32" i="18"/>
  <c r="E31" i="18"/>
  <c r="F31" i="18"/>
  <c r="D31" i="18"/>
  <c r="C31" i="18"/>
  <c r="B31" i="18"/>
  <c r="E30" i="18"/>
  <c r="F30" i="18"/>
  <c r="D30" i="18"/>
  <c r="C30" i="18"/>
  <c r="B30" i="18"/>
  <c r="E29" i="18"/>
  <c r="F29" i="18"/>
  <c r="D29" i="18"/>
  <c r="C29" i="18"/>
  <c r="B29" i="18"/>
  <c r="E28" i="18"/>
  <c r="D28" i="18"/>
  <c r="C28" i="18"/>
  <c r="F28" i="18"/>
  <c r="B28" i="18"/>
  <c r="E27" i="18"/>
  <c r="D27" i="18"/>
  <c r="C27" i="18"/>
  <c r="F27" i="18"/>
  <c r="B27" i="18"/>
  <c r="E24" i="18"/>
  <c r="F24" i="18"/>
  <c r="D24" i="18"/>
  <c r="C24" i="18"/>
  <c r="B24" i="18"/>
  <c r="E23" i="18"/>
  <c r="F23" i="18"/>
  <c r="D23" i="18"/>
  <c r="C23" i="18"/>
  <c r="B23" i="18"/>
  <c r="E22" i="18"/>
  <c r="F22" i="18"/>
  <c r="D22" i="18"/>
  <c r="C22" i="18"/>
  <c r="B22" i="18"/>
  <c r="B20" i="18"/>
  <c r="E19" i="18"/>
  <c r="C19" i="18"/>
  <c r="F19" i="18"/>
  <c r="E18" i="18"/>
  <c r="D18" i="18"/>
  <c r="C18" i="18"/>
  <c r="F18" i="18"/>
  <c r="B18" i="18"/>
  <c r="E17" i="18"/>
  <c r="F17" i="18"/>
  <c r="D17" i="18"/>
  <c r="C17" i="18"/>
  <c r="B17" i="18"/>
  <c r="B15" i="18"/>
  <c r="E14" i="18"/>
  <c r="D14" i="18"/>
  <c r="C14" i="18"/>
  <c r="B14" i="18"/>
  <c r="E13" i="18"/>
  <c r="F13" i="18"/>
  <c r="D13" i="18"/>
  <c r="C13" i="18"/>
  <c r="B13" i="18"/>
  <c r="E12" i="18"/>
  <c r="F12" i="18"/>
  <c r="D12" i="18"/>
  <c r="C12" i="18"/>
  <c r="B12" i="18"/>
  <c r="E11" i="18"/>
  <c r="F11" i="18"/>
  <c r="D11" i="18"/>
  <c r="C11" i="18"/>
  <c r="B11" i="18"/>
  <c r="E10" i="18"/>
  <c r="D10" i="18"/>
  <c r="C10" i="18"/>
  <c r="F10" i="18"/>
  <c r="B10" i="18"/>
  <c r="E9" i="18"/>
  <c r="D9" i="18"/>
  <c r="C9" i="18"/>
  <c r="F9" i="18"/>
  <c r="B9" i="18"/>
  <c r="E8" i="18"/>
  <c r="F8" i="18"/>
  <c r="D8" i="18"/>
  <c r="C8" i="18"/>
  <c r="B8" i="18"/>
  <c r="H6" i="18"/>
  <c r="C32" i="17"/>
  <c r="C31" i="17"/>
  <c r="I53" i="14"/>
  <c r="I54" i="14"/>
  <c r="F38" i="14"/>
  <c r="G38" i="14"/>
  <c r="E38" i="14"/>
  <c r="D38" i="14"/>
  <c r="C38" i="14"/>
  <c r="F37" i="14"/>
  <c r="E37" i="14"/>
  <c r="D37" i="14"/>
  <c r="C37" i="14"/>
  <c r="F36" i="14"/>
  <c r="G36" i="14"/>
  <c r="E36" i="14"/>
  <c r="D36" i="14"/>
  <c r="C36" i="14"/>
  <c r="F35" i="14"/>
  <c r="G35" i="14"/>
  <c r="E35" i="14"/>
  <c r="D35" i="14"/>
  <c r="C35" i="14"/>
  <c r="F34" i="14"/>
  <c r="E34" i="14"/>
  <c r="D34" i="14"/>
  <c r="C34" i="14"/>
  <c r="F33" i="14"/>
  <c r="E33" i="14"/>
  <c r="D33" i="14"/>
  <c r="C33" i="14"/>
  <c r="F31" i="14"/>
  <c r="E31" i="14"/>
  <c r="D31" i="14"/>
  <c r="C31" i="14"/>
  <c r="F30" i="14"/>
  <c r="G30" i="14"/>
  <c r="E30" i="14"/>
  <c r="D30" i="14"/>
  <c r="C30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G26" i="14"/>
  <c r="E26" i="14"/>
  <c r="D26" i="14"/>
  <c r="C26" i="14"/>
  <c r="F25" i="14"/>
  <c r="G25" i="14"/>
  <c r="E25" i="14"/>
  <c r="D25" i="14"/>
  <c r="C25" i="14"/>
  <c r="F24" i="14"/>
  <c r="G24" i="14"/>
  <c r="E24" i="14"/>
  <c r="D24" i="14"/>
  <c r="C24" i="14"/>
  <c r="F20" i="14"/>
  <c r="G20" i="14"/>
  <c r="E20" i="14"/>
  <c r="D20" i="14"/>
  <c r="C20" i="14"/>
  <c r="F19" i="14"/>
  <c r="E19" i="14"/>
  <c r="D19" i="14"/>
  <c r="G19" i="14"/>
  <c r="C19" i="14"/>
  <c r="F18" i="14"/>
  <c r="G18" i="14"/>
  <c r="E18" i="14"/>
  <c r="D18" i="14"/>
  <c r="C18" i="14"/>
  <c r="F17" i="14"/>
  <c r="E17" i="14"/>
  <c r="D17" i="14"/>
  <c r="G17" i="14"/>
  <c r="C17" i="14"/>
  <c r="F14" i="14"/>
  <c r="G14" i="14"/>
  <c r="E14" i="14"/>
  <c r="D14" i="14"/>
  <c r="C14" i="14"/>
  <c r="F13" i="14"/>
  <c r="G13" i="14"/>
  <c r="E13" i="14"/>
  <c r="D13" i="14"/>
  <c r="C13" i="14"/>
  <c r="F12" i="14"/>
  <c r="E12" i="14"/>
  <c r="D12" i="14"/>
  <c r="G12" i="14"/>
  <c r="C12" i="14"/>
  <c r="F11" i="14"/>
  <c r="G11" i="14"/>
  <c r="E11" i="14"/>
  <c r="D11" i="14"/>
  <c r="C11" i="14"/>
  <c r="D10" i="14"/>
  <c r="D9" i="14"/>
  <c r="I7" i="14"/>
  <c r="D73" i="12"/>
  <c r="D74" i="12"/>
  <c r="D76" i="12"/>
  <c r="D71" i="12"/>
  <c r="D69" i="12"/>
  <c r="F65" i="12"/>
  <c r="C73" i="12"/>
  <c r="D60" i="12"/>
  <c r="D85" i="12"/>
  <c r="D86" i="12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E40" i="12"/>
  <c r="D40" i="12"/>
  <c r="B40" i="12"/>
  <c r="A40" i="12"/>
  <c r="E39" i="12"/>
  <c r="D39" i="12"/>
  <c r="B39" i="12"/>
  <c r="A39" i="12"/>
  <c r="A48" i="12"/>
  <c r="C48" i="12"/>
  <c r="F48" i="12"/>
  <c r="E38" i="12"/>
  <c r="F38" i="12"/>
  <c r="D38" i="12"/>
  <c r="C38" i="12"/>
  <c r="B38" i="12"/>
  <c r="A38" i="12"/>
  <c r="A47" i="12"/>
  <c r="C47" i="12"/>
  <c r="F47" i="12"/>
  <c r="E37" i="12"/>
  <c r="D37" i="12"/>
  <c r="B37" i="12"/>
  <c r="A37" i="12"/>
  <c r="C37" i="12"/>
  <c r="E36" i="12"/>
  <c r="F36" i="12"/>
  <c r="D36" i="12"/>
  <c r="B36" i="12"/>
  <c r="A36" i="12"/>
  <c r="C36" i="12"/>
  <c r="A35" i="12"/>
  <c r="A44" i="12"/>
  <c r="C44" i="12"/>
  <c r="E32" i="12"/>
  <c r="F32" i="12"/>
  <c r="D32" i="12"/>
  <c r="C32" i="12"/>
  <c r="B32" i="12"/>
  <c r="E31" i="12"/>
  <c r="F31" i="12"/>
  <c r="D31" i="12"/>
  <c r="C31" i="12"/>
  <c r="B31" i="12"/>
  <c r="C30" i="12"/>
  <c r="F30" i="12"/>
  <c r="E29" i="12"/>
  <c r="D29" i="12"/>
  <c r="C29" i="12"/>
  <c r="B29" i="12"/>
  <c r="E28" i="12"/>
  <c r="F28" i="12"/>
  <c r="D28" i="12"/>
  <c r="C28" i="12"/>
  <c r="B28" i="12"/>
  <c r="E27" i="12"/>
  <c r="F27" i="12"/>
  <c r="D27" i="12"/>
  <c r="C27" i="12"/>
  <c r="B27" i="12"/>
  <c r="E24" i="12"/>
  <c r="F24" i="12"/>
  <c r="D24" i="12"/>
  <c r="C24" i="12"/>
  <c r="B24" i="12"/>
  <c r="E23" i="12"/>
  <c r="F23" i="12"/>
  <c r="D23" i="12"/>
  <c r="C23" i="12"/>
  <c r="B23" i="12"/>
  <c r="E22" i="12"/>
  <c r="D22" i="12"/>
  <c r="C22" i="12"/>
  <c r="B22" i="12"/>
  <c r="E21" i="12"/>
  <c r="F21" i="12"/>
  <c r="D21" i="12"/>
  <c r="C21" i="12"/>
  <c r="B21" i="12"/>
  <c r="E20" i="12"/>
  <c r="F20" i="12"/>
  <c r="D20" i="12"/>
  <c r="C20" i="12"/>
  <c r="B20" i="12"/>
  <c r="E19" i="12"/>
  <c r="F19" i="12"/>
  <c r="D19" i="12"/>
  <c r="C19" i="12"/>
  <c r="B19" i="12"/>
  <c r="E18" i="12"/>
  <c r="D18" i="12"/>
  <c r="C18" i="12"/>
  <c r="B18" i="12"/>
  <c r="C17" i="12"/>
  <c r="B15" i="12"/>
  <c r="E14" i="12"/>
  <c r="F14" i="12"/>
  <c r="D14" i="12"/>
  <c r="C14" i="12"/>
  <c r="B14" i="12"/>
  <c r="E13" i="12"/>
  <c r="D13" i="12"/>
  <c r="C13" i="12"/>
  <c r="F13" i="12"/>
  <c r="B13" i="12"/>
  <c r="E12" i="12"/>
  <c r="D12" i="12"/>
  <c r="C12" i="12"/>
  <c r="F12" i="12"/>
  <c r="B12" i="12"/>
  <c r="E11" i="12"/>
  <c r="F11" i="12"/>
  <c r="D11" i="12"/>
  <c r="C11" i="12"/>
  <c r="B11" i="12"/>
  <c r="E10" i="12"/>
  <c r="D10" i="12"/>
  <c r="C10" i="12"/>
  <c r="B10" i="12"/>
  <c r="E9" i="12"/>
  <c r="F9" i="12"/>
  <c r="D9" i="12"/>
  <c r="C9" i="12"/>
  <c r="B9" i="12"/>
  <c r="E8" i="12"/>
  <c r="F8" i="12"/>
  <c r="D8" i="12"/>
  <c r="C8" i="12"/>
  <c r="B8" i="12"/>
  <c r="H6" i="12"/>
  <c r="J29" i="9"/>
  <c r="J28" i="9"/>
  <c r="G34" i="14"/>
  <c r="G28" i="14"/>
  <c r="G31" i="14"/>
  <c r="D81" i="12"/>
  <c r="D83" i="12"/>
  <c r="F29" i="12"/>
  <c r="C39" i="12"/>
  <c r="C35" i="12"/>
  <c r="A46" i="12"/>
  <c r="C46" i="12"/>
  <c r="F46" i="12"/>
  <c r="E51" i="12"/>
  <c r="F51" i="12"/>
  <c r="A45" i="12"/>
  <c r="C45" i="12"/>
  <c r="H36" i="9"/>
  <c r="F24" i="9"/>
  <c r="F20" i="9"/>
  <c r="D13" i="9"/>
  <c r="F13" i="9"/>
  <c r="F10" i="9"/>
  <c r="D12" i="9"/>
  <c r="F12" i="9"/>
  <c r="D11" i="9"/>
  <c r="F11" i="9"/>
  <c r="E10" i="9"/>
  <c r="D9" i="9"/>
  <c r="D6" i="9"/>
  <c r="B28" i="8"/>
  <c r="C28" i="8"/>
  <c r="F28" i="8"/>
  <c r="D28" i="8"/>
  <c r="E28" i="8"/>
  <c r="B29" i="8"/>
  <c r="C29" i="8"/>
  <c r="F29" i="8"/>
  <c r="D29" i="8"/>
  <c r="E29" i="8"/>
  <c r="B30" i="8"/>
  <c r="C30" i="8"/>
  <c r="F30" i="8"/>
  <c r="D30" i="8"/>
  <c r="E30" i="8"/>
  <c r="B31" i="8"/>
  <c r="C31" i="8"/>
  <c r="D31" i="8"/>
  <c r="E31" i="8"/>
  <c r="F31" i="8"/>
  <c r="B32" i="8"/>
  <c r="C32" i="8"/>
  <c r="D32" i="8"/>
  <c r="E32" i="8"/>
  <c r="E51" i="8"/>
  <c r="F51" i="8"/>
  <c r="E42" i="8"/>
  <c r="E19" i="8"/>
  <c r="F19" i="8"/>
  <c r="A41" i="8"/>
  <c r="C41" i="8"/>
  <c r="F41" i="8"/>
  <c r="D78" i="8"/>
  <c r="D79" i="8"/>
  <c r="D81" i="8"/>
  <c r="D76" i="8"/>
  <c r="D74" i="8"/>
  <c r="F70" i="8"/>
  <c r="C78" i="8"/>
  <c r="D65" i="8"/>
  <c r="D90" i="8"/>
  <c r="D91" i="8"/>
  <c r="C56" i="8"/>
  <c r="E55" i="8"/>
  <c r="D55" i="8"/>
  <c r="B55" i="8"/>
  <c r="E54" i="8"/>
  <c r="D54" i="8"/>
  <c r="B54" i="8"/>
  <c r="E52" i="8"/>
  <c r="D52" i="8"/>
  <c r="B52" i="8"/>
  <c r="E50" i="8"/>
  <c r="F50" i="8"/>
  <c r="D50" i="8"/>
  <c r="B50" i="8"/>
  <c r="E49" i="8"/>
  <c r="D49" i="8"/>
  <c r="B49" i="8"/>
  <c r="E46" i="8"/>
  <c r="F46" i="8"/>
  <c r="D46" i="8"/>
  <c r="B46" i="8"/>
  <c r="A46" i="8"/>
  <c r="C46" i="8"/>
  <c r="E45" i="8"/>
  <c r="F45" i="8"/>
  <c r="D45" i="8"/>
  <c r="B45" i="8"/>
  <c r="A45" i="8"/>
  <c r="C45" i="8"/>
  <c r="A44" i="8"/>
  <c r="C44" i="8"/>
  <c r="A53" i="8"/>
  <c r="C53" i="8"/>
  <c r="E43" i="8"/>
  <c r="F43" i="8"/>
  <c r="D43" i="8"/>
  <c r="B43" i="8"/>
  <c r="A43" i="8"/>
  <c r="C43" i="8"/>
  <c r="A42" i="8"/>
  <c r="A51" i="8"/>
  <c r="C51" i="8"/>
  <c r="E41" i="8"/>
  <c r="D41" i="8"/>
  <c r="B41" i="8"/>
  <c r="E40" i="8"/>
  <c r="D40" i="8"/>
  <c r="B40" i="8"/>
  <c r="A40" i="8"/>
  <c r="E37" i="8"/>
  <c r="F37" i="8"/>
  <c r="D37" i="8"/>
  <c r="C37" i="8"/>
  <c r="B37" i="8"/>
  <c r="E36" i="8"/>
  <c r="D36" i="8"/>
  <c r="C36" i="8"/>
  <c r="F36" i="8"/>
  <c r="B36" i="8"/>
  <c r="E35" i="8"/>
  <c r="D35" i="8"/>
  <c r="C35" i="8"/>
  <c r="F35" i="8"/>
  <c r="B35" i="8"/>
  <c r="E34" i="8"/>
  <c r="F34" i="8"/>
  <c r="D34" i="8"/>
  <c r="C34" i="8"/>
  <c r="B34" i="8"/>
  <c r="E33" i="8"/>
  <c r="F33" i="8"/>
  <c r="D33" i="8"/>
  <c r="C33" i="8"/>
  <c r="B33" i="8"/>
  <c r="E27" i="8"/>
  <c r="F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0" i="8"/>
  <c r="F20" i="8"/>
  <c r="D20" i="8"/>
  <c r="C20" i="8"/>
  <c r="B20" i="8"/>
  <c r="C19" i="8"/>
  <c r="E18" i="8"/>
  <c r="F18" i="8"/>
  <c r="D18" i="8"/>
  <c r="C18" i="8"/>
  <c r="B18" i="8"/>
  <c r="E17" i="8"/>
  <c r="F17" i="8"/>
  <c r="D17" i="8"/>
  <c r="C17" i="8"/>
  <c r="B17" i="8"/>
  <c r="B15" i="8"/>
  <c r="E14" i="8"/>
  <c r="D14" i="8"/>
  <c r="C14" i="8"/>
  <c r="F14" i="8"/>
  <c r="B14" i="8"/>
  <c r="E13" i="8"/>
  <c r="F13" i="8"/>
  <c r="D13" i="8"/>
  <c r="C13" i="8"/>
  <c r="B13" i="8"/>
  <c r="E12" i="8"/>
  <c r="D12" i="8"/>
  <c r="C12" i="8"/>
  <c r="F12" i="8"/>
  <c r="B12" i="8"/>
  <c r="E11" i="8"/>
  <c r="D11" i="8"/>
  <c r="C11" i="8"/>
  <c r="B11" i="8"/>
  <c r="E10" i="8"/>
  <c r="D10" i="8"/>
  <c r="C10" i="8"/>
  <c r="F10" i="8"/>
  <c r="B10" i="8"/>
  <c r="E9" i="8"/>
  <c r="F9" i="8"/>
  <c r="D9" i="8"/>
  <c r="C9" i="8"/>
  <c r="B9" i="8"/>
  <c r="E8" i="8"/>
  <c r="D8" i="8"/>
  <c r="C8" i="8"/>
  <c r="F8" i="8"/>
  <c r="B8" i="8"/>
  <c r="H6" i="8"/>
  <c r="D83" i="7"/>
  <c r="D73" i="7"/>
  <c r="D74" i="7"/>
  <c r="D76" i="7"/>
  <c r="D71" i="7"/>
  <c r="D69" i="7"/>
  <c r="F65" i="7"/>
  <c r="C73" i="7"/>
  <c r="C85" i="7"/>
  <c r="D60" i="7"/>
  <c r="D85" i="7"/>
  <c r="D86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A47" i="7"/>
  <c r="C47" i="7"/>
  <c r="F47" i="7"/>
  <c r="E46" i="7"/>
  <c r="F46" i="7"/>
  <c r="D46" i="7"/>
  <c r="B46" i="7"/>
  <c r="E45" i="7"/>
  <c r="D45" i="7"/>
  <c r="B45" i="7"/>
  <c r="E44" i="7"/>
  <c r="D44" i="7"/>
  <c r="B44" i="7"/>
  <c r="E41" i="7"/>
  <c r="D41" i="7"/>
  <c r="B41" i="7"/>
  <c r="A41" i="7"/>
  <c r="C41" i="7"/>
  <c r="F41" i="7"/>
  <c r="E40" i="7"/>
  <c r="D40" i="7"/>
  <c r="B40" i="7"/>
  <c r="A40" i="7"/>
  <c r="E39" i="7"/>
  <c r="D39" i="7"/>
  <c r="B39" i="7"/>
  <c r="A39" i="7"/>
  <c r="A48" i="7"/>
  <c r="C48" i="7"/>
  <c r="F48" i="7"/>
  <c r="E38" i="7"/>
  <c r="D38" i="7"/>
  <c r="B38" i="7"/>
  <c r="A38" i="7"/>
  <c r="C38" i="7"/>
  <c r="E37" i="7"/>
  <c r="F37" i="7"/>
  <c r="D37" i="7"/>
  <c r="B37" i="7"/>
  <c r="A37" i="7"/>
  <c r="C37" i="7"/>
  <c r="E36" i="7"/>
  <c r="D36" i="7"/>
  <c r="B36" i="7"/>
  <c r="A36" i="7"/>
  <c r="A45" i="7"/>
  <c r="C45" i="7"/>
  <c r="F45" i="7"/>
  <c r="E35" i="7"/>
  <c r="F35" i="7"/>
  <c r="D35" i="7"/>
  <c r="B35" i="7"/>
  <c r="A35" i="7"/>
  <c r="A44" i="7"/>
  <c r="C44" i="7"/>
  <c r="E32" i="7"/>
  <c r="F32" i="7"/>
  <c r="D32" i="7"/>
  <c r="C32" i="7"/>
  <c r="B32" i="7"/>
  <c r="E31" i="7"/>
  <c r="F31" i="7"/>
  <c r="D31" i="7"/>
  <c r="C31" i="7"/>
  <c r="B31" i="7"/>
  <c r="E30" i="7"/>
  <c r="D30" i="7"/>
  <c r="C30" i="7"/>
  <c r="F30" i="7"/>
  <c r="B30" i="7"/>
  <c r="E29" i="7"/>
  <c r="D29" i="7"/>
  <c r="C29" i="7"/>
  <c r="B29" i="7"/>
  <c r="E28" i="7"/>
  <c r="F28" i="7"/>
  <c r="D28" i="7"/>
  <c r="C28" i="7"/>
  <c r="B28" i="7"/>
  <c r="E27" i="7"/>
  <c r="D27" i="7"/>
  <c r="C27" i="7"/>
  <c r="B27" i="7"/>
  <c r="E24" i="7"/>
  <c r="D24" i="7"/>
  <c r="C24" i="7"/>
  <c r="F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E19" i="7"/>
  <c r="D19" i="7"/>
  <c r="C19" i="7"/>
  <c r="B19" i="7"/>
  <c r="E18" i="7"/>
  <c r="D18" i="7"/>
  <c r="C18" i="7"/>
  <c r="F18" i="7"/>
  <c r="B18" i="7"/>
  <c r="E17" i="7"/>
  <c r="D17" i="7"/>
  <c r="C17" i="7"/>
  <c r="F17" i="7"/>
  <c r="B17" i="7"/>
  <c r="B15" i="7"/>
  <c r="E14" i="7"/>
  <c r="F14" i="7"/>
  <c r="D14" i="7"/>
  <c r="C14" i="7"/>
  <c r="B14" i="7"/>
  <c r="E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D9" i="7"/>
  <c r="C9" i="7"/>
  <c r="F9" i="7"/>
  <c r="B9" i="7"/>
  <c r="E8" i="7"/>
  <c r="D8" i="7"/>
  <c r="C8" i="7"/>
  <c r="F8" i="7"/>
  <c r="B8" i="7"/>
  <c r="H6" i="7"/>
  <c r="C35" i="6"/>
  <c r="D88" i="8"/>
  <c r="A55" i="8"/>
  <c r="C55" i="8"/>
  <c r="F55" i="8"/>
  <c r="A54" i="8"/>
  <c r="C54" i="8"/>
  <c r="F54" i="8"/>
  <c r="A52" i="8"/>
  <c r="C52" i="8"/>
  <c r="F52" i="8"/>
  <c r="C36" i="7"/>
  <c r="C35" i="7"/>
  <c r="A46" i="7"/>
  <c r="C46" i="7"/>
  <c r="A50" i="7"/>
  <c r="C50" i="7"/>
  <c r="F50" i="7"/>
  <c r="E51" i="7"/>
  <c r="F51" i="7"/>
  <c r="D81" i="7"/>
  <c r="E56" i="8"/>
  <c r="F56" i="8"/>
  <c r="D86" i="8"/>
  <c r="C42" i="8"/>
  <c r="F42" i="8"/>
  <c r="F22" i="9"/>
  <c r="G22" i="9"/>
  <c r="A50" i="8"/>
  <c r="C50" i="8"/>
  <c r="G27" i="9"/>
  <c r="F31" i="9"/>
  <c r="G20" i="9"/>
  <c r="G24" i="9"/>
  <c r="C90" i="18"/>
  <c r="E90" i="18"/>
  <c r="E78" i="18"/>
  <c r="F46" i="18"/>
  <c r="C43" i="18"/>
  <c r="F43" i="18"/>
  <c r="C45" i="18"/>
  <c r="D86" i="18"/>
  <c r="C42" i="18"/>
  <c r="F42" i="18"/>
  <c r="C44" i="18"/>
  <c r="A55" i="18"/>
  <c r="C55" i="18"/>
  <c r="F41" i="14"/>
  <c r="G41" i="14"/>
  <c r="F19" i="7"/>
  <c r="F36" i="7"/>
  <c r="F32" i="9"/>
  <c r="E73" i="7"/>
  <c r="A49" i="7"/>
  <c r="C49" i="7"/>
  <c r="F49" i="7"/>
  <c r="C40" i="7"/>
  <c r="F40" i="7"/>
  <c r="C41" i="12"/>
  <c r="A50" i="12"/>
  <c r="C50" i="12"/>
  <c r="F50" i="12"/>
  <c r="E85" i="7"/>
  <c r="F41" i="18"/>
  <c r="C39" i="7"/>
  <c r="F39" i="7"/>
  <c r="F32" i="18"/>
  <c r="F55" i="18"/>
  <c r="G29" i="14"/>
  <c r="G33" i="14"/>
  <c r="F29" i="7"/>
  <c r="A49" i="8"/>
  <c r="C49" i="8"/>
  <c r="F49" i="8"/>
  <c r="C40" i="8"/>
  <c r="F40" i="8"/>
  <c r="E78" i="8"/>
  <c r="C90" i="8"/>
  <c r="E90" i="8"/>
  <c r="D10" i="9"/>
  <c r="F13" i="7"/>
  <c r="F27" i="7"/>
  <c r="F32" i="8"/>
  <c r="F44" i="7"/>
  <c r="F10" i="12"/>
  <c r="F41" i="12"/>
  <c r="C85" i="12"/>
  <c r="E85" i="12"/>
  <c r="E73" i="12"/>
  <c r="F45" i="18"/>
  <c r="F18" i="12"/>
  <c r="G27" i="14"/>
  <c r="F51" i="18"/>
  <c r="F38" i="7"/>
  <c r="F37" i="12"/>
  <c r="F39" i="12"/>
  <c r="F45" i="12"/>
  <c r="G37" i="14"/>
  <c r="C40" i="12"/>
  <c r="F40" i="12"/>
  <c r="A49" i="12"/>
  <c r="C49" i="12"/>
  <c r="F49" i="12"/>
  <c r="F14" i="18"/>
  <c r="A50" i="18"/>
  <c r="C50" i="18"/>
  <c r="F50" i="18"/>
  <c r="C41" i="18"/>
  <c r="F11" i="8"/>
  <c r="F22" i="12"/>
  <c r="F33" i="9"/>
  <c r="F34" i="9"/>
  <c r="F53" i="7"/>
  <c r="F58" i="8"/>
  <c r="F54" i="7"/>
  <c r="F56" i="7"/>
  <c r="G43" i="14"/>
  <c r="G49" i="14"/>
  <c r="C74" i="8"/>
  <c r="F69" i="8"/>
  <c r="H58" i="8"/>
  <c r="H56" i="7"/>
  <c r="H2" i="7"/>
  <c r="C74" i="7"/>
  <c r="O55" i="7"/>
  <c r="H54" i="7"/>
  <c r="G2" i="7"/>
  <c r="C76" i="7"/>
  <c r="E76" i="7"/>
  <c r="I36" i="9"/>
  <c r="F35" i="9"/>
  <c r="F36" i="9"/>
  <c r="C69" i="7"/>
  <c r="H53" i="7"/>
  <c r="F2" i="7"/>
  <c r="F64" i="7"/>
  <c r="F55" i="7"/>
  <c r="F38" i="9"/>
  <c r="F37" i="9"/>
  <c r="G31" i="9"/>
  <c r="G11" i="9"/>
  <c r="G13" i="9"/>
  <c r="G12" i="9"/>
  <c r="G10" i="9"/>
  <c r="G32" i="9"/>
  <c r="G33" i="9"/>
  <c r="G34" i="9"/>
  <c r="E74" i="8"/>
  <c r="C86" i="8"/>
  <c r="E86" i="8"/>
  <c r="C81" i="7"/>
  <c r="E81" i="7"/>
  <c r="E69" i="7"/>
  <c r="E44" i="18"/>
  <c r="F44" i="18"/>
  <c r="E44" i="8"/>
  <c r="F44" i="8"/>
  <c r="E35" i="12"/>
  <c r="F35" i="12"/>
  <c r="F6" i="9"/>
  <c r="F2" i="8"/>
  <c r="F63" i="7"/>
  <c r="H55" i="7"/>
  <c r="O54" i="7"/>
  <c r="C86" i="7"/>
  <c r="E86" i="7"/>
  <c r="E74" i="7"/>
  <c r="F59" i="18"/>
  <c r="E44" i="12"/>
  <c r="F44" i="12"/>
  <c r="E53" i="8"/>
  <c r="F53" i="8"/>
  <c r="E53" i="18"/>
  <c r="F53" i="18"/>
  <c r="E17" i="12"/>
  <c r="F17" i="12"/>
  <c r="E78" i="7"/>
  <c r="E21" i="18"/>
  <c r="F21" i="18"/>
  <c r="F54" i="12"/>
  <c r="F66" i="7"/>
  <c r="C71" i="7"/>
  <c r="E63" i="7"/>
  <c r="G6" i="9"/>
  <c r="F15" i="9"/>
  <c r="F59" i="8"/>
  <c r="O56" i="7"/>
  <c r="O57" i="7"/>
  <c r="O58" i="7"/>
  <c r="O59" i="7"/>
  <c r="G15" i="9"/>
  <c r="F53" i="12"/>
  <c r="F56" i="12"/>
  <c r="H54" i="12"/>
  <c r="G2" i="12"/>
  <c r="C76" i="12"/>
  <c r="E76" i="12"/>
  <c r="F61" i="18"/>
  <c r="C81" i="8"/>
  <c r="E81" i="8"/>
  <c r="H59" i="8"/>
  <c r="F60" i="8"/>
  <c r="G14" i="7"/>
  <c r="G66" i="7"/>
  <c r="G46" i="7"/>
  <c r="G28" i="7"/>
  <c r="G65" i="7"/>
  <c r="G20" i="7"/>
  <c r="G17" i="7"/>
  <c r="G37" i="7"/>
  <c r="G47" i="7"/>
  <c r="G12" i="7"/>
  <c r="G22" i="7"/>
  <c r="G41" i="7"/>
  <c r="G23" i="7"/>
  <c r="G32" i="7"/>
  <c r="G31" i="7"/>
  <c r="G21" i="7"/>
  <c r="G48" i="7"/>
  <c r="G11" i="7"/>
  <c r="G24" i="7"/>
  <c r="G9" i="7"/>
  <c r="G35" i="7"/>
  <c r="G50" i="7"/>
  <c r="G8" i="7"/>
  <c r="G51" i="7"/>
  <c r="G10" i="7"/>
  <c r="G18" i="7"/>
  <c r="G45" i="7"/>
  <c r="G30" i="7"/>
  <c r="G40" i="7"/>
  <c r="G49" i="7"/>
  <c r="G27" i="7"/>
  <c r="G39" i="7"/>
  <c r="G36" i="7"/>
  <c r="G38" i="7"/>
  <c r="G44" i="7"/>
  <c r="G13" i="7"/>
  <c r="G29" i="7"/>
  <c r="G19" i="7"/>
  <c r="G54" i="7"/>
  <c r="G53" i="7"/>
  <c r="G56" i="7"/>
  <c r="G55" i="7"/>
  <c r="G64" i="7"/>
  <c r="F58" i="18"/>
  <c r="F61" i="8"/>
  <c r="H59" i="18"/>
  <c r="C81" i="18"/>
  <c r="E81" i="18"/>
  <c r="E71" i="7"/>
  <c r="C83" i="7"/>
  <c r="E83" i="7"/>
  <c r="G63" i="7"/>
  <c r="O60" i="7"/>
  <c r="O61" i="7"/>
  <c r="O62" i="7"/>
  <c r="H53" i="12"/>
  <c r="F2" i="12"/>
  <c r="F55" i="12"/>
  <c r="C69" i="12"/>
  <c r="F64" i="12"/>
  <c r="E9" i="19"/>
  <c r="F9" i="19"/>
  <c r="G2" i="18"/>
  <c r="O59" i="8"/>
  <c r="F68" i="8"/>
  <c r="H60" i="8"/>
  <c r="C74" i="12"/>
  <c r="H56" i="12"/>
  <c r="H2" i="12"/>
  <c r="H61" i="8"/>
  <c r="H2" i="8"/>
  <c r="C79" i="8"/>
  <c r="G2" i="8"/>
  <c r="F9" i="9"/>
  <c r="H58" i="18"/>
  <c r="F60" i="18"/>
  <c r="F69" i="18"/>
  <c r="C74" i="18"/>
  <c r="C79" i="18"/>
  <c r="H61" i="18"/>
  <c r="H2" i="18"/>
  <c r="E6" i="19"/>
  <c r="F6" i="19"/>
  <c r="F2" i="18"/>
  <c r="C91" i="8"/>
  <c r="E91" i="8"/>
  <c r="E79" i="8"/>
  <c r="E83" i="8"/>
  <c r="E69" i="12"/>
  <c r="C81" i="12"/>
  <c r="E81" i="12"/>
  <c r="F63" i="12"/>
  <c r="H55" i="12"/>
  <c r="O54" i="12"/>
  <c r="O59" i="18"/>
  <c r="H60" i="18"/>
  <c r="F68" i="18"/>
  <c r="F16" i="9"/>
  <c r="G9" i="9"/>
  <c r="F12" i="19"/>
  <c r="E74" i="18"/>
  <c r="E83" i="18"/>
  <c r="C86" i="18"/>
  <c r="E86" i="18"/>
  <c r="E2" i="7"/>
  <c r="P62" i="7"/>
  <c r="E68" i="8"/>
  <c r="F71" i="8"/>
  <c r="C76" i="8"/>
  <c r="O61" i="8"/>
  <c r="O62" i="8"/>
  <c r="O64" i="8"/>
  <c r="O65" i="8"/>
  <c r="O66" i="8"/>
  <c r="O67" i="8"/>
  <c r="E79" i="18"/>
  <c r="C91" i="18"/>
  <c r="E91" i="18"/>
  <c r="C86" i="12"/>
  <c r="E86" i="12"/>
  <c r="E74" i="12"/>
  <c r="O61" i="18"/>
  <c r="O62" i="18"/>
  <c r="O64" i="18"/>
  <c r="E63" i="12"/>
  <c r="C71" i="12"/>
  <c r="F66" i="12"/>
  <c r="G63" i="12"/>
  <c r="E78" i="12"/>
  <c r="E2" i="8"/>
  <c r="F9" i="14"/>
  <c r="G9" i="14"/>
  <c r="P67" i="8"/>
  <c r="G33" i="8"/>
  <c r="G22" i="8"/>
  <c r="G8" i="8"/>
  <c r="G35" i="8"/>
  <c r="G43" i="8"/>
  <c r="G29" i="8"/>
  <c r="G10" i="8"/>
  <c r="G70" i="8"/>
  <c r="G9" i="8"/>
  <c r="G31" i="8"/>
  <c r="G30" i="8"/>
  <c r="G23" i="8"/>
  <c r="G13" i="8"/>
  <c r="G27" i="8"/>
  <c r="G28" i="8"/>
  <c r="G71" i="8"/>
  <c r="G12" i="8"/>
  <c r="G17" i="8"/>
  <c r="G36" i="8"/>
  <c r="G45" i="8"/>
  <c r="G54" i="8"/>
  <c r="G50" i="8"/>
  <c r="G42" i="8"/>
  <c r="G24" i="8"/>
  <c r="G55" i="8"/>
  <c r="G20" i="8"/>
  <c r="G14" i="8"/>
  <c r="G19" i="8"/>
  <c r="G37" i="8"/>
  <c r="G41" i="8"/>
  <c r="G51" i="8"/>
  <c r="G52" i="8"/>
  <c r="G34" i="8"/>
  <c r="G56" i="8"/>
  <c r="G46" i="8"/>
  <c r="G18" i="8"/>
  <c r="G40" i="8"/>
  <c r="G49" i="8"/>
  <c r="G32" i="8"/>
  <c r="G11" i="8"/>
  <c r="G58" i="8"/>
  <c r="G69" i="8"/>
  <c r="G44" i="8"/>
  <c r="G59" i="8"/>
  <c r="G53" i="8"/>
  <c r="G61" i="8"/>
  <c r="G60" i="8"/>
  <c r="G16" i="9"/>
  <c r="F17" i="9"/>
  <c r="O56" i="12"/>
  <c r="O57" i="12"/>
  <c r="O59" i="12"/>
  <c r="G68" i="8"/>
  <c r="C76" i="18"/>
  <c r="E68" i="18"/>
  <c r="F71" i="18"/>
  <c r="E76" i="8"/>
  <c r="C88" i="8"/>
  <c r="E88" i="8"/>
  <c r="F11" i="19"/>
  <c r="O60" i="12"/>
  <c r="O61" i="12"/>
  <c r="O62" i="12"/>
  <c r="F13" i="19"/>
  <c r="G13" i="18"/>
  <c r="G18" i="18"/>
  <c r="G70" i="18"/>
  <c r="G9" i="18"/>
  <c r="G36" i="18"/>
  <c r="G27" i="18"/>
  <c r="G43" i="18"/>
  <c r="G8" i="18"/>
  <c r="G30" i="18"/>
  <c r="G71" i="18"/>
  <c r="G19" i="18"/>
  <c r="G24" i="18"/>
  <c r="G33" i="18"/>
  <c r="G31" i="18"/>
  <c r="G12" i="18"/>
  <c r="G49" i="18"/>
  <c r="G56" i="18"/>
  <c r="G22" i="18"/>
  <c r="G40" i="18"/>
  <c r="G28" i="18"/>
  <c r="G34" i="18"/>
  <c r="G35" i="18"/>
  <c r="G11" i="18"/>
  <c r="G42" i="18"/>
  <c r="G23" i="18"/>
  <c r="G29" i="18"/>
  <c r="G46" i="18"/>
  <c r="G17" i="18"/>
  <c r="G10" i="18"/>
  <c r="G52" i="18"/>
  <c r="G20" i="18"/>
  <c r="G54" i="18"/>
  <c r="G37" i="18"/>
  <c r="G55" i="18"/>
  <c r="G45" i="18"/>
  <c r="G50" i="18"/>
  <c r="G14" i="18"/>
  <c r="G32" i="18"/>
  <c r="G51" i="18"/>
  <c r="G41" i="18"/>
  <c r="G44" i="18"/>
  <c r="G21" i="18"/>
  <c r="G53" i="18"/>
  <c r="G59" i="18"/>
  <c r="G61" i="18"/>
  <c r="G58" i="18"/>
  <c r="G69" i="18"/>
  <c r="G60" i="18"/>
  <c r="G66" i="12"/>
  <c r="G13" i="12"/>
  <c r="G27" i="12"/>
  <c r="G8" i="12"/>
  <c r="G29" i="12"/>
  <c r="G11" i="12"/>
  <c r="G14" i="12"/>
  <c r="G30" i="12"/>
  <c r="G28" i="12"/>
  <c r="G32" i="12"/>
  <c r="G46" i="12"/>
  <c r="G21" i="12"/>
  <c r="G65" i="12"/>
  <c r="G48" i="12"/>
  <c r="G12" i="12"/>
  <c r="G20" i="12"/>
  <c r="G31" i="12"/>
  <c r="G19" i="12"/>
  <c r="G47" i="12"/>
  <c r="G36" i="12"/>
  <c r="G9" i="12"/>
  <c r="G51" i="12"/>
  <c r="G38" i="12"/>
  <c r="G23" i="12"/>
  <c r="G24" i="12"/>
  <c r="G39" i="12"/>
  <c r="G50" i="12"/>
  <c r="G45" i="12"/>
  <c r="G22" i="12"/>
  <c r="G49" i="12"/>
  <c r="G37" i="12"/>
  <c r="G18" i="12"/>
  <c r="G10" i="12"/>
  <c r="G40" i="12"/>
  <c r="G41" i="12"/>
  <c r="G35" i="12"/>
  <c r="G44" i="12"/>
  <c r="G17" i="12"/>
  <c r="G54" i="12"/>
  <c r="G56" i="12"/>
  <c r="G53" i="12"/>
  <c r="G64" i="12"/>
  <c r="G55" i="12"/>
  <c r="C88" i="18"/>
  <c r="E88" i="18"/>
  <c r="E76" i="18"/>
  <c r="E71" i="12"/>
  <c r="C83" i="12"/>
  <c r="E83" i="12"/>
  <c r="G68" i="18"/>
  <c r="G17" i="9"/>
  <c r="F19" i="9"/>
  <c r="O65" i="18"/>
  <c r="O66" i="18"/>
  <c r="O67" i="18"/>
  <c r="E2" i="12"/>
  <c r="P62" i="12"/>
  <c r="F10" i="14"/>
  <c r="G10" i="14"/>
  <c r="E2" i="18"/>
  <c r="P67" i="18"/>
  <c r="F15" i="19"/>
  <c r="G19" i="9"/>
  <c r="F21" i="9"/>
  <c r="G21" i="9"/>
  <c r="F23" i="9"/>
  <c r="F17" i="19"/>
  <c r="F19" i="19"/>
  <c r="G40" i="14"/>
  <c r="F21" i="19"/>
  <c r="G19" i="19"/>
  <c r="G42" i="14"/>
  <c r="F25" i="9"/>
  <c r="G23" i="9"/>
  <c r="G48" i="14"/>
  <c r="G44" i="14"/>
  <c r="G25" i="9"/>
  <c r="F26" i="9"/>
  <c r="G26" i="9"/>
  <c r="F23" i="19"/>
  <c r="F22" i="19"/>
  <c r="G20" i="19"/>
  <c r="F27" i="19"/>
  <c r="G18" i="19"/>
  <c r="G16" i="19"/>
  <c r="G23" i="19"/>
  <c r="G9" i="19"/>
  <c r="G12" i="19"/>
  <c r="G6" i="19"/>
  <c r="G11" i="19"/>
  <c r="G13" i="19"/>
  <c r="G15" i="19"/>
  <c r="G17" i="19"/>
  <c r="G21" i="19"/>
  <c r="G22" i="19"/>
  <c r="G50" i="14"/>
  <c r="F28" i="19"/>
  <c r="F29" i="19"/>
  <c r="G51" i="14"/>
  <c r="F30" i="19"/>
  <c r="F31" i="19"/>
  <c r="I1" i="14"/>
  <c r="G52" i="14"/>
  <c r="G53" i="14"/>
  <c r="J53" i="14"/>
  <c r="H31" i="14"/>
  <c r="H20" i="14"/>
  <c r="G54" i="14"/>
  <c r="H30" i="14"/>
  <c r="H12" i="14"/>
  <c r="H19" i="14"/>
  <c r="H24" i="14"/>
  <c r="H35" i="14"/>
  <c r="G55" i="14"/>
  <c r="H28" i="14"/>
  <c r="H18" i="14"/>
  <c r="H14" i="14"/>
  <c r="H13" i="14"/>
  <c r="H17" i="14"/>
  <c r="H34" i="14"/>
  <c r="H41" i="14"/>
  <c r="H11" i="14"/>
  <c r="H38" i="14"/>
  <c r="H26" i="14"/>
  <c r="H36" i="14"/>
  <c r="H25" i="14"/>
  <c r="H33" i="14"/>
  <c r="H27" i="14"/>
  <c r="H29" i="14"/>
  <c r="H37" i="14"/>
  <c r="H43" i="14"/>
  <c r="H49" i="14"/>
  <c r="H9" i="14"/>
  <c r="H10" i="14"/>
  <c r="H40" i="14"/>
  <c r="H42" i="14"/>
  <c r="H44" i="14"/>
  <c r="H48" i="14"/>
  <c r="H50" i="14"/>
  <c r="H51" i="14"/>
  <c r="F34" i="19"/>
  <c r="F35" i="19"/>
  <c r="F32" i="19"/>
  <c r="G29" i="19"/>
  <c r="H2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E24" authorId="0" shapeId="0" xr:uid="{A04E092F-2447-47ED-A7D5-BF45B4B37CC6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incluye alisto y camiones</t>
        </r>
      </text>
    </comment>
  </commentList>
</comments>
</file>

<file path=xl/sharedStrings.xml><?xml version="1.0" encoding="utf-8"?>
<sst xmlns="http://schemas.openxmlformats.org/spreadsheetml/2006/main" count="1033" uniqueCount="270">
  <si>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</si>
  <si>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</si>
  <si>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</si>
  <si>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</si>
  <si>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</si>
  <si>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</si>
  <si>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</si>
  <si>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</si>
  <si>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</si>
  <si>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</si>
  <si>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</si>
  <si>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</si>
  <si>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</si>
  <si>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</si>
  <si>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</si>
  <si>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</si>
  <si>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</si>
  <si>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</si>
  <si>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</si>
  <si>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</si>
  <si>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</si>
  <si>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</si>
  <si>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</si>
  <si>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</si>
  <si>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</si>
  <si>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</si>
  <si>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90100131</t>
  </si>
  <si>
    <t>10415</t>
  </si>
  <si>
    <t>90100142</t>
  </si>
  <si>
    <t>FAS</t>
  </si>
  <si>
    <t>g</t>
  </si>
  <si>
    <t>ud</t>
  </si>
  <si>
    <t>min</t>
  </si>
  <si>
    <t>tanda</t>
  </si>
  <si>
    <t>Esteban Cartin, Gte Manufactura</t>
  </si>
  <si>
    <t>Javier Tong, Chef</t>
  </si>
  <si>
    <t>907000002</t>
  </si>
  <si>
    <t>BASE GALLETA P/CHEESE CAKE (KILO)</t>
  </si>
  <si>
    <t>90200029</t>
  </si>
  <si>
    <t>RELLENO CHEESECAKE KILO</t>
  </si>
  <si>
    <t>1112431</t>
  </si>
  <si>
    <t>MANJAR LECHE CONDENSADA (PAQ: 4.5 K)</t>
  </si>
  <si>
    <t>Para pegar</t>
  </si>
  <si>
    <t>ORLA CARTON 9" DORADA (UND )</t>
  </si>
  <si>
    <t>RAPIBOX</t>
  </si>
  <si>
    <t>Exp PMT</t>
  </si>
  <si>
    <t>Cemusa</t>
  </si>
  <si>
    <t>RELLENO CARAMELO (KILO)</t>
  </si>
  <si>
    <t>CONEXU</t>
  </si>
  <si>
    <t>901000111</t>
  </si>
  <si>
    <t>GANACHE DE DULCE LECHE (4800g)</t>
  </si>
  <si>
    <t>DECORACION</t>
  </si>
  <si>
    <t>910000016</t>
  </si>
  <si>
    <t>CREMA BLANCA DULCE LECHE (KILO)</t>
  </si>
  <si>
    <t>BRITTLE DE ALMENDRAS</t>
  </si>
  <si>
    <t>Bordes</t>
  </si>
  <si>
    <t>Colochos boq #22</t>
  </si>
  <si>
    <t>20g</t>
  </si>
  <si>
    <t>Centro</t>
  </si>
  <si>
    <t>1/2 tz</t>
  </si>
  <si>
    <t>CHOCOLATE CORAZON ROJO PASION (CAJA:200)</t>
  </si>
  <si>
    <t>Karol</t>
  </si>
  <si>
    <t>NESTLE</t>
  </si>
  <si>
    <t>QUEQUERA RED C/BASE ALTA 9" (CAJA:100 U)</t>
  </si>
  <si>
    <t>ETIQUETA BLANCA 2 5/8X1 15/16 (UND)</t>
  </si>
  <si>
    <t>ETIQUETA BLANCA R-153 (UND)</t>
  </si>
  <si>
    <t>ETIQ.FECHA VENCIMIENTO BLANCO (ROLLO)</t>
  </si>
  <si>
    <t>CINTA ADHESIVA TRANSPARENT 2*100 M (UND)</t>
  </si>
  <si>
    <t>cm</t>
  </si>
  <si>
    <t>ETIQUETA IMP. SPOON MEDIANA V-273 (UND)</t>
  </si>
  <si>
    <t>ETIPLAST</t>
  </si>
  <si>
    <t>CEMUSA</t>
  </si>
  <si>
    <r>
      <t xml:space="preserve">1.- </t>
    </r>
    <r>
      <rPr>
        <sz val="11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</si>
  <si>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r>
      <t xml:space="preserve">3.- </t>
    </r>
    <r>
      <rPr>
        <sz val="11"/>
        <rFont val="Arial"/>
        <family val="2"/>
      </rPr>
      <t>Desmoldar con ayuda de una espatula.</t>
    </r>
  </si>
  <si>
    <r>
      <t xml:space="preserve">2.- </t>
    </r>
    <r>
      <rPr>
        <sz val="11"/>
        <rFont val="Arial"/>
        <family val="2"/>
      </rPr>
      <t>Una vez fria la galleta, dosificar en el molde 275g de mezcla de cheesecake, 120g de caramelo y 275g de mezcla de cheesecake. Dejar enfriar al menos 6 horas en Refrigeracion</t>
    </r>
  </si>
  <si>
    <r>
      <t xml:space="preserve">4.- </t>
    </r>
    <r>
      <rPr>
        <sz val="11"/>
        <rFont val="Arial"/>
        <family val="2"/>
      </rPr>
      <t>Pegar a la orla con manjar, decorar con ganache en el borde y dejar chorrear. Hacer colocho en el centro, rellenar con ganache el centro y sobre este ganache colocar el brittle de almednras.</t>
    </r>
  </si>
  <si>
    <r>
      <t xml:space="preserve">5.- </t>
    </r>
    <r>
      <rPr>
        <sz val="11"/>
        <rFont val="Arial"/>
        <family val="2"/>
      </rPr>
      <t>Decorar con un corazon de chocolate, tapar y etiquetar</t>
    </r>
  </si>
  <si>
    <t>Postre caramelo y almendras (dia de la madre 2021)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</si>
  <si>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</si>
  <si>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</si>
  <si>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</si>
  <si>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</si>
  <si>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</si>
  <si>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</si>
  <si>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</si>
  <si>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</si>
  <si>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</si>
  <si>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</si>
  <si>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</si>
  <si>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</si>
  <si>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</si>
  <si>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</si>
  <si>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</si>
  <si>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</si>
  <si>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</si>
  <si>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</si>
  <si>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</si>
  <si>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</si>
  <si>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</si>
  <si>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</si>
  <si>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</si>
  <si>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</si>
  <si>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</si>
  <si>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</si>
  <si>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</si>
  <si>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</si>
  <si>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</si>
  <si>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</si>
  <si>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</si>
  <si>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</si>
  <si>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</si>
  <si>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</si>
  <si>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</si>
  <si>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</si>
  <si>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</si>
  <si>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</si>
  <si>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</si>
  <si>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</si>
  <si>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</si>
  <si>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</si>
  <si>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</si>
  <si>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</si>
  <si>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</si>
  <si>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</si>
  <si>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</si>
  <si>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</si>
  <si>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</si>
  <si>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10100048</t>
  </si>
  <si>
    <t>503000036</t>
  </si>
  <si>
    <t>510149</t>
  </si>
  <si>
    <t>0310107</t>
  </si>
  <si>
    <t>1950928</t>
  </si>
  <si>
    <t>TANDA</t>
  </si>
  <si>
    <t>0410154</t>
  </si>
  <si>
    <t>Gramo</t>
  </si>
  <si>
    <t>96344</t>
  </si>
  <si>
    <t>10700029</t>
  </si>
  <si>
    <t>702182</t>
  </si>
  <si>
    <t>703020</t>
  </si>
  <si>
    <t>1950693</t>
  </si>
  <si>
    <t>51400021</t>
  </si>
  <si>
    <t>701096</t>
  </si>
  <si>
    <t>0702006</t>
  </si>
  <si>
    <t>0702123</t>
  </si>
  <si>
    <t>UND</t>
  </si>
  <si>
    <t>ESTRUCTURA DE COSTOS</t>
  </si>
  <si>
    <t>LOCALES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</si>
  <si>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</si>
  <si>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</si>
  <si>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</si>
  <si>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</si>
  <si>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</si>
  <si>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</si>
  <si>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</si>
  <si>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>EMPAQUE LOCAL</t>
  </si>
  <si>
    <t>LOCAL</t>
  </si>
  <si>
    <t>BOLSA IMP. SPOON CAMI 10* 20</t>
  </si>
  <si>
    <t>L1950709</t>
  </si>
  <si>
    <t>BOLSA IMP. SPOON CAMI 8 * 16</t>
  </si>
  <si>
    <t>L1950703</t>
  </si>
  <si>
    <t>SERVILLETA</t>
  </si>
  <si>
    <t>1950785</t>
  </si>
  <si>
    <t xml:space="preserve">TOTAL MATERIA PRIMA </t>
  </si>
  <si>
    <t xml:space="preserve">TOTAL EMPAQUE </t>
  </si>
  <si>
    <t>Planta</t>
  </si>
  <si>
    <t xml:space="preserve">DESECHO </t>
  </si>
  <si>
    <t>GAF</t>
  </si>
  <si>
    <t>PORC.</t>
  </si>
  <si>
    <t>Local</t>
  </si>
  <si>
    <t>COSTO TOTAL LOCAL</t>
  </si>
  <si>
    <t>MARK UP LOCAL</t>
  </si>
  <si>
    <t>PRECIO VENTA SIN IMP</t>
  </si>
  <si>
    <t>PRECIO VENTA IVI</t>
  </si>
  <si>
    <t>PRECIO VENTA II</t>
  </si>
  <si>
    <t>Alejandro Rodriguez S. / Costos</t>
  </si>
  <si>
    <t>Postre</t>
  </si>
  <si>
    <t>Espejo</t>
  </si>
  <si>
    <t>3/4 tz</t>
  </si>
  <si>
    <t>CHOCOLATE CORAZON DORADO</t>
  </si>
  <si>
    <r>
      <t xml:space="preserve">4.- </t>
    </r>
    <r>
      <rPr>
        <sz val="11"/>
        <rFont val="Arial"/>
        <family val="2"/>
      </rPr>
      <t>Pegar a la orla con manjar, decorar con ganache en el hacinedo espejo y dejar chorrear. sobre este ganache colocar el brittle de almednras.</t>
    </r>
  </si>
  <si>
    <t>GIF</t>
  </si>
  <si>
    <t xml:space="preserve">Se le incrementa un 10 % por volumen </t>
  </si>
  <si>
    <t>Empaque Brittle almendras 160g</t>
  </si>
  <si>
    <t>BOLSA 8x12 TRANSPARENTE KILO</t>
  </si>
  <si>
    <t>ETIQ.BLANCA 1 1/4 * 3/4 (UND)</t>
  </si>
  <si>
    <t>SEG</t>
  </si>
  <si>
    <t>1, Empacar 160g de Brittle en una bolsa 8*12, hacer nudo</t>
  </si>
  <si>
    <t>2, Etiquetar</t>
  </si>
  <si>
    <t xml:space="preserve">Gramos </t>
  </si>
  <si>
    <t>1950705</t>
  </si>
  <si>
    <t>702007</t>
  </si>
  <si>
    <t>0702069</t>
  </si>
  <si>
    <t>Und</t>
  </si>
  <si>
    <t>TOTAL 
COSTO</t>
  </si>
  <si>
    <t>DESCRIPCION SEMIELABORADOS PLANTA</t>
  </si>
  <si>
    <t>DESCRIPCION MAT.PRIMA LOCAL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</si>
  <si>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</si>
  <si>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</si>
  <si>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</si>
  <si>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</si>
  <si>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</si>
  <si>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Esteban Ramírez S. /  Costos </t>
  </si>
  <si>
    <t>POSTRE CARAMELO Y ALMENDRAS</t>
  </si>
  <si>
    <t xml:space="preserve">UND </t>
  </si>
  <si>
    <t>Bolsa Brittle 160 g</t>
  </si>
  <si>
    <t>Se le aumenta el 10 % costo por distribucion volumen GIF</t>
  </si>
  <si>
    <t>CÓDIGO</t>
  </si>
  <si>
    <t xml:space="preserve">INSTRUCTIVO </t>
  </si>
  <si>
    <t>REVISION</t>
  </si>
  <si>
    <t xml:space="preserve">Postre Cumbrel almendra </t>
  </si>
  <si>
    <t>FECHA APROBACION</t>
  </si>
  <si>
    <t xml:space="preserve">ELABORADO: </t>
  </si>
  <si>
    <t>Enmanuel Madrigal, Chef</t>
  </si>
  <si>
    <t>APROBADO:</t>
  </si>
  <si>
    <t>Yenny Castro Q, Calidad</t>
  </si>
  <si>
    <t xml:space="preserve">Descrip. - Componentes </t>
  </si>
  <si>
    <t>ALÉRGENOS</t>
  </si>
  <si>
    <t>Cantidades</t>
  </si>
  <si>
    <t>Vida Útil</t>
  </si>
  <si>
    <t>Tipo Almacenamiento</t>
  </si>
  <si>
    <t>Tiempo Calentamiento</t>
  </si>
  <si>
    <t>Postre caramelo y almendras locales</t>
  </si>
  <si>
    <t>1 ud</t>
  </si>
  <si>
    <t>Ver empaque</t>
  </si>
  <si>
    <t>Refrigeracion</t>
  </si>
  <si>
    <t>N.A.</t>
  </si>
  <si>
    <t>Empaque caramelo almendras 160g</t>
  </si>
  <si>
    <t>1 bolsa -160g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</si>
  <si>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</si>
  <si>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</si>
  <si>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</si>
  <si>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</si>
  <si>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t>1, Colocar sobre el postre 1 bolsa del caramelo almendras, esparciendo sobre toda la superficie.</t>
  </si>
  <si>
    <t>2, Se porciona en 6 porc.</t>
  </si>
  <si>
    <t>3. ESPECIFICACIONES DEL PLATO</t>
  </si>
  <si>
    <t>Postre frio de queso relleno con caramelo, con caramelo crujiente de almendras</t>
  </si>
  <si>
    <t>INDUSTRIA</t>
  </si>
  <si>
    <t>CAMIONES</t>
  </si>
  <si>
    <t>LOGISTICA</t>
  </si>
  <si>
    <t>Costo</t>
  </si>
  <si>
    <t>% Margen</t>
  </si>
  <si>
    <t>COSTO TOTAL</t>
  </si>
  <si>
    <t>MARGEN SUPERMERCADO</t>
  </si>
  <si>
    <t>PRECIO IVI</t>
  </si>
  <si>
    <t xml:space="preserve">Esteban Ramírez S. / Costos </t>
  </si>
  <si>
    <t>901000112</t>
  </si>
  <si>
    <t>VARIACION</t>
  </si>
  <si>
    <t xml:space="preserve">30800096 Postre caramelo y almendras (dia de la madre 2021) INDUSTRIA </t>
  </si>
  <si>
    <t>Postres</t>
  </si>
  <si>
    <t>Empaque</t>
  </si>
  <si>
    <t>EM10259</t>
  </si>
  <si>
    <t>metro</t>
  </si>
  <si>
    <t>EM10120</t>
  </si>
  <si>
    <t># Código Netsuite</t>
  </si>
  <si>
    <t>Ensamble</t>
  </si>
  <si>
    <t>PLÁSTICO AUTOADERIBLE 1/ 18*2000</t>
  </si>
  <si>
    <t>ETIQ.BLANCA 1 13/16 * 1 7/8</t>
  </si>
  <si>
    <t>Tiempo de Horneo:</t>
  </si>
  <si>
    <t>Horno:</t>
  </si>
  <si>
    <t>Temperatura de Horneo:</t>
  </si>
  <si>
    <t>Otros</t>
  </si>
  <si>
    <t>CONTROL DE CAMBIOS</t>
  </si>
  <si>
    <t>SE00682</t>
  </si>
  <si>
    <t xml:space="preserve"> CARAMELO CON CHOCOLATE BLANCO</t>
  </si>
  <si>
    <t xml:space="preserve">2, Colocarla en una tina azul y taparla. </t>
  </si>
  <si>
    <t xml:space="preserve">1,Pasar por la trituradora el caramelo con chocolate blanco. </t>
  </si>
  <si>
    <t>Mariela Barrantes Sánchez, Chef</t>
  </si>
  <si>
    <t>SE00720 Procesado Caramelo con Chocolate Blanco</t>
  </si>
  <si>
    <t>ESP-RE-POF-039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</si>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</sst>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9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sz val="6"/>
      <name val="Times New Roman"/>
      <family val="1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b/>
      <i/>
      <sz val="9"/>
      <name val="Times New Roman"/>
      <family val="1"/>
    </font>
    <font>
      <b/>
      <sz val="6"/>
      <name val="Times New Roman"/>
      <family val="1"/>
    </font>
    <font>
      <sz val="9"/>
      <color indexed="12"/>
      <name val="Times New Roman"/>
      <family val="1"/>
    </font>
    <font>
      <b/>
      <sz val="6"/>
      <color indexed="12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9"/>
      <color indexed="21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21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10"/>
      <color indexed="62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b/>
      <sz val="1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0"/>
      <color indexed="1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i/>
      <sz val="1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9" fillId="0" borderId="0"/>
  </cellStyleXfs>
  <cellXfs count="795">
    <xf numFmtId="0" fontId="0" fillId="0" borderId="0" xfId="0"/>
    <xf numFmtId="0" fontId="4" fillId="2" borderId="1" xfId="7" applyFont="1" applyFill="1" applyBorder="1" applyAlignment="1">
      <alignment horizontal="right"/>
    </xf>
    <xf numFmtId="0" fontId="1" fillId="2" borderId="2" xfId="7" applyFont="1" applyFill="1" applyBorder="1" applyAlignment="1">
      <alignment horizontal="center"/>
    </xf>
    <xf numFmtId="0" fontId="1" fillId="2" borderId="0" xfId="0" applyFont="1" applyFill="1"/>
    <xf numFmtId="0" fontId="4" fillId="2" borderId="3" xfId="7" applyFont="1" applyFill="1" applyBorder="1" applyAlignment="1">
      <alignment horizontal="right"/>
    </xf>
    <xf numFmtId="49" fontId="1" fillId="2" borderId="4" xfId="7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0" fontId="4" fillId="3" borderId="7" xfId="0" applyFont="1" applyFill="1" applyBorder="1" applyAlignment="1">
      <alignment horizontal="center"/>
    </xf>
    <xf numFmtId="1" fontId="4" fillId="3" borderId="7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1" fillId="2" borderId="0" xfId="9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" fillId="2" borderId="0" xfId="7" applyFont="1" applyFill="1" applyAlignment="1">
      <alignment horizontal="center"/>
    </xf>
    <xf numFmtId="0" fontId="1" fillId="2" borderId="0" xfId="7" applyFont="1" applyFill="1" applyAlignment="1">
      <alignment horizontal="right"/>
    </xf>
    <xf numFmtId="0" fontId="1" fillId="2" borderId="0" xfId="7" applyFont="1" applyFill="1" applyAlignment="1">
      <alignment horizontal="left"/>
    </xf>
    <xf numFmtId="0" fontId="4" fillId="2" borderId="0" xfId="7" applyFont="1" applyFill="1" applyAlignment="1">
      <alignment horizontal="right" vertical="top" wrapText="1"/>
    </xf>
    <xf numFmtId="14" fontId="1" fillId="2" borderId="0" xfId="7" applyNumberFormat="1" applyFont="1" applyFill="1" applyAlignment="1">
      <alignment horizontal="center" vertical="center" wrapText="1"/>
    </xf>
    <xf numFmtId="0" fontId="1" fillId="2" borderId="3" xfId="7" applyFont="1" applyFill="1" applyBorder="1" applyAlignment="1">
      <alignment horizontal="right"/>
    </xf>
    <xf numFmtId="0" fontId="1" fillId="2" borderId="5" xfId="7" applyFont="1" applyFill="1" applyBorder="1" applyAlignment="1">
      <alignment horizontal="right"/>
    </xf>
    <xf numFmtId="0" fontId="4" fillId="3" borderId="12" xfId="0" applyFont="1" applyFill="1" applyBorder="1" applyAlignment="1">
      <alignment horizontal="center"/>
    </xf>
    <xf numFmtId="14" fontId="80" fillId="2" borderId="0" xfId="7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1" fontId="1" fillId="0" borderId="10" xfId="3" applyNumberFormat="1" applyBorder="1" applyAlignment="1">
      <alignment horizontal="center"/>
    </xf>
    <xf numFmtId="0" fontId="1" fillId="0" borderId="3" xfId="3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9" xfId="3" applyNumberFormat="1" applyBorder="1" applyAlignment="1">
      <alignment horizontal="center"/>
    </xf>
    <xf numFmtId="0" fontId="1" fillId="0" borderId="4" xfId="3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0" fontId="7" fillId="0" borderId="3" xfId="3" applyFont="1" applyBorder="1"/>
    <xf numFmtId="0" fontId="1" fillId="0" borderId="3" xfId="3" quotePrefix="1" applyBorder="1"/>
    <xf numFmtId="0" fontId="1" fillId="0" borderId="13" xfId="3" quotePrefix="1" applyBorder="1" applyAlignment="1">
      <alignment horizontal="right"/>
    </xf>
    <xf numFmtId="0" fontId="2" fillId="0" borderId="3" xfId="3" applyFont="1" applyBorder="1" applyAlignment="1">
      <alignment horizontal="center"/>
    </xf>
    <xf numFmtId="0" fontId="2" fillId="0" borderId="3" xfId="3" applyFont="1" applyBorder="1"/>
    <xf numFmtId="0" fontId="4" fillId="10" borderId="4" xfId="3" applyFont="1" applyFill="1" applyBorder="1" applyAlignment="1">
      <alignment horizontal="center"/>
    </xf>
    <xf numFmtId="0" fontId="12" fillId="0" borderId="3" xfId="3" applyFont="1" applyBorder="1" applyAlignment="1">
      <alignment horizontal="center"/>
    </xf>
    <xf numFmtId="0" fontId="12" fillId="0" borderId="14" xfId="3" applyFont="1" applyBorder="1" applyAlignment="1">
      <alignment horizontal="center"/>
    </xf>
    <xf numFmtId="0" fontId="4" fillId="10" borderId="11" xfId="3" applyFont="1" applyFill="1" applyBorder="1" applyAlignment="1">
      <alignment horizontal="center"/>
    </xf>
    <xf numFmtId="0" fontId="1" fillId="0" borderId="9" xfId="3" applyBorder="1" applyAlignment="1">
      <alignment horizontal="center"/>
    </xf>
    <xf numFmtId="0" fontId="13" fillId="2" borderId="3" xfId="3" quotePrefix="1" applyFont="1" applyFill="1" applyBorder="1"/>
    <xf numFmtId="0" fontId="1" fillId="0" borderId="13" xfId="3" quotePrefix="1" applyBorder="1" applyAlignment="1">
      <alignment horizontal="center"/>
    </xf>
    <xf numFmtId="0" fontId="2" fillId="0" borderId="9" xfId="3" applyFont="1" applyBorder="1" applyAlignment="1">
      <alignment horizontal="center"/>
    </xf>
    <xf numFmtId="0" fontId="3" fillId="0" borderId="9" xfId="3" applyFont="1" applyBorder="1"/>
    <xf numFmtId="0" fontId="6" fillId="0" borderId="15" xfId="3" applyFont="1" applyBorder="1" applyAlignment="1">
      <alignment horizontal="center" vertical="center"/>
    </xf>
    <xf numFmtId="12" fontId="12" fillId="0" borderId="3" xfId="3" applyNumberFormat="1" applyFont="1" applyBorder="1"/>
    <xf numFmtId="0" fontId="1" fillId="0" borderId="3" xfId="3" applyBorder="1" applyAlignment="1">
      <alignment horizontal="left"/>
    </xf>
    <xf numFmtId="0" fontId="1" fillId="0" borderId="16" xfId="3" applyBorder="1" applyAlignment="1">
      <alignment horizontal="center"/>
    </xf>
    <xf numFmtId="0" fontId="1" fillId="0" borderId="1" xfId="3" applyBorder="1" applyAlignment="1">
      <alignment horizontal="left"/>
    </xf>
    <xf numFmtId="0" fontId="12" fillId="0" borderId="1" xfId="3" applyFont="1" applyBorder="1" applyAlignment="1">
      <alignment horizontal="center"/>
    </xf>
    <xf numFmtId="1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0" fontId="4" fillId="10" borderId="2" xfId="3" applyFont="1" applyFill="1" applyBorder="1" applyAlignment="1">
      <alignment horizontal="center"/>
    </xf>
    <xf numFmtId="0" fontId="1" fillId="0" borderId="13" xfId="3" applyBorder="1" applyAlignment="1">
      <alignment horizontal="center"/>
    </xf>
    <xf numFmtId="0" fontId="1" fillId="0" borderId="17" xfId="3" applyBorder="1" applyAlignment="1">
      <alignment horizontal="center"/>
    </xf>
    <xf numFmtId="0" fontId="4" fillId="10" borderId="18" xfId="3" applyFont="1" applyFill="1" applyBorder="1" applyAlignment="1">
      <alignment horizontal="center"/>
    </xf>
    <xf numFmtId="0" fontId="1" fillId="0" borderId="15" xfId="3" applyBorder="1" applyAlignment="1">
      <alignment horizontal="center"/>
    </xf>
    <xf numFmtId="0" fontId="4" fillId="0" borderId="9" xfId="3" applyFont="1" applyBorder="1" applyAlignment="1">
      <alignment horizontal="left"/>
    </xf>
    <xf numFmtId="0" fontId="2" fillId="0" borderId="9" xfId="3" applyFont="1" applyBorder="1"/>
    <xf numFmtId="0" fontId="0" fillId="0" borderId="5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3" fillId="10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8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8" applyNumberFormat="1" applyFont="1" applyFill="1" applyAlignment="1">
      <alignment vertical="center"/>
    </xf>
    <xf numFmtId="0" fontId="13" fillId="0" borderId="0" xfId="0" applyFont="1"/>
    <xf numFmtId="49" fontId="14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4" borderId="22" xfId="8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43" fontId="22" fillId="4" borderId="23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13" fillId="4" borderId="23" xfId="0" applyFont="1" applyFill="1" applyBorder="1" applyAlignment="1">
      <alignment vertical="center"/>
    </xf>
    <xf numFmtId="10" fontId="15" fillId="4" borderId="23" xfId="8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81" fillId="0" borderId="0" xfId="8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43" fontId="28" fillId="5" borderId="25" xfId="1" applyFont="1" applyFill="1" applyBorder="1" applyAlignment="1">
      <alignment horizontal="right"/>
    </xf>
    <xf numFmtId="43" fontId="28" fillId="0" borderId="0" xfId="1" applyFont="1" applyFill="1" applyBorder="1" applyAlignment="1">
      <alignment horizontal="right"/>
    </xf>
    <xf numFmtId="43" fontId="14" fillId="0" borderId="3" xfId="1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30" fillId="0" borderId="0" xfId="8" applyNumberFormat="1" applyFont="1" applyFill="1" applyAlignment="1">
      <alignment horizontal="right"/>
    </xf>
    <xf numFmtId="168" fontId="14" fillId="4" borderId="3" xfId="1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4" fillId="6" borderId="3" xfId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6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1" applyNumberFormat="1" applyFont="1" applyFill="1" applyBorder="1" applyAlignment="1">
      <alignment horizontal="center"/>
    </xf>
    <xf numFmtId="2" fontId="27" fillId="0" borderId="0" xfId="1" applyNumberFormat="1" applyFont="1" applyFill="1" applyBorder="1" applyAlignment="1">
      <alignment horizontal="center"/>
    </xf>
    <xf numFmtId="0" fontId="13" fillId="4" borderId="26" xfId="0" applyFont="1" applyFill="1" applyBorder="1" applyAlignment="1">
      <alignment vertical="center"/>
    </xf>
    <xf numFmtId="10" fontId="13" fillId="0" borderId="0" xfId="8" applyNumberFormat="1" applyFont="1" applyFill="1" applyAlignment="1">
      <alignment vertical="center"/>
    </xf>
    <xf numFmtId="4" fontId="13" fillId="0" borderId="0" xfId="1" applyNumberFormat="1" applyFont="1" applyFill="1" applyAlignment="1">
      <alignment vertical="center"/>
    </xf>
    <xf numFmtId="43" fontId="28" fillId="4" borderId="7" xfId="1" applyFont="1" applyFill="1" applyBorder="1" applyAlignment="1">
      <alignment horizontal="right"/>
    </xf>
    <xf numFmtId="0" fontId="14" fillId="4" borderId="8" xfId="0" applyFont="1" applyFill="1" applyBorder="1" applyAlignment="1">
      <alignment horizontal="right" vertical="center"/>
    </xf>
    <xf numFmtId="10" fontId="34" fillId="0" borderId="0" xfId="1" applyNumberFormat="1" applyFont="1" applyFill="1" applyAlignment="1">
      <alignment vertical="center"/>
    </xf>
    <xf numFmtId="10" fontId="15" fillId="0" borderId="0" xfId="8" applyNumberFormat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  <xf numFmtId="43" fontId="36" fillId="0" borderId="0" xfId="1" applyFont="1" applyFill="1" applyAlignment="1">
      <alignment vertical="center"/>
    </xf>
    <xf numFmtId="4" fontId="37" fillId="0" borderId="0" xfId="2" applyNumberFormat="1" applyFont="1" applyFill="1" applyAlignment="1">
      <alignment horizontal="center" vertical="center" wrapText="1"/>
    </xf>
    <xf numFmtId="9" fontId="13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5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1" applyFont="1" applyFill="1" applyAlignment="1">
      <alignment vertical="center"/>
    </xf>
    <xf numFmtId="9" fontId="38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1" fillId="0" borderId="0" xfId="8" applyNumberFormat="1" applyFont="1" applyFill="1" applyAlignment="1">
      <alignment vertical="center"/>
    </xf>
    <xf numFmtId="43" fontId="31" fillId="0" borderId="0" xfId="1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1" applyFont="1" applyFill="1" applyBorder="1"/>
    <xf numFmtId="10" fontId="31" fillId="0" borderId="0" xfId="8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3" fillId="0" borderId="0" xfId="1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29" fillId="0" borderId="0" xfId="0" applyFont="1"/>
    <xf numFmtId="0" fontId="43" fillId="0" borderId="0" xfId="0" applyFont="1"/>
    <xf numFmtId="0" fontId="44" fillId="0" borderId="0" xfId="0" applyFont="1" applyAlignment="1">
      <alignment horizontal="center" vertical="center" wrapText="1"/>
    </xf>
    <xf numFmtId="167" fontId="45" fillId="0" borderId="0" xfId="0" applyNumberFormat="1" applyFont="1" applyAlignment="1">
      <alignment horizontal="center" vertical="center" wrapText="1"/>
    </xf>
    <xf numFmtId="0" fontId="46" fillId="5" borderId="3" xfId="0" applyFont="1" applyFill="1" applyBorder="1" applyAlignment="1">
      <alignment horizontal="center"/>
    </xf>
    <xf numFmtId="0" fontId="46" fillId="5" borderId="3" xfId="0" applyFont="1" applyFill="1" applyBorder="1" applyAlignment="1">
      <alignment horizontal="center" wrapText="1"/>
    </xf>
    <xf numFmtId="0" fontId="24" fillId="0" borderId="0" xfId="0" applyFont="1" applyAlignment="1">
      <alignment vertical="center"/>
    </xf>
    <xf numFmtId="2" fontId="47" fillId="0" borderId="0" xfId="0" applyNumberFormat="1" applyFont="1" applyAlignment="1">
      <alignment horizontal="center"/>
    </xf>
    <xf numFmtId="49" fontId="24" fillId="0" borderId="0" xfId="0" applyNumberFormat="1" applyFont="1"/>
    <xf numFmtId="4" fontId="47" fillId="0" borderId="0" xfId="2" applyNumberFormat="1" applyFont="1" applyFill="1" applyAlignment="1">
      <alignment horizontal="center" vertical="center"/>
    </xf>
    <xf numFmtId="4" fontId="28" fillId="0" borderId="0" xfId="2" applyNumberFormat="1" applyFont="1" applyFill="1" applyAlignment="1">
      <alignment horizontal="center" vertical="center"/>
    </xf>
    <xf numFmtId="9" fontId="28" fillId="0" borderId="0" xfId="8" applyFont="1" applyFill="1" applyAlignment="1">
      <alignment vertical="center"/>
    </xf>
    <xf numFmtId="49" fontId="28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43" fontId="46" fillId="0" borderId="0" xfId="1" applyFont="1"/>
    <xf numFmtId="4" fontId="46" fillId="0" borderId="0" xfId="1" applyNumberFormat="1" applyFont="1" applyAlignment="1">
      <alignment horizontal="center"/>
    </xf>
    <xf numFmtId="10" fontId="46" fillId="0" borderId="0" xfId="8" applyNumberFormat="1" applyFont="1" applyFill="1"/>
    <xf numFmtId="49" fontId="46" fillId="0" borderId="0" xfId="2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3" fontId="28" fillId="0" borderId="0" xfId="1" applyFont="1"/>
    <xf numFmtId="4" fontId="28" fillId="0" borderId="0" xfId="1" applyNumberFormat="1" applyFont="1" applyAlignment="1">
      <alignment horizontal="center"/>
    </xf>
    <xf numFmtId="10" fontId="28" fillId="0" borderId="0" xfId="8" applyNumberFormat="1" applyFont="1" applyFill="1" applyAlignment="1">
      <alignment vertical="center"/>
    </xf>
    <xf numFmtId="49" fontId="28" fillId="0" borderId="0" xfId="2" applyNumberFormat="1" applyFont="1" applyAlignment="1">
      <alignment horizontal="center"/>
    </xf>
    <xf numFmtId="49" fontId="48" fillId="0" borderId="0" xfId="2" applyNumberFormat="1" applyFont="1" applyFill="1" applyBorder="1" applyAlignment="1">
      <alignment horizontal="center" vertical="center"/>
    </xf>
    <xf numFmtId="0" fontId="49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3" fontId="26" fillId="0" borderId="0" xfId="1" applyFont="1"/>
    <xf numFmtId="4" fontId="26" fillId="0" borderId="0" xfId="1" applyNumberFormat="1" applyFont="1" applyAlignment="1">
      <alignment horizontal="center"/>
    </xf>
    <xf numFmtId="10" fontId="26" fillId="0" borderId="0" xfId="8" applyNumberFormat="1" applyFont="1" applyFill="1" applyAlignment="1">
      <alignment vertical="center"/>
    </xf>
    <xf numFmtId="49" fontId="26" fillId="0" borderId="0" xfId="2" applyNumberFormat="1" applyFont="1" applyAlignment="1">
      <alignment horizontal="center"/>
    </xf>
    <xf numFmtId="49" fontId="50" fillId="0" borderId="0" xfId="2" applyNumberFormat="1" applyFont="1" applyFill="1" applyBorder="1" applyAlignment="1">
      <alignment horizontal="center" vertical="center"/>
    </xf>
    <xf numFmtId="0" fontId="51" fillId="0" borderId="0" xfId="0" applyFont="1"/>
    <xf numFmtId="2" fontId="52" fillId="0" borderId="0" xfId="0" applyNumberFormat="1" applyFont="1" applyAlignment="1">
      <alignment horizontal="center"/>
    </xf>
    <xf numFmtId="49" fontId="51" fillId="0" borderId="0" xfId="0" applyNumberFormat="1" applyFont="1"/>
    <xf numFmtId="4" fontId="52" fillId="0" borderId="0" xfId="2" applyNumberFormat="1" applyFont="1" applyFill="1" applyAlignment="1">
      <alignment horizontal="center" vertical="center"/>
    </xf>
    <xf numFmtId="4" fontId="51" fillId="0" borderId="0" xfId="2" applyNumberFormat="1" applyFont="1" applyFill="1" applyAlignment="1">
      <alignment horizontal="center" vertical="center"/>
    </xf>
    <xf numFmtId="10" fontId="51" fillId="0" borderId="0" xfId="8" applyNumberFormat="1" applyFont="1" applyFill="1" applyAlignment="1">
      <alignment horizontal="right" vertical="center"/>
    </xf>
    <xf numFmtId="49" fontId="51" fillId="0" borderId="0" xfId="0" applyNumberFormat="1" applyFont="1" applyAlignment="1">
      <alignment horizontal="center"/>
    </xf>
    <xf numFmtId="43" fontId="53" fillId="0" borderId="0" xfId="1" applyFont="1" applyFill="1" applyBorder="1" applyAlignment="1">
      <alignment horizontal="center"/>
    </xf>
    <xf numFmtId="0" fontId="53" fillId="0" borderId="0" xfId="0" applyFont="1"/>
    <xf numFmtId="4" fontId="53" fillId="0" borderId="0" xfId="2" applyNumberFormat="1" applyFont="1" applyFill="1" applyBorder="1"/>
    <xf numFmtId="4" fontId="53" fillId="0" borderId="0" xfId="2" applyNumberFormat="1" applyFont="1" applyFill="1" applyBorder="1" applyAlignment="1">
      <alignment horizontal="center"/>
    </xf>
    <xf numFmtId="10" fontId="53" fillId="0" borderId="0" xfId="8" applyNumberFormat="1" applyFont="1" applyFill="1" applyAlignment="1">
      <alignment vertical="center"/>
    </xf>
    <xf numFmtId="49" fontId="53" fillId="0" borderId="0" xfId="2" applyNumberFormat="1" applyFont="1" applyFill="1" applyBorder="1" applyAlignment="1">
      <alignment horizontal="center"/>
    </xf>
    <xf numFmtId="49" fontId="46" fillId="0" borderId="0" xfId="2" applyNumberFormat="1" applyFont="1" applyFill="1" applyBorder="1" applyAlignment="1">
      <alignment horizontal="center" vertical="center"/>
    </xf>
    <xf numFmtId="43" fontId="24" fillId="0" borderId="27" xfId="1" applyFont="1" applyFill="1" applyBorder="1" applyAlignment="1">
      <alignment horizontal="right"/>
    </xf>
    <xf numFmtId="9" fontId="26" fillId="0" borderId="0" xfId="1" applyNumberFormat="1" applyFont="1" applyFill="1" applyBorder="1"/>
    <xf numFmtId="4" fontId="26" fillId="0" borderId="0" xfId="1" applyNumberFormat="1" applyFont="1" applyFill="1" applyBorder="1" applyAlignment="1">
      <alignment horizontal="right"/>
    </xf>
    <xf numFmtId="10" fontId="24" fillId="0" borderId="0" xfId="8" applyNumberFormat="1" applyFont="1" applyFill="1" applyAlignment="1">
      <alignment horizontal="right"/>
    </xf>
    <xf numFmtId="10" fontId="28" fillId="0" borderId="0" xfId="8" applyNumberFormat="1" applyFont="1" applyFill="1" applyBorder="1" applyAlignment="1">
      <alignment horizontal="right"/>
    </xf>
    <xf numFmtId="169" fontId="25" fillId="0" borderId="0" xfId="1" applyNumberFormat="1" applyFont="1" applyFill="1"/>
    <xf numFmtId="9" fontId="25" fillId="0" borderId="0" xfId="1" applyNumberFormat="1" applyFont="1" applyFill="1"/>
    <xf numFmtId="10" fontId="25" fillId="0" borderId="0" xfId="8" applyNumberFormat="1" applyFont="1" applyFill="1" applyAlignment="1">
      <alignment horizontal="right"/>
    </xf>
    <xf numFmtId="2" fontId="26" fillId="0" borderId="0" xfId="0" applyNumberFormat="1" applyFont="1" applyAlignment="1">
      <alignment horizontal="center"/>
    </xf>
    <xf numFmtId="0" fontId="54" fillId="0" borderId="0" xfId="0" applyFont="1" applyAlignment="1">
      <alignment horizontal="right"/>
    </xf>
    <xf numFmtId="10" fontId="28" fillId="0" borderId="0" xfId="8" applyNumberFormat="1" applyFont="1" applyFill="1"/>
    <xf numFmtId="49" fontId="48" fillId="0" borderId="0" xfId="0" applyNumberFormat="1" applyFont="1" applyAlignment="1">
      <alignment horizontal="center"/>
    </xf>
    <xf numFmtId="0" fontId="29" fillId="4" borderId="7" xfId="0" applyFont="1" applyFill="1" applyBorder="1"/>
    <xf numFmtId="0" fontId="24" fillId="0" borderId="28" xfId="0" applyFont="1" applyBorder="1"/>
    <xf numFmtId="0" fontId="24" fillId="0" borderId="0" xfId="0" applyFont="1" applyAlignment="1">
      <alignment horizontal="center"/>
    </xf>
    <xf numFmtId="10" fontId="27" fillId="0" borderId="0" xfId="8" applyNumberFormat="1" applyFont="1" applyFill="1" applyBorder="1"/>
    <xf numFmtId="165" fontId="24" fillId="0" borderId="0" xfId="0" applyNumberFormat="1" applyFont="1" applyAlignment="1">
      <alignment horizontal="center"/>
    </xf>
    <xf numFmtId="10" fontId="28" fillId="0" borderId="0" xfId="8" applyNumberFormat="1" applyFont="1" applyFill="1" applyAlignment="1">
      <alignment horizontal="right"/>
    </xf>
    <xf numFmtId="43" fontId="24" fillId="0" borderId="0" xfId="1" applyFont="1" applyFill="1" applyBorder="1" applyAlignment="1">
      <alignment horizontal="center"/>
    </xf>
    <xf numFmtId="169" fontId="36" fillId="0" borderId="0" xfId="1" applyNumberFormat="1" applyFont="1" applyFill="1" applyAlignment="1">
      <alignment vertical="top"/>
    </xf>
    <xf numFmtId="43" fontId="28" fillId="3" borderId="25" xfId="1" applyFont="1" applyFill="1" applyBorder="1" applyAlignment="1">
      <alignment horizontal="center"/>
    </xf>
    <xf numFmtId="2" fontId="57" fillId="0" borderId="0" xfId="0" applyNumberFormat="1" applyFont="1" applyAlignment="1">
      <alignment horizontal="center"/>
    </xf>
    <xf numFmtId="10" fontId="58" fillId="0" borderId="0" xfId="8" applyNumberFormat="1" applyFont="1" applyFill="1" applyAlignment="1">
      <alignment horizontal="right"/>
    </xf>
    <xf numFmtId="10" fontId="59" fillId="0" borderId="0" xfId="8" applyNumberFormat="1" applyFont="1" applyFill="1" applyAlignment="1">
      <alignment horizontal="right"/>
    </xf>
    <xf numFmtId="0" fontId="60" fillId="0" borderId="0" xfId="0" applyFont="1" applyAlignment="1">
      <alignment horizontal="right"/>
    </xf>
    <xf numFmtId="10" fontId="39" fillId="0" borderId="0" xfId="8" applyNumberFormat="1" applyFont="1" applyFill="1" applyAlignment="1">
      <alignment horizontal="right"/>
    </xf>
    <xf numFmtId="10" fontId="27" fillId="0" borderId="0" xfId="8" applyNumberFormat="1" applyFont="1" applyFill="1"/>
    <xf numFmtId="3" fontId="14" fillId="0" borderId="7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10" fontId="61" fillId="0" borderId="0" xfId="8" applyNumberFormat="1" applyFont="1" applyFill="1"/>
    <xf numFmtId="0" fontId="62" fillId="0" borderId="0" xfId="0" applyFont="1" applyAlignment="1">
      <alignment horizontal="center"/>
    </xf>
    <xf numFmtId="3" fontId="28" fillId="0" borderId="25" xfId="0" applyNumberFormat="1" applyFont="1" applyBorder="1" applyAlignment="1">
      <alignment horizontal="center"/>
    </xf>
    <xf numFmtId="3" fontId="36" fillId="0" borderId="25" xfId="0" applyNumberFormat="1" applyFont="1" applyBorder="1" applyAlignment="1">
      <alignment horizontal="center"/>
    </xf>
    <xf numFmtId="43" fontId="29" fillId="0" borderId="0" xfId="1" applyFont="1" applyFill="1" applyBorder="1"/>
    <xf numFmtId="10" fontId="29" fillId="0" borderId="0" xfId="8" applyNumberFormat="1" applyFont="1"/>
    <xf numFmtId="2" fontId="20" fillId="12" borderId="0" xfId="0" applyNumberFormat="1" applyFont="1" applyFill="1" applyAlignment="1">
      <alignment horizontal="center"/>
    </xf>
    <xf numFmtId="0" fontId="13" fillId="12" borderId="0" xfId="0" applyFont="1" applyFill="1" applyAlignment="1">
      <alignment vertical="center"/>
    </xf>
    <xf numFmtId="0" fontId="3" fillId="0" borderId="3" xfId="3" applyFont="1" applyBorder="1"/>
    <xf numFmtId="0" fontId="6" fillId="0" borderId="13" xfId="3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9" xfId="3" quotePrefix="1" applyBorder="1" applyAlignment="1">
      <alignment horizontal="right"/>
    </xf>
    <xf numFmtId="0" fontId="1" fillId="0" borderId="5" xfId="3" quotePrefix="1" applyBorder="1"/>
    <xf numFmtId="0" fontId="7" fillId="0" borderId="5" xfId="3" applyFont="1" applyBorder="1"/>
    <xf numFmtId="1" fontId="1" fillId="0" borderId="5" xfId="3" applyNumberFormat="1" applyBorder="1" applyAlignment="1">
      <alignment horizontal="center" wrapText="1"/>
    </xf>
    <xf numFmtId="0" fontId="1" fillId="0" borderId="12" xfId="3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12" borderId="16" xfId="3" applyFill="1" applyBorder="1" applyAlignment="1">
      <alignment horizontal="center"/>
    </xf>
    <xf numFmtId="0" fontId="1" fillId="12" borderId="1" xfId="3" applyFill="1" applyBorder="1" applyAlignment="1">
      <alignment horizontal="left"/>
    </xf>
    <xf numFmtId="0" fontId="1" fillId="13" borderId="13" xfId="3" applyFill="1" applyBorder="1" applyAlignment="1">
      <alignment horizontal="center"/>
    </xf>
    <xf numFmtId="0" fontId="1" fillId="13" borderId="3" xfId="3" applyFill="1" applyBorder="1" applyAlignment="1">
      <alignment horizontal="left"/>
    </xf>
    <xf numFmtId="0" fontId="2" fillId="13" borderId="9" xfId="3" applyFont="1" applyFill="1" applyBorder="1" applyAlignment="1">
      <alignment horizontal="center"/>
    </xf>
    <xf numFmtId="2" fontId="20" fillId="13" borderId="0" xfId="0" applyNumberFormat="1" applyFont="1" applyFill="1" applyAlignment="1">
      <alignment horizontal="center"/>
    </xf>
    <xf numFmtId="0" fontId="13" fillId="13" borderId="0" xfId="0" applyFont="1" applyFill="1" applyAlignment="1">
      <alignment vertical="center"/>
    </xf>
    <xf numFmtId="0" fontId="0" fillId="14" borderId="61" xfId="0" applyFill="1" applyBorder="1" applyAlignment="1">
      <alignment horizontal="center" vertical="center"/>
    </xf>
    <xf numFmtId="0" fontId="0" fillId="14" borderId="60" xfId="0" applyFill="1" applyBorder="1" applyAlignment="1">
      <alignment horizontal="left" vertical="center"/>
    </xf>
    <xf numFmtId="0" fontId="12" fillId="14" borderId="3" xfId="3" applyFont="1" applyFill="1" applyBorder="1" applyAlignment="1">
      <alignment horizontal="center"/>
    </xf>
    <xf numFmtId="12" fontId="12" fillId="14" borderId="3" xfId="3" applyNumberFormat="1" applyFont="1" applyFill="1" applyBorder="1"/>
    <xf numFmtId="2" fontId="20" fillId="14" borderId="0" xfId="0" applyNumberFormat="1" applyFont="1" applyFill="1" applyAlignment="1">
      <alignment horizontal="center"/>
    </xf>
    <xf numFmtId="0" fontId="13" fillId="14" borderId="0" xfId="0" applyFont="1" applyFill="1" applyAlignment="1">
      <alignment vertical="center"/>
    </xf>
    <xf numFmtId="0" fontId="0" fillId="15" borderId="13" xfId="0" applyFill="1" applyBorder="1" applyAlignment="1">
      <alignment horizontal="center"/>
    </xf>
    <xf numFmtId="0" fontId="0" fillId="15" borderId="3" xfId="0" applyFill="1" applyBorder="1"/>
    <xf numFmtId="0" fontId="2" fillId="15" borderId="3" xfId="3" applyFont="1" applyFill="1" applyBorder="1" applyAlignment="1">
      <alignment horizontal="center"/>
    </xf>
    <xf numFmtId="2" fontId="20" fillId="15" borderId="0" xfId="0" applyNumberFormat="1" applyFont="1" applyFill="1" applyAlignment="1">
      <alignment horizontal="center"/>
    </xf>
    <xf numFmtId="0" fontId="13" fillId="15" borderId="0" xfId="0" applyFont="1" applyFill="1" applyAlignment="1">
      <alignment vertical="center"/>
    </xf>
    <xf numFmtId="0" fontId="2" fillId="16" borderId="3" xfId="3" applyFont="1" applyFill="1" applyBorder="1"/>
    <xf numFmtId="0" fontId="2" fillId="16" borderId="3" xfId="3" applyFont="1" applyFill="1" applyBorder="1" applyAlignment="1">
      <alignment horizontal="center"/>
    </xf>
    <xf numFmtId="2" fontId="20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vertical="center"/>
    </xf>
    <xf numFmtId="0" fontId="1" fillId="0" borderId="0" xfId="3"/>
    <xf numFmtId="0" fontId="4" fillId="3" borderId="2" xfId="3" applyFont="1" applyFill="1" applyBorder="1" applyAlignment="1">
      <alignment horizontal="center" vertical="center" wrapText="1"/>
    </xf>
    <xf numFmtId="1" fontId="4" fillId="3" borderId="5" xfId="3" applyNumberFormat="1" applyFont="1" applyFill="1" applyBorder="1" applyAlignment="1">
      <alignment horizontal="center"/>
    </xf>
    <xf numFmtId="1" fontId="4" fillId="3" borderId="5" xfId="3" applyNumberFormat="1" applyFont="1" applyFill="1" applyBorder="1" applyAlignment="1">
      <alignment horizontal="center" wrapText="1"/>
    </xf>
    <xf numFmtId="0" fontId="1" fillId="2" borderId="0" xfId="3" applyFill="1"/>
    <xf numFmtId="0" fontId="1" fillId="2" borderId="0" xfId="3" applyFill="1" applyAlignment="1">
      <alignment horizontal="left" indent="1"/>
    </xf>
    <xf numFmtId="0" fontId="1" fillId="3" borderId="6" xfId="3" applyFill="1" applyBorder="1" applyAlignment="1">
      <alignment horizontal="center"/>
    </xf>
    <xf numFmtId="0" fontId="1" fillId="3" borderId="7" xfId="3" applyFill="1" applyBorder="1"/>
    <xf numFmtId="0" fontId="4" fillId="3" borderId="7" xfId="3" applyFont="1" applyFill="1" applyBorder="1" applyAlignment="1">
      <alignment horizontal="center"/>
    </xf>
    <xf numFmtId="1" fontId="4" fillId="3" borderId="7" xfId="3" applyNumberFormat="1" applyFont="1" applyFill="1" applyBorder="1" applyAlignment="1">
      <alignment horizontal="center"/>
    </xf>
    <xf numFmtId="166" fontId="1" fillId="3" borderId="7" xfId="3" applyNumberFormat="1" applyFill="1" applyBorder="1" applyAlignment="1">
      <alignment horizontal="center" wrapText="1"/>
    </xf>
    <xf numFmtId="0" fontId="1" fillId="3" borderId="8" xfId="3" applyFill="1" applyBorder="1" applyAlignment="1">
      <alignment horizontal="center"/>
    </xf>
    <xf numFmtId="0" fontId="1" fillId="0" borderId="10" xfId="3" applyBorder="1" applyAlignment="1">
      <alignment horizontal="center"/>
    </xf>
    <xf numFmtId="0" fontId="4" fillId="0" borderId="3" xfId="3" applyFont="1" applyBorder="1" applyAlignment="1">
      <alignment horizontal="center"/>
    </xf>
    <xf numFmtId="1" fontId="1" fillId="0" borderId="5" xfId="3" applyNumberFormat="1" applyBorder="1" applyAlignment="1">
      <alignment horizontal="center"/>
    </xf>
    <xf numFmtId="0" fontId="1" fillId="0" borderId="5" xfId="3" applyBorder="1" applyAlignment="1">
      <alignment horizontal="center"/>
    </xf>
    <xf numFmtId="0" fontId="8" fillId="2" borderId="0" xfId="3" applyFont="1" applyFill="1" applyAlignment="1">
      <alignment vertical="center"/>
    </xf>
    <xf numFmtId="0" fontId="4" fillId="3" borderId="12" xfId="3" applyFont="1" applyFill="1" applyBorder="1" applyAlignment="1">
      <alignment horizontal="center"/>
    </xf>
    <xf numFmtId="0" fontId="1" fillId="0" borderId="60" xfId="3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0" fontId="1" fillId="0" borderId="13" xfId="3" applyBorder="1" applyAlignment="1">
      <alignment horizontal="center" vertical="center"/>
    </xf>
    <xf numFmtId="0" fontId="1" fillId="0" borderId="59" xfId="3" applyBorder="1" applyAlignment="1">
      <alignment horizontal="center" vertical="center"/>
    </xf>
    <xf numFmtId="10" fontId="14" fillId="0" borderId="0" xfId="9" applyNumberFormat="1" applyFont="1" applyFill="1" applyAlignment="1">
      <alignment vertical="center"/>
    </xf>
    <xf numFmtId="10" fontId="15" fillId="0" borderId="0" xfId="9" applyNumberFormat="1" applyFont="1" applyFill="1" applyAlignment="1">
      <alignment vertical="center"/>
    </xf>
    <xf numFmtId="10" fontId="15" fillId="4" borderId="22" xfId="9" applyNumberFormat="1" applyFont="1" applyFill="1" applyBorder="1" applyAlignment="1">
      <alignment vertical="center"/>
    </xf>
    <xf numFmtId="10" fontId="15" fillId="4" borderId="23" xfId="9" applyNumberFormat="1" applyFont="1" applyFill="1" applyBorder="1" applyAlignment="1">
      <alignment vertical="center"/>
    </xf>
    <xf numFmtId="9" fontId="81" fillId="0" borderId="0" xfId="9" applyFont="1" applyFill="1" applyAlignment="1">
      <alignment horizontal="center"/>
    </xf>
    <xf numFmtId="10" fontId="25" fillId="0" borderId="0" xfId="9" applyNumberFormat="1" applyFont="1" applyFill="1" applyAlignment="1">
      <alignment horizontal="right"/>
    </xf>
    <xf numFmtId="2" fontId="25" fillId="0" borderId="0" xfId="1" applyNumberFormat="1" applyFont="1" applyFill="1" applyBorder="1" applyAlignment="1">
      <alignment horizontal="center"/>
    </xf>
    <xf numFmtId="10" fontId="13" fillId="0" borderId="0" xfId="9" applyNumberFormat="1" applyFont="1" applyFill="1" applyAlignment="1">
      <alignment vertical="center"/>
    </xf>
    <xf numFmtId="10" fontId="15" fillId="0" borderId="0" xfId="9" applyNumberFormat="1" applyFont="1" applyFill="1" applyBorder="1" applyAlignment="1">
      <alignment vertical="center"/>
    </xf>
    <xf numFmtId="10" fontId="31" fillId="0" borderId="0" xfId="9" applyNumberFormat="1" applyFont="1" applyFill="1" applyAlignment="1">
      <alignment vertical="center"/>
    </xf>
    <xf numFmtId="10" fontId="31" fillId="0" borderId="0" xfId="9" applyNumberFormat="1" applyFont="1" applyFill="1" applyBorder="1" applyAlignment="1">
      <alignment vertical="center"/>
    </xf>
    <xf numFmtId="10" fontId="61" fillId="0" borderId="0" xfId="9" applyNumberFormat="1" applyFont="1" applyFill="1"/>
    <xf numFmtId="0" fontId="13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 vertical="center"/>
    </xf>
    <xf numFmtId="49" fontId="13" fillId="0" borderId="0" xfId="0" applyNumberFormat="1" applyFont="1"/>
    <xf numFmtId="4" fontId="20" fillId="0" borderId="0" xfId="2" applyNumberFormat="1" applyFont="1" applyFill="1" applyBorder="1" applyAlignment="1">
      <alignment horizontal="center" vertical="center"/>
    </xf>
    <xf numFmtId="4" fontId="14" fillId="0" borderId="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14" fillId="0" borderId="0" xfId="1" applyFont="1" applyAlignment="1">
      <alignment vertical="top"/>
    </xf>
    <xf numFmtId="4" fontId="14" fillId="0" borderId="0" xfId="1" applyNumberFormat="1" applyFont="1" applyAlignment="1">
      <alignment vertical="top"/>
    </xf>
    <xf numFmtId="10" fontId="14" fillId="0" borderId="0" xfId="9" applyNumberFormat="1" applyFont="1" applyFill="1" applyAlignment="1">
      <alignment horizontal="right" vertical="top"/>
    </xf>
    <xf numFmtId="49" fontId="14" fillId="0" borderId="0" xfId="2" applyNumberFormat="1" applyFont="1" applyAlignment="1">
      <alignment horizontal="center"/>
    </xf>
    <xf numFmtId="0" fontId="14" fillId="17" borderId="25" xfId="0" applyFont="1" applyFill="1" applyBorder="1" applyAlignment="1">
      <alignment horizontal="center" vertical="center"/>
    </xf>
    <xf numFmtId="9" fontId="14" fillId="0" borderId="0" xfId="9" applyFont="1" applyFill="1" applyAlignment="1">
      <alignment horizontal="right" vertical="center"/>
    </xf>
    <xf numFmtId="10" fontId="53" fillId="0" borderId="0" xfId="9" applyNumberFormat="1" applyFont="1" applyFill="1" applyAlignment="1">
      <alignment vertical="center"/>
    </xf>
    <xf numFmtId="43" fontId="14" fillId="0" borderId="0" xfId="1" applyFont="1" applyFill="1" applyBorder="1" applyAlignment="1">
      <alignment horizontal="center"/>
    </xf>
    <xf numFmtId="43" fontId="14" fillId="0" borderId="27" xfId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right"/>
    </xf>
    <xf numFmtId="43" fontId="39" fillId="0" borderId="0" xfId="1" applyFont="1" applyFill="1" applyBorder="1" applyAlignment="1">
      <alignment horizontal="center"/>
    </xf>
    <xf numFmtId="0" fontId="3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9" fontId="22" fillId="0" borderId="0" xfId="1" applyNumberFormat="1" applyFont="1" applyFill="1" applyBorder="1" applyAlignment="1">
      <alignment vertical="top"/>
    </xf>
    <xf numFmtId="4" fontId="22" fillId="0" borderId="0" xfId="1" applyNumberFormat="1" applyFont="1" applyFill="1" applyBorder="1" applyAlignment="1">
      <alignment horizontal="center"/>
    </xf>
    <xf numFmtId="10" fontId="14" fillId="0" borderId="0" xfId="9" applyNumberFormat="1" applyFont="1" applyFill="1" applyBorder="1" applyAlignment="1">
      <alignment horizontal="right" vertical="top"/>
    </xf>
    <xf numFmtId="0" fontId="24" fillId="4" borderId="7" xfId="0" applyFont="1" applyFill="1" applyBorder="1"/>
    <xf numFmtId="0" fontId="13" fillId="0" borderId="28" xfId="0" applyFont="1" applyBorder="1"/>
    <xf numFmtId="10" fontId="31" fillId="0" borderId="0" xfId="9" applyNumberFormat="1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/>
    </xf>
    <xf numFmtId="43" fontId="14" fillId="3" borderId="25" xfId="1" applyFont="1" applyFill="1" applyBorder="1" applyAlignment="1">
      <alignment horizontal="center"/>
    </xf>
    <xf numFmtId="0" fontId="75" fillId="0" borderId="0" xfId="0" applyFont="1"/>
    <xf numFmtId="10" fontId="36" fillId="0" borderId="0" xfId="9" applyNumberFormat="1" applyFont="1" applyFill="1" applyAlignment="1">
      <alignment horizontal="right"/>
    </xf>
    <xf numFmtId="2" fontId="76" fillId="0" borderId="0" xfId="0" applyNumberFormat="1" applyFont="1" applyAlignment="1">
      <alignment horizontal="center"/>
    </xf>
    <xf numFmtId="10" fontId="77" fillId="0" borderId="0" xfId="9" applyNumberFormat="1" applyFont="1" applyFill="1" applyAlignment="1">
      <alignment horizontal="right"/>
    </xf>
    <xf numFmtId="2" fontId="22" fillId="0" borderId="0" xfId="0" applyNumberFormat="1" applyFont="1" applyAlignment="1">
      <alignment horizontal="center"/>
    </xf>
    <xf numFmtId="10" fontId="39" fillId="0" borderId="0" xfId="9" applyNumberFormat="1" applyFont="1" applyFill="1" applyAlignment="1">
      <alignment horizontal="right"/>
    </xf>
    <xf numFmtId="3" fontId="14" fillId="8" borderId="25" xfId="0" applyNumberFormat="1" applyFont="1" applyFill="1" applyBorder="1" applyAlignment="1">
      <alignment horizontal="center"/>
    </xf>
    <xf numFmtId="3" fontId="36" fillId="9" borderId="25" xfId="0" applyNumberFormat="1" applyFont="1" applyFill="1" applyBorder="1" applyAlignment="1">
      <alignment horizontal="center"/>
    </xf>
    <xf numFmtId="165" fontId="29" fillId="0" borderId="0" xfId="0" applyNumberFormat="1" applyFont="1"/>
    <xf numFmtId="0" fontId="13" fillId="18" borderId="0" xfId="0" applyFont="1" applyFill="1" applyAlignment="1">
      <alignment vertical="center"/>
    </xf>
    <xf numFmtId="0" fontId="67" fillId="0" borderId="1" xfId="5" applyFont="1" applyBorder="1" applyAlignment="1">
      <alignment horizontal="center" vertical="center"/>
    </xf>
    <xf numFmtId="0" fontId="67" fillId="0" borderId="2" xfId="6" applyFont="1" applyBorder="1" applyAlignment="1">
      <alignment horizontal="center" vertical="center"/>
    </xf>
    <xf numFmtId="0" fontId="67" fillId="0" borderId="3" xfId="5" applyFont="1" applyBorder="1" applyAlignment="1">
      <alignment horizontal="center" vertical="center"/>
    </xf>
    <xf numFmtId="49" fontId="67" fillId="0" borderId="4" xfId="6" applyNumberFormat="1" applyFont="1" applyBorder="1" applyAlignment="1">
      <alignment horizontal="center" vertical="center"/>
    </xf>
    <xf numFmtId="0" fontId="69" fillId="0" borderId="3" xfId="5" applyFont="1" applyBorder="1" applyAlignment="1">
      <alignment horizontal="center" vertical="center" wrapText="1"/>
    </xf>
    <xf numFmtId="15" fontId="67" fillId="0" borderId="4" xfId="6" applyNumberFormat="1" applyFont="1" applyBorder="1" applyAlignment="1">
      <alignment horizontal="center" vertical="center"/>
    </xf>
    <xf numFmtId="0" fontId="70" fillId="0" borderId="0" xfId="5" applyFont="1"/>
    <xf numFmtId="0" fontId="67" fillId="0" borderId="5" xfId="5" applyFont="1" applyBorder="1" applyAlignment="1">
      <alignment horizontal="center" vertical="center"/>
    </xf>
    <xf numFmtId="0" fontId="71" fillId="0" borderId="30" xfId="5" applyFont="1" applyBorder="1" applyAlignment="1">
      <alignment horizontal="center"/>
    </xf>
    <xf numFmtId="0" fontId="71" fillId="0" borderId="0" xfId="5" applyFont="1" applyAlignment="1">
      <alignment horizontal="center"/>
    </xf>
    <xf numFmtId="0" fontId="72" fillId="0" borderId="0" xfId="5" applyFont="1" applyAlignment="1">
      <alignment horizontal="center" wrapText="1"/>
    </xf>
    <xf numFmtId="0" fontId="72" fillId="0" borderId="0" xfId="5" applyFont="1" applyAlignment="1">
      <alignment horizontal="center"/>
    </xf>
    <xf numFmtId="0" fontId="72" fillId="0" borderId="24" xfId="5" applyFont="1" applyBorder="1" applyAlignment="1">
      <alignment horizontal="center"/>
    </xf>
    <xf numFmtId="0" fontId="71" fillId="0" borderId="6" xfId="5" applyFont="1" applyBorder="1" applyAlignment="1">
      <alignment horizontal="left" vertical="center"/>
    </xf>
    <xf numFmtId="0" fontId="71" fillId="0" borderId="6" xfId="5" applyFont="1" applyBorder="1" applyAlignment="1">
      <alignment horizontal="center" vertical="center"/>
    </xf>
    <xf numFmtId="0" fontId="71" fillId="19" borderId="25" xfId="5" applyFont="1" applyFill="1" applyBorder="1" applyAlignment="1">
      <alignment horizontal="center" vertical="center"/>
    </xf>
    <xf numFmtId="0" fontId="71" fillId="0" borderId="7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 wrapText="1"/>
    </xf>
    <xf numFmtId="49" fontId="1" fillId="10" borderId="31" xfId="3" applyNumberFormat="1" applyFill="1" applyBorder="1" applyAlignment="1">
      <alignment horizontal="center" vertical="center"/>
    </xf>
    <xf numFmtId="49" fontId="1" fillId="10" borderId="32" xfId="3" applyNumberFormat="1" applyFill="1" applyBorder="1" applyAlignment="1">
      <alignment horizontal="center" vertical="center"/>
    </xf>
    <xf numFmtId="0" fontId="82" fillId="0" borderId="32" xfId="3" quotePrefix="1" applyFont="1" applyBorder="1" applyAlignment="1">
      <alignment horizontal="center" vertical="center"/>
    </xf>
    <xf numFmtId="0" fontId="1" fillId="10" borderId="1" xfId="3" applyFill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/>
    </xf>
    <xf numFmtId="49" fontId="83" fillId="0" borderId="32" xfId="3" applyNumberFormat="1" applyFont="1" applyBorder="1" applyAlignment="1">
      <alignment horizontal="center" vertical="center"/>
    </xf>
    <xf numFmtId="0" fontId="12" fillId="0" borderId="0" xfId="3" applyFont="1"/>
    <xf numFmtId="49" fontId="1" fillId="10" borderId="13" xfId="3" applyNumberFormat="1" applyFill="1" applyBorder="1" applyAlignment="1">
      <alignment horizontal="center" vertical="center"/>
    </xf>
    <xf numFmtId="49" fontId="1" fillId="10" borderId="3" xfId="3" applyNumberFormat="1" applyFill="1" applyBorder="1" applyAlignment="1">
      <alignment horizontal="center" vertical="center"/>
    </xf>
    <xf numFmtId="0" fontId="1" fillId="10" borderId="14" xfId="3" applyFill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/>
    </xf>
    <xf numFmtId="49" fontId="83" fillId="0" borderId="3" xfId="3" applyNumberFormat="1" applyFont="1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49" fontId="83" fillId="0" borderId="9" xfId="3" applyNumberFormat="1" applyFont="1" applyBorder="1" applyAlignment="1">
      <alignment horizontal="center" vertical="center"/>
    </xf>
    <xf numFmtId="0" fontId="1" fillId="10" borderId="3" xfId="4" applyFill="1" applyBorder="1" applyAlignment="1">
      <alignment horizontal="center" vertical="center" wrapText="1"/>
    </xf>
    <xf numFmtId="0" fontId="1" fillId="10" borderId="3" xfId="3" applyFill="1" applyBorder="1" applyAlignment="1">
      <alignment horizontal="center" vertical="center" wrapText="1"/>
    </xf>
    <xf numFmtId="49" fontId="83" fillId="10" borderId="13" xfId="3" applyNumberFormat="1" applyFont="1" applyFill="1" applyBorder="1" applyAlignment="1">
      <alignment horizontal="center" vertical="center"/>
    </xf>
    <xf numFmtId="14" fontId="83" fillId="10" borderId="3" xfId="3" applyNumberFormat="1" applyFont="1" applyFill="1" applyBorder="1" applyAlignment="1">
      <alignment horizontal="left" vertical="center"/>
    </xf>
    <xf numFmtId="0" fontId="1" fillId="0" borderId="3" xfId="3" applyBorder="1" applyAlignment="1">
      <alignment horizontal="center" vertical="center" wrapText="1"/>
    </xf>
    <xf numFmtId="0" fontId="82" fillId="0" borderId="3" xfId="5" quotePrefix="1" applyFont="1" applyBorder="1" applyAlignment="1">
      <alignment horizontal="center" vertical="center"/>
    </xf>
    <xf numFmtId="49" fontId="83" fillId="10" borderId="29" xfId="3" applyNumberFormat="1" applyFont="1" applyFill="1" applyBorder="1" applyAlignment="1">
      <alignment horizontal="center" vertical="center"/>
    </xf>
    <xf numFmtId="0" fontId="83" fillId="10" borderId="5" xfId="3" applyFont="1" applyFill="1" applyBorder="1" applyAlignment="1">
      <alignment horizontal="left" vertical="center"/>
    </xf>
    <xf numFmtId="0" fontId="1" fillId="0" borderId="5" xfId="3" applyBorder="1" applyAlignment="1">
      <alignment horizontal="center" vertical="center" wrapText="1"/>
    </xf>
    <xf numFmtId="0" fontId="83" fillId="0" borderId="5" xfId="3" applyFont="1" applyBorder="1" applyAlignment="1">
      <alignment horizontal="center" vertical="center"/>
    </xf>
    <xf numFmtId="0" fontId="65" fillId="0" borderId="30" xfId="5" applyFont="1" applyBorder="1"/>
    <xf numFmtId="0" fontId="72" fillId="0" borderId="0" xfId="5" applyFont="1"/>
    <xf numFmtId="0" fontId="72" fillId="0" borderId="24" xfId="5" applyFont="1" applyBorder="1"/>
    <xf numFmtId="0" fontId="0" fillId="0" borderId="13" xfId="0" applyBorder="1" applyAlignment="1">
      <alignment horizontal="center"/>
    </xf>
    <xf numFmtId="0" fontId="44" fillId="0" borderId="17" xfId="0" applyFont="1" applyBorder="1" applyAlignment="1">
      <alignment horizontal="center" vertical="center" wrapText="1"/>
    </xf>
    <xf numFmtId="4" fontId="28" fillId="0" borderId="0" xfId="1" applyNumberFormat="1" applyFont="1" applyAlignment="1">
      <alignment horizontal="right"/>
    </xf>
    <xf numFmtId="9" fontId="28" fillId="0" borderId="0" xfId="9" applyFont="1" applyAlignment="1">
      <alignment horizontal="right"/>
    </xf>
    <xf numFmtId="43" fontId="49" fillId="0" borderId="0" xfId="1" applyFont="1" applyFill="1" applyBorder="1" applyAlignment="1">
      <alignment horizontal="center"/>
    </xf>
    <xf numFmtId="4" fontId="49" fillId="0" borderId="0" xfId="2" applyNumberFormat="1" applyFont="1" applyFill="1" applyBorder="1"/>
    <xf numFmtId="4" fontId="49" fillId="0" borderId="0" xfId="2" applyNumberFormat="1" applyFont="1" applyFill="1" applyBorder="1" applyAlignment="1">
      <alignment horizontal="right"/>
    </xf>
    <xf numFmtId="9" fontId="26" fillId="0" borderId="0" xfId="9" applyFont="1" applyFill="1"/>
    <xf numFmtId="49" fontId="49" fillId="0" borderId="0" xfId="2" applyNumberFormat="1" applyFont="1" applyFill="1" applyBorder="1" applyAlignment="1">
      <alignment horizontal="center"/>
    </xf>
    <xf numFmtId="9" fontId="28" fillId="0" borderId="0" xfId="9" applyFont="1" applyFill="1" applyAlignment="1">
      <alignment vertical="center"/>
    </xf>
    <xf numFmtId="10" fontId="24" fillId="0" borderId="0" xfId="9" applyNumberFormat="1" applyFont="1" applyFill="1" applyAlignment="1">
      <alignment horizontal="right"/>
    </xf>
    <xf numFmtId="10" fontId="28" fillId="0" borderId="0" xfId="9" applyNumberFormat="1" applyFont="1" applyFill="1" applyBorder="1" applyAlignment="1">
      <alignment horizontal="right"/>
    </xf>
    <xf numFmtId="0" fontId="28" fillId="0" borderId="0" xfId="9" applyNumberFormat="1" applyFont="1" applyFill="1" applyAlignment="1">
      <alignment vertical="center"/>
    </xf>
    <xf numFmtId="10" fontId="28" fillId="0" borderId="0" xfId="9" applyNumberFormat="1" applyFont="1" applyFill="1"/>
    <xf numFmtId="0" fontId="24" fillId="0" borderId="33" xfId="0" applyFont="1" applyBorder="1" applyAlignment="1">
      <alignment horizontal="right"/>
    </xf>
    <xf numFmtId="10" fontId="27" fillId="0" borderId="0" xfId="9" applyNumberFormat="1" applyFont="1" applyFill="1" applyBorder="1"/>
    <xf numFmtId="43" fontId="28" fillId="10" borderId="0" xfId="1" applyFont="1" applyFill="1" applyBorder="1" applyAlignment="1">
      <alignment horizontal="right"/>
    </xf>
    <xf numFmtId="10" fontId="28" fillId="0" borderId="0" xfId="9" applyNumberFormat="1" applyFont="1" applyFill="1" applyAlignment="1">
      <alignment vertical="center"/>
    </xf>
    <xf numFmtId="9" fontId="26" fillId="0" borderId="0" xfId="9" applyFont="1" applyFill="1" applyAlignment="1">
      <alignment horizontal="center"/>
    </xf>
    <xf numFmtId="10" fontId="59" fillId="0" borderId="0" xfId="9" applyNumberFormat="1" applyFont="1" applyFill="1" applyAlignment="1">
      <alignment horizontal="right"/>
    </xf>
    <xf numFmtId="3" fontId="28" fillId="3" borderId="25" xfId="0" applyNumberFormat="1" applyFont="1" applyFill="1" applyBorder="1" applyAlignment="1">
      <alignment horizontal="center"/>
    </xf>
    <xf numFmtId="10" fontId="27" fillId="0" borderId="0" xfId="9" applyNumberFormat="1" applyFont="1" applyFill="1" applyAlignment="1">
      <alignment horizontal="right"/>
    </xf>
    <xf numFmtId="1" fontId="27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right"/>
    </xf>
    <xf numFmtId="10" fontId="27" fillId="0" borderId="0" xfId="9" applyNumberFormat="1" applyFont="1" applyFill="1"/>
    <xf numFmtId="0" fontId="24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0" fontId="58" fillId="20" borderId="0" xfId="9" applyNumberFormat="1" applyFont="1" applyFill="1" applyAlignment="1">
      <alignment horizontal="right"/>
    </xf>
    <xf numFmtId="43" fontId="24" fillId="20" borderId="0" xfId="1" applyFont="1" applyFill="1" applyBorder="1" applyAlignment="1">
      <alignment horizontal="right"/>
    </xf>
    <xf numFmtId="0" fontId="0" fillId="0" borderId="61" xfId="0" applyBorder="1" applyAlignment="1">
      <alignment horizontal="center" vertical="center"/>
    </xf>
    <xf numFmtId="0" fontId="71" fillId="2" borderId="1" xfId="7" applyFont="1" applyFill="1" applyBorder="1" applyAlignment="1">
      <alignment horizontal="right"/>
    </xf>
    <xf numFmtId="0" fontId="65" fillId="2" borderId="2" xfId="7" applyFont="1" applyFill="1" applyBorder="1" applyAlignment="1">
      <alignment horizontal="center"/>
    </xf>
    <xf numFmtId="0" fontId="71" fillId="2" borderId="3" xfId="7" applyFont="1" applyFill="1" applyBorder="1" applyAlignment="1">
      <alignment horizontal="right"/>
    </xf>
    <xf numFmtId="49" fontId="65" fillId="2" borderId="4" xfId="7" applyNumberFormat="1" applyFont="1" applyFill="1" applyBorder="1" applyAlignment="1">
      <alignment horizontal="center"/>
    </xf>
    <xf numFmtId="0" fontId="65" fillId="2" borderId="9" xfId="7" applyFont="1" applyFill="1" applyBorder="1" applyAlignment="1">
      <alignment horizontal="right"/>
    </xf>
    <xf numFmtId="0" fontId="65" fillId="2" borderId="3" xfId="7" applyFont="1" applyFill="1" applyBorder="1" applyAlignment="1">
      <alignment horizontal="right"/>
    </xf>
    <xf numFmtId="0" fontId="71" fillId="3" borderId="2" xfId="3" applyFont="1" applyFill="1" applyBorder="1" applyAlignment="1">
      <alignment horizontal="center" vertical="center" wrapText="1"/>
    </xf>
    <xf numFmtId="1" fontId="71" fillId="3" borderId="5" xfId="3" applyNumberFormat="1" applyFont="1" applyFill="1" applyBorder="1" applyAlignment="1">
      <alignment horizontal="center"/>
    </xf>
    <xf numFmtId="1" fontId="71" fillId="3" borderId="5" xfId="3" applyNumberFormat="1" applyFont="1" applyFill="1" applyBorder="1" applyAlignment="1">
      <alignment horizontal="center" wrapText="1"/>
    </xf>
    <xf numFmtId="0" fontId="71" fillId="3" borderId="12" xfId="3" applyFont="1" applyFill="1" applyBorder="1" applyAlignment="1">
      <alignment horizontal="center"/>
    </xf>
    <xf numFmtId="0" fontId="86" fillId="0" borderId="13" xfId="3" applyFont="1" applyBorder="1" applyAlignment="1">
      <alignment horizontal="center" vertical="center"/>
    </xf>
    <xf numFmtId="0" fontId="86" fillId="0" borderId="38" xfId="3" applyFont="1" applyBorder="1" applyAlignment="1">
      <alignment horizontal="center" vertical="center"/>
    </xf>
    <xf numFmtId="0" fontId="87" fillId="0" borderId="3" xfId="3" applyFont="1" applyBorder="1" applyAlignment="1">
      <alignment vertical="center"/>
    </xf>
    <xf numFmtId="0" fontId="86" fillId="0" borderId="3" xfId="3" applyFont="1" applyBorder="1" applyAlignment="1">
      <alignment horizontal="center" vertical="center"/>
    </xf>
    <xf numFmtId="1" fontId="86" fillId="0" borderId="3" xfId="3" applyNumberFormat="1" applyFont="1" applyBorder="1" applyAlignment="1">
      <alignment horizontal="center"/>
    </xf>
    <xf numFmtId="1" fontId="86" fillId="0" borderId="3" xfId="3" applyNumberFormat="1" applyFont="1" applyBorder="1" applyAlignment="1">
      <alignment horizontal="center" wrapText="1"/>
    </xf>
    <xf numFmtId="0" fontId="88" fillId="0" borderId="4" xfId="3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65" fillId="0" borderId="9" xfId="0" applyFont="1" applyBorder="1" applyAlignment="1">
      <alignment horizontal="center" wrapText="1"/>
    </xf>
    <xf numFmtId="12" fontId="65" fillId="0" borderId="9" xfId="0" applyNumberFormat="1" applyFont="1" applyBorder="1" applyAlignment="1">
      <alignment horizontal="center"/>
    </xf>
    <xf numFmtId="0" fontId="89" fillId="0" borderId="3" xfId="0" applyFont="1" applyBorder="1" applyAlignment="1">
      <alignment horizontal="center" vertical="center"/>
    </xf>
    <xf numFmtId="0" fontId="44" fillId="0" borderId="3" xfId="0" applyFont="1" applyBorder="1"/>
    <xf numFmtId="0" fontId="65" fillId="0" borderId="3" xfId="0" applyFont="1" applyBorder="1" applyAlignment="1">
      <alignment horizontal="center"/>
    </xf>
    <xf numFmtId="0" fontId="0" fillId="10" borderId="3" xfId="0" applyFill="1" applyBorder="1"/>
    <xf numFmtId="1" fontId="88" fillId="0" borderId="3" xfId="3" applyNumberFormat="1" applyFont="1" applyBorder="1" applyAlignment="1">
      <alignment horizontal="center"/>
    </xf>
    <xf numFmtId="0" fontId="88" fillId="0" borderId="3" xfId="3" applyFont="1" applyBorder="1" applyAlignment="1">
      <alignment horizontal="center"/>
    </xf>
    <xf numFmtId="1" fontId="88" fillId="0" borderId="3" xfId="3" applyNumberFormat="1" applyFont="1" applyBorder="1" applyAlignment="1">
      <alignment horizontal="center" wrapText="1"/>
    </xf>
    <xf numFmtId="1" fontId="0" fillId="0" borderId="3" xfId="0" applyNumberFormat="1" applyBorder="1"/>
    <xf numFmtId="0" fontId="65" fillId="10" borderId="3" xfId="3" applyFont="1" applyFill="1" applyBorder="1" applyAlignment="1">
      <alignment horizontal="center"/>
    </xf>
    <xf numFmtId="49" fontId="88" fillId="0" borderId="13" xfId="3" applyNumberFormat="1" applyFont="1" applyBorder="1" applyAlignment="1">
      <alignment horizontal="center"/>
    </xf>
    <xf numFmtId="49" fontId="88" fillId="0" borderId="38" xfId="3" applyNumberFormat="1" applyFont="1" applyBorder="1" applyAlignment="1">
      <alignment horizontal="center"/>
    </xf>
    <xf numFmtId="0" fontId="44" fillId="10" borderId="3" xfId="3" applyFont="1" applyFill="1" applyBorder="1" applyAlignment="1">
      <alignment horizontal="left"/>
    </xf>
    <xf numFmtId="170" fontId="88" fillId="0" borderId="3" xfId="3" applyNumberFormat="1" applyFont="1" applyBorder="1" applyAlignment="1">
      <alignment horizontal="center"/>
    </xf>
    <xf numFmtId="0" fontId="90" fillId="10" borderId="13" xfId="0" applyFont="1" applyFill="1" applyBorder="1" applyAlignment="1">
      <alignment horizontal="center"/>
    </xf>
    <xf numFmtId="0" fontId="90" fillId="10" borderId="40" xfId="0" applyFont="1" applyFill="1" applyBorder="1" applyAlignment="1">
      <alignment horizontal="center"/>
    </xf>
    <xf numFmtId="0" fontId="90" fillId="10" borderId="9" xfId="0" applyFont="1" applyFill="1" applyBorder="1"/>
    <xf numFmtId="0" fontId="65" fillId="10" borderId="38" xfId="0" applyFont="1" applyFill="1" applyBorder="1" applyAlignment="1">
      <alignment horizontal="center"/>
    </xf>
    <xf numFmtId="1" fontId="65" fillId="10" borderId="9" xfId="0" applyNumberFormat="1" applyFont="1" applyFill="1" applyBorder="1" applyAlignment="1">
      <alignment horizontal="center"/>
    </xf>
    <xf numFmtId="1" fontId="65" fillId="10" borderId="9" xfId="0" applyNumberFormat="1" applyFont="1" applyFill="1" applyBorder="1" applyAlignment="1">
      <alignment horizontal="center" wrapText="1"/>
    </xf>
    <xf numFmtId="49" fontId="65" fillId="10" borderId="9" xfId="0" applyNumberFormat="1" applyFont="1" applyFill="1" applyBorder="1" applyAlignment="1">
      <alignment horizontal="center"/>
    </xf>
    <xf numFmtId="1" fontId="65" fillId="10" borderId="3" xfId="3" applyNumberFormat="1" applyFont="1" applyFill="1" applyBorder="1" applyAlignment="1">
      <alignment horizontal="center"/>
    </xf>
    <xf numFmtId="1" fontId="65" fillId="10" borderId="3" xfId="3" applyNumberFormat="1" applyFont="1" applyFill="1" applyBorder="1" applyAlignment="1">
      <alignment horizontal="center" wrapText="1"/>
    </xf>
    <xf numFmtId="1" fontId="65" fillId="10" borderId="3" xfId="0" applyNumberFormat="1" applyFont="1" applyFill="1" applyBorder="1" applyAlignment="1">
      <alignment horizontal="center"/>
    </xf>
    <xf numFmtId="16" fontId="65" fillId="10" borderId="3" xfId="0" applyNumberFormat="1" applyFont="1" applyFill="1" applyBorder="1" applyAlignment="1">
      <alignment horizontal="center"/>
    </xf>
    <xf numFmtId="0" fontId="65" fillId="2" borderId="3" xfId="0" applyFont="1" applyFill="1" applyBorder="1" applyAlignment="1">
      <alignment horizontal="center"/>
    </xf>
    <xf numFmtId="1" fontId="65" fillId="0" borderId="9" xfId="0" applyNumberFormat="1" applyFont="1" applyBorder="1" applyAlignment="1">
      <alignment horizontal="center" wrapText="1"/>
    </xf>
    <xf numFmtId="16" fontId="65" fillId="0" borderId="3" xfId="0" applyNumberFormat="1" applyFont="1" applyBorder="1" applyAlignment="1">
      <alignment horizontal="center"/>
    </xf>
    <xf numFmtId="1" fontId="65" fillId="0" borderId="9" xfId="0" applyNumberFormat="1" applyFont="1" applyBorder="1" applyAlignment="1">
      <alignment horizontal="center"/>
    </xf>
    <xf numFmtId="1" fontId="65" fillId="0" borderId="3" xfId="0" applyNumberFormat="1" applyFont="1" applyBorder="1" applyAlignment="1">
      <alignment horizontal="center"/>
    </xf>
    <xf numFmtId="1" fontId="65" fillId="0" borderId="3" xfId="0" applyNumberFormat="1" applyFont="1" applyBorder="1" applyAlignment="1">
      <alignment horizontal="center" wrapText="1"/>
    </xf>
    <xf numFmtId="49" fontId="86" fillId="0" borderId="41" xfId="3" applyNumberFormat="1" applyFont="1" applyBorder="1" applyAlignment="1">
      <alignment horizontal="center"/>
    </xf>
    <xf numFmtId="49" fontId="86" fillId="0" borderId="37" xfId="3" applyNumberFormat="1" applyFont="1" applyBorder="1" applyAlignment="1">
      <alignment horizontal="center"/>
    </xf>
    <xf numFmtId="0" fontId="91" fillId="10" borderId="3" xfId="3" applyFont="1" applyFill="1" applyBorder="1" applyAlignment="1">
      <alignment vertical="center"/>
    </xf>
    <xf numFmtId="0" fontId="86" fillId="0" borderId="38" xfId="3" applyFont="1" applyBorder="1" applyAlignment="1">
      <alignment horizontal="center"/>
    </xf>
    <xf numFmtId="170" fontId="86" fillId="0" borderId="3" xfId="3" applyNumberFormat="1" applyFont="1" applyBorder="1" applyAlignment="1">
      <alignment horizontal="center"/>
    </xf>
    <xf numFmtId="49" fontId="88" fillId="0" borderId="3" xfId="0" applyNumberFormat="1" applyFont="1" applyBorder="1" applyAlignment="1">
      <alignment horizontal="center"/>
    </xf>
    <xf numFmtId="49" fontId="13" fillId="0" borderId="3" xfId="0" applyNumberFormat="1" applyFont="1" applyBorder="1"/>
    <xf numFmtId="0" fontId="88" fillId="0" borderId="3" xfId="0" applyFont="1" applyBorder="1" applyAlignment="1">
      <alignment horizontal="center"/>
    </xf>
    <xf numFmtId="1" fontId="88" fillId="0" borderId="3" xfId="0" applyNumberFormat="1" applyFont="1" applyBorder="1" applyAlignment="1">
      <alignment horizontal="center"/>
    </xf>
    <xf numFmtId="1" fontId="88" fillId="0" borderId="3" xfId="0" applyNumberFormat="1" applyFont="1" applyBorder="1" applyAlignment="1">
      <alignment horizontal="center" wrapText="1"/>
    </xf>
    <xf numFmtId="171" fontId="71" fillId="10" borderId="3" xfId="1" applyNumberFormat="1" applyFont="1" applyFill="1" applyBorder="1" applyAlignment="1">
      <alignment horizontal="center"/>
    </xf>
    <xf numFmtId="0" fontId="79" fillId="0" borderId="3" xfId="10" applyBorder="1" applyAlignment="1">
      <alignment horizontal="center"/>
    </xf>
    <xf numFmtId="0" fontId="79" fillId="0" borderId="3" xfId="10" applyBorder="1" applyAlignment="1">
      <alignment horizontal="left"/>
    </xf>
    <xf numFmtId="16" fontId="88" fillId="0" borderId="3" xfId="0" applyNumberFormat="1" applyFont="1" applyBorder="1" applyAlignment="1">
      <alignment horizontal="center"/>
    </xf>
    <xf numFmtId="12" fontId="88" fillId="0" borderId="3" xfId="3" applyNumberFormat="1" applyFont="1" applyBorder="1" applyAlignment="1">
      <alignment horizontal="center"/>
    </xf>
    <xf numFmtId="0" fontId="65" fillId="0" borderId="3" xfId="0" quotePrefix="1" applyFont="1" applyBorder="1" applyAlignment="1">
      <alignment horizontal="center"/>
    </xf>
    <xf numFmtId="0" fontId="65" fillId="0" borderId="3" xfId="0" quotePrefix="1" applyFont="1" applyBorder="1"/>
    <xf numFmtId="1" fontId="12" fillId="0" borderId="3" xfId="3" applyNumberFormat="1" applyFont="1" applyBorder="1" applyAlignment="1">
      <alignment horizontal="center"/>
    </xf>
    <xf numFmtId="49" fontId="13" fillId="0" borderId="3" xfId="3" applyNumberFormat="1" applyFont="1" applyBorder="1"/>
    <xf numFmtId="49" fontId="92" fillId="2" borderId="30" xfId="3" applyNumberFormat="1" applyFont="1" applyFill="1" applyBorder="1" applyAlignment="1">
      <alignment horizontal="center" vertical="center"/>
    </xf>
    <xf numFmtId="49" fontId="92" fillId="2" borderId="0" xfId="3" applyNumberFormat="1" applyFont="1" applyFill="1" applyAlignment="1">
      <alignment horizontal="center" vertical="center"/>
    </xf>
    <xf numFmtId="0" fontId="65" fillId="2" borderId="0" xfId="3" applyFont="1" applyFill="1"/>
    <xf numFmtId="1" fontId="65" fillId="2" borderId="0" xfId="3" applyNumberFormat="1" applyFont="1" applyFill="1" applyAlignment="1">
      <alignment horizontal="center"/>
    </xf>
    <xf numFmtId="166" fontId="65" fillId="2" borderId="0" xfId="3" applyNumberFormat="1" applyFont="1" applyFill="1" applyAlignment="1">
      <alignment horizontal="center" wrapText="1"/>
    </xf>
    <xf numFmtId="0" fontId="65" fillId="2" borderId="24" xfId="3" applyFont="1" applyFill="1" applyBorder="1" applyAlignment="1">
      <alignment horizontal="center"/>
    </xf>
    <xf numFmtId="0" fontId="65" fillId="3" borderId="6" xfId="3" applyFont="1" applyFill="1" applyBorder="1" applyAlignment="1">
      <alignment horizontal="center"/>
    </xf>
    <xf numFmtId="0" fontId="65" fillId="3" borderId="7" xfId="3" applyFont="1" applyFill="1" applyBorder="1" applyAlignment="1">
      <alignment horizontal="center"/>
    </xf>
    <xf numFmtId="0" fontId="65" fillId="3" borderId="7" xfId="3" applyFont="1" applyFill="1" applyBorder="1"/>
    <xf numFmtId="0" fontId="71" fillId="3" borderId="7" xfId="3" applyFont="1" applyFill="1" applyBorder="1" applyAlignment="1">
      <alignment horizontal="center"/>
    </xf>
    <xf numFmtId="1" fontId="71" fillId="3" borderId="7" xfId="3" applyNumberFormat="1" applyFont="1" applyFill="1" applyBorder="1" applyAlignment="1">
      <alignment horizontal="center"/>
    </xf>
    <xf numFmtId="166" fontId="65" fillId="3" borderId="7" xfId="3" applyNumberFormat="1" applyFont="1" applyFill="1" applyBorder="1" applyAlignment="1">
      <alignment horizontal="center" wrapText="1"/>
    </xf>
    <xf numFmtId="0" fontId="65" fillId="3" borderId="8" xfId="3" applyFont="1" applyFill="1" applyBorder="1" applyAlignment="1">
      <alignment horizontal="center"/>
    </xf>
    <xf numFmtId="0" fontId="65" fillId="0" borderId="10" xfId="0" applyFont="1" applyBorder="1" applyAlignment="1">
      <alignment horizontal="center"/>
    </xf>
    <xf numFmtId="1" fontId="65" fillId="0" borderId="5" xfId="0" applyNumberFormat="1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10" borderId="3" xfId="7" applyFill="1" applyBorder="1" applyAlignment="1">
      <alignment vertical="center" wrapText="1"/>
    </xf>
    <xf numFmtId="0" fontId="93" fillId="10" borderId="3" xfId="7" applyFont="1" applyFill="1" applyBorder="1" applyAlignment="1">
      <alignment vertical="center" wrapText="1"/>
    </xf>
    <xf numFmtId="1" fontId="0" fillId="10" borderId="3" xfId="0" applyNumberFormat="1" applyFill="1" applyBorder="1" applyAlignment="1">
      <alignment horizontal="center"/>
    </xf>
    <xf numFmtId="0" fontId="2" fillId="10" borderId="3" xfId="7" applyFill="1" applyBorder="1" applyAlignment="1">
      <alignment horizontal="center" vertical="center" wrapText="1"/>
    </xf>
    <xf numFmtId="14" fontId="65" fillId="2" borderId="63" xfId="7" applyNumberFormat="1" applyFont="1" applyFill="1" applyBorder="1" applyAlignment="1">
      <alignment horizontal="center" vertical="center" wrapText="1"/>
    </xf>
    <xf numFmtId="14" fontId="65" fillId="2" borderId="66" xfId="7" applyNumberFormat="1" applyFont="1" applyFill="1" applyBorder="1" applyAlignment="1">
      <alignment horizontal="center" vertical="center" wrapText="1"/>
    </xf>
    <xf numFmtId="14" fontId="65" fillId="2" borderId="11" xfId="7" applyNumberFormat="1" applyFont="1" applyFill="1" applyBorder="1" applyAlignment="1">
      <alignment horizontal="center" vertical="center" wrapText="1"/>
    </xf>
    <xf numFmtId="0" fontId="65" fillId="2" borderId="64" xfId="7" applyFont="1" applyFill="1" applyBorder="1" applyAlignment="1">
      <alignment horizontal="left"/>
    </xf>
    <xf numFmtId="0" fontId="65" fillId="2" borderId="50" xfId="7" applyFont="1" applyFill="1" applyBorder="1" applyAlignment="1">
      <alignment horizontal="left"/>
    </xf>
    <xf numFmtId="0" fontId="65" fillId="2" borderId="65" xfId="7" applyFont="1" applyFill="1" applyBorder="1" applyAlignment="1">
      <alignment horizontal="left"/>
    </xf>
    <xf numFmtId="0" fontId="65" fillId="2" borderId="36" xfId="7" applyFont="1" applyFill="1" applyBorder="1" applyAlignment="1">
      <alignment horizontal="left"/>
    </xf>
    <xf numFmtId="0" fontId="65" fillId="2" borderId="37" xfId="7" applyFont="1" applyFill="1" applyBorder="1" applyAlignment="1">
      <alignment horizontal="left"/>
    </xf>
    <xf numFmtId="0" fontId="65" fillId="2" borderId="38" xfId="7" applyFont="1" applyFill="1" applyBorder="1" applyAlignment="1">
      <alignment horizontal="left"/>
    </xf>
    <xf numFmtId="0" fontId="65" fillId="2" borderId="43" xfId="7" applyFont="1" applyFill="1" applyBorder="1" applyAlignment="1">
      <alignment horizontal="center"/>
    </xf>
    <xf numFmtId="0" fontId="65" fillId="2" borderId="28" xfId="7" applyFont="1" applyFill="1" applyBorder="1" applyAlignment="1">
      <alignment horizontal="center"/>
    </xf>
    <xf numFmtId="0" fontId="65" fillId="2" borderId="30" xfId="7" applyFont="1" applyFill="1" applyBorder="1" applyAlignment="1">
      <alignment horizontal="center"/>
    </xf>
    <xf numFmtId="0" fontId="65" fillId="2" borderId="0" xfId="7" applyFont="1" applyFill="1" applyAlignment="1">
      <alignment horizontal="center"/>
    </xf>
    <xf numFmtId="0" fontId="65" fillId="2" borderId="39" xfId="7" applyFont="1" applyFill="1" applyBorder="1" applyAlignment="1">
      <alignment horizontal="center"/>
    </xf>
    <xf numFmtId="0" fontId="65" fillId="2" borderId="17" xfId="7" applyFont="1" applyFill="1" applyBorder="1" applyAlignment="1">
      <alignment horizontal="center"/>
    </xf>
    <xf numFmtId="0" fontId="74" fillId="2" borderId="1" xfId="7" applyFont="1" applyFill="1" applyBorder="1" applyAlignment="1">
      <alignment horizontal="center"/>
    </xf>
    <xf numFmtId="0" fontId="74" fillId="2" borderId="47" xfId="7" applyFont="1" applyFill="1" applyBorder="1" applyAlignment="1">
      <alignment horizontal="center"/>
    </xf>
    <xf numFmtId="0" fontId="74" fillId="2" borderId="55" xfId="7" applyFont="1" applyFill="1" applyBorder="1" applyAlignment="1">
      <alignment horizontal="center"/>
    </xf>
    <xf numFmtId="0" fontId="74" fillId="2" borderId="46" xfId="7" applyFont="1" applyFill="1" applyBorder="1" applyAlignment="1">
      <alignment horizontal="center"/>
    </xf>
    <xf numFmtId="0" fontId="10" fillId="5" borderId="36" xfId="7" applyFont="1" applyFill="1" applyBorder="1" applyAlignment="1">
      <alignment horizontal="center" vertical="center" wrapText="1"/>
    </xf>
    <xf numFmtId="0" fontId="10" fillId="5" borderId="37" xfId="7" applyFont="1" applyFill="1" applyBorder="1" applyAlignment="1">
      <alignment horizontal="center" vertical="center" wrapText="1"/>
    </xf>
    <xf numFmtId="0" fontId="10" fillId="5" borderId="38" xfId="7" applyFont="1" applyFill="1" applyBorder="1" applyAlignment="1">
      <alignment horizontal="center" vertical="center" wrapText="1"/>
    </xf>
    <xf numFmtId="0" fontId="71" fillId="2" borderId="62" xfId="7" applyFont="1" applyFill="1" applyBorder="1" applyAlignment="1">
      <alignment horizontal="right" vertical="top" wrapText="1"/>
    </xf>
    <xf numFmtId="0" fontId="71" fillId="2" borderId="44" xfId="7" applyFont="1" applyFill="1" applyBorder="1" applyAlignment="1">
      <alignment horizontal="right" vertical="top" wrapText="1"/>
    </xf>
    <xf numFmtId="0" fontId="71" fillId="2" borderId="45" xfId="7" applyFont="1" applyFill="1" applyBorder="1" applyAlignment="1">
      <alignment horizontal="right" vertical="top" wrapText="1"/>
    </xf>
    <xf numFmtId="0" fontId="5" fillId="2" borderId="0" xfId="7" applyFont="1" applyFill="1" applyAlignment="1">
      <alignment horizontal="right"/>
    </xf>
    <xf numFmtId="0" fontId="80" fillId="2" borderId="33" xfId="7" applyFont="1" applyFill="1" applyBorder="1" applyAlignment="1">
      <alignment horizontal="center"/>
    </xf>
    <xf numFmtId="0" fontId="5" fillId="2" borderId="0" xfId="7" applyFont="1" applyFill="1"/>
    <xf numFmtId="0" fontId="71" fillId="3" borderId="16" xfId="3" applyFont="1" applyFill="1" applyBorder="1" applyAlignment="1">
      <alignment horizontal="center" vertical="center"/>
    </xf>
    <xf numFmtId="0" fontId="71" fillId="3" borderId="29" xfId="3" applyFont="1" applyFill="1" applyBorder="1" applyAlignment="1">
      <alignment horizontal="center" vertical="center"/>
    </xf>
    <xf numFmtId="0" fontId="71" fillId="3" borderId="16" xfId="3" applyFont="1" applyFill="1" applyBorder="1" applyAlignment="1">
      <alignment horizontal="center" vertical="center" wrapText="1"/>
    </xf>
    <xf numFmtId="0" fontId="71" fillId="3" borderId="29" xfId="3" applyFont="1" applyFill="1" applyBorder="1" applyAlignment="1">
      <alignment horizontal="center" vertical="center" wrapText="1"/>
    </xf>
    <xf numFmtId="0" fontId="71" fillId="3" borderId="1" xfId="3" applyFont="1" applyFill="1" applyBorder="1" applyAlignment="1">
      <alignment horizontal="center" vertical="center"/>
    </xf>
    <xf numFmtId="0" fontId="71" fillId="3" borderId="5" xfId="3" applyFont="1" applyFill="1" applyBorder="1" applyAlignment="1">
      <alignment horizontal="center" vertical="center"/>
    </xf>
    <xf numFmtId="0" fontId="71" fillId="0" borderId="39" xfId="3" applyFont="1" applyBorder="1" applyAlignment="1">
      <alignment horizontal="right"/>
    </xf>
    <xf numFmtId="0" fontId="71" fillId="0" borderId="17" xfId="3" applyFont="1" applyBorder="1" applyAlignment="1">
      <alignment horizontal="right"/>
    </xf>
    <xf numFmtId="0" fontId="71" fillId="0" borderId="40" xfId="3" applyFont="1" applyBorder="1" applyAlignment="1">
      <alignment horizontal="right"/>
    </xf>
    <xf numFmtId="166" fontId="65" fillId="0" borderId="9" xfId="3" applyNumberFormat="1" applyFont="1" applyBorder="1" applyAlignment="1">
      <alignment horizontal="right"/>
    </xf>
    <xf numFmtId="0" fontId="65" fillId="2" borderId="10" xfId="3" applyFont="1" applyFill="1" applyBorder="1" applyAlignment="1">
      <alignment horizontal="center"/>
    </xf>
    <xf numFmtId="0" fontId="65" fillId="2" borderId="18" xfId="3" applyFont="1" applyFill="1" applyBorder="1" applyAlignment="1">
      <alignment horizontal="center"/>
    </xf>
    <xf numFmtId="0" fontId="71" fillId="0" borderId="41" xfId="3" applyFont="1" applyBorder="1" applyAlignment="1">
      <alignment horizontal="right"/>
    </xf>
    <xf numFmtId="0" fontId="71" fillId="0" borderId="37" xfId="3" applyFont="1" applyBorder="1" applyAlignment="1">
      <alignment horizontal="right"/>
    </xf>
    <xf numFmtId="0" fontId="71" fillId="0" borderId="38" xfId="3" applyFont="1" applyBorder="1" applyAlignment="1">
      <alignment horizontal="right"/>
    </xf>
    <xf numFmtId="0" fontId="65" fillId="0" borderId="3" xfId="3" applyFont="1" applyBorder="1" applyAlignment="1">
      <alignment horizontal="right"/>
    </xf>
    <xf numFmtId="166" fontId="65" fillId="0" borderId="36" xfId="3" applyNumberFormat="1" applyFont="1" applyBorder="1" applyAlignment="1">
      <alignment horizontal="center"/>
    </xf>
    <xf numFmtId="166" fontId="65" fillId="0" borderId="42" xfId="3" applyNumberFormat="1" applyFont="1" applyBorder="1" applyAlignment="1">
      <alignment horizontal="center"/>
    </xf>
    <xf numFmtId="0" fontId="88" fillId="0" borderId="39" xfId="3" applyFont="1" applyBorder="1" applyAlignment="1">
      <alignment horizontal="left" vertical="center"/>
    </xf>
    <xf numFmtId="0" fontId="88" fillId="0" borderId="17" xfId="3" applyFont="1" applyBorder="1" applyAlignment="1">
      <alignment horizontal="left" vertical="center"/>
    </xf>
    <xf numFmtId="0" fontId="88" fillId="0" borderId="18" xfId="3" applyFont="1" applyBorder="1" applyAlignment="1">
      <alignment horizontal="left" vertical="center"/>
    </xf>
    <xf numFmtId="166" fontId="65" fillId="0" borderId="36" xfId="3" applyNumberFormat="1" applyFont="1" applyBorder="1" applyAlignment="1">
      <alignment horizontal="right" wrapText="1"/>
    </xf>
    <xf numFmtId="166" fontId="65" fillId="0" borderId="38" xfId="3" applyNumberFormat="1" applyFont="1" applyBorder="1" applyAlignment="1">
      <alignment horizontal="right" wrapText="1"/>
    </xf>
    <xf numFmtId="166" fontId="65" fillId="0" borderId="36" xfId="0" applyNumberFormat="1" applyFont="1" applyBorder="1" applyAlignment="1">
      <alignment horizontal="center" wrapText="1"/>
    </xf>
    <xf numFmtId="166" fontId="65" fillId="0" borderId="42" xfId="0" applyNumberFormat="1" applyFont="1" applyBorder="1" applyAlignment="1">
      <alignment horizontal="center" wrapText="1"/>
    </xf>
    <xf numFmtId="0" fontId="71" fillId="0" borderId="29" xfId="3" applyFont="1" applyBorder="1" applyAlignment="1">
      <alignment horizontal="right"/>
    </xf>
    <xf numFmtId="0" fontId="71" fillId="0" borderId="46" xfId="3" applyFont="1" applyBorder="1" applyAlignment="1">
      <alignment horizontal="right"/>
    </xf>
    <xf numFmtId="0" fontId="71" fillId="0" borderId="5" xfId="3" applyFont="1" applyBorder="1" applyAlignment="1">
      <alignment horizontal="right"/>
    </xf>
    <xf numFmtId="0" fontId="65" fillId="0" borderId="5" xfId="3" applyFont="1" applyBorder="1" applyAlignment="1">
      <alignment horizontal="right"/>
    </xf>
    <xf numFmtId="0" fontId="71" fillId="3" borderId="6" xfId="3" applyFont="1" applyFill="1" applyBorder="1" applyAlignment="1">
      <alignment horizontal="left"/>
    </xf>
    <xf numFmtId="0" fontId="71" fillId="3" borderId="7" xfId="3" applyFont="1" applyFill="1" applyBorder="1" applyAlignment="1">
      <alignment horizontal="left"/>
    </xf>
    <xf numFmtId="0" fontId="71" fillId="3" borderId="8" xfId="3" applyFont="1" applyFill="1" applyBorder="1" applyAlignment="1">
      <alignment horizontal="left"/>
    </xf>
    <xf numFmtId="0" fontId="88" fillId="0" borderId="39" xfId="3" applyFont="1" applyBorder="1" applyAlignment="1">
      <alignment horizontal="left" vertical="center" wrapText="1"/>
    </xf>
    <xf numFmtId="0" fontId="88" fillId="0" borderId="17" xfId="3" applyFont="1" applyBorder="1" applyAlignment="1">
      <alignment horizontal="left" vertical="center" wrapText="1"/>
    </xf>
    <xf numFmtId="0" fontId="88" fillId="0" borderId="18" xfId="3" applyFont="1" applyBorder="1" applyAlignment="1">
      <alignment horizontal="left" vertical="center" wrapText="1"/>
    </xf>
    <xf numFmtId="0" fontId="71" fillId="22" borderId="67" xfId="7" applyFont="1" applyFill="1" applyBorder="1" applyAlignment="1">
      <alignment horizontal="center"/>
    </xf>
    <xf numFmtId="0" fontId="71" fillId="22" borderId="28" xfId="7" applyFont="1" applyFill="1" applyBorder="1" applyAlignment="1">
      <alignment horizontal="center"/>
    </xf>
    <xf numFmtId="0" fontId="65" fillId="2" borderId="68" xfId="7" applyFont="1" applyFill="1" applyBorder="1" applyAlignment="1">
      <alignment horizontal="left"/>
    </xf>
    <xf numFmtId="0" fontId="65" fillId="2" borderId="0" xfId="7" applyFont="1" applyFill="1" applyAlignment="1">
      <alignment horizontal="left"/>
    </xf>
    <xf numFmtId="0" fontId="88" fillId="0" borderId="41" xfId="3" applyFont="1" applyBorder="1" applyAlignment="1">
      <alignment horizontal="left" vertical="center"/>
    </xf>
    <xf numFmtId="0" fontId="88" fillId="0" borderId="37" xfId="3" applyFont="1" applyBorder="1" applyAlignment="1">
      <alignment horizontal="left" vertical="center"/>
    </xf>
    <xf numFmtId="0" fontId="88" fillId="0" borderId="42" xfId="3" applyFont="1" applyBorder="1" applyAlignment="1">
      <alignment horizontal="left" vertical="center"/>
    </xf>
    <xf numFmtId="0" fontId="65" fillId="0" borderId="15" xfId="0" applyFont="1" applyBorder="1" applyAlignment="1">
      <alignment horizontal="left" wrapText="1"/>
    </xf>
    <xf numFmtId="0" fontId="65" fillId="0" borderId="40" xfId="0" applyFont="1" applyBorder="1" applyAlignment="1">
      <alignment horizontal="left" wrapText="1"/>
    </xf>
    <xf numFmtId="0" fontId="65" fillId="0" borderId="9" xfId="0" applyFont="1" applyBorder="1" applyAlignment="1">
      <alignment horizontal="left" wrapText="1"/>
    </xf>
    <xf numFmtId="0" fontId="65" fillId="0" borderId="11" xfId="0" applyFont="1" applyBorder="1" applyAlignment="1">
      <alignment horizontal="left" wrapText="1"/>
    </xf>
    <xf numFmtId="0" fontId="65" fillId="0" borderId="41" xfId="0" applyFont="1" applyBorder="1" applyAlignment="1">
      <alignment horizontal="left"/>
    </xf>
    <xf numFmtId="0" fontId="65" fillId="0" borderId="37" xfId="0" applyFont="1" applyBorder="1" applyAlignment="1">
      <alignment horizontal="left"/>
    </xf>
    <xf numFmtId="0" fontId="65" fillId="0" borderId="42" xfId="0" applyFont="1" applyBorder="1" applyAlignment="1">
      <alignment horizontal="left"/>
    </xf>
    <xf numFmtId="0" fontId="12" fillId="0" borderId="41" xfId="3" applyFont="1" applyBorder="1" applyAlignment="1">
      <alignment horizontal="left" wrapText="1"/>
    </xf>
    <xf numFmtId="0" fontId="12" fillId="0" borderId="37" xfId="3" applyFont="1" applyBorder="1" applyAlignment="1">
      <alignment horizontal="left" wrapText="1"/>
    </xf>
    <xf numFmtId="0" fontId="12" fillId="0" borderId="42" xfId="3" applyFont="1" applyBorder="1" applyAlignment="1">
      <alignment horizontal="left" wrapText="1"/>
    </xf>
    <xf numFmtId="0" fontId="7" fillId="0" borderId="39" xfId="3" applyFont="1" applyBorder="1" applyAlignment="1">
      <alignment horizontal="left"/>
    </xf>
    <xf numFmtId="0" fontId="7" fillId="0" borderId="17" xfId="3" applyFont="1" applyBorder="1" applyAlignment="1">
      <alignment horizontal="left"/>
    </xf>
    <xf numFmtId="0" fontId="7" fillId="0" borderId="18" xfId="3" applyFont="1" applyBorder="1" applyAlignment="1">
      <alignment horizontal="left"/>
    </xf>
    <xf numFmtId="0" fontId="22" fillId="0" borderId="0" xfId="0" applyFont="1" applyAlignment="1">
      <alignment horizontal="right" vertical="center"/>
    </xf>
    <xf numFmtId="0" fontId="28" fillId="4" borderId="6" xfId="0" applyFont="1" applyFill="1" applyBorder="1" applyAlignment="1">
      <alignment horizontal="right"/>
    </xf>
    <xf numFmtId="0" fontId="28" fillId="4" borderId="7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40" fillId="0" borderId="0" xfId="0" applyFont="1" applyAlignment="1">
      <alignment horizontal="right"/>
    </xf>
    <xf numFmtId="0" fontId="14" fillId="0" borderId="33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/>
    </xf>
    <xf numFmtId="0" fontId="14" fillId="8" borderId="6" xfId="0" applyFont="1" applyFill="1" applyBorder="1" applyAlignment="1">
      <alignment horizontal="right" vertical="center"/>
    </xf>
    <xf numFmtId="0" fontId="14" fillId="8" borderId="7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right" vertical="center"/>
    </xf>
    <xf numFmtId="4" fontId="37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9" fillId="0" borderId="6" xfId="0" applyFont="1" applyBorder="1" applyAlignment="1">
      <alignment horizontal="right" vertical="center"/>
    </xf>
    <xf numFmtId="0" fontId="39" fillId="0" borderId="7" xfId="0" applyFont="1" applyBorder="1" applyAlignment="1">
      <alignment horizontal="right" vertical="center"/>
    </xf>
    <xf numFmtId="0" fontId="39" fillId="0" borderId="8" xfId="0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32" fillId="0" borderId="30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24" xfId="0" applyFont="1" applyBorder="1" applyAlignment="1">
      <alignment horizontal="right"/>
    </xf>
    <xf numFmtId="0" fontId="30" fillId="0" borderId="33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23" fillId="0" borderId="43" xfId="0" applyFont="1" applyBorder="1" applyAlignment="1">
      <alignment horizontal="right"/>
    </xf>
    <xf numFmtId="0" fontId="23" fillId="0" borderId="28" xfId="0" applyFont="1" applyBorder="1" applyAlignment="1">
      <alignment horizontal="right"/>
    </xf>
    <xf numFmtId="0" fontId="17" fillId="0" borderId="3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right" vertical="center" wrapText="1"/>
    </xf>
    <xf numFmtId="14" fontId="1" fillId="2" borderId="4" xfId="7" applyNumberFormat="1" applyFont="1" applyFill="1" applyBorder="1" applyAlignment="1">
      <alignment horizontal="center" vertical="center" wrapText="1"/>
    </xf>
    <xf numFmtId="14" fontId="1" fillId="2" borderId="12" xfId="7" applyNumberFormat="1" applyFont="1" applyFill="1" applyBorder="1" applyAlignment="1">
      <alignment horizontal="center" vertical="center" wrapText="1"/>
    </xf>
    <xf numFmtId="0" fontId="1" fillId="2" borderId="3" xfId="7" applyFont="1" applyFill="1" applyBorder="1" applyAlignment="1">
      <alignment horizontal="left"/>
    </xf>
    <xf numFmtId="0" fontId="1" fillId="2" borderId="5" xfId="7" applyFont="1" applyFill="1" applyBorder="1" applyAlignment="1">
      <alignment horizontal="left"/>
    </xf>
    <xf numFmtId="0" fontId="4" fillId="3" borderId="1" xfId="3" applyFont="1" applyFill="1" applyBorder="1" applyAlignment="1">
      <alignment horizontal="center" vertical="center"/>
    </xf>
    <xf numFmtId="0" fontId="1" fillId="2" borderId="16" xfId="7" applyFont="1" applyFill="1" applyBorder="1" applyAlignment="1">
      <alignment horizontal="center"/>
    </xf>
    <xf numFmtId="0" fontId="1" fillId="2" borderId="13" xfId="7" applyFont="1" applyFill="1" applyBorder="1" applyAlignment="1">
      <alignment horizontal="center"/>
    </xf>
    <xf numFmtId="0" fontId="1" fillId="2" borderId="29" xfId="7" applyFont="1" applyFill="1" applyBorder="1" applyAlignment="1">
      <alignment horizontal="center"/>
    </xf>
    <xf numFmtId="0" fontId="5" fillId="2" borderId="1" xfId="7" applyFont="1" applyFill="1" applyBorder="1" applyAlignment="1">
      <alignment horizontal="center"/>
    </xf>
    <xf numFmtId="0" fontId="5" fillId="2" borderId="3" xfId="7" applyFont="1" applyFill="1" applyBorder="1" applyAlignment="1">
      <alignment horizontal="center"/>
    </xf>
    <xf numFmtId="0" fontId="10" fillId="5" borderId="3" xfId="7" applyFont="1" applyFill="1" applyBorder="1" applyAlignment="1">
      <alignment horizontal="center" vertical="center" wrapText="1"/>
    </xf>
    <xf numFmtId="0" fontId="4" fillId="2" borderId="3" xfId="7" applyFont="1" applyFill="1" applyBorder="1" applyAlignment="1">
      <alignment horizontal="right" vertical="top" wrapText="1"/>
    </xf>
    <xf numFmtId="0" fontId="4" fillId="2" borderId="5" xfId="7" applyFont="1" applyFill="1" applyBorder="1" applyAlignment="1">
      <alignment horizontal="right" vertical="top" wrapText="1"/>
    </xf>
    <xf numFmtId="0" fontId="4" fillId="0" borderId="39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6" fontId="1" fillId="0" borderId="9" xfId="3" applyNumberFormat="1" applyBorder="1" applyAlignment="1">
      <alignment horizontal="right"/>
    </xf>
    <xf numFmtId="0" fontId="1" fillId="2" borderId="10" xfId="3" applyFill="1" applyBorder="1" applyAlignment="1">
      <alignment horizontal="center"/>
    </xf>
    <xf numFmtId="0" fontId="1" fillId="2" borderId="18" xfId="3" applyFill="1" applyBorder="1" applyAlignment="1">
      <alignment horizontal="center"/>
    </xf>
    <xf numFmtId="0" fontId="4" fillId="3" borderId="16" xfId="3" applyFont="1" applyFill="1" applyBorder="1" applyAlignment="1">
      <alignment horizontal="center" vertical="center"/>
    </xf>
    <xf numFmtId="0" fontId="4" fillId="3" borderId="29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0" borderId="41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1" fillId="0" borderId="3" xfId="3" applyBorder="1" applyAlignment="1">
      <alignment horizontal="right"/>
    </xf>
    <xf numFmtId="166" fontId="1" fillId="0" borderId="36" xfId="3" applyNumberFormat="1" applyBorder="1" applyAlignment="1">
      <alignment horizontal="center"/>
    </xf>
    <xf numFmtId="166" fontId="1" fillId="0" borderId="42" xfId="3" applyNumberFormat="1" applyBorder="1" applyAlignment="1">
      <alignment horizontal="center"/>
    </xf>
    <xf numFmtId="166" fontId="1" fillId="0" borderId="36" xfId="3" applyNumberFormat="1" applyBorder="1" applyAlignment="1">
      <alignment horizontal="right" wrapText="1"/>
    </xf>
    <xf numFmtId="166" fontId="1" fillId="0" borderId="38" xfId="3" applyNumberFormat="1" applyBorder="1" applyAlignment="1">
      <alignment horizontal="right" wrapText="1"/>
    </xf>
    <xf numFmtId="0" fontId="4" fillId="0" borderId="29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1" fillId="0" borderId="5" xfId="3" applyBorder="1" applyAlignment="1">
      <alignment horizontal="right"/>
    </xf>
    <xf numFmtId="166" fontId="1" fillId="0" borderId="47" xfId="3" applyNumberFormat="1" applyBorder="1" applyAlignment="1">
      <alignment horizontal="center"/>
    </xf>
    <xf numFmtId="166" fontId="1" fillId="0" borderId="48" xfId="3" applyNumberFormat="1" applyBorder="1" applyAlignment="1">
      <alignment horizontal="center"/>
    </xf>
    <xf numFmtId="0" fontId="9" fillId="0" borderId="39" xfId="3" applyFont="1" applyBorder="1" applyAlignment="1">
      <alignment horizontal="left" wrapText="1"/>
    </xf>
    <xf numFmtId="0" fontId="9" fillId="0" borderId="17" xfId="3" applyFont="1" applyBorder="1" applyAlignment="1">
      <alignment horizontal="left" wrapText="1"/>
    </xf>
    <xf numFmtId="0" fontId="9" fillId="0" borderId="18" xfId="3" applyFont="1" applyBorder="1" applyAlignment="1">
      <alignment horizontal="left" wrapText="1"/>
    </xf>
    <xf numFmtId="0" fontId="7" fillId="0" borderId="34" xfId="3" applyFont="1" applyBorder="1" applyAlignment="1">
      <alignment horizontal="left"/>
    </xf>
    <xf numFmtId="0" fontId="7" fillId="0" borderId="33" xfId="3" applyFont="1" applyBorder="1" applyAlignment="1">
      <alignment horizontal="left"/>
    </xf>
    <xf numFmtId="0" fontId="7" fillId="0" borderId="35" xfId="3" applyFont="1" applyBorder="1" applyAlignment="1">
      <alignment horizontal="left"/>
    </xf>
    <xf numFmtId="0" fontId="4" fillId="3" borderId="6" xfId="3" applyFont="1" applyFill="1" applyBorder="1" applyAlignment="1">
      <alignment horizontal="left"/>
    </xf>
    <xf numFmtId="0" fontId="4" fillId="3" borderId="7" xfId="3" applyFont="1" applyFill="1" applyBorder="1" applyAlignment="1">
      <alignment horizontal="left"/>
    </xf>
    <xf numFmtId="0" fontId="4" fillId="3" borderId="8" xfId="3" applyFont="1" applyFill="1" applyBorder="1" applyAlignment="1">
      <alignment horizontal="left"/>
    </xf>
    <xf numFmtId="0" fontId="9" fillId="0" borderId="49" xfId="3" applyFont="1" applyBorder="1" applyAlignment="1">
      <alignment horizontal="left" vertical="center" wrapText="1"/>
    </xf>
    <xf numFmtId="0" fontId="9" fillId="0" borderId="50" xfId="3" applyFont="1" applyBorder="1" applyAlignment="1">
      <alignment horizontal="left" vertical="center" wrapText="1"/>
    </xf>
    <xf numFmtId="0" fontId="9" fillId="0" borderId="51" xfId="3" applyFont="1" applyBorder="1" applyAlignment="1">
      <alignment horizontal="left" vertical="center" wrapText="1"/>
    </xf>
    <xf numFmtId="0" fontId="25" fillId="0" borderId="33" xfId="0" applyFont="1" applyBorder="1" applyAlignment="1">
      <alignment horizontal="right"/>
    </xf>
    <xf numFmtId="1" fontId="1" fillId="0" borderId="3" xfId="3" applyNumberFormat="1" applyBorder="1" applyAlignment="1">
      <alignment horizontal="center"/>
    </xf>
    <xf numFmtId="1" fontId="1" fillId="0" borderId="4" xfId="3" applyNumberForma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6" fontId="1" fillId="0" borderId="47" xfId="0" applyNumberFormat="1" applyFon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0" borderId="41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1" fillId="0" borderId="36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36" xfId="0" applyNumberFormat="1" applyFont="1" applyBorder="1" applyAlignment="1">
      <alignment horizontal="right" wrapText="1"/>
    </xf>
    <xf numFmtId="166" fontId="1" fillId="0" borderId="38" xfId="0" applyNumberFormat="1" applyFont="1" applyBorder="1" applyAlignment="1">
      <alignment horizontal="right" wrapText="1"/>
    </xf>
    <xf numFmtId="0" fontId="4" fillId="0" borderId="39" xfId="0" applyFont="1" applyBorder="1" applyAlignment="1">
      <alignment horizontal="right"/>
    </xf>
    <xf numFmtId="0" fontId="4" fillId="0" borderId="40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7" fillId="0" borderId="33" xfId="5" applyFont="1" applyBorder="1" applyAlignment="1">
      <alignment horizontal="center" vertical="center"/>
    </xf>
    <xf numFmtId="0" fontId="67" fillId="0" borderId="35" xfId="5" applyFont="1" applyBorder="1" applyAlignment="1">
      <alignment horizontal="center" vertical="center"/>
    </xf>
    <xf numFmtId="1" fontId="71" fillId="0" borderId="56" xfId="5" applyNumberFormat="1" applyFont="1" applyBorder="1" applyAlignment="1">
      <alignment horizontal="center" vertical="center" wrapText="1"/>
    </xf>
    <xf numFmtId="1" fontId="71" fillId="0" borderId="21" xfId="5" applyNumberFormat="1" applyFont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 wrapText="1"/>
    </xf>
    <xf numFmtId="0" fontId="83" fillId="0" borderId="52" xfId="3" applyFont="1" applyBorder="1" applyAlignment="1">
      <alignment horizontal="center" vertical="center" wrapText="1"/>
    </xf>
    <xf numFmtId="0" fontId="65" fillId="0" borderId="31" xfId="5" applyFont="1" applyBorder="1" applyAlignment="1">
      <alignment horizontal="center" vertical="center" wrapText="1"/>
    </xf>
    <xf numFmtId="0" fontId="65" fillId="0" borderId="53" xfId="5" applyFont="1" applyBorder="1" applyAlignment="1">
      <alignment horizontal="center" vertical="center" wrapText="1"/>
    </xf>
    <xf numFmtId="0" fontId="65" fillId="0" borderId="30" xfId="5" applyFont="1" applyBorder="1" applyAlignment="1">
      <alignment horizontal="center" vertical="center" wrapText="1"/>
    </xf>
    <xf numFmtId="0" fontId="65" fillId="0" borderId="54" xfId="5" applyFont="1" applyBorder="1" applyAlignment="1">
      <alignment horizontal="center" vertical="center" wrapText="1"/>
    </xf>
    <xf numFmtId="0" fontId="66" fillId="0" borderId="1" xfId="5" applyFont="1" applyBorder="1" applyAlignment="1">
      <alignment horizontal="center" vertical="center"/>
    </xf>
    <xf numFmtId="0" fontId="66" fillId="0" borderId="3" xfId="5" applyFont="1" applyBorder="1" applyAlignment="1">
      <alignment horizontal="center" vertical="center"/>
    </xf>
    <xf numFmtId="0" fontId="68" fillId="0" borderId="3" xfId="5" applyFont="1" applyBorder="1" applyAlignment="1">
      <alignment horizontal="center" vertical="center" wrapText="1"/>
    </xf>
    <xf numFmtId="0" fontId="65" fillId="0" borderId="47" xfId="5" applyFont="1" applyBorder="1" applyAlignment="1">
      <alignment horizontal="center" vertical="center"/>
    </xf>
    <xf numFmtId="0" fontId="65" fillId="0" borderId="46" xfId="5" applyFont="1" applyBorder="1" applyAlignment="1">
      <alignment horizontal="center" vertical="center"/>
    </xf>
    <xf numFmtId="0" fontId="67" fillId="0" borderId="47" xfId="5" applyFont="1" applyBorder="1" applyAlignment="1">
      <alignment horizontal="center" vertical="center"/>
    </xf>
    <xf numFmtId="0" fontId="67" fillId="0" borderId="55" xfId="5" applyFont="1" applyBorder="1" applyAlignment="1">
      <alignment horizontal="center" vertical="center"/>
    </xf>
    <xf numFmtId="0" fontId="83" fillId="0" borderId="5" xfId="3" applyFont="1" applyBorder="1" applyAlignment="1">
      <alignment horizontal="center" vertical="center" wrapText="1"/>
    </xf>
    <xf numFmtId="0" fontId="83" fillId="0" borderId="12" xfId="3" applyFont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 wrapText="1"/>
    </xf>
    <xf numFmtId="0" fontId="83" fillId="0" borderId="4" xfId="3" applyFont="1" applyBorder="1" applyAlignment="1">
      <alignment horizontal="center" vertical="center" wrapText="1"/>
    </xf>
    <xf numFmtId="0" fontId="73" fillId="0" borderId="6" xfId="5" applyFont="1" applyBorder="1" applyAlignment="1">
      <alignment horizontal="center" vertical="center" wrapText="1"/>
    </xf>
    <xf numFmtId="0" fontId="73" fillId="0" borderId="7" xfId="5" applyFont="1" applyBorder="1" applyAlignment="1">
      <alignment horizontal="center" vertical="center" wrapText="1"/>
    </xf>
    <xf numFmtId="0" fontId="73" fillId="0" borderId="8" xfId="5" applyFont="1" applyBorder="1" applyAlignment="1">
      <alignment horizontal="center" vertical="center" wrapText="1"/>
    </xf>
    <xf numFmtId="0" fontId="74" fillId="0" borderId="30" xfId="5" applyFont="1" applyBorder="1" applyAlignment="1">
      <alignment horizontal="center"/>
    </xf>
    <xf numFmtId="0" fontId="74" fillId="0" borderId="0" xfId="5" applyFont="1" applyAlignment="1">
      <alignment horizontal="center"/>
    </xf>
    <xf numFmtId="0" fontId="74" fillId="0" borderId="0" xfId="6" applyFont="1" applyAlignment="1">
      <alignment horizontal="center"/>
    </xf>
    <xf numFmtId="0" fontId="74" fillId="0" borderId="24" xfId="6" applyFont="1" applyBorder="1" applyAlignment="1">
      <alignment horizontal="center"/>
    </xf>
    <xf numFmtId="0" fontId="65" fillId="0" borderId="41" xfId="3" applyFont="1" applyBorder="1" applyAlignment="1">
      <alignment horizontal="left" vertical="center" wrapText="1"/>
    </xf>
    <xf numFmtId="0" fontId="65" fillId="0" borderId="37" xfId="3" applyFont="1" applyBorder="1" applyAlignment="1">
      <alignment horizontal="left" vertical="center" wrapText="1"/>
    </xf>
    <xf numFmtId="0" fontId="65" fillId="0" borderId="42" xfId="3" applyFont="1" applyBorder="1" applyAlignment="1">
      <alignment horizontal="left" vertical="center" wrapText="1"/>
    </xf>
    <xf numFmtId="0" fontId="73" fillId="0" borderId="19" xfId="5" applyFont="1" applyBorder="1" applyAlignment="1">
      <alignment horizontal="center" vertical="center"/>
    </xf>
    <xf numFmtId="0" fontId="73" fillId="0" borderId="20" xfId="5" applyFont="1" applyBorder="1" applyAlignment="1">
      <alignment horizontal="center" vertical="center"/>
    </xf>
    <xf numFmtId="0" fontId="73" fillId="0" borderId="21" xfId="5" applyFont="1" applyBorder="1" applyAlignment="1">
      <alignment horizontal="center" vertical="center"/>
    </xf>
    <xf numFmtId="0" fontId="65" fillId="0" borderId="6" xfId="5" applyFont="1" applyBorder="1" applyAlignment="1">
      <alignment horizontal="center" vertical="center" wrapText="1"/>
    </xf>
    <xf numFmtId="0" fontId="65" fillId="0" borderId="7" xfId="5" applyFont="1" applyBorder="1" applyAlignment="1">
      <alignment horizontal="center" vertical="center" wrapText="1"/>
    </xf>
    <xf numFmtId="0" fontId="65" fillId="0" borderId="8" xfId="5" applyFont="1" applyBorder="1" applyAlignment="1">
      <alignment horizontal="center" vertical="center" wrapText="1"/>
    </xf>
    <xf numFmtId="0" fontId="71" fillId="0" borderId="41" xfId="5" applyFont="1" applyBorder="1" applyAlignment="1">
      <alignment horizontal="left" vertical="center" wrapText="1"/>
    </xf>
    <xf numFmtId="0" fontId="65" fillId="0" borderId="37" xfId="5" applyFont="1" applyBorder="1" applyAlignment="1">
      <alignment horizontal="left" vertical="center" wrapText="1"/>
    </xf>
    <xf numFmtId="0" fontId="65" fillId="0" borderId="42" xfId="5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10" fontId="84" fillId="21" borderId="22" xfId="9" applyNumberFormat="1" applyFont="1" applyFill="1" applyBorder="1" applyAlignment="1">
      <alignment horizontal="center" vertical="center" wrapText="1"/>
    </xf>
    <xf numFmtId="10" fontId="84" fillId="21" borderId="26" xfId="9" applyNumberFormat="1" applyFont="1" applyFill="1" applyBorder="1" applyAlignment="1">
      <alignment horizontal="center" vertical="center"/>
    </xf>
    <xf numFmtId="43" fontId="62" fillId="0" borderId="22" xfId="1" applyFont="1" applyFill="1" applyBorder="1" applyAlignment="1">
      <alignment horizontal="center" vertical="center"/>
    </xf>
    <xf numFmtId="43" fontId="62" fillId="0" borderId="26" xfId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2" fillId="0" borderId="5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6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24" xfId="0" applyFont="1" applyBorder="1" applyAlignment="1">
      <alignment horizontal="right"/>
    </xf>
    <xf numFmtId="0" fontId="44" fillId="4" borderId="6" xfId="0" applyFont="1" applyFill="1" applyBorder="1" applyAlignment="1">
      <alignment horizontal="right"/>
    </xf>
    <xf numFmtId="0" fontId="44" fillId="4" borderId="7" xfId="0" applyFont="1" applyFill="1" applyBorder="1" applyAlignment="1">
      <alignment horizontal="right"/>
    </xf>
    <xf numFmtId="0" fontId="56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56" fillId="20" borderId="0" xfId="0" applyFont="1" applyFill="1" applyAlignment="1">
      <alignment horizontal="right"/>
    </xf>
    <xf numFmtId="0" fontId="56" fillId="0" borderId="33" xfId="0" applyFont="1" applyBorder="1" applyAlignment="1">
      <alignment horizontal="right"/>
    </xf>
    <xf numFmtId="0" fontId="24" fillId="4" borderId="6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56" fillId="0" borderId="28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44" fillId="0" borderId="5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right" vertical="center" wrapText="1"/>
    </xf>
    <xf numFmtId="0" fontId="42" fillId="0" borderId="28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right" vertical="center" wrapText="1"/>
    </xf>
    <xf numFmtId="0" fontId="55" fillId="0" borderId="0" xfId="0" applyFont="1" applyAlignment="1">
      <alignment horizontal="right"/>
    </xf>
    <xf numFmtId="0" fontId="55" fillId="0" borderId="24" xfId="0" applyFont="1" applyBorder="1" applyAlignment="1">
      <alignment horizontal="right"/>
    </xf>
    <xf numFmtId="1" fontId="1" fillId="0" borderId="36" xfId="3" applyNumberFormat="1" applyBorder="1" applyAlignment="1">
      <alignment horizontal="center"/>
    </xf>
    <xf numFmtId="1" fontId="1" fillId="0" borderId="37" xfId="3" applyNumberFormat="1" applyBorder="1" applyAlignment="1">
      <alignment horizontal="center"/>
    </xf>
    <xf numFmtId="1" fontId="1" fillId="0" borderId="42" xfId="3" applyNumberFormat="1" applyBorder="1" applyAlignment="1">
      <alignment horizontal="center"/>
    </xf>
  </cellXfs>
  <cellStyles count="11">
    <cellStyle name="Millares" xfId="1" builtinId="3"/>
    <cellStyle name="Millares [0]" xfId="2" builtinId="6"/>
    <cellStyle name="Normal" xfId="0" builtinId="0"/>
    <cellStyle name="Normal 2" xfId="3" xr:uid="{C53AA9CE-91DC-483A-BE30-A5C4BCA93092}"/>
    <cellStyle name="Normal 2 3" xfId="4" xr:uid="{4033DA54-6196-47DA-9166-18EA5A71BE47}"/>
    <cellStyle name="Normal 3" xfId="10" xr:uid="{4A02E950-8F86-419E-B07A-CE30EC4131C4}"/>
    <cellStyle name="Normal 4" xfId="5" xr:uid="{47604725-364A-4C17-8836-346EFCB404C6}"/>
    <cellStyle name="Normal 4 2" xfId="6" xr:uid="{FC354884-12B4-4DCB-B96E-7D87A6571FF8}"/>
    <cellStyle name="Normal_CRITERIOS DE EVALUACION PT DE GB 2" xfId="7" xr:uid="{A5CC80FB-C631-4DC4-BC99-3478E77E4F4A}"/>
    <cellStyle name="Porcentaje" xfId="8" builtinId="5"/>
    <cellStyle name="Porcentaje 2" xfId="9" xr:uid="{85B7876B-7977-4EAB-9B96-E5E627D959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116719</xdr:rowOff>
    </xdr:from>
    <xdr:to>
      <xdr:col>1</xdr:col>
      <xdr:colOff>706483</xdr:colOff>
      <xdr:row>3</xdr:row>
      <xdr:rowOff>183304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230CC3DD-14EC-4DE7-9647-8521FF9AC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19"/>
          <a:ext cx="1468483" cy="90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7" name="Picture 1">
          <a:extLst>
            <a:ext uri="{FF2B5EF4-FFF2-40B4-BE49-F238E27FC236}">
              <a16:creationId xmlns:a16="http://schemas.microsoft.com/office/drawing/2014/main" id="{B2EB164B-63C2-2162-2754-E1016FD7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8" name="Picture 2">
          <a:extLst>
            <a:ext uri="{FF2B5EF4-FFF2-40B4-BE49-F238E27FC236}">
              <a16:creationId xmlns:a16="http://schemas.microsoft.com/office/drawing/2014/main" id="{1ADCFBBD-F26C-58D9-A38E-2EA82F1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9" name="Picture 3">
          <a:extLst>
            <a:ext uri="{FF2B5EF4-FFF2-40B4-BE49-F238E27FC236}">
              <a16:creationId xmlns:a16="http://schemas.microsoft.com/office/drawing/2014/main" id="{019B7E2B-45D6-394F-0320-03990700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0" name="Picture 4">
          <a:extLst>
            <a:ext uri="{FF2B5EF4-FFF2-40B4-BE49-F238E27FC236}">
              <a16:creationId xmlns:a16="http://schemas.microsoft.com/office/drawing/2014/main" id="{060B9799-A009-677E-53D9-2C63CEE9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1" name="Picture 5">
          <a:extLst>
            <a:ext uri="{FF2B5EF4-FFF2-40B4-BE49-F238E27FC236}">
              <a16:creationId xmlns:a16="http://schemas.microsoft.com/office/drawing/2014/main" id="{91F66826-C0DC-BDEC-91D3-A2A90584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2" name="Picture 6">
          <a:extLst>
            <a:ext uri="{FF2B5EF4-FFF2-40B4-BE49-F238E27FC236}">
              <a16:creationId xmlns:a16="http://schemas.microsoft.com/office/drawing/2014/main" id="{0AB646F0-CF58-4FE1-599C-B0BC6917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3" name="Picture 7">
          <a:extLst>
            <a:ext uri="{FF2B5EF4-FFF2-40B4-BE49-F238E27FC236}">
              <a16:creationId xmlns:a16="http://schemas.microsoft.com/office/drawing/2014/main" id="{B5C2ACFF-AE84-6DC6-D7AB-94CCC89F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4" name="Picture 8">
          <a:extLst>
            <a:ext uri="{FF2B5EF4-FFF2-40B4-BE49-F238E27FC236}">
              <a16:creationId xmlns:a16="http://schemas.microsoft.com/office/drawing/2014/main" id="{1DD6C511-B288-F9D0-57ED-A30A8AA6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5" name="Picture 9">
          <a:extLst>
            <a:ext uri="{FF2B5EF4-FFF2-40B4-BE49-F238E27FC236}">
              <a16:creationId xmlns:a16="http://schemas.microsoft.com/office/drawing/2014/main" id="{8F2F5617-0915-323E-D41C-72B57115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6" name="Picture 10">
          <a:extLst>
            <a:ext uri="{FF2B5EF4-FFF2-40B4-BE49-F238E27FC236}">
              <a16:creationId xmlns:a16="http://schemas.microsoft.com/office/drawing/2014/main" id="{193F518F-E512-05E9-47CD-89760D4C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7" name="Picture 11">
          <a:extLst>
            <a:ext uri="{FF2B5EF4-FFF2-40B4-BE49-F238E27FC236}">
              <a16:creationId xmlns:a16="http://schemas.microsoft.com/office/drawing/2014/main" id="{FDC3352F-B4E0-DB70-0DBB-4E16D9FE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8" name="Picture 12">
          <a:extLst>
            <a:ext uri="{FF2B5EF4-FFF2-40B4-BE49-F238E27FC236}">
              <a16:creationId xmlns:a16="http://schemas.microsoft.com/office/drawing/2014/main" id="{C9B0389E-2C47-3B67-0F8B-2FAD32CB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9" name="Picture 13">
          <a:extLst>
            <a:ext uri="{FF2B5EF4-FFF2-40B4-BE49-F238E27FC236}">
              <a16:creationId xmlns:a16="http://schemas.microsoft.com/office/drawing/2014/main" id="{38362B31-F755-E6DE-57AF-5563847A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0" name="Picture 14">
          <a:extLst>
            <a:ext uri="{FF2B5EF4-FFF2-40B4-BE49-F238E27FC236}">
              <a16:creationId xmlns:a16="http://schemas.microsoft.com/office/drawing/2014/main" id="{59D48686-8537-6944-4900-F0CCD6A1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1" name="Picture 15">
          <a:extLst>
            <a:ext uri="{FF2B5EF4-FFF2-40B4-BE49-F238E27FC236}">
              <a16:creationId xmlns:a16="http://schemas.microsoft.com/office/drawing/2014/main" id="{6FEB9CEA-0BB4-C3B2-2859-0BBB134F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2" name="Picture 16">
          <a:extLst>
            <a:ext uri="{FF2B5EF4-FFF2-40B4-BE49-F238E27FC236}">
              <a16:creationId xmlns:a16="http://schemas.microsoft.com/office/drawing/2014/main" id="{DB9C751F-2C8A-444D-172A-DE9BBD74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3" name="Picture 17">
          <a:extLst>
            <a:ext uri="{FF2B5EF4-FFF2-40B4-BE49-F238E27FC236}">
              <a16:creationId xmlns:a16="http://schemas.microsoft.com/office/drawing/2014/main" id="{663EF15D-37B3-C2F9-6B96-E0295E40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4" name="Picture 18">
          <a:extLst>
            <a:ext uri="{FF2B5EF4-FFF2-40B4-BE49-F238E27FC236}">
              <a16:creationId xmlns:a16="http://schemas.microsoft.com/office/drawing/2014/main" id="{8EB1138F-A1F5-A90E-94DC-1990A353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5" name="Picture 19">
          <a:extLst>
            <a:ext uri="{FF2B5EF4-FFF2-40B4-BE49-F238E27FC236}">
              <a16:creationId xmlns:a16="http://schemas.microsoft.com/office/drawing/2014/main" id="{4676D226-2AE9-E4BE-A8C0-20E90531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6" name="Picture 20">
          <a:extLst>
            <a:ext uri="{FF2B5EF4-FFF2-40B4-BE49-F238E27FC236}">
              <a16:creationId xmlns:a16="http://schemas.microsoft.com/office/drawing/2014/main" id="{4A858DBC-5ED2-8AB4-AF02-9E9AAB61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7" name="Picture 21">
          <a:extLst>
            <a:ext uri="{FF2B5EF4-FFF2-40B4-BE49-F238E27FC236}">
              <a16:creationId xmlns:a16="http://schemas.microsoft.com/office/drawing/2014/main" id="{F1C049EB-046E-AC4A-C19B-7B7C06E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8" name="Picture 22">
          <a:extLst>
            <a:ext uri="{FF2B5EF4-FFF2-40B4-BE49-F238E27FC236}">
              <a16:creationId xmlns:a16="http://schemas.microsoft.com/office/drawing/2014/main" id="{6EA67FF7-87E7-C8C2-1F61-502816E83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9" name="Picture 23">
          <a:extLst>
            <a:ext uri="{FF2B5EF4-FFF2-40B4-BE49-F238E27FC236}">
              <a16:creationId xmlns:a16="http://schemas.microsoft.com/office/drawing/2014/main" id="{1BA7210B-496A-999C-69C9-877CA70E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0" name="Picture 24">
          <a:extLst>
            <a:ext uri="{FF2B5EF4-FFF2-40B4-BE49-F238E27FC236}">
              <a16:creationId xmlns:a16="http://schemas.microsoft.com/office/drawing/2014/main" id="{3AB2C99C-A034-003A-6536-0034EE04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1" name="Picture 25">
          <a:extLst>
            <a:ext uri="{FF2B5EF4-FFF2-40B4-BE49-F238E27FC236}">
              <a16:creationId xmlns:a16="http://schemas.microsoft.com/office/drawing/2014/main" id="{33CADD7C-3E52-63BB-8675-EF236E06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2" name="Picture 26">
          <a:extLst>
            <a:ext uri="{FF2B5EF4-FFF2-40B4-BE49-F238E27FC236}">
              <a16:creationId xmlns:a16="http://schemas.microsoft.com/office/drawing/2014/main" id="{89623BE1-0316-5192-75F9-73B82FA5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3" name="Picture 27">
          <a:extLst>
            <a:ext uri="{FF2B5EF4-FFF2-40B4-BE49-F238E27FC236}">
              <a16:creationId xmlns:a16="http://schemas.microsoft.com/office/drawing/2014/main" id="{9107F4B4-11F5-32E8-2352-2F5FA12D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4" name="Picture 28">
          <a:extLst>
            <a:ext uri="{FF2B5EF4-FFF2-40B4-BE49-F238E27FC236}">
              <a16:creationId xmlns:a16="http://schemas.microsoft.com/office/drawing/2014/main" id="{8ECAC923-03FF-4EC2-C174-1B282D9F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5" name="Picture 29">
          <a:extLst>
            <a:ext uri="{FF2B5EF4-FFF2-40B4-BE49-F238E27FC236}">
              <a16:creationId xmlns:a16="http://schemas.microsoft.com/office/drawing/2014/main" id="{9A61EC50-894B-5222-16BD-C37ED445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6" name="Picture 30">
          <a:extLst>
            <a:ext uri="{FF2B5EF4-FFF2-40B4-BE49-F238E27FC236}">
              <a16:creationId xmlns:a16="http://schemas.microsoft.com/office/drawing/2014/main" id="{203DE4FD-9489-D149-6D36-14600F38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7" name="Picture 31">
          <a:extLst>
            <a:ext uri="{FF2B5EF4-FFF2-40B4-BE49-F238E27FC236}">
              <a16:creationId xmlns:a16="http://schemas.microsoft.com/office/drawing/2014/main" id="{EF5505B5-BA37-65E4-1DD6-D47D99CF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8" name="Picture 32">
          <a:extLst>
            <a:ext uri="{FF2B5EF4-FFF2-40B4-BE49-F238E27FC236}">
              <a16:creationId xmlns:a16="http://schemas.microsoft.com/office/drawing/2014/main" id="{BEEEEFAE-E021-E262-E855-04D6B21E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9" name="Picture 33">
          <a:extLst>
            <a:ext uri="{FF2B5EF4-FFF2-40B4-BE49-F238E27FC236}">
              <a16:creationId xmlns:a16="http://schemas.microsoft.com/office/drawing/2014/main" id="{3680A783-3457-09CD-E92D-F0DADB3C7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0" name="Picture 34">
          <a:extLst>
            <a:ext uri="{FF2B5EF4-FFF2-40B4-BE49-F238E27FC236}">
              <a16:creationId xmlns:a16="http://schemas.microsoft.com/office/drawing/2014/main" id="{B23F1EEF-6B38-E259-7088-FFCEEBD7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1" name="Picture 35">
          <a:extLst>
            <a:ext uri="{FF2B5EF4-FFF2-40B4-BE49-F238E27FC236}">
              <a16:creationId xmlns:a16="http://schemas.microsoft.com/office/drawing/2014/main" id="{8CC23476-F5DD-E842-5118-0D06A872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2" name="Picture 36">
          <a:extLst>
            <a:ext uri="{FF2B5EF4-FFF2-40B4-BE49-F238E27FC236}">
              <a16:creationId xmlns:a16="http://schemas.microsoft.com/office/drawing/2014/main" id="{F7FE9857-C307-E9F9-7F69-0C77F8D6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3" name="Picture 37">
          <a:extLst>
            <a:ext uri="{FF2B5EF4-FFF2-40B4-BE49-F238E27FC236}">
              <a16:creationId xmlns:a16="http://schemas.microsoft.com/office/drawing/2014/main" id="{BBF8819E-D7A5-DC8F-FC37-8C674136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4" name="Picture 38">
          <a:extLst>
            <a:ext uri="{FF2B5EF4-FFF2-40B4-BE49-F238E27FC236}">
              <a16:creationId xmlns:a16="http://schemas.microsoft.com/office/drawing/2014/main" id="{C94605D8-2E1B-24F0-17DB-727ED0A9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5" name="Picture 39">
          <a:extLst>
            <a:ext uri="{FF2B5EF4-FFF2-40B4-BE49-F238E27FC236}">
              <a16:creationId xmlns:a16="http://schemas.microsoft.com/office/drawing/2014/main" id="{3ED5F008-20D6-DD7A-78E2-0D758B9BB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6" name="Picture 40">
          <a:extLst>
            <a:ext uri="{FF2B5EF4-FFF2-40B4-BE49-F238E27FC236}">
              <a16:creationId xmlns:a16="http://schemas.microsoft.com/office/drawing/2014/main" id="{9236F4CE-EA70-8F0C-FB89-CEC276D9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7" name="Picture 41">
          <a:extLst>
            <a:ext uri="{FF2B5EF4-FFF2-40B4-BE49-F238E27FC236}">
              <a16:creationId xmlns:a16="http://schemas.microsoft.com/office/drawing/2014/main" id="{9A3EC6A3-A523-9ADD-062F-D9D05B73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8" name="Picture 42">
          <a:extLst>
            <a:ext uri="{FF2B5EF4-FFF2-40B4-BE49-F238E27FC236}">
              <a16:creationId xmlns:a16="http://schemas.microsoft.com/office/drawing/2014/main" id="{10C4B828-CAC3-8B8F-AF8C-739438CC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9" name="Picture 43">
          <a:extLst>
            <a:ext uri="{FF2B5EF4-FFF2-40B4-BE49-F238E27FC236}">
              <a16:creationId xmlns:a16="http://schemas.microsoft.com/office/drawing/2014/main" id="{CE07274A-33AF-BD43-8955-F0D8A2AE6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0" name="Picture 44">
          <a:extLst>
            <a:ext uri="{FF2B5EF4-FFF2-40B4-BE49-F238E27FC236}">
              <a16:creationId xmlns:a16="http://schemas.microsoft.com/office/drawing/2014/main" id="{29641715-CA62-8907-EFE8-67ADC645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1" name="Picture 45">
          <a:extLst>
            <a:ext uri="{FF2B5EF4-FFF2-40B4-BE49-F238E27FC236}">
              <a16:creationId xmlns:a16="http://schemas.microsoft.com/office/drawing/2014/main" id="{B5FCC915-E4FC-8754-664C-70AEBA2E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2" name="Picture 46">
          <a:extLst>
            <a:ext uri="{FF2B5EF4-FFF2-40B4-BE49-F238E27FC236}">
              <a16:creationId xmlns:a16="http://schemas.microsoft.com/office/drawing/2014/main" id="{748978FE-5753-5FF2-2379-CC7519EB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3" name="Picture 47">
          <a:extLst>
            <a:ext uri="{FF2B5EF4-FFF2-40B4-BE49-F238E27FC236}">
              <a16:creationId xmlns:a16="http://schemas.microsoft.com/office/drawing/2014/main" id="{8D78D0F0-22D0-2396-9930-AD57BA9B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4" name="Picture 48">
          <a:extLst>
            <a:ext uri="{FF2B5EF4-FFF2-40B4-BE49-F238E27FC236}">
              <a16:creationId xmlns:a16="http://schemas.microsoft.com/office/drawing/2014/main" id="{856C132C-0BEB-9581-6676-A113EFF1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5" name="Picture 49">
          <a:extLst>
            <a:ext uri="{FF2B5EF4-FFF2-40B4-BE49-F238E27FC236}">
              <a16:creationId xmlns:a16="http://schemas.microsoft.com/office/drawing/2014/main" id="{FB8B25BD-E501-5329-4DE3-D6264EBA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6" name="Picture 50">
          <a:extLst>
            <a:ext uri="{FF2B5EF4-FFF2-40B4-BE49-F238E27FC236}">
              <a16:creationId xmlns:a16="http://schemas.microsoft.com/office/drawing/2014/main" id="{705F3786-6BAE-CBBE-537D-CF39D65A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7" name="Picture 51">
          <a:extLst>
            <a:ext uri="{FF2B5EF4-FFF2-40B4-BE49-F238E27FC236}">
              <a16:creationId xmlns:a16="http://schemas.microsoft.com/office/drawing/2014/main" id="{E2016560-226D-55FF-AE7D-6DCB106EE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8" name="Picture 52">
          <a:extLst>
            <a:ext uri="{FF2B5EF4-FFF2-40B4-BE49-F238E27FC236}">
              <a16:creationId xmlns:a16="http://schemas.microsoft.com/office/drawing/2014/main" id="{C574C21E-73ED-F9B8-B0EA-63679210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9" name="Picture 53">
          <a:extLst>
            <a:ext uri="{FF2B5EF4-FFF2-40B4-BE49-F238E27FC236}">
              <a16:creationId xmlns:a16="http://schemas.microsoft.com/office/drawing/2014/main" id="{E9EF207C-733D-A0F7-CE62-9A4CA563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0" name="Picture 54">
          <a:extLst>
            <a:ext uri="{FF2B5EF4-FFF2-40B4-BE49-F238E27FC236}">
              <a16:creationId xmlns:a16="http://schemas.microsoft.com/office/drawing/2014/main" id="{B57211AB-C260-1CBE-DEC5-4117E105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1" name="Picture 55">
          <a:extLst>
            <a:ext uri="{FF2B5EF4-FFF2-40B4-BE49-F238E27FC236}">
              <a16:creationId xmlns:a16="http://schemas.microsoft.com/office/drawing/2014/main" id="{B6E7D595-D485-48CE-7E94-F723B8D2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2" name="Picture 56">
          <a:extLst>
            <a:ext uri="{FF2B5EF4-FFF2-40B4-BE49-F238E27FC236}">
              <a16:creationId xmlns:a16="http://schemas.microsoft.com/office/drawing/2014/main" id="{15358325-F4DF-3B9C-69E1-612D537F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3" name="Picture 57">
          <a:extLst>
            <a:ext uri="{FF2B5EF4-FFF2-40B4-BE49-F238E27FC236}">
              <a16:creationId xmlns:a16="http://schemas.microsoft.com/office/drawing/2014/main" id="{2E71CD2C-97AB-E888-DF72-5520711B9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4" name="Picture 58">
          <a:extLst>
            <a:ext uri="{FF2B5EF4-FFF2-40B4-BE49-F238E27FC236}">
              <a16:creationId xmlns:a16="http://schemas.microsoft.com/office/drawing/2014/main" id="{6FF42345-F11D-056A-BA1E-2A3B7841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5" name="Picture 59">
          <a:extLst>
            <a:ext uri="{FF2B5EF4-FFF2-40B4-BE49-F238E27FC236}">
              <a16:creationId xmlns:a16="http://schemas.microsoft.com/office/drawing/2014/main" id="{1082DA85-377A-A684-36DB-8E7BEE13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6" name="Picture 60">
          <a:extLst>
            <a:ext uri="{FF2B5EF4-FFF2-40B4-BE49-F238E27FC236}">
              <a16:creationId xmlns:a16="http://schemas.microsoft.com/office/drawing/2014/main" id="{96FDD4A2-7C5D-1440-F6EE-2EAD4EBF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7" name="Picture 61">
          <a:extLst>
            <a:ext uri="{FF2B5EF4-FFF2-40B4-BE49-F238E27FC236}">
              <a16:creationId xmlns:a16="http://schemas.microsoft.com/office/drawing/2014/main" id="{8E0332BB-8BA9-7BD4-A3ED-EE96F149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8" name="Picture 62">
          <a:extLst>
            <a:ext uri="{FF2B5EF4-FFF2-40B4-BE49-F238E27FC236}">
              <a16:creationId xmlns:a16="http://schemas.microsoft.com/office/drawing/2014/main" id="{D2A59D10-1493-8A61-4021-B894ED73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9" name="Picture 63">
          <a:extLst>
            <a:ext uri="{FF2B5EF4-FFF2-40B4-BE49-F238E27FC236}">
              <a16:creationId xmlns:a16="http://schemas.microsoft.com/office/drawing/2014/main" id="{4C8E36FE-66C1-A8CE-B231-6FEF8806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0" name="Picture 64">
          <a:extLst>
            <a:ext uri="{FF2B5EF4-FFF2-40B4-BE49-F238E27FC236}">
              <a16:creationId xmlns:a16="http://schemas.microsoft.com/office/drawing/2014/main" id="{CA44AEBD-2F27-404D-BFDB-9A7BF025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1" name="Picture 65">
          <a:extLst>
            <a:ext uri="{FF2B5EF4-FFF2-40B4-BE49-F238E27FC236}">
              <a16:creationId xmlns:a16="http://schemas.microsoft.com/office/drawing/2014/main" id="{10723213-4204-607D-0E5C-5F99C1C5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2" name="Picture 66">
          <a:extLst>
            <a:ext uri="{FF2B5EF4-FFF2-40B4-BE49-F238E27FC236}">
              <a16:creationId xmlns:a16="http://schemas.microsoft.com/office/drawing/2014/main" id="{A2DB340F-E26A-9F50-CC8F-4487FF06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3" name="Picture 67">
          <a:extLst>
            <a:ext uri="{FF2B5EF4-FFF2-40B4-BE49-F238E27FC236}">
              <a16:creationId xmlns:a16="http://schemas.microsoft.com/office/drawing/2014/main" id="{CEB886C0-A448-62E5-84BE-0EFC6E42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4" name="Picture 68">
          <a:extLst>
            <a:ext uri="{FF2B5EF4-FFF2-40B4-BE49-F238E27FC236}">
              <a16:creationId xmlns:a16="http://schemas.microsoft.com/office/drawing/2014/main" id="{48FDA927-2BFE-CF50-CD34-09BFE1E8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5" name="Picture 69">
          <a:extLst>
            <a:ext uri="{FF2B5EF4-FFF2-40B4-BE49-F238E27FC236}">
              <a16:creationId xmlns:a16="http://schemas.microsoft.com/office/drawing/2014/main" id="{2D015E47-34F9-9445-E2F5-BC3AD6DB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6" name="Picture 70">
          <a:extLst>
            <a:ext uri="{FF2B5EF4-FFF2-40B4-BE49-F238E27FC236}">
              <a16:creationId xmlns:a16="http://schemas.microsoft.com/office/drawing/2014/main" id="{6D584285-5220-216C-B8DE-A046F594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7" name="Picture 71">
          <a:extLst>
            <a:ext uri="{FF2B5EF4-FFF2-40B4-BE49-F238E27FC236}">
              <a16:creationId xmlns:a16="http://schemas.microsoft.com/office/drawing/2014/main" id="{84103C99-7ECA-50A9-3DB4-8ACB83CC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8" name="Picture 72">
          <a:extLst>
            <a:ext uri="{FF2B5EF4-FFF2-40B4-BE49-F238E27FC236}">
              <a16:creationId xmlns:a16="http://schemas.microsoft.com/office/drawing/2014/main" id="{04781EBF-F3FB-8FAA-4944-A5859151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9" name="Picture 73">
          <a:extLst>
            <a:ext uri="{FF2B5EF4-FFF2-40B4-BE49-F238E27FC236}">
              <a16:creationId xmlns:a16="http://schemas.microsoft.com/office/drawing/2014/main" id="{AA6A6EA7-11A3-3FF9-F181-57114274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0" name="Picture 74">
          <a:extLst>
            <a:ext uri="{FF2B5EF4-FFF2-40B4-BE49-F238E27FC236}">
              <a16:creationId xmlns:a16="http://schemas.microsoft.com/office/drawing/2014/main" id="{25F5075E-D3B0-CB8E-3EFA-D5D53F6C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1" name="Picture 75">
          <a:extLst>
            <a:ext uri="{FF2B5EF4-FFF2-40B4-BE49-F238E27FC236}">
              <a16:creationId xmlns:a16="http://schemas.microsoft.com/office/drawing/2014/main" id="{FB18A628-B661-51C0-1874-D3F7416A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2" name="Picture 76">
          <a:extLst>
            <a:ext uri="{FF2B5EF4-FFF2-40B4-BE49-F238E27FC236}">
              <a16:creationId xmlns:a16="http://schemas.microsoft.com/office/drawing/2014/main" id="{54830C97-F9A2-154D-580C-EBEDADA1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3" name="Picture 77">
          <a:extLst>
            <a:ext uri="{FF2B5EF4-FFF2-40B4-BE49-F238E27FC236}">
              <a16:creationId xmlns:a16="http://schemas.microsoft.com/office/drawing/2014/main" id="{A2FCCB53-0E18-A5C3-5A9C-520C5FED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4" name="Picture 78">
          <a:extLst>
            <a:ext uri="{FF2B5EF4-FFF2-40B4-BE49-F238E27FC236}">
              <a16:creationId xmlns:a16="http://schemas.microsoft.com/office/drawing/2014/main" id="{21276701-250A-18C6-36ED-A5CA99868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5" name="Picture 79">
          <a:extLst>
            <a:ext uri="{FF2B5EF4-FFF2-40B4-BE49-F238E27FC236}">
              <a16:creationId xmlns:a16="http://schemas.microsoft.com/office/drawing/2014/main" id="{658205C7-5578-90E0-5BC6-4296D912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6" name="Picture 80">
          <a:extLst>
            <a:ext uri="{FF2B5EF4-FFF2-40B4-BE49-F238E27FC236}">
              <a16:creationId xmlns:a16="http://schemas.microsoft.com/office/drawing/2014/main" id="{5E9B1709-25C9-B8E0-BE1E-4FB65694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7" name="Picture 81">
          <a:extLst>
            <a:ext uri="{FF2B5EF4-FFF2-40B4-BE49-F238E27FC236}">
              <a16:creationId xmlns:a16="http://schemas.microsoft.com/office/drawing/2014/main" id="{18BC3A0F-9E0D-D7EC-E356-7939B0C0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8" name="Picture 82">
          <a:extLst>
            <a:ext uri="{FF2B5EF4-FFF2-40B4-BE49-F238E27FC236}">
              <a16:creationId xmlns:a16="http://schemas.microsoft.com/office/drawing/2014/main" id="{18ACF342-B465-05A4-0140-B7EAAECA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9" name="Picture 83">
          <a:extLst>
            <a:ext uri="{FF2B5EF4-FFF2-40B4-BE49-F238E27FC236}">
              <a16:creationId xmlns:a16="http://schemas.microsoft.com/office/drawing/2014/main" id="{C13C2841-8B38-7F1B-A09A-111C26F7A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0" name="Picture 84">
          <a:extLst>
            <a:ext uri="{FF2B5EF4-FFF2-40B4-BE49-F238E27FC236}">
              <a16:creationId xmlns:a16="http://schemas.microsoft.com/office/drawing/2014/main" id="{C57623A5-9C8D-A3C4-A686-A4292456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1" name="Picture 85">
          <a:extLst>
            <a:ext uri="{FF2B5EF4-FFF2-40B4-BE49-F238E27FC236}">
              <a16:creationId xmlns:a16="http://schemas.microsoft.com/office/drawing/2014/main" id="{F8A6EEDE-B150-06F5-0400-33BD4EFB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2" name="Picture 86">
          <a:extLst>
            <a:ext uri="{FF2B5EF4-FFF2-40B4-BE49-F238E27FC236}">
              <a16:creationId xmlns:a16="http://schemas.microsoft.com/office/drawing/2014/main" id="{1F761EFD-87C9-F33D-C8DB-FFE52C2B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3" name="Picture 87">
          <a:extLst>
            <a:ext uri="{FF2B5EF4-FFF2-40B4-BE49-F238E27FC236}">
              <a16:creationId xmlns:a16="http://schemas.microsoft.com/office/drawing/2014/main" id="{9042DF67-26C5-EF56-FDDA-513630336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4" name="Picture 88">
          <a:extLst>
            <a:ext uri="{FF2B5EF4-FFF2-40B4-BE49-F238E27FC236}">
              <a16:creationId xmlns:a16="http://schemas.microsoft.com/office/drawing/2014/main" id="{165E2086-642C-D5E4-EC1E-E34B6692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5" name="Picture 89">
          <a:extLst>
            <a:ext uri="{FF2B5EF4-FFF2-40B4-BE49-F238E27FC236}">
              <a16:creationId xmlns:a16="http://schemas.microsoft.com/office/drawing/2014/main" id="{B75CB058-94B7-0D11-13A4-3BAC2875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6" name="Picture 90">
          <a:extLst>
            <a:ext uri="{FF2B5EF4-FFF2-40B4-BE49-F238E27FC236}">
              <a16:creationId xmlns:a16="http://schemas.microsoft.com/office/drawing/2014/main" id="{761D83C0-74B4-485E-187F-75C4D330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7" name="Picture 91">
          <a:extLst>
            <a:ext uri="{FF2B5EF4-FFF2-40B4-BE49-F238E27FC236}">
              <a16:creationId xmlns:a16="http://schemas.microsoft.com/office/drawing/2014/main" id="{0E1604D3-A9CE-2C92-7A6E-1892B019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8" name="Picture 92">
          <a:extLst>
            <a:ext uri="{FF2B5EF4-FFF2-40B4-BE49-F238E27FC236}">
              <a16:creationId xmlns:a16="http://schemas.microsoft.com/office/drawing/2014/main" id="{1364FB5F-82C9-9450-9513-8976391B1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9" name="Picture 93">
          <a:extLst>
            <a:ext uri="{FF2B5EF4-FFF2-40B4-BE49-F238E27FC236}">
              <a16:creationId xmlns:a16="http://schemas.microsoft.com/office/drawing/2014/main" id="{B75198C4-6025-2537-6FD1-8A83B6579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0" name="Picture 94">
          <a:extLst>
            <a:ext uri="{FF2B5EF4-FFF2-40B4-BE49-F238E27FC236}">
              <a16:creationId xmlns:a16="http://schemas.microsoft.com/office/drawing/2014/main" id="{4CEE3E50-088B-D4E2-70FA-CDA73244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1" name="Picture 95">
          <a:extLst>
            <a:ext uri="{FF2B5EF4-FFF2-40B4-BE49-F238E27FC236}">
              <a16:creationId xmlns:a16="http://schemas.microsoft.com/office/drawing/2014/main" id="{228D7A31-6B17-94D0-CCDB-8D5C9B73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2" name="Picture 96">
          <a:extLst>
            <a:ext uri="{FF2B5EF4-FFF2-40B4-BE49-F238E27FC236}">
              <a16:creationId xmlns:a16="http://schemas.microsoft.com/office/drawing/2014/main" id="{60084531-E144-650D-B761-8C8232BE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3" name="Picture 97">
          <a:extLst>
            <a:ext uri="{FF2B5EF4-FFF2-40B4-BE49-F238E27FC236}">
              <a16:creationId xmlns:a16="http://schemas.microsoft.com/office/drawing/2014/main" id="{354DAB43-D135-15CD-DA35-634968FF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4" name="Picture 98">
          <a:extLst>
            <a:ext uri="{FF2B5EF4-FFF2-40B4-BE49-F238E27FC236}">
              <a16:creationId xmlns:a16="http://schemas.microsoft.com/office/drawing/2014/main" id="{A7D5C3F4-2585-F911-0D0D-D6CA0F8B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5" name="Picture 99">
          <a:extLst>
            <a:ext uri="{FF2B5EF4-FFF2-40B4-BE49-F238E27FC236}">
              <a16:creationId xmlns:a16="http://schemas.microsoft.com/office/drawing/2014/main" id="{6E2EF8BA-9BE5-FAE0-CEBA-20E2ECCA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6" name="Picture 100">
          <a:extLst>
            <a:ext uri="{FF2B5EF4-FFF2-40B4-BE49-F238E27FC236}">
              <a16:creationId xmlns:a16="http://schemas.microsoft.com/office/drawing/2014/main" id="{ADEE566C-6B6C-6DEA-FFAB-602EB527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7" name="Picture 101">
          <a:extLst>
            <a:ext uri="{FF2B5EF4-FFF2-40B4-BE49-F238E27FC236}">
              <a16:creationId xmlns:a16="http://schemas.microsoft.com/office/drawing/2014/main" id="{37E3D68B-77E6-211F-6A4D-2922EB19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8" name="Picture 102">
          <a:extLst>
            <a:ext uri="{FF2B5EF4-FFF2-40B4-BE49-F238E27FC236}">
              <a16:creationId xmlns:a16="http://schemas.microsoft.com/office/drawing/2014/main" id="{F398A19D-B480-CCB9-7B70-17F65D11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9" name="Picture 103">
          <a:extLst>
            <a:ext uri="{FF2B5EF4-FFF2-40B4-BE49-F238E27FC236}">
              <a16:creationId xmlns:a16="http://schemas.microsoft.com/office/drawing/2014/main" id="{4E315F13-5811-6AD1-8123-911798FA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0" name="Picture 104">
          <a:extLst>
            <a:ext uri="{FF2B5EF4-FFF2-40B4-BE49-F238E27FC236}">
              <a16:creationId xmlns:a16="http://schemas.microsoft.com/office/drawing/2014/main" id="{EB231E1B-0393-9704-EF4A-F2C241AC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1" name="Picture 105">
          <a:extLst>
            <a:ext uri="{FF2B5EF4-FFF2-40B4-BE49-F238E27FC236}">
              <a16:creationId xmlns:a16="http://schemas.microsoft.com/office/drawing/2014/main" id="{844EA3A8-F173-0CED-C1BF-7C9B3B69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2" name="Picture 106">
          <a:extLst>
            <a:ext uri="{FF2B5EF4-FFF2-40B4-BE49-F238E27FC236}">
              <a16:creationId xmlns:a16="http://schemas.microsoft.com/office/drawing/2014/main" id="{8087D9AF-8640-16E7-032F-C9863EBC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3" name="Picture 107">
          <a:extLst>
            <a:ext uri="{FF2B5EF4-FFF2-40B4-BE49-F238E27FC236}">
              <a16:creationId xmlns:a16="http://schemas.microsoft.com/office/drawing/2014/main" id="{E8C8CB6C-460F-A938-77CE-02115B84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4" name="Picture 108">
          <a:extLst>
            <a:ext uri="{FF2B5EF4-FFF2-40B4-BE49-F238E27FC236}">
              <a16:creationId xmlns:a16="http://schemas.microsoft.com/office/drawing/2014/main" id="{A6AEE8C2-B667-099F-B7C1-95AAAC88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5" name="Picture 109">
          <a:extLst>
            <a:ext uri="{FF2B5EF4-FFF2-40B4-BE49-F238E27FC236}">
              <a16:creationId xmlns:a16="http://schemas.microsoft.com/office/drawing/2014/main" id="{DE20E999-7EB1-D00D-D51B-9445B58F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6" name="Picture 110">
          <a:extLst>
            <a:ext uri="{FF2B5EF4-FFF2-40B4-BE49-F238E27FC236}">
              <a16:creationId xmlns:a16="http://schemas.microsoft.com/office/drawing/2014/main" id="{28822869-4CDE-C45F-1DDE-F7C606AF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7" name="Picture 111">
          <a:extLst>
            <a:ext uri="{FF2B5EF4-FFF2-40B4-BE49-F238E27FC236}">
              <a16:creationId xmlns:a16="http://schemas.microsoft.com/office/drawing/2014/main" id="{7D745913-EB0F-FF2B-7D85-845A7F01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8" name="Picture 112">
          <a:extLst>
            <a:ext uri="{FF2B5EF4-FFF2-40B4-BE49-F238E27FC236}">
              <a16:creationId xmlns:a16="http://schemas.microsoft.com/office/drawing/2014/main" id="{3AFCAA0A-B07E-E22E-EB34-C905EF5A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9" name="Picture 113">
          <a:extLst>
            <a:ext uri="{FF2B5EF4-FFF2-40B4-BE49-F238E27FC236}">
              <a16:creationId xmlns:a16="http://schemas.microsoft.com/office/drawing/2014/main" id="{FFAEC170-0F9F-65B8-1DD7-7DE292DA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0" name="Picture 114">
          <a:extLst>
            <a:ext uri="{FF2B5EF4-FFF2-40B4-BE49-F238E27FC236}">
              <a16:creationId xmlns:a16="http://schemas.microsoft.com/office/drawing/2014/main" id="{7479AB7C-1BF0-31C6-7D16-095C0ACE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1" name="Picture 115">
          <a:extLst>
            <a:ext uri="{FF2B5EF4-FFF2-40B4-BE49-F238E27FC236}">
              <a16:creationId xmlns:a16="http://schemas.microsoft.com/office/drawing/2014/main" id="{94102CE5-3FA6-10C7-0066-45BA8F94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2" name="Picture 116">
          <a:extLst>
            <a:ext uri="{FF2B5EF4-FFF2-40B4-BE49-F238E27FC236}">
              <a16:creationId xmlns:a16="http://schemas.microsoft.com/office/drawing/2014/main" id="{6E668C21-EAC3-9539-51B8-675CEEC1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3" name="Picture 117">
          <a:extLst>
            <a:ext uri="{FF2B5EF4-FFF2-40B4-BE49-F238E27FC236}">
              <a16:creationId xmlns:a16="http://schemas.microsoft.com/office/drawing/2014/main" id="{DC869835-B553-649F-41AE-A894A12A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4" name="Picture 118">
          <a:extLst>
            <a:ext uri="{FF2B5EF4-FFF2-40B4-BE49-F238E27FC236}">
              <a16:creationId xmlns:a16="http://schemas.microsoft.com/office/drawing/2014/main" id="{A4F98DAE-17D2-A35D-B4B2-21283804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5" name="Picture 119">
          <a:extLst>
            <a:ext uri="{FF2B5EF4-FFF2-40B4-BE49-F238E27FC236}">
              <a16:creationId xmlns:a16="http://schemas.microsoft.com/office/drawing/2014/main" id="{9F3655A8-99BE-1242-AC06-C7B30B10B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6" name="Picture 120">
          <a:extLst>
            <a:ext uri="{FF2B5EF4-FFF2-40B4-BE49-F238E27FC236}">
              <a16:creationId xmlns:a16="http://schemas.microsoft.com/office/drawing/2014/main" id="{A6620F7A-2613-9F6E-86B1-FB54DC46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7" name="Picture 121">
          <a:extLst>
            <a:ext uri="{FF2B5EF4-FFF2-40B4-BE49-F238E27FC236}">
              <a16:creationId xmlns:a16="http://schemas.microsoft.com/office/drawing/2014/main" id="{29ABF55A-3207-D6C8-3C1C-A2DE1BF6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8" name="Picture 122">
          <a:extLst>
            <a:ext uri="{FF2B5EF4-FFF2-40B4-BE49-F238E27FC236}">
              <a16:creationId xmlns:a16="http://schemas.microsoft.com/office/drawing/2014/main" id="{F87D0E63-77A9-49E0-4217-A43A7359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9" name="Picture 123">
          <a:extLst>
            <a:ext uri="{FF2B5EF4-FFF2-40B4-BE49-F238E27FC236}">
              <a16:creationId xmlns:a16="http://schemas.microsoft.com/office/drawing/2014/main" id="{BCDE2924-1CF8-6C56-AF0B-29D7917F9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0" name="Picture 124">
          <a:extLst>
            <a:ext uri="{FF2B5EF4-FFF2-40B4-BE49-F238E27FC236}">
              <a16:creationId xmlns:a16="http://schemas.microsoft.com/office/drawing/2014/main" id="{0FCD6432-197F-1324-1195-A90C878A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1" name="Picture 125">
          <a:extLst>
            <a:ext uri="{FF2B5EF4-FFF2-40B4-BE49-F238E27FC236}">
              <a16:creationId xmlns:a16="http://schemas.microsoft.com/office/drawing/2014/main" id="{ACB9D251-0377-60E9-2872-3B5F237C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2" name="Picture 126">
          <a:extLst>
            <a:ext uri="{FF2B5EF4-FFF2-40B4-BE49-F238E27FC236}">
              <a16:creationId xmlns:a16="http://schemas.microsoft.com/office/drawing/2014/main" id="{5A8D9A71-FC98-1707-B368-04147E01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3" name="Picture 127">
          <a:extLst>
            <a:ext uri="{FF2B5EF4-FFF2-40B4-BE49-F238E27FC236}">
              <a16:creationId xmlns:a16="http://schemas.microsoft.com/office/drawing/2014/main" id="{995C2753-8E0D-E938-3052-513FAE94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4" name="Picture 128">
          <a:extLst>
            <a:ext uri="{FF2B5EF4-FFF2-40B4-BE49-F238E27FC236}">
              <a16:creationId xmlns:a16="http://schemas.microsoft.com/office/drawing/2014/main" id="{4020DE9A-6174-4A99-36B8-FEDF0161D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5" name="Picture 129">
          <a:extLst>
            <a:ext uri="{FF2B5EF4-FFF2-40B4-BE49-F238E27FC236}">
              <a16:creationId xmlns:a16="http://schemas.microsoft.com/office/drawing/2014/main" id="{D0FBE968-2AAD-A805-C41F-86CCD74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6" name="Picture 130">
          <a:extLst>
            <a:ext uri="{FF2B5EF4-FFF2-40B4-BE49-F238E27FC236}">
              <a16:creationId xmlns:a16="http://schemas.microsoft.com/office/drawing/2014/main" id="{72606257-A3A1-B440-FE81-861F95AE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7" name="Picture 131">
          <a:extLst>
            <a:ext uri="{FF2B5EF4-FFF2-40B4-BE49-F238E27FC236}">
              <a16:creationId xmlns:a16="http://schemas.microsoft.com/office/drawing/2014/main" id="{DFCDE4E1-2534-0FB0-D8AF-A87C3D2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8" name="Picture 132">
          <a:extLst>
            <a:ext uri="{FF2B5EF4-FFF2-40B4-BE49-F238E27FC236}">
              <a16:creationId xmlns:a16="http://schemas.microsoft.com/office/drawing/2014/main" id="{7C3A2748-A479-1983-DD55-E9102971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9" name="Picture 133">
          <a:extLst>
            <a:ext uri="{FF2B5EF4-FFF2-40B4-BE49-F238E27FC236}">
              <a16:creationId xmlns:a16="http://schemas.microsoft.com/office/drawing/2014/main" id="{3F78297C-3172-E288-D319-C2280291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0" name="Picture 134">
          <a:extLst>
            <a:ext uri="{FF2B5EF4-FFF2-40B4-BE49-F238E27FC236}">
              <a16:creationId xmlns:a16="http://schemas.microsoft.com/office/drawing/2014/main" id="{E1590D0C-F1E6-E7B3-6AB9-E7B6C92E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1" name="Picture 135">
          <a:extLst>
            <a:ext uri="{FF2B5EF4-FFF2-40B4-BE49-F238E27FC236}">
              <a16:creationId xmlns:a16="http://schemas.microsoft.com/office/drawing/2014/main" id="{788694CB-4D0C-8124-12FE-20125CEE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2" name="Picture 136">
          <a:extLst>
            <a:ext uri="{FF2B5EF4-FFF2-40B4-BE49-F238E27FC236}">
              <a16:creationId xmlns:a16="http://schemas.microsoft.com/office/drawing/2014/main" id="{36C176D4-BA46-E430-0AB6-F09FCEAD2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3" name="Picture 137">
          <a:extLst>
            <a:ext uri="{FF2B5EF4-FFF2-40B4-BE49-F238E27FC236}">
              <a16:creationId xmlns:a16="http://schemas.microsoft.com/office/drawing/2014/main" id="{7C8811EF-1CBA-701A-82A6-546643FE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4" name="Picture 138">
          <a:extLst>
            <a:ext uri="{FF2B5EF4-FFF2-40B4-BE49-F238E27FC236}">
              <a16:creationId xmlns:a16="http://schemas.microsoft.com/office/drawing/2014/main" id="{CB2DE082-2E24-CAC8-31E2-363E98BA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5" name="Picture 139">
          <a:extLst>
            <a:ext uri="{FF2B5EF4-FFF2-40B4-BE49-F238E27FC236}">
              <a16:creationId xmlns:a16="http://schemas.microsoft.com/office/drawing/2014/main" id="{34D2D527-84FD-3AE4-DD29-1E639949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6" name="Picture 140">
          <a:extLst>
            <a:ext uri="{FF2B5EF4-FFF2-40B4-BE49-F238E27FC236}">
              <a16:creationId xmlns:a16="http://schemas.microsoft.com/office/drawing/2014/main" id="{B3D20E95-834E-DFF4-EAF8-F7ECD3EE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7" name="Picture 141">
          <a:extLst>
            <a:ext uri="{FF2B5EF4-FFF2-40B4-BE49-F238E27FC236}">
              <a16:creationId xmlns:a16="http://schemas.microsoft.com/office/drawing/2014/main" id="{C1051EDD-5A9D-0423-C9F0-9D87552C8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8" name="Picture 142">
          <a:extLst>
            <a:ext uri="{FF2B5EF4-FFF2-40B4-BE49-F238E27FC236}">
              <a16:creationId xmlns:a16="http://schemas.microsoft.com/office/drawing/2014/main" id="{EC34835C-187F-6875-20B0-B2295710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9" name="Picture 143">
          <a:extLst>
            <a:ext uri="{FF2B5EF4-FFF2-40B4-BE49-F238E27FC236}">
              <a16:creationId xmlns:a16="http://schemas.microsoft.com/office/drawing/2014/main" id="{84034AFA-BBF3-EFE9-9769-B9F474C6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0" name="Picture 144">
          <a:extLst>
            <a:ext uri="{FF2B5EF4-FFF2-40B4-BE49-F238E27FC236}">
              <a16:creationId xmlns:a16="http://schemas.microsoft.com/office/drawing/2014/main" id="{CF7E6B3C-55F3-F3D8-078B-28F507B6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1" name="Picture 145">
          <a:extLst>
            <a:ext uri="{FF2B5EF4-FFF2-40B4-BE49-F238E27FC236}">
              <a16:creationId xmlns:a16="http://schemas.microsoft.com/office/drawing/2014/main" id="{AEA6E184-5341-F064-0368-F90E4B897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2" name="Picture 146">
          <a:extLst>
            <a:ext uri="{FF2B5EF4-FFF2-40B4-BE49-F238E27FC236}">
              <a16:creationId xmlns:a16="http://schemas.microsoft.com/office/drawing/2014/main" id="{50E22888-DB5D-285F-016C-62792CF6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3" name="Picture 147">
          <a:extLst>
            <a:ext uri="{FF2B5EF4-FFF2-40B4-BE49-F238E27FC236}">
              <a16:creationId xmlns:a16="http://schemas.microsoft.com/office/drawing/2014/main" id="{7538049A-AF1D-1442-E8FD-1AF02E7F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4" name="Picture 148">
          <a:extLst>
            <a:ext uri="{FF2B5EF4-FFF2-40B4-BE49-F238E27FC236}">
              <a16:creationId xmlns:a16="http://schemas.microsoft.com/office/drawing/2014/main" id="{0F04A301-9665-DB1F-418A-3BB1D7BD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5" name="Picture 149">
          <a:extLst>
            <a:ext uri="{FF2B5EF4-FFF2-40B4-BE49-F238E27FC236}">
              <a16:creationId xmlns:a16="http://schemas.microsoft.com/office/drawing/2014/main" id="{AD2E9183-AC6D-C3F7-8432-6EB2B0A1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6" name="Picture 150">
          <a:extLst>
            <a:ext uri="{FF2B5EF4-FFF2-40B4-BE49-F238E27FC236}">
              <a16:creationId xmlns:a16="http://schemas.microsoft.com/office/drawing/2014/main" id="{9A166F85-0125-6DA6-DCF2-A8466F77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7" name="Picture 151">
          <a:extLst>
            <a:ext uri="{FF2B5EF4-FFF2-40B4-BE49-F238E27FC236}">
              <a16:creationId xmlns:a16="http://schemas.microsoft.com/office/drawing/2014/main" id="{760B7C1B-1FC8-20D3-6847-12A11A98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8" name="Picture 152">
          <a:extLst>
            <a:ext uri="{FF2B5EF4-FFF2-40B4-BE49-F238E27FC236}">
              <a16:creationId xmlns:a16="http://schemas.microsoft.com/office/drawing/2014/main" id="{DD9041AF-6CC9-64F8-6A3B-54EEC25E7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9" name="Picture 153">
          <a:extLst>
            <a:ext uri="{FF2B5EF4-FFF2-40B4-BE49-F238E27FC236}">
              <a16:creationId xmlns:a16="http://schemas.microsoft.com/office/drawing/2014/main" id="{C32696C7-9782-2184-F310-6FAD7954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0" name="Picture 154">
          <a:extLst>
            <a:ext uri="{FF2B5EF4-FFF2-40B4-BE49-F238E27FC236}">
              <a16:creationId xmlns:a16="http://schemas.microsoft.com/office/drawing/2014/main" id="{FD539DAD-7D44-5979-B3A6-E24964C6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1" name="Picture 155">
          <a:extLst>
            <a:ext uri="{FF2B5EF4-FFF2-40B4-BE49-F238E27FC236}">
              <a16:creationId xmlns:a16="http://schemas.microsoft.com/office/drawing/2014/main" id="{DBC4B771-A709-BB1D-4EE3-923385D83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2" name="Picture 156">
          <a:extLst>
            <a:ext uri="{FF2B5EF4-FFF2-40B4-BE49-F238E27FC236}">
              <a16:creationId xmlns:a16="http://schemas.microsoft.com/office/drawing/2014/main" id="{AE51B4C3-E6B1-2549-C94B-95A59EF4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3" name="Picture 157">
          <a:extLst>
            <a:ext uri="{FF2B5EF4-FFF2-40B4-BE49-F238E27FC236}">
              <a16:creationId xmlns:a16="http://schemas.microsoft.com/office/drawing/2014/main" id="{E2B71BD8-19F9-6AB3-F0F9-43C1D870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4" name="Picture 158">
          <a:extLst>
            <a:ext uri="{FF2B5EF4-FFF2-40B4-BE49-F238E27FC236}">
              <a16:creationId xmlns:a16="http://schemas.microsoft.com/office/drawing/2014/main" id="{ED141D1C-68A2-5CCA-04E0-12724518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5" name="Picture 159">
          <a:extLst>
            <a:ext uri="{FF2B5EF4-FFF2-40B4-BE49-F238E27FC236}">
              <a16:creationId xmlns:a16="http://schemas.microsoft.com/office/drawing/2014/main" id="{27F265BF-821B-1EB6-88B4-78992CE6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6" name="Picture 160">
          <a:extLst>
            <a:ext uri="{FF2B5EF4-FFF2-40B4-BE49-F238E27FC236}">
              <a16:creationId xmlns:a16="http://schemas.microsoft.com/office/drawing/2014/main" id="{0FD3588D-C126-D90F-5D0F-C7EC6747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7" name="Picture 161">
          <a:extLst>
            <a:ext uri="{FF2B5EF4-FFF2-40B4-BE49-F238E27FC236}">
              <a16:creationId xmlns:a16="http://schemas.microsoft.com/office/drawing/2014/main" id="{A82FFA84-DFBC-F77B-1B3B-7ACC0D9E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8" name="Picture 162">
          <a:extLst>
            <a:ext uri="{FF2B5EF4-FFF2-40B4-BE49-F238E27FC236}">
              <a16:creationId xmlns:a16="http://schemas.microsoft.com/office/drawing/2014/main" id="{6884E868-C47B-5B04-1304-0FC4B400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9" name="Picture 163">
          <a:extLst>
            <a:ext uri="{FF2B5EF4-FFF2-40B4-BE49-F238E27FC236}">
              <a16:creationId xmlns:a16="http://schemas.microsoft.com/office/drawing/2014/main" id="{9556BB7D-4D37-92A3-D9E8-651E162F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0" name="Picture 164">
          <a:extLst>
            <a:ext uri="{FF2B5EF4-FFF2-40B4-BE49-F238E27FC236}">
              <a16:creationId xmlns:a16="http://schemas.microsoft.com/office/drawing/2014/main" id="{5DB7C872-452F-759E-EAEF-15C05A1A8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1" name="Picture 165">
          <a:extLst>
            <a:ext uri="{FF2B5EF4-FFF2-40B4-BE49-F238E27FC236}">
              <a16:creationId xmlns:a16="http://schemas.microsoft.com/office/drawing/2014/main" id="{B1361175-9A6C-BCBD-8513-863BA8C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2" name="Picture 166">
          <a:extLst>
            <a:ext uri="{FF2B5EF4-FFF2-40B4-BE49-F238E27FC236}">
              <a16:creationId xmlns:a16="http://schemas.microsoft.com/office/drawing/2014/main" id="{F863149A-B5FC-B532-73E9-4853FE1A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3" name="Picture 167">
          <a:extLst>
            <a:ext uri="{FF2B5EF4-FFF2-40B4-BE49-F238E27FC236}">
              <a16:creationId xmlns:a16="http://schemas.microsoft.com/office/drawing/2014/main" id="{0219E7E6-05F1-26A1-9D26-BD010770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4" name="Picture 168">
          <a:extLst>
            <a:ext uri="{FF2B5EF4-FFF2-40B4-BE49-F238E27FC236}">
              <a16:creationId xmlns:a16="http://schemas.microsoft.com/office/drawing/2014/main" id="{622C7927-7B82-8752-EBDF-761BCAF1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5" name="Picture 169">
          <a:extLst>
            <a:ext uri="{FF2B5EF4-FFF2-40B4-BE49-F238E27FC236}">
              <a16:creationId xmlns:a16="http://schemas.microsoft.com/office/drawing/2014/main" id="{E1484CD6-55A2-7F5A-44D6-377085BA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6" name="Picture 170">
          <a:extLst>
            <a:ext uri="{FF2B5EF4-FFF2-40B4-BE49-F238E27FC236}">
              <a16:creationId xmlns:a16="http://schemas.microsoft.com/office/drawing/2014/main" id="{A04B26D2-0ED8-7972-6400-F4E34AB22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7" name="Picture 171">
          <a:extLst>
            <a:ext uri="{FF2B5EF4-FFF2-40B4-BE49-F238E27FC236}">
              <a16:creationId xmlns:a16="http://schemas.microsoft.com/office/drawing/2014/main" id="{5C19A259-C80C-045D-04A9-D8C44ABC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8" name="Picture 172">
          <a:extLst>
            <a:ext uri="{FF2B5EF4-FFF2-40B4-BE49-F238E27FC236}">
              <a16:creationId xmlns:a16="http://schemas.microsoft.com/office/drawing/2014/main" id="{FF061027-D9B0-8C9E-34F9-6509FA10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9" name="Picture 173">
          <a:extLst>
            <a:ext uri="{FF2B5EF4-FFF2-40B4-BE49-F238E27FC236}">
              <a16:creationId xmlns:a16="http://schemas.microsoft.com/office/drawing/2014/main" id="{382B7E10-325E-0E38-8228-20945A18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0" name="Picture 174">
          <a:extLst>
            <a:ext uri="{FF2B5EF4-FFF2-40B4-BE49-F238E27FC236}">
              <a16:creationId xmlns:a16="http://schemas.microsoft.com/office/drawing/2014/main" id="{D0FBE1FA-739F-1BCD-0CCA-1AEAACB2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1" name="Picture 175">
          <a:extLst>
            <a:ext uri="{FF2B5EF4-FFF2-40B4-BE49-F238E27FC236}">
              <a16:creationId xmlns:a16="http://schemas.microsoft.com/office/drawing/2014/main" id="{FF8AF358-08F6-6500-0E63-8239A42B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2" name="Picture 176">
          <a:extLst>
            <a:ext uri="{FF2B5EF4-FFF2-40B4-BE49-F238E27FC236}">
              <a16:creationId xmlns:a16="http://schemas.microsoft.com/office/drawing/2014/main" id="{7AC85309-2154-E9AB-74B1-A3EB2E69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3" name="Picture 177">
          <a:extLst>
            <a:ext uri="{FF2B5EF4-FFF2-40B4-BE49-F238E27FC236}">
              <a16:creationId xmlns:a16="http://schemas.microsoft.com/office/drawing/2014/main" id="{A831094A-9191-9A77-A1EA-55DD344C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4" name="Picture 178">
          <a:extLst>
            <a:ext uri="{FF2B5EF4-FFF2-40B4-BE49-F238E27FC236}">
              <a16:creationId xmlns:a16="http://schemas.microsoft.com/office/drawing/2014/main" id="{ADEDCB92-445A-29E3-F4AD-C426956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5" name="Picture 179">
          <a:extLst>
            <a:ext uri="{FF2B5EF4-FFF2-40B4-BE49-F238E27FC236}">
              <a16:creationId xmlns:a16="http://schemas.microsoft.com/office/drawing/2014/main" id="{5D652C7C-1393-1830-2082-81B77F23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6" name="Picture 180">
          <a:extLst>
            <a:ext uri="{FF2B5EF4-FFF2-40B4-BE49-F238E27FC236}">
              <a16:creationId xmlns:a16="http://schemas.microsoft.com/office/drawing/2014/main" id="{2833BCB4-91E9-DF25-7913-692C7BFD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7" name="Picture 181">
          <a:extLst>
            <a:ext uri="{FF2B5EF4-FFF2-40B4-BE49-F238E27FC236}">
              <a16:creationId xmlns:a16="http://schemas.microsoft.com/office/drawing/2014/main" id="{DA4D163B-A275-5376-A1D9-1925FBE1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8" name="Picture 182">
          <a:extLst>
            <a:ext uri="{FF2B5EF4-FFF2-40B4-BE49-F238E27FC236}">
              <a16:creationId xmlns:a16="http://schemas.microsoft.com/office/drawing/2014/main" id="{E2276DBC-50BD-FD11-3CD2-901A1D63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9" name="Picture 183">
          <a:extLst>
            <a:ext uri="{FF2B5EF4-FFF2-40B4-BE49-F238E27FC236}">
              <a16:creationId xmlns:a16="http://schemas.microsoft.com/office/drawing/2014/main" id="{5D29EB2F-FFC6-16CB-4F86-255F9515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0" name="Picture 184">
          <a:extLst>
            <a:ext uri="{FF2B5EF4-FFF2-40B4-BE49-F238E27FC236}">
              <a16:creationId xmlns:a16="http://schemas.microsoft.com/office/drawing/2014/main" id="{5E743F5B-B872-F853-826F-6035FC9B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1" name="Picture 185">
          <a:extLst>
            <a:ext uri="{FF2B5EF4-FFF2-40B4-BE49-F238E27FC236}">
              <a16:creationId xmlns:a16="http://schemas.microsoft.com/office/drawing/2014/main" id="{73ABF8FF-203B-4997-1F7C-678611C6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2" name="Picture 186">
          <a:extLst>
            <a:ext uri="{FF2B5EF4-FFF2-40B4-BE49-F238E27FC236}">
              <a16:creationId xmlns:a16="http://schemas.microsoft.com/office/drawing/2014/main" id="{DC5BA3D7-718C-BB4E-0448-F06CAF4A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3" name="Picture 187">
          <a:extLst>
            <a:ext uri="{FF2B5EF4-FFF2-40B4-BE49-F238E27FC236}">
              <a16:creationId xmlns:a16="http://schemas.microsoft.com/office/drawing/2014/main" id="{5064EBF5-F1CC-F041-0521-8D23038C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4" name="Picture 188">
          <a:extLst>
            <a:ext uri="{FF2B5EF4-FFF2-40B4-BE49-F238E27FC236}">
              <a16:creationId xmlns:a16="http://schemas.microsoft.com/office/drawing/2014/main" id="{5A60938D-44C2-DD54-870C-8C017FEA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5" name="Picture 189">
          <a:extLst>
            <a:ext uri="{FF2B5EF4-FFF2-40B4-BE49-F238E27FC236}">
              <a16:creationId xmlns:a16="http://schemas.microsoft.com/office/drawing/2014/main" id="{C610907B-09A9-B0EA-AA91-FFA6DFEB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6" name="Picture 190">
          <a:extLst>
            <a:ext uri="{FF2B5EF4-FFF2-40B4-BE49-F238E27FC236}">
              <a16:creationId xmlns:a16="http://schemas.microsoft.com/office/drawing/2014/main" id="{D45D1A2E-08B6-11D8-D3EC-209B54F7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7" name="Picture 191">
          <a:extLst>
            <a:ext uri="{FF2B5EF4-FFF2-40B4-BE49-F238E27FC236}">
              <a16:creationId xmlns:a16="http://schemas.microsoft.com/office/drawing/2014/main" id="{CADADA89-945E-80EA-12E0-0E467482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8" name="Picture 192">
          <a:extLst>
            <a:ext uri="{FF2B5EF4-FFF2-40B4-BE49-F238E27FC236}">
              <a16:creationId xmlns:a16="http://schemas.microsoft.com/office/drawing/2014/main" id="{7130CE9A-79E9-2A6E-45E3-5A5305F0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9" name="Picture 193">
          <a:extLst>
            <a:ext uri="{FF2B5EF4-FFF2-40B4-BE49-F238E27FC236}">
              <a16:creationId xmlns:a16="http://schemas.microsoft.com/office/drawing/2014/main" id="{01942479-8D90-368F-D357-F03AFA41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0" name="Picture 194">
          <a:extLst>
            <a:ext uri="{FF2B5EF4-FFF2-40B4-BE49-F238E27FC236}">
              <a16:creationId xmlns:a16="http://schemas.microsoft.com/office/drawing/2014/main" id="{4BC3D428-15E9-7EF1-AD0A-3EF358E2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1" name="Picture 195">
          <a:extLst>
            <a:ext uri="{FF2B5EF4-FFF2-40B4-BE49-F238E27FC236}">
              <a16:creationId xmlns:a16="http://schemas.microsoft.com/office/drawing/2014/main" id="{D3DF215B-7749-F759-E616-05FC1DC1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2" name="Picture 196">
          <a:extLst>
            <a:ext uri="{FF2B5EF4-FFF2-40B4-BE49-F238E27FC236}">
              <a16:creationId xmlns:a16="http://schemas.microsoft.com/office/drawing/2014/main" id="{799BA5F7-1274-81AE-AEF3-EFEA4A388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3" name="Picture 197">
          <a:extLst>
            <a:ext uri="{FF2B5EF4-FFF2-40B4-BE49-F238E27FC236}">
              <a16:creationId xmlns:a16="http://schemas.microsoft.com/office/drawing/2014/main" id="{B90E945D-4A45-F064-34E7-1AC84D298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4" name="Picture 198">
          <a:extLst>
            <a:ext uri="{FF2B5EF4-FFF2-40B4-BE49-F238E27FC236}">
              <a16:creationId xmlns:a16="http://schemas.microsoft.com/office/drawing/2014/main" id="{EF22C5CC-2B77-3A94-F51C-16393400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5" name="Picture 199">
          <a:extLst>
            <a:ext uri="{FF2B5EF4-FFF2-40B4-BE49-F238E27FC236}">
              <a16:creationId xmlns:a16="http://schemas.microsoft.com/office/drawing/2014/main" id="{06C99CE9-13C5-2A51-5C8E-CB967204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6" name="Picture 200">
          <a:extLst>
            <a:ext uri="{FF2B5EF4-FFF2-40B4-BE49-F238E27FC236}">
              <a16:creationId xmlns:a16="http://schemas.microsoft.com/office/drawing/2014/main" id="{8597186E-CD65-AA2E-D20D-78E9FBE6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7" name="Picture 201">
          <a:extLst>
            <a:ext uri="{FF2B5EF4-FFF2-40B4-BE49-F238E27FC236}">
              <a16:creationId xmlns:a16="http://schemas.microsoft.com/office/drawing/2014/main" id="{5F44F533-26C1-45D7-E42D-62508552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8" name="Picture 202">
          <a:extLst>
            <a:ext uri="{FF2B5EF4-FFF2-40B4-BE49-F238E27FC236}">
              <a16:creationId xmlns:a16="http://schemas.microsoft.com/office/drawing/2014/main" id="{078CB518-6A76-9088-C1C9-AB035688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9" name="Picture 203">
          <a:extLst>
            <a:ext uri="{FF2B5EF4-FFF2-40B4-BE49-F238E27FC236}">
              <a16:creationId xmlns:a16="http://schemas.microsoft.com/office/drawing/2014/main" id="{645A923A-C4EC-B023-44BA-16BA4604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0" name="Picture 204">
          <a:extLst>
            <a:ext uri="{FF2B5EF4-FFF2-40B4-BE49-F238E27FC236}">
              <a16:creationId xmlns:a16="http://schemas.microsoft.com/office/drawing/2014/main" id="{298214B0-75FD-AAEF-AC84-E1BA42B4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1" name="Picture 205">
          <a:extLst>
            <a:ext uri="{FF2B5EF4-FFF2-40B4-BE49-F238E27FC236}">
              <a16:creationId xmlns:a16="http://schemas.microsoft.com/office/drawing/2014/main" id="{5293A6DB-3BAE-F7AB-7130-3A77A1D4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2" name="Picture 206">
          <a:extLst>
            <a:ext uri="{FF2B5EF4-FFF2-40B4-BE49-F238E27FC236}">
              <a16:creationId xmlns:a16="http://schemas.microsoft.com/office/drawing/2014/main" id="{202092A5-4E78-712A-F8B9-3637C309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3" name="Picture 207">
          <a:extLst>
            <a:ext uri="{FF2B5EF4-FFF2-40B4-BE49-F238E27FC236}">
              <a16:creationId xmlns:a16="http://schemas.microsoft.com/office/drawing/2014/main" id="{4077522F-07AF-EE8B-4C32-F3832D32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4" name="Picture 208">
          <a:extLst>
            <a:ext uri="{FF2B5EF4-FFF2-40B4-BE49-F238E27FC236}">
              <a16:creationId xmlns:a16="http://schemas.microsoft.com/office/drawing/2014/main" id="{4847717E-D571-4D86-02EF-ED277EB1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5" name="Picture 209">
          <a:extLst>
            <a:ext uri="{FF2B5EF4-FFF2-40B4-BE49-F238E27FC236}">
              <a16:creationId xmlns:a16="http://schemas.microsoft.com/office/drawing/2014/main" id="{418ED123-25AE-F409-3D7D-6FA4143B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6" name="Picture 210">
          <a:extLst>
            <a:ext uri="{FF2B5EF4-FFF2-40B4-BE49-F238E27FC236}">
              <a16:creationId xmlns:a16="http://schemas.microsoft.com/office/drawing/2014/main" id="{60AFB293-FD62-00D5-C2F2-6D6BD2094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7" name="Picture 211">
          <a:extLst>
            <a:ext uri="{FF2B5EF4-FFF2-40B4-BE49-F238E27FC236}">
              <a16:creationId xmlns:a16="http://schemas.microsoft.com/office/drawing/2014/main" id="{0691E199-1300-3B4C-18BA-C849FD0B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8" name="Picture 212">
          <a:extLst>
            <a:ext uri="{FF2B5EF4-FFF2-40B4-BE49-F238E27FC236}">
              <a16:creationId xmlns:a16="http://schemas.microsoft.com/office/drawing/2014/main" id="{19331325-0FAB-533C-A38F-85F8E865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9" name="Picture 213">
          <a:extLst>
            <a:ext uri="{FF2B5EF4-FFF2-40B4-BE49-F238E27FC236}">
              <a16:creationId xmlns:a16="http://schemas.microsoft.com/office/drawing/2014/main" id="{E579FFCC-68D0-7556-8CAA-DCC09FC4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0" name="Picture 214">
          <a:extLst>
            <a:ext uri="{FF2B5EF4-FFF2-40B4-BE49-F238E27FC236}">
              <a16:creationId xmlns:a16="http://schemas.microsoft.com/office/drawing/2014/main" id="{5E397FDB-6314-3D76-5CF0-8B80A30B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1" name="Picture 215">
          <a:extLst>
            <a:ext uri="{FF2B5EF4-FFF2-40B4-BE49-F238E27FC236}">
              <a16:creationId xmlns:a16="http://schemas.microsoft.com/office/drawing/2014/main" id="{1CE4BBDA-1706-0423-C412-76A6C8E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2" name="Picture 216">
          <a:extLst>
            <a:ext uri="{FF2B5EF4-FFF2-40B4-BE49-F238E27FC236}">
              <a16:creationId xmlns:a16="http://schemas.microsoft.com/office/drawing/2014/main" id="{29E29880-EBB2-185F-0D45-186318D1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3" name="Picture 217">
          <a:extLst>
            <a:ext uri="{FF2B5EF4-FFF2-40B4-BE49-F238E27FC236}">
              <a16:creationId xmlns:a16="http://schemas.microsoft.com/office/drawing/2014/main" id="{D3D01BE6-70BB-BBB7-BBBF-902D2024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4" name="Picture 218">
          <a:extLst>
            <a:ext uri="{FF2B5EF4-FFF2-40B4-BE49-F238E27FC236}">
              <a16:creationId xmlns:a16="http://schemas.microsoft.com/office/drawing/2014/main" id="{11616789-F4CC-DF3E-3A97-7C5EC54E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5" name="Picture 219">
          <a:extLst>
            <a:ext uri="{FF2B5EF4-FFF2-40B4-BE49-F238E27FC236}">
              <a16:creationId xmlns:a16="http://schemas.microsoft.com/office/drawing/2014/main" id="{40700D60-17D0-AC92-8BAC-DBCA3B72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6" name="Picture 220">
          <a:extLst>
            <a:ext uri="{FF2B5EF4-FFF2-40B4-BE49-F238E27FC236}">
              <a16:creationId xmlns:a16="http://schemas.microsoft.com/office/drawing/2014/main" id="{B952E6B7-DAC9-9CA2-3226-1E6228A6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7" name="Picture 221">
          <a:extLst>
            <a:ext uri="{FF2B5EF4-FFF2-40B4-BE49-F238E27FC236}">
              <a16:creationId xmlns:a16="http://schemas.microsoft.com/office/drawing/2014/main" id="{1816FDC0-5F48-52A7-EE75-5D148E8E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8" name="Picture 222">
          <a:extLst>
            <a:ext uri="{FF2B5EF4-FFF2-40B4-BE49-F238E27FC236}">
              <a16:creationId xmlns:a16="http://schemas.microsoft.com/office/drawing/2014/main" id="{5C9FD075-7547-FD55-7EE6-765AB3A8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9" name="Picture 223">
          <a:extLst>
            <a:ext uri="{FF2B5EF4-FFF2-40B4-BE49-F238E27FC236}">
              <a16:creationId xmlns:a16="http://schemas.microsoft.com/office/drawing/2014/main" id="{DF79BFF8-8472-9107-9044-B9BB972C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0" name="Picture 224">
          <a:extLst>
            <a:ext uri="{FF2B5EF4-FFF2-40B4-BE49-F238E27FC236}">
              <a16:creationId xmlns:a16="http://schemas.microsoft.com/office/drawing/2014/main" id="{E86AE312-4BE9-4F2C-2B81-D14598CC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1" name="Picture 225">
          <a:extLst>
            <a:ext uri="{FF2B5EF4-FFF2-40B4-BE49-F238E27FC236}">
              <a16:creationId xmlns:a16="http://schemas.microsoft.com/office/drawing/2014/main" id="{816EFE58-C9B5-B51E-7B1E-4EC1CC7D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2" name="Picture 226">
          <a:extLst>
            <a:ext uri="{FF2B5EF4-FFF2-40B4-BE49-F238E27FC236}">
              <a16:creationId xmlns:a16="http://schemas.microsoft.com/office/drawing/2014/main" id="{B569D5EB-1DC8-7293-40E2-F588D0EA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3" name="Picture 227">
          <a:extLst>
            <a:ext uri="{FF2B5EF4-FFF2-40B4-BE49-F238E27FC236}">
              <a16:creationId xmlns:a16="http://schemas.microsoft.com/office/drawing/2014/main" id="{99C6FE19-C78B-29E2-3019-858B9E2C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4" name="Picture 228">
          <a:extLst>
            <a:ext uri="{FF2B5EF4-FFF2-40B4-BE49-F238E27FC236}">
              <a16:creationId xmlns:a16="http://schemas.microsoft.com/office/drawing/2014/main" id="{BF3331D8-5246-E3A1-61C6-6F1192C3D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5" name="Picture 229">
          <a:extLst>
            <a:ext uri="{FF2B5EF4-FFF2-40B4-BE49-F238E27FC236}">
              <a16:creationId xmlns:a16="http://schemas.microsoft.com/office/drawing/2014/main" id="{24451ACD-2593-D4D8-13E7-02CCBC3E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6" name="Picture 230">
          <a:extLst>
            <a:ext uri="{FF2B5EF4-FFF2-40B4-BE49-F238E27FC236}">
              <a16:creationId xmlns:a16="http://schemas.microsoft.com/office/drawing/2014/main" id="{25F65A15-62DE-E6ED-0432-1002F2F8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7" name="Picture 231">
          <a:extLst>
            <a:ext uri="{FF2B5EF4-FFF2-40B4-BE49-F238E27FC236}">
              <a16:creationId xmlns:a16="http://schemas.microsoft.com/office/drawing/2014/main" id="{728A8088-A217-1585-3879-D65CE2A64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8" name="Picture 232">
          <a:extLst>
            <a:ext uri="{FF2B5EF4-FFF2-40B4-BE49-F238E27FC236}">
              <a16:creationId xmlns:a16="http://schemas.microsoft.com/office/drawing/2014/main" id="{A95B0EFA-2B18-F0BF-DD08-CB58151C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9" name="Picture 233">
          <a:extLst>
            <a:ext uri="{FF2B5EF4-FFF2-40B4-BE49-F238E27FC236}">
              <a16:creationId xmlns:a16="http://schemas.microsoft.com/office/drawing/2014/main" id="{BE24B334-3D77-05BB-9B94-F3E65D98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0" name="Picture 234">
          <a:extLst>
            <a:ext uri="{FF2B5EF4-FFF2-40B4-BE49-F238E27FC236}">
              <a16:creationId xmlns:a16="http://schemas.microsoft.com/office/drawing/2014/main" id="{3914BE97-8A66-ED5F-D8E1-07F936701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1" name="Picture 235">
          <a:extLst>
            <a:ext uri="{FF2B5EF4-FFF2-40B4-BE49-F238E27FC236}">
              <a16:creationId xmlns:a16="http://schemas.microsoft.com/office/drawing/2014/main" id="{26146B1D-68C6-3641-D627-C422B69D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2" name="Picture 236">
          <a:extLst>
            <a:ext uri="{FF2B5EF4-FFF2-40B4-BE49-F238E27FC236}">
              <a16:creationId xmlns:a16="http://schemas.microsoft.com/office/drawing/2014/main" id="{AFD69D3F-5F93-DB89-73F1-CA92EB60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3" name="Picture 237">
          <a:extLst>
            <a:ext uri="{FF2B5EF4-FFF2-40B4-BE49-F238E27FC236}">
              <a16:creationId xmlns:a16="http://schemas.microsoft.com/office/drawing/2014/main" id="{C4A331B2-22C4-B691-BE20-FE1829C9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4" name="Picture 238">
          <a:extLst>
            <a:ext uri="{FF2B5EF4-FFF2-40B4-BE49-F238E27FC236}">
              <a16:creationId xmlns:a16="http://schemas.microsoft.com/office/drawing/2014/main" id="{2BC4FD55-B039-1E52-AE28-51C8D3BD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5" name="Picture 239">
          <a:extLst>
            <a:ext uri="{FF2B5EF4-FFF2-40B4-BE49-F238E27FC236}">
              <a16:creationId xmlns:a16="http://schemas.microsoft.com/office/drawing/2014/main" id="{79D30C48-7652-B24B-21D4-318F2DA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6" name="Picture 240">
          <a:extLst>
            <a:ext uri="{FF2B5EF4-FFF2-40B4-BE49-F238E27FC236}">
              <a16:creationId xmlns:a16="http://schemas.microsoft.com/office/drawing/2014/main" id="{36728BC8-0822-1114-D78B-2C8BCA9C0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7" name="Picture 241">
          <a:extLst>
            <a:ext uri="{FF2B5EF4-FFF2-40B4-BE49-F238E27FC236}">
              <a16:creationId xmlns:a16="http://schemas.microsoft.com/office/drawing/2014/main" id="{104224B6-A878-BB1A-4235-BB186DF8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8" name="Picture 242">
          <a:extLst>
            <a:ext uri="{FF2B5EF4-FFF2-40B4-BE49-F238E27FC236}">
              <a16:creationId xmlns:a16="http://schemas.microsoft.com/office/drawing/2014/main" id="{AEC373E6-2ED1-85DC-0A84-DC75414F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9" name="Picture 243">
          <a:extLst>
            <a:ext uri="{FF2B5EF4-FFF2-40B4-BE49-F238E27FC236}">
              <a16:creationId xmlns:a16="http://schemas.microsoft.com/office/drawing/2014/main" id="{D0C826D9-3012-7FFB-32A7-5E8359D6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0" name="Picture 244">
          <a:extLst>
            <a:ext uri="{FF2B5EF4-FFF2-40B4-BE49-F238E27FC236}">
              <a16:creationId xmlns:a16="http://schemas.microsoft.com/office/drawing/2014/main" id="{820F93B5-CDA0-2B42-514B-DB1A6E21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1" name="Picture 245">
          <a:extLst>
            <a:ext uri="{FF2B5EF4-FFF2-40B4-BE49-F238E27FC236}">
              <a16:creationId xmlns:a16="http://schemas.microsoft.com/office/drawing/2014/main" id="{71221972-A1D4-F9A7-B66A-594E92E8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2" name="Picture 246">
          <a:extLst>
            <a:ext uri="{FF2B5EF4-FFF2-40B4-BE49-F238E27FC236}">
              <a16:creationId xmlns:a16="http://schemas.microsoft.com/office/drawing/2014/main" id="{2EF9DAC5-00B7-F66E-9FF2-7E7A190F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3" name="Picture 247">
          <a:extLst>
            <a:ext uri="{FF2B5EF4-FFF2-40B4-BE49-F238E27FC236}">
              <a16:creationId xmlns:a16="http://schemas.microsoft.com/office/drawing/2014/main" id="{CAF37B54-A916-D2CC-B652-42CA6801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4" name="Picture 248">
          <a:extLst>
            <a:ext uri="{FF2B5EF4-FFF2-40B4-BE49-F238E27FC236}">
              <a16:creationId xmlns:a16="http://schemas.microsoft.com/office/drawing/2014/main" id="{8CE4BE4F-3DAB-A8BB-6C6D-8B98DDC0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5" name="Picture 249">
          <a:extLst>
            <a:ext uri="{FF2B5EF4-FFF2-40B4-BE49-F238E27FC236}">
              <a16:creationId xmlns:a16="http://schemas.microsoft.com/office/drawing/2014/main" id="{977C4C81-A804-4D48-65B3-CAF0E60A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6" name="Picture 250">
          <a:extLst>
            <a:ext uri="{FF2B5EF4-FFF2-40B4-BE49-F238E27FC236}">
              <a16:creationId xmlns:a16="http://schemas.microsoft.com/office/drawing/2014/main" id="{0C7B5DF7-E27B-07BF-FB02-7D438142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7" name="Picture 251">
          <a:extLst>
            <a:ext uri="{FF2B5EF4-FFF2-40B4-BE49-F238E27FC236}">
              <a16:creationId xmlns:a16="http://schemas.microsoft.com/office/drawing/2014/main" id="{88307E0D-B6E5-E230-1DD0-BC5324D4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8" name="Picture 252">
          <a:extLst>
            <a:ext uri="{FF2B5EF4-FFF2-40B4-BE49-F238E27FC236}">
              <a16:creationId xmlns:a16="http://schemas.microsoft.com/office/drawing/2014/main" id="{8CDDE3E2-75C5-FBFD-1E37-8509C1B5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9" name="Picture 253">
          <a:extLst>
            <a:ext uri="{FF2B5EF4-FFF2-40B4-BE49-F238E27FC236}">
              <a16:creationId xmlns:a16="http://schemas.microsoft.com/office/drawing/2014/main" id="{A50C8846-8284-E1DD-D33C-05CDE2DF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0" name="Picture 254">
          <a:extLst>
            <a:ext uri="{FF2B5EF4-FFF2-40B4-BE49-F238E27FC236}">
              <a16:creationId xmlns:a16="http://schemas.microsoft.com/office/drawing/2014/main" id="{07089442-32F7-8A80-BBCF-731E4B5B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1" name="Picture 255">
          <a:extLst>
            <a:ext uri="{FF2B5EF4-FFF2-40B4-BE49-F238E27FC236}">
              <a16:creationId xmlns:a16="http://schemas.microsoft.com/office/drawing/2014/main" id="{DF1CD8B1-B23C-42D3-E492-D9B1633E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2" name="Picture 256">
          <a:extLst>
            <a:ext uri="{FF2B5EF4-FFF2-40B4-BE49-F238E27FC236}">
              <a16:creationId xmlns:a16="http://schemas.microsoft.com/office/drawing/2014/main" id="{15016353-6F06-2B00-97DC-07F972F9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3" name="Picture 257">
          <a:extLst>
            <a:ext uri="{FF2B5EF4-FFF2-40B4-BE49-F238E27FC236}">
              <a16:creationId xmlns:a16="http://schemas.microsoft.com/office/drawing/2014/main" id="{FDFAF2CD-46D2-774D-2C63-6D2CE0D7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4" name="Picture 258">
          <a:extLst>
            <a:ext uri="{FF2B5EF4-FFF2-40B4-BE49-F238E27FC236}">
              <a16:creationId xmlns:a16="http://schemas.microsoft.com/office/drawing/2014/main" id="{E49B8523-2D73-6D53-AF1F-723524DF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5" name="Picture 259">
          <a:extLst>
            <a:ext uri="{FF2B5EF4-FFF2-40B4-BE49-F238E27FC236}">
              <a16:creationId xmlns:a16="http://schemas.microsoft.com/office/drawing/2014/main" id="{F2F81C18-77F3-2014-3EDC-D2FF689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6" name="Picture 260">
          <a:extLst>
            <a:ext uri="{FF2B5EF4-FFF2-40B4-BE49-F238E27FC236}">
              <a16:creationId xmlns:a16="http://schemas.microsoft.com/office/drawing/2014/main" id="{3BB3E537-63E3-907E-3C07-62B517F2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7" name="Picture 261">
          <a:extLst>
            <a:ext uri="{FF2B5EF4-FFF2-40B4-BE49-F238E27FC236}">
              <a16:creationId xmlns:a16="http://schemas.microsoft.com/office/drawing/2014/main" id="{4BC4E561-A315-8771-5C29-2F912F04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8" name="Picture 262">
          <a:extLst>
            <a:ext uri="{FF2B5EF4-FFF2-40B4-BE49-F238E27FC236}">
              <a16:creationId xmlns:a16="http://schemas.microsoft.com/office/drawing/2014/main" id="{43A5540E-60C2-7874-6C85-3DEF335C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9" name="Picture 263">
          <a:extLst>
            <a:ext uri="{FF2B5EF4-FFF2-40B4-BE49-F238E27FC236}">
              <a16:creationId xmlns:a16="http://schemas.microsoft.com/office/drawing/2014/main" id="{7219B3EA-4AD3-E0F6-B515-08A38DCA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0" name="Picture 264">
          <a:extLst>
            <a:ext uri="{FF2B5EF4-FFF2-40B4-BE49-F238E27FC236}">
              <a16:creationId xmlns:a16="http://schemas.microsoft.com/office/drawing/2014/main" id="{1D429E4E-FB5A-4CA4-7EBF-654A95D1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1" name="Picture 265">
          <a:extLst>
            <a:ext uri="{FF2B5EF4-FFF2-40B4-BE49-F238E27FC236}">
              <a16:creationId xmlns:a16="http://schemas.microsoft.com/office/drawing/2014/main" id="{283A07B4-AAD0-378B-4806-8FDFF639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2" name="Picture 266">
          <a:extLst>
            <a:ext uri="{FF2B5EF4-FFF2-40B4-BE49-F238E27FC236}">
              <a16:creationId xmlns:a16="http://schemas.microsoft.com/office/drawing/2014/main" id="{165EAC1D-B4C7-E233-13F1-F298FB1D2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3" name="Picture 267">
          <a:extLst>
            <a:ext uri="{FF2B5EF4-FFF2-40B4-BE49-F238E27FC236}">
              <a16:creationId xmlns:a16="http://schemas.microsoft.com/office/drawing/2014/main" id="{268F1D4A-CDBB-CF8A-8F5A-93CC8EBE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4" name="Picture 268">
          <a:extLst>
            <a:ext uri="{FF2B5EF4-FFF2-40B4-BE49-F238E27FC236}">
              <a16:creationId xmlns:a16="http://schemas.microsoft.com/office/drawing/2014/main" id="{439AD27C-D2D1-B461-A46E-F14B3637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5" name="Picture 269">
          <a:extLst>
            <a:ext uri="{FF2B5EF4-FFF2-40B4-BE49-F238E27FC236}">
              <a16:creationId xmlns:a16="http://schemas.microsoft.com/office/drawing/2014/main" id="{132CEFA8-4C91-E7CD-725C-AC28823B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6" name="Picture 270">
          <a:extLst>
            <a:ext uri="{FF2B5EF4-FFF2-40B4-BE49-F238E27FC236}">
              <a16:creationId xmlns:a16="http://schemas.microsoft.com/office/drawing/2014/main" id="{7B69215A-D512-E614-578D-BB65D697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7" name="Picture 271">
          <a:extLst>
            <a:ext uri="{FF2B5EF4-FFF2-40B4-BE49-F238E27FC236}">
              <a16:creationId xmlns:a16="http://schemas.microsoft.com/office/drawing/2014/main" id="{B21827FE-DE41-D8EA-4CF8-2D789AFB4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8" name="Picture 272">
          <a:extLst>
            <a:ext uri="{FF2B5EF4-FFF2-40B4-BE49-F238E27FC236}">
              <a16:creationId xmlns:a16="http://schemas.microsoft.com/office/drawing/2014/main" id="{BED4F0CE-379F-B5F5-7AF3-4E14C071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9" name="Picture 273">
          <a:extLst>
            <a:ext uri="{FF2B5EF4-FFF2-40B4-BE49-F238E27FC236}">
              <a16:creationId xmlns:a16="http://schemas.microsoft.com/office/drawing/2014/main" id="{BF47C71E-1E77-E7F2-C665-3B73BCD9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0" name="Picture 274">
          <a:extLst>
            <a:ext uri="{FF2B5EF4-FFF2-40B4-BE49-F238E27FC236}">
              <a16:creationId xmlns:a16="http://schemas.microsoft.com/office/drawing/2014/main" id="{8B2F042D-780B-B23A-4D6E-02D9AABC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1" name="Picture 275">
          <a:extLst>
            <a:ext uri="{FF2B5EF4-FFF2-40B4-BE49-F238E27FC236}">
              <a16:creationId xmlns:a16="http://schemas.microsoft.com/office/drawing/2014/main" id="{B8F5CA9B-30A9-B4B6-9594-076A41D2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2" name="Picture 276">
          <a:extLst>
            <a:ext uri="{FF2B5EF4-FFF2-40B4-BE49-F238E27FC236}">
              <a16:creationId xmlns:a16="http://schemas.microsoft.com/office/drawing/2014/main" id="{554C68EE-E56D-899C-33F6-E9FB4FDC9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3" name="Picture 277">
          <a:extLst>
            <a:ext uri="{FF2B5EF4-FFF2-40B4-BE49-F238E27FC236}">
              <a16:creationId xmlns:a16="http://schemas.microsoft.com/office/drawing/2014/main" id="{49C8BD69-A75B-A49E-B142-13F7BDAD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4" name="Picture 278">
          <a:extLst>
            <a:ext uri="{FF2B5EF4-FFF2-40B4-BE49-F238E27FC236}">
              <a16:creationId xmlns:a16="http://schemas.microsoft.com/office/drawing/2014/main" id="{40FF9906-952A-DE6D-405E-D9613474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5" name="Picture 279">
          <a:extLst>
            <a:ext uri="{FF2B5EF4-FFF2-40B4-BE49-F238E27FC236}">
              <a16:creationId xmlns:a16="http://schemas.microsoft.com/office/drawing/2014/main" id="{06CD7ADD-0768-BC8F-793E-E60D1601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6" name="Picture 280">
          <a:extLst>
            <a:ext uri="{FF2B5EF4-FFF2-40B4-BE49-F238E27FC236}">
              <a16:creationId xmlns:a16="http://schemas.microsoft.com/office/drawing/2014/main" id="{87C1C76A-EA28-8A5B-C22A-FAD5021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7" name="Picture 281">
          <a:extLst>
            <a:ext uri="{FF2B5EF4-FFF2-40B4-BE49-F238E27FC236}">
              <a16:creationId xmlns:a16="http://schemas.microsoft.com/office/drawing/2014/main" id="{6687F097-A332-2C59-D1BB-4C3179BD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8" name="Picture 282">
          <a:extLst>
            <a:ext uri="{FF2B5EF4-FFF2-40B4-BE49-F238E27FC236}">
              <a16:creationId xmlns:a16="http://schemas.microsoft.com/office/drawing/2014/main" id="{A16DDFD1-811D-F614-C3DE-0DD6A528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9" name="Picture 283">
          <a:extLst>
            <a:ext uri="{FF2B5EF4-FFF2-40B4-BE49-F238E27FC236}">
              <a16:creationId xmlns:a16="http://schemas.microsoft.com/office/drawing/2014/main" id="{740499F6-369A-C5CC-5DF8-4BA652B7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0" name="Picture 284">
          <a:extLst>
            <a:ext uri="{FF2B5EF4-FFF2-40B4-BE49-F238E27FC236}">
              <a16:creationId xmlns:a16="http://schemas.microsoft.com/office/drawing/2014/main" id="{47612AF8-521F-59C2-F1F3-EEC662CB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1" name="Picture 285">
          <a:extLst>
            <a:ext uri="{FF2B5EF4-FFF2-40B4-BE49-F238E27FC236}">
              <a16:creationId xmlns:a16="http://schemas.microsoft.com/office/drawing/2014/main" id="{B9608890-4971-1FD4-641B-991B90B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2" name="Picture 286">
          <a:extLst>
            <a:ext uri="{FF2B5EF4-FFF2-40B4-BE49-F238E27FC236}">
              <a16:creationId xmlns:a16="http://schemas.microsoft.com/office/drawing/2014/main" id="{1D3F725C-D808-25C0-4253-980A61A39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3" name="Picture 287">
          <a:extLst>
            <a:ext uri="{FF2B5EF4-FFF2-40B4-BE49-F238E27FC236}">
              <a16:creationId xmlns:a16="http://schemas.microsoft.com/office/drawing/2014/main" id="{063EEF52-7C2A-6A8C-FC66-3C4BC6B9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4" name="Picture 288">
          <a:extLst>
            <a:ext uri="{FF2B5EF4-FFF2-40B4-BE49-F238E27FC236}">
              <a16:creationId xmlns:a16="http://schemas.microsoft.com/office/drawing/2014/main" id="{DADECA6E-28A5-7188-15A0-30709339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5" name="Picture 289">
          <a:extLst>
            <a:ext uri="{FF2B5EF4-FFF2-40B4-BE49-F238E27FC236}">
              <a16:creationId xmlns:a16="http://schemas.microsoft.com/office/drawing/2014/main" id="{6221D2D4-A6DC-DE5A-3B5D-518FC86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6" name="Picture 290">
          <a:extLst>
            <a:ext uri="{FF2B5EF4-FFF2-40B4-BE49-F238E27FC236}">
              <a16:creationId xmlns:a16="http://schemas.microsoft.com/office/drawing/2014/main" id="{F75E0093-9D1D-3482-0B31-EA46888E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7" name="Picture 291">
          <a:extLst>
            <a:ext uri="{FF2B5EF4-FFF2-40B4-BE49-F238E27FC236}">
              <a16:creationId xmlns:a16="http://schemas.microsoft.com/office/drawing/2014/main" id="{2E10A389-5F21-4A2D-11F5-861D51F5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8" name="Picture 292">
          <a:extLst>
            <a:ext uri="{FF2B5EF4-FFF2-40B4-BE49-F238E27FC236}">
              <a16:creationId xmlns:a16="http://schemas.microsoft.com/office/drawing/2014/main" id="{38962AEA-ABFB-D01C-9E1A-A28F0DAB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9" name="Picture 293">
          <a:extLst>
            <a:ext uri="{FF2B5EF4-FFF2-40B4-BE49-F238E27FC236}">
              <a16:creationId xmlns:a16="http://schemas.microsoft.com/office/drawing/2014/main" id="{909AE71D-3DA6-DE58-592A-1E7148EE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0" name="Picture 294">
          <a:extLst>
            <a:ext uri="{FF2B5EF4-FFF2-40B4-BE49-F238E27FC236}">
              <a16:creationId xmlns:a16="http://schemas.microsoft.com/office/drawing/2014/main" id="{3C0231E7-98A9-D290-891F-C952A4E98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1" name="Picture 295">
          <a:extLst>
            <a:ext uri="{FF2B5EF4-FFF2-40B4-BE49-F238E27FC236}">
              <a16:creationId xmlns:a16="http://schemas.microsoft.com/office/drawing/2014/main" id="{7F3BCA37-DD0D-76F7-38BE-8DFD93B5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2" name="Picture 296">
          <a:extLst>
            <a:ext uri="{FF2B5EF4-FFF2-40B4-BE49-F238E27FC236}">
              <a16:creationId xmlns:a16="http://schemas.microsoft.com/office/drawing/2014/main" id="{2A7C184D-9CA9-F2E4-12A6-3AB2F09E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3" name="Picture 297">
          <a:extLst>
            <a:ext uri="{FF2B5EF4-FFF2-40B4-BE49-F238E27FC236}">
              <a16:creationId xmlns:a16="http://schemas.microsoft.com/office/drawing/2014/main" id="{48D0E5DC-9BF5-4376-6CA3-B672A617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4" name="Picture 298">
          <a:extLst>
            <a:ext uri="{FF2B5EF4-FFF2-40B4-BE49-F238E27FC236}">
              <a16:creationId xmlns:a16="http://schemas.microsoft.com/office/drawing/2014/main" id="{60569CC7-1F90-25BA-4CA6-4F7B0487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5" name="Picture 299">
          <a:extLst>
            <a:ext uri="{FF2B5EF4-FFF2-40B4-BE49-F238E27FC236}">
              <a16:creationId xmlns:a16="http://schemas.microsoft.com/office/drawing/2014/main" id="{1EED8B22-BB58-C017-5346-82469B9A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6" name="Picture 300">
          <a:extLst>
            <a:ext uri="{FF2B5EF4-FFF2-40B4-BE49-F238E27FC236}">
              <a16:creationId xmlns:a16="http://schemas.microsoft.com/office/drawing/2014/main" id="{958D0E11-4D4C-6F80-96D2-8837067F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7" name="Picture 301">
          <a:extLst>
            <a:ext uri="{FF2B5EF4-FFF2-40B4-BE49-F238E27FC236}">
              <a16:creationId xmlns:a16="http://schemas.microsoft.com/office/drawing/2014/main" id="{D1AB5044-3B70-C360-811F-A5E1028F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8" name="Picture 302">
          <a:extLst>
            <a:ext uri="{FF2B5EF4-FFF2-40B4-BE49-F238E27FC236}">
              <a16:creationId xmlns:a16="http://schemas.microsoft.com/office/drawing/2014/main" id="{81DCD45E-2DB9-89B0-E27E-A83F4B08A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9" name="Picture 303">
          <a:extLst>
            <a:ext uri="{FF2B5EF4-FFF2-40B4-BE49-F238E27FC236}">
              <a16:creationId xmlns:a16="http://schemas.microsoft.com/office/drawing/2014/main" id="{E2BD02E7-EF9B-5728-714D-8B3B9EB6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0" name="Picture 304">
          <a:extLst>
            <a:ext uri="{FF2B5EF4-FFF2-40B4-BE49-F238E27FC236}">
              <a16:creationId xmlns:a16="http://schemas.microsoft.com/office/drawing/2014/main" id="{98893DE5-B1FD-434F-253F-5369934D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1" name="Picture 305">
          <a:extLst>
            <a:ext uri="{FF2B5EF4-FFF2-40B4-BE49-F238E27FC236}">
              <a16:creationId xmlns:a16="http://schemas.microsoft.com/office/drawing/2014/main" id="{009631DE-CEDB-EAF2-AB95-9E2F4D24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2" name="Picture 306">
          <a:extLst>
            <a:ext uri="{FF2B5EF4-FFF2-40B4-BE49-F238E27FC236}">
              <a16:creationId xmlns:a16="http://schemas.microsoft.com/office/drawing/2014/main" id="{D1E76736-7B55-554C-F980-1D7ECD44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3" name="Picture 307">
          <a:extLst>
            <a:ext uri="{FF2B5EF4-FFF2-40B4-BE49-F238E27FC236}">
              <a16:creationId xmlns:a16="http://schemas.microsoft.com/office/drawing/2014/main" id="{55A4AB15-E0BF-2AB9-8DD3-A697A9E8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4" name="Picture 308">
          <a:extLst>
            <a:ext uri="{FF2B5EF4-FFF2-40B4-BE49-F238E27FC236}">
              <a16:creationId xmlns:a16="http://schemas.microsoft.com/office/drawing/2014/main" id="{853B6572-A497-E0A3-9396-99077C14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5" name="Picture 309">
          <a:extLst>
            <a:ext uri="{FF2B5EF4-FFF2-40B4-BE49-F238E27FC236}">
              <a16:creationId xmlns:a16="http://schemas.microsoft.com/office/drawing/2014/main" id="{BA2FB920-9759-0202-B916-A4DA81EF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6" name="Picture 310">
          <a:extLst>
            <a:ext uri="{FF2B5EF4-FFF2-40B4-BE49-F238E27FC236}">
              <a16:creationId xmlns:a16="http://schemas.microsoft.com/office/drawing/2014/main" id="{24BB4131-3D34-5E20-32F2-AF58FA06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7" name="Picture 311">
          <a:extLst>
            <a:ext uri="{FF2B5EF4-FFF2-40B4-BE49-F238E27FC236}">
              <a16:creationId xmlns:a16="http://schemas.microsoft.com/office/drawing/2014/main" id="{32CADFC5-00DB-2BB3-BD15-3BFD8E32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8" name="Picture 312">
          <a:extLst>
            <a:ext uri="{FF2B5EF4-FFF2-40B4-BE49-F238E27FC236}">
              <a16:creationId xmlns:a16="http://schemas.microsoft.com/office/drawing/2014/main" id="{1CFF5E7E-A195-B096-4D1D-682831AA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9" name="Picture 313">
          <a:extLst>
            <a:ext uri="{FF2B5EF4-FFF2-40B4-BE49-F238E27FC236}">
              <a16:creationId xmlns:a16="http://schemas.microsoft.com/office/drawing/2014/main" id="{EC3BE6CB-6648-DF5E-0511-0F856D57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0" name="Picture 314">
          <a:extLst>
            <a:ext uri="{FF2B5EF4-FFF2-40B4-BE49-F238E27FC236}">
              <a16:creationId xmlns:a16="http://schemas.microsoft.com/office/drawing/2014/main" id="{1D5466CE-2DD8-E18E-D0F3-CB27C467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1" name="Picture 315">
          <a:extLst>
            <a:ext uri="{FF2B5EF4-FFF2-40B4-BE49-F238E27FC236}">
              <a16:creationId xmlns:a16="http://schemas.microsoft.com/office/drawing/2014/main" id="{E9653B09-2869-5DAC-1D8C-1669BDF7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2" name="Picture 316">
          <a:extLst>
            <a:ext uri="{FF2B5EF4-FFF2-40B4-BE49-F238E27FC236}">
              <a16:creationId xmlns:a16="http://schemas.microsoft.com/office/drawing/2014/main" id="{0E3D9707-0B7F-48C0-8C4C-CD336680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3" name="Picture 317">
          <a:extLst>
            <a:ext uri="{FF2B5EF4-FFF2-40B4-BE49-F238E27FC236}">
              <a16:creationId xmlns:a16="http://schemas.microsoft.com/office/drawing/2014/main" id="{1E64A9FA-43C0-3E54-D237-20204D4D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4" name="Picture 318">
          <a:extLst>
            <a:ext uri="{FF2B5EF4-FFF2-40B4-BE49-F238E27FC236}">
              <a16:creationId xmlns:a16="http://schemas.microsoft.com/office/drawing/2014/main" id="{B4C65C02-DF84-3102-89D3-144E12AA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5" name="Picture 319">
          <a:extLst>
            <a:ext uri="{FF2B5EF4-FFF2-40B4-BE49-F238E27FC236}">
              <a16:creationId xmlns:a16="http://schemas.microsoft.com/office/drawing/2014/main" id="{36F159ED-B2D2-FA57-3EEE-E63C40B1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6" name="Picture 320">
          <a:extLst>
            <a:ext uri="{FF2B5EF4-FFF2-40B4-BE49-F238E27FC236}">
              <a16:creationId xmlns:a16="http://schemas.microsoft.com/office/drawing/2014/main" id="{A3871922-044E-5C78-4765-87B23F6D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7" name="Picture 321">
          <a:extLst>
            <a:ext uri="{FF2B5EF4-FFF2-40B4-BE49-F238E27FC236}">
              <a16:creationId xmlns:a16="http://schemas.microsoft.com/office/drawing/2014/main" id="{18705DA9-9535-75C1-B32E-FE31BDC1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8" name="Picture 322">
          <a:extLst>
            <a:ext uri="{FF2B5EF4-FFF2-40B4-BE49-F238E27FC236}">
              <a16:creationId xmlns:a16="http://schemas.microsoft.com/office/drawing/2014/main" id="{F9BF3BA6-E8D6-2667-752E-0EE2D7985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9" name="Picture 323">
          <a:extLst>
            <a:ext uri="{FF2B5EF4-FFF2-40B4-BE49-F238E27FC236}">
              <a16:creationId xmlns:a16="http://schemas.microsoft.com/office/drawing/2014/main" id="{0932AFBD-AAEF-2D1F-414F-26846AB9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0" name="Picture 324">
          <a:extLst>
            <a:ext uri="{FF2B5EF4-FFF2-40B4-BE49-F238E27FC236}">
              <a16:creationId xmlns:a16="http://schemas.microsoft.com/office/drawing/2014/main" id="{8A9E49D8-82DC-7A89-B02F-C8ED25FE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1" name="Picture 325">
          <a:extLst>
            <a:ext uri="{FF2B5EF4-FFF2-40B4-BE49-F238E27FC236}">
              <a16:creationId xmlns:a16="http://schemas.microsoft.com/office/drawing/2014/main" id="{3BA8A6B1-E358-B1B3-038D-A8649431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2" name="Picture 326">
          <a:extLst>
            <a:ext uri="{FF2B5EF4-FFF2-40B4-BE49-F238E27FC236}">
              <a16:creationId xmlns:a16="http://schemas.microsoft.com/office/drawing/2014/main" id="{99BED426-271D-58B7-E65F-D3BE0E9E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3" name="Picture 327">
          <a:extLst>
            <a:ext uri="{FF2B5EF4-FFF2-40B4-BE49-F238E27FC236}">
              <a16:creationId xmlns:a16="http://schemas.microsoft.com/office/drawing/2014/main" id="{29BE6060-4DE5-56AB-ABDA-53BA10E4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4" name="Picture 328">
          <a:extLst>
            <a:ext uri="{FF2B5EF4-FFF2-40B4-BE49-F238E27FC236}">
              <a16:creationId xmlns:a16="http://schemas.microsoft.com/office/drawing/2014/main" id="{CD65B8C8-EABD-9CEE-DB00-645A4346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5" name="Picture 329">
          <a:extLst>
            <a:ext uri="{FF2B5EF4-FFF2-40B4-BE49-F238E27FC236}">
              <a16:creationId xmlns:a16="http://schemas.microsoft.com/office/drawing/2014/main" id="{A61453C9-9FA6-CB6F-A4DD-107395EC3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6" name="Picture 330">
          <a:extLst>
            <a:ext uri="{FF2B5EF4-FFF2-40B4-BE49-F238E27FC236}">
              <a16:creationId xmlns:a16="http://schemas.microsoft.com/office/drawing/2014/main" id="{D063F1C2-3BBD-7288-0A66-CF015CD6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7" name="Picture 331">
          <a:extLst>
            <a:ext uri="{FF2B5EF4-FFF2-40B4-BE49-F238E27FC236}">
              <a16:creationId xmlns:a16="http://schemas.microsoft.com/office/drawing/2014/main" id="{F6A0212C-B09A-35EB-F2F5-0CFE1D573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8" name="Picture 332">
          <a:extLst>
            <a:ext uri="{FF2B5EF4-FFF2-40B4-BE49-F238E27FC236}">
              <a16:creationId xmlns:a16="http://schemas.microsoft.com/office/drawing/2014/main" id="{F685A429-1CEC-D992-8261-F9D59A98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9" name="Picture 333">
          <a:extLst>
            <a:ext uri="{FF2B5EF4-FFF2-40B4-BE49-F238E27FC236}">
              <a16:creationId xmlns:a16="http://schemas.microsoft.com/office/drawing/2014/main" id="{04FC237F-0E4F-A25A-FC4D-8B6111EB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0" name="Picture 334">
          <a:extLst>
            <a:ext uri="{FF2B5EF4-FFF2-40B4-BE49-F238E27FC236}">
              <a16:creationId xmlns:a16="http://schemas.microsoft.com/office/drawing/2014/main" id="{8736B86E-45BB-7481-852A-5A42B703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1" name="Picture 335">
          <a:extLst>
            <a:ext uri="{FF2B5EF4-FFF2-40B4-BE49-F238E27FC236}">
              <a16:creationId xmlns:a16="http://schemas.microsoft.com/office/drawing/2014/main" id="{4DDA7965-4A8B-3BD9-1186-8AD8FEE0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2" name="Picture 336">
          <a:extLst>
            <a:ext uri="{FF2B5EF4-FFF2-40B4-BE49-F238E27FC236}">
              <a16:creationId xmlns:a16="http://schemas.microsoft.com/office/drawing/2014/main" id="{7D66FF74-1A80-E9EA-8AA0-E9728A7E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3" name="Picture 337">
          <a:extLst>
            <a:ext uri="{FF2B5EF4-FFF2-40B4-BE49-F238E27FC236}">
              <a16:creationId xmlns:a16="http://schemas.microsoft.com/office/drawing/2014/main" id="{A313838A-AB6A-857E-BF27-971FC17C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4" name="Picture 338">
          <a:extLst>
            <a:ext uri="{FF2B5EF4-FFF2-40B4-BE49-F238E27FC236}">
              <a16:creationId xmlns:a16="http://schemas.microsoft.com/office/drawing/2014/main" id="{0DDB2162-63B9-17A5-B844-CBC7A502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5" name="Picture 339">
          <a:extLst>
            <a:ext uri="{FF2B5EF4-FFF2-40B4-BE49-F238E27FC236}">
              <a16:creationId xmlns:a16="http://schemas.microsoft.com/office/drawing/2014/main" id="{4A0BFB4B-FD68-FDA9-F987-C22F4B93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6" name="Picture 340">
          <a:extLst>
            <a:ext uri="{FF2B5EF4-FFF2-40B4-BE49-F238E27FC236}">
              <a16:creationId xmlns:a16="http://schemas.microsoft.com/office/drawing/2014/main" id="{7650C700-0655-5B8E-6843-7A6827C7C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7" name="Picture 341">
          <a:extLst>
            <a:ext uri="{FF2B5EF4-FFF2-40B4-BE49-F238E27FC236}">
              <a16:creationId xmlns:a16="http://schemas.microsoft.com/office/drawing/2014/main" id="{E2051D61-396C-3FD3-75D3-763EEBC7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8" name="Picture 342">
          <a:extLst>
            <a:ext uri="{FF2B5EF4-FFF2-40B4-BE49-F238E27FC236}">
              <a16:creationId xmlns:a16="http://schemas.microsoft.com/office/drawing/2014/main" id="{A8D0EE13-71C0-4B62-3D94-D36FB190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9" name="Picture 343">
          <a:extLst>
            <a:ext uri="{FF2B5EF4-FFF2-40B4-BE49-F238E27FC236}">
              <a16:creationId xmlns:a16="http://schemas.microsoft.com/office/drawing/2014/main" id="{A78F3F2B-8C1A-020E-05AD-94A39490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0" name="Picture 344">
          <a:extLst>
            <a:ext uri="{FF2B5EF4-FFF2-40B4-BE49-F238E27FC236}">
              <a16:creationId xmlns:a16="http://schemas.microsoft.com/office/drawing/2014/main" id="{3D1A435F-75AD-561E-06B7-AEA31539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1" name="Picture 345">
          <a:extLst>
            <a:ext uri="{FF2B5EF4-FFF2-40B4-BE49-F238E27FC236}">
              <a16:creationId xmlns:a16="http://schemas.microsoft.com/office/drawing/2014/main" id="{AF4CAFA4-5CEE-52E8-0B00-FE4EDAB6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2" name="Picture 346">
          <a:extLst>
            <a:ext uri="{FF2B5EF4-FFF2-40B4-BE49-F238E27FC236}">
              <a16:creationId xmlns:a16="http://schemas.microsoft.com/office/drawing/2014/main" id="{0402BB4D-492F-6ADD-45CF-FD51AA5B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3" name="Picture 347">
          <a:extLst>
            <a:ext uri="{FF2B5EF4-FFF2-40B4-BE49-F238E27FC236}">
              <a16:creationId xmlns:a16="http://schemas.microsoft.com/office/drawing/2014/main" id="{9BD33433-5DF1-FE44-D4ED-18B805E0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4" name="Picture 348">
          <a:extLst>
            <a:ext uri="{FF2B5EF4-FFF2-40B4-BE49-F238E27FC236}">
              <a16:creationId xmlns:a16="http://schemas.microsoft.com/office/drawing/2014/main" id="{248683F3-2F40-1FA7-622D-1CBFF7435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5" name="Picture 349">
          <a:extLst>
            <a:ext uri="{FF2B5EF4-FFF2-40B4-BE49-F238E27FC236}">
              <a16:creationId xmlns:a16="http://schemas.microsoft.com/office/drawing/2014/main" id="{4830C526-DCB2-705A-BC7C-4930B7B39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6" name="Picture 350">
          <a:extLst>
            <a:ext uri="{FF2B5EF4-FFF2-40B4-BE49-F238E27FC236}">
              <a16:creationId xmlns:a16="http://schemas.microsoft.com/office/drawing/2014/main" id="{D3E2B94F-6E6F-52F2-1E22-D8BCBD99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7" name="Picture 351">
          <a:extLst>
            <a:ext uri="{FF2B5EF4-FFF2-40B4-BE49-F238E27FC236}">
              <a16:creationId xmlns:a16="http://schemas.microsoft.com/office/drawing/2014/main" id="{7CEB549F-90FB-3ACD-D5E5-1B9BB267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8" name="Picture 352">
          <a:extLst>
            <a:ext uri="{FF2B5EF4-FFF2-40B4-BE49-F238E27FC236}">
              <a16:creationId xmlns:a16="http://schemas.microsoft.com/office/drawing/2014/main" id="{CE825054-958D-39F2-46FF-4711A5F4B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9" name="Picture 353">
          <a:extLst>
            <a:ext uri="{FF2B5EF4-FFF2-40B4-BE49-F238E27FC236}">
              <a16:creationId xmlns:a16="http://schemas.microsoft.com/office/drawing/2014/main" id="{16F049B8-0E91-9CEB-9051-2F99F0B5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0" name="Picture 354">
          <a:extLst>
            <a:ext uri="{FF2B5EF4-FFF2-40B4-BE49-F238E27FC236}">
              <a16:creationId xmlns:a16="http://schemas.microsoft.com/office/drawing/2014/main" id="{DC95434E-AA77-196E-7F6C-E6CC9AE0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1" name="Picture 355">
          <a:extLst>
            <a:ext uri="{FF2B5EF4-FFF2-40B4-BE49-F238E27FC236}">
              <a16:creationId xmlns:a16="http://schemas.microsoft.com/office/drawing/2014/main" id="{F62CB81C-D658-3FC2-6A00-51779F3A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2" name="Picture 356">
          <a:extLst>
            <a:ext uri="{FF2B5EF4-FFF2-40B4-BE49-F238E27FC236}">
              <a16:creationId xmlns:a16="http://schemas.microsoft.com/office/drawing/2014/main" id="{2FF04DC4-50CD-3BE9-66C4-57C46BEF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3" name="Picture 357">
          <a:extLst>
            <a:ext uri="{FF2B5EF4-FFF2-40B4-BE49-F238E27FC236}">
              <a16:creationId xmlns:a16="http://schemas.microsoft.com/office/drawing/2014/main" id="{211531F4-B554-91E4-E5D3-FCD4E72C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4" name="Picture 358">
          <a:extLst>
            <a:ext uri="{FF2B5EF4-FFF2-40B4-BE49-F238E27FC236}">
              <a16:creationId xmlns:a16="http://schemas.microsoft.com/office/drawing/2014/main" id="{CE05A233-993A-DBEC-3BAF-1803439D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5" name="Picture 359">
          <a:extLst>
            <a:ext uri="{FF2B5EF4-FFF2-40B4-BE49-F238E27FC236}">
              <a16:creationId xmlns:a16="http://schemas.microsoft.com/office/drawing/2014/main" id="{D6D61E10-9889-D02A-EFA5-D18618CE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6" name="Picture 360">
          <a:extLst>
            <a:ext uri="{FF2B5EF4-FFF2-40B4-BE49-F238E27FC236}">
              <a16:creationId xmlns:a16="http://schemas.microsoft.com/office/drawing/2014/main" id="{D9098D65-0C8A-4AB3-9EFC-2EB6391C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7" name="Picture 361">
          <a:extLst>
            <a:ext uri="{FF2B5EF4-FFF2-40B4-BE49-F238E27FC236}">
              <a16:creationId xmlns:a16="http://schemas.microsoft.com/office/drawing/2014/main" id="{FCCC12A8-B994-3750-3CF5-77BF89F3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8" name="Picture 362">
          <a:extLst>
            <a:ext uri="{FF2B5EF4-FFF2-40B4-BE49-F238E27FC236}">
              <a16:creationId xmlns:a16="http://schemas.microsoft.com/office/drawing/2014/main" id="{492F0B60-4431-274C-C6E3-4EFB41BE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9" name="Picture 363">
          <a:extLst>
            <a:ext uri="{FF2B5EF4-FFF2-40B4-BE49-F238E27FC236}">
              <a16:creationId xmlns:a16="http://schemas.microsoft.com/office/drawing/2014/main" id="{BA3FBCB8-632A-267E-5B62-0EE66182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0" name="Picture 364">
          <a:extLst>
            <a:ext uri="{FF2B5EF4-FFF2-40B4-BE49-F238E27FC236}">
              <a16:creationId xmlns:a16="http://schemas.microsoft.com/office/drawing/2014/main" id="{580D9DAD-E300-F1FE-6D45-A6D9365B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1" name="Picture 365">
          <a:extLst>
            <a:ext uri="{FF2B5EF4-FFF2-40B4-BE49-F238E27FC236}">
              <a16:creationId xmlns:a16="http://schemas.microsoft.com/office/drawing/2014/main" id="{54A6E67B-A998-40E8-5223-069AE7ED2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2" name="Picture 366">
          <a:extLst>
            <a:ext uri="{FF2B5EF4-FFF2-40B4-BE49-F238E27FC236}">
              <a16:creationId xmlns:a16="http://schemas.microsoft.com/office/drawing/2014/main" id="{27A43A4A-36A3-CC12-3276-A04B8F33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3" name="Picture 367">
          <a:extLst>
            <a:ext uri="{FF2B5EF4-FFF2-40B4-BE49-F238E27FC236}">
              <a16:creationId xmlns:a16="http://schemas.microsoft.com/office/drawing/2014/main" id="{33568D18-8F95-7E8D-A862-B6F56D63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4" name="Picture 368">
          <a:extLst>
            <a:ext uri="{FF2B5EF4-FFF2-40B4-BE49-F238E27FC236}">
              <a16:creationId xmlns:a16="http://schemas.microsoft.com/office/drawing/2014/main" id="{962F01AA-B467-52E9-5C69-1FE40DCC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5" name="Picture 369">
          <a:extLst>
            <a:ext uri="{FF2B5EF4-FFF2-40B4-BE49-F238E27FC236}">
              <a16:creationId xmlns:a16="http://schemas.microsoft.com/office/drawing/2014/main" id="{2AD82DA7-F595-5599-4693-28FB28AA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6" name="Picture 370">
          <a:extLst>
            <a:ext uri="{FF2B5EF4-FFF2-40B4-BE49-F238E27FC236}">
              <a16:creationId xmlns:a16="http://schemas.microsoft.com/office/drawing/2014/main" id="{77DF7E31-52D1-FDEE-FDA8-BCBC331C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7" name="Picture 371">
          <a:extLst>
            <a:ext uri="{FF2B5EF4-FFF2-40B4-BE49-F238E27FC236}">
              <a16:creationId xmlns:a16="http://schemas.microsoft.com/office/drawing/2014/main" id="{A24D6039-42A8-61C2-B9DA-88A03C40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8" name="Picture 372">
          <a:extLst>
            <a:ext uri="{FF2B5EF4-FFF2-40B4-BE49-F238E27FC236}">
              <a16:creationId xmlns:a16="http://schemas.microsoft.com/office/drawing/2014/main" id="{0E69F274-0400-11E4-7B4E-7076E84E7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9" name="Picture 373">
          <a:extLst>
            <a:ext uri="{FF2B5EF4-FFF2-40B4-BE49-F238E27FC236}">
              <a16:creationId xmlns:a16="http://schemas.microsoft.com/office/drawing/2014/main" id="{C9A9E846-A6C5-6D22-66EE-3D69B495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0" name="Picture 374">
          <a:extLst>
            <a:ext uri="{FF2B5EF4-FFF2-40B4-BE49-F238E27FC236}">
              <a16:creationId xmlns:a16="http://schemas.microsoft.com/office/drawing/2014/main" id="{7BB1DEB0-BD4E-9054-26A8-28721FB2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1" name="Picture 375">
          <a:extLst>
            <a:ext uri="{FF2B5EF4-FFF2-40B4-BE49-F238E27FC236}">
              <a16:creationId xmlns:a16="http://schemas.microsoft.com/office/drawing/2014/main" id="{01E237E7-9C99-F2F8-9395-904A7EDF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2" name="Picture 376">
          <a:extLst>
            <a:ext uri="{FF2B5EF4-FFF2-40B4-BE49-F238E27FC236}">
              <a16:creationId xmlns:a16="http://schemas.microsoft.com/office/drawing/2014/main" id="{657D9458-5091-C166-AA50-E5D639A80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3" name="Picture 377">
          <a:extLst>
            <a:ext uri="{FF2B5EF4-FFF2-40B4-BE49-F238E27FC236}">
              <a16:creationId xmlns:a16="http://schemas.microsoft.com/office/drawing/2014/main" id="{9B5B7C45-3A1E-E78F-54DE-DA699F75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4" name="Picture 378">
          <a:extLst>
            <a:ext uri="{FF2B5EF4-FFF2-40B4-BE49-F238E27FC236}">
              <a16:creationId xmlns:a16="http://schemas.microsoft.com/office/drawing/2014/main" id="{5578124B-57C3-C00B-39E7-F5D362B0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5" name="Picture 379">
          <a:extLst>
            <a:ext uri="{FF2B5EF4-FFF2-40B4-BE49-F238E27FC236}">
              <a16:creationId xmlns:a16="http://schemas.microsoft.com/office/drawing/2014/main" id="{E41363B1-6813-3544-DBB4-D3E0982C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6" name="Picture 380">
          <a:extLst>
            <a:ext uri="{FF2B5EF4-FFF2-40B4-BE49-F238E27FC236}">
              <a16:creationId xmlns:a16="http://schemas.microsoft.com/office/drawing/2014/main" id="{D3C6E018-4ED8-B408-7601-4000F9BD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7" name="Picture 381">
          <a:extLst>
            <a:ext uri="{FF2B5EF4-FFF2-40B4-BE49-F238E27FC236}">
              <a16:creationId xmlns:a16="http://schemas.microsoft.com/office/drawing/2014/main" id="{5282A9FC-2253-4E23-47B4-5479968F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8" name="Picture 382">
          <a:extLst>
            <a:ext uri="{FF2B5EF4-FFF2-40B4-BE49-F238E27FC236}">
              <a16:creationId xmlns:a16="http://schemas.microsoft.com/office/drawing/2014/main" id="{C39D2922-68B8-A261-76A0-12837847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9" name="Picture 383">
          <a:extLst>
            <a:ext uri="{FF2B5EF4-FFF2-40B4-BE49-F238E27FC236}">
              <a16:creationId xmlns:a16="http://schemas.microsoft.com/office/drawing/2014/main" id="{EBBBBA71-2BBE-F5B4-3D0D-72EE477AE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0" name="Picture 384">
          <a:extLst>
            <a:ext uri="{FF2B5EF4-FFF2-40B4-BE49-F238E27FC236}">
              <a16:creationId xmlns:a16="http://schemas.microsoft.com/office/drawing/2014/main" id="{1F746DF5-84F5-BFE7-5D19-C912BFB3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1" name="Picture 385">
          <a:extLst>
            <a:ext uri="{FF2B5EF4-FFF2-40B4-BE49-F238E27FC236}">
              <a16:creationId xmlns:a16="http://schemas.microsoft.com/office/drawing/2014/main" id="{8C2D9F65-1584-9E4F-0EDF-24146872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2" name="Picture 386">
          <a:extLst>
            <a:ext uri="{FF2B5EF4-FFF2-40B4-BE49-F238E27FC236}">
              <a16:creationId xmlns:a16="http://schemas.microsoft.com/office/drawing/2014/main" id="{6E1BA7E3-6DDF-B986-65C2-C8CF55D0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3" name="Picture 387">
          <a:extLst>
            <a:ext uri="{FF2B5EF4-FFF2-40B4-BE49-F238E27FC236}">
              <a16:creationId xmlns:a16="http://schemas.microsoft.com/office/drawing/2014/main" id="{40B993E3-E171-8E17-6B0D-9F4AA510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4" name="Picture 388">
          <a:extLst>
            <a:ext uri="{FF2B5EF4-FFF2-40B4-BE49-F238E27FC236}">
              <a16:creationId xmlns:a16="http://schemas.microsoft.com/office/drawing/2014/main" id="{A2C3AE28-0A56-1127-9E3C-B8BD1A6B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5" name="Picture 389">
          <a:extLst>
            <a:ext uri="{FF2B5EF4-FFF2-40B4-BE49-F238E27FC236}">
              <a16:creationId xmlns:a16="http://schemas.microsoft.com/office/drawing/2014/main" id="{5E38FAD8-3B95-F9DA-70F6-8D980D16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6" name="Picture 390">
          <a:extLst>
            <a:ext uri="{FF2B5EF4-FFF2-40B4-BE49-F238E27FC236}">
              <a16:creationId xmlns:a16="http://schemas.microsoft.com/office/drawing/2014/main" id="{694B1303-8B66-C05E-84C2-31C14046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7" name="Picture 391">
          <a:extLst>
            <a:ext uri="{FF2B5EF4-FFF2-40B4-BE49-F238E27FC236}">
              <a16:creationId xmlns:a16="http://schemas.microsoft.com/office/drawing/2014/main" id="{FB7CE686-44ED-E923-ECF3-4F1BA9B7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8" name="Picture 392">
          <a:extLst>
            <a:ext uri="{FF2B5EF4-FFF2-40B4-BE49-F238E27FC236}">
              <a16:creationId xmlns:a16="http://schemas.microsoft.com/office/drawing/2014/main" id="{9695FE22-1F36-6667-1E89-996B9D4D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9" name="Picture 393">
          <a:extLst>
            <a:ext uri="{FF2B5EF4-FFF2-40B4-BE49-F238E27FC236}">
              <a16:creationId xmlns:a16="http://schemas.microsoft.com/office/drawing/2014/main" id="{4D8978B9-4B29-2A61-6B24-8AE5DECC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0" name="Picture 394">
          <a:extLst>
            <a:ext uri="{FF2B5EF4-FFF2-40B4-BE49-F238E27FC236}">
              <a16:creationId xmlns:a16="http://schemas.microsoft.com/office/drawing/2014/main" id="{905DA469-091B-290F-A1FE-D70657DC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1" name="Picture 395">
          <a:extLst>
            <a:ext uri="{FF2B5EF4-FFF2-40B4-BE49-F238E27FC236}">
              <a16:creationId xmlns:a16="http://schemas.microsoft.com/office/drawing/2014/main" id="{36C70BE8-1489-A8DF-422E-94EA31DF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2" name="Picture 396">
          <a:extLst>
            <a:ext uri="{FF2B5EF4-FFF2-40B4-BE49-F238E27FC236}">
              <a16:creationId xmlns:a16="http://schemas.microsoft.com/office/drawing/2014/main" id="{43CD2A1E-9CC1-4267-5870-BA27959B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3" name="Picture 397">
          <a:extLst>
            <a:ext uri="{FF2B5EF4-FFF2-40B4-BE49-F238E27FC236}">
              <a16:creationId xmlns:a16="http://schemas.microsoft.com/office/drawing/2014/main" id="{244A393C-F5F1-416D-23D7-CC0F9185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4" name="Picture 398">
          <a:extLst>
            <a:ext uri="{FF2B5EF4-FFF2-40B4-BE49-F238E27FC236}">
              <a16:creationId xmlns:a16="http://schemas.microsoft.com/office/drawing/2014/main" id="{E5FCC3D5-6889-2AAC-6BDD-5B569A00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5" name="Picture 399">
          <a:extLst>
            <a:ext uri="{FF2B5EF4-FFF2-40B4-BE49-F238E27FC236}">
              <a16:creationId xmlns:a16="http://schemas.microsoft.com/office/drawing/2014/main" id="{D99425DA-5D19-D207-4E66-402F0A85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6" name="Picture 400">
          <a:extLst>
            <a:ext uri="{FF2B5EF4-FFF2-40B4-BE49-F238E27FC236}">
              <a16:creationId xmlns:a16="http://schemas.microsoft.com/office/drawing/2014/main" id="{1EE225D9-26B4-4271-5E79-9ECAABDC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7" name="Picture 401">
          <a:extLst>
            <a:ext uri="{FF2B5EF4-FFF2-40B4-BE49-F238E27FC236}">
              <a16:creationId xmlns:a16="http://schemas.microsoft.com/office/drawing/2014/main" id="{C9779EBB-F57D-29EC-4BE0-C8A5C0FA5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8" name="Picture 402">
          <a:extLst>
            <a:ext uri="{FF2B5EF4-FFF2-40B4-BE49-F238E27FC236}">
              <a16:creationId xmlns:a16="http://schemas.microsoft.com/office/drawing/2014/main" id="{9EE644C4-6C55-2A4C-1310-6AD168A0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9" name="Picture 403">
          <a:extLst>
            <a:ext uri="{FF2B5EF4-FFF2-40B4-BE49-F238E27FC236}">
              <a16:creationId xmlns:a16="http://schemas.microsoft.com/office/drawing/2014/main" id="{BA6A14B9-7846-F2F9-6478-247316E4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0" name="Picture 404">
          <a:extLst>
            <a:ext uri="{FF2B5EF4-FFF2-40B4-BE49-F238E27FC236}">
              <a16:creationId xmlns:a16="http://schemas.microsoft.com/office/drawing/2014/main" id="{A6CA6DD6-6F4C-B70F-56E6-1FE759EE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1" name="Picture 405">
          <a:extLst>
            <a:ext uri="{FF2B5EF4-FFF2-40B4-BE49-F238E27FC236}">
              <a16:creationId xmlns:a16="http://schemas.microsoft.com/office/drawing/2014/main" id="{81966473-C2E8-9975-3EE6-DCB6C7CD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2" name="Picture 406">
          <a:extLst>
            <a:ext uri="{FF2B5EF4-FFF2-40B4-BE49-F238E27FC236}">
              <a16:creationId xmlns:a16="http://schemas.microsoft.com/office/drawing/2014/main" id="{2F75297D-BEEC-B618-C952-69688654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3" name="Picture 407">
          <a:extLst>
            <a:ext uri="{FF2B5EF4-FFF2-40B4-BE49-F238E27FC236}">
              <a16:creationId xmlns:a16="http://schemas.microsoft.com/office/drawing/2014/main" id="{A18D4828-B80D-CEBC-48FE-3A8423A7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4" name="Picture 408">
          <a:extLst>
            <a:ext uri="{FF2B5EF4-FFF2-40B4-BE49-F238E27FC236}">
              <a16:creationId xmlns:a16="http://schemas.microsoft.com/office/drawing/2014/main" id="{5781CB4B-A3D2-632A-C243-9BE5F3FE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5" name="Picture 409">
          <a:extLst>
            <a:ext uri="{FF2B5EF4-FFF2-40B4-BE49-F238E27FC236}">
              <a16:creationId xmlns:a16="http://schemas.microsoft.com/office/drawing/2014/main" id="{E721ED4D-C140-51E0-9296-F78188BF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6" name="Picture 410">
          <a:extLst>
            <a:ext uri="{FF2B5EF4-FFF2-40B4-BE49-F238E27FC236}">
              <a16:creationId xmlns:a16="http://schemas.microsoft.com/office/drawing/2014/main" id="{2156A391-35B3-9577-D3CA-21276E45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7" name="Picture 411">
          <a:extLst>
            <a:ext uri="{FF2B5EF4-FFF2-40B4-BE49-F238E27FC236}">
              <a16:creationId xmlns:a16="http://schemas.microsoft.com/office/drawing/2014/main" id="{65FF9A32-C075-0677-E3ED-3F270CE7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8" name="Picture 412">
          <a:extLst>
            <a:ext uri="{FF2B5EF4-FFF2-40B4-BE49-F238E27FC236}">
              <a16:creationId xmlns:a16="http://schemas.microsoft.com/office/drawing/2014/main" id="{AA649536-0C48-2D68-72FA-AD701778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9" name="Picture 413">
          <a:extLst>
            <a:ext uri="{FF2B5EF4-FFF2-40B4-BE49-F238E27FC236}">
              <a16:creationId xmlns:a16="http://schemas.microsoft.com/office/drawing/2014/main" id="{46406BF1-2AA6-4F87-93AD-F72D0C82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0" name="Picture 414">
          <a:extLst>
            <a:ext uri="{FF2B5EF4-FFF2-40B4-BE49-F238E27FC236}">
              <a16:creationId xmlns:a16="http://schemas.microsoft.com/office/drawing/2014/main" id="{AFD97577-AB03-01A4-9004-519DA15F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1" name="Picture 415">
          <a:extLst>
            <a:ext uri="{FF2B5EF4-FFF2-40B4-BE49-F238E27FC236}">
              <a16:creationId xmlns:a16="http://schemas.microsoft.com/office/drawing/2014/main" id="{E09FECDD-A07E-8950-82E9-6F7E36BB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2" name="Picture 416">
          <a:extLst>
            <a:ext uri="{FF2B5EF4-FFF2-40B4-BE49-F238E27FC236}">
              <a16:creationId xmlns:a16="http://schemas.microsoft.com/office/drawing/2014/main" id="{8ECDFE51-124A-20BF-560D-7B57F1F9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3" name="Picture 417">
          <a:extLst>
            <a:ext uri="{FF2B5EF4-FFF2-40B4-BE49-F238E27FC236}">
              <a16:creationId xmlns:a16="http://schemas.microsoft.com/office/drawing/2014/main" id="{D16CE6ED-F1A5-FB88-8B21-8D1C7CED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4" name="Picture 418">
          <a:extLst>
            <a:ext uri="{FF2B5EF4-FFF2-40B4-BE49-F238E27FC236}">
              <a16:creationId xmlns:a16="http://schemas.microsoft.com/office/drawing/2014/main" id="{874F2341-2C12-5AFF-F045-12E9EE95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5" name="Picture 419">
          <a:extLst>
            <a:ext uri="{FF2B5EF4-FFF2-40B4-BE49-F238E27FC236}">
              <a16:creationId xmlns:a16="http://schemas.microsoft.com/office/drawing/2014/main" id="{FA81BE1F-BA99-7516-CE3E-06B2ED84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6" name="Picture 420">
          <a:extLst>
            <a:ext uri="{FF2B5EF4-FFF2-40B4-BE49-F238E27FC236}">
              <a16:creationId xmlns:a16="http://schemas.microsoft.com/office/drawing/2014/main" id="{B5CEC4EE-E80F-3AE2-8D91-BDE3CDDB1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7" name="Picture 421">
          <a:extLst>
            <a:ext uri="{FF2B5EF4-FFF2-40B4-BE49-F238E27FC236}">
              <a16:creationId xmlns:a16="http://schemas.microsoft.com/office/drawing/2014/main" id="{65F72572-B3F0-0144-9559-062E17E75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8" name="Picture 422">
          <a:extLst>
            <a:ext uri="{FF2B5EF4-FFF2-40B4-BE49-F238E27FC236}">
              <a16:creationId xmlns:a16="http://schemas.microsoft.com/office/drawing/2014/main" id="{F1D15C4C-1F1A-CA2A-0DB3-7511B576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9" name="Picture 423">
          <a:extLst>
            <a:ext uri="{FF2B5EF4-FFF2-40B4-BE49-F238E27FC236}">
              <a16:creationId xmlns:a16="http://schemas.microsoft.com/office/drawing/2014/main" id="{EFE3DD58-3395-C553-0940-05D302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0" name="Picture 424">
          <a:extLst>
            <a:ext uri="{FF2B5EF4-FFF2-40B4-BE49-F238E27FC236}">
              <a16:creationId xmlns:a16="http://schemas.microsoft.com/office/drawing/2014/main" id="{CD0B31F7-F639-7C5E-AD3B-854A5A2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1" name="Picture 425">
          <a:extLst>
            <a:ext uri="{FF2B5EF4-FFF2-40B4-BE49-F238E27FC236}">
              <a16:creationId xmlns:a16="http://schemas.microsoft.com/office/drawing/2014/main" id="{BF03125E-5EEF-5BFB-0AC2-113FB76B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2" name="Picture 426">
          <a:extLst>
            <a:ext uri="{FF2B5EF4-FFF2-40B4-BE49-F238E27FC236}">
              <a16:creationId xmlns:a16="http://schemas.microsoft.com/office/drawing/2014/main" id="{4C50D086-565E-AC0C-EA9E-42B7D9AA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3" name="Picture 427">
          <a:extLst>
            <a:ext uri="{FF2B5EF4-FFF2-40B4-BE49-F238E27FC236}">
              <a16:creationId xmlns:a16="http://schemas.microsoft.com/office/drawing/2014/main" id="{9DCB263A-D722-48B8-7F63-635D6007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4" name="Picture 428">
          <a:extLst>
            <a:ext uri="{FF2B5EF4-FFF2-40B4-BE49-F238E27FC236}">
              <a16:creationId xmlns:a16="http://schemas.microsoft.com/office/drawing/2014/main" id="{06F1F163-D713-4A1C-FD5F-F3144F0F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5" name="Picture 429">
          <a:extLst>
            <a:ext uri="{FF2B5EF4-FFF2-40B4-BE49-F238E27FC236}">
              <a16:creationId xmlns:a16="http://schemas.microsoft.com/office/drawing/2014/main" id="{FBD92286-9F05-43E5-D473-CE351A80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6" name="Picture 430">
          <a:extLst>
            <a:ext uri="{FF2B5EF4-FFF2-40B4-BE49-F238E27FC236}">
              <a16:creationId xmlns:a16="http://schemas.microsoft.com/office/drawing/2014/main" id="{07EB9652-575A-6DD6-17EB-06520733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7" name="Picture 431">
          <a:extLst>
            <a:ext uri="{FF2B5EF4-FFF2-40B4-BE49-F238E27FC236}">
              <a16:creationId xmlns:a16="http://schemas.microsoft.com/office/drawing/2014/main" id="{4F53F9D9-F743-F27F-19FE-671CE992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8" name="Picture 432">
          <a:extLst>
            <a:ext uri="{FF2B5EF4-FFF2-40B4-BE49-F238E27FC236}">
              <a16:creationId xmlns:a16="http://schemas.microsoft.com/office/drawing/2014/main" id="{0CCFB67A-64A9-810D-D27B-254DCFB4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9" name="Picture 433">
          <a:extLst>
            <a:ext uri="{FF2B5EF4-FFF2-40B4-BE49-F238E27FC236}">
              <a16:creationId xmlns:a16="http://schemas.microsoft.com/office/drawing/2014/main" id="{CCF49B57-8807-DDAA-9E1C-5CB57946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0" name="Picture 434">
          <a:extLst>
            <a:ext uri="{FF2B5EF4-FFF2-40B4-BE49-F238E27FC236}">
              <a16:creationId xmlns:a16="http://schemas.microsoft.com/office/drawing/2014/main" id="{D348794C-BD83-1D63-43EF-BDEEB95B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1" name="Picture 435">
          <a:extLst>
            <a:ext uri="{FF2B5EF4-FFF2-40B4-BE49-F238E27FC236}">
              <a16:creationId xmlns:a16="http://schemas.microsoft.com/office/drawing/2014/main" id="{07F706A0-7163-5F2B-E54A-0CDB3329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2" name="Picture 436">
          <a:extLst>
            <a:ext uri="{FF2B5EF4-FFF2-40B4-BE49-F238E27FC236}">
              <a16:creationId xmlns:a16="http://schemas.microsoft.com/office/drawing/2014/main" id="{8531277D-F560-FE9D-58B4-24B8D6AB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3" name="Picture 437">
          <a:extLst>
            <a:ext uri="{FF2B5EF4-FFF2-40B4-BE49-F238E27FC236}">
              <a16:creationId xmlns:a16="http://schemas.microsoft.com/office/drawing/2014/main" id="{58F44499-5BF7-63B7-02D7-6A13D05B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4" name="Picture 438">
          <a:extLst>
            <a:ext uri="{FF2B5EF4-FFF2-40B4-BE49-F238E27FC236}">
              <a16:creationId xmlns:a16="http://schemas.microsoft.com/office/drawing/2014/main" id="{BD1DE5A3-C444-BE16-9022-BE65EC5B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5" name="Picture 439">
          <a:extLst>
            <a:ext uri="{FF2B5EF4-FFF2-40B4-BE49-F238E27FC236}">
              <a16:creationId xmlns:a16="http://schemas.microsoft.com/office/drawing/2014/main" id="{11016BA1-B83D-DCFD-1B20-D255AAB9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6" name="Picture 440">
          <a:extLst>
            <a:ext uri="{FF2B5EF4-FFF2-40B4-BE49-F238E27FC236}">
              <a16:creationId xmlns:a16="http://schemas.microsoft.com/office/drawing/2014/main" id="{5DCDD940-C776-7CD2-1394-7BC4286B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7" name="Picture 441">
          <a:extLst>
            <a:ext uri="{FF2B5EF4-FFF2-40B4-BE49-F238E27FC236}">
              <a16:creationId xmlns:a16="http://schemas.microsoft.com/office/drawing/2014/main" id="{2713D31F-36A3-FF78-2317-6278E54A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8" name="Picture 442">
          <a:extLst>
            <a:ext uri="{FF2B5EF4-FFF2-40B4-BE49-F238E27FC236}">
              <a16:creationId xmlns:a16="http://schemas.microsoft.com/office/drawing/2014/main" id="{B4F9F9A8-1BFA-D636-6F7F-381480AD9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9" name="Picture 443">
          <a:extLst>
            <a:ext uri="{FF2B5EF4-FFF2-40B4-BE49-F238E27FC236}">
              <a16:creationId xmlns:a16="http://schemas.microsoft.com/office/drawing/2014/main" id="{ACD4D124-CBE3-5706-EE3F-C94EC7B68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0" name="Picture 444">
          <a:extLst>
            <a:ext uri="{FF2B5EF4-FFF2-40B4-BE49-F238E27FC236}">
              <a16:creationId xmlns:a16="http://schemas.microsoft.com/office/drawing/2014/main" id="{5F7EC4C3-9024-C83B-7FF6-764C732A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1" name="Picture 445">
          <a:extLst>
            <a:ext uri="{FF2B5EF4-FFF2-40B4-BE49-F238E27FC236}">
              <a16:creationId xmlns:a16="http://schemas.microsoft.com/office/drawing/2014/main" id="{EE966AEE-36D3-4BF5-42C3-7635C6EB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2" name="Picture 446">
          <a:extLst>
            <a:ext uri="{FF2B5EF4-FFF2-40B4-BE49-F238E27FC236}">
              <a16:creationId xmlns:a16="http://schemas.microsoft.com/office/drawing/2014/main" id="{252030B8-0CCE-8AFA-38E5-8A3AE3C3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3" name="Picture 447">
          <a:extLst>
            <a:ext uri="{FF2B5EF4-FFF2-40B4-BE49-F238E27FC236}">
              <a16:creationId xmlns:a16="http://schemas.microsoft.com/office/drawing/2014/main" id="{6BBF7BAC-EF65-B724-F910-F4F5E196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4" name="Picture 448">
          <a:extLst>
            <a:ext uri="{FF2B5EF4-FFF2-40B4-BE49-F238E27FC236}">
              <a16:creationId xmlns:a16="http://schemas.microsoft.com/office/drawing/2014/main" id="{AD30E55B-B2F9-8487-8783-B4017597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5" name="Picture 449">
          <a:extLst>
            <a:ext uri="{FF2B5EF4-FFF2-40B4-BE49-F238E27FC236}">
              <a16:creationId xmlns:a16="http://schemas.microsoft.com/office/drawing/2014/main" id="{C0899F58-A8E1-4B3B-4187-18AAEE57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6" name="Picture 450">
          <a:extLst>
            <a:ext uri="{FF2B5EF4-FFF2-40B4-BE49-F238E27FC236}">
              <a16:creationId xmlns:a16="http://schemas.microsoft.com/office/drawing/2014/main" id="{D58D3639-F9E9-60BC-0D71-7989CCD0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7" name="Picture 451">
          <a:extLst>
            <a:ext uri="{FF2B5EF4-FFF2-40B4-BE49-F238E27FC236}">
              <a16:creationId xmlns:a16="http://schemas.microsoft.com/office/drawing/2014/main" id="{4A9CDD93-9AF4-9D4F-7E5D-2345EEC74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8" name="Picture 452">
          <a:extLst>
            <a:ext uri="{FF2B5EF4-FFF2-40B4-BE49-F238E27FC236}">
              <a16:creationId xmlns:a16="http://schemas.microsoft.com/office/drawing/2014/main" id="{1F09C1E8-949C-EAC7-114F-B57A65A3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9" name="Picture 453">
          <a:extLst>
            <a:ext uri="{FF2B5EF4-FFF2-40B4-BE49-F238E27FC236}">
              <a16:creationId xmlns:a16="http://schemas.microsoft.com/office/drawing/2014/main" id="{A05F9CAD-C62A-817B-3AD0-634DE9A2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0" name="Picture 454">
          <a:extLst>
            <a:ext uri="{FF2B5EF4-FFF2-40B4-BE49-F238E27FC236}">
              <a16:creationId xmlns:a16="http://schemas.microsoft.com/office/drawing/2014/main" id="{01153FE3-1B06-92B3-ABF8-F32803DE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1" name="Picture 455">
          <a:extLst>
            <a:ext uri="{FF2B5EF4-FFF2-40B4-BE49-F238E27FC236}">
              <a16:creationId xmlns:a16="http://schemas.microsoft.com/office/drawing/2014/main" id="{DAC0E963-559E-6467-2F86-66C489D7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2" name="Picture 456">
          <a:extLst>
            <a:ext uri="{FF2B5EF4-FFF2-40B4-BE49-F238E27FC236}">
              <a16:creationId xmlns:a16="http://schemas.microsoft.com/office/drawing/2014/main" id="{70F5607A-0347-40AE-2295-BA689B55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3" name="Picture 457">
          <a:extLst>
            <a:ext uri="{FF2B5EF4-FFF2-40B4-BE49-F238E27FC236}">
              <a16:creationId xmlns:a16="http://schemas.microsoft.com/office/drawing/2014/main" id="{60D55C66-D7C3-22F5-485C-2C8E3C0C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4" name="Picture 458">
          <a:extLst>
            <a:ext uri="{FF2B5EF4-FFF2-40B4-BE49-F238E27FC236}">
              <a16:creationId xmlns:a16="http://schemas.microsoft.com/office/drawing/2014/main" id="{2C428191-2B53-EF35-7759-3CA9838A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5" name="Picture 459">
          <a:extLst>
            <a:ext uri="{FF2B5EF4-FFF2-40B4-BE49-F238E27FC236}">
              <a16:creationId xmlns:a16="http://schemas.microsoft.com/office/drawing/2014/main" id="{259F6AAC-221D-E2A1-DC6B-0E148AB11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6" name="Picture 460">
          <a:extLst>
            <a:ext uri="{FF2B5EF4-FFF2-40B4-BE49-F238E27FC236}">
              <a16:creationId xmlns:a16="http://schemas.microsoft.com/office/drawing/2014/main" id="{801E7EF7-7C0B-66B7-2C83-6F13015A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7" name="Picture 461">
          <a:extLst>
            <a:ext uri="{FF2B5EF4-FFF2-40B4-BE49-F238E27FC236}">
              <a16:creationId xmlns:a16="http://schemas.microsoft.com/office/drawing/2014/main" id="{1EBCE90D-77B6-4700-12FB-A2132A18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8" name="Picture 462">
          <a:extLst>
            <a:ext uri="{FF2B5EF4-FFF2-40B4-BE49-F238E27FC236}">
              <a16:creationId xmlns:a16="http://schemas.microsoft.com/office/drawing/2014/main" id="{8E9ACB84-5B68-C7B9-0F83-713CE4A4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9" name="Picture 463">
          <a:extLst>
            <a:ext uri="{FF2B5EF4-FFF2-40B4-BE49-F238E27FC236}">
              <a16:creationId xmlns:a16="http://schemas.microsoft.com/office/drawing/2014/main" id="{9B9472B4-ED82-7A42-A24E-0EDFDADD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0" name="Picture 464">
          <a:extLst>
            <a:ext uri="{FF2B5EF4-FFF2-40B4-BE49-F238E27FC236}">
              <a16:creationId xmlns:a16="http://schemas.microsoft.com/office/drawing/2014/main" id="{0D6AE9FD-48AD-BD03-A2C5-C83D10D3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1" name="Picture 465">
          <a:extLst>
            <a:ext uri="{FF2B5EF4-FFF2-40B4-BE49-F238E27FC236}">
              <a16:creationId xmlns:a16="http://schemas.microsoft.com/office/drawing/2014/main" id="{4D0A0849-5952-D6C7-CCBD-39DACE75D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2" name="Picture 466">
          <a:extLst>
            <a:ext uri="{FF2B5EF4-FFF2-40B4-BE49-F238E27FC236}">
              <a16:creationId xmlns:a16="http://schemas.microsoft.com/office/drawing/2014/main" id="{74DBA1A1-0BEB-6794-45A0-081806CC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3" name="Picture 467">
          <a:extLst>
            <a:ext uri="{FF2B5EF4-FFF2-40B4-BE49-F238E27FC236}">
              <a16:creationId xmlns:a16="http://schemas.microsoft.com/office/drawing/2014/main" id="{E1BD2896-409B-5B2A-F8E6-EE6E8596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4" name="Picture 468">
          <a:extLst>
            <a:ext uri="{FF2B5EF4-FFF2-40B4-BE49-F238E27FC236}">
              <a16:creationId xmlns:a16="http://schemas.microsoft.com/office/drawing/2014/main" id="{6A527E5F-083D-08D2-BB42-A8F0DA41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5" name="Picture 469">
          <a:extLst>
            <a:ext uri="{FF2B5EF4-FFF2-40B4-BE49-F238E27FC236}">
              <a16:creationId xmlns:a16="http://schemas.microsoft.com/office/drawing/2014/main" id="{40D61695-4E98-EB53-CBA5-87D2C153A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6" name="Picture 470">
          <a:extLst>
            <a:ext uri="{FF2B5EF4-FFF2-40B4-BE49-F238E27FC236}">
              <a16:creationId xmlns:a16="http://schemas.microsoft.com/office/drawing/2014/main" id="{27D0CCFF-81A7-E4E6-046B-AA9F1AD2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7" name="Picture 471">
          <a:extLst>
            <a:ext uri="{FF2B5EF4-FFF2-40B4-BE49-F238E27FC236}">
              <a16:creationId xmlns:a16="http://schemas.microsoft.com/office/drawing/2014/main" id="{7D1EAD11-607D-39E3-5061-C0DF8D73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8" name="Picture 472">
          <a:extLst>
            <a:ext uri="{FF2B5EF4-FFF2-40B4-BE49-F238E27FC236}">
              <a16:creationId xmlns:a16="http://schemas.microsoft.com/office/drawing/2014/main" id="{F91AC8D0-A4D8-3020-DB86-69F9D7D1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9" name="Picture 473">
          <a:extLst>
            <a:ext uri="{FF2B5EF4-FFF2-40B4-BE49-F238E27FC236}">
              <a16:creationId xmlns:a16="http://schemas.microsoft.com/office/drawing/2014/main" id="{911053BD-6DDB-49B3-E82A-51FB2764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0" name="Picture 474">
          <a:extLst>
            <a:ext uri="{FF2B5EF4-FFF2-40B4-BE49-F238E27FC236}">
              <a16:creationId xmlns:a16="http://schemas.microsoft.com/office/drawing/2014/main" id="{5967ADD4-AFE9-1C63-AED4-D554498B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1" name="Picture 475">
          <a:extLst>
            <a:ext uri="{FF2B5EF4-FFF2-40B4-BE49-F238E27FC236}">
              <a16:creationId xmlns:a16="http://schemas.microsoft.com/office/drawing/2014/main" id="{D0C2A360-A542-B28F-4184-6C22371F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2" name="Picture 476">
          <a:extLst>
            <a:ext uri="{FF2B5EF4-FFF2-40B4-BE49-F238E27FC236}">
              <a16:creationId xmlns:a16="http://schemas.microsoft.com/office/drawing/2014/main" id="{22E5DF8E-07FC-77C1-5800-46ADD3F08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3" name="Picture 477">
          <a:extLst>
            <a:ext uri="{FF2B5EF4-FFF2-40B4-BE49-F238E27FC236}">
              <a16:creationId xmlns:a16="http://schemas.microsoft.com/office/drawing/2014/main" id="{25D4E63E-CA86-6FEB-1036-C236E8CF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4" name="Picture 478">
          <a:extLst>
            <a:ext uri="{FF2B5EF4-FFF2-40B4-BE49-F238E27FC236}">
              <a16:creationId xmlns:a16="http://schemas.microsoft.com/office/drawing/2014/main" id="{AEC1DAF2-B7A7-0088-A2FB-4FBFCB42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5" name="Picture 479">
          <a:extLst>
            <a:ext uri="{FF2B5EF4-FFF2-40B4-BE49-F238E27FC236}">
              <a16:creationId xmlns:a16="http://schemas.microsoft.com/office/drawing/2014/main" id="{C924D74C-D375-E62E-F896-C9E63831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6" name="Picture 480">
          <a:extLst>
            <a:ext uri="{FF2B5EF4-FFF2-40B4-BE49-F238E27FC236}">
              <a16:creationId xmlns:a16="http://schemas.microsoft.com/office/drawing/2014/main" id="{6D498E07-DED2-8D5A-5488-73ACE48D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7" name="Picture 481">
          <a:extLst>
            <a:ext uri="{FF2B5EF4-FFF2-40B4-BE49-F238E27FC236}">
              <a16:creationId xmlns:a16="http://schemas.microsoft.com/office/drawing/2014/main" id="{D4FAE2F5-8C29-9158-932A-9E10E504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8" name="Picture 482">
          <a:extLst>
            <a:ext uri="{FF2B5EF4-FFF2-40B4-BE49-F238E27FC236}">
              <a16:creationId xmlns:a16="http://schemas.microsoft.com/office/drawing/2014/main" id="{E8464B56-240A-B286-561A-8DF0E381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9" name="Picture 483">
          <a:extLst>
            <a:ext uri="{FF2B5EF4-FFF2-40B4-BE49-F238E27FC236}">
              <a16:creationId xmlns:a16="http://schemas.microsoft.com/office/drawing/2014/main" id="{E838210D-F421-789F-08F3-DDEDA03E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0" name="Picture 484">
          <a:extLst>
            <a:ext uri="{FF2B5EF4-FFF2-40B4-BE49-F238E27FC236}">
              <a16:creationId xmlns:a16="http://schemas.microsoft.com/office/drawing/2014/main" id="{F4B50EC4-EA29-5807-09FC-7A50E8FD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1" name="Picture 485">
          <a:extLst>
            <a:ext uri="{FF2B5EF4-FFF2-40B4-BE49-F238E27FC236}">
              <a16:creationId xmlns:a16="http://schemas.microsoft.com/office/drawing/2014/main" id="{144D3CB6-3ED4-07FD-4EBC-8771E16B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2" name="Picture 486">
          <a:extLst>
            <a:ext uri="{FF2B5EF4-FFF2-40B4-BE49-F238E27FC236}">
              <a16:creationId xmlns:a16="http://schemas.microsoft.com/office/drawing/2014/main" id="{00C3FB05-73EB-078A-6742-72536679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3" name="Picture 487">
          <a:extLst>
            <a:ext uri="{FF2B5EF4-FFF2-40B4-BE49-F238E27FC236}">
              <a16:creationId xmlns:a16="http://schemas.microsoft.com/office/drawing/2014/main" id="{B13B2C29-AA2A-A229-3B46-BD5FE90B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4" name="Picture 488">
          <a:extLst>
            <a:ext uri="{FF2B5EF4-FFF2-40B4-BE49-F238E27FC236}">
              <a16:creationId xmlns:a16="http://schemas.microsoft.com/office/drawing/2014/main" id="{C705EA92-CDCB-C65E-F9DF-01ED22CD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5" name="Picture 489">
          <a:extLst>
            <a:ext uri="{FF2B5EF4-FFF2-40B4-BE49-F238E27FC236}">
              <a16:creationId xmlns:a16="http://schemas.microsoft.com/office/drawing/2014/main" id="{B32306B4-FB2D-DC2C-DF86-D81726F2B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6" name="Picture 490">
          <a:extLst>
            <a:ext uri="{FF2B5EF4-FFF2-40B4-BE49-F238E27FC236}">
              <a16:creationId xmlns:a16="http://schemas.microsoft.com/office/drawing/2014/main" id="{94CA7FF3-AB45-1FD8-4225-BE3A2F78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7" name="Picture 491">
          <a:extLst>
            <a:ext uri="{FF2B5EF4-FFF2-40B4-BE49-F238E27FC236}">
              <a16:creationId xmlns:a16="http://schemas.microsoft.com/office/drawing/2014/main" id="{CF7D3620-0C9E-F723-F114-17F76977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8" name="Picture 492">
          <a:extLst>
            <a:ext uri="{FF2B5EF4-FFF2-40B4-BE49-F238E27FC236}">
              <a16:creationId xmlns:a16="http://schemas.microsoft.com/office/drawing/2014/main" id="{84E9E7BC-A6AC-373E-3EB5-2078C1E0F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9" name="Picture 493">
          <a:extLst>
            <a:ext uri="{FF2B5EF4-FFF2-40B4-BE49-F238E27FC236}">
              <a16:creationId xmlns:a16="http://schemas.microsoft.com/office/drawing/2014/main" id="{1F5688D2-BE48-846F-A1F6-A174C62F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0" name="Picture 494">
          <a:extLst>
            <a:ext uri="{FF2B5EF4-FFF2-40B4-BE49-F238E27FC236}">
              <a16:creationId xmlns:a16="http://schemas.microsoft.com/office/drawing/2014/main" id="{5D89148F-D1FE-59F4-CFBB-699A83B1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1" name="Picture 495">
          <a:extLst>
            <a:ext uri="{FF2B5EF4-FFF2-40B4-BE49-F238E27FC236}">
              <a16:creationId xmlns:a16="http://schemas.microsoft.com/office/drawing/2014/main" id="{004ADC14-9F74-A331-9CC1-41DB3A76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2" name="Picture 496">
          <a:extLst>
            <a:ext uri="{FF2B5EF4-FFF2-40B4-BE49-F238E27FC236}">
              <a16:creationId xmlns:a16="http://schemas.microsoft.com/office/drawing/2014/main" id="{C5E15F88-A0E9-07DE-D67E-0DB96A5B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3" name="Picture 497">
          <a:extLst>
            <a:ext uri="{FF2B5EF4-FFF2-40B4-BE49-F238E27FC236}">
              <a16:creationId xmlns:a16="http://schemas.microsoft.com/office/drawing/2014/main" id="{C1FDB4EB-CDF1-423E-3935-E87596DA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4" name="Picture 498">
          <a:extLst>
            <a:ext uri="{FF2B5EF4-FFF2-40B4-BE49-F238E27FC236}">
              <a16:creationId xmlns:a16="http://schemas.microsoft.com/office/drawing/2014/main" id="{6FD67319-988C-8E79-4088-9852ED72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5" name="Picture 499">
          <a:extLst>
            <a:ext uri="{FF2B5EF4-FFF2-40B4-BE49-F238E27FC236}">
              <a16:creationId xmlns:a16="http://schemas.microsoft.com/office/drawing/2014/main" id="{51DF0FDD-3E87-3179-80A9-E030AED8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6" name="Picture 500">
          <a:extLst>
            <a:ext uri="{FF2B5EF4-FFF2-40B4-BE49-F238E27FC236}">
              <a16:creationId xmlns:a16="http://schemas.microsoft.com/office/drawing/2014/main" id="{EC3DB791-8688-2C99-F1E3-96C3CD7F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7" name="Picture 501">
          <a:extLst>
            <a:ext uri="{FF2B5EF4-FFF2-40B4-BE49-F238E27FC236}">
              <a16:creationId xmlns:a16="http://schemas.microsoft.com/office/drawing/2014/main" id="{7E6ADDB1-5D2C-06FA-9EAD-7E7630D12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8" name="Picture 502">
          <a:extLst>
            <a:ext uri="{FF2B5EF4-FFF2-40B4-BE49-F238E27FC236}">
              <a16:creationId xmlns:a16="http://schemas.microsoft.com/office/drawing/2014/main" id="{A641A6F9-1590-4B40-59D0-EE2E3F62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9" name="Picture 503">
          <a:extLst>
            <a:ext uri="{FF2B5EF4-FFF2-40B4-BE49-F238E27FC236}">
              <a16:creationId xmlns:a16="http://schemas.microsoft.com/office/drawing/2014/main" id="{29F3D644-3027-2EE0-C6EE-F1685E5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0" name="Picture 504">
          <a:extLst>
            <a:ext uri="{FF2B5EF4-FFF2-40B4-BE49-F238E27FC236}">
              <a16:creationId xmlns:a16="http://schemas.microsoft.com/office/drawing/2014/main" id="{BAD6E27D-B2AF-0644-A4E0-DD3B7553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1" name="Picture 505">
          <a:extLst>
            <a:ext uri="{FF2B5EF4-FFF2-40B4-BE49-F238E27FC236}">
              <a16:creationId xmlns:a16="http://schemas.microsoft.com/office/drawing/2014/main" id="{8229F031-E6DD-221E-54DB-BF546DCC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2" name="Picture 506">
          <a:extLst>
            <a:ext uri="{FF2B5EF4-FFF2-40B4-BE49-F238E27FC236}">
              <a16:creationId xmlns:a16="http://schemas.microsoft.com/office/drawing/2014/main" id="{49DF725F-1280-294B-F4E9-6EED679D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3" name="Picture 507">
          <a:extLst>
            <a:ext uri="{FF2B5EF4-FFF2-40B4-BE49-F238E27FC236}">
              <a16:creationId xmlns:a16="http://schemas.microsoft.com/office/drawing/2014/main" id="{CC27FF2E-794A-82F4-155F-1F1E5E3C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4" name="Picture 508">
          <a:extLst>
            <a:ext uri="{FF2B5EF4-FFF2-40B4-BE49-F238E27FC236}">
              <a16:creationId xmlns:a16="http://schemas.microsoft.com/office/drawing/2014/main" id="{24F9414B-8997-78F4-6D73-9A6A72980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5" name="Picture 509">
          <a:extLst>
            <a:ext uri="{FF2B5EF4-FFF2-40B4-BE49-F238E27FC236}">
              <a16:creationId xmlns:a16="http://schemas.microsoft.com/office/drawing/2014/main" id="{57828E41-B08F-2917-A8F1-F39B0234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6" name="Picture 510">
          <a:extLst>
            <a:ext uri="{FF2B5EF4-FFF2-40B4-BE49-F238E27FC236}">
              <a16:creationId xmlns:a16="http://schemas.microsoft.com/office/drawing/2014/main" id="{6D4B1C26-BBB6-CFCE-1461-259CBA3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7" name="Picture 511">
          <a:extLst>
            <a:ext uri="{FF2B5EF4-FFF2-40B4-BE49-F238E27FC236}">
              <a16:creationId xmlns:a16="http://schemas.microsoft.com/office/drawing/2014/main" id="{6C7AB634-0FD4-58F9-B661-B6A0EB53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8" name="Picture 512">
          <a:extLst>
            <a:ext uri="{FF2B5EF4-FFF2-40B4-BE49-F238E27FC236}">
              <a16:creationId xmlns:a16="http://schemas.microsoft.com/office/drawing/2014/main" id="{E0DFCDA2-FA7B-F2B3-2BC2-2F5E4E0C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9" name="Picture 513">
          <a:extLst>
            <a:ext uri="{FF2B5EF4-FFF2-40B4-BE49-F238E27FC236}">
              <a16:creationId xmlns:a16="http://schemas.microsoft.com/office/drawing/2014/main" id="{4507E5EF-5E5C-8DBA-1034-334C6EDC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0" name="Picture 514">
          <a:extLst>
            <a:ext uri="{FF2B5EF4-FFF2-40B4-BE49-F238E27FC236}">
              <a16:creationId xmlns:a16="http://schemas.microsoft.com/office/drawing/2014/main" id="{224BBE9E-0422-BFD9-5884-BFAB8039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1" name="Picture 515">
          <a:extLst>
            <a:ext uri="{FF2B5EF4-FFF2-40B4-BE49-F238E27FC236}">
              <a16:creationId xmlns:a16="http://schemas.microsoft.com/office/drawing/2014/main" id="{EAEF78AA-DF59-E9BD-A765-29815019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2" name="Picture 516">
          <a:extLst>
            <a:ext uri="{FF2B5EF4-FFF2-40B4-BE49-F238E27FC236}">
              <a16:creationId xmlns:a16="http://schemas.microsoft.com/office/drawing/2014/main" id="{3064499D-E55A-63A9-8600-DE178F2B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3" name="Picture 517">
          <a:extLst>
            <a:ext uri="{FF2B5EF4-FFF2-40B4-BE49-F238E27FC236}">
              <a16:creationId xmlns:a16="http://schemas.microsoft.com/office/drawing/2014/main" id="{D7865CC4-6D18-40B9-7B04-34E69063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4" name="Picture 518">
          <a:extLst>
            <a:ext uri="{FF2B5EF4-FFF2-40B4-BE49-F238E27FC236}">
              <a16:creationId xmlns:a16="http://schemas.microsoft.com/office/drawing/2014/main" id="{9D3571A8-73E7-2DC6-02B2-38D52A5D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5" name="Picture 519">
          <a:extLst>
            <a:ext uri="{FF2B5EF4-FFF2-40B4-BE49-F238E27FC236}">
              <a16:creationId xmlns:a16="http://schemas.microsoft.com/office/drawing/2014/main" id="{B4C3E3E7-CD08-9B74-C340-83895B50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6" name="Picture 520">
          <a:extLst>
            <a:ext uri="{FF2B5EF4-FFF2-40B4-BE49-F238E27FC236}">
              <a16:creationId xmlns:a16="http://schemas.microsoft.com/office/drawing/2014/main" id="{F44637A7-F18F-FC9E-B6B1-E1CC0D0A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7" name="Picture 521">
          <a:extLst>
            <a:ext uri="{FF2B5EF4-FFF2-40B4-BE49-F238E27FC236}">
              <a16:creationId xmlns:a16="http://schemas.microsoft.com/office/drawing/2014/main" id="{76FFBEFC-5895-DF4D-5274-8766A0B7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8" name="Picture 522">
          <a:extLst>
            <a:ext uri="{FF2B5EF4-FFF2-40B4-BE49-F238E27FC236}">
              <a16:creationId xmlns:a16="http://schemas.microsoft.com/office/drawing/2014/main" id="{D9B09104-D03E-49D2-393C-22651646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9" name="Picture 523">
          <a:extLst>
            <a:ext uri="{FF2B5EF4-FFF2-40B4-BE49-F238E27FC236}">
              <a16:creationId xmlns:a16="http://schemas.microsoft.com/office/drawing/2014/main" id="{E8F8CE3B-8B23-B302-3CC4-2BE112C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0" name="Picture 524">
          <a:extLst>
            <a:ext uri="{FF2B5EF4-FFF2-40B4-BE49-F238E27FC236}">
              <a16:creationId xmlns:a16="http://schemas.microsoft.com/office/drawing/2014/main" id="{E8C1E996-FB5B-7C3D-FCC8-F6DE23C1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1" name="Picture 525">
          <a:extLst>
            <a:ext uri="{FF2B5EF4-FFF2-40B4-BE49-F238E27FC236}">
              <a16:creationId xmlns:a16="http://schemas.microsoft.com/office/drawing/2014/main" id="{D78AB7BE-E751-E576-4E94-2B6D9A53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2" name="Picture 526">
          <a:extLst>
            <a:ext uri="{FF2B5EF4-FFF2-40B4-BE49-F238E27FC236}">
              <a16:creationId xmlns:a16="http://schemas.microsoft.com/office/drawing/2014/main" id="{1BA06ADF-4039-4FFA-0184-601F472D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3" name="Picture 527">
          <a:extLst>
            <a:ext uri="{FF2B5EF4-FFF2-40B4-BE49-F238E27FC236}">
              <a16:creationId xmlns:a16="http://schemas.microsoft.com/office/drawing/2014/main" id="{E356C545-6203-3022-5816-3528F660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4" name="Picture 528">
          <a:extLst>
            <a:ext uri="{FF2B5EF4-FFF2-40B4-BE49-F238E27FC236}">
              <a16:creationId xmlns:a16="http://schemas.microsoft.com/office/drawing/2014/main" id="{E27503B7-2487-E303-5511-E67CAD64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5" name="Picture 529">
          <a:extLst>
            <a:ext uri="{FF2B5EF4-FFF2-40B4-BE49-F238E27FC236}">
              <a16:creationId xmlns:a16="http://schemas.microsoft.com/office/drawing/2014/main" id="{98820D1E-FF90-6B45-DAE7-940477DA8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6" name="Picture 530">
          <a:extLst>
            <a:ext uri="{FF2B5EF4-FFF2-40B4-BE49-F238E27FC236}">
              <a16:creationId xmlns:a16="http://schemas.microsoft.com/office/drawing/2014/main" id="{A5105072-846D-C23B-949A-402277F3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7" name="Picture 531">
          <a:extLst>
            <a:ext uri="{FF2B5EF4-FFF2-40B4-BE49-F238E27FC236}">
              <a16:creationId xmlns:a16="http://schemas.microsoft.com/office/drawing/2014/main" id="{D39A2A77-64F2-4419-9C2C-98963323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8" name="Picture 532">
          <a:extLst>
            <a:ext uri="{FF2B5EF4-FFF2-40B4-BE49-F238E27FC236}">
              <a16:creationId xmlns:a16="http://schemas.microsoft.com/office/drawing/2014/main" id="{15090B3D-FDCD-2654-36BD-C2357110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9" name="Picture 533">
          <a:extLst>
            <a:ext uri="{FF2B5EF4-FFF2-40B4-BE49-F238E27FC236}">
              <a16:creationId xmlns:a16="http://schemas.microsoft.com/office/drawing/2014/main" id="{5B21801D-B74F-81CA-8A19-AD98E48C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0" name="Picture 534">
          <a:extLst>
            <a:ext uri="{FF2B5EF4-FFF2-40B4-BE49-F238E27FC236}">
              <a16:creationId xmlns:a16="http://schemas.microsoft.com/office/drawing/2014/main" id="{14C4FF79-0F57-BF86-DD69-4F2019279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1" name="Picture 535">
          <a:extLst>
            <a:ext uri="{FF2B5EF4-FFF2-40B4-BE49-F238E27FC236}">
              <a16:creationId xmlns:a16="http://schemas.microsoft.com/office/drawing/2014/main" id="{9E006112-CCBA-16EF-7204-D1A2E4F8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2" name="Picture 536">
          <a:extLst>
            <a:ext uri="{FF2B5EF4-FFF2-40B4-BE49-F238E27FC236}">
              <a16:creationId xmlns:a16="http://schemas.microsoft.com/office/drawing/2014/main" id="{FC6D5614-7885-9A7D-8755-AE9BC0D6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3" name="Picture 537">
          <a:extLst>
            <a:ext uri="{FF2B5EF4-FFF2-40B4-BE49-F238E27FC236}">
              <a16:creationId xmlns:a16="http://schemas.microsoft.com/office/drawing/2014/main" id="{925448C2-168A-C112-6829-35B566F9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4" name="Picture 538">
          <a:extLst>
            <a:ext uri="{FF2B5EF4-FFF2-40B4-BE49-F238E27FC236}">
              <a16:creationId xmlns:a16="http://schemas.microsoft.com/office/drawing/2014/main" id="{9335612F-5150-0F4E-EC9F-55CFE90E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5" name="Picture 539">
          <a:extLst>
            <a:ext uri="{FF2B5EF4-FFF2-40B4-BE49-F238E27FC236}">
              <a16:creationId xmlns:a16="http://schemas.microsoft.com/office/drawing/2014/main" id="{F18C7EC1-0364-D08F-53F9-770F0464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6" name="Picture 540">
          <a:extLst>
            <a:ext uri="{FF2B5EF4-FFF2-40B4-BE49-F238E27FC236}">
              <a16:creationId xmlns:a16="http://schemas.microsoft.com/office/drawing/2014/main" id="{96F63D68-2317-15C0-C96B-E7BF467B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7" name="Picture 541">
          <a:extLst>
            <a:ext uri="{FF2B5EF4-FFF2-40B4-BE49-F238E27FC236}">
              <a16:creationId xmlns:a16="http://schemas.microsoft.com/office/drawing/2014/main" id="{4A4066EC-E550-ED1E-7C08-7626A1DA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8" name="Picture 542">
          <a:extLst>
            <a:ext uri="{FF2B5EF4-FFF2-40B4-BE49-F238E27FC236}">
              <a16:creationId xmlns:a16="http://schemas.microsoft.com/office/drawing/2014/main" id="{CAAF6BB0-B37D-1FEE-3ED5-BCCE8325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9" name="Picture 543">
          <a:extLst>
            <a:ext uri="{FF2B5EF4-FFF2-40B4-BE49-F238E27FC236}">
              <a16:creationId xmlns:a16="http://schemas.microsoft.com/office/drawing/2014/main" id="{92A19AD1-7589-51D8-6AD9-E5FA40C9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0" name="Picture 544">
          <a:extLst>
            <a:ext uri="{FF2B5EF4-FFF2-40B4-BE49-F238E27FC236}">
              <a16:creationId xmlns:a16="http://schemas.microsoft.com/office/drawing/2014/main" id="{97743533-06E3-1C27-474A-48B81611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1" name="Picture 545">
          <a:extLst>
            <a:ext uri="{FF2B5EF4-FFF2-40B4-BE49-F238E27FC236}">
              <a16:creationId xmlns:a16="http://schemas.microsoft.com/office/drawing/2014/main" id="{4A479ED0-0A5E-DC26-BD79-A711057A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2" name="Picture 546">
          <a:extLst>
            <a:ext uri="{FF2B5EF4-FFF2-40B4-BE49-F238E27FC236}">
              <a16:creationId xmlns:a16="http://schemas.microsoft.com/office/drawing/2014/main" id="{C87CF32D-2DF5-F0C0-8EF0-834162E8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3" name="Picture 547">
          <a:extLst>
            <a:ext uri="{FF2B5EF4-FFF2-40B4-BE49-F238E27FC236}">
              <a16:creationId xmlns:a16="http://schemas.microsoft.com/office/drawing/2014/main" id="{11B2316A-00E7-8492-F433-A2520F34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4" name="Picture 548">
          <a:extLst>
            <a:ext uri="{FF2B5EF4-FFF2-40B4-BE49-F238E27FC236}">
              <a16:creationId xmlns:a16="http://schemas.microsoft.com/office/drawing/2014/main" id="{67DE28A5-BB03-B8D2-5C52-26868EC2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5" name="Picture 549">
          <a:extLst>
            <a:ext uri="{FF2B5EF4-FFF2-40B4-BE49-F238E27FC236}">
              <a16:creationId xmlns:a16="http://schemas.microsoft.com/office/drawing/2014/main" id="{7818FB4A-FA5D-EFE8-7AB7-7FD165ED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6" name="Picture 550">
          <a:extLst>
            <a:ext uri="{FF2B5EF4-FFF2-40B4-BE49-F238E27FC236}">
              <a16:creationId xmlns:a16="http://schemas.microsoft.com/office/drawing/2014/main" id="{6D174F5D-AD88-580B-AE5E-6CB0886D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7" name="Picture 551">
          <a:extLst>
            <a:ext uri="{FF2B5EF4-FFF2-40B4-BE49-F238E27FC236}">
              <a16:creationId xmlns:a16="http://schemas.microsoft.com/office/drawing/2014/main" id="{1D40121C-4B12-6FAC-2909-A3EDF96A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8" name="Picture 552">
          <a:extLst>
            <a:ext uri="{FF2B5EF4-FFF2-40B4-BE49-F238E27FC236}">
              <a16:creationId xmlns:a16="http://schemas.microsoft.com/office/drawing/2014/main" id="{DEA72137-5A52-137F-5608-80F6A96A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9" name="Picture 553">
          <a:extLst>
            <a:ext uri="{FF2B5EF4-FFF2-40B4-BE49-F238E27FC236}">
              <a16:creationId xmlns:a16="http://schemas.microsoft.com/office/drawing/2014/main" id="{A7A16163-C2E1-1B7D-16D1-CA3327CDE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0" name="Picture 554">
          <a:extLst>
            <a:ext uri="{FF2B5EF4-FFF2-40B4-BE49-F238E27FC236}">
              <a16:creationId xmlns:a16="http://schemas.microsoft.com/office/drawing/2014/main" id="{18671213-A51D-22C4-587B-125B103F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1" name="Picture 555">
          <a:extLst>
            <a:ext uri="{FF2B5EF4-FFF2-40B4-BE49-F238E27FC236}">
              <a16:creationId xmlns:a16="http://schemas.microsoft.com/office/drawing/2014/main" id="{30DD1DD0-A8E7-4CE7-27F3-281331FA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2" name="Picture 556">
          <a:extLst>
            <a:ext uri="{FF2B5EF4-FFF2-40B4-BE49-F238E27FC236}">
              <a16:creationId xmlns:a16="http://schemas.microsoft.com/office/drawing/2014/main" id="{9328FD6F-07A9-7E3C-4B75-379640B6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3" name="Picture 557">
          <a:extLst>
            <a:ext uri="{FF2B5EF4-FFF2-40B4-BE49-F238E27FC236}">
              <a16:creationId xmlns:a16="http://schemas.microsoft.com/office/drawing/2014/main" id="{E9EE6B3E-8DB9-F1B9-6923-77F070749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4" name="Picture 558">
          <a:extLst>
            <a:ext uri="{FF2B5EF4-FFF2-40B4-BE49-F238E27FC236}">
              <a16:creationId xmlns:a16="http://schemas.microsoft.com/office/drawing/2014/main" id="{4995680A-6E5B-AA35-4C70-C3C80D23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5" name="Picture 559">
          <a:extLst>
            <a:ext uri="{FF2B5EF4-FFF2-40B4-BE49-F238E27FC236}">
              <a16:creationId xmlns:a16="http://schemas.microsoft.com/office/drawing/2014/main" id="{DABEA172-000A-2D38-4213-3A1B35C7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6" name="Picture 560">
          <a:extLst>
            <a:ext uri="{FF2B5EF4-FFF2-40B4-BE49-F238E27FC236}">
              <a16:creationId xmlns:a16="http://schemas.microsoft.com/office/drawing/2014/main" id="{EEF63269-8910-AF38-B0CA-CC4C2962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7" name="Picture 561">
          <a:extLst>
            <a:ext uri="{FF2B5EF4-FFF2-40B4-BE49-F238E27FC236}">
              <a16:creationId xmlns:a16="http://schemas.microsoft.com/office/drawing/2014/main" id="{A254242B-2F8D-4435-FC62-CBBEAE48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8" name="Picture 562">
          <a:extLst>
            <a:ext uri="{FF2B5EF4-FFF2-40B4-BE49-F238E27FC236}">
              <a16:creationId xmlns:a16="http://schemas.microsoft.com/office/drawing/2014/main" id="{6C68C1BD-A0DC-A4C4-40CF-470156B6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9" name="Picture 563">
          <a:extLst>
            <a:ext uri="{FF2B5EF4-FFF2-40B4-BE49-F238E27FC236}">
              <a16:creationId xmlns:a16="http://schemas.microsoft.com/office/drawing/2014/main" id="{C84E8D98-640E-FE82-280A-674AFCE4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0" name="Picture 564">
          <a:extLst>
            <a:ext uri="{FF2B5EF4-FFF2-40B4-BE49-F238E27FC236}">
              <a16:creationId xmlns:a16="http://schemas.microsoft.com/office/drawing/2014/main" id="{7B05D501-5E05-316B-D1D8-CF464785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1" name="Picture 565">
          <a:extLst>
            <a:ext uri="{FF2B5EF4-FFF2-40B4-BE49-F238E27FC236}">
              <a16:creationId xmlns:a16="http://schemas.microsoft.com/office/drawing/2014/main" id="{B42A3B46-26AC-0A2A-5C9E-C7BA0238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2" name="Picture 566">
          <a:extLst>
            <a:ext uri="{FF2B5EF4-FFF2-40B4-BE49-F238E27FC236}">
              <a16:creationId xmlns:a16="http://schemas.microsoft.com/office/drawing/2014/main" id="{4554DE55-A81A-090E-028D-05223B5E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3" name="Picture 567">
          <a:extLst>
            <a:ext uri="{FF2B5EF4-FFF2-40B4-BE49-F238E27FC236}">
              <a16:creationId xmlns:a16="http://schemas.microsoft.com/office/drawing/2014/main" id="{C4C7944D-766E-94C8-D1CB-CCB50A14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4" name="Picture 568">
          <a:extLst>
            <a:ext uri="{FF2B5EF4-FFF2-40B4-BE49-F238E27FC236}">
              <a16:creationId xmlns:a16="http://schemas.microsoft.com/office/drawing/2014/main" id="{5DBDB6FB-B069-9B6A-63D1-122D1AC5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5" name="Picture 569">
          <a:extLst>
            <a:ext uri="{FF2B5EF4-FFF2-40B4-BE49-F238E27FC236}">
              <a16:creationId xmlns:a16="http://schemas.microsoft.com/office/drawing/2014/main" id="{19E9FACD-2DCD-34BE-A412-0147D594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6" name="Picture 570">
          <a:extLst>
            <a:ext uri="{FF2B5EF4-FFF2-40B4-BE49-F238E27FC236}">
              <a16:creationId xmlns:a16="http://schemas.microsoft.com/office/drawing/2014/main" id="{C6AA5B86-8419-489D-2E97-69FFCF79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7" name="Picture 571">
          <a:extLst>
            <a:ext uri="{FF2B5EF4-FFF2-40B4-BE49-F238E27FC236}">
              <a16:creationId xmlns:a16="http://schemas.microsoft.com/office/drawing/2014/main" id="{78F2C1C1-AC1F-78C1-28D7-25A3CAAD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8" name="Picture 572">
          <a:extLst>
            <a:ext uri="{FF2B5EF4-FFF2-40B4-BE49-F238E27FC236}">
              <a16:creationId xmlns:a16="http://schemas.microsoft.com/office/drawing/2014/main" id="{ED56D927-C2BF-CEF6-78BA-71089980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9" name="Picture 573">
          <a:extLst>
            <a:ext uri="{FF2B5EF4-FFF2-40B4-BE49-F238E27FC236}">
              <a16:creationId xmlns:a16="http://schemas.microsoft.com/office/drawing/2014/main" id="{5E4BE5C8-2AF3-6096-B6B0-DB38EF7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0" name="Picture 574">
          <a:extLst>
            <a:ext uri="{FF2B5EF4-FFF2-40B4-BE49-F238E27FC236}">
              <a16:creationId xmlns:a16="http://schemas.microsoft.com/office/drawing/2014/main" id="{2760C137-48FC-B342-8C10-8A2BF45E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1" name="Picture 575">
          <a:extLst>
            <a:ext uri="{FF2B5EF4-FFF2-40B4-BE49-F238E27FC236}">
              <a16:creationId xmlns:a16="http://schemas.microsoft.com/office/drawing/2014/main" id="{7A968D4D-82CE-911F-568C-7A916238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2" name="Picture 576">
          <a:extLst>
            <a:ext uri="{FF2B5EF4-FFF2-40B4-BE49-F238E27FC236}">
              <a16:creationId xmlns:a16="http://schemas.microsoft.com/office/drawing/2014/main" id="{F4F57088-A30C-1C68-0482-7E201FF4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3" name="Picture 577">
          <a:extLst>
            <a:ext uri="{FF2B5EF4-FFF2-40B4-BE49-F238E27FC236}">
              <a16:creationId xmlns:a16="http://schemas.microsoft.com/office/drawing/2014/main" id="{B792E7F0-3E7C-1A58-4C43-2DA97073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4" name="Picture 578">
          <a:extLst>
            <a:ext uri="{FF2B5EF4-FFF2-40B4-BE49-F238E27FC236}">
              <a16:creationId xmlns:a16="http://schemas.microsoft.com/office/drawing/2014/main" id="{A7082C7A-3B2A-3FD3-70CC-511EA912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5" name="Picture 579">
          <a:extLst>
            <a:ext uri="{FF2B5EF4-FFF2-40B4-BE49-F238E27FC236}">
              <a16:creationId xmlns:a16="http://schemas.microsoft.com/office/drawing/2014/main" id="{BA95A50B-3456-2A33-92A1-027BAF64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6" name="Picture 580">
          <a:extLst>
            <a:ext uri="{FF2B5EF4-FFF2-40B4-BE49-F238E27FC236}">
              <a16:creationId xmlns:a16="http://schemas.microsoft.com/office/drawing/2014/main" id="{46AE0F27-8502-E476-5E97-9D5B22FA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7" name="Picture 581">
          <a:extLst>
            <a:ext uri="{FF2B5EF4-FFF2-40B4-BE49-F238E27FC236}">
              <a16:creationId xmlns:a16="http://schemas.microsoft.com/office/drawing/2014/main" id="{14327A94-C679-41DF-1A09-FB66A1B1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8" name="Picture 582">
          <a:extLst>
            <a:ext uri="{FF2B5EF4-FFF2-40B4-BE49-F238E27FC236}">
              <a16:creationId xmlns:a16="http://schemas.microsoft.com/office/drawing/2014/main" id="{9811186E-971D-24C7-E173-D3F26D02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9" name="Picture 583">
          <a:extLst>
            <a:ext uri="{FF2B5EF4-FFF2-40B4-BE49-F238E27FC236}">
              <a16:creationId xmlns:a16="http://schemas.microsoft.com/office/drawing/2014/main" id="{DF276CB6-A6D5-5DFF-8228-6FA86A29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0" name="Picture 584">
          <a:extLst>
            <a:ext uri="{FF2B5EF4-FFF2-40B4-BE49-F238E27FC236}">
              <a16:creationId xmlns:a16="http://schemas.microsoft.com/office/drawing/2014/main" id="{735963F3-3FD6-F571-5F61-B9770095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1" name="Picture 585">
          <a:extLst>
            <a:ext uri="{FF2B5EF4-FFF2-40B4-BE49-F238E27FC236}">
              <a16:creationId xmlns:a16="http://schemas.microsoft.com/office/drawing/2014/main" id="{DAF7E85C-FB6B-2ED7-1FE0-EFA28D26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2" name="Picture 586">
          <a:extLst>
            <a:ext uri="{FF2B5EF4-FFF2-40B4-BE49-F238E27FC236}">
              <a16:creationId xmlns:a16="http://schemas.microsoft.com/office/drawing/2014/main" id="{FFC3C172-6F63-C4A2-41C6-361D82A8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3" name="Picture 587">
          <a:extLst>
            <a:ext uri="{FF2B5EF4-FFF2-40B4-BE49-F238E27FC236}">
              <a16:creationId xmlns:a16="http://schemas.microsoft.com/office/drawing/2014/main" id="{91D399B4-6872-64D1-7072-A28D2FB1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4" name="Picture 588">
          <a:extLst>
            <a:ext uri="{FF2B5EF4-FFF2-40B4-BE49-F238E27FC236}">
              <a16:creationId xmlns:a16="http://schemas.microsoft.com/office/drawing/2014/main" id="{9DD45966-96FF-F4F7-A03C-6612CFF0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5" name="Picture 589">
          <a:extLst>
            <a:ext uri="{FF2B5EF4-FFF2-40B4-BE49-F238E27FC236}">
              <a16:creationId xmlns:a16="http://schemas.microsoft.com/office/drawing/2014/main" id="{FF0156AA-E7E4-2355-E634-9A7663CC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6" name="Picture 590">
          <a:extLst>
            <a:ext uri="{FF2B5EF4-FFF2-40B4-BE49-F238E27FC236}">
              <a16:creationId xmlns:a16="http://schemas.microsoft.com/office/drawing/2014/main" id="{26534263-0B79-6D0F-DEC1-F3597253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7" name="Picture 591">
          <a:extLst>
            <a:ext uri="{FF2B5EF4-FFF2-40B4-BE49-F238E27FC236}">
              <a16:creationId xmlns:a16="http://schemas.microsoft.com/office/drawing/2014/main" id="{39A05933-B009-C038-E21A-3462B5EE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8" name="Picture 592">
          <a:extLst>
            <a:ext uri="{FF2B5EF4-FFF2-40B4-BE49-F238E27FC236}">
              <a16:creationId xmlns:a16="http://schemas.microsoft.com/office/drawing/2014/main" id="{759B1FA2-E5B8-2CEC-0DCC-477C624F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9" name="Picture 593">
          <a:extLst>
            <a:ext uri="{FF2B5EF4-FFF2-40B4-BE49-F238E27FC236}">
              <a16:creationId xmlns:a16="http://schemas.microsoft.com/office/drawing/2014/main" id="{9757A361-5826-B49C-BEB9-1F2B8A74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0" name="Picture 594">
          <a:extLst>
            <a:ext uri="{FF2B5EF4-FFF2-40B4-BE49-F238E27FC236}">
              <a16:creationId xmlns:a16="http://schemas.microsoft.com/office/drawing/2014/main" id="{1E64005A-B314-4EAC-35C3-0FD68E73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1" name="Picture 595">
          <a:extLst>
            <a:ext uri="{FF2B5EF4-FFF2-40B4-BE49-F238E27FC236}">
              <a16:creationId xmlns:a16="http://schemas.microsoft.com/office/drawing/2014/main" id="{7F3AD6EB-23EA-2C15-E820-BC106143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2" name="Picture 596">
          <a:extLst>
            <a:ext uri="{FF2B5EF4-FFF2-40B4-BE49-F238E27FC236}">
              <a16:creationId xmlns:a16="http://schemas.microsoft.com/office/drawing/2014/main" id="{CCCF6FDC-6FEF-EFD2-AD6D-F0DA4C87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3" name="Picture 597">
          <a:extLst>
            <a:ext uri="{FF2B5EF4-FFF2-40B4-BE49-F238E27FC236}">
              <a16:creationId xmlns:a16="http://schemas.microsoft.com/office/drawing/2014/main" id="{B1FA89F0-5366-C79F-B2C0-B2D5A1DE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4" name="Picture 598">
          <a:extLst>
            <a:ext uri="{FF2B5EF4-FFF2-40B4-BE49-F238E27FC236}">
              <a16:creationId xmlns:a16="http://schemas.microsoft.com/office/drawing/2014/main" id="{4F8A44BC-9C8F-98EE-AA31-DD0FFF0F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5" name="Picture 599">
          <a:extLst>
            <a:ext uri="{FF2B5EF4-FFF2-40B4-BE49-F238E27FC236}">
              <a16:creationId xmlns:a16="http://schemas.microsoft.com/office/drawing/2014/main" id="{D5DB57B1-C40F-3354-650F-D3A8319F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6" name="Picture 600">
          <a:extLst>
            <a:ext uri="{FF2B5EF4-FFF2-40B4-BE49-F238E27FC236}">
              <a16:creationId xmlns:a16="http://schemas.microsoft.com/office/drawing/2014/main" id="{9301AFAD-0C0C-64E6-5E08-443DF642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7" name="Picture 601">
          <a:extLst>
            <a:ext uri="{FF2B5EF4-FFF2-40B4-BE49-F238E27FC236}">
              <a16:creationId xmlns:a16="http://schemas.microsoft.com/office/drawing/2014/main" id="{FDB5B1A8-64FA-FA24-15B7-6784E963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8" name="Picture 602">
          <a:extLst>
            <a:ext uri="{FF2B5EF4-FFF2-40B4-BE49-F238E27FC236}">
              <a16:creationId xmlns:a16="http://schemas.microsoft.com/office/drawing/2014/main" id="{3ADAE781-8541-2F1D-4206-46811935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9" name="Picture 603">
          <a:extLst>
            <a:ext uri="{FF2B5EF4-FFF2-40B4-BE49-F238E27FC236}">
              <a16:creationId xmlns:a16="http://schemas.microsoft.com/office/drawing/2014/main" id="{49CFD40F-56D5-080B-5288-B819255D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0" name="Picture 604">
          <a:extLst>
            <a:ext uri="{FF2B5EF4-FFF2-40B4-BE49-F238E27FC236}">
              <a16:creationId xmlns:a16="http://schemas.microsoft.com/office/drawing/2014/main" id="{571B8910-418F-C0DA-4BF5-E0239F4C4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1" name="Picture 605">
          <a:extLst>
            <a:ext uri="{FF2B5EF4-FFF2-40B4-BE49-F238E27FC236}">
              <a16:creationId xmlns:a16="http://schemas.microsoft.com/office/drawing/2014/main" id="{419EA824-4ACE-D77F-64D9-E825548FF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2" name="Picture 606">
          <a:extLst>
            <a:ext uri="{FF2B5EF4-FFF2-40B4-BE49-F238E27FC236}">
              <a16:creationId xmlns:a16="http://schemas.microsoft.com/office/drawing/2014/main" id="{292D872E-D66C-7C6A-DF10-2ED4E54B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3" name="Picture 607">
          <a:extLst>
            <a:ext uri="{FF2B5EF4-FFF2-40B4-BE49-F238E27FC236}">
              <a16:creationId xmlns:a16="http://schemas.microsoft.com/office/drawing/2014/main" id="{1899B1EE-4A62-A660-D695-1863CE9D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4" name="Picture 608">
          <a:extLst>
            <a:ext uri="{FF2B5EF4-FFF2-40B4-BE49-F238E27FC236}">
              <a16:creationId xmlns:a16="http://schemas.microsoft.com/office/drawing/2014/main" id="{B6DDAC7C-0C16-1BDA-C977-CFBC6409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5" name="Picture 609">
          <a:extLst>
            <a:ext uri="{FF2B5EF4-FFF2-40B4-BE49-F238E27FC236}">
              <a16:creationId xmlns:a16="http://schemas.microsoft.com/office/drawing/2014/main" id="{E14EE40F-F81F-9BAA-7AB9-B82C4AEB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6" name="Picture 610">
          <a:extLst>
            <a:ext uri="{FF2B5EF4-FFF2-40B4-BE49-F238E27FC236}">
              <a16:creationId xmlns:a16="http://schemas.microsoft.com/office/drawing/2014/main" id="{433AD2CA-4BAB-D0CD-0CA9-A2025FCB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7" name="Picture 611">
          <a:extLst>
            <a:ext uri="{FF2B5EF4-FFF2-40B4-BE49-F238E27FC236}">
              <a16:creationId xmlns:a16="http://schemas.microsoft.com/office/drawing/2014/main" id="{EDB8E3E4-0DD2-18CC-2250-6D29610D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8" name="Picture 612">
          <a:extLst>
            <a:ext uri="{FF2B5EF4-FFF2-40B4-BE49-F238E27FC236}">
              <a16:creationId xmlns:a16="http://schemas.microsoft.com/office/drawing/2014/main" id="{D2E617C0-DD3B-F6BB-4C29-5BFBA771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9" name="Picture 613">
          <a:extLst>
            <a:ext uri="{FF2B5EF4-FFF2-40B4-BE49-F238E27FC236}">
              <a16:creationId xmlns:a16="http://schemas.microsoft.com/office/drawing/2014/main" id="{49ED9348-EF41-77F1-AE33-30F596A7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0" name="Picture 614">
          <a:extLst>
            <a:ext uri="{FF2B5EF4-FFF2-40B4-BE49-F238E27FC236}">
              <a16:creationId xmlns:a16="http://schemas.microsoft.com/office/drawing/2014/main" id="{C13F7BB9-10EC-0881-9FED-1E492C0D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1" name="Picture 615">
          <a:extLst>
            <a:ext uri="{FF2B5EF4-FFF2-40B4-BE49-F238E27FC236}">
              <a16:creationId xmlns:a16="http://schemas.microsoft.com/office/drawing/2014/main" id="{A00AFA9E-8C29-63C0-916B-C62C7366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2" name="Picture 616">
          <a:extLst>
            <a:ext uri="{FF2B5EF4-FFF2-40B4-BE49-F238E27FC236}">
              <a16:creationId xmlns:a16="http://schemas.microsoft.com/office/drawing/2014/main" id="{A08FB08C-5D9D-FD06-FD27-1D016A0C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3" name="Picture 617">
          <a:extLst>
            <a:ext uri="{FF2B5EF4-FFF2-40B4-BE49-F238E27FC236}">
              <a16:creationId xmlns:a16="http://schemas.microsoft.com/office/drawing/2014/main" id="{F74670E3-B998-EB3C-78EF-D243A173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4" name="Picture 618">
          <a:extLst>
            <a:ext uri="{FF2B5EF4-FFF2-40B4-BE49-F238E27FC236}">
              <a16:creationId xmlns:a16="http://schemas.microsoft.com/office/drawing/2014/main" id="{D7D33E96-5524-2364-C476-33E90129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5" name="Picture 619">
          <a:extLst>
            <a:ext uri="{FF2B5EF4-FFF2-40B4-BE49-F238E27FC236}">
              <a16:creationId xmlns:a16="http://schemas.microsoft.com/office/drawing/2014/main" id="{14C3F1FC-0970-AB2C-4C41-1BBFF821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6" name="Picture 620">
          <a:extLst>
            <a:ext uri="{FF2B5EF4-FFF2-40B4-BE49-F238E27FC236}">
              <a16:creationId xmlns:a16="http://schemas.microsoft.com/office/drawing/2014/main" id="{CB1A1BA8-E7E5-EED6-261E-F2394917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7" name="Picture 621">
          <a:extLst>
            <a:ext uri="{FF2B5EF4-FFF2-40B4-BE49-F238E27FC236}">
              <a16:creationId xmlns:a16="http://schemas.microsoft.com/office/drawing/2014/main" id="{4F4A82A2-FB96-FB4D-622F-1276CDD4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8" name="Picture 622">
          <a:extLst>
            <a:ext uri="{FF2B5EF4-FFF2-40B4-BE49-F238E27FC236}">
              <a16:creationId xmlns:a16="http://schemas.microsoft.com/office/drawing/2014/main" id="{B9138D0C-4AA3-D127-CB44-5BCB09BA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9" name="Picture 623">
          <a:extLst>
            <a:ext uri="{FF2B5EF4-FFF2-40B4-BE49-F238E27FC236}">
              <a16:creationId xmlns:a16="http://schemas.microsoft.com/office/drawing/2014/main" id="{BD3E67F1-44C5-C43B-8671-F5EA27338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0" name="Picture 624">
          <a:extLst>
            <a:ext uri="{FF2B5EF4-FFF2-40B4-BE49-F238E27FC236}">
              <a16:creationId xmlns:a16="http://schemas.microsoft.com/office/drawing/2014/main" id="{DAF0D9AB-41AC-E8F5-0753-E1836E93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1" name="Picture 625">
          <a:extLst>
            <a:ext uri="{FF2B5EF4-FFF2-40B4-BE49-F238E27FC236}">
              <a16:creationId xmlns:a16="http://schemas.microsoft.com/office/drawing/2014/main" id="{7ED10638-3CED-CD2D-FE8D-1613AED4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2" name="Picture 626">
          <a:extLst>
            <a:ext uri="{FF2B5EF4-FFF2-40B4-BE49-F238E27FC236}">
              <a16:creationId xmlns:a16="http://schemas.microsoft.com/office/drawing/2014/main" id="{A2056B90-D8B2-217F-38C3-ABE885F0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3" name="Picture 627">
          <a:extLst>
            <a:ext uri="{FF2B5EF4-FFF2-40B4-BE49-F238E27FC236}">
              <a16:creationId xmlns:a16="http://schemas.microsoft.com/office/drawing/2014/main" id="{80C27E06-7159-E5DB-0F97-20E3D51A5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4" name="Picture 628">
          <a:extLst>
            <a:ext uri="{FF2B5EF4-FFF2-40B4-BE49-F238E27FC236}">
              <a16:creationId xmlns:a16="http://schemas.microsoft.com/office/drawing/2014/main" id="{93867233-31EA-3AB2-B6F3-E697AE13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5" name="Picture 629">
          <a:extLst>
            <a:ext uri="{FF2B5EF4-FFF2-40B4-BE49-F238E27FC236}">
              <a16:creationId xmlns:a16="http://schemas.microsoft.com/office/drawing/2014/main" id="{B1F47502-40CD-FB56-6C6A-AE9084F3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6" name="Picture 630">
          <a:extLst>
            <a:ext uri="{FF2B5EF4-FFF2-40B4-BE49-F238E27FC236}">
              <a16:creationId xmlns:a16="http://schemas.microsoft.com/office/drawing/2014/main" id="{F2895820-76C3-F563-43B5-8B38E19DF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7" name="Picture 631">
          <a:extLst>
            <a:ext uri="{FF2B5EF4-FFF2-40B4-BE49-F238E27FC236}">
              <a16:creationId xmlns:a16="http://schemas.microsoft.com/office/drawing/2014/main" id="{0DD76F2F-6B84-8A4D-3691-00929E9A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8" name="Picture 632">
          <a:extLst>
            <a:ext uri="{FF2B5EF4-FFF2-40B4-BE49-F238E27FC236}">
              <a16:creationId xmlns:a16="http://schemas.microsoft.com/office/drawing/2014/main" id="{82687659-F754-1CAD-0A14-1CD8C81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9" name="Picture 633">
          <a:extLst>
            <a:ext uri="{FF2B5EF4-FFF2-40B4-BE49-F238E27FC236}">
              <a16:creationId xmlns:a16="http://schemas.microsoft.com/office/drawing/2014/main" id="{615ED5DF-EF9D-0594-728B-A39F5AB0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0" name="Picture 634">
          <a:extLst>
            <a:ext uri="{FF2B5EF4-FFF2-40B4-BE49-F238E27FC236}">
              <a16:creationId xmlns:a16="http://schemas.microsoft.com/office/drawing/2014/main" id="{8119A24C-CC6D-1E76-D29F-7D44684F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1" name="Picture 635">
          <a:extLst>
            <a:ext uri="{FF2B5EF4-FFF2-40B4-BE49-F238E27FC236}">
              <a16:creationId xmlns:a16="http://schemas.microsoft.com/office/drawing/2014/main" id="{D0939D6C-AA89-5507-86ED-D8CEF56F5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2" name="Picture 636">
          <a:extLst>
            <a:ext uri="{FF2B5EF4-FFF2-40B4-BE49-F238E27FC236}">
              <a16:creationId xmlns:a16="http://schemas.microsoft.com/office/drawing/2014/main" id="{A9A055F7-D850-7F3D-BEC5-256445D1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3" name="Picture 637">
          <a:extLst>
            <a:ext uri="{FF2B5EF4-FFF2-40B4-BE49-F238E27FC236}">
              <a16:creationId xmlns:a16="http://schemas.microsoft.com/office/drawing/2014/main" id="{3D118C5A-9352-9CE9-8049-346926FA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4" name="Picture 638">
          <a:extLst>
            <a:ext uri="{FF2B5EF4-FFF2-40B4-BE49-F238E27FC236}">
              <a16:creationId xmlns:a16="http://schemas.microsoft.com/office/drawing/2014/main" id="{2AEAF223-EC07-8340-251B-342D6A7D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5" name="Picture 639">
          <a:extLst>
            <a:ext uri="{FF2B5EF4-FFF2-40B4-BE49-F238E27FC236}">
              <a16:creationId xmlns:a16="http://schemas.microsoft.com/office/drawing/2014/main" id="{C05DE190-E942-BDEE-EE56-6F4BA794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6" name="Picture 640">
          <a:extLst>
            <a:ext uri="{FF2B5EF4-FFF2-40B4-BE49-F238E27FC236}">
              <a16:creationId xmlns:a16="http://schemas.microsoft.com/office/drawing/2014/main" id="{3275A5FB-F6F6-AE04-8C52-7CA307D3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7" name="Picture 641">
          <a:extLst>
            <a:ext uri="{FF2B5EF4-FFF2-40B4-BE49-F238E27FC236}">
              <a16:creationId xmlns:a16="http://schemas.microsoft.com/office/drawing/2014/main" id="{F2246100-9EA4-A576-EAF4-AE0359E2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8" name="Picture 642">
          <a:extLst>
            <a:ext uri="{FF2B5EF4-FFF2-40B4-BE49-F238E27FC236}">
              <a16:creationId xmlns:a16="http://schemas.microsoft.com/office/drawing/2014/main" id="{EDC2CA1C-9E22-F2AC-5BA0-13EF7D1B6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9" name="Picture 643">
          <a:extLst>
            <a:ext uri="{FF2B5EF4-FFF2-40B4-BE49-F238E27FC236}">
              <a16:creationId xmlns:a16="http://schemas.microsoft.com/office/drawing/2014/main" id="{F5AE5930-CFC2-6048-B295-34D537CE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0" name="Picture 644">
          <a:extLst>
            <a:ext uri="{FF2B5EF4-FFF2-40B4-BE49-F238E27FC236}">
              <a16:creationId xmlns:a16="http://schemas.microsoft.com/office/drawing/2014/main" id="{592ECB8A-913C-0E50-377B-5BB76162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1" name="Picture 645">
          <a:extLst>
            <a:ext uri="{FF2B5EF4-FFF2-40B4-BE49-F238E27FC236}">
              <a16:creationId xmlns:a16="http://schemas.microsoft.com/office/drawing/2014/main" id="{03B5E9B0-7CA9-F4CD-7D28-8B121067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2" name="Picture 646">
          <a:extLst>
            <a:ext uri="{FF2B5EF4-FFF2-40B4-BE49-F238E27FC236}">
              <a16:creationId xmlns:a16="http://schemas.microsoft.com/office/drawing/2014/main" id="{E9FEBD76-AC42-0DC2-992D-3CBB4B90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3" name="Picture 647">
          <a:extLst>
            <a:ext uri="{FF2B5EF4-FFF2-40B4-BE49-F238E27FC236}">
              <a16:creationId xmlns:a16="http://schemas.microsoft.com/office/drawing/2014/main" id="{E15CF242-9408-D88A-4006-28B6EDFB2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4" name="Picture 648">
          <a:extLst>
            <a:ext uri="{FF2B5EF4-FFF2-40B4-BE49-F238E27FC236}">
              <a16:creationId xmlns:a16="http://schemas.microsoft.com/office/drawing/2014/main" id="{34BE7F7A-5FB4-002D-6AE8-3DF12D80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5" name="Picture 649">
          <a:extLst>
            <a:ext uri="{FF2B5EF4-FFF2-40B4-BE49-F238E27FC236}">
              <a16:creationId xmlns:a16="http://schemas.microsoft.com/office/drawing/2014/main" id="{3792799A-650E-F321-9334-75D06A6B6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6" name="Picture 650">
          <a:extLst>
            <a:ext uri="{FF2B5EF4-FFF2-40B4-BE49-F238E27FC236}">
              <a16:creationId xmlns:a16="http://schemas.microsoft.com/office/drawing/2014/main" id="{985AECD9-8739-CD55-30CD-9B4B1B09A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7" name="Picture 651">
          <a:extLst>
            <a:ext uri="{FF2B5EF4-FFF2-40B4-BE49-F238E27FC236}">
              <a16:creationId xmlns:a16="http://schemas.microsoft.com/office/drawing/2014/main" id="{B5C5F739-7F59-E916-F7BA-E971CF4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8" name="Picture 652">
          <a:extLst>
            <a:ext uri="{FF2B5EF4-FFF2-40B4-BE49-F238E27FC236}">
              <a16:creationId xmlns:a16="http://schemas.microsoft.com/office/drawing/2014/main" id="{6D77E2B0-455C-8BD0-2B28-BF618B6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9" name="Picture 653">
          <a:extLst>
            <a:ext uri="{FF2B5EF4-FFF2-40B4-BE49-F238E27FC236}">
              <a16:creationId xmlns:a16="http://schemas.microsoft.com/office/drawing/2014/main" id="{DF38644B-7333-8C68-25B6-3F47DCB1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0" name="Picture 654">
          <a:extLst>
            <a:ext uri="{FF2B5EF4-FFF2-40B4-BE49-F238E27FC236}">
              <a16:creationId xmlns:a16="http://schemas.microsoft.com/office/drawing/2014/main" id="{5151C135-A987-5F63-0F5B-A4618404C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1" name="Picture 655">
          <a:extLst>
            <a:ext uri="{FF2B5EF4-FFF2-40B4-BE49-F238E27FC236}">
              <a16:creationId xmlns:a16="http://schemas.microsoft.com/office/drawing/2014/main" id="{216F4740-247E-D256-10E1-07976B0C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2" name="Picture 656">
          <a:extLst>
            <a:ext uri="{FF2B5EF4-FFF2-40B4-BE49-F238E27FC236}">
              <a16:creationId xmlns:a16="http://schemas.microsoft.com/office/drawing/2014/main" id="{2F0FBE2B-F54F-C776-2F17-9BBDBD5D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3" name="Picture 657">
          <a:extLst>
            <a:ext uri="{FF2B5EF4-FFF2-40B4-BE49-F238E27FC236}">
              <a16:creationId xmlns:a16="http://schemas.microsoft.com/office/drawing/2014/main" id="{7AD4F211-BDD2-1DDE-F6BD-B6956C76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4" name="Picture 658">
          <a:extLst>
            <a:ext uri="{FF2B5EF4-FFF2-40B4-BE49-F238E27FC236}">
              <a16:creationId xmlns:a16="http://schemas.microsoft.com/office/drawing/2014/main" id="{38093203-8B33-1E1C-D060-D9871139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5" name="Picture 659">
          <a:extLst>
            <a:ext uri="{FF2B5EF4-FFF2-40B4-BE49-F238E27FC236}">
              <a16:creationId xmlns:a16="http://schemas.microsoft.com/office/drawing/2014/main" id="{A9F1BADA-66B5-EBF7-001C-7F794010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6" name="Picture 660">
          <a:extLst>
            <a:ext uri="{FF2B5EF4-FFF2-40B4-BE49-F238E27FC236}">
              <a16:creationId xmlns:a16="http://schemas.microsoft.com/office/drawing/2014/main" id="{C1A44048-FBCB-0520-DEDF-E6B80749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7" name="Picture 661">
          <a:extLst>
            <a:ext uri="{FF2B5EF4-FFF2-40B4-BE49-F238E27FC236}">
              <a16:creationId xmlns:a16="http://schemas.microsoft.com/office/drawing/2014/main" id="{B3D5F6DD-3B74-A614-8C68-0E4E00F8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8" name="Picture 662">
          <a:extLst>
            <a:ext uri="{FF2B5EF4-FFF2-40B4-BE49-F238E27FC236}">
              <a16:creationId xmlns:a16="http://schemas.microsoft.com/office/drawing/2014/main" id="{4A35F332-731E-99F4-7264-3928B52C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9" name="Picture 663">
          <a:extLst>
            <a:ext uri="{FF2B5EF4-FFF2-40B4-BE49-F238E27FC236}">
              <a16:creationId xmlns:a16="http://schemas.microsoft.com/office/drawing/2014/main" id="{4A0A07E6-CCD7-6E74-AFE1-C3C00F02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0" name="Picture 664">
          <a:extLst>
            <a:ext uri="{FF2B5EF4-FFF2-40B4-BE49-F238E27FC236}">
              <a16:creationId xmlns:a16="http://schemas.microsoft.com/office/drawing/2014/main" id="{690B98FF-3AF5-F248-942B-E2DB5E30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1" name="Picture 665">
          <a:extLst>
            <a:ext uri="{FF2B5EF4-FFF2-40B4-BE49-F238E27FC236}">
              <a16:creationId xmlns:a16="http://schemas.microsoft.com/office/drawing/2014/main" id="{7EE8B1A2-330D-E1E8-39E4-549C8E4D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2" name="Picture 666">
          <a:extLst>
            <a:ext uri="{FF2B5EF4-FFF2-40B4-BE49-F238E27FC236}">
              <a16:creationId xmlns:a16="http://schemas.microsoft.com/office/drawing/2014/main" id="{39AF4AFC-9A9E-D2C9-4785-EA35E7FB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3" name="Picture 667">
          <a:extLst>
            <a:ext uri="{FF2B5EF4-FFF2-40B4-BE49-F238E27FC236}">
              <a16:creationId xmlns:a16="http://schemas.microsoft.com/office/drawing/2014/main" id="{2422CEC7-936D-5686-3F03-2B7EB5A6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4" name="Picture 668">
          <a:extLst>
            <a:ext uri="{FF2B5EF4-FFF2-40B4-BE49-F238E27FC236}">
              <a16:creationId xmlns:a16="http://schemas.microsoft.com/office/drawing/2014/main" id="{46BEC41C-E33F-4672-D5E5-C14F497E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5" name="Picture 669">
          <a:extLst>
            <a:ext uri="{FF2B5EF4-FFF2-40B4-BE49-F238E27FC236}">
              <a16:creationId xmlns:a16="http://schemas.microsoft.com/office/drawing/2014/main" id="{B0645A7D-5CCE-9E94-26E0-A441620D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6" name="Picture 670">
          <a:extLst>
            <a:ext uri="{FF2B5EF4-FFF2-40B4-BE49-F238E27FC236}">
              <a16:creationId xmlns:a16="http://schemas.microsoft.com/office/drawing/2014/main" id="{BC61706D-A1F5-9BBE-EDBE-21786D6C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7" name="Picture 671">
          <a:extLst>
            <a:ext uri="{FF2B5EF4-FFF2-40B4-BE49-F238E27FC236}">
              <a16:creationId xmlns:a16="http://schemas.microsoft.com/office/drawing/2014/main" id="{4953136D-21D2-EAE2-FAB0-E15FE3F3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8" name="Picture 672">
          <a:extLst>
            <a:ext uri="{FF2B5EF4-FFF2-40B4-BE49-F238E27FC236}">
              <a16:creationId xmlns:a16="http://schemas.microsoft.com/office/drawing/2014/main" id="{72FFAA31-857D-248A-190D-20E60B7B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9" name="Picture 673">
          <a:extLst>
            <a:ext uri="{FF2B5EF4-FFF2-40B4-BE49-F238E27FC236}">
              <a16:creationId xmlns:a16="http://schemas.microsoft.com/office/drawing/2014/main" id="{54DA06B6-7FB4-4A08-D31C-345B9527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0" name="Picture 674">
          <a:extLst>
            <a:ext uri="{FF2B5EF4-FFF2-40B4-BE49-F238E27FC236}">
              <a16:creationId xmlns:a16="http://schemas.microsoft.com/office/drawing/2014/main" id="{0671FFCD-F883-72BB-26A0-144C9863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1" name="Picture 675">
          <a:extLst>
            <a:ext uri="{FF2B5EF4-FFF2-40B4-BE49-F238E27FC236}">
              <a16:creationId xmlns:a16="http://schemas.microsoft.com/office/drawing/2014/main" id="{E3368B7E-9D8A-A40A-66A8-816D0F32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2" name="Picture 676">
          <a:extLst>
            <a:ext uri="{FF2B5EF4-FFF2-40B4-BE49-F238E27FC236}">
              <a16:creationId xmlns:a16="http://schemas.microsoft.com/office/drawing/2014/main" id="{9D24F397-4595-3E36-FEED-32F344EE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3" name="Picture 677">
          <a:extLst>
            <a:ext uri="{FF2B5EF4-FFF2-40B4-BE49-F238E27FC236}">
              <a16:creationId xmlns:a16="http://schemas.microsoft.com/office/drawing/2014/main" id="{F3FC3E58-2B22-A0E6-0B18-015B5E75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4" name="Picture 678">
          <a:extLst>
            <a:ext uri="{FF2B5EF4-FFF2-40B4-BE49-F238E27FC236}">
              <a16:creationId xmlns:a16="http://schemas.microsoft.com/office/drawing/2014/main" id="{B54FC8F4-D951-3F75-86B3-0ACD8656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5" name="Picture 679">
          <a:extLst>
            <a:ext uri="{FF2B5EF4-FFF2-40B4-BE49-F238E27FC236}">
              <a16:creationId xmlns:a16="http://schemas.microsoft.com/office/drawing/2014/main" id="{322F1AF2-60D5-4272-863E-3378BCAF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6" name="Picture 680">
          <a:extLst>
            <a:ext uri="{FF2B5EF4-FFF2-40B4-BE49-F238E27FC236}">
              <a16:creationId xmlns:a16="http://schemas.microsoft.com/office/drawing/2014/main" id="{D529B13C-4DB2-26DF-9A0F-9976D604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7" name="Picture 681">
          <a:extLst>
            <a:ext uri="{FF2B5EF4-FFF2-40B4-BE49-F238E27FC236}">
              <a16:creationId xmlns:a16="http://schemas.microsoft.com/office/drawing/2014/main" id="{ED367AFF-AC70-8B1C-15E4-7E291BEA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8" name="Picture 682">
          <a:extLst>
            <a:ext uri="{FF2B5EF4-FFF2-40B4-BE49-F238E27FC236}">
              <a16:creationId xmlns:a16="http://schemas.microsoft.com/office/drawing/2014/main" id="{AEB49F1C-F75A-490A-4260-82DDAE77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9" name="Picture 683">
          <a:extLst>
            <a:ext uri="{FF2B5EF4-FFF2-40B4-BE49-F238E27FC236}">
              <a16:creationId xmlns:a16="http://schemas.microsoft.com/office/drawing/2014/main" id="{3ACE4681-4E69-8C13-B731-43AAE91B4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0" name="Picture 684">
          <a:extLst>
            <a:ext uri="{FF2B5EF4-FFF2-40B4-BE49-F238E27FC236}">
              <a16:creationId xmlns:a16="http://schemas.microsoft.com/office/drawing/2014/main" id="{D514E3F3-1256-C992-0919-AE6AFC49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1" name="Picture 685">
          <a:extLst>
            <a:ext uri="{FF2B5EF4-FFF2-40B4-BE49-F238E27FC236}">
              <a16:creationId xmlns:a16="http://schemas.microsoft.com/office/drawing/2014/main" id="{DA4ED973-6B22-EAFD-16C4-DAEAF6C5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2" name="Picture 686">
          <a:extLst>
            <a:ext uri="{FF2B5EF4-FFF2-40B4-BE49-F238E27FC236}">
              <a16:creationId xmlns:a16="http://schemas.microsoft.com/office/drawing/2014/main" id="{852AD234-4B0E-381F-868E-FE4E70720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3" name="Picture 687">
          <a:extLst>
            <a:ext uri="{FF2B5EF4-FFF2-40B4-BE49-F238E27FC236}">
              <a16:creationId xmlns:a16="http://schemas.microsoft.com/office/drawing/2014/main" id="{C7593E02-2A85-3BBC-A65D-0A792B6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4" name="Picture 688">
          <a:extLst>
            <a:ext uri="{FF2B5EF4-FFF2-40B4-BE49-F238E27FC236}">
              <a16:creationId xmlns:a16="http://schemas.microsoft.com/office/drawing/2014/main" id="{CCA40F9B-D193-E7C3-8580-EF7825D5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5" name="Picture 689">
          <a:extLst>
            <a:ext uri="{FF2B5EF4-FFF2-40B4-BE49-F238E27FC236}">
              <a16:creationId xmlns:a16="http://schemas.microsoft.com/office/drawing/2014/main" id="{7B09759E-346C-2DB8-0CE0-D75F8049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6" name="Picture 690">
          <a:extLst>
            <a:ext uri="{FF2B5EF4-FFF2-40B4-BE49-F238E27FC236}">
              <a16:creationId xmlns:a16="http://schemas.microsoft.com/office/drawing/2014/main" id="{FD670286-3A20-3B73-3049-0EEA4B474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7" name="Picture 691">
          <a:extLst>
            <a:ext uri="{FF2B5EF4-FFF2-40B4-BE49-F238E27FC236}">
              <a16:creationId xmlns:a16="http://schemas.microsoft.com/office/drawing/2014/main" id="{8BBF840F-2393-ED09-2A21-3305A63C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8" name="Picture 692">
          <a:extLst>
            <a:ext uri="{FF2B5EF4-FFF2-40B4-BE49-F238E27FC236}">
              <a16:creationId xmlns:a16="http://schemas.microsoft.com/office/drawing/2014/main" id="{40B9F2E9-0847-89A8-6CAD-1B73F370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9" name="Picture 693">
          <a:extLst>
            <a:ext uri="{FF2B5EF4-FFF2-40B4-BE49-F238E27FC236}">
              <a16:creationId xmlns:a16="http://schemas.microsoft.com/office/drawing/2014/main" id="{53183C48-1AB7-F38F-8516-B6A48920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0" name="Picture 694">
          <a:extLst>
            <a:ext uri="{FF2B5EF4-FFF2-40B4-BE49-F238E27FC236}">
              <a16:creationId xmlns:a16="http://schemas.microsoft.com/office/drawing/2014/main" id="{6701E280-7A0B-5234-F9BA-6E4D1F27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1" name="Picture 695">
          <a:extLst>
            <a:ext uri="{FF2B5EF4-FFF2-40B4-BE49-F238E27FC236}">
              <a16:creationId xmlns:a16="http://schemas.microsoft.com/office/drawing/2014/main" id="{68C81163-DDBB-4D75-00FB-E420BD4A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2" name="Picture 696">
          <a:extLst>
            <a:ext uri="{FF2B5EF4-FFF2-40B4-BE49-F238E27FC236}">
              <a16:creationId xmlns:a16="http://schemas.microsoft.com/office/drawing/2014/main" id="{AE2FADE2-BB1A-54AD-093E-38411BE8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3" name="Picture 697">
          <a:extLst>
            <a:ext uri="{FF2B5EF4-FFF2-40B4-BE49-F238E27FC236}">
              <a16:creationId xmlns:a16="http://schemas.microsoft.com/office/drawing/2014/main" id="{1D119A79-05EE-8750-E1F2-8ED4CDEC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4" name="Picture 698">
          <a:extLst>
            <a:ext uri="{FF2B5EF4-FFF2-40B4-BE49-F238E27FC236}">
              <a16:creationId xmlns:a16="http://schemas.microsoft.com/office/drawing/2014/main" id="{505A2EBD-D955-00E5-F11A-64E61A68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5" name="Picture 699">
          <a:extLst>
            <a:ext uri="{FF2B5EF4-FFF2-40B4-BE49-F238E27FC236}">
              <a16:creationId xmlns:a16="http://schemas.microsoft.com/office/drawing/2014/main" id="{8286F901-B4B0-72D0-8435-E704911A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6" name="Picture 700">
          <a:extLst>
            <a:ext uri="{FF2B5EF4-FFF2-40B4-BE49-F238E27FC236}">
              <a16:creationId xmlns:a16="http://schemas.microsoft.com/office/drawing/2014/main" id="{E0BF4EE1-2BB0-B147-5B64-053C52F4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7" name="Picture 701">
          <a:extLst>
            <a:ext uri="{FF2B5EF4-FFF2-40B4-BE49-F238E27FC236}">
              <a16:creationId xmlns:a16="http://schemas.microsoft.com/office/drawing/2014/main" id="{D79FA108-D0CC-0AC1-16DD-CFB61A58F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8" name="Picture 702">
          <a:extLst>
            <a:ext uri="{FF2B5EF4-FFF2-40B4-BE49-F238E27FC236}">
              <a16:creationId xmlns:a16="http://schemas.microsoft.com/office/drawing/2014/main" id="{007BBA08-46B8-EAA4-78AB-5E1EEE25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9" name="Picture 703">
          <a:extLst>
            <a:ext uri="{FF2B5EF4-FFF2-40B4-BE49-F238E27FC236}">
              <a16:creationId xmlns:a16="http://schemas.microsoft.com/office/drawing/2014/main" id="{F050B4E2-931E-27C4-8F68-AEEA10C3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0" name="Picture 704">
          <a:extLst>
            <a:ext uri="{FF2B5EF4-FFF2-40B4-BE49-F238E27FC236}">
              <a16:creationId xmlns:a16="http://schemas.microsoft.com/office/drawing/2014/main" id="{F807E16B-E86D-D4B5-B989-322A4D28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1" name="Picture 705">
          <a:extLst>
            <a:ext uri="{FF2B5EF4-FFF2-40B4-BE49-F238E27FC236}">
              <a16:creationId xmlns:a16="http://schemas.microsoft.com/office/drawing/2014/main" id="{D113B735-A852-50B2-DC8B-8DDBA361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2" name="Picture 706">
          <a:extLst>
            <a:ext uri="{FF2B5EF4-FFF2-40B4-BE49-F238E27FC236}">
              <a16:creationId xmlns:a16="http://schemas.microsoft.com/office/drawing/2014/main" id="{1ABAE804-71AE-1371-4570-520F768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3" name="Picture 707">
          <a:extLst>
            <a:ext uri="{FF2B5EF4-FFF2-40B4-BE49-F238E27FC236}">
              <a16:creationId xmlns:a16="http://schemas.microsoft.com/office/drawing/2014/main" id="{E8691A7E-03A6-17B3-673F-123F4E9C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4" name="Picture 708">
          <a:extLst>
            <a:ext uri="{FF2B5EF4-FFF2-40B4-BE49-F238E27FC236}">
              <a16:creationId xmlns:a16="http://schemas.microsoft.com/office/drawing/2014/main" id="{2293D257-69B1-1532-FA9C-103C6D65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5" name="Picture 709">
          <a:extLst>
            <a:ext uri="{FF2B5EF4-FFF2-40B4-BE49-F238E27FC236}">
              <a16:creationId xmlns:a16="http://schemas.microsoft.com/office/drawing/2014/main" id="{8AC12405-FCC0-DB9E-63DA-2F16EC65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6" name="Picture 710">
          <a:extLst>
            <a:ext uri="{FF2B5EF4-FFF2-40B4-BE49-F238E27FC236}">
              <a16:creationId xmlns:a16="http://schemas.microsoft.com/office/drawing/2014/main" id="{D08BCDE3-493A-84FD-E738-C41DE46E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7" name="Picture 711">
          <a:extLst>
            <a:ext uri="{FF2B5EF4-FFF2-40B4-BE49-F238E27FC236}">
              <a16:creationId xmlns:a16="http://schemas.microsoft.com/office/drawing/2014/main" id="{D8705BFD-D96F-4A94-5059-C1B32086E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8" name="Picture 712">
          <a:extLst>
            <a:ext uri="{FF2B5EF4-FFF2-40B4-BE49-F238E27FC236}">
              <a16:creationId xmlns:a16="http://schemas.microsoft.com/office/drawing/2014/main" id="{79422FBC-32B0-7B48-748C-53A429DD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9" name="Picture 713">
          <a:extLst>
            <a:ext uri="{FF2B5EF4-FFF2-40B4-BE49-F238E27FC236}">
              <a16:creationId xmlns:a16="http://schemas.microsoft.com/office/drawing/2014/main" id="{2D85D526-7AD0-C384-93A7-92CD23046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0" name="Picture 714">
          <a:extLst>
            <a:ext uri="{FF2B5EF4-FFF2-40B4-BE49-F238E27FC236}">
              <a16:creationId xmlns:a16="http://schemas.microsoft.com/office/drawing/2014/main" id="{A827E231-7ADB-81AD-EB18-57183918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1" name="Picture 715">
          <a:extLst>
            <a:ext uri="{FF2B5EF4-FFF2-40B4-BE49-F238E27FC236}">
              <a16:creationId xmlns:a16="http://schemas.microsoft.com/office/drawing/2014/main" id="{DDB2113E-9E18-21BF-F254-DE2DB0D2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2" name="Picture 716">
          <a:extLst>
            <a:ext uri="{FF2B5EF4-FFF2-40B4-BE49-F238E27FC236}">
              <a16:creationId xmlns:a16="http://schemas.microsoft.com/office/drawing/2014/main" id="{8BEC9015-D9B4-F50D-9537-0B949610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3" name="Picture 717">
          <a:extLst>
            <a:ext uri="{FF2B5EF4-FFF2-40B4-BE49-F238E27FC236}">
              <a16:creationId xmlns:a16="http://schemas.microsoft.com/office/drawing/2014/main" id="{B02210FA-5146-27A6-3678-80276CB6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4" name="Picture 718">
          <a:extLst>
            <a:ext uri="{FF2B5EF4-FFF2-40B4-BE49-F238E27FC236}">
              <a16:creationId xmlns:a16="http://schemas.microsoft.com/office/drawing/2014/main" id="{A646ED57-9333-95FD-5AEE-3D6644F1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5" name="Picture 719">
          <a:extLst>
            <a:ext uri="{FF2B5EF4-FFF2-40B4-BE49-F238E27FC236}">
              <a16:creationId xmlns:a16="http://schemas.microsoft.com/office/drawing/2014/main" id="{5EDA53EC-DAFF-71A8-DC8A-B8737CD2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6" name="Picture 720">
          <a:extLst>
            <a:ext uri="{FF2B5EF4-FFF2-40B4-BE49-F238E27FC236}">
              <a16:creationId xmlns:a16="http://schemas.microsoft.com/office/drawing/2014/main" id="{575FCFE1-56A6-32B4-085B-1B2177C5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7" name="Picture 721">
          <a:extLst>
            <a:ext uri="{FF2B5EF4-FFF2-40B4-BE49-F238E27FC236}">
              <a16:creationId xmlns:a16="http://schemas.microsoft.com/office/drawing/2014/main" id="{C98CA25C-0798-ADA8-55CB-08C1D0D0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8" name="Picture 722">
          <a:extLst>
            <a:ext uri="{FF2B5EF4-FFF2-40B4-BE49-F238E27FC236}">
              <a16:creationId xmlns:a16="http://schemas.microsoft.com/office/drawing/2014/main" id="{6B42EDF1-8BBF-36E6-4BEB-73824439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9" name="Picture 723">
          <a:extLst>
            <a:ext uri="{FF2B5EF4-FFF2-40B4-BE49-F238E27FC236}">
              <a16:creationId xmlns:a16="http://schemas.microsoft.com/office/drawing/2014/main" id="{1022B552-E56E-B731-A6B9-2542ACB2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0" name="Picture 724">
          <a:extLst>
            <a:ext uri="{FF2B5EF4-FFF2-40B4-BE49-F238E27FC236}">
              <a16:creationId xmlns:a16="http://schemas.microsoft.com/office/drawing/2014/main" id="{6F074184-63D9-A5A0-C14C-2433626A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1" name="Picture 725">
          <a:extLst>
            <a:ext uri="{FF2B5EF4-FFF2-40B4-BE49-F238E27FC236}">
              <a16:creationId xmlns:a16="http://schemas.microsoft.com/office/drawing/2014/main" id="{2DE2BDF9-DFB8-9D9B-19C0-3F93332D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2" name="Picture 726">
          <a:extLst>
            <a:ext uri="{FF2B5EF4-FFF2-40B4-BE49-F238E27FC236}">
              <a16:creationId xmlns:a16="http://schemas.microsoft.com/office/drawing/2014/main" id="{C3C686B9-8856-0E7E-7D7A-D5A6F3EC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3" name="Picture 727">
          <a:extLst>
            <a:ext uri="{FF2B5EF4-FFF2-40B4-BE49-F238E27FC236}">
              <a16:creationId xmlns:a16="http://schemas.microsoft.com/office/drawing/2014/main" id="{F9CAD062-04BC-95CA-8BD7-FF0D4445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4" name="Picture 728">
          <a:extLst>
            <a:ext uri="{FF2B5EF4-FFF2-40B4-BE49-F238E27FC236}">
              <a16:creationId xmlns:a16="http://schemas.microsoft.com/office/drawing/2014/main" id="{A806E1B0-1CE4-CFDE-D396-3414CB32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5" name="Picture 729">
          <a:extLst>
            <a:ext uri="{FF2B5EF4-FFF2-40B4-BE49-F238E27FC236}">
              <a16:creationId xmlns:a16="http://schemas.microsoft.com/office/drawing/2014/main" id="{239DBCA5-A52F-B2F9-BC00-C0340D63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6" name="Picture 730">
          <a:extLst>
            <a:ext uri="{FF2B5EF4-FFF2-40B4-BE49-F238E27FC236}">
              <a16:creationId xmlns:a16="http://schemas.microsoft.com/office/drawing/2014/main" id="{FD5E82EA-4DAB-41AD-0174-C26AB9CC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7" name="Picture 731">
          <a:extLst>
            <a:ext uri="{FF2B5EF4-FFF2-40B4-BE49-F238E27FC236}">
              <a16:creationId xmlns:a16="http://schemas.microsoft.com/office/drawing/2014/main" id="{72E20B22-CBB8-238C-AB29-E12FA222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8" name="Picture 732">
          <a:extLst>
            <a:ext uri="{FF2B5EF4-FFF2-40B4-BE49-F238E27FC236}">
              <a16:creationId xmlns:a16="http://schemas.microsoft.com/office/drawing/2014/main" id="{C8D7CBA0-9261-381E-0D09-778903E7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9" name="Picture 733">
          <a:extLst>
            <a:ext uri="{FF2B5EF4-FFF2-40B4-BE49-F238E27FC236}">
              <a16:creationId xmlns:a16="http://schemas.microsoft.com/office/drawing/2014/main" id="{B509C7B5-6BC9-3E14-2093-2AB28081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0" name="Picture 734">
          <a:extLst>
            <a:ext uri="{FF2B5EF4-FFF2-40B4-BE49-F238E27FC236}">
              <a16:creationId xmlns:a16="http://schemas.microsoft.com/office/drawing/2014/main" id="{EA8D4C5C-A368-F7B8-D42E-3FEDFFE2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1" name="Picture 735">
          <a:extLst>
            <a:ext uri="{FF2B5EF4-FFF2-40B4-BE49-F238E27FC236}">
              <a16:creationId xmlns:a16="http://schemas.microsoft.com/office/drawing/2014/main" id="{B1E1433D-E6CB-887A-4559-76501EB6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2" name="Picture 736">
          <a:extLst>
            <a:ext uri="{FF2B5EF4-FFF2-40B4-BE49-F238E27FC236}">
              <a16:creationId xmlns:a16="http://schemas.microsoft.com/office/drawing/2014/main" id="{04C56C0A-A5F0-F94A-26A5-4928E1E0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3" name="Picture 737">
          <a:extLst>
            <a:ext uri="{FF2B5EF4-FFF2-40B4-BE49-F238E27FC236}">
              <a16:creationId xmlns:a16="http://schemas.microsoft.com/office/drawing/2014/main" id="{ED666E1F-7702-3DD6-6E4B-5A17DC56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4" name="Picture 738">
          <a:extLst>
            <a:ext uri="{FF2B5EF4-FFF2-40B4-BE49-F238E27FC236}">
              <a16:creationId xmlns:a16="http://schemas.microsoft.com/office/drawing/2014/main" id="{31387861-54A0-317B-71A7-616C281E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5" name="Picture 739">
          <a:extLst>
            <a:ext uri="{FF2B5EF4-FFF2-40B4-BE49-F238E27FC236}">
              <a16:creationId xmlns:a16="http://schemas.microsoft.com/office/drawing/2014/main" id="{C680C97C-4EE2-C920-69AB-3CF1AC31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6" name="Picture 740">
          <a:extLst>
            <a:ext uri="{FF2B5EF4-FFF2-40B4-BE49-F238E27FC236}">
              <a16:creationId xmlns:a16="http://schemas.microsoft.com/office/drawing/2014/main" id="{7F2457FF-BCF5-4215-806C-41E07F38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7" name="Picture 741">
          <a:extLst>
            <a:ext uri="{FF2B5EF4-FFF2-40B4-BE49-F238E27FC236}">
              <a16:creationId xmlns:a16="http://schemas.microsoft.com/office/drawing/2014/main" id="{D07C71F1-03F2-5FBC-5039-A8C1553F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8" name="Picture 742">
          <a:extLst>
            <a:ext uri="{FF2B5EF4-FFF2-40B4-BE49-F238E27FC236}">
              <a16:creationId xmlns:a16="http://schemas.microsoft.com/office/drawing/2014/main" id="{A46C7FA0-0168-A228-6E40-A29669B4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9" name="Picture 743">
          <a:extLst>
            <a:ext uri="{FF2B5EF4-FFF2-40B4-BE49-F238E27FC236}">
              <a16:creationId xmlns:a16="http://schemas.microsoft.com/office/drawing/2014/main" id="{F5A558B0-47EB-415B-A245-77291304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0" name="Picture 744">
          <a:extLst>
            <a:ext uri="{FF2B5EF4-FFF2-40B4-BE49-F238E27FC236}">
              <a16:creationId xmlns:a16="http://schemas.microsoft.com/office/drawing/2014/main" id="{DC79F659-1EA9-5E9A-B525-A95008A3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1" name="Picture 745">
          <a:extLst>
            <a:ext uri="{FF2B5EF4-FFF2-40B4-BE49-F238E27FC236}">
              <a16:creationId xmlns:a16="http://schemas.microsoft.com/office/drawing/2014/main" id="{BA2C5D43-B137-BA0B-DB9B-734C9C69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2" name="Picture 746">
          <a:extLst>
            <a:ext uri="{FF2B5EF4-FFF2-40B4-BE49-F238E27FC236}">
              <a16:creationId xmlns:a16="http://schemas.microsoft.com/office/drawing/2014/main" id="{DBDA2136-5DB8-444D-A472-3CE8231F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3" name="Picture 747">
          <a:extLst>
            <a:ext uri="{FF2B5EF4-FFF2-40B4-BE49-F238E27FC236}">
              <a16:creationId xmlns:a16="http://schemas.microsoft.com/office/drawing/2014/main" id="{19230AC8-DC39-CD0F-E47E-9DAF31F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4" name="Picture 748">
          <a:extLst>
            <a:ext uri="{FF2B5EF4-FFF2-40B4-BE49-F238E27FC236}">
              <a16:creationId xmlns:a16="http://schemas.microsoft.com/office/drawing/2014/main" id="{F473DF5A-BBB1-9EA7-6DAD-E48E6DAA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5" name="Picture 749">
          <a:extLst>
            <a:ext uri="{FF2B5EF4-FFF2-40B4-BE49-F238E27FC236}">
              <a16:creationId xmlns:a16="http://schemas.microsoft.com/office/drawing/2014/main" id="{15F84F53-20EE-9BA3-867A-2478549D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6" name="Picture 750">
          <a:extLst>
            <a:ext uri="{FF2B5EF4-FFF2-40B4-BE49-F238E27FC236}">
              <a16:creationId xmlns:a16="http://schemas.microsoft.com/office/drawing/2014/main" id="{09053389-5030-75E3-6383-E99275E67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7" name="Picture 751">
          <a:extLst>
            <a:ext uri="{FF2B5EF4-FFF2-40B4-BE49-F238E27FC236}">
              <a16:creationId xmlns:a16="http://schemas.microsoft.com/office/drawing/2014/main" id="{9601D13C-8D67-7144-B742-13E12BE2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8" name="Picture 752">
          <a:extLst>
            <a:ext uri="{FF2B5EF4-FFF2-40B4-BE49-F238E27FC236}">
              <a16:creationId xmlns:a16="http://schemas.microsoft.com/office/drawing/2014/main" id="{5EBCFA17-D789-2C28-2BF2-2ADAE98D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9" name="Picture 753">
          <a:extLst>
            <a:ext uri="{FF2B5EF4-FFF2-40B4-BE49-F238E27FC236}">
              <a16:creationId xmlns:a16="http://schemas.microsoft.com/office/drawing/2014/main" id="{39CE3BCE-4EA2-C47D-9F66-70FE2F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0" name="Picture 754">
          <a:extLst>
            <a:ext uri="{FF2B5EF4-FFF2-40B4-BE49-F238E27FC236}">
              <a16:creationId xmlns:a16="http://schemas.microsoft.com/office/drawing/2014/main" id="{86C2B0F1-B65A-C303-BFDF-FC788C5B2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1" name="Picture 755">
          <a:extLst>
            <a:ext uri="{FF2B5EF4-FFF2-40B4-BE49-F238E27FC236}">
              <a16:creationId xmlns:a16="http://schemas.microsoft.com/office/drawing/2014/main" id="{B9828336-7CF1-A118-A988-EAC422797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2" name="Picture 756">
          <a:extLst>
            <a:ext uri="{FF2B5EF4-FFF2-40B4-BE49-F238E27FC236}">
              <a16:creationId xmlns:a16="http://schemas.microsoft.com/office/drawing/2014/main" id="{87FB31BD-EB5E-0F35-7659-FF63F232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3" name="Picture 757">
          <a:extLst>
            <a:ext uri="{FF2B5EF4-FFF2-40B4-BE49-F238E27FC236}">
              <a16:creationId xmlns:a16="http://schemas.microsoft.com/office/drawing/2014/main" id="{B174F979-4C44-4D5E-30C5-84FA20D9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4" name="Picture 758">
          <a:extLst>
            <a:ext uri="{FF2B5EF4-FFF2-40B4-BE49-F238E27FC236}">
              <a16:creationId xmlns:a16="http://schemas.microsoft.com/office/drawing/2014/main" id="{95E06369-8A9B-80C4-6E99-0DC557FD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5" name="Picture 759">
          <a:extLst>
            <a:ext uri="{FF2B5EF4-FFF2-40B4-BE49-F238E27FC236}">
              <a16:creationId xmlns:a16="http://schemas.microsoft.com/office/drawing/2014/main" id="{22FE310F-E8BF-A0B1-38DF-8AB035E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6" name="Picture 760">
          <a:extLst>
            <a:ext uri="{FF2B5EF4-FFF2-40B4-BE49-F238E27FC236}">
              <a16:creationId xmlns:a16="http://schemas.microsoft.com/office/drawing/2014/main" id="{8BCA455A-1C2B-9A10-578A-425E3D48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7" name="Picture 761">
          <a:extLst>
            <a:ext uri="{FF2B5EF4-FFF2-40B4-BE49-F238E27FC236}">
              <a16:creationId xmlns:a16="http://schemas.microsoft.com/office/drawing/2014/main" id="{F286EFA1-D94B-AA26-C3D2-25A1DD04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8" name="Picture 762">
          <a:extLst>
            <a:ext uri="{FF2B5EF4-FFF2-40B4-BE49-F238E27FC236}">
              <a16:creationId xmlns:a16="http://schemas.microsoft.com/office/drawing/2014/main" id="{0E1AAA2F-21B3-F240-4B2B-38AE4ECB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9" name="Picture 763">
          <a:extLst>
            <a:ext uri="{FF2B5EF4-FFF2-40B4-BE49-F238E27FC236}">
              <a16:creationId xmlns:a16="http://schemas.microsoft.com/office/drawing/2014/main" id="{A226FFB6-FCEB-AEA9-7164-D60B9F87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0" name="Picture 764">
          <a:extLst>
            <a:ext uri="{FF2B5EF4-FFF2-40B4-BE49-F238E27FC236}">
              <a16:creationId xmlns:a16="http://schemas.microsoft.com/office/drawing/2014/main" id="{9C8A829B-28DF-AB63-EDFB-AAD692F8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1" name="Picture 765">
          <a:extLst>
            <a:ext uri="{FF2B5EF4-FFF2-40B4-BE49-F238E27FC236}">
              <a16:creationId xmlns:a16="http://schemas.microsoft.com/office/drawing/2014/main" id="{1297C305-3453-DD17-A315-98687D147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2" name="Picture 766">
          <a:extLst>
            <a:ext uri="{FF2B5EF4-FFF2-40B4-BE49-F238E27FC236}">
              <a16:creationId xmlns:a16="http://schemas.microsoft.com/office/drawing/2014/main" id="{69307BB1-0C78-1BFC-907C-809C684C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3" name="Picture 767">
          <a:extLst>
            <a:ext uri="{FF2B5EF4-FFF2-40B4-BE49-F238E27FC236}">
              <a16:creationId xmlns:a16="http://schemas.microsoft.com/office/drawing/2014/main" id="{5D6EAD52-33B7-0E66-38BD-810D9050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4" name="Picture 768">
          <a:extLst>
            <a:ext uri="{FF2B5EF4-FFF2-40B4-BE49-F238E27FC236}">
              <a16:creationId xmlns:a16="http://schemas.microsoft.com/office/drawing/2014/main" id="{648DAD09-DE6E-A401-3446-A20FB3D6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5" name="Picture 769">
          <a:extLst>
            <a:ext uri="{FF2B5EF4-FFF2-40B4-BE49-F238E27FC236}">
              <a16:creationId xmlns:a16="http://schemas.microsoft.com/office/drawing/2014/main" id="{8546E321-E7AA-DFF6-3289-56EAED8C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6" name="Picture 770">
          <a:extLst>
            <a:ext uri="{FF2B5EF4-FFF2-40B4-BE49-F238E27FC236}">
              <a16:creationId xmlns:a16="http://schemas.microsoft.com/office/drawing/2014/main" id="{52DE5F2E-56C3-6F32-702E-C8D7BA3A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7" name="Picture 771">
          <a:extLst>
            <a:ext uri="{FF2B5EF4-FFF2-40B4-BE49-F238E27FC236}">
              <a16:creationId xmlns:a16="http://schemas.microsoft.com/office/drawing/2014/main" id="{90C91285-0134-2751-4523-61C3F7BC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8" name="Picture 772">
          <a:extLst>
            <a:ext uri="{FF2B5EF4-FFF2-40B4-BE49-F238E27FC236}">
              <a16:creationId xmlns:a16="http://schemas.microsoft.com/office/drawing/2014/main" id="{B89A0055-0D2B-D2B5-4E6A-84672B344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9" name="Picture 773">
          <a:extLst>
            <a:ext uri="{FF2B5EF4-FFF2-40B4-BE49-F238E27FC236}">
              <a16:creationId xmlns:a16="http://schemas.microsoft.com/office/drawing/2014/main" id="{BF8C5EC1-9068-325C-C2DD-5B20CC16A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0" name="Picture 774">
          <a:extLst>
            <a:ext uri="{FF2B5EF4-FFF2-40B4-BE49-F238E27FC236}">
              <a16:creationId xmlns:a16="http://schemas.microsoft.com/office/drawing/2014/main" id="{AB45518F-7ADA-D5E0-1490-A49C0BBA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1" name="Picture 775">
          <a:extLst>
            <a:ext uri="{FF2B5EF4-FFF2-40B4-BE49-F238E27FC236}">
              <a16:creationId xmlns:a16="http://schemas.microsoft.com/office/drawing/2014/main" id="{AEF8381F-7C1A-EBB4-6549-802A7AEC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2" name="Picture 776">
          <a:extLst>
            <a:ext uri="{FF2B5EF4-FFF2-40B4-BE49-F238E27FC236}">
              <a16:creationId xmlns:a16="http://schemas.microsoft.com/office/drawing/2014/main" id="{CC030E6D-FF80-4FB4-DA0A-299B7E2F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3" name="Picture 777">
          <a:extLst>
            <a:ext uri="{FF2B5EF4-FFF2-40B4-BE49-F238E27FC236}">
              <a16:creationId xmlns:a16="http://schemas.microsoft.com/office/drawing/2014/main" id="{4DD40AA2-AA99-D3BE-FB7F-21FD5382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4" name="Picture 778">
          <a:extLst>
            <a:ext uri="{FF2B5EF4-FFF2-40B4-BE49-F238E27FC236}">
              <a16:creationId xmlns:a16="http://schemas.microsoft.com/office/drawing/2014/main" id="{5D3F8110-5E4D-7CB3-61DF-3F657B45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5" name="Picture 779">
          <a:extLst>
            <a:ext uri="{FF2B5EF4-FFF2-40B4-BE49-F238E27FC236}">
              <a16:creationId xmlns:a16="http://schemas.microsoft.com/office/drawing/2014/main" id="{A0EDBD65-E105-6507-26C1-C64DCB52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6" name="Picture 780">
          <a:extLst>
            <a:ext uri="{FF2B5EF4-FFF2-40B4-BE49-F238E27FC236}">
              <a16:creationId xmlns:a16="http://schemas.microsoft.com/office/drawing/2014/main" id="{D62A93C5-797A-2515-C5EC-B7B3333B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7" name="Picture 781">
          <a:extLst>
            <a:ext uri="{FF2B5EF4-FFF2-40B4-BE49-F238E27FC236}">
              <a16:creationId xmlns:a16="http://schemas.microsoft.com/office/drawing/2014/main" id="{F1BF4293-FB54-C76A-136A-FC99D8C0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8" name="Picture 782">
          <a:extLst>
            <a:ext uri="{FF2B5EF4-FFF2-40B4-BE49-F238E27FC236}">
              <a16:creationId xmlns:a16="http://schemas.microsoft.com/office/drawing/2014/main" id="{4DEB11A6-2AD3-4265-CB65-6A8F957A2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9" name="Picture 783">
          <a:extLst>
            <a:ext uri="{FF2B5EF4-FFF2-40B4-BE49-F238E27FC236}">
              <a16:creationId xmlns:a16="http://schemas.microsoft.com/office/drawing/2014/main" id="{70040006-6444-A1CE-F280-26FD4049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0" name="Picture 784">
          <a:extLst>
            <a:ext uri="{FF2B5EF4-FFF2-40B4-BE49-F238E27FC236}">
              <a16:creationId xmlns:a16="http://schemas.microsoft.com/office/drawing/2014/main" id="{F58681C6-3211-BC7B-694A-2024D085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1" name="Picture 785">
          <a:extLst>
            <a:ext uri="{FF2B5EF4-FFF2-40B4-BE49-F238E27FC236}">
              <a16:creationId xmlns:a16="http://schemas.microsoft.com/office/drawing/2014/main" id="{C94BC6EC-8DB3-C2F2-DD16-0142E4F1A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2" name="Picture 786">
          <a:extLst>
            <a:ext uri="{FF2B5EF4-FFF2-40B4-BE49-F238E27FC236}">
              <a16:creationId xmlns:a16="http://schemas.microsoft.com/office/drawing/2014/main" id="{7A3AFBEF-20C9-637C-2FB3-001D1B8B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3" name="Picture 787">
          <a:extLst>
            <a:ext uri="{FF2B5EF4-FFF2-40B4-BE49-F238E27FC236}">
              <a16:creationId xmlns:a16="http://schemas.microsoft.com/office/drawing/2014/main" id="{C2E292DE-C854-7D7E-57D6-B18E3B9F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4" name="Picture 788">
          <a:extLst>
            <a:ext uri="{FF2B5EF4-FFF2-40B4-BE49-F238E27FC236}">
              <a16:creationId xmlns:a16="http://schemas.microsoft.com/office/drawing/2014/main" id="{8C78766A-DECA-869B-4E00-B666CEEC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5" name="Picture 789">
          <a:extLst>
            <a:ext uri="{FF2B5EF4-FFF2-40B4-BE49-F238E27FC236}">
              <a16:creationId xmlns:a16="http://schemas.microsoft.com/office/drawing/2014/main" id="{918EE71C-6CBC-19C7-A197-060C69FA9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6" name="Picture 790">
          <a:extLst>
            <a:ext uri="{FF2B5EF4-FFF2-40B4-BE49-F238E27FC236}">
              <a16:creationId xmlns:a16="http://schemas.microsoft.com/office/drawing/2014/main" id="{570233CA-E44E-B227-4008-10F3F8D7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7" name="Picture 791">
          <a:extLst>
            <a:ext uri="{FF2B5EF4-FFF2-40B4-BE49-F238E27FC236}">
              <a16:creationId xmlns:a16="http://schemas.microsoft.com/office/drawing/2014/main" id="{8134359B-912C-4130-3C01-3813560F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8" name="Picture 792">
          <a:extLst>
            <a:ext uri="{FF2B5EF4-FFF2-40B4-BE49-F238E27FC236}">
              <a16:creationId xmlns:a16="http://schemas.microsoft.com/office/drawing/2014/main" id="{503D02D5-49BC-D4A6-D295-4D8EEA26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9" name="Picture 793">
          <a:extLst>
            <a:ext uri="{FF2B5EF4-FFF2-40B4-BE49-F238E27FC236}">
              <a16:creationId xmlns:a16="http://schemas.microsoft.com/office/drawing/2014/main" id="{9CA9F02C-0EEE-A19E-94B5-95AAC43C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0" name="Picture 794">
          <a:extLst>
            <a:ext uri="{FF2B5EF4-FFF2-40B4-BE49-F238E27FC236}">
              <a16:creationId xmlns:a16="http://schemas.microsoft.com/office/drawing/2014/main" id="{C78D376D-5C7B-5DF1-B9B5-877A39CE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1" name="Picture 795">
          <a:extLst>
            <a:ext uri="{FF2B5EF4-FFF2-40B4-BE49-F238E27FC236}">
              <a16:creationId xmlns:a16="http://schemas.microsoft.com/office/drawing/2014/main" id="{A0484598-13B6-DC81-F52C-DD8DAE0E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2" name="Picture 796">
          <a:extLst>
            <a:ext uri="{FF2B5EF4-FFF2-40B4-BE49-F238E27FC236}">
              <a16:creationId xmlns:a16="http://schemas.microsoft.com/office/drawing/2014/main" id="{0F49B680-93D0-150E-D968-A42B2B26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3" name="Picture 797">
          <a:extLst>
            <a:ext uri="{FF2B5EF4-FFF2-40B4-BE49-F238E27FC236}">
              <a16:creationId xmlns:a16="http://schemas.microsoft.com/office/drawing/2014/main" id="{95068A5D-BAA4-C3D1-34BE-B5EA345A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4" name="Picture 798">
          <a:extLst>
            <a:ext uri="{FF2B5EF4-FFF2-40B4-BE49-F238E27FC236}">
              <a16:creationId xmlns:a16="http://schemas.microsoft.com/office/drawing/2014/main" id="{C67549A9-E585-64D0-2517-FC8EE5C0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5" name="Picture 799">
          <a:extLst>
            <a:ext uri="{FF2B5EF4-FFF2-40B4-BE49-F238E27FC236}">
              <a16:creationId xmlns:a16="http://schemas.microsoft.com/office/drawing/2014/main" id="{103C82E6-4CB6-EE89-99F4-DD2A9916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6" name="Picture 800">
          <a:extLst>
            <a:ext uri="{FF2B5EF4-FFF2-40B4-BE49-F238E27FC236}">
              <a16:creationId xmlns:a16="http://schemas.microsoft.com/office/drawing/2014/main" id="{29DD1378-AE4E-3BC3-F08E-7D00D161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7" name="Picture 801">
          <a:extLst>
            <a:ext uri="{FF2B5EF4-FFF2-40B4-BE49-F238E27FC236}">
              <a16:creationId xmlns:a16="http://schemas.microsoft.com/office/drawing/2014/main" id="{03DD644D-F83B-62E4-2519-0100A53AA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8" name="Picture 802">
          <a:extLst>
            <a:ext uri="{FF2B5EF4-FFF2-40B4-BE49-F238E27FC236}">
              <a16:creationId xmlns:a16="http://schemas.microsoft.com/office/drawing/2014/main" id="{1C29323E-0BC2-98F8-3111-CFB33D81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9" name="Picture 803">
          <a:extLst>
            <a:ext uri="{FF2B5EF4-FFF2-40B4-BE49-F238E27FC236}">
              <a16:creationId xmlns:a16="http://schemas.microsoft.com/office/drawing/2014/main" id="{9898F9FA-3F30-789F-8262-43EDCC50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0" name="Picture 804">
          <a:extLst>
            <a:ext uri="{FF2B5EF4-FFF2-40B4-BE49-F238E27FC236}">
              <a16:creationId xmlns:a16="http://schemas.microsoft.com/office/drawing/2014/main" id="{E7E7AA3C-63DF-1E7E-49A0-6DB9A027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1" name="Picture 805">
          <a:extLst>
            <a:ext uri="{FF2B5EF4-FFF2-40B4-BE49-F238E27FC236}">
              <a16:creationId xmlns:a16="http://schemas.microsoft.com/office/drawing/2014/main" id="{1B0346C2-884D-B40B-CB06-0AA7E9F4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2" name="Picture 806">
          <a:extLst>
            <a:ext uri="{FF2B5EF4-FFF2-40B4-BE49-F238E27FC236}">
              <a16:creationId xmlns:a16="http://schemas.microsoft.com/office/drawing/2014/main" id="{0B526D0E-5D43-32D7-69C1-72AF78F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3" name="Picture 807">
          <a:extLst>
            <a:ext uri="{FF2B5EF4-FFF2-40B4-BE49-F238E27FC236}">
              <a16:creationId xmlns:a16="http://schemas.microsoft.com/office/drawing/2014/main" id="{E31F3A92-2F24-1B31-5984-CAE3E389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4" name="Picture 808">
          <a:extLst>
            <a:ext uri="{FF2B5EF4-FFF2-40B4-BE49-F238E27FC236}">
              <a16:creationId xmlns:a16="http://schemas.microsoft.com/office/drawing/2014/main" id="{B7B3CF39-E215-F088-24E8-1C0896AD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5" name="Picture 809">
          <a:extLst>
            <a:ext uri="{FF2B5EF4-FFF2-40B4-BE49-F238E27FC236}">
              <a16:creationId xmlns:a16="http://schemas.microsoft.com/office/drawing/2014/main" id="{755CB787-91F9-3864-70C1-00262FE8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6" name="Picture 810">
          <a:extLst>
            <a:ext uri="{FF2B5EF4-FFF2-40B4-BE49-F238E27FC236}">
              <a16:creationId xmlns:a16="http://schemas.microsoft.com/office/drawing/2014/main" id="{F36AD3B5-5A45-3DDF-53B2-B69BF3E4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7" name="Picture 811">
          <a:extLst>
            <a:ext uri="{FF2B5EF4-FFF2-40B4-BE49-F238E27FC236}">
              <a16:creationId xmlns:a16="http://schemas.microsoft.com/office/drawing/2014/main" id="{D240F877-9BCE-20AC-11F3-F2D58732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8" name="Picture 812">
          <a:extLst>
            <a:ext uri="{FF2B5EF4-FFF2-40B4-BE49-F238E27FC236}">
              <a16:creationId xmlns:a16="http://schemas.microsoft.com/office/drawing/2014/main" id="{A02667F2-15EF-34D0-4B8F-6D2BEBA4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9" name="Picture 813">
          <a:extLst>
            <a:ext uri="{FF2B5EF4-FFF2-40B4-BE49-F238E27FC236}">
              <a16:creationId xmlns:a16="http://schemas.microsoft.com/office/drawing/2014/main" id="{E76C2AD2-0D81-96A8-022B-9EAE742F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0" name="Picture 814">
          <a:extLst>
            <a:ext uri="{FF2B5EF4-FFF2-40B4-BE49-F238E27FC236}">
              <a16:creationId xmlns:a16="http://schemas.microsoft.com/office/drawing/2014/main" id="{6955E229-78B4-5BA7-0660-0661214AD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1" name="Picture 815">
          <a:extLst>
            <a:ext uri="{FF2B5EF4-FFF2-40B4-BE49-F238E27FC236}">
              <a16:creationId xmlns:a16="http://schemas.microsoft.com/office/drawing/2014/main" id="{4A3DC144-D342-4363-6D64-8E5FC75A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2" name="Picture 816">
          <a:extLst>
            <a:ext uri="{FF2B5EF4-FFF2-40B4-BE49-F238E27FC236}">
              <a16:creationId xmlns:a16="http://schemas.microsoft.com/office/drawing/2014/main" id="{3403156D-D692-B6E7-9D5A-FABCC860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3" name="Picture 817">
          <a:extLst>
            <a:ext uri="{FF2B5EF4-FFF2-40B4-BE49-F238E27FC236}">
              <a16:creationId xmlns:a16="http://schemas.microsoft.com/office/drawing/2014/main" id="{CA6A4DC5-2125-4DE8-3534-C3D085D3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4" name="Picture 818">
          <a:extLst>
            <a:ext uri="{FF2B5EF4-FFF2-40B4-BE49-F238E27FC236}">
              <a16:creationId xmlns:a16="http://schemas.microsoft.com/office/drawing/2014/main" id="{5D704A47-D77F-512A-CF52-B21654C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5" name="Picture 819">
          <a:extLst>
            <a:ext uri="{FF2B5EF4-FFF2-40B4-BE49-F238E27FC236}">
              <a16:creationId xmlns:a16="http://schemas.microsoft.com/office/drawing/2014/main" id="{C26017A3-9020-27F3-4B40-3405C5A9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6" name="Picture 820">
          <a:extLst>
            <a:ext uri="{FF2B5EF4-FFF2-40B4-BE49-F238E27FC236}">
              <a16:creationId xmlns:a16="http://schemas.microsoft.com/office/drawing/2014/main" id="{4C5B0A46-1853-D1F7-0B5D-5870C196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7" name="Picture 821">
          <a:extLst>
            <a:ext uri="{FF2B5EF4-FFF2-40B4-BE49-F238E27FC236}">
              <a16:creationId xmlns:a16="http://schemas.microsoft.com/office/drawing/2014/main" id="{E4F307F5-3BD6-4140-0D67-69EA0D17B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8" name="Picture 822">
          <a:extLst>
            <a:ext uri="{FF2B5EF4-FFF2-40B4-BE49-F238E27FC236}">
              <a16:creationId xmlns:a16="http://schemas.microsoft.com/office/drawing/2014/main" id="{22BCFF1C-785B-8FEA-336B-62DC1501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9" name="Picture 823">
          <a:extLst>
            <a:ext uri="{FF2B5EF4-FFF2-40B4-BE49-F238E27FC236}">
              <a16:creationId xmlns:a16="http://schemas.microsoft.com/office/drawing/2014/main" id="{344C8B44-C760-E770-6E98-3EB31B6B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0" name="Picture 824">
          <a:extLst>
            <a:ext uri="{FF2B5EF4-FFF2-40B4-BE49-F238E27FC236}">
              <a16:creationId xmlns:a16="http://schemas.microsoft.com/office/drawing/2014/main" id="{661A7912-26EC-3C1A-BE44-5090453E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1" name="Picture 825">
          <a:extLst>
            <a:ext uri="{FF2B5EF4-FFF2-40B4-BE49-F238E27FC236}">
              <a16:creationId xmlns:a16="http://schemas.microsoft.com/office/drawing/2014/main" id="{5B432123-2546-E8B9-10D8-57287A1F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2" name="Picture 826">
          <a:extLst>
            <a:ext uri="{FF2B5EF4-FFF2-40B4-BE49-F238E27FC236}">
              <a16:creationId xmlns:a16="http://schemas.microsoft.com/office/drawing/2014/main" id="{A2C07F57-3B01-322C-1C79-9DF76609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3" name="Picture 827">
          <a:extLst>
            <a:ext uri="{FF2B5EF4-FFF2-40B4-BE49-F238E27FC236}">
              <a16:creationId xmlns:a16="http://schemas.microsoft.com/office/drawing/2014/main" id="{52F63E7E-D71F-9577-31BE-B41EBE83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4" name="Picture 828">
          <a:extLst>
            <a:ext uri="{FF2B5EF4-FFF2-40B4-BE49-F238E27FC236}">
              <a16:creationId xmlns:a16="http://schemas.microsoft.com/office/drawing/2014/main" id="{D60D6E78-B726-02E8-5394-4F49D590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5" name="Picture 829">
          <a:extLst>
            <a:ext uri="{FF2B5EF4-FFF2-40B4-BE49-F238E27FC236}">
              <a16:creationId xmlns:a16="http://schemas.microsoft.com/office/drawing/2014/main" id="{6EC88D71-9E07-0040-3F3B-38E3CB00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6" name="Picture 830">
          <a:extLst>
            <a:ext uri="{FF2B5EF4-FFF2-40B4-BE49-F238E27FC236}">
              <a16:creationId xmlns:a16="http://schemas.microsoft.com/office/drawing/2014/main" id="{4FCE06CF-8160-59F0-C7C1-DDC41BE2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7" name="Picture 831">
          <a:extLst>
            <a:ext uri="{FF2B5EF4-FFF2-40B4-BE49-F238E27FC236}">
              <a16:creationId xmlns:a16="http://schemas.microsoft.com/office/drawing/2014/main" id="{BC5F46AE-8A09-2B13-46A7-4732A4154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8" name="Picture 832">
          <a:extLst>
            <a:ext uri="{FF2B5EF4-FFF2-40B4-BE49-F238E27FC236}">
              <a16:creationId xmlns:a16="http://schemas.microsoft.com/office/drawing/2014/main" id="{A3063DF8-E57B-5426-842E-DA00E097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9" name="Picture 833">
          <a:extLst>
            <a:ext uri="{FF2B5EF4-FFF2-40B4-BE49-F238E27FC236}">
              <a16:creationId xmlns:a16="http://schemas.microsoft.com/office/drawing/2014/main" id="{9D700827-DD2A-1ACF-CC1D-4ABEADAE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0" name="Picture 834">
          <a:extLst>
            <a:ext uri="{FF2B5EF4-FFF2-40B4-BE49-F238E27FC236}">
              <a16:creationId xmlns:a16="http://schemas.microsoft.com/office/drawing/2014/main" id="{E8FE20CB-C8B8-43A2-404D-BDBD490B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1" name="Picture 835">
          <a:extLst>
            <a:ext uri="{FF2B5EF4-FFF2-40B4-BE49-F238E27FC236}">
              <a16:creationId xmlns:a16="http://schemas.microsoft.com/office/drawing/2014/main" id="{CFCD9FE9-779C-94D3-6775-94308A229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2" name="Picture 836">
          <a:extLst>
            <a:ext uri="{FF2B5EF4-FFF2-40B4-BE49-F238E27FC236}">
              <a16:creationId xmlns:a16="http://schemas.microsoft.com/office/drawing/2014/main" id="{35859C5C-46F5-C3F4-357C-EC207AB3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3" name="Picture 837">
          <a:extLst>
            <a:ext uri="{FF2B5EF4-FFF2-40B4-BE49-F238E27FC236}">
              <a16:creationId xmlns:a16="http://schemas.microsoft.com/office/drawing/2014/main" id="{9B5EBF03-ABC0-8B71-9C4D-C1B4E1A2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4" name="Picture 838">
          <a:extLst>
            <a:ext uri="{FF2B5EF4-FFF2-40B4-BE49-F238E27FC236}">
              <a16:creationId xmlns:a16="http://schemas.microsoft.com/office/drawing/2014/main" id="{7B57CA5F-1D09-DF8E-DBD4-2019D2C7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5" name="Picture 839">
          <a:extLst>
            <a:ext uri="{FF2B5EF4-FFF2-40B4-BE49-F238E27FC236}">
              <a16:creationId xmlns:a16="http://schemas.microsoft.com/office/drawing/2014/main" id="{C955FBA4-A0AF-0F40-1341-86D74CD7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6" name="Picture 840">
          <a:extLst>
            <a:ext uri="{FF2B5EF4-FFF2-40B4-BE49-F238E27FC236}">
              <a16:creationId xmlns:a16="http://schemas.microsoft.com/office/drawing/2014/main" id="{5C614D93-65F6-9F5A-656D-E3EBCA71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7" name="Picture 841">
          <a:extLst>
            <a:ext uri="{FF2B5EF4-FFF2-40B4-BE49-F238E27FC236}">
              <a16:creationId xmlns:a16="http://schemas.microsoft.com/office/drawing/2014/main" id="{82D1CD42-34E0-A6D2-9763-65F524D5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8" name="Picture 842">
          <a:extLst>
            <a:ext uri="{FF2B5EF4-FFF2-40B4-BE49-F238E27FC236}">
              <a16:creationId xmlns:a16="http://schemas.microsoft.com/office/drawing/2014/main" id="{4FA638AD-E123-87E7-49C6-FBBF1837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9" name="Picture 843">
          <a:extLst>
            <a:ext uri="{FF2B5EF4-FFF2-40B4-BE49-F238E27FC236}">
              <a16:creationId xmlns:a16="http://schemas.microsoft.com/office/drawing/2014/main" id="{CE8C9096-6FE0-DBDF-F504-B93F2F86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0" name="Picture 844">
          <a:extLst>
            <a:ext uri="{FF2B5EF4-FFF2-40B4-BE49-F238E27FC236}">
              <a16:creationId xmlns:a16="http://schemas.microsoft.com/office/drawing/2014/main" id="{B9D247B8-C61E-A848-EDF8-6E8434AB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1" name="Picture 845">
          <a:extLst>
            <a:ext uri="{FF2B5EF4-FFF2-40B4-BE49-F238E27FC236}">
              <a16:creationId xmlns:a16="http://schemas.microsoft.com/office/drawing/2014/main" id="{676F4EB8-E520-049F-E4B2-7D984F3E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2" name="Picture 846">
          <a:extLst>
            <a:ext uri="{FF2B5EF4-FFF2-40B4-BE49-F238E27FC236}">
              <a16:creationId xmlns:a16="http://schemas.microsoft.com/office/drawing/2014/main" id="{C7AAFE3C-B634-2519-B83D-78902D82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3" name="Picture 847">
          <a:extLst>
            <a:ext uri="{FF2B5EF4-FFF2-40B4-BE49-F238E27FC236}">
              <a16:creationId xmlns:a16="http://schemas.microsoft.com/office/drawing/2014/main" id="{1A34CFDB-D906-628B-D456-443E2BC6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4" name="Picture 848">
          <a:extLst>
            <a:ext uri="{FF2B5EF4-FFF2-40B4-BE49-F238E27FC236}">
              <a16:creationId xmlns:a16="http://schemas.microsoft.com/office/drawing/2014/main" id="{F1DC73B1-0AAD-8666-0086-CE34DB8D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5" name="Picture 849">
          <a:extLst>
            <a:ext uri="{FF2B5EF4-FFF2-40B4-BE49-F238E27FC236}">
              <a16:creationId xmlns:a16="http://schemas.microsoft.com/office/drawing/2014/main" id="{4B421337-68B2-8AC5-5895-FF8CCC75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6" name="Picture 850">
          <a:extLst>
            <a:ext uri="{FF2B5EF4-FFF2-40B4-BE49-F238E27FC236}">
              <a16:creationId xmlns:a16="http://schemas.microsoft.com/office/drawing/2014/main" id="{DA83E937-6843-343B-4D25-3776A083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7" name="Picture 851">
          <a:extLst>
            <a:ext uri="{FF2B5EF4-FFF2-40B4-BE49-F238E27FC236}">
              <a16:creationId xmlns:a16="http://schemas.microsoft.com/office/drawing/2014/main" id="{5C5930B2-C560-1540-BE11-BB6A2452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8" name="Picture 852">
          <a:extLst>
            <a:ext uri="{FF2B5EF4-FFF2-40B4-BE49-F238E27FC236}">
              <a16:creationId xmlns:a16="http://schemas.microsoft.com/office/drawing/2014/main" id="{4EE1B0E9-E6FF-3B19-01EC-598CC8EA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9" name="Picture 853">
          <a:extLst>
            <a:ext uri="{FF2B5EF4-FFF2-40B4-BE49-F238E27FC236}">
              <a16:creationId xmlns:a16="http://schemas.microsoft.com/office/drawing/2014/main" id="{C74475F4-84F8-467A-1694-C9107C64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0" name="Picture 854">
          <a:extLst>
            <a:ext uri="{FF2B5EF4-FFF2-40B4-BE49-F238E27FC236}">
              <a16:creationId xmlns:a16="http://schemas.microsoft.com/office/drawing/2014/main" id="{3E3F8ABD-939E-7644-CBBE-4A8567B89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1" name="Picture 855">
          <a:extLst>
            <a:ext uri="{FF2B5EF4-FFF2-40B4-BE49-F238E27FC236}">
              <a16:creationId xmlns:a16="http://schemas.microsoft.com/office/drawing/2014/main" id="{07916F5A-F159-EE95-CDE9-11CEDDD9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2" name="Picture 856">
          <a:extLst>
            <a:ext uri="{FF2B5EF4-FFF2-40B4-BE49-F238E27FC236}">
              <a16:creationId xmlns:a16="http://schemas.microsoft.com/office/drawing/2014/main" id="{BDC66F53-FC1F-6E53-E9E4-BDE064FA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3" name="Picture 857">
          <a:extLst>
            <a:ext uri="{FF2B5EF4-FFF2-40B4-BE49-F238E27FC236}">
              <a16:creationId xmlns:a16="http://schemas.microsoft.com/office/drawing/2014/main" id="{2D4D474E-049F-F81D-90D9-D7302954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4" name="Picture 858">
          <a:extLst>
            <a:ext uri="{FF2B5EF4-FFF2-40B4-BE49-F238E27FC236}">
              <a16:creationId xmlns:a16="http://schemas.microsoft.com/office/drawing/2014/main" id="{D99E8C36-3178-FB62-7345-6257F808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5" name="Picture 859">
          <a:extLst>
            <a:ext uri="{FF2B5EF4-FFF2-40B4-BE49-F238E27FC236}">
              <a16:creationId xmlns:a16="http://schemas.microsoft.com/office/drawing/2014/main" id="{A27AA452-A205-CBC7-D72B-8BEF9B77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6" name="Picture 860">
          <a:extLst>
            <a:ext uri="{FF2B5EF4-FFF2-40B4-BE49-F238E27FC236}">
              <a16:creationId xmlns:a16="http://schemas.microsoft.com/office/drawing/2014/main" id="{6F3021D6-83A3-544C-F835-63E2BB54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7" name="Picture 861">
          <a:extLst>
            <a:ext uri="{FF2B5EF4-FFF2-40B4-BE49-F238E27FC236}">
              <a16:creationId xmlns:a16="http://schemas.microsoft.com/office/drawing/2014/main" id="{92576936-CD8A-907B-7710-2DB66EA1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8" name="Picture 862">
          <a:extLst>
            <a:ext uri="{FF2B5EF4-FFF2-40B4-BE49-F238E27FC236}">
              <a16:creationId xmlns:a16="http://schemas.microsoft.com/office/drawing/2014/main" id="{14EE32D8-1C0E-1CB4-12A2-BD4A3070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9" name="Picture 863">
          <a:extLst>
            <a:ext uri="{FF2B5EF4-FFF2-40B4-BE49-F238E27FC236}">
              <a16:creationId xmlns:a16="http://schemas.microsoft.com/office/drawing/2014/main" id="{1E2F3DCA-9632-D9F2-5397-FFD9160E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0" name="Picture 864">
          <a:extLst>
            <a:ext uri="{FF2B5EF4-FFF2-40B4-BE49-F238E27FC236}">
              <a16:creationId xmlns:a16="http://schemas.microsoft.com/office/drawing/2014/main" id="{0896BEE3-55C9-75B4-22E2-88380872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1" name="Picture 865">
          <a:extLst>
            <a:ext uri="{FF2B5EF4-FFF2-40B4-BE49-F238E27FC236}">
              <a16:creationId xmlns:a16="http://schemas.microsoft.com/office/drawing/2014/main" id="{586B25C1-5FE3-D2F5-DF38-BACF318D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2" name="Picture 866">
          <a:extLst>
            <a:ext uri="{FF2B5EF4-FFF2-40B4-BE49-F238E27FC236}">
              <a16:creationId xmlns:a16="http://schemas.microsoft.com/office/drawing/2014/main" id="{584723F6-B88A-B4C4-2DD4-F44FF920C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3" name="Picture 867">
          <a:extLst>
            <a:ext uri="{FF2B5EF4-FFF2-40B4-BE49-F238E27FC236}">
              <a16:creationId xmlns:a16="http://schemas.microsoft.com/office/drawing/2014/main" id="{C7711833-DE12-97FF-2945-EC93F72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4" name="Picture 868">
          <a:extLst>
            <a:ext uri="{FF2B5EF4-FFF2-40B4-BE49-F238E27FC236}">
              <a16:creationId xmlns:a16="http://schemas.microsoft.com/office/drawing/2014/main" id="{DE066812-CDFC-D793-7EFC-16FCA214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5" name="Picture 869">
          <a:extLst>
            <a:ext uri="{FF2B5EF4-FFF2-40B4-BE49-F238E27FC236}">
              <a16:creationId xmlns:a16="http://schemas.microsoft.com/office/drawing/2014/main" id="{CDE34D63-C8B1-F758-2CF5-BEB5858B7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6" name="Picture 870">
          <a:extLst>
            <a:ext uri="{FF2B5EF4-FFF2-40B4-BE49-F238E27FC236}">
              <a16:creationId xmlns:a16="http://schemas.microsoft.com/office/drawing/2014/main" id="{05144C85-3B3F-BB73-A64F-1AC515AC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7" name="Picture 871">
          <a:extLst>
            <a:ext uri="{FF2B5EF4-FFF2-40B4-BE49-F238E27FC236}">
              <a16:creationId xmlns:a16="http://schemas.microsoft.com/office/drawing/2014/main" id="{1BAEB917-6269-6090-56B1-5328C9CF0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8" name="Picture 872">
          <a:extLst>
            <a:ext uri="{FF2B5EF4-FFF2-40B4-BE49-F238E27FC236}">
              <a16:creationId xmlns:a16="http://schemas.microsoft.com/office/drawing/2014/main" id="{BA1E9109-5E13-F4EA-89B3-D174D05B1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9" name="Picture 873">
          <a:extLst>
            <a:ext uri="{FF2B5EF4-FFF2-40B4-BE49-F238E27FC236}">
              <a16:creationId xmlns:a16="http://schemas.microsoft.com/office/drawing/2014/main" id="{98223A7E-0DE1-748D-8D05-49A0DAD5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0" name="Picture 874">
          <a:extLst>
            <a:ext uri="{FF2B5EF4-FFF2-40B4-BE49-F238E27FC236}">
              <a16:creationId xmlns:a16="http://schemas.microsoft.com/office/drawing/2014/main" id="{9DF5DC09-3B5A-EE71-71CB-B442B470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1" name="Picture 875">
          <a:extLst>
            <a:ext uri="{FF2B5EF4-FFF2-40B4-BE49-F238E27FC236}">
              <a16:creationId xmlns:a16="http://schemas.microsoft.com/office/drawing/2014/main" id="{11FB8DC1-3F11-781B-8E25-C165B356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2" name="Picture 876">
          <a:extLst>
            <a:ext uri="{FF2B5EF4-FFF2-40B4-BE49-F238E27FC236}">
              <a16:creationId xmlns:a16="http://schemas.microsoft.com/office/drawing/2014/main" id="{F58226DC-51CC-6063-D73E-1D36D1EB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3" name="Picture 877">
          <a:extLst>
            <a:ext uri="{FF2B5EF4-FFF2-40B4-BE49-F238E27FC236}">
              <a16:creationId xmlns:a16="http://schemas.microsoft.com/office/drawing/2014/main" id="{59D8D711-C6DC-FD60-18EE-87C61473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4" name="Picture 878">
          <a:extLst>
            <a:ext uri="{FF2B5EF4-FFF2-40B4-BE49-F238E27FC236}">
              <a16:creationId xmlns:a16="http://schemas.microsoft.com/office/drawing/2014/main" id="{800EC807-D484-667D-1861-BC480438E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5" name="Picture 879">
          <a:extLst>
            <a:ext uri="{FF2B5EF4-FFF2-40B4-BE49-F238E27FC236}">
              <a16:creationId xmlns:a16="http://schemas.microsoft.com/office/drawing/2014/main" id="{08EBEBBF-65FD-5E9C-0C5F-1B4561C7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6" name="Picture 880">
          <a:extLst>
            <a:ext uri="{FF2B5EF4-FFF2-40B4-BE49-F238E27FC236}">
              <a16:creationId xmlns:a16="http://schemas.microsoft.com/office/drawing/2014/main" id="{0811166D-2F84-BBFC-EE46-AED04AAF7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7" name="Picture 881">
          <a:extLst>
            <a:ext uri="{FF2B5EF4-FFF2-40B4-BE49-F238E27FC236}">
              <a16:creationId xmlns:a16="http://schemas.microsoft.com/office/drawing/2014/main" id="{B5811459-B63A-8F3A-99C3-78DFAEF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8" name="Picture 882">
          <a:extLst>
            <a:ext uri="{FF2B5EF4-FFF2-40B4-BE49-F238E27FC236}">
              <a16:creationId xmlns:a16="http://schemas.microsoft.com/office/drawing/2014/main" id="{CA799664-0740-61D9-660C-E379D622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9" name="Picture 883">
          <a:extLst>
            <a:ext uri="{FF2B5EF4-FFF2-40B4-BE49-F238E27FC236}">
              <a16:creationId xmlns:a16="http://schemas.microsoft.com/office/drawing/2014/main" id="{BDCCCF96-531A-EDCC-AAA7-BE37F064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0" name="Picture 884">
          <a:extLst>
            <a:ext uri="{FF2B5EF4-FFF2-40B4-BE49-F238E27FC236}">
              <a16:creationId xmlns:a16="http://schemas.microsoft.com/office/drawing/2014/main" id="{0F87E265-0869-F253-B914-6CD289F7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1" name="Picture 885">
          <a:extLst>
            <a:ext uri="{FF2B5EF4-FFF2-40B4-BE49-F238E27FC236}">
              <a16:creationId xmlns:a16="http://schemas.microsoft.com/office/drawing/2014/main" id="{58A2CB9D-A187-7CAC-7EA7-9166E4CE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2" name="Picture 886">
          <a:extLst>
            <a:ext uri="{FF2B5EF4-FFF2-40B4-BE49-F238E27FC236}">
              <a16:creationId xmlns:a16="http://schemas.microsoft.com/office/drawing/2014/main" id="{21822ABE-AF7A-ED97-10CF-EC5A9559D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3" name="Picture 887">
          <a:extLst>
            <a:ext uri="{FF2B5EF4-FFF2-40B4-BE49-F238E27FC236}">
              <a16:creationId xmlns:a16="http://schemas.microsoft.com/office/drawing/2014/main" id="{D5A0F74A-3B7D-25CD-FF68-0D2489C6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4" name="Picture 888">
          <a:extLst>
            <a:ext uri="{FF2B5EF4-FFF2-40B4-BE49-F238E27FC236}">
              <a16:creationId xmlns:a16="http://schemas.microsoft.com/office/drawing/2014/main" id="{BA246786-38E7-2BAB-2036-01547E1D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5" name="Picture 889">
          <a:extLst>
            <a:ext uri="{FF2B5EF4-FFF2-40B4-BE49-F238E27FC236}">
              <a16:creationId xmlns:a16="http://schemas.microsoft.com/office/drawing/2014/main" id="{DC2DBBAD-A241-02F5-6A82-8E0AA7E9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6" name="Picture 890">
          <a:extLst>
            <a:ext uri="{FF2B5EF4-FFF2-40B4-BE49-F238E27FC236}">
              <a16:creationId xmlns:a16="http://schemas.microsoft.com/office/drawing/2014/main" id="{5FFB38C2-4F50-75C1-9641-85125174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7" name="Picture 891">
          <a:extLst>
            <a:ext uri="{FF2B5EF4-FFF2-40B4-BE49-F238E27FC236}">
              <a16:creationId xmlns:a16="http://schemas.microsoft.com/office/drawing/2014/main" id="{A5B1F789-AAAB-5BC9-C6D7-32917BC9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8" name="Picture 892">
          <a:extLst>
            <a:ext uri="{FF2B5EF4-FFF2-40B4-BE49-F238E27FC236}">
              <a16:creationId xmlns:a16="http://schemas.microsoft.com/office/drawing/2014/main" id="{130C71C1-D695-4FE2-69BA-34FC697E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9" name="Picture 893">
          <a:extLst>
            <a:ext uri="{FF2B5EF4-FFF2-40B4-BE49-F238E27FC236}">
              <a16:creationId xmlns:a16="http://schemas.microsoft.com/office/drawing/2014/main" id="{70D148D6-A518-2AC0-66A3-768E9093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0" name="Picture 894">
          <a:extLst>
            <a:ext uri="{FF2B5EF4-FFF2-40B4-BE49-F238E27FC236}">
              <a16:creationId xmlns:a16="http://schemas.microsoft.com/office/drawing/2014/main" id="{FBE4E170-E862-D07E-0BC9-3ED8E6DD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1" name="Picture 895">
          <a:extLst>
            <a:ext uri="{FF2B5EF4-FFF2-40B4-BE49-F238E27FC236}">
              <a16:creationId xmlns:a16="http://schemas.microsoft.com/office/drawing/2014/main" id="{9AB191AA-717B-CD43-A2CA-4003FA9E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2" name="Picture 896">
          <a:extLst>
            <a:ext uri="{FF2B5EF4-FFF2-40B4-BE49-F238E27FC236}">
              <a16:creationId xmlns:a16="http://schemas.microsoft.com/office/drawing/2014/main" id="{23AEE9C5-684F-8BE3-C7DD-1137CF8F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3" name="Picture 897">
          <a:extLst>
            <a:ext uri="{FF2B5EF4-FFF2-40B4-BE49-F238E27FC236}">
              <a16:creationId xmlns:a16="http://schemas.microsoft.com/office/drawing/2014/main" id="{B42F5AA1-9FD2-D8AE-0C4F-DE25959F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4" name="Picture 898">
          <a:extLst>
            <a:ext uri="{FF2B5EF4-FFF2-40B4-BE49-F238E27FC236}">
              <a16:creationId xmlns:a16="http://schemas.microsoft.com/office/drawing/2014/main" id="{915B25CF-EAFA-05AB-A79E-71AE2FFC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5" name="Picture 899">
          <a:extLst>
            <a:ext uri="{FF2B5EF4-FFF2-40B4-BE49-F238E27FC236}">
              <a16:creationId xmlns:a16="http://schemas.microsoft.com/office/drawing/2014/main" id="{2E5D4EF5-1CF6-4C2D-177A-B1DDE190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6" name="Picture 900">
          <a:extLst>
            <a:ext uri="{FF2B5EF4-FFF2-40B4-BE49-F238E27FC236}">
              <a16:creationId xmlns:a16="http://schemas.microsoft.com/office/drawing/2014/main" id="{33ED81A4-5108-2FBD-CD7A-88330B00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7" name="Picture 901">
          <a:extLst>
            <a:ext uri="{FF2B5EF4-FFF2-40B4-BE49-F238E27FC236}">
              <a16:creationId xmlns:a16="http://schemas.microsoft.com/office/drawing/2014/main" id="{840FC4B2-5881-EBE7-F2C0-EFEFA030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8" name="Picture 902">
          <a:extLst>
            <a:ext uri="{FF2B5EF4-FFF2-40B4-BE49-F238E27FC236}">
              <a16:creationId xmlns:a16="http://schemas.microsoft.com/office/drawing/2014/main" id="{BEE8C06B-DF13-749A-052D-44FB9728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9" name="Picture 903">
          <a:extLst>
            <a:ext uri="{FF2B5EF4-FFF2-40B4-BE49-F238E27FC236}">
              <a16:creationId xmlns:a16="http://schemas.microsoft.com/office/drawing/2014/main" id="{908FF21E-CDFE-5EA5-8081-3A99D232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0" name="Picture 904">
          <a:extLst>
            <a:ext uri="{FF2B5EF4-FFF2-40B4-BE49-F238E27FC236}">
              <a16:creationId xmlns:a16="http://schemas.microsoft.com/office/drawing/2014/main" id="{301B5883-5813-60C9-15B3-1C02C2C7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1" name="Picture 905">
          <a:extLst>
            <a:ext uri="{FF2B5EF4-FFF2-40B4-BE49-F238E27FC236}">
              <a16:creationId xmlns:a16="http://schemas.microsoft.com/office/drawing/2014/main" id="{AD3A25D7-12B2-8599-C9C6-50703E80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2" name="Picture 906">
          <a:extLst>
            <a:ext uri="{FF2B5EF4-FFF2-40B4-BE49-F238E27FC236}">
              <a16:creationId xmlns:a16="http://schemas.microsoft.com/office/drawing/2014/main" id="{B42E34DF-3763-7A81-344F-9B1D0F4F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3" name="Picture 907">
          <a:extLst>
            <a:ext uri="{FF2B5EF4-FFF2-40B4-BE49-F238E27FC236}">
              <a16:creationId xmlns:a16="http://schemas.microsoft.com/office/drawing/2014/main" id="{7F33BDFC-8A5A-B7F8-B3E4-189BD06C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4" name="Picture 908">
          <a:extLst>
            <a:ext uri="{FF2B5EF4-FFF2-40B4-BE49-F238E27FC236}">
              <a16:creationId xmlns:a16="http://schemas.microsoft.com/office/drawing/2014/main" id="{50BDC24D-C429-AEFE-5C74-35F0350D2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5" name="Picture 909">
          <a:extLst>
            <a:ext uri="{FF2B5EF4-FFF2-40B4-BE49-F238E27FC236}">
              <a16:creationId xmlns:a16="http://schemas.microsoft.com/office/drawing/2014/main" id="{12483048-EBBA-BA01-B5CA-C239A985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6" name="Picture 910">
          <a:extLst>
            <a:ext uri="{FF2B5EF4-FFF2-40B4-BE49-F238E27FC236}">
              <a16:creationId xmlns:a16="http://schemas.microsoft.com/office/drawing/2014/main" id="{787AC782-3426-F56F-21C3-91C75C36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7" name="Picture 911">
          <a:extLst>
            <a:ext uri="{FF2B5EF4-FFF2-40B4-BE49-F238E27FC236}">
              <a16:creationId xmlns:a16="http://schemas.microsoft.com/office/drawing/2014/main" id="{A321978D-9C04-698C-6B9C-56F54813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8" name="Picture 912">
          <a:extLst>
            <a:ext uri="{FF2B5EF4-FFF2-40B4-BE49-F238E27FC236}">
              <a16:creationId xmlns:a16="http://schemas.microsoft.com/office/drawing/2014/main" id="{0140A113-F210-D26A-5345-5BD71321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9" name="Picture 913">
          <a:extLst>
            <a:ext uri="{FF2B5EF4-FFF2-40B4-BE49-F238E27FC236}">
              <a16:creationId xmlns:a16="http://schemas.microsoft.com/office/drawing/2014/main" id="{1FB5066A-F0B0-CCBA-B492-ABC8E37A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0" name="Picture 914">
          <a:extLst>
            <a:ext uri="{FF2B5EF4-FFF2-40B4-BE49-F238E27FC236}">
              <a16:creationId xmlns:a16="http://schemas.microsoft.com/office/drawing/2014/main" id="{8933889E-D1A7-296D-8ABC-75110532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1" name="Picture 915">
          <a:extLst>
            <a:ext uri="{FF2B5EF4-FFF2-40B4-BE49-F238E27FC236}">
              <a16:creationId xmlns:a16="http://schemas.microsoft.com/office/drawing/2014/main" id="{54732824-B27F-E394-F92A-FB6D8FA6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2" name="Picture 916">
          <a:extLst>
            <a:ext uri="{FF2B5EF4-FFF2-40B4-BE49-F238E27FC236}">
              <a16:creationId xmlns:a16="http://schemas.microsoft.com/office/drawing/2014/main" id="{4C23DA0C-BC7E-C285-23FB-9A3CCE90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3" name="Picture 917">
          <a:extLst>
            <a:ext uri="{FF2B5EF4-FFF2-40B4-BE49-F238E27FC236}">
              <a16:creationId xmlns:a16="http://schemas.microsoft.com/office/drawing/2014/main" id="{EA66BF6C-6822-3AC0-6FAB-E9B55B540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4" name="Picture 918">
          <a:extLst>
            <a:ext uri="{FF2B5EF4-FFF2-40B4-BE49-F238E27FC236}">
              <a16:creationId xmlns:a16="http://schemas.microsoft.com/office/drawing/2014/main" id="{3AA2CC87-66DB-34C0-90EC-BF0D5ACF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5" name="Picture 919">
          <a:extLst>
            <a:ext uri="{FF2B5EF4-FFF2-40B4-BE49-F238E27FC236}">
              <a16:creationId xmlns:a16="http://schemas.microsoft.com/office/drawing/2014/main" id="{9F495C94-55EB-4F12-2F72-37A05016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6" name="Picture 920">
          <a:extLst>
            <a:ext uri="{FF2B5EF4-FFF2-40B4-BE49-F238E27FC236}">
              <a16:creationId xmlns:a16="http://schemas.microsoft.com/office/drawing/2014/main" id="{CB0BFC85-43BC-FCAA-801B-D7FEC46D4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7" name="Picture 921">
          <a:extLst>
            <a:ext uri="{FF2B5EF4-FFF2-40B4-BE49-F238E27FC236}">
              <a16:creationId xmlns:a16="http://schemas.microsoft.com/office/drawing/2014/main" id="{17039E70-B46A-992B-6197-7F00C24F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8" name="Picture 922">
          <a:extLst>
            <a:ext uri="{FF2B5EF4-FFF2-40B4-BE49-F238E27FC236}">
              <a16:creationId xmlns:a16="http://schemas.microsoft.com/office/drawing/2014/main" id="{2A8E04C7-929C-B397-0517-B9CF19D9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9" name="Picture 923">
          <a:extLst>
            <a:ext uri="{FF2B5EF4-FFF2-40B4-BE49-F238E27FC236}">
              <a16:creationId xmlns:a16="http://schemas.microsoft.com/office/drawing/2014/main" id="{B30ABEA9-B169-BE01-D8A7-A4822C59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0" name="Picture 924">
          <a:extLst>
            <a:ext uri="{FF2B5EF4-FFF2-40B4-BE49-F238E27FC236}">
              <a16:creationId xmlns:a16="http://schemas.microsoft.com/office/drawing/2014/main" id="{4E98CFBE-824C-638F-E953-41CF2F45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1" name="Picture 925">
          <a:extLst>
            <a:ext uri="{FF2B5EF4-FFF2-40B4-BE49-F238E27FC236}">
              <a16:creationId xmlns:a16="http://schemas.microsoft.com/office/drawing/2014/main" id="{3CD89268-4B67-3A9F-EF0F-F4FF5936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2" name="Picture 926">
          <a:extLst>
            <a:ext uri="{FF2B5EF4-FFF2-40B4-BE49-F238E27FC236}">
              <a16:creationId xmlns:a16="http://schemas.microsoft.com/office/drawing/2014/main" id="{DD1977F5-5C5A-AAAD-E865-6B197160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3" name="Picture 927">
          <a:extLst>
            <a:ext uri="{FF2B5EF4-FFF2-40B4-BE49-F238E27FC236}">
              <a16:creationId xmlns:a16="http://schemas.microsoft.com/office/drawing/2014/main" id="{242E18AA-EDA4-040C-BD66-FEA7091A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4" name="Picture 928">
          <a:extLst>
            <a:ext uri="{FF2B5EF4-FFF2-40B4-BE49-F238E27FC236}">
              <a16:creationId xmlns:a16="http://schemas.microsoft.com/office/drawing/2014/main" id="{55D1404B-8DCF-4B39-572E-7F51F8E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5" name="Picture 929">
          <a:extLst>
            <a:ext uri="{FF2B5EF4-FFF2-40B4-BE49-F238E27FC236}">
              <a16:creationId xmlns:a16="http://schemas.microsoft.com/office/drawing/2014/main" id="{5D2ABD29-8E7B-3675-F3D5-94D0144A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6" name="Picture 930">
          <a:extLst>
            <a:ext uri="{FF2B5EF4-FFF2-40B4-BE49-F238E27FC236}">
              <a16:creationId xmlns:a16="http://schemas.microsoft.com/office/drawing/2014/main" id="{2D131EF0-2F79-CACC-DF60-12B01706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7" name="Picture 931">
          <a:extLst>
            <a:ext uri="{FF2B5EF4-FFF2-40B4-BE49-F238E27FC236}">
              <a16:creationId xmlns:a16="http://schemas.microsoft.com/office/drawing/2014/main" id="{0E09089F-A4F3-9355-03B9-25577354B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8" name="Picture 932">
          <a:extLst>
            <a:ext uri="{FF2B5EF4-FFF2-40B4-BE49-F238E27FC236}">
              <a16:creationId xmlns:a16="http://schemas.microsoft.com/office/drawing/2014/main" id="{CC024235-A3A6-9F5D-7EA5-EFF3ACDB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9" name="Picture 933">
          <a:extLst>
            <a:ext uri="{FF2B5EF4-FFF2-40B4-BE49-F238E27FC236}">
              <a16:creationId xmlns:a16="http://schemas.microsoft.com/office/drawing/2014/main" id="{3F1686C2-D005-9AD4-1CEF-1E970654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0" name="Picture 934">
          <a:extLst>
            <a:ext uri="{FF2B5EF4-FFF2-40B4-BE49-F238E27FC236}">
              <a16:creationId xmlns:a16="http://schemas.microsoft.com/office/drawing/2014/main" id="{56C90CEC-5801-8AF6-C46A-F25F2482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1" name="Picture 935">
          <a:extLst>
            <a:ext uri="{FF2B5EF4-FFF2-40B4-BE49-F238E27FC236}">
              <a16:creationId xmlns:a16="http://schemas.microsoft.com/office/drawing/2014/main" id="{FF761D76-D995-0226-F8C6-2AED2978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2" name="Picture 936">
          <a:extLst>
            <a:ext uri="{FF2B5EF4-FFF2-40B4-BE49-F238E27FC236}">
              <a16:creationId xmlns:a16="http://schemas.microsoft.com/office/drawing/2014/main" id="{08E76F60-D648-7696-9BA9-02D3BD95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3" name="Picture 937">
          <a:extLst>
            <a:ext uri="{FF2B5EF4-FFF2-40B4-BE49-F238E27FC236}">
              <a16:creationId xmlns:a16="http://schemas.microsoft.com/office/drawing/2014/main" id="{E9A9FC96-0F0B-6732-BED0-43042C9C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4" name="Picture 938">
          <a:extLst>
            <a:ext uri="{FF2B5EF4-FFF2-40B4-BE49-F238E27FC236}">
              <a16:creationId xmlns:a16="http://schemas.microsoft.com/office/drawing/2014/main" id="{3C19D18F-0ACD-F352-E669-646C41FD7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5" name="Picture 939">
          <a:extLst>
            <a:ext uri="{FF2B5EF4-FFF2-40B4-BE49-F238E27FC236}">
              <a16:creationId xmlns:a16="http://schemas.microsoft.com/office/drawing/2014/main" id="{53FE1DDB-5C3C-5A6E-EE91-37EBDC05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6" name="Picture 940">
          <a:extLst>
            <a:ext uri="{FF2B5EF4-FFF2-40B4-BE49-F238E27FC236}">
              <a16:creationId xmlns:a16="http://schemas.microsoft.com/office/drawing/2014/main" id="{533B9E9B-42A2-96EB-1B50-FCB73F1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7" name="Picture 941">
          <a:extLst>
            <a:ext uri="{FF2B5EF4-FFF2-40B4-BE49-F238E27FC236}">
              <a16:creationId xmlns:a16="http://schemas.microsoft.com/office/drawing/2014/main" id="{A2BA8C23-00A3-4488-2ABC-2C89FC22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8" name="Picture 942">
          <a:extLst>
            <a:ext uri="{FF2B5EF4-FFF2-40B4-BE49-F238E27FC236}">
              <a16:creationId xmlns:a16="http://schemas.microsoft.com/office/drawing/2014/main" id="{BF56EF13-CC4A-6D4D-5341-89725141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9" name="Picture 943">
          <a:extLst>
            <a:ext uri="{FF2B5EF4-FFF2-40B4-BE49-F238E27FC236}">
              <a16:creationId xmlns:a16="http://schemas.microsoft.com/office/drawing/2014/main" id="{ADC809AA-B0E3-72DB-D32F-F1167F6B7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0" name="Picture 944">
          <a:extLst>
            <a:ext uri="{FF2B5EF4-FFF2-40B4-BE49-F238E27FC236}">
              <a16:creationId xmlns:a16="http://schemas.microsoft.com/office/drawing/2014/main" id="{87310E30-0385-0F08-7EF8-14EBF6E8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1" name="Picture 945">
          <a:extLst>
            <a:ext uri="{FF2B5EF4-FFF2-40B4-BE49-F238E27FC236}">
              <a16:creationId xmlns:a16="http://schemas.microsoft.com/office/drawing/2014/main" id="{900D1178-C4D1-D755-4A56-A837A297E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2" name="Picture 946">
          <a:extLst>
            <a:ext uri="{FF2B5EF4-FFF2-40B4-BE49-F238E27FC236}">
              <a16:creationId xmlns:a16="http://schemas.microsoft.com/office/drawing/2014/main" id="{C046F774-C635-50BA-8F12-0CD3ADFA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3" name="Picture 947">
          <a:extLst>
            <a:ext uri="{FF2B5EF4-FFF2-40B4-BE49-F238E27FC236}">
              <a16:creationId xmlns:a16="http://schemas.microsoft.com/office/drawing/2014/main" id="{F1D5D448-15C0-158F-BCD1-6B9F592EF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4" name="Picture 948">
          <a:extLst>
            <a:ext uri="{FF2B5EF4-FFF2-40B4-BE49-F238E27FC236}">
              <a16:creationId xmlns:a16="http://schemas.microsoft.com/office/drawing/2014/main" id="{7ED3F141-A128-7659-3D6B-932C808B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5" name="Picture 949">
          <a:extLst>
            <a:ext uri="{FF2B5EF4-FFF2-40B4-BE49-F238E27FC236}">
              <a16:creationId xmlns:a16="http://schemas.microsoft.com/office/drawing/2014/main" id="{40109B7E-C588-200B-7FE6-96198057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6" name="Picture 950">
          <a:extLst>
            <a:ext uri="{FF2B5EF4-FFF2-40B4-BE49-F238E27FC236}">
              <a16:creationId xmlns:a16="http://schemas.microsoft.com/office/drawing/2014/main" id="{85FF2C96-E7F9-7994-4BAF-9E95F61A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7" name="Picture 951">
          <a:extLst>
            <a:ext uri="{FF2B5EF4-FFF2-40B4-BE49-F238E27FC236}">
              <a16:creationId xmlns:a16="http://schemas.microsoft.com/office/drawing/2014/main" id="{34E9CFF7-EEA7-41A5-900C-9923F341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8" name="Picture 952">
          <a:extLst>
            <a:ext uri="{FF2B5EF4-FFF2-40B4-BE49-F238E27FC236}">
              <a16:creationId xmlns:a16="http://schemas.microsoft.com/office/drawing/2014/main" id="{1C022563-395C-6C04-4E26-E1AECDAD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9" name="Picture 953">
          <a:extLst>
            <a:ext uri="{FF2B5EF4-FFF2-40B4-BE49-F238E27FC236}">
              <a16:creationId xmlns:a16="http://schemas.microsoft.com/office/drawing/2014/main" id="{F35E8EBA-B8D9-3E97-89E7-AD7E3B585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0" name="Picture 954">
          <a:extLst>
            <a:ext uri="{FF2B5EF4-FFF2-40B4-BE49-F238E27FC236}">
              <a16:creationId xmlns:a16="http://schemas.microsoft.com/office/drawing/2014/main" id="{96FB609A-2D25-54A0-069C-FAD0E1B4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1" name="Picture 955">
          <a:extLst>
            <a:ext uri="{FF2B5EF4-FFF2-40B4-BE49-F238E27FC236}">
              <a16:creationId xmlns:a16="http://schemas.microsoft.com/office/drawing/2014/main" id="{D9F84409-0A75-A324-1D80-E4F0251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2" name="Picture 956">
          <a:extLst>
            <a:ext uri="{FF2B5EF4-FFF2-40B4-BE49-F238E27FC236}">
              <a16:creationId xmlns:a16="http://schemas.microsoft.com/office/drawing/2014/main" id="{B3C06781-DDFB-F9ED-AB39-866D3FB7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3" name="Picture 957">
          <a:extLst>
            <a:ext uri="{FF2B5EF4-FFF2-40B4-BE49-F238E27FC236}">
              <a16:creationId xmlns:a16="http://schemas.microsoft.com/office/drawing/2014/main" id="{CE85000A-9635-FD75-072B-FA7FC59A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4" name="Picture 958">
          <a:extLst>
            <a:ext uri="{FF2B5EF4-FFF2-40B4-BE49-F238E27FC236}">
              <a16:creationId xmlns:a16="http://schemas.microsoft.com/office/drawing/2014/main" id="{689AE9FC-63AC-99EF-E827-75A1878BB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5" name="Picture 959">
          <a:extLst>
            <a:ext uri="{FF2B5EF4-FFF2-40B4-BE49-F238E27FC236}">
              <a16:creationId xmlns:a16="http://schemas.microsoft.com/office/drawing/2014/main" id="{098EF623-E762-D7E7-1EA4-2669A42F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6" name="Picture 960">
          <a:extLst>
            <a:ext uri="{FF2B5EF4-FFF2-40B4-BE49-F238E27FC236}">
              <a16:creationId xmlns:a16="http://schemas.microsoft.com/office/drawing/2014/main" id="{0FB3C6EC-1098-FE87-2E0C-99525BD2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7" name="Picture 961">
          <a:extLst>
            <a:ext uri="{FF2B5EF4-FFF2-40B4-BE49-F238E27FC236}">
              <a16:creationId xmlns:a16="http://schemas.microsoft.com/office/drawing/2014/main" id="{B9344703-A36C-8943-4246-F70A8F42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8" name="Picture 962">
          <a:extLst>
            <a:ext uri="{FF2B5EF4-FFF2-40B4-BE49-F238E27FC236}">
              <a16:creationId xmlns:a16="http://schemas.microsoft.com/office/drawing/2014/main" id="{33747763-CAFD-842C-2388-70C2B458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9" name="Picture 963">
          <a:extLst>
            <a:ext uri="{FF2B5EF4-FFF2-40B4-BE49-F238E27FC236}">
              <a16:creationId xmlns:a16="http://schemas.microsoft.com/office/drawing/2014/main" id="{B3829675-1FE0-084A-0DAE-6535E227D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0" name="Picture 964">
          <a:extLst>
            <a:ext uri="{FF2B5EF4-FFF2-40B4-BE49-F238E27FC236}">
              <a16:creationId xmlns:a16="http://schemas.microsoft.com/office/drawing/2014/main" id="{C9B257AD-E448-38E1-0F1D-288886BB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1" name="Picture 965">
          <a:extLst>
            <a:ext uri="{FF2B5EF4-FFF2-40B4-BE49-F238E27FC236}">
              <a16:creationId xmlns:a16="http://schemas.microsoft.com/office/drawing/2014/main" id="{5B38E56E-25A3-F5DE-6D85-899BF22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2" name="Picture 966">
          <a:extLst>
            <a:ext uri="{FF2B5EF4-FFF2-40B4-BE49-F238E27FC236}">
              <a16:creationId xmlns:a16="http://schemas.microsoft.com/office/drawing/2014/main" id="{7996C680-21A3-35FF-845C-C9C30086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3" name="Picture 967">
          <a:extLst>
            <a:ext uri="{FF2B5EF4-FFF2-40B4-BE49-F238E27FC236}">
              <a16:creationId xmlns:a16="http://schemas.microsoft.com/office/drawing/2014/main" id="{E9BAE409-B273-BEC6-3EA6-325D1930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4" name="Picture 968">
          <a:extLst>
            <a:ext uri="{FF2B5EF4-FFF2-40B4-BE49-F238E27FC236}">
              <a16:creationId xmlns:a16="http://schemas.microsoft.com/office/drawing/2014/main" id="{3129F137-4A77-078B-7CA0-43C68317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5" name="Picture 969">
          <a:extLst>
            <a:ext uri="{FF2B5EF4-FFF2-40B4-BE49-F238E27FC236}">
              <a16:creationId xmlns:a16="http://schemas.microsoft.com/office/drawing/2014/main" id="{C2502ACB-B653-9EE4-65DB-9E1CA9AB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6" name="Picture 970">
          <a:extLst>
            <a:ext uri="{FF2B5EF4-FFF2-40B4-BE49-F238E27FC236}">
              <a16:creationId xmlns:a16="http://schemas.microsoft.com/office/drawing/2014/main" id="{6F50D2AC-DEB8-AB7B-E3E5-53D7700B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7" name="Picture 971">
          <a:extLst>
            <a:ext uri="{FF2B5EF4-FFF2-40B4-BE49-F238E27FC236}">
              <a16:creationId xmlns:a16="http://schemas.microsoft.com/office/drawing/2014/main" id="{4C68284C-22F8-11FE-AC68-8C593DE3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8" name="Picture 972">
          <a:extLst>
            <a:ext uri="{FF2B5EF4-FFF2-40B4-BE49-F238E27FC236}">
              <a16:creationId xmlns:a16="http://schemas.microsoft.com/office/drawing/2014/main" id="{7A2AD554-511B-F80B-38E9-2F14F675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9" name="Picture 973">
          <a:extLst>
            <a:ext uri="{FF2B5EF4-FFF2-40B4-BE49-F238E27FC236}">
              <a16:creationId xmlns:a16="http://schemas.microsoft.com/office/drawing/2014/main" id="{D34AD051-7508-6812-0A42-AA0866965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0" name="Picture 974">
          <a:extLst>
            <a:ext uri="{FF2B5EF4-FFF2-40B4-BE49-F238E27FC236}">
              <a16:creationId xmlns:a16="http://schemas.microsoft.com/office/drawing/2014/main" id="{2AA0E075-B5AD-DAD6-440A-989918CF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1" name="Picture 975">
          <a:extLst>
            <a:ext uri="{FF2B5EF4-FFF2-40B4-BE49-F238E27FC236}">
              <a16:creationId xmlns:a16="http://schemas.microsoft.com/office/drawing/2014/main" id="{C3BEE539-A9B6-A294-57E2-5F484E4E3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2" name="Picture 976">
          <a:extLst>
            <a:ext uri="{FF2B5EF4-FFF2-40B4-BE49-F238E27FC236}">
              <a16:creationId xmlns:a16="http://schemas.microsoft.com/office/drawing/2014/main" id="{E5EACF12-60A8-3EA9-9CB6-33315071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3" name="Picture 977">
          <a:extLst>
            <a:ext uri="{FF2B5EF4-FFF2-40B4-BE49-F238E27FC236}">
              <a16:creationId xmlns:a16="http://schemas.microsoft.com/office/drawing/2014/main" id="{D5046398-A301-616C-F9E7-F08BCAE2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4" name="Picture 978">
          <a:extLst>
            <a:ext uri="{FF2B5EF4-FFF2-40B4-BE49-F238E27FC236}">
              <a16:creationId xmlns:a16="http://schemas.microsoft.com/office/drawing/2014/main" id="{44C9A96A-A556-569E-95DC-C18ED9DB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5" name="Picture 979">
          <a:extLst>
            <a:ext uri="{FF2B5EF4-FFF2-40B4-BE49-F238E27FC236}">
              <a16:creationId xmlns:a16="http://schemas.microsoft.com/office/drawing/2014/main" id="{23285A93-909F-6F98-F397-81767C47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6" name="Picture 980">
          <a:extLst>
            <a:ext uri="{FF2B5EF4-FFF2-40B4-BE49-F238E27FC236}">
              <a16:creationId xmlns:a16="http://schemas.microsoft.com/office/drawing/2014/main" id="{AF7BA485-30DB-5D0E-3FF5-8A1312E04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7" name="Picture 981">
          <a:extLst>
            <a:ext uri="{FF2B5EF4-FFF2-40B4-BE49-F238E27FC236}">
              <a16:creationId xmlns:a16="http://schemas.microsoft.com/office/drawing/2014/main" id="{70B5C5A6-198A-1349-E8F5-67E38060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8" name="Picture 982">
          <a:extLst>
            <a:ext uri="{FF2B5EF4-FFF2-40B4-BE49-F238E27FC236}">
              <a16:creationId xmlns:a16="http://schemas.microsoft.com/office/drawing/2014/main" id="{9036B124-2BC1-901B-7507-3FD684FA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9" name="Picture 983">
          <a:extLst>
            <a:ext uri="{FF2B5EF4-FFF2-40B4-BE49-F238E27FC236}">
              <a16:creationId xmlns:a16="http://schemas.microsoft.com/office/drawing/2014/main" id="{1D97AC7D-A75E-0AA9-91EE-A25057D7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0" name="Picture 984">
          <a:extLst>
            <a:ext uri="{FF2B5EF4-FFF2-40B4-BE49-F238E27FC236}">
              <a16:creationId xmlns:a16="http://schemas.microsoft.com/office/drawing/2014/main" id="{5D02D243-E5E5-F2A9-F7B1-7616A414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1" name="Picture 985">
          <a:extLst>
            <a:ext uri="{FF2B5EF4-FFF2-40B4-BE49-F238E27FC236}">
              <a16:creationId xmlns:a16="http://schemas.microsoft.com/office/drawing/2014/main" id="{F80C55D2-AE8D-CBDC-A18B-C309CB8A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2" name="Picture 986">
          <a:extLst>
            <a:ext uri="{FF2B5EF4-FFF2-40B4-BE49-F238E27FC236}">
              <a16:creationId xmlns:a16="http://schemas.microsoft.com/office/drawing/2014/main" id="{CBB4CBBC-50E7-BB08-12A3-5DD8585E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3" name="Picture 987">
          <a:extLst>
            <a:ext uri="{FF2B5EF4-FFF2-40B4-BE49-F238E27FC236}">
              <a16:creationId xmlns:a16="http://schemas.microsoft.com/office/drawing/2014/main" id="{735719BB-DC8E-BDD2-7ED9-C5F18220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4" name="Picture 988">
          <a:extLst>
            <a:ext uri="{FF2B5EF4-FFF2-40B4-BE49-F238E27FC236}">
              <a16:creationId xmlns:a16="http://schemas.microsoft.com/office/drawing/2014/main" id="{A53352E8-7DEF-6951-A5B4-53F2EC9A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5" name="Picture 989">
          <a:extLst>
            <a:ext uri="{FF2B5EF4-FFF2-40B4-BE49-F238E27FC236}">
              <a16:creationId xmlns:a16="http://schemas.microsoft.com/office/drawing/2014/main" id="{C0A1729F-F11D-4DA0-356E-F82B4D81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6" name="Picture 990">
          <a:extLst>
            <a:ext uri="{FF2B5EF4-FFF2-40B4-BE49-F238E27FC236}">
              <a16:creationId xmlns:a16="http://schemas.microsoft.com/office/drawing/2014/main" id="{B84F4AB4-179F-3682-6438-15D1B5A0D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7" name="Picture 991">
          <a:extLst>
            <a:ext uri="{FF2B5EF4-FFF2-40B4-BE49-F238E27FC236}">
              <a16:creationId xmlns:a16="http://schemas.microsoft.com/office/drawing/2014/main" id="{EC57A409-59DB-D5DD-95D2-1CD85B1FF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8" name="Picture 992">
          <a:extLst>
            <a:ext uri="{FF2B5EF4-FFF2-40B4-BE49-F238E27FC236}">
              <a16:creationId xmlns:a16="http://schemas.microsoft.com/office/drawing/2014/main" id="{1249FD29-7F33-D002-3993-E5025D1E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9" name="Picture 993">
          <a:extLst>
            <a:ext uri="{FF2B5EF4-FFF2-40B4-BE49-F238E27FC236}">
              <a16:creationId xmlns:a16="http://schemas.microsoft.com/office/drawing/2014/main" id="{6F721E83-F629-2C52-C5F1-0EC67342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0" name="Picture 994">
          <a:extLst>
            <a:ext uri="{FF2B5EF4-FFF2-40B4-BE49-F238E27FC236}">
              <a16:creationId xmlns:a16="http://schemas.microsoft.com/office/drawing/2014/main" id="{AFFBF8D8-AD22-BD5A-FCA2-929EDBB70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1" name="Picture 995">
          <a:extLst>
            <a:ext uri="{FF2B5EF4-FFF2-40B4-BE49-F238E27FC236}">
              <a16:creationId xmlns:a16="http://schemas.microsoft.com/office/drawing/2014/main" id="{AA239808-02EE-AD1C-9FAD-CF6C010F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2" name="Picture 996">
          <a:extLst>
            <a:ext uri="{FF2B5EF4-FFF2-40B4-BE49-F238E27FC236}">
              <a16:creationId xmlns:a16="http://schemas.microsoft.com/office/drawing/2014/main" id="{FF750590-5AA0-6DDF-3775-08290E4A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3" name="Picture 997">
          <a:extLst>
            <a:ext uri="{FF2B5EF4-FFF2-40B4-BE49-F238E27FC236}">
              <a16:creationId xmlns:a16="http://schemas.microsoft.com/office/drawing/2014/main" id="{82D2B498-3152-CB43-EB62-B902319A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4" name="Picture 998">
          <a:extLst>
            <a:ext uri="{FF2B5EF4-FFF2-40B4-BE49-F238E27FC236}">
              <a16:creationId xmlns:a16="http://schemas.microsoft.com/office/drawing/2014/main" id="{6A2DD9C2-547C-B1D6-07BE-D0602F8C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5" name="Picture 999">
          <a:extLst>
            <a:ext uri="{FF2B5EF4-FFF2-40B4-BE49-F238E27FC236}">
              <a16:creationId xmlns:a16="http://schemas.microsoft.com/office/drawing/2014/main" id="{7052056C-B41A-4E1F-5DD6-AC2DFAD7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6" name="Picture 1000">
          <a:extLst>
            <a:ext uri="{FF2B5EF4-FFF2-40B4-BE49-F238E27FC236}">
              <a16:creationId xmlns:a16="http://schemas.microsoft.com/office/drawing/2014/main" id="{1695FF39-98C1-A83F-7EC0-D02BD7F0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7" name="Picture 1001">
          <a:extLst>
            <a:ext uri="{FF2B5EF4-FFF2-40B4-BE49-F238E27FC236}">
              <a16:creationId xmlns:a16="http://schemas.microsoft.com/office/drawing/2014/main" id="{FB7FD17E-1016-4389-B880-4BB0A453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8" name="Picture 1002">
          <a:extLst>
            <a:ext uri="{FF2B5EF4-FFF2-40B4-BE49-F238E27FC236}">
              <a16:creationId xmlns:a16="http://schemas.microsoft.com/office/drawing/2014/main" id="{248A4E32-6337-E8C0-7E23-08E2A5C0D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9" name="Picture 1003">
          <a:extLst>
            <a:ext uri="{FF2B5EF4-FFF2-40B4-BE49-F238E27FC236}">
              <a16:creationId xmlns:a16="http://schemas.microsoft.com/office/drawing/2014/main" id="{81B4E14A-D535-7528-F0CF-C99C44622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0" name="Picture 1004">
          <a:extLst>
            <a:ext uri="{FF2B5EF4-FFF2-40B4-BE49-F238E27FC236}">
              <a16:creationId xmlns:a16="http://schemas.microsoft.com/office/drawing/2014/main" id="{5E778057-3248-54B6-9412-ACF27143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1" name="Picture 1005">
          <a:extLst>
            <a:ext uri="{FF2B5EF4-FFF2-40B4-BE49-F238E27FC236}">
              <a16:creationId xmlns:a16="http://schemas.microsoft.com/office/drawing/2014/main" id="{0C60C767-EF6F-3036-2DC8-9D45656B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2" name="Picture 1006">
          <a:extLst>
            <a:ext uri="{FF2B5EF4-FFF2-40B4-BE49-F238E27FC236}">
              <a16:creationId xmlns:a16="http://schemas.microsoft.com/office/drawing/2014/main" id="{D946EA95-4328-311D-CD7A-237D4D5F9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3" name="Picture 1007">
          <a:extLst>
            <a:ext uri="{FF2B5EF4-FFF2-40B4-BE49-F238E27FC236}">
              <a16:creationId xmlns:a16="http://schemas.microsoft.com/office/drawing/2014/main" id="{7D5A5655-CBA8-EA0C-C378-D8F9A88F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4" name="Picture 1008">
          <a:extLst>
            <a:ext uri="{FF2B5EF4-FFF2-40B4-BE49-F238E27FC236}">
              <a16:creationId xmlns:a16="http://schemas.microsoft.com/office/drawing/2014/main" id="{0B1B7586-7C49-0C2E-3550-11E8490A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5" name="Picture 1009">
          <a:extLst>
            <a:ext uri="{FF2B5EF4-FFF2-40B4-BE49-F238E27FC236}">
              <a16:creationId xmlns:a16="http://schemas.microsoft.com/office/drawing/2014/main" id="{EDC9C603-4419-645F-4699-A6E5CFEF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6" name="Picture 1010">
          <a:extLst>
            <a:ext uri="{FF2B5EF4-FFF2-40B4-BE49-F238E27FC236}">
              <a16:creationId xmlns:a16="http://schemas.microsoft.com/office/drawing/2014/main" id="{87C27598-26DB-E25C-2A87-EB8393D2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7" name="Picture 1011">
          <a:extLst>
            <a:ext uri="{FF2B5EF4-FFF2-40B4-BE49-F238E27FC236}">
              <a16:creationId xmlns:a16="http://schemas.microsoft.com/office/drawing/2014/main" id="{9E7F5EA3-C6E3-E688-F27E-AA390CF7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8" name="Picture 1012">
          <a:extLst>
            <a:ext uri="{FF2B5EF4-FFF2-40B4-BE49-F238E27FC236}">
              <a16:creationId xmlns:a16="http://schemas.microsoft.com/office/drawing/2014/main" id="{45420BAA-1FDC-E47D-B837-ED495F58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9" name="Picture 1013">
          <a:extLst>
            <a:ext uri="{FF2B5EF4-FFF2-40B4-BE49-F238E27FC236}">
              <a16:creationId xmlns:a16="http://schemas.microsoft.com/office/drawing/2014/main" id="{ABC396F5-9B53-C04F-B402-6AA69E94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30" name="Picture 1014">
          <a:extLst>
            <a:ext uri="{FF2B5EF4-FFF2-40B4-BE49-F238E27FC236}">
              <a16:creationId xmlns:a16="http://schemas.microsoft.com/office/drawing/2014/main" id="{37165BC0-B9EE-F41C-B316-CE49178B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1" name="Picture 1015">
          <a:extLst>
            <a:ext uri="{FF2B5EF4-FFF2-40B4-BE49-F238E27FC236}">
              <a16:creationId xmlns:a16="http://schemas.microsoft.com/office/drawing/2014/main" id="{565E2D26-E214-BA08-6C4E-4FC6808C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2" name="Picture 1016">
          <a:extLst>
            <a:ext uri="{FF2B5EF4-FFF2-40B4-BE49-F238E27FC236}">
              <a16:creationId xmlns:a16="http://schemas.microsoft.com/office/drawing/2014/main" id="{6FB096C7-B30E-024F-9A50-E1AE57F8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3" name="Picture 1017">
          <a:extLst>
            <a:ext uri="{FF2B5EF4-FFF2-40B4-BE49-F238E27FC236}">
              <a16:creationId xmlns:a16="http://schemas.microsoft.com/office/drawing/2014/main" id="{2C32E5AB-F64B-A7E1-AE29-95D98AFA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4" name="Picture 1018">
          <a:extLst>
            <a:ext uri="{FF2B5EF4-FFF2-40B4-BE49-F238E27FC236}">
              <a16:creationId xmlns:a16="http://schemas.microsoft.com/office/drawing/2014/main" id="{0500DD38-FDA7-FBB3-0110-AD99747C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5" name="Picture 1019">
          <a:extLst>
            <a:ext uri="{FF2B5EF4-FFF2-40B4-BE49-F238E27FC236}">
              <a16:creationId xmlns:a16="http://schemas.microsoft.com/office/drawing/2014/main" id="{335DD1C5-FAA4-E4EB-0EAB-2FB8E34F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6" name="Picture 1020">
          <a:extLst>
            <a:ext uri="{FF2B5EF4-FFF2-40B4-BE49-F238E27FC236}">
              <a16:creationId xmlns:a16="http://schemas.microsoft.com/office/drawing/2014/main" id="{F8456CB1-E107-CC43-81A1-451F28C2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107950</xdr:colOff>
      <xdr:row>4</xdr:row>
      <xdr:rowOff>114300</xdr:rowOff>
    </xdr:to>
    <xdr:pic>
      <xdr:nvPicPr>
        <xdr:cNvPr id="14358" name="Picture 1" descr="LOGO FINAL">
          <a:extLst>
            <a:ext uri="{FF2B5EF4-FFF2-40B4-BE49-F238E27FC236}">
              <a16:creationId xmlns:a16="http://schemas.microsoft.com/office/drawing/2014/main" id="{77E26CAE-64A7-44E2-7674-AE9F1BBA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09855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908050</xdr:colOff>
      <xdr:row>3</xdr:row>
      <xdr:rowOff>57150</xdr:rowOff>
    </xdr:to>
    <xdr:pic>
      <xdr:nvPicPr>
        <xdr:cNvPr id="2081" name="Picture 1" descr="LOGO FINAL">
          <a:extLst>
            <a:ext uri="{FF2B5EF4-FFF2-40B4-BE49-F238E27FC236}">
              <a16:creationId xmlns:a16="http://schemas.microsoft.com/office/drawing/2014/main" id="{1CE358C9-EA60-D84C-A31E-370BDCB5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7683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Planta\Planta%20Subrecetas\Crema%20Chantilly\Spoon\96223%20-%20GANACHE%20DULCE%20LECH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Mililitros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  <cell r="M357" t="str">
            <v>UND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  <cell r="M367"/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  <cell r="M369" t="str">
            <v>und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Gramos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  <cell r="M384" t="str">
            <v>Gramos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  <cell r="M396" t="str">
            <v>Gramos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  <cell r="M402" t="str">
            <v>Gramos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Gramos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  <cell r="M404" t="str">
            <v>Mililitros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  <cell r="M407" t="str">
            <v>Gramos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  <cell r="M411" t="str">
            <v>Gramos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  <cell r="M437" t="str">
            <v>Unidad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Unidad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  <cell r="M446" t="str">
            <v>Mililitros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  <cell r="M449"/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  <cell r="M450" t="str">
            <v>Mililitros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  <cell r="M454" t="str">
            <v>Gramos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  <cell r="M469" t="str">
            <v>Mililitros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  <cell r="M533" t="str">
            <v>Gramos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  <cell r="M561"/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  <cell r="M622" t="str">
            <v>Und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  <cell r="M623" t="str">
            <v>Und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  <cell r="M626"/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  <cell r="M627" t="str">
            <v>Und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  <cell r="M642" t="str">
            <v>Und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  <cell r="M653"/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  <cell r="M654" t="str">
            <v>Und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  <cell r="M694" t="str">
            <v>Und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  <cell r="M695" t="str">
            <v>Und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  <cell r="M710"/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  <cell r="M711" t="str">
            <v>Mililitros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  <cell r="M713"/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  <cell r="M714" t="str">
            <v>Gramos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  <cell r="M763" t="str">
            <v>Gramos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  <cell r="M765" t="str">
            <v>Gramos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  <cell r="M766" t="str">
            <v>Gramos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>
            <v>0</v>
          </cell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907000255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>
        <row r="2">
          <cell r="A2" t="str">
            <v>54</v>
          </cell>
          <cell r="B2" t="str">
            <v>DETERGENTE LIQUIDO (1 L)</v>
          </cell>
          <cell r="C2" t="str">
            <v>03/03/2020</v>
          </cell>
          <cell r="D2">
            <v>9986.67</v>
          </cell>
          <cell r="E2" t="str">
            <v>1000 mililitros</v>
          </cell>
        </row>
        <row r="3">
          <cell r="A3" t="str">
            <v>55</v>
          </cell>
          <cell r="B3" t="str">
            <v xml:space="preserve">DETERGENTE EN POLVO (CAJA=5 SOBRES) </v>
          </cell>
          <cell r="C3" t="str">
            <v>27/02/2020</v>
          </cell>
          <cell r="D3">
            <v>6160</v>
          </cell>
          <cell r="E3" t="str">
            <v>1 CAJA</v>
          </cell>
        </row>
        <row r="4">
          <cell r="A4" t="str">
            <v>4207</v>
          </cell>
          <cell r="B4" t="str">
            <v>BURBUJA PLAST DOBLE CIERRE PACTIV 6" 4/1</v>
          </cell>
          <cell r="C4" t="str">
            <v>05/03/2020</v>
          </cell>
          <cell r="D4">
            <v>55.531999999999996</v>
          </cell>
          <cell r="E4" t="str">
            <v>1 Uds.</v>
          </cell>
        </row>
        <row r="5">
          <cell r="A5" t="str">
            <v>10556</v>
          </cell>
          <cell r="B5" t="str">
            <v>SERVILLETA TORK XPRESS ADV (CAJA = 12PAQ</v>
          </cell>
          <cell r="C5" t="str">
            <v>30/11/2019</v>
          </cell>
          <cell r="D5">
            <v>976</v>
          </cell>
          <cell r="E5" t="str">
            <v>12 UND</v>
          </cell>
          <cell r="F5" t="str">
            <v>UND</v>
          </cell>
          <cell r="G5">
            <v>0.16266666666666665</v>
          </cell>
        </row>
        <row r="6">
          <cell r="A6" t="str">
            <v>20408</v>
          </cell>
          <cell r="B6" t="str">
            <v>ENVOLTURA PAPEL NORPAK 12X10</v>
          </cell>
          <cell r="C6" t="str">
            <v>03/03/2020</v>
          </cell>
          <cell r="D6">
            <v>3519</v>
          </cell>
          <cell r="E6" t="str">
            <v>1 Uds.</v>
          </cell>
        </row>
        <row r="7">
          <cell r="A7" t="str">
            <v>28517</v>
          </cell>
          <cell r="B7" t="str">
            <v xml:space="preserve">PAPEL ALUMINIO 14,5 MICRAS </v>
          </cell>
          <cell r="C7" t="str">
            <v>03/03/2020</v>
          </cell>
          <cell r="D7">
            <v>14851</v>
          </cell>
          <cell r="E7" t="str">
            <v>1 UND</v>
          </cell>
        </row>
        <row r="8">
          <cell r="A8" t="str">
            <v>37208</v>
          </cell>
          <cell r="B8" t="str">
            <v>TAPA PLAST LISA P/BAND 8/12ONZ (UND)</v>
          </cell>
          <cell r="C8" t="str">
            <v>27/02/2020</v>
          </cell>
          <cell r="D8">
            <v>32.2986111111111</v>
          </cell>
          <cell r="E8" t="str">
            <v>1 UND</v>
          </cell>
          <cell r="F8" t="str">
            <v>UND</v>
          </cell>
          <cell r="G8">
            <v>32.2986111111111</v>
          </cell>
        </row>
        <row r="9">
          <cell r="A9" t="str">
            <v>56009</v>
          </cell>
          <cell r="B9" t="str">
            <v>CANDELA MAGICA</v>
          </cell>
          <cell r="C9" t="str">
            <v>05/03/2020</v>
          </cell>
          <cell r="D9">
            <v>470.25</v>
          </cell>
          <cell r="E9" t="str">
            <v>1 UND</v>
          </cell>
        </row>
        <row r="10">
          <cell r="A10" t="str">
            <v>109210</v>
          </cell>
          <cell r="B10" t="str">
            <v>TAZON C/TAPA PLAST ROSEWAR 35onz</v>
          </cell>
          <cell r="C10" t="str">
            <v>25/01/2020</v>
          </cell>
          <cell r="D10">
            <v>175.89545454545501</v>
          </cell>
          <cell r="E10" t="str">
            <v>1 UND</v>
          </cell>
        </row>
        <row r="11">
          <cell r="A11" t="str">
            <v>109228</v>
          </cell>
          <cell r="B11" t="str">
            <v>BANDEJA PLAST NEGRA DELI 120N (252UND)</v>
          </cell>
          <cell r="C11" t="str">
            <v>03/03/2020</v>
          </cell>
          <cell r="D11">
            <v>62.3095238095</v>
          </cell>
          <cell r="E11" t="str">
            <v>1 Uds.</v>
          </cell>
          <cell r="F11" t="str">
            <v>UND</v>
          </cell>
          <cell r="G11">
            <v>62.3095238095</v>
          </cell>
        </row>
        <row r="12">
          <cell r="A12" t="str">
            <v>111229</v>
          </cell>
          <cell r="B12" t="str">
            <v>JUEGO CUBIERTOS NEGR C/SERVILLETA CJ:500</v>
          </cell>
          <cell r="C12" t="str">
            <v>04/03/2020</v>
          </cell>
          <cell r="D12">
            <v>27.606000000000002</v>
          </cell>
          <cell r="E12" t="str">
            <v>1 Uds.</v>
          </cell>
          <cell r="F12" t="str">
            <v>UND</v>
          </cell>
          <cell r="G12">
            <v>27.606000000000002</v>
          </cell>
        </row>
        <row r="13">
          <cell r="A13" t="str">
            <v>111300</v>
          </cell>
          <cell r="B13" t="str">
            <v>TENEDORES LINEA VERDE (10/100 UD)</v>
          </cell>
          <cell r="C13" t="str">
            <v>05/03/2020</v>
          </cell>
          <cell r="D13">
            <v>14.143000000000001</v>
          </cell>
          <cell r="E13" t="str">
            <v>1 UND</v>
          </cell>
          <cell r="F13" t="str">
            <v>UND</v>
          </cell>
          <cell r="G13">
            <v>14.143000000000001</v>
          </cell>
        </row>
        <row r="14">
          <cell r="A14" t="str">
            <v>111301</v>
          </cell>
          <cell r="B14" t="str">
            <v>CUCHILLOS LINEA VERDE (10/100 UD)</v>
          </cell>
          <cell r="C14" t="str">
            <v>05/03/2020</v>
          </cell>
          <cell r="D14">
            <v>13.682</v>
          </cell>
          <cell r="E14" t="str">
            <v>1 UND</v>
          </cell>
          <cell r="F14" t="str">
            <v>UND</v>
          </cell>
          <cell r="G14">
            <v>13.682</v>
          </cell>
        </row>
        <row r="15">
          <cell r="A15" t="str">
            <v>111302</v>
          </cell>
          <cell r="B15" t="str">
            <v>CUCHARA LINEA VERDE (10/100 UD)</v>
          </cell>
          <cell r="C15" t="str">
            <v>05/03/2020</v>
          </cell>
          <cell r="D15">
            <v>14.962999999999999</v>
          </cell>
          <cell r="E15" t="str">
            <v>1 UND</v>
          </cell>
          <cell r="F15" t="str">
            <v>UND</v>
          </cell>
          <cell r="G15">
            <v>14.962999999999999</v>
          </cell>
        </row>
        <row r="16">
          <cell r="A16" t="str">
            <v>120206</v>
          </cell>
          <cell r="B16" t="str">
            <v xml:space="preserve">BANDEJA PLAST NEGRA 3 DIV PACTIV </v>
          </cell>
          <cell r="C16" t="str">
            <v>31/01/2020</v>
          </cell>
          <cell r="D16">
            <v>114.648</v>
          </cell>
          <cell r="E16" t="str">
            <v>1 UND</v>
          </cell>
        </row>
        <row r="17">
          <cell r="A17" t="str">
            <v>290603</v>
          </cell>
          <cell r="B17" t="str">
            <v xml:space="preserve">PLASTICO AUTOADHERIBLE REYNOLDS </v>
          </cell>
          <cell r="C17" t="str">
            <v>05/03/2020</v>
          </cell>
          <cell r="D17">
            <v>6901</v>
          </cell>
          <cell r="E17" t="str">
            <v>1 ROLLO</v>
          </cell>
          <cell r="F17" t="str">
            <v>Cm</v>
          </cell>
          <cell r="G17">
            <v>0.34505000000000002</v>
          </cell>
        </row>
        <row r="18">
          <cell r="A18" t="str">
            <v>330604</v>
          </cell>
          <cell r="B18" t="str">
            <v>REMOVEDOR MADERA 14CM 1/1000</v>
          </cell>
          <cell r="C18" t="str">
            <v>03/03/2020</v>
          </cell>
          <cell r="D18">
            <v>3.1</v>
          </cell>
          <cell r="E18" t="str">
            <v>1 Uds.</v>
          </cell>
          <cell r="F18" t="str">
            <v>UND</v>
          </cell>
          <cell r="G18">
            <v>3.1</v>
          </cell>
        </row>
        <row r="19">
          <cell r="A19" t="str">
            <v>360212</v>
          </cell>
          <cell r="B19" t="str">
            <v>TAPA PLAST LISA P/BAND  8/12 OZ (UND)</v>
          </cell>
          <cell r="C19" t="str">
            <v>03/03/2020</v>
          </cell>
          <cell r="D19">
            <v>53.785714285714299</v>
          </cell>
          <cell r="E19" t="str">
            <v>1 UND</v>
          </cell>
        </row>
        <row r="20">
          <cell r="A20" t="str">
            <v>385224</v>
          </cell>
          <cell r="B20" t="str">
            <v>TAPA PLASTICA SOUFLE 5.5 OZ ( UND)</v>
          </cell>
          <cell r="C20" t="str">
            <v>07/11/2019</v>
          </cell>
          <cell r="D20">
            <v>9.75</v>
          </cell>
          <cell r="E20" t="str">
            <v>1 UND</v>
          </cell>
          <cell r="F20" t="str">
            <v>UND</v>
          </cell>
          <cell r="G20">
            <v>9.75</v>
          </cell>
        </row>
        <row r="21">
          <cell r="A21" t="str">
            <v>499206</v>
          </cell>
          <cell r="B21" t="str">
            <v>DELANTAL PLAST. DESECHABBLE CAJ 1/100 UD</v>
          </cell>
          <cell r="C21" t="str">
            <v>02/03/2020</v>
          </cell>
          <cell r="D21">
            <v>35.58</v>
          </cell>
          <cell r="E21" t="str">
            <v>1 Uds.</v>
          </cell>
        </row>
        <row r="22">
          <cell r="A22" t="str">
            <v>499601</v>
          </cell>
          <cell r="B22" t="str">
            <v>PALILLOS DE DIENTES 1/800</v>
          </cell>
          <cell r="C22" t="str">
            <v>29/02/2020</v>
          </cell>
          <cell r="D22">
            <v>4.4999999999999998E-2</v>
          </cell>
          <cell r="E22" t="str">
            <v>1 UND</v>
          </cell>
        </row>
        <row r="23">
          <cell r="A23" t="str">
            <v>506201</v>
          </cell>
          <cell r="B23" t="str">
            <v xml:space="preserve">BURBUJA # 5 (CAJA:3/125UND) </v>
          </cell>
          <cell r="C23" t="str">
            <v>05/03/2020</v>
          </cell>
          <cell r="D23">
            <v>48.506666666666703</v>
          </cell>
          <cell r="E23" t="str">
            <v>1 Uds.</v>
          </cell>
          <cell r="F23" t="str">
            <v>UND</v>
          </cell>
          <cell r="G23">
            <v>48.506666666666703</v>
          </cell>
        </row>
        <row r="24">
          <cell r="A24" t="str">
            <v>526612</v>
          </cell>
          <cell r="B24" t="str">
            <v>PAJILLA BIO FLEXIBLE C/FORRO ECOSUN</v>
          </cell>
          <cell r="C24" t="str">
            <v>05/03/2020</v>
          </cell>
          <cell r="D24">
            <v>7.24</v>
          </cell>
          <cell r="E24" t="str">
            <v>1 UND</v>
          </cell>
          <cell r="F24" t="str">
            <v>UND</v>
          </cell>
          <cell r="G24">
            <v>7.24</v>
          </cell>
        </row>
        <row r="25">
          <cell r="A25" t="str">
            <v>618224</v>
          </cell>
          <cell r="B25" t="str">
            <v>TAPA PARA VASO 16 OZ. COCA COLA</v>
          </cell>
          <cell r="C25" t="str">
            <v>05/03/2020</v>
          </cell>
          <cell r="D25">
            <v>3.4070999999999998</v>
          </cell>
          <cell r="E25" t="str">
            <v>1 Uds.</v>
          </cell>
        </row>
        <row r="26">
          <cell r="A26" t="str">
            <v>0702053</v>
          </cell>
          <cell r="B26" t="str">
            <v>STICKER REDONDO AMARILLO</v>
          </cell>
          <cell r="C26" t="str">
            <v>05/03/2020</v>
          </cell>
          <cell r="D26">
            <v>801</v>
          </cell>
          <cell r="E26" t="str">
            <v>1 ROLLO</v>
          </cell>
        </row>
        <row r="27">
          <cell r="A27" t="str">
            <v>0702054</v>
          </cell>
          <cell r="B27" t="str">
            <v>STICKER REDONDE BLANCO</v>
          </cell>
          <cell r="C27" t="str">
            <v>05/03/2020</v>
          </cell>
          <cell r="D27">
            <v>800.53</v>
          </cell>
          <cell r="E27" t="str">
            <v>1 ROLLO</v>
          </cell>
        </row>
        <row r="28">
          <cell r="A28" t="str">
            <v>0702056</v>
          </cell>
          <cell r="B28" t="str">
            <v>STICKER REDONDO CELESTE</v>
          </cell>
          <cell r="C28" t="str">
            <v>05/03/2020</v>
          </cell>
          <cell r="D28">
            <v>806</v>
          </cell>
          <cell r="E28" t="str">
            <v>1 UND</v>
          </cell>
        </row>
        <row r="29">
          <cell r="A29" t="str">
            <v>0702057</v>
          </cell>
          <cell r="B29" t="str">
            <v>STICKER REDONDO NARANJA</v>
          </cell>
          <cell r="C29" t="str">
            <v>05/03/2020</v>
          </cell>
          <cell r="D29">
            <v>801.95</v>
          </cell>
          <cell r="E29" t="str">
            <v>1 ROLLO</v>
          </cell>
        </row>
        <row r="30">
          <cell r="A30" t="str">
            <v>0702058</v>
          </cell>
          <cell r="B30" t="str">
            <v>STICKER REDONDO ROJO</v>
          </cell>
          <cell r="C30" t="str">
            <v>16/12/2019</v>
          </cell>
          <cell r="D30">
            <v>200</v>
          </cell>
          <cell r="E30" t="str">
            <v>1 UND</v>
          </cell>
        </row>
        <row r="31">
          <cell r="A31" t="str">
            <v>0702059</v>
          </cell>
          <cell r="B31" t="str">
            <v>STICKER REDONDO ROSADO</v>
          </cell>
          <cell r="C31" t="str">
            <v>05/03/2020</v>
          </cell>
          <cell r="D31">
            <v>807.12</v>
          </cell>
          <cell r="E31" t="str">
            <v>1 UND</v>
          </cell>
        </row>
        <row r="32">
          <cell r="A32" t="str">
            <v>0702060</v>
          </cell>
          <cell r="B32" t="str">
            <v>STICKER REDONDO VERDE</v>
          </cell>
          <cell r="C32" t="str">
            <v>05/03/2020</v>
          </cell>
          <cell r="D32">
            <v>802.59</v>
          </cell>
          <cell r="E32" t="str">
            <v>1 UND</v>
          </cell>
        </row>
        <row r="33">
          <cell r="A33" t="str">
            <v>0702072</v>
          </cell>
          <cell r="B33" t="str">
            <v>ETIQ. BLANCA 3X3 (ROLLO 2000 UND)</v>
          </cell>
          <cell r="C33" t="str">
            <v>04/03/2020</v>
          </cell>
          <cell r="D33">
            <v>1</v>
          </cell>
          <cell r="E33" t="str">
            <v>1 UND</v>
          </cell>
        </row>
        <row r="34">
          <cell r="A34" t="str">
            <v>0702119</v>
          </cell>
          <cell r="B34" t="str">
            <v>STICKER REDONDO CAFE</v>
          </cell>
          <cell r="C34" t="str">
            <v>05/03/2020</v>
          </cell>
          <cell r="D34">
            <v>798</v>
          </cell>
          <cell r="E34" t="str">
            <v>1 UND</v>
          </cell>
        </row>
        <row r="35">
          <cell r="A35" t="str">
            <v>0702155</v>
          </cell>
          <cell r="B35" t="str">
            <v>ETIQUETA BLANCA VENCE ROLLO 1000</v>
          </cell>
          <cell r="C35" t="str">
            <v>05/03/2020</v>
          </cell>
          <cell r="D35">
            <v>1.24</v>
          </cell>
          <cell r="E35" t="str">
            <v>1 UND</v>
          </cell>
          <cell r="F35" t="str">
            <v>UND</v>
          </cell>
          <cell r="G35">
            <v>1.24</v>
          </cell>
        </row>
        <row r="36">
          <cell r="A36" t="str">
            <v>702174</v>
          </cell>
          <cell r="B36" t="str">
            <v>ETIQUETA SELLO SEGURIDAD ROLLO 1000</v>
          </cell>
          <cell r="C36" t="str">
            <v>18/02/2020</v>
          </cell>
          <cell r="D36">
            <v>7140</v>
          </cell>
          <cell r="E36" t="str">
            <v>1 UND</v>
          </cell>
        </row>
        <row r="37">
          <cell r="A37" t="str">
            <v>702175</v>
          </cell>
          <cell r="B37" t="str">
            <v>ETIQUETA IMP.SPOON.GRD. V-272 DOMO</v>
          </cell>
          <cell r="C37" t="str">
            <v>05/03/2020</v>
          </cell>
          <cell r="D37">
            <v>30.25</v>
          </cell>
          <cell r="E37" t="str">
            <v>1 UND</v>
          </cell>
        </row>
        <row r="38">
          <cell r="A38" t="str">
            <v>0703204</v>
          </cell>
          <cell r="B38" t="str">
            <v>TARJETA SPOONER PVC</v>
          </cell>
          <cell r="C38" t="str">
            <v>05/03/2020</v>
          </cell>
          <cell r="D38">
            <v>102.2</v>
          </cell>
          <cell r="E38" t="str">
            <v>1 UND</v>
          </cell>
        </row>
        <row r="39">
          <cell r="A39" t="str">
            <v>703205</v>
          </cell>
          <cell r="B39" t="str">
            <v>BROCHURE P/TARJETAS SPOONERS</v>
          </cell>
          <cell r="C39" t="str">
            <v>05/03/2020</v>
          </cell>
          <cell r="D39">
            <v>57</v>
          </cell>
          <cell r="E39" t="str">
            <v>1 UND</v>
          </cell>
        </row>
        <row r="40">
          <cell r="A40" t="str">
            <v>900711</v>
          </cell>
          <cell r="B40" t="str">
            <v>FILTRO P/GRASA 10" CONICO</v>
          </cell>
          <cell r="C40" t="str">
            <v>04/03/2020</v>
          </cell>
          <cell r="D40">
            <v>72.819999999999993</v>
          </cell>
          <cell r="E40" t="str">
            <v>1 UND</v>
          </cell>
        </row>
        <row r="41">
          <cell r="A41" t="str">
            <v>0906226</v>
          </cell>
          <cell r="B41" t="str">
            <v xml:space="preserve">TERMOMETRO COOPER MANUAL </v>
          </cell>
          <cell r="C41" t="str">
            <v>11/02/2020</v>
          </cell>
          <cell r="D41">
            <v>16311</v>
          </cell>
          <cell r="E41" t="str">
            <v>1 UND</v>
          </cell>
        </row>
        <row r="42">
          <cell r="A42" t="str">
            <v>906288</v>
          </cell>
          <cell r="B42" t="str">
            <v xml:space="preserve">CILINDRO CHANTILLY CAJA 10 (UND) </v>
          </cell>
          <cell r="C42" t="str">
            <v>05/03/2020</v>
          </cell>
          <cell r="D42">
            <v>312</v>
          </cell>
          <cell r="E42" t="str">
            <v>1 UND</v>
          </cell>
        </row>
        <row r="43">
          <cell r="A43" t="str">
            <v>915201</v>
          </cell>
          <cell r="B43" t="str">
            <v>TAPA PLASTICA  C/D 3 DIV.PACTI (250 UND)</v>
          </cell>
          <cell r="C43" t="str">
            <v>25/02/2020</v>
          </cell>
          <cell r="D43">
            <v>90.968000000000004</v>
          </cell>
          <cell r="E43" t="str">
            <v>1 UND</v>
          </cell>
        </row>
        <row r="44">
          <cell r="A44" t="str">
            <v>915621</v>
          </cell>
          <cell r="B44" t="str">
            <v>BOLSA PAPEL EMPAREDADO</v>
          </cell>
          <cell r="C44" t="str">
            <v>05/03/2020</v>
          </cell>
          <cell r="D44">
            <v>52.335999999999999</v>
          </cell>
          <cell r="E44" t="str">
            <v>1 UND</v>
          </cell>
          <cell r="F44" t="str">
            <v>UND</v>
          </cell>
          <cell r="G44">
            <v>52.335999999999999</v>
          </cell>
        </row>
        <row r="45">
          <cell r="A45" t="str">
            <v>915640</v>
          </cell>
          <cell r="B45" t="str">
            <v>SERVILLETA NATURAL P/CAFÉ TORK 12/500 UN</v>
          </cell>
          <cell r="C45" t="str">
            <v>05/03/2020</v>
          </cell>
          <cell r="D45">
            <v>818.91666666666697</v>
          </cell>
          <cell r="E45" t="str">
            <v>1 UND</v>
          </cell>
        </row>
        <row r="46">
          <cell r="A46" t="str">
            <v>915660</v>
          </cell>
          <cell r="B46" t="str">
            <v>BOLSA KRAFT SPOON 4 LB 1/1000</v>
          </cell>
          <cell r="C46" t="str">
            <v>04/03/2020</v>
          </cell>
          <cell r="D46">
            <v>10.552</v>
          </cell>
          <cell r="E46" t="str">
            <v>1 Uds.</v>
          </cell>
        </row>
        <row r="47">
          <cell r="A47" t="str">
            <v>915665</v>
          </cell>
          <cell r="B47" t="str">
            <v>BOLSA KRAFT PEQUEÑA 12 LB ( PAQ:500 UND)</v>
          </cell>
          <cell r="C47" t="str">
            <v>05/03/2020</v>
          </cell>
          <cell r="D47">
            <v>18.626000000000001</v>
          </cell>
          <cell r="E47" t="str">
            <v>1 Uds.</v>
          </cell>
          <cell r="F47" t="str">
            <v>UND</v>
          </cell>
        </row>
        <row r="48">
          <cell r="A48" t="str">
            <v>915666</v>
          </cell>
          <cell r="B48" t="str">
            <v>BOLSA KRAFT MEDIANA ( PAQ: 250 UND)</v>
          </cell>
          <cell r="C48" t="str">
            <v>05/03/2020</v>
          </cell>
          <cell r="D48">
            <v>41.804000000000002</v>
          </cell>
          <cell r="E48" t="str">
            <v>1 Uds.</v>
          </cell>
        </row>
        <row r="49">
          <cell r="A49" t="str">
            <v>991866</v>
          </cell>
          <cell r="B49" t="str">
            <v>VASO 12on COCA COLA 50 UND X TIRA</v>
          </cell>
          <cell r="C49" t="str">
            <v>05/03/2020</v>
          </cell>
          <cell r="D49">
            <v>7.7964000000000002</v>
          </cell>
          <cell r="E49" t="str">
            <v>1 UND</v>
          </cell>
        </row>
        <row r="50">
          <cell r="A50" t="str">
            <v>991867</v>
          </cell>
          <cell r="B50" t="str">
            <v>VASO 16 on COCA COLA 50 UND X TIRA</v>
          </cell>
          <cell r="C50" t="str">
            <v>05/03/2020</v>
          </cell>
          <cell r="D50">
            <v>10.1858</v>
          </cell>
          <cell r="E50" t="str">
            <v>1 UND</v>
          </cell>
        </row>
        <row r="51">
          <cell r="A51" t="str">
            <v>991926</v>
          </cell>
          <cell r="B51" t="str">
            <v>TAPAS 12 on COCA COLA</v>
          </cell>
          <cell r="C51" t="str">
            <v>05/03/2020</v>
          </cell>
          <cell r="D51">
            <v>7.0796999999999999</v>
          </cell>
          <cell r="E51" t="str">
            <v>1 Uds.</v>
          </cell>
        </row>
        <row r="52">
          <cell r="A52" t="str">
            <v>1003006</v>
          </cell>
          <cell r="B52" t="str">
            <v>CUBREBOCAS DESECHABLES CAJA 100UD</v>
          </cell>
          <cell r="C52" t="str">
            <v>29/02/2020</v>
          </cell>
          <cell r="D52">
            <v>19.079999999999998</v>
          </cell>
          <cell r="E52" t="str">
            <v>1 UND</v>
          </cell>
        </row>
        <row r="53">
          <cell r="A53" t="str">
            <v>1840640</v>
          </cell>
          <cell r="B53" t="str">
            <v>BOLSAS TRANSP EXTRAGRANDE 37x55 (KILO)</v>
          </cell>
          <cell r="C53" t="str">
            <v>05/03/2020</v>
          </cell>
          <cell r="D53">
            <v>1130</v>
          </cell>
          <cell r="E53" t="str">
            <v>1000 gramos</v>
          </cell>
        </row>
        <row r="54">
          <cell r="A54" t="str">
            <v>1840675</v>
          </cell>
          <cell r="B54" t="str">
            <v>BOLSA DE BASURA NEGRA ( KILO )</v>
          </cell>
          <cell r="C54" t="str">
            <v>29/02/2020</v>
          </cell>
          <cell r="D54">
            <v>1130</v>
          </cell>
          <cell r="E54" t="str">
            <v>1000 gramos</v>
          </cell>
        </row>
        <row r="55">
          <cell r="A55" t="str">
            <v>1840689</v>
          </cell>
          <cell r="B55" t="str">
            <v>SERVILLETA TORK W7T (CAJA = 12 PAQ)</v>
          </cell>
          <cell r="C55" t="str">
            <v>16/01/2020</v>
          </cell>
          <cell r="D55">
            <v>1028.4166</v>
          </cell>
          <cell r="E55" t="str">
            <v>1 PAQ</v>
          </cell>
        </row>
        <row r="56">
          <cell r="A56" t="str">
            <v>1842446</v>
          </cell>
          <cell r="B56" t="str">
            <v>BASURERO CUADRADO 30 L</v>
          </cell>
          <cell r="C56" t="str">
            <v>04/03/2020</v>
          </cell>
          <cell r="D56">
            <v>31100</v>
          </cell>
          <cell r="E56" t="str">
            <v>1 UND</v>
          </cell>
        </row>
        <row r="57">
          <cell r="A57" t="str">
            <v>1950408</v>
          </cell>
          <cell r="B57" t="str">
            <v>CAJA OFFICE BREAK PORCION (CAJA 525 U)</v>
          </cell>
          <cell r="C57" t="str">
            <v>20/11/2019</v>
          </cell>
          <cell r="D57">
            <v>62</v>
          </cell>
          <cell r="E57" t="str">
            <v>1 UND</v>
          </cell>
          <cell r="F57" t="str">
            <v>UND</v>
          </cell>
          <cell r="G57">
            <v>62</v>
          </cell>
        </row>
        <row r="58">
          <cell r="A58" t="str">
            <v>1950701</v>
          </cell>
          <cell r="B58" t="str">
            <v xml:space="preserve">BOLSA KRAFF # 2 20x10 </v>
          </cell>
          <cell r="C58" t="str">
            <v>03/03/2020</v>
          </cell>
          <cell r="D58">
            <v>9.3689999999999998</v>
          </cell>
          <cell r="E58" t="str">
            <v>1 UND</v>
          </cell>
          <cell r="F58" t="str">
            <v>UND</v>
          </cell>
          <cell r="G58">
            <v>9.3689999999999998</v>
          </cell>
        </row>
        <row r="59">
          <cell r="A59" t="str">
            <v>1950702</v>
          </cell>
          <cell r="B59" t="str">
            <v>BOLSA 12x18 TRANSP (KILO)</v>
          </cell>
          <cell r="C59" t="str">
            <v>05/03/2020</v>
          </cell>
          <cell r="D59">
            <v>1624</v>
          </cell>
          <cell r="E59" t="str">
            <v>1000 gramos</v>
          </cell>
        </row>
        <row r="60">
          <cell r="A60" t="str">
            <v>1950703</v>
          </cell>
          <cell r="B60" t="str">
            <v>BOLSA IMP. SPOON CAMI 8 * 16</v>
          </cell>
          <cell r="C60" t="str">
            <v>11/11/2019</v>
          </cell>
          <cell r="D60">
            <v>2202</v>
          </cell>
          <cell r="E60" t="str">
            <v>1000 gramos</v>
          </cell>
          <cell r="F60" t="str">
            <v>UND</v>
          </cell>
          <cell r="G60">
            <v>9.9189189189189193</v>
          </cell>
        </row>
        <row r="61">
          <cell r="A61" t="str">
            <v>1950704</v>
          </cell>
          <cell r="B61" t="str">
            <v>BOLSA 5x8 TRANSP (KILO)</v>
          </cell>
          <cell r="C61" t="str">
            <v>05/03/2020</v>
          </cell>
          <cell r="D61">
            <v>1631</v>
          </cell>
          <cell r="E61" t="str">
            <v>1000 gramos</v>
          </cell>
          <cell r="F61" t="str">
            <v>UND</v>
          </cell>
          <cell r="G61">
            <v>3.262</v>
          </cell>
        </row>
        <row r="62">
          <cell r="A62" t="str">
            <v>1950705</v>
          </cell>
          <cell r="B62" t="str">
            <v>BOLSA 8x12 TRANSP (KILO)</v>
          </cell>
          <cell r="C62" t="str">
            <v>05/03/2020</v>
          </cell>
          <cell r="D62">
            <v>1614</v>
          </cell>
          <cell r="E62" t="str">
            <v>1000 gramos</v>
          </cell>
        </row>
        <row r="63">
          <cell r="A63" t="str">
            <v>1950708</v>
          </cell>
          <cell r="B63" t="str">
            <v>BOLSA 17x25 TRANSP (KILO)</v>
          </cell>
          <cell r="C63" t="str">
            <v>05/03/2020</v>
          </cell>
          <cell r="D63">
            <v>1615</v>
          </cell>
          <cell r="E63" t="str">
            <v>1000 gramos</v>
          </cell>
        </row>
        <row r="64">
          <cell r="A64" t="str">
            <v>1950709</v>
          </cell>
          <cell r="B64" t="str">
            <v>BOLSAS IMP. SPOON CAMI 10 * 20 (KILO)</v>
          </cell>
          <cell r="C64" t="str">
            <v>07/11/2019</v>
          </cell>
          <cell r="D64">
            <v>2204</v>
          </cell>
          <cell r="E64" t="str">
            <v>1000 gramos</v>
          </cell>
          <cell r="F64" t="str">
            <v>UND</v>
          </cell>
          <cell r="G64">
            <v>20.036363636363635</v>
          </cell>
        </row>
        <row r="65">
          <cell r="A65" t="str">
            <v>1950715</v>
          </cell>
          <cell r="B65" t="str">
            <v>CAPSULA # 2 SIN LOGO</v>
          </cell>
          <cell r="C65" t="str">
            <v>10/01/2020</v>
          </cell>
          <cell r="D65">
            <v>7</v>
          </cell>
          <cell r="E65" t="str">
            <v>1 UND</v>
          </cell>
        </row>
        <row r="66">
          <cell r="A66" t="str">
            <v>1950729</v>
          </cell>
          <cell r="B66" t="str">
            <v>CAJA MEDIANA BLANCA</v>
          </cell>
          <cell r="C66" t="str">
            <v>23/11/2019</v>
          </cell>
          <cell r="D66">
            <v>39</v>
          </cell>
          <cell r="E66" t="str">
            <v>1 UND</v>
          </cell>
        </row>
        <row r="67">
          <cell r="A67" t="str">
            <v>1950730</v>
          </cell>
          <cell r="B67" t="str">
            <v>CAJA PEQ BLANCA</v>
          </cell>
          <cell r="C67" t="str">
            <v>28/11/2019</v>
          </cell>
          <cell r="D67">
            <v>25.21</v>
          </cell>
          <cell r="E67" t="str">
            <v>1 UND</v>
          </cell>
        </row>
        <row r="68">
          <cell r="A68" t="str">
            <v>1950731</v>
          </cell>
          <cell r="B68" t="str">
            <v>CAPSULA  # 3 CON LOGO UND</v>
          </cell>
          <cell r="C68" t="str">
            <v>04/03/2020</v>
          </cell>
          <cell r="D68">
            <v>7.52</v>
          </cell>
          <cell r="E68" t="str">
            <v>1 Uds.</v>
          </cell>
          <cell r="F68" t="str">
            <v>UND</v>
          </cell>
          <cell r="G68">
            <v>7.52</v>
          </cell>
        </row>
        <row r="69">
          <cell r="A69" t="str">
            <v>1950735</v>
          </cell>
          <cell r="B69" t="str">
            <v>CAPSULA #5 CON LOGO</v>
          </cell>
          <cell r="C69" t="str">
            <v>04/03/2020</v>
          </cell>
          <cell r="D69">
            <v>9.02</v>
          </cell>
          <cell r="E69" t="str">
            <v>1 UND</v>
          </cell>
        </row>
        <row r="70">
          <cell r="A70" t="str">
            <v>1950736</v>
          </cell>
          <cell r="B70" t="str">
            <v>CAPSULA # 5 BLANCA (100 * PAQ)</v>
          </cell>
          <cell r="C70" t="str">
            <v>24/01/2020</v>
          </cell>
          <cell r="D70">
            <v>9</v>
          </cell>
          <cell r="E70" t="str">
            <v>1 UND</v>
          </cell>
        </row>
        <row r="71">
          <cell r="A71" t="str">
            <v>1950742</v>
          </cell>
          <cell r="B71" t="str">
            <v>CONTENEDOR PLAST SUFLE 5.5 PACT.</v>
          </cell>
          <cell r="C71" t="str">
            <v>29/02/2020</v>
          </cell>
          <cell r="D71">
            <v>27.14</v>
          </cell>
          <cell r="E71" t="str">
            <v>1 Uds.</v>
          </cell>
          <cell r="F71" t="str">
            <v>UND</v>
          </cell>
          <cell r="G71">
            <v>27.14</v>
          </cell>
        </row>
        <row r="72">
          <cell r="A72" t="str">
            <v>1950747</v>
          </cell>
          <cell r="B72" t="str">
            <v xml:space="preserve">FILTROS DE PAPEL PARA CAFE </v>
          </cell>
          <cell r="C72" t="str">
            <v>04/03/2020</v>
          </cell>
          <cell r="D72">
            <v>12.144</v>
          </cell>
          <cell r="E72" t="str">
            <v>1 UND</v>
          </cell>
        </row>
        <row r="73">
          <cell r="A73" t="str">
            <v>1950752</v>
          </cell>
          <cell r="B73" t="str">
            <v>CAJA MINI BLANCA</v>
          </cell>
          <cell r="C73" t="str">
            <v>28/11/2019</v>
          </cell>
          <cell r="D73">
            <v>21.52</v>
          </cell>
          <cell r="E73" t="str">
            <v>1 UND</v>
          </cell>
        </row>
        <row r="74">
          <cell r="A74" t="str">
            <v>1950756</v>
          </cell>
          <cell r="B74" t="str">
            <v>BANDEJA ALUM DESE 6 PORC #4040</v>
          </cell>
          <cell r="C74" t="str">
            <v>05/03/2020</v>
          </cell>
          <cell r="D74">
            <v>246</v>
          </cell>
          <cell r="E74" t="str">
            <v>1 UND</v>
          </cell>
        </row>
        <row r="75">
          <cell r="A75" t="str">
            <v>1950786</v>
          </cell>
          <cell r="B75" t="str">
            <v xml:space="preserve">BOLSA IMP. SPOON CAMI 12 * 25 </v>
          </cell>
          <cell r="C75" t="str">
            <v>05/03/2020</v>
          </cell>
          <cell r="D75">
            <v>2204</v>
          </cell>
          <cell r="E75" t="str">
            <v>1000 gramos</v>
          </cell>
          <cell r="F75" t="str">
            <v>UND</v>
          </cell>
          <cell r="G75">
            <v>26.238095238095237</v>
          </cell>
        </row>
        <row r="76">
          <cell r="A76" t="str">
            <v>1950797</v>
          </cell>
          <cell r="B76" t="str">
            <v>VASO PLAST. TRASL 16 OZ (PAQ=50 UND)</v>
          </cell>
          <cell r="C76" t="str">
            <v>05/03/2020</v>
          </cell>
          <cell r="D76">
            <v>40.700000000000003</v>
          </cell>
          <cell r="E76" t="str">
            <v>1 UND</v>
          </cell>
          <cell r="F76" t="str">
            <v>und</v>
          </cell>
          <cell r="G76">
            <v>40.700000000000003</v>
          </cell>
        </row>
        <row r="77">
          <cell r="A77" t="str">
            <v>1950883</v>
          </cell>
          <cell r="B77" t="str">
            <v>CAJA PEQ OFFICE BREAK PORC. (CAJA 550 U)</v>
          </cell>
          <cell r="C77" t="str">
            <v>10/01/2020</v>
          </cell>
          <cell r="D77">
            <v>68</v>
          </cell>
          <cell r="E77" t="str">
            <v>1 UND</v>
          </cell>
          <cell r="F77" t="str">
            <v>UND</v>
          </cell>
          <cell r="G77">
            <v>68</v>
          </cell>
        </row>
        <row r="78">
          <cell r="A78" t="str">
            <v>1950884</v>
          </cell>
          <cell r="B78" t="str">
            <v>CAJA MEDIANA OFFICE BREAK (300U)</v>
          </cell>
          <cell r="C78" t="str">
            <v>21/11/2019</v>
          </cell>
          <cell r="D78">
            <v>95</v>
          </cell>
          <cell r="E78" t="str">
            <v>1 UND</v>
          </cell>
        </row>
        <row r="79">
          <cell r="A79" t="str">
            <v>1950885</v>
          </cell>
          <cell r="B79" t="str">
            <v>CAJA GDE OFFICE BREAK (225U)</v>
          </cell>
          <cell r="C79" t="str">
            <v>04/12/2019</v>
          </cell>
          <cell r="D79">
            <v>124</v>
          </cell>
          <cell r="E79" t="str">
            <v>1 UND</v>
          </cell>
        </row>
        <row r="80">
          <cell r="A80" t="str">
            <v>1950886</v>
          </cell>
          <cell r="B80" t="str">
            <v>PLATO 10 COMPOSTABLE (CAJA 500 U)</v>
          </cell>
          <cell r="C80" t="str">
            <v>06/12/2019</v>
          </cell>
          <cell r="D80">
            <v>85</v>
          </cell>
          <cell r="E80" t="str">
            <v>1 UND</v>
          </cell>
          <cell r="F80" t="str">
            <v>und</v>
          </cell>
          <cell r="G80">
            <v>85</v>
          </cell>
        </row>
        <row r="81">
          <cell r="A81" t="str">
            <v>1950888</v>
          </cell>
          <cell r="B81" t="str">
            <v>PLATO  6 COMPOSTABLE (1000U)</v>
          </cell>
          <cell r="C81" t="str">
            <v>18/02/2020</v>
          </cell>
          <cell r="D81">
            <v>32</v>
          </cell>
          <cell r="E81" t="str">
            <v>1 UND</v>
          </cell>
          <cell r="F81" t="str">
            <v>UND</v>
          </cell>
          <cell r="G81">
            <v>32</v>
          </cell>
        </row>
        <row r="82">
          <cell r="A82" t="str">
            <v>1950914</v>
          </cell>
          <cell r="B82" t="str">
            <v>PORTA VASO 4 CAVIDADES (PAQ: 25 UND)</v>
          </cell>
          <cell r="C82" t="str">
            <v>05/03/2020</v>
          </cell>
          <cell r="D82">
            <v>60</v>
          </cell>
          <cell r="E82" t="str">
            <v>1 PAQ</v>
          </cell>
        </row>
        <row r="83">
          <cell r="A83" t="str">
            <v>1950921</v>
          </cell>
          <cell r="B83" t="str">
            <v>TAPA SUFLE PLAST .5/.75/1 OZ (PAQ=100 UN</v>
          </cell>
          <cell r="C83" t="str">
            <v>05/03/2020</v>
          </cell>
          <cell r="D83">
            <v>6.0979000000000001</v>
          </cell>
          <cell r="E83" t="str">
            <v>1 UND</v>
          </cell>
        </row>
        <row r="84">
          <cell r="A84" t="str">
            <v>1950928</v>
          </cell>
          <cell r="B84" t="str">
            <v>BOLSA TRANSPARENTE 56X96X1.80 (KILO)</v>
          </cell>
          <cell r="C84" t="str">
            <v>05/03/2020</v>
          </cell>
          <cell r="D84">
            <v>1666</v>
          </cell>
          <cell r="E84" t="str">
            <v>1000 gramos</v>
          </cell>
        </row>
        <row r="85">
          <cell r="A85" t="str">
            <v>1950941</v>
          </cell>
          <cell r="B85" t="str">
            <v>FUNDA VASO BLEND (UND)</v>
          </cell>
          <cell r="C85" t="str">
            <v>05/03/2020</v>
          </cell>
          <cell r="D85">
            <v>62</v>
          </cell>
          <cell r="E85" t="str">
            <v>1 UND</v>
          </cell>
        </row>
        <row r="86">
          <cell r="A86" t="str">
            <v>1950959</v>
          </cell>
          <cell r="B86" t="str">
            <v>TAPA PLAST. SUFLE 3.25 onz (PAQ=120 UND)</v>
          </cell>
          <cell r="C86" t="str">
            <v>05/03/2020</v>
          </cell>
          <cell r="D86">
            <v>1488.35</v>
          </cell>
          <cell r="E86" t="str">
            <v>1 UND</v>
          </cell>
          <cell r="F86" t="str">
            <v>UND</v>
          </cell>
          <cell r="G86">
            <v>12.402916666666666</v>
          </cell>
        </row>
        <row r="87">
          <cell r="A87" t="str">
            <v>1952409</v>
          </cell>
          <cell r="B87" t="str">
            <v>BANDEJA  ALUMINIO A-42 ( 4 PORC )</v>
          </cell>
          <cell r="C87" t="str">
            <v>05/03/2020</v>
          </cell>
          <cell r="D87">
            <v>88</v>
          </cell>
          <cell r="E87" t="str">
            <v>1 UND</v>
          </cell>
          <cell r="F87" t="str">
            <v>UND</v>
          </cell>
          <cell r="G87">
            <v>88</v>
          </cell>
        </row>
        <row r="88">
          <cell r="A88" t="str">
            <v>1952410</v>
          </cell>
          <cell r="B88" t="str">
            <v>TAPA CONTEN. ALUMINIO A-42 ( 4 PORC )</v>
          </cell>
          <cell r="C88" t="str">
            <v>05/03/2020</v>
          </cell>
          <cell r="D88">
            <v>132</v>
          </cell>
          <cell r="E88" t="str">
            <v>1 UND</v>
          </cell>
          <cell r="F88" t="str">
            <v>UND</v>
          </cell>
          <cell r="G88">
            <v>132</v>
          </cell>
        </row>
        <row r="89">
          <cell r="A89" t="str">
            <v>1952432</v>
          </cell>
          <cell r="B89" t="str">
            <v>TAPA BAND ALUM. DESE 4040 (6 PORC)</v>
          </cell>
          <cell r="C89" t="str">
            <v>05/03/2020</v>
          </cell>
          <cell r="D89">
            <v>95</v>
          </cell>
          <cell r="E89" t="str">
            <v>1 UND</v>
          </cell>
        </row>
        <row r="90">
          <cell r="A90" t="str">
            <v>1952826</v>
          </cell>
          <cell r="B90" t="str">
            <v>TAPA DOMO P/VASO TRASL 16onz ( PAQ*100)</v>
          </cell>
          <cell r="C90" t="str">
            <v>05/03/2020</v>
          </cell>
          <cell r="D90">
            <v>21.159600000000001</v>
          </cell>
          <cell r="E90" t="str">
            <v>1 UND</v>
          </cell>
          <cell r="F90" t="str">
            <v>UND</v>
          </cell>
          <cell r="G90">
            <v>21.159600000000001</v>
          </cell>
        </row>
        <row r="91">
          <cell r="A91" t="str">
            <v>12050040</v>
          </cell>
          <cell r="B91" t="str">
            <v>MUG SPOON UND</v>
          </cell>
          <cell r="C91" t="str">
            <v>02/03/2020</v>
          </cell>
          <cell r="D91">
            <v>5727.69</v>
          </cell>
          <cell r="E91" t="str">
            <v>1 Uds.</v>
          </cell>
        </row>
        <row r="92">
          <cell r="A92" t="str">
            <v>50400014</v>
          </cell>
          <cell r="B92" t="str">
            <v>CAJA PEQUEÑA OFFICE BREAK (CAJA:625 UND)</v>
          </cell>
          <cell r="C92" t="str">
            <v>05/03/2020</v>
          </cell>
          <cell r="D92">
            <v>70.95</v>
          </cell>
          <cell r="E92" t="str">
            <v>1 CAJA</v>
          </cell>
          <cell r="F92" t="str">
            <v>UND</v>
          </cell>
          <cell r="G92">
            <v>70.95</v>
          </cell>
        </row>
        <row r="93">
          <cell r="A93" t="str">
            <v>50400015</v>
          </cell>
          <cell r="B93" t="str">
            <v>CAJA MEDIANA OFFICE BREAK (CAJA:400 UND)</v>
          </cell>
          <cell r="C93" t="str">
            <v>04/03/2020</v>
          </cell>
          <cell r="D93">
            <v>86.9</v>
          </cell>
          <cell r="E93" t="str">
            <v>1 CAJA</v>
          </cell>
          <cell r="F93" t="str">
            <v>UND</v>
          </cell>
          <cell r="G93">
            <v>86.9</v>
          </cell>
        </row>
        <row r="94">
          <cell r="A94" t="str">
            <v>50400016</v>
          </cell>
          <cell r="B94" t="str">
            <v>CAJA GRANDE OFFICE BREAK (CAJA:280 UND)</v>
          </cell>
          <cell r="C94" t="str">
            <v>04/03/2020</v>
          </cell>
          <cell r="D94">
            <v>113.3</v>
          </cell>
          <cell r="E94" t="str">
            <v>1 CAJA</v>
          </cell>
        </row>
        <row r="95">
          <cell r="A95" t="str">
            <v>50400017</v>
          </cell>
          <cell r="B95" t="str">
            <v>CAJA PORCION OFFICE BREAK (CAJA:950 UND)</v>
          </cell>
          <cell r="C95" t="str">
            <v>05/03/2020</v>
          </cell>
          <cell r="D95">
            <v>60.06</v>
          </cell>
          <cell r="E95" t="str">
            <v>1 CAJA</v>
          </cell>
          <cell r="F95" t="str">
            <v>UND</v>
          </cell>
          <cell r="G95">
            <v>60.06</v>
          </cell>
        </row>
        <row r="96">
          <cell r="A96" t="str">
            <v>50500001</v>
          </cell>
          <cell r="B96" t="str">
            <v>CANDELA CUMPLEAÑOS FIGURAS SURTIDAS</v>
          </cell>
          <cell r="C96" t="str">
            <v>01/11/2019</v>
          </cell>
          <cell r="D96">
            <v>458.48</v>
          </cell>
          <cell r="E96" t="str">
            <v>1 UND</v>
          </cell>
        </row>
        <row r="97">
          <cell r="A97" t="str">
            <v>50500002</v>
          </cell>
          <cell r="B97" t="str">
            <v>CANDELA DIBUJOS ANIMADOS SURTIDA ESPIRAL</v>
          </cell>
          <cell r="C97" t="str">
            <v>05/03/2020</v>
          </cell>
          <cell r="D97">
            <v>455.4</v>
          </cell>
          <cell r="E97" t="str">
            <v>1 UND</v>
          </cell>
        </row>
        <row r="98">
          <cell r="A98" t="str">
            <v>50500003</v>
          </cell>
          <cell r="B98" t="str">
            <v>CANDELA CARITAS COLORES</v>
          </cell>
          <cell r="C98" t="str">
            <v>05/03/2020</v>
          </cell>
          <cell r="D98">
            <v>465.9</v>
          </cell>
          <cell r="E98" t="str">
            <v>1 UND</v>
          </cell>
        </row>
        <row r="99">
          <cell r="A99" t="str">
            <v>50500004</v>
          </cell>
          <cell r="B99" t="str">
            <v>CANDELA GLOBOS SURTIDO COLORES</v>
          </cell>
          <cell r="C99" t="str">
            <v>05/03/2020</v>
          </cell>
          <cell r="D99">
            <v>470.25</v>
          </cell>
          <cell r="E99" t="str">
            <v>1 UND</v>
          </cell>
        </row>
        <row r="100">
          <cell r="A100" t="str">
            <v>50500005</v>
          </cell>
          <cell r="B100" t="str">
            <v>CANDELA FELIZ CUMPLE ESCARCHA SURTIDA</v>
          </cell>
          <cell r="C100" t="str">
            <v>05/03/2020</v>
          </cell>
          <cell r="D100">
            <v>470.25</v>
          </cell>
          <cell r="E100" t="str">
            <v>1 UND</v>
          </cell>
        </row>
        <row r="101">
          <cell r="A101" t="str">
            <v>50700024</v>
          </cell>
          <cell r="B101" t="str">
            <v xml:space="preserve">CONTENEDOR PAPEL 12 ONZAS </v>
          </cell>
          <cell r="C101" t="str">
            <v>11/11/2019</v>
          </cell>
          <cell r="D101">
            <v>0.8</v>
          </cell>
          <cell r="E101" t="str">
            <v>1 UND</v>
          </cell>
        </row>
        <row r="102">
          <cell r="A102" t="str">
            <v>50700025</v>
          </cell>
          <cell r="B102" t="str">
            <v>CONTENEDOR PAPEL BLANCO 8 ON (PAQ 50 U)</v>
          </cell>
          <cell r="C102" t="str">
            <v>28/11/2019</v>
          </cell>
          <cell r="D102">
            <v>35.72</v>
          </cell>
          <cell r="E102" t="str">
            <v>1 UND</v>
          </cell>
        </row>
        <row r="103">
          <cell r="A103" t="str">
            <v>50700026</v>
          </cell>
          <cell r="B103" t="str">
            <v>TAPA PLAS. P/CONTEN PAPEL 8ON (PAQ 50 U)</v>
          </cell>
          <cell r="C103" t="str">
            <v>11/11/2019</v>
          </cell>
          <cell r="D103">
            <v>24.72</v>
          </cell>
          <cell r="E103" t="str">
            <v>1 UND</v>
          </cell>
        </row>
        <row r="104">
          <cell r="A104" t="str">
            <v>50700028</v>
          </cell>
          <cell r="B104" t="str">
            <v>CONTENEDOR PLAS SUFLE 1 OZ (PAQ:200 UND)</v>
          </cell>
          <cell r="C104" t="str">
            <v>05/03/2020</v>
          </cell>
          <cell r="D104">
            <v>6.8079000000000001</v>
          </cell>
          <cell r="E104" t="str">
            <v>1 Uds.</v>
          </cell>
          <cell r="F104" t="str">
            <v>UND</v>
          </cell>
          <cell r="G104">
            <v>6.8079000000000001</v>
          </cell>
        </row>
        <row r="105">
          <cell r="A105" t="str">
            <v>51100016</v>
          </cell>
          <cell r="B105" t="str">
            <v>BLOCK HOJAS PARA COLOREAR (UND)L</v>
          </cell>
          <cell r="C105" t="str">
            <v>05/03/2020</v>
          </cell>
          <cell r="D105">
            <v>1061</v>
          </cell>
          <cell r="E105" t="str">
            <v>1 UND</v>
          </cell>
        </row>
        <row r="106">
          <cell r="A106" t="str">
            <v>51100018</v>
          </cell>
          <cell r="B106" t="str">
            <v>PAPEL ENCERADO 12X12 (PAQ:1000 UND)</v>
          </cell>
          <cell r="C106" t="str">
            <v>05/03/2020</v>
          </cell>
          <cell r="D106">
            <v>20570</v>
          </cell>
          <cell r="E106" t="str">
            <v>1 PAQUETE</v>
          </cell>
          <cell r="F106" t="str">
            <v>UND</v>
          </cell>
          <cell r="G106">
            <v>20.57</v>
          </cell>
        </row>
        <row r="107">
          <cell r="A107" t="str">
            <v>51400023</v>
          </cell>
          <cell r="B107" t="str">
            <v>BOWL FIBRA 32 ONZ COMPOST (PAQ:125 UND)</v>
          </cell>
          <cell r="C107" t="str">
            <v>05/03/2020</v>
          </cell>
          <cell r="D107">
            <v>178.88</v>
          </cell>
          <cell r="E107" t="str">
            <v>1 PAQUETE</v>
          </cell>
        </row>
        <row r="108">
          <cell r="A108" t="str">
            <v>51500012</v>
          </cell>
          <cell r="B108" t="str">
            <v>VASO BIODEGRADABLE 12 ONZ (PAQ 25 UND)</v>
          </cell>
          <cell r="C108" t="str">
            <v>05/03/2020</v>
          </cell>
          <cell r="D108">
            <v>58.3</v>
          </cell>
          <cell r="E108" t="str">
            <v>1 UND</v>
          </cell>
          <cell r="F108" t="str">
            <v>UND</v>
          </cell>
          <cell r="G108">
            <v>58.3</v>
          </cell>
        </row>
        <row r="109">
          <cell r="A109" t="str">
            <v>51500013</v>
          </cell>
          <cell r="B109" t="str">
            <v>TAPA VASO BIO 12,16 ON (PAQ 50 UND)</v>
          </cell>
          <cell r="C109" t="str">
            <v>05/03/2020</v>
          </cell>
          <cell r="D109">
            <v>24.65</v>
          </cell>
          <cell r="E109" t="str">
            <v>1 UND</v>
          </cell>
          <cell r="F109" t="str">
            <v>UND</v>
          </cell>
          <cell r="G109">
            <v>24.65</v>
          </cell>
        </row>
        <row r="110">
          <cell r="A110" t="str">
            <v>51500014</v>
          </cell>
          <cell r="B110" t="str">
            <v>VASO BIODEGRADABLE 8 ONZ (PAQ 25UND)</v>
          </cell>
          <cell r="C110" t="str">
            <v>05/03/2020</v>
          </cell>
          <cell r="D110">
            <v>44</v>
          </cell>
          <cell r="E110" t="str">
            <v>1 UND</v>
          </cell>
          <cell r="F110" t="str">
            <v>UND</v>
          </cell>
          <cell r="G110">
            <v>44</v>
          </cell>
        </row>
        <row r="111">
          <cell r="A111" t="str">
            <v>51500015</v>
          </cell>
          <cell r="B111" t="str">
            <v>TAPA VASO BIO 8 ONZ (PAQ 50 UND)</v>
          </cell>
          <cell r="C111" t="str">
            <v>05/03/2020</v>
          </cell>
          <cell r="D111">
            <v>24.2</v>
          </cell>
          <cell r="E111" t="str">
            <v>1 UND</v>
          </cell>
          <cell r="F111" t="str">
            <v>UND</v>
          </cell>
          <cell r="G111">
            <v>24.2</v>
          </cell>
        </row>
        <row r="112">
          <cell r="A112" t="str">
            <v>51500026</v>
          </cell>
          <cell r="B112" t="str">
            <v>VASO SUFLE 3.25 OZ ASB325 1/2500</v>
          </cell>
          <cell r="C112" t="str">
            <v>19/02/2020</v>
          </cell>
          <cell r="D112">
            <v>0.58520000000000005</v>
          </cell>
          <cell r="E112" t="str">
            <v>1 UND</v>
          </cell>
          <cell r="F112" t="str">
            <v>UND</v>
          </cell>
          <cell r="G112">
            <v>0.58520000000000005</v>
          </cell>
        </row>
        <row r="113">
          <cell r="A113" t="str">
            <v>51500027</v>
          </cell>
          <cell r="B113" t="str">
            <v>VASO A-9 OZ PET APC 9 1/1000 LOCALES</v>
          </cell>
          <cell r="C113" t="str">
            <v>04/03/2020</v>
          </cell>
          <cell r="D113">
            <v>37.631</v>
          </cell>
          <cell r="E113" t="str">
            <v>1 Uds.</v>
          </cell>
        </row>
        <row r="114">
          <cell r="A114" t="str">
            <v>51500028</v>
          </cell>
          <cell r="B114" t="str">
            <v>TAPA DOMO A-9/12/20 SOUFFLE</v>
          </cell>
          <cell r="C114" t="str">
            <v>07/01/2020</v>
          </cell>
          <cell r="D114">
            <v>27</v>
          </cell>
          <cell r="E114" t="str">
            <v>1 Uds.</v>
          </cell>
        </row>
        <row r="115">
          <cell r="A115" t="str">
            <v>51600025</v>
          </cell>
          <cell r="B115" t="str">
            <v>ROLLOS PUNTO DE VENTA 3X3X2 (ROLLO)</v>
          </cell>
          <cell r="C115" t="str">
            <v>05/03/2020</v>
          </cell>
          <cell r="D115">
            <v>594</v>
          </cell>
          <cell r="E115" t="str">
            <v>1 ROLLO</v>
          </cell>
        </row>
        <row r="116">
          <cell r="A116" t="str">
            <v>60100027</v>
          </cell>
          <cell r="B116" t="str">
            <v xml:space="preserve">LOGO OVALADO SPOON PEQUEÑO (ROLLO= 1000 </v>
          </cell>
          <cell r="C116" t="str">
            <v>04/03/2020</v>
          </cell>
          <cell r="D116">
            <v>1.1499999999999999</v>
          </cell>
          <cell r="E116" t="str">
            <v>1 ROLLO</v>
          </cell>
        </row>
        <row r="117">
          <cell r="A117" t="str">
            <v>100100038</v>
          </cell>
          <cell r="B117" t="str">
            <v>BLOCK DE CIERRE DE CAJA</v>
          </cell>
          <cell r="C117" t="str">
            <v>04/03/2020</v>
          </cell>
          <cell r="D117">
            <v>825</v>
          </cell>
          <cell r="E117" t="str">
            <v>1 Uds.</v>
          </cell>
        </row>
        <row r="118">
          <cell r="A118" t="str">
            <v>120000015</v>
          </cell>
          <cell r="B118" t="str">
            <v>PINCEL (PAQ:20 UND)</v>
          </cell>
          <cell r="C118" t="str">
            <v>04/03/2020</v>
          </cell>
          <cell r="D118">
            <v>75.712500000000006</v>
          </cell>
          <cell r="E118" t="str">
            <v>1 PAQUETE</v>
          </cell>
        </row>
        <row r="119">
          <cell r="A119" t="str">
            <v>PT50033</v>
          </cell>
          <cell r="B119" t="str">
            <v>CONO INFUSION</v>
          </cell>
          <cell r="C119" t="str">
            <v>03/01/2020</v>
          </cell>
          <cell r="D119">
            <v>8380</v>
          </cell>
          <cell r="E119" t="str">
            <v>1 Uds.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ACHE 96223 "/>
      <sheetName val="COSTEO GANACHE"/>
    </sheetNames>
    <sheetDataSet>
      <sheetData sheetId="0"/>
      <sheetData sheetId="1">
        <row r="69">
          <cell r="E69">
            <v>2.8988425925925929</v>
          </cell>
        </row>
        <row r="74">
          <cell r="E74">
            <v>0.11458333333333333</v>
          </cell>
        </row>
        <row r="76">
          <cell r="E76">
            <v>3.2348958333333335E-3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 t="str">
            <v>cm</v>
          </cell>
          <cell r="F19">
            <v>0.36430000000000001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 t="str">
            <v>Und</v>
          </cell>
          <cell r="F151">
            <v>18.626000000000001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9213-EC02-4DF9-82C2-D3B469B02515}">
  <dimension ref="A1:I60"/>
  <sheetViews>
    <sheetView tabSelected="1" zoomScale="90" zoomScaleNormal="90" workbookViewId="0">
      <selection sqref="A1:B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539"/>
      <c r="B1" s="540"/>
      <c r="C1" s="545" t="s">
        <v>22</v>
      </c>
      <c r="D1" s="545"/>
      <c r="E1" s="545"/>
      <c r="F1" s="545"/>
      <c r="G1" s="545"/>
      <c r="H1" s="440" t="s">
        <v>21</v>
      </c>
      <c r="I1" s="441" t="s">
        <v>268</v>
      </c>
    </row>
    <row r="2" spans="1:9" ht="18" customHeight="1" thickBot="1" x14ac:dyDescent="0.3">
      <c r="A2" s="541"/>
      <c r="B2" s="542"/>
      <c r="C2" s="546" t="s">
        <v>0</v>
      </c>
      <c r="D2" s="547"/>
      <c r="E2" s="547"/>
      <c r="F2" s="547"/>
      <c r="G2" s="548"/>
      <c r="H2" s="442" t="s">
        <v>20</v>
      </c>
      <c r="I2" s="443" t="s">
        <v>269</v>
      </c>
    </row>
    <row r="3" spans="1:9" ht="31.5" customHeight="1" thickBot="1" x14ac:dyDescent="0.25">
      <c r="A3" s="541"/>
      <c r="B3" s="542"/>
      <c r="C3" s="549" t="s">
        <v>267</v>
      </c>
      <c r="D3" s="550"/>
      <c r="E3" s="550"/>
      <c r="F3" s="550"/>
      <c r="G3" s="551"/>
      <c r="H3" s="552" t="s">
        <v>19</v>
      </c>
      <c r="I3" s="530">
        <v>45783</v>
      </c>
    </row>
    <row r="4" spans="1:9" ht="18" customHeight="1" x14ac:dyDescent="0.25">
      <c r="A4" s="541"/>
      <c r="B4" s="542"/>
      <c r="C4" s="444" t="s">
        <v>18</v>
      </c>
      <c r="D4" s="533" t="s">
        <v>266</v>
      </c>
      <c r="E4" s="534"/>
      <c r="F4" s="534"/>
      <c r="G4" s="535"/>
      <c r="H4" s="553"/>
      <c r="I4" s="531"/>
    </row>
    <row r="5" spans="1:9" ht="14.25" thickBot="1" x14ac:dyDescent="0.3">
      <c r="A5" s="543"/>
      <c r="B5" s="544"/>
      <c r="C5" s="445" t="s">
        <v>17</v>
      </c>
      <c r="D5" s="536" t="s">
        <v>34</v>
      </c>
      <c r="E5" s="537"/>
      <c r="F5" s="537"/>
      <c r="G5" s="538"/>
      <c r="H5" s="554"/>
      <c r="I5" s="532"/>
    </row>
    <row r="6" spans="1:9" ht="18.75" thickBot="1" x14ac:dyDescent="0.3">
      <c r="A6" s="555" t="s">
        <v>23</v>
      </c>
      <c r="B6" s="555"/>
      <c r="C6" s="555"/>
      <c r="D6" s="556" t="s">
        <v>248</v>
      </c>
      <c r="E6" s="556"/>
      <c r="F6" s="556"/>
      <c r="G6" s="557" t="s">
        <v>24</v>
      </c>
      <c r="H6" s="557"/>
      <c r="I6" s="33" t="s">
        <v>248</v>
      </c>
    </row>
    <row r="7" spans="1:9" ht="25.5" x14ac:dyDescent="0.2">
      <c r="A7" s="558" t="s">
        <v>1</v>
      </c>
      <c r="B7" s="560" t="s">
        <v>253</v>
      </c>
      <c r="C7" s="562" t="s">
        <v>2</v>
      </c>
      <c r="D7" s="562" t="s">
        <v>3</v>
      </c>
      <c r="E7" s="562" t="s">
        <v>4</v>
      </c>
      <c r="F7" s="562"/>
      <c r="G7" s="562" t="s">
        <v>16</v>
      </c>
      <c r="H7" s="562"/>
      <c r="I7" s="446" t="s">
        <v>5</v>
      </c>
    </row>
    <row r="8" spans="1:9" ht="26.25" thickBot="1" x14ac:dyDescent="0.25">
      <c r="A8" s="559"/>
      <c r="B8" s="561"/>
      <c r="C8" s="563"/>
      <c r="D8" s="563"/>
      <c r="E8" s="447" t="s">
        <v>6</v>
      </c>
      <c r="F8" s="448" t="s">
        <v>7</v>
      </c>
      <c r="G8" s="447" t="s">
        <v>6</v>
      </c>
      <c r="H8" s="448" t="s">
        <v>7</v>
      </c>
      <c r="I8" s="449" t="s">
        <v>8</v>
      </c>
    </row>
    <row r="9" spans="1:9" ht="18.399999999999999" customHeight="1" x14ac:dyDescent="0.25">
      <c r="A9" s="450"/>
      <c r="B9" s="451"/>
      <c r="C9" s="452" t="s">
        <v>254</v>
      </c>
      <c r="D9" s="453"/>
      <c r="E9" s="454"/>
      <c r="F9" s="455"/>
      <c r="G9" s="454"/>
      <c r="H9" s="455"/>
      <c r="I9" s="456"/>
    </row>
    <row r="10" spans="1:9" ht="18" customHeight="1" x14ac:dyDescent="0.25">
      <c r="A10" s="528"/>
      <c r="B10" s="525" t="s">
        <v>262</v>
      </c>
      <c r="C10" s="526" t="s">
        <v>263</v>
      </c>
      <c r="D10" s="529" t="s">
        <v>29</v>
      </c>
      <c r="E10" s="529">
        <v>2000</v>
      </c>
      <c r="F10" s="529" t="s">
        <v>30</v>
      </c>
      <c r="G10" s="527"/>
      <c r="H10" s="459"/>
      <c r="I10" s="456"/>
    </row>
    <row r="11" spans="1:9" ht="15.75" x14ac:dyDescent="0.25">
      <c r="A11" s="73"/>
      <c r="B11" s="73"/>
      <c r="C11" s="74"/>
      <c r="D11" s="457"/>
      <c r="E11" s="457"/>
      <c r="F11" s="457"/>
      <c r="G11" s="458"/>
      <c r="H11" s="459"/>
      <c r="I11" s="456"/>
    </row>
    <row r="12" spans="1:9" ht="15.75" x14ac:dyDescent="0.25">
      <c r="A12" s="460"/>
      <c r="B12" s="460"/>
      <c r="C12" s="461"/>
      <c r="D12" s="457"/>
      <c r="E12" s="457"/>
      <c r="F12" s="457"/>
      <c r="G12" s="462"/>
      <c r="H12" s="459"/>
      <c r="I12" s="456"/>
    </row>
    <row r="13" spans="1:9" ht="15.75" x14ac:dyDescent="0.25">
      <c r="A13" s="73"/>
      <c r="B13" s="73"/>
      <c r="C13" s="74"/>
      <c r="D13" s="457"/>
      <c r="E13" s="457"/>
      <c r="F13" s="457"/>
      <c r="G13" s="462"/>
      <c r="H13" s="459"/>
      <c r="I13" s="456"/>
    </row>
    <row r="14" spans="1:9" ht="15.75" x14ac:dyDescent="0.25">
      <c r="A14" s="460"/>
      <c r="B14" s="460"/>
      <c r="C14" s="461"/>
      <c r="D14" s="457"/>
      <c r="E14" s="457"/>
      <c r="F14" s="457"/>
      <c r="G14" s="462"/>
      <c r="H14" s="459"/>
      <c r="I14" s="456"/>
    </row>
    <row r="15" spans="1:9" ht="15.75" x14ac:dyDescent="0.25">
      <c r="A15" s="73"/>
      <c r="B15" s="73"/>
      <c r="C15" s="74"/>
      <c r="D15" s="457"/>
      <c r="E15" s="457"/>
      <c r="F15" s="457"/>
      <c r="G15" s="462"/>
      <c r="H15" s="459"/>
      <c r="I15" s="456"/>
    </row>
    <row r="16" spans="1:9" ht="15" x14ac:dyDescent="0.25">
      <c r="A16" s="73"/>
      <c r="B16" s="73"/>
      <c r="C16" s="463"/>
      <c r="D16" s="464"/>
      <c r="E16" s="465"/>
      <c r="F16" s="466"/>
      <c r="G16" s="462"/>
      <c r="H16" s="459"/>
      <c r="I16" s="456"/>
    </row>
    <row r="17" spans="1:9" ht="15" x14ac:dyDescent="0.25">
      <c r="A17" s="73"/>
      <c r="B17" s="73"/>
      <c r="C17" s="463"/>
      <c r="D17" s="464"/>
      <c r="E17" s="465"/>
      <c r="F17" s="466"/>
      <c r="G17" s="462"/>
      <c r="H17" s="459"/>
      <c r="I17" s="456"/>
    </row>
    <row r="18" spans="1:9" ht="15" x14ac:dyDescent="0.25">
      <c r="A18" s="73"/>
      <c r="B18" s="73"/>
      <c r="C18" s="463"/>
      <c r="D18" s="464"/>
      <c r="E18" s="465"/>
      <c r="F18" s="466"/>
      <c r="G18" s="462"/>
      <c r="H18" s="459"/>
      <c r="I18" s="456"/>
    </row>
    <row r="19" spans="1:9" ht="15" x14ac:dyDescent="0.25">
      <c r="A19" s="73"/>
      <c r="B19" s="73"/>
      <c r="C19" s="463"/>
      <c r="D19" s="464"/>
      <c r="E19" s="465"/>
      <c r="F19" s="466"/>
      <c r="G19" s="462"/>
      <c r="H19" s="459"/>
      <c r="I19" s="456"/>
    </row>
    <row r="20" spans="1:9" ht="15" x14ac:dyDescent="0.25">
      <c r="A20" s="467"/>
      <c r="B20" s="73"/>
      <c r="C20" s="74"/>
      <c r="D20" s="468"/>
      <c r="E20" s="468"/>
      <c r="F20" s="468"/>
      <c r="G20" s="454"/>
      <c r="H20" s="459"/>
      <c r="I20" s="456"/>
    </row>
    <row r="21" spans="1:9" ht="15.75" x14ac:dyDescent="0.25">
      <c r="A21" s="469"/>
      <c r="B21" s="470"/>
      <c r="C21" s="471"/>
      <c r="D21" s="465"/>
      <c r="E21" s="472"/>
      <c r="F21" s="466"/>
      <c r="G21" s="454"/>
      <c r="H21" s="455"/>
      <c r="I21" s="456"/>
    </row>
    <row r="22" spans="1:9" ht="15" x14ac:dyDescent="0.25">
      <c r="A22" s="473"/>
      <c r="B22" s="474"/>
      <c r="C22" s="475"/>
      <c r="D22" s="476"/>
      <c r="E22" s="477"/>
      <c r="F22" s="478"/>
      <c r="G22" s="454"/>
      <c r="H22" s="455"/>
      <c r="I22" s="456"/>
    </row>
    <row r="23" spans="1:9" ht="15" x14ac:dyDescent="0.25">
      <c r="A23" s="473"/>
      <c r="B23" s="474"/>
      <c r="C23" s="475"/>
      <c r="D23" s="476"/>
      <c r="E23" s="479"/>
      <c r="F23" s="478"/>
      <c r="G23" s="454"/>
      <c r="H23" s="455"/>
      <c r="I23" s="456"/>
    </row>
    <row r="24" spans="1:9" ht="15" x14ac:dyDescent="0.25">
      <c r="A24" s="473"/>
      <c r="B24" s="474"/>
      <c r="C24" s="475"/>
      <c r="D24" s="476"/>
      <c r="E24" s="477"/>
      <c r="F24" s="478"/>
      <c r="G24" s="454"/>
      <c r="H24" s="455"/>
      <c r="I24" s="456"/>
    </row>
    <row r="25" spans="1:9" ht="15" x14ac:dyDescent="0.25">
      <c r="A25" s="473"/>
      <c r="B25" s="474"/>
      <c r="C25" s="475"/>
      <c r="D25" s="476"/>
      <c r="E25" s="480"/>
      <c r="F25" s="481"/>
      <c r="G25" s="454"/>
      <c r="H25" s="455"/>
      <c r="I25" s="456"/>
    </row>
    <row r="26" spans="1:9" ht="15" x14ac:dyDescent="0.25">
      <c r="A26" s="473"/>
      <c r="B26" s="474"/>
      <c r="C26" s="475"/>
      <c r="D26" s="476"/>
      <c r="E26" s="482"/>
      <c r="F26" s="481"/>
      <c r="G26" s="454"/>
      <c r="H26" s="455"/>
      <c r="I26" s="456"/>
    </row>
    <row r="27" spans="1:9" ht="15" x14ac:dyDescent="0.25">
      <c r="A27" s="34"/>
      <c r="B27" s="34"/>
      <c r="D27" s="483"/>
      <c r="E27" s="484"/>
      <c r="F27" s="485"/>
      <c r="G27" s="454"/>
      <c r="H27" s="455"/>
      <c r="I27" s="456"/>
    </row>
    <row r="28" spans="1:9" ht="15" x14ac:dyDescent="0.25">
      <c r="A28" s="73"/>
      <c r="B28" s="73"/>
      <c r="C28" s="74"/>
      <c r="D28" s="486"/>
      <c r="E28" s="487"/>
      <c r="F28" s="485"/>
      <c r="G28" s="454"/>
      <c r="H28" s="455"/>
      <c r="I28" s="456"/>
    </row>
    <row r="29" spans="1:9" ht="15" x14ac:dyDescent="0.25">
      <c r="A29" s="73"/>
      <c r="B29" s="73"/>
      <c r="C29" s="74"/>
      <c r="D29" s="486"/>
      <c r="E29" s="488"/>
      <c r="F29" s="489"/>
      <c r="G29" s="454"/>
      <c r="H29" s="455"/>
      <c r="I29" s="456"/>
    </row>
    <row r="30" spans="1:9" ht="15.75" x14ac:dyDescent="0.25">
      <c r="A30" s="490"/>
      <c r="B30" s="491"/>
      <c r="C30" s="492" t="s">
        <v>249</v>
      </c>
      <c r="D30" s="493"/>
      <c r="E30" s="494"/>
      <c r="F30" s="455"/>
      <c r="G30" s="454"/>
      <c r="I30" s="456"/>
    </row>
    <row r="31" spans="1:9" ht="15" x14ac:dyDescent="0.25">
      <c r="A31" s="495">
        <v>512000002</v>
      </c>
      <c r="B31" s="495" t="s">
        <v>250</v>
      </c>
      <c r="C31" s="496" t="s">
        <v>255</v>
      </c>
      <c r="D31" s="497"/>
      <c r="E31" s="498">
        <v>1</v>
      </c>
      <c r="F31" s="499" t="s">
        <v>251</v>
      </c>
      <c r="G31" s="500"/>
      <c r="H31" s="455"/>
      <c r="I31" s="456"/>
    </row>
    <row r="32" spans="1:9" ht="15" x14ac:dyDescent="0.25">
      <c r="A32" s="501">
        <v>702067</v>
      </c>
      <c r="B32" s="501" t="s">
        <v>252</v>
      </c>
      <c r="C32" s="502" t="s">
        <v>256</v>
      </c>
      <c r="D32" s="497" t="s">
        <v>70</v>
      </c>
      <c r="E32" s="498">
        <v>1</v>
      </c>
      <c r="F32" s="499" t="s">
        <v>31</v>
      </c>
      <c r="G32" s="500"/>
      <c r="H32" s="455"/>
      <c r="I32" s="456"/>
    </row>
    <row r="33" spans="1:9" ht="15" x14ac:dyDescent="0.25">
      <c r="A33" s="73"/>
      <c r="B33" s="73"/>
      <c r="C33" s="74"/>
      <c r="D33" s="503"/>
      <c r="E33" s="488"/>
      <c r="F33" s="462"/>
      <c r="G33" s="500"/>
      <c r="H33" s="455"/>
      <c r="I33" s="456"/>
    </row>
    <row r="34" spans="1:9" ht="15" x14ac:dyDescent="0.25">
      <c r="A34" s="75"/>
      <c r="B34" s="75"/>
      <c r="C34" s="76"/>
      <c r="D34" s="497"/>
      <c r="E34" s="498"/>
      <c r="F34" s="499"/>
      <c r="G34" s="454"/>
      <c r="H34" s="455"/>
      <c r="I34" s="456"/>
    </row>
    <row r="35" spans="1:9" ht="15" x14ac:dyDescent="0.25">
      <c r="A35" s="75"/>
      <c r="B35" s="75"/>
      <c r="C35" s="76"/>
      <c r="D35" s="497"/>
      <c r="E35" s="498"/>
      <c r="F35" s="499"/>
      <c r="G35" s="454"/>
      <c r="H35" s="455"/>
      <c r="I35" s="456"/>
    </row>
    <row r="36" spans="1:9" ht="15" x14ac:dyDescent="0.25">
      <c r="A36" s="75"/>
      <c r="B36" s="75"/>
      <c r="C36" s="76"/>
      <c r="D36" s="497"/>
      <c r="E36" s="498"/>
      <c r="F36" s="499"/>
      <c r="G36" s="504"/>
      <c r="H36" s="455"/>
      <c r="I36" s="456"/>
    </row>
    <row r="37" spans="1:9" ht="15.75" x14ac:dyDescent="0.25">
      <c r="A37" s="75"/>
      <c r="B37" s="75"/>
      <c r="C37" s="76"/>
      <c r="D37" s="457"/>
      <c r="E37" s="498"/>
      <c r="F37" s="499"/>
      <c r="G37" s="464"/>
      <c r="H37" s="455"/>
      <c r="I37" s="456"/>
    </row>
    <row r="38" spans="1:9" ht="15" x14ac:dyDescent="0.25">
      <c r="A38" s="505"/>
      <c r="B38" s="505"/>
      <c r="C38" s="506"/>
      <c r="D38" s="497"/>
      <c r="E38" s="489"/>
      <c r="F38" s="489"/>
      <c r="G38" s="464"/>
      <c r="H38" s="455"/>
      <c r="I38" s="456"/>
    </row>
    <row r="39" spans="1:9" ht="15" x14ac:dyDescent="0.25">
      <c r="A39" s="495"/>
      <c r="B39" s="73"/>
      <c r="C39" s="496"/>
      <c r="D39" s="503"/>
      <c r="E39" s="488"/>
      <c r="F39" s="462"/>
      <c r="G39" s="464"/>
      <c r="H39" s="455"/>
      <c r="I39" s="456"/>
    </row>
    <row r="40" spans="1:9" ht="15.75" x14ac:dyDescent="0.25">
      <c r="A40" s="75"/>
      <c r="B40" s="75"/>
      <c r="C40" s="76"/>
      <c r="D40" s="497"/>
      <c r="E40" s="488"/>
      <c r="F40" s="462"/>
      <c r="G40" s="507"/>
      <c r="H40" s="455"/>
      <c r="I40" s="456"/>
    </row>
    <row r="41" spans="1:9" ht="15.75" x14ac:dyDescent="0.25">
      <c r="A41" s="469"/>
      <c r="B41" s="470"/>
      <c r="C41" s="508"/>
      <c r="D41" s="465"/>
      <c r="E41" s="465"/>
      <c r="F41" s="466"/>
      <c r="G41" s="49"/>
      <c r="H41" s="49"/>
      <c r="I41" s="456"/>
    </row>
    <row r="42" spans="1:9" ht="14.25" thickBot="1" x14ac:dyDescent="0.3">
      <c r="A42" s="509"/>
      <c r="B42" s="510"/>
      <c r="C42" s="511"/>
      <c r="D42" s="511"/>
      <c r="E42" s="512"/>
      <c r="F42" s="513"/>
      <c r="G42" s="511"/>
      <c r="H42" s="511"/>
      <c r="I42" s="514"/>
    </row>
    <row r="43" spans="1:9" ht="14.25" thickBot="1" x14ac:dyDescent="0.3">
      <c r="A43" s="515"/>
      <c r="B43" s="516"/>
      <c r="C43" s="517"/>
      <c r="D43" s="518" t="s">
        <v>6</v>
      </c>
      <c r="E43" s="519" t="s">
        <v>15</v>
      </c>
      <c r="F43" s="520"/>
      <c r="G43" s="517"/>
      <c r="H43" s="517"/>
      <c r="I43" s="521"/>
    </row>
    <row r="44" spans="1:9" ht="13.5" x14ac:dyDescent="0.25">
      <c r="A44" s="564" t="s">
        <v>10</v>
      </c>
      <c r="B44" s="565"/>
      <c r="C44" s="566"/>
      <c r="D44" s="487">
        <v>1900</v>
      </c>
      <c r="E44" s="522" t="s">
        <v>30</v>
      </c>
      <c r="F44" s="567" t="s">
        <v>257</v>
      </c>
      <c r="G44" s="567"/>
      <c r="H44" s="568"/>
      <c r="I44" s="569"/>
    </row>
    <row r="45" spans="1:9" ht="13.5" x14ac:dyDescent="0.25">
      <c r="A45" s="570" t="s">
        <v>9</v>
      </c>
      <c r="B45" s="571"/>
      <c r="C45" s="572"/>
      <c r="D45" s="488">
        <v>20</v>
      </c>
      <c r="E45" s="462" t="s">
        <v>32</v>
      </c>
      <c r="F45" s="573" t="s">
        <v>258</v>
      </c>
      <c r="G45" s="573"/>
      <c r="H45" s="574"/>
      <c r="I45" s="575"/>
    </row>
    <row r="46" spans="1:9" ht="13.5" x14ac:dyDescent="0.25">
      <c r="A46" s="570" t="s">
        <v>14</v>
      </c>
      <c r="B46" s="571"/>
      <c r="C46" s="572"/>
      <c r="D46" s="488">
        <v>1</v>
      </c>
      <c r="E46" s="462" t="s">
        <v>33</v>
      </c>
      <c r="F46" s="573" t="s">
        <v>259</v>
      </c>
      <c r="G46" s="573"/>
      <c r="H46" s="574"/>
      <c r="I46" s="575"/>
    </row>
    <row r="47" spans="1:9" ht="13.5" x14ac:dyDescent="0.25">
      <c r="A47" s="570" t="s">
        <v>13</v>
      </c>
      <c r="B47" s="571"/>
      <c r="C47" s="572"/>
      <c r="D47" s="488">
        <v>1900</v>
      </c>
      <c r="E47" s="462" t="s">
        <v>30</v>
      </c>
      <c r="F47" s="579" t="s">
        <v>260</v>
      </c>
      <c r="G47" s="580"/>
      <c r="H47" s="581"/>
      <c r="I47" s="582"/>
    </row>
    <row r="48" spans="1:9" ht="14.25" thickBot="1" x14ac:dyDescent="0.3">
      <c r="A48" s="583" t="s">
        <v>12</v>
      </c>
      <c r="B48" s="584"/>
      <c r="C48" s="585"/>
      <c r="D48" s="523">
        <f>SUM(E10)-D44</f>
        <v>100</v>
      </c>
      <c r="E48" s="524"/>
      <c r="F48" s="586"/>
      <c r="G48" s="586"/>
      <c r="H48" s="574"/>
      <c r="I48" s="575"/>
    </row>
    <row r="49" spans="1:9" ht="13.5" thickBot="1" x14ac:dyDescent="0.25">
      <c r="A49" s="587" t="s">
        <v>11</v>
      </c>
      <c r="B49" s="588"/>
      <c r="C49" s="588"/>
      <c r="D49" s="588"/>
      <c r="E49" s="588"/>
      <c r="F49" s="588"/>
      <c r="G49" s="588"/>
      <c r="H49" s="588"/>
      <c r="I49" s="589"/>
    </row>
    <row r="50" spans="1:9" ht="14.65" customHeight="1" x14ac:dyDescent="0.2">
      <c r="A50" s="590" t="s">
        <v>265</v>
      </c>
      <c r="B50" s="591"/>
      <c r="C50" s="591"/>
      <c r="D50" s="591"/>
      <c r="E50" s="591"/>
      <c r="F50" s="591"/>
      <c r="G50" s="591"/>
      <c r="H50" s="591"/>
      <c r="I50" s="592"/>
    </row>
    <row r="51" spans="1:9" ht="15.4" customHeight="1" x14ac:dyDescent="0.2">
      <c r="A51" s="576" t="s">
        <v>264</v>
      </c>
      <c r="B51" s="577"/>
      <c r="C51" s="577"/>
      <c r="D51" s="577"/>
      <c r="E51" s="577"/>
      <c r="F51" s="577"/>
      <c r="G51" s="577"/>
      <c r="H51" s="577"/>
      <c r="I51" s="578"/>
    </row>
    <row r="52" spans="1:9" ht="14.65" customHeight="1" x14ac:dyDescent="0.2">
      <c r="A52" s="597"/>
      <c r="B52" s="598"/>
      <c r="C52" s="598"/>
      <c r="D52" s="598"/>
      <c r="E52" s="598"/>
      <c r="F52" s="598"/>
      <c r="G52" s="598"/>
      <c r="H52" s="598"/>
      <c r="I52" s="599"/>
    </row>
    <row r="53" spans="1:9" ht="14.65" customHeight="1" x14ac:dyDescent="0.25">
      <c r="A53" s="600"/>
      <c r="B53" s="601"/>
      <c r="C53" s="602"/>
      <c r="D53" s="602"/>
      <c r="E53" s="602"/>
      <c r="F53" s="602"/>
      <c r="G53" s="602"/>
      <c r="H53" s="602"/>
      <c r="I53" s="603"/>
    </row>
    <row r="54" spans="1:9" ht="14.65" customHeight="1" x14ac:dyDescent="0.25">
      <c r="A54" s="604"/>
      <c r="B54" s="605"/>
      <c r="C54" s="605"/>
      <c r="D54" s="605"/>
      <c r="E54" s="605"/>
      <c r="F54" s="605"/>
      <c r="G54" s="605"/>
      <c r="H54" s="605"/>
      <c r="I54" s="606"/>
    </row>
    <row r="55" spans="1:9" ht="18" customHeight="1" x14ac:dyDescent="0.25">
      <c r="A55" s="607"/>
      <c r="B55" s="608"/>
      <c r="C55" s="608"/>
      <c r="D55" s="608"/>
      <c r="E55" s="608"/>
      <c r="F55" s="608"/>
      <c r="G55" s="608"/>
      <c r="H55" s="608"/>
      <c r="I55" s="609"/>
    </row>
    <row r="56" spans="1:9" ht="15.75" x14ac:dyDescent="0.25">
      <c r="A56" s="607"/>
      <c r="B56" s="608"/>
      <c r="C56" s="608"/>
      <c r="D56" s="608"/>
      <c r="E56" s="608"/>
      <c r="F56" s="608"/>
      <c r="G56" s="608"/>
      <c r="H56" s="608"/>
      <c r="I56" s="609"/>
    </row>
    <row r="57" spans="1:9" ht="15" thickBot="1" x14ac:dyDescent="0.25">
      <c r="A57" s="610"/>
      <c r="B57" s="611"/>
      <c r="C57" s="611"/>
      <c r="D57" s="611"/>
      <c r="E57" s="611"/>
      <c r="F57" s="611"/>
      <c r="G57" s="611"/>
      <c r="H57" s="611"/>
      <c r="I57" s="612"/>
    </row>
    <row r="58" spans="1:9" x14ac:dyDescent="0.2">
      <c r="A58" s="593" t="s">
        <v>261</v>
      </c>
      <c r="B58" s="594"/>
      <c r="C58" s="594"/>
      <c r="D58" s="594"/>
      <c r="E58" s="594"/>
      <c r="F58" s="594"/>
      <c r="G58" s="594"/>
      <c r="H58" s="594"/>
      <c r="I58" s="594"/>
    </row>
    <row r="59" spans="1:9" ht="13.5" x14ac:dyDescent="0.25">
      <c r="A59" s="595"/>
      <c r="B59" s="596"/>
      <c r="C59" s="596"/>
      <c r="D59" s="596"/>
      <c r="E59" s="596"/>
      <c r="F59" s="596"/>
      <c r="G59" s="596"/>
      <c r="H59" s="596"/>
      <c r="I59" s="596"/>
    </row>
    <row r="60" spans="1:9" ht="13.5" x14ac:dyDescent="0.25">
      <c r="A60" s="595"/>
      <c r="B60" s="596"/>
      <c r="C60" s="596"/>
      <c r="D60" s="596"/>
      <c r="E60" s="596"/>
      <c r="F60" s="596"/>
      <c r="G60" s="596"/>
      <c r="H60" s="596"/>
      <c r="I60" s="596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1666-E378-4EB7-86A2-FCA6F5444FEA}">
  <dimension ref="A1:Q91"/>
  <sheetViews>
    <sheetView topLeftCell="A45" workbookViewId="0">
      <selection activeCell="G59" sqref="G59"/>
    </sheetView>
  </sheetViews>
  <sheetFormatPr baseColWidth="10" defaultColWidth="8.42578125" defaultRowHeight="12.75" x14ac:dyDescent="0.2"/>
  <cols>
    <col min="1" max="1" width="10" style="82" bestFit="1" customWidth="1"/>
    <col min="2" max="2" width="44.28515625" style="82" bestFit="1" customWidth="1"/>
    <col min="3" max="3" width="10.42578125" style="82" bestFit="1" customWidth="1"/>
    <col min="4" max="4" width="10.42578125" style="82" customWidth="1"/>
    <col min="5" max="5" width="9.7109375" style="82" bestFit="1" customWidth="1"/>
    <col min="6" max="6" width="9.5703125" style="82" bestFit="1" customWidth="1"/>
    <col min="7" max="7" width="9.5703125" style="162" bestFit="1" customWidth="1"/>
    <col min="8" max="8" width="10.42578125" style="153" bestFit="1" customWidth="1"/>
    <col min="9" max="9" width="4.5703125" style="153" customWidth="1"/>
    <col min="10" max="10" width="1.7109375" style="81" customWidth="1"/>
    <col min="11" max="11" width="7" style="82" bestFit="1" customWidth="1"/>
    <col min="12" max="12" width="6.28515625" style="82" customWidth="1"/>
    <col min="13" max="13" width="20.42578125" style="82" customWidth="1"/>
    <col min="14" max="14" width="6.42578125" style="82" bestFit="1" customWidth="1"/>
    <col min="15" max="16" width="8.42578125" style="82"/>
    <col min="17" max="17" width="3.28515625" style="82" customWidth="1"/>
    <col min="18" max="16384" width="8.42578125" style="82"/>
  </cols>
  <sheetData>
    <row r="1" spans="1:10" ht="27.75" customHeight="1" x14ac:dyDescent="0.2">
      <c r="A1" s="77"/>
      <c r="B1" s="77"/>
      <c r="C1" s="77"/>
      <c r="D1" s="77"/>
      <c r="E1" s="78" t="s">
        <v>78</v>
      </c>
      <c r="F1" s="79" t="s">
        <v>79</v>
      </c>
      <c r="G1" s="79" t="s">
        <v>80</v>
      </c>
      <c r="H1" s="79" t="s">
        <v>81</v>
      </c>
      <c r="I1" s="80"/>
    </row>
    <row r="2" spans="1:10" ht="30.75" customHeight="1" x14ac:dyDescent="0.2">
      <c r="A2" s="77"/>
      <c r="B2" s="77"/>
      <c r="C2" s="77"/>
      <c r="D2" s="77"/>
      <c r="E2" s="83">
        <f>IFERROR(O62,"")</f>
        <v>8928.7531315796241</v>
      </c>
      <c r="F2" s="83">
        <f>IFERROR(H53,"")</f>
        <v>5531.485699285714</v>
      </c>
      <c r="G2" s="83">
        <f>IFERROR(H54,"")</f>
        <v>75.675814400000007</v>
      </c>
      <c r="H2" s="83">
        <f>IFERROR(H56,"")</f>
        <v>1139.6264000000001</v>
      </c>
      <c r="I2" s="84"/>
    </row>
    <row r="3" spans="1:10" ht="15" customHeight="1" x14ac:dyDescent="0.2">
      <c r="A3" s="77"/>
      <c r="B3" s="77"/>
      <c r="C3" s="77"/>
      <c r="D3" s="77"/>
      <c r="E3" s="77"/>
      <c r="F3" s="85"/>
      <c r="G3" s="85"/>
      <c r="H3" s="85"/>
      <c r="I3" s="85"/>
    </row>
    <row r="4" spans="1:10" ht="24.75" customHeight="1" thickBot="1" x14ac:dyDescent="0.25">
      <c r="A4" s="639"/>
      <c r="B4" s="639"/>
      <c r="C4" s="639"/>
      <c r="D4" s="639"/>
      <c r="E4" s="639"/>
      <c r="F4" s="639"/>
      <c r="G4" s="639"/>
      <c r="H4" s="639"/>
      <c r="I4" s="86"/>
    </row>
    <row r="5" spans="1:10" ht="19.5" customHeight="1" thickBot="1" x14ac:dyDescent="0.25">
      <c r="A5" s="640" t="s">
        <v>82</v>
      </c>
      <c r="B5" s="641"/>
      <c r="C5" s="641"/>
      <c r="D5" s="641"/>
      <c r="E5" s="641"/>
      <c r="F5" s="641"/>
      <c r="G5" s="641"/>
      <c r="H5" s="642"/>
      <c r="I5" s="87"/>
    </row>
    <row r="6" spans="1:10" ht="19.5" thickBot="1" x14ac:dyDescent="0.25">
      <c r="A6" s="87"/>
      <c r="B6" s="87"/>
      <c r="C6" s="87"/>
      <c r="D6" s="87"/>
      <c r="E6" s="87"/>
      <c r="F6" s="643" t="s">
        <v>83</v>
      </c>
      <c r="G6" s="643"/>
      <c r="H6" s="88">
        <f ca="1">TODAY()</f>
        <v>45783</v>
      </c>
      <c r="I6" s="88"/>
    </row>
    <row r="7" spans="1:10" ht="26.25" thickBot="1" x14ac:dyDescent="0.25">
      <c r="A7" s="89" t="s">
        <v>84</v>
      </c>
      <c r="B7" s="90" t="s">
        <v>85</v>
      </c>
      <c r="C7" s="90" t="s">
        <v>84</v>
      </c>
      <c r="D7" s="91" t="s">
        <v>86</v>
      </c>
      <c r="E7" s="91" t="s">
        <v>87</v>
      </c>
      <c r="F7" s="91" t="s">
        <v>88</v>
      </c>
      <c r="G7" s="91" t="s">
        <v>89</v>
      </c>
      <c r="H7" s="92" t="s">
        <v>90</v>
      </c>
      <c r="I7" s="93"/>
    </row>
    <row r="8" spans="1:10" ht="13.5" x14ac:dyDescent="0.25">
      <c r="A8" s="94">
        <v>180</v>
      </c>
      <c r="B8" s="82" t="str">
        <f>IFERROR(VLOOKUP(H8,'[1]Consolidado MP Planta'!$A$2:$M$823,3,0),"")</f>
        <v>AGUA PLANTA</v>
      </c>
      <c r="C8" s="95">
        <f>+A8</f>
        <v>180</v>
      </c>
      <c r="D8" s="96" t="str">
        <f>IFERROR(VLOOKUP(H8,'[1]Consolidado MP Planta'!$A$2:$M$823,13,0),"")</f>
        <v>Mililitros</v>
      </c>
      <c r="E8" s="96">
        <f>IFERROR(VLOOKUP(H8,'[1]Consolidado MP Planta'!$A$2:$M$823,12,0),"")</f>
        <v>0.1</v>
      </c>
      <c r="F8" s="96">
        <f>IFERROR(C8*E8,"")</f>
        <v>18</v>
      </c>
      <c r="G8" s="97">
        <f t="shared" ref="G8:G14" si="0">IFERROR(F8/$F$66,"")</f>
        <v>2.6401512453099541E-3</v>
      </c>
      <c r="H8" s="98" t="s">
        <v>27</v>
      </c>
      <c r="I8" s="98"/>
      <c r="J8" s="99"/>
    </row>
    <row r="9" spans="1:10" ht="13.5" x14ac:dyDescent="0.25">
      <c r="A9" s="94">
        <v>450</v>
      </c>
      <c r="B9" s="82" t="str">
        <f>IFERROR(VLOOKUP(H9,'[1]Consolidado MP Planta'!$A$2:$M$823,3,0),"")</f>
        <v>SIROPE KARO DARK (UND: 3.78 K)</v>
      </c>
      <c r="C9" s="95">
        <f t="shared" ref="C9:C14" si="1">+A9</f>
        <v>450</v>
      </c>
      <c r="D9" s="96" t="str">
        <f>IFERROR(VLOOKUP(H9,'[1]Consolidado MP Planta'!$A$2:$M$823,13,0),"")</f>
        <v>Mililitros</v>
      </c>
      <c r="E9" s="96">
        <f>IFERROR(VLOOKUP(H9,'[1]Consolidado MP Planta'!$A$2:$M$823,12,0),"")</f>
        <v>2.5428571428571427</v>
      </c>
      <c r="F9" s="96">
        <f t="shared" ref="F9:F14" si="2">IFERROR(C9*E9,"")</f>
        <v>1144.2857142857142</v>
      </c>
      <c r="G9" s="97">
        <f t="shared" si="0"/>
        <v>0.16783818630898992</v>
      </c>
      <c r="H9" s="98" t="s">
        <v>127</v>
      </c>
      <c r="I9" s="98"/>
      <c r="J9" s="99"/>
    </row>
    <row r="10" spans="1:10" ht="13.5" x14ac:dyDescent="0.25">
      <c r="A10" s="94">
        <v>145</v>
      </c>
      <c r="B10" s="82" t="str">
        <f>IFERROR(VLOOKUP(H10,'[1]Consolidado MP Planta'!$A$2:$M$823,3,0),"")</f>
        <v>LACTOCREMA GRANEL (CAJA:25 KG)</v>
      </c>
      <c r="C10" s="95">
        <f t="shared" si="1"/>
        <v>145</v>
      </c>
      <c r="D10" s="96" t="str">
        <f>IFERROR(VLOOKUP(H10,'[1]Consolidado MP Planta'!$A$2:$M$823,13,0),"")</f>
        <v>Gramos</v>
      </c>
      <c r="E10" s="96">
        <f>IFERROR(VLOOKUP(H10,'[1]Consolidado MP Planta'!$A$2:$M$823,12,0),"")</f>
        <v>3.0550000000000002</v>
      </c>
      <c r="F10" s="96">
        <f t="shared" si="2"/>
        <v>442.97500000000002</v>
      </c>
      <c r="G10" s="97">
        <f t="shared" si="0"/>
        <v>6.4973388771732046E-2</v>
      </c>
      <c r="H10" s="98" t="s">
        <v>130</v>
      </c>
      <c r="I10" s="98"/>
      <c r="J10" s="99"/>
    </row>
    <row r="11" spans="1:10" ht="13.5" x14ac:dyDescent="0.25">
      <c r="A11" s="94">
        <v>7</v>
      </c>
      <c r="B11" s="82" t="str">
        <f>IFERROR(VLOOKUP(H11,'[1]Consolidado MP Planta'!$A$2:$M$823,3,0),"")</f>
        <v>BICARBONATO DE SODIO (PAQ:2.5 K)</v>
      </c>
      <c r="C11" s="95">
        <f t="shared" si="1"/>
        <v>7</v>
      </c>
      <c r="D11" s="96" t="str">
        <f>IFERROR(VLOOKUP(H11,'[1]Consolidado MP Planta'!$A$2:$M$823,13,0),"")</f>
        <v>Gramos</v>
      </c>
      <c r="E11" s="96">
        <f>IFERROR(VLOOKUP(H11,'[1]Consolidado MP Planta'!$A$2:$M$823,12,0),"")</f>
        <v>0.70657999999999999</v>
      </c>
      <c r="F11" s="96">
        <f t="shared" si="2"/>
        <v>4.9460600000000001</v>
      </c>
      <c r="G11" s="97">
        <f t="shared" si="0"/>
        <v>7.2546369268765287E-4</v>
      </c>
      <c r="H11" s="98" t="s">
        <v>128</v>
      </c>
      <c r="I11" s="98"/>
      <c r="J11" s="99"/>
    </row>
    <row r="12" spans="1:10" ht="13.5" x14ac:dyDescent="0.25">
      <c r="A12" s="94">
        <v>630</v>
      </c>
      <c r="B12" s="82" t="str">
        <f>IFERROR(VLOOKUP(H12,'[1]Consolidado MP Planta'!$A$2:$M$823,3,0),"")</f>
        <v>ALMENDRA ENTERA (CAJA:12 KG)</v>
      </c>
      <c r="C12" s="95">
        <f t="shared" si="1"/>
        <v>630</v>
      </c>
      <c r="D12" s="96" t="str">
        <f>IFERROR(VLOOKUP(H12,'[1]Consolidado MP Planta'!$A$2:$M$823,13,0),"")</f>
        <v>Gramos</v>
      </c>
      <c r="E12" s="96">
        <f>IFERROR(VLOOKUP(H12,'[1]Consolidado MP Planta'!$A$2:$M$823,12,0),"")</f>
        <v>5.5533074999999998</v>
      </c>
      <c r="F12" s="96">
        <f t="shared" si="2"/>
        <v>3498.583725</v>
      </c>
      <c r="G12" s="97">
        <f t="shared" si="0"/>
        <v>0.51315500990999374</v>
      </c>
      <c r="H12" s="98" t="s">
        <v>129</v>
      </c>
      <c r="I12" s="98"/>
      <c r="J12" s="99"/>
    </row>
    <row r="13" spans="1:10" ht="13.5" hidden="1" x14ac:dyDescent="0.25">
      <c r="A13" s="94"/>
      <c r="B13" s="82" t="str">
        <f>IFERROR(VLOOKUP(H13,'[1]Consolidado MP Planta'!$A$2:$M$823,3,0),"")</f>
        <v/>
      </c>
      <c r="C13" s="95">
        <f t="shared" si="1"/>
        <v>0</v>
      </c>
      <c r="D13" s="96" t="str">
        <f>IFERROR(VLOOKUP(H13,'[1]Consolidado MP Planta'!$A$2:$M$823,13,0),"")</f>
        <v/>
      </c>
      <c r="E13" s="96" t="str">
        <f>IFERROR(VLOOKUP(H13,'[1]Consolidado MP Planta'!$A$2:$M$823,12,0),"")</f>
        <v/>
      </c>
      <c r="F13" s="96" t="str">
        <f t="shared" si="2"/>
        <v/>
      </c>
      <c r="G13" s="97" t="str">
        <f t="shared" si="0"/>
        <v/>
      </c>
      <c r="H13" s="98"/>
      <c r="I13" s="98"/>
      <c r="J13" s="99"/>
    </row>
    <row r="14" spans="1:10" ht="13.5" hidden="1" x14ac:dyDescent="0.25">
      <c r="A14" s="94"/>
      <c r="B14" s="82" t="str">
        <f>IFERROR(VLOOKUP(H14,'[1]Consolidado MP Planta'!$A$2:$M$823,3,0),"")</f>
        <v/>
      </c>
      <c r="C14" s="95">
        <f t="shared" si="1"/>
        <v>0</v>
      </c>
      <c r="D14" s="96" t="str">
        <f>IFERROR(VLOOKUP(H14,'[1]Consolidado MP Planta'!$A$2:$M$823,13,0),"")</f>
        <v/>
      </c>
      <c r="E14" s="96" t="str">
        <f>IFERROR(VLOOKUP(H14,'[1]Consolidado MP Planta'!$A$2:$M$823,12,0),"")</f>
        <v/>
      </c>
      <c r="F14" s="96" t="str">
        <f t="shared" si="2"/>
        <v/>
      </c>
      <c r="G14" s="97" t="str">
        <f t="shared" si="0"/>
        <v/>
      </c>
      <c r="H14" s="98"/>
      <c r="I14" s="98"/>
      <c r="J14" s="99"/>
    </row>
    <row r="15" spans="1:10" ht="14.25" thickBot="1" x14ac:dyDescent="0.3">
      <c r="A15" s="94"/>
      <c r="B15" s="82" t="str">
        <f>IFERROR(VLOOKUP(H15,'[2]ARTICULOS MP PLANTA'!$A$2:$G$589,2,0),"")</f>
        <v/>
      </c>
      <c r="C15" s="95"/>
      <c r="D15" s="96"/>
      <c r="E15" s="96"/>
      <c r="F15" s="96"/>
      <c r="G15" s="97"/>
      <c r="H15" s="98"/>
      <c r="I15" s="98"/>
      <c r="J15" s="99"/>
    </row>
    <row r="16" spans="1:10" ht="26.25" thickBot="1" x14ac:dyDescent="0.25">
      <c r="A16" s="89" t="s">
        <v>84</v>
      </c>
      <c r="B16" s="90" t="s">
        <v>91</v>
      </c>
      <c r="C16" s="90" t="s">
        <v>84</v>
      </c>
      <c r="D16" s="91" t="s">
        <v>86</v>
      </c>
      <c r="E16" s="91" t="s">
        <v>87</v>
      </c>
      <c r="F16" s="91" t="s">
        <v>88</v>
      </c>
      <c r="G16" s="91" t="s">
        <v>89</v>
      </c>
      <c r="H16" s="92" t="s">
        <v>90</v>
      </c>
      <c r="I16" s="93"/>
      <c r="J16" s="99"/>
    </row>
    <row r="17" spans="1:12" ht="13.5" x14ac:dyDescent="0.25">
      <c r="A17" s="94">
        <v>1080</v>
      </c>
      <c r="B17" s="82" t="str">
        <f>IFERROR(VLOOKUP(H17,[1]SEMIELABORADOS!$A$2:$M$6000,2,0),"")</f>
        <v>AZUCAR BLANCO INDUSTRIAL KILO</v>
      </c>
      <c r="C17" s="95">
        <f>+A17</f>
        <v>1080</v>
      </c>
      <c r="D17" s="95" t="str">
        <f>IFERROR(VLOOKUP(H17,[1]SEMIELABORADOS!$A$2:$M$6000,6,0),"")</f>
        <v>Gramo</v>
      </c>
      <c r="E17" s="96">
        <f>IFERROR(VLOOKUP(H17,[1]SEMIELABORADOS!$A$2:$H$65536,8,0),"")</f>
        <v>0.39034000000000002</v>
      </c>
      <c r="F17" s="96">
        <f>IFERROR(E17*C17,"")</f>
        <v>421.56720000000001</v>
      </c>
      <c r="G17" s="97">
        <f t="shared" ref="G17:G24" si="3">IFERROR(F17/$F$66,"")</f>
        <v>6.1833398225657248E-2</v>
      </c>
      <c r="H17" s="98" t="s">
        <v>26</v>
      </c>
      <c r="I17" s="98"/>
      <c r="J17" s="99"/>
    </row>
    <row r="18" spans="1:12" ht="13.5" x14ac:dyDescent="0.25">
      <c r="A18" s="94">
        <v>3</v>
      </c>
      <c r="B18" s="82" t="str">
        <f>IFERROR(VLOOKUP(H18,[1]SEMIELABORADOS!$A$2:$M$6000,2,0),"")</f>
        <v>EMPAQUE SAL KILO</v>
      </c>
      <c r="C18" s="95">
        <f t="shared" ref="C18:C24" si="4">+A18</f>
        <v>3</v>
      </c>
      <c r="D18" s="95" t="str">
        <f>IFERROR(VLOOKUP(H18,[1]SEMIELABORADOS!$A$2:$M$6000,6,0),"")</f>
        <v>Gramo</v>
      </c>
      <c r="E18" s="96">
        <f>IFERROR(VLOOKUP(H18,[1]SEMIELABORADOS!$A$2:$H$65536,8,0),"")</f>
        <v>0.376</v>
      </c>
      <c r="F18" s="96">
        <f t="shared" ref="F18:F24" si="5">IFERROR(E18*C18,"")</f>
        <v>1.1280000000000001</v>
      </c>
      <c r="G18" s="97">
        <f t="shared" si="3"/>
        <v>1.654494780394238E-4</v>
      </c>
      <c r="H18" s="98" t="s">
        <v>28</v>
      </c>
      <c r="I18" s="98"/>
      <c r="J18" s="99"/>
    </row>
    <row r="19" spans="1:12" ht="13.5" hidden="1" x14ac:dyDescent="0.25">
      <c r="A19" s="94"/>
      <c r="B19" s="82" t="str">
        <f>IFERROR(VLOOKUP(H19,[1]SEMIELABORADOS!$A$2:$M$6000,2,0),"")</f>
        <v/>
      </c>
      <c r="C19" s="95">
        <f>+A19</f>
        <v>0</v>
      </c>
      <c r="D19" s="95" t="str">
        <f>IFERROR(VLOOKUP(H19,[1]SEMIELABORADOS!$A$2:$M$6000,6,0),"")</f>
        <v/>
      </c>
      <c r="E19" s="96" t="str">
        <f>IFERROR(VLOOKUP(H19,[1]SEMIELABORADOS!$A$2:$H$65536,8,0),"")</f>
        <v/>
      </c>
      <c r="F19" s="96" t="str">
        <f>IFERROR(E19*C19,"")</f>
        <v/>
      </c>
      <c r="G19" s="97" t="str">
        <f t="shared" si="3"/>
        <v/>
      </c>
      <c r="H19" s="98"/>
      <c r="I19" s="98"/>
      <c r="J19" s="99"/>
    </row>
    <row r="20" spans="1:12" ht="13.5" hidden="1" x14ac:dyDescent="0.25">
      <c r="A20" s="94"/>
      <c r="B20" s="82" t="str">
        <f>IFERROR(VLOOKUP(H20,[1]SEMIELABORADOS!$A$2:$M$6000,2,0),"")</f>
        <v/>
      </c>
      <c r="C20" s="95">
        <f>+A20</f>
        <v>0</v>
      </c>
      <c r="D20" s="95" t="str">
        <f>IFERROR(VLOOKUP(H20,[1]SEMIELABORADOS!$A$2:$M$6000,6,0),"")</f>
        <v/>
      </c>
      <c r="E20" s="96" t="str">
        <f>IFERROR(VLOOKUP(H20,[1]SEMIELABORADOS!$A$2:$H$65536,8,0),"")</f>
        <v/>
      </c>
      <c r="F20" s="96" t="str">
        <f>IFERROR(E20*C20,"")</f>
        <v/>
      </c>
      <c r="G20" s="97" t="str">
        <f t="shared" si="3"/>
        <v/>
      </c>
      <c r="H20" s="98"/>
      <c r="I20" s="98"/>
      <c r="J20" s="99"/>
    </row>
    <row r="21" spans="1:12" ht="13.5" hidden="1" x14ac:dyDescent="0.25">
      <c r="A21" s="94"/>
      <c r="B21" s="82" t="str">
        <f>IFERROR(VLOOKUP(H21,[1]SEMIELABORADOS!$A$2:$M$6000,2,0),"")</f>
        <v/>
      </c>
      <c r="C21" s="95">
        <f>+A21</f>
        <v>0</v>
      </c>
      <c r="D21" s="95" t="str">
        <f>IFERROR(VLOOKUP(H21,[1]SEMIELABORADOS!$A$2:$M$6000,6,0),"")</f>
        <v/>
      </c>
      <c r="E21" s="96" t="str">
        <f>IFERROR(VLOOKUP(H21,[1]SEMIELABORADOS!$A$2:$H$65536,8,0),"")</f>
        <v/>
      </c>
      <c r="F21" s="96" t="str">
        <f>IFERROR(E21*C21,"")</f>
        <v/>
      </c>
      <c r="G21" s="97" t="str">
        <f t="shared" si="3"/>
        <v/>
      </c>
      <c r="H21" s="98"/>
      <c r="I21" s="98"/>
      <c r="J21" s="99"/>
    </row>
    <row r="22" spans="1:12" ht="13.5" hidden="1" x14ac:dyDescent="0.25">
      <c r="A22" s="94"/>
      <c r="B22" s="82" t="str">
        <f>IFERROR(VLOOKUP(H22,[1]SEMIELABORADOS!$A$2:$M$6000,2,0),"")</f>
        <v/>
      </c>
      <c r="C22" s="95">
        <f t="shared" si="4"/>
        <v>0</v>
      </c>
      <c r="D22" s="95" t="str">
        <f>IFERROR(VLOOKUP(H22,[1]SEMIELABORADOS!$A$2:$M$6000,6,0),"")</f>
        <v/>
      </c>
      <c r="E22" s="96" t="str">
        <f>IFERROR(VLOOKUP(H22,[1]SEMIELABORADOS!$A$2:$H$65536,8,0),"")</f>
        <v/>
      </c>
      <c r="F22" s="96" t="str">
        <f t="shared" si="5"/>
        <v/>
      </c>
      <c r="G22" s="97" t="str">
        <f t="shared" si="3"/>
        <v/>
      </c>
      <c r="H22" s="98"/>
      <c r="I22" s="98"/>
      <c r="J22" s="99"/>
    </row>
    <row r="23" spans="1:12" ht="13.5" hidden="1" x14ac:dyDescent="0.25">
      <c r="A23" s="94"/>
      <c r="B23" s="82" t="str">
        <f>IFERROR(VLOOKUP(H23,[1]SEMIELABORADOS!$A$2:$M$6000,2,0),"")</f>
        <v/>
      </c>
      <c r="C23" s="95">
        <f t="shared" si="4"/>
        <v>0</v>
      </c>
      <c r="D23" s="95" t="str">
        <f>IFERROR(VLOOKUP(H23,[1]SEMIELABORADOS!$A$2:$M$6000,6,0),"")</f>
        <v/>
      </c>
      <c r="E23" s="96" t="str">
        <f>IFERROR(VLOOKUP(H23,[1]SEMIELABORADOS!$A$2:$H$65536,8,0),"")</f>
        <v/>
      </c>
      <c r="F23" s="96" t="str">
        <f t="shared" si="5"/>
        <v/>
      </c>
      <c r="G23" s="97" t="str">
        <f t="shared" si="3"/>
        <v/>
      </c>
      <c r="H23" s="98"/>
      <c r="I23" s="98"/>
      <c r="J23" s="99"/>
    </row>
    <row r="24" spans="1:12" ht="13.5" hidden="1" x14ac:dyDescent="0.25">
      <c r="A24" s="94"/>
      <c r="B24" s="82" t="str">
        <f>IFERROR(VLOOKUP(H24,[1]SEMIELABORADOS!$A$2:$M$6000,2,0),"")</f>
        <v/>
      </c>
      <c r="C24" s="95">
        <f t="shared" si="4"/>
        <v>0</v>
      </c>
      <c r="D24" s="95" t="str">
        <f>IFERROR(VLOOKUP(H24,[1]SEMIELABORADOS!$A$2:$M$6000,6,0),"")</f>
        <v/>
      </c>
      <c r="E24" s="96" t="str">
        <f>IFERROR(VLOOKUP(H24,[1]SEMIELABORADOS!$A$2:$H$65536,8,0),"")</f>
        <v/>
      </c>
      <c r="F24" s="96" t="str">
        <f t="shared" si="5"/>
        <v/>
      </c>
      <c r="G24" s="97" t="str">
        <f t="shared" si="3"/>
        <v/>
      </c>
      <c r="H24" s="98"/>
      <c r="I24" s="98"/>
      <c r="J24" s="99"/>
    </row>
    <row r="25" spans="1:12" ht="14.25" thickBot="1" x14ac:dyDescent="0.3">
      <c r="A25" s="94"/>
      <c r="C25" s="95"/>
      <c r="D25" s="95"/>
      <c r="E25" s="96"/>
      <c r="F25" s="96"/>
      <c r="G25" s="97"/>
      <c r="H25" s="98"/>
      <c r="I25" s="98"/>
      <c r="J25" s="99"/>
    </row>
    <row r="26" spans="1:12" ht="26.25" thickBot="1" x14ac:dyDescent="0.25">
      <c r="A26" s="89" t="s">
        <v>84</v>
      </c>
      <c r="B26" s="90" t="s">
        <v>25</v>
      </c>
      <c r="C26" s="90" t="s">
        <v>84</v>
      </c>
      <c r="D26" s="91" t="s">
        <v>86</v>
      </c>
      <c r="E26" s="91" t="s">
        <v>87</v>
      </c>
      <c r="F26" s="91" t="s">
        <v>88</v>
      </c>
      <c r="G26" s="91" t="s">
        <v>89</v>
      </c>
      <c r="H26" s="92" t="s">
        <v>90</v>
      </c>
      <c r="I26" s="93"/>
    </row>
    <row r="27" spans="1:12" ht="13.5" x14ac:dyDescent="0.25">
      <c r="A27" s="94">
        <v>1</v>
      </c>
      <c r="B27" s="100" t="str">
        <f>IFERROR(VLOOKUP(H27,'[1]Consolidado MP Planta'!$A$2:$M$823,3,0),"")</f>
        <v>BOLSA TRANSPARENTE 56X96X1.80 KILO</v>
      </c>
      <c r="C27" s="95">
        <f t="shared" ref="C27:C32" si="6">+A27</f>
        <v>1</v>
      </c>
      <c r="D27" s="96" t="str">
        <f>IFERROR(VLOOKUP(H27,'[1]Consolidado MP Planta'!$A$2:$M$823,13,0),"")</f>
        <v>Und</v>
      </c>
      <c r="E27" s="96">
        <f>IFERROR(VLOOKUP(H27,'[1]Consolidado MP Planta'!$A$2:$M$823,12,0),"")</f>
        <v>50</v>
      </c>
      <c r="F27" s="96">
        <f t="shared" ref="F27:F32" si="7">IFERROR(C27*E27,"")</f>
        <v>50</v>
      </c>
      <c r="G27" s="97">
        <f t="shared" ref="G27:G32" si="8">IFERROR(F27/$F$66,"")</f>
        <v>7.3337534591943164E-3</v>
      </c>
      <c r="H27" s="101" t="s">
        <v>131</v>
      </c>
      <c r="I27" s="101"/>
      <c r="J27" s="99"/>
      <c r="K27" s="636"/>
      <c r="L27" s="636"/>
    </row>
    <row r="28" spans="1:12" ht="13.5" hidden="1" x14ac:dyDescent="0.25">
      <c r="A28" s="94"/>
      <c r="B28" s="100" t="str">
        <f>IFERROR(VLOOKUP(H28,'[1]Consolidado MP Planta'!$A$2:$M$823,3,0),"")</f>
        <v/>
      </c>
      <c r="C28" s="95">
        <f t="shared" si="6"/>
        <v>0</v>
      </c>
      <c r="D28" s="96" t="str">
        <f>IFERROR(VLOOKUP(H28,'[1]Consolidado MP Planta'!$A$2:$M$823,13,0),"")</f>
        <v/>
      </c>
      <c r="E28" s="96" t="str">
        <f>IFERROR(VLOOKUP(H28,'[1]Consolidado MP Planta'!$A$2:$M$823,12,0),"")</f>
        <v/>
      </c>
      <c r="F28" s="96" t="str">
        <f t="shared" si="7"/>
        <v/>
      </c>
      <c r="G28" s="97" t="str">
        <f t="shared" si="8"/>
        <v/>
      </c>
      <c r="H28" s="101"/>
      <c r="I28" s="101"/>
      <c r="J28" s="99"/>
      <c r="K28" s="636"/>
      <c r="L28" s="636"/>
    </row>
    <row r="29" spans="1:12" ht="13.5" hidden="1" x14ac:dyDescent="0.25">
      <c r="A29" s="94"/>
      <c r="B29" s="100" t="str">
        <f>IFERROR(VLOOKUP(H29,'[1]Consolidado MP Planta'!$A$2:$M$823,3,0),"")</f>
        <v/>
      </c>
      <c r="C29" s="95">
        <f t="shared" si="6"/>
        <v>0</v>
      </c>
      <c r="D29" s="96" t="str">
        <f>IFERROR(VLOOKUP(H29,'[1]Consolidado MP Planta'!$A$2:$M$823,13,0),"")</f>
        <v/>
      </c>
      <c r="E29" s="96" t="str">
        <f>IFERROR(VLOOKUP(H29,'[1]Consolidado MP Planta'!$A$2:$M$823,12,0),"")</f>
        <v/>
      </c>
      <c r="F29" s="96" t="str">
        <f t="shared" si="7"/>
        <v/>
      </c>
      <c r="G29" s="97" t="str">
        <f t="shared" si="8"/>
        <v/>
      </c>
      <c r="H29" s="101"/>
      <c r="I29" s="101"/>
      <c r="J29" s="99"/>
      <c r="K29" s="636"/>
      <c r="L29" s="636"/>
    </row>
    <row r="30" spans="1:12" ht="13.5" hidden="1" x14ac:dyDescent="0.25">
      <c r="A30" s="94"/>
      <c r="B30" s="100" t="str">
        <f>IFERROR(VLOOKUP(H30,'[1]Consolidado MP Planta'!$A$2:$M$823,3,0),"")</f>
        <v/>
      </c>
      <c r="C30" s="95">
        <f t="shared" si="6"/>
        <v>0</v>
      </c>
      <c r="D30" s="96" t="str">
        <f>IFERROR(VLOOKUP(H30,'[1]Consolidado MP Planta'!$A$2:$M$823,13,0),"")</f>
        <v/>
      </c>
      <c r="E30" s="96" t="str">
        <f>IFERROR(VLOOKUP(H30,'[1]Consolidado MP Planta'!$A$2:$M$823,12,0),"")</f>
        <v/>
      </c>
      <c r="F30" s="96" t="str">
        <f t="shared" si="7"/>
        <v/>
      </c>
      <c r="G30" s="97" t="str">
        <f t="shared" si="8"/>
        <v/>
      </c>
      <c r="H30" s="101"/>
      <c r="I30" s="101"/>
      <c r="J30" s="99"/>
      <c r="K30" s="636"/>
      <c r="L30" s="636"/>
    </row>
    <row r="31" spans="1:12" ht="13.5" hidden="1" x14ac:dyDescent="0.25">
      <c r="A31" s="94"/>
      <c r="B31" s="100" t="str">
        <f>IFERROR(VLOOKUP(H31,'[1]Consolidado MP Planta'!$A$2:$M$823,3,0),"")</f>
        <v/>
      </c>
      <c r="C31" s="95">
        <f t="shared" si="6"/>
        <v>0</v>
      </c>
      <c r="D31" s="96" t="str">
        <f>IFERROR(VLOOKUP(H31,'[1]Consolidado MP Planta'!$A$2:$M$823,13,0),"")</f>
        <v/>
      </c>
      <c r="E31" s="96" t="str">
        <f>IFERROR(VLOOKUP(H31,'[1]Consolidado MP Planta'!$A$2:$M$823,12,0),"")</f>
        <v/>
      </c>
      <c r="F31" s="96" t="str">
        <f t="shared" si="7"/>
        <v/>
      </c>
      <c r="G31" s="97" t="str">
        <f t="shared" si="8"/>
        <v/>
      </c>
      <c r="H31" s="101"/>
      <c r="I31" s="101"/>
      <c r="J31" s="99"/>
      <c r="K31" s="102"/>
      <c r="L31" s="103"/>
    </row>
    <row r="32" spans="1:12" ht="13.5" hidden="1" x14ac:dyDescent="0.25">
      <c r="A32" s="94"/>
      <c r="B32" s="100" t="str">
        <f>IFERROR(VLOOKUP(H32,'[1]Consolidado MP Planta'!$A$2:$M$823,3,0),"")</f>
        <v/>
      </c>
      <c r="C32" s="95">
        <f t="shared" si="6"/>
        <v>0</v>
      </c>
      <c r="D32" s="96" t="str">
        <f>IFERROR(VLOOKUP(H32,'[1]Consolidado MP Planta'!$A$2:$M$823,13,0),"")</f>
        <v/>
      </c>
      <c r="E32" s="96" t="str">
        <f>IFERROR(VLOOKUP(H32,'[1]Consolidado MP Planta'!$A$2:$M$823,12,0),"")</f>
        <v/>
      </c>
      <c r="F32" s="96" t="str">
        <f t="shared" si="7"/>
        <v/>
      </c>
      <c r="G32" s="97" t="str">
        <f t="shared" si="8"/>
        <v/>
      </c>
      <c r="H32" s="101"/>
      <c r="I32" s="101"/>
      <c r="J32" s="99"/>
    </row>
    <row r="33" spans="1:13" ht="14.25" thickBot="1" x14ac:dyDescent="0.3">
      <c r="A33" s="94"/>
      <c r="B33" s="100"/>
      <c r="C33" s="95"/>
      <c r="D33" s="96"/>
      <c r="E33" s="96"/>
      <c r="F33" s="96"/>
      <c r="G33" s="97"/>
      <c r="H33" s="101"/>
      <c r="I33" s="101"/>
      <c r="J33" s="99"/>
    </row>
    <row r="34" spans="1:13" ht="26.25" thickBot="1" x14ac:dyDescent="0.25">
      <c r="A34" s="89" t="s">
        <v>84</v>
      </c>
      <c r="B34" s="90" t="s">
        <v>92</v>
      </c>
      <c r="C34" s="90" t="s">
        <v>84</v>
      </c>
      <c r="D34" s="91" t="s">
        <v>86</v>
      </c>
      <c r="E34" s="91" t="s">
        <v>87</v>
      </c>
      <c r="F34" s="91" t="s">
        <v>88</v>
      </c>
      <c r="G34" s="91" t="s">
        <v>89</v>
      </c>
      <c r="H34" s="92" t="s">
        <v>90</v>
      </c>
      <c r="I34" s="101"/>
      <c r="J34" s="99"/>
    </row>
    <row r="35" spans="1:13" ht="13.5" x14ac:dyDescent="0.25">
      <c r="A35" s="94">
        <f>+A17</f>
        <v>1080</v>
      </c>
      <c r="B35" s="100" t="str">
        <f>IFERROR(VLOOKUP(H35,[1]SEMIELABORADOS!$A$2:$M$6000,2,0),"")</f>
        <v>AZUCAR BLANCO INDUSTRIAL KILO</v>
      </c>
      <c r="C35" s="95">
        <f>+A35</f>
        <v>1080</v>
      </c>
      <c r="D35" s="96" t="str">
        <f>IFERROR(VLOOKUP(H35,[1]SEMIELABORADOS!$A$2:$M$6000,6,0),"")</f>
        <v>Gramo</v>
      </c>
      <c r="E35" s="96">
        <f>IFERROR(VLOOKUP(H35,[1]SEMIELABORADOS!$A$2:$M$65536,10,0),"")</f>
        <v>2.3759093333333335E-2</v>
      </c>
      <c r="F35" s="96">
        <f>IFERROR(E35*C35,"")</f>
        <v>25.659820800000002</v>
      </c>
      <c r="G35" s="97">
        <f t="shared" ref="G35:G41" si="9">IFERROR(F35/$F$66,"")</f>
        <v>3.7636559910861258E-3</v>
      </c>
      <c r="H35" s="101" t="s">
        <v>26</v>
      </c>
      <c r="I35" s="101"/>
      <c r="J35" s="99"/>
    </row>
    <row r="36" spans="1:13" ht="12" customHeight="1" x14ac:dyDescent="0.25">
      <c r="A36" s="94">
        <f t="shared" ref="A36:A41" si="10">+A18</f>
        <v>3</v>
      </c>
      <c r="B36" s="100" t="str">
        <f>IFERROR(VLOOKUP(H36,[1]SEMIELABORADOS!$A$2:$M$6000,2,0),"")</f>
        <v>EMPAQUE SAL KILO</v>
      </c>
      <c r="C36" s="95">
        <f t="shared" ref="C36:C41" si="11">+A36</f>
        <v>3</v>
      </c>
      <c r="D36" s="96" t="str">
        <f>IFERROR(VLOOKUP(H36,[1]SEMIELABORADOS!$A$2:$M$6000,6,0),"")</f>
        <v>Gramo</v>
      </c>
      <c r="E36" s="96">
        <f>IFERROR(VLOOKUP(H36,[1]SEMIELABORADOS!$A$2:$M$65536,10,0),"")</f>
        <v>5.3312000000000003E-3</v>
      </c>
      <c r="F36" s="96">
        <f t="shared" ref="F36:F41" si="12">IFERROR(E36*C36,"")</f>
        <v>1.59936E-2</v>
      </c>
      <c r="G36" s="97">
        <f t="shared" si="9"/>
        <v>2.3458623864994043E-6</v>
      </c>
      <c r="H36" s="101" t="s">
        <v>28</v>
      </c>
      <c r="I36" s="101"/>
      <c r="J36" s="99"/>
    </row>
    <row r="37" spans="1:13" ht="13.5" hidden="1" x14ac:dyDescent="0.25">
      <c r="A37" s="94">
        <f t="shared" si="10"/>
        <v>0</v>
      </c>
      <c r="B37" s="100" t="str">
        <f>IFERROR(VLOOKUP(H37,[1]SEMIELABORADOS!$A$2:$M$6000,2,0),"")</f>
        <v/>
      </c>
      <c r="C37" s="95">
        <f t="shared" si="11"/>
        <v>0</v>
      </c>
      <c r="D37" s="96" t="str">
        <f>IFERROR(VLOOKUP(H37,[1]SEMIELABORADOS!$A$2:$M$6000,6,0),"")</f>
        <v/>
      </c>
      <c r="E37" s="96" t="str">
        <f>IFERROR(VLOOKUP(H37,[1]SEMIELABORADOS!$A$2:$M$65536,10,0),"")</f>
        <v/>
      </c>
      <c r="F37" s="96" t="str">
        <f t="shared" si="12"/>
        <v/>
      </c>
      <c r="G37" s="97" t="str">
        <f t="shared" si="9"/>
        <v/>
      </c>
      <c r="H37" s="101"/>
      <c r="I37" s="101"/>
      <c r="J37" s="99"/>
    </row>
    <row r="38" spans="1:13" ht="13.5" hidden="1" x14ac:dyDescent="0.25">
      <c r="A38" s="94">
        <f t="shared" si="10"/>
        <v>0</v>
      </c>
      <c r="B38" s="100" t="str">
        <f>IFERROR(VLOOKUP(H38,[1]SEMIELABORADOS!$A$2:$M$6000,2,0),"")</f>
        <v/>
      </c>
      <c r="C38" s="95">
        <f>+A38</f>
        <v>0</v>
      </c>
      <c r="D38" s="96" t="str">
        <f>IFERROR(VLOOKUP(H38,[1]SEMIELABORADOS!$A$2:$M$6000,6,0),"")</f>
        <v/>
      </c>
      <c r="E38" s="96" t="str">
        <f>IFERROR(VLOOKUP(H38,[1]SEMIELABORADOS!$A$2:$M$65536,10,0),"")</f>
        <v/>
      </c>
      <c r="F38" s="96" t="str">
        <f>IFERROR(E38*C38,"")</f>
        <v/>
      </c>
      <c r="G38" s="97" t="str">
        <f t="shared" si="9"/>
        <v/>
      </c>
      <c r="H38" s="101"/>
      <c r="I38" s="101"/>
      <c r="J38" s="99"/>
    </row>
    <row r="39" spans="1:13" ht="13.5" hidden="1" x14ac:dyDescent="0.25">
      <c r="A39" s="94">
        <f t="shared" si="10"/>
        <v>0</v>
      </c>
      <c r="B39" s="100" t="str">
        <f>IFERROR(VLOOKUP(H39,[1]SEMIELABORADOS!$A$2:$M$6000,2,0),"")</f>
        <v/>
      </c>
      <c r="C39" s="95">
        <f>+A39</f>
        <v>0</v>
      </c>
      <c r="D39" s="96" t="str">
        <f>IFERROR(VLOOKUP(H39,[1]SEMIELABORADOS!$A$2:$M$6000,6,0),"")</f>
        <v/>
      </c>
      <c r="E39" s="96" t="str">
        <f>IFERROR(VLOOKUP(H39,[1]SEMIELABORADOS!$A$2:$M$65536,10,0),"")</f>
        <v/>
      </c>
      <c r="F39" s="96" t="str">
        <f>IFERROR(E39*C39,"")</f>
        <v/>
      </c>
      <c r="G39" s="97" t="str">
        <f t="shared" si="9"/>
        <v/>
      </c>
      <c r="H39" s="101"/>
      <c r="I39" s="101"/>
      <c r="J39" s="99"/>
    </row>
    <row r="40" spans="1:13" ht="13.5" hidden="1" x14ac:dyDescent="0.25">
      <c r="A40" s="94">
        <f t="shared" si="10"/>
        <v>0</v>
      </c>
      <c r="B40" s="100" t="str">
        <f>IFERROR(VLOOKUP(H40,[1]SEMIELABORADOS!$A$2:$M$6000,2,0),"")</f>
        <v/>
      </c>
      <c r="C40" s="95">
        <f t="shared" si="11"/>
        <v>0</v>
      </c>
      <c r="D40" s="96" t="str">
        <f>IFERROR(VLOOKUP(H40,[1]SEMIELABORADOS!$A$2:$M$6000,6,0),"")</f>
        <v/>
      </c>
      <c r="E40" s="96" t="str">
        <f>IFERROR(VLOOKUP(H40,[1]SEMIELABORADOS!$A$2:$M$65536,10,0),"")</f>
        <v/>
      </c>
      <c r="F40" s="96" t="str">
        <f t="shared" si="12"/>
        <v/>
      </c>
      <c r="G40" s="97" t="str">
        <f t="shared" si="9"/>
        <v/>
      </c>
      <c r="H40" s="101"/>
      <c r="I40" s="101"/>
      <c r="J40" s="99"/>
    </row>
    <row r="41" spans="1:13" ht="13.5" hidden="1" x14ac:dyDescent="0.25">
      <c r="A41" s="94">
        <f t="shared" si="10"/>
        <v>0</v>
      </c>
      <c r="B41" s="100" t="str">
        <f>IFERROR(VLOOKUP(H41,[1]SEMIELABORADOS!$A$2:$M$6000,2,0),"")</f>
        <v/>
      </c>
      <c r="C41" s="95">
        <f t="shared" si="11"/>
        <v>0</v>
      </c>
      <c r="D41" s="96" t="str">
        <f>IFERROR(VLOOKUP(H41,[1]SEMIELABORADOS!$A$2:$M$6000,6,0),"")</f>
        <v/>
      </c>
      <c r="E41" s="96" t="str">
        <f>IFERROR(VLOOKUP(H41,[1]SEMIELABORADOS!$A$2:$M$65536,10,0),"")</f>
        <v/>
      </c>
      <c r="F41" s="96" t="str">
        <f t="shared" si="12"/>
        <v/>
      </c>
      <c r="G41" s="97" t="str">
        <f t="shared" si="9"/>
        <v/>
      </c>
      <c r="H41" s="101"/>
      <c r="I41" s="101"/>
      <c r="J41" s="99"/>
    </row>
    <row r="42" spans="1:13" ht="14.25" thickBot="1" x14ac:dyDescent="0.3">
      <c r="A42" s="94"/>
      <c r="B42" s="100"/>
      <c r="C42" s="95"/>
      <c r="D42" s="96"/>
      <c r="E42" s="96"/>
      <c r="F42" s="96"/>
      <c r="G42" s="97"/>
      <c r="H42" s="101"/>
      <c r="I42" s="101"/>
      <c r="J42" s="99"/>
    </row>
    <row r="43" spans="1:13" ht="26.25" thickBot="1" x14ac:dyDescent="0.25">
      <c r="A43" s="89" t="s">
        <v>84</v>
      </c>
      <c r="B43" s="90" t="s">
        <v>93</v>
      </c>
      <c r="C43" s="90" t="s">
        <v>84</v>
      </c>
      <c r="D43" s="91" t="s">
        <v>86</v>
      </c>
      <c r="E43" s="91" t="s">
        <v>87</v>
      </c>
      <c r="F43" s="91" t="s">
        <v>88</v>
      </c>
      <c r="G43" s="91" t="s">
        <v>89</v>
      </c>
      <c r="H43" s="92" t="s">
        <v>90</v>
      </c>
      <c r="I43" s="93"/>
      <c r="J43" s="99"/>
    </row>
    <row r="44" spans="1:13" ht="13.5" x14ac:dyDescent="0.25">
      <c r="A44" s="94">
        <f>+A35</f>
        <v>1080</v>
      </c>
      <c r="B44" s="100" t="str">
        <f>IFERROR(VLOOKUP(H44,[1]SEMIELABORADOS!$A$2:$M$6000,2,0),"")</f>
        <v>AZUCAR BLANCO INDUSTRIAL KILO</v>
      </c>
      <c r="C44" s="95">
        <f>+A44</f>
        <v>1080</v>
      </c>
      <c r="D44" s="96" t="str">
        <f>IFERROR(VLOOKUP(H44,[1]SEMIELABORADOS!$A$2:$M$6000,6,0),"")</f>
        <v>Gramo</v>
      </c>
      <c r="E44" s="96">
        <f>IFERROR(VLOOKUP(H44,[1]SEMIELABORADOS!$A$2:$M$65536,12,0),"")</f>
        <v>3.6630000000000003E-2</v>
      </c>
      <c r="F44" s="96">
        <f>IFERROR(E44*C44,"")</f>
        <v>39.560400000000001</v>
      </c>
      <c r="G44" s="97">
        <f>IFERROR(F44/$F$66,"")</f>
        <v>5.8025244069422168E-3</v>
      </c>
      <c r="H44" s="101" t="s">
        <v>26</v>
      </c>
      <c r="I44" s="93"/>
      <c r="J44" s="99"/>
    </row>
    <row r="45" spans="1:13" ht="13.5" x14ac:dyDescent="0.25">
      <c r="A45" s="94">
        <f t="shared" ref="A45:A50" si="13">+A36</f>
        <v>3</v>
      </c>
      <c r="B45" s="100" t="str">
        <f>IFERROR(VLOOKUP(H45,[1]SEMIELABORADOS!$A$2:$M$6000,2,0),"")</f>
        <v>EMPAQUE SAL KILO</v>
      </c>
      <c r="C45" s="95">
        <f t="shared" ref="C45:C50" si="14">+A45</f>
        <v>3</v>
      </c>
      <c r="D45" s="96" t="str">
        <f>IFERROR(VLOOKUP(H45,[1]SEMIELABORADOS!$A$2:$M$6000,6,0),"")</f>
        <v>Gramo</v>
      </c>
      <c r="E45" s="96">
        <f>IFERROR(VLOOKUP(H45,[1]SEMIELABORADOS!$A$2:$M$65536,12,0),"")</f>
        <v>2.1999999999999999E-2</v>
      </c>
      <c r="F45" s="96">
        <f t="shared" ref="F45:F50" si="15">IFERROR(E45*C45,"")</f>
        <v>6.6000000000000003E-2</v>
      </c>
      <c r="G45" s="97">
        <f t="shared" ref="G45:G50" si="16">IFERROR(F45/$F$66,"")</f>
        <v>9.6805545661364975E-6</v>
      </c>
      <c r="H45" s="101" t="s">
        <v>28</v>
      </c>
      <c r="I45" s="93"/>
      <c r="J45" s="99"/>
      <c r="M45" s="104"/>
    </row>
    <row r="46" spans="1:13" ht="13.5" hidden="1" x14ac:dyDescent="0.25">
      <c r="A46" s="94">
        <f t="shared" si="13"/>
        <v>0</v>
      </c>
      <c r="B46" s="100" t="str">
        <f>IFERROR(VLOOKUP(H46,[1]SEMIELABORADOS!$A$2:$M$6000,2,0),"")</f>
        <v/>
      </c>
      <c r="C46" s="95">
        <f t="shared" si="14"/>
        <v>0</v>
      </c>
      <c r="D46" s="96" t="str">
        <f>IFERROR(VLOOKUP(H46,[1]SEMIELABORADOS!$A$2:$M$6000,6,0),"")</f>
        <v/>
      </c>
      <c r="E46" s="96" t="str">
        <f>IFERROR(VLOOKUP(H46,[1]SEMIELABORADOS!$A$2:$M$65536,12,0),"")</f>
        <v/>
      </c>
      <c r="F46" s="96" t="str">
        <f t="shared" si="15"/>
        <v/>
      </c>
      <c r="G46" s="97" t="str">
        <f t="shared" si="16"/>
        <v/>
      </c>
      <c r="H46" s="101"/>
      <c r="I46" s="93"/>
      <c r="J46" s="99"/>
    </row>
    <row r="47" spans="1:13" ht="13.5" hidden="1" x14ac:dyDescent="0.25">
      <c r="A47" s="94">
        <f t="shared" si="13"/>
        <v>0</v>
      </c>
      <c r="B47" s="100" t="str">
        <f>IFERROR(VLOOKUP(H47,[1]SEMIELABORADOS!$A$2:$M$6000,2,0),"")</f>
        <v/>
      </c>
      <c r="C47" s="95">
        <f t="shared" si="14"/>
        <v>0</v>
      </c>
      <c r="D47" s="96" t="str">
        <f>IFERROR(VLOOKUP(H47,[1]SEMIELABORADOS!$A$2:$M$6000,6,0),"")</f>
        <v/>
      </c>
      <c r="E47" s="96" t="str">
        <f>IFERROR(VLOOKUP(H47,[1]SEMIELABORADOS!$A$2:$M$65536,12,0),"")</f>
        <v/>
      </c>
      <c r="F47" s="96" t="str">
        <f t="shared" si="15"/>
        <v/>
      </c>
      <c r="G47" s="97" t="str">
        <f t="shared" si="16"/>
        <v/>
      </c>
      <c r="H47" s="101"/>
      <c r="I47" s="93"/>
      <c r="J47" s="99"/>
    </row>
    <row r="48" spans="1:13" ht="13.5" hidden="1" x14ac:dyDescent="0.25">
      <c r="A48" s="94">
        <f t="shared" si="13"/>
        <v>0</v>
      </c>
      <c r="B48" s="100" t="str">
        <f>IFERROR(VLOOKUP(H48,[1]SEMIELABORADOS!$A$2:$M$6000,2,0),"")</f>
        <v/>
      </c>
      <c r="C48" s="95">
        <f t="shared" si="14"/>
        <v>0</v>
      </c>
      <c r="D48" s="96" t="str">
        <f>IFERROR(VLOOKUP(H48,[1]SEMIELABORADOS!$A$2:$M$6000,6,0),"")</f>
        <v/>
      </c>
      <c r="E48" s="96" t="str">
        <f>IFERROR(VLOOKUP(H48,[1]SEMIELABORADOS!$A$2:$M$65536,12,0),"")</f>
        <v/>
      </c>
      <c r="F48" s="96" t="str">
        <f t="shared" si="15"/>
        <v/>
      </c>
      <c r="G48" s="97" t="str">
        <f t="shared" si="16"/>
        <v/>
      </c>
      <c r="H48" s="101"/>
      <c r="I48" s="93"/>
      <c r="J48" s="99"/>
    </row>
    <row r="49" spans="1:17" ht="13.5" hidden="1" x14ac:dyDescent="0.25">
      <c r="A49" s="94">
        <f t="shared" si="13"/>
        <v>0</v>
      </c>
      <c r="B49" s="100" t="str">
        <f>IFERROR(VLOOKUP(H49,[1]SEMIELABORADOS!$A$2:$M$6000,2,0),"")</f>
        <v/>
      </c>
      <c r="C49" s="95">
        <f t="shared" si="14"/>
        <v>0</v>
      </c>
      <c r="D49" s="96" t="str">
        <f>IFERROR(VLOOKUP(H49,[1]SEMIELABORADOS!$A$2:$M$6000,6,0),"")</f>
        <v/>
      </c>
      <c r="E49" s="96" t="str">
        <f>IFERROR(VLOOKUP(H49,[1]SEMIELABORADOS!$A$2:$M$65536,12,0),"")</f>
        <v/>
      </c>
      <c r="F49" s="96" t="str">
        <f t="shared" si="15"/>
        <v/>
      </c>
      <c r="G49" s="97" t="str">
        <f t="shared" si="16"/>
        <v/>
      </c>
      <c r="H49" s="101"/>
      <c r="I49" s="93"/>
      <c r="J49" s="99"/>
    </row>
    <row r="50" spans="1:17" ht="13.5" hidden="1" x14ac:dyDescent="0.25">
      <c r="A50" s="94">
        <f t="shared" si="13"/>
        <v>0</v>
      </c>
      <c r="B50" s="100" t="str">
        <f>IFERROR(VLOOKUP(H50,[1]SEMIELABORADOS!$A$2:$M$6000,2,0),"")</f>
        <v/>
      </c>
      <c r="C50" s="95">
        <f t="shared" si="14"/>
        <v>0</v>
      </c>
      <c r="D50" s="96" t="str">
        <f>IFERROR(VLOOKUP(H50,[1]SEMIELABORADOS!$A$2:$M$6000,6,0),"")</f>
        <v/>
      </c>
      <c r="E50" s="96" t="str">
        <f>IFERROR(VLOOKUP(H50,[1]SEMIELABORADOS!$A$2:$M$65536,12,0),"")</f>
        <v/>
      </c>
      <c r="F50" s="96" t="str">
        <f t="shared" si="15"/>
        <v/>
      </c>
      <c r="G50" s="97" t="str">
        <f t="shared" si="16"/>
        <v/>
      </c>
      <c r="H50" s="100"/>
      <c r="I50" s="93"/>
      <c r="J50" s="99"/>
    </row>
    <row r="51" spans="1:17" ht="13.5" x14ac:dyDescent="0.25">
      <c r="A51" s="94">
        <v>1</v>
      </c>
      <c r="B51" s="100" t="s">
        <v>94</v>
      </c>
      <c r="C51" s="95">
        <f>+A51</f>
        <v>1</v>
      </c>
      <c r="D51" s="95" t="s">
        <v>95</v>
      </c>
      <c r="E51" s="96">
        <f>+F65</f>
        <v>1100</v>
      </c>
      <c r="F51" s="96">
        <f>IFERROR(C51*E51,"")</f>
        <v>1100</v>
      </c>
      <c r="G51" s="97">
        <f>IFERROR(F51/$F$66,"")</f>
        <v>0.16134257610227495</v>
      </c>
      <c r="H51" s="105"/>
      <c r="I51" s="105"/>
      <c r="J51" s="99"/>
    </row>
    <row r="52" spans="1:17" ht="14.25" thickBot="1" x14ac:dyDescent="0.3">
      <c r="A52" s="94"/>
      <c r="B52" s="100"/>
      <c r="C52" s="95"/>
      <c r="D52" s="95"/>
      <c r="E52" s="96"/>
      <c r="F52" s="96"/>
      <c r="G52" s="97"/>
      <c r="H52" s="105"/>
      <c r="I52" s="105"/>
      <c r="J52" s="99"/>
    </row>
    <row r="53" spans="1:17" ht="13.5" thickBot="1" x14ac:dyDescent="0.25">
      <c r="A53" s="106"/>
      <c r="B53" s="634" t="s">
        <v>96</v>
      </c>
      <c r="C53" s="634"/>
      <c r="D53" s="634"/>
      <c r="E53" s="634"/>
      <c r="F53" s="108">
        <f>SUM(F8:F14,F17:F24)</f>
        <v>5531.485699285714</v>
      </c>
      <c r="G53" s="97">
        <f>+F53/$F$66</f>
        <v>0.81133104763240993</v>
      </c>
      <c r="H53" s="109">
        <f>+F53/$D$60</f>
        <v>5531.485699285714</v>
      </c>
      <c r="I53" s="109"/>
      <c r="J53" s="110"/>
      <c r="K53" s="111"/>
      <c r="L53" s="111"/>
      <c r="M53" s="111"/>
      <c r="N53" s="111"/>
      <c r="O53" s="111"/>
      <c r="P53" s="111"/>
      <c r="Q53" s="112"/>
    </row>
    <row r="54" spans="1:17" x14ac:dyDescent="0.2">
      <c r="A54" s="106"/>
      <c r="B54" s="634" t="s">
        <v>97</v>
      </c>
      <c r="C54" s="634"/>
      <c r="D54" s="634"/>
      <c r="E54" s="634"/>
      <c r="F54" s="108">
        <f>SUM(F27:F32,F35:F41)</f>
        <v>75.675814400000007</v>
      </c>
      <c r="G54" s="97">
        <f>+F54/$F$66</f>
        <v>1.1099755312666942E-2</v>
      </c>
      <c r="H54" s="109">
        <f>+F54/$D$60</f>
        <v>75.675814400000007</v>
      </c>
      <c r="I54" s="109"/>
      <c r="J54" s="113"/>
      <c r="K54" s="637" t="s">
        <v>98</v>
      </c>
      <c r="L54" s="638"/>
      <c r="M54" s="638"/>
      <c r="N54" s="638"/>
      <c r="O54" s="114">
        <f>+F55</f>
        <v>5607.1615136857135</v>
      </c>
      <c r="P54" s="114"/>
      <c r="Q54" s="115"/>
    </row>
    <row r="55" spans="1:17" x14ac:dyDescent="0.2">
      <c r="A55" s="106"/>
      <c r="B55" s="634" t="s">
        <v>99</v>
      </c>
      <c r="C55" s="634"/>
      <c r="D55" s="634"/>
      <c r="E55" s="634"/>
      <c r="F55" s="108">
        <f>+F53+F54</f>
        <v>5607.1615136857135</v>
      </c>
      <c r="G55" s="97">
        <f>+F55/$F$66</f>
        <v>0.82243080294507687</v>
      </c>
      <c r="H55" s="109">
        <f>+F55/$D$60</f>
        <v>5607.1615136857135</v>
      </c>
      <c r="I55" s="109"/>
      <c r="J55" s="116"/>
      <c r="K55" s="117"/>
      <c r="L55" s="629" t="s">
        <v>100</v>
      </c>
      <c r="M55" s="629"/>
      <c r="N55" s="629"/>
      <c r="O55" s="114">
        <f>+F56</f>
        <v>1139.6264000000001</v>
      </c>
      <c r="P55" s="114"/>
      <c r="Q55" s="115"/>
    </row>
    <row r="56" spans="1:17" ht="13.5" thickBot="1" x14ac:dyDescent="0.25">
      <c r="A56" s="106"/>
      <c r="B56" s="107"/>
      <c r="C56" s="634" t="s">
        <v>101</v>
      </c>
      <c r="D56" s="634"/>
      <c r="E56" s="634"/>
      <c r="F56" s="108">
        <f>SUM(F44:F51)</f>
        <v>1139.6264000000001</v>
      </c>
      <c r="G56" s="97">
        <f>+F56/$F$66</f>
        <v>0.16715478106378334</v>
      </c>
      <c r="H56" s="109">
        <f>+F56/$D$60</f>
        <v>1139.6264000000001</v>
      </c>
      <c r="I56" s="109"/>
      <c r="J56" s="116"/>
      <c r="K56" s="117"/>
      <c r="L56" s="117"/>
      <c r="M56" s="117" t="s">
        <v>102</v>
      </c>
      <c r="N56" s="118">
        <v>0.01</v>
      </c>
      <c r="O56" s="114">
        <f>O54*N56</f>
        <v>56.071615136857133</v>
      </c>
      <c r="P56" s="114"/>
      <c r="Q56" s="115"/>
    </row>
    <row r="57" spans="1:17" ht="13.5" thickBot="1" x14ac:dyDescent="0.25">
      <c r="A57" s="106"/>
      <c r="B57" s="119"/>
      <c r="C57" s="119"/>
      <c r="D57" s="119"/>
      <c r="E57" s="119"/>
      <c r="F57" s="120"/>
      <c r="G57" s="97"/>
      <c r="H57" s="121"/>
      <c r="I57" s="109"/>
      <c r="J57" s="116"/>
      <c r="K57" s="122"/>
      <c r="M57" s="123" t="s">
        <v>103</v>
      </c>
      <c r="N57" s="124"/>
      <c r="O57" s="125">
        <f>SUM(O54:O56)</f>
        <v>6802.8595288225706</v>
      </c>
      <c r="P57" s="126"/>
      <c r="Q57" s="115"/>
    </row>
    <row r="58" spans="1:17" x14ac:dyDescent="0.2">
      <c r="B58" s="635" t="s">
        <v>104</v>
      </c>
      <c r="C58" s="635"/>
      <c r="D58" s="127">
        <v>2000</v>
      </c>
      <c r="E58" s="128"/>
      <c r="G58" s="97"/>
      <c r="H58" s="121"/>
      <c r="I58" s="129"/>
      <c r="J58" s="116"/>
      <c r="K58" s="122"/>
      <c r="L58" s="117"/>
      <c r="M58" s="117" t="s">
        <v>105</v>
      </c>
      <c r="N58" s="130">
        <v>0.25</v>
      </c>
      <c r="O58" s="114">
        <f>+O57*N58</f>
        <v>1700.7148822056427</v>
      </c>
      <c r="P58" s="114"/>
      <c r="Q58" s="115"/>
    </row>
    <row r="59" spans="1:17" x14ac:dyDescent="0.2">
      <c r="B59" s="635" t="s">
        <v>106</v>
      </c>
      <c r="C59" s="635"/>
      <c r="D59" s="131">
        <v>2000</v>
      </c>
      <c r="E59" s="128"/>
      <c r="G59" s="97"/>
      <c r="H59" s="121"/>
      <c r="I59" s="129"/>
      <c r="J59" s="116"/>
      <c r="K59" s="122"/>
      <c r="L59" s="117"/>
      <c r="M59" s="629" t="s">
        <v>103</v>
      </c>
      <c r="N59" s="629"/>
      <c r="O59" s="114">
        <f>SUM(O57:O58)</f>
        <v>8503.5744110282139</v>
      </c>
      <c r="P59" s="114"/>
      <c r="Q59" s="115"/>
    </row>
    <row r="60" spans="1:17" ht="13.5" thickBot="1" x14ac:dyDescent="0.25">
      <c r="B60" s="628" t="s">
        <v>107</v>
      </c>
      <c r="C60" s="628"/>
      <c r="D60" s="127">
        <f>+D58/D59</f>
        <v>1</v>
      </c>
      <c r="E60" s="128"/>
      <c r="F60" s="132"/>
      <c r="G60" s="97"/>
      <c r="H60" s="121"/>
      <c r="I60" s="129"/>
      <c r="J60" s="116"/>
      <c r="K60" s="122"/>
      <c r="L60" s="629" t="s">
        <v>108</v>
      </c>
      <c r="M60" s="629"/>
      <c r="N60" s="130">
        <v>0.05</v>
      </c>
      <c r="O60" s="114">
        <f>+O59*N60</f>
        <v>425.17872055141072</v>
      </c>
      <c r="P60" s="114"/>
      <c r="Q60" s="115"/>
    </row>
    <row r="61" spans="1:17" ht="13.5" thickBot="1" x14ac:dyDescent="0.25">
      <c r="B61" s="628" t="s">
        <v>109</v>
      </c>
      <c r="C61" s="628"/>
      <c r="D61" s="133" t="s">
        <v>132</v>
      </c>
      <c r="E61" s="128"/>
      <c r="F61" s="132"/>
      <c r="G61" s="97"/>
      <c r="H61" s="121"/>
      <c r="I61" s="129"/>
      <c r="J61" s="116"/>
      <c r="K61" s="630" t="s">
        <v>110</v>
      </c>
      <c r="L61" s="631"/>
      <c r="M61" s="631"/>
      <c r="N61" s="632"/>
      <c r="O61" s="125">
        <f>SUM(O59:O60)</f>
        <v>8928.7531315796241</v>
      </c>
      <c r="P61" s="134" t="s">
        <v>111</v>
      </c>
      <c r="Q61" s="115"/>
    </row>
    <row r="62" spans="1:17" ht="13.5" thickBot="1" x14ac:dyDescent="0.25">
      <c r="C62" s="106" t="s">
        <v>112</v>
      </c>
      <c r="D62" s="135"/>
      <c r="E62" s="80" t="s">
        <v>113</v>
      </c>
      <c r="F62" s="136" t="s">
        <v>114</v>
      </c>
      <c r="G62" s="97"/>
      <c r="H62" s="121"/>
      <c r="I62" s="129"/>
      <c r="J62" s="137"/>
      <c r="K62" s="138"/>
      <c r="L62" s="633" t="s">
        <v>115</v>
      </c>
      <c r="M62" s="633"/>
      <c r="N62" s="633"/>
      <c r="O62" s="139">
        <f>+O61/D60</f>
        <v>8928.7531315796241</v>
      </c>
      <c r="P62" s="140">
        <f>+O62/D59</f>
        <v>4.464376565789812</v>
      </c>
      <c r="Q62" s="141"/>
    </row>
    <row r="63" spans="1:17" ht="13.5" thickBot="1" x14ac:dyDescent="0.25">
      <c r="B63" s="613" t="s">
        <v>99</v>
      </c>
      <c r="C63" s="613"/>
      <c r="D63" s="613"/>
      <c r="E63" s="142">
        <f>+F63/F63</f>
        <v>1</v>
      </c>
      <c r="F63" s="143">
        <f>SUM(F55)</f>
        <v>5607.1615136857135</v>
      </c>
      <c r="G63" s="97">
        <f>+F63/$F$66</f>
        <v>0.82243080294507687</v>
      </c>
      <c r="H63" s="121"/>
      <c r="I63" s="129"/>
      <c r="K63" s="614"/>
      <c r="L63" s="615"/>
      <c r="M63" s="615"/>
      <c r="N63" s="615"/>
      <c r="O63" s="144"/>
      <c r="P63" s="145"/>
    </row>
    <row r="64" spans="1:17" ht="13.5" thickBot="1" x14ac:dyDescent="0.25">
      <c r="B64" s="616" t="s">
        <v>116</v>
      </c>
      <c r="C64" s="616"/>
      <c r="D64" s="616"/>
      <c r="E64" s="146">
        <v>0.02</v>
      </c>
      <c r="F64" s="143">
        <f>+F53*E64</f>
        <v>110.62971398571428</v>
      </c>
      <c r="G64" s="97">
        <f>+F64/$F$66</f>
        <v>1.6226620952648197E-2</v>
      </c>
      <c r="H64" s="109"/>
      <c r="I64" s="129"/>
      <c r="J64" s="147"/>
      <c r="O64" s="148"/>
      <c r="P64" s="107"/>
    </row>
    <row r="65" spans="2:10" ht="13.5" thickBot="1" x14ac:dyDescent="0.25">
      <c r="B65" s="618" t="s">
        <v>117</v>
      </c>
      <c r="C65" s="619"/>
      <c r="D65" s="149">
        <v>20</v>
      </c>
      <c r="E65" s="150">
        <v>55</v>
      </c>
      <c r="F65" s="143">
        <f>+E65*D65</f>
        <v>1100</v>
      </c>
      <c r="G65" s="97">
        <f>+F65/$F$66</f>
        <v>0.16134257610227495</v>
      </c>
      <c r="H65" s="109"/>
      <c r="I65" s="109"/>
      <c r="J65" s="99"/>
    </row>
    <row r="66" spans="2:10" ht="13.5" thickBot="1" x14ac:dyDescent="0.25">
      <c r="B66" s="620" t="s">
        <v>118</v>
      </c>
      <c r="C66" s="621"/>
      <c r="D66" s="621"/>
      <c r="E66" s="622"/>
      <c r="F66" s="120">
        <f>SUM(F63:F65)</f>
        <v>6817.7912276714278</v>
      </c>
      <c r="G66" s="97">
        <f>+F66/$F$66</f>
        <v>1</v>
      </c>
      <c r="H66" s="623"/>
      <c r="I66" s="109"/>
      <c r="J66" s="99"/>
    </row>
    <row r="67" spans="2:10" x14ac:dyDescent="0.2">
      <c r="C67" s="104"/>
      <c r="D67" s="104"/>
      <c r="E67" s="152"/>
      <c r="F67" s="143"/>
      <c r="G67" s="97"/>
      <c r="H67" s="623"/>
      <c r="I67" s="151"/>
      <c r="J67" s="82"/>
    </row>
    <row r="68" spans="2:10" ht="13.5" thickBot="1" x14ac:dyDescent="0.25">
      <c r="B68" s="624" t="s">
        <v>119</v>
      </c>
      <c r="C68" s="624"/>
      <c r="D68" s="624"/>
      <c r="E68" s="624"/>
      <c r="F68" s="624"/>
      <c r="G68" s="97"/>
      <c r="H68" s="154"/>
      <c r="I68" s="151"/>
      <c r="J68" s="82"/>
    </row>
    <row r="69" spans="2:10" ht="13.5" thickBot="1" x14ac:dyDescent="0.25">
      <c r="B69" s="155" t="s">
        <v>120</v>
      </c>
      <c r="C69" s="156">
        <f>+F53</f>
        <v>5531.485699285714</v>
      </c>
      <c r="D69" s="156">
        <f>+D58</f>
        <v>2000</v>
      </c>
      <c r="E69" s="157">
        <f>+C69/D69</f>
        <v>2.7657428496428569</v>
      </c>
      <c r="F69" s="97"/>
      <c r="G69" s="154"/>
      <c r="H69" s="99"/>
      <c r="I69" s="154"/>
      <c r="J69" s="82"/>
    </row>
    <row r="70" spans="2:10" x14ac:dyDescent="0.2">
      <c r="B70" s="158"/>
      <c r="C70" s="159"/>
      <c r="D70" s="160"/>
      <c r="E70" s="143"/>
      <c r="F70" s="97"/>
      <c r="G70" s="154"/>
      <c r="H70" s="99"/>
      <c r="I70" s="99"/>
      <c r="J70" s="82"/>
    </row>
    <row r="71" spans="2:10" x14ac:dyDescent="0.2">
      <c r="B71" s="155" t="s">
        <v>121</v>
      </c>
      <c r="C71" s="156">
        <f>SUM(F63:F64)</f>
        <v>5717.7912276714278</v>
      </c>
      <c r="D71" s="156">
        <f>+D58</f>
        <v>2000</v>
      </c>
      <c r="E71" s="161">
        <f>+C71/D71</f>
        <v>2.8588956138357138</v>
      </c>
      <c r="F71" s="97"/>
      <c r="G71" s="154"/>
      <c r="H71" s="99"/>
      <c r="I71" s="99"/>
      <c r="J71" s="82"/>
    </row>
    <row r="72" spans="2:10" x14ac:dyDescent="0.2">
      <c r="B72" s="155"/>
      <c r="C72" s="156"/>
      <c r="D72" s="156"/>
      <c r="E72" s="161"/>
      <c r="F72" s="97"/>
      <c r="G72" s="154"/>
      <c r="H72" s="99"/>
      <c r="I72" s="99"/>
      <c r="J72" s="82"/>
    </row>
    <row r="73" spans="2:10" ht="13.5" thickBot="1" x14ac:dyDescent="0.25">
      <c r="B73" s="155" t="s">
        <v>122</v>
      </c>
      <c r="C73" s="156">
        <f>+F65</f>
        <v>1100</v>
      </c>
      <c r="D73" s="156">
        <f>+D58</f>
        <v>2000</v>
      </c>
      <c r="E73" s="161">
        <f>+C73/D73</f>
        <v>0.55000000000000004</v>
      </c>
      <c r="F73" s="97"/>
      <c r="G73" s="154"/>
      <c r="H73" s="99"/>
      <c r="I73" s="99"/>
      <c r="J73" s="82"/>
    </row>
    <row r="74" spans="2:10" ht="13.5" thickBot="1" x14ac:dyDescent="0.25">
      <c r="B74" s="155" t="s">
        <v>123</v>
      </c>
      <c r="C74" s="156">
        <f>+F56</f>
        <v>1139.6264000000001</v>
      </c>
      <c r="D74" s="156">
        <f>+D73</f>
        <v>2000</v>
      </c>
      <c r="E74" s="157">
        <f>+C74/D74</f>
        <v>0.56981320000000002</v>
      </c>
      <c r="F74" s="97"/>
      <c r="G74" s="154"/>
      <c r="H74" s="99"/>
      <c r="I74" s="99"/>
      <c r="J74" s="82"/>
    </row>
    <row r="75" spans="2:10" ht="13.5" thickBot="1" x14ac:dyDescent="0.25">
      <c r="B75" s="119"/>
      <c r="C75" s="120"/>
      <c r="D75" s="120"/>
      <c r="E75" s="161"/>
      <c r="F75" s="97"/>
      <c r="G75" s="154"/>
      <c r="H75" s="99"/>
      <c r="I75" s="99"/>
      <c r="J75" s="82"/>
    </row>
    <row r="76" spans="2:10" ht="13.5" thickBot="1" x14ac:dyDescent="0.25">
      <c r="B76" s="155" t="s">
        <v>124</v>
      </c>
      <c r="C76" s="156">
        <f>+F54</f>
        <v>75.675814400000007</v>
      </c>
      <c r="D76" s="156">
        <f>+D74</f>
        <v>2000</v>
      </c>
      <c r="E76" s="157">
        <f>+C76/D76</f>
        <v>3.7837907200000007E-2</v>
      </c>
      <c r="F76" s="97"/>
      <c r="G76" s="154"/>
      <c r="H76" s="99"/>
      <c r="I76" s="99"/>
      <c r="J76" s="99"/>
    </row>
    <row r="77" spans="2:10" ht="13.5" thickBot="1" x14ac:dyDescent="0.25">
      <c r="B77" s="119"/>
      <c r="C77" s="120"/>
      <c r="D77" s="120"/>
      <c r="E77" s="161"/>
      <c r="F77" s="97"/>
      <c r="G77" s="154"/>
      <c r="H77" s="99"/>
      <c r="I77" s="99"/>
    </row>
    <row r="78" spans="2:10" ht="13.5" thickBot="1" x14ac:dyDescent="0.25">
      <c r="B78" s="625" t="s">
        <v>125</v>
      </c>
      <c r="C78" s="626"/>
      <c r="D78" s="627"/>
      <c r="E78" s="157">
        <f>+E69+E74</f>
        <v>3.3355560496428569</v>
      </c>
      <c r="G78" s="97"/>
      <c r="H78" s="154"/>
      <c r="I78" s="99"/>
      <c r="J78" s="161"/>
    </row>
    <row r="79" spans="2:10" x14ac:dyDescent="0.2">
      <c r="I79" s="154"/>
      <c r="J79" s="82"/>
    </row>
    <row r="80" spans="2:10" ht="13.5" thickBot="1" x14ac:dyDescent="0.25">
      <c r="B80" s="624" t="s">
        <v>126</v>
      </c>
      <c r="C80" s="624"/>
      <c r="D80" s="624"/>
      <c r="E80" s="624"/>
      <c r="F80" s="624"/>
      <c r="G80" s="97"/>
      <c r="H80" s="154"/>
      <c r="J80" s="82"/>
    </row>
    <row r="81" spans="1:10" ht="13.5" thickBot="1" x14ac:dyDescent="0.25">
      <c r="B81" s="155" t="s">
        <v>120</v>
      </c>
      <c r="C81" s="156">
        <f>+C69</f>
        <v>5531.485699285714</v>
      </c>
      <c r="D81" s="156">
        <f>+D60</f>
        <v>1</v>
      </c>
      <c r="E81" s="157">
        <f>+C81/D81</f>
        <v>5531.485699285714</v>
      </c>
      <c r="F81" s="97"/>
      <c r="G81" s="154"/>
      <c r="H81" s="99"/>
      <c r="I81" s="154"/>
      <c r="J81" s="82"/>
    </row>
    <row r="82" spans="1:10" x14ac:dyDescent="0.2">
      <c r="B82" s="158"/>
      <c r="C82" s="159"/>
      <c r="D82" s="160"/>
      <c r="E82" s="143"/>
      <c r="F82" s="97"/>
      <c r="G82" s="154"/>
      <c r="H82" s="99"/>
      <c r="I82" s="99"/>
      <c r="J82" s="82"/>
    </row>
    <row r="83" spans="1:10" x14ac:dyDescent="0.2">
      <c r="B83" s="155" t="s">
        <v>121</v>
      </c>
      <c r="C83" s="156">
        <f>+C71</f>
        <v>5717.7912276714278</v>
      </c>
      <c r="D83" s="156">
        <f>+D60</f>
        <v>1</v>
      </c>
      <c r="E83" s="161">
        <f>+C83/D83</f>
        <v>5717.7912276714278</v>
      </c>
      <c r="F83" s="97"/>
      <c r="G83" s="154"/>
      <c r="H83" s="99"/>
      <c r="I83" s="99"/>
      <c r="J83" s="82"/>
    </row>
    <row r="84" spans="1:10" x14ac:dyDescent="0.2">
      <c r="B84" s="155"/>
      <c r="C84" s="156"/>
      <c r="D84" s="156"/>
      <c r="E84" s="161"/>
      <c r="F84" s="97"/>
      <c r="G84" s="154"/>
      <c r="H84" s="99"/>
      <c r="I84" s="99"/>
      <c r="J84" s="82"/>
    </row>
    <row r="85" spans="1:10" ht="13.5" thickBot="1" x14ac:dyDescent="0.25">
      <c r="B85" s="155" t="s">
        <v>123</v>
      </c>
      <c r="C85" s="156">
        <f>+C73</f>
        <v>1100</v>
      </c>
      <c r="D85" s="156">
        <f>+D60</f>
        <v>1</v>
      </c>
      <c r="E85" s="161">
        <f>+C85/D85</f>
        <v>1100</v>
      </c>
      <c r="F85" s="163"/>
      <c r="G85" s="153"/>
      <c r="H85" s="81"/>
      <c r="I85" s="99"/>
    </row>
    <row r="86" spans="1:10" ht="13.5" thickBot="1" x14ac:dyDescent="0.25">
      <c r="B86" s="155" t="s">
        <v>123</v>
      </c>
      <c r="C86" s="156">
        <f>+C74</f>
        <v>1139.6264000000001</v>
      </c>
      <c r="D86" s="156">
        <f>+D85</f>
        <v>1</v>
      </c>
      <c r="E86" s="157">
        <f>+C86/D86</f>
        <v>1139.6264000000001</v>
      </c>
      <c r="F86" s="162"/>
      <c r="G86" s="153"/>
      <c r="H86" s="81"/>
      <c r="I86" s="81"/>
    </row>
    <row r="87" spans="1:10" x14ac:dyDescent="0.2">
      <c r="I87" s="81"/>
    </row>
    <row r="88" spans="1:10" x14ac:dyDescent="0.2">
      <c r="A88" s="617"/>
      <c r="B88" s="617"/>
      <c r="C88" s="164"/>
      <c r="D88" s="164"/>
      <c r="E88" s="165"/>
      <c r="G88" s="166"/>
    </row>
    <row r="89" spans="1:10" x14ac:dyDescent="0.2">
      <c r="A89" s="100"/>
      <c r="B89" s="167"/>
      <c r="C89" s="168"/>
      <c r="D89" s="168"/>
      <c r="E89" s="169"/>
      <c r="G89" s="166"/>
    </row>
    <row r="90" spans="1:10" x14ac:dyDescent="0.2">
      <c r="A90" s="100"/>
      <c r="B90" s="167"/>
      <c r="C90" s="170"/>
      <c r="D90" s="170"/>
      <c r="E90" s="100"/>
      <c r="G90" s="166"/>
    </row>
    <row r="91" spans="1:10" x14ac:dyDescent="0.2">
      <c r="A91" s="100"/>
      <c r="B91" s="167"/>
      <c r="C91" s="171"/>
      <c r="D91" s="171"/>
      <c r="E91" s="100"/>
      <c r="G91" s="166"/>
    </row>
  </sheetData>
  <mergeCells count="31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L55:N55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B64:D64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A13D-77A5-4E25-A21D-B4E3F63E2B5D}">
  <dimension ref="A1:L35"/>
  <sheetViews>
    <sheetView workbookViewId="0">
      <selection activeCell="C14" sqref="C14"/>
    </sheetView>
  </sheetViews>
  <sheetFormatPr baseColWidth="10" defaultRowHeight="12.75" x14ac:dyDescent="0.2"/>
  <cols>
    <col min="2" max="2" width="38.42578125" customWidth="1"/>
  </cols>
  <sheetData>
    <row r="1" spans="1:8" ht="18" x14ac:dyDescent="0.25">
      <c r="A1" s="649"/>
      <c r="B1" s="652" t="s">
        <v>22</v>
      </c>
      <c r="C1" s="652"/>
      <c r="D1" s="652"/>
      <c r="E1" s="652"/>
      <c r="F1" s="652"/>
      <c r="G1" s="1" t="s">
        <v>21</v>
      </c>
      <c r="H1" s="2"/>
    </row>
    <row r="2" spans="1:8" ht="18" x14ac:dyDescent="0.25">
      <c r="A2" s="650"/>
      <c r="B2" s="653" t="s">
        <v>0</v>
      </c>
      <c r="C2" s="653"/>
      <c r="D2" s="653"/>
      <c r="E2" s="653"/>
      <c r="F2" s="653"/>
      <c r="G2" s="4" t="s">
        <v>20</v>
      </c>
      <c r="H2" s="5"/>
    </row>
    <row r="3" spans="1:8" ht="15" x14ac:dyDescent="0.2">
      <c r="A3" s="650"/>
      <c r="B3" s="654" t="s">
        <v>182</v>
      </c>
      <c r="C3" s="654"/>
      <c r="D3" s="654"/>
      <c r="E3" s="654"/>
      <c r="F3" s="654"/>
      <c r="G3" s="655" t="s">
        <v>19</v>
      </c>
      <c r="H3" s="644"/>
    </row>
    <row r="4" spans="1:8" x14ac:dyDescent="0.2">
      <c r="A4" s="650"/>
      <c r="B4" s="30" t="s">
        <v>18</v>
      </c>
      <c r="C4" s="646" t="s">
        <v>35</v>
      </c>
      <c r="D4" s="646"/>
      <c r="E4" s="646"/>
      <c r="F4" s="646"/>
      <c r="G4" s="655"/>
      <c r="H4" s="644"/>
    </row>
    <row r="5" spans="1:8" ht="13.5" thickBot="1" x14ac:dyDescent="0.25">
      <c r="A5" s="651"/>
      <c r="B5" s="31" t="s">
        <v>17</v>
      </c>
      <c r="C5" s="647" t="s">
        <v>34</v>
      </c>
      <c r="D5" s="647"/>
      <c r="E5" s="647"/>
      <c r="F5" s="647"/>
      <c r="G5" s="656"/>
      <c r="H5" s="645"/>
    </row>
    <row r="6" spans="1:8" x14ac:dyDescent="0.2">
      <c r="A6" s="25"/>
      <c r="B6" s="26"/>
      <c r="C6" s="27"/>
      <c r="D6" s="27"/>
      <c r="E6" s="27"/>
      <c r="F6" s="27"/>
      <c r="G6" s="28"/>
      <c r="H6" s="29"/>
    </row>
    <row r="7" spans="1:8" ht="18.75" thickBot="1" x14ac:dyDescent="0.3">
      <c r="A7" s="555" t="s">
        <v>23</v>
      </c>
      <c r="B7" s="555"/>
      <c r="C7" s="556" t="s">
        <v>175</v>
      </c>
      <c r="D7" s="556"/>
      <c r="E7" s="556"/>
      <c r="F7" s="557" t="s">
        <v>24</v>
      </c>
      <c r="G7" s="557"/>
      <c r="H7" s="33" t="s">
        <v>175</v>
      </c>
    </row>
    <row r="8" spans="1:8" ht="25.5" x14ac:dyDescent="0.2">
      <c r="A8" s="662" t="s">
        <v>1</v>
      </c>
      <c r="B8" s="648" t="s">
        <v>2</v>
      </c>
      <c r="C8" s="648" t="s">
        <v>3</v>
      </c>
      <c r="D8" s="648" t="s">
        <v>4</v>
      </c>
      <c r="E8" s="648"/>
      <c r="F8" s="648" t="s">
        <v>16</v>
      </c>
      <c r="G8" s="648"/>
      <c r="H8" s="291" t="s">
        <v>5</v>
      </c>
    </row>
    <row r="9" spans="1:8" ht="26.25" thickBot="1" x14ac:dyDescent="0.25">
      <c r="A9" s="663"/>
      <c r="B9" s="664"/>
      <c r="C9" s="664"/>
      <c r="D9" s="292" t="s">
        <v>6</v>
      </c>
      <c r="E9" s="293" t="s">
        <v>7</v>
      </c>
      <c r="F9" s="292" t="s">
        <v>6</v>
      </c>
      <c r="G9" s="293" t="s">
        <v>7</v>
      </c>
      <c r="H9" s="307" t="s">
        <v>8</v>
      </c>
    </row>
    <row r="10" spans="1:8" ht="15" x14ac:dyDescent="0.2">
      <c r="A10" s="60">
        <v>902000116</v>
      </c>
      <c r="B10" s="47" t="s">
        <v>54</v>
      </c>
      <c r="C10" s="46" t="s">
        <v>29</v>
      </c>
      <c r="D10" s="46">
        <v>160</v>
      </c>
      <c r="E10" s="46" t="s">
        <v>30</v>
      </c>
      <c r="F10" s="63"/>
      <c r="G10" s="64"/>
      <c r="H10" s="65"/>
    </row>
    <row r="11" spans="1:8" ht="15" x14ac:dyDescent="0.2">
      <c r="A11" s="66"/>
      <c r="B11" s="59"/>
      <c r="C11" s="55"/>
      <c r="D11" s="55"/>
      <c r="E11" s="55"/>
      <c r="F11" s="39"/>
      <c r="G11" s="38"/>
      <c r="H11" s="48"/>
    </row>
    <row r="12" spans="1:8" ht="15.75" x14ac:dyDescent="0.25">
      <c r="A12" s="54"/>
      <c r="B12" s="53"/>
      <c r="C12" s="49"/>
      <c r="D12" s="49"/>
      <c r="E12" s="49"/>
      <c r="F12" s="40"/>
      <c r="G12" s="52"/>
      <c r="H12" s="51"/>
    </row>
    <row r="13" spans="1:8" ht="15.75" x14ac:dyDescent="0.25">
      <c r="A13" s="311">
        <v>1950705</v>
      </c>
      <c r="B13" s="308" t="s">
        <v>183</v>
      </c>
      <c r="C13" s="49" t="s">
        <v>71</v>
      </c>
      <c r="D13" s="49">
        <v>1</v>
      </c>
      <c r="E13" s="49" t="s">
        <v>31</v>
      </c>
      <c r="F13" s="40"/>
      <c r="G13" s="52"/>
      <c r="H13" s="51"/>
    </row>
    <row r="14" spans="1:8" ht="15.75" x14ac:dyDescent="0.25">
      <c r="A14" s="311">
        <v>702069</v>
      </c>
      <c r="B14" s="308" t="s">
        <v>184</v>
      </c>
      <c r="C14" s="49" t="s">
        <v>71</v>
      </c>
      <c r="D14" s="49">
        <v>1</v>
      </c>
      <c r="E14" s="49" t="s">
        <v>31</v>
      </c>
      <c r="F14" s="39"/>
      <c r="G14" s="38"/>
      <c r="H14" s="48"/>
    </row>
    <row r="15" spans="1:8" ht="15.75" x14ac:dyDescent="0.25">
      <c r="A15" s="310">
        <v>701096</v>
      </c>
      <c r="B15" s="309" t="s">
        <v>65</v>
      </c>
      <c r="C15" s="49" t="s">
        <v>46</v>
      </c>
      <c r="D15" s="49">
        <v>1</v>
      </c>
      <c r="E15" s="49" t="s">
        <v>31</v>
      </c>
      <c r="F15" s="39"/>
      <c r="G15" s="38"/>
      <c r="H15" s="48"/>
    </row>
    <row r="16" spans="1:8" ht="15" x14ac:dyDescent="0.2">
      <c r="A16" s="310">
        <v>702007</v>
      </c>
      <c r="B16" s="309" t="s">
        <v>66</v>
      </c>
      <c r="C16" s="47" t="s">
        <v>71</v>
      </c>
      <c r="D16" s="46">
        <v>1</v>
      </c>
      <c r="E16" s="46" t="s">
        <v>31</v>
      </c>
      <c r="F16" s="39"/>
      <c r="G16" s="38"/>
      <c r="H16" s="41"/>
    </row>
    <row r="17" spans="1:12" ht="15" thickBot="1" x14ac:dyDescent="0.25">
      <c r="A17" s="262"/>
      <c r="B17" s="263"/>
      <c r="C17" s="264"/>
      <c r="D17" s="265"/>
      <c r="E17" s="265"/>
      <c r="F17" s="265"/>
      <c r="G17" s="265"/>
      <c r="H17" s="266"/>
      <c r="I17" s="290"/>
      <c r="J17" s="290"/>
      <c r="K17" s="295"/>
      <c r="L17" s="290"/>
    </row>
    <row r="18" spans="1:12" ht="13.5" thickBot="1" x14ac:dyDescent="0.25">
      <c r="A18" s="296"/>
      <c r="B18" s="297"/>
      <c r="C18" s="298" t="s">
        <v>6</v>
      </c>
      <c r="D18" s="299" t="s">
        <v>15</v>
      </c>
      <c r="E18" s="300"/>
      <c r="F18" s="297"/>
      <c r="G18" s="297"/>
      <c r="H18" s="301"/>
      <c r="I18" s="290"/>
      <c r="J18" s="290"/>
      <c r="K18" s="295"/>
      <c r="L18" s="290"/>
    </row>
    <row r="19" spans="1:12" x14ac:dyDescent="0.2">
      <c r="A19" s="657" t="s">
        <v>10</v>
      </c>
      <c r="B19" s="658"/>
      <c r="C19" s="40">
        <v>160</v>
      </c>
      <c r="D19" s="302" t="s">
        <v>30</v>
      </c>
      <c r="E19" s="659"/>
      <c r="F19" s="659"/>
      <c r="G19" s="660"/>
      <c r="H19" s="661"/>
      <c r="I19" s="290"/>
      <c r="J19" s="290"/>
      <c r="K19" s="295"/>
      <c r="L19" s="290"/>
    </row>
    <row r="20" spans="1:12" x14ac:dyDescent="0.2">
      <c r="A20" s="665" t="s">
        <v>9</v>
      </c>
      <c r="B20" s="666"/>
      <c r="C20" s="303">
        <v>30</v>
      </c>
      <c r="D20" s="38" t="s">
        <v>185</v>
      </c>
      <c r="E20" s="667"/>
      <c r="F20" s="667"/>
      <c r="G20" s="668"/>
      <c r="H20" s="669"/>
      <c r="I20" s="290"/>
      <c r="J20" s="290"/>
      <c r="K20" s="295"/>
      <c r="L20" s="290"/>
    </row>
    <row r="21" spans="1:12" x14ac:dyDescent="0.2">
      <c r="A21" s="665" t="s">
        <v>14</v>
      </c>
      <c r="B21" s="666"/>
      <c r="C21" s="38">
        <v>1</v>
      </c>
      <c r="D21" s="38" t="s">
        <v>31</v>
      </c>
      <c r="E21" s="667"/>
      <c r="F21" s="667"/>
      <c r="G21" s="668"/>
      <c r="H21" s="669"/>
      <c r="I21" s="290"/>
      <c r="J21" s="290"/>
      <c r="K21" s="295"/>
      <c r="L21" s="290"/>
    </row>
    <row r="22" spans="1:12" x14ac:dyDescent="0.2">
      <c r="A22" s="665" t="s">
        <v>13</v>
      </c>
      <c r="B22" s="666"/>
      <c r="C22" s="39">
        <v>160</v>
      </c>
      <c r="D22" s="38" t="s">
        <v>30</v>
      </c>
      <c r="E22" s="670"/>
      <c r="F22" s="671"/>
      <c r="G22" s="668"/>
      <c r="H22" s="669"/>
      <c r="I22" s="290"/>
      <c r="J22" s="290"/>
      <c r="K22" s="295"/>
      <c r="L22" s="21"/>
    </row>
    <row r="23" spans="1:12" ht="13.5" thickBot="1" x14ac:dyDescent="0.25">
      <c r="A23" s="672" t="s">
        <v>12</v>
      </c>
      <c r="B23" s="673"/>
      <c r="C23" s="304">
        <v>0</v>
      </c>
      <c r="D23" s="305" t="s">
        <v>30</v>
      </c>
      <c r="E23" s="674"/>
      <c r="F23" s="674"/>
      <c r="G23" s="675"/>
      <c r="H23" s="676"/>
      <c r="I23" s="294"/>
      <c r="J23" s="294"/>
      <c r="K23" s="295"/>
      <c r="L23" s="294"/>
    </row>
    <row r="24" spans="1:12" ht="13.5" thickBot="1" x14ac:dyDescent="0.25">
      <c r="A24" s="683" t="s">
        <v>11</v>
      </c>
      <c r="B24" s="684"/>
      <c r="C24" s="684"/>
      <c r="D24" s="684"/>
      <c r="E24" s="684"/>
      <c r="F24" s="684"/>
      <c r="G24" s="684"/>
      <c r="H24" s="685"/>
      <c r="I24" s="290"/>
      <c r="J24" s="290"/>
      <c r="K24" s="290"/>
      <c r="L24" s="290"/>
    </row>
    <row r="25" spans="1:12" ht="15" x14ac:dyDescent="0.2">
      <c r="A25" s="686" t="s">
        <v>186</v>
      </c>
      <c r="B25" s="687"/>
      <c r="C25" s="687"/>
      <c r="D25" s="687"/>
      <c r="E25" s="687"/>
      <c r="F25" s="687"/>
      <c r="G25" s="687"/>
      <c r="H25" s="688"/>
      <c r="I25" s="290"/>
      <c r="J25" s="290"/>
      <c r="K25" s="290"/>
      <c r="L25" s="290"/>
    </row>
    <row r="26" spans="1:12" ht="15" x14ac:dyDescent="0.25">
      <c r="A26" s="677" t="s">
        <v>187</v>
      </c>
      <c r="B26" s="678"/>
      <c r="C26" s="678"/>
      <c r="D26" s="678"/>
      <c r="E26" s="678"/>
      <c r="F26" s="678"/>
      <c r="G26" s="678"/>
      <c r="H26" s="679"/>
      <c r="I26" s="290"/>
      <c r="J26" s="290"/>
      <c r="K26" s="290"/>
      <c r="L26" s="290"/>
    </row>
    <row r="27" spans="1:12" ht="15" x14ac:dyDescent="0.25">
      <c r="A27" s="677"/>
      <c r="B27" s="678"/>
      <c r="C27" s="678"/>
      <c r="D27" s="678"/>
      <c r="E27" s="678"/>
      <c r="F27" s="678"/>
      <c r="G27" s="678"/>
      <c r="H27" s="679"/>
      <c r="I27" s="290"/>
      <c r="J27" s="290"/>
      <c r="K27" s="290"/>
      <c r="L27" s="290"/>
    </row>
    <row r="28" spans="1:12" ht="15" x14ac:dyDescent="0.25">
      <c r="A28" s="677"/>
      <c r="B28" s="678"/>
      <c r="C28" s="678"/>
      <c r="D28" s="678"/>
      <c r="E28" s="678"/>
      <c r="F28" s="678"/>
      <c r="G28" s="678"/>
      <c r="H28" s="679"/>
      <c r="I28" s="290"/>
      <c r="J28" s="290"/>
      <c r="K28" s="290"/>
      <c r="L28" s="290"/>
    </row>
    <row r="29" spans="1:12" ht="15" x14ac:dyDescent="0.25">
      <c r="A29" s="677"/>
      <c r="B29" s="678"/>
      <c r="C29" s="678"/>
      <c r="D29" s="678"/>
      <c r="E29" s="678"/>
      <c r="F29" s="678"/>
      <c r="G29" s="678"/>
      <c r="H29" s="679"/>
      <c r="I29" s="290"/>
      <c r="J29" s="290"/>
      <c r="K29" s="290"/>
      <c r="L29" s="290"/>
    </row>
    <row r="30" spans="1:12" ht="15" x14ac:dyDescent="0.25">
      <c r="A30" s="677"/>
      <c r="B30" s="678"/>
      <c r="C30" s="678"/>
      <c r="D30" s="678"/>
      <c r="E30" s="678"/>
      <c r="F30" s="678"/>
      <c r="G30" s="678"/>
      <c r="H30" s="679"/>
      <c r="I30" s="290"/>
      <c r="J30" s="290"/>
      <c r="K30" s="290"/>
      <c r="L30" s="290"/>
    </row>
    <row r="31" spans="1:12" ht="14.25" x14ac:dyDescent="0.2">
      <c r="A31" s="610"/>
      <c r="B31" s="611"/>
      <c r="C31" s="611"/>
      <c r="D31" s="611"/>
      <c r="E31" s="611"/>
      <c r="F31" s="611"/>
      <c r="G31" s="611"/>
      <c r="H31" s="612"/>
      <c r="I31" s="290"/>
      <c r="J31" s="290"/>
      <c r="K31" s="290"/>
      <c r="L31" s="290"/>
    </row>
    <row r="32" spans="1:12" ht="14.25" x14ac:dyDescent="0.2">
      <c r="A32" s="610"/>
      <c r="B32" s="611"/>
      <c r="C32" s="611"/>
      <c r="D32" s="611"/>
      <c r="E32" s="611"/>
      <c r="F32" s="611"/>
      <c r="G32" s="611"/>
      <c r="H32" s="612"/>
      <c r="I32" s="290"/>
      <c r="J32" s="290"/>
      <c r="K32" s="290"/>
      <c r="L32" s="290"/>
    </row>
    <row r="33" spans="1:8" ht="15" thickBot="1" x14ac:dyDescent="0.25">
      <c r="A33" s="680"/>
      <c r="B33" s="681"/>
      <c r="C33" s="681"/>
      <c r="D33" s="681"/>
      <c r="E33" s="681"/>
      <c r="F33" s="681"/>
      <c r="G33" s="681"/>
      <c r="H33" s="682"/>
    </row>
    <row r="35" spans="1:8" x14ac:dyDescent="0.2">
      <c r="A35" s="306"/>
      <c r="B35" s="306"/>
      <c r="C35" s="290"/>
      <c r="D35" s="290"/>
      <c r="E35" s="290"/>
      <c r="F35" s="290"/>
      <c r="G35" s="290"/>
      <c r="H35" s="290"/>
    </row>
  </sheetData>
  <mergeCells count="41">
    <mergeCell ref="A30:H30"/>
    <mergeCell ref="A31:H31"/>
    <mergeCell ref="A32:H32"/>
    <mergeCell ref="A33:H33"/>
    <mergeCell ref="A24:H24"/>
    <mergeCell ref="A25:H25"/>
    <mergeCell ref="A26:H26"/>
    <mergeCell ref="A27:H27"/>
    <mergeCell ref="A28:H28"/>
    <mergeCell ref="A29:H29"/>
    <mergeCell ref="A22:B22"/>
    <mergeCell ref="E22:F22"/>
    <mergeCell ref="G22:H22"/>
    <mergeCell ref="A23:B23"/>
    <mergeCell ref="E23:F23"/>
    <mergeCell ref="G23:H23"/>
    <mergeCell ref="A20:B20"/>
    <mergeCell ref="E20:F20"/>
    <mergeCell ref="G20:H20"/>
    <mergeCell ref="A21:B21"/>
    <mergeCell ref="E21:F21"/>
    <mergeCell ref="G21:H21"/>
    <mergeCell ref="A19:B19"/>
    <mergeCell ref="E19:F19"/>
    <mergeCell ref="G19:H19"/>
    <mergeCell ref="A7:B7"/>
    <mergeCell ref="C7:E7"/>
    <mergeCell ref="F7:G7"/>
    <mergeCell ref="A8:A9"/>
    <mergeCell ref="B8:B9"/>
    <mergeCell ref="C8:C9"/>
    <mergeCell ref="D8:E8"/>
    <mergeCell ref="H3:H5"/>
    <mergeCell ref="C4:F4"/>
    <mergeCell ref="C5:F5"/>
    <mergeCell ref="F8:G8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092-937F-488E-8B06-8CD30F67B0DA}">
  <dimension ref="A1:Q91"/>
  <sheetViews>
    <sheetView topLeftCell="A16" workbookViewId="0">
      <selection activeCell="N65" sqref="N65"/>
    </sheetView>
  </sheetViews>
  <sheetFormatPr baseColWidth="10" defaultColWidth="8.42578125" defaultRowHeight="12.75" x14ac:dyDescent="0.2"/>
  <cols>
    <col min="1" max="1" width="10" style="82" bestFit="1" customWidth="1"/>
    <col min="2" max="2" width="44.28515625" style="82" bestFit="1" customWidth="1"/>
    <col min="3" max="3" width="10.42578125" style="82" bestFit="1" customWidth="1"/>
    <col min="4" max="4" width="10.42578125" style="82" customWidth="1"/>
    <col min="5" max="5" width="9.7109375" style="82" bestFit="1" customWidth="1"/>
    <col min="6" max="6" width="9.5703125" style="82" bestFit="1" customWidth="1"/>
    <col min="7" max="7" width="9.5703125" style="321" bestFit="1" customWidth="1"/>
    <col min="8" max="8" width="10.42578125" style="153" bestFit="1" customWidth="1"/>
    <col min="9" max="9" width="4.5703125" style="153" customWidth="1"/>
    <col min="10" max="10" width="1.7109375" style="81" customWidth="1"/>
    <col min="11" max="11" width="7" style="82" bestFit="1" customWidth="1"/>
    <col min="12" max="12" width="6.28515625" style="82" customWidth="1"/>
    <col min="13" max="13" width="20.42578125" style="82" customWidth="1"/>
    <col min="14" max="14" width="6.42578125" style="82" bestFit="1" customWidth="1"/>
    <col min="15" max="16" width="8.42578125" style="82"/>
    <col min="17" max="17" width="3.28515625" style="82" customWidth="1"/>
    <col min="18" max="16384" width="8.42578125" style="82"/>
  </cols>
  <sheetData>
    <row r="1" spans="1:10" ht="27.75" customHeight="1" x14ac:dyDescent="0.2">
      <c r="A1" s="77"/>
      <c r="B1" s="77"/>
      <c r="C1" s="77"/>
      <c r="D1" s="77"/>
      <c r="E1" s="78" t="s">
        <v>78</v>
      </c>
      <c r="F1" s="79" t="s">
        <v>79</v>
      </c>
      <c r="G1" s="79" t="s">
        <v>80</v>
      </c>
      <c r="H1" s="79" t="s">
        <v>81</v>
      </c>
      <c r="I1" s="80"/>
    </row>
    <row r="2" spans="1:10" ht="30.75" customHeight="1" x14ac:dyDescent="0.2">
      <c r="A2" s="77"/>
      <c r="B2" s="77"/>
      <c r="C2" s="77"/>
      <c r="D2" s="77"/>
      <c r="E2" s="83">
        <f>IFERROR(O62,"")</f>
        <v>691.90292109485711</v>
      </c>
      <c r="F2" s="83">
        <f>IFERROR(H53,"")</f>
        <v>442.5188559428571</v>
      </c>
      <c r="G2" s="83">
        <f>IFERROR(H54,"")</f>
        <v>14.204065152000002</v>
      </c>
      <c r="H2" s="83">
        <f>IFERROR(H56,"")</f>
        <v>118.670112</v>
      </c>
      <c r="I2" s="84"/>
    </row>
    <row r="3" spans="1:10" ht="15" customHeight="1" x14ac:dyDescent="0.2">
      <c r="A3" s="77"/>
      <c r="B3" s="77"/>
      <c r="C3" s="77"/>
      <c r="D3" s="77"/>
      <c r="E3" s="77"/>
      <c r="F3" s="85"/>
      <c r="G3" s="85"/>
      <c r="H3" s="85"/>
      <c r="I3" s="85"/>
    </row>
    <row r="4" spans="1:10" ht="24.75" customHeight="1" thickBot="1" x14ac:dyDescent="0.25">
      <c r="A4" s="639"/>
      <c r="B4" s="639"/>
      <c r="C4" s="639"/>
      <c r="D4" s="639"/>
      <c r="E4" s="639"/>
      <c r="F4" s="639"/>
      <c r="G4" s="639"/>
      <c r="H4" s="639"/>
      <c r="I4" s="86"/>
    </row>
    <row r="5" spans="1:10" ht="19.5" customHeight="1" thickBot="1" x14ac:dyDescent="0.25">
      <c r="A5" s="640" t="s">
        <v>82</v>
      </c>
      <c r="B5" s="641"/>
      <c r="C5" s="641"/>
      <c r="D5" s="641"/>
      <c r="E5" s="641"/>
      <c r="F5" s="641"/>
      <c r="G5" s="641"/>
      <c r="H5" s="642"/>
      <c r="I5" s="87"/>
    </row>
    <row r="6" spans="1:10" ht="19.5" thickBot="1" x14ac:dyDescent="0.25">
      <c r="A6" s="87"/>
      <c r="B6" s="87"/>
      <c r="C6" s="87"/>
      <c r="D6" s="87"/>
      <c r="E6" s="87"/>
      <c r="F6" s="643" t="s">
        <v>83</v>
      </c>
      <c r="G6" s="643"/>
      <c r="H6" s="88">
        <f ca="1">TODAY()</f>
        <v>45783</v>
      </c>
      <c r="I6" s="88"/>
    </row>
    <row r="7" spans="1:10" ht="26.25" hidden="1" thickBot="1" x14ac:dyDescent="0.25">
      <c r="A7" s="89" t="s">
        <v>84</v>
      </c>
      <c r="B7" s="90" t="s">
        <v>85</v>
      </c>
      <c r="C7" s="90" t="s">
        <v>84</v>
      </c>
      <c r="D7" s="91" t="s">
        <v>86</v>
      </c>
      <c r="E7" s="91" t="s">
        <v>87</v>
      </c>
      <c r="F7" s="91" t="s">
        <v>88</v>
      </c>
      <c r="G7" s="91" t="s">
        <v>89</v>
      </c>
      <c r="H7" s="92" t="s">
        <v>90</v>
      </c>
      <c r="I7" s="93"/>
    </row>
    <row r="8" spans="1:10" ht="13.5" hidden="1" x14ac:dyDescent="0.25">
      <c r="A8" s="94"/>
      <c r="B8" s="82" t="str">
        <f>IFERROR(VLOOKUP(H8,'[1]Consolidado MP Planta'!$A$2:$M$823,3,0),"")</f>
        <v/>
      </c>
      <c r="C8" s="95">
        <f>+A8</f>
        <v>0</v>
      </c>
      <c r="D8" s="96" t="str">
        <f>IFERROR(VLOOKUP(H8,'[1]Consolidado MP Planta'!$A$2:$M$823,13,0),"")</f>
        <v/>
      </c>
      <c r="E8" s="96" t="str">
        <f>IFERROR(VLOOKUP(H8,'[1]Consolidado MP Planta'!$A$2:$M$823,12,0),"")</f>
        <v/>
      </c>
      <c r="F8" s="96" t="str">
        <f>IFERROR(C8*E8,"")</f>
        <v/>
      </c>
      <c r="G8" s="312" t="str">
        <f t="shared" ref="G8:G14" si="0">IFERROR(F8/$F$66,"")</f>
        <v/>
      </c>
      <c r="H8" s="98"/>
      <c r="I8" s="98"/>
      <c r="J8" s="313"/>
    </row>
    <row r="9" spans="1:10" ht="13.5" hidden="1" x14ac:dyDescent="0.25">
      <c r="A9" s="94"/>
      <c r="B9" s="82" t="str">
        <f>IFERROR(VLOOKUP(H9,'[1]Consolidado MP Planta'!$A$2:$M$823,3,0),"")</f>
        <v/>
      </c>
      <c r="C9" s="95">
        <f t="shared" ref="C9:C14" si="1">+A9</f>
        <v>0</v>
      </c>
      <c r="D9" s="96" t="str">
        <f>IFERROR(VLOOKUP(H9,'[1]Consolidado MP Planta'!$A$2:$M$823,13,0),"")</f>
        <v/>
      </c>
      <c r="E9" s="96" t="str">
        <f>IFERROR(VLOOKUP(H9,'[1]Consolidado MP Planta'!$A$2:$M$823,12,0),"")</f>
        <v/>
      </c>
      <c r="F9" s="96" t="str">
        <f t="shared" ref="F9:F14" si="2">IFERROR(C9*E9,"")</f>
        <v/>
      </c>
      <c r="G9" s="312" t="str">
        <f t="shared" si="0"/>
        <v/>
      </c>
      <c r="H9" s="98"/>
      <c r="I9" s="98"/>
      <c r="J9" s="313"/>
    </row>
    <row r="10" spans="1:10" ht="13.5" hidden="1" x14ac:dyDescent="0.25">
      <c r="A10" s="94"/>
      <c r="B10" s="82" t="str">
        <f>IFERROR(VLOOKUP(H10,'[1]Consolidado MP Planta'!$A$2:$M$823,3,0),"")</f>
        <v/>
      </c>
      <c r="C10" s="95">
        <f t="shared" si="1"/>
        <v>0</v>
      </c>
      <c r="D10" s="96" t="str">
        <f>IFERROR(VLOOKUP(H10,'[1]Consolidado MP Planta'!$A$2:$M$823,13,0),"")</f>
        <v/>
      </c>
      <c r="E10" s="96" t="str">
        <f>IFERROR(VLOOKUP(H10,'[1]Consolidado MP Planta'!$A$2:$M$823,12,0),"")</f>
        <v/>
      </c>
      <c r="F10" s="96" t="str">
        <f t="shared" si="2"/>
        <v/>
      </c>
      <c r="G10" s="312" t="str">
        <f t="shared" si="0"/>
        <v/>
      </c>
      <c r="H10" s="98"/>
      <c r="I10" s="98"/>
      <c r="J10" s="313"/>
    </row>
    <row r="11" spans="1:10" ht="13.5" hidden="1" x14ac:dyDescent="0.25">
      <c r="A11" s="94"/>
      <c r="B11" s="82" t="str">
        <f>IFERROR(VLOOKUP(H11,'[1]Consolidado MP Planta'!$A$2:$M$823,3,0),"")</f>
        <v/>
      </c>
      <c r="C11" s="95">
        <f t="shared" si="1"/>
        <v>0</v>
      </c>
      <c r="D11" s="96" t="str">
        <f>IFERROR(VLOOKUP(H11,'[1]Consolidado MP Planta'!$A$2:$M$823,13,0),"")</f>
        <v/>
      </c>
      <c r="E11" s="96" t="str">
        <f>IFERROR(VLOOKUP(H11,'[1]Consolidado MP Planta'!$A$2:$M$823,12,0),"")</f>
        <v/>
      </c>
      <c r="F11" s="96" t="str">
        <f t="shared" si="2"/>
        <v/>
      </c>
      <c r="G11" s="312" t="str">
        <f t="shared" si="0"/>
        <v/>
      </c>
      <c r="H11" s="98"/>
      <c r="I11" s="98"/>
      <c r="J11" s="313"/>
    </row>
    <row r="12" spans="1:10" ht="13.5" hidden="1" x14ac:dyDescent="0.25">
      <c r="A12" s="94"/>
      <c r="B12" s="82" t="str">
        <f>IFERROR(VLOOKUP(H12,'[1]Consolidado MP Planta'!$A$2:$M$823,3,0),"")</f>
        <v/>
      </c>
      <c r="C12" s="95">
        <f t="shared" si="1"/>
        <v>0</v>
      </c>
      <c r="D12" s="96" t="str">
        <f>IFERROR(VLOOKUP(H12,'[1]Consolidado MP Planta'!$A$2:$M$823,13,0),"")</f>
        <v/>
      </c>
      <c r="E12" s="96" t="str">
        <f>IFERROR(VLOOKUP(H12,'[1]Consolidado MP Planta'!$A$2:$M$823,12,0),"")</f>
        <v/>
      </c>
      <c r="F12" s="96" t="str">
        <f t="shared" si="2"/>
        <v/>
      </c>
      <c r="G12" s="312" t="str">
        <f t="shared" si="0"/>
        <v/>
      </c>
      <c r="H12" s="98"/>
      <c r="I12" s="98"/>
      <c r="J12" s="313"/>
    </row>
    <row r="13" spans="1:10" ht="13.5" hidden="1" x14ac:dyDescent="0.25">
      <c r="A13" s="94"/>
      <c r="B13" s="82" t="str">
        <f>IFERROR(VLOOKUP(H13,'[1]Consolidado MP Planta'!$A$2:$M$823,3,0),"")</f>
        <v/>
      </c>
      <c r="C13" s="95">
        <f t="shared" si="1"/>
        <v>0</v>
      </c>
      <c r="D13" s="96" t="str">
        <f>IFERROR(VLOOKUP(H13,'[1]Consolidado MP Planta'!$A$2:$M$823,13,0),"")</f>
        <v/>
      </c>
      <c r="E13" s="96" t="str">
        <f>IFERROR(VLOOKUP(H13,'[1]Consolidado MP Planta'!$A$2:$M$823,12,0),"")</f>
        <v/>
      </c>
      <c r="F13" s="96" t="str">
        <f t="shared" si="2"/>
        <v/>
      </c>
      <c r="G13" s="312" t="str">
        <f t="shared" si="0"/>
        <v/>
      </c>
      <c r="H13" s="98"/>
      <c r="I13" s="98"/>
      <c r="J13" s="313"/>
    </row>
    <row r="14" spans="1:10" ht="13.5" hidden="1" x14ac:dyDescent="0.25">
      <c r="A14" s="94"/>
      <c r="B14" s="82" t="str">
        <f>IFERROR(VLOOKUP(H14,'[1]Consolidado MP Planta'!$A$2:$M$823,3,0),"")</f>
        <v/>
      </c>
      <c r="C14" s="95">
        <f t="shared" si="1"/>
        <v>0</v>
      </c>
      <c r="D14" s="96" t="str">
        <f>IFERROR(VLOOKUP(H14,'[1]Consolidado MP Planta'!$A$2:$M$823,13,0),"")</f>
        <v/>
      </c>
      <c r="E14" s="96" t="str">
        <f>IFERROR(VLOOKUP(H14,'[1]Consolidado MP Planta'!$A$2:$M$823,12,0),"")</f>
        <v/>
      </c>
      <c r="F14" s="96" t="str">
        <f t="shared" si="2"/>
        <v/>
      </c>
      <c r="G14" s="312" t="str">
        <f t="shared" si="0"/>
        <v/>
      </c>
      <c r="H14" s="98"/>
      <c r="I14" s="98"/>
      <c r="J14" s="313"/>
    </row>
    <row r="15" spans="1:10" ht="14.25" hidden="1" thickBot="1" x14ac:dyDescent="0.3">
      <c r="A15" s="94"/>
      <c r="B15" s="82" t="str">
        <f>IFERROR(VLOOKUP(H15,'[2]ARTICULOS MP PLANTA'!$A$2:$G$589,2,0),"")</f>
        <v/>
      </c>
      <c r="C15" s="95"/>
      <c r="D15" s="96"/>
      <c r="E15" s="96"/>
      <c r="F15" s="96"/>
      <c r="G15" s="312"/>
      <c r="H15" s="98"/>
      <c r="I15" s="98"/>
      <c r="J15" s="313"/>
    </row>
    <row r="16" spans="1:10" ht="26.25" thickBot="1" x14ac:dyDescent="0.25">
      <c r="A16" s="89" t="s">
        <v>84</v>
      </c>
      <c r="B16" s="90" t="s">
        <v>91</v>
      </c>
      <c r="C16" s="90" t="s">
        <v>84</v>
      </c>
      <c r="D16" s="91" t="s">
        <v>86</v>
      </c>
      <c r="E16" s="91" t="s">
        <v>87</v>
      </c>
      <c r="F16" s="91" t="s">
        <v>88</v>
      </c>
      <c r="G16" s="91" t="s">
        <v>89</v>
      </c>
      <c r="H16" s="92" t="s">
        <v>90</v>
      </c>
      <c r="I16" s="93"/>
      <c r="J16" s="313"/>
    </row>
    <row r="17" spans="1:12" ht="13.5" x14ac:dyDescent="0.25">
      <c r="A17" s="94">
        <v>160</v>
      </c>
      <c r="B17" s="82" t="s">
        <v>54</v>
      </c>
      <c r="C17" s="95">
        <f>+A17</f>
        <v>160</v>
      </c>
      <c r="D17" s="95" t="s">
        <v>188</v>
      </c>
      <c r="E17" s="96">
        <f>+'costeo brittle'!E69</f>
        <v>2.7657428496428569</v>
      </c>
      <c r="F17" s="96">
        <f>IFERROR(E17*C17,"")</f>
        <v>442.5188559428571</v>
      </c>
      <c r="G17" s="312">
        <f t="shared" ref="G17:G24" si="3">IFERROR(F17/$F$66,"")</f>
        <v>0.89747073618870932</v>
      </c>
      <c r="H17" s="98"/>
      <c r="I17" s="98"/>
      <c r="J17" s="313"/>
    </row>
    <row r="18" spans="1:12" ht="13.5" hidden="1" x14ac:dyDescent="0.25">
      <c r="A18" s="94"/>
      <c r="B18" s="82" t="str">
        <f>IFERROR(VLOOKUP(H18,[1]SEMIELABORADOS!$A$2:$M$6000,2,0),"")</f>
        <v/>
      </c>
      <c r="C18" s="95">
        <f t="shared" ref="C18:C24" si="4">+A18</f>
        <v>0</v>
      </c>
      <c r="D18" s="95" t="str">
        <f>IFERROR(VLOOKUP(H18,[1]SEMIELABORADOS!$A$2:$M$6000,6,0),"")</f>
        <v/>
      </c>
      <c r="E18" s="96" t="str">
        <f>IFERROR(VLOOKUP(H18,[1]SEMIELABORADOS!$A$2:$H$65536,8,0),"")</f>
        <v/>
      </c>
      <c r="F18" s="96" t="str">
        <f t="shared" ref="F18:F24" si="5">IFERROR(E18*C18,"")</f>
        <v/>
      </c>
      <c r="G18" s="312" t="str">
        <f t="shared" si="3"/>
        <v/>
      </c>
      <c r="H18" s="98"/>
      <c r="I18" s="98"/>
      <c r="J18" s="313"/>
    </row>
    <row r="19" spans="1:12" ht="13.5" hidden="1" x14ac:dyDescent="0.25">
      <c r="A19" s="94"/>
      <c r="B19" s="82" t="str">
        <f>IFERROR(VLOOKUP(H19,[1]SEMIELABORADOS!$A$2:$M$6000,2,0),"")</f>
        <v/>
      </c>
      <c r="C19" s="95">
        <f>+A19</f>
        <v>0</v>
      </c>
      <c r="D19" s="95" t="str">
        <f>IFERROR(VLOOKUP(H19,[1]SEMIELABORADOS!$A$2:$M$6000,6,0),"")</f>
        <v/>
      </c>
      <c r="E19" s="96" t="str">
        <f>IFERROR(VLOOKUP(H19,[1]SEMIELABORADOS!$A$2:$H$65536,8,0),"")</f>
        <v/>
      </c>
      <c r="F19" s="96" t="str">
        <f>IFERROR(E19*C19,"")</f>
        <v/>
      </c>
      <c r="G19" s="312" t="str">
        <f t="shared" si="3"/>
        <v/>
      </c>
      <c r="H19" s="98"/>
      <c r="I19" s="98"/>
      <c r="J19" s="313"/>
    </row>
    <row r="20" spans="1:12" ht="13.5" hidden="1" x14ac:dyDescent="0.25">
      <c r="A20" s="94"/>
      <c r="B20" s="82" t="str">
        <f>IFERROR(VLOOKUP(H20,[1]SEMIELABORADOS!$A$2:$M$6000,2,0),"")</f>
        <v/>
      </c>
      <c r="C20" s="95">
        <f>+A20</f>
        <v>0</v>
      </c>
      <c r="D20" s="95" t="str">
        <f>IFERROR(VLOOKUP(H20,[1]SEMIELABORADOS!$A$2:$M$6000,6,0),"")</f>
        <v/>
      </c>
      <c r="E20" s="96" t="str">
        <f>IFERROR(VLOOKUP(H20,[1]SEMIELABORADOS!$A$2:$H$65536,8,0),"")</f>
        <v/>
      </c>
      <c r="F20" s="96" t="str">
        <f>IFERROR(E20*C20,"")</f>
        <v/>
      </c>
      <c r="G20" s="312" t="str">
        <f t="shared" si="3"/>
        <v/>
      </c>
      <c r="H20" s="98"/>
      <c r="I20" s="98"/>
      <c r="J20" s="313"/>
    </row>
    <row r="21" spans="1:12" ht="13.5" hidden="1" x14ac:dyDescent="0.25">
      <c r="A21" s="94"/>
      <c r="B21" s="82" t="str">
        <f>IFERROR(VLOOKUP(H21,[1]SEMIELABORADOS!$A$2:$M$6000,2,0),"")</f>
        <v/>
      </c>
      <c r="C21" s="95">
        <f>+A21</f>
        <v>0</v>
      </c>
      <c r="D21" s="95" t="str">
        <f>IFERROR(VLOOKUP(H21,[1]SEMIELABORADOS!$A$2:$M$6000,6,0),"")</f>
        <v/>
      </c>
      <c r="E21" s="96" t="str">
        <f>IFERROR(VLOOKUP(H21,[1]SEMIELABORADOS!$A$2:$H$65536,8,0),"")</f>
        <v/>
      </c>
      <c r="F21" s="96" t="str">
        <f>IFERROR(E21*C21,"")</f>
        <v/>
      </c>
      <c r="G21" s="312" t="str">
        <f t="shared" si="3"/>
        <v/>
      </c>
      <c r="H21" s="98"/>
      <c r="I21" s="98"/>
      <c r="J21" s="313"/>
    </row>
    <row r="22" spans="1:12" ht="13.5" hidden="1" x14ac:dyDescent="0.25">
      <c r="A22" s="94"/>
      <c r="B22" s="82" t="str">
        <f>IFERROR(VLOOKUP(H22,[1]SEMIELABORADOS!$A$2:$M$6000,2,0),"")</f>
        <v/>
      </c>
      <c r="C22" s="95">
        <f t="shared" si="4"/>
        <v>0</v>
      </c>
      <c r="D22" s="95" t="str">
        <f>IFERROR(VLOOKUP(H22,[1]SEMIELABORADOS!$A$2:$M$6000,6,0),"")</f>
        <v/>
      </c>
      <c r="E22" s="96" t="str">
        <f>IFERROR(VLOOKUP(H22,[1]SEMIELABORADOS!$A$2:$H$65536,8,0),"")</f>
        <v/>
      </c>
      <c r="F22" s="96" t="str">
        <f t="shared" si="5"/>
        <v/>
      </c>
      <c r="G22" s="312" t="str">
        <f t="shared" si="3"/>
        <v/>
      </c>
      <c r="H22" s="98"/>
      <c r="I22" s="98"/>
      <c r="J22" s="313"/>
    </row>
    <row r="23" spans="1:12" ht="13.5" hidden="1" x14ac:dyDescent="0.25">
      <c r="A23" s="94"/>
      <c r="B23" s="82" t="str">
        <f>IFERROR(VLOOKUP(H23,[1]SEMIELABORADOS!$A$2:$M$6000,2,0),"")</f>
        <v/>
      </c>
      <c r="C23" s="95">
        <f t="shared" si="4"/>
        <v>0</v>
      </c>
      <c r="D23" s="95" t="str">
        <f>IFERROR(VLOOKUP(H23,[1]SEMIELABORADOS!$A$2:$M$6000,6,0),"")</f>
        <v/>
      </c>
      <c r="E23" s="96" t="str">
        <f>IFERROR(VLOOKUP(H23,[1]SEMIELABORADOS!$A$2:$H$65536,8,0),"")</f>
        <v/>
      </c>
      <c r="F23" s="96" t="str">
        <f t="shared" si="5"/>
        <v/>
      </c>
      <c r="G23" s="312" t="str">
        <f t="shared" si="3"/>
        <v/>
      </c>
      <c r="H23" s="98"/>
      <c r="I23" s="98"/>
      <c r="J23" s="313"/>
    </row>
    <row r="24" spans="1:12" ht="13.5" hidden="1" x14ac:dyDescent="0.25">
      <c r="A24" s="94"/>
      <c r="B24" s="82" t="str">
        <f>IFERROR(VLOOKUP(H24,[1]SEMIELABORADOS!$A$2:$M$6000,2,0),"")</f>
        <v/>
      </c>
      <c r="C24" s="95">
        <f t="shared" si="4"/>
        <v>0</v>
      </c>
      <c r="D24" s="95" t="str">
        <f>IFERROR(VLOOKUP(H24,[1]SEMIELABORADOS!$A$2:$M$6000,6,0),"")</f>
        <v/>
      </c>
      <c r="E24" s="96" t="str">
        <f>IFERROR(VLOOKUP(H24,[1]SEMIELABORADOS!$A$2:$H$65536,8,0),"")</f>
        <v/>
      </c>
      <c r="F24" s="96" t="str">
        <f t="shared" si="5"/>
        <v/>
      </c>
      <c r="G24" s="312" t="str">
        <f t="shared" si="3"/>
        <v/>
      </c>
      <c r="H24" s="98"/>
      <c r="I24" s="98"/>
      <c r="J24" s="313"/>
    </row>
    <row r="25" spans="1:12" ht="14.25" thickBot="1" x14ac:dyDescent="0.3">
      <c r="A25" s="94"/>
      <c r="C25" s="95"/>
      <c r="D25" s="95"/>
      <c r="E25" s="96"/>
      <c r="F25" s="96"/>
      <c r="G25" s="312"/>
      <c r="H25" s="98"/>
      <c r="I25" s="98"/>
      <c r="J25" s="313"/>
    </row>
    <row r="26" spans="1:12" ht="26.25" thickBot="1" x14ac:dyDescent="0.25">
      <c r="A26" s="89" t="s">
        <v>84</v>
      </c>
      <c r="B26" s="90" t="s">
        <v>25</v>
      </c>
      <c r="C26" s="90" t="s">
        <v>84</v>
      </c>
      <c r="D26" s="91" t="s">
        <v>86</v>
      </c>
      <c r="E26" s="91" t="s">
        <v>87</v>
      </c>
      <c r="F26" s="91" t="s">
        <v>88</v>
      </c>
      <c r="G26" s="91" t="s">
        <v>89</v>
      </c>
      <c r="H26" s="92" t="s">
        <v>90</v>
      </c>
      <c r="I26" s="93"/>
    </row>
    <row r="27" spans="1:12" ht="13.5" x14ac:dyDescent="0.25">
      <c r="A27" s="94">
        <v>1</v>
      </c>
      <c r="B27" s="100" t="str">
        <f>IFERROR(VLOOKUP(H27,'[1]Consolidado MP Planta'!$A$2:$M$823,3,0),"")</f>
        <v>BOLSA 8x12 TRANSPARENTE KILO</v>
      </c>
      <c r="C27" s="95">
        <f t="shared" ref="C27:C32" si="6">+A27</f>
        <v>1</v>
      </c>
      <c r="D27" s="96" t="str">
        <f>IFERROR(VLOOKUP(H27,'[1]Consolidado MP Planta'!$A$2:$M$823,13,0),"")</f>
        <v>Und</v>
      </c>
      <c r="E27" s="96">
        <f>IFERROR(VLOOKUP(H27,'[1]Consolidado MP Planta'!$A$2:$M$823,12,0),"")</f>
        <v>7</v>
      </c>
      <c r="F27" s="96">
        <f t="shared" ref="F27:F32" si="7">IFERROR(C27*E27,"")</f>
        <v>7</v>
      </c>
      <c r="G27" s="312">
        <f t="shared" ref="G27:G32" si="8">IFERROR(F27/$F$66,"")</f>
        <v>1.4196672229786754E-2</v>
      </c>
      <c r="H27" s="101" t="s">
        <v>189</v>
      </c>
      <c r="I27" s="101"/>
      <c r="J27" s="313"/>
      <c r="K27" s="636"/>
      <c r="L27" s="636"/>
    </row>
    <row r="28" spans="1:12" ht="13.5" x14ac:dyDescent="0.25">
      <c r="A28" s="94">
        <v>1</v>
      </c>
      <c r="B28" s="100" t="str">
        <f>IFERROR(VLOOKUP(H28,'[1]Consolidado MP Planta'!$A$2:$M$823,3,0),"")</f>
        <v>ETIQ.BLANCA 1 1/4 * 3/4 (UND)</v>
      </c>
      <c r="C28" s="95">
        <f t="shared" si="6"/>
        <v>1</v>
      </c>
      <c r="D28" s="96" t="str">
        <f>IFERROR(VLOOKUP(H28,'[1]Consolidado MP Planta'!$A$2:$M$823,13,0),"")</f>
        <v>Und</v>
      </c>
      <c r="E28" s="96">
        <f>IFERROR(VLOOKUP(H28,'[1]Consolidado MP Planta'!$A$2:$M$823,12,0),"")</f>
        <v>0.57999999999999996</v>
      </c>
      <c r="F28" s="96">
        <f t="shared" si="7"/>
        <v>0.57999999999999996</v>
      </c>
      <c r="G28" s="312">
        <f t="shared" si="8"/>
        <v>1.1762956990394738E-3</v>
      </c>
      <c r="H28" s="101" t="s">
        <v>191</v>
      </c>
      <c r="I28" s="101"/>
      <c r="J28" s="313"/>
      <c r="K28" s="636"/>
      <c r="L28" s="636"/>
    </row>
    <row r="29" spans="1:12" ht="13.5" x14ac:dyDescent="0.25">
      <c r="A29" s="94">
        <v>1</v>
      </c>
      <c r="B29" s="100" t="str">
        <f>IFERROR(VLOOKUP(H29,'[1]Consolidado MP Planta'!$A$2:$M$823,3,0),"")</f>
        <v>ETIQUETA BLANCA R-153 (UND)</v>
      </c>
      <c r="C29" s="95">
        <f t="shared" si="6"/>
        <v>1</v>
      </c>
      <c r="D29" s="96" t="str">
        <f>IFERROR(VLOOKUP(H29,'[1]Consolidado MP Planta'!$A$2:$M$823,13,0),"")</f>
        <v>Und</v>
      </c>
      <c r="E29" s="96">
        <f>IFERROR(VLOOKUP(H29,'[1]Consolidado MP Planta'!$A$2:$M$823,12,0),"")</f>
        <v>0.39</v>
      </c>
      <c r="F29" s="96">
        <f t="shared" si="7"/>
        <v>0.39</v>
      </c>
      <c r="G29" s="312">
        <f t="shared" si="8"/>
        <v>7.9095745280240496E-4</v>
      </c>
      <c r="H29" s="101" t="s">
        <v>141</v>
      </c>
      <c r="I29" s="101"/>
      <c r="J29" s="313"/>
      <c r="K29" s="636"/>
      <c r="L29" s="636"/>
    </row>
    <row r="30" spans="1:12" ht="13.5" x14ac:dyDescent="0.25">
      <c r="A30" s="94">
        <v>1</v>
      </c>
      <c r="B30" s="100" t="s">
        <v>66</v>
      </c>
      <c r="C30" s="95">
        <f t="shared" si="6"/>
        <v>1</v>
      </c>
      <c r="D30" s="96" t="s">
        <v>192</v>
      </c>
      <c r="E30" s="96">
        <v>0.18</v>
      </c>
      <c r="F30" s="96">
        <f t="shared" si="7"/>
        <v>0.18</v>
      </c>
      <c r="G30" s="312">
        <f t="shared" si="8"/>
        <v>3.6505728590880229E-4</v>
      </c>
      <c r="H30" s="101" t="s">
        <v>190</v>
      </c>
      <c r="I30" s="101"/>
      <c r="J30" s="313"/>
      <c r="K30" s="636"/>
      <c r="L30" s="636"/>
    </row>
    <row r="31" spans="1:12" ht="13.5" hidden="1" x14ac:dyDescent="0.25">
      <c r="A31" s="94"/>
      <c r="B31" s="100" t="str">
        <f>IFERROR(VLOOKUP(H31,'[1]Consolidado MP Planta'!$A$2:$M$823,3,0),"")</f>
        <v/>
      </c>
      <c r="C31" s="95">
        <f t="shared" si="6"/>
        <v>0</v>
      </c>
      <c r="D31" s="96" t="str">
        <f>IFERROR(VLOOKUP(H31,'[1]Consolidado MP Planta'!$A$2:$M$823,13,0),"")</f>
        <v/>
      </c>
      <c r="E31" s="96" t="str">
        <f>IFERROR(VLOOKUP(H31,'[1]Consolidado MP Planta'!$A$2:$M$823,12,0),"")</f>
        <v/>
      </c>
      <c r="F31" s="96" t="str">
        <f t="shared" si="7"/>
        <v/>
      </c>
      <c r="G31" s="312" t="str">
        <f t="shared" si="8"/>
        <v/>
      </c>
      <c r="H31" s="101"/>
      <c r="I31" s="101"/>
      <c r="J31" s="313"/>
      <c r="K31" s="102"/>
      <c r="L31" s="103"/>
    </row>
    <row r="32" spans="1:12" ht="13.5" hidden="1" x14ac:dyDescent="0.25">
      <c r="A32" s="94"/>
      <c r="B32" s="100" t="str">
        <f>IFERROR(VLOOKUP(H32,'[1]Consolidado MP Planta'!$A$2:$M$823,3,0),"")</f>
        <v/>
      </c>
      <c r="C32" s="95">
        <f t="shared" si="6"/>
        <v>0</v>
      </c>
      <c r="D32" s="96" t="str">
        <f>IFERROR(VLOOKUP(H32,'[1]Consolidado MP Planta'!$A$2:$M$823,13,0),"")</f>
        <v/>
      </c>
      <c r="E32" s="96" t="str">
        <f>IFERROR(VLOOKUP(H32,'[1]Consolidado MP Planta'!$A$2:$M$823,12,0),"")</f>
        <v/>
      </c>
      <c r="F32" s="96" t="str">
        <f t="shared" si="7"/>
        <v/>
      </c>
      <c r="G32" s="312" t="str">
        <f t="shared" si="8"/>
        <v/>
      </c>
      <c r="H32" s="101"/>
      <c r="I32" s="101"/>
      <c r="J32" s="313"/>
    </row>
    <row r="33" spans="1:13" ht="14.25" thickBot="1" x14ac:dyDescent="0.3">
      <c r="A33" s="94"/>
      <c r="B33" s="100"/>
      <c r="C33" s="95"/>
      <c r="D33" s="96"/>
      <c r="E33" s="96"/>
      <c r="F33" s="96"/>
      <c r="G33" s="312"/>
      <c r="H33" s="101"/>
      <c r="I33" s="101"/>
      <c r="J33" s="313"/>
    </row>
    <row r="34" spans="1:13" ht="26.25" thickBot="1" x14ac:dyDescent="0.25">
      <c r="A34" s="89" t="s">
        <v>84</v>
      </c>
      <c r="B34" s="90" t="s">
        <v>92</v>
      </c>
      <c r="C34" s="90" t="s">
        <v>84</v>
      </c>
      <c r="D34" s="91" t="s">
        <v>86</v>
      </c>
      <c r="E34" s="91" t="s">
        <v>87</v>
      </c>
      <c r="F34" s="91" t="s">
        <v>88</v>
      </c>
      <c r="G34" s="91" t="s">
        <v>89</v>
      </c>
      <c r="H34" s="92" t="s">
        <v>90</v>
      </c>
      <c r="I34" s="101"/>
      <c r="J34" s="313"/>
    </row>
    <row r="35" spans="1:13" ht="13.5" x14ac:dyDescent="0.25">
      <c r="A35" s="94">
        <f>+A17</f>
        <v>160</v>
      </c>
      <c r="B35" s="100" t="s">
        <v>54</v>
      </c>
      <c r="C35" s="95">
        <f>+A35</f>
        <v>160</v>
      </c>
      <c r="D35" s="96" t="s">
        <v>188</v>
      </c>
      <c r="E35" s="96">
        <f>+'costeo brittle'!E76</f>
        <v>3.7837907200000007E-2</v>
      </c>
      <c r="F35" s="96">
        <f>IFERROR(E35*C35,"")</f>
        <v>6.0540651520000015</v>
      </c>
      <c r="G35" s="312">
        <f t="shared" ref="G35:G41" si="9">IFERROR(F35/$F$66,"")</f>
        <v>1.227822551724545E-2</v>
      </c>
      <c r="H35" s="101"/>
      <c r="I35" s="101"/>
      <c r="J35" s="313"/>
    </row>
    <row r="36" spans="1:13" ht="13.5" hidden="1" x14ac:dyDescent="0.25">
      <c r="A36" s="94">
        <f t="shared" ref="A36:A41" si="10">+A18</f>
        <v>0</v>
      </c>
      <c r="B36" s="100" t="str">
        <f>IFERROR(VLOOKUP(H36,[1]SEMIELABORADOS!$A$2:$M$6000,2,0),"")</f>
        <v/>
      </c>
      <c r="C36" s="95">
        <f t="shared" ref="C36:C41" si="11">+A36</f>
        <v>0</v>
      </c>
      <c r="D36" s="96" t="str">
        <f>IFERROR(VLOOKUP(H36,[1]SEMIELABORADOS!$A$2:$M$6000,6,0),"")</f>
        <v/>
      </c>
      <c r="E36" s="96" t="str">
        <f>IFERROR(VLOOKUP(H36,[1]SEMIELABORADOS!$A$2:$M$65536,10,0),"")</f>
        <v/>
      </c>
      <c r="F36" s="96" t="str">
        <f t="shared" ref="F36:F41" si="12">IFERROR(E36*C36,"")</f>
        <v/>
      </c>
      <c r="G36" s="312" t="str">
        <f t="shared" si="9"/>
        <v/>
      </c>
      <c r="H36" s="101"/>
      <c r="I36" s="101"/>
      <c r="J36" s="313"/>
    </row>
    <row r="37" spans="1:13" ht="13.5" hidden="1" x14ac:dyDescent="0.25">
      <c r="A37" s="94">
        <f t="shared" si="10"/>
        <v>0</v>
      </c>
      <c r="B37" s="100" t="str">
        <f>IFERROR(VLOOKUP(H37,[1]SEMIELABORADOS!$A$2:$M$6000,2,0),"")</f>
        <v/>
      </c>
      <c r="C37" s="95">
        <f t="shared" si="11"/>
        <v>0</v>
      </c>
      <c r="D37" s="96" t="str">
        <f>IFERROR(VLOOKUP(H37,[1]SEMIELABORADOS!$A$2:$M$6000,6,0),"")</f>
        <v/>
      </c>
      <c r="E37" s="96" t="str">
        <f>IFERROR(VLOOKUP(H37,[1]SEMIELABORADOS!$A$2:$M$65536,10,0),"")</f>
        <v/>
      </c>
      <c r="F37" s="96" t="str">
        <f t="shared" si="12"/>
        <v/>
      </c>
      <c r="G37" s="312" t="str">
        <f t="shared" si="9"/>
        <v/>
      </c>
      <c r="H37" s="101"/>
      <c r="I37" s="101"/>
      <c r="J37" s="313"/>
    </row>
    <row r="38" spans="1:13" ht="13.5" hidden="1" x14ac:dyDescent="0.25">
      <c r="A38" s="94">
        <f t="shared" si="10"/>
        <v>0</v>
      </c>
      <c r="B38" s="100" t="str">
        <f>IFERROR(VLOOKUP(H38,[1]SEMIELABORADOS!$A$2:$M$6000,2,0),"")</f>
        <v/>
      </c>
      <c r="C38" s="95">
        <f>+A38</f>
        <v>0</v>
      </c>
      <c r="D38" s="96" t="str">
        <f>IFERROR(VLOOKUP(H38,[1]SEMIELABORADOS!$A$2:$M$6000,6,0),"")</f>
        <v/>
      </c>
      <c r="E38" s="96" t="str">
        <f>IFERROR(VLOOKUP(H38,[1]SEMIELABORADOS!$A$2:$M$65536,10,0),"")</f>
        <v/>
      </c>
      <c r="F38" s="96" t="str">
        <f>IFERROR(E38*C38,"")</f>
        <v/>
      </c>
      <c r="G38" s="312" t="str">
        <f t="shared" si="9"/>
        <v/>
      </c>
      <c r="H38" s="101"/>
      <c r="I38" s="101"/>
      <c r="J38" s="313"/>
    </row>
    <row r="39" spans="1:13" ht="13.5" hidden="1" x14ac:dyDescent="0.25">
      <c r="A39" s="94">
        <f t="shared" si="10"/>
        <v>0</v>
      </c>
      <c r="B39" s="100" t="str">
        <f>IFERROR(VLOOKUP(H39,[1]SEMIELABORADOS!$A$2:$M$6000,2,0),"")</f>
        <v/>
      </c>
      <c r="C39" s="95">
        <f>+A39</f>
        <v>0</v>
      </c>
      <c r="D39" s="96" t="str">
        <f>IFERROR(VLOOKUP(H39,[1]SEMIELABORADOS!$A$2:$M$6000,6,0),"")</f>
        <v/>
      </c>
      <c r="E39" s="96" t="str">
        <f>IFERROR(VLOOKUP(H39,[1]SEMIELABORADOS!$A$2:$M$65536,10,0),"")</f>
        <v/>
      </c>
      <c r="F39" s="96" t="str">
        <f>IFERROR(E39*C39,"")</f>
        <v/>
      </c>
      <c r="G39" s="312" t="str">
        <f t="shared" si="9"/>
        <v/>
      </c>
      <c r="H39" s="101"/>
      <c r="I39" s="101"/>
      <c r="J39" s="313"/>
    </row>
    <row r="40" spans="1:13" ht="13.5" hidden="1" x14ac:dyDescent="0.25">
      <c r="A40" s="94">
        <f t="shared" si="10"/>
        <v>0</v>
      </c>
      <c r="B40" s="100" t="str">
        <f>IFERROR(VLOOKUP(H40,[1]SEMIELABORADOS!$A$2:$M$6000,2,0),"")</f>
        <v/>
      </c>
      <c r="C40" s="95">
        <f t="shared" si="11"/>
        <v>0</v>
      </c>
      <c r="D40" s="96" t="str">
        <f>IFERROR(VLOOKUP(H40,[1]SEMIELABORADOS!$A$2:$M$6000,6,0),"")</f>
        <v/>
      </c>
      <c r="E40" s="96" t="str">
        <f>IFERROR(VLOOKUP(H40,[1]SEMIELABORADOS!$A$2:$M$65536,10,0),"")</f>
        <v/>
      </c>
      <c r="F40" s="96" t="str">
        <f t="shared" si="12"/>
        <v/>
      </c>
      <c r="G40" s="312" t="str">
        <f t="shared" si="9"/>
        <v/>
      </c>
      <c r="H40" s="101"/>
      <c r="I40" s="101"/>
      <c r="J40" s="313"/>
    </row>
    <row r="41" spans="1:13" ht="13.5" hidden="1" x14ac:dyDescent="0.25">
      <c r="A41" s="94">
        <f t="shared" si="10"/>
        <v>0</v>
      </c>
      <c r="B41" s="100" t="str">
        <f>IFERROR(VLOOKUP(H41,[1]SEMIELABORADOS!$A$2:$M$6000,2,0),"")</f>
        <v/>
      </c>
      <c r="C41" s="95">
        <f t="shared" si="11"/>
        <v>0</v>
      </c>
      <c r="D41" s="96" t="str">
        <f>IFERROR(VLOOKUP(H41,[1]SEMIELABORADOS!$A$2:$M$6000,6,0),"")</f>
        <v/>
      </c>
      <c r="E41" s="96" t="str">
        <f>IFERROR(VLOOKUP(H41,[1]SEMIELABORADOS!$A$2:$M$65536,10,0),"")</f>
        <v/>
      </c>
      <c r="F41" s="96" t="str">
        <f t="shared" si="12"/>
        <v/>
      </c>
      <c r="G41" s="312" t="str">
        <f t="shared" si="9"/>
        <v/>
      </c>
      <c r="H41" s="101"/>
      <c r="I41" s="101"/>
      <c r="J41" s="313"/>
    </row>
    <row r="42" spans="1:13" ht="14.25" thickBot="1" x14ac:dyDescent="0.3">
      <c r="A42" s="94"/>
      <c r="B42" s="100"/>
      <c r="C42" s="95"/>
      <c r="D42" s="96"/>
      <c r="E42" s="96"/>
      <c r="F42" s="96"/>
      <c r="G42" s="312"/>
      <c r="H42" s="101"/>
      <c r="I42" s="101"/>
      <c r="J42" s="313"/>
    </row>
    <row r="43" spans="1:13" ht="26.25" thickBot="1" x14ac:dyDescent="0.25">
      <c r="A43" s="89" t="s">
        <v>84</v>
      </c>
      <c r="B43" s="90" t="s">
        <v>93</v>
      </c>
      <c r="C43" s="90" t="s">
        <v>84</v>
      </c>
      <c r="D43" s="91" t="s">
        <v>86</v>
      </c>
      <c r="E43" s="91" t="s">
        <v>87</v>
      </c>
      <c r="F43" s="91" t="s">
        <v>88</v>
      </c>
      <c r="G43" s="91" t="s">
        <v>89</v>
      </c>
      <c r="H43" s="92" t="s">
        <v>90</v>
      </c>
      <c r="I43" s="93"/>
      <c r="J43" s="313"/>
    </row>
    <row r="44" spans="1:13" ht="13.5" x14ac:dyDescent="0.25">
      <c r="A44" s="94">
        <f>+A35</f>
        <v>160</v>
      </c>
      <c r="B44" s="100" t="s">
        <v>54</v>
      </c>
      <c r="C44" s="95">
        <f>+A44</f>
        <v>160</v>
      </c>
      <c r="D44" s="96" t="s">
        <v>188</v>
      </c>
      <c r="E44" s="96">
        <f>+'costeo brittle'!E74</f>
        <v>0.56981320000000002</v>
      </c>
      <c r="F44" s="96">
        <f>IFERROR(E44*C44,"")</f>
        <v>91.170112000000003</v>
      </c>
      <c r="G44" s="312">
        <f>IFERROR(F44/$F$66,"")</f>
        <v>0.18490174245956403</v>
      </c>
      <c r="H44" s="101"/>
      <c r="I44" s="93"/>
      <c r="J44" s="313"/>
    </row>
    <row r="45" spans="1:13" ht="13.5" hidden="1" x14ac:dyDescent="0.25">
      <c r="A45" s="94">
        <f t="shared" ref="A45:A50" si="13">+A36</f>
        <v>0</v>
      </c>
      <c r="B45" s="100" t="str">
        <f>IFERROR(VLOOKUP(H45,[1]SEMIELABORADOS!$A$2:$M$6000,2,0),"")</f>
        <v/>
      </c>
      <c r="C45" s="95">
        <f t="shared" ref="C45:C50" si="14">+A45</f>
        <v>0</v>
      </c>
      <c r="D45" s="96" t="str">
        <f>IFERROR(VLOOKUP(H45,[1]SEMIELABORADOS!$A$2:$M$6000,6,0),"")</f>
        <v/>
      </c>
      <c r="E45" s="96" t="str">
        <f>IFERROR(VLOOKUP(H45,[1]SEMIELABORADOS!$A$2:$M$65536,12,0),"")</f>
        <v/>
      </c>
      <c r="F45" s="96" t="str">
        <f t="shared" ref="F45:F50" si="15">IFERROR(E45*C45,"")</f>
        <v/>
      </c>
      <c r="G45" s="312" t="str">
        <f t="shared" ref="G45:G50" si="16">IFERROR(F45/$F$66,"")</f>
        <v/>
      </c>
      <c r="H45" s="101"/>
      <c r="I45" s="93"/>
      <c r="J45" s="313"/>
      <c r="M45" s="104"/>
    </row>
    <row r="46" spans="1:13" ht="13.5" hidden="1" x14ac:dyDescent="0.25">
      <c r="A46" s="94">
        <f t="shared" si="13"/>
        <v>0</v>
      </c>
      <c r="B46" s="100" t="str">
        <f>IFERROR(VLOOKUP(H46,[1]SEMIELABORADOS!$A$2:$M$6000,2,0),"")</f>
        <v/>
      </c>
      <c r="C46" s="95">
        <f t="shared" si="14"/>
        <v>0</v>
      </c>
      <c r="D46" s="96" t="str">
        <f>IFERROR(VLOOKUP(H46,[1]SEMIELABORADOS!$A$2:$M$6000,6,0),"")</f>
        <v/>
      </c>
      <c r="E46" s="96" t="str">
        <f>IFERROR(VLOOKUP(H46,[1]SEMIELABORADOS!$A$2:$M$65536,12,0),"")</f>
        <v/>
      </c>
      <c r="F46" s="96" t="str">
        <f t="shared" si="15"/>
        <v/>
      </c>
      <c r="G46" s="312" t="str">
        <f t="shared" si="16"/>
        <v/>
      </c>
      <c r="H46" s="101"/>
      <c r="I46" s="93"/>
      <c r="J46" s="313"/>
    </row>
    <row r="47" spans="1:13" ht="13.5" hidden="1" x14ac:dyDescent="0.25">
      <c r="A47" s="94">
        <f t="shared" si="13"/>
        <v>0</v>
      </c>
      <c r="B47" s="100" t="str">
        <f>IFERROR(VLOOKUP(H47,[1]SEMIELABORADOS!$A$2:$M$6000,2,0),"")</f>
        <v/>
      </c>
      <c r="C47" s="95">
        <f t="shared" si="14"/>
        <v>0</v>
      </c>
      <c r="D47" s="96" t="str">
        <f>IFERROR(VLOOKUP(H47,[1]SEMIELABORADOS!$A$2:$M$6000,6,0),"")</f>
        <v/>
      </c>
      <c r="E47" s="96" t="str">
        <f>IFERROR(VLOOKUP(H47,[1]SEMIELABORADOS!$A$2:$M$65536,12,0),"")</f>
        <v/>
      </c>
      <c r="F47" s="96" t="str">
        <f t="shared" si="15"/>
        <v/>
      </c>
      <c r="G47" s="312" t="str">
        <f t="shared" si="16"/>
        <v/>
      </c>
      <c r="H47" s="101"/>
      <c r="I47" s="93"/>
      <c r="J47" s="313"/>
    </row>
    <row r="48" spans="1:13" ht="13.5" hidden="1" x14ac:dyDescent="0.25">
      <c r="A48" s="94">
        <f t="shared" si="13"/>
        <v>0</v>
      </c>
      <c r="B48" s="100" t="str">
        <f>IFERROR(VLOOKUP(H48,[1]SEMIELABORADOS!$A$2:$M$6000,2,0),"")</f>
        <v/>
      </c>
      <c r="C48" s="95">
        <f t="shared" si="14"/>
        <v>0</v>
      </c>
      <c r="D48" s="96" t="str">
        <f>IFERROR(VLOOKUP(H48,[1]SEMIELABORADOS!$A$2:$M$6000,6,0),"")</f>
        <v/>
      </c>
      <c r="E48" s="96" t="str">
        <f>IFERROR(VLOOKUP(H48,[1]SEMIELABORADOS!$A$2:$M$65536,12,0),"")</f>
        <v/>
      </c>
      <c r="F48" s="96" t="str">
        <f t="shared" si="15"/>
        <v/>
      </c>
      <c r="G48" s="312" t="str">
        <f t="shared" si="16"/>
        <v/>
      </c>
      <c r="H48" s="101"/>
      <c r="I48" s="93"/>
      <c r="J48" s="313"/>
    </row>
    <row r="49" spans="1:17" ht="13.5" hidden="1" x14ac:dyDescent="0.25">
      <c r="A49" s="94">
        <f t="shared" si="13"/>
        <v>0</v>
      </c>
      <c r="B49" s="100" t="str">
        <f>IFERROR(VLOOKUP(H49,[1]SEMIELABORADOS!$A$2:$M$6000,2,0),"")</f>
        <v/>
      </c>
      <c r="C49" s="95">
        <f t="shared" si="14"/>
        <v>0</v>
      </c>
      <c r="D49" s="96" t="str">
        <f>IFERROR(VLOOKUP(H49,[1]SEMIELABORADOS!$A$2:$M$6000,6,0),"")</f>
        <v/>
      </c>
      <c r="E49" s="96" t="str">
        <f>IFERROR(VLOOKUP(H49,[1]SEMIELABORADOS!$A$2:$M$65536,12,0),"")</f>
        <v/>
      </c>
      <c r="F49" s="96" t="str">
        <f t="shared" si="15"/>
        <v/>
      </c>
      <c r="G49" s="312" t="str">
        <f t="shared" si="16"/>
        <v/>
      </c>
      <c r="H49" s="101"/>
      <c r="I49" s="93"/>
      <c r="J49" s="313"/>
    </row>
    <row r="50" spans="1:17" ht="13.5" hidden="1" x14ac:dyDescent="0.25">
      <c r="A50" s="94">
        <f t="shared" si="13"/>
        <v>0</v>
      </c>
      <c r="B50" s="100" t="str">
        <f>IFERROR(VLOOKUP(H50,[1]SEMIELABORADOS!$A$2:$M$6000,2,0),"")</f>
        <v/>
      </c>
      <c r="C50" s="95">
        <f t="shared" si="14"/>
        <v>0</v>
      </c>
      <c r="D50" s="96" t="str">
        <f>IFERROR(VLOOKUP(H50,[1]SEMIELABORADOS!$A$2:$M$6000,6,0),"")</f>
        <v/>
      </c>
      <c r="E50" s="96" t="str">
        <f>IFERROR(VLOOKUP(H50,[1]SEMIELABORADOS!$A$2:$M$65536,12,0),"")</f>
        <v/>
      </c>
      <c r="F50" s="96" t="str">
        <f t="shared" si="15"/>
        <v/>
      </c>
      <c r="G50" s="312" t="str">
        <f t="shared" si="16"/>
        <v/>
      </c>
      <c r="H50" s="100"/>
      <c r="I50" s="93"/>
      <c r="J50" s="313"/>
    </row>
    <row r="51" spans="1:17" ht="13.5" x14ac:dyDescent="0.25">
      <c r="A51" s="94">
        <v>1</v>
      </c>
      <c r="B51" s="100" t="s">
        <v>94</v>
      </c>
      <c r="C51" s="95">
        <f>+A51</f>
        <v>1</v>
      </c>
      <c r="D51" s="95" t="s">
        <v>95</v>
      </c>
      <c r="E51" s="96">
        <f>+F65</f>
        <v>27.5</v>
      </c>
      <c r="F51" s="96">
        <f>IFERROR(C51*E51,"")</f>
        <v>27.5</v>
      </c>
      <c r="G51" s="312">
        <f>IFERROR(F51/$F$66,"")</f>
        <v>5.5772640902733678E-2</v>
      </c>
      <c r="H51" s="105"/>
      <c r="I51" s="105"/>
      <c r="J51" s="313"/>
    </row>
    <row r="52" spans="1:17" ht="14.25" thickBot="1" x14ac:dyDescent="0.3">
      <c r="A52" s="94"/>
      <c r="B52" s="100"/>
      <c r="C52" s="95"/>
      <c r="D52" s="95"/>
      <c r="E52" s="96"/>
      <c r="F52" s="96"/>
      <c r="G52" s="312"/>
      <c r="H52" s="105"/>
      <c r="I52" s="105"/>
      <c r="J52" s="313"/>
    </row>
    <row r="53" spans="1:17" ht="13.5" thickBot="1" x14ac:dyDescent="0.25">
      <c r="A53" s="106"/>
      <c r="B53" s="634" t="s">
        <v>96</v>
      </c>
      <c r="C53" s="634"/>
      <c r="D53" s="634"/>
      <c r="E53" s="634"/>
      <c r="F53" s="108">
        <f>SUM(F8:F14,F17:F24)</f>
        <v>442.5188559428571</v>
      </c>
      <c r="G53" s="312">
        <f>+F53/$F$66</f>
        <v>0.89747073618870932</v>
      </c>
      <c r="H53" s="109">
        <f>+F53/$D$60</f>
        <v>442.5188559428571</v>
      </c>
      <c r="I53" s="109"/>
      <c r="J53" s="314"/>
      <c r="K53" s="111"/>
      <c r="L53" s="111"/>
      <c r="M53" s="111"/>
      <c r="N53" s="111"/>
      <c r="O53" s="111"/>
      <c r="P53" s="111"/>
      <c r="Q53" s="112"/>
    </row>
    <row r="54" spans="1:17" x14ac:dyDescent="0.2">
      <c r="A54" s="106"/>
      <c r="B54" s="634" t="s">
        <v>97</v>
      </c>
      <c r="C54" s="634"/>
      <c r="D54" s="634"/>
      <c r="E54" s="634"/>
      <c r="F54" s="108">
        <f>SUM(F27:F32,F35:F41)</f>
        <v>14.204065152000002</v>
      </c>
      <c r="G54" s="312">
        <f>+F54/$F$66</f>
        <v>2.8807208184782888E-2</v>
      </c>
      <c r="H54" s="109">
        <f>+F54/$D$60</f>
        <v>14.204065152000002</v>
      </c>
      <c r="I54" s="109"/>
      <c r="J54" s="113"/>
      <c r="K54" s="637" t="s">
        <v>98</v>
      </c>
      <c r="L54" s="638"/>
      <c r="M54" s="638"/>
      <c r="N54" s="638"/>
      <c r="O54" s="114">
        <f>+F55</f>
        <v>456.7229210948571</v>
      </c>
      <c r="P54" s="114"/>
      <c r="Q54" s="115"/>
    </row>
    <row r="55" spans="1:17" x14ac:dyDescent="0.2">
      <c r="A55" s="106"/>
      <c r="B55" s="634" t="s">
        <v>99</v>
      </c>
      <c r="C55" s="634"/>
      <c r="D55" s="634"/>
      <c r="E55" s="634"/>
      <c r="F55" s="108">
        <f>+F53+F54</f>
        <v>456.7229210948571</v>
      </c>
      <c r="G55" s="312">
        <f>+F55/$F$66</f>
        <v>0.9262779443734922</v>
      </c>
      <c r="H55" s="109">
        <f>+F55/$D$60</f>
        <v>456.7229210948571</v>
      </c>
      <c r="I55" s="109"/>
      <c r="J55" s="315"/>
      <c r="K55" s="117"/>
      <c r="L55" s="629" t="s">
        <v>100</v>
      </c>
      <c r="M55" s="629"/>
      <c r="N55" s="629"/>
      <c r="O55" s="114">
        <v>127.84</v>
      </c>
      <c r="P55" s="114"/>
      <c r="Q55" s="115"/>
    </row>
    <row r="56" spans="1:17" ht="13.5" thickBot="1" x14ac:dyDescent="0.25">
      <c r="A56" s="106"/>
      <c r="B56" s="107"/>
      <c r="C56" s="634" t="s">
        <v>101</v>
      </c>
      <c r="D56" s="634"/>
      <c r="E56" s="634"/>
      <c r="F56" s="108">
        <f>SUM(F44:F51)</f>
        <v>118.670112</v>
      </c>
      <c r="G56" s="312">
        <f>+F56/$F$66</f>
        <v>0.24067438336229771</v>
      </c>
      <c r="H56" s="109">
        <f>+F56/$D$60</f>
        <v>118.670112</v>
      </c>
      <c r="I56" s="109"/>
      <c r="J56" s="315"/>
      <c r="K56" s="117"/>
      <c r="L56" s="117"/>
      <c r="M56" s="117" t="s">
        <v>102</v>
      </c>
      <c r="N56" s="316"/>
      <c r="O56" s="114">
        <f>O54*N56</f>
        <v>0</v>
      </c>
      <c r="P56" s="114"/>
      <c r="Q56" s="115"/>
    </row>
    <row r="57" spans="1:17" ht="13.5" thickBot="1" x14ac:dyDescent="0.25">
      <c r="A57" s="106"/>
      <c r="B57" s="119"/>
      <c r="C57" s="119"/>
      <c r="D57" s="119"/>
      <c r="E57" s="119"/>
      <c r="F57" s="120"/>
      <c r="G57" s="312"/>
      <c r="H57" s="121"/>
      <c r="I57" s="109"/>
      <c r="J57" s="315"/>
      <c r="K57" s="122"/>
      <c r="M57" s="123" t="s">
        <v>103</v>
      </c>
      <c r="N57" s="124"/>
      <c r="O57" s="125">
        <f>SUM(O54:O56)</f>
        <v>584.56292109485707</v>
      </c>
      <c r="P57" s="126"/>
      <c r="Q57" s="115"/>
    </row>
    <row r="58" spans="1:17" x14ac:dyDescent="0.2">
      <c r="B58" s="635" t="s">
        <v>104</v>
      </c>
      <c r="C58" s="635"/>
      <c r="D58" s="127">
        <v>160</v>
      </c>
      <c r="E58" s="128"/>
      <c r="G58" s="312"/>
      <c r="H58" s="121"/>
      <c r="I58" s="129"/>
      <c r="J58" s="315"/>
      <c r="K58" s="122"/>
      <c r="L58" s="117"/>
      <c r="M58" s="117" t="s">
        <v>180</v>
      </c>
      <c r="N58" s="317"/>
      <c r="O58" s="114">
        <v>107.34</v>
      </c>
      <c r="P58" s="114"/>
      <c r="Q58" s="115"/>
    </row>
    <row r="59" spans="1:17" x14ac:dyDescent="0.2">
      <c r="B59" s="635" t="s">
        <v>106</v>
      </c>
      <c r="C59" s="635"/>
      <c r="D59" s="131">
        <v>160</v>
      </c>
      <c r="E59" s="128"/>
      <c r="G59" s="312"/>
      <c r="H59" s="121"/>
      <c r="I59" s="129"/>
      <c r="J59" s="315"/>
      <c r="K59" s="122"/>
      <c r="L59" s="117"/>
      <c r="M59" s="629" t="s">
        <v>103</v>
      </c>
      <c r="N59" s="629"/>
      <c r="O59" s="114">
        <f>SUM(O57:O58)</f>
        <v>691.90292109485711</v>
      </c>
      <c r="P59" s="114"/>
      <c r="Q59" s="115"/>
    </row>
    <row r="60" spans="1:17" ht="13.5" thickBot="1" x14ac:dyDescent="0.25">
      <c r="B60" s="628" t="s">
        <v>107</v>
      </c>
      <c r="C60" s="628"/>
      <c r="D60" s="127">
        <f>+D58/D59</f>
        <v>1</v>
      </c>
      <c r="E60" s="128"/>
      <c r="F60" s="132"/>
      <c r="G60" s="312"/>
      <c r="H60" s="121"/>
      <c r="I60" s="129"/>
      <c r="J60" s="315"/>
      <c r="K60" s="122"/>
      <c r="L60" s="629" t="s">
        <v>108</v>
      </c>
      <c r="M60" s="629"/>
      <c r="N60" s="317"/>
      <c r="O60" s="114">
        <f>+O59*N60</f>
        <v>0</v>
      </c>
      <c r="P60" s="114"/>
      <c r="Q60" s="115"/>
    </row>
    <row r="61" spans="1:17" ht="13.5" thickBot="1" x14ac:dyDescent="0.25">
      <c r="B61" s="628" t="s">
        <v>109</v>
      </c>
      <c r="C61" s="628"/>
      <c r="D61" s="133"/>
      <c r="E61" s="128"/>
      <c r="F61" s="132"/>
      <c r="G61" s="312"/>
      <c r="H61" s="121"/>
      <c r="I61" s="129"/>
      <c r="J61" s="315"/>
      <c r="K61" s="630" t="s">
        <v>110</v>
      </c>
      <c r="L61" s="631"/>
      <c r="M61" s="631"/>
      <c r="N61" s="632"/>
      <c r="O61" s="125">
        <f>SUM(O59:O60)</f>
        <v>691.90292109485711</v>
      </c>
      <c r="P61" s="134" t="s">
        <v>111</v>
      </c>
      <c r="Q61" s="115"/>
    </row>
    <row r="62" spans="1:17" ht="13.5" thickBot="1" x14ac:dyDescent="0.25">
      <c r="C62" s="106" t="s">
        <v>112</v>
      </c>
      <c r="D62" s="135"/>
      <c r="E62" s="80" t="s">
        <v>113</v>
      </c>
      <c r="F62" s="136" t="s">
        <v>114</v>
      </c>
      <c r="G62" s="312"/>
      <c r="H62" s="121"/>
      <c r="I62" s="129"/>
      <c r="J62" s="137"/>
      <c r="K62" s="138"/>
      <c r="L62" s="689" t="s">
        <v>115</v>
      </c>
      <c r="M62" s="689"/>
      <c r="N62" s="689"/>
      <c r="O62" s="318">
        <f>+O61/D60</f>
        <v>691.90292109485711</v>
      </c>
      <c r="P62" s="140">
        <f>+O62/D59</f>
        <v>4.3243932568428569</v>
      </c>
      <c r="Q62" s="141"/>
    </row>
    <row r="63" spans="1:17" ht="13.5" thickBot="1" x14ac:dyDescent="0.25">
      <c r="B63" s="613" t="s">
        <v>99</v>
      </c>
      <c r="C63" s="613"/>
      <c r="D63" s="613"/>
      <c r="E63" s="319">
        <f>+F63/F63</f>
        <v>1</v>
      </c>
      <c r="F63" s="143">
        <f>SUM(F55)</f>
        <v>456.7229210948571</v>
      </c>
      <c r="G63" s="312">
        <f>+F63/$F$66</f>
        <v>0.9262779443734922</v>
      </c>
      <c r="H63" s="121"/>
      <c r="I63" s="129"/>
      <c r="K63" s="614"/>
      <c r="L63" s="615"/>
      <c r="M63" s="615"/>
      <c r="N63" s="615"/>
      <c r="O63" s="144"/>
      <c r="P63" s="145"/>
    </row>
    <row r="64" spans="1:17" ht="13.5" thickBot="1" x14ac:dyDescent="0.25">
      <c r="B64" s="616" t="s">
        <v>116</v>
      </c>
      <c r="C64" s="616"/>
      <c r="D64" s="616"/>
      <c r="E64" s="146">
        <v>0.02</v>
      </c>
      <c r="F64" s="143">
        <f>+F53*E64</f>
        <v>8.8503771188571427</v>
      </c>
      <c r="G64" s="312">
        <f>+F64/$F$66</f>
        <v>1.7949414723774187E-2</v>
      </c>
      <c r="H64" s="109"/>
      <c r="I64" s="129"/>
      <c r="J64" s="320"/>
      <c r="O64" s="148"/>
      <c r="P64" s="107"/>
    </row>
    <row r="65" spans="2:10" ht="13.5" thickBot="1" x14ac:dyDescent="0.25">
      <c r="B65" s="618" t="s">
        <v>117</v>
      </c>
      <c r="C65" s="619"/>
      <c r="D65" s="149">
        <v>0.5</v>
      </c>
      <c r="E65" s="150">
        <v>55</v>
      </c>
      <c r="F65" s="143">
        <f>+E65*D65</f>
        <v>27.5</v>
      </c>
      <c r="G65" s="312">
        <f>+F65/$F$66</f>
        <v>5.5772640902733678E-2</v>
      </c>
      <c r="H65" s="109"/>
      <c r="I65" s="109"/>
      <c r="J65" s="313"/>
    </row>
    <row r="66" spans="2:10" ht="13.5" thickBot="1" x14ac:dyDescent="0.25">
      <c r="B66" s="620" t="s">
        <v>118</v>
      </c>
      <c r="C66" s="621"/>
      <c r="D66" s="621"/>
      <c r="E66" s="622"/>
      <c r="F66" s="120">
        <f>SUM(F63:F65)</f>
        <v>493.07329821371422</v>
      </c>
      <c r="G66" s="312">
        <f>+F66/$F$66</f>
        <v>1</v>
      </c>
      <c r="H66" s="623"/>
      <c r="I66" s="109"/>
      <c r="J66" s="313"/>
    </row>
    <row r="67" spans="2:10" x14ac:dyDescent="0.2">
      <c r="C67" s="104"/>
      <c r="D67" s="104"/>
      <c r="E67" s="152"/>
      <c r="F67" s="143"/>
      <c r="G67" s="312"/>
      <c r="H67" s="623"/>
      <c r="I67" s="151"/>
      <c r="J67" s="82"/>
    </row>
    <row r="68" spans="2:10" ht="13.5" thickBot="1" x14ac:dyDescent="0.25">
      <c r="B68" s="624" t="s">
        <v>119</v>
      </c>
      <c r="C68" s="624"/>
      <c r="D68" s="624"/>
      <c r="E68" s="624"/>
      <c r="F68" s="624"/>
      <c r="G68" s="312"/>
      <c r="H68" s="154"/>
      <c r="I68" s="151"/>
      <c r="J68" s="82"/>
    </row>
    <row r="69" spans="2:10" ht="13.5" thickBot="1" x14ac:dyDescent="0.25">
      <c r="B69" s="155" t="s">
        <v>120</v>
      </c>
      <c r="C69" s="156">
        <f>+F53</f>
        <v>442.5188559428571</v>
      </c>
      <c r="D69" s="156">
        <f>+D58</f>
        <v>160</v>
      </c>
      <c r="E69" s="157">
        <f>+C69/D69</f>
        <v>2.7657428496428569</v>
      </c>
      <c r="F69" s="312"/>
      <c r="G69" s="154"/>
      <c r="H69" s="313"/>
      <c r="I69" s="154"/>
      <c r="J69" s="82"/>
    </row>
    <row r="70" spans="2:10" x14ac:dyDescent="0.2">
      <c r="B70" s="158"/>
      <c r="C70" s="159"/>
      <c r="D70" s="160"/>
      <c r="E70" s="143"/>
      <c r="F70" s="312"/>
      <c r="G70" s="154"/>
      <c r="H70" s="313"/>
      <c r="I70" s="313"/>
      <c r="J70" s="82"/>
    </row>
    <row r="71" spans="2:10" x14ac:dyDescent="0.2">
      <c r="B71" s="155" t="s">
        <v>121</v>
      </c>
      <c r="C71" s="156">
        <f>SUM(F63:F64)</f>
        <v>465.57329821371422</v>
      </c>
      <c r="D71" s="156">
        <f>+D58</f>
        <v>160</v>
      </c>
      <c r="E71" s="161">
        <f>+C71/D71</f>
        <v>2.9098331138357141</v>
      </c>
      <c r="F71" s="312"/>
      <c r="G71" s="154"/>
      <c r="H71" s="313"/>
      <c r="I71" s="313"/>
      <c r="J71" s="82"/>
    </row>
    <row r="72" spans="2:10" x14ac:dyDescent="0.2">
      <c r="B72" s="155"/>
      <c r="C72" s="156"/>
      <c r="D72" s="156"/>
      <c r="E72" s="161"/>
      <c r="F72" s="312"/>
      <c r="G72" s="154"/>
      <c r="H72" s="313"/>
      <c r="I72" s="313"/>
      <c r="J72" s="82"/>
    </row>
    <row r="73" spans="2:10" ht="13.5" thickBot="1" x14ac:dyDescent="0.25">
      <c r="B73" s="155" t="s">
        <v>122</v>
      </c>
      <c r="C73" s="156">
        <f>+F65</f>
        <v>27.5</v>
      </c>
      <c r="D73" s="156">
        <f>+D58</f>
        <v>160</v>
      </c>
      <c r="E73" s="161">
        <f>+C73/D73</f>
        <v>0.171875</v>
      </c>
      <c r="F73" s="312"/>
      <c r="G73" s="154"/>
      <c r="H73" s="313"/>
      <c r="I73" s="313"/>
      <c r="J73" s="82"/>
    </row>
    <row r="74" spans="2:10" ht="13.5" thickBot="1" x14ac:dyDescent="0.25">
      <c r="B74" s="155" t="s">
        <v>123</v>
      </c>
      <c r="C74" s="156">
        <f>+F56</f>
        <v>118.670112</v>
      </c>
      <c r="D74" s="156">
        <f>+D73</f>
        <v>160</v>
      </c>
      <c r="E74" s="157">
        <f>+C74/D74</f>
        <v>0.74168820000000002</v>
      </c>
      <c r="F74" s="312"/>
      <c r="G74" s="154"/>
      <c r="H74" s="313"/>
      <c r="I74" s="313"/>
      <c r="J74" s="82"/>
    </row>
    <row r="75" spans="2:10" ht="13.5" thickBot="1" x14ac:dyDescent="0.25">
      <c r="B75" s="119"/>
      <c r="C75" s="120"/>
      <c r="D75" s="120"/>
      <c r="E75" s="161"/>
      <c r="F75" s="312"/>
      <c r="G75" s="154"/>
      <c r="H75" s="313"/>
      <c r="I75" s="313"/>
      <c r="J75" s="82"/>
    </row>
    <row r="76" spans="2:10" ht="13.5" thickBot="1" x14ac:dyDescent="0.25">
      <c r="B76" s="155" t="s">
        <v>124</v>
      </c>
      <c r="C76" s="156">
        <f>+F54</f>
        <v>14.204065152000002</v>
      </c>
      <c r="D76" s="156">
        <f>+D74</f>
        <v>160</v>
      </c>
      <c r="E76" s="157">
        <f>+C76/D76</f>
        <v>8.8775407200000017E-2</v>
      </c>
      <c r="F76" s="312"/>
      <c r="G76" s="154"/>
      <c r="H76" s="313"/>
      <c r="I76" s="313"/>
      <c r="J76" s="313"/>
    </row>
    <row r="77" spans="2:10" ht="13.5" thickBot="1" x14ac:dyDescent="0.25">
      <c r="B77" s="119"/>
      <c r="C77" s="120"/>
      <c r="D77" s="120"/>
      <c r="E77" s="161"/>
      <c r="F77" s="312"/>
      <c r="G77" s="154"/>
      <c r="H77" s="313"/>
      <c r="I77" s="313"/>
    </row>
    <row r="78" spans="2:10" ht="13.5" thickBot="1" x14ac:dyDescent="0.25">
      <c r="B78" s="625" t="s">
        <v>125</v>
      </c>
      <c r="C78" s="626"/>
      <c r="D78" s="627"/>
      <c r="E78" s="157">
        <f>+E69+E74</f>
        <v>3.5074310496428569</v>
      </c>
      <c r="G78" s="312"/>
      <c r="H78" s="154"/>
      <c r="I78" s="313"/>
      <c r="J78" s="161"/>
    </row>
    <row r="79" spans="2:10" x14ac:dyDescent="0.2">
      <c r="I79" s="154"/>
      <c r="J79" s="82"/>
    </row>
    <row r="80" spans="2:10" ht="13.5" thickBot="1" x14ac:dyDescent="0.25">
      <c r="B80" s="624" t="s">
        <v>126</v>
      </c>
      <c r="C80" s="624"/>
      <c r="D80" s="624"/>
      <c r="E80" s="624"/>
      <c r="F80" s="624"/>
      <c r="G80" s="312"/>
      <c r="H80" s="154"/>
      <c r="J80" s="82"/>
    </row>
    <row r="81" spans="1:10" ht="13.5" thickBot="1" x14ac:dyDescent="0.25">
      <c r="B81" s="155" t="s">
        <v>120</v>
      </c>
      <c r="C81" s="156">
        <f>+C69</f>
        <v>442.5188559428571</v>
      </c>
      <c r="D81" s="156">
        <f>+D60</f>
        <v>1</v>
      </c>
      <c r="E81" s="157">
        <f>+C81/D81</f>
        <v>442.5188559428571</v>
      </c>
      <c r="F81" s="312"/>
      <c r="G81" s="154"/>
      <c r="H81" s="313"/>
      <c r="I81" s="154"/>
      <c r="J81" s="82"/>
    </row>
    <row r="82" spans="1:10" x14ac:dyDescent="0.2">
      <c r="B82" s="158"/>
      <c r="C82" s="159"/>
      <c r="D82" s="160"/>
      <c r="E82" s="143"/>
      <c r="F82" s="312"/>
      <c r="G82" s="154"/>
      <c r="H82" s="313"/>
      <c r="I82" s="313"/>
      <c r="J82" s="82"/>
    </row>
    <row r="83" spans="1:10" x14ac:dyDescent="0.2">
      <c r="B83" s="155" t="s">
        <v>121</v>
      </c>
      <c r="C83" s="156">
        <f>+C71</f>
        <v>465.57329821371422</v>
      </c>
      <c r="D83" s="156">
        <f>+D60</f>
        <v>1</v>
      </c>
      <c r="E83" s="161">
        <f>+C83/D83</f>
        <v>465.57329821371422</v>
      </c>
      <c r="F83" s="312"/>
      <c r="G83" s="154"/>
      <c r="H83" s="313"/>
      <c r="I83" s="313"/>
      <c r="J83" s="82"/>
    </row>
    <row r="84" spans="1:10" x14ac:dyDescent="0.2">
      <c r="B84" s="155"/>
      <c r="C84" s="156"/>
      <c r="D84" s="156"/>
      <c r="E84" s="161"/>
      <c r="F84" s="312"/>
      <c r="G84" s="154"/>
      <c r="H84" s="313"/>
      <c r="I84" s="313"/>
      <c r="J84" s="82"/>
    </row>
    <row r="85" spans="1:10" ht="13.5" thickBot="1" x14ac:dyDescent="0.25">
      <c r="B85" s="155" t="s">
        <v>123</v>
      </c>
      <c r="C85" s="156">
        <f>+C73</f>
        <v>27.5</v>
      </c>
      <c r="D85" s="156">
        <f>+D60</f>
        <v>1</v>
      </c>
      <c r="E85" s="161">
        <f>+C85/D85</f>
        <v>27.5</v>
      </c>
      <c r="F85" s="163"/>
      <c r="G85" s="153"/>
      <c r="H85" s="81"/>
      <c r="I85" s="313"/>
    </row>
    <row r="86" spans="1:10" ht="13.5" thickBot="1" x14ac:dyDescent="0.25">
      <c r="B86" s="155" t="s">
        <v>123</v>
      </c>
      <c r="C86" s="156">
        <f>+C74</f>
        <v>118.670112</v>
      </c>
      <c r="D86" s="156">
        <f>+D85</f>
        <v>1</v>
      </c>
      <c r="E86" s="157">
        <f>+C86/D86</f>
        <v>118.670112</v>
      </c>
      <c r="F86" s="321"/>
      <c r="G86" s="153"/>
      <c r="H86" s="81"/>
      <c r="I86" s="81"/>
    </row>
    <row r="87" spans="1:10" x14ac:dyDescent="0.2">
      <c r="I87" s="81"/>
    </row>
    <row r="88" spans="1:10" x14ac:dyDescent="0.2">
      <c r="A88" s="617"/>
      <c r="B88" s="617"/>
      <c r="C88" s="164"/>
      <c r="D88" s="164"/>
      <c r="E88" s="165"/>
      <c r="G88" s="322"/>
    </row>
    <row r="89" spans="1:10" x14ac:dyDescent="0.2">
      <c r="A89" s="100"/>
      <c r="B89" s="167"/>
      <c r="C89" s="168"/>
      <c r="D89" s="168"/>
      <c r="E89" s="169"/>
      <c r="G89" s="322"/>
    </row>
    <row r="90" spans="1:10" x14ac:dyDescent="0.2">
      <c r="A90" s="100"/>
      <c r="B90" s="167"/>
      <c r="C90" s="170"/>
      <c r="D90" s="170"/>
      <c r="E90" s="100"/>
      <c r="G90" s="322"/>
    </row>
    <row r="91" spans="1:10" x14ac:dyDescent="0.2">
      <c r="A91" s="100"/>
      <c r="B91" s="167"/>
      <c r="C91" s="171"/>
      <c r="D91" s="171"/>
      <c r="E91" s="100"/>
      <c r="G91" s="322"/>
    </row>
  </sheetData>
  <mergeCells count="31">
    <mergeCell ref="A88:B88"/>
    <mergeCell ref="B65:C65"/>
    <mergeCell ref="B66:E66"/>
    <mergeCell ref="H66:H67"/>
    <mergeCell ref="B68:F68"/>
    <mergeCell ref="B78:D78"/>
    <mergeCell ref="B80:F80"/>
    <mergeCell ref="B64:D64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K30:L30"/>
    <mergeCell ref="B53:E53"/>
    <mergeCell ref="B54:E54"/>
    <mergeCell ref="K54:N54"/>
    <mergeCell ref="B55:E55"/>
    <mergeCell ref="L55:N55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0413-3C4E-4F1B-A218-162B0BC8123B}">
  <dimension ref="A1:L45"/>
  <sheetViews>
    <sheetView topLeftCell="A7" workbookViewId="0">
      <selection activeCell="B17" sqref="B17"/>
    </sheetView>
  </sheetViews>
  <sheetFormatPr baseColWidth="10" defaultRowHeight="12.75" x14ac:dyDescent="0.2"/>
  <cols>
    <col min="2" max="2" width="50.5703125" customWidth="1"/>
  </cols>
  <sheetData>
    <row r="1" spans="1:8" ht="18" x14ac:dyDescent="0.25">
      <c r="A1" s="649"/>
      <c r="B1" s="652" t="s">
        <v>22</v>
      </c>
      <c r="C1" s="652"/>
      <c r="D1" s="652"/>
      <c r="E1" s="652"/>
      <c r="F1" s="652"/>
      <c r="G1" s="1" t="s">
        <v>21</v>
      </c>
      <c r="H1" s="2"/>
    </row>
    <row r="2" spans="1:8" ht="18" x14ac:dyDescent="0.25">
      <c r="A2" s="650"/>
      <c r="B2" s="653" t="s">
        <v>0</v>
      </c>
      <c r="C2" s="653"/>
      <c r="D2" s="653"/>
      <c r="E2" s="653"/>
      <c r="F2" s="653"/>
      <c r="G2" s="4" t="s">
        <v>20</v>
      </c>
      <c r="H2" s="5"/>
    </row>
    <row r="3" spans="1:8" ht="15" x14ac:dyDescent="0.2">
      <c r="A3" s="650"/>
      <c r="B3" s="654" t="s">
        <v>77</v>
      </c>
      <c r="C3" s="654"/>
      <c r="D3" s="654"/>
      <c r="E3" s="654"/>
      <c r="F3" s="654"/>
      <c r="G3" s="655" t="s">
        <v>19</v>
      </c>
      <c r="H3" s="644"/>
    </row>
    <row r="4" spans="1:8" x14ac:dyDescent="0.2">
      <c r="A4" s="650"/>
      <c r="B4" t="s">
        <v>18</v>
      </c>
      <c r="C4" s="646" t="s">
        <v>35</v>
      </c>
      <c r="D4" s="646"/>
      <c r="E4" s="646"/>
      <c r="F4" s="646"/>
      <c r="G4" s="655"/>
      <c r="H4" s="644"/>
    </row>
    <row r="5" spans="1:8" ht="13.5" thickBot="1" x14ac:dyDescent="0.25">
      <c r="A5" s="651"/>
      <c r="B5" t="s">
        <v>17</v>
      </c>
      <c r="C5" s="647" t="s">
        <v>34</v>
      </c>
      <c r="D5" s="647"/>
      <c r="E5" s="647"/>
      <c r="F5" s="647"/>
      <c r="G5" s="656"/>
      <c r="H5" s="645"/>
    </row>
    <row r="6" spans="1:8" x14ac:dyDescent="0.2">
      <c r="A6" s="25"/>
      <c r="B6" s="26"/>
      <c r="C6" s="27"/>
      <c r="D6" s="27"/>
      <c r="E6" s="27"/>
      <c r="F6" s="27"/>
    </row>
    <row r="7" spans="1:8" ht="18.75" thickBot="1" x14ac:dyDescent="0.3">
      <c r="A7" s="555" t="s">
        <v>23</v>
      </c>
      <c r="B7" s="555"/>
      <c r="C7" s="556" t="s">
        <v>175</v>
      </c>
      <c r="D7" s="556"/>
      <c r="E7" s="556"/>
      <c r="F7" s="557" t="s">
        <v>24</v>
      </c>
      <c r="G7" s="557"/>
      <c r="H7" s="33" t="s">
        <v>175</v>
      </c>
    </row>
    <row r="8" spans="1:8" ht="25.5" x14ac:dyDescent="0.2">
      <c r="A8" s="712" t="s">
        <v>1</v>
      </c>
      <c r="B8" s="714" t="s">
        <v>2</v>
      </c>
      <c r="C8" s="714" t="s">
        <v>3</v>
      </c>
      <c r="D8" s="714" t="s">
        <v>4</v>
      </c>
      <c r="E8" s="714"/>
      <c r="F8" s="714" t="s">
        <v>16</v>
      </c>
      <c r="G8" s="714"/>
      <c r="H8" s="6" t="s">
        <v>5</v>
      </c>
    </row>
    <row r="9" spans="1:8" ht="26.25" thickBot="1" x14ac:dyDescent="0.25">
      <c r="A9" s="713"/>
      <c r="B9" s="715"/>
      <c r="C9" s="715"/>
      <c r="D9" s="7" t="s">
        <v>6</v>
      </c>
      <c r="E9" s="8" t="s">
        <v>7</v>
      </c>
      <c r="F9" s="7" t="s">
        <v>6</v>
      </c>
      <c r="G9" s="8" t="s">
        <v>7</v>
      </c>
      <c r="H9" t="s">
        <v>8</v>
      </c>
    </row>
    <row r="10" spans="1:8" ht="15.75" x14ac:dyDescent="0.25">
      <c r="A10" s="268" t="s">
        <v>36</v>
      </c>
      <c r="B10" s="269" t="s">
        <v>37</v>
      </c>
      <c r="C10" s="62" t="s">
        <v>29</v>
      </c>
      <c r="D10" s="62">
        <v>200</v>
      </c>
      <c r="E10" s="62" t="s">
        <v>30</v>
      </c>
      <c r="F10" s="63"/>
      <c r="G10" s="64"/>
      <c r="H10" s="65"/>
    </row>
    <row r="11" spans="1:8" ht="15" x14ac:dyDescent="0.2">
      <c r="A11" s="270" t="s">
        <v>38</v>
      </c>
      <c r="B11" s="271" t="s">
        <v>39</v>
      </c>
      <c r="C11" s="272" t="s">
        <v>29</v>
      </c>
      <c r="D11" s="272">
        <v>300</v>
      </c>
      <c r="E11" s="55" t="s">
        <v>30</v>
      </c>
      <c r="F11" s="39"/>
      <c r="G11" s="38"/>
      <c r="H11" s="48"/>
    </row>
    <row r="12" spans="1:8" ht="15.75" x14ac:dyDescent="0.25">
      <c r="A12" s="275">
        <v>410154</v>
      </c>
      <c r="B12" s="276" t="s">
        <v>47</v>
      </c>
      <c r="C12" s="277" t="s">
        <v>48</v>
      </c>
      <c r="D12" s="278">
        <v>120</v>
      </c>
      <c r="E12" s="49" t="s">
        <v>30</v>
      </c>
      <c r="F12" s="690"/>
      <c r="G12" s="690"/>
      <c r="H12" s="691"/>
    </row>
    <row r="13" spans="1:8" ht="15" x14ac:dyDescent="0.2">
      <c r="A13" s="270" t="s">
        <v>38</v>
      </c>
      <c r="B13" s="271" t="s">
        <v>39</v>
      </c>
      <c r="C13" s="272" t="s">
        <v>29</v>
      </c>
      <c r="D13" s="272">
        <v>300</v>
      </c>
      <c r="E13" s="55" t="s">
        <v>30</v>
      </c>
      <c r="F13" s="39"/>
      <c r="G13" s="38"/>
      <c r="H13" s="48"/>
    </row>
    <row r="14" spans="1:8" ht="15" x14ac:dyDescent="0.2">
      <c r="A14" s="69"/>
      <c r="B14" s="70" t="s">
        <v>51</v>
      </c>
      <c r="C14" s="55"/>
      <c r="D14" s="55"/>
      <c r="E14" s="55"/>
      <c r="F14" s="39"/>
      <c r="G14" s="38"/>
      <c r="H14" s="48"/>
    </row>
    <row r="15" spans="1:8" ht="15" x14ac:dyDescent="0.2">
      <c r="A15" s="281" t="s">
        <v>49</v>
      </c>
      <c r="B15" s="282" t="s">
        <v>50</v>
      </c>
      <c r="C15" s="283" t="s">
        <v>29</v>
      </c>
      <c r="D15" s="283">
        <v>90</v>
      </c>
      <c r="E15" s="46" t="s">
        <v>30</v>
      </c>
      <c r="F15" s="690" t="s">
        <v>176</v>
      </c>
      <c r="G15" s="690"/>
      <c r="H15" s="691"/>
    </row>
    <row r="16" spans="1:8" ht="15" x14ac:dyDescent="0.2">
      <c r="A16" s="260"/>
      <c r="B16" s="286"/>
      <c r="C16" s="287"/>
      <c r="D16" s="287"/>
      <c r="E16" s="46" t="s">
        <v>30</v>
      </c>
      <c r="F16" s="690" t="s">
        <v>177</v>
      </c>
      <c r="G16" s="690"/>
      <c r="H16" s="691"/>
    </row>
    <row r="17" spans="1:12" ht="15" x14ac:dyDescent="0.2">
      <c r="A17" s="261"/>
      <c r="B17" s="267" t="s">
        <v>178</v>
      </c>
      <c r="C17" s="46" t="s">
        <v>61</v>
      </c>
      <c r="D17" s="46">
        <v>1</v>
      </c>
      <c r="E17" s="46" t="s">
        <v>31</v>
      </c>
      <c r="F17" s="39"/>
      <c r="G17" s="38"/>
      <c r="H17" s="48"/>
    </row>
    <row r="18" spans="1:12" ht="15.75" x14ac:dyDescent="0.25">
      <c r="A18" s="66" t="s">
        <v>40</v>
      </c>
      <c r="B18" s="59" t="s">
        <v>41</v>
      </c>
      <c r="C18" s="49" t="s">
        <v>62</v>
      </c>
      <c r="D18" s="58">
        <v>20</v>
      </c>
      <c r="E18" s="49" t="s">
        <v>30</v>
      </c>
      <c r="F18" s="690" t="s">
        <v>42</v>
      </c>
      <c r="G18" s="690"/>
      <c r="H18" s="691"/>
    </row>
    <row r="19" spans="1:12" ht="15.75" x14ac:dyDescent="0.25">
      <c r="A19" s="260"/>
      <c r="B19" s="259" t="s">
        <v>25</v>
      </c>
      <c r="C19" s="46"/>
      <c r="D19" s="46"/>
      <c r="E19" s="46"/>
      <c r="F19" s="39"/>
      <c r="G19" s="38"/>
      <c r="H19" s="48"/>
    </row>
    <row r="20" spans="1:12" ht="15" x14ac:dyDescent="0.2">
      <c r="A20" s="261">
        <v>702182</v>
      </c>
      <c r="B20" s="76" t="s">
        <v>69</v>
      </c>
      <c r="C20" s="46" t="s">
        <v>70</v>
      </c>
      <c r="D20" s="46">
        <v>1</v>
      </c>
      <c r="E20" s="46" t="s">
        <v>31</v>
      </c>
      <c r="F20" s="39"/>
      <c r="G20" s="38"/>
      <c r="H20" s="48"/>
    </row>
    <row r="21" spans="1:12" ht="15" x14ac:dyDescent="0.2">
      <c r="A21" s="261">
        <v>703020</v>
      </c>
      <c r="B21" s="76" t="s">
        <v>67</v>
      </c>
      <c r="C21" s="46" t="s">
        <v>70</v>
      </c>
      <c r="D21" s="46">
        <v>60</v>
      </c>
      <c r="E21" s="46" t="s">
        <v>68</v>
      </c>
      <c r="F21" s="40"/>
      <c r="G21" s="52"/>
      <c r="H21" s="51"/>
    </row>
    <row r="22" spans="1:12" ht="15.75" x14ac:dyDescent="0.25">
      <c r="A22" s="54">
        <v>1950693</v>
      </c>
      <c r="B22" s="53" t="s">
        <v>43</v>
      </c>
      <c r="C22" s="49" t="s">
        <v>44</v>
      </c>
      <c r="D22" s="49">
        <v>1</v>
      </c>
      <c r="E22" s="49" t="s">
        <v>31</v>
      </c>
      <c r="F22" s="40"/>
      <c r="G22" s="52"/>
      <c r="H22" s="51"/>
    </row>
    <row r="23" spans="1:12" ht="15.75" x14ac:dyDescent="0.25">
      <c r="A23" s="261">
        <v>51400021</v>
      </c>
      <c r="B23" s="76" t="s">
        <v>63</v>
      </c>
      <c r="C23" s="49" t="s">
        <v>45</v>
      </c>
      <c r="D23" s="49">
        <v>1</v>
      </c>
      <c r="E23" s="49" t="s">
        <v>31</v>
      </c>
      <c r="F23" s="40"/>
      <c r="G23" s="52"/>
      <c r="H23" s="51"/>
    </row>
    <row r="24" spans="1:12" ht="15.75" x14ac:dyDescent="0.25">
      <c r="A24" s="261">
        <v>702123</v>
      </c>
      <c r="B24" s="76" t="s">
        <v>64</v>
      </c>
      <c r="C24" s="49" t="s">
        <v>46</v>
      </c>
      <c r="D24" s="49">
        <v>1</v>
      </c>
      <c r="E24" s="49" t="s">
        <v>31</v>
      </c>
      <c r="F24" s="39"/>
      <c r="G24" s="38"/>
      <c r="H24" s="48"/>
    </row>
    <row r="25" spans="1:12" ht="15.75" x14ac:dyDescent="0.25">
      <c r="A25" s="261">
        <v>701096</v>
      </c>
      <c r="B25" s="76" t="s">
        <v>65</v>
      </c>
      <c r="C25" s="49" t="s">
        <v>46</v>
      </c>
      <c r="D25" s="49">
        <v>1</v>
      </c>
      <c r="E25" s="49" t="s">
        <v>31</v>
      </c>
      <c r="F25" s="39"/>
      <c r="G25" s="38"/>
      <c r="H25" s="48"/>
    </row>
    <row r="26" spans="1:12" ht="15" x14ac:dyDescent="0.2">
      <c r="A26" s="261">
        <v>702007</v>
      </c>
      <c r="B26" s="76" t="s">
        <v>66</v>
      </c>
      <c r="C26" s="47" t="s">
        <v>71</v>
      </c>
      <c r="D26" s="46">
        <v>1</v>
      </c>
      <c r="E26" s="46" t="s">
        <v>31</v>
      </c>
      <c r="F26" s="39"/>
      <c r="G26" s="38"/>
      <c r="H26" s="41"/>
    </row>
    <row r="27" spans="1:12" ht="15" thickBot="1" x14ac:dyDescent="0.25">
      <c r="A27" s="262"/>
      <c r="B27" s="263"/>
      <c r="C27" s="264"/>
      <c r="D27" s="265"/>
      <c r="E27" s="265"/>
      <c r="F27" s="265"/>
      <c r="G27" s="265"/>
      <c r="H27" s="266"/>
      <c r="K27" s="11"/>
    </row>
    <row r="28" spans="1:12" ht="13.5" thickBot="1" x14ac:dyDescent="0.25">
      <c r="A28" s="12"/>
      <c r="B28" s="13"/>
      <c r="C28" s="14" t="s">
        <v>6</v>
      </c>
      <c r="D28" s="15" t="s">
        <v>15</v>
      </c>
      <c r="E28" s="16"/>
      <c r="F28" s="13"/>
      <c r="G28" s="13"/>
      <c r="H28" s="17"/>
      <c r="K28" s="11"/>
    </row>
    <row r="29" spans="1:12" x14ac:dyDescent="0.2">
      <c r="A29" s="707" t="s">
        <v>10</v>
      </c>
      <c r="B29" s="708"/>
      <c r="C29" s="18">
        <v>950</v>
      </c>
      <c r="D29" s="19" t="s">
        <v>30</v>
      </c>
      <c r="E29" s="709"/>
      <c r="F29" s="709"/>
      <c r="G29" s="710"/>
      <c r="H29" s="711"/>
      <c r="K29" s="11"/>
    </row>
    <row r="30" spans="1:12" x14ac:dyDescent="0.2">
      <c r="A30" s="700" t="s">
        <v>9</v>
      </c>
      <c r="B30" s="701"/>
      <c r="C30" s="20">
        <v>5</v>
      </c>
      <c r="D30" s="10" t="s">
        <v>32</v>
      </c>
      <c r="E30" s="702"/>
      <c r="F30" s="702"/>
      <c r="G30" s="703"/>
      <c r="H30" s="704"/>
      <c r="K30" s="11"/>
    </row>
    <row r="31" spans="1:12" x14ac:dyDescent="0.2">
      <c r="A31" s="700" t="s">
        <v>14</v>
      </c>
      <c r="B31" s="701"/>
      <c r="C31" s="10">
        <v>1</v>
      </c>
      <c r="D31" s="10" t="s">
        <v>31</v>
      </c>
      <c r="E31" s="702"/>
      <c r="F31" s="702"/>
      <c r="G31" s="703"/>
      <c r="H31" s="704"/>
      <c r="K31" s="11"/>
    </row>
    <row r="32" spans="1:12" x14ac:dyDescent="0.2">
      <c r="A32" s="700" t="s">
        <v>13</v>
      </c>
      <c r="B32" s="701"/>
      <c r="C32" s="9">
        <v>950</v>
      </c>
      <c r="D32" s="10" t="s">
        <v>30</v>
      </c>
      <c r="E32" s="705"/>
      <c r="F32" s="706"/>
      <c r="G32" s="703"/>
      <c r="H32" s="704"/>
      <c r="K32" s="11"/>
      <c r="L32" s="21"/>
    </row>
    <row r="33" spans="1:12" ht="13.5" thickBot="1" x14ac:dyDescent="0.25">
      <c r="A33" s="692" t="s">
        <v>12</v>
      </c>
      <c r="B33" s="693"/>
      <c r="C33" s="22">
        <v>191</v>
      </c>
      <c r="D33" s="23" t="s">
        <v>30</v>
      </c>
      <c r="E33" s="694"/>
      <c r="F33" s="694"/>
      <c r="G33" s="695"/>
      <c r="H33" s="696"/>
      <c r="I33" s="3"/>
      <c r="J33" s="3"/>
      <c r="K33" s="11"/>
      <c r="L33" s="3"/>
    </row>
    <row r="34" spans="1:12" ht="13.5" thickBot="1" x14ac:dyDescent="0.25">
      <c r="A34" s="697" t="s">
        <v>11</v>
      </c>
      <c r="B34" s="698"/>
      <c r="C34" s="698"/>
      <c r="D34" s="698"/>
      <c r="E34" s="698"/>
      <c r="F34" s="698"/>
      <c r="G34" s="698"/>
      <c r="H34" s="699"/>
    </row>
    <row r="35" spans="1:12" ht="15" x14ac:dyDescent="0.2">
      <c r="A35" s="686" t="s">
        <v>72</v>
      </c>
      <c r="B35" s="687"/>
      <c r="C35" s="687"/>
      <c r="D35" s="687"/>
      <c r="E35" s="687"/>
      <c r="F35" s="687"/>
      <c r="G35" s="687"/>
      <c r="H35" s="688"/>
    </row>
    <row r="36" spans="1:12" ht="15" x14ac:dyDescent="0.25">
      <c r="A36" s="677" t="s">
        <v>74</v>
      </c>
      <c r="B36" s="678"/>
      <c r="C36" s="678"/>
      <c r="D36" s="678"/>
      <c r="E36" s="678"/>
      <c r="F36" s="678"/>
      <c r="G36" s="678"/>
      <c r="H36" s="679"/>
    </row>
    <row r="37" spans="1:12" ht="15" x14ac:dyDescent="0.25">
      <c r="A37" s="677" t="s">
        <v>73</v>
      </c>
      <c r="B37" s="678"/>
      <c r="C37" s="678"/>
      <c r="D37" s="678"/>
      <c r="E37" s="678"/>
      <c r="F37" s="678"/>
      <c r="G37" s="678"/>
      <c r="H37" s="679"/>
    </row>
    <row r="38" spans="1:12" ht="15" x14ac:dyDescent="0.25">
      <c r="A38" s="677" t="s">
        <v>179</v>
      </c>
      <c r="B38" s="678"/>
      <c r="C38" s="678"/>
      <c r="D38" s="678"/>
      <c r="E38" s="678"/>
      <c r="F38" s="678"/>
      <c r="G38" s="678"/>
      <c r="H38" s="679"/>
    </row>
    <row r="39" spans="1:12" ht="15" x14ac:dyDescent="0.25">
      <c r="A39" s="677" t="s">
        <v>76</v>
      </c>
      <c r="B39" s="678"/>
      <c r="C39" s="678"/>
      <c r="D39" s="678"/>
      <c r="E39" s="678"/>
      <c r="F39" s="678"/>
      <c r="G39" s="678"/>
      <c r="H39" s="679"/>
    </row>
    <row r="40" spans="1:12" ht="15" x14ac:dyDescent="0.25">
      <c r="A40" s="677"/>
      <c r="B40" s="678"/>
      <c r="C40" s="678"/>
      <c r="D40" s="678"/>
      <c r="E40" s="678"/>
      <c r="F40" s="678"/>
      <c r="G40" s="678"/>
      <c r="H40" s="679"/>
    </row>
    <row r="41" spans="1:12" ht="14.25" x14ac:dyDescent="0.2">
      <c r="A41" s="610"/>
      <c r="B41" s="611"/>
      <c r="C41" s="611"/>
      <c r="D41" s="611"/>
      <c r="E41" s="611"/>
      <c r="F41" s="611"/>
      <c r="G41" s="611"/>
      <c r="H41" s="612"/>
    </row>
    <row r="42" spans="1:12" ht="14.25" x14ac:dyDescent="0.2">
      <c r="A42" s="610"/>
      <c r="B42" s="611"/>
      <c r="C42" s="611"/>
      <c r="D42" s="611"/>
      <c r="E42" s="611"/>
      <c r="F42" s="611"/>
      <c r="G42" s="611"/>
      <c r="H42" s="612"/>
    </row>
    <row r="43" spans="1:12" ht="15" thickBot="1" x14ac:dyDescent="0.25">
      <c r="A43" s="680"/>
      <c r="B43" s="681"/>
      <c r="C43" s="681"/>
      <c r="D43" s="681"/>
      <c r="E43" s="681"/>
      <c r="F43" s="681"/>
      <c r="G43" s="681"/>
      <c r="H43" s="682"/>
    </row>
    <row r="45" spans="1:12" x14ac:dyDescent="0.2">
      <c r="A45" s="24"/>
      <c r="B45" s="24"/>
    </row>
  </sheetData>
  <mergeCells count="45"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29:B29"/>
    <mergeCell ref="E29:F29"/>
    <mergeCell ref="G29:H29"/>
    <mergeCell ref="A30:B30"/>
    <mergeCell ref="E30:F30"/>
    <mergeCell ref="G30:H30"/>
    <mergeCell ref="A34:H34"/>
    <mergeCell ref="A31:B31"/>
    <mergeCell ref="E31:F31"/>
    <mergeCell ref="G31:H31"/>
    <mergeCell ref="A32:B32"/>
    <mergeCell ref="E32:F32"/>
    <mergeCell ref="G32:H32"/>
    <mergeCell ref="A43:H43"/>
    <mergeCell ref="F12:H12"/>
    <mergeCell ref="F18:H18"/>
    <mergeCell ref="F15:H15"/>
    <mergeCell ref="F16:H16"/>
    <mergeCell ref="A35:H35"/>
    <mergeCell ref="A36:H36"/>
    <mergeCell ref="A37:H37"/>
    <mergeCell ref="A38:H38"/>
    <mergeCell ref="A39:H39"/>
    <mergeCell ref="A40:H40"/>
    <mergeCell ref="A41:H41"/>
    <mergeCell ref="A42:H42"/>
    <mergeCell ref="A33:B33"/>
    <mergeCell ref="E33:F33"/>
    <mergeCell ref="G33:H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8DEC-F0BD-4F09-9817-899A0B52061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897F-5598-4700-8756-CB7ABFB87432}">
  <dimension ref="A1:Q96"/>
  <sheetViews>
    <sheetView topLeftCell="A27" workbookViewId="0">
      <selection activeCell="O69" sqref="O69"/>
    </sheetView>
  </sheetViews>
  <sheetFormatPr baseColWidth="10" defaultColWidth="8.42578125" defaultRowHeight="12.75" x14ac:dyDescent="0.2"/>
  <cols>
    <col min="1" max="1" width="10" style="82" bestFit="1" customWidth="1"/>
    <col min="2" max="2" width="44.28515625" style="82" bestFit="1" customWidth="1"/>
    <col min="3" max="3" width="10.42578125" style="82" bestFit="1" customWidth="1"/>
    <col min="4" max="4" width="10.42578125" style="82" customWidth="1"/>
    <col min="5" max="5" width="9.7109375" style="82" bestFit="1" customWidth="1"/>
    <col min="6" max="6" width="9.5703125" style="82" bestFit="1" customWidth="1"/>
    <col min="7" max="7" width="9.5703125" style="162" bestFit="1" customWidth="1"/>
    <col min="8" max="8" width="10.42578125" style="153" bestFit="1" customWidth="1"/>
    <col min="9" max="9" width="4.5703125" style="153" customWidth="1"/>
    <col min="10" max="10" width="1.7109375" style="81" customWidth="1"/>
    <col min="11" max="11" width="7" style="82" bestFit="1" customWidth="1"/>
    <col min="12" max="12" width="6.28515625" style="82" customWidth="1"/>
    <col min="13" max="13" width="20.42578125" style="82" customWidth="1"/>
    <col min="14" max="14" width="6.42578125" style="82" bestFit="1" customWidth="1"/>
    <col min="15" max="15" width="9" style="82" bestFit="1" customWidth="1"/>
    <col min="16" max="16" width="8.42578125" style="82"/>
    <col min="17" max="17" width="3.28515625" style="82" customWidth="1"/>
    <col min="18" max="16384" width="8.42578125" style="82"/>
  </cols>
  <sheetData>
    <row r="1" spans="1:10" ht="27.75" customHeight="1" x14ac:dyDescent="0.2">
      <c r="A1" s="77"/>
      <c r="B1" s="77"/>
      <c r="C1" s="77"/>
      <c r="D1" s="77"/>
      <c r="E1" s="78" t="s">
        <v>78</v>
      </c>
      <c r="F1" s="79" t="s">
        <v>79</v>
      </c>
      <c r="G1" s="79" t="s">
        <v>80</v>
      </c>
      <c r="H1" s="79" t="s">
        <v>81</v>
      </c>
      <c r="I1" s="80"/>
    </row>
    <row r="2" spans="1:10" ht="30.75" customHeight="1" x14ac:dyDescent="0.2">
      <c r="A2" s="77"/>
      <c r="B2" s="77"/>
      <c r="C2" s="77"/>
      <c r="D2" s="77"/>
      <c r="E2" s="83">
        <f>IFERROR(O67,"")</f>
        <v>3912.1697224069026</v>
      </c>
      <c r="F2" s="83">
        <f>IFERROR(H58,"")</f>
        <v>2227.3038333149607</v>
      </c>
      <c r="G2" s="83">
        <f>IFERROR(H59,"")</f>
        <v>393.79409614585961</v>
      </c>
      <c r="H2" s="83">
        <f>IFERROR(H61,"")</f>
        <v>386.06711952102637</v>
      </c>
      <c r="I2" s="84"/>
    </row>
    <row r="3" spans="1:10" ht="15" customHeight="1" x14ac:dyDescent="0.2">
      <c r="A3" s="77"/>
      <c r="B3" s="77"/>
      <c r="C3" s="77"/>
      <c r="D3" s="77"/>
      <c r="E3" s="77"/>
      <c r="F3" s="85"/>
      <c r="G3" s="85"/>
      <c r="H3" s="85"/>
      <c r="I3" s="85"/>
    </row>
    <row r="4" spans="1:10" ht="24.75" customHeight="1" thickBot="1" x14ac:dyDescent="0.25">
      <c r="A4" s="639"/>
      <c r="B4" s="639"/>
      <c r="C4" s="639"/>
      <c r="D4" s="639"/>
      <c r="E4" s="639"/>
      <c r="F4" s="639"/>
      <c r="G4" s="639"/>
      <c r="H4" s="639"/>
      <c r="I4" s="86"/>
    </row>
    <row r="5" spans="1:10" ht="19.5" customHeight="1" thickBot="1" x14ac:dyDescent="0.25">
      <c r="A5" s="640" t="s">
        <v>82</v>
      </c>
      <c r="B5" s="641"/>
      <c r="C5" s="641"/>
      <c r="D5" s="641"/>
      <c r="E5" s="641"/>
      <c r="F5" s="641"/>
      <c r="G5" s="641"/>
      <c r="H5" s="642"/>
      <c r="I5" s="87"/>
    </row>
    <row r="6" spans="1:10" ht="19.5" thickBot="1" x14ac:dyDescent="0.25">
      <c r="A6" s="87"/>
      <c r="B6" s="87"/>
      <c r="C6" s="87"/>
      <c r="D6" s="87"/>
      <c r="E6" s="87"/>
      <c r="F6" s="643" t="s">
        <v>83</v>
      </c>
      <c r="G6" s="643"/>
      <c r="H6" s="88">
        <f ca="1">TODAY()</f>
        <v>45783</v>
      </c>
      <c r="I6" s="88"/>
    </row>
    <row r="7" spans="1:10" ht="26.25" thickBot="1" x14ac:dyDescent="0.25">
      <c r="A7" s="89" t="s">
        <v>84</v>
      </c>
      <c r="B7" s="90" t="s">
        <v>85</v>
      </c>
      <c r="C7" s="90" t="s">
        <v>84</v>
      </c>
      <c r="D7" s="91" t="s">
        <v>86</v>
      </c>
      <c r="E7" s="91" t="s">
        <v>87</v>
      </c>
      <c r="F7" s="91" t="s">
        <v>88</v>
      </c>
      <c r="G7" s="91" t="s">
        <v>89</v>
      </c>
      <c r="H7" s="92" t="s">
        <v>90</v>
      </c>
      <c r="I7" s="93"/>
    </row>
    <row r="8" spans="1:10" ht="13.5" x14ac:dyDescent="0.25">
      <c r="A8" s="279">
        <v>120</v>
      </c>
      <c r="B8" s="280" t="str">
        <f>IFERROR(VLOOKUP(H8,'[1]Consolidado MP Planta'!$A$2:$M$823,3,0),"")</f>
        <v>RELLENO CARAMELO KILO</v>
      </c>
      <c r="C8" s="95">
        <f>+A8</f>
        <v>120</v>
      </c>
      <c r="D8" s="96" t="str">
        <f>IFERROR(VLOOKUP(H8,'[1]Consolidado MP Planta'!$A$2:$M$823,13,0),"")</f>
        <v>Gramos</v>
      </c>
      <c r="E8" s="96">
        <f>IFERROR(VLOOKUP(H8,'[1]Consolidado MP Planta'!$A$2:$M$823,12,0),"")</f>
        <v>3.335</v>
      </c>
      <c r="F8" s="96">
        <f>IFERROR(C8*E8,"")</f>
        <v>400.2</v>
      </c>
      <c r="G8" s="97">
        <f t="shared" ref="G8:G14" si="0">IFERROR(F8/$F$71,"")</f>
        <v>0.13609263792765941</v>
      </c>
      <c r="H8" s="98" t="s">
        <v>133</v>
      </c>
      <c r="I8" s="98"/>
      <c r="J8" s="99"/>
    </row>
    <row r="9" spans="1:10" ht="13.5" hidden="1" x14ac:dyDescent="0.25">
      <c r="A9" s="94"/>
      <c r="B9" s="82" t="str">
        <f>IFERROR(VLOOKUP(H9,'[1]Consolidado MP Planta'!$A$2:$M$823,3,0),"")</f>
        <v>CHOCOLATE CORAZON ROJO PASION (CAJA:200)</v>
      </c>
      <c r="C9" s="95">
        <f t="shared" ref="C9:C14" si="1">+A9</f>
        <v>0</v>
      </c>
      <c r="D9" s="96" t="str">
        <f>IFERROR(VLOOKUP(H9,'[1]Consolidado MP Planta'!$A$2:$M$823,13,0),"")</f>
        <v>Und</v>
      </c>
      <c r="E9" s="96">
        <f>IFERROR(VLOOKUP(H9,'[1]Consolidado MP Planta'!$A$2:$M$823,12,0),"")</f>
        <v>38.25</v>
      </c>
      <c r="F9" s="96">
        <f t="shared" ref="F9:F14" si="2">IFERROR(C9*E9,"")</f>
        <v>0</v>
      </c>
      <c r="G9" s="97">
        <f t="shared" si="0"/>
        <v>0</v>
      </c>
      <c r="H9" s="98" t="s">
        <v>136</v>
      </c>
      <c r="I9" s="98"/>
      <c r="J9" s="99"/>
    </row>
    <row r="10" spans="1:10" ht="13.5" x14ac:dyDescent="0.25">
      <c r="A10" s="94">
        <v>20</v>
      </c>
      <c r="B10" s="82" t="str">
        <f>IFERROR(VLOOKUP(H10,'[1]Consolidado MP Planta'!$A$2:$M$823,3,0),"")</f>
        <v>MANJAR LECHE CONDENSADA (PAQ: 4.5 K)</v>
      </c>
      <c r="C10" s="95">
        <f t="shared" si="1"/>
        <v>20</v>
      </c>
      <c r="D10" s="96" t="str">
        <f>IFERROR(VLOOKUP(H10,'[1]Consolidado MP Planta'!$A$2:$M$823,13,0),"")</f>
        <v>Gramos</v>
      </c>
      <c r="E10" s="96">
        <f>IFERROR(VLOOKUP(H10,'[1]Consolidado MP Planta'!$A$2:$M$823,12,0),"")</f>
        <v>2.1419999999999999</v>
      </c>
      <c r="F10" s="96">
        <f t="shared" si="2"/>
        <v>42.839999999999996</v>
      </c>
      <c r="G10" s="97">
        <f t="shared" si="0"/>
        <v>1.4568237403350648E-2</v>
      </c>
      <c r="H10" s="98" t="s">
        <v>40</v>
      </c>
      <c r="I10" s="98"/>
      <c r="J10" s="99"/>
    </row>
    <row r="11" spans="1:10" ht="13.5" hidden="1" x14ac:dyDescent="0.25">
      <c r="A11" s="94"/>
      <c r="B11" s="82" t="str">
        <f>IFERROR(VLOOKUP(H11,'[1]Consolidado MP Planta'!$A$2:$M$823,3,0),"")</f>
        <v/>
      </c>
      <c r="C11" s="95">
        <f t="shared" si="1"/>
        <v>0</v>
      </c>
      <c r="D11" s="96" t="str">
        <f>IFERROR(VLOOKUP(H11,'[1]Consolidado MP Planta'!$A$2:$M$823,13,0),"")</f>
        <v/>
      </c>
      <c r="E11" s="96" t="str">
        <f>IFERROR(VLOOKUP(H11,'[1]Consolidado MP Planta'!$A$2:$M$823,12,0),"")</f>
        <v/>
      </c>
      <c r="F11" s="96" t="str">
        <f t="shared" si="2"/>
        <v/>
      </c>
      <c r="G11" s="97" t="str">
        <f t="shared" si="0"/>
        <v/>
      </c>
      <c r="H11" s="98"/>
      <c r="I11" s="98"/>
      <c r="J11" s="99"/>
    </row>
    <row r="12" spans="1:10" ht="13.5" hidden="1" x14ac:dyDescent="0.25">
      <c r="A12" s="94"/>
      <c r="B12" s="82" t="str">
        <f>IFERROR(VLOOKUP(H12,'[1]Consolidado MP Planta'!$A$2:$M$823,3,0),"")</f>
        <v/>
      </c>
      <c r="C12" s="95">
        <f t="shared" si="1"/>
        <v>0</v>
      </c>
      <c r="D12" s="96" t="str">
        <f>IFERROR(VLOOKUP(H12,'[1]Consolidado MP Planta'!$A$2:$M$823,13,0),"")</f>
        <v/>
      </c>
      <c r="E12" s="96" t="str">
        <f>IFERROR(VLOOKUP(H12,'[1]Consolidado MP Planta'!$A$2:$M$823,12,0),"")</f>
        <v/>
      </c>
      <c r="F12" s="96" t="str">
        <f t="shared" si="2"/>
        <v/>
      </c>
      <c r="G12" s="97" t="str">
        <f t="shared" si="0"/>
        <v/>
      </c>
      <c r="H12" s="98"/>
      <c r="I12" s="98"/>
      <c r="J12" s="99"/>
    </row>
    <row r="13" spans="1:10" ht="13.5" hidden="1" x14ac:dyDescent="0.25">
      <c r="A13" s="94"/>
      <c r="B13" s="82" t="str">
        <f>IFERROR(VLOOKUP(H13,'[1]Consolidado MP Planta'!$A$2:$M$823,3,0),"")</f>
        <v/>
      </c>
      <c r="C13" s="95">
        <f t="shared" si="1"/>
        <v>0</v>
      </c>
      <c r="D13" s="96" t="str">
        <f>IFERROR(VLOOKUP(H13,'[1]Consolidado MP Planta'!$A$2:$M$823,13,0),"")</f>
        <v/>
      </c>
      <c r="E13" s="96" t="str">
        <f>IFERROR(VLOOKUP(H13,'[1]Consolidado MP Planta'!$A$2:$M$823,12,0),"")</f>
        <v/>
      </c>
      <c r="F13" s="96" t="str">
        <f t="shared" si="2"/>
        <v/>
      </c>
      <c r="G13" s="97" t="str">
        <f t="shared" si="0"/>
        <v/>
      </c>
      <c r="H13" s="98"/>
      <c r="I13" s="98"/>
      <c r="J13" s="99"/>
    </row>
    <row r="14" spans="1:10" ht="13.5" hidden="1" x14ac:dyDescent="0.25">
      <c r="A14" s="94"/>
      <c r="B14" s="82" t="str">
        <f>IFERROR(VLOOKUP(H14,'[1]Consolidado MP Planta'!$A$2:$M$823,3,0),"")</f>
        <v/>
      </c>
      <c r="C14" s="95">
        <f t="shared" si="1"/>
        <v>0</v>
      </c>
      <c r="D14" s="96" t="str">
        <f>IFERROR(VLOOKUP(H14,'[1]Consolidado MP Planta'!$A$2:$M$823,13,0),"")</f>
        <v/>
      </c>
      <c r="E14" s="96" t="str">
        <f>IFERROR(VLOOKUP(H14,'[1]Consolidado MP Planta'!$A$2:$M$823,12,0),"")</f>
        <v/>
      </c>
      <c r="F14" s="96" t="str">
        <f t="shared" si="2"/>
        <v/>
      </c>
      <c r="G14" s="97" t="str">
        <f t="shared" si="0"/>
        <v/>
      </c>
      <c r="H14" s="98"/>
      <c r="I14" s="98"/>
      <c r="J14" s="99"/>
    </row>
    <row r="15" spans="1:10" ht="14.25" thickBot="1" x14ac:dyDescent="0.3">
      <c r="A15" s="94"/>
      <c r="B15" s="82" t="str">
        <f>IFERROR(VLOOKUP(H15,'[2]ARTICULOS MP PLANTA'!$A$2:$G$589,2,0),"")</f>
        <v/>
      </c>
      <c r="C15" s="95"/>
      <c r="D15" s="96"/>
      <c r="E15" s="96"/>
      <c r="F15" s="96"/>
      <c r="G15" s="97"/>
      <c r="H15" s="98"/>
      <c r="I15" s="98"/>
      <c r="J15" s="99"/>
    </row>
    <row r="16" spans="1:10" ht="26.25" thickBot="1" x14ac:dyDescent="0.25">
      <c r="A16" s="89" t="s">
        <v>84</v>
      </c>
      <c r="B16" s="90" t="s">
        <v>91</v>
      </c>
      <c r="C16" s="90" t="s">
        <v>84</v>
      </c>
      <c r="D16" s="91" t="s">
        <v>86</v>
      </c>
      <c r="E16" s="91" t="s">
        <v>87</v>
      </c>
      <c r="F16" s="91" t="s">
        <v>88</v>
      </c>
      <c r="G16" s="91" t="s">
        <v>89</v>
      </c>
      <c r="H16" s="92" t="s">
        <v>90</v>
      </c>
      <c r="I16" s="93"/>
      <c r="J16" s="99"/>
    </row>
    <row r="17" spans="1:12" ht="13.5" x14ac:dyDescent="0.25">
      <c r="A17" s="257">
        <v>200</v>
      </c>
      <c r="B17" s="258" t="str">
        <f>IFERROR(VLOOKUP(H17,[1]SEMIELABORADOS!$A$2:$M$6000,2,0),"")</f>
        <v>BASE GALLETA P/CHEESE CAKE (KILO)</v>
      </c>
      <c r="C17" s="95">
        <f>+A17</f>
        <v>200</v>
      </c>
      <c r="D17" s="95" t="str">
        <f>IFERROR(VLOOKUP(H17,[1]SEMIELABORADOS!$A$2:$M$6000,6,0),"")</f>
        <v>Gramo</v>
      </c>
      <c r="E17" s="96">
        <f>IFERROR(VLOOKUP(H17,[1]SEMIELABORADOS!$A$2:$H$65536,8,0),"")</f>
        <v>2.0071032502888664</v>
      </c>
      <c r="F17" s="96">
        <f>IFERROR(E17*C17,"")</f>
        <v>401.42065005777329</v>
      </c>
      <c r="G17" s="97">
        <f t="shared" ref="G17:G24" si="3">IFERROR(F17/$F$71,"")</f>
        <v>0.13650773409544784</v>
      </c>
      <c r="H17" s="98" t="s">
        <v>36</v>
      </c>
      <c r="I17" s="98"/>
      <c r="J17" s="99"/>
    </row>
    <row r="18" spans="1:12" ht="13.5" x14ac:dyDescent="0.25">
      <c r="A18" s="273">
        <v>600</v>
      </c>
      <c r="B18" s="274" t="str">
        <f>IFERROR(VLOOKUP(H18,[1]SEMIELABORADOS!$A$2:$M$6000,2,0),"")</f>
        <v>RELLENO CHEESECAKE KILO</v>
      </c>
      <c r="C18" s="95">
        <f t="shared" ref="C18:C24" si="4">+A18</f>
        <v>600</v>
      </c>
      <c r="D18" s="95" t="str">
        <f>IFERROR(VLOOKUP(H18,[1]SEMIELABORADOS!$A$2:$M$6000,6,0),"")</f>
        <v>Gramo</v>
      </c>
      <c r="E18" s="96">
        <f>IFERROR(VLOOKUP(H18,[1]SEMIELABORADOS!$A$2:$H$65536,8,0),"")</f>
        <v>1.8699122498730898</v>
      </c>
      <c r="F18" s="96">
        <f t="shared" ref="F18:F24" si="5">IFERROR(E18*C18,"")</f>
        <v>1121.9473499238538</v>
      </c>
      <c r="G18" s="97">
        <f t="shared" si="3"/>
        <v>0.38153117058241892</v>
      </c>
      <c r="H18" s="98" t="s">
        <v>38</v>
      </c>
      <c r="I18" s="98"/>
      <c r="J18" s="99"/>
    </row>
    <row r="19" spans="1:12" ht="13.5" x14ac:dyDescent="0.25">
      <c r="A19" s="284">
        <v>90</v>
      </c>
      <c r="B19" s="285" t="s">
        <v>50</v>
      </c>
      <c r="C19" s="95">
        <f>+A19</f>
        <v>90</v>
      </c>
      <c r="D19" s="95" t="s">
        <v>134</v>
      </c>
      <c r="E19" s="96">
        <f>+'[3]COSTEO GANACHE'!$E$69</f>
        <v>2.8988425925925929</v>
      </c>
      <c r="F19" s="96">
        <f>IFERROR(E19*C19,"")</f>
        <v>260.89583333333337</v>
      </c>
      <c r="G19" s="97">
        <f t="shared" si="3"/>
        <v>8.8720645134103743E-2</v>
      </c>
      <c r="H19" s="98" t="s">
        <v>49</v>
      </c>
      <c r="I19" s="98"/>
      <c r="J19" s="99"/>
    </row>
    <row r="20" spans="1:12" ht="13.5" hidden="1" x14ac:dyDescent="0.25">
      <c r="A20" s="94">
        <v>0</v>
      </c>
      <c r="B20" s="82" t="str">
        <f>IFERROR(VLOOKUP(H20,[1]SEMIELABORADOS!$A$2:$M$6000,2,0),"")</f>
        <v>CREMA DULCE LECHE KILO</v>
      </c>
      <c r="C20" s="95">
        <f>+A20</f>
        <v>0</v>
      </c>
      <c r="D20" s="95" t="str">
        <f>IFERROR(VLOOKUP(H20,[1]SEMIELABORADOS!$A$2:$M$6000,6,0),"")</f>
        <v>Gramo</v>
      </c>
      <c r="E20" s="96">
        <f>IFERROR(VLOOKUP(H20,[1]SEMIELABORADOS!$A$2:$H$65536,8,0),"")</f>
        <v>1.9863913208163264</v>
      </c>
      <c r="F20" s="96">
        <f>IFERROR(E20*C20,"")</f>
        <v>0</v>
      </c>
      <c r="G20" s="97">
        <f t="shared" si="3"/>
        <v>0</v>
      </c>
      <c r="H20" s="98" t="s">
        <v>135</v>
      </c>
      <c r="I20" s="98"/>
      <c r="J20" s="99"/>
    </row>
    <row r="21" spans="1:12" ht="13.5" x14ac:dyDescent="0.25">
      <c r="A21" s="288"/>
      <c r="B21" s="289"/>
      <c r="C21" s="95"/>
      <c r="D21" s="95"/>
      <c r="E21" s="96"/>
      <c r="F21" s="96"/>
      <c r="G21" s="97"/>
      <c r="H21" s="98"/>
      <c r="I21" s="98"/>
      <c r="J21" s="99"/>
    </row>
    <row r="22" spans="1:12" ht="13.5" hidden="1" x14ac:dyDescent="0.25">
      <c r="A22" s="94"/>
      <c r="B22" s="82" t="str">
        <f>IFERROR(VLOOKUP(H22,[1]SEMIELABORADOS!$A$2:$M$6000,2,0),"")</f>
        <v/>
      </c>
      <c r="C22" s="95">
        <f t="shared" si="4"/>
        <v>0</v>
      </c>
      <c r="D22" s="95" t="str">
        <f>IFERROR(VLOOKUP(H22,[1]SEMIELABORADOS!$A$2:$M$6000,6,0),"")</f>
        <v/>
      </c>
      <c r="E22" s="96" t="str">
        <f>IFERROR(VLOOKUP(H22,[1]SEMIELABORADOS!$A$2:$H$65536,8,0),"")</f>
        <v/>
      </c>
      <c r="F22" s="96" t="str">
        <f t="shared" si="5"/>
        <v/>
      </c>
      <c r="G22" s="97" t="str">
        <f t="shared" si="3"/>
        <v/>
      </c>
      <c r="H22" s="98"/>
      <c r="I22" s="98"/>
      <c r="J22" s="99"/>
    </row>
    <row r="23" spans="1:12" ht="13.5" hidden="1" x14ac:dyDescent="0.25">
      <c r="A23" s="94"/>
      <c r="B23" s="82" t="str">
        <f>IFERROR(VLOOKUP(H23,[1]SEMIELABORADOS!$A$2:$M$6000,2,0),"")</f>
        <v/>
      </c>
      <c r="C23" s="95">
        <f t="shared" si="4"/>
        <v>0</v>
      </c>
      <c r="D23" s="95" t="str">
        <f>IFERROR(VLOOKUP(H23,[1]SEMIELABORADOS!$A$2:$M$6000,6,0),"")</f>
        <v/>
      </c>
      <c r="E23" s="96" t="str">
        <f>IFERROR(VLOOKUP(H23,[1]SEMIELABORADOS!$A$2:$H$65536,8,0),"")</f>
        <v/>
      </c>
      <c r="F23" s="96" t="str">
        <f t="shared" si="5"/>
        <v/>
      </c>
      <c r="G23" s="97" t="str">
        <f t="shared" si="3"/>
        <v/>
      </c>
      <c r="H23" s="98"/>
      <c r="I23" s="98"/>
      <c r="J23" s="99"/>
    </row>
    <row r="24" spans="1:12" ht="13.5" hidden="1" x14ac:dyDescent="0.25">
      <c r="A24" s="94"/>
      <c r="B24" s="82" t="str">
        <f>IFERROR(VLOOKUP(H24,[1]SEMIELABORADOS!$A$2:$M$6000,2,0),"")</f>
        <v/>
      </c>
      <c r="C24" s="95">
        <f t="shared" si="4"/>
        <v>0</v>
      </c>
      <c r="D24" s="95" t="str">
        <f>IFERROR(VLOOKUP(H24,[1]SEMIELABORADOS!$A$2:$M$6000,6,0),"")</f>
        <v/>
      </c>
      <c r="E24" s="96" t="str">
        <f>IFERROR(VLOOKUP(H24,[1]SEMIELABORADOS!$A$2:$H$65536,8,0),"")</f>
        <v/>
      </c>
      <c r="F24" s="96" t="str">
        <f t="shared" si="5"/>
        <v/>
      </c>
      <c r="G24" s="97" t="str">
        <f t="shared" si="3"/>
        <v/>
      </c>
      <c r="H24" s="98"/>
      <c r="I24" s="98"/>
      <c r="J24" s="99"/>
    </row>
    <row r="25" spans="1:12" ht="14.25" thickBot="1" x14ac:dyDescent="0.3">
      <c r="A25" s="94"/>
      <c r="C25" s="95"/>
      <c r="D25" s="95"/>
      <c r="E25" s="96"/>
      <c r="F25" s="96"/>
      <c r="G25" s="97"/>
      <c r="H25" s="98"/>
      <c r="I25" s="98"/>
      <c r="J25" s="99"/>
    </row>
    <row r="26" spans="1:12" ht="26.25" thickBot="1" x14ac:dyDescent="0.25">
      <c r="A26" s="89" t="s">
        <v>84</v>
      </c>
      <c r="B26" s="90" t="s">
        <v>25</v>
      </c>
      <c r="C26" s="90" t="s">
        <v>84</v>
      </c>
      <c r="D26" s="91" t="s">
        <v>86</v>
      </c>
      <c r="E26" s="91" t="s">
        <v>87</v>
      </c>
      <c r="F26" s="91" t="s">
        <v>88</v>
      </c>
      <c r="G26" s="91" t="s">
        <v>89</v>
      </c>
      <c r="H26" s="92" t="s">
        <v>90</v>
      </c>
      <c r="I26" s="93"/>
    </row>
    <row r="27" spans="1:12" ht="13.5" x14ac:dyDescent="0.25">
      <c r="A27" s="94">
        <v>1</v>
      </c>
      <c r="B27" s="100" t="str">
        <f>IFERROR(VLOOKUP(H27,'[1]Consolidado MP Planta'!$A$2:$M$823,3,0),"")</f>
        <v>ETIQUETA IMP. SPOON MEDIANA V-273 (UND)</v>
      </c>
      <c r="C27" s="95">
        <f t="shared" ref="C27:C37" si="6">+A27</f>
        <v>1</v>
      </c>
      <c r="D27" s="96" t="str">
        <f>IFERROR(VLOOKUP(H27,'[1]Consolidado MP Planta'!$A$2:$M$823,13,0),"")</f>
        <v>Und</v>
      </c>
      <c r="E27" s="96">
        <f>IFERROR(VLOOKUP(H27,'[1]Consolidado MP Planta'!$A$2:$M$823,12,0),"")</f>
        <v>32.49</v>
      </c>
      <c r="F27" s="96">
        <f t="shared" ref="F27:F37" si="7">IFERROR(C27*E27,"")</f>
        <v>32.49</v>
      </c>
      <c r="G27" s="97">
        <f t="shared" ref="G27:G37" si="8">IFERROR(F27/$F$71,"")</f>
        <v>1.1048600215566355E-2</v>
      </c>
      <c r="H27" s="101" t="s">
        <v>137</v>
      </c>
      <c r="I27" s="101"/>
      <c r="J27" s="99"/>
      <c r="K27" s="636"/>
      <c r="L27" s="636"/>
    </row>
    <row r="28" spans="1:12" ht="13.5" x14ac:dyDescent="0.25">
      <c r="A28" s="94">
        <v>60</v>
      </c>
      <c r="B28" s="100" t="str">
        <f>IFERROR(VLOOKUP(H28,'[1]Consolidado MP Planta'!$A$2:$M$823,3,0),"")</f>
        <v>CINTA ADHESIVA TRANSPARENT 2*100 M (UND)</v>
      </c>
      <c r="C28" s="95">
        <f>+A28</f>
        <v>60</v>
      </c>
      <c r="D28" s="96" t="str">
        <f>IFERROR(VLOOKUP(H28,'[1]Consolidado MP Planta'!$A$2:$M$823,13,0),"")</f>
        <v>Cm</v>
      </c>
      <c r="E28" s="96">
        <f>IFERROR(VLOOKUP(H28,'[1]Consolidado MP Planta'!$A$2:$M$823,12,0),"")</f>
        <v>0.14499999999999999</v>
      </c>
      <c r="F28" s="96">
        <f>IFERROR(C28*E28,"")</f>
        <v>8.6999999999999993</v>
      </c>
      <c r="G28" s="97">
        <f t="shared" si="8"/>
        <v>2.9585356071230307E-3</v>
      </c>
      <c r="H28" s="101" t="s">
        <v>138</v>
      </c>
      <c r="I28" s="101"/>
      <c r="J28" s="99"/>
      <c r="K28" s="80"/>
      <c r="L28" s="80"/>
    </row>
    <row r="29" spans="1:12" ht="13.5" x14ac:dyDescent="0.25">
      <c r="A29" s="94">
        <v>1</v>
      </c>
      <c r="B29" s="100" t="str">
        <f>IFERROR(VLOOKUP(H29,'[1]Consolidado MP Planta'!$A$2:$M$823,3,0),"")</f>
        <v>ORLA #9  DORADA (UND)</v>
      </c>
      <c r="C29" s="95">
        <f>+A29</f>
        <v>1</v>
      </c>
      <c r="D29" s="96" t="str">
        <f>IFERROR(VLOOKUP(H29,'[1]Consolidado MP Planta'!$A$2:$M$823,13,0),"")</f>
        <v>Und</v>
      </c>
      <c r="E29" s="96">
        <f>IFERROR(VLOOKUP(H29,'[1]Consolidado MP Planta'!$A$2:$M$823,12,0),"")</f>
        <v>105</v>
      </c>
      <c r="F29" s="96">
        <f>IFERROR(C29*E29,"")</f>
        <v>105</v>
      </c>
      <c r="G29" s="97">
        <f t="shared" si="8"/>
        <v>3.570646422389865E-2</v>
      </c>
      <c r="H29" s="101" t="s">
        <v>139</v>
      </c>
      <c r="I29" s="101"/>
      <c r="J29" s="99"/>
      <c r="K29" s="80"/>
      <c r="L29" s="80"/>
    </row>
    <row r="30" spans="1:12" ht="13.5" x14ac:dyDescent="0.25">
      <c r="A30" s="94">
        <v>1</v>
      </c>
      <c r="B30" s="100" t="str">
        <f>IFERROR(VLOOKUP(H30,'[1]Consolidado MP Planta'!$A$2:$M$823,3,0),"")</f>
        <v>QUEQUERA RED C/BASE ALTA 9" (CAJA:100 U)</v>
      </c>
      <c r="C30" s="95">
        <f>+A30</f>
        <v>1</v>
      </c>
      <c r="D30" s="96" t="str">
        <f>IFERROR(VLOOKUP(H30,'[1]Consolidado MP Planta'!$A$2:$M$823,13,0),"")</f>
        <v>Und</v>
      </c>
      <c r="E30" s="96">
        <f>IFERROR(VLOOKUP(H30,'[1]Consolidado MP Planta'!$A$2:$M$823,12,0),"")</f>
        <v>244.36</v>
      </c>
      <c r="F30" s="96">
        <f>IFERROR(C30*E30,"")</f>
        <v>244.36</v>
      </c>
      <c r="G30" s="97">
        <f t="shared" si="8"/>
        <v>8.3097443788113096E-2</v>
      </c>
      <c r="H30" s="101" t="s">
        <v>140</v>
      </c>
      <c r="I30" s="101"/>
      <c r="J30" s="99"/>
      <c r="K30" s="80"/>
      <c r="L30" s="80"/>
    </row>
    <row r="31" spans="1:12" ht="13.5" x14ac:dyDescent="0.25">
      <c r="A31" s="94">
        <v>1</v>
      </c>
      <c r="B31" s="100" t="str">
        <f>IFERROR(VLOOKUP(H31,'[1]Consolidado MP Planta'!$A$2:$M$823,3,0),"")</f>
        <v>ETIQUETA BLANCA 2 5/8X1 15/16 (UND)</v>
      </c>
      <c r="C31" s="95">
        <f>+A31</f>
        <v>1</v>
      </c>
      <c r="D31" s="96" t="str">
        <f>IFERROR(VLOOKUP(H31,'[1]Consolidado MP Planta'!$A$2:$M$823,13,0),"")</f>
        <v>Und</v>
      </c>
      <c r="E31" s="96">
        <f>IFERROR(VLOOKUP(H31,'[1]Consolidado MP Planta'!$A$2:$M$823,12,0),"")</f>
        <v>2.1280000000000001</v>
      </c>
      <c r="F31" s="96">
        <f>IFERROR(C31*E31,"")</f>
        <v>2.1280000000000001</v>
      </c>
      <c r="G31" s="97">
        <f t="shared" si="8"/>
        <v>7.2365100827101263E-4</v>
      </c>
      <c r="H31" s="101" t="s">
        <v>143</v>
      </c>
      <c r="I31" s="101"/>
      <c r="J31" s="99"/>
      <c r="K31" s="80"/>
      <c r="L31" s="80"/>
    </row>
    <row r="32" spans="1:12" ht="13.5" x14ac:dyDescent="0.25">
      <c r="A32" s="94">
        <v>1</v>
      </c>
      <c r="B32" s="100" t="str">
        <f>IFERROR(VLOOKUP(H32,'[1]Consolidado MP Planta'!$A$2:$M$823,3,0),"")</f>
        <v>ETIQUETA BLANCA R-153 (UND)</v>
      </c>
      <c r="C32" s="95">
        <f>+A32</f>
        <v>1</v>
      </c>
      <c r="D32" s="96" t="str">
        <f>IFERROR(VLOOKUP(H32,'[1]Consolidado MP Planta'!$A$2:$M$823,13,0),"")</f>
        <v>Und</v>
      </c>
      <c r="E32" s="96">
        <f>IFERROR(VLOOKUP(H32,'[1]Consolidado MP Planta'!$A$2:$M$823,12,0),"")</f>
        <v>0.39</v>
      </c>
      <c r="F32" s="96">
        <f>IFERROR(C32*E32,"")</f>
        <v>0.39</v>
      </c>
      <c r="G32" s="97">
        <f t="shared" si="8"/>
        <v>1.3262400997448071E-4</v>
      </c>
      <c r="H32" s="101" t="s">
        <v>141</v>
      </c>
      <c r="I32" s="101"/>
      <c r="J32" s="99"/>
      <c r="K32" s="80"/>
      <c r="L32" s="80"/>
    </row>
    <row r="33" spans="1:12" ht="13.5" x14ac:dyDescent="0.25">
      <c r="A33" s="94">
        <v>1</v>
      </c>
      <c r="B33" s="100" t="str">
        <f>IFERROR(VLOOKUP(H33,'[1]Consolidado MP Planta'!$A$2:$M$823,3,0),"")</f>
        <v>ETIQ.FECHA VENCIMIENTO AMARILLO (ROLLO)</v>
      </c>
      <c r="C33" s="95">
        <f t="shared" si="6"/>
        <v>1</v>
      </c>
      <c r="D33" s="96" t="str">
        <f>IFERROR(VLOOKUP(H33,'[1]Consolidado MP Planta'!$A$2:$M$823,13,0),"")</f>
        <v>Und</v>
      </c>
      <c r="E33" s="96">
        <f>IFERROR(VLOOKUP(H33,'[1]Consolidado MP Planta'!$A$2:$M$823,12,0),"")</f>
        <v>0.2</v>
      </c>
      <c r="F33" s="96">
        <f t="shared" si="7"/>
        <v>0.2</v>
      </c>
      <c r="G33" s="97">
        <f t="shared" si="8"/>
        <v>6.8012312807426011E-5</v>
      </c>
      <c r="H33" s="101" t="s">
        <v>142</v>
      </c>
      <c r="I33" s="101"/>
      <c r="J33" s="99"/>
      <c r="K33" s="636"/>
      <c r="L33" s="636"/>
    </row>
    <row r="34" spans="1:12" ht="13.5" hidden="1" x14ac:dyDescent="0.25">
      <c r="A34" s="94"/>
      <c r="B34" s="100" t="str">
        <f>IFERROR(VLOOKUP(H34,'[1]Consolidado MP Planta'!$A$2:$M$823,3,0),"")</f>
        <v/>
      </c>
      <c r="C34" s="95">
        <f t="shared" si="6"/>
        <v>0</v>
      </c>
      <c r="D34" s="96" t="str">
        <f>IFERROR(VLOOKUP(H34,'[1]Consolidado MP Planta'!$A$2:$M$823,13,0),"")</f>
        <v/>
      </c>
      <c r="E34" s="96" t="str">
        <f>IFERROR(VLOOKUP(H34,'[1]Consolidado MP Planta'!$A$2:$M$823,12,0),"")</f>
        <v/>
      </c>
      <c r="F34" s="96" t="str">
        <f t="shared" si="7"/>
        <v/>
      </c>
      <c r="G34" s="97" t="str">
        <f t="shared" si="8"/>
        <v/>
      </c>
      <c r="H34" s="101"/>
      <c r="I34" s="101"/>
      <c r="J34" s="99"/>
      <c r="K34" s="636"/>
      <c r="L34" s="636"/>
    </row>
    <row r="35" spans="1:12" ht="13.5" hidden="1" x14ac:dyDescent="0.25">
      <c r="A35" s="94"/>
      <c r="B35" s="100" t="str">
        <f>IFERROR(VLOOKUP(H35,'[1]Consolidado MP Planta'!$A$2:$M$823,3,0),"")</f>
        <v/>
      </c>
      <c r="C35" s="95">
        <f t="shared" si="6"/>
        <v>0</v>
      </c>
      <c r="D35" s="96" t="str">
        <f>IFERROR(VLOOKUP(H35,'[1]Consolidado MP Planta'!$A$2:$M$823,13,0),"")</f>
        <v/>
      </c>
      <c r="E35" s="96" t="str">
        <f>IFERROR(VLOOKUP(H35,'[1]Consolidado MP Planta'!$A$2:$M$823,12,0),"")</f>
        <v/>
      </c>
      <c r="F35" s="96" t="str">
        <f t="shared" si="7"/>
        <v/>
      </c>
      <c r="G35" s="97" t="str">
        <f t="shared" si="8"/>
        <v/>
      </c>
      <c r="H35" s="101"/>
      <c r="I35" s="101"/>
      <c r="J35" s="99"/>
      <c r="K35" s="636"/>
      <c r="L35" s="636"/>
    </row>
    <row r="36" spans="1:12" ht="13.5" hidden="1" x14ac:dyDescent="0.25">
      <c r="A36" s="94"/>
      <c r="B36" s="100" t="str">
        <f>IFERROR(VLOOKUP(H36,'[1]Consolidado MP Planta'!$A$2:$M$823,3,0),"")</f>
        <v/>
      </c>
      <c r="C36" s="95">
        <f t="shared" si="6"/>
        <v>0</v>
      </c>
      <c r="D36" s="96" t="str">
        <f>IFERROR(VLOOKUP(H36,'[1]Consolidado MP Planta'!$A$2:$M$823,13,0),"")</f>
        <v/>
      </c>
      <c r="E36" s="96" t="str">
        <f>IFERROR(VLOOKUP(H36,'[1]Consolidado MP Planta'!$A$2:$M$823,12,0),"")</f>
        <v/>
      </c>
      <c r="F36" s="96" t="str">
        <f t="shared" si="7"/>
        <v/>
      </c>
      <c r="G36" s="97" t="str">
        <f t="shared" si="8"/>
        <v/>
      </c>
      <c r="H36" s="101"/>
      <c r="I36" s="101"/>
      <c r="J36" s="99"/>
      <c r="K36" s="102"/>
      <c r="L36" s="103"/>
    </row>
    <row r="37" spans="1:12" ht="13.5" hidden="1" x14ac:dyDescent="0.25">
      <c r="A37" s="94"/>
      <c r="B37" s="100" t="str">
        <f>IFERROR(VLOOKUP(H37,'[1]Consolidado MP Planta'!$A$2:$M$823,3,0),"")</f>
        <v/>
      </c>
      <c r="C37" s="95">
        <f t="shared" si="6"/>
        <v>0</v>
      </c>
      <c r="D37" s="96" t="str">
        <f>IFERROR(VLOOKUP(H37,'[1]Consolidado MP Planta'!$A$2:$M$823,13,0),"")</f>
        <v/>
      </c>
      <c r="E37" s="96" t="str">
        <f>IFERROR(VLOOKUP(H37,'[1]Consolidado MP Planta'!$A$2:$M$823,12,0),"")</f>
        <v/>
      </c>
      <c r="F37" s="96" t="str">
        <f t="shared" si="7"/>
        <v/>
      </c>
      <c r="G37" s="97" t="str">
        <f t="shared" si="8"/>
        <v/>
      </c>
      <c r="H37" s="101"/>
      <c r="I37" s="101"/>
      <c r="J37" s="99"/>
    </row>
    <row r="38" spans="1:12" ht="14.25" thickBot="1" x14ac:dyDescent="0.3">
      <c r="A38" s="94"/>
      <c r="B38" s="100"/>
      <c r="C38" s="95"/>
      <c r="D38" s="96"/>
      <c r="E38" s="96"/>
      <c r="F38" s="96"/>
      <c r="G38" s="97"/>
      <c r="H38" s="101"/>
      <c r="I38" s="101"/>
      <c r="J38" s="99"/>
    </row>
    <row r="39" spans="1:12" ht="26.25" thickBot="1" x14ac:dyDescent="0.25">
      <c r="A39" s="89" t="s">
        <v>84</v>
      </c>
      <c r="B39" s="90" t="s">
        <v>92</v>
      </c>
      <c r="C39" s="90" t="s">
        <v>84</v>
      </c>
      <c r="D39" s="91" t="s">
        <v>86</v>
      </c>
      <c r="E39" s="91" t="s">
        <v>87</v>
      </c>
      <c r="F39" s="91" t="s">
        <v>88</v>
      </c>
      <c r="G39" s="91" t="s">
        <v>89</v>
      </c>
      <c r="H39" s="92" t="s">
        <v>90</v>
      </c>
      <c r="I39" s="101"/>
      <c r="J39" s="99"/>
    </row>
    <row r="40" spans="1:12" ht="13.5" x14ac:dyDescent="0.25">
      <c r="A40" s="94">
        <f t="shared" ref="A40:A46" si="9">+A17</f>
        <v>200</v>
      </c>
      <c r="B40" s="100" t="str">
        <f>IFERROR(VLOOKUP(H40,[1]SEMIELABORADOS!$A$2:$M$6000,2,0),"")</f>
        <v>BASE GALLETA P/CHEESE CAKE (KILO)</v>
      </c>
      <c r="C40" s="95">
        <f>+A40</f>
        <v>200</v>
      </c>
      <c r="D40" s="96" t="str">
        <f>IFERROR(VLOOKUP(H40,[1]SEMIELABORADOS!$A$2:$M$6000,6,0),"")</f>
        <v>Gramo</v>
      </c>
      <c r="E40" s="96">
        <f>IFERROR(VLOOKUP(H40,[1]SEMIELABORADOS!$A$2:$M$65536,10,0),"")</f>
        <v>1.1524699119903916E-3</v>
      </c>
      <c r="F40" s="96">
        <f>IFERROR(E40*C40,"")</f>
        <v>0.23049398239807831</v>
      </c>
      <c r="G40" s="97">
        <f t="shared" ref="G40:G46" si="10">IFERROR(F40/$F$71,"")</f>
        <v>7.8382144155437217E-5</v>
      </c>
      <c r="H40" s="101" t="s">
        <v>36</v>
      </c>
      <c r="I40" s="101"/>
      <c r="J40" s="99"/>
    </row>
    <row r="41" spans="1:12" ht="13.5" x14ac:dyDescent="0.25">
      <c r="A41" s="94">
        <f t="shared" si="9"/>
        <v>600</v>
      </c>
      <c r="B41" s="100" t="str">
        <f>IFERROR(VLOOKUP(H41,[1]SEMIELABORADOS!$A$2:$M$6000,2,0),"")</f>
        <v>RELLENO CHEESECAKE KILO</v>
      </c>
      <c r="C41" s="95">
        <f t="shared" ref="C41:C46" si="11">+A41</f>
        <v>600</v>
      </c>
      <c r="D41" s="96" t="str">
        <f>IFERROR(VLOOKUP(H41,[1]SEMIELABORADOS!$A$2:$M$6000,6,0),"")</f>
        <v>Gramo</v>
      </c>
      <c r="E41" s="96">
        <f>IFERROR(VLOOKUP(H41,[1]SEMIELABORADOS!$A$2:$M$65536,10,0),"")</f>
        <v>7.4358974358974352E-6</v>
      </c>
      <c r="F41" s="96">
        <f t="shared" ref="F41:F46" si="12">IFERROR(E41*C41,"")</f>
        <v>4.4615384615384612E-3</v>
      </c>
      <c r="G41" s="97">
        <f t="shared" si="10"/>
        <v>1.5171977472425799E-6</v>
      </c>
      <c r="H41" s="101" t="s">
        <v>38</v>
      </c>
      <c r="I41" s="101"/>
      <c r="J41" s="99"/>
    </row>
    <row r="42" spans="1:12" ht="13.5" x14ac:dyDescent="0.25">
      <c r="A42" s="94">
        <f t="shared" si="9"/>
        <v>90</v>
      </c>
      <c r="B42" s="100" t="s">
        <v>50</v>
      </c>
      <c r="C42" s="95">
        <f t="shared" si="11"/>
        <v>90</v>
      </c>
      <c r="D42" s="96" t="s">
        <v>134</v>
      </c>
      <c r="E42" s="96">
        <f>+'[3]COSTEO GANACHE'!$E$76</f>
        <v>3.2348958333333335E-3</v>
      </c>
      <c r="F42" s="96">
        <f t="shared" si="12"/>
        <v>0.29114062500000004</v>
      </c>
      <c r="G42" s="97">
        <f t="shared" si="10"/>
        <v>9.9005736292247568E-5</v>
      </c>
      <c r="H42" s="101" t="s">
        <v>49</v>
      </c>
      <c r="I42" s="101"/>
      <c r="J42" s="99"/>
    </row>
    <row r="43" spans="1:12" ht="13.5" x14ac:dyDescent="0.25">
      <c r="A43" s="94">
        <f t="shared" si="9"/>
        <v>0</v>
      </c>
      <c r="B43" s="100" t="str">
        <f>IFERROR(VLOOKUP(H43,[1]SEMIELABORADOS!$A$2:$M$6000,2,0),"")</f>
        <v>CREMA DULCE LECHE KILO</v>
      </c>
      <c r="C43" s="95">
        <f>+A43</f>
        <v>0</v>
      </c>
      <c r="D43" s="96" t="str">
        <f>IFERROR(VLOOKUP(H43,[1]SEMIELABORADOS!$A$2:$M$6000,6,0),"")</f>
        <v>Gramo</v>
      </c>
      <c r="E43" s="96">
        <f>IFERROR(VLOOKUP(H43,[1]SEMIELABORADOS!$A$2:$M$65536,10,0),"")</f>
        <v>8.5119999999999998E-5</v>
      </c>
      <c r="F43" s="96">
        <f>IFERROR(E43*C43,"")</f>
        <v>0</v>
      </c>
      <c r="G43" s="97">
        <f t="shared" si="10"/>
        <v>0</v>
      </c>
      <c r="H43" s="101" t="s">
        <v>135</v>
      </c>
      <c r="I43" s="101"/>
      <c r="J43" s="99"/>
    </row>
    <row r="44" spans="1:12" ht="13.5" x14ac:dyDescent="0.25">
      <c r="A44" s="94">
        <f t="shared" si="9"/>
        <v>0</v>
      </c>
      <c r="B44" s="100" t="s">
        <v>54</v>
      </c>
      <c r="C44" s="95">
        <f>+A44</f>
        <v>0</v>
      </c>
      <c r="D44" s="96" t="s">
        <v>134</v>
      </c>
      <c r="E44" s="96">
        <f>+'costeo brittle'!E76</f>
        <v>3.7837907200000007E-2</v>
      </c>
      <c r="F44" s="96">
        <f>IFERROR(E44*C44,"")</f>
        <v>0</v>
      </c>
      <c r="G44" s="97">
        <f t="shared" si="10"/>
        <v>0</v>
      </c>
      <c r="H44" s="101"/>
      <c r="I44" s="101"/>
      <c r="J44" s="99"/>
    </row>
    <row r="45" spans="1:12" ht="13.5" hidden="1" x14ac:dyDescent="0.25">
      <c r="A45" s="94">
        <f t="shared" si="9"/>
        <v>0</v>
      </c>
      <c r="B45" s="100" t="str">
        <f>IFERROR(VLOOKUP(H45,[1]SEMIELABORADOS!$A$2:$M$6000,2,0),"")</f>
        <v/>
      </c>
      <c r="C45" s="95">
        <f t="shared" si="11"/>
        <v>0</v>
      </c>
      <c r="D45" s="96" t="str">
        <f>IFERROR(VLOOKUP(H45,[1]SEMIELABORADOS!$A$2:$M$6000,6,0),"")</f>
        <v/>
      </c>
      <c r="E45" s="96" t="str">
        <f>IFERROR(VLOOKUP(H45,[1]SEMIELABORADOS!$A$2:$M$65536,10,0),"")</f>
        <v/>
      </c>
      <c r="F45" s="96" t="str">
        <f t="shared" si="12"/>
        <v/>
      </c>
      <c r="G45" s="97" t="str">
        <f t="shared" si="10"/>
        <v/>
      </c>
      <c r="H45" s="101"/>
      <c r="I45" s="101"/>
      <c r="J45" s="99"/>
    </row>
    <row r="46" spans="1:12" ht="13.5" hidden="1" x14ac:dyDescent="0.25">
      <c r="A46" s="94">
        <f t="shared" si="9"/>
        <v>0</v>
      </c>
      <c r="B46" s="100" t="str">
        <f>IFERROR(VLOOKUP(H46,[1]SEMIELABORADOS!$A$2:$M$6000,2,0),"")</f>
        <v/>
      </c>
      <c r="C46" s="95">
        <f t="shared" si="11"/>
        <v>0</v>
      </c>
      <c r="D46" s="96" t="str">
        <f>IFERROR(VLOOKUP(H46,[1]SEMIELABORADOS!$A$2:$M$6000,6,0),"")</f>
        <v/>
      </c>
      <c r="E46" s="96" t="str">
        <f>IFERROR(VLOOKUP(H46,[1]SEMIELABORADOS!$A$2:$M$65536,10,0),"")</f>
        <v/>
      </c>
      <c r="F46" s="96" t="str">
        <f t="shared" si="12"/>
        <v/>
      </c>
      <c r="G46" s="97" t="str">
        <f t="shared" si="10"/>
        <v/>
      </c>
      <c r="H46" s="101"/>
      <c r="I46" s="101"/>
      <c r="J46" s="99"/>
    </row>
    <row r="47" spans="1:12" ht="14.25" thickBot="1" x14ac:dyDescent="0.3">
      <c r="A47" s="94"/>
      <c r="B47" s="100"/>
      <c r="C47" s="95"/>
      <c r="D47" s="96"/>
      <c r="E47" s="96"/>
      <c r="F47" s="96"/>
      <c r="G47" s="97"/>
      <c r="H47" s="101"/>
      <c r="I47" s="101"/>
      <c r="J47" s="99"/>
    </row>
    <row r="48" spans="1:12" ht="26.25" thickBot="1" x14ac:dyDescent="0.25">
      <c r="A48" s="89" t="s">
        <v>84</v>
      </c>
      <c r="B48" s="90" t="s">
        <v>93</v>
      </c>
      <c r="C48" s="90" t="s">
        <v>84</v>
      </c>
      <c r="D48" s="91" t="s">
        <v>86</v>
      </c>
      <c r="E48" s="91" t="s">
        <v>87</v>
      </c>
      <c r="F48" s="91" t="s">
        <v>88</v>
      </c>
      <c r="G48" s="91" t="s">
        <v>89</v>
      </c>
      <c r="H48" s="92" t="s">
        <v>90</v>
      </c>
      <c r="I48" s="93"/>
      <c r="J48" s="99"/>
    </row>
    <row r="49" spans="1:17" ht="13.5" x14ac:dyDescent="0.25">
      <c r="A49" s="94">
        <f>+A40</f>
        <v>200</v>
      </c>
      <c r="B49" s="100" t="str">
        <f>IFERROR(VLOOKUP(H49,[1]SEMIELABORADOS!$A$2:$M$6000,2,0),"")</f>
        <v>BASE GALLETA P/CHEESE CAKE (KILO)</v>
      </c>
      <c r="C49" s="95">
        <f>+A49</f>
        <v>200</v>
      </c>
      <c r="D49" s="96" t="str">
        <f>IFERROR(VLOOKUP(H49,[1]SEMIELABORADOS!$A$2:$M$6000,6,0),"")</f>
        <v>Gramo</v>
      </c>
      <c r="E49" s="96">
        <f>IFERROR(VLOOKUP(H49,[1]SEMIELABORADOS!$A$2:$M$65536,12,0),"")</f>
        <v>0.20872229760513178</v>
      </c>
      <c r="F49" s="96">
        <f>IFERROR(E49*C49,"")</f>
        <v>41.744459521026357</v>
      </c>
      <c r="G49" s="97">
        <f>IFERROR(F49/$F$71,"")</f>
        <v>1.4195686194604885E-2</v>
      </c>
      <c r="H49" s="101" t="s">
        <v>36</v>
      </c>
      <c r="I49" s="93"/>
      <c r="J49" s="99"/>
    </row>
    <row r="50" spans="1:17" ht="13.5" x14ac:dyDescent="0.25">
      <c r="A50" s="94">
        <f t="shared" ref="A50:A55" si="13">+A41</f>
        <v>600</v>
      </c>
      <c r="B50" s="100" t="str">
        <f>IFERROR(VLOOKUP(H50,[1]SEMIELABORADOS!$A$2:$M$6000,2,0),"")</f>
        <v>RELLENO CHEESECAKE KILO</v>
      </c>
      <c r="C50" s="95">
        <f t="shared" ref="C50:C55" si="14">+A50</f>
        <v>600</v>
      </c>
      <c r="D50" s="96" t="str">
        <f>IFERROR(VLOOKUP(H50,[1]SEMIELABORADOS!$A$2:$M$6000,6,0),"")</f>
        <v>Gramo</v>
      </c>
      <c r="E50" s="96">
        <f>IFERROR(VLOOKUP(H50,[1]SEMIELABORADOS!$A$2:$M$65536,12,0),"")</f>
        <v>9.8350266666666672E-2</v>
      </c>
      <c r="F50" s="96">
        <f t="shared" ref="F50:F55" si="15">IFERROR(E50*C50,"")</f>
        <v>59.010160000000006</v>
      </c>
      <c r="G50" s="97">
        <f t="shared" ref="G50:G55" si="16">IFERROR(F50/$F$71,"")</f>
        <v>2.0067087303681289E-2</v>
      </c>
      <c r="H50" s="101" t="s">
        <v>38</v>
      </c>
      <c r="I50" s="93"/>
      <c r="J50" s="99"/>
      <c r="M50" s="104"/>
    </row>
    <row r="51" spans="1:17" ht="13.5" x14ac:dyDescent="0.25">
      <c r="A51" s="94">
        <f t="shared" si="13"/>
        <v>90</v>
      </c>
      <c r="B51" s="100" t="s">
        <v>50</v>
      </c>
      <c r="C51" s="95">
        <f t="shared" si="14"/>
        <v>90</v>
      </c>
      <c r="D51" s="96" t="s">
        <v>134</v>
      </c>
      <c r="E51" s="96">
        <f>+'[3]COSTEO GANACHE'!$E$74</f>
        <v>0.11458333333333333</v>
      </c>
      <c r="F51" s="96">
        <f t="shared" si="15"/>
        <v>10.3125</v>
      </c>
      <c r="G51" s="97">
        <f t="shared" si="16"/>
        <v>3.5068848791329032E-3</v>
      </c>
      <c r="H51" s="101" t="s">
        <v>49</v>
      </c>
      <c r="I51" s="93"/>
      <c r="J51" s="99"/>
    </row>
    <row r="52" spans="1:17" ht="13.5" x14ac:dyDescent="0.25">
      <c r="A52" s="94">
        <f t="shared" si="13"/>
        <v>0</v>
      </c>
      <c r="B52" s="100" t="str">
        <f>IFERROR(VLOOKUP(H52,[1]SEMIELABORADOS!$A$2:$M$6000,2,0),"")</f>
        <v>CREMA DULCE LECHE KILO</v>
      </c>
      <c r="C52" s="95">
        <f t="shared" si="14"/>
        <v>0</v>
      </c>
      <c r="D52" s="96" t="str">
        <f>IFERROR(VLOOKUP(H52,[1]SEMIELABORADOS!$A$2:$M$6000,6,0),"")</f>
        <v>Gramo</v>
      </c>
      <c r="E52" s="96">
        <f>IFERROR(VLOOKUP(H52,[1]SEMIELABORADOS!$A$2:$M$65536,12,0),"")</f>
        <v>1.1219999999999999E-2</v>
      </c>
      <c r="F52" s="96">
        <f t="shared" si="15"/>
        <v>0</v>
      </c>
      <c r="G52" s="97">
        <f t="shared" si="16"/>
        <v>0</v>
      </c>
      <c r="H52" s="101" t="s">
        <v>135</v>
      </c>
      <c r="I52" s="93"/>
      <c r="J52" s="99"/>
    </row>
    <row r="53" spans="1:17" ht="13.5" x14ac:dyDescent="0.25">
      <c r="A53" s="94">
        <f t="shared" si="13"/>
        <v>0</v>
      </c>
      <c r="B53" s="100" t="s">
        <v>54</v>
      </c>
      <c r="C53" s="95">
        <f t="shared" si="14"/>
        <v>0</v>
      </c>
      <c r="D53" s="96" t="s">
        <v>134</v>
      </c>
      <c r="E53" s="96">
        <f>+'costeo brittle'!E74</f>
        <v>0.56981320000000002</v>
      </c>
      <c r="F53" s="96">
        <f t="shared" si="15"/>
        <v>0</v>
      </c>
      <c r="G53" s="97">
        <f t="shared" si="16"/>
        <v>0</v>
      </c>
      <c r="H53" s="101"/>
      <c r="I53" s="93"/>
      <c r="J53" s="99"/>
    </row>
    <row r="54" spans="1:17" ht="13.5" hidden="1" x14ac:dyDescent="0.25">
      <c r="A54" s="94">
        <f t="shared" si="13"/>
        <v>0</v>
      </c>
      <c r="B54" s="100" t="str">
        <f>IFERROR(VLOOKUP(H54,[1]SEMIELABORADOS!$A$2:$M$6000,2,0),"")</f>
        <v/>
      </c>
      <c r="C54" s="95">
        <f t="shared" si="14"/>
        <v>0</v>
      </c>
      <c r="D54" s="96" t="str">
        <f>IFERROR(VLOOKUP(H54,[1]SEMIELABORADOS!$A$2:$M$6000,6,0),"")</f>
        <v/>
      </c>
      <c r="E54" s="96" t="str">
        <f>IFERROR(VLOOKUP(H54,[1]SEMIELABORADOS!$A$2:$M$65536,12,0),"")</f>
        <v/>
      </c>
      <c r="F54" s="96" t="str">
        <f t="shared" si="15"/>
        <v/>
      </c>
      <c r="G54" s="97" t="str">
        <f t="shared" si="16"/>
        <v/>
      </c>
      <c r="H54" s="101"/>
      <c r="I54" s="93"/>
      <c r="J54" s="99"/>
    </row>
    <row r="55" spans="1:17" ht="13.5" hidden="1" x14ac:dyDescent="0.25">
      <c r="A55" s="94">
        <f t="shared" si="13"/>
        <v>0</v>
      </c>
      <c r="B55" s="100" t="str">
        <f>IFERROR(VLOOKUP(H55,[1]SEMIELABORADOS!$A$2:$M$6000,2,0),"")</f>
        <v/>
      </c>
      <c r="C55" s="95">
        <f t="shared" si="14"/>
        <v>0</v>
      </c>
      <c r="D55" s="96" t="str">
        <f>IFERROR(VLOOKUP(H55,[1]SEMIELABORADOS!$A$2:$M$6000,6,0),"")</f>
        <v/>
      </c>
      <c r="E55" s="96" t="str">
        <f>IFERROR(VLOOKUP(H55,[1]SEMIELABORADOS!$A$2:$M$65536,12,0),"")</f>
        <v/>
      </c>
      <c r="F55" s="96" t="str">
        <f t="shared" si="15"/>
        <v/>
      </c>
      <c r="G55" s="97" t="str">
        <f t="shared" si="16"/>
        <v/>
      </c>
      <c r="H55" s="100"/>
      <c r="I55" s="93"/>
      <c r="J55" s="99"/>
    </row>
    <row r="56" spans="1:17" ht="13.5" x14ac:dyDescent="0.25">
      <c r="A56" s="94">
        <v>1</v>
      </c>
      <c r="B56" s="100" t="s">
        <v>94</v>
      </c>
      <c r="C56" s="95">
        <f>+A56</f>
        <v>1</v>
      </c>
      <c r="D56" s="95" t="s">
        <v>95</v>
      </c>
      <c r="E56" s="96">
        <f>+F70</f>
        <v>275</v>
      </c>
      <c r="F56" s="96">
        <f>IFERROR(C56*E56,"")</f>
        <v>275</v>
      </c>
      <c r="G56" s="97">
        <f>IFERROR(F56/$F$71,"")</f>
        <v>9.3516930110210755E-2</v>
      </c>
      <c r="H56" s="105"/>
      <c r="I56" s="105"/>
      <c r="J56" s="99"/>
    </row>
    <row r="57" spans="1:17" ht="14.25" thickBot="1" x14ac:dyDescent="0.3">
      <c r="A57" s="94"/>
      <c r="B57" s="100"/>
      <c r="C57" s="95"/>
      <c r="D57" s="95"/>
      <c r="E57" s="96"/>
      <c r="F57" s="96"/>
      <c r="G57" s="97"/>
      <c r="H57" s="105"/>
      <c r="I57" s="105"/>
      <c r="J57" s="99"/>
    </row>
    <row r="58" spans="1:17" ht="13.5" thickBot="1" x14ac:dyDescent="0.25">
      <c r="A58" s="106"/>
      <c r="B58" s="634" t="s">
        <v>96</v>
      </c>
      <c r="C58" s="634"/>
      <c r="D58" s="634"/>
      <c r="E58" s="634"/>
      <c r="F58" s="108">
        <f>SUM(F8:F14,F17:F24)</f>
        <v>2227.3038333149607</v>
      </c>
      <c r="G58" s="97">
        <f>+F58/$F$71</f>
        <v>0.75742042514298058</v>
      </c>
      <c r="H58" s="109">
        <f>+F58/$D$65</f>
        <v>2227.3038333149607</v>
      </c>
      <c r="I58" s="109"/>
      <c r="J58" s="110"/>
      <c r="K58" s="111"/>
      <c r="L58" s="111"/>
      <c r="M58" s="111"/>
      <c r="N58" s="111"/>
      <c r="O58" s="111"/>
      <c r="P58" s="111"/>
      <c r="Q58" s="112"/>
    </row>
    <row r="59" spans="1:17" x14ac:dyDescent="0.2">
      <c r="A59" s="106"/>
      <c r="B59" s="634" t="s">
        <v>97</v>
      </c>
      <c r="C59" s="634"/>
      <c r="D59" s="634"/>
      <c r="E59" s="634"/>
      <c r="F59" s="108">
        <f>SUM(F27:F37,F40:F46)</f>
        <v>393.79409614585961</v>
      </c>
      <c r="G59" s="97">
        <f>+F59/$F$71</f>
        <v>0.13391423624394896</v>
      </c>
      <c r="H59" s="109">
        <f>+F59/$D$65</f>
        <v>393.79409614585961</v>
      </c>
      <c r="I59" s="109"/>
      <c r="J59" s="113"/>
      <c r="K59" s="637" t="s">
        <v>98</v>
      </c>
      <c r="L59" s="638"/>
      <c r="M59" s="638"/>
      <c r="N59" s="638"/>
      <c r="O59" s="114">
        <f>+F60</f>
        <v>2621.0979294608205</v>
      </c>
      <c r="P59" s="114"/>
      <c r="Q59" s="115"/>
    </row>
    <row r="60" spans="1:17" x14ac:dyDescent="0.2">
      <c r="A60" s="106"/>
      <c r="B60" s="634" t="s">
        <v>99</v>
      </c>
      <c r="C60" s="634"/>
      <c r="D60" s="634"/>
      <c r="E60" s="634"/>
      <c r="F60" s="108">
        <f>+F58+F59</f>
        <v>2621.0979294608205</v>
      </c>
      <c r="G60" s="97">
        <f>+F60/$F$71</f>
        <v>0.89133466138692963</v>
      </c>
      <c r="H60" s="109">
        <f>+F60/$D$65</f>
        <v>2621.0979294608205</v>
      </c>
      <c r="I60" s="109"/>
      <c r="J60" s="116"/>
      <c r="K60" s="117"/>
      <c r="L60" s="629" t="s">
        <v>100</v>
      </c>
      <c r="M60" s="629"/>
      <c r="N60" s="629"/>
      <c r="O60" s="114">
        <v>508.47</v>
      </c>
      <c r="P60" s="114"/>
      <c r="Q60" s="115"/>
    </row>
    <row r="61" spans="1:17" ht="13.5" thickBot="1" x14ac:dyDescent="0.25">
      <c r="A61" s="106"/>
      <c r="B61" s="107"/>
      <c r="C61" s="634" t="s">
        <v>101</v>
      </c>
      <c r="D61" s="634"/>
      <c r="E61" s="634"/>
      <c r="F61" s="108">
        <f>SUM(F49:F56)</f>
        <v>386.06711952102637</v>
      </c>
      <c r="G61" s="97">
        <f>+F61/$F$71</f>
        <v>0.13128658848762984</v>
      </c>
      <c r="H61" s="109">
        <f>+F61/$D$65</f>
        <v>386.06711952102637</v>
      </c>
      <c r="I61" s="109"/>
      <c r="J61" s="116"/>
      <c r="K61" s="117"/>
      <c r="L61" s="117"/>
      <c r="M61" s="117" t="s">
        <v>102</v>
      </c>
      <c r="N61" s="118"/>
      <c r="O61" s="114">
        <f>O59*N61</f>
        <v>0</v>
      </c>
      <c r="P61" s="114"/>
      <c r="Q61" s="115"/>
    </row>
    <row r="62" spans="1:17" ht="13.5" thickBot="1" x14ac:dyDescent="0.25">
      <c r="A62" s="106"/>
      <c r="B62" s="119"/>
      <c r="C62" s="119"/>
      <c r="D62" s="119"/>
      <c r="E62" s="119"/>
      <c r="F62" s="120"/>
      <c r="G62" s="97"/>
      <c r="H62" s="121"/>
      <c r="I62" s="109"/>
      <c r="J62" s="116"/>
      <c r="K62" s="122"/>
      <c r="M62" s="123" t="s">
        <v>103</v>
      </c>
      <c r="N62" s="124"/>
      <c r="O62" s="125">
        <f>SUM(O59:O61)</f>
        <v>3129.5679294608208</v>
      </c>
      <c r="P62" s="126"/>
      <c r="Q62" s="115"/>
    </row>
    <row r="63" spans="1:17" x14ac:dyDescent="0.2">
      <c r="B63" s="635" t="s">
        <v>104</v>
      </c>
      <c r="C63" s="635"/>
      <c r="D63" s="127">
        <v>950</v>
      </c>
      <c r="E63" s="128"/>
      <c r="G63" s="97"/>
      <c r="H63" s="121"/>
      <c r="I63" s="129"/>
      <c r="J63" s="116"/>
      <c r="K63" s="122"/>
      <c r="L63" s="117"/>
      <c r="M63" s="117" t="s">
        <v>180</v>
      </c>
      <c r="N63" s="130"/>
      <c r="O63" s="114">
        <v>426.95</v>
      </c>
      <c r="P63" s="114"/>
      <c r="Q63" s="115"/>
    </row>
    <row r="64" spans="1:17" x14ac:dyDescent="0.2">
      <c r="B64" s="635" t="s">
        <v>106</v>
      </c>
      <c r="C64" s="635"/>
      <c r="D64" s="131">
        <v>950</v>
      </c>
      <c r="E64" s="128"/>
      <c r="G64" s="97"/>
      <c r="H64" s="121"/>
      <c r="I64" s="129"/>
      <c r="J64" s="116"/>
      <c r="K64" s="122"/>
      <c r="L64" s="117"/>
      <c r="M64" s="629" t="s">
        <v>103</v>
      </c>
      <c r="N64" s="629"/>
      <c r="O64" s="114">
        <f>SUM(O62:O63)</f>
        <v>3556.5179294608206</v>
      </c>
      <c r="P64" s="114"/>
      <c r="Q64" s="115"/>
    </row>
    <row r="65" spans="2:17" ht="13.5" thickBot="1" x14ac:dyDescent="0.25">
      <c r="B65" s="628" t="s">
        <v>107</v>
      </c>
      <c r="C65" s="628"/>
      <c r="D65" s="127">
        <f>+D63/D64</f>
        <v>1</v>
      </c>
      <c r="E65" s="128"/>
      <c r="F65" s="132"/>
      <c r="G65" s="97"/>
      <c r="H65" s="121"/>
      <c r="I65" s="129"/>
      <c r="J65" s="116"/>
      <c r="K65" s="122"/>
      <c r="L65" s="629" t="s">
        <v>108</v>
      </c>
      <c r="M65" s="629"/>
      <c r="N65" s="130">
        <v>0.1</v>
      </c>
      <c r="O65" s="114">
        <f>+O64*N65</f>
        <v>355.65179294608208</v>
      </c>
      <c r="P65" s="114"/>
      <c r="Q65" s="115"/>
    </row>
    <row r="66" spans="2:17" ht="13.5" thickBot="1" x14ac:dyDescent="0.25">
      <c r="B66" s="628" t="s">
        <v>109</v>
      </c>
      <c r="C66" s="628"/>
      <c r="D66" s="133" t="s">
        <v>144</v>
      </c>
      <c r="E66" s="128"/>
      <c r="F66" s="132"/>
      <c r="G66" s="97"/>
      <c r="H66" s="121"/>
      <c r="I66" s="129"/>
      <c r="J66" s="116"/>
      <c r="K66" s="630" t="s">
        <v>110</v>
      </c>
      <c r="L66" s="631"/>
      <c r="M66" s="631"/>
      <c r="N66" s="632"/>
      <c r="O66" s="125">
        <f>+O65+O64</f>
        <v>3912.1697224069026</v>
      </c>
      <c r="P66" s="134" t="s">
        <v>111</v>
      </c>
      <c r="Q66" s="115"/>
    </row>
    <row r="67" spans="2:17" ht="13.5" thickBot="1" x14ac:dyDescent="0.25">
      <c r="C67" s="106" t="s">
        <v>112</v>
      </c>
      <c r="D67" s="135"/>
      <c r="E67" s="80" t="s">
        <v>113</v>
      </c>
      <c r="F67" s="136" t="s">
        <v>114</v>
      </c>
      <c r="G67" s="97"/>
      <c r="H67" s="121"/>
      <c r="I67" s="129"/>
      <c r="J67" s="137"/>
      <c r="K67" s="138"/>
      <c r="L67" s="633" t="s">
        <v>115</v>
      </c>
      <c r="M67" s="633"/>
      <c r="N67" s="633"/>
      <c r="O67" s="139">
        <f>+O66/D65</f>
        <v>3912.1697224069026</v>
      </c>
      <c r="P67" s="140">
        <f>+O67/D64</f>
        <v>4.1180733920072656</v>
      </c>
      <c r="Q67" s="141"/>
    </row>
    <row r="68" spans="2:17" ht="13.5" thickBot="1" x14ac:dyDescent="0.25">
      <c r="B68" s="613" t="s">
        <v>99</v>
      </c>
      <c r="C68" s="613"/>
      <c r="D68" s="613"/>
      <c r="E68" s="142">
        <f>+F68/F68</f>
        <v>1</v>
      </c>
      <c r="F68" s="143">
        <f>SUM(F60)</f>
        <v>2621.0979294608205</v>
      </c>
      <c r="G68" s="97">
        <f>+F68/$F$71</f>
        <v>0.89133466138692963</v>
      </c>
      <c r="H68" s="121"/>
      <c r="I68" s="129"/>
      <c r="K68" s="614"/>
      <c r="L68" s="615"/>
      <c r="M68" s="615"/>
      <c r="N68" s="615"/>
      <c r="O68" s="144"/>
      <c r="P68" s="145"/>
    </row>
    <row r="69" spans="2:17" ht="13.5" thickBot="1" x14ac:dyDescent="0.25">
      <c r="B69" s="616" t="s">
        <v>116</v>
      </c>
      <c r="C69" s="616"/>
      <c r="D69" s="616"/>
      <c r="E69" s="146">
        <v>0.02</v>
      </c>
      <c r="F69" s="143">
        <f>+F58*E69</f>
        <v>44.546076666299214</v>
      </c>
      <c r="G69" s="97">
        <f>+F69/$F$71</f>
        <v>1.5148408502859614E-2</v>
      </c>
      <c r="H69" s="109"/>
      <c r="I69" s="129"/>
      <c r="J69" s="147"/>
      <c r="O69" s="148">
        <v>3556.52</v>
      </c>
      <c r="P69" s="107"/>
    </row>
    <row r="70" spans="2:17" ht="13.5" thickBot="1" x14ac:dyDescent="0.25">
      <c r="B70" s="618" t="s">
        <v>117</v>
      </c>
      <c r="C70" s="619"/>
      <c r="D70" s="149">
        <v>5</v>
      </c>
      <c r="E70" s="150">
        <v>55</v>
      </c>
      <c r="F70" s="143">
        <f>+E70*D70</f>
        <v>275</v>
      </c>
      <c r="G70" s="97">
        <f>+F70/$F$71</f>
        <v>9.3516930110210755E-2</v>
      </c>
      <c r="H70" s="109"/>
      <c r="I70" s="109"/>
      <c r="J70" s="99"/>
    </row>
    <row r="71" spans="2:17" ht="13.5" thickBot="1" x14ac:dyDescent="0.25">
      <c r="B71" s="620" t="s">
        <v>118</v>
      </c>
      <c r="C71" s="621"/>
      <c r="D71" s="621"/>
      <c r="E71" s="622"/>
      <c r="F71" s="120">
        <f>SUM(F68:F70)</f>
        <v>2940.6440061271196</v>
      </c>
      <c r="G71" s="97">
        <f>+F71/$F$71</f>
        <v>1</v>
      </c>
      <c r="H71" s="623"/>
      <c r="I71" s="109"/>
      <c r="J71" s="99"/>
      <c r="N71" s="82">
        <f>+O69*10%</f>
        <v>355.65200000000004</v>
      </c>
    </row>
    <row r="72" spans="2:17" x14ac:dyDescent="0.2">
      <c r="C72" s="104"/>
      <c r="D72" s="104"/>
      <c r="E72" s="152"/>
      <c r="F72" s="143"/>
      <c r="G72" s="97"/>
      <c r="H72" s="623"/>
      <c r="I72" s="151"/>
      <c r="J72" s="82"/>
      <c r="N72" s="363">
        <f>3556.52+N71</f>
        <v>3912.172</v>
      </c>
    </row>
    <row r="73" spans="2:17" ht="13.5" thickBot="1" x14ac:dyDescent="0.25">
      <c r="B73" s="624" t="s">
        <v>119</v>
      </c>
      <c r="C73" s="624"/>
      <c r="D73" s="624"/>
      <c r="E73" s="624"/>
      <c r="F73" s="624"/>
      <c r="G73" s="97"/>
      <c r="H73" s="154"/>
      <c r="I73" s="151"/>
      <c r="J73" s="82"/>
    </row>
    <row r="74" spans="2:17" ht="13.5" thickBot="1" x14ac:dyDescent="0.25">
      <c r="B74" s="155" t="s">
        <v>120</v>
      </c>
      <c r="C74" s="156">
        <f>+F58</f>
        <v>2227.3038333149607</v>
      </c>
      <c r="D74" s="156">
        <f>+D63</f>
        <v>950</v>
      </c>
      <c r="E74" s="157">
        <f>+C74/D74</f>
        <v>2.3445303508578532</v>
      </c>
      <c r="F74" s="97"/>
      <c r="G74" s="154"/>
      <c r="H74" s="99"/>
      <c r="I74" s="154"/>
      <c r="J74" s="82"/>
      <c r="N74" s="82" t="s">
        <v>205</v>
      </c>
    </row>
    <row r="75" spans="2:17" x14ac:dyDescent="0.2">
      <c r="B75" s="158"/>
      <c r="C75" s="159"/>
      <c r="D75" s="160"/>
      <c r="E75" s="143"/>
      <c r="F75" s="97"/>
      <c r="G75" s="154"/>
      <c r="H75" s="99"/>
      <c r="I75" s="99"/>
      <c r="J75" s="82"/>
    </row>
    <row r="76" spans="2:17" x14ac:dyDescent="0.2">
      <c r="B76" s="155" t="s">
        <v>121</v>
      </c>
      <c r="C76" s="156">
        <f>SUM(F68:F69)</f>
        <v>2665.6440061271196</v>
      </c>
      <c r="D76" s="156">
        <f>+D63</f>
        <v>950</v>
      </c>
      <c r="E76" s="161">
        <f>+C76/D76</f>
        <v>2.8059410590811784</v>
      </c>
      <c r="F76" s="97"/>
      <c r="G76" s="154"/>
      <c r="H76" s="99"/>
      <c r="I76" s="99"/>
      <c r="J76" s="82"/>
    </row>
    <row r="77" spans="2:17" x14ac:dyDescent="0.2">
      <c r="B77" s="155"/>
      <c r="C77" s="156"/>
      <c r="D77" s="156"/>
      <c r="E77" s="161"/>
      <c r="F77" s="97"/>
      <c r="G77" s="154"/>
      <c r="H77" s="99"/>
      <c r="I77" s="99"/>
      <c r="J77" s="82"/>
    </row>
    <row r="78" spans="2:17" ht="13.5" thickBot="1" x14ac:dyDescent="0.25">
      <c r="B78" s="155" t="s">
        <v>122</v>
      </c>
      <c r="C78" s="156">
        <f>+F70</f>
        <v>275</v>
      </c>
      <c r="D78" s="156">
        <f>+D63</f>
        <v>950</v>
      </c>
      <c r="E78" s="161">
        <f>+C78/D78</f>
        <v>0.28947368421052633</v>
      </c>
      <c r="F78" s="97"/>
      <c r="G78" s="154"/>
      <c r="H78" s="99"/>
      <c r="I78" s="99"/>
      <c r="J78" s="82"/>
    </row>
    <row r="79" spans="2:17" ht="13.5" thickBot="1" x14ac:dyDescent="0.25">
      <c r="B79" s="155" t="s">
        <v>123</v>
      </c>
      <c r="C79" s="156">
        <f>+F61</f>
        <v>386.06711952102637</v>
      </c>
      <c r="D79" s="156">
        <f>+D78</f>
        <v>950</v>
      </c>
      <c r="E79" s="157">
        <f>+C79/D79</f>
        <v>0.40638644160108039</v>
      </c>
      <c r="F79" s="97"/>
      <c r="G79" s="154"/>
      <c r="H79" s="99"/>
      <c r="I79" s="99"/>
      <c r="J79" s="82"/>
    </row>
    <row r="80" spans="2:17" ht="13.5" thickBot="1" x14ac:dyDescent="0.25">
      <c r="B80" s="119"/>
      <c r="C80" s="120"/>
      <c r="D80" s="120"/>
      <c r="E80" s="161"/>
      <c r="F80" s="97"/>
      <c r="G80" s="154"/>
      <c r="H80" s="99"/>
      <c r="I80" s="99"/>
      <c r="J80" s="82"/>
    </row>
    <row r="81" spans="1:10" ht="13.5" thickBot="1" x14ac:dyDescent="0.25">
      <c r="B81" s="155" t="s">
        <v>124</v>
      </c>
      <c r="C81" s="156">
        <f>+F59</f>
        <v>393.79409614585961</v>
      </c>
      <c r="D81" s="156">
        <f>+D79</f>
        <v>950</v>
      </c>
      <c r="E81" s="157">
        <f>+C81/D81</f>
        <v>0.414520101206168</v>
      </c>
      <c r="F81" s="97"/>
      <c r="G81" s="154"/>
      <c r="H81" s="99"/>
      <c r="I81" s="99"/>
      <c r="J81" s="99"/>
    </row>
    <row r="82" spans="1:10" ht="13.5" thickBot="1" x14ac:dyDescent="0.25">
      <c r="B82" s="119"/>
      <c r="C82" s="120"/>
      <c r="D82" s="120"/>
      <c r="E82" s="161"/>
      <c r="F82" s="97"/>
      <c r="G82" s="154"/>
      <c r="H82" s="99"/>
      <c r="I82" s="99"/>
    </row>
    <row r="83" spans="1:10" ht="13.5" thickBot="1" x14ac:dyDescent="0.25">
      <c r="B83" s="625" t="s">
        <v>125</v>
      </c>
      <c r="C83" s="626"/>
      <c r="D83" s="627"/>
      <c r="E83" s="157">
        <f>+E74+E79</f>
        <v>2.7509167924589337</v>
      </c>
      <c r="G83" s="97"/>
      <c r="H83" s="154"/>
      <c r="I83" s="99"/>
      <c r="J83" s="161"/>
    </row>
    <row r="84" spans="1:10" x14ac:dyDescent="0.2">
      <c r="I84" s="154"/>
      <c r="J84" s="82"/>
    </row>
    <row r="85" spans="1:10" ht="13.5" thickBot="1" x14ac:dyDescent="0.25">
      <c r="B85" s="624" t="s">
        <v>126</v>
      </c>
      <c r="C85" s="624"/>
      <c r="D85" s="624"/>
      <c r="E85" s="624"/>
      <c r="F85" s="624"/>
      <c r="G85" s="97"/>
      <c r="H85" s="154"/>
      <c r="J85" s="82"/>
    </row>
    <row r="86" spans="1:10" ht="13.5" thickBot="1" x14ac:dyDescent="0.25">
      <c r="B86" s="155" t="s">
        <v>120</v>
      </c>
      <c r="C86" s="156">
        <f>+C74</f>
        <v>2227.3038333149607</v>
      </c>
      <c r="D86" s="156">
        <f>+D65</f>
        <v>1</v>
      </c>
      <c r="E86" s="157">
        <f>+C86/D86</f>
        <v>2227.3038333149607</v>
      </c>
      <c r="F86" s="97"/>
      <c r="G86" s="154"/>
      <c r="H86" s="99"/>
      <c r="I86" s="154"/>
      <c r="J86" s="82"/>
    </row>
    <row r="87" spans="1:10" x14ac:dyDescent="0.2">
      <c r="B87" s="158"/>
      <c r="C87" s="159"/>
      <c r="D87" s="160"/>
      <c r="E87" s="143"/>
      <c r="F87" s="97"/>
      <c r="G87" s="154"/>
      <c r="H87" s="99"/>
      <c r="I87" s="99"/>
      <c r="J87" s="82"/>
    </row>
    <row r="88" spans="1:10" x14ac:dyDescent="0.2">
      <c r="B88" s="155" t="s">
        <v>121</v>
      </c>
      <c r="C88" s="156">
        <f>+C76</f>
        <v>2665.6440061271196</v>
      </c>
      <c r="D88" s="156">
        <f>+D65</f>
        <v>1</v>
      </c>
      <c r="E88" s="161">
        <f>+C88/D88</f>
        <v>2665.6440061271196</v>
      </c>
      <c r="F88" s="97"/>
      <c r="G88" s="154"/>
      <c r="H88" s="99"/>
      <c r="I88" s="99"/>
      <c r="J88" s="82"/>
    </row>
    <row r="89" spans="1:10" x14ac:dyDescent="0.2">
      <c r="B89" s="155"/>
      <c r="C89" s="156"/>
      <c r="D89" s="156"/>
      <c r="E89" s="161"/>
      <c r="F89" s="97"/>
      <c r="G89" s="154"/>
      <c r="H89" s="99"/>
      <c r="I89" s="99"/>
      <c r="J89" s="82"/>
    </row>
    <row r="90" spans="1:10" ht="13.5" thickBot="1" x14ac:dyDescent="0.25">
      <c r="B90" s="155" t="s">
        <v>123</v>
      </c>
      <c r="C90" s="156">
        <f>+C78</f>
        <v>275</v>
      </c>
      <c r="D90" s="156">
        <f>+D65</f>
        <v>1</v>
      </c>
      <c r="E90" s="161">
        <f>+C90/D90</f>
        <v>275</v>
      </c>
      <c r="F90" s="163"/>
      <c r="G90" s="153"/>
      <c r="H90" s="81"/>
      <c r="I90" s="99"/>
    </row>
    <row r="91" spans="1:10" ht="13.5" thickBot="1" x14ac:dyDescent="0.25">
      <c r="B91" s="155" t="s">
        <v>123</v>
      </c>
      <c r="C91" s="156">
        <f>+C79</f>
        <v>386.06711952102637</v>
      </c>
      <c r="D91" s="156">
        <f>+D90</f>
        <v>1</v>
      </c>
      <c r="E91" s="157">
        <f>+C91/D91</f>
        <v>386.06711952102637</v>
      </c>
      <c r="F91" s="162"/>
      <c r="G91" s="153"/>
      <c r="H91" s="81"/>
      <c r="I91" s="81"/>
    </row>
    <row r="92" spans="1:10" x14ac:dyDescent="0.2">
      <c r="I92" s="81"/>
    </row>
    <row r="93" spans="1:10" x14ac:dyDescent="0.2">
      <c r="A93" s="617"/>
      <c r="B93" s="617"/>
      <c r="C93" s="164"/>
      <c r="D93" s="164"/>
      <c r="E93" s="165"/>
      <c r="G93" s="166"/>
    </row>
    <row r="94" spans="1:10" x14ac:dyDescent="0.2">
      <c r="A94" s="100"/>
      <c r="B94" s="167"/>
      <c r="C94" s="168"/>
      <c r="D94" s="168"/>
      <c r="E94" s="169"/>
      <c r="G94" s="166"/>
    </row>
    <row r="95" spans="1:10" x14ac:dyDescent="0.2">
      <c r="A95" s="100"/>
      <c r="B95" s="167"/>
      <c r="C95" s="170"/>
      <c r="D95" s="170"/>
      <c r="E95" s="100"/>
      <c r="G95" s="166"/>
    </row>
    <row r="96" spans="1:10" x14ac:dyDescent="0.2">
      <c r="A96" s="100"/>
      <c r="B96" s="167"/>
      <c r="C96" s="171"/>
      <c r="D96" s="171"/>
      <c r="E96" s="100"/>
      <c r="G96" s="166"/>
    </row>
  </sheetData>
  <mergeCells count="31">
    <mergeCell ref="A4:H4"/>
    <mergeCell ref="A5:H5"/>
    <mergeCell ref="F6:G6"/>
    <mergeCell ref="K27:L27"/>
    <mergeCell ref="K33:L33"/>
    <mergeCell ref="K34:L34"/>
    <mergeCell ref="K35:L35"/>
    <mergeCell ref="B58:E58"/>
    <mergeCell ref="B59:E59"/>
    <mergeCell ref="K59:N59"/>
    <mergeCell ref="B60:E60"/>
    <mergeCell ref="L60:N60"/>
    <mergeCell ref="C61:E61"/>
    <mergeCell ref="B63:C63"/>
    <mergeCell ref="B64:C64"/>
    <mergeCell ref="M64:N64"/>
    <mergeCell ref="B65:C65"/>
    <mergeCell ref="L65:M65"/>
    <mergeCell ref="B66:C66"/>
    <mergeCell ref="K66:N66"/>
    <mergeCell ref="L67:N67"/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0F79-7BD0-426B-BA20-37A93018E321}">
  <dimension ref="A1:IV35"/>
  <sheetViews>
    <sheetView workbookViewId="0">
      <selection activeCell="A7" sqref="A7"/>
    </sheetView>
  </sheetViews>
  <sheetFormatPr baseColWidth="10" defaultRowHeight="12.75" x14ac:dyDescent="0.2"/>
  <cols>
    <col min="1" max="1" width="18.42578125" customWidth="1"/>
    <col min="2" max="2" width="32.28515625" customWidth="1"/>
    <col min="3" max="3" width="25.28515625" customWidth="1"/>
  </cols>
  <sheetData>
    <row r="1" spans="1:256" ht="18" x14ac:dyDescent="0.2">
      <c r="A1" s="722"/>
      <c r="B1" s="726" t="s">
        <v>22</v>
      </c>
      <c r="C1" s="726"/>
      <c r="D1" s="726"/>
      <c r="E1" s="726"/>
      <c r="F1" s="726"/>
      <c r="G1" s="364" t="s">
        <v>206</v>
      </c>
      <c r="H1" s="365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90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90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90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90"/>
      <c r="GL1" s="290"/>
      <c r="GM1" s="290"/>
      <c r="GN1" s="290"/>
      <c r="GO1" s="290"/>
      <c r="GP1" s="290"/>
      <c r="GQ1" s="290"/>
      <c r="GR1" s="290"/>
      <c r="GS1" s="290"/>
      <c r="GT1" s="290"/>
      <c r="GU1" s="290"/>
      <c r="GV1" s="290"/>
      <c r="GW1" s="290"/>
      <c r="GX1" s="290"/>
      <c r="GY1" s="290"/>
      <c r="GZ1" s="290"/>
      <c r="HA1" s="290"/>
      <c r="HB1" s="290"/>
      <c r="HC1" s="290"/>
      <c r="HD1" s="290"/>
      <c r="HE1" s="290"/>
      <c r="HF1" s="290"/>
      <c r="HG1" s="290"/>
      <c r="HH1" s="290"/>
      <c r="HI1" s="290"/>
      <c r="HJ1" s="290"/>
      <c r="HK1" s="290"/>
      <c r="HL1" s="290"/>
      <c r="HM1" s="290"/>
      <c r="HN1" s="290"/>
      <c r="HO1" s="290"/>
      <c r="HP1" s="290"/>
      <c r="HQ1" s="290"/>
      <c r="HR1" s="290"/>
      <c r="HS1" s="290"/>
      <c r="HT1" s="290"/>
      <c r="HU1" s="290"/>
      <c r="HV1" s="290"/>
      <c r="HW1" s="290"/>
      <c r="HX1" s="290"/>
      <c r="HY1" s="290"/>
      <c r="HZ1" s="290"/>
      <c r="IA1" s="290"/>
      <c r="IB1" s="290"/>
      <c r="IC1" s="290"/>
      <c r="ID1" s="290"/>
      <c r="IE1" s="290"/>
      <c r="IF1" s="290"/>
      <c r="IG1" s="290"/>
      <c r="IH1" s="290"/>
      <c r="II1" s="290"/>
      <c r="IJ1" s="290"/>
      <c r="IK1" s="290"/>
      <c r="IL1" s="290"/>
      <c r="IM1" s="290"/>
      <c r="IN1" s="290"/>
      <c r="IO1" s="290"/>
      <c r="IP1" s="290"/>
      <c r="IQ1" s="290"/>
      <c r="IR1" s="290"/>
      <c r="IS1" s="290"/>
      <c r="IT1" s="290"/>
      <c r="IU1" s="290"/>
      <c r="IV1" s="290"/>
    </row>
    <row r="2" spans="1:256" ht="18" x14ac:dyDescent="0.2">
      <c r="A2" s="723"/>
      <c r="B2" s="727" t="s">
        <v>207</v>
      </c>
      <c r="C2" s="727"/>
      <c r="D2" s="727"/>
      <c r="E2" s="727"/>
      <c r="F2" s="727"/>
      <c r="G2" s="366" t="s">
        <v>208</v>
      </c>
      <c r="H2" s="367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290"/>
      <c r="CI2" s="290"/>
      <c r="CJ2" s="290"/>
      <c r="CK2" s="290"/>
      <c r="CL2" s="290"/>
      <c r="CM2" s="290"/>
      <c r="CN2" s="290"/>
      <c r="CO2" s="290"/>
      <c r="CP2" s="290"/>
      <c r="CQ2" s="290"/>
      <c r="CR2" s="290"/>
      <c r="CS2" s="290"/>
      <c r="CT2" s="290"/>
      <c r="CU2" s="290"/>
      <c r="CV2" s="290"/>
      <c r="CW2" s="290"/>
      <c r="CX2" s="290"/>
      <c r="CY2" s="290"/>
      <c r="CZ2" s="290"/>
      <c r="DA2" s="290"/>
      <c r="DB2" s="290"/>
      <c r="DC2" s="290"/>
      <c r="DD2" s="290"/>
      <c r="DE2" s="290"/>
      <c r="DF2" s="290"/>
      <c r="DG2" s="290"/>
      <c r="DH2" s="290"/>
      <c r="DI2" s="290"/>
      <c r="DJ2" s="290"/>
      <c r="DK2" s="290"/>
      <c r="DL2" s="290"/>
      <c r="DM2" s="290"/>
      <c r="DN2" s="290"/>
      <c r="DO2" s="290"/>
      <c r="DP2" s="290"/>
      <c r="DQ2" s="290"/>
      <c r="DR2" s="290"/>
      <c r="DS2" s="290"/>
      <c r="DT2" s="290"/>
      <c r="DU2" s="290"/>
      <c r="DV2" s="290"/>
      <c r="DW2" s="290"/>
      <c r="DX2" s="290"/>
      <c r="DY2" s="290"/>
      <c r="DZ2" s="290"/>
      <c r="EA2" s="290"/>
      <c r="EB2" s="290"/>
      <c r="EC2" s="290"/>
      <c r="ED2" s="290"/>
      <c r="EE2" s="290"/>
      <c r="EF2" s="290"/>
      <c r="EG2" s="290"/>
      <c r="EH2" s="290"/>
      <c r="EI2" s="290"/>
      <c r="EJ2" s="290"/>
      <c r="EK2" s="290"/>
      <c r="EL2" s="290"/>
      <c r="EM2" s="290"/>
      <c r="EN2" s="290"/>
      <c r="EO2" s="290"/>
      <c r="EP2" s="290"/>
      <c r="EQ2" s="290"/>
      <c r="ER2" s="290"/>
      <c r="ES2" s="290"/>
      <c r="ET2" s="290"/>
      <c r="EU2" s="290"/>
      <c r="EV2" s="290"/>
      <c r="EW2" s="290"/>
      <c r="EX2" s="290"/>
      <c r="EY2" s="290"/>
      <c r="EZ2" s="290"/>
      <c r="FA2" s="290"/>
      <c r="FB2" s="290"/>
      <c r="FC2" s="290"/>
      <c r="FD2" s="290"/>
      <c r="FE2" s="290"/>
      <c r="FF2" s="290"/>
      <c r="FG2" s="290"/>
      <c r="FH2" s="290"/>
      <c r="FI2" s="290"/>
      <c r="FJ2" s="290"/>
      <c r="FK2" s="290"/>
      <c r="FL2" s="290"/>
      <c r="FM2" s="290"/>
      <c r="FN2" s="290"/>
      <c r="FO2" s="290"/>
      <c r="FP2" s="290"/>
      <c r="FQ2" s="290"/>
      <c r="FR2" s="290"/>
      <c r="FS2" s="290"/>
      <c r="FT2" s="290"/>
      <c r="FU2" s="290"/>
      <c r="FV2" s="290"/>
      <c r="FW2" s="290"/>
      <c r="FX2" s="290"/>
      <c r="FY2" s="290"/>
      <c r="FZ2" s="290"/>
      <c r="GA2" s="290"/>
      <c r="GB2" s="290"/>
      <c r="GC2" s="290"/>
      <c r="GD2" s="290"/>
      <c r="GE2" s="290"/>
      <c r="GF2" s="290"/>
      <c r="GG2" s="290"/>
      <c r="GH2" s="290"/>
      <c r="GI2" s="290"/>
      <c r="GJ2" s="290"/>
      <c r="GK2" s="290"/>
      <c r="GL2" s="290"/>
      <c r="GM2" s="290"/>
      <c r="GN2" s="290"/>
      <c r="GO2" s="290"/>
      <c r="GP2" s="290"/>
      <c r="GQ2" s="290"/>
      <c r="GR2" s="290"/>
      <c r="GS2" s="290"/>
      <c r="GT2" s="290"/>
      <c r="GU2" s="290"/>
      <c r="GV2" s="290"/>
      <c r="GW2" s="290"/>
      <c r="GX2" s="290"/>
      <c r="GY2" s="290"/>
      <c r="GZ2" s="290"/>
      <c r="HA2" s="290"/>
      <c r="HB2" s="290"/>
      <c r="HC2" s="290"/>
      <c r="HD2" s="290"/>
      <c r="HE2" s="290"/>
      <c r="HF2" s="290"/>
      <c r="HG2" s="290"/>
      <c r="HH2" s="290"/>
      <c r="HI2" s="290"/>
      <c r="HJ2" s="290"/>
      <c r="HK2" s="290"/>
      <c r="HL2" s="290"/>
      <c r="HM2" s="290"/>
      <c r="HN2" s="290"/>
      <c r="HO2" s="290"/>
      <c r="HP2" s="290"/>
      <c r="HQ2" s="290"/>
      <c r="HR2" s="290"/>
      <c r="HS2" s="290"/>
      <c r="HT2" s="290"/>
      <c r="HU2" s="290"/>
      <c r="HV2" s="290"/>
      <c r="HW2" s="290"/>
      <c r="HX2" s="290"/>
      <c r="HY2" s="290"/>
      <c r="HZ2" s="290"/>
      <c r="IA2" s="290"/>
      <c r="IB2" s="290"/>
      <c r="IC2" s="290"/>
      <c r="ID2" s="290"/>
      <c r="IE2" s="290"/>
      <c r="IF2" s="290"/>
      <c r="IG2" s="290"/>
      <c r="IH2" s="290"/>
      <c r="II2" s="290"/>
      <c r="IJ2" s="290"/>
      <c r="IK2" s="290"/>
      <c r="IL2" s="290"/>
      <c r="IM2" s="290"/>
      <c r="IN2" s="290"/>
      <c r="IO2" s="290"/>
      <c r="IP2" s="290"/>
      <c r="IQ2" s="290"/>
      <c r="IR2" s="290"/>
      <c r="IS2" s="290"/>
      <c r="IT2" s="290"/>
      <c r="IU2" s="290"/>
      <c r="IV2" s="290"/>
    </row>
    <row r="3" spans="1:256" ht="40.5" x14ac:dyDescent="0.25">
      <c r="A3" s="724"/>
      <c r="B3" s="728" t="s">
        <v>209</v>
      </c>
      <c r="C3" s="728"/>
      <c r="D3" s="728"/>
      <c r="E3" s="728"/>
      <c r="F3" s="728"/>
      <c r="G3" s="368" t="s">
        <v>210</v>
      </c>
      <c r="H3" s="369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370"/>
      <c r="BG3" s="370"/>
      <c r="BH3" s="370"/>
      <c r="BI3" s="370"/>
      <c r="BJ3" s="370"/>
      <c r="BK3" s="370"/>
      <c r="BL3" s="370"/>
      <c r="BM3" s="370"/>
      <c r="BN3" s="370"/>
      <c r="BO3" s="370"/>
      <c r="BP3" s="370"/>
      <c r="BQ3" s="370"/>
      <c r="BR3" s="370"/>
      <c r="BS3" s="370"/>
      <c r="BT3" s="370"/>
      <c r="BU3" s="370"/>
      <c r="BV3" s="370"/>
      <c r="BW3" s="370"/>
      <c r="BX3" s="370"/>
      <c r="BY3" s="370"/>
      <c r="BZ3" s="370"/>
      <c r="CA3" s="370"/>
      <c r="CB3" s="370"/>
      <c r="CC3" s="370"/>
      <c r="CD3" s="370"/>
      <c r="CE3" s="370"/>
      <c r="CF3" s="370"/>
      <c r="CG3" s="370"/>
      <c r="CH3" s="370"/>
      <c r="CI3" s="370"/>
      <c r="CJ3" s="370"/>
      <c r="CK3" s="370"/>
      <c r="CL3" s="370"/>
      <c r="CM3" s="370"/>
      <c r="CN3" s="370"/>
      <c r="CO3" s="370"/>
      <c r="CP3" s="370"/>
      <c r="CQ3" s="370"/>
      <c r="CR3" s="370"/>
      <c r="CS3" s="370"/>
      <c r="CT3" s="370"/>
      <c r="CU3" s="370"/>
      <c r="CV3" s="370"/>
      <c r="CW3" s="370"/>
      <c r="CX3" s="370"/>
      <c r="CY3" s="370"/>
      <c r="CZ3" s="370"/>
      <c r="DA3" s="370"/>
      <c r="DB3" s="370"/>
      <c r="DC3" s="370"/>
      <c r="DD3" s="370"/>
      <c r="DE3" s="370"/>
      <c r="DF3" s="370"/>
      <c r="DG3" s="370"/>
      <c r="DH3" s="370"/>
      <c r="DI3" s="370"/>
      <c r="DJ3" s="370"/>
      <c r="DK3" s="370"/>
      <c r="DL3" s="370"/>
      <c r="DM3" s="370"/>
      <c r="DN3" s="370"/>
      <c r="DO3" s="370"/>
      <c r="DP3" s="370"/>
      <c r="DQ3" s="370"/>
      <c r="DR3" s="370"/>
      <c r="DS3" s="370"/>
      <c r="DT3" s="370"/>
      <c r="DU3" s="370"/>
      <c r="DV3" s="370"/>
      <c r="DW3" s="370"/>
      <c r="DX3" s="370"/>
      <c r="DY3" s="370"/>
      <c r="DZ3" s="370"/>
      <c r="EA3" s="370"/>
      <c r="EB3" s="370"/>
      <c r="EC3" s="370"/>
      <c r="ED3" s="370"/>
      <c r="EE3" s="370"/>
      <c r="EF3" s="370"/>
      <c r="EG3" s="370"/>
      <c r="EH3" s="370"/>
      <c r="EI3" s="370"/>
      <c r="EJ3" s="370"/>
      <c r="EK3" s="370"/>
      <c r="EL3" s="370"/>
      <c r="EM3" s="370"/>
      <c r="EN3" s="370"/>
      <c r="EO3" s="370"/>
      <c r="EP3" s="370"/>
      <c r="EQ3" s="370"/>
      <c r="ER3" s="370"/>
      <c r="ES3" s="370"/>
      <c r="ET3" s="370"/>
      <c r="EU3" s="370"/>
      <c r="EV3" s="370"/>
      <c r="EW3" s="370"/>
      <c r="EX3" s="370"/>
      <c r="EY3" s="370"/>
      <c r="EZ3" s="370"/>
      <c r="FA3" s="370"/>
      <c r="FB3" s="370"/>
      <c r="FC3" s="370"/>
      <c r="FD3" s="370"/>
      <c r="FE3" s="370"/>
      <c r="FF3" s="370"/>
      <c r="FG3" s="370"/>
      <c r="FH3" s="370"/>
      <c r="FI3" s="370"/>
      <c r="FJ3" s="370"/>
      <c r="FK3" s="370"/>
      <c r="FL3" s="370"/>
      <c r="FM3" s="370"/>
      <c r="FN3" s="370"/>
      <c r="FO3" s="370"/>
      <c r="FP3" s="370"/>
      <c r="FQ3" s="370"/>
      <c r="FR3" s="370"/>
      <c r="FS3" s="370"/>
      <c r="FT3" s="370"/>
      <c r="FU3" s="370"/>
      <c r="FV3" s="370"/>
      <c r="FW3" s="370"/>
      <c r="FX3" s="370"/>
      <c r="FY3" s="370"/>
      <c r="FZ3" s="370"/>
      <c r="GA3" s="370"/>
      <c r="GB3" s="370"/>
      <c r="GC3" s="370"/>
      <c r="GD3" s="370"/>
      <c r="GE3" s="370"/>
      <c r="GF3" s="370"/>
      <c r="GG3" s="370"/>
      <c r="GH3" s="370"/>
      <c r="GI3" s="370"/>
      <c r="GJ3" s="370"/>
      <c r="GK3" s="370"/>
      <c r="GL3" s="370"/>
      <c r="GM3" s="370"/>
      <c r="GN3" s="370"/>
      <c r="GO3" s="370"/>
      <c r="GP3" s="370"/>
      <c r="GQ3" s="370"/>
      <c r="GR3" s="370"/>
      <c r="GS3" s="370"/>
      <c r="GT3" s="370"/>
      <c r="GU3" s="370"/>
      <c r="GV3" s="370"/>
      <c r="GW3" s="370"/>
      <c r="GX3" s="370"/>
      <c r="GY3" s="370"/>
      <c r="GZ3" s="370"/>
      <c r="HA3" s="370"/>
      <c r="HB3" s="370"/>
      <c r="HC3" s="370"/>
      <c r="HD3" s="370"/>
      <c r="HE3" s="370"/>
      <c r="HF3" s="370"/>
      <c r="HG3" s="370"/>
      <c r="HH3" s="370"/>
      <c r="HI3" s="370"/>
      <c r="HJ3" s="370"/>
      <c r="HK3" s="370"/>
      <c r="HL3" s="370"/>
      <c r="HM3" s="370"/>
      <c r="HN3" s="370"/>
      <c r="HO3" s="370"/>
      <c r="HP3" s="370"/>
      <c r="HQ3" s="370"/>
      <c r="HR3" s="370"/>
      <c r="HS3" s="370"/>
      <c r="HT3" s="370"/>
      <c r="HU3" s="370"/>
      <c r="HV3" s="370"/>
      <c r="HW3" s="370"/>
      <c r="HX3" s="370"/>
      <c r="HY3" s="370"/>
      <c r="HZ3" s="370"/>
      <c r="IA3" s="370"/>
      <c r="IB3" s="370"/>
      <c r="IC3" s="370"/>
      <c r="ID3" s="370"/>
      <c r="IE3" s="370"/>
      <c r="IF3" s="370"/>
      <c r="IG3" s="370"/>
      <c r="IH3" s="370"/>
      <c r="II3" s="370"/>
      <c r="IJ3" s="370"/>
      <c r="IK3" s="370"/>
      <c r="IL3" s="370"/>
      <c r="IM3" s="370"/>
      <c r="IN3" s="370"/>
      <c r="IO3" s="370"/>
      <c r="IP3" s="370"/>
      <c r="IQ3" s="370"/>
      <c r="IR3" s="370"/>
      <c r="IS3" s="370"/>
      <c r="IT3" s="370"/>
      <c r="IU3" s="370"/>
      <c r="IV3" s="370"/>
    </row>
    <row r="4" spans="1:256" ht="15" thickBot="1" x14ac:dyDescent="0.25">
      <c r="A4" s="725"/>
      <c r="B4" s="729" t="s">
        <v>211</v>
      </c>
      <c r="C4" s="730"/>
      <c r="D4" s="731" t="s">
        <v>212</v>
      </c>
      <c r="E4" s="732"/>
      <c r="F4" s="371" t="s">
        <v>213</v>
      </c>
      <c r="G4" s="716" t="s">
        <v>214</v>
      </c>
      <c r="H4" s="717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J4" s="290"/>
      <c r="AK4" s="290"/>
      <c r="AL4" s="290"/>
      <c r="AM4" s="290"/>
      <c r="AN4" s="290"/>
      <c r="AO4" s="290"/>
      <c r="AP4" s="290"/>
      <c r="AQ4" s="290"/>
      <c r="AR4" s="290"/>
      <c r="AS4" s="290"/>
      <c r="AT4" s="290"/>
      <c r="AU4" s="290"/>
      <c r="AV4" s="290"/>
      <c r="AW4" s="290"/>
      <c r="AX4" s="290"/>
      <c r="AY4" s="290"/>
      <c r="AZ4" s="290"/>
      <c r="BA4" s="290"/>
      <c r="BB4" s="290"/>
      <c r="BC4" s="290"/>
      <c r="BD4" s="290"/>
      <c r="BE4" s="290"/>
      <c r="BF4" s="290"/>
      <c r="BG4" s="290"/>
      <c r="BH4" s="290"/>
      <c r="BI4" s="290"/>
      <c r="BJ4" s="290"/>
      <c r="BK4" s="290"/>
      <c r="BL4" s="290"/>
      <c r="BM4" s="290"/>
      <c r="BN4" s="290"/>
      <c r="BO4" s="290"/>
      <c r="BP4" s="290"/>
      <c r="BQ4" s="290"/>
      <c r="BR4" s="290"/>
      <c r="BS4" s="290"/>
      <c r="BT4" s="290"/>
      <c r="BU4" s="290"/>
      <c r="BV4" s="290"/>
      <c r="BW4" s="290"/>
      <c r="BX4" s="290"/>
      <c r="BY4" s="290"/>
      <c r="BZ4" s="290"/>
      <c r="CA4" s="290"/>
      <c r="CB4" s="290"/>
      <c r="CC4" s="290"/>
      <c r="CD4" s="290"/>
      <c r="CE4" s="290"/>
      <c r="CF4" s="290"/>
      <c r="CG4" s="290"/>
      <c r="CH4" s="290"/>
      <c r="CI4" s="290"/>
      <c r="CJ4" s="290"/>
      <c r="CK4" s="290"/>
      <c r="CL4" s="290"/>
      <c r="CM4" s="290"/>
      <c r="CN4" s="290"/>
      <c r="CO4" s="290"/>
      <c r="CP4" s="290"/>
      <c r="CQ4" s="290"/>
      <c r="CR4" s="290"/>
      <c r="CS4" s="290"/>
      <c r="CT4" s="290"/>
      <c r="CU4" s="290"/>
      <c r="CV4" s="290"/>
      <c r="CW4" s="290"/>
      <c r="CX4" s="290"/>
      <c r="CY4" s="290"/>
      <c r="CZ4" s="290"/>
      <c r="DA4" s="290"/>
      <c r="DB4" s="290"/>
      <c r="DC4" s="290"/>
      <c r="DD4" s="290"/>
      <c r="DE4" s="290"/>
      <c r="DF4" s="290"/>
      <c r="DG4" s="290"/>
      <c r="DH4" s="290"/>
      <c r="DI4" s="290"/>
      <c r="DJ4" s="290"/>
      <c r="DK4" s="290"/>
      <c r="DL4" s="290"/>
      <c r="DM4" s="290"/>
      <c r="DN4" s="290"/>
      <c r="DO4" s="290"/>
      <c r="DP4" s="290"/>
      <c r="DQ4" s="290"/>
      <c r="DR4" s="290"/>
      <c r="DS4" s="290"/>
      <c r="DT4" s="290"/>
      <c r="DU4" s="290"/>
      <c r="DV4" s="290"/>
      <c r="DW4" s="290"/>
      <c r="DX4" s="290"/>
      <c r="DY4" s="290"/>
      <c r="DZ4" s="290"/>
      <c r="EA4" s="290"/>
      <c r="EB4" s="290"/>
      <c r="EC4" s="290"/>
      <c r="ED4" s="290"/>
      <c r="EE4" s="290"/>
      <c r="EF4" s="290"/>
      <c r="EG4" s="290"/>
      <c r="EH4" s="290"/>
      <c r="EI4" s="290"/>
      <c r="EJ4" s="290"/>
      <c r="EK4" s="290"/>
      <c r="EL4" s="290"/>
      <c r="EM4" s="290"/>
      <c r="EN4" s="290"/>
      <c r="EO4" s="290"/>
      <c r="EP4" s="290"/>
      <c r="EQ4" s="290"/>
      <c r="ER4" s="290"/>
      <c r="ES4" s="290"/>
      <c r="ET4" s="290"/>
      <c r="EU4" s="290"/>
      <c r="EV4" s="290"/>
      <c r="EW4" s="290"/>
      <c r="EX4" s="290"/>
      <c r="EY4" s="290"/>
      <c r="EZ4" s="290"/>
      <c r="FA4" s="290"/>
      <c r="FB4" s="290"/>
      <c r="FC4" s="290"/>
      <c r="FD4" s="290"/>
      <c r="FE4" s="290"/>
      <c r="FF4" s="290"/>
      <c r="FG4" s="290"/>
      <c r="FH4" s="290"/>
      <c r="FI4" s="290"/>
      <c r="FJ4" s="290"/>
      <c r="FK4" s="290"/>
      <c r="FL4" s="290"/>
      <c r="FM4" s="290"/>
      <c r="FN4" s="290"/>
      <c r="FO4" s="290"/>
      <c r="FP4" s="290"/>
      <c r="FQ4" s="290"/>
      <c r="FR4" s="290"/>
      <c r="FS4" s="290"/>
      <c r="FT4" s="290"/>
      <c r="FU4" s="290"/>
      <c r="FV4" s="290"/>
      <c r="FW4" s="290"/>
      <c r="FX4" s="290"/>
      <c r="FY4" s="290"/>
      <c r="FZ4" s="290"/>
      <c r="GA4" s="290"/>
      <c r="GB4" s="290"/>
      <c r="GC4" s="290"/>
      <c r="GD4" s="290"/>
      <c r="GE4" s="290"/>
      <c r="GF4" s="290"/>
      <c r="GG4" s="290"/>
      <c r="GH4" s="290"/>
      <c r="GI4" s="290"/>
      <c r="GJ4" s="290"/>
      <c r="GK4" s="290"/>
      <c r="GL4" s="290"/>
      <c r="GM4" s="290"/>
      <c r="GN4" s="290"/>
      <c r="GO4" s="290"/>
      <c r="GP4" s="290"/>
      <c r="GQ4" s="290"/>
      <c r="GR4" s="290"/>
      <c r="GS4" s="290"/>
      <c r="GT4" s="290"/>
      <c r="GU4" s="290"/>
      <c r="GV4" s="290"/>
      <c r="GW4" s="290"/>
      <c r="GX4" s="290"/>
      <c r="GY4" s="290"/>
      <c r="GZ4" s="290"/>
      <c r="HA4" s="290"/>
      <c r="HB4" s="290"/>
      <c r="HC4" s="290"/>
      <c r="HD4" s="290"/>
      <c r="HE4" s="290"/>
      <c r="HF4" s="290"/>
      <c r="HG4" s="290"/>
      <c r="HH4" s="290"/>
      <c r="HI4" s="290"/>
      <c r="HJ4" s="290"/>
      <c r="HK4" s="290"/>
      <c r="HL4" s="290"/>
      <c r="HM4" s="290"/>
      <c r="HN4" s="290"/>
      <c r="HO4" s="290"/>
      <c r="HP4" s="290"/>
      <c r="HQ4" s="290"/>
      <c r="HR4" s="290"/>
      <c r="HS4" s="290"/>
      <c r="HT4" s="290"/>
      <c r="HU4" s="290"/>
      <c r="HV4" s="290"/>
      <c r="HW4" s="290"/>
      <c r="HX4" s="290"/>
      <c r="HY4" s="290"/>
      <c r="HZ4" s="290"/>
      <c r="IA4" s="290"/>
      <c r="IB4" s="290"/>
      <c r="IC4" s="290"/>
      <c r="ID4" s="290"/>
      <c r="IE4" s="290"/>
      <c r="IF4" s="290"/>
      <c r="IG4" s="290"/>
      <c r="IH4" s="290"/>
      <c r="II4" s="290"/>
      <c r="IJ4" s="290"/>
      <c r="IK4" s="290"/>
      <c r="IL4" s="290"/>
      <c r="IM4" s="290"/>
      <c r="IN4" s="290"/>
      <c r="IO4" s="290"/>
      <c r="IP4" s="290"/>
      <c r="IQ4" s="290"/>
      <c r="IR4" s="290"/>
      <c r="IS4" s="290"/>
      <c r="IT4" s="290"/>
      <c r="IU4" s="290"/>
      <c r="IV4" s="290"/>
    </row>
    <row r="5" spans="1:256" ht="18" thickBot="1" x14ac:dyDescent="0.35">
      <c r="A5" s="372"/>
      <c r="B5" s="373"/>
      <c r="C5" s="373"/>
      <c r="D5" s="373"/>
      <c r="E5" s="374"/>
      <c r="F5" s="375"/>
      <c r="G5" s="375"/>
      <c r="H5" s="376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0"/>
      <c r="AK5" s="290"/>
      <c r="AL5" s="290"/>
      <c r="AM5" s="290"/>
      <c r="AN5" s="290"/>
      <c r="AO5" s="290"/>
      <c r="AP5" s="290"/>
      <c r="AQ5" s="290"/>
      <c r="AR5" s="290"/>
      <c r="AS5" s="290"/>
      <c r="AT5" s="290"/>
      <c r="AU5" s="290"/>
      <c r="AV5" s="290"/>
      <c r="AW5" s="290"/>
      <c r="AX5" s="290"/>
      <c r="AY5" s="290"/>
      <c r="AZ5" s="290"/>
      <c r="BA5" s="290"/>
      <c r="BB5" s="290"/>
      <c r="BC5" s="290"/>
      <c r="BD5" s="290"/>
      <c r="BE5" s="290"/>
      <c r="BF5" s="290"/>
      <c r="BG5" s="290"/>
      <c r="BH5" s="290"/>
      <c r="BI5" s="290"/>
      <c r="BJ5" s="290"/>
      <c r="BK5" s="290"/>
      <c r="BL5" s="290"/>
      <c r="BM5" s="290"/>
      <c r="BN5" s="290"/>
      <c r="BO5" s="290"/>
      <c r="BP5" s="290"/>
      <c r="BQ5" s="290"/>
      <c r="BR5" s="290"/>
      <c r="BS5" s="290"/>
      <c r="BT5" s="290"/>
      <c r="BU5" s="290"/>
      <c r="BV5" s="290"/>
      <c r="BW5" s="290"/>
      <c r="BX5" s="290"/>
      <c r="BY5" s="290"/>
      <c r="BZ5" s="290"/>
      <c r="CA5" s="290"/>
      <c r="CB5" s="290"/>
      <c r="CC5" s="290"/>
      <c r="CD5" s="290"/>
      <c r="CE5" s="290"/>
      <c r="CF5" s="290"/>
      <c r="CG5" s="290"/>
      <c r="CH5" s="290"/>
      <c r="CI5" s="290"/>
      <c r="CJ5" s="290"/>
      <c r="CK5" s="290"/>
      <c r="CL5" s="290"/>
      <c r="CM5" s="290"/>
      <c r="CN5" s="290"/>
      <c r="CO5" s="290"/>
      <c r="CP5" s="290"/>
      <c r="CQ5" s="290"/>
      <c r="CR5" s="290"/>
      <c r="CS5" s="290"/>
      <c r="CT5" s="290"/>
      <c r="CU5" s="290"/>
      <c r="CV5" s="290"/>
      <c r="CW5" s="290"/>
      <c r="CX5" s="290"/>
      <c r="CY5" s="290"/>
      <c r="CZ5" s="290"/>
      <c r="DA5" s="290"/>
      <c r="DB5" s="290"/>
      <c r="DC5" s="290"/>
      <c r="DD5" s="290"/>
      <c r="DE5" s="290"/>
      <c r="DF5" s="290"/>
      <c r="DG5" s="290"/>
      <c r="DH5" s="290"/>
      <c r="DI5" s="290"/>
      <c r="DJ5" s="290"/>
      <c r="DK5" s="290"/>
      <c r="DL5" s="290"/>
      <c r="DM5" s="290"/>
      <c r="DN5" s="290"/>
      <c r="DO5" s="290"/>
      <c r="DP5" s="290"/>
      <c r="DQ5" s="290"/>
      <c r="DR5" s="290"/>
      <c r="DS5" s="290"/>
      <c r="DT5" s="290"/>
      <c r="DU5" s="290"/>
      <c r="DV5" s="290"/>
      <c r="DW5" s="290"/>
      <c r="DX5" s="290"/>
      <c r="DY5" s="290"/>
      <c r="DZ5" s="290"/>
      <c r="EA5" s="290"/>
      <c r="EB5" s="290"/>
      <c r="EC5" s="290"/>
      <c r="ED5" s="290"/>
      <c r="EE5" s="290"/>
      <c r="EF5" s="290"/>
      <c r="EG5" s="290"/>
      <c r="EH5" s="290"/>
      <c r="EI5" s="290"/>
      <c r="EJ5" s="290"/>
      <c r="EK5" s="290"/>
      <c r="EL5" s="290"/>
      <c r="EM5" s="290"/>
      <c r="EN5" s="290"/>
      <c r="EO5" s="290"/>
      <c r="EP5" s="290"/>
      <c r="EQ5" s="290"/>
      <c r="ER5" s="290"/>
      <c r="ES5" s="290"/>
      <c r="ET5" s="290"/>
      <c r="EU5" s="290"/>
      <c r="EV5" s="290"/>
      <c r="EW5" s="290"/>
      <c r="EX5" s="290"/>
      <c r="EY5" s="290"/>
      <c r="EZ5" s="290"/>
      <c r="FA5" s="290"/>
      <c r="FB5" s="290"/>
      <c r="FC5" s="290"/>
      <c r="FD5" s="290"/>
      <c r="FE5" s="290"/>
      <c r="FF5" s="290"/>
      <c r="FG5" s="290"/>
      <c r="FH5" s="290"/>
      <c r="FI5" s="290"/>
      <c r="FJ5" s="290"/>
      <c r="FK5" s="290"/>
      <c r="FL5" s="290"/>
      <c r="FM5" s="290"/>
      <c r="FN5" s="290"/>
      <c r="FO5" s="290"/>
      <c r="FP5" s="290"/>
      <c r="FQ5" s="290"/>
      <c r="FR5" s="290"/>
      <c r="FS5" s="290"/>
      <c r="FT5" s="290"/>
      <c r="FU5" s="290"/>
      <c r="FV5" s="290"/>
      <c r="FW5" s="290"/>
      <c r="FX5" s="290"/>
      <c r="FY5" s="290"/>
      <c r="FZ5" s="290"/>
      <c r="GA5" s="290"/>
      <c r="GB5" s="290"/>
      <c r="GC5" s="290"/>
      <c r="GD5" s="290"/>
      <c r="GE5" s="290"/>
      <c r="GF5" s="290"/>
      <c r="GG5" s="290"/>
      <c r="GH5" s="290"/>
      <c r="GI5" s="290"/>
      <c r="GJ5" s="290"/>
      <c r="GK5" s="290"/>
      <c r="GL5" s="290"/>
      <c r="GM5" s="290"/>
      <c r="GN5" s="290"/>
      <c r="GO5" s="290"/>
      <c r="GP5" s="290"/>
      <c r="GQ5" s="290"/>
      <c r="GR5" s="290"/>
      <c r="GS5" s="290"/>
      <c r="GT5" s="290"/>
      <c r="GU5" s="290"/>
      <c r="GV5" s="290"/>
      <c r="GW5" s="290"/>
      <c r="GX5" s="290"/>
      <c r="GY5" s="290"/>
      <c r="GZ5" s="290"/>
      <c r="HA5" s="290"/>
      <c r="HB5" s="290"/>
      <c r="HC5" s="290"/>
      <c r="HD5" s="290"/>
      <c r="HE5" s="290"/>
      <c r="HF5" s="290"/>
      <c r="HG5" s="290"/>
      <c r="HH5" s="290"/>
      <c r="HI5" s="290"/>
      <c r="HJ5" s="290"/>
      <c r="HK5" s="290"/>
      <c r="HL5" s="290"/>
      <c r="HM5" s="290"/>
      <c r="HN5" s="290"/>
      <c r="HO5" s="290"/>
      <c r="HP5" s="290"/>
      <c r="HQ5" s="290"/>
      <c r="HR5" s="290"/>
      <c r="HS5" s="290"/>
      <c r="HT5" s="290"/>
      <c r="HU5" s="290"/>
      <c r="HV5" s="290"/>
      <c r="HW5" s="290"/>
      <c r="HX5" s="290"/>
      <c r="HY5" s="290"/>
      <c r="HZ5" s="290"/>
      <c r="IA5" s="290"/>
      <c r="IB5" s="290"/>
      <c r="IC5" s="290"/>
      <c r="ID5" s="290"/>
      <c r="IE5" s="290"/>
      <c r="IF5" s="290"/>
      <c r="IG5" s="290"/>
      <c r="IH5" s="290"/>
      <c r="II5" s="290"/>
      <c r="IJ5" s="290"/>
      <c r="IK5" s="290"/>
      <c r="IL5" s="290"/>
      <c r="IM5" s="290"/>
      <c r="IN5" s="290"/>
      <c r="IO5" s="290"/>
      <c r="IP5" s="290"/>
      <c r="IQ5" s="290"/>
      <c r="IR5" s="290"/>
      <c r="IS5" s="290"/>
      <c r="IT5" s="290"/>
      <c r="IU5" s="290"/>
      <c r="IV5" s="290"/>
    </row>
    <row r="6" spans="1:256" ht="39" thickBot="1" x14ac:dyDescent="0.25">
      <c r="A6" s="377" t="s">
        <v>1</v>
      </c>
      <c r="B6" s="378" t="s">
        <v>215</v>
      </c>
      <c r="C6" s="379" t="s">
        <v>216</v>
      </c>
      <c r="D6" s="380" t="s">
        <v>217</v>
      </c>
      <c r="E6" s="381" t="s">
        <v>218</v>
      </c>
      <c r="F6" s="382" t="s">
        <v>219</v>
      </c>
      <c r="G6" s="718" t="s">
        <v>220</v>
      </c>
      <c r="H6" s="719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0"/>
      <c r="AT6" s="290"/>
      <c r="AU6" s="290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0"/>
      <c r="BG6" s="290"/>
      <c r="BH6" s="290"/>
      <c r="BI6" s="290"/>
      <c r="BJ6" s="290"/>
      <c r="BK6" s="290"/>
      <c r="BL6" s="290"/>
      <c r="BM6" s="290"/>
      <c r="BN6" s="290"/>
      <c r="BO6" s="290"/>
      <c r="BP6" s="290"/>
      <c r="BQ6" s="290"/>
      <c r="BR6" s="290"/>
      <c r="BS6" s="290"/>
      <c r="BT6" s="290"/>
      <c r="BU6" s="290"/>
      <c r="BV6" s="290"/>
      <c r="BW6" s="290"/>
      <c r="BX6" s="290"/>
      <c r="BY6" s="290"/>
      <c r="BZ6" s="290"/>
      <c r="CA6" s="290"/>
      <c r="CB6" s="290"/>
      <c r="CC6" s="290"/>
      <c r="CD6" s="290"/>
      <c r="CE6" s="290"/>
      <c r="CF6" s="290"/>
      <c r="CG6" s="290"/>
      <c r="CH6" s="290"/>
      <c r="CI6" s="290"/>
      <c r="CJ6" s="290"/>
      <c r="CK6" s="290"/>
      <c r="CL6" s="290"/>
      <c r="CM6" s="290"/>
      <c r="CN6" s="290"/>
      <c r="CO6" s="290"/>
      <c r="CP6" s="290"/>
      <c r="CQ6" s="290"/>
      <c r="CR6" s="290"/>
      <c r="CS6" s="290"/>
      <c r="CT6" s="290"/>
      <c r="CU6" s="290"/>
      <c r="CV6" s="290"/>
      <c r="CW6" s="290"/>
      <c r="CX6" s="290"/>
      <c r="CY6" s="290"/>
      <c r="CZ6" s="290"/>
      <c r="DA6" s="290"/>
      <c r="DB6" s="290"/>
      <c r="DC6" s="290"/>
      <c r="DD6" s="290"/>
      <c r="DE6" s="290"/>
      <c r="DF6" s="290"/>
      <c r="DG6" s="290"/>
      <c r="DH6" s="290"/>
      <c r="DI6" s="290"/>
      <c r="DJ6" s="290"/>
      <c r="DK6" s="290"/>
      <c r="DL6" s="290"/>
      <c r="DM6" s="290"/>
      <c r="DN6" s="290"/>
      <c r="DO6" s="290"/>
      <c r="DP6" s="290"/>
      <c r="DQ6" s="290"/>
      <c r="DR6" s="290"/>
      <c r="DS6" s="290"/>
      <c r="DT6" s="290"/>
      <c r="DU6" s="290"/>
      <c r="DV6" s="290"/>
      <c r="DW6" s="290"/>
      <c r="DX6" s="290"/>
      <c r="DY6" s="290"/>
      <c r="DZ6" s="290"/>
      <c r="EA6" s="290"/>
      <c r="EB6" s="290"/>
      <c r="EC6" s="290"/>
      <c r="ED6" s="290"/>
      <c r="EE6" s="290"/>
      <c r="EF6" s="290"/>
      <c r="EG6" s="290"/>
      <c r="EH6" s="290"/>
      <c r="EI6" s="290"/>
      <c r="EJ6" s="290"/>
      <c r="EK6" s="290"/>
      <c r="EL6" s="290"/>
      <c r="EM6" s="290"/>
      <c r="EN6" s="290"/>
      <c r="EO6" s="290"/>
      <c r="EP6" s="290"/>
      <c r="EQ6" s="290"/>
      <c r="ER6" s="290"/>
      <c r="ES6" s="290"/>
      <c r="ET6" s="290"/>
      <c r="EU6" s="290"/>
      <c r="EV6" s="290"/>
      <c r="EW6" s="290"/>
      <c r="EX6" s="290"/>
      <c r="EY6" s="290"/>
      <c r="EZ6" s="290"/>
      <c r="FA6" s="290"/>
      <c r="FB6" s="290"/>
      <c r="FC6" s="290"/>
      <c r="FD6" s="290"/>
      <c r="FE6" s="290"/>
      <c r="FF6" s="290"/>
      <c r="FG6" s="290"/>
      <c r="FH6" s="290"/>
      <c r="FI6" s="290"/>
      <c r="FJ6" s="290"/>
      <c r="FK6" s="290"/>
      <c r="FL6" s="290"/>
      <c r="FM6" s="290"/>
      <c r="FN6" s="290"/>
      <c r="FO6" s="290"/>
      <c r="FP6" s="290"/>
      <c r="FQ6" s="290"/>
      <c r="FR6" s="290"/>
      <c r="FS6" s="290"/>
      <c r="FT6" s="290"/>
      <c r="FU6" s="290"/>
      <c r="FV6" s="290"/>
      <c r="FW6" s="290"/>
      <c r="FX6" s="290"/>
      <c r="FY6" s="290"/>
      <c r="FZ6" s="290"/>
      <c r="GA6" s="290"/>
      <c r="GB6" s="290"/>
      <c r="GC6" s="290"/>
      <c r="GD6" s="290"/>
      <c r="GE6" s="290"/>
      <c r="GF6" s="290"/>
      <c r="GG6" s="290"/>
      <c r="GH6" s="290"/>
      <c r="GI6" s="290"/>
      <c r="GJ6" s="290"/>
      <c r="GK6" s="290"/>
      <c r="GL6" s="290"/>
      <c r="GM6" s="290"/>
      <c r="GN6" s="290"/>
      <c r="GO6" s="290"/>
      <c r="GP6" s="290"/>
      <c r="GQ6" s="290"/>
      <c r="GR6" s="290"/>
      <c r="GS6" s="290"/>
      <c r="GT6" s="290"/>
      <c r="GU6" s="290"/>
      <c r="GV6" s="290"/>
      <c r="GW6" s="290"/>
      <c r="GX6" s="290"/>
      <c r="GY6" s="290"/>
      <c r="GZ6" s="290"/>
      <c r="HA6" s="290"/>
      <c r="HB6" s="290"/>
      <c r="HC6" s="290"/>
      <c r="HD6" s="290"/>
      <c r="HE6" s="290"/>
      <c r="HF6" s="290"/>
      <c r="HG6" s="290"/>
      <c r="HH6" s="290"/>
      <c r="HI6" s="290"/>
      <c r="HJ6" s="290"/>
      <c r="HK6" s="290"/>
      <c r="HL6" s="290"/>
      <c r="HM6" s="290"/>
      <c r="HN6" s="290"/>
      <c r="HO6" s="290"/>
      <c r="HP6" s="290"/>
      <c r="HQ6" s="290"/>
      <c r="HR6" s="290"/>
      <c r="HS6" s="290"/>
      <c r="HT6" s="290"/>
      <c r="HU6" s="290"/>
      <c r="HV6" s="290"/>
      <c r="HW6" s="290"/>
      <c r="HX6" s="290"/>
      <c r="HY6" s="290"/>
      <c r="HZ6" s="290"/>
      <c r="IA6" s="290"/>
      <c r="IB6" s="290"/>
      <c r="IC6" s="290"/>
      <c r="ID6" s="290"/>
      <c r="IE6" s="290"/>
      <c r="IF6" s="290"/>
      <c r="IG6" s="290"/>
      <c r="IH6" s="290"/>
      <c r="II6" s="290"/>
      <c r="IJ6" s="290"/>
      <c r="IK6" s="290"/>
      <c r="IL6" s="290"/>
      <c r="IM6" s="290"/>
      <c r="IN6" s="290"/>
      <c r="IO6" s="290"/>
      <c r="IP6" s="290"/>
      <c r="IQ6" s="290"/>
      <c r="IR6" s="290"/>
      <c r="IS6" s="290"/>
      <c r="IT6" s="290"/>
      <c r="IU6" s="290"/>
      <c r="IV6" s="290"/>
    </row>
    <row r="7" spans="1:256" ht="16.5" thickBot="1" x14ac:dyDescent="0.3">
      <c r="A7" s="383"/>
      <c r="B7" s="384" t="s">
        <v>221</v>
      </c>
      <c r="C7" s="385"/>
      <c r="D7" s="386" t="s">
        <v>222</v>
      </c>
      <c r="E7" s="387" t="s">
        <v>223</v>
      </c>
      <c r="F7" s="388" t="s">
        <v>224</v>
      </c>
      <c r="G7" s="720" t="s">
        <v>225</v>
      </c>
      <c r="H7" s="721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  <c r="AM7" s="389"/>
      <c r="AN7" s="389"/>
      <c r="AO7" s="389"/>
      <c r="AP7" s="389"/>
      <c r="AQ7" s="389"/>
      <c r="AR7" s="389"/>
      <c r="AS7" s="389"/>
      <c r="AT7" s="389"/>
      <c r="AU7" s="389"/>
      <c r="AV7" s="389"/>
      <c r="AW7" s="389"/>
      <c r="AX7" s="389"/>
      <c r="AY7" s="389"/>
      <c r="AZ7" s="389"/>
      <c r="BA7" s="389"/>
      <c r="BB7" s="389"/>
      <c r="BC7" s="389"/>
      <c r="BD7" s="389"/>
      <c r="BE7" s="389"/>
      <c r="BF7" s="389"/>
      <c r="BG7" s="389"/>
      <c r="BH7" s="389"/>
      <c r="BI7" s="389"/>
      <c r="BJ7" s="389"/>
      <c r="BK7" s="389"/>
      <c r="BL7" s="389"/>
      <c r="BM7" s="389"/>
      <c r="BN7" s="389"/>
      <c r="BO7" s="389"/>
      <c r="BP7" s="389"/>
      <c r="BQ7" s="389"/>
      <c r="BR7" s="389"/>
      <c r="BS7" s="389"/>
      <c r="BT7" s="389"/>
      <c r="BU7" s="389"/>
      <c r="BV7" s="389"/>
      <c r="BW7" s="389"/>
      <c r="BX7" s="389"/>
      <c r="BY7" s="389"/>
      <c r="BZ7" s="389"/>
      <c r="CA7" s="389"/>
      <c r="CB7" s="389"/>
      <c r="CC7" s="389"/>
      <c r="CD7" s="389"/>
      <c r="CE7" s="389"/>
      <c r="CF7" s="389"/>
      <c r="CG7" s="389"/>
      <c r="CH7" s="389"/>
      <c r="CI7" s="389"/>
      <c r="CJ7" s="389"/>
      <c r="CK7" s="389"/>
      <c r="CL7" s="389"/>
      <c r="CM7" s="389"/>
      <c r="CN7" s="389"/>
      <c r="CO7" s="389"/>
      <c r="CP7" s="389"/>
      <c r="CQ7" s="389"/>
      <c r="CR7" s="389"/>
      <c r="CS7" s="389"/>
      <c r="CT7" s="389"/>
      <c r="CU7" s="389"/>
      <c r="CV7" s="389"/>
      <c r="CW7" s="389"/>
      <c r="CX7" s="389"/>
      <c r="CY7" s="389"/>
      <c r="CZ7" s="389"/>
      <c r="DA7" s="389"/>
      <c r="DB7" s="389"/>
      <c r="DC7" s="389"/>
      <c r="DD7" s="389"/>
      <c r="DE7" s="389"/>
      <c r="DF7" s="389"/>
      <c r="DG7" s="389"/>
      <c r="DH7" s="389"/>
      <c r="DI7" s="389"/>
      <c r="DJ7" s="389"/>
      <c r="DK7" s="389"/>
      <c r="DL7" s="389"/>
      <c r="DM7" s="389"/>
      <c r="DN7" s="389"/>
      <c r="DO7" s="389"/>
      <c r="DP7" s="389"/>
      <c r="DQ7" s="389"/>
      <c r="DR7" s="389"/>
      <c r="DS7" s="389"/>
      <c r="DT7" s="389"/>
      <c r="DU7" s="389"/>
      <c r="DV7" s="389"/>
      <c r="DW7" s="389"/>
      <c r="DX7" s="389"/>
      <c r="DY7" s="389"/>
      <c r="DZ7" s="389"/>
      <c r="EA7" s="389"/>
      <c r="EB7" s="389"/>
      <c r="EC7" s="389"/>
      <c r="ED7" s="389"/>
      <c r="EE7" s="389"/>
      <c r="EF7" s="389"/>
      <c r="EG7" s="389"/>
      <c r="EH7" s="389"/>
      <c r="EI7" s="389"/>
      <c r="EJ7" s="389"/>
      <c r="EK7" s="389"/>
      <c r="EL7" s="389"/>
      <c r="EM7" s="389"/>
      <c r="EN7" s="389"/>
      <c r="EO7" s="389"/>
      <c r="EP7" s="389"/>
      <c r="EQ7" s="389"/>
      <c r="ER7" s="389"/>
      <c r="ES7" s="389"/>
      <c r="ET7" s="389"/>
      <c r="EU7" s="389"/>
      <c r="EV7" s="389"/>
      <c r="EW7" s="389"/>
      <c r="EX7" s="389"/>
      <c r="EY7" s="389"/>
      <c r="EZ7" s="389"/>
      <c r="FA7" s="389"/>
      <c r="FB7" s="389"/>
      <c r="FC7" s="389"/>
      <c r="FD7" s="389"/>
      <c r="FE7" s="389"/>
      <c r="FF7" s="389"/>
      <c r="FG7" s="389"/>
      <c r="FH7" s="389"/>
      <c r="FI7" s="389"/>
      <c r="FJ7" s="389"/>
      <c r="FK7" s="389"/>
      <c r="FL7" s="389"/>
      <c r="FM7" s="389"/>
      <c r="FN7" s="389"/>
      <c r="FO7" s="389"/>
      <c r="FP7" s="389"/>
      <c r="FQ7" s="389"/>
      <c r="FR7" s="389"/>
      <c r="FS7" s="389"/>
      <c r="FT7" s="389"/>
      <c r="FU7" s="389"/>
      <c r="FV7" s="389"/>
      <c r="FW7" s="389"/>
      <c r="FX7" s="389"/>
      <c r="FY7" s="389"/>
      <c r="FZ7" s="389"/>
      <c r="GA7" s="389"/>
      <c r="GB7" s="389"/>
      <c r="GC7" s="389"/>
      <c r="GD7" s="389"/>
      <c r="GE7" s="389"/>
      <c r="GF7" s="389"/>
      <c r="GG7" s="389"/>
      <c r="GH7" s="389"/>
      <c r="GI7" s="389"/>
      <c r="GJ7" s="389"/>
      <c r="GK7" s="389"/>
      <c r="GL7" s="389"/>
      <c r="GM7" s="389"/>
      <c r="GN7" s="389"/>
      <c r="GO7" s="389"/>
      <c r="GP7" s="389"/>
      <c r="GQ7" s="389"/>
      <c r="GR7" s="389"/>
      <c r="GS7" s="389"/>
      <c r="GT7" s="389"/>
      <c r="GU7" s="389"/>
      <c r="GV7" s="389"/>
      <c r="GW7" s="389"/>
      <c r="GX7" s="389"/>
      <c r="GY7" s="389"/>
      <c r="GZ7" s="389"/>
      <c r="HA7" s="389"/>
      <c r="HB7" s="389"/>
      <c r="HC7" s="389"/>
      <c r="HD7" s="389"/>
      <c r="HE7" s="389"/>
      <c r="HF7" s="389"/>
      <c r="HG7" s="389"/>
      <c r="HH7" s="389"/>
      <c r="HI7" s="389"/>
      <c r="HJ7" s="389"/>
      <c r="HK7" s="389"/>
      <c r="HL7" s="389"/>
      <c r="HM7" s="389"/>
      <c r="HN7" s="389"/>
      <c r="HO7" s="389"/>
      <c r="HP7" s="389"/>
      <c r="HQ7" s="389"/>
      <c r="HR7" s="389"/>
      <c r="HS7" s="389"/>
      <c r="HT7" s="389"/>
      <c r="HU7" s="389"/>
      <c r="HV7" s="389"/>
      <c r="HW7" s="389"/>
      <c r="HX7" s="389"/>
      <c r="HY7" s="389"/>
      <c r="HZ7" s="389"/>
      <c r="IA7" s="389"/>
      <c r="IB7" s="389"/>
      <c r="IC7" s="389"/>
      <c r="ID7" s="389"/>
      <c r="IE7" s="389"/>
      <c r="IF7" s="389"/>
      <c r="IG7" s="389"/>
      <c r="IH7" s="389"/>
      <c r="II7" s="389"/>
      <c r="IJ7" s="389"/>
      <c r="IK7" s="389"/>
      <c r="IL7" s="389"/>
      <c r="IM7" s="389"/>
      <c r="IN7" s="389"/>
      <c r="IO7" s="389"/>
      <c r="IP7" s="389"/>
      <c r="IQ7" s="389"/>
      <c r="IR7" s="389"/>
      <c r="IS7" s="389"/>
      <c r="IT7" s="389"/>
      <c r="IU7" s="389"/>
      <c r="IV7" s="389"/>
    </row>
    <row r="8" spans="1:256" ht="25.5" x14ac:dyDescent="0.25">
      <c r="A8" s="390"/>
      <c r="B8" s="391" t="s">
        <v>226</v>
      </c>
      <c r="C8" s="391"/>
      <c r="D8" s="392" t="s">
        <v>227</v>
      </c>
      <c r="E8" s="387" t="s">
        <v>223</v>
      </c>
      <c r="F8" s="388" t="s">
        <v>224</v>
      </c>
      <c r="G8" s="720" t="s">
        <v>225</v>
      </c>
      <c r="H8" s="721"/>
      <c r="I8" s="389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  <c r="AM8" s="389"/>
      <c r="AN8" s="389"/>
      <c r="AO8" s="389"/>
      <c r="AP8" s="389"/>
      <c r="AQ8" s="389"/>
      <c r="AR8" s="389"/>
      <c r="AS8" s="389"/>
      <c r="AT8" s="389"/>
      <c r="AU8" s="389"/>
      <c r="AV8" s="389"/>
      <c r="AW8" s="389"/>
      <c r="AX8" s="389"/>
      <c r="AY8" s="389"/>
      <c r="AZ8" s="389"/>
      <c r="BA8" s="389"/>
      <c r="BB8" s="389"/>
      <c r="BC8" s="389"/>
      <c r="BD8" s="389"/>
      <c r="BE8" s="389"/>
      <c r="BF8" s="389"/>
      <c r="BG8" s="389"/>
      <c r="BH8" s="389"/>
      <c r="BI8" s="389"/>
      <c r="BJ8" s="389"/>
      <c r="BK8" s="389"/>
      <c r="BL8" s="389"/>
      <c r="BM8" s="389"/>
      <c r="BN8" s="389"/>
      <c r="BO8" s="389"/>
      <c r="BP8" s="389"/>
      <c r="BQ8" s="389"/>
      <c r="BR8" s="389"/>
      <c r="BS8" s="389"/>
      <c r="BT8" s="389"/>
      <c r="BU8" s="389"/>
      <c r="BV8" s="389"/>
      <c r="BW8" s="389"/>
      <c r="BX8" s="389"/>
      <c r="BY8" s="389"/>
      <c r="BZ8" s="389"/>
      <c r="CA8" s="389"/>
      <c r="CB8" s="389"/>
      <c r="CC8" s="389"/>
      <c r="CD8" s="389"/>
      <c r="CE8" s="389"/>
      <c r="CF8" s="389"/>
      <c r="CG8" s="389"/>
      <c r="CH8" s="389"/>
      <c r="CI8" s="389"/>
      <c r="CJ8" s="389"/>
      <c r="CK8" s="389"/>
      <c r="CL8" s="389"/>
      <c r="CM8" s="389"/>
      <c r="CN8" s="389"/>
      <c r="CO8" s="389"/>
      <c r="CP8" s="389"/>
      <c r="CQ8" s="389"/>
      <c r="CR8" s="389"/>
      <c r="CS8" s="389"/>
      <c r="CT8" s="389"/>
      <c r="CU8" s="389"/>
      <c r="CV8" s="389"/>
      <c r="CW8" s="389"/>
      <c r="CX8" s="389"/>
      <c r="CY8" s="389"/>
      <c r="CZ8" s="389"/>
      <c r="DA8" s="389"/>
      <c r="DB8" s="389"/>
      <c r="DC8" s="389"/>
      <c r="DD8" s="389"/>
      <c r="DE8" s="389"/>
      <c r="DF8" s="389"/>
      <c r="DG8" s="389"/>
      <c r="DH8" s="389"/>
      <c r="DI8" s="389"/>
      <c r="DJ8" s="389"/>
      <c r="DK8" s="389"/>
      <c r="DL8" s="389"/>
      <c r="DM8" s="389"/>
      <c r="DN8" s="389"/>
      <c r="DO8" s="389"/>
      <c r="DP8" s="389"/>
      <c r="DQ8" s="389"/>
      <c r="DR8" s="389"/>
      <c r="DS8" s="389"/>
      <c r="DT8" s="389"/>
      <c r="DU8" s="389"/>
      <c r="DV8" s="389"/>
      <c r="DW8" s="389"/>
      <c r="DX8" s="389"/>
      <c r="DY8" s="389"/>
      <c r="DZ8" s="389"/>
      <c r="EA8" s="389"/>
      <c r="EB8" s="389"/>
      <c r="EC8" s="389"/>
      <c r="ED8" s="389"/>
      <c r="EE8" s="389"/>
      <c r="EF8" s="389"/>
      <c r="EG8" s="389"/>
      <c r="EH8" s="389"/>
      <c r="EI8" s="389"/>
      <c r="EJ8" s="389"/>
      <c r="EK8" s="389"/>
      <c r="EL8" s="389"/>
      <c r="EM8" s="389"/>
      <c r="EN8" s="389"/>
      <c r="EO8" s="389"/>
      <c r="EP8" s="389"/>
      <c r="EQ8" s="389"/>
      <c r="ER8" s="389"/>
      <c r="ES8" s="389"/>
      <c r="ET8" s="389"/>
      <c r="EU8" s="389"/>
      <c r="EV8" s="389"/>
      <c r="EW8" s="389"/>
      <c r="EX8" s="389"/>
      <c r="EY8" s="389"/>
      <c r="EZ8" s="389"/>
      <c r="FA8" s="389"/>
      <c r="FB8" s="389"/>
      <c r="FC8" s="389"/>
      <c r="FD8" s="389"/>
      <c r="FE8" s="389"/>
      <c r="FF8" s="389"/>
      <c r="FG8" s="389"/>
      <c r="FH8" s="389"/>
      <c r="FI8" s="389"/>
      <c r="FJ8" s="389"/>
      <c r="FK8" s="389"/>
      <c r="FL8" s="389"/>
      <c r="FM8" s="389"/>
      <c r="FN8" s="389"/>
      <c r="FO8" s="389"/>
      <c r="FP8" s="389"/>
      <c r="FQ8" s="389"/>
      <c r="FR8" s="389"/>
      <c r="FS8" s="389"/>
      <c r="FT8" s="389"/>
      <c r="FU8" s="389"/>
      <c r="FV8" s="389"/>
      <c r="FW8" s="389"/>
      <c r="FX8" s="389"/>
      <c r="FY8" s="389"/>
      <c r="FZ8" s="389"/>
      <c r="GA8" s="389"/>
      <c r="GB8" s="389"/>
      <c r="GC8" s="389"/>
      <c r="GD8" s="389"/>
      <c r="GE8" s="389"/>
      <c r="GF8" s="389"/>
      <c r="GG8" s="389"/>
      <c r="GH8" s="389"/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89"/>
      <c r="GW8" s="389"/>
      <c r="GX8" s="389"/>
      <c r="GY8" s="389"/>
      <c r="GZ8" s="389"/>
      <c r="HA8" s="389"/>
      <c r="HB8" s="389"/>
      <c r="HC8" s="389"/>
      <c r="HD8" s="389"/>
      <c r="HE8" s="389"/>
      <c r="HF8" s="389"/>
      <c r="HG8" s="389"/>
      <c r="HH8" s="389"/>
      <c r="HI8" s="389"/>
      <c r="HJ8" s="389"/>
      <c r="HK8" s="389"/>
      <c r="HL8" s="389"/>
      <c r="HM8" s="389"/>
      <c r="HN8" s="389"/>
      <c r="HO8" s="389"/>
      <c r="HP8" s="389"/>
      <c r="HQ8" s="389"/>
      <c r="HR8" s="389"/>
      <c r="HS8" s="389"/>
      <c r="HT8" s="389"/>
      <c r="HU8" s="389"/>
      <c r="HV8" s="389"/>
      <c r="HW8" s="389"/>
      <c r="HX8" s="389"/>
      <c r="HY8" s="389"/>
      <c r="HZ8" s="389"/>
      <c r="IA8" s="389"/>
      <c r="IB8" s="389"/>
      <c r="IC8" s="389"/>
      <c r="ID8" s="389"/>
      <c r="IE8" s="389"/>
      <c r="IF8" s="389"/>
      <c r="IG8" s="389"/>
      <c r="IH8" s="389"/>
      <c r="II8" s="389"/>
      <c r="IJ8" s="389"/>
      <c r="IK8" s="389"/>
      <c r="IL8" s="389"/>
      <c r="IM8" s="389"/>
      <c r="IN8" s="389"/>
      <c r="IO8" s="389"/>
      <c r="IP8" s="389"/>
      <c r="IQ8" s="389"/>
      <c r="IR8" s="389"/>
      <c r="IS8" s="389"/>
      <c r="IT8" s="389"/>
      <c r="IU8" s="389"/>
      <c r="IV8" s="389"/>
    </row>
    <row r="9" spans="1:256" ht="15.75" x14ac:dyDescent="0.25">
      <c r="A9" s="390"/>
      <c r="B9" s="391"/>
      <c r="C9" s="391"/>
      <c r="D9" s="395"/>
      <c r="E9" s="393"/>
      <c r="F9" s="396"/>
      <c r="G9" s="735"/>
      <c r="H9" s="736"/>
      <c r="I9" s="389"/>
      <c r="J9" s="389"/>
      <c r="K9" s="389"/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  <c r="AM9" s="389"/>
      <c r="AN9" s="389"/>
      <c r="AO9" s="389"/>
      <c r="AP9" s="389"/>
      <c r="AQ9" s="389"/>
      <c r="AR9" s="389"/>
      <c r="AS9" s="389"/>
      <c r="AT9" s="389"/>
      <c r="AU9" s="389"/>
      <c r="AV9" s="389"/>
      <c r="AW9" s="389"/>
      <c r="AX9" s="389"/>
      <c r="AY9" s="389"/>
      <c r="AZ9" s="389"/>
      <c r="BA9" s="389"/>
      <c r="BB9" s="389"/>
      <c r="BC9" s="389"/>
      <c r="BD9" s="389"/>
      <c r="BE9" s="389"/>
      <c r="BF9" s="389"/>
      <c r="BG9" s="389"/>
      <c r="BH9" s="389"/>
      <c r="BI9" s="389"/>
      <c r="BJ9" s="389"/>
      <c r="BK9" s="389"/>
      <c r="BL9" s="389"/>
      <c r="BM9" s="389"/>
      <c r="BN9" s="389"/>
      <c r="BO9" s="389"/>
      <c r="BP9" s="389"/>
      <c r="BQ9" s="389"/>
      <c r="BR9" s="389"/>
      <c r="BS9" s="389"/>
      <c r="BT9" s="389"/>
      <c r="BU9" s="389"/>
      <c r="BV9" s="389"/>
      <c r="BW9" s="389"/>
      <c r="BX9" s="389"/>
      <c r="BY9" s="389"/>
      <c r="BZ9" s="389"/>
      <c r="CA9" s="389"/>
      <c r="CB9" s="389"/>
      <c r="CC9" s="389"/>
      <c r="CD9" s="389"/>
      <c r="CE9" s="389"/>
      <c r="CF9" s="389"/>
      <c r="CG9" s="389"/>
      <c r="CH9" s="389"/>
      <c r="CI9" s="389"/>
      <c r="CJ9" s="389"/>
      <c r="CK9" s="389"/>
      <c r="CL9" s="389"/>
      <c r="CM9" s="389"/>
      <c r="CN9" s="389"/>
      <c r="CO9" s="389"/>
      <c r="CP9" s="389"/>
      <c r="CQ9" s="389"/>
      <c r="CR9" s="389"/>
      <c r="CS9" s="389"/>
      <c r="CT9" s="389"/>
      <c r="CU9" s="389"/>
      <c r="CV9" s="389"/>
      <c r="CW9" s="389"/>
      <c r="CX9" s="389"/>
      <c r="CY9" s="389"/>
      <c r="CZ9" s="389"/>
      <c r="DA9" s="389"/>
      <c r="DB9" s="389"/>
      <c r="DC9" s="389"/>
      <c r="DD9" s="389"/>
      <c r="DE9" s="389"/>
      <c r="DF9" s="389"/>
      <c r="DG9" s="389"/>
      <c r="DH9" s="389"/>
      <c r="DI9" s="389"/>
      <c r="DJ9" s="389"/>
      <c r="DK9" s="389"/>
      <c r="DL9" s="389"/>
      <c r="DM9" s="389"/>
      <c r="DN9" s="389"/>
      <c r="DO9" s="389"/>
      <c r="DP9" s="389"/>
      <c r="DQ9" s="389"/>
      <c r="DR9" s="389"/>
      <c r="DS9" s="389"/>
      <c r="DT9" s="389"/>
      <c r="DU9" s="389"/>
      <c r="DV9" s="389"/>
      <c r="DW9" s="389"/>
      <c r="DX9" s="389"/>
      <c r="DY9" s="389"/>
      <c r="DZ9" s="389"/>
      <c r="EA9" s="389"/>
      <c r="EB9" s="389"/>
      <c r="EC9" s="389"/>
      <c r="ED9" s="389"/>
      <c r="EE9" s="389"/>
      <c r="EF9" s="389"/>
      <c r="EG9" s="389"/>
      <c r="EH9" s="389"/>
      <c r="EI9" s="389"/>
      <c r="EJ9" s="389"/>
      <c r="EK9" s="389"/>
      <c r="EL9" s="389"/>
      <c r="EM9" s="389"/>
      <c r="EN9" s="389"/>
      <c r="EO9" s="389"/>
      <c r="EP9" s="389"/>
      <c r="EQ9" s="389"/>
      <c r="ER9" s="389"/>
      <c r="ES9" s="389"/>
      <c r="ET9" s="389"/>
      <c r="EU9" s="389"/>
      <c r="EV9" s="389"/>
      <c r="EW9" s="389"/>
      <c r="EX9" s="389"/>
      <c r="EY9" s="389"/>
      <c r="EZ9" s="389"/>
      <c r="FA9" s="389"/>
      <c r="FB9" s="389"/>
      <c r="FC9" s="389"/>
      <c r="FD9" s="389"/>
      <c r="FE9" s="389"/>
      <c r="FF9" s="389"/>
      <c r="FG9" s="389"/>
      <c r="FH9" s="389"/>
      <c r="FI9" s="389"/>
      <c r="FJ9" s="389"/>
      <c r="FK9" s="389"/>
      <c r="FL9" s="389"/>
      <c r="FM9" s="389"/>
      <c r="FN9" s="389"/>
      <c r="FO9" s="389"/>
      <c r="FP9" s="389"/>
      <c r="FQ9" s="389"/>
      <c r="FR9" s="389"/>
      <c r="FS9" s="389"/>
      <c r="FT9" s="389"/>
      <c r="FU9" s="389"/>
      <c r="FV9" s="389"/>
      <c r="FW9" s="389"/>
      <c r="FX9" s="389"/>
      <c r="FY9" s="389"/>
      <c r="FZ9" s="389"/>
      <c r="GA9" s="389"/>
      <c r="GB9" s="389"/>
      <c r="GC9" s="389"/>
      <c r="GD9" s="389"/>
      <c r="GE9" s="389"/>
      <c r="GF9" s="389"/>
      <c r="GG9" s="389"/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89"/>
      <c r="GW9" s="389"/>
      <c r="GX9" s="389"/>
      <c r="GY9" s="389"/>
      <c r="GZ9" s="389"/>
      <c r="HA9" s="389"/>
      <c r="HB9" s="389"/>
      <c r="HC9" s="389"/>
      <c r="HD9" s="389"/>
      <c r="HE9" s="389"/>
      <c r="HF9" s="389"/>
      <c r="HG9" s="389"/>
      <c r="HH9" s="389"/>
      <c r="HI9" s="389"/>
      <c r="HJ9" s="389"/>
      <c r="HK9" s="389"/>
      <c r="HL9" s="389"/>
      <c r="HM9" s="389"/>
      <c r="HN9" s="389"/>
      <c r="HO9" s="389"/>
      <c r="HP9" s="389"/>
      <c r="HQ9" s="389"/>
      <c r="HR9" s="389"/>
      <c r="HS9" s="389"/>
      <c r="HT9" s="389"/>
      <c r="HU9" s="389"/>
      <c r="HV9" s="389"/>
      <c r="HW9" s="389"/>
      <c r="HX9" s="389"/>
      <c r="HY9" s="389"/>
      <c r="HZ9" s="389"/>
      <c r="IA9" s="389"/>
      <c r="IB9" s="389"/>
      <c r="IC9" s="389"/>
      <c r="ID9" s="389"/>
      <c r="IE9" s="389"/>
      <c r="IF9" s="389"/>
      <c r="IG9" s="389"/>
      <c r="IH9" s="389"/>
      <c r="II9" s="389"/>
      <c r="IJ9" s="389"/>
      <c r="IK9" s="389"/>
      <c r="IL9" s="389"/>
      <c r="IM9" s="389"/>
      <c r="IN9" s="389"/>
      <c r="IO9" s="389"/>
      <c r="IP9" s="389"/>
      <c r="IQ9" s="389"/>
      <c r="IR9" s="389"/>
      <c r="IS9" s="389"/>
      <c r="IT9" s="389"/>
      <c r="IU9" s="389"/>
      <c r="IV9" s="389"/>
    </row>
    <row r="10" spans="1:256" ht="15.75" x14ac:dyDescent="0.25">
      <c r="A10" s="390"/>
      <c r="B10" s="391"/>
      <c r="C10" s="391"/>
      <c r="D10" s="397"/>
      <c r="E10" s="393"/>
      <c r="F10" s="396"/>
      <c r="G10" s="735"/>
      <c r="H10" s="736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389"/>
      <c r="AU10" s="389"/>
      <c r="AV10" s="389"/>
      <c r="AW10" s="389"/>
      <c r="AX10" s="389"/>
      <c r="AY10" s="389"/>
      <c r="AZ10" s="389"/>
      <c r="BA10" s="389"/>
      <c r="BB10" s="389"/>
      <c r="BC10" s="389"/>
      <c r="BD10" s="389"/>
      <c r="BE10" s="389"/>
      <c r="BF10" s="389"/>
      <c r="BG10" s="389"/>
      <c r="BH10" s="389"/>
      <c r="BI10" s="389"/>
      <c r="BJ10" s="389"/>
      <c r="BK10" s="389"/>
      <c r="BL10" s="389"/>
      <c r="BM10" s="389"/>
      <c r="BN10" s="389"/>
      <c r="BO10" s="389"/>
      <c r="BP10" s="389"/>
      <c r="BQ10" s="389"/>
      <c r="BR10" s="389"/>
      <c r="BS10" s="389"/>
      <c r="BT10" s="389"/>
      <c r="BU10" s="389"/>
      <c r="BV10" s="389"/>
      <c r="BW10" s="389"/>
      <c r="BX10" s="389"/>
      <c r="BY10" s="389"/>
      <c r="BZ10" s="389"/>
      <c r="CA10" s="389"/>
      <c r="CB10" s="389"/>
      <c r="CC10" s="389"/>
      <c r="CD10" s="389"/>
      <c r="CE10" s="389"/>
      <c r="CF10" s="389"/>
      <c r="CG10" s="389"/>
      <c r="CH10" s="389"/>
      <c r="CI10" s="389"/>
      <c r="CJ10" s="389"/>
      <c r="CK10" s="389"/>
      <c r="CL10" s="389"/>
      <c r="CM10" s="389"/>
      <c r="CN10" s="389"/>
      <c r="CO10" s="389"/>
      <c r="CP10" s="389"/>
      <c r="CQ10" s="389"/>
      <c r="CR10" s="389"/>
      <c r="CS10" s="389"/>
      <c r="CT10" s="389"/>
      <c r="CU10" s="389"/>
      <c r="CV10" s="389"/>
      <c r="CW10" s="389"/>
      <c r="CX10" s="389"/>
      <c r="CY10" s="389"/>
      <c r="CZ10" s="389"/>
      <c r="DA10" s="389"/>
      <c r="DB10" s="389"/>
      <c r="DC10" s="389"/>
      <c r="DD10" s="389"/>
      <c r="DE10" s="389"/>
      <c r="DF10" s="389"/>
      <c r="DG10" s="389"/>
      <c r="DH10" s="389"/>
      <c r="DI10" s="389"/>
      <c r="DJ10" s="389"/>
      <c r="DK10" s="389"/>
      <c r="DL10" s="389"/>
      <c r="DM10" s="389"/>
      <c r="DN10" s="389"/>
      <c r="DO10" s="389"/>
      <c r="DP10" s="389"/>
      <c r="DQ10" s="389"/>
      <c r="DR10" s="389"/>
      <c r="DS10" s="389"/>
      <c r="DT10" s="389"/>
      <c r="DU10" s="389"/>
      <c r="DV10" s="389"/>
      <c r="DW10" s="389"/>
      <c r="DX10" s="389"/>
      <c r="DY10" s="389"/>
      <c r="DZ10" s="389"/>
      <c r="EA10" s="389"/>
      <c r="EB10" s="389"/>
      <c r="EC10" s="389"/>
      <c r="ED10" s="389"/>
      <c r="EE10" s="389"/>
      <c r="EF10" s="389"/>
      <c r="EG10" s="389"/>
      <c r="EH10" s="389"/>
      <c r="EI10" s="389"/>
      <c r="EJ10" s="389"/>
      <c r="EK10" s="389"/>
      <c r="EL10" s="389"/>
      <c r="EM10" s="389"/>
      <c r="EN10" s="389"/>
      <c r="EO10" s="389"/>
      <c r="EP10" s="389"/>
      <c r="EQ10" s="389"/>
      <c r="ER10" s="389"/>
      <c r="ES10" s="389"/>
      <c r="ET10" s="389"/>
      <c r="EU10" s="389"/>
      <c r="EV10" s="389"/>
      <c r="EW10" s="389"/>
      <c r="EX10" s="389"/>
      <c r="EY10" s="389"/>
      <c r="EZ10" s="389"/>
      <c r="FA10" s="389"/>
      <c r="FB10" s="389"/>
      <c r="FC10" s="389"/>
      <c r="FD10" s="389"/>
      <c r="FE10" s="389"/>
      <c r="FF10" s="389"/>
      <c r="FG10" s="389"/>
      <c r="FH10" s="389"/>
      <c r="FI10" s="389"/>
      <c r="FJ10" s="389"/>
      <c r="FK10" s="389"/>
      <c r="FL10" s="389"/>
      <c r="FM10" s="389"/>
      <c r="FN10" s="389"/>
      <c r="FO10" s="389"/>
      <c r="FP10" s="389"/>
      <c r="FQ10" s="389"/>
      <c r="FR10" s="389"/>
      <c r="FS10" s="389"/>
      <c r="FT10" s="389"/>
      <c r="FU10" s="389"/>
      <c r="FV10" s="389"/>
      <c r="FW10" s="389"/>
      <c r="FX10" s="389"/>
      <c r="FY10" s="389"/>
      <c r="FZ10" s="389"/>
      <c r="GA10" s="389"/>
      <c r="GB10" s="389"/>
      <c r="GC10" s="389"/>
      <c r="GD10" s="389"/>
      <c r="GE10" s="389"/>
      <c r="GF10" s="389"/>
      <c r="GG10" s="389"/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89"/>
      <c r="GW10" s="389"/>
      <c r="GX10" s="389"/>
      <c r="GY10" s="389"/>
      <c r="GZ10" s="389"/>
      <c r="HA10" s="389"/>
      <c r="HB10" s="389"/>
      <c r="HC10" s="389"/>
      <c r="HD10" s="389"/>
      <c r="HE10" s="389"/>
      <c r="HF10" s="389"/>
      <c r="HG10" s="389"/>
      <c r="HH10" s="389"/>
      <c r="HI10" s="389"/>
      <c r="HJ10" s="389"/>
      <c r="HK10" s="389"/>
      <c r="HL10" s="389"/>
      <c r="HM10" s="389"/>
      <c r="HN10" s="389"/>
      <c r="HO10" s="389"/>
      <c r="HP10" s="389"/>
      <c r="HQ10" s="389"/>
      <c r="HR10" s="389"/>
      <c r="HS10" s="389"/>
      <c r="HT10" s="389"/>
      <c r="HU10" s="389"/>
      <c r="HV10" s="389"/>
      <c r="HW10" s="389"/>
      <c r="HX10" s="389"/>
      <c r="HY10" s="389"/>
      <c r="HZ10" s="389"/>
      <c r="IA10" s="389"/>
      <c r="IB10" s="389"/>
      <c r="IC10" s="389"/>
      <c r="ID10" s="389"/>
      <c r="IE10" s="389"/>
      <c r="IF10" s="389"/>
      <c r="IG10" s="389"/>
      <c r="IH10" s="389"/>
      <c r="II10" s="389"/>
      <c r="IJ10" s="389"/>
      <c r="IK10" s="389"/>
      <c r="IL10" s="389"/>
      <c r="IM10" s="389"/>
      <c r="IN10" s="389"/>
      <c r="IO10" s="389"/>
      <c r="IP10" s="389"/>
      <c r="IQ10" s="389"/>
      <c r="IR10" s="389"/>
      <c r="IS10" s="389"/>
      <c r="IT10" s="389"/>
      <c r="IU10" s="389"/>
      <c r="IV10" s="389"/>
    </row>
    <row r="11" spans="1:256" ht="15.75" x14ac:dyDescent="0.25">
      <c r="A11" s="390"/>
      <c r="B11" s="391"/>
      <c r="C11" s="391"/>
      <c r="D11" s="398"/>
      <c r="E11" s="393"/>
      <c r="F11" s="394"/>
      <c r="G11" s="735"/>
      <c r="H11" s="736"/>
      <c r="I11" s="389"/>
      <c r="J11" s="389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  <c r="AM11" s="389"/>
      <c r="AN11" s="389"/>
      <c r="AO11" s="389"/>
      <c r="AP11" s="389"/>
      <c r="AQ11" s="389"/>
      <c r="AR11" s="389"/>
      <c r="AS11" s="389"/>
      <c r="AT11" s="389"/>
      <c r="AU11" s="389"/>
      <c r="AV11" s="389"/>
      <c r="AW11" s="389"/>
      <c r="AX11" s="389"/>
      <c r="AY11" s="389"/>
      <c r="AZ11" s="389"/>
      <c r="BA11" s="389"/>
      <c r="BB11" s="389"/>
      <c r="BC11" s="389"/>
      <c r="BD11" s="389"/>
      <c r="BE11" s="389"/>
      <c r="BF11" s="389"/>
      <c r="BG11" s="389"/>
      <c r="BH11" s="389"/>
      <c r="BI11" s="389"/>
      <c r="BJ11" s="389"/>
      <c r="BK11" s="389"/>
      <c r="BL11" s="389"/>
      <c r="BM11" s="389"/>
      <c r="BN11" s="389"/>
      <c r="BO11" s="389"/>
      <c r="BP11" s="389"/>
      <c r="BQ11" s="389"/>
      <c r="BR11" s="389"/>
      <c r="BS11" s="389"/>
      <c r="BT11" s="389"/>
      <c r="BU11" s="389"/>
      <c r="BV11" s="389"/>
      <c r="BW11" s="389"/>
      <c r="BX11" s="389"/>
      <c r="BY11" s="389"/>
      <c r="BZ11" s="389"/>
      <c r="CA11" s="389"/>
      <c r="CB11" s="389"/>
      <c r="CC11" s="389"/>
      <c r="CD11" s="389"/>
      <c r="CE11" s="389"/>
      <c r="CF11" s="389"/>
      <c r="CG11" s="389"/>
      <c r="CH11" s="389"/>
      <c r="CI11" s="389"/>
      <c r="CJ11" s="389"/>
      <c r="CK11" s="389"/>
      <c r="CL11" s="389"/>
      <c r="CM11" s="389"/>
      <c r="CN11" s="389"/>
      <c r="CO11" s="389"/>
      <c r="CP11" s="389"/>
      <c r="CQ11" s="389"/>
      <c r="CR11" s="389"/>
      <c r="CS11" s="389"/>
      <c r="CT11" s="389"/>
      <c r="CU11" s="389"/>
      <c r="CV11" s="389"/>
      <c r="CW11" s="389"/>
      <c r="CX11" s="389"/>
      <c r="CY11" s="389"/>
      <c r="CZ11" s="389"/>
      <c r="DA11" s="389"/>
      <c r="DB11" s="389"/>
      <c r="DC11" s="389"/>
      <c r="DD11" s="389"/>
      <c r="DE11" s="389"/>
      <c r="DF11" s="389"/>
      <c r="DG11" s="389"/>
      <c r="DH11" s="389"/>
      <c r="DI11" s="389"/>
      <c r="DJ11" s="389"/>
      <c r="DK11" s="389"/>
      <c r="DL11" s="389"/>
      <c r="DM11" s="389"/>
      <c r="DN11" s="389"/>
      <c r="DO11" s="389"/>
      <c r="DP11" s="389"/>
      <c r="DQ11" s="389"/>
      <c r="DR11" s="389"/>
      <c r="DS11" s="389"/>
      <c r="DT11" s="389"/>
      <c r="DU11" s="389"/>
      <c r="DV11" s="389"/>
      <c r="DW11" s="389"/>
      <c r="DX11" s="389"/>
      <c r="DY11" s="389"/>
      <c r="DZ11" s="389"/>
      <c r="EA11" s="389"/>
      <c r="EB11" s="389"/>
      <c r="EC11" s="389"/>
      <c r="ED11" s="389"/>
      <c r="EE11" s="389"/>
      <c r="EF11" s="389"/>
      <c r="EG11" s="389"/>
      <c r="EH11" s="389"/>
      <c r="EI11" s="389"/>
      <c r="EJ11" s="389"/>
      <c r="EK11" s="389"/>
      <c r="EL11" s="389"/>
      <c r="EM11" s="389"/>
      <c r="EN11" s="389"/>
      <c r="EO11" s="389"/>
      <c r="EP11" s="389"/>
      <c r="EQ11" s="389"/>
      <c r="ER11" s="389"/>
      <c r="ES11" s="389"/>
      <c r="ET11" s="389"/>
      <c r="EU11" s="389"/>
      <c r="EV11" s="389"/>
      <c r="EW11" s="389"/>
      <c r="EX11" s="389"/>
      <c r="EY11" s="389"/>
      <c r="EZ11" s="389"/>
      <c r="FA11" s="389"/>
      <c r="FB11" s="389"/>
      <c r="FC11" s="389"/>
      <c r="FD11" s="389"/>
      <c r="FE11" s="389"/>
      <c r="FF11" s="389"/>
      <c r="FG11" s="389"/>
      <c r="FH11" s="389"/>
      <c r="FI11" s="389"/>
      <c r="FJ11" s="389"/>
      <c r="FK11" s="389"/>
      <c r="FL11" s="389"/>
      <c r="FM11" s="389"/>
      <c r="FN11" s="389"/>
      <c r="FO11" s="389"/>
      <c r="FP11" s="389"/>
      <c r="FQ11" s="389"/>
      <c r="FR11" s="389"/>
      <c r="FS11" s="389"/>
      <c r="FT11" s="389"/>
      <c r="FU11" s="389"/>
      <c r="FV11" s="389"/>
      <c r="FW11" s="389"/>
      <c r="FX11" s="389"/>
      <c r="FY11" s="389"/>
      <c r="FZ11" s="389"/>
      <c r="GA11" s="389"/>
      <c r="GB11" s="389"/>
      <c r="GC11" s="389"/>
      <c r="GD11" s="389"/>
      <c r="GE11" s="389"/>
      <c r="GF11" s="389"/>
      <c r="GG11" s="389"/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89"/>
      <c r="GW11" s="389"/>
      <c r="GX11" s="389"/>
      <c r="GY11" s="389"/>
      <c r="GZ11" s="389"/>
      <c r="HA11" s="389"/>
      <c r="HB11" s="389"/>
      <c r="HC11" s="389"/>
      <c r="HD11" s="389"/>
      <c r="HE11" s="389"/>
      <c r="HF11" s="389"/>
      <c r="HG11" s="389"/>
      <c r="HH11" s="389"/>
      <c r="HI11" s="389"/>
      <c r="HJ11" s="389"/>
      <c r="HK11" s="389"/>
      <c r="HL11" s="389"/>
      <c r="HM11" s="389"/>
      <c r="HN11" s="389"/>
      <c r="HO11" s="389"/>
      <c r="HP11" s="389"/>
      <c r="HQ11" s="389"/>
      <c r="HR11" s="389"/>
      <c r="HS11" s="389"/>
      <c r="HT11" s="389"/>
      <c r="HU11" s="389"/>
      <c r="HV11" s="389"/>
      <c r="HW11" s="389"/>
      <c r="HX11" s="389"/>
      <c r="HY11" s="389"/>
      <c r="HZ11" s="389"/>
      <c r="IA11" s="389"/>
      <c r="IB11" s="389"/>
      <c r="IC11" s="389"/>
      <c r="ID11" s="389"/>
      <c r="IE11" s="389"/>
      <c r="IF11" s="389"/>
      <c r="IG11" s="389"/>
      <c r="IH11" s="389"/>
      <c r="II11" s="389"/>
      <c r="IJ11" s="389"/>
      <c r="IK11" s="389"/>
      <c r="IL11" s="389"/>
      <c r="IM11" s="389"/>
      <c r="IN11" s="389"/>
      <c r="IO11" s="389"/>
      <c r="IP11" s="389"/>
      <c r="IQ11" s="389"/>
      <c r="IR11" s="389"/>
      <c r="IS11" s="389"/>
      <c r="IT11" s="389"/>
      <c r="IU11" s="389"/>
      <c r="IV11" s="389"/>
    </row>
    <row r="12" spans="1:256" ht="15.75" x14ac:dyDescent="0.25">
      <c r="A12" s="390"/>
      <c r="B12" s="391"/>
      <c r="C12" s="391"/>
      <c r="D12" s="398"/>
      <c r="E12" s="393"/>
      <c r="F12" s="394"/>
      <c r="G12" s="735"/>
      <c r="H12" s="736"/>
      <c r="I12" s="389"/>
      <c r="J12" s="389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  <c r="AM12" s="389"/>
      <c r="AN12" s="389"/>
      <c r="AO12" s="389"/>
      <c r="AP12" s="389"/>
      <c r="AQ12" s="389"/>
      <c r="AR12" s="389"/>
      <c r="AS12" s="389"/>
      <c r="AT12" s="389"/>
      <c r="AU12" s="389"/>
      <c r="AV12" s="389"/>
      <c r="AW12" s="389"/>
      <c r="AX12" s="389"/>
      <c r="AY12" s="389"/>
      <c r="AZ12" s="389"/>
      <c r="BA12" s="389"/>
      <c r="BB12" s="389"/>
      <c r="BC12" s="389"/>
      <c r="BD12" s="389"/>
      <c r="BE12" s="389"/>
      <c r="BF12" s="389"/>
      <c r="BG12" s="389"/>
      <c r="BH12" s="389"/>
      <c r="BI12" s="389"/>
      <c r="BJ12" s="389"/>
      <c r="BK12" s="389"/>
      <c r="BL12" s="389"/>
      <c r="BM12" s="389"/>
      <c r="BN12" s="389"/>
      <c r="BO12" s="389"/>
      <c r="BP12" s="389"/>
      <c r="BQ12" s="389"/>
      <c r="BR12" s="389"/>
      <c r="BS12" s="389"/>
      <c r="BT12" s="389"/>
      <c r="BU12" s="389"/>
      <c r="BV12" s="389"/>
      <c r="BW12" s="389"/>
      <c r="BX12" s="389"/>
      <c r="BY12" s="389"/>
      <c r="BZ12" s="389"/>
      <c r="CA12" s="389"/>
      <c r="CB12" s="389"/>
      <c r="CC12" s="389"/>
      <c r="CD12" s="389"/>
      <c r="CE12" s="389"/>
      <c r="CF12" s="389"/>
      <c r="CG12" s="389"/>
      <c r="CH12" s="389"/>
      <c r="CI12" s="389"/>
      <c r="CJ12" s="389"/>
      <c r="CK12" s="389"/>
      <c r="CL12" s="389"/>
      <c r="CM12" s="389"/>
      <c r="CN12" s="389"/>
      <c r="CO12" s="389"/>
      <c r="CP12" s="389"/>
      <c r="CQ12" s="389"/>
      <c r="CR12" s="389"/>
      <c r="CS12" s="389"/>
      <c r="CT12" s="389"/>
      <c r="CU12" s="389"/>
      <c r="CV12" s="389"/>
      <c r="CW12" s="389"/>
      <c r="CX12" s="389"/>
      <c r="CY12" s="389"/>
      <c r="CZ12" s="389"/>
      <c r="DA12" s="389"/>
      <c r="DB12" s="389"/>
      <c r="DC12" s="389"/>
      <c r="DD12" s="389"/>
      <c r="DE12" s="389"/>
      <c r="DF12" s="389"/>
      <c r="DG12" s="389"/>
      <c r="DH12" s="389"/>
      <c r="DI12" s="389"/>
      <c r="DJ12" s="389"/>
      <c r="DK12" s="389"/>
      <c r="DL12" s="389"/>
      <c r="DM12" s="389"/>
      <c r="DN12" s="389"/>
      <c r="DO12" s="389"/>
      <c r="DP12" s="389"/>
      <c r="DQ12" s="389"/>
      <c r="DR12" s="389"/>
      <c r="DS12" s="389"/>
      <c r="DT12" s="389"/>
      <c r="DU12" s="389"/>
      <c r="DV12" s="389"/>
      <c r="DW12" s="389"/>
      <c r="DX12" s="389"/>
      <c r="DY12" s="389"/>
      <c r="DZ12" s="389"/>
      <c r="EA12" s="389"/>
      <c r="EB12" s="389"/>
      <c r="EC12" s="389"/>
      <c r="ED12" s="389"/>
      <c r="EE12" s="389"/>
      <c r="EF12" s="389"/>
      <c r="EG12" s="389"/>
      <c r="EH12" s="389"/>
      <c r="EI12" s="389"/>
      <c r="EJ12" s="389"/>
      <c r="EK12" s="389"/>
      <c r="EL12" s="389"/>
      <c r="EM12" s="389"/>
      <c r="EN12" s="389"/>
      <c r="EO12" s="389"/>
      <c r="EP12" s="389"/>
      <c r="EQ12" s="389"/>
      <c r="ER12" s="389"/>
      <c r="ES12" s="389"/>
      <c r="ET12" s="389"/>
      <c r="EU12" s="389"/>
      <c r="EV12" s="389"/>
      <c r="EW12" s="389"/>
      <c r="EX12" s="389"/>
      <c r="EY12" s="389"/>
      <c r="EZ12" s="389"/>
      <c r="FA12" s="389"/>
      <c r="FB12" s="389"/>
      <c r="FC12" s="389"/>
      <c r="FD12" s="389"/>
      <c r="FE12" s="389"/>
      <c r="FF12" s="389"/>
      <c r="FG12" s="389"/>
      <c r="FH12" s="389"/>
      <c r="FI12" s="389"/>
      <c r="FJ12" s="389"/>
      <c r="FK12" s="389"/>
      <c r="FL12" s="389"/>
      <c r="FM12" s="389"/>
      <c r="FN12" s="389"/>
      <c r="FO12" s="389"/>
      <c r="FP12" s="389"/>
      <c r="FQ12" s="389"/>
      <c r="FR12" s="389"/>
      <c r="FS12" s="389"/>
      <c r="FT12" s="389"/>
      <c r="FU12" s="389"/>
      <c r="FV12" s="389"/>
      <c r="FW12" s="389"/>
      <c r="FX12" s="389"/>
      <c r="FY12" s="389"/>
      <c r="FZ12" s="389"/>
      <c r="GA12" s="389"/>
      <c r="GB12" s="389"/>
      <c r="GC12" s="389"/>
      <c r="GD12" s="389"/>
      <c r="GE12" s="389"/>
      <c r="GF12" s="389"/>
      <c r="GG12" s="389"/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89"/>
      <c r="GW12" s="389"/>
      <c r="GX12" s="389"/>
      <c r="GY12" s="389"/>
      <c r="GZ12" s="389"/>
      <c r="HA12" s="389"/>
      <c r="HB12" s="389"/>
      <c r="HC12" s="389"/>
      <c r="HD12" s="389"/>
      <c r="HE12" s="389"/>
      <c r="HF12" s="389"/>
      <c r="HG12" s="389"/>
      <c r="HH12" s="389"/>
      <c r="HI12" s="389"/>
      <c r="HJ12" s="389"/>
      <c r="HK12" s="389"/>
      <c r="HL12" s="389"/>
      <c r="HM12" s="389"/>
      <c r="HN12" s="389"/>
      <c r="HO12" s="389"/>
      <c r="HP12" s="389"/>
      <c r="HQ12" s="389"/>
      <c r="HR12" s="389"/>
      <c r="HS12" s="389"/>
      <c r="HT12" s="389"/>
      <c r="HU12" s="389"/>
      <c r="HV12" s="389"/>
      <c r="HW12" s="389"/>
      <c r="HX12" s="389"/>
      <c r="HY12" s="389"/>
      <c r="HZ12" s="389"/>
      <c r="IA12" s="389"/>
      <c r="IB12" s="389"/>
      <c r="IC12" s="389"/>
      <c r="ID12" s="389"/>
      <c r="IE12" s="389"/>
      <c r="IF12" s="389"/>
      <c r="IG12" s="389"/>
      <c r="IH12" s="389"/>
      <c r="II12" s="389"/>
      <c r="IJ12" s="389"/>
      <c r="IK12" s="389"/>
      <c r="IL12" s="389"/>
      <c r="IM12" s="389"/>
      <c r="IN12" s="389"/>
      <c r="IO12" s="389"/>
      <c r="IP12" s="389"/>
      <c r="IQ12" s="389"/>
      <c r="IR12" s="389"/>
      <c r="IS12" s="389"/>
      <c r="IT12" s="389"/>
      <c r="IU12" s="389"/>
      <c r="IV12" s="389"/>
    </row>
    <row r="13" spans="1:256" ht="15" x14ac:dyDescent="0.2">
      <c r="A13" s="310">
        <v>702182</v>
      </c>
      <c r="B13" s="309" t="s">
        <v>69</v>
      </c>
      <c r="C13" s="46"/>
      <c r="D13" s="46">
        <v>1</v>
      </c>
      <c r="E13" s="46" t="s">
        <v>31</v>
      </c>
      <c r="F13" s="393" t="s">
        <v>95</v>
      </c>
      <c r="G13" s="735" t="s">
        <v>95</v>
      </c>
      <c r="H13" s="736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290"/>
      <c r="AY13" s="290"/>
      <c r="AZ13" s="290"/>
      <c r="BA13" s="290"/>
      <c r="BB13" s="290"/>
      <c r="BC13" s="290"/>
      <c r="BD13" s="290"/>
      <c r="BE13" s="290"/>
      <c r="BF13" s="290"/>
      <c r="BG13" s="290"/>
      <c r="BH13" s="290"/>
      <c r="BI13" s="290"/>
      <c r="BJ13" s="290"/>
      <c r="BK13" s="290"/>
      <c r="BL13" s="290"/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/>
      <c r="BX13" s="290"/>
      <c r="BY13" s="290"/>
      <c r="BZ13" s="290"/>
      <c r="CA13" s="290"/>
      <c r="CB13" s="290"/>
      <c r="CC13" s="290"/>
      <c r="CD13" s="290"/>
      <c r="CE13" s="290"/>
      <c r="CF13" s="290"/>
      <c r="CG13" s="290"/>
      <c r="CH13" s="290"/>
      <c r="CI13" s="290"/>
      <c r="CJ13" s="290"/>
      <c r="CK13" s="290"/>
      <c r="CL13" s="290"/>
      <c r="CM13" s="290"/>
      <c r="CN13" s="290"/>
      <c r="CO13" s="290"/>
      <c r="CP13" s="290"/>
      <c r="CQ13" s="290"/>
      <c r="CR13" s="290"/>
      <c r="CS13" s="290"/>
      <c r="CT13" s="290"/>
      <c r="CU13" s="290"/>
      <c r="CV13" s="290"/>
      <c r="CW13" s="290"/>
      <c r="CX13" s="290"/>
      <c r="CY13" s="290"/>
      <c r="CZ13" s="290"/>
      <c r="DA13" s="290"/>
      <c r="DB13" s="290"/>
      <c r="DC13" s="290"/>
      <c r="DD13" s="290"/>
      <c r="DE13" s="290"/>
      <c r="DF13" s="290"/>
      <c r="DG13" s="290"/>
      <c r="DH13" s="290"/>
      <c r="DI13" s="290"/>
      <c r="DJ13" s="290"/>
      <c r="DK13" s="290"/>
      <c r="DL13" s="290"/>
      <c r="DM13" s="290"/>
      <c r="DN13" s="290"/>
      <c r="DO13" s="290"/>
      <c r="DP13" s="290"/>
      <c r="DQ13" s="290"/>
      <c r="DR13" s="290"/>
      <c r="DS13" s="290"/>
      <c r="DT13" s="290"/>
      <c r="DU13" s="290"/>
      <c r="DV13" s="290"/>
      <c r="DW13" s="290"/>
      <c r="DX13" s="290"/>
      <c r="DY13" s="290"/>
      <c r="DZ13" s="290"/>
      <c r="EA13" s="290"/>
      <c r="EB13" s="290"/>
      <c r="EC13" s="290"/>
      <c r="ED13" s="290"/>
      <c r="EE13" s="290"/>
      <c r="EF13" s="290"/>
      <c r="EG13" s="290"/>
      <c r="EH13" s="290"/>
      <c r="EI13" s="290"/>
      <c r="EJ13" s="290"/>
      <c r="EK13" s="290"/>
      <c r="EL13" s="290"/>
      <c r="EM13" s="290"/>
      <c r="EN13" s="290"/>
      <c r="EO13" s="290"/>
      <c r="EP13" s="290"/>
      <c r="EQ13" s="290"/>
      <c r="ER13" s="290"/>
      <c r="ES13" s="290"/>
      <c r="ET13" s="290"/>
      <c r="EU13" s="290"/>
      <c r="EV13" s="290"/>
      <c r="EW13" s="290"/>
      <c r="EX13" s="290"/>
      <c r="EY13" s="290"/>
      <c r="EZ13" s="290"/>
      <c r="FA13" s="290"/>
      <c r="FB13" s="290"/>
      <c r="FC13" s="290"/>
      <c r="FD13" s="290"/>
      <c r="FE13" s="290"/>
      <c r="FF13" s="290"/>
      <c r="FG13" s="290"/>
      <c r="FH13" s="290"/>
      <c r="FI13" s="290"/>
      <c r="FJ13" s="290"/>
      <c r="FK13" s="290"/>
      <c r="FL13" s="290"/>
      <c r="FM13" s="290"/>
      <c r="FN13" s="290"/>
      <c r="FO13" s="290"/>
      <c r="FP13" s="290"/>
      <c r="FQ13" s="290"/>
      <c r="FR13" s="290"/>
      <c r="FS13" s="290"/>
      <c r="FT13" s="290"/>
      <c r="FU13" s="290"/>
      <c r="FV13" s="290"/>
      <c r="FW13" s="290"/>
      <c r="FX13" s="290"/>
      <c r="FY13" s="290"/>
      <c r="FZ13" s="290"/>
      <c r="GA13" s="290"/>
      <c r="GB13" s="290"/>
      <c r="GC13" s="290"/>
      <c r="GD13" s="290"/>
      <c r="GE13" s="290"/>
      <c r="GF13" s="290"/>
      <c r="GG13" s="290"/>
      <c r="GH13" s="290"/>
      <c r="GI13" s="290"/>
      <c r="GJ13" s="290"/>
      <c r="GK13" s="290"/>
      <c r="GL13" s="290"/>
      <c r="GM13" s="290"/>
      <c r="GN13" s="290"/>
      <c r="GO13" s="290"/>
      <c r="GP13" s="290"/>
      <c r="GQ13" s="290"/>
      <c r="GR13" s="290"/>
      <c r="GS13" s="290"/>
      <c r="GT13" s="290"/>
      <c r="GU13" s="290"/>
      <c r="GV13" s="290"/>
      <c r="GW13" s="290"/>
      <c r="GX13" s="290"/>
      <c r="GY13" s="290"/>
      <c r="GZ13" s="290"/>
      <c r="HA13" s="290"/>
      <c r="HB13" s="290"/>
      <c r="HC13" s="290"/>
      <c r="HD13" s="290"/>
      <c r="HE13" s="290"/>
      <c r="HF13" s="290"/>
      <c r="HG13" s="290"/>
      <c r="HH13" s="290"/>
      <c r="HI13" s="290"/>
      <c r="HJ13" s="290"/>
      <c r="HK13" s="290"/>
      <c r="HL13" s="290"/>
      <c r="HM13" s="290"/>
      <c r="HN13" s="290"/>
      <c r="HO13" s="290"/>
      <c r="HP13" s="290"/>
      <c r="HQ13" s="290"/>
      <c r="HR13" s="290"/>
      <c r="HS13" s="290"/>
      <c r="HT13" s="290"/>
      <c r="HU13" s="290"/>
      <c r="HV13" s="290"/>
      <c r="HW13" s="290"/>
      <c r="HX13" s="290"/>
      <c r="HY13" s="290"/>
      <c r="HZ13" s="290"/>
      <c r="IA13" s="290"/>
      <c r="IB13" s="290"/>
      <c r="IC13" s="290"/>
      <c r="ID13" s="290"/>
      <c r="IE13" s="290"/>
      <c r="IF13" s="290"/>
      <c r="IG13" s="290"/>
      <c r="IH13" s="290"/>
      <c r="II13" s="290"/>
      <c r="IJ13" s="290"/>
      <c r="IK13" s="290"/>
      <c r="IL13" s="290"/>
      <c r="IM13" s="290"/>
      <c r="IN13" s="290"/>
      <c r="IO13" s="290"/>
      <c r="IP13" s="290"/>
      <c r="IQ13" s="290"/>
      <c r="IR13" s="290"/>
      <c r="IS13" s="290"/>
      <c r="IT13" s="290"/>
      <c r="IU13" s="290"/>
      <c r="IV13" s="290"/>
    </row>
    <row r="14" spans="1:256" x14ac:dyDescent="0.2">
      <c r="A14" s="399"/>
      <c r="B14" s="400"/>
      <c r="C14" s="402"/>
      <c r="D14" s="401"/>
      <c r="E14" s="393"/>
      <c r="F14" s="393"/>
      <c r="G14" s="735"/>
      <c r="H14" s="736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0"/>
      <c r="AR14" s="290"/>
      <c r="AS14" s="290"/>
      <c r="AT14" s="290"/>
      <c r="AU14" s="290"/>
      <c r="AV14" s="290"/>
      <c r="AW14" s="290"/>
      <c r="AX14" s="290"/>
      <c r="AY14" s="290"/>
      <c r="AZ14" s="290"/>
      <c r="BA14" s="290"/>
      <c r="BB14" s="290"/>
      <c r="BC14" s="290"/>
      <c r="BD14" s="290"/>
      <c r="BE14" s="290"/>
      <c r="BF14" s="290"/>
      <c r="BG14" s="290"/>
      <c r="BH14" s="290"/>
      <c r="BI14" s="290"/>
      <c r="BJ14" s="290"/>
      <c r="BK14" s="290"/>
      <c r="BL14" s="290"/>
      <c r="BM14" s="290"/>
      <c r="BN14" s="290"/>
      <c r="BO14" s="290"/>
      <c r="BP14" s="290"/>
      <c r="BQ14" s="290"/>
      <c r="BR14" s="290"/>
      <c r="BS14" s="290"/>
      <c r="BT14" s="290"/>
      <c r="BU14" s="290"/>
      <c r="BV14" s="290"/>
      <c r="BW14" s="290"/>
      <c r="BX14" s="290"/>
      <c r="BY14" s="290"/>
      <c r="BZ14" s="290"/>
      <c r="CA14" s="290"/>
      <c r="CB14" s="290"/>
      <c r="CC14" s="290"/>
      <c r="CD14" s="290"/>
      <c r="CE14" s="290"/>
      <c r="CF14" s="290"/>
      <c r="CG14" s="290"/>
      <c r="CH14" s="290"/>
      <c r="CI14" s="290"/>
      <c r="CJ14" s="290"/>
      <c r="CK14" s="290"/>
      <c r="CL14" s="290"/>
      <c r="CM14" s="290"/>
      <c r="CN14" s="290"/>
      <c r="CO14" s="290"/>
      <c r="CP14" s="290"/>
      <c r="CQ14" s="290"/>
      <c r="CR14" s="290"/>
      <c r="CS14" s="290"/>
      <c r="CT14" s="290"/>
      <c r="CU14" s="290"/>
      <c r="CV14" s="290"/>
      <c r="CW14" s="290"/>
      <c r="CX14" s="290"/>
      <c r="CY14" s="290"/>
      <c r="CZ14" s="290"/>
      <c r="DA14" s="290"/>
      <c r="DB14" s="290"/>
      <c r="DC14" s="290"/>
      <c r="DD14" s="290"/>
      <c r="DE14" s="290"/>
      <c r="DF14" s="290"/>
      <c r="DG14" s="290"/>
      <c r="DH14" s="290"/>
      <c r="DI14" s="290"/>
      <c r="DJ14" s="290"/>
      <c r="DK14" s="290"/>
      <c r="DL14" s="290"/>
      <c r="DM14" s="290"/>
      <c r="DN14" s="290"/>
      <c r="DO14" s="290"/>
      <c r="DP14" s="290"/>
      <c r="DQ14" s="290"/>
      <c r="DR14" s="290"/>
      <c r="DS14" s="290"/>
      <c r="DT14" s="290"/>
      <c r="DU14" s="290"/>
      <c r="DV14" s="290"/>
      <c r="DW14" s="290"/>
      <c r="DX14" s="290"/>
      <c r="DY14" s="290"/>
      <c r="DZ14" s="290"/>
      <c r="EA14" s="290"/>
      <c r="EB14" s="290"/>
      <c r="EC14" s="290"/>
      <c r="ED14" s="290"/>
      <c r="EE14" s="290"/>
      <c r="EF14" s="290"/>
      <c r="EG14" s="290"/>
      <c r="EH14" s="290"/>
      <c r="EI14" s="290"/>
      <c r="EJ14" s="290"/>
      <c r="EK14" s="290"/>
      <c r="EL14" s="290"/>
      <c r="EM14" s="290"/>
      <c r="EN14" s="290"/>
      <c r="EO14" s="290"/>
      <c r="EP14" s="290"/>
      <c r="EQ14" s="290"/>
      <c r="ER14" s="290"/>
      <c r="ES14" s="290"/>
      <c r="ET14" s="290"/>
      <c r="EU14" s="290"/>
      <c r="EV14" s="290"/>
      <c r="EW14" s="290"/>
      <c r="EX14" s="290"/>
      <c r="EY14" s="290"/>
      <c r="EZ14" s="290"/>
      <c r="FA14" s="290"/>
      <c r="FB14" s="290"/>
      <c r="FC14" s="290"/>
      <c r="FD14" s="290"/>
      <c r="FE14" s="290"/>
      <c r="FF14" s="290"/>
      <c r="FG14" s="290"/>
      <c r="FH14" s="290"/>
      <c r="FI14" s="290"/>
      <c r="FJ14" s="290"/>
      <c r="FK14" s="290"/>
      <c r="FL14" s="290"/>
      <c r="FM14" s="290"/>
      <c r="FN14" s="290"/>
      <c r="FO14" s="290"/>
      <c r="FP14" s="290"/>
      <c r="FQ14" s="290"/>
      <c r="FR14" s="290"/>
      <c r="FS14" s="290"/>
      <c r="FT14" s="290"/>
      <c r="FU14" s="290"/>
      <c r="FV14" s="290"/>
      <c r="FW14" s="290"/>
      <c r="FX14" s="290"/>
      <c r="FY14" s="290"/>
      <c r="FZ14" s="290"/>
      <c r="GA14" s="290"/>
      <c r="GB14" s="290"/>
      <c r="GC14" s="290"/>
      <c r="GD14" s="290"/>
      <c r="GE14" s="290"/>
      <c r="GF14" s="290"/>
      <c r="GG14" s="290"/>
      <c r="GH14" s="290"/>
      <c r="GI14" s="290"/>
      <c r="GJ14" s="290"/>
      <c r="GK14" s="290"/>
      <c r="GL14" s="290"/>
      <c r="GM14" s="290"/>
      <c r="GN14" s="290"/>
      <c r="GO14" s="290"/>
      <c r="GP14" s="290"/>
      <c r="GQ14" s="290"/>
      <c r="GR14" s="290"/>
      <c r="GS14" s="290"/>
      <c r="GT14" s="290"/>
      <c r="GU14" s="290"/>
      <c r="GV14" s="290"/>
      <c r="GW14" s="290"/>
      <c r="GX14" s="290"/>
      <c r="GY14" s="290"/>
      <c r="GZ14" s="290"/>
      <c r="HA14" s="290"/>
      <c r="HB14" s="290"/>
      <c r="HC14" s="290"/>
      <c r="HD14" s="290"/>
      <c r="HE14" s="290"/>
      <c r="HF14" s="290"/>
      <c r="HG14" s="290"/>
      <c r="HH14" s="290"/>
      <c r="HI14" s="290"/>
      <c r="HJ14" s="290"/>
      <c r="HK14" s="290"/>
      <c r="HL14" s="290"/>
      <c r="HM14" s="290"/>
      <c r="HN14" s="290"/>
      <c r="HO14" s="290"/>
      <c r="HP14" s="290"/>
      <c r="HQ14" s="290"/>
      <c r="HR14" s="290"/>
      <c r="HS14" s="290"/>
      <c r="HT14" s="290"/>
      <c r="HU14" s="290"/>
      <c r="HV14" s="290"/>
      <c r="HW14" s="290"/>
      <c r="HX14" s="290"/>
      <c r="HY14" s="290"/>
      <c r="HZ14" s="290"/>
      <c r="IA14" s="290"/>
      <c r="IB14" s="290"/>
      <c r="IC14" s="290"/>
      <c r="ID14" s="290"/>
      <c r="IE14" s="290"/>
      <c r="IF14" s="290"/>
      <c r="IG14" s="290"/>
      <c r="IH14" s="290"/>
      <c r="II14" s="290"/>
      <c r="IJ14" s="290"/>
      <c r="IK14" s="290"/>
      <c r="IL14" s="290"/>
      <c r="IM14" s="290"/>
      <c r="IN14" s="290"/>
      <c r="IO14" s="290"/>
      <c r="IP14" s="290"/>
      <c r="IQ14" s="290"/>
      <c r="IR14" s="290"/>
      <c r="IS14" s="290"/>
      <c r="IT14" s="290"/>
      <c r="IU14" s="290"/>
      <c r="IV14" s="290"/>
    </row>
    <row r="15" spans="1:256" ht="16.5" thickBot="1" x14ac:dyDescent="0.3">
      <c r="A15" s="403"/>
      <c r="B15" s="404"/>
      <c r="C15" s="404"/>
      <c r="D15" s="405"/>
      <c r="E15" s="406"/>
      <c r="F15" s="406"/>
      <c r="G15" s="733"/>
      <c r="H15" s="734"/>
      <c r="I15" s="389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  <c r="AM15" s="389"/>
      <c r="AN15" s="389"/>
      <c r="AO15" s="389"/>
      <c r="AP15" s="389"/>
      <c r="AQ15" s="389"/>
      <c r="AR15" s="389"/>
      <c r="AS15" s="389"/>
      <c r="AT15" s="389"/>
      <c r="AU15" s="389"/>
      <c r="AV15" s="389"/>
      <c r="AW15" s="389"/>
      <c r="AX15" s="389"/>
      <c r="AY15" s="389"/>
      <c r="AZ15" s="389"/>
      <c r="BA15" s="389"/>
      <c r="BB15" s="389"/>
      <c r="BC15" s="389"/>
      <c r="BD15" s="389"/>
      <c r="BE15" s="389"/>
      <c r="BF15" s="389"/>
      <c r="BG15" s="389"/>
      <c r="BH15" s="389"/>
      <c r="BI15" s="389"/>
      <c r="BJ15" s="389"/>
      <c r="BK15" s="389"/>
      <c r="BL15" s="389"/>
      <c r="BM15" s="389"/>
      <c r="BN15" s="389"/>
      <c r="BO15" s="389"/>
      <c r="BP15" s="389"/>
      <c r="BQ15" s="389"/>
      <c r="BR15" s="389"/>
      <c r="BS15" s="389"/>
      <c r="BT15" s="389"/>
      <c r="BU15" s="389"/>
      <c r="BV15" s="389"/>
      <c r="BW15" s="389"/>
      <c r="BX15" s="389"/>
      <c r="BY15" s="389"/>
      <c r="BZ15" s="389"/>
      <c r="CA15" s="389"/>
      <c r="CB15" s="389"/>
      <c r="CC15" s="389"/>
      <c r="CD15" s="389"/>
      <c r="CE15" s="389"/>
      <c r="CF15" s="389"/>
      <c r="CG15" s="389"/>
      <c r="CH15" s="389"/>
      <c r="CI15" s="389"/>
      <c r="CJ15" s="389"/>
      <c r="CK15" s="389"/>
      <c r="CL15" s="389"/>
      <c r="CM15" s="389"/>
      <c r="CN15" s="389"/>
      <c r="CO15" s="389"/>
      <c r="CP15" s="389"/>
      <c r="CQ15" s="389"/>
      <c r="CR15" s="389"/>
      <c r="CS15" s="389"/>
      <c r="CT15" s="389"/>
      <c r="CU15" s="389"/>
      <c r="CV15" s="389"/>
      <c r="CW15" s="389"/>
      <c r="CX15" s="389"/>
      <c r="CY15" s="389"/>
      <c r="CZ15" s="389"/>
      <c r="DA15" s="389"/>
      <c r="DB15" s="389"/>
      <c r="DC15" s="389"/>
      <c r="DD15" s="389"/>
      <c r="DE15" s="389"/>
      <c r="DF15" s="389"/>
      <c r="DG15" s="389"/>
      <c r="DH15" s="389"/>
      <c r="DI15" s="389"/>
      <c r="DJ15" s="389"/>
      <c r="DK15" s="389"/>
      <c r="DL15" s="389"/>
      <c r="DM15" s="389"/>
      <c r="DN15" s="389"/>
      <c r="DO15" s="389"/>
      <c r="DP15" s="389"/>
      <c r="DQ15" s="389"/>
      <c r="DR15" s="389"/>
      <c r="DS15" s="389"/>
      <c r="DT15" s="389"/>
      <c r="DU15" s="389"/>
      <c r="DV15" s="389"/>
      <c r="DW15" s="389"/>
      <c r="DX15" s="389"/>
      <c r="DY15" s="389"/>
      <c r="DZ15" s="389"/>
      <c r="EA15" s="389"/>
      <c r="EB15" s="389"/>
      <c r="EC15" s="389"/>
      <c r="ED15" s="389"/>
      <c r="EE15" s="389"/>
      <c r="EF15" s="389"/>
      <c r="EG15" s="389"/>
      <c r="EH15" s="389"/>
      <c r="EI15" s="389"/>
      <c r="EJ15" s="389"/>
      <c r="EK15" s="389"/>
      <c r="EL15" s="389"/>
      <c r="EM15" s="389"/>
      <c r="EN15" s="389"/>
      <c r="EO15" s="389"/>
      <c r="EP15" s="389"/>
      <c r="EQ15" s="389"/>
      <c r="ER15" s="389"/>
      <c r="ES15" s="389"/>
      <c r="ET15" s="389"/>
      <c r="EU15" s="389"/>
      <c r="EV15" s="389"/>
      <c r="EW15" s="389"/>
      <c r="EX15" s="389"/>
      <c r="EY15" s="389"/>
      <c r="EZ15" s="389"/>
      <c r="FA15" s="389"/>
      <c r="FB15" s="389"/>
      <c r="FC15" s="389"/>
      <c r="FD15" s="389"/>
      <c r="FE15" s="389"/>
      <c r="FF15" s="389"/>
      <c r="FG15" s="389"/>
      <c r="FH15" s="389"/>
      <c r="FI15" s="389"/>
      <c r="FJ15" s="389"/>
      <c r="FK15" s="389"/>
      <c r="FL15" s="389"/>
      <c r="FM15" s="389"/>
      <c r="FN15" s="389"/>
      <c r="FO15" s="389"/>
      <c r="FP15" s="389"/>
      <c r="FQ15" s="389"/>
      <c r="FR15" s="389"/>
      <c r="FS15" s="389"/>
      <c r="FT15" s="389"/>
      <c r="FU15" s="389"/>
      <c r="FV15" s="389"/>
      <c r="FW15" s="389"/>
      <c r="FX15" s="389"/>
      <c r="FY15" s="389"/>
      <c r="FZ15" s="389"/>
      <c r="GA15" s="389"/>
      <c r="GB15" s="389"/>
      <c r="GC15" s="389"/>
      <c r="GD15" s="389"/>
      <c r="GE15" s="389"/>
      <c r="GF15" s="389"/>
      <c r="GG15" s="389"/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89"/>
      <c r="GW15" s="389"/>
      <c r="GX15" s="389"/>
      <c r="GY15" s="389"/>
      <c r="GZ15" s="389"/>
      <c r="HA15" s="389"/>
      <c r="HB15" s="389"/>
      <c r="HC15" s="389"/>
      <c r="HD15" s="389"/>
      <c r="HE15" s="389"/>
      <c r="HF15" s="389"/>
      <c r="HG15" s="389"/>
      <c r="HH15" s="389"/>
      <c r="HI15" s="389"/>
      <c r="HJ15" s="389"/>
      <c r="HK15" s="389"/>
      <c r="HL15" s="389"/>
      <c r="HM15" s="389"/>
      <c r="HN15" s="389"/>
      <c r="HO15" s="389"/>
      <c r="HP15" s="389"/>
      <c r="HQ15" s="389"/>
      <c r="HR15" s="389"/>
      <c r="HS15" s="389"/>
      <c r="HT15" s="389"/>
      <c r="HU15" s="389"/>
      <c r="HV15" s="389"/>
      <c r="HW15" s="389"/>
      <c r="HX15" s="389"/>
      <c r="HY15" s="389"/>
      <c r="HZ15" s="389"/>
      <c r="IA15" s="389"/>
      <c r="IB15" s="389"/>
      <c r="IC15" s="389"/>
      <c r="ID15" s="389"/>
      <c r="IE15" s="389"/>
      <c r="IF15" s="389"/>
      <c r="IG15" s="389"/>
      <c r="IH15" s="389"/>
      <c r="II15" s="389"/>
      <c r="IJ15" s="389"/>
      <c r="IK15" s="389"/>
      <c r="IL15" s="389"/>
      <c r="IM15" s="389"/>
      <c r="IN15" s="389"/>
      <c r="IO15" s="389"/>
      <c r="IP15" s="389"/>
      <c r="IQ15" s="389"/>
      <c r="IR15" s="389"/>
      <c r="IS15" s="389"/>
      <c r="IT15" s="389"/>
      <c r="IU15" s="389"/>
      <c r="IV15" s="389"/>
    </row>
    <row r="16" spans="1:256" ht="15" thickBot="1" x14ac:dyDescent="0.25">
      <c r="A16" s="737" t="s">
        <v>228</v>
      </c>
      <c r="B16" s="738"/>
      <c r="C16" s="738"/>
      <c r="D16" s="738"/>
      <c r="E16" s="738"/>
      <c r="F16" s="738"/>
      <c r="G16" s="738"/>
      <c r="H16" s="739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0"/>
      <c r="AR16" s="290"/>
      <c r="AS16" s="290"/>
      <c r="AT16" s="290"/>
      <c r="AU16" s="290"/>
      <c r="AV16" s="290"/>
      <c r="AW16" s="290"/>
      <c r="AX16" s="290"/>
      <c r="AY16" s="290"/>
      <c r="AZ16" s="290"/>
      <c r="BA16" s="290"/>
      <c r="BB16" s="290"/>
      <c r="BC16" s="290"/>
      <c r="BD16" s="290"/>
      <c r="BE16" s="290"/>
      <c r="BF16" s="290"/>
      <c r="BG16" s="290"/>
      <c r="BH16" s="290"/>
      <c r="BI16" s="290"/>
      <c r="BJ16" s="290"/>
      <c r="BK16" s="290"/>
      <c r="BL16" s="290"/>
      <c r="BM16" s="290"/>
      <c r="BN16" s="290"/>
      <c r="BO16" s="290"/>
      <c r="BP16" s="290"/>
      <c r="BQ16" s="290"/>
      <c r="BR16" s="290"/>
      <c r="BS16" s="290"/>
      <c r="BT16" s="290"/>
      <c r="BU16" s="290"/>
      <c r="BV16" s="290"/>
      <c r="BW16" s="290"/>
      <c r="BX16" s="290"/>
      <c r="BY16" s="290"/>
      <c r="BZ16" s="290"/>
      <c r="CA16" s="290"/>
      <c r="CB16" s="290"/>
      <c r="CC16" s="290"/>
      <c r="CD16" s="290"/>
      <c r="CE16" s="290"/>
      <c r="CF16" s="290"/>
      <c r="CG16" s="290"/>
      <c r="CH16" s="290"/>
      <c r="CI16" s="290"/>
      <c r="CJ16" s="290"/>
      <c r="CK16" s="290"/>
      <c r="CL16" s="290"/>
      <c r="CM16" s="290"/>
      <c r="CN16" s="290"/>
      <c r="CO16" s="290"/>
      <c r="CP16" s="290"/>
      <c r="CQ16" s="290"/>
      <c r="CR16" s="290"/>
      <c r="CS16" s="290"/>
      <c r="CT16" s="290"/>
      <c r="CU16" s="290"/>
      <c r="CV16" s="290"/>
      <c r="CW16" s="290"/>
      <c r="CX16" s="290"/>
      <c r="CY16" s="290"/>
      <c r="CZ16" s="290"/>
      <c r="DA16" s="290"/>
      <c r="DB16" s="290"/>
      <c r="DC16" s="290"/>
      <c r="DD16" s="290"/>
      <c r="DE16" s="290"/>
      <c r="DF16" s="290"/>
      <c r="DG16" s="290"/>
      <c r="DH16" s="290"/>
      <c r="DI16" s="290"/>
      <c r="DJ16" s="290"/>
      <c r="DK16" s="290"/>
      <c r="DL16" s="290"/>
      <c r="DM16" s="290"/>
      <c r="DN16" s="290"/>
      <c r="DO16" s="290"/>
      <c r="DP16" s="290"/>
      <c r="DQ16" s="290"/>
      <c r="DR16" s="290"/>
      <c r="DS16" s="290"/>
      <c r="DT16" s="290"/>
      <c r="DU16" s="290"/>
      <c r="DV16" s="290"/>
      <c r="DW16" s="290"/>
      <c r="DX16" s="290"/>
      <c r="DY16" s="290"/>
      <c r="DZ16" s="290"/>
      <c r="EA16" s="290"/>
      <c r="EB16" s="290"/>
      <c r="EC16" s="290"/>
      <c r="ED16" s="290"/>
      <c r="EE16" s="290"/>
      <c r="EF16" s="290"/>
      <c r="EG16" s="290"/>
      <c r="EH16" s="290"/>
      <c r="EI16" s="290"/>
      <c r="EJ16" s="290"/>
      <c r="EK16" s="290"/>
      <c r="EL16" s="290"/>
      <c r="EM16" s="290"/>
      <c r="EN16" s="290"/>
      <c r="EO16" s="290"/>
      <c r="EP16" s="290"/>
      <c r="EQ16" s="290"/>
      <c r="ER16" s="290"/>
      <c r="ES16" s="290"/>
      <c r="ET16" s="290"/>
      <c r="EU16" s="290"/>
      <c r="EV16" s="290"/>
      <c r="EW16" s="290"/>
      <c r="EX16" s="290"/>
      <c r="EY16" s="290"/>
      <c r="EZ16" s="290"/>
      <c r="FA16" s="290"/>
      <c r="FB16" s="290"/>
      <c r="FC16" s="290"/>
      <c r="FD16" s="290"/>
      <c r="FE16" s="290"/>
      <c r="FF16" s="290"/>
      <c r="FG16" s="290"/>
      <c r="FH16" s="290"/>
      <c r="FI16" s="290"/>
      <c r="FJ16" s="290"/>
      <c r="FK16" s="290"/>
      <c r="FL16" s="290"/>
      <c r="FM16" s="290"/>
      <c r="FN16" s="290"/>
      <c r="FO16" s="290"/>
      <c r="FP16" s="290"/>
      <c r="FQ16" s="290"/>
      <c r="FR16" s="290"/>
      <c r="FS16" s="290"/>
      <c r="FT16" s="290"/>
      <c r="FU16" s="290"/>
      <c r="FV16" s="290"/>
      <c r="FW16" s="290"/>
      <c r="FX16" s="290"/>
      <c r="FY16" s="290"/>
      <c r="FZ16" s="290"/>
      <c r="GA16" s="290"/>
      <c r="GB16" s="290"/>
      <c r="GC16" s="290"/>
      <c r="GD16" s="290"/>
      <c r="GE16" s="290"/>
      <c r="GF16" s="290"/>
      <c r="GG16" s="290"/>
      <c r="GH16" s="290"/>
      <c r="GI16" s="290"/>
      <c r="GJ16" s="290"/>
      <c r="GK16" s="290"/>
      <c r="GL16" s="290"/>
      <c r="GM16" s="290"/>
      <c r="GN16" s="290"/>
      <c r="GO16" s="290"/>
      <c r="GP16" s="290"/>
      <c r="GQ16" s="290"/>
      <c r="GR16" s="290"/>
      <c r="GS16" s="290"/>
      <c r="GT16" s="290"/>
      <c r="GU16" s="290"/>
      <c r="GV16" s="290"/>
      <c r="GW16" s="290"/>
      <c r="GX16" s="290"/>
      <c r="GY16" s="290"/>
      <c r="GZ16" s="290"/>
      <c r="HA16" s="290"/>
      <c r="HB16" s="290"/>
      <c r="HC16" s="290"/>
      <c r="HD16" s="290"/>
      <c r="HE16" s="290"/>
      <c r="HF16" s="290"/>
      <c r="HG16" s="290"/>
      <c r="HH16" s="290"/>
      <c r="HI16" s="290"/>
      <c r="HJ16" s="290"/>
      <c r="HK16" s="290"/>
      <c r="HL16" s="290"/>
      <c r="HM16" s="290"/>
      <c r="HN16" s="290"/>
      <c r="HO16" s="290"/>
      <c r="HP16" s="290"/>
      <c r="HQ16" s="290"/>
      <c r="HR16" s="290"/>
      <c r="HS16" s="290"/>
      <c r="HT16" s="290"/>
      <c r="HU16" s="290"/>
      <c r="HV16" s="290"/>
      <c r="HW16" s="290"/>
      <c r="HX16" s="290"/>
      <c r="HY16" s="290"/>
      <c r="HZ16" s="290"/>
      <c r="IA16" s="290"/>
      <c r="IB16" s="290"/>
      <c r="IC16" s="290"/>
      <c r="ID16" s="290"/>
      <c r="IE16" s="290"/>
      <c r="IF16" s="290"/>
      <c r="IG16" s="290"/>
      <c r="IH16" s="290"/>
      <c r="II16" s="290"/>
      <c r="IJ16" s="290"/>
      <c r="IK16" s="290"/>
      <c r="IL16" s="290"/>
      <c r="IM16" s="290"/>
      <c r="IN16" s="290"/>
      <c r="IO16" s="290"/>
      <c r="IP16" s="290"/>
      <c r="IQ16" s="290"/>
      <c r="IR16" s="290"/>
      <c r="IS16" s="290"/>
      <c r="IT16" s="290"/>
      <c r="IU16" s="290"/>
      <c r="IV16" s="290"/>
    </row>
    <row r="17" spans="1:8" ht="17.25" x14ac:dyDescent="0.3">
      <c r="A17" s="407"/>
      <c r="B17" s="408"/>
      <c r="C17" s="408"/>
      <c r="D17" s="408"/>
      <c r="E17" s="375"/>
      <c r="F17" s="408"/>
      <c r="G17" s="408"/>
      <c r="H17" s="409"/>
    </row>
    <row r="18" spans="1:8" ht="15" x14ac:dyDescent="0.2">
      <c r="A18" s="740" t="s">
        <v>229</v>
      </c>
      <c r="B18" s="741"/>
      <c r="C18" s="741"/>
      <c r="D18" s="741"/>
      <c r="E18" s="742" t="s">
        <v>230</v>
      </c>
      <c r="F18" s="742"/>
      <c r="G18" s="742"/>
      <c r="H18" s="743"/>
    </row>
    <row r="19" spans="1:8" ht="17.25" x14ac:dyDescent="0.3">
      <c r="A19" s="407"/>
      <c r="B19" s="408"/>
      <c r="C19" s="408"/>
      <c r="D19" s="408"/>
      <c r="E19" s="375"/>
      <c r="F19" s="408"/>
      <c r="G19" s="408"/>
      <c r="H19" s="409"/>
    </row>
    <row r="20" spans="1:8" ht="17.25" x14ac:dyDescent="0.3">
      <c r="A20" s="407"/>
      <c r="B20" s="408"/>
      <c r="C20" s="408"/>
      <c r="D20" s="408"/>
      <c r="E20" s="375"/>
      <c r="F20" s="408"/>
      <c r="G20" s="408"/>
      <c r="H20" s="409"/>
    </row>
    <row r="21" spans="1:8" ht="17.25" x14ac:dyDescent="0.3">
      <c r="A21" s="407"/>
      <c r="B21" s="408"/>
      <c r="C21" s="408"/>
      <c r="D21" s="408"/>
      <c r="E21" s="375"/>
      <c r="F21" s="408"/>
      <c r="G21" s="408"/>
      <c r="H21" s="409"/>
    </row>
    <row r="22" spans="1:8" ht="17.25" x14ac:dyDescent="0.3">
      <c r="A22" s="407"/>
      <c r="B22" s="408"/>
      <c r="C22" s="408"/>
      <c r="D22" s="408"/>
      <c r="E22" s="375"/>
      <c r="F22" s="408"/>
      <c r="G22" s="408"/>
      <c r="H22" s="409"/>
    </row>
    <row r="23" spans="1:8" ht="17.25" x14ac:dyDescent="0.3">
      <c r="A23" s="407"/>
      <c r="B23" s="408"/>
      <c r="C23" s="408"/>
      <c r="D23" s="408"/>
      <c r="E23" s="375"/>
      <c r="F23" s="408"/>
      <c r="G23" s="408"/>
      <c r="H23" s="409"/>
    </row>
    <row r="24" spans="1:8" ht="17.25" x14ac:dyDescent="0.3">
      <c r="A24" s="407"/>
      <c r="B24" s="408"/>
      <c r="C24" s="408"/>
      <c r="D24" s="408"/>
      <c r="E24" s="375"/>
      <c r="F24" s="408"/>
      <c r="G24" s="408"/>
      <c r="H24" s="409"/>
    </row>
    <row r="25" spans="1:8" ht="17.25" x14ac:dyDescent="0.3">
      <c r="A25" s="407"/>
      <c r="B25" s="408"/>
      <c r="C25" s="408"/>
      <c r="D25" s="408"/>
      <c r="E25" s="375"/>
      <c r="F25" s="408"/>
      <c r="G25" s="408"/>
      <c r="H25" s="409"/>
    </row>
    <row r="26" spans="1:8" ht="17.25" x14ac:dyDescent="0.3">
      <c r="A26" s="407"/>
      <c r="B26" s="408"/>
      <c r="C26" s="408"/>
      <c r="D26" s="408"/>
      <c r="E26" s="375"/>
      <c r="F26" s="408"/>
      <c r="G26" s="408"/>
      <c r="H26" s="409"/>
    </row>
    <row r="27" spans="1:8" ht="17.25" x14ac:dyDescent="0.3">
      <c r="A27" s="407"/>
      <c r="B27" s="408"/>
      <c r="C27" s="408"/>
      <c r="D27" s="408"/>
      <c r="E27" s="408"/>
      <c r="F27" s="408"/>
      <c r="G27" s="408"/>
      <c r="H27" s="409"/>
    </row>
    <row r="28" spans="1:8" ht="18" thickBot="1" x14ac:dyDescent="0.35">
      <c r="A28" s="407"/>
      <c r="B28" s="408"/>
      <c r="C28" s="408"/>
      <c r="D28" s="408"/>
      <c r="E28" s="408"/>
      <c r="F28" s="408"/>
      <c r="G28" s="408"/>
      <c r="H28" s="409"/>
    </row>
    <row r="29" spans="1:8" ht="15" thickBot="1" x14ac:dyDescent="0.25">
      <c r="A29" s="737" t="s">
        <v>231</v>
      </c>
      <c r="B29" s="738"/>
      <c r="C29" s="738"/>
      <c r="D29" s="738"/>
      <c r="E29" s="738"/>
      <c r="F29" s="738"/>
      <c r="G29" s="738"/>
      <c r="H29" s="739"/>
    </row>
    <row r="30" spans="1:8" ht="13.5" x14ac:dyDescent="0.2">
      <c r="A30" s="753" t="s">
        <v>232</v>
      </c>
      <c r="B30" s="754"/>
      <c r="C30" s="754"/>
      <c r="D30" s="754"/>
      <c r="E30" s="754"/>
      <c r="F30" s="754"/>
      <c r="G30" s="754"/>
      <c r="H30" s="755"/>
    </row>
    <row r="31" spans="1:8" ht="13.5" x14ac:dyDescent="0.2">
      <c r="A31" s="753" t="s">
        <v>233</v>
      </c>
      <c r="B31" s="754"/>
      <c r="C31" s="754"/>
      <c r="D31" s="754"/>
      <c r="E31" s="754"/>
      <c r="F31" s="754"/>
      <c r="G31" s="754"/>
      <c r="H31" s="755"/>
    </row>
    <row r="32" spans="1:8" ht="13.5" x14ac:dyDescent="0.2">
      <c r="A32" s="753"/>
      <c r="B32" s="754"/>
      <c r="C32" s="754"/>
      <c r="D32" s="754"/>
      <c r="E32" s="754"/>
      <c r="F32" s="754"/>
      <c r="G32" s="754"/>
      <c r="H32" s="755"/>
    </row>
    <row r="33" spans="1:8" ht="14.25" thickBot="1" x14ac:dyDescent="0.25">
      <c r="A33" s="744"/>
      <c r="B33" s="745"/>
      <c r="C33" s="745"/>
      <c r="D33" s="745"/>
      <c r="E33" s="745"/>
      <c r="F33" s="745"/>
      <c r="G33" s="745"/>
      <c r="H33" s="746"/>
    </row>
    <row r="34" spans="1:8" ht="15" thickBot="1" x14ac:dyDescent="0.25">
      <c r="A34" s="747" t="s">
        <v>234</v>
      </c>
      <c r="B34" s="748"/>
      <c r="C34" s="748"/>
      <c r="D34" s="748"/>
      <c r="E34" s="748"/>
      <c r="F34" s="748"/>
      <c r="G34" s="748"/>
      <c r="H34" s="749"/>
    </row>
    <row r="35" spans="1:8" ht="14.25" thickBot="1" x14ac:dyDescent="0.25">
      <c r="A35" s="750" t="s">
        <v>235</v>
      </c>
      <c r="B35" s="751"/>
      <c r="C35" s="751"/>
      <c r="D35" s="751"/>
      <c r="E35" s="751"/>
      <c r="F35" s="751"/>
      <c r="G35" s="751"/>
      <c r="H35" s="752"/>
    </row>
  </sheetData>
  <mergeCells count="27">
    <mergeCell ref="A33:H33"/>
    <mergeCell ref="A34:H34"/>
    <mergeCell ref="A35:H35"/>
    <mergeCell ref="A29:H29"/>
    <mergeCell ref="A30:H30"/>
    <mergeCell ref="A31:H31"/>
    <mergeCell ref="A32:H32"/>
    <mergeCell ref="G15:H15"/>
    <mergeCell ref="G8:H8"/>
    <mergeCell ref="G9:H9"/>
    <mergeCell ref="A16:H16"/>
    <mergeCell ref="A18:D18"/>
    <mergeCell ref="E18:H18"/>
    <mergeCell ref="G11:H11"/>
    <mergeCell ref="G12:H12"/>
    <mergeCell ref="G13:H13"/>
    <mergeCell ref="G14:H14"/>
    <mergeCell ref="G10:H10"/>
    <mergeCell ref="G4:H4"/>
    <mergeCell ref="G6:H6"/>
    <mergeCell ref="G7:H7"/>
    <mergeCell ref="A1:A4"/>
    <mergeCell ref="B1:F1"/>
    <mergeCell ref="B2:F2"/>
    <mergeCell ref="B3:F3"/>
    <mergeCell ref="B4:C4"/>
    <mergeCell ref="D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F027-D5FD-438B-A55F-581DB3A4AAD2}">
  <dimension ref="A1:AL65"/>
  <sheetViews>
    <sheetView topLeftCell="A4" workbookViewId="0">
      <selection activeCell="F10" sqref="F10"/>
    </sheetView>
  </sheetViews>
  <sheetFormatPr baseColWidth="10" defaultColWidth="8.42578125" defaultRowHeight="11.25" x14ac:dyDescent="0.2"/>
  <cols>
    <col min="1" max="1" width="5" style="172" customWidth="1"/>
    <col min="2" max="2" width="10" style="172" bestFit="1" customWidth="1"/>
    <col min="3" max="3" width="39.28515625" style="172" customWidth="1"/>
    <col min="4" max="4" width="10" style="172" bestFit="1" customWidth="1"/>
    <col min="5" max="5" width="10" style="172" customWidth="1"/>
    <col min="6" max="6" width="10.28515625" style="172" bestFit="1" customWidth="1"/>
    <col min="7" max="7" width="11.5703125" style="250" customWidth="1"/>
    <col min="8" max="8" width="10.42578125" style="323" bestFit="1" customWidth="1"/>
    <col min="9" max="9" width="11.5703125" style="252" bestFit="1" customWidth="1"/>
    <col min="10" max="10" width="11.7109375" style="173" customWidth="1"/>
    <col min="11" max="11" width="9" style="172" bestFit="1" customWidth="1"/>
    <col min="12" max="16384" width="8.42578125" style="172"/>
  </cols>
  <sheetData>
    <row r="1" spans="2:9" x14ac:dyDescent="0.2">
      <c r="H1" s="758" t="s">
        <v>193</v>
      </c>
      <c r="I1" s="760">
        <f>+G51</f>
        <v>4719.1744595893033</v>
      </c>
    </row>
    <row r="2" spans="2:9" ht="19.5" customHeight="1" thickBot="1" x14ac:dyDescent="0.25">
      <c r="H2" s="759"/>
      <c r="I2" s="761"/>
    </row>
    <row r="3" spans="2:9" ht="12" thickBot="1" x14ac:dyDescent="0.25"/>
    <row r="4" spans="2:9" ht="36" customHeight="1" thickBot="1" x14ac:dyDescent="0.35">
      <c r="B4" s="762"/>
      <c r="C4" s="763"/>
      <c r="D4" s="763"/>
      <c r="E4" s="763"/>
      <c r="F4" s="763"/>
      <c r="G4" s="763"/>
      <c r="H4" s="763"/>
      <c r="I4" s="764"/>
    </row>
    <row r="5" spans="2:9" ht="19.5" customHeight="1" thickBot="1" x14ac:dyDescent="0.25">
      <c r="B5" s="765" t="s">
        <v>145</v>
      </c>
      <c r="C5" s="765"/>
      <c r="D5" s="765"/>
      <c r="E5" s="765"/>
      <c r="F5" s="765"/>
      <c r="G5" s="765"/>
      <c r="H5" s="765"/>
      <c r="I5" s="765"/>
    </row>
    <row r="6" spans="2:9" ht="19.5" customHeight="1" thickTop="1" x14ac:dyDescent="0.2">
      <c r="B6" s="766" t="s">
        <v>146</v>
      </c>
      <c r="C6" s="766"/>
      <c r="D6" s="766"/>
      <c r="E6" s="766"/>
      <c r="F6" s="766"/>
      <c r="G6" s="766"/>
      <c r="H6" s="766"/>
      <c r="I6" s="766"/>
    </row>
    <row r="7" spans="2:9" ht="19.5" customHeight="1" thickBot="1" x14ac:dyDescent="0.25">
      <c r="B7" s="174"/>
      <c r="C7" s="174"/>
      <c r="D7" s="174"/>
      <c r="E7" s="174"/>
      <c r="F7" s="174"/>
      <c r="G7" s="767" t="s">
        <v>83</v>
      </c>
      <c r="H7" s="767"/>
      <c r="I7" s="88">
        <f ca="1">TODAY()</f>
        <v>45783</v>
      </c>
    </row>
    <row r="8" spans="2:9" ht="26.25" thickBot="1" x14ac:dyDescent="0.25">
      <c r="B8" s="89" t="s">
        <v>84</v>
      </c>
      <c r="C8" s="90" t="s">
        <v>194</v>
      </c>
      <c r="D8" s="90" t="s">
        <v>84</v>
      </c>
      <c r="E8" s="91" t="s">
        <v>86</v>
      </c>
      <c r="F8" s="91" t="s">
        <v>87</v>
      </c>
      <c r="G8" s="91" t="s">
        <v>88</v>
      </c>
      <c r="H8" s="91" t="s">
        <v>89</v>
      </c>
      <c r="I8" s="92" t="s">
        <v>90</v>
      </c>
    </row>
    <row r="9" spans="2:9" s="178" customFormat="1" ht="13.5" x14ac:dyDescent="0.25">
      <c r="B9" s="94">
        <v>1</v>
      </c>
      <c r="C9" s="100" t="s">
        <v>202</v>
      </c>
      <c r="D9" s="95">
        <f t="shared" ref="D9:D14" si="0">+B9</f>
        <v>1</v>
      </c>
      <c r="E9" s="324" t="s">
        <v>203</v>
      </c>
      <c r="F9" s="96">
        <f>+'COSTEO ENSAMBLE'!O67</f>
        <v>3912.1697224069026</v>
      </c>
      <c r="G9" s="96">
        <f t="shared" ref="G9:G14" si="1">IFERROR(D9*F9,"")</f>
        <v>3912.1697224069026</v>
      </c>
      <c r="H9" s="325">
        <f t="shared" ref="H9:H14" si="2">IFERROR(G9/$G$53,"")</f>
        <v>0.34137477795205501</v>
      </c>
      <c r="I9" s="101"/>
    </row>
    <row r="10" spans="2:9" s="178" customFormat="1" ht="13.5" x14ac:dyDescent="0.25">
      <c r="B10" s="94">
        <v>1</v>
      </c>
      <c r="C10" s="100" t="s">
        <v>204</v>
      </c>
      <c r="D10" s="95">
        <f t="shared" si="0"/>
        <v>1</v>
      </c>
      <c r="E10" s="324" t="s">
        <v>144</v>
      </c>
      <c r="F10" s="96">
        <f>+'COSTO EMPAQUE BRITTLE'!O62</f>
        <v>691.90292109485711</v>
      </c>
      <c r="G10" s="96">
        <f t="shared" si="1"/>
        <v>691.90292109485711</v>
      </c>
      <c r="H10" s="325">
        <f t="shared" si="2"/>
        <v>6.0375245148571351E-2</v>
      </c>
      <c r="I10" s="101"/>
    </row>
    <row r="11" spans="2:9" s="178" customFormat="1" ht="13.5" hidden="1" x14ac:dyDescent="0.25">
      <c r="B11" s="94"/>
      <c r="C11" s="100" t="e">
        <f>VLOOKUP(I11,'[1]COMPRAS LOCALES'!$A$2:$F$380,2,0)</f>
        <v>#N/A</v>
      </c>
      <c r="D11" s="95">
        <f t="shared" si="0"/>
        <v>0</v>
      </c>
      <c r="E11" s="324" t="e">
        <f>VLOOKUP(I11,'[1]COMPRAS LOCALES'!$A$2:$F$380,5,0)</f>
        <v>#N/A</v>
      </c>
      <c r="F11" s="96" t="e">
        <f>VLOOKUP(I11,'[1]COMPRAS LOCALES'!$A$2:$F$380,6,0)</f>
        <v>#N/A</v>
      </c>
      <c r="G11" s="96" t="str">
        <f t="shared" si="1"/>
        <v/>
      </c>
      <c r="H11" s="325" t="str">
        <f t="shared" si="2"/>
        <v/>
      </c>
      <c r="I11" s="101"/>
    </row>
    <row r="12" spans="2:9" s="178" customFormat="1" ht="13.5" hidden="1" x14ac:dyDescent="0.25">
      <c r="B12" s="94"/>
      <c r="C12" s="100" t="e">
        <f>VLOOKUP(I12,'[1]COMPRAS LOCALES'!$A$2:$F$380,2,0)</f>
        <v>#N/A</v>
      </c>
      <c r="D12" s="95">
        <f t="shared" si="0"/>
        <v>0</v>
      </c>
      <c r="E12" s="324" t="e">
        <f>VLOOKUP(I12,'[1]COMPRAS LOCALES'!$A$2:$F$380,5,0)</f>
        <v>#N/A</v>
      </c>
      <c r="F12" s="96" t="e">
        <f>VLOOKUP(I12,'[1]COMPRAS LOCALES'!$A$2:$F$380,6,0)</f>
        <v>#N/A</v>
      </c>
      <c r="G12" s="96" t="str">
        <f t="shared" si="1"/>
        <v/>
      </c>
      <c r="H12" s="325" t="str">
        <f t="shared" si="2"/>
        <v/>
      </c>
      <c r="I12" s="101"/>
    </row>
    <row r="13" spans="2:9" s="178" customFormat="1" ht="13.5" hidden="1" x14ac:dyDescent="0.25">
      <c r="B13" s="94"/>
      <c r="C13" s="100" t="e">
        <f>VLOOKUP(I13,'[1]COMPRAS LOCALES'!$A$2:$F$380,2,0)</f>
        <v>#N/A</v>
      </c>
      <c r="D13" s="95">
        <f t="shared" si="0"/>
        <v>0</v>
      </c>
      <c r="E13" s="324" t="e">
        <f>VLOOKUP(I13,'[1]COMPRAS LOCALES'!$A$2:$F$380,5,0)</f>
        <v>#N/A</v>
      </c>
      <c r="F13" s="96" t="e">
        <f>VLOOKUP(I13,'[1]COMPRAS LOCALES'!$A$2:$F$380,6,0)</f>
        <v>#N/A</v>
      </c>
      <c r="G13" s="96" t="str">
        <f t="shared" si="1"/>
        <v/>
      </c>
      <c r="H13" s="325" t="str">
        <f t="shared" si="2"/>
        <v/>
      </c>
      <c r="I13" s="101"/>
    </row>
    <row r="14" spans="2:9" s="178" customFormat="1" ht="13.5" hidden="1" x14ac:dyDescent="0.25">
      <c r="B14" s="94"/>
      <c r="C14" s="100" t="e">
        <f>VLOOKUP(I14,'[1]COMPRAS LOCALES'!$A$2:$F$380,2,0)</f>
        <v>#N/A</v>
      </c>
      <c r="D14" s="95">
        <f t="shared" si="0"/>
        <v>0</v>
      </c>
      <c r="E14" s="324" t="e">
        <f>VLOOKUP(I14,'[1]COMPRAS LOCALES'!$A$2:$F$380,5,0)</f>
        <v>#N/A</v>
      </c>
      <c r="F14" s="96" t="e">
        <f>VLOOKUP(I14,'[1]COMPRAS LOCALES'!$A$2:$F$380,6,0)</f>
        <v>#N/A</v>
      </c>
      <c r="G14" s="96" t="str">
        <f t="shared" si="1"/>
        <v/>
      </c>
      <c r="H14" s="325" t="str">
        <f t="shared" si="2"/>
        <v/>
      </c>
      <c r="I14" s="101"/>
    </row>
    <row r="15" spans="2:9" s="178" customFormat="1" ht="14.25" thickBot="1" x14ac:dyDescent="0.3">
      <c r="B15" s="94"/>
      <c r="C15" s="326"/>
      <c r="D15" s="95"/>
      <c r="E15" s="95"/>
      <c r="F15" s="96"/>
      <c r="G15" s="96"/>
      <c r="H15" s="325"/>
      <c r="I15" s="101"/>
    </row>
    <row r="16" spans="2:9" s="178" customFormat="1" ht="24" hidden="1" customHeight="1" thickBot="1" x14ac:dyDescent="0.25">
      <c r="B16" s="89" t="s">
        <v>84</v>
      </c>
      <c r="C16" s="90" t="s">
        <v>195</v>
      </c>
      <c r="D16" s="90" t="s">
        <v>84</v>
      </c>
      <c r="E16" s="91" t="s">
        <v>86</v>
      </c>
      <c r="F16" s="91" t="s">
        <v>87</v>
      </c>
      <c r="G16" s="91" t="s">
        <v>88</v>
      </c>
      <c r="H16" s="91" t="s">
        <v>89</v>
      </c>
      <c r="I16" s="92" t="s">
        <v>90</v>
      </c>
    </row>
    <row r="17" spans="2:9" s="178" customFormat="1" ht="13.5" hidden="1" x14ac:dyDescent="0.25">
      <c r="B17" s="94"/>
      <c r="C17" s="100" t="e">
        <f>VLOOKUP(I17,'[1]COMPRAS LOCALES'!$A$2:$F$380,2,0)</f>
        <v>#N/A</v>
      </c>
      <c r="D17" s="327">
        <f>+B17</f>
        <v>0</v>
      </c>
      <c r="E17" s="327" t="e">
        <f>VLOOKUP(I17,'[1]COMPRAS LOCALES'!$A$2:$F$380,5,0)</f>
        <v>#N/A</v>
      </c>
      <c r="F17" s="328" t="e">
        <f>VLOOKUP(I17,'[1]COMPRAS LOCALES'!$A$2:$F$380,6,0)</f>
        <v>#N/A</v>
      </c>
      <c r="G17" s="328" t="str">
        <f>IFERROR(D17*F17,"")</f>
        <v/>
      </c>
      <c r="H17" s="325" t="str">
        <f>IFERROR(G17/$G$53,"")</f>
        <v/>
      </c>
      <c r="I17" s="101"/>
    </row>
    <row r="18" spans="2:9" s="178" customFormat="1" ht="13.5" hidden="1" x14ac:dyDescent="0.25">
      <c r="B18" s="94"/>
      <c r="C18" s="100" t="e">
        <f>VLOOKUP(I18,'[1]COMPRAS LOCALES'!$A$2:$F$380,2,0)</f>
        <v>#N/A</v>
      </c>
      <c r="D18" s="327">
        <f>+B18</f>
        <v>0</v>
      </c>
      <c r="E18" s="327" t="e">
        <f>VLOOKUP(I18,'[1]COMPRAS LOCALES'!$A$2:$F$380,5,0)</f>
        <v>#N/A</v>
      </c>
      <c r="F18" s="328" t="e">
        <f>VLOOKUP(I18,'[1]COMPRAS LOCALES'!$A$2:$F$380,6,0)</f>
        <v>#N/A</v>
      </c>
      <c r="G18" s="328" t="str">
        <f>IFERROR(D18*F18,"")</f>
        <v/>
      </c>
      <c r="H18" s="325" t="str">
        <f>IFERROR(G18/$G$53,"")</f>
        <v/>
      </c>
      <c r="I18" s="101"/>
    </row>
    <row r="19" spans="2:9" s="178" customFormat="1" ht="13.5" hidden="1" x14ac:dyDescent="0.25">
      <c r="B19" s="94"/>
      <c r="C19" s="100" t="e">
        <f>VLOOKUP(I19,'[1]COMPRAS LOCALES'!$A$2:$F$380,2,0)</f>
        <v>#N/A</v>
      </c>
      <c r="D19" s="327">
        <f>+B19</f>
        <v>0</v>
      </c>
      <c r="E19" s="327" t="e">
        <f>VLOOKUP(I19,'[1]COMPRAS LOCALES'!$A$2:$F$380,5,0)</f>
        <v>#N/A</v>
      </c>
      <c r="F19" s="328" t="e">
        <f>VLOOKUP(I19,'[1]COMPRAS LOCALES'!$A$2:$F$380,6,0)</f>
        <v>#N/A</v>
      </c>
      <c r="G19" s="328" t="str">
        <f>IFERROR(D19*F19,"")</f>
        <v/>
      </c>
      <c r="H19" s="325" t="str">
        <f>IFERROR(G19/$G$53,"")</f>
        <v/>
      </c>
      <c r="I19" s="101"/>
    </row>
    <row r="20" spans="2:9" s="178" customFormat="1" ht="13.5" hidden="1" x14ac:dyDescent="0.25">
      <c r="B20" s="94"/>
      <c r="C20" s="100" t="e">
        <f>VLOOKUP(I20,'[1]COMPRAS LOCALES'!$A$2:$F$380,2,0)</f>
        <v>#N/A</v>
      </c>
      <c r="D20" s="327">
        <f>+B20</f>
        <v>0</v>
      </c>
      <c r="E20" s="327" t="e">
        <f>VLOOKUP(I20,'[1]COMPRAS LOCALES'!$A$2:$F$380,5,0)</f>
        <v>#N/A</v>
      </c>
      <c r="F20" s="328" t="e">
        <f>VLOOKUP(I20,'[1]COMPRAS LOCALES'!$A$2:$F$380,6,0)</f>
        <v>#N/A</v>
      </c>
      <c r="G20" s="328" t="str">
        <f>IFERROR(D20*F20,"")</f>
        <v/>
      </c>
      <c r="H20" s="325" t="str">
        <f>IFERROR(G20/$G$53,"")</f>
        <v/>
      </c>
      <c r="I20" s="101"/>
    </row>
    <row r="21" spans="2:9" s="178" customFormat="1" ht="13.5" hidden="1" thickBot="1" x14ac:dyDescent="0.25">
      <c r="B21" s="329"/>
      <c r="C21" s="330"/>
      <c r="D21" s="331"/>
      <c r="E21" s="331"/>
      <c r="F21" s="331"/>
      <c r="G21" s="332"/>
      <c r="H21" s="333"/>
      <c r="I21" s="334"/>
    </row>
    <row r="22" spans="2:9" s="178" customFormat="1" ht="26.25" thickBot="1" x14ac:dyDescent="0.25">
      <c r="B22" s="89" t="s">
        <v>115</v>
      </c>
      <c r="C22" s="90" t="s">
        <v>25</v>
      </c>
      <c r="D22" s="90" t="s">
        <v>115</v>
      </c>
      <c r="E22" s="91" t="s">
        <v>86</v>
      </c>
      <c r="F22" s="91" t="s">
        <v>147</v>
      </c>
      <c r="G22" s="91" t="s">
        <v>148</v>
      </c>
      <c r="H22" s="91" t="s">
        <v>149</v>
      </c>
      <c r="I22" s="92" t="s">
        <v>150</v>
      </c>
    </row>
    <row r="23" spans="2:9" s="178" customFormat="1" ht="14.25" hidden="1" thickBot="1" x14ac:dyDescent="0.3">
      <c r="B23" s="94"/>
      <c r="C23" s="335" t="s">
        <v>196</v>
      </c>
      <c r="D23" s="95"/>
      <c r="E23" s="95"/>
      <c r="F23" s="96"/>
      <c r="G23" s="96"/>
      <c r="H23" s="325"/>
      <c r="I23" s="101"/>
    </row>
    <row r="24" spans="2:9" s="178" customFormat="1" ht="13.5" hidden="1" x14ac:dyDescent="0.25">
      <c r="B24" s="94">
        <v>0.55000000000000004</v>
      </c>
      <c r="C24" s="100" t="e">
        <f>VLOOKUP(I24,'[4]COMPRAS LOCALES'!$A$1:$F$380,2,0)</f>
        <v>#N/A</v>
      </c>
      <c r="D24" s="95">
        <f>+B24</f>
        <v>0.55000000000000004</v>
      </c>
      <c r="E24" s="95" t="e">
        <f>VLOOKUP(I24,'[1]COMPRAS LOCALES'!$A$2:$F$380,5,0)</f>
        <v>#N/A</v>
      </c>
      <c r="F24" s="96" t="e">
        <f>VLOOKUP(I24,'[1]COMPRAS LOCALES'!$A$2:$F$380,6,0)</f>
        <v>#N/A</v>
      </c>
      <c r="G24" s="96" t="str">
        <f>IFERROR(F24*D24,"")</f>
        <v/>
      </c>
      <c r="H24" s="336" t="str">
        <f>IFERROR(G24/$G$53,"")</f>
        <v/>
      </c>
      <c r="I24" s="101"/>
    </row>
    <row r="25" spans="2:9" s="178" customFormat="1" ht="13.5" hidden="1" x14ac:dyDescent="0.25">
      <c r="B25" s="94">
        <v>0.55000000000000004</v>
      </c>
      <c r="C25" s="100" t="e">
        <f>VLOOKUP(I25,'[4]COMPRAS LOCALES'!$A$1:$F$380,2,0)</f>
        <v>#N/A</v>
      </c>
      <c r="D25" s="95">
        <f t="shared" ref="D25:D31" si="3">+B25</f>
        <v>0.55000000000000004</v>
      </c>
      <c r="E25" s="95" t="e">
        <f>VLOOKUP(I25,'[1]COMPRAS LOCALES'!$A$2:$F$380,5,0)</f>
        <v>#N/A</v>
      </c>
      <c r="F25" s="96" t="e">
        <f>VLOOKUP(I25,'[1]COMPRAS LOCALES'!$A$2:$F$380,6,0)</f>
        <v>#N/A</v>
      </c>
      <c r="G25" s="96" t="str">
        <f t="shared" ref="G25:G31" si="4">IFERROR(F25*D25,"")</f>
        <v/>
      </c>
      <c r="H25" s="336" t="str">
        <f t="shared" ref="H25:H38" si="5">IFERROR(G25/$G$53,"")</f>
        <v/>
      </c>
      <c r="I25" s="101"/>
    </row>
    <row r="26" spans="2:9" s="178" customFormat="1" ht="13.5" hidden="1" x14ac:dyDescent="0.25">
      <c r="B26" s="94">
        <v>0.55000000000000004</v>
      </c>
      <c r="C26" s="100" t="e">
        <f>VLOOKUP(I26,'[4]COMPRAS LOCALES'!$A$1:$F$380,2,0)</f>
        <v>#N/A</v>
      </c>
      <c r="D26" s="95">
        <f t="shared" si="3"/>
        <v>0.55000000000000004</v>
      </c>
      <c r="E26" s="95" t="e">
        <f>VLOOKUP(I26,'[1]COMPRAS LOCALES'!$A$2:$F$380,5,0)</f>
        <v>#N/A</v>
      </c>
      <c r="F26" s="96" t="e">
        <f>VLOOKUP(I26,'[1]COMPRAS LOCALES'!$A$2:$F$380,6,0)</f>
        <v>#N/A</v>
      </c>
      <c r="G26" s="96" t="str">
        <f t="shared" si="4"/>
        <v/>
      </c>
      <c r="H26" s="336" t="str">
        <f t="shared" si="5"/>
        <v/>
      </c>
      <c r="I26" s="101"/>
    </row>
    <row r="27" spans="2:9" s="178" customFormat="1" ht="13.5" hidden="1" x14ac:dyDescent="0.25">
      <c r="B27" s="94">
        <v>0.55000000000000004</v>
      </c>
      <c r="C27" s="100" t="e">
        <f>VLOOKUP(I27,'[4]COMPRAS LOCALES'!$A$1:$F$380,2,0)</f>
        <v>#N/A</v>
      </c>
      <c r="D27" s="95">
        <f t="shared" si="3"/>
        <v>0.55000000000000004</v>
      </c>
      <c r="E27" s="95" t="e">
        <f>VLOOKUP(I27,'[1]COMPRAS LOCALES'!$A$2:$F$380,5,0)</f>
        <v>#N/A</v>
      </c>
      <c r="F27" s="96" t="e">
        <f>VLOOKUP(I27,'[1]COMPRAS LOCALES'!$A$2:$F$380,6,0)</f>
        <v>#N/A</v>
      </c>
      <c r="G27" s="96" t="str">
        <f t="shared" si="4"/>
        <v/>
      </c>
      <c r="H27" s="336" t="str">
        <f t="shared" si="5"/>
        <v/>
      </c>
      <c r="I27" s="101"/>
    </row>
    <row r="28" spans="2:9" s="178" customFormat="1" ht="13.5" hidden="1" x14ac:dyDescent="0.25">
      <c r="B28" s="94">
        <v>0.55000000000000004</v>
      </c>
      <c r="C28" s="100" t="e">
        <f>VLOOKUP(I28,'[4]COMPRAS LOCALES'!$A$1:$F$380,2,0)</f>
        <v>#N/A</v>
      </c>
      <c r="D28" s="95">
        <f t="shared" si="3"/>
        <v>0.55000000000000004</v>
      </c>
      <c r="E28" s="95" t="e">
        <f>VLOOKUP(I28,'[1]COMPRAS LOCALES'!$A$2:$F$380,5,0)</f>
        <v>#N/A</v>
      </c>
      <c r="F28" s="96" t="e">
        <f>VLOOKUP(I28,'[1]COMPRAS LOCALES'!$A$2:$F$380,6,0)</f>
        <v>#N/A</v>
      </c>
      <c r="G28" s="96" t="str">
        <f t="shared" si="4"/>
        <v/>
      </c>
      <c r="H28" s="336" t="str">
        <f t="shared" si="5"/>
        <v/>
      </c>
      <c r="I28" s="101"/>
    </row>
    <row r="29" spans="2:9" s="178" customFormat="1" ht="13.5" hidden="1" x14ac:dyDescent="0.25">
      <c r="B29" s="94">
        <v>0.55000000000000004</v>
      </c>
      <c r="C29" s="100" t="e">
        <f>VLOOKUP(I29,'[4]COMPRAS LOCALES'!$A$1:$F$380,2,0)</f>
        <v>#N/A</v>
      </c>
      <c r="D29" s="95">
        <f t="shared" si="3"/>
        <v>0.55000000000000004</v>
      </c>
      <c r="E29" s="95" t="e">
        <f>VLOOKUP(I29,'[1]COMPRAS LOCALES'!$A$2:$F$380,5,0)</f>
        <v>#N/A</v>
      </c>
      <c r="F29" s="96" t="e">
        <f>VLOOKUP(I29,'[1]COMPRAS LOCALES'!$A$2:$F$380,6,0)</f>
        <v>#N/A</v>
      </c>
      <c r="G29" s="96" t="str">
        <f t="shared" si="4"/>
        <v/>
      </c>
      <c r="H29" s="336" t="str">
        <f t="shared" si="5"/>
        <v/>
      </c>
      <c r="I29" s="101"/>
    </row>
    <row r="30" spans="2:9" s="178" customFormat="1" ht="13.5" hidden="1" x14ac:dyDescent="0.25">
      <c r="B30" s="94">
        <v>0.55000000000000004</v>
      </c>
      <c r="C30" s="100" t="e">
        <f>VLOOKUP(I30,'[4]COMPRAS LOCALES'!$A$1:$F$380,2,0)</f>
        <v>#N/A</v>
      </c>
      <c r="D30" s="95">
        <f t="shared" si="3"/>
        <v>0.55000000000000004</v>
      </c>
      <c r="E30" s="95" t="e">
        <f>VLOOKUP(I30,'[1]COMPRAS LOCALES'!$A$2:$F$380,5,0)</f>
        <v>#N/A</v>
      </c>
      <c r="F30" s="96" t="e">
        <f>VLOOKUP(I30,'[1]COMPRAS LOCALES'!$A$2:$F$380,6,0)</f>
        <v>#N/A</v>
      </c>
      <c r="G30" s="96" t="str">
        <f t="shared" si="4"/>
        <v/>
      </c>
      <c r="H30" s="336" t="str">
        <f t="shared" si="5"/>
        <v/>
      </c>
      <c r="I30" s="101"/>
    </row>
    <row r="31" spans="2:9" s="178" customFormat="1" ht="14.25" hidden="1" thickBot="1" x14ac:dyDescent="0.3">
      <c r="B31" s="94">
        <v>0.55000000000000004</v>
      </c>
      <c r="C31" s="100" t="e">
        <f>VLOOKUP(I31,'[4]COMPRAS LOCALES'!$A$1:$F$380,2,0)</f>
        <v>#N/A</v>
      </c>
      <c r="D31" s="95">
        <f t="shared" si="3"/>
        <v>0.55000000000000004</v>
      </c>
      <c r="E31" s="95" t="e">
        <f>VLOOKUP(I31,'[1]COMPRAS LOCALES'!$A$2:$F$380,5,0)</f>
        <v>#N/A</v>
      </c>
      <c r="F31" s="96" t="e">
        <f>VLOOKUP(I31,'[1]COMPRAS LOCALES'!$A$2:$F$380,6,0)</f>
        <v>#N/A</v>
      </c>
      <c r="G31" s="96" t="str">
        <f t="shared" si="4"/>
        <v/>
      </c>
      <c r="H31" s="336" t="str">
        <f t="shared" si="5"/>
        <v/>
      </c>
      <c r="I31" s="101"/>
    </row>
    <row r="32" spans="2:9" s="178" customFormat="1" ht="14.25" hidden="1" thickBot="1" x14ac:dyDescent="0.3">
      <c r="B32" s="94"/>
      <c r="C32" s="335" t="s">
        <v>197</v>
      </c>
      <c r="D32" s="95"/>
      <c r="E32" s="95"/>
      <c r="F32" s="96"/>
      <c r="G32" s="96"/>
      <c r="H32" s="336"/>
      <c r="I32" s="101"/>
    </row>
    <row r="33" spans="1:38" s="178" customFormat="1" ht="13.5" hidden="1" x14ac:dyDescent="0.25">
      <c r="B33" s="94">
        <v>0.05</v>
      </c>
      <c r="C33" s="326" t="str">
        <f>IFERROR(VLOOKUP(I33,'[2]EMP LOCALES'!$A$2:$G$119,2,0),"")</f>
        <v/>
      </c>
      <c r="D33" s="95">
        <f t="shared" ref="D33:D38" si="6">+B33</f>
        <v>0.05</v>
      </c>
      <c r="E33" s="95" t="str">
        <f>IFERROR(VLOOKUP(I33,'[2]EMP LOCALES'!$A$2:$G$119,6,0),"")</f>
        <v/>
      </c>
      <c r="F33" s="96" t="str">
        <f>IFERROR(VLOOKUP(I33,'[2]EMP LOCALES'!$A$2:$G$119,7,0),"")</f>
        <v/>
      </c>
      <c r="G33" s="96" t="str">
        <f t="shared" ref="G33:G38" si="7">IFERROR(F33*D33,"")</f>
        <v/>
      </c>
      <c r="H33" s="336" t="str">
        <f t="shared" si="5"/>
        <v/>
      </c>
      <c r="I33" s="101"/>
    </row>
    <row r="34" spans="1:38" s="178" customFormat="1" ht="13.5" hidden="1" x14ac:dyDescent="0.25">
      <c r="B34" s="94">
        <v>0.05</v>
      </c>
      <c r="C34" s="326" t="str">
        <f>IFERROR(VLOOKUP(I34,'[2]EMP LOCALES'!$A$2:$G$119,2,0),"")</f>
        <v/>
      </c>
      <c r="D34" s="95">
        <f t="shared" si="6"/>
        <v>0.05</v>
      </c>
      <c r="E34" s="95" t="str">
        <f>IFERROR(VLOOKUP(I34,'[2]EMP LOCALES'!$A$2:$G$119,6,0),"")</f>
        <v/>
      </c>
      <c r="F34" s="96" t="str">
        <f>IFERROR(VLOOKUP(I34,'[2]EMP LOCALES'!$A$2:$G$119,7,0),"")</f>
        <v/>
      </c>
      <c r="G34" s="96" t="str">
        <f t="shared" si="7"/>
        <v/>
      </c>
      <c r="H34" s="336" t="str">
        <f t="shared" si="5"/>
        <v/>
      </c>
      <c r="I34" s="101"/>
    </row>
    <row r="35" spans="1:38" s="178" customFormat="1" ht="13.5" hidden="1" x14ac:dyDescent="0.25">
      <c r="B35" s="94">
        <v>0.05</v>
      </c>
      <c r="C35" s="326" t="str">
        <f>IFERROR(VLOOKUP(I35,'[2]EMP LOCALES'!$A$2:$G$119,2,0),"")</f>
        <v/>
      </c>
      <c r="D35" s="95">
        <f t="shared" si="6"/>
        <v>0.05</v>
      </c>
      <c r="E35" s="95" t="str">
        <f>IFERROR(VLOOKUP(I35,'[2]EMP LOCALES'!$A$2:$G$119,6,0),"")</f>
        <v/>
      </c>
      <c r="F35" s="96" t="str">
        <f>IFERROR(VLOOKUP(I35,'[2]EMP LOCALES'!$A$2:$G$119,7,0),"")</f>
        <v/>
      </c>
      <c r="G35" s="96" t="str">
        <f t="shared" si="7"/>
        <v/>
      </c>
      <c r="H35" s="336" t="str">
        <f t="shared" si="5"/>
        <v/>
      </c>
      <c r="I35" s="101"/>
    </row>
    <row r="36" spans="1:38" s="178" customFormat="1" ht="13.5" hidden="1" x14ac:dyDescent="0.25">
      <c r="B36" s="94">
        <v>0.05</v>
      </c>
      <c r="C36" s="326" t="str">
        <f>IFERROR(VLOOKUP(I36,'[2]EMP LOCALES'!$A$2:$G$119,2,0),"")</f>
        <v/>
      </c>
      <c r="D36" s="95">
        <f t="shared" si="6"/>
        <v>0.05</v>
      </c>
      <c r="E36" s="95" t="str">
        <f>IFERROR(VLOOKUP(I36,'[2]EMP LOCALES'!$A$2:$G$119,6,0),"")</f>
        <v/>
      </c>
      <c r="F36" s="96" t="str">
        <f>IFERROR(VLOOKUP(I36,'[2]EMP LOCALES'!$A$2:$G$119,7,0),"")</f>
        <v/>
      </c>
      <c r="G36" s="96" t="str">
        <f t="shared" si="7"/>
        <v/>
      </c>
      <c r="H36" s="336" t="str">
        <f t="shared" si="5"/>
        <v/>
      </c>
      <c r="I36" s="101"/>
    </row>
    <row r="37" spans="1:38" s="178" customFormat="1" ht="13.5" hidden="1" x14ac:dyDescent="0.25">
      <c r="B37" s="94">
        <v>0.05</v>
      </c>
      <c r="C37" s="326" t="str">
        <f>IFERROR(VLOOKUP(I37,'[2]EMP LOCALES'!$A$2:$G$119,2,0),"")</f>
        <v/>
      </c>
      <c r="D37" s="95">
        <f t="shared" si="6"/>
        <v>0.05</v>
      </c>
      <c r="E37" s="95" t="str">
        <f>IFERROR(VLOOKUP(I37,'[2]EMP LOCALES'!$A$2:$G$119,6,0),"")</f>
        <v/>
      </c>
      <c r="F37" s="96" t="str">
        <f>IFERROR(VLOOKUP(I37,'[2]EMP LOCALES'!$A$2:$G$119,7,0),"")</f>
        <v/>
      </c>
      <c r="G37" s="96" t="str">
        <f t="shared" si="7"/>
        <v/>
      </c>
      <c r="H37" s="336" t="str">
        <f t="shared" si="5"/>
        <v/>
      </c>
      <c r="I37" s="101"/>
    </row>
    <row r="38" spans="1:38" s="178" customFormat="1" ht="13.5" hidden="1" x14ac:dyDescent="0.25">
      <c r="B38" s="94">
        <v>0.05</v>
      </c>
      <c r="C38" s="326" t="str">
        <f>IFERROR(VLOOKUP(I38,'[2]EMP LOCALES'!$A$2:$G$119,2,0),"")</f>
        <v/>
      </c>
      <c r="D38" s="95">
        <f t="shared" si="6"/>
        <v>0.05</v>
      </c>
      <c r="E38" s="95" t="str">
        <f>IFERROR(VLOOKUP(I38,'[2]EMP LOCALES'!$A$2:$G$119,6,0),"")</f>
        <v/>
      </c>
      <c r="F38" s="96" t="str">
        <f>IFERROR(VLOOKUP(I38,'[2]EMP LOCALES'!$A$2:$G$119,7,0),"")</f>
        <v/>
      </c>
      <c r="G38" s="96" t="str">
        <f t="shared" si="7"/>
        <v/>
      </c>
      <c r="H38" s="336" t="str">
        <f t="shared" si="5"/>
        <v/>
      </c>
      <c r="I38" s="101"/>
    </row>
    <row r="39" spans="1:38" ht="12.75" x14ac:dyDescent="0.2">
      <c r="A39" s="192"/>
      <c r="B39" s="215"/>
      <c r="C39" s="216"/>
      <c r="D39" s="217"/>
      <c r="E39" s="217"/>
      <c r="F39" s="217"/>
      <c r="G39" s="96"/>
      <c r="H39" s="337"/>
      <c r="I39" s="220"/>
      <c r="J39" s="221"/>
    </row>
    <row r="40" spans="1:38" ht="12.75" x14ac:dyDescent="0.2">
      <c r="A40" s="329"/>
      <c r="B40" s="768" t="s">
        <v>198</v>
      </c>
      <c r="C40" s="768"/>
      <c r="D40" s="768"/>
      <c r="E40" s="768"/>
      <c r="F40" s="768"/>
      <c r="G40" s="338">
        <f>SUM(G9:G14)</f>
        <v>4604.0726435017596</v>
      </c>
      <c r="H40" s="325">
        <f>+G40/$G$53</f>
        <v>0.40175002310062635</v>
      </c>
      <c r="I40" s="172"/>
      <c r="J40" s="172"/>
    </row>
    <row r="41" spans="1:38" ht="13.5" thickBot="1" x14ac:dyDescent="0.25">
      <c r="A41" s="329"/>
      <c r="B41" s="768" t="s">
        <v>199</v>
      </c>
      <c r="C41" s="768"/>
      <c r="D41" s="768"/>
      <c r="E41" s="768"/>
      <c r="F41" s="768" t="e">
        <f>SUM(F17:F20)</f>
        <v>#N/A</v>
      </c>
      <c r="G41" s="339">
        <f>SUM(G17:G20)</f>
        <v>0</v>
      </c>
      <c r="H41" s="325">
        <f>+G41/$G$53</f>
        <v>0</v>
      </c>
      <c r="I41" s="172"/>
      <c r="J41" s="172"/>
    </row>
    <row r="42" spans="1:38" ht="13.5" thickTop="1" x14ac:dyDescent="0.2">
      <c r="A42" s="340"/>
      <c r="B42" s="769" t="s">
        <v>200</v>
      </c>
      <c r="C42" s="769"/>
      <c r="D42" s="769"/>
      <c r="E42" s="769"/>
      <c r="F42" s="769"/>
      <c r="G42" s="342">
        <f>SUM(G40:G41)</f>
        <v>4604.0726435017596</v>
      </c>
      <c r="H42" s="325">
        <f>+G42/$G$53</f>
        <v>0.40175002310062635</v>
      </c>
      <c r="I42" s="172"/>
      <c r="J42" s="172"/>
    </row>
    <row r="43" spans="1:38" ht="13.5" thickBot="1" x14ac:dyDescent="0.25">
      <c r="A43" s="329"/>
      <c r="B43" s="770" t="s">
        <v>163</v>
      </c>
      <c r="C43" s="770"/>
      <c r="D43" s="770"/>
      <c r="E43" s="770"/>
      <c r="F43" s="770"/>
      <c r="G43" s="339">
        <f>SUM(G24:G38)</f>
        <v>0</v>
      </c>
      <c r="H43" s="325">
        <f>+G43/$G$53</f>
        <v>0</v>
      </c>
      <c r="I43" s="172"/>
      <c r="J43" s="172"/>
    </row>
    <row r="44" spans="1:38" ht="13.5" thickTop="1" x14ac:dyDescent="0.2">
      <c r="A44" s="340"/>
      <c r="B44" s="769" t="s">
        <v>98</v>
      </c>
      <c r="C44" s="769"/>
      <c r="D44" s="769"/>
      <c r="E44" s="769"/>
      <c r="F44" s="769"/>
      <c r="G44" s="342">
        <f>SUM(G42:G43)</f>
        <v>4604.0726435017596</v>
      </c>
      <c r="H44" s="325">
        <f>+G44/$G$53</f>
        <v>0.40175002310062635</v>
      </c>
      <c r="I44" s="172"/>
      <c r="J44" s="172"/>
    </row>
    <row r="45" spans="1:38" ht="13.5" thickBot="1" x14ac:dyDescent="0.25">
      <c r="A45" s="100"/>
      <c r="B45" s="344"/>
      <c r="C45" s="344"/>
      <c r="D45" s="345"/>
      <c r="E45" s="345"/>
      <c r="F45" s="346"/>
      <c r="G45" s="347"/>
      <c r="H45" s="100"/>
      <c r="I45" s="172"/>
      <c r="J45" s="172"/>
    </row>
    <row r="46" spans="1:38" s="348" customFormat="1" ht="19.5" customHeight="1" thickBot="1" x14ac:dyDescent="0.3">
      <c r="A46" s="756"/>
      <c r="B46" s="757"/>
      <c r="C46" s="757"/>
      <c r="D46" s="757"/>
      <c r="E46" s="757"/>
      <c r="F46" s="757"/>
      <c r="G46" s="757"/>
      <c r="H46" s="757"/>
      <c r="I46" s="757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</row>
    <row r="47" spans="1:38" ht="12.75" x14ac:dyDescent="0.2">
      <c r="A47" s="100"/>
      <c r="B47" s="349"/>
      <c r="C47" s="349"/>
      <c r="D47" s="349"/>
      <c r="E47" s="100"/>
      <c r="F47" s="329"/>
      <c r="G47" s="350"/>
      <c r="H47" s="351"/>
      <c r="I47" s="172"/>
      <c r="J47" s="172"/>
    </row>
    <row r="48" spans="1:38" ht="12.75" x14ac:dyDescent="0.2">
      <c r="A48" s="344"/>
      <c r="B48" s="769" t="s">
        <v>200</v>
      </c>
      <c r="C48" s="769"/>
      <c r="D48" s="769"/>
      <c r="E48" s="341"/>
      <c r="G48" s="168">
        <f>+G42</f>
        <v>4604.0726435017596</v>
      </c>
      <c r="H48" s="325">
        <f>+G48/$G$53</f>
        <v>0.40175002310062635</v>
      </c>
      <c r="I48" s="172"/>
      <c r="J48" s="172"/>
    </row>
    <row r="49" spans="1:38" ht="12.75" x14ac:dyDescent="0.2">
      <c r="A49" s="344"/>
      <c r="B49" s="770" t="s">
        <v>25</v>
      </c>
      <c r="C49" s="770"/>
      <c r="D49" s="770"/>
      <c r="E49" s="343"/>
      <c r="F49" s="352" t="s">
        <v>168</v>
      </c>
      <c r="G49" s="168">
        <f>+G43</f>
        <v>0</v>
      </c>
      <c r="H49" s="325">
        <f>+G49/$G$53</f>
        <v>0</v>
      </c>
      <c r="I49" s="172"/>
      <c r="J49" s="172"/>
    </row>
    <row r="50" spans="1:38" ht="13.5" thickBot="1" x14ac:dyDescent="0.25">
      <c r="A50" s="100"/>
      <c r="B50" s="770" t="s">
        <v>165</v>
      </c>
      <c r="C50" s="770"/>
      <c r="D50" s="770"/>
      <c r="E50" s="343"/>
      <c r="F50" s="241">
        <v>2.5000000000000001E-2</v>
      </c>
      <c r="G50" s="168">
        <f>+(G49+G48)*F50</f>
        <v>115.10181608754399</v>
      </c>
      <c r="H50" s="325">
        <f>+G50/$G$53</f>
        <v>1.0043750577515659E-2</v>
      </c>
      <c r="I50" s="172"/>
      <c r="J50" s="172"/>
    </row>
    <row r="51" spans="1:38" ht="13.5" thickBot="1" x14ac:dyDescent="0.25">
      <c r="A51" s="344"/>
      <c r="B51" s="772" t="s">
        <v>169</v>
      </c>
      <c r="C51" s="772"/>
      <c r="D51" s="772"/>
      <c r="E51" s="772"/>
      <c r="F51" s="773"/>
      <c r="G51" s="353">
        <f>SUM(G48:G50)</f>
        <v>4719.1744595893033</v>
      </c>
      <c r="H51" s="325">
        <f>+G51/$G$53</f>
        <v>0.41179377367814196</v>
      </c>
      <c r="I51" s="172"/>
      <c r="J51" s="172"/>
    </row>
    <row r="52" spans="1:38" ht="17.25" customHeight="1" x14ac:dyDescent="0.2">
      <c r="A52" s="354"/>
      <c r="B52" s="771" t="s">
        <v>170</v>
      </c>
      <c r="C52" s="771"/>
      <c r="D52" s="771"/>
      <c r="E52" s="246"/>
      <c r="F52" s="355">
        <v>1.4283999999999999</v>
      </c>
      <c r="G52" s="168">
        <f>+G51*F52</f>
        <v>6740.8687980773602</v>
      </c>
      <c r="H52" s="356"/>
      <c r="I52" s="172"/>
      <c r="J52" s="172"/>
    </row>
    <row r="53" spans="1:38" ht="13.5" thickBot="1" x14ac:dyDescent="0.25">
      <c r="A53" s="354"/>
      <c r="B53" s="771" t="s">
        <v>171</v>
      </c>
      <c r="C53" s="771"/>
      <c r="D53" s="771"/>
      <c r="E53" s="246"/>
      <c r="F53" s="357"/>
      <c r="G53" s="168">
        <f>SUM(G51:G52)</f>
        <v>11460.043257666664</v>
      </c>
      <c r="H53" s="358"/>
      <c r="I53" s="255">
        <f>+I55/1.13</f>
        <v>11460.176991150443</v>
      </c>
      <c r="J53" s="256">
        <f>+(I53-G51)/G51</f>
        <v>1.4284283383216545</v>
      </c>
    </row>
    <row r="54" spans="1:38" s="234" customFormat="1" ht="13.5" thickBot="1" x14ac:dyDescent="0.25">
      <c r="A54" s="354"/>
      <c r="B54" s="771" t="s">
        <v>172</v>
      </c>
      <c r="C54" s="771"/>
      <c r="D54" s="771"/>
      <c r="E54" s="246"/>
      <c r="F54" s="359">
        <v>0.13</v>
      </c>
      <c r="G54" s="360">
        <f>+G53*(1+F54)</f>
        <v>12949.848881163329</v>
      </c>
      <c r="H54" s="358"/>
      <c r="I54" s="255">
        <f>+I53*1.13</f>
        <v>12950</v>
      </c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</row>
    <row r="55" spans="1:38" ht="13.5" thickBot="1" x14ac:dyDescent="0.25">
      <c r="A55" s="100"/>
      <c r="B55" s="771" t="s">
        <v>173</v>
      </c>
      <c r="C55" s="771"/>
      <c r="D55" s="771"/>
      <c r="E55" s="246"/>
      <c r="F55" s="359">
        <v>0.23</v>
      </c>
      <c r="G55" s="361">
        <f>+G53*(1+F55)</f>
        <v>14095.853206929996</v>
      </c>
      <c r="H55" s="351"/>
      <c r="I55" s="255">
        <v>12950</v>
      </c>
      <c r="J55" s="172"/>
    </row>
    <row r="56" spans="1:38" ht="13.5" thickBot="1" x14ac:dyDescent="0.25">
      <c r="A56" s="100"/>
      <c r="B56" s="246"/>
      <c r="C56" s="246"/>
      <c r="D56" s="246"/>
      <c r="E56" s="246"/>
      <c r="F56" s="359"/>
      <c r="G56" s="249"/>
      <c r="H56" s="351"/>
      <c r="I56" s="172"/>
      <c r="J56" s="172"/>
      <c r="M56" s="362"/>
    </row>
    <row r="57" spans="1:38" s="348" customFormat="1" ht="19.5" customHeight="1" thickBot="1" x14ac:dyDescent="0.3">
      <c r="A57" s="756" t="s">
        <v>201</v>
      </c>
      <c r="B57" s="757"/>
      <c r="C57" s="757"/>
      <c r="D57" s="757"/>
      <c r="E57" s="757"/>
      <c r="F57" s="757"/>
      <c r="G57" s="757"/>
      <c r="H57" s="757"/>
      <c r="I57" s="757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234" customFormat="1" ht="19.5" customHeight="1" thickBot="1" x14ac:dyDescent="0.25">
      <c r="A65" s="172"/>
      <c r="B65" s="172"/>
      <c r="C65" s="172"/>
      <c r="D65" s="172"/>
      <c r="E65" s="172"/>
      <c r="F65" s="172"/>
      <c r="G65" s="250"/>
      <c r="H65" s="323"/>
      <c r="I65" s="252"/>
      <c r="J65" s="173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B7C1-CB80-4DD5-835E-0D5A3A9B36FE}">
  <dimension ref="A1:L44"/>
  <sheetViews>
    <sheetView workbookViewId="0">
      <selection activeCell="C11" sqref="C11"/>
    </sheetView>
  </sheetViews>
  <sheetFormatPr baseColWidth="10" defaultColWidth="11.42578125" defaultRowHeight="12.75" x14ac:dyDescent="0.2"/>
  <cols>
    <col min="1" max="1" width="16.28515625" style="3" customWidth="1"/>
    <col min="2" max="2" width="48.285156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649"/>
      <c r="B1" s="652" t="s">
        <v>22</v>
      </c>
      <c r="C1" s="652"/>
      <c r="D1" s="652"/>
      <c r="E1" s="652"/>
      <c r="F1" s="652"/>
      <c r="G1" s="1" t="s">
        <v>21</v>
      </c>
      <c r="H1" s="2"/>
    </row>
    <row r="2" spans="1:8" ht="18" x14ac:dyDescent="0.25">
      <c r="A2" s="650"/>
      <c r="B2" s="653" t="s">
        <v>0</v>
      </c>
      <c r="C2" s="653"/>
      <c r="D2" s="653"/>
      <c r="E2" s="653"/>
      <c r="F2" s="653"/>
      <c r="G2" s="4" t="s">
        <v>20</v>
      </c>
      <c r="H2" s="5"/>
    </row>
    <row r="3" spans="1:8" ht="19.5" customHeight="1" x14ac:dyDescent="0.2">
      <c r="A3" s="650"/>
      <c r="B3" s="654" t="s">
        <v>247</v>
      </c>
      <c r="C3" s="654"/>
      <c r="D3" s="654"/>
      <c r="E3" s="654"/>
      <c r="F3" s="654"/>
      <c r="G3" s="655" t="s">
        <v>19</v>
      </c>
      <c r="H3" s="644"/>
    </row>
    <row r="4" spans="1:8" x14ac:dyDescent="0.2">
      <c r="A4" s="650"/>
      <c r="B4" s="30" t="s">
        <v>18</v>
      </c>
      <c r="C4" s="646" t="s">
        <v>35</v>
      </c>
      <c r="D4" s="646"/>
      <c r="E4" s="646"/>
      <c r="F4" s="646"/>
      <c r="G4" s="655"/>
      <c r="H4" s="644"/>
    </row>
    <row r="5" spans="1:8" ht="15" customHeight="1" thickBot="1" x14ac:dyDescent="0.25">
      <c r="A5" s="651"/>
      <c r="B5" s="31" t="s">
        <v>17</v>
      </c>
      <c r="C5" s="647" t="s">
        <v>34</v>
      </c>
      <c r="D5" s="647"/>
      <c r="E5" s="647"/>
      <c r="F5" s="647"/>
      <c r="G5" s="656"/>
      <c r="H5" s="645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555" t="s">
        <v>23</v>
      </c>
      <c r="B7" s="555"/>
      <c r="C7" s="556" t="s">
        <v>175</v>
      </c>
      <c r="D7" s="556"/>
      <c r="E7" s="556"/>
      <c r="F7" s="557" t="s">
        <v>24</v>
      </c>
      <c r="G7" s="557"/>
      <c r="H7" s="33" t="s">
        <v>175</v>
      </c>
    </row>
    <row r="8" spans="1:8" ht="25.5" x14ac:dyDescent="0.2">
      <c r="A8" s="712" t="s">
        <v>1</v>
      </c>
      <c r="B8" s="714" t="s">
        <v>2</v>
      </c>
      <c r="C8" s="714" t="s">
        <v>3</v>
      </c>
      <c r="D8" s="714" t="s">
        <v>4</v>
      </c>
      <c r="E8" s="714"/>
      <c r="F8" s="714" t="s">
        <v>16</v>
      </c>
      <c r="G8" s="714"/>
      <c r="H8" s="6" t="s">
        <v>5</v>
      </c>
    </row>
    <row r="9" spans="1:8" ht="26.25" thickBot="1" x14ac:dyDescent="0.25">
      <c r="A9" s="713"/>
      <c r="B9" s="715"/>
      <c r="C9" s="715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36</v>
      </c>
      <c r="B10" s="61" t="s">
        <v>37</v>
      </c>
      <c r="C10" s="62" t="s">
        <v>29</v>
      </c>
      <c r="D10" s="62">
        <v>200</v>
      </c>
      <c r="E10" s="62" t="s">
        <v>30</v>
      </c>
      <c r="F10" s="63"/>
      <c r="G10" s="64"/>
      <c r="H10" s="65"/>
    </row>
    <row r="11" spans="1:8" ht="15" x14ac:dyDescent="0.2">
      <c r="A11" s="66" t="s">
        <v>38</v>
      </c>
      <c r="B11" s="59" t="s">
        <v>39</v>
      </c>
      <c r="C11" s="55" t="s">
        <v>29</v>
      </c>
      <c r="D11" s="55">
        <v>300</v>
      </c>
      <c r="E11" s="55" t="s">
        <v>30</v>
      </c>
      <c r="F11" s="39"/>
      <c r="G11" s="38"/>
      <c r="H11" s="48"/>
    </row>
    <row r="12" spans="1:8" ht="15.75" x14ac:dyDescent="0.25">
      <c r="A12" s="439">
        <v>410154</v>
      </c>
      <c r="B12" s="36" t="s">
        <v>47</v>
      </c>
      <c r="C12" s="49" t="s">
        <v>48</v>
      </c>
      <c r="D12" s="58">
        <v>120</v>
      </c>
      <c r="E12" s="49" t="s">
        <v>30</v>
      </c>
      <c r="F12" s="690"/>
      <c r="G12" s="690"/>
      <c r="H12" s="691"/>
    </row>
    <row r="13" spans="1:8" ht="15" x14ac:dyDescent="0.2">
      <c r="A13" s="66" t="s">
        <v>38</v>
      </c>
      <c r="B13" s="59" t="s">
        <v>39</v>
      </c>
      <c r="C13" s="55" t="s">
        <v>29</v>
      </c>
      <c r="D13" s="55">
        <v>300</v>
      </c>
      <c r="E13" s="55" t="s">
        <v>30</v>
      </c>
      <c r="F13" s="39"/>
      <c r="G13" s="38"/>
      <c r="H13" s="48"/>
    </row>
    <row r="14" spans="1:8" ht="15" x14ac:dyDescent="0.2">
      <c r="A14" s="69"/>
      <c r="B14" s="70" t="s">
        <v>51</v>
      </c>
      <c r="C14" s="55"/>
      <c r="D14" s="55"/>
      <c r="E14" s="55"/>
      <c r="F14" s="39"/>
      <c r="G14" s="38"/>
      <c r="H14" s="48"/>
    </row>
    <row r="15" spans="1:8" ht="15" x14ac:dyDescent="0.2">
      <c r="A15" s="410" t="s">
        <v>49</v>
      </c>
      <c r="B15" s="74" t="s">
        <v>50</v>
      </c>
      <c r="C15" s="46" t="s">
        <v>29</v>
      </c>
      <c r="D15" s="46">
        <v>90</v>
      </c>
      <c r="E15" s="46" t="s">
        <v>30</v>
      </c>
      <c r="F15" s="690" t="s">
        <v>176</v>
      </c>
      <c r="G15" s="690"/>
      <c r="H15" s="691"/>
    </row>
    <row r="16" spans="1:8" ht="15" x14ac:dyDescent="0.2">
      <c r="A16" s="260">
        <v>902000116</v>
      </c>
      <c r="B16" s="47" t="s">
        <v>54</v>
      </c>
      <c r="C16" s="46" t="s">
        <v>29</v>
      </c>
      <c r="D16" s="46">
        <v>160</v>
      </c>
      <c r="E16" s="46" t="s">
        <v>30</v>
      </c>
      <c r="F16" s="690" t="s">
        <v>177</v>
      </c>
      <c r="G16" s="690"/>
      <c r="H16" s="691"/>
    </row>
    <row r="17" spans="1:12" ht="15.75" x14ac:dyDescent="0.25">
      <c r="A17" s="66" t="s">
        <v>40</v>
      </c>
      <c r="B17" s="59" t="s">
        <v>41</v>
      </c>
      <c r="C17" s="49" t="s">
        <v>62</v>
      </c>
      <c r="D17" s="58">
        <v>20</v>
      </c>
      <c r="E17" s="49" t="s">
        <v>30</v>
      </c>
      <c r="F17" s="690" t="s">
        <v>42</v>
      </c>
      <c r="G17" s="690"/>
      <c r="H17" s="691"/>
    </row>
    <row r="18" spans="1:12" ht="15.75" x14ac:dyDescent="0.25">
      <c r="A18" s="260"/>
      <c r="B18" s="259" t="s">
        <v>25</v>
      </c>
      <c r="C18" s="46"/>
      <c r="D18" s="46"/>
      <c r="E18" s="46"/>
      <c r="F18" s="39"/>
      <c r="G18" s="38"/>
      <c r="H18" s="48"/>
    </row>
    <row r="19" spans="1:12" ht="15" x14ac:dyDescent="0.2">
      <c r="A19" s="261">
        <v>702182</v>
      </c>
      <c r="B19" s="76" t="s">
        <v>69</v>
      </c>
      <c r="C19" s="46" t="s">
        <v>70</v>
      </c>
      <c r="D19" s="46">
        <v>1</v>
      </c>
      <c r="E19" s="46" t="s">
        <v>31</v>
      </c>
      <c r="F19" s="39"/>
      <c r="G19" s="38"/>
      <c r="H19" s="48"/>
    </row>
    <row r="20" spans="1:12" ht="15" x14ac:dyDescent="0.2">
      <c r="A20" s="261">
        <v>703020</v>
      </c>
      <c r="B20" s="76" t="s">
        <v>67</v>
      </c>
      <c r="C20" s="46" t="s">
        <v>70</v>
      </c>
      <c r="D20" s="46">
        <v>60</v>
      </c>
      <c r="E20" s="46" t="s">
        <v>68</v>
      </c>
      <c r="F20" s="40"/>
      <c r="G20" s="52"/>
      <c r="H20" s="51"/>
    </row>
    <row r="21" spans="1:12" ht="15.75" x14ac:dyDescent="0.25">
      <c r="A21" s="54">
        <v>1950693</v>
      </c>
      <c r="B21" s="53" t="s">
        <v>43</v>
      </c>
      <c r="C21" s="49" t="s">
        <v>44</v>
      </c>
      <c r="D21" s="49">
        <v>1</v>
      </c>
      <c r="E21" s="49" t="s">
        <v>31</v>
      </c>
      <c r="F21" s="40"/>
      <c r="G21" s="52"/>
      <c r="H21" s="51"/>
    </row>
    <row r="22" spans="1:12" ht="15.75" x14ac:dyDescent="0.25">
      <c r="A22" s="261">
        <v>51400021</v>
      </c>
      <c r="B22" s="76" t="s">
        <v>63</v>
      </c>
      <c r="C22" s="49" t="s">
        <v>45</v>
      </c>
      <c r="D22" s="49">
        <v>1</v>
      </c>
      <c r="E22" s="49" t="s">
        <v>31</v>
      </c>
      <c r="F22" s="40"/>
      <c r="G22" s="52"/>
      <c r="H22" s="51"/>
    </row>
    <row r="23" spans="1:12" ht="15.75" x14ac:dyDescent="0.25">
      <c r="A23" s="261">
        <v>702123</v>
      </c>
      <c r="B23" s="76" t="s">
        <v>64</v>
      </c>
      <c r="C23" s="49" t="s">
        <v>46</v>
      </c>
      <c r="D23" s="49">
        <v>1</v>
      </c>
      <c r="E23" s="49" t="s">
        <v>31</v>
      </c>
      <c r="F23" s="39"/>
      <c r="G23" s="38"/>
      <c r="H23" s="48"/>
    </row>
    <row r="24" spans="1:12" ht="15.75" x14ac:dyDescent="0.25">
      <c r="A24" s="261">
        <v>701096</v>
      </c>
      <c r="B24" s="76" t="s">
        <v>65</v>
      </c>
      <c r="C24" s="49" t="s">
        <v>46</v>
      </c>
      <c r="D24" s="49">
        <v>1</v>
      </c>
      <c r="E24" s="49" t="s">
        <v>31</v>
      </c>
      <c r="F24" s="39"/>
      <c r="G24" s="38"/>
      <c r="H24" s="48"/>
    </row>
    <row r="25" spans="1:12" ht="15" x14ac:dyDescent="0.2">
      <c r="A25" s="261">
        <v>702007</v>
      </c>
      <c r="B25" s="76" t="s">
        <v>66</v>
      </c>
      <c r="C25" s="47" t="s">
        <v>71</v>
      </c>
      <c r="D25" s="46">
        <v>1</v>
      </c>
      <c r="E25" s="46" t="s">
        <v>31</v>
      </c>
      <c r="F25" s="39"/>
      <c r="G25" s="38"/>
      <c r="H25" s="41"/>
    </row>
    <row r="26" spans="1:12" ht="15" thickBot="1" x14ac:dyDescent="0.25">
      <c r="A26" s="262"/>
      <c r="B26" s="263"/>
      <c r="C26" s="264"/>
      <c r="D26" s="265"/>
      <c r="E26" s="265"/>
      <c r="F26" s="265"/>
      <c r="G26" s="265"/>
      <c r="H26" s="266"/>
      <c r="K26" s="11"/>
    </row>
    <row r="27" spans="1:12" ht="13.5" thickBot="1" x14ac:dyDescent="0.25">
      <c r="A27" s="12"/>
      <c r="B27" s="13"/>
      <c r="C27" s="14" t="s">
        <v>6</v>
      </c>
      <c r="D27" s="15" t="s">
        <v>15</v>
      </c>
      <c r="E27" s="16"/>
      <c r="F27" s="13"/>
      <c r="G27" s="13"/>
      <c r="H27" s="17"/>
      <c r="K27" s="11"/>
    </row>
    <row r="28" spans="1:12" x14ac:dyDescent="0.2">
      <c r="A28" s="707" t="s">
        <v>10</v>
      </c>
      <c r="B28" s="708"/>
      <c r="C28" s="18">
        <v>1000</v>
      </c>
      <c r="D28" s="19" t="s">
        <v>30</v>
      </c>
      <c r="E28" s="709"/>
      <c r="F28" s="709"/>
      <c r="G28" s="710"/>
      <c r="H28" s="711"/>
      <c r="K28" s="11"/>
    </row>
    <row r="29" spans="1:12" x14ac:dyDescent="0.2">
      <c r="A29" s="700" t="s">
        <v>9</v>
      </c>
      <c r="B29" s="701"/>
      <c r="C29" s="20">
        <v>5</v>
      </c>
      <c r="D29" s="10" t="s">
        <v>32</v>
      </c>
      <c r="E29" s="702"/>
      <c r="F29" s="702"/>
      <c r="G29" s="703"/>
      <c r="H29" s="704"/>
      <c r="K29" s="11"/>
    </row>
    <row r="30" spans="1:12" x14ac:dyDescent="0.2">
      <c r="A30" s="700" t="s">
        <v>14</v>
      </c>
      <c r="B30" s="701"/>
      <c r="C30" s="10">
        <v>1</v>
      </c>
      <c r="D30" s="10" t="s">
        <v>31</v>
      </c>
      <c r="E30" s="702"/>
      <c r="F30" s="702"/>
      <c r="G30" s="703"/>
      <c r="H30" s="704"/>
      <c r="K30" s="11"/>
    </row>
    <row r="31" spans="1:12" x14ac:dyDescent="0.2">
      <c r="A31" s="700" t="s">
        <v>13</v>
      </c>
      <c r="B31" s="701"/>
      <c r="C31" s="9">
        <f>+C28</f>
        <v>1000</v>
      </c>
      <c r="D31" s="10" t="s">
        <v>30</v>
      </c>
      <c r="E31" s="705"/>
      <c r="F31" s="706"/>
      <c r="G31" s="703"/>
      <c r="H31" s="704"/>
      <c r="K31" s="11"/>
      <c r="L31" s="21"/>
    </row>
    <row r="32" spans="1:12" ht="13.5" thickBot="1" x14ac:dyDescent="0.25">
      <c r="A32" s="692" t="s">
        <v>12</v>
      </c>
      <c r="B32" s="693"/>
      <c r="C32" s="22">
        <f>SUM(D10:D18)-C28</f>
        <v>190</v>
      </c>
      <c r="D32" s="23" t="s">
        <v>30</v>
      </c>
      <c r="E32" s="694"/>
      <c r="F32" s="694"/>
      <c r="G32" s="695"/>
      <c r="H32" s="696"/>
      <c r="K32" s="11"/>
    </row>
    <row r="33" spans="1:8" ht="13.5" thickBot="1" x14ac:dyDescent="0.25">
      <c r="A33" s="697" t="s">
        <v>11</v>
      </c>
      <c r="B33" s="698"/>
      <c r="C33" s="698"/>
      <c r="D33" s="698"/>
      <c r="E33" s="698"/>
      <c r="F33" s="698"/>
      <c r="G33" s="698"/>
      <c r="H33" s="699"/>
    </row>
    <row r="34" spans="1:8" ht="32.25" customHeight="1" x14ac:dyDescent="0.2">
      <c r="A34" s="686" t="s">
        <v>72</v>
      </c>
      <c r="B34" s="687"/>
      <c r="C34" s="687"/>
      <c r="D34" s="687"/>
      <c r="E34" s="687"/>
      <c r="F34" s="687"/>
      <c r="G34" s="687"/>
      <c r="H34" s="688"/>
    </row>
    <row r="35" spans="1:8" ht="27.75" customHeight="1" x14ac:dyDescent="0.25">
      <c r="A35" s="677" t="s">
        <v>74</v>
      </c>
      <c r="B35" s="678"/>
      <c r="C35" s="678"/>
      <c r="D35" s="678"/>
      <c r="E35" s="678"/>
      <c r="F35" s="678"/>
      <c r="G35" s="678"/>
      <c r="H35" s="679"/>
    </row>
    <row r="36" spans="1:8" ht="15" x14ac:dyDescent="0.25">
      <c r="A36" s="677" t="s">
        <v>73</v>
      </c>
      <c r="B36" s="678"/>
      <c r="C36" s="678"/>
      <c r="D36" s="678"/>
      <c r="E36" s="678"/>
      <c r="F36" s="678"/>
      <c r="G36" s="678"/>
      <c r="H36" s="679"/>
    </row>
    <row r="37" spans="1:8" ht="30" customHeight="1" x14ac:dyDescent="0.25">
      <c r="A37" s="677" t="s">
        <v>179</v>
      </c>
      <c r="B37" s="678"/>
      <c r="C37" s="678"/>
      <c r="D37" s="678"/>
      <c r="E37" s="678"/>
      <c r="F37" s="678"/>
      <c r="G37" s="678"/>
      <c r="H37" s="679"/>
    </row>
    <row r="38" spans="1:8" ht="15" x14ac:dyDescent="0.25">
      <c r="A38" s="677" t="s">
        <v>76</v>
      </c>
      <c r="B38" s="678"/>
      <c r="C38" s="678"/>
      <c r="D38" s="678"/>
      <c r="E38" s="678"/>
      <c r="F38" s="678"/>
      <c r="G38" s="678"/>
      <c r="H38" s="679"/>
    </row>
    <row r="39" spans="1:8" ht="15" x14ac:dyDescent="0.25">
      <c r="A39" s="677"/>
      <c r="B39" s="678"/>
      <c r="C39" s="678"/>
      <c r="D39" s="678"/>
      <c r="E39" s="678"/>
      <c r="F39" s="678"/>
      <c r="G39" s="678"/>
      <c r="H39" s="679"/>
    </row>
    <row r="40" spans="1:8" ht="16.5" customHeight="1" x14ac:dyDescent="0.2">
      <c r="A40" s="610"/>
      <c r="B40" s="611"/>
      <c r="C40" s="611"/>
      <c r="D40" s="611"/>
      <c r="E40" s="611"/>
      <c r="F40" s="611"/>
      <c r="G40" s="611"/>
      <c r="H40" s="612"/>
    </row>
    <row r="41" spans="1:8" ht="16.5" customHeight="1" x14ac:dyDescent="0.2">
      <c r="A41" s="610"/>
      <c r="B41" s="611"/>
      <c r="C41" s="611"/>
      <c r="D41" s="611"/>
      <c r="E41" s="611"/>
      <c r="F41" s="611"/>
      <c r="G41" s="611"/>
      <c r="H41" s="612"/>
    </row>
    <row r="42" spans="1:8" ht="16.5" customHeight="1" thickBot="1" x14ac:dyDescent="0.25">
      <c r="A42" s="680"/>
      <c r="B42" s="681"/>
      <c r="C42" s="681"/>
      <c r="D42" s="681"/>
      <c r="E42" s="681"/>
      <c r="F42" s="681"/>
      <c r="G42" s="681"/>
      <c r="H42" s="682"/>
    </row>
    <row r="44" spans="1:8" x14ac:dyDescent="0.2">
      <c r="A44" s="24"/>
      <c r="B44" s="24"/>
    </row>
  </sheetData>
  <mergeCells count="45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F12:H12"/>
    <mergeCell ref="F15:H15"/>
    <mergeCell ref="F16:H16"/>
    <mergeCell ref="F17:H17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9:H39"/>
    <mergeCell ref="A40:H40"/>
    <mergeCell ref="A41:H41"/>
    <mergeCell ref="A42:H42"/>
    <mergeCell ref="A33:H33"/>
    <mergeCell ref="A34:H34"/>
    <mergeCell ref="A35:H35"/>
    <mergeCell ref="A36:H36"/>
    <mergeCell ref="A37:H37"/>
    <mergeCell ref="A38:H3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876-F864-4374-8A78-01F835C9BF32}">
  <dimension ref="A1:Q96"/>
  <sheetViews>
    <sheetView topLeftCell="A53" workbookViewId="0">
      <selection activeCell="L71" sqref="L71"/>
    </sheetView>
  </sheetViews>
  <sheetFormatPr baseColWidth="10" defaultColWidth="8.42578125" defaultRowHeight="12.75" x14ac:dyDescent="0.2"/>
  <cols>
    <col min="1" max="1" width="10" style="82" bestFit="1" customWidth="1"/>
    <col min="2" max="2" width="44.28515625" style="82" bestFit="1" customWidth="1"/>
    <col min="3" max="3" width="10.42578125" style="82" bestFit="1" customWidth="1"/>
    <col min="4" max="4" width="10.42578125" style="82" customWidth="1"/>
    <col min="5" max="5" width="9.7109375" style="82" bestFit="1" customWidth="1"/>
    <col min="6" max="6" width="9.5703125" style="82" bestFit="1" customWidth="1"/>
    <col min="7" max="7" width="9.5703125" style="162" bestFit="1" customWidth="1"/>
    <col min="8" max="8" width="10.42578125" style="153" bestFit="1" customWidth="1"/>
    <col min="9" max="9" width="4.5703125" style="153" customWidth="1"/>
    <col min="10" max="10" width="1.7109375" style="81" customWidth="1"/>
    <col min="11" max="11" width="7" style="82" bestFit="1" customWidth="1"/>
    <col min="12" max="12" width="6.28515625" style="82" customWidth="1"/>
    <col min="13" max="13" width="20.42578125" style="82" customWidth="1"/>
    <col min="14" max="14" width="6.42578125" style="82" bestFit="1" customWidth="1"/>
    <col min="15" max="15" width="9" style="82" bestFit="1" customWidth="1"/>
    <col min="16" max="16" width="8.42578125" style="82"/>
    <col min="17" max="17" width="3.28515625" style="82" customWidth="1"/>
    <col min="18" max="16384" width="8.42578125" style="82"/>
  </cols>
  <sheetData>
    <row r="1" spans="1:10" ht="27.75" customHeight="1" x14ac:dyDescent="0.2">
      <c r="A1" s="77"/>
      <c r="B1" s="77"/>
      <c r="C1" s="77"/>
      <c r="D1" s="77"/>
      <c r="E1" s="78" t="s">
        <v>78</v>
      </c>
      <c r="F1" s="79" t="s">
        <v>79</v>
      </c>
      <c r="G1" s="79" t="s">
        <v>80</v>
      </c>
      <c r="H1" s="79" t="s">
        <v>81</v>
      </c>
      <c r="I1" s="80"/>
    </row>
    <row r="2" spans="1:10" ht="30.75" customHeight="1" x14ac:dyDescent="0.2">
      <c r="A2" s="77"/>
      <c r="B2" s="77"/>
      <c r="C2" s="77"/>
      <c r="D2" s="77"/>
      <c r="E2" s="83">
        <f>IFERROR(O67,"")</f>
        <v>4405.5999356112452</v>
      </c>
      <c r="F2" s="83">
        <f>IFERROR(H58,"")</f>
        <v>2669.8226892578177</v>
      </c>
      <c r="G2" s="83">
        <f>IFERROR(H59,"")</f>
        <v>399.84816129785963</v>
      </c>
      <c r="H2" s="83">
        <f>IFERROR(H61,"")</f>
        <v>477.23723152102639</v>
      </c>
      <c r="I2" s="84"/>
    </row>
    <row r="3" spans="1:10" ht="15" customHeight="1" x14ac:dyDescent="0.2">
      <c r="A3" s="77"/>
      <c r="B3" s="77"/>
      <c r="C3" s="77"/>
      <c r="D3" s="77"/>
      <c r="E3" s="77"/>
      <c r="F3" s="85"/>
      <c r="G3" s="85"/>
      <c r="H3" s="85"/>
      <c r="I3" s="85"/>
    </row>
    <row r="4" spans="1:10" ht="24.75" customHeight="1" thickBot="1" x14ac:dyDescent="0.25">
      <c r="A4" s="639"/>
      <c r="B4" s="639"/>
      <c r="C4" s="639"/>
      <c r="D4" s="639"/>
      <c r="E4" s="639"/>
      <c r="F4" s="639"/>
      <c r="G4" s="639"/>
      <c r="H4" s="639"/>
      <c r="I4" s="86"/>
    </row>
    <row r="5" spans="1:10" ht="19.5" customHeight="1" thickBot="1" x14ac:dyDescent="0.25">
      <c r="A5" s="640" t="s">
        <v>82</v>
      </c>
      <c r="B5" s="641"/>
      <c r="C5" s="641"/>
      <c r="D5" s="641"/>
      <c r="E5" s="641"/>
      <c r="F5" s="641"/>
      <c r="G5" s="641"/>
      <c r="H5" s="642"/>
      <c r="I5" s="87"/>
    </row>
    <row r="6" spans="1:10" ht="19.5" thickBot="1" x14ac:dyDescent="0.25">
      <c r="A6" s="87"/>
      <c r="B6" s="87"/>
      <c r="C6" s="87"/>
      <c r="D6" s="87"/>
      <c r="E6" s="87"/>
      <c r="F6" s="643" t="s">
        <v>83</v>
      </c>
      <c r="G6" s="643"/>
      <c r="H6" s="88">
        <f ca="1">TODAY()</f>
        <v>45783</v>
      </c>
      <c r="I6" s="88"/>
    </row>
    <row r="7" spans="1:10" ht="26.25" thickBot="1" x14ac:dyDescent="0.25">
      <c r="A7" s="89" t="s">
        <v>84</v>
      </c>
      <c r="B7" s="90" t="s">
        <v>85</v>
      </c>
      <c r="C7" s="90" t="s">
        <v>84</v>
      </c>
      <c r="D7" s="91" t="s">
        <v>86</v>
      </c>
      <c r="E7" s="91" t="s">
        <v>87</v>
      </c>
      <c r="F7" s="91" t="s">
        <v>88</v>
      </c>
      <c r="G7" s="91" t="s">
        <v>89</v>
      </c>
      <c r="H7" s="92" t="s">
        <v>90</v>
      </c>
      <c r="I7" s="93"/>
    </row>
    <row r="8" spans="1:10" ht="13.5" x14ac:dyDescent="0.25">
      <c r="A8" s="279">
        <v>120</v>
      </c>
      <c r="B8" s="280" t="str">
        <f>IFERROR(VLOOKUP(H8,'[1]Consolidado MP Planta'!$A$2:$M$823,3,0),"")</f>
        <v>RELLENO CARAMELO KILO</v>
      </c>
      <c r="C8" s="95">
        <f>+A8</f>
        <v>120</v>
      </c>
      <c r="D8" s="96" t="str">
        <f>IFERROR(VLOOKUP(H8,'[1]Consolidado MP Planta'!$A$2:$M$823,13,0),"")</f>
        <v>Gramos</v>
      </c>
      <c r="E8" s="96">
        <f>IFERROR(VLOOKUP(H8,'[1]Consolidado MP Planta'!$A$2:$M$823,12,0),"")</f>
        <v>3.335</v>
      </c>
      <c r="F8" s="96">
        <f>IFERROR(C8*E8,"")</f>
        <v>400.2</v>
      </c>
      <c r="G8" s="97">
        <f t="shared" ref="G8:G14" si="0">IFERROR(F8/$F$71,"")</f>
        <v>0.11777282912812462</v>
      </c>
      <c r="H8" s="98" t="s">
        <v>133</v>
      </c>
      <c r="I8" s="98"/>
      <c r="J8" s="99"/>
    </row>
    <row r="9" spans="1:10" ht="13.5" hidden="1" x14ac:dyDescent="0.25">
      <c r="A9" s="94"/>
      <c r="B9" s="82" t="str">
        <f>IFERROR(VLOOKUP(H9,'[1]Consolidado MP Planta'!$A$2:$M$823,3,0),"")</f>
        <v>CHOCOLATE CORAZON ROJO PASION (CAJA:200)</v>
      </c>
      <c r="C9" s="95">
        <f t="shared" ref="C9:C14" si="1">+A9</f>
        <v>0</v>
      </c>
      <c r="D9" s="96" t="str">
        <f>IFERROR(VLOOKUP(H9,'[1]Consolidado MP Planta'!$A$2:$M$823,13,0),"")</f>
        <v>Und</v>
      </c>
      <c r="E9" s="96">
        <f>IFERROR(VLOOKUP(H9,'[1]Consolidado MP Planta'!$A$2:$M$823,12,0),"")</f>
        <v>38.25</v>
      </c>
      <c r="F9" s="96">
        <f t="shared" ref="F9:F14" si="2">IFERROR(C9*E9,"")</f>
        <v>0</v>
      </c>
      <c r="G9" s="97">
        <f t="shared" si="0"/>
        <v>0</v>
      </c>
      <c r="H9" s="98" t="s">
        <v>136</v>
      </c>
      <c r="I9" s="98"/>
      <c r="J9" s="99"/>
    </row>
    <row r="10" spans="1:10" ht="13.5" x14ac:dyDescent="0.25">
      <c r="A10" s="94">
        <v>20</v>
      </c>
      <c r="B10" s="82" t="str">
        <f>IFERROR(VLOOKUP(H10,'[1]Consolidado MP Planta'!$A$2:$M$823,3,0),"")</f>
        <v>MANJAR LECHE CONDENSADA (PAQ: 4.5 K)</v>
      </c>
      <c r="C10" s="95">
        <f t="shared" si="1"/>
        <v>20</v>
      </c>
      <c r="D10" s="96" t="str">
        <f>IFERROR(VLOOKUP(H10,'[1]Consolidado MP Planta'!$A$2:$M$823,13,0),"")</f>
        <v>Gramos</v>
      </c>
      <c r="E10" s="96">
        <f>IFERROR(VLOOKUP(H10,'[1]Consolidado MP Planta'!$A$2:$M$823,12,0),"")</f>
        <v>2.1419999999999999</v>
      </c>
      <c r="F10" s="96">
        <f t="shared" si="2"/>
        <v>42.839999999999996</v>
      </c>
      <c r="G10" s="97">
        <f t="shared" si="0"/>
        <v>1.2607166416413939E-2</v>
      </c>
      <c r="H10" s="98" t="s">
        <v>40</v>
      </c>
      <c r="I10" s="98"/>
      <c r="J10" s="99"/>
    </row>
    <row r="11" spans="1:10" ht="13.5" hidden="1" x14ac:dyDescent="0.25">
      <c r="A11" s="94"/>
      <c r="B11" s="82" t="str">
        <f>IFERROR(VLOOKUP(H11,'[1]Consolidado MP Planta'!$A$2:$M$823,3,0),"")</f>
        <v/>
      </c>
      <c r="C11" s="95">
        <f t="shared" si="1"/>
        <v>0</v>
      </c>
      <c r="D11" s="96" t="str">
        <f>IFERROR(VLOOKUP(H11,'[1]Consolidado MP Planta'!$A$2:$M$823,13,0),"")</f>
        <v/>
      </c>
      <c r="E11" s="96" t="str">
        <f>IFERROR(VLOOKUP(H11,'[1]Consolidado MP Planta'!$A$2:$M$823,12,0),"")</f>
        <v/>
      </c>
      <c r="F11" s="96" t="str">
        <f t="shared" si="2"/>
        <v/>
      </c>
      <c r="G11" s="97" t="str">
        <f t="shared" si="0"/>
        <v/>
      </c>
      <c r="H11" s="98"/>
      <c r="I11" s="98"/>
      <c r="J11" s="99"/>
    </row>
    <row r="12" spans="1:10" ht="13.5" hidden="1" x14ac:dyDescent="0.25">
      <c r="A12" s="94"/>
      <c r="B12" s="82" t="str">
        <f>IFERROR(VLOOKUP(H12,'[1]Consolidado MP Planta'!$A$2:$M$823,3,0),"")</f>
        <v/>
      </c>
      <c r="C12" s="95">
        <f t="shared" si="1"/>
        <v>0</v>
      </c>
      <c r="D12" s="96" t="str">
        <f>IFERROR(VLOOKUP(H12,'[1]Consolidado MP Planta'!$A$2:$M$823,13,0),"")</f>
        <v/>
      </c>
      <c r="E12" s="96" t="str">
        <f>IFERROR(VLOOKUP(H12,'[1]Consolidado MP Planta'!$A$2:$M$823,12,0),"")</f>
        <v/>
      </c>
      <c r="F12" s="96" t="str">
        <f t="shared" si="2"/>
        <v/>
      </c>
      <c r="G12" s="97" t="str">
        <f t="shared" si="0"/>
        <v/>
      </c>
      <c r="H12" s="98"/>
      <c r="I12" s="98"/>
      <c r="J12" s="99"/>
    </row>
    <row r="13" spans="1:10" ht="13.5" hidden="1" x14ac:dyDescent="0.25">
      <c r="A13" s="94"/>
      <c r="B13" s="82" t="str">
        <f>IFERROR(VLOOKUP(H13,'[1]Consolidado MP Planta'!$A$2:$M$823,3,0),"")</f>
        <v/>
      </c>
      <c r="C13" s="95">
        <f t="shared" si="1"/>
        <v>0</v>
      </c>
      <c r="D13" s="96" t="str">
        <f>IFERROR(VLOOKUP(H13,'[1]Consolidado MP Planta'!$A$2:$M$823,13,0),"")</f>
        <v/>
      </c>
      <c r="E13" s="96" t="str">
        <f>IFERROR(VLOOKUP(H13,'[1]Consolidado MP Planta'!$A$2:$M$823,12,0),"")</f>
        <v/>
      </c>
      <c r="F13" s="96" t="str">
        <f t="shared" si="2"/>
        <v/>
      </c>
      <c r="G13" s="97" t="str">
        <f t="shared" si="0"/>
        <v/>
      </c>
      <c r="H13" s="98"/>
      <c r="I13" s="98"/>
      <c r="J13" s="99"/>
    </row>
    <row r="14" spans="1:10" ht="13.5" hidden="1" x14ac:dyDescent="0.25">
      <c r="A14" s="94"/>
      <c r="B14" s="82" t="str">
        <f>IFERROR(VLOOKUP(H14,'[1]Consolidado MP Planta'!$A$2:$M$823,3,0),"")</f>
        <v/>
      </c>
      <c r="C14" s="95">
        <f t="shared" si="1"/>
        <v>0</v>
      </c>
      <c r="D14" s="96" t="str">
        <f>IFERROR(VLOOKUP(H14,'[1]Consolidado MP Planta'!$A$2:$M$823,13,0),"")</f>
        <v/>
      </c>
      <c r="E14" s="96" t="str">
        <f>IFERROR(VLOOKUP(H14,'[1]Consolidado MP Planta'!$A$2:$M$823,12,0),"")</f>
        <v/>
      </c>
      <c r="F14" s="96" t="str">
        <f t="shared" si="2"/>
        <v/>
      </c>
      <c r="G14" s="97" t="str">
        <f t="shared" si="0"/>
        <v/>
      </c>
      <c r="H14" s="98"/>
      <c r="I14" s="98"/>
      <c r="J14" s="99"/>
    </row>
    <row r="15" spans="1:10" ht="14.25" thickBot="1" x14ac:dyDescent="0.3">
      <c r="A15" s="94"/>
      <c r="B15" s="82" t="str">
        <f>IFERROR(VLOOKUP(H15,'[2]ARTICULOS MP PLANTA'!$A$2:$G$589,2,0),"")</f>
        <v/>
      </c>
      <c r="C15" s="95"/>
      <c r="D15" s="96"/>
      <c r="E15" s="96"/>
      <c r="F15" s="96"/>
      <c r="G15" s="97"/>
      <c r="H15" s="98"/>
      <c r="I15" s="98"/>
      <c r="J15" s="99"/>
    </row>
    <row r="16" spans="1:10" ht="26.25" thickBot="1" x14ac:dyDescent="0.25">
      <c r="A16" s="89" t="s">
        <v>84</v>
      </c>
      <c r="B16" s="90" t="s">
        <v>91</v>
      </c>
      <c r="C16" s="90" t="s">
        <v>84</v>
      </c>
      <c r="D16" s="91" t="s">
        <v>86</v>
      </c>
      <c r="E16" s="91" t="s">
        <v>87</v>
      </c>
      <c r="F16" s="91" t="s">
        <v>88</v>
      </c>
      <c r="G16" s="91" t="s">
        <v>89</v>
      </c>
      <c r="H16" s="92" t="s">
        <v>90</v>
      </c>
      <c r="I16" s="93"/>
      <c r="J16" s="99"/>
    </row>
    <row r="17" spans="1:12" ht="13.5" x14ac:dyDescent="0.25">
      <c r="A17" s="257">
        <v>200</v>
      </c>
      <c r="B17" s="258" t="str">
        <f>IFERROR(VLOOKUP(H17,[1]SEMIELABORADOS!$A$2:$M$6000,2,0),"")</f>
        <v>BASE GALLETA P/CHEESE CAKE (KILO)</v>
      </c>
      <c r="C17" s="95">
        <f>+A17</f>
        <v>200</v>
      </c>
      <c r="D17" s="95" t="str">
        <f>IFERROR(VLOOKUP(H17,[1]SEMIELABORADOS!$A$2:$M$6000,6,0),"")</f>
        <v>Gramo</v>
      </c>
      <c r="E17" s="96">
        <f>IFERROR(VLOOKUP(H17,[1]SEMIELABORADOS!$A$2:$H$65536,8,0),"")</f>
        <v>2.0071032502888664</v>
      </c>
      <c r="F17" s="96">
        <f>IFERROR(E17*C17,"")</f>
        <v>401.42065005777329</v>
      </c>
      <c r="G17" s="97">
        <f t="shared" ref="G17:G24" si="3">IFERROR(F17/$F$71,"")</f>
        <v>0.11813204804536442</v>
      </c>
      <c r="H17" s="98" t="s">
        <v>36</v>
      </c>
      <c r="I17" s="98"/>
      <c r="J17" s="99"/>
    </row>
    <row r="18" spans="1:12" ht="13.5" x14ac:dyDescent="0.25">
      <c r="A18" s="273">
        <v>600</v>
      </c>
      <c r="B18" s="274" t="str">
        <f>IFERROR(VLOOKUP(H18,[1]SEMIELABORADOS!$A$2:$M$6000,2,0),"")</f>
        <v>RELLENO CHEESECAKE KILO</v>
      </c>
      <c r="C18" s="95">
        <f t="shared" ref="C18:C24" si="4">+A18</f>
        <v>600</v>
      </c>
      <c r="D18" s="95" t="str">
        <f>IFERROR(VLOOKUP(H18,[1]SEMIELABORADOS!$A$2:$M$6000,6,0),"")</f>
        <v>Gramo</v>
      </c>
      <c r="E18" s="96">
        <f>IFERROR(VLOOKUP(H18,[1]SEMIELABORADOS!$A$2:$H$65536,8,0),"")</f>
        <v>1.8699122498730898</v>
      </c>
      <c r="F18" s="96">
        <f t="shared" ref="F18:F24" si="5">IFERROR(E18*C18,"")</f>
        <v>1121.9473499238538</v>
      </c>
      <c r="G18" s="97">
        <f t="shared" si="3"/>
        <v>0.33017219773446849</v>
      </c>
      <c r="H18" s="98" t="s">
        <v>38</v>
      </c>
      <c r="I18" s="98"/>
      <c r="J18" s="99"/>
    </row>
    <row r="19" spans="1:12" ht="13.5" x14ac:dyDescent="0.25">
      <c r="A19" s="284">
        <v>90</v>
      </c>
      <c r="B19" s="285" t="s">
        <v>50</v>
      </c>
      <c r="C19" s="95">
        <f>+A19</f>
        <v>90</v>
      </c>
      <c r="D19" s="95" t="s">
        <v>134</v>
      </c>
      <c r="E19" s="96">
        <f>+'[3]COSTEO GANACHE'!$E$69</f>
        <v>2.8988425925925929</v>
      </c>
      <c r="F19" s="96">
        <f>IFERROR(E19*C19,"")</f>
        <v>260.89583333333337</v>
      </c>
      <c r="G19" s="97">
        <f t="shared" si="3"/>
        <v>7.6777712142444651E-2</v>
      </c>
      <c r="H19" s="98" t="s">
        <v>49</v>
      </c>
      <c r="I19" s="98"/>
      <c r="J19" s="99"/>
    </row>
    <row r="20" spans="1:12" ht="13.5" hidden="1" x14ac:dyDescent="0.25">
      <c r="A20" s="94">
        <v>0</v>
      </c>
      <c r="B20" s="82" t="str">
        <f>IFERROR(VLOOKUP(H20,[1]SEMIELABORADOS!$A$2:$M$6000,2,0),"")</f>
        <v>COCCION PICADILLO PLATANO CON CHORIZO KILO</v>
      </c>
      <c r="C20" s="95">
        <f>+A20</f>
        <v>0</v>
      </c>
      <c r="D20" s="95" t="s">
        <v>134</v>
      </c>
      <c r="E20" s="96">
        <f>+'[3]COSTEO GANACHE'!$E$69</f>
        <v>2.8988425925925929</v>
      </c>
      <c r="F20" s="96">
        <f>IFERROR(E20*C20,"")</f>
        <v>0</v>
      </c>
      <c r="G20" s="97">
        <f>IFERROR(F20/$F$71,"")</f>
        <v>0</v>
      </c>
      <c r="H20" s="98" t="s">
        <v>245</v>
      </c>
      <c r="I20" s="98"/>
      <c r="J20" s="99"/>
    </row>
    <row r="21" spans="1:12" ht="13.5" x14ac:dyDescent="0.25">
      <c r="A21" s="288">
        <v>160</v>
      </c>
      <c r="B21" s="289" t="s">
        <v>54</v>
      </c>
      <c r="C21" s="95">
        <f>+A21</f>
        <v>160</v>
      </c>
      <c r="D21" s="95" t="s">
        <v>134</v>
      </c>
      <c r="E21" s="96">
        <f>+'costeo brittle'!E69</f>
        <v>2.7657428496428569</v>
      </c>
      <c r="F21" s="96">
        <f>IFERROR(E21*C21,"")</f>
        <v>442.5188559428571</v>
      </c>
      <c r="G21" s="97">
        <f>IFERROR(F21/$F$71,"")</f>
        <v>0.13022663070197726</v>
      </c>
      <c r="H21" s="98"/>
      <c r="I21" s="98"/>
      <c r="J21" s="99"/>
    </row>
    <row r="22" spans="1:12" ht="13.5" hidden="1" x14ac:dyDescent="0.25">
      <c r="A22" s="94"/>
      <c r="B22" s="82" t="str">
        <f>IFERROR(VLOOKUP(H22,[1]SEMIELABORADOS!$A$2:$M$6000,2,0),"")</f>
        <v/>
      </c>
      <c r="C22" s="95">
        <f t="shared" si="4"/>
        <v>0</v>
      </c>
      <c r="D22" s="95" t="str">
        <f>IFERROR(VLOOKUP(H22,[1]SEMIELABORADOS!$A$2:$M$6000,6,0),"")</f>
        <v/>
      </c>
      <c r="E22" s="96" t="str">
        <f>IFERROR(VLOOKUP(H22,[1]SEMIELABORADOS!$A$2:$H$65536,8,0),"")</f>
        <v/>
      </c>
      <c r="F22" s="96" t="str">
        <f t="shared" si="5"/>
        <v/>
      </c>
      <c r="G22" s="97" t="str">
        <f t="shared" si="3"/>
        <v/>
      </c>
      <c r="H22" s="98"/>
      <c r="I22" s="98"/>
      <c r="J22" s="99"/>
    </row>
    <row r="23" spans="1:12" ht="13.5" hidden="1" x14ac:dyDescent="0.25">
      <c r="A23" s="94"/>
      <c r="B23" s="82" t="str">
        <f>IFERROR(VLOOKUP(H23,[1]SEMIELABORADOS!$A$2:$M$6000,2,0),"")</f>
        <v/>
      </c>
      <c r="C23" s="95">
        <f t="shared" si="4"/>
        <v>0</v>
      </c>
      <c r="D23" s="95" t="str">
        <f>IFERROR(VLOOKUP(H23,[1]SEMIELABORADOS!$A$2:$M$6000,6,0),"")</f>
        <v/>
      </c>
      <c r="E23" s="96" t="str">
        <f>IFERROR(VLOOKUP(H23,[1]SEMIELABORADOS!$A$2:$H$65536,8,0),"")</f>
        <v/>
      </c>
      <c r="F23" s="96" t="str">
        <f t="shared" si="5"/>
        <v/>
      </c>
      <c r="G23" s="97" t="str">
        <f t="shared" si="3"/>
        <v/>
      </c>
      <c r="H23" s="98"/>
      <c r="I23" s="98"/>
      <c r="J23" s="99"/>
    </row>
    <row r="24" spans="1:12" ht="13.5" hidden="1" x14ac:dyDescent="0.25">
      <c r="A24" s="94"/>
      <c r="B24" s="82" t="str">
        <f>IFERROR(VLOOKUP(H24,[1]SEMIELABORADOS!$A$2:$M$6000,2,0),"")</f>
        <v/>
      </c>
      <c r="C24" s="95">
        <f t="shared" si="4"/>
        <v>0</v>
      </c>
      <c r="D24" s="95" t="str">
        <f>IFERROR(VLOOKUP(H24,[1]SEMIELABORADOS!$A$2:$M$6000,6,0),"")</f>
        <v/>
      </c>
      <c r="E24" s="96" t="str">
        <f>IFERROR(VLOOKUP(H24,[1]SEMIELABORADOS!$A$2:$H$65536,8,0),"")</f>
        <v/>
      </c>
      <c r="F24" s="96" t="str">
        <f t="shared" si="5"/>
        <v/>
      </c>
      <c r="G24" s="97" t="str">
        <f t="shared" si="3"/>
        <v/>
      </c>
      <c r="H24" s="98"/>
      <c r="I24" s="98"/>
      <c r="J24" s="99"/>
    </row>
    <row r="25" spans="1:12" ht="14.25" thickBot="1" x14ac:dyDescent="0.3">
      <c r="A25" s="94"/>
      <c r="C25" s="95"/>
      <c r="D25" s="95"/>
      <c r="E25" s="96"/>
      <c r="F25" s="96"/>
      <c r="G25" s="97"/>
      <c r="H25" s="98"/>
      <c r="I25" s="98"/>
      <c r="J25" s="99"/>
    </row>
    <row r="26" spans="1:12" ht="26.25" thickBot="1" x14ac:dyDescent="0.25">
      <c r="A26" s="89" t="s">
        <v>84</v>
      </c>
      <c r="B26" s="90" t="s">
        <v>25</v>
      </c>
      <c r="C26" s="90" t="s">
        <v>84</v>
      </c>
      <c r="D26" s="91" t="s">
        <v>86</v>
      </c>
      <c r="E26" s="91" t="s">
        <v>87</v>
      </c>
      <c r="F26" s="91" t="s">
        <v>88</v>
      </c>
      <c r="G26" s="91" t="s">
        <v>89</v>
      </c>
      <c r="H26" s="92" t="s">
        <v>90</v>
      </c>
      <c r="I26" s="93"/>
    </row>
    <row r="27" spans="1:12" ht="13.5" x14ac:dyDescent="0.25">
      <c r="A27" s="94">
        <v>1</v>
      </c>
      <c r="B27" s="100" t="str">
        <f>IFERROR(VLOOKUP(H27,'[1]Consolidado MP Planta'!$A$2:$M$823,3,0),"")</f>
        <v>ETIQUETA IMP. SPOON MEDIANA V-273 (UND)</v>
      </c>
      <c r="C27" s="95">
        <f t="shared" ref="C27:C37" si="6">+A27</f>
        <v>1</v>
      </c>
      <c r="D27" s="96" t="str">
        <f>IFERROR(VLOOKUP(H27,'[1]Consolidado MP Planta'!$A$2:$M$823,13,0),"")</f>
        <v>Und</v>
      </c>
      <c r="E27" s="96">
        <f>IFERROR(VLOOKUP(H27,'[1]Consolidado MP Planta'!$A$2:$M$823,12,0),"")</f>
        <v>32.49</v>
      </c>
      <c r="F27" s="96">
        <f t="shared" ref="F27:F37" si="7">IFERROR(C27*E27,"")</f>
        <v>32.49</v>
      </c>
      <c r="G27" s="97">
        <f t="shared" ref="G27:G37" si="8">IFERROR(F27/$F$71,"")</f>
        <v>9.5613173872383037E-3</v>
      </c>
      <c r="H27" s="101" t="s">
        <v>137</v>
      </c>
      <c r="I27" s="101"/>
      <c r="J27" s="99"/>
      <c r="K27" s="636"/>
      <c r="L27" s="636"/>
    </row>
    <row r="28" spans="1:12" ht="13.5" x14ac:dyDescent="0.25">
      <c r="A28" s="94">
        <v>60</v>
      </c>
      <c r="B28" s="100" t="str">
        <f>IFERROR(VLOOKUP(H28,'[1]Consolidado MP Planta'!$A$2:$M$823,3,0),"")</f>
        <v>CINTA ADHESIVA TRANSPARENT 2*100 M (UND)</v>
      </c>
      <c r="C28" s="95">
        <f>+A28</f>
        <v>60</v>
      </c>
      <c r="D28" s="96" t="str">
        <f>IFERROR(VLOOKUP(H28,'[1]Consolidado MP Planta'!$A$2:$M$823,13,0),"")</f>
        <v>Cm</v>
      </c>
      <c r="E28" s="96">
        <f>IFERROR(VLOOKUP(H28,'[1]Consolidado MP Planta'!$A$2:$M$823,12,0),"")</f>
        <v>0.14499999999999999</v>
      </c>
      <c r="F28" s="96">
        <f>IFERROR(C28*E28,"")</f>
        <v>8.6999999999999993</v>
      </c>
      <c r="G28" s="97">
        <f t="shared" si="8"/>
        <v>2.5602788940896656E-3</v>
      </c>
      <c r="H28" s="101" t="s">
        <v>138</v>
      </c>
      <c r="I28" s="101"/>
      <c r="J28" s="99"/>
      <c r="K28" s="80"/>
      <c r="L28" s="80"/>
    </row>
    <row r="29" spans="1:12" ht="13.5" x14ac:dyDescent="0.25">
      <c r="A29" s="94">
        <v>1</v>
      </c>
      <c r="B29" s="100" t="str">
        <f>IFERROR(VLOOKUP(H29,'[1]Consolidado MP Planta'!$A$2:$M$823,3,0),"")</f>
        <v>ORLA #9  DORADA (UND)</v>
      </c>
      <c r="C29" s="95">
        <f>+A29</f>
        <v>1</v>
      </c>
      <c r="D29" s="96" t="str">
        <f>IFERROR(VLOOKUP(H29,'[1]Consolidado MP Planta'!$A$2:$M$823,13,0),"")</f>
        <v>Und</v>
      </c>
      <c r="E29" s="96">
        <f>IFERROR(VLOOKUP(H29,'[1]Consolidado MP Planta'!$A$2:$M$823,12,0),"")</f>
        <v>105</v>
      </c>
      <c r="F29" s="96">
        <f>IFERROR(C29*E29,"")</f>
        <v>105</v>
      </c>
      <c r="G29" s="97">
        <f t="shared" si="8"/>
        <v>3.0899917687289068E-2</v>
      </c>
      <c r="H29" s="101" t="s">
        <v>139</v>
      </c>
      <c r="I29" s="101"/>
      <c r="J29" s="99"/>
      <c r="K29" s="80"/>
      <c r="L29" s="80"/>
    </row>
    <row r="30" spans="1:12" ht="13.5" x14ac:dyDescent="0.25">
      <c r="A30" s="94">
        <v>1</v>
      </c>
      <c r="B30" s="100" t="str">
        <f>IFERROR(VLOOKUP(H30,'[1]Consolidado MP Planta'!$A$2:$M$823,3,0),"")</f>
        <v>QUEQUERA RED C/BASE ALTA 9" (CAJA:100 U)</v>
      </c>
      <c r="C30" s="95">
        <f>+A30</f>
        <v>1</v>
      </c>
      <c r="D30" s="96" t="str">
        <f>IFERROR(VLOOKUP(H30,'[1]Consolidado MP Planta'!$A$2:$M$823,13,0),"")</f>
        <v>Und</v>
      </c>
      <c r="E30" s="96">
        <f>IFERROR(VLOOKUP(H30,'[1]Consolidado MP Planta'!$A$2:$M$823,12,0),"")</f>
        <v>244.36</v>
      </c>
      <c r="F30" s="96">
        <f>IFERROR(C30*E30,"")</f>
        <v>244.36</v>
      </c>
      <c r="G30" s="97">
        <f t="shared" si="8"/>
        <v>7.1911465581580541E-2</v>
      </c>
      <c r="H30" s="101" t="s">
        <v>140</v>
      </c>
      <c r="I30" s="101"/>
      <c r="J30" s="99"/>
      <c r="K30" s="80"/>
      <c r="L30" s="80"/>
    </row>
    <row r="31" spans="1:12" ht="13.5" x14ac:dyDescent="0.25">
      <c r="A31" s="94">
        <v>1</v>
      </c>
      <c r="B31" s="100" t="str">
        <f>IFERROR(VLOOKUP(H31,'[1]Consolidado MP Planta'!$A$2:$M$823,3,0),"")</f>
        <v>ETIQUETA BLANCA 2 5/8X1 15/16 (UND)</v>
      </c>
      <c r="C31" s="95">
        <f>+A31</f>
        <v>1</v>
      </c>
      <c r="D31" s="96" t="str">
        <f>IFERROR(VLOOKUP(H31,'[1]Consolidado MP Planta'!$A$2:$M$823,13,0),"")</f>
        <v>Und</v>
      </c>
      <c r="E31" s="96">
        <f>IFERROR(VLOOKUP(H31,'[1]Consolidado MP Planta'!$A$2:$M$823,12,0),"")</f>
        <v>2.1280000000000001</v>
      </c>
      <c r="F31" s="96">
        <f>IFERROR(C31*E31,"")</f>
        <v>2.1280000000000001</v>
      </c>
      <c r="G31" s="97">
        <f t="shared" si="8"/>
        <v>6.2623833179572511E-4</v>
      </c>
      <c r="H31" s="101" t="s">
        <v>143</v>
      </c>
      <c r="I31" s="101"/>
      <c r="J31" s="99"/>
      <c r="K31" s="80"/>
      <c r="L31" s="80"/>
    </row>
    <row r="32" spans="1:12" ht="13.5" x14ac:dyDescent="0.25">
      <c r="A32" s="94">
        <v>1</v>
      </c>
      <c r="B32" s="100" t="str">
        <f>IFERROR(VLOOKUP(H32,'[1]Consolidado MP Planta'!$A$2:$M$823,3,0),"")</f>
        <v>ETIQUETA BLANCA R-153 (UND)</v>
      </c>
      <c r="C32" s="95">
        <f>+A32</f>
        <v>1</v>
      </c>
      <c r="D32" s="96" t="str">
        <f>IFERROR(VLOOKUP(H32,'[1]Consolidado MP Planta'!$A$2:$M$823,13,0),"")</f>
        <v>Und</v>
      </c>
      <c r="E32" s="96">
        <f>IFERROR(VLOOKUP(H32,'[1]Consolidado MP Planta'!$A$2:$M$823,12,0),"")</f>
        <v>0.39</v>
      </c>
      <c r="F32" s="96">
        <f>IFERROR(C32*E32,"")</f>
        <v>0.39</v>
      </c>
      <c r="G32" s="97">
        <f t="shared" si="8"/>
        <v>1.1477112283850226E-4</v>
      </c>
      <c r="H32" s="101" t="s">
        <v>141</v>
      </c>
      <c r="I32" s="101"/>
      <c r="J32" s="99"/>
      <c r="K32" s="80"/>
      <c r="L32" s="80"/>
    </row>
    <row r="33" spans="1:12" ht="13.5" x14ac:dyDescent="0.25">
      <c r="A33" s="94">
        <v>1</v>
      </c>
      <c r="B33" s="100" t="str">
        <f>IFERROR(VLOOKUP(H33,'[1]Consolidado MP Planta'!$A$2:$M$823,3,0),"")</f>
        <v>ETIQ.FECHA VENCIMIENTO AMARILLO (ROLLO)</v>
      </c>
      <c r="C33" s="95">
        <f t="shared" si="6"/>
        <v>1</v>
      </c>
      <c r="D33" s="96" t="str">
        <f>IFERROR(VLOOKUP(H33,'[1]Consolidado MP Planta'!$A$2:$M$823,13,0),"")</f>
        <v>Und</v>
      </c>
      <c r="E33" s="96">
        <f>IFERROR(VLOOKUP(H33,'[1]Consolidado MP Planta'!$A$2:$M$823,12,0),"")</f>
        <v>0.2</v>
      </c>
      <c r="F33" s="96">
        <f t="shared" si="7"/>
        <v>0.2</v>
      </c>
      <c r="G33" s="97">
        <f t="shared" si="8"/>
        <v>5.88569860710268E-5</v>
      </c>
      <c r="H33" s="101" t="s">
        <v>142</v>
      </c>
      <c r="I33" s="101"/>
      <c r="J33" s="99"/>
      <c r="K33" s="636"/>
      <c r="L33" s="636"/>
    </row>
    <row r="34" spans="1:12" ht="13.5" hidden="1" x14ac:dyDescent="0.25">
      <c r="A34" s="94"/>
      <c r="B34" s="100" t="str">
        <f>IFERROR(VLOOKUP(H34,'[1]Consolidado MP Planta'!$A$2:$M$823,3,0),"")</f>
        <v/>
      </c>
      <c r="C34" s="95">
        <f t="shared" si="6"/>
        <v>0</v>
      </c>
      <c r="D34" s="96" t="str">
        <f>IFERROR(VLOOKUP(H34,'[1]Consolidado MP Planta'!$A$2:$M$823,13,0),"")</f>
        <v/>
      </c>
      <c r="E34" s="96" t="str">
        <f>IFERROR(VLOOKUP(H34,'[1]Consolidado MP Planta'!$A$2:$M$823,12,0),"")</f>
        <v/>
      </c>
      <c r="F34" s="96" t="str">
        <f t="shared" si="7"/>
        <v/>
      </c>
      <c r="G34" s="97" t="str">
        <f t="shared" si="8"/>
        <v/>
      </c>
      <c r="H34" s="101"/>
      <c r="I34" s="101"/>
      <c r="J34" s="99"/>
      <c r="K34" s="636"/>
      <c r="L34" s="636"/>
    </row>
    <row r="35" spans="1:12" ht="13.5" hidden="1" x14ac:dyDescent="0.25">
      <c r="A35" s="94"/>
      <c r="B35" s="100" t="str">
        <f>IFERROR(VLOOKUP(H35,'[1]Consolidado MP Planta'!$A$2:$M$823,3,0),"")</f>
        <v/>
      </c>
      <c r="C35" s="95">
        <f t="shared" si="6"/>
        <v>0</v>
      </c>
      <c r="D35" s="96" t="str">
        <f>IFERROR(VLOOKUP(H35,'[1]Consolidado MP Planta'!$A$2:$M$823,13,0),"")</f>
        <v/>
      </c>
      <c r="E35" s="96" t="str">
        <f>IFERROR(VLOOKUP(H35,'[1]Consolidado MP Planta'!$A$2:$M$823,12,0),"")</f>
        <v/>
      </c>
      <c r="F35" s="96" t="str">
        <f t="shared" si="7"/>
        <v/>
      </c>
      <c r="G35" s="97" t="str">
        <f t="shared" si="8"/>
        <v/>
      </c>
      <c r="H35" s="101"/>
      <c r="I35" s="101"/>
      <c r="J35" s="99"/>
      <c r="K35" s="636"/>
      <c r="L35" s="636"/>
    </row>
    <row r="36" spans="1:12" ht="13.5" hidden="1" x14ac:dyDescent="0.25">
      <c r="A36" s="94"/>
      <c r="B36" s="100" t="str">
        <f>IFERROR(VLOOKUP(H36,'[1]Consolidado MP Planta'!$A$2:$M$823,3,0),"")</f>
        <v/>
      </c>
      <c r="C36" s="95">
        <f t="shared" si="6"/>
        <v>0</v>
      </c>
      <c r="D36" s="96" t="str">
        <f>IFERROR(VLOOKUP(H36,'[1]Consolidado MP Planta'!$A$2:$M$823,13,0),"")</f>
        <v/>
      </c>
      <c r="E36" s="96" t="str">
        <f>IFERROR(VLOOKUP(H36,'[1]Consolidado MP Planta'!$A$2:$M$823,12,0),"")</f>
        <v/>
      </c>
      <c r="F36" s="96" t="str">
        <f t="shared" si="7"/>
        <v/>
      </c>
      <c r="G36" s="97" t="str">
        <f t="shared" si="8"/>
        <v/>
      </c>
      <c r="H36" s="101"/>
      <c r="I36" s="101"/>
      <c r="J36" s="99"/>
      <c r="K36" s="102"/>
      <c r="L36" s="103"/>
    </row>
    <row r="37" spans="1:12" ht="13.5" hidden="1" x14ac:dyDescent="0.25">
      <c r="A37" s="94"/>
      <c r="B37" s="100" t="str">
        <f>IFERROR(VLOOKUP(H37,'[1]Consolidado MP Planta'!$A$2:$M$823,3,0),"")</f>
        <v/>
      </c>
      <c r="C37" s="95">
        <f t="shared" si="6"/>
        <v>0</v>
      </c>
      <c r="D37" s="96" t="str">
        <f>IFERROR(VLOOKUP(H37,'[1]Consolidado MP Planta'!$A$2:$M$823,13,0),"")</f>
        <v/>
      </c>
      <c r="E37" s="96" t="str">
        <f>IFERROR(VLOOKUP(H37,'[1]Consolidado MP Planta'!$A$2:$M$823,12,0),"")</f>
        <v/>
      </c>
      <c r="F37" s="96" t="str">
        <f t="shared" si="7"/>
        <v/>
      </c>
      <c r="G37" s="97" t="str">
        <f t="shared" si="8"/>
        <v/>
      </c>
      <c r="H37" s="101"/>
      <c r="I37" s="101"/>
      <c r="J37" s="99"/>
    </row>
    <row r="38" spans="1:12" ht="14.25" thickBot="1" x14ac:dyDescent="0.3">
      <c r="A38" s="94"/>
      <c r="B38" s="100"/>
      <c r="C38" s="95"/>
      <c r="D38" s="96"/>
      <c r="E38" s="96"/>
      <c r="F38" s="96"/>
      <c r="G38" s="97"/>
      <c r="H38" s="101"/>
      <c r="I38" s="101"/>
      <c r="J38" s="99"/>
    </row>
    <row r="39" spans="1:12" ht="26.25" thickBot="1" x14ac:dyDescent="0.25">
      <c r="A39" s="89" t="s">
        <v>84</v>
      </c>
      <c r="B39" s="90" t="s">
        <v>92</v>
      </c>
      <c r="C39" s="90" t="s">
        <v>84</v>
      </c>
      <c r="D39" s="91" t="s">
        <v>86</v>
      </c>
      <c r="E39" s="91" t="s">
        <v>87</v>
      </c>
      <c r="F39" s="91" t="s">
        <v>88</v>
      </c>
      <c r="G39" s="91" t="s">
        <v>89</v>
      </c>
      <c r="H39" s="92" t="s">
        <v>90</v>
      </c>
      <c r="I39" s="101"/>
      <c r="J39" s="99"/>
    </row>
    <row r="40" spans="1:12" ht="13.5" x14ac:dyDescent="0.25">
      <c r="A40" s="94">
        <f t="shared" ref="A40:A46" si="9">+A17</f>
        <v>200</v>
      </c>
      <c r="B40" s="100" t="str">
        <f>IFERROR(VLOOKUP(H40,[1]SEMIELABORADOS!$A$2:$M$6000,2,0),"")</f>
        <v>BASE GALLETA P/CHEESE CAKE (KILO)</v>
      </c>
      <c r="C40" s="95">
        <f>+A40</f>
        <v>200</v>
      </c>
      <c r="D40" s="96" t="str">
        <f>IFERROR(VLOOKUP(H40,[1]SEMIELABORADOS!$A$2:$M$6000,6,0),"")</f>
        <v>Gramo</v>
      </c>
      <c r="E40" s="96">
        <f>IFERROR(VLOOKUP(H40,[1]SEMIELABORADOS!$A$2:$M$65536,10,0),"")</f>
        <v>1.1524699119903916E-3</v>
      </c>
      <c r="F40" s="96">
        <f>IFERROR(E40*C40,"")</f>
        <v>0.23049398239807831</v>
      </c>
      <c r="G40" s="97">
        <f t="shared" ref="G40:G46" si="10">IFERROR(F40/$F$71,"")</f>
        <v>6.7830905557295958E-5</v>
      </c>
      <c r="H40" s="101" t="s">
        <v>36</v>
      </c>
      <c r="I40" s="101"/>
      <c r="J40" s="99"/>
    </row>
    <row r="41" spans="1:12" ht="13.5" x14ac:dyDescent="0.25">
      <c r="A41" s="94">
        <f t="shared" si="9"/>
        <v>600</v>
      </c>
      <c r="B41" s="100" t="str">
        <f>IFERROR(VLOOKUP(H41,[1]SEMIELABORADOS!$A$2:$M$6000,2,0),"")</f>
        <v>RELLENO CHEESECAKE KILO</v>
      </c>
      <c r="C41" s="95">
        <f t="shared" ref="C41:C46" si="11">+A41</f>
        <v>600</v>
      </c>
      <c r="D41" s="96" t="str">
        <f>IFERROR(VLOOKUP(H41,[1]SEMIELABORADOS!$A$2:$M$6000,6,0),"")</f>
        <v>Gramo</v>
      </c>
      <c r="E41" s="96">
        <f>IFERROR(VLOOKUP(H41,[1]SEMIELABORADOS!$A$2:$M$65536,10,0),"")</f>
        <v>7.4358974358974352E-6</v>
      </c>
      <c r="F41" s="96">
        <f t="shared" ref="F41:F46" si="12">IFERROR(E41*C41,"")</f>
        <v>4.4615384615384612E-3</v>
      </c>
      <c r="G41" s="97">
        <f t="shared" si="10"/>
        <v>1.3129635354305976E-6</v>
      </c>
      <c r="H41" s="101" t="s">
        <v>38</v>
      </c>
      <c r="I41" s="101"/>
      <c r="J41" s="99"/>
    </row>
    <row r="42" spans="1:12" ht="13.5" x14ac:dyDescent="0.25">
      <c r="A42" s="94">
        <f t="shared" si="9"/>
        <v>90</v>
      </c>
      <c r="B42" s="100" t="s">
        <v>50</v>
      </c>
      <c r="C42" s="95">
        <f t="shared" si="11"/>
        <v>90</v>
      </c>
      <c r="D42" s="96" t="s">
        <v>134</v>
      </c>
      <c r="E42" s="96">
        <f>+'[3]COSTEO GANACHE'!$E$76</f>
        <v>3.2348958333333335E-3</v>
      </c>
      <c r="F42" s="96">
        <f t="shared" si="12"/>
        <v>0.29114062500000004</v>
      </c>
      <c r="G42" s="97">
        <f t="shared" si="10"/>
        <v>8.5678298551675192E-5</v>
      </c>
      <c r="H42" s="101" t="s">
        <v>49</v>
      </c>
      <c r="I42" s="101"/>
      <c r="J42" s="99"/>
    </row>
    <row r="43" spans="1:12" ht="13.5" x14ac:dyDescent="0.25">
      <c r="A43" s="94">
        <f t="shared" si="9"/>
        <v>0</v>
      </c>
      <c r="B43" s="100" t="str">
        <f>IFERROR(VLOOKUP(H43,[1]SEMIELABORADOS!$A$2:$M$6000,2,0),"")</f>
        <v>CREMA DULCE LECHE KILO</v>
      </c>
      <c r="C43" s="95">
        <f>+A43</f>
        <v>0</v>
      </c>
      <c r="D43" s="96" t="str">
        <f>IFERROR(VLOOKUP(H43,[1]SEMIELABORADOS!$A$2:$M$6000,6,0),"")</f>
        <v>Gramo</v>
      </c>
      <c r="E43" s="96">
        <f>IFERROR(VLOOKUP(H43,[1]SEMIELABORADOS!$A$2:$M$65536,10,0),"")</f>
        <v>8.5119999999999998E-5</v>
      </c>
      <c r="F43" s="96">
        <f>IFERROR(E43*C43,"")</f>
        <v>0</v>
      </c>
      <c r="G43" s="97">
        <f t="shared" si="10"/>
        <v>0</v>
      </c>
      <c r="H43" s="101" t="s">
        <v>135</v>
      </c>
      <c r="I43" s="101"/>
      <c r="J43" s="99"/>
    </row>
    <row r="44" spans="1:12" ht="13.5" x14ac:dyDescent="0.25">
      <c r="A44" s="94">
        <f t="shared" si="9"/>
        <v>160</v>
      </c>
      <c r="B44" s="100" t="s">
        <v>54</v>
      </c>
      <c r="C44" s="95">
        <f>+A44</f>
        <v>160</v>
      </c>
      <c r="D44" s="96" t="s">
        <v>134</v>
      </c>
      <c r="E44" s="96">
        <f>+'costeo brittle'!E76</f>
        <v>3.7837907200000007E-2</v>
      </c>
      <c r="F44" s="96">
        <f>IFERROR(E44*C44,"")</f>
        <v>6.0540651520000015</v>
      </c>
      <c r="G44" s="97">
        <f t="shared" si="10"/>
        <v>1.781620141621764E-3</v>
      </c>
      <c r="H44" s="101"/>
      <c r="I44" s="101"/>
      <c r="J44" s="99"/>
    </row>
    <row r="45" spans="1:12" ht="13.5" hidden="1" x14ac:dyDescent="0.25">
      <c r="A45" s="94">
        <f t="shared" si="9"/>
        <v>0</v>
      </c>
      <c r="B45" s="100" t="str">
        <f>IFERROR(VLOOKUP(H45,[1]SEMIELABORADOS!$A$2:$M$6000,2,0),"")</f>
        <v/>
      </c>
      <c r="C45" s="95">
        <f t="shared" si="11"/>
        <v>0</v>
      </c>
      <c r="D45" s="96" t="str">
        <f>IFERROR(VLOOKUP(H45,[1]SEMIELABORADOS!$A$2:$M$6000,6,0),"")</f>
        <v/>
      </c>
      <c r="E45" s="96" t="str">
        <f>IFERROR(VLOOKUP(H45,[1]SEMIELABORADOS!$A$2:$M$65536,10,0),"")</f>
        <v/>
      </c>
      <c r="F45" s="96" t="str">
        <f t="shared" si="12"/>
        <v/>
      </c>
      <c r="G45" s="97" t="str">
        <f t="shared" si="10"/>
        <v/>
      </c>
      <c r="H45" s="101"/>
      <c r="I45" s="101"/>
      <c r="J45" s="99"/>
    </row>
    <row r="46" spans="1:12" ht="13.5" hidden="1" x14ac:dyDescent="0.25">
      <c r="A46" s="94">
        <f t="shared" si="9"/>
        <v>0</v>
      </c>
      <c r="B46" s="100" t="str">
        <f>IFERROR(VLOOKUP(H46,[1]SEMIELABORADOS!$A$2:$M$6000,2,0),"")</f>
        <v/>
      </c>
      <c r="C46" s="95">
        <f t="shared" si="11"/>
        <v>0</v>
      </c>
      <c r="D46" s="96" t="str">
        <f>IFERROR(VLOOKUP(H46,[1]SEMIELABORADOS!$A$2:$M$6000,6,0),"")</f>
        <v/>
      </c>
      <c r="E46" s="96" t="str">
        <f>IFERROR(VLOOKUP(H46,[1]SEMIELABORADOS!$A$2:$M$65536,10,0),"")</f>
        <v/>
      </c>
      <c r="F46" s="96" t="str">
        <f t="shared" si="12"/>
        <v/>
      </c>
      <c r="G46" s="97" t="str">
        <f t="shared" si="10"/>
        <v/>
      </c>
      <c r="H46" s="101"/>
      <c r="I46" s="101"/>
      <c r="J46" s="99"/>
    </row>
    <row r="47" spans="1:12" ht="14.25" thickBot="1" x14ac:dyDescent="0.3">
      <c r="A47" s="94"/>
      <c r="B47" s="100"/>
      <c r="C47" s="95"/>
      <c r="D47" s="96"/>
      <c r="E47" s="96"/>
      <c r="F47" s="96"/>
      <c r="G47" s="97"/>
      <c r="H47" s="101"/>
      <c r="I47" s="101"/>
      <c r="J47" s="99"/>
    </row>
    <row r="48" spans="1:12" ht="26.25" thickBot="1" x14ac:dyDescent="0.25">
      <c r="A48" s="89" t="s">
        <v>84</v>
      </c>
      <c r="B48" s="90" t="s">
        <v>93</v>
      </c>
      <c r="C48" s="90" t="s">
        <v>84</v>
      </c>
      <c r="D48" s="91" t="s">
        <v>86</v>
      </c>
      <c r="E48" s="91" t="s">
        <v>87</v>
      </c>
      <c r="F48" s="91" t="s">
        <v>88</v>
      </c>
      <c r="G48" s="91" t="s">
        <v>89</v>
      </c>
      <c r="H48" s="92" t="s">
        <v>90</v>
      </c>
      <c r="I48" s="93"/>
      <c r="J48" s="99"/>
    </row>
    <row r="49" spans="1:17" ht="13.5" x14ac:dyDescent="0.25">
      <c r="A49" s="94">
        <f>+A40</f>
        <v>200</v>
      </c>
      <c r="B49" s="100" t="str">
        <f>IFERROR(VLOOKUP(H49,[1]SEMIELABORADOS!$A$2:$M$6000,2,0),"")</f>
        <v>BASE GALLETA P/CHEESE CAKE (KILO)</v>
      </c>
      <c r="C49" s="95">
        <f>+A49</f>
        <v>200</v>
      </c>
      <c r="D49" s="96" t="str">
        <f>IFERROR(VLOOKUP(H49,[1]SEMIELABORADOS!$A$2:$M$6000,6,0),"")</f>
        <v>Gramo</v>
      </c>
      <c r="E49" s="96">
        <f>IFERROR(VLOOKUP(H49,[1]SEMIELABORADOS!$A$2:$M$65536,12,0),"")</f>
        <v>0.20872229760513178</v>
      </c>
      <c r="F49" s="96">
        <f>IFERROR(E49*C49,"")</f>
        <v>41.744459521026357</v>
      </c>
      <c r="G49" s="97">
        <f>IFERROR(F49/$F$71,"")</f>
        <v>1.2284765362857952E-2</v>
      </c>
      <c r="H49" s="101" t="s">
        <v>36</v>
      </c>
      <c r="I49" s="93"/>
      <c r="J49" s="99"/>
    </row>
    <row r="50" spans="1:17" ht="13.5" x14ac:dyDescent="0.25">
      <c r="A50" s="94">
        <f t="shared" ref="A50:A55" si="13">+A41</f>
        <v>600</v>
      </c>
      <c r="B50" s="100" t="str">
        <f>IFERROR(VLOOKUP(H50,[1]SEMIELABORADOS!$A$2:$M$6000,2,0),"")</f>
        <v>RELLENO CHEESECAKE KILO</v>
      </c>
      <c r="C50" s="95">
        <f t="shared" ref="C50:C55" si="14">+A50</f>
        <v>600</v>
      </c>
      <c r="D50" s="96" t="str">
        <f>IFERROR(VLOOKUP(H50,[1]SEMIELABORADOS!$A$2:$M$6000,6,0),"")</f>
        <v>Gramo</v>
      </c>
      <c r="E50" s="96">
        <f>IFERROR(VLOOKUP(H50,[1]SEMIELABORADOS!$A$2:$M$65536,12,0),"")</f>
        <v>9.8350266666666672E-2</v>
      </c>
      <c r="F50" s="96">
        <f t="shared" ref="F50:F55" si="15">IFERROR(E50*C50,"")</f>
        <v>59.010160000000006</v>
      </c>
      <c r="G50" s="97">
        <f t="shared" ref="G50:G55" si="16">IFERROR(F50/$F$71,"")</f>
        <v>1.7365800825845316E-2</v>
      </c>
      <c r="H50" s="101" t="s">
        <v>38</v>
      </c>
      <c r="I50" s="93"/>
      <c r="J50" s="99"/>
      <c r="M50" s="104"/>
    </row>
    <row r="51" spans="1:17" ht="13.5" x14ac:dyDescent="0.25">
      <c r="A51" s="94">
        <f t="shared" si="13"/>
        <v>90</v>
      </c>
      <c r="B51" s="100" t="s">
        <v>50</v>
      </c>
      <c r="C51" s="95">
        <f t="shared" si="14"/>
        <v>90</v>
      </c>
      <c r="D51" s="96" t="s">
        <v>134</v>
      </c>
      <c r="E51" s="96">
        <f>+'[3]COSTEO GANACHE'!$E$74</f>
        <v>0.11458333333333333</v>
      </c>
      <c r="F51" s="96">
        <f t="shared" si="15"/>
        <v>10.3125</v>
      </c>
      <c r="G51" s="97">
        <f t="shared" si="16"/>
        <v>3.0348133442873191E-3</v>
      </c>
      <c r="H51" s="101" t="s">
        <v>49</v>
      </c>
      <c r="I51" s="93"/>
      <c r="J51" s="99"/>
    </row>
    <row r="52" spans="1:17" ht="13.5" x14ac:dyDescent="0.25">
      <c r="A52" s="94">
        <f t="shared" si="13"/>
        <v>0</v>
      </c>
      <c r="B52" s="100" t="str">
        <f>IFERROR(VLOOKUP(H52,[1]SEMIELABORADOS!$A$2:$M$6000,2,0),"")</f>
        <v>CREMA DULCE LECHE KILO</v>
      </c>
      <c r="C52" s="95">
        <f t="shared" si="14"/>
        <v>0</v>
      </c>
      <c r="D52" s="96" t="str">
        <f>IFERROR(VLOOKUP(H52,[1]SEMIELABORADOS!$A$2:$M$6000,6,0),"")</f>
        <v>Gramo</v>
      </c>
      <c r="E52" s="96">
        <f>IFERROR(VLOOKUP(H52,[1]SEMIELABORADOS!$A$2:$M$65536,12,0),"")</f>
        <v>1.1219999999999999E-2</v>
      </c>
      <c r="F52" s="96">
        <f t="shared" si="15"/>
        <v>0</v>
      </c>
      <c r="G52" s="97">
        <f t="shared" si="16"/>
        <v>0</v>
      </c>
      <c r="H52" s="101" t="s">
        <v>135</v>
      </c>
      <c r="I52" s="93"/>
      <c r="J52" s="99"/>
    </row>
    <row r="53" spans="1:17" ht="13.5" x14ac:dyDescent="0.25">
      <c r="A53" s="94">
        <f t="shared" si="13"/>
        <v>160</v>
      </c>
      <c r="B53" s="100" t="s">
        <v>54</v>
      </c>
      <c r="C53" s="95">
        <f t="shared" si="14"/>
        <v>160</v>
      </c>
      <c r="D53" s="96" t="s">
        <v>134</v>
      </c>
      <c r="E53" s="96">
        <f>+'costeo brittle'!E74</f>
        <v>0.56981320000000002</v>
      </c>
      <c r="F53" s="96">
        <f t="shared" si="15"/>
        <v>91.170112000000003</v>
      </c>
      <c r="G53" s="97">
        <f t="shared" si="16"/>
        <v>2.6829990060389768E-2</v>
      </c>
      <c r="H53" s="101"/>
      <c r="I53" s="93"/>
      <c r="J53" s="99"/>
    </row>
    <row r="54" spans="1:17" ht="13.5" hidden="1" x14ac:dyDescent="0.25">
      <c r="A54" s="94">
        <f t="shared" si="13"/>
        <v>0</v>
      </c>
      <c r="B54" s="100" t="str">
        <f>IFERROR(VLOOKUP(H54,[1]SEMIELABORADOS!$A$2:$M$6000,2,0),"")</f>
        <v/>
      </c>
      <c r="C54" s="95">
        <f t="shared" si="14"/>
        <v>0</v>
      </c>
      <c r="D54" s="96" t="str">
        <f>IFERROR(VLOOKUP(H54,[1]SEMIELABORADOS!$A$2:$M$6000,6,0),"")</f>
        <v/>
      </c>
      <c r="E54" s="96" t="str">
        <f>IFERROR(VLOOKUP(H54,[1]SEMIELABORADOS!$A$2:$M$65536,12,0),"")</f>
        <v/>
      </c>
      <c r="F54" s="96" t="str">
        <f t="shared" si="15"/>
        <v/>
      </c>
      <c r="G54" s="97" t="str">
        <f t="shared" si="16"/>
        <v/>
      </c>
      <c r="H54" s="101"/>
      <c r="I54" s="93"/>
      <c r="J54" s="99"/>
    </row>
    <row r="55" spans="1:17" ht="13.5" hidden="1" x14ac:dyDescent="0.25">
      <c r="A55" s="94">
        <f t="shared" si="13"/>
        <v>0</v>
      </c>
      <c r="B55" s="100" t="str">
        <f>IFERROR(VLOOKUP(H55,[1]SEMIELABORADOS!$A$2:$M$6000,2,0),"")</f>
        <v/>
      </c>
      <c r="C55" s="95">
        <f t="shared" si="14"/>
        <v>0</v>
      </c>
      <c r="D55" s="96" t="str">
        <f>IFERROR(VLOOKUP(H55,[1]SEMIELABORADOS!$A$2:$M$6000,6,0),"")</f>
        <v/>
      </c>
      <c r="E55" s="96" t="str">
        <f>IFERROR(VLOOKUP(H55,[1]SEMIELABORADOS!$A$2:$M$65536,12,0),"")</f>
        <v/>
      </c>
      <c r="F55" s="96" t="str">
        <f t="shared" si="15"/>
        <v/>
      </c>
      <c r="G55" s="97" t="str">
        <f t="shared" si="16"/>
        <v/>
      </c>
      <c r="H55" s="100"/>
      <c r="I55" s="93"/>
      <c r="J55" s="99"/>
    </row>
    <row r="56" spans="1:17" ht="13.5" x14ac:dyDescent="0.25">
      <c r="A56" s="94">
        <v>1</v>
      </c>
      <c r="B56" s="100" t="s">
        <v>94</v>
      </c>
      <c r="C56" s="95">
        <f>+A56</f>
        <v>1</v>
      </c>
      <c r="D56" s="95" t="s">
        <v>95</v>
      </c>
      <c r="E56" s="96">
        <f>+F70</f>
        <v>275</v>
      </c>
      <c r="F56" s="96">
        <f>IFERROR(C56*E56,"")</f>
        <v>275</v>
      </c>
      <c r="G56" s="97">
        <f>IFERROR(F56/$F$71,"")</f>
        <v>8.0928355847661851E-2</v>
      </c>
      <c r="H56" s="105"/>
      <c r="I56" s="105"/>
      <c r="J56" s="99"/>
    </row>
    <row r="57" spans="1:17" ht="14.25" thickBot="1" x14ac:dyDescent="0.3">
      <c r="A57" s="94"/>
      <c r="B57" s="100"/>
      <c r="C57" s="95"/>
      <c r="D57" s="95"/>
      <c r="E57" s="96"/>
      <c r="F57" s="96"/>
      <c r="G57" s="97"/>
      <c r="H57" s="105"/>
      <c r="I57" s="105"/>
      <c r="J57" s="99"/>
    </row>
    <row r="58" spans="1:17" ht="13.5" thickBot="1" x14ac:dyDescent="0.25">
      <c r="A58" s="106"/>
      <c r="B58" s="634" t="s">
        <v>96</v>
      </c>
      <c r="C58" s="634"/>
      <c r="D58" s="634"/>
      <c r="E58" s="634"/>
      <c r="F58" s="108">
        <f>SUM(F8:F14,F17:F24)</f>
        <v>2669.8226892578177</v>
      </c>
      <c r="G58" s="97">
        <f>+F58/$F$71</f>
        <v>0.78568858416879339</v>
      </c>
      <c r="H58" s="109">
        <f>+F58/$D$65</f>
        <v>2669.8226892578177</v>
      </c>
      <c r="I58" s="109"/>
      <c r="J58" s="110"/>
      <c r="K58" s="111"/>
      <c r="L58" s="111"/>
      <c r="M58" s="111"/>
      <c r="N58" s="111"/>
      <c r="O58" s="111"/>
      <c r="P58" s="111"/>
      <c r="Q58" s="112"/>
    </row>
    <row r="59" spans="1:17" x14ac:dyDescent="0.2">
      <c r="A59" s="106"/>
      <c r="B59" s="634" t="s">
        <v>97</v>
      </c>
      <c r="C59" s="634"/>
      <c r="D59" s="634"/>
      <c r="E59" s="634"/>
      <c r="F59" s="108">
        <f>SUM(F27:F37,F40:F46)</f>
        <v>399.84816129785963</v>
      </c>
      <c r="G59" s="97">
        <f>+F59/$F$71</f>
        <v>0.117669288300169</v>
      </c>
      <c r="H59" s="109">
        <f>+F59/$D$65</f>
        <v>399.84816129785963</v>
      </c>
      <c r="I59" s="109"/>
      <c r="J59" s="113"/>
      <c r="K59" s="637" t="s">
        <v>98</v>
      </c>
      <c r="L59" s="638"/>
      <c r="M59" s="638"/>
      <c r="N59" s="638"/>
      <c r="O59" s="114">
        <f>+F60</f>
        <v>3069.6708505556771</v>
      </c>
      <c r="P59" s="114"/>
      <c r="Q59" s="115"/>
    </row>
    <row r="60" spans="1:17" x14ac:dyDescent="0.2">
      <c r="A60" s="106"/>
      <c r="B60" s="634" t="s">
        <v>99</v>
      </c>
      <c r="C60" s="634"/>
      <c r="D60" s="634"/>
      <c r="E60" s="634"/>
      <c r="F60" s="108">
        <f>+F58+F59</f>
        <v>3069.6708505556771</v>
      </c>
      <c r="G60" s="97">
        <f>+F60/$F$71</f>
        <v>0.90335787246896238</v>
      </c>
      <c r="H60" s="109">
        <f>+F60/$D$65</f>
        <v>3069.6708505556771</v>
      </c>
      <c r="I60" s="109"/>
      <c r="J60" s="116"/>
      <c r="K60" s="117"/>
      <c r="L60" s="629" t="s">
        <v>100</v>
      </c>
      <c r="M60" s="629"/>
      <c r="N60" s="629"/>
      <c r="O60" s="114">
        <v>508.47</v>
      </c>
      <c r="P60" s="114"/>
      <c r="Q60" s="115"/>
    </row>
    <row r="61" spans="1:17" ht="13.5" thickBot="1" x14ac:dyDescent="0.25">
      <c r="A61" s="106"/>
      <c r="B61" s="107"/>
      <c r="C61" s="634" t="s">
        <v>101</v>
      </c>
      <c r="D61" s="634"/>
      <c r="E61" s="634"/>
      <c r="F61" s="108">
        <f>SUM(F49:F56)</f>
        <v>477.23723152102639</v>
      </c>
      <c r="G61" s="97">
        <f>+F61/$F$71</f>
        <v>0.14044372544104219</v>
      </c>
      <c r="H61" s="109">
        <f>+F61/$D$65</f>
        <v>477.23723152102639</v>
      </c>
      <c r="I61" s="109"/>
      <c r="J61" s="116"/>
      <c r="K61" s="117"/>
      <c r="L61" s="117"/>
      <c r="M61" s="117" t="s">
        <v>102</v>
      </c>
      <c r="N61" s="118"/>
      <c r="O61" s="114">
        <f>O59*N61</f>
        <v>0</v>
      </c>
      <c r="P61" s="114"/>
      <c r="Q61" s="115"/>
    </row>
    <row r="62" spans="1:17" ht="13.5" thickBot="1" x14ac:dyDescent="0.25">
      <c r="A62" s="106"/>
      <c r="B62" s="119"/>
      <c r="C62" s="119"/>
      <c r="D62" s="119"/>
      <c r="E62" s="119"/>
      <c r="F62" s="120"/>
      <c r="G62" s="97"/>
      <c r="H62" s="121"/>
      <c r="I62" s="109"/>
      <c r="J62" s="116"/>
      <c r="K62" s="122"/>
      <c r="M62" s="123" t="s">
        <v>103</v>
      </c>
      <c r="N62" s="124"/>
      <c r="O62" s="125">
        <f>SUM(O59:O61)</f>
        <v>3578.1408505556774</v>
      </c>
      <c r="P62" s="126"/>
      <c r="Q62" s="115"/>
    </row>
    <row r="63" spans="1:17" x14ac:dyDescent="0.2">
      <c r="B63" s="635" t="s">
        <v>104</v>
      </c>
      <c r="C63" s="635"/>
      <c r="D63" s="127">
        <v>950</v>
      </c>
      <c r="E63" s="128"/>
      <c r="G63" s="97"/>
      <c r="H63" s="121"/>
      <c r="I63" s="129"/>
      <c r="J63" s="116"/>
      <c r="K63" s="122"/>
      <c r="L63" s="117"/>
      <c r="M63" s="117" t="s">
        <v>180</v>
      </c>
      <c r="N63" s="130"/>
      <c r="O63" s="114">
        <v>426.95</v>
      </c>
      <c r="P63" s="114"/>
      <c r="Q63" s="115"/>
    </row>
    <row r="64" spans="1:17" x14ac:dyDescent="0.2">
      <c r="B64" s="635" t="s">
        <v>106</v>
      </c>
      <c r="C64" s="635"/>
      <c r="D64" s="131">
        <v>950</v>
      </c>
      <c r="E64" s="128"/>
      <c r="G64" s="97"/>
      <c r="H64" s="121"/>
      <c r="I64" s="129"/>
      <c r="J64" s="116"/>
      <c r="K64" s="122"/>
      <c r="L64" s="117"/>
      <c r="M64" s="629" t="s">
        <v>103</v>
      </c>
      <c r="N64" s="629"/>
      <c r="O64" s="114">
        <f>SUM(O62:O63)</f>
        <v>4005.0908505556772</v>
      </c>
      <c r="P64" s="114"/>
      <c r="Q64" s="115"/>
    </row>
    <row r="65" spans="2:17" ht="13.5" thickBot="1" x14ac:dyDescent="0.25">
      <c r="B65" s="628" t="s">
        <v>107</v>
      </c>
      <c r="C65" s="628"/>
      <c r="D65" s="127">
        <f>+D63/D64</f>
        <v>1</v>
      </c>
      <c r="E65" s="128"/>
      <c r="F65" s="132"/>
      <c r="G65" s="97"/>
      <c r="H65" s="121"/>
      <c r="I65" s="129"/>
      <c r="J65" s="116"/>
      <c r="K65" s="122"/>
      <c r="L65" s="629" t="s">
        <v>108</v>
      </c>
      <c r="M65" s="629"/>
      <c r="N65" s="130">
        <v>0.1</v>
      </c>
      <c r="O65" s="114">
        <f>+O64*N65</f>
        <v>400.50908505556777</v>
      </c>
      <c r="P65" s="114"/>
      <c r="Q65" s="115"/>
    </row>
    <row r="66" spans="2:17" ht="13.5" thickBot="1" x14ac:dyDescent="0.25">
      <c r="B66" s="628" t="s">
        <v>109</v>
      </c>
      <c r="C66" s="628"/>
      <c r="D66" s="133" t="s">
        <v>144</v>
      </c>
      <c r="E66" s="128"/>
      <c r="F66" s="132"/>
      <c r="G66" s="97"/>
      <c r="H66" s="121"/>
      <c r="I66" s="129"/>
      <c r="J66" s="116"/>
      <c r="K66" s="630" t="s">
        <v>110</v>
      </c>
      <c r="L66" s="631"/>
      <c r="M66" s="631"/>
      <c r="N66" s="632"/>
      <c r="O66" s="125">
        <f>+O64+O65</f>
        <v>4405.5999356112452</v>
      </c>
      <c r="P66" s="134" t="s">
        <v>111</v>
      </c>
      <c r="Q66" s="115"/>
    </row>
    <row r="67" spans="2:17" ht="13.5" thickBot="1" x14ac:dyDescent="0.25">
      <c r="C67" s="106" t="s">
        <v>112</v>
      </c>
      <c r="D67" s="135"/>
      <c r="E67" s="80" t="s">
        <v>113</v>
      </c>
      <c r="F67" s="136" t="s">
        <v>114</v>
      </c>
      <c r="G67" s="97"/>
      <c r="H67" s="121"/>
      <c r="I67" s="129"/>
      <c r="J67" s="137"/>
      <c r="K67" s="138"/>
      <c r="L67" s="633" t="s">
        <v>115</v>
      </c>
      <c r="M67" s="633"/>
      <c r="N67" s="633"/>
      <c r="O67" s="139">
        <f>+O66/D65</f>
        <v>4405.5999356112452</v>
      </c>
      <c r="P67" s="140">
        <f>+O67/D64</f>
        <v>4.6374736164328896</v>
      </c>
      <c r="Q67" s="141"/>
    </row>
    <row r="68" spans="2:17" ht="13.5" thickBot="1" x14ac:dyDescent="0.25">
      <c r="B68" s="613" t="s">
        <v>99</v>
      </c>
      <c r="C68" s="613"/>
      <c r="D68" s="613"/>
      <c r="E68" s="142">
        <f>+F68/F68</f>
        <v>1</v>
      </c>
      <c r="F68" s="143">
        <f>SUM(F60)</f>
        <v>3069.6708505556771</v>
      </c>
      <c r="G68" s="97">
        <f>+F68/$F$71</f>
        <v>0.90335787246896238</v>
      </c>
      <c r="H68" s="121"/>
      <c r="I68" s="129"/>
      <c r="K68" s="614"/>
      <c r="L68" s="615"/>
      <c r="M68" s="615"/>
      <c r="N68" s="615"/>
      <c r="O68" s="144"/>
      <c r="P68" s="145"/>
    </row>
    <row r="69" spans="2:17" ht="13.5" thickBot="1" x14ac:dyDescent="0.25">
      <c r="B69" s="616" t="s">
        <v>116</v>
      </c>
      <c r="C69" s="616"/>
      <c r="D69" s="616"/>
      <c r="E69" s="146">
        <v>0.02</v>
      </c>
      <c r="F69" s="143">
        <f>+F58*E69</f>
        <v>53.396453785156353</v>
      </c>
      <c r="G69" s="97">
        <f>+F69/$F$71</f>
        <v>1.5713771683375868E-2</v>
      </c>
      <c r="H69" s="109"/>
      <c r="I69" s="129"/>
      <c r="J69" s="147"/>
      <c r="O69" s="148">
        <v>3556.52</v>
      </c>
      <c r="P69" s="107"/>
    </row>
    <row r="70" spans="2:17" ht="13.5" thickBot="1" x14ac:dyDescent="0.25">
      <c r="B70" s="618" t="s">
        <v>117</v>
      </c>
      <c r="C70" s="619"/>
      <c r="D70" s="149">
        <v>5</v>
      </c>
      <c r="E70" s="150">
        <v>55</v>
      </c>
      <c r="F70" s="143">
        <f>+E70*D70</f>
        <v>275</v>
      </c>
      <c r="G70" s="97">
        <f>+F70/$F$71</f>
        <v>8.0928355847661851E-2</v>
      </c>
      <c r="H70" s="109"/>
      <c r="I70" s="109"/>
      <c r="J70" s="99"/>
    </row>
    <row r="71" spans="2:17" ht="13.5" thickBot="1" x14ac:dyDescent="0.25">
      <c r="B71" s="620" t="s">
        <v>118</v>
      </c>
      <c r="C71" s="621"/>
      <c r="D71" s="621"/>
      <c r="E71" s="622"/>
      <c r="F71" s="120">
        <f>SUM(F68:F70)</f>
        <v>3398.0673043408333</v>
      </c>
      <c r="G71" s="97">
        <f>+F71/$F$71</f>
        <v>1</v>
      </c>
      <c r="H71" s="623"/>
      <c r="I71" s="109"/>
      <c r="J71" s="99"/>
      <c r="N71" s="82">
        <f>+O69*10%</f>
        <v>355.65200000000004</v>
      </c>
    </row>
    <row r="72" spans="2:17" x14ac:dyDescent="0.2">
      <c r="C72" s="104"/>
      <c r="D72" s="104"/>
      <c r="E72" s="152"/>
      <c r="F72" s="143"/>
      <c r="G72" s="97"/>
      <c r="H72" s="623"/>
      <c r="I72" s="151"/>
      <c r="J72" s="82"/>
      <c r="N72" s="363">
        <f>3501.27+N71</f>
        <v>3856.922</v>
      </c>
    </row>
    <row r="73" spans="2:17" ht="13.5" thickBot="1" x14ac:dyDescent="0.25">
      <c r="B73" s="624" t="s">
        <v>119</v>
      </c>
      <c r="C73" s="624"/>
      <c r="D73" s="624"/>
      <c r="E73" s="624"/>
      <c r="F73" s="624"/>
      <c r="G73" s="97"/>
      <c r="H73" s="154"/>
      <c r="I73" s="151"/>
      <c r="J73" s="82"/>
    </row>
    <row r="74" spans="2:17" ht="13.5" thickBot="1" x14ac:dyDescent="0.25">
      <c r="B74" s="155" t="s">
        <v>120</v>
      </c>
      <c r="C74" s="156">
        <f>+F58</f>
        <v>2669.8226892578177</v>
      </c>
      <c r="D74" s="156">
        <f>+D63</f>
        <v>950</v>
      </c>
      <c r="E74" s="157">
        <f>+C74/D74</f>
        <v>2.8103396729029662</v>
      </c>
      <c r="F74" s="97"/>
      <c r="G74" s="154"/>
      <c r="H74" s="99"/>
      <c r="I74" s="154"/>
      <c r="J74" s="82"/>
      <c r="N74" s="82" t="s">
        <v>205</v>
      </c>
    </row>
    <row r="75" spans="2:17" x14ac:dyDescent="0.2">
      <c r="B75" s="158"/>
      <c r="C75" s="159"/>
      <c r="D75" s="160"/>
      <c r="E75" s="143"/>
      <c r="F75" s="97"/>
      <c r="G75" s="154"/>
      <c r="H75" s="99"/>
      <c r="I75" s="99"/>
      <c r="J75" s="82"/>
    </row>
    <row r="76" spans="2:17" x14ac:dyDescent="0.2">
      <c r="B76" s="155" t="s">
        <v>121</v>
      </c>
      <c r="C76" s="156">
        <f>SUM(F68:F69)</f>
        <v>3123.0673043408333</v>
      </c>
      <c r="D76" s="156">
        <f>+D63</f>
        <v>950</v>
      </c>
      <c r="E76" s="161">
        <f>+C76/D76</f>
        <v>3.2874392677271929</v>
      </c>
      <c r="F76" s="97"/>
      <c r="G76" s="154"/>
      <c r="H76" s="99"/>
      <c r="I76" s="99"/>
      <c r="J76" s="82"/>
    </row>
    <row r="77" spans="2:17" x14ac:dyDescent="0.2">
      <c r="B77" s="155"/>
      <c r="C77" s="156"/>
      <c r="D77" s="156"/>
      <c r="E77" s="161"/>
      <c r="F77" s="97"/>
      <c r="G77" s="154"/>
      <c r="H77" s="99"/>
      <c r="I77" s="99"/>
      <c r="J77" s="82"/>
    </row>
    <row r="78" spans="2:17" ht="13.5" thickBot="1" x14ac:dyDescent="0.25">
      <c r="B78" s="155" t="s">
        <v>122</v>
      </c>
      <c r="C78" s="156">
        <f>+F70</f>
        <v>275</v>
      </c>
      <c r="D78" s="156">
        <f>+D63</f>
        <v>950</v>
      </c>
      <c r="E78" s="161">
        <f>+C78/D78</f>
        <v>0.28947368421052633</v>
      </c>
      <c r="F78" s="97"/>
      <c r="G78" s="154"/>
      <c r="H78" s="99"/>
      <c r="I78" s="99"/>
      <c r="J78" s="82"/>
    </row>
    <row r="79" spans="2:17" ht="13.5" thickBot="1" x14ac:dyDescent="0.25">
      <c r="B79" s="155" t="s">
        <v>123</v>
      </c>
      <c r="C79" s="156">
        <f>+F61</f>
        <v>477.23723152102639</v>
      </c>
      <c r="D79" s="156">
        <f>+D78</f>
        <v>950</v>
      </c>
      <c r="E79" s="157">
        <f>+C79/D79</f>
        <v>0.50235498054844885</v>
      </c>
      <c r="F79" s="97"/>
      <c r="G79" s="154"/>
      <c r="H79" s="99"/>
      <c r="I79" s="99"/>
      <c r="J79" s="82"/>
    </row>
    <row r="80" spans="2:17" ht="13.5" thickBot="1" x14ac:dyDescent="0.25">
      <c r="B80" s="119"/>
      <c r="C80" s="120"/>
      <c r="D80" s="120"/>
      <c r="E80" s="161"/>
      <c r="F80" s="97"/>
      <c r="G80" s="154"/>
      <c r="H80" s="99"/>
      <c r="I80" s="99"/>
      <c r="J80" s="82"/>
    </row>
    <row r="81" spans="1:10" ht="13.5" thickBot="1" x14ac:dyDescent="0.25">
      <c r="B81" s="155" t="s">
        <v>124</v>
      </c>
      <c r="C81" s="156">
        <f>+F59</f>
        <v>399.84816129785963</v>
      </c>
      <c r="D81" s="156">
        <f>+D79</f>
        <v>950</v>
      </c>
      <c r="E81" s="157">
        <f>+C81/D81</f>
        <v>0.42089280136616802</v>
      </c>
      <c r="F81" s="97"/>
      <c r="G81" s="154"/>
      <c r="H81" s="99"/>
      <c r="I81" s="99"/>
      <c r="J81" s="99"/>
    </row>
    <row r="82" spans="1:10" ht="13.5" thickBot="1" x14ac:dyDescent="0.25">
      <c r="B82" s="119"/>
      <c r="C82" s="120"/>
      <c r="D82" s="120"/>
      <c r="E82" s="161"/>
      <c r="F82" s="97"/>
      <c r="G82" s="154"/>
      <c r="H82" s="99"/>
      <c r="I82" s="99"/>
    </row>
    <row r="83" spans="1:10" ht="13.5" thickBot="1" x14ac:dyDescent="0.25">
      <c r="B83" s="625" t="s">
        <v>125</v>
      </c>
      <c r="C83" s="626"/>
      <c r="D83" s="627"/>
      <c r="E83" s="157">
        <f>+E74+E79</f>
        <v>3.3126946534514152</v>
      </c>
      <c r="G83" s="97"/>
      <c r="H83" s="154"/>
      <c r="I83" s="99"/>
      <c r="J83" s="161"/>
    </row>
    <row r="84" spans="1:10" x14ac:dyDescent="0.2">
      <c r="I84" s="154"/>
      <c r="J84" s="82"/>
    </row>
    <row r="85" spans="1:10" ht="13.5" thickBot="1" x14ac:dyDescent="0.25">
      <c r="B85" s="624" t="s">
        <v>126</v>
      </c>
      <c r="C85" s="624"/>
      <c r="D85" s="624"/>
      <c r="E85" s="624"/>
      <c r="F85" s="624"/>
      <c r="G85" s="97"/>
      <c r="H85" s="154"/>
      <c r="J85" s="82"/>
    </row>
    <row r="86" spans="1:10" ht="13.5" thickBot="1" x14ac:dyDescent="0.25">
      <c r="B86" s="155" t="s">
        <v>120</v>
      </c>
      <c r="C86" s="156">
        <f>+C74</f>
        <v>2669.8226892578177</v>
      </c>
      <c r="D86" s="156">
        <f>+D65</f>
        <v>1</v>
      </c>
      <c r="E86" s="157">
        <f>+C86/D86</f>
        <v>2669.8226892578177</v>
      </c>
      <c r="F86" s="97"/>
      <c r="G86" s="154"/>
      <c r="H86" s="99"/>
      <c r="I86" s="154"/>
      <c r="J86" s="82"/>
    </row>
    <row r="87" spans="1:10" x14ac:dyDescent="0.2">
      <c r="B87" s="158"/>
      <c r="C87" s="159"/>
      <c r="D87" s="160"/>
      <c r="E87" s="143"/>
      <c r="F87" s="97"/>
      <c r="G87" s="154"/>
      <c r="H87" s="99"/>
      <c r="I87" s="99"/>
      <c r="J87" s="82"/>
    </row>
    <row r="88" spans="1:10" x14ac:dyDescent="0.2">
      <c r="B88" s="155" t="s">
        <v>121</v>
      </c>
      <c r="C88" s="156">
        <f>+C76</f>
        <v>3123.0673043408333</v>
      </c>
      <c r="D88" s="156">
        <f>+D65</f>
        <v>1</v>
      </c>
      <c r="E88" s="161">
        <f>+C88/D88</f>
        <v>3123.0673043408333</v>
      </c>
      <c r="F88" s="97"/>
      <c r="G88" s="154"/>
      <c r="H88" s="99"/>
      <c r="I88" s="99"/>
      <c r="J88" s="82"/>
    </row>
    <row r="89" spans="1:10" x14ac:dyDescent="0.2">
      <c r="B89" s="155"/>
      <c r="C89" s="156"/>
      <c r="D89" s="156"/>
      <c r="E89" s="161"/>
      <c r="F89" s="97"/>
      <c r="G89" s="154"/>
      <c r="H89" s="99"/>
      <c r="I89" s="99"/>
      <c r="J89" s="82"/>
    </row>
    <row r="90" spans="1:10" ht="13.5" thickBot="1" x14ac:dyDescent="0.25">
      <c r="B90" s="155" t="s">
        <v>123</v>
      </c>
      <c r="C90" s="156">
        <f>+C78</f>
        <v>275</v>
      </c>
      <c r="D90" s="156">
        <f>+D65</f>
        <v>1</v>
      </c>
      <c r="E90" s="161">
        <f>+C90/D90</f>
        <v>275</v>
      </c>
      <c r="F90" s="163"/>
      <c r="G90" s="153"/>
      <c r="H90" s="81"/>
      <c r="I90" s="99"/>
    </row>
    <row r="91" spans="1:10" ht="13.5" thickBot="1" x14ac:dyDescent="0.25">
      <c r="B91" s="155" t="s">
        <v>123</v>
      </c>
      <c r="C91" s="156">
        <f>+C79</f>
        <v>477.23723152102639</v>
      </c>
      <c r="D91" s="156">
        <f>+D90</f>
        <v>1</v>
      </c>
      <c r="E91" s="157">
        <f>+C91/D91</f>
        <v>477.23723152102639</v>
      </c>
      <c r="F91" s="162"/>
      <c r="G91" s="153"/>
      <c r="H91" s="81"/>
      <c r="I91" s="81"/>
    </row>
    <row r="92" spans="1:10" x14ac:dyDescent="0.2">
      <c r="I92" s="81"/>
    </row>
    <row r="93" spans="1:10" x14ac:dyDescent="0.2">
      <c r="A93" s="617"/>
      <c r="B93" s="617"/>
      <c r="C93" s="164"/>
      <c r="D93" s="164"/>
      <c r="E93" s="165"/>
      <c r="G93" s="166"/>
    </row>
    <row r="94" spans="1:10" x14ac:dyDescent="0.2">
      <c r="A94" s="100"/>
      <c r="B94" s="167"/>
      <c r="C94" s="168"/>
      <c r="D94" s="168"/>
      <c r="E94" s="169"/>
      <c r="G94" s="166"/>
    </row>
    <row r="95" spans="1:10" x14ac:dyDescent="0.2">
      <c r="A95" s="100"/>
      <c r="B95" s="167"/>
      <c r="C95" s="170"/>
      <c r="D95" s="170"/>
      <c r="E95" s="100"/>
      <c r="G95" s="166"/>
    </row>
    <row r="96" spans="1:10" x14ac:dyDescent="0.2">
      <c r="A96" s="100"/>
      <c r="B96" s="167"/>
      <c r="C96" s="171"/>
      <c r="D96" s="171"/>
      <c r="E96" s="100"/>
      <c r="G96" s="166"/>
    </row>
  </sheetData>
  <mergeCells count="31">
    <mergeCell ref="A4:H4"/>
    <mergeCell ref="A5:H5"/>
    <mergeCell ref="F6:G6"/>
    <mergeCell ref="K27:L27"/>
    <mergeCell ref="K33:L33"/>
    <mergeCell ref="K34:L34"/>
    <mergeCell ref="K35:L35"/>
    <mergeCell ref="B58:E58"/>
    <mergeCell ref="B59:E59"/>
    <mergeCell ref="K59:N59"/>
    <mergeCell ref="B60:E60"/>
    <mergeCell ref="L60:N60"/>
    <mergeCell ref="C61:E61"/>
    <mergeCell ref="B63:C63"/>
    <mergeCell ref="B64:C64"/>
    <mergeCell ref="M64:N64"/>
    <mergeCell ref="B65:C65"/>
    <mergeCell ref="L65:M65"/>
    <mergeCell ref="B66:C66"/>
    <mergeCell ref="K66:N66"/>
    <mergeCell ref="L67:N67"/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</mergeCells>
  <phoneticPr fontId="7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9CAE-86DD-4229-9D30-C08D92E93E41}">
  <dimension ref="A1:AK43"/>
  <sheetViews>
    <sheetView topLeftCell="A16" workbookViewId="0">
      <selection activeCell="L28" sqref="L28"/>
    </sheetView>
  </sheetViews>
  <sheetFormatPr baseColWidth="10" defaultColWidth="8.42578125" defaultRowHeight="11.25" x14ac:dyDescent="0.2"/>
  <cols>
    <col min="1" max="1" width="7.5703125" style="172" customWidth="1"/>
    <col min="2" max="2" width="7.7109375" style="172" bestFit="1" customWidth="1"/>
    <col min="3" max="3" width="39.28515625" style="172" customWidth="1"/>
    <col min="4" max="4" width="10" style="172" bestFit="1" customWidth="1"/>
    <col min="5" max="5" width="9.42578125" style="172" bestFit="1" customWidth="1"/>
    <col min="6" max="6" width="11.7109375" style="436" customWidth="1"/>
    <col min="7" max="7" width="8.7109375" style="323" bestFit="1" customWidth="1"/>
    <col min="8" max="8" width="10.28515625" style="252" bestFit="1" customWidth="1"/>
    <col min="9" max="16384" width="8.42578125" style="172"/>
  </cols>
  <sheetData>
    <row r="1" spans="2:8" ht="36" customHeight="1" thickBot="1" x14ac:dyDescent="0.35">
      <c r="B1" s="762"/>
      <c r="C1" s="763"/>
      <c r="D1" s="763"/>
      <c r="E1" s="763"/>
      <c r="F1" s="763"/>
      <c r="G1" s="763"/>
      <c r="H1" s="764"/>
    </row>
    <row r="2" spans="2:8" ht="19.5" customHeight="1" thickBot="1" x14ac:dyDescent="0.25">
      <c r="B2" s="765" t="s">
        <v>145</v>
      </c>
      <c r="C2" s="765"/>
      <c r="D2" s="765"/>
      <c r="E2" s="765"/>
      <c r="F2" s="765"/>
      <c r="G2" s="765"/>
      <c r="H2" s="765"/>
    </row>
    <row r="3" spans="2:8" ht="19.5" customHeight="1" thickTop="1" x14ac:dyDescent="0.2">
      <c r="B3" s="785" t="s">
        <v>236</v>
      </c>
      <c r="C3" s="785"/>
      <c r="D3" s="785"/>
      <c r="E3" s="785"/>
      <c r="F3" s="785"/>
      <c r="G3" s="785"/>
      <c r="H3" s="785"/>
    </row>
    <row r="4" spans="2:8" ht="19.5" customHeight="1" x14ac:dyDescent="0.2">
      <c r="B4" s="411"/>
      <c r="C4" s="411"/>
      <c r="D4" s="411"/>
      <c r="E4" s="411"/>
      <c r="F4" s="786" t="s">
        <v>83</v>
      </c>
      <c r="G4" s="786"/>
      <c r="H4" s="88"/>
    </row>
    <row r="5" spans="2:8" ht="30" customHeight="1" x14ac:dyDescent="0.2">
      <c r="B5" s="176" t="s">
        <v>115</v>
      </c>
      <c r="C5" s="176" t="s">
        <v>85</v>
      </c>
      <c r="D5" s="176" t="s">
        <v>115</v>
      </c>
      <c r="E5" s="177" t="s">
        <v>147</v>
      </c>
      <c r="F5" s="177" t="s">
        <v>148</v>
      </c>
      <c r="G5" s="177" t="s">
        <v>149</v>
      </c>
      <c r="H5" s="177" t="s">
        <v>150</v>
      </c>
    </row>
    <row r="6" spans="2:8" s="194" customFormat="1" ht="20.100000000000001" customHeight="1" x14ac:dyDescent="0.2">
      <c r="B6" s="193">
        <v>1</v>
      </c>
      <c r="C6" s="194" t="s">
        <v>202</v>
      </c>
      <c r="D6" s="195">
        <f>+B6</f>
        <v>1</v>
      </c>
      <c r="E6" s="195">
        <f>+'COSTO ENSAM IND'!H58</f>
        <v>2669.8226892578177</v>
      </c>
      <c r="F6" s="412">
        <f>+D6*E6</f>
        <v>2669.8226892578177</v>
      </c>
      <c r="G6" s="413">
        <f>+F6/$F$23</f>
        <v>0.60600661164831782</v>
      </c>
      <c r="H6" s="198" t="s">
        <v>151</v>
      </c>
    </row>
    <row r="7" spans="2:8" s="194" customFormat="1" ht="20.100000000000001" customHeight="1" x14ac:dyDescent="0.2">
      <c r="B7" s="193"/>
      <c r="D7" s="195"/>
      <c r="E7" s="195"/>
      <c r="F7" s="412"/>
      <c r="G7" s="413"/>
      <c r="H7" s="198"/>
    </row>
    <row r="8" spans="2:8" ht="30" customHeight="1" x14ac:dyDescent="0.2">
      <c r="B8" s="176" t="s">
        <v>115</v>
      </c>
      <c r="C8" s="176" t="s">
        <v>25</v>
      </c>
      <c r="D8" s="176" t="s">
        <v>115</v>
      </c>
      <c r="E8" s="177" t="s">
        <v>147</v>
      </c>
      <c r="F8" s="177" t="s">
        <v>148</v>
      </c>
      <c r="G8" s="177" t="s">
        <v>149</v>
      </c>
      <c r="H8" s="177" t="s">
        <v>150</v>
      </c>
    </row>
    <row r="9" spans="2:8" s="194" customFormat="1" ht="20.100000000000001" customHeight="1" x14ac:dyDescent="0.2">
      <c r="B9" s="193">
        <v>1</v>
      </c>
      <c r="C9" s="194" t="s">
        <v>152</v>
      </c>
      <c r="D9" s="195">
        <f>+B9</f>
        <v>1</v>
      </c>
      <c r="E9" s="195">
        <f>+'COSTO ENSAM IND'!H59</f>
        <v>399.84816129785963</v>
      </c>
      <c r="F9" s="412">
        <f>+D9*E9</f>
        <v>399.84816129785963</v>
      </c>
      <c r="G9" s="413">
        <f>+F9/$F$23</f>
        <v>9.0759071895252244E-2</v>
      </c>
      <c r="H9" s="198" t="s">
        <v>153</v>
      </c>
    </row>
    <row r="10" spans="2:8" s="192" customFormat="1" ht="17.25" customHeight="1" x14ac:dyDescent="0.2">
      <c r="B10" s="414"/>
      <c r="C10" s="200"/>
      <c r="D10" s="415"/>
      <c r="E10" s="415"/>
      <c r="F10" s="416"/>
      <c r="G10" s="417"/>
      <c r="H10" s="418"/>
    </row>
    <row r="11" spans="2:8" s="192" customFormat="1" ht="12" x14ac:dyDescent="0.2">
      <c r="B11" s="193"/>
      <c r="C11" s="629" t="s">
        <v>162</v>
      </c>
      <c r="D11" s="629"/>
      <c r="E11" s="195"/>
      <c r="F11" s="114">
        <f>SUM(F6)</f>
        <v>2669.8226892578177</v>
      </c>
      <c r="G11" s="419">
        <f>+F11/$F$23</f>
        <v>0.60600661164831782</v>
      </c>
      <c r="H11" s="198"/>
    </row>
    <row r="12" spans="2:8" s="192" customFormat="1" ht="12.75" thickBot="1" x14ac:dyDescent="0.25">
      <c r="B12" s="193"/>
      <c r="C12" s="629" t="s">
        <v>163</v>
      </c>
      <c r="D12" s="629"/>
      <c r="E12" s="195"/>
      <c r="F12" s="222">
        <f>SUM(F9)</f>
        <v>399.84816129785963</v>
      </c>
      <c r="G12" s="419">
        <f>+F12/$F$23</f>
        <v>9.0759071895252244E-2</v>
      </c>
      <c r="H12" s="198"/>
    </row>
    <row r="13" spans="2:8" s="192" customFormat="1" ht="12.75" thickTop="1" x14ac:dyDescent="0.2">
      <c r="B13" s="193"/>
      <c r="C13" s="631" t="s">
        <v>98</v>
      </c>
      <c r="D13" s="631"/>
      <c r="E13" s="631"/>
      <c r="F13" s="126">
        <f>SUM(F11:F12)</f>
        <v>3069.6708505556771</v>
      </c>
      <c r="G13" s="419">
        <f>+F13/$F$23</f>
        <v>0.69676568354356994</v>
      </c>
      <c r="H13" s="198"/>
    </row>
    <row r="14" spans="2:8" s="192" customFormat="1" ht="12" x14ac:dyDescent="0.2">
      <c r="C14" s="122"/>
      <c r="D14" s="122"/>
      <c r="E14" s="223"/>
      <c r="F14" s="224"/>
      <c r="G14" s="419"/>
    </row>
    <row r="15" spans="2:8" s="192" customFormat="1" ht="12" x14ac:dyDescent="0.2">
      <c r="B15" s="629" t="s">
        <v>98</v>
      </c>
      <c r="C15" s="629"/>
      <c r="D15" s="629"/>
      <c r="E15" s="420" t="s">
        <v>164</v>
      </c>
      <c r="F15" s="114">
        <f>+F13</f>
        <v>3069.6708505556771</v>
      </c>
      <c r="G15" s="419">
        <f t="shared" ref="G15:G23" si="0">+F15/$F$23</f>
        <v>0.69676568354356994</v>
      </c>
      <c r="H15" s="201"/>
    </row>
    <row r="16" spans="2:8" s="192" customFormat="1" ht="12.75" customHeight="1" thickBot="1" x14ac:dyDescent="0.25">
      <c r="B16" s="117"/>
      <c r="C16" s="629" t="s">
        <v>100</v>
      </c>
      <c r="D16" s="629"/>
      <c r="E16" s="421"/>
      <c r="F16" s="114">
        <f>+'COSTO ENSAM IND'!O60</f>
        <v>508.47</v>
      </c>
      <c r="G16" s="419">
        <f t="shared" si="0"/>
        <v>0.11541447417636515</v>
      </c>
      <c r="H16" s="201"/>
    </row>
    <row r="17" spans="1:37" s="192" customFormat="1" ht="12.75" hidden="1" customHeight="1" x14ac:dyDescent="0.2">
      <c r="B17" s="117"/>
      <c r="C17" s="629" t="s">
        <v>165</v>
      </c>
      <c r="D17" s="629"/>
      <c r="E17" s="227">
        <v>0</v>
      </c>
      <c r="F17" s="114">
        <f>+(F15+F16)*E17</f>
        <v>0</v>
      </c>
      <c r="G17" s="419">
        <f t="shared" si="0"/>
        <v>0</v>
      </c>
      <c r="H17" s="201"/>
    </row>
    <row r="18" spans="1:37" s="192" customFormat="1" ht="12.75" hidden="1" thickBot="1" x14ac:dyDescent="0.25">
      <c r="B18" s="117"/>
      <c r="C18" s="629" t="s">
        <v>166</v>
      </c>
      <c r="D18" s="629"/>
      <c r="E18" s="227">
        <v>0</v>
      </c>
      <c r="F18" s="114">
        <f>+F16*E18</f>
        <v>0</v>
      </c>
      <c r="G18" s="419">
        <f t="shared" si="0"/>
        <v>0</v>
      </c>
      <c r="H18" s="201"/>
    </row>
    <row r="19" spans="1:37" s="192" customFormat="1" ht="12.75" thickBot="1" x14ac:dyDescent="0.25">
      <c r="B19" s="122"/>
      <c r="C19" s="783"/>
      <c r="D19" s="783"/>
      <c r="E19" s="784"/>
      <c r="F19" s="125">
        <f>SUM(F15:F18)</f>
        <v>3578.1408505556774</v>
      </c>
      <c r="G19" s="422">
        <f>+F19/$F$21</f>
        <v>0.89339817349192874</v>
      </c>
      <c r="H19" s="201"/>
    </row>
    <row r="20" spans="1:37" s="192" customFormat="1" ht="12" x14ac:dyDescent="0.2">
      <c r="B20" s="122"/>
      <c r="C20" s="629" t="s">
        <v>180</v>
      </c>
      <c r="D20" s="629"/>
      <c r="E20" s="317"/>
      <c r="F20" s="114">
        <f>+'COSTO ENSAM IND'!O63</f>
        <v>426.95</v>
      </c>
      <c r="G20" s="419">
        <f t="shared" si="0"/>
        <v>9.6910751370973894E-2</v>
      </c>
      <c r="H20" s="201"/>
    </row>
    <row r="21" spans="1:37" s="192" customFormat="1" ht="12" x14ac:dyDescent="0.2">
      <c r="B21" s="122"/>
      <c r="C21" s="629" t="s">
        <v>103</v>
      </c>
      <c r="D21" s="629"/>
      <c r="E21" s="629"/>
      <c r="F21" s="114">
        <f>SUM(F19:F20)</f>
        <v>4005.0908505556772</v>
      </c>
      <c r="G21" s="419">
        <f t="shared" si="0"/>
        <v>0.90909090909090906</v>
      </c>
      <c r="H21" s="201"/>
    </row>
    <row r="22" spans="1:37" s="192" customFormat="1" ht="12.75" thickBot="1" x14ac:dyDescent="0.25">
      <c r="B22" s="122"/>
      <c r="C22" s="629" t="s">
        <v>246</v>
      </c>
      <c r="D22" s="629"/>
      <c r="E22" s="317">
        <v>0.1</v>
      </c>
      <c r="F22" s="114">
        <f>+F21*E22</f>
        <v>400.50908505556777</v>
      </c>
      <c r="G22" s="419">
        <f t="shared" si="0"/>
        <v>9.0909090909090912E-2</v>
      </c>
      <c r="H22" s="201"/>
    </row>
    <row r="23" spans="1:37" s="192" customFormat="1" ht="12.75" thickBot="1" x14ac:dyDescent="0.25">
      <c r="B23" s="122"/>
      <c r="C23" s="631" t="s">
        <v>110</v>
      </c>
      <c r="D23" s="631"/>
      <c r="E23" s="632"/>
      <c r="F23" s="125">
        <f>SUM(F21:F22)</f>
        <v>4405.5999356112452</v>
      </c>
      <c r="G23" s="419">
        <f t="shared" si="0"/>
        <v>1</v>
      </c>
      <c r="H23" s="230"/>
    </row>
    <row r="24" spans="1:37" s="192" customFormat="1" ht="12.75" thickBot="1" x14ac:dyDescent="0.25">
      <c r="B24" s="122"/>
      <c r="C24" s="231"/>
      <c r="D24" s="231"/>
      <c r="E24" s="231"/>
      <c r="F24" s="126"/>
      <c r="G24" s="423"/>
      <c r="H24" s="230"/>
    </row>
    <row r="25" spans="1:37" s="348" customFormat="1" ht="19.5" customHeight="1" thickBot="1" x14ac:dyDescent="0.25">
      <c r="A25" s="780"/>
      <c r="B25" s="781"/>
      <c r="C25" s="781"/>
      <c r="D25" s="781"/>
      <c r="E25" s="781"/>
      <c r="F25" s="781"/>
      <c r="G25" s="781"/>
      <c r="H25" s="781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</row>
    <row r="26" spans="1:37" s="192" customFormat="1" ht="19.5" customHeight="1" thickBot="1" x14ac:dyDescent="0.25">
      <c r="F26" s="424"/>
      <c r="G26" s="425"/>
      <c r="H26" s="201"/>
    </row>
    <row r="27" spans="1:37" s="192" customFormat="1" ht="13.5" customHeight="1" thickBot="1" x14ac:dyDescent="0.25">
      <c r="B27" s="122"/>
      <c r="C27" s="631" t="s">
        <v>110</v>
      </c>
      <c r="D27" s="631"/>
      <c r="E27" s="632"/>
      <c r="F27" s="125">
        <f>+F23</f>
        <v>4405.5999356112452</v>
      </c>
      <c r="H27" s="201"/>
    </row>
    <row r="28" spans="1:37" s="192" customFormat="1" ht="13.5" customHeight="1" x14ac:dyDescent="0.2">
      <c r="B28" s="122"/>
      <c r="C28" s="776" t="s">
        <v>237</v>
      </c>
      <c r="D28" s="776" t="s">
        <v>238</v>
      </c>
      <c r="E28" s="317">
        <v>0.1</v>
      </c>
      <c r="F28" s="426">
        <f>+F27*E28</f>
        <v>440.55999356112454</v>
      </c>
      <c r="G28" s="427" t="s">
        <v>239</v>
      </c>
      <c r="H28" s="201" t="s">
        <v>240</v>
      </c>
    </row>
    <row r="29" spans="1:37" s="192" customFormat="1" ht="13.5" customHeight="1" x14ac:dyDescent="0.2">
      <c r="B29" s="122"/>
      <c r="C29" s="777" t="s">
        <v>241</v>
      </c>
      <c r="D29" s="777"/>
      <c r="E29" s="777"/>
      <c r="F29" s="426">
        <f>SUM(F27:F28)</f>
        <v>4846.1599291723696</v>
      </c>
      <c r="G29" s="427">
        <f>+F29/$F$31</f>
        <v>0.8</v>
      </c>
      <c r="H29" s="428">
        <f>1-(F29/F31)</f>
        <v>0.19999999999999996</v>
      </c>
    </row>
    <row r="30" spans="1:37" s="192" customFormat="1" ht="12" x14ac:dyDescent="0.2">
      <c r="B30" s="200"/>
      <c r="C30" s="776" t="s">
        <v>170</v>
      </c>
      <c r="D30" s="776"/>
      <c r="E30" s="317">
        <v>0.25</v>
      </c>
      <c r="F30" s="114">
        <f>+F29*E30</f>
        <v>1211.5399822930924</v>
      </c>
      <c r="G30" s="423"/>
      <c r="H30" s="243"/>
    </row>
    <row r="31" spans="1:37" s="192" customFormat="1" ht="12.75" thickBot="1" x14ac:dyDescent="0.25">
      <c r="B31" s="200"/>
      <c r="C31" s="778" t="s">
        <v>171</v>
      </c>
      <c r="D31" s="778"/>
      <c r="E31" s="437"/>
      <c r="F31" s="438">
        <f>SUM(F29:F30)</f>
        <v>6057.6999114654618</v>
      </c>
      <c r="G31" s="423"/>
      <c r="H31" s="230"/>
    </row>
    <row r="32" spans="1:37" s="192" customFormat="1" ht="12.75" thickBot="1" x14ac:dyDescent="0.25">
      <c r="B32" s="200"/>
      <c r="C32" s="779" t="s">
        <v>172</v>
      </c>
      <c r="D32" s="779"/>
      <c r="E32" s="429">
        <v>0.13</v>
      </c>
      <c r="F32" s="430">
        <f>+F31*(1+E32)</f>
        <v>6845.2008999559712</v>
      </c>
      <c r="G32" s="423"/>
      <c r="H32" s="230"/>
    </row>
    <row r="33" spans="1:37" s="192" customFormat="1" ht="12.75" thickBot="1" x14ac:dyDescent="0.25">
      <c r="A33" s="780"/>
      <c r="B33" s="781"/>
      <c r="C33" s="781"/>
      <c r="D33" s="781"/>
      <c r="E33" s="781"/>
      <c r="F33" s="781"/>
      <c r="G33" s="781"/>
      <c r="H33" s="781"/>
    </row>
    <row r="34" spans="1:37" s="192" customFormat="1" ht="12" x14ac:dyDescent="0.2">
      <c r="B34" s="200"/>
      <c r="C34" s="782" t="s">
        <v>242</v>
      </c>
      <c r="D34" s="782"/>
      <c r="E34" s="431">
        <v>0.65</v>
      </c>
      <c r="F34" s="432">
        <f>+F31/0.65</f>
        <v>9319.5383253314794</v>
      </c>
      <c r="G34" s="423"/>
      <c r="H34" s="230"/>
    </row>
    <row r="35" spans="1:37" s="192" customFormat="1" ht="12" x14ac:dyDescent="0.2">
      <c r="B35" s="200"/>
      <c r="C35" s="776" t="s">
        <v>243</v>
      </c>
      <c r="D35" s="776"/>
      <c r="E35" s="431">
        <v>0.13</v>
      </c>
      <c r="F35" s="432">
        <f>+F34*1.13</f>
        <v>10531.078307624572</v>
      </c>
      <c r="G35" s="423"/>
      <c r="H35" s="230"/>
    </row>
    <row r="36" spans="1:37" s="192" customFormat="1" ht="12.75" thickBot="1" x14ac:dyDescent="0.25">
      <c r="C36" s="689"/>
      <c r="D36" s="689"/>
      <c r="F36" s="433"/>
      <c r="G36" s="434"/>
      <c r="H36" s="201"/>
    </row>
    <row r="37" spans="1:37" s="348" customFormat="1" ht="19.5" customHeight="1" thickBot="1" x14ac:dyDescent="0.3">
      <c r="A37" s="774" t="s">
        <v>244</v>
      </c>
      <c r="B37" s="775"/>
      <c r="C37" s="775"/>
      <c r="D37" s="775"/>
      <c r="E37" s="775"/>
      <c r="F37" s="775"/>
      <c r="G37" s="775"/>
      <c r="H37" s="775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</row>
    <row r="38" spans="1:37" s="192" customFormat="1" ht="12" x14ac:dyDescent="0.2">
      <c r="F38" s="435"/>
      <c r="G38" s="434"/>
      <c r="H38" s="201"/>
    </row>
    <row r="43" spans="1:37" ht="12" x14ac:dyDescent="0.2">
      <c r="H43" s="416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98D-A149-49AF-8E75-1AAC2F0273CC}">
  <dimension ref="A1:AF40"/>
  <sheetViews>
    <sheetView topLeftCell="A10" workbookViewId="0">
      <selection activeCell="F27" sqref="F27"/>
    </sheetView>
  </sheetViews>
  <sheetFormatPr baseColWidth="10" defaultColWidth="8.42578125" defaultRowHeight="11.25" x14ac:dyDescent="0.2"/>
  <cols>
    <col min="1" max="1" width="5" style="172" customWidth="1"/>
    <col min="2" max="2" width="7.7109375" style="172" bestFit="1" customWidth="1"/>
    <col min="3" max="3" width="39.28515625" style="172" customWidth="1"/>
    <col min="4" max="4" width="10" style="172" bestFit="1" customWidth="1"/>
    <col min="5" max="5" width="10.28515625" style="172" bestFit="1" customWidth="1"/>
    <col min="6" max="6" width="11.5703125" style="250" customWidth="1"/>
    <col min="7" max="7" width="10.42578125" style="251" bestFit="1" customWidth="1"/>
    <col min="8" max="8" width="10.7109375" style="252" bestFit="1" customWidth="1"/>
    <col min="9" max="9" width="6.7109375" style="173" bestFit="1" customWidth="1"/>
    <col min="10" max="16384" width="8.42578125" style="172"/>
  </cols>
  <sheetData>
    <row r="1" spans="1:9" ht="36" customHeight="1" thickBot="1" x14ac:dyDescent="0.35">
      <c r="B1" s="762"/>
      <c r="C1" s="763"/>
      <c r="D1" s="763"/>
      <c r="E1" s="763"/>
      <c r="F1" s="763"/>
      <c r="G1" s="763"/>
      <c r="H1" s="764"/>
    </row>
    <row r="2" spans="1:9" ht="19.5" customHeight="1" x14ac:dyDescent="0.2">
      <c r="B2" s="787" t="s">
        <v>145</v>
      </c>
      <c r="C2" s="787"/>
      <c r="D2" s="787"/>
      <c r="E2" s="787"/>
      <c r="F2" s="787"/>
      <c r="G2" s="787"/>
      <c r="H2" s="787"/>
    </row>
    <row r="3" spans="1:9" ht="19.5" customHeight="1" thickBot="1" x14ac:dyDescent="0.25">
      <c r="B3" s="788" t="s">
        <v>146</v>
      </c>
      <c r="C3" s="788"/>
      <c r="D3" s="788"/>
      <c r="E3" s="788"/>
      <c r="F3" s="788"/>
      <c r="G3" s="788"/>
      <c r="H3" s="788"/>
    </row>
    <row r="4" spans="1:9" ht="19.5" customHeight="1" thickTop="1" x14ac:dyDescent="0.2">
      <c r="B4" s="174"/>
      <c r="C4" s="174"/>
      <c r="D4" s="174"/>
      <c r="E4" s="174"/>
      <c r="F4" s="789" t="s">
        <v>83</v>
      </c>
      <c r="G4" s="789"/>
      <c r="H4" s="175"/>
    </row>
    <row r="5" spans="1:9" ht="30" customHeight="1" x14ac:dyDescent="0.2">
      <c r="B5" s="176" t="s">
        <v>115</v>
      </c>
      <c r="C5" s="176" t="s">
        <v>85</v>
      </c>
      <c r="D5" s="176" t="s">
        <v>115</v>
      </c>
      <c r="E5" s="177" t="s">
        <v>147</v>
      </c>
      <c r="F5" s="177" t="s">
        <v>148</v>
      </c>
      <c r="G5" s="177" t="s">
        <v>149</v>
      </c>
      <c r="H5" s="177" t="s">
        <v>150</v>
      </c>
    </row>
    <row r="6" spans="1:9" s="178" customFormat="1" ht="12" x14ac:dyDescent="0.2">
      <c r="B6" s="179">
        <v>1</v>
      </c>
      <c r="C6" s="180"/>
      <c r="D6" s="181">
        <f>+B6</f>
        <v>1</v>
      </c>
      <c r="E6" s="182"/>
      <c r="F6" s="182">
        <f>+'COSTEO ENSAMBLE'!H58</f>
        <v>2227.3038333149607</v>
      </c>
      <c r="G6" s="183">
        <f>+F6/$F$27</f>
        <v>0.50874916247486535</v>
      </c>
      <c r="H6" s="184" t="s">
        <v>151</v>
      </c>
    </row>
    <row r="7" spans="1:9" ht="17.25" customHeight="1" x14ac:dyDescent="0.2">
      <c r="B7" s="185"/>
      <c r="C7" s="186"/>
      <c r="D7" s="187"/>
      <c r="E7" s="187"/>
      <c r="F7" s="188"/>
      <c r="G7" s="189"/>
      <c r="H7" s="190"/>
    </row>
    <row r="8" spans="1:9" ht="21.75" x14ac:dyDescent="0.2">
      <c r="B8" s="176" t="s">
        <v>115</v>
      </c>
      <c r="C8" s="176" t="s">
        <v>25</v>
      </c>
      <c r="D8" s="176" t="s">
        <v>115</v>
      </c>
      <c r="E8" s="177" t="s">
        <v>147</v>
      </c>
      <c r="F8" s="177" t="s">
        <v>148</v>
      </c>
      <c r="G8" s="177" t="s">
        <v>149</v>
      </c>
      <c r="H8" s="177" t="s">
        <v>150</v>
      </c>
      <c r="I8" s="191"/>
    </row>
    <row r="9" spans="1:9" ht="20.100000000000001" customHeight="1" x14ac:dyDescent="0.2">
      <c r="A9" s="192"/>
      <c r="B9" s="193">
        <v>1</v>
      </c>
      <c r="C9" s="194" t="s">
        <v>152</v>
      </c>
      <c r="D9" s="195">
        <f>+B9</f>
        <v>1</v>
      </c>
      <c r="E9" s="195"/>
      <c r="F9" s="196">
        <f>+'COSTEO ENSAMBLE'!H59</f>
        <v>393.79409614585961</v>
      </c>
      <c r="G9" s="197">
        <f>+F9/$F$27</f>
        <v>8.994840021604833E-2</v>
      </c>
      <c r="H9" s="198" t="s">
        <v>153</v>
      </c>
      <c r="I9" s="199"/>
    </row>
    <row r="10" spans="1:9" s="208" customFormat="1" ht="20.100000000000001" customHeight="1" x14ac:dyDescent="0.2">
      <c r="A10" s="200"/>
      <c r="B10" s="201">
        <v>1</v>
      </c>
      <c r="C10" s="202" t="s">
        <v>154</v>
      </c>
      <c r="D10" s="203">
        <f>SUM(D11:D13)</f>
        <v>3</v>
      </c>
      <c r="E10" s="203">
        <f>SUM(E11:E13)</f>
        <v>32.038760293400102</v>
      </c>
      <c r="F10" s="204">
        <f>SUM(F11:F13)</f>
        <v>19.855640771700052</v>
      </c>
      <c r="G10" s="205">
        <f>+F10/$F$36</f>
        <v>1.7325759216843374E-3</v>
      </c>
      <c r="H10" s="206" t="s">
        <v>155</v>
      </c>
      <c r="I10" s="207"/>
    </row>
    <row r="11" spans="1:9" s="178" customFormat="1" ht="12" x14ac:dyDescent="0.2">
      <c r="B11" s="209">
        <v>0.5</v>
      </c>
      <c r="C11" s="210" t="s">
        <v>156</v>
      </c>
      <c r="D11" s="211">
        <f>+B11</f>
        <v>0.5</v>
      </c>
      <c r="E11" s="212">
        <v>18.181818181818183</v>
      </c>
      <c r="F11" s="212">
        <f>+E11*D11</f>
        <v>9.0909090909090917</v>
      </c>
      <c r="G11" s="213">
        <f>+F11/$F$36</f>
        <v>7.9326023160025965E-4</v>
      </c>
      <c r="H11" s="214" t="s">
        <v>157</v>
      </c>
    </row>
    <row r="12" spans="1:9" s="178" customFormat="1" ht="12" x14ac:dyDescent="0.2">
      <c r="B12" s="209">
        <v>0.5</v>
      </c>
      <c r="C12" s="210" t="s">
        <v>158</v>
      </c>
      <c r="D12" s="211">
        <f>+B12</f>
        <v>0.5</v>
      </c>
      <c r="E12" s="212">
        <v>11.299435028248588</v>
      </c>
      <c r="F12" s="212">
        <f>+E12*D12</f>
        <v>5.6497175141242941</v>
      </c>
      <c r="G12" s="213">
        <f>+F12/$F$36</f>
        <v>4.929865846103309E-4</v>
      </c>
      <c r="H12" s="214" t="s">
        <v>159</v>
      </c>
    </row>
    <row r="13" spans="1:9" s="178" customFormat="1" ht="12" x14ac:dyDescent="0.2">
      <c r="B13" s="209">
        <v>2</v>
      </c>
      <c r="C13" s="210" t="s">
        <v>160</v>
      </c>
      <c r="D13" s="211">
        <f>+B13</f>
        <v>2</v>
      </c>
      <c r="E13" s="212">
        <v>2.5575070833333333</v>
      </c>
      <c r="F13" s="212">
        <f>+E13*D13</f>
        <v>5.1150141666666666</v>
      </c>
      <c r="G13" s="213">
        <f>+F13/$F$36</f>
        <v>4.4632910547374701E-4</v>
      </c>
      <c r="H13" s="214" t="s">
        <v>161</v>
      </c>
    </row>
    <row r="14" spans="1:9" ht="12" x14ac:dyDescent="0.2">
      <c r="A14" s="192"/>
      <c r="B14" s="215"/>
      <c r="C14" s="216"/>
      <c r="D14" s="217"/>
      <c r="E14" s="217"/>
      <c r="F14" s="218"/>
      <c r="G14" s="219"/>
      <c r="H14" s="220"/>
      <c r="I14" s="221"/>
    </row>
    <row r="15" spans="1:9" ht="12" x14ac:dyDescent="0.2">
      <c r="A15" s="192"/>
      <c r="B15" s="193"/>
      <c r="C15" s="629" t="s">
        <v>162</v>
      </c>
      <c r="D15" s="629"/>
      <c r="E15" s="195"/>
      <c r="F15" s="114">
        <f>SUM(F6)</f>
        <v>2227.3038333149607</v>
      </c>
      <c r="G15" s="183">
        <f>+F15/$F$27</f>
        <v>0.50874916247486535</v>
      </c>
      <c r="H15" s="198"/>
      <c r="I15" s="221"/>
    </row>
    <row r="16" spans="1:9" ht="12.75" thickBot="1" x14ac:dyDescent="0.25">
      <c r="A16" s="192"/>
      <c r="B16" s="193"/>
      <c r="C16" s="629" t="s">
        <v>163</v>
      </c>
      <c r="D16" s="629"/>
      <c r="E16" s="195"/>
      <c r="F16" s="222">
        <f>SUM(F9)</f>
        <v>393.79409614585961</v>
      </c>
      <c r="G16" s="183">
        <f>+F16/$F$27</f>
        <v>8.994840021604833E-2</v>
      </c>
      <c r="H16" s="198"/>
      <c r="I16" s="221"/>
    </row>
    <row r="17" spans="1:32" ht="12.75" thickTop="1" x14ac:dyDescent="0.2">
      <c r="A17" s="192"/>
      <c r="B17" s="193"/>
      <c r="C17" s="631" t="s">
        <v>98</v>
      </c>
      <c r="D17" s="631"/>
      <c r="E17" s="631"/>
      <c r="F17" s="126">
        <f>SUM(F15:F16)</f>
        <v>2621.0979294608205</v>
      </c>
      <c r="G17" s="183">
        <f>+F17/$F$27</f>
        <v>0.59869756269091379</v>
      </c>
      <c r="H17" s="198"/>
      <c r="I17" s="172"/>
    </row>
    <row r="18" spans="1:32" ht="12" x14ac:dyDescent="0.2">
      <c r="A18" s="192"/>
      <c r="B18" s="192"/>
      <c r="C18" s="122"/>
      <c r="D18" s="122"/>
      <c r="E18" s="223"/>
      <c r="F18" s="224"/>
      <c r="G18" s="183"/>
      <c r="H18" s="192"/>
      <c r="I18" s="221"/>
    </row>
    <row r="19" spans="1:32" ht="12" x14ac:dyDescent="0.2">
      <c r="A19" s="192"/>
      <c r="B19" s="629" t="s">
        <v>98</v>
      </c>
      <c r="C19" s="629"/>
      <c r="D19" s="629"/>
      <c r="E19" s="225" t="s">
        <v>164</v>
      </c>
      <c r="F19" s="114">
        <f>+F17</f>
        <v>2621.0979294608205</v>
      </c>
      <c r="G19" s="183">
        <f t="shared" ref="G19:G27" si="0">+F19/$F$27</f>
        <v>0.59869756269091379</v>
      </c>
      <c r="H19" s="201"/>
      <c r="I19" s="221"/>
    </row>
    <row r="20" spans="1:32" ht="12" x14ac:dyDescent="0.2">
      <c r="A20" s="192"/>
      <c r="B20" s="117"/>
      <c r="C20" s="629" t="s">
        <v>100</v>
      </c>
      <c r="D20" s="629"/>
      <c r="E20" s="226"/>
      <c r="F20" s="114">
        <f>+'COSTEO ENSAMBLE'!O60</f>
        <v>508.47</v>
      </c>
      <c r="G20" s="183">
        <f t="shared" si="0"/>
        <v>0.11614207400639562</v>
      </c>
      <c r="H20" s="201"/>
      <c r="I20" s="221"/>
    </row>
    <row r="21" spans="1:32" ht="12.75" thickBot="1" x14ac:dyDescent="0.25">
      <c r="A21" s="192"/>
      <c r="B21" s="117"/>
      <c r="C21" s="629" t="s">
        <v>165</v>
      </c>
      <c r="D21" s="629"/>
      <c r="E21" s="227">
        <v>0.01</v>
      </c>
      <c r="F21" s="114">
        <f>+(F19)*E21</f>
        <v>26.210979294608205</v>
      </c>
      <c r="G21" s="183">
        <f t="shared" si="0"/>
        <v>5.9869756269091377E-3</v>
      </c>
      <c r="H21" s="201"/>
      <c r="I21" s="221"/>
    </row>
    <row r="22" spans="1:32" ht="12.75" hidden="1" thickBot="1" x14ac:dyDescent="0.25">
      <c r="A22" s="192"/>
      <c r="B22" s="117"/>
      <c r="C22" s="629" t="s">
        <v>166</v>
      </c>
      <c r="D22" s="629"/>
      <c r="E22" s="228">
        <v>0</v>
      </c>
      <c r="F22" s="114">
        <f>+F20*E22</f>
        <v>0</v>
      </c>
      <c r="G22" s="183">
        <f t="shared" si="0"/>
        <v>0</v>
      </c>
      <c r="H22" s="201"/>
      <c r="I22" s="221"/>
    </row>
    <row r="23" spans="1:32" ht="12.75" thickBot="1" x14ac:dyDescent="0.25">
      <c r="A23" s="192"/>
      <c r="B23" s="122"/>
      <c r="C23" s="783"/>
      <c r="D23" s="783"/>
      <c r="E23" s="784"/>
      <c r="F23" s="125">
        <f>SUM(F19:F22)</f>
        <v>3155.7789087554288</v>
      </c>
      <c r="G23" s="183">
        <f t="shared" si="0"/>
        <v>0.72082661232421852</v>
      </c>
      <c r="H23" s="201"/>
      <c r="I23" s="221"/>
    </row>
    <row r="24" spans="1:32" ht="12" x14ac:dyDescent="0.2">
      <c r="A24" s="192"/>
      <c r="B24" s="122"/>
      <c r="C24" s="629" t="s">
        <v>105</v>
      </c>
      <c r="D24" s="629"/>
      <c r="E24" s="229"/>
      <c r="F24" s="114">
        <f>+'COSTEO ENSAMBLE'!O63</f>
        <v>426.95</v>
      </c>
      <c r="G24" s="183">
        <f t="shared" si="0"/>
        <v>9.7521699406121515E-2</v>
      </c>
      <c r="H24" s="201"/>
      <c r="I24" s="221"/>
    </row>
    <row r="25" spans="1:32" ht="12" x14ac:dyDescent="0.2">
      <c r="A25" s="192"/>
      <c r="B25" s="122"/>
      <c r="C25" s="629" t="s">
        <v>103</v>
      </c>
      <c r="D25" s="629"/>
      <c r="E25" s="629"/>
      <c r="F25" s="114">
        <f>SUM(F23:F24)</f>
        <v>3582.7289087554286</v>
      </c>
      <c r="G25" s="183">
        <f t="shared" si="0"/>
        <v>0.81834831173034006</v>
      </c>
      <c r="H25" s="201"/>
      <c r="I25" s="221"/>
    </row>
    <row r="26" spans="1:32" ht="12.75" thickBot="1" x14ac:dyDescent="0.25">
      <c r="A26" s="192"/>
      <c r="B26" s="122"/>
      <c r="C26" s="629" t="s">
        <v>108</v>
      </c>
      <c r="D26" s="629"/>
      <c r="E26" s="229"/>
      <c r="F26" s="114">
        <f>+F25*E26</f>
        <v>0</v>
      </c>
      <c r="G26" s="183">
        <f t="shared" si="0"/>
        <v>0</v>
      </c>
      <c r="H26" s="201"/>
      <c r="I26" s="221"/>
    </row>
    <row r="27" spans="1:32" ht="17.25" customHeight="1" thickBot="1" x14ac:dyDescent="0.25">
      <c r="A27" s="192"/>
      <c r="B27" s="122"/>
      <c r="C27" s="631" t="s">
        <v>110</v>
      </c>
      <c r="D27" s="631"/>
      <c r="E27" s="632"/>
      <c r="F27" s="125">
        <v>4378</v>
      </c>
      <c r="G27" s="183">
        <f t="shared" si="0"/>
        <v>1</v>
      </c>
      <c r="H27" s="230"/>
      <c r="I27" s="221"/>
      <c r="J27" s="172">
        <v>3979.99</v>
      </c>
      <c r="L27" s="172" t="s">
        <v>181</v>
      </c>
    </row>
    <row r="28" spans="1:32" ht="12.75" thickBot="1" x14ac:dyDescent="0.25">
      <c r="A28" s="192"/>
      <c r="B28" s="122"/>
      <c r="C28" s="231"/>
      <c r="D28" s="231"/>
      <c r="E28" s="231" t="s">
        <v>167</v>
      </c>
      <c r="F28" s="126"/>
      <c r="G28" s="232"/>
      <c r="H28" s="230"/>
      <c r="I28" s="233"/>
      <c r="J28" s="172">
        <f>+J27*10%</f>
        <v>397.99900000000002</v>
      </c>
    </row>
    <row r="29" spans="1:32" s="234" customFormat="1" ht="19.5" customHeight="1" thickBot="1" x14ac:dyDescent="0.25">
      <c r="A29" s="780"/>
      <c r="B29" s="781"/>
      <c r="C29" s="781"/>
      <c r="D29" s="781"/>
      <c r="E29" s="781"/>
      <c r="F29" s="781"/>
      <c r="G29" s="781"/>
      <c r="H29" s="781"/>
      <c r="I29" s="173"/>
      <c r="J29" s="172">
        <f>+J27+J28</f>
        <v>4377.9889999999996</v>
      </c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</row>
    <row r="30" spans="1:32" ht="19.5" customHeight="1" x14ac:dyDescent="0.2">
      <c r="A30" s="192"/>
      <c r="B30" s="192"/>
      <c r="C30" s="235"/>
      <c r="D30" s="235"/>
      <c r="E30" s="235"/>
      <c r="F30" s="236"/>
      <c r="G30" s="237"/>
      <c r="H30" s="201"/>
    </row>
    <row r="31" spans="1:32" ht="12" x14ac:dyDescent="0.2">
      <c r="A31" s="192"/>
      <c r="B31" s="122"/>
      <c r="C31" s="790" t="s">
        <v>110</v>
      </c>
      <c r="D31" s="790"/>
      <c r="E31" s="791"/>
      <c r="F31" s="238">
        <f>+F27</f>
        <v>4378</v>
      </c>
      <c r="G31" s="197">
        <f>+F31/$F$36</f>
        <v>0.382018262334053</v>
      </c>
      <c r="H31" s="230"/>
    </row>
    <row r="32" spans="1:32" ht="13.5" customHeight="1" x14ac:dyDescent="0.2">
      <c r="A32" s="192"/>
      <c r="B32" s="122"/>
      <c r="C32" s="629" t="s">
        <v>25</v>
      </c>
      <c r="D32" s="629"/>
      <c r="E32" s="239" t="s">
        <v>168</v>
      </c>
      <c r="F32" s="240">
        <f>+F10</f>
        <v>19.855640771700052</v>
      </c>
      <c r="G32" s="197">
        <f>+F32/$F$36</f>
        <v>1.7325759216843374E-3</v>
      </c>
      <c r="H32" s="201"/>
    </row>
    <row r="33" spans="1:32" ht="13.5" customHeight="1" thickBot="1" x14ac:dyDescent="0.25">
      <c r="A33" s="192"/>
      <c r="B33" s="192"/>
      <c r="C33" s="629" t="s">
        <v>165</v>
      </c>
      <c r="D33" s="629"/>
      <c r="E33" s="241">
        <v>2.5000000000000001E-2</v>
      </c>
      <c r="F33" s="240">
        <f>+(F32+F31)*E33</f>
        <v>109.94639101929249</v>
      </c>
      <c r="G33" s="197">
        <f>+F33/$F$36</f>
        <v>9.5937709563934329E-3</v>
      </c>
      <c r="H33" s="201"/>
    </row>
    <row r="34" spans="1:32" ht="13.5" customHeight="1" thickBot="1" x14ac:dyDescent="0.25">
      <c r="A34" s="192"/>
      <c r="B34" s="122"/>
      <c r="C34" s="783" t="s">
        <v>169</v>
      </c>
      <c r="D34" s="783"/>
      <c r="E34" s="784"/>
      <c r="F34" s="242">
        <f>SUM(F31:F33)</f>
        <v>4507.8020317909923</v>
      </c>
      <c r="G34" s="197">
        <f>+F34/$F$36</f>
        <v>0.39334460921213077</v>
      </c>
      <c r="H34" s="201"/>
    </row>
    <row r="35" spans="1:32" ht="12" x14ac:dyDescent="0.2">
      <c r="A35" s="192"/>
      <c r="B35" s="200"/>
      <c r="C35" s="776" t="s">
        <v>170</v>
      </c>
      <c r="D35" s="776"/>
      <c r="E35" s="229">
        <v>1.5423</v>
      </c>
      <c r="F35" s="240">
        <f>+F34*E35</f>
        <v>6952.3830736312475</v>
      </c>
      <c r="G35" s="232"/>
      <c r="H35" s="243"/>
    </row>
    <row r="36" spans="1:32" ht="12.75" thickBot="1" x14ac:dyDescent="0.25">
      <c r="A36" s="192"/>
      <c r="B36" s="200"/>
      <c r="C36" s="776" t="s">
        <v>171</v>
      </c>
      <c r="D36" s="776"/>
      <c r="E36" s="244"/>
      <c r="F36" s="240">
        <f>SUM(F34:F35)</f>
        <v>11460.185105422239</v>
      </c>
      <c r="G36" s="232"/>
      <c r="H36" s="255">
        <f>+H37/1.13</f>
        <v>11460.176991150443</v>
      </c>
      <c r="I36" s="256">
        <f>+(H36-F34)/F34</f>
        <v>1.5422981999493901</v>
      </c>
    </row>
    <row r="37" spans="1:32" ht="12.75" thickBot="1" x14ac:dyDescent="0.25">
      <c r="A37" s="192"/>
      <c r="B37" s="200"/>
      <c r="C37" s="776" t="s">
        <v>172</v>
      </c>
      <c r="D37" s="776"/>
      <c r="E37" s="245">
        <v>0.13</v>
      </c>
      <c r="F37" s="253">
        <f>+F36*(1+E37)</f>
        <v>12950.009169127128</v>
      </c>
      <c r="G37" s="232"/>
      <c r="H37" s="255">
        <v>12950</v>
      </c>
      <c r="I37" s="172"/>
    </row>
    <row r="38" spans="1:32" ht="13.5" thickBot="1" x14ac:dyDescent="0.25">
      <c r="A38" s="192"/>
      <c r="B38" s="771" t="s">
        <v>173</v>
      </c>
      <c r="C38" s="771"/>
      <c r="D38" s="771"/>
      <c r="E38" s="247">
        <v>0.23</v>
      </c>
      <c r="F38" s="254">
        <f>+F36*(1+E38)</f>
        <v>14096.027679669354</v>
      </c>
      <c r="G38" s="248"/>
      <c r="H38" s="255"/>
      <c r="I38" s="172"/>
    </row>
    <row r="39" spans="1:32" ht="13.5" thickBot="1" x14ac:dyDescent="0.25">
      <c r="A39" s="192"/>
      <c r="B39" s="246"/>
      <c r="C39" s="246"/>
      <c r="D39" s="246"/>
      <c r="E39" s="247"/>
      <c r="F39" s="249"/>
      <c r="G39" s="248"/>
      <c r="H39" s="201"/>
    </row>
    <row r="40" spans="1:32" s="234" customFormat="1" ht="19.5" customHeight="1" thickBot="1" x14ac:dyDescent="0.3">
      <c r="A40" s="756" t="s">
        <v>174</v>
      </c>
      <c r="B40" s="757"/>
      <c r="C40" s="757"/>
      <c r="D40" s="757"/>
      <c r="E40" s="757"/>
      <c r="F40" s="757"/>
      <c r="G40" s="757"/>
      <c r="H40" s="757"/>
      <c r="I40" s="173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</row>
  </sheetData>
  <mergeCells count="26">
    <mergeCell ref="B38:D38"/>
    <mergeCell ref="A40:H40"/>
    <mergeCell ref="C32:D32"/>
    <mergeCell ref="C33:D33"/>
    <mergeCell ref="C34:E34"/>
    <mergeCell ref="C35:D35"/>
    <mergeCell ref="C36:D36"/>
    <mergeCell ref="C37:D37"/>
    <mergeCell ref="C31:E31"/>
    <mergeCell ref="C17:E17"/>
    <mergeCell ref="B19:D19"/>
    <mergeCell ref="C20:D20"/>
    <mergeCell ref="C21:D21"/>
    <mergeCell ref="C22:D22"/>
    <mergeCell ref="C23:E23"/>
    <mergeCell ref="C24:D24"/>
    <mergeCell ref="C25:E25"/>
    <mergeCell ref="C26:D26"/>
    <mergeCell ref="C27:E27"/>
    <mergeCell ref="A29:H29"/>
    <mergeCell ref="C16:D16"/>
    <mergeCell ref="B1:H1"/>
    <mergeCell ref="B2:H2"/>
    <mergeCell ref="B3:H3"/>
    <mergeCell ref="F4:G4"/>
    <mergeCell ref="C15:D15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B914-AAF9-4B4D-997A-754180F8276C}">
  <dimension ref="A1:L47"/>
  <sheetViews>
    <sheetView topLeftCell="A4" workbookViewId="0">
      <selection activeCell="A15" sqref="A15"/>
    </sheetView>
  </sheetViews>
  <sheetFormatPr baseColWidth="10" defaultColWidth="9.285156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9.28515625" style="3" customWidth="1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9.28515625" style="3"/>
  </cols>
  <sheetData>
    <row r="1" spans="1:8" ht="18" x14ac:dyDescent="0.25">
      <c r="A1" s="649"/>
      <c r="B1" s="652" t="s">
        <v>22</v>
      </c>
      <c r="C1" s="652"/>
      <c r="D1" s="652"/>
      <c r="E1" s="652"/>
      <c r="F1" s="652"/>
      <c r="G1" s="1" t="s">
        <v>21</v>
      </c>
      <c r="H1" s="2"/>
    </row>
    <row r="2" spans="1:8" ht="18" x14ac:dyDescent="0.25">
      <c r="A2" s="650"/>
      <c r="B2" s="653" t="s">
        <v>0</v>
      </c>
      <c r="C2" s="653"/>
      <c r="D2" s="653"/>
      <c r="E2" s="653"/>
      <c r="F2" s="653"/>
      <c r="G2" s="4" t="s">
        <v>20</v>
      </c>
      <c r="H2" s="5"/>
    </row>
    <row r="3" spans="1:8" ht="19.5" customHeight="1" x14ac:dyDescent="0.2">
      <c r="A3" s="650"/>
      <c r="B3" s="654" t="s">
        <v>77</v>
      </c>
      <c r="C3" s="654"/>
      <c r="D3" s="654"/>
      <c r="E3" s="654"/>
      <c r="F3" s="654"/>
      <c r="G3" s="655" t="s">
        <v>19</v>
      </c>
      <c r="H3" s="644"/>
    </row>
    <row r="4" spans="1:8" x14ac:dyDescent="0.2">
      <c r="A4" s="650"/>
      <c r="B4" s="30" t="s">
        <v>18</v>
      </c>
      <c r="C4" s="646" t="s">
        <v>35</v>
      </c>
      <c r="D4" s="646"/>
      <c r="E4" s="646"/>
      <c r="F4" s="646"/>
      <c r="G4" s="655"/>
      <c r="H4" s="644"/>
    </row>
    <row r="5" spans="1:8" ht="15" customHeight="1" thickBot="1" x14ac:dyDescent="0.25">
      <c r="A5" s="651"/>
      <c r="B5" s="31" t="s">
        <v>17</v>
      </c>
      <c r="C5" s="647" t="s">
        <v>34</v>
      </c>
      <c r="D5" s="647"/>
      <c r="E5" s="647"/>
      <c r="F5" s="647"/>
      <c r="G5" s="656"/>
      <c r="H5" s="645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555" t="s">
        <v>23</v>
      </c>
      <c r="B7" s="555"/>
      <c r="C7" s="556"/>
      <c r="D7" s="556"/>
      <c r="E7" s="556"/>
      <c r="F7" s="557" t="s">
        <v>24</v>
      </c>
      <c r="G7" s="557"/>
      <c r="H7" s="33"/>
    </row>
    <row r="8" spans="1:8" ht="25.5" x14ac:dyDescent="0.2">
      <c r="A8" s="712" t="s">
        <v>1</v>
      </c>
      <c r="B8" s="714" t="s">
        <v>2</v>
      </c>
      <c r="C8" s="714" t="s">
        <v>3</v>
      </c>
      <c r="D8" s="714" t="s">
        <v>4</v>
      </c>
      <c r="E8" s="714"/>
      <c r="F8" s="714" t="s">
        <v>16</v>
      </c>
      <c r="G8" s="714"/>
      <c r="H8" s="6" t="s">
        <v>5</v>
      </c>
    </row>
    <row r="9" spans="1:8" ht="26.25" thickBot="1" x14ac:dyDescent="0.25">
      <c r="A9" s="713"/>
      <c r="B9" s="715"/>
      <c r="C9" s="715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36</v>
      </c>
      <c r="B10" s="61" t="s">
        <v>37</v>
      </c>
      <c r="C10" s="62" t="s">
        <v>29</v>
      </c>
      <c r="D10" s="62">
        <v>200</v>
      </c>
      <c r="E10" s="62" t="s">
        <v>30</v>
      </c>
      <c r="F10" s="63"/>
      <c r="G10" s="64"/>
      <c r="H10" s="65"/>
    </row>
    <row r="11" spans="1:8" ht="15" x14ac:dyDescent="0.2">
      <c r="A11" s="66" t="s">
        <v>38</v>
      </c>
      <c r="B11" s="59" t="s">
        <v>39</v>
      </c>
      <c r="C11" s="55" t="s">
        <v>29</v>
      </c>
      <c r="D11" s="55">
        <v>275</v>
      </c>
      <c r="E11" s="55" t="s">
        <v>30</v>
      </c>
      <c r="F11" s="40"/>
      <c r="G11" s="52"/>
      <c r="H11" s="51"/>
    </row>
    <row r="12" spans="1:8" ht="15.75" x14ac:dyDescent="0.25">
      <c r="A12" s="35">
        <v>410154</v>
      </c>
      <c r="B12" s="36" t="s">
        <v>47</v>
      </c>
      <c r="C12" s="49" t="s">
        <v>48</v>
      </c>
      <c r="D12" s="58">
        <v>120</v>
      </c>
      <c r="E12" s="49" t="s">
        <v>30</v>
      </c>
      <c r="F12" s="792"/>
      <c r="G12" s="793"/>
      <c r="H12" s="794"/>
    </row>
    <row r="13" spans="1:8" ht="15" x14ac:dyDescent="0.2">
      <c r="A13" s="66" t="s">
        <v>38</v>
      </c>
      <c r="B13" s="59" t="s">
        <v>39</v>
      </c>
      <c r="C13" s="55" t="s">
        <v>29</v>
      </c>
      <c r="D13" s="55">
        <v>275</v>
      </c>
      <c r="E13" s="55" t="s">
        <v>30</v>
      </c>
      <c r="F13" s="40"/>
      <c r="G13" s="52"/>
      <c r="H13" s="51"/>
    </row>
    <row r="14" spans="1:8" ht="15" x14ac:dyDescent="0.2">
      <c r="A14" s="69"/>
      <c r="B14" s="70" t="s">
        <v>51</v>
      </c>
      <c r="C14" s="55"/>
      <c r="D14" s="55"/>
      <c r="E14" s="55"/>
      <c r="F14" s="40"/>
      <c r="G14" s="52"/>
      <c r="H14" s="51"/>
    </row>
    <row r="15" spans="1:8" ht="15" x14ac:dyDescent="0.2">
      <c r="A15" s="34" t="s">
        <v>49</v>
      </c>
      <c r="B15" t="s">
        <v>50</v>
      </c>
      <c r="C15" s="55" t="s">
        <v>29</v>
      </c>
      <c r="D15" s="55">
        <v>55</v>
      </c>
      <c r="E15" s="55" t="s">
        <v>30</v>
      </c>
      <c r="F15" s="792" t="s">
        <v>55</v>
      </c>
      <c r="G15" s="793"/>
      <c r="H15" s="794"/>
    </row>
    <row r="16" spans="1:8" ht="15" x14ac:dyDescent="0.2">
      <c r="A16" s="34" t="s">
        <v>52</v>
      </c>
      <c r="B16" t="s">
        <v>53</v>
      </c>
      <c r="C16" s="55" t="s">
        <v>29</v>
      </c>
      <c r="D16" s="55">
        <v>100</v>
      </c>
      <c r="E16" s="55" t="s">
        <v>30</v>
      </c>
      <c r="F16" s="792" t="s">
        <v>56</v>
      </c>
      <c r="G16" s="793"/>
      <c r="H16" s="794"/>
    </row>
    <row r="17" spans="1:11" ht="15" x14ac:dyDescent="0.2">
      <c r="A17" s="34" t="s">
        <v>49</v>
      </c>
      <c r="B17" t="s">
        <v>50</v>
      </c>
      <c r="C17" s="55" t="s">
        <v>29</v>
      </c>
      <c r="D17" s="55" t="s">
        <v>57</v>
      </c>
      <c r="E17" s="55" t="s">
        <v>30</v>
      </c>
      <c r="F17" s="792" t="s">
        <v>58</v>
      </c>
      <c r="G17" s="793"/>
      <c r="H17" s="794"/>
    </row>
    <row r="18" spans="1:11" ht="15" x14ac:dyDescent="0.2">
      <c r="A18" s="57"/>
      <c r="B18" s="71" t="s">
        <v>54</v>
      </c>
      <c r="C18" s="55" t="s">
        <v>29</v>
      </c>
      <c r="D18" s="55">
        <v>100</v>
      </c>
      <c r="E18" s="55" t="s">
        <v>30</v>
      </c>
      <c r="F18" s="792" t="s">
        <v>59</v>
      </c>
      <c r="G18" s="793"/>
      <c r="H18" s="794"/>
    </row>
    <row r="19" spans="1:11" ht="15" x14ac:dyDescent="0.2">
      <c r="A19" s="72">
        <v>10700029</v>
      </c>
      <c r="B19" s="36" t="s">
        <v>60</v>
      </c>
      <c r="C19" s="55" t="s">
        <v>61</v>
      </c>
      <c r="D19" s="55">
        <v>1</v>
      </c>
      <c r="E19" s="55" t="s">
        <v>31</v>
      </c>
      <c r="F19" s="37"/>
      <c r="G19" s="67"/>
      <c r="H19" s="68"/>
    </row>
    <row r="20" spans="1:11" ht="15.75" x14ac:dyDescent="0.25">
      <c r="A20" s="66" t="s">
        <v>40</v>
      </c>
      <c r="B20" s="59" t="s">
        <v>41</v>
      </c>
      <c r="C20" s="49" t="s">
        <v>62</v>
      </c>
      <c r="D20" s="58">
        <v>20</v>
      </c>
      <c r="E20" s="49" t="s">
        <v>30</v>
      </c>
      <c r="F20" s="792" t="s">
        <v>42</v>
      </c>
      <c r="G20" s="793"/>
      <c r="H20" s="794"/>
    </row>
    <row r="21" spans="1:11" ht="15.75" x14ac:dyDescent="0.25">
      <c r="A21" s="57"/>
      <c r="B21" s="56" t="s">
        <v>25</v>
      </c>
      <c r="C21" s="55"/>
      <c r="D21" s="55"/>
      <c r="E21" s="55"/>
      <c r="F21" s="40"/>
      <c r="G21" s="52"/>
      <c r="H21" s="51"/>
    </row>
    <row r="22" spans="1:11" ht="15" x14ac:dyDescent="0.2">
      <c r="A22" s="72">
        <v>702182</v>
      </c>
      <c r="B22" s="36" t="s">
        <v>69</v>
      </c>
      <c r="C22" s="55" t="s">
        <v>70</v>
      </c>
      <c r="D22" s="55">
        <v>1</v>
      </c>
      <c r="E22" s="55" t="s">
        <v>31</v>
      </c>
      <c r="F22" s="40"/>
      <c r="G22" s="52"/>
      <c r="H22" s="51"/>
    </row>
    <row r="23" spans="1:11" ht="15" x14ac:dyDescent="0.2">
      <c r="A23" s="72">
        <v>703020</v>
      </c>
      <c r="B23" s="36" t="s">
        <v>67</v>
      </c>
      <c r="C23" s="55" t="s">
        <v>70</v>
      </c>
      <c r="D23" s="55">
        <v>60</v>
      </c>
      <c r="E23" s="55" t="s">
        <v>68</v>
      </c>
      <c r="F23" s="40"/>
      <c r="G23" s="52"/>
      <c r="H23" s="51"/>
    </row>
    <row r="24" spans="1:11" ht="15.75" x14ac:dyDescent="0.25">
      <c r="A24" s="54">
        <v>1950693</v>
      </c>
      <c r="B24" s="53" t="s">
        <v>43</v>
      </c>
      <c r="C24" s="49" t="s">
        <v>44</v>
      </c>
      <c r="D24" s="49">
        <v>1</v>
      </c>
      <c r="E24" s="49" t="s">
        <v>31</v>
      </c>
      <c r="F24" s="40"/>
      <c r="G24" s="52"/>
      <c r="H24" s="51"/>
    </row>
    <row r="25" spans="1:11" ht="15.75" x14ac:dyDescent="0.25">
      <c r="A25" s="72">
        <v>51400021</v>
      </c>
      <c r="B25" s="36" t="s">
        <v>63</v>
      </c>
      <c r="C25" s="49" t="s">
        <v>45</v>
      </c>
      <c r="D25" s="49">
        <v>1</v>
      </c>
      <c r="E25" s="49" t="s">
        <v>31</v>
      </c>
      <c r="F25" s="40"/>
      <c r="G25" s="52"/>
      <c r="H25" s="51"/>
    </row>
    <row r="26" spans="1:11" ht="15.75" x14ac:dyDescent="0.25">
      <c r="A26" s="72">
        <v>702123</v>
      </c>
      <c r="B26" s="36" t="s">
        <v>64</v>
      </c>
      <c r="C26" s="50" t="s">
        <v>46</v>
      </c>
      <c r="D26" s="49">
        <v>1</v>
      </c>
      <c r="E26" s="49" t="s">
        <v>31</v>
      </c>
      <c r="F26" s="39"/>
      <c r="G26" s="38"/>
      <c r="H26" s="48"/>
    </row>
    <row r="27" spans="1:11" ht="15.75" x14ac:dyDescent="0.25">
      <c r="A27" s="72">
        <v>701096</v>
      </c>
      <c r="B27" s="36" t="s">
        <v>65</v>
      </c>
      <c r="C27" s="50" t="s">
        <v>46</v>
      </c>
      <c r="D27" s="50">
        <v>1</v>
      </c>
      <c r="E27" s="49" t="s">
        <v>31</v>
      </c>
      <c r="F27" s="39"/>
      <c r="G27" s="38"/>
      <c r="H27" s="48"/>
    </row>
    <row r="28" spans="1:11" ht="15" x14ac:dyDescent="0.2">
      <c r="A28" s="72">
        <v>702007</v>
      </c>
      <c r="B28" s="36" t="s">
        <v>66</v>
      </c>
      <c r="C28" s="47" t="s">
        <v>71</v>
      </c>
      <c r="D28" s="46">
        <v>1</v>
      </c>
      <c r="E28" s="46" t="s">
        <v>31</v>
      </c>
      <c r="F28" s="39"/>
      <c r="G28" s="38"/>
      <c r="H28" s="41"/>
    </row>
    <row r="29" spans="1:11" ht="15" thickBot="1" x14ac:dyDescent="0.25">
      <c r="A29" s="45"/>
      <c r="B29" s="44"/>
      <c r="C29" s="43"/>
      <c r="D29" s="42"/>
      <c r="E29" s="42"/>
      <c r="F29" s="42"/>
      <c r="G29" s="42"/>
      <c r="H29" s="41"/>
      <c r="K29" s="11"/>
    </row>
    <row r="30" spans="1:11" ht="13.5" thickBot="1" x14ac:dyDescent="0.25">
      <c r="A30" s="12"/>
      <c r="B30" s="13"/>
      <c r="C30" s="14" t="s">
        <v>6</v>
      </c>
      <c r="D30" s="15" t="s">
        <v>15</v>
      </c>
      <c r="E30" s="16"/>
      <c r="F30" s="13"/>
      <c r="G30" s="13"/>
      <c r="H30" s="17"/>
      <c r="K30" s="11"/>
    </row>
    <row r="31" spans="1:11" x14ac:dyDescent="0.2">
      <c r="A31" s="707" t="s">
        <v>10</v>
      </c>
      <c r="B31" s="708"/>
      <c r="C31" s="18">
        <v>2000</v>
      </c>
      <c r="D31" s="19" t="s">
        <v>30</v>
      </c>
      <c r="E31" s="709"/>
      <c r="F31" s="709"/>
      <c r="G31" s="710"/>
      <c r="H31" s="711"/>
      <c r="K31" s="11"/>
    </row>
    <row r="32" spans="1:11" x14ac:dyDescent="0.2">
      <c r="A32" s="700" t="s">
        <v>9</v>
      </c>
      <c r="B32" s="701"/>
      <c r="C32" s="20">
        <v>20</v>
      </c>
      <c r="D32" s="10" t="s">
        <v>32</v>
      </c>
      <c r="E32" s="702"/>
      <c r="F32" s="702"/>
      <c r="G32" s="703"/>
      <c r="H32" s="704"/>
      <c r="K32" s="11"/>
    </row>
    <row r="33" spans="1:12" x14ac:dyDescent="0.2">
      <c r="A33" s="700" t="s">
        <v>14</v>
      </c>
      <c r="B33" s="701"/>
      <c r="C33" s="10">
        <v>1</v>
      </c>
      <c r="D33" s="10" t="s">
        <v>33</v>
      </c>
      <c r="E33" s="702"/>
      <c r="F33" s="702"/>
      <c r="G33" s="703"/>
      <c r="H33" s="704"/>
      <c r="K33" s="11"/>
    </row>
    <row r="34" spans="1:12" x14ac:dyDescent="0.2">
      <c r="A34" s="700" t="s">
        <v>13</v>
      </c>
      <c r="B34" s="701"/>
      <c r="C34" s="9">
        <v>2000</v>
      </c>
      <c r="D34" s="10" t="s">
        <v>30</v>
      </c>
      <c r="E34" s="705"/>
      <c r="F34" s="706"/>
      <c r="G34" s="703"/>
      <c r="H34" s="704"/>
      <c r="K34" s="11"/>
      <c r="L34" s="21"/>
    </row>
    <row r="35" spans="1:12" ht="13.5" thickBot="1" x14ac:dyDescent="0.25">
      <c r="A35" s="692" t="s">
        <v>12</v>
      </c>
      <c r="B35" s="693"/>
      <c r="C35" s="22">
        <f>SUM(D10:D21)-C31</f>
        <v>-854</v>
      </c>
      <c r="D35" s="23"/>
      <c r="E35" s="694"/>
      <c r="F35" s="694"/>
      <c r="G35" s="695"/>
      <c r="H35" s="696"/>
      <c r="K35" s="11"/>
    </row>
    <row r="36" spans="1:12" ht="13.5" thickBot="1" x14ac:dyDescent="0.25">
      <c r="A36" s="697" t="s">
        <v>11</v>
      </c>
      <c r="B36" s="698"/>
      <c r="C36" s="698"/>
      <c r="D36" s="698"/>
      <c r="E36" s="698"/>
      <c r="F36" s="698"/>
      <c r="G36" s="698"/>
      <c r="H36" s="699"/>
    </row>
    <row r="37" spans="1:12" ht="15" x14ac:dyDescent="0.2">
      <c r="A37" s="686" t="s">
        <v>72</v>
      </c>
      <c r="B37" s="687"/>
      <c r="C37" s="687"/>
      <c r="D37" s="687"/>
      <c r="E37" s="687"/>
      <c r="F37" s="687"/>
      <c r="G37" s="687"/>
      <c r="H37" s="688"/>
    </row>
    <row r="38" spans="1:12" ht="27.75" customHeight="1" x14ac:dyDescent="0.25">
      <c r="A38" s="677" t="s">
        <v>74</v>
      </c>
      <c r="B38" s="678"/>
      <c r="C38" s="678"/>
      <c r="D38" s="678"/>
      <c r="E38" s="678"/>
      <c r="F38" s="678"/>
      <c r="G38" s="678"/>
      <c r="H38" s="679"/>
    </row>
    <row r="39" spans="1:12" ht="15" x14ac:dyDescent="0.25">
      <c r="A39" s="677" t="s">
        <v>73</v>
      </c>
      <c r="B39" s="678"/>
      <c r="C39" s="678"/>
      <c r="D39" s="678"/>
      <c r="E39" s="678"/>
      <c r="F39" s="678"/>
      <c r="G39" s="678"/>
      <c r="H39" s="679"/>
    </row>
    <row r="40" spans="1:12" ht="30" customHeight="1" x14ac:dyDescent="0.25">
      <c r="A40" s="677" t="s">
        <v>75</v>
      </c>
      <c r="B40" s="678"/>
      <c r="C40" s="678"/>
      <c r="D40" s="678"/>
      <c r="E40" s="678"/>
      <c r="F40" s="678"/>
      <c r="G40" s="678"/>
      <c r="H40" s="679"/>
    </row>
    <row r="41" spans="1:12" ht="15" x14ac:dyDescent="0.25">
      <c r="A41" s="677" t="s">
        <v>76</v>
      </c>
      <c r="B41" s="678"/>
      <c r="C41" s="678"/>
      <c r="D41" s="678"/>
      <c r="E41" s="678"/>
      <c r="F41" s="678"/>
      <c r="G41" s="678"/>
      <c r="H41" s="679"/>
    </row>
    <row r="42" spans="1:12" ht="15" x14ac:dyDescent="0.25">
      <c r="A42" s="677"/>
      <c r="B42" s="678"/>
      <c r="C42" s="678"/>
      <c r="D42" s="678"/>
      <c r="E42" s="678"/>
      <c r="F42" s="678"/>
      <c r="G42" s="678"/>
      <c r="H42" s="679"/>
    </row>
    <row r="43" spans="1:12" ht="16.5" customHeight="1" x14ac:dyDescent="0.2">
      <c r="A43" s="610"/>
      <c r="B43" s="611"/>
      <c r="C43" s="611"/>
      <c r="D43" s="611"/>
      <c r="E43" s="611"/>
      <c r="F43" s="611"/>
      <c r="G43" s="611"/>
      <c r="H43" s="612"/>
    </row>
    <row r="44" spans="1:12" ht="16.5" customHeight="1" x14ac:dyDescent="0.2">
      <c r="A44" s="610"/>
      <c r="B44" s="611"/>
      <c r="C44" s="611"/>
      <c r="D44" s="611"/>
      <c r="E44" s="611"/>
      <c r="F44" s="611"/>
      <c r="G44" s="611"/>
      <c r="H44" s="612"/>
    </row>
    <row r="45" spans="1:12" ht="16.5" customHeight="1" thickBot="1" x14ac:dyDescent="0.25">
      <c r="A45" s="680"/>
      <c r="B45" s="681"/>
      <c r="C45" s="681"/>
      <c r="D45" s="681"/>
      <c r="E45" s="681"/>
      <c r="F45" s="681"/>
      <c r="G45" s="681"/>
      <c r="H45" s="682"/>
    </row>
    <row r="47" spans="1:12" x14ac:dyDescent="0.2">
      <c r="A47" s="24"/>
      <c r="B47" s="24"/>
    </row>
  </sheetData>
  <mergeCells count="47">
    <mergeCell ref="A45:H45"/>
    <mergeCell ref="F12:H12"/>
    <mergeCell ref="F20:H20"/>
    <mergeCell ref="F15:H15"/>
    <mergeCell ref="F16:H16"/>
    <mergeCell ref="F17:H17"/>
    <mergeCell ref="F18:H18"/>
    <mergeCell ref="A37:H37"/>
    <mergeCell ref="A38:H38"/>
    <mergeCell ref="A39:H39"/>
    <mergeCell ref="A40:H40"/>
    <mergeCell ref="A41:H41"/>
    <mergeCell ref="A42:H42"/>
    <mergeCell ref="A43:H43"/>
    <mergeCell ref="A44:H44"/>
    <mergeCell ref="A35:B35"/>
    <mergeCell ref="E35:F35"/>
    <mergeCell ref="G35:H35"/>
    <mergeCell ref="A36:H36"/>
    <mergeCell ref="A33:B33"/>
    <mergeCell ref="E33:F33"/>
    <mergeCell ref="G33:H33"/>
    <mergeCell ref="A34:B34"/>
    <mergeCell ref="E34:F34"/>
    <mergeCell ref="G34:H34"/>
    <mergeCell ref="A31:B31"/>
    <mergeCell ref="E31:F31"/>
    <mergeCell ref="G31:H31"/>
    <mergeCell ref="A32:B32"/>
    <mergeCell ref="E32:F32"/>
    <mergeCell ref="G32:H32"/>
    <mergeCell ref="A7:B7"/>
    <mergeCell ref="C7:E7"/>
    <mergeCell ref="F7:G7"/>
    <mergeCell ref="A8:A9"/>
    <mergeCell ref="B8:B9"/>
    <mergeCell ref="C8:C9"/>
    <mergeCell ref="D8:E8"/>
    <mergeCell ref="F8:G8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FAC670-4ECC-4ECC-9BEB-2F52E3EB3DD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7763027-8997-4957-A4F5-1F72F5487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B3A0AB-D170-4362-B16A-30A22F4205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EE5B550-918A-4BF3-8FF5-531E843A5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Hoja1</vt:lpstr>
      <vt:lpstr>costeo brittle</vt:lpstr>
      <vt:lpstr>EMPAQUE BRITTLE</vt:lpstr>
      <vt:lpstr>COSTO EMPAQUE BRITTLE</vt:lpstr>
      <vt:lpstr>ENSAMBLE 2</vt:lpstr>
      <vt:lpstr>Hoja5</vt:lpstr>
      <vt:lpstr>COSTEO ENSAMBLE</vt:lpstr>
      <vt:lpstr>INS</vt:lpstr>
      <vt:lpstr>PRECIO 2</vt:lpstr>
      <vt:lpstr>ENSAMBLE INDUSTRIA </vt:lpstr>
      <vt:lpstr>COSTO ENSAM IND</vt:lpstr>
      <vt:lpstr>PRECIO INDUSTRIA </vt:lpstr>
      <vt:lpstr>PRECIO</vt:lpstr>
      <vt:lpstr>Ensamble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2025-05-06T19:54:03Z</cp:lastPrinted>
  <dcterms:created xsi:type="dcterms:W3CDTF">2009-03-11T22:07:15Z</dcterms:created>
  <dcterms:modified xsi:type="dcterms:W3CDTF">2025-05-06T19:54:34Z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Alejandro Rodriguez</vt:lpwstr>
  </property>
  <property fmtid="{D5CDD505-2E9C-101B-9397-08002B2CF9AE}" pid="3" name="Order">
    <vt:lpwstr>416600.000000000</vt:lpwstr>
  </property>
  <property fmtid="{D5CDD505-2E9C-101B-9397-08002B2CF9AE}" pid="4" name="display_urn:schemas-microsoft-com:office:office#Author">
    <vt:lpwstr>Alejandro Rodriguez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
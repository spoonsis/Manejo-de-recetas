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41C7EA17-8F6E-4A13-8C28-116987EE9572}" xr6:coauthVersionLast="47" xr6:coauthVersionMax="47" xr10:uidLastSave="{E7B417F8-07B7-4748-A9CD-32ACA3DB7862}"/>
  <bookViews>
    <workbookView xWindow="-120" yWindow="-120" windowWidth="20730" windowHeight="11040" tabRatio="876" xr2:uid="{00000000-000D-0000-FFFF-FFFF00000000}"/>
  </bookViews>
  <sheets>
    <sheet name="Hoja1" sheetId="11" r:id="rId1"/>
    <sheet name="COSTO SET 2022" sheetId="10" state="hidden" r:id="rId2"/>
    <sheet name="costo " sheetId="8" state="hidden" r:id="rId3"/>
    <sheet name="precio" sheetId="9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Print_Area" localSheetId="0">Hoja1!$A$1:$I$53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0" l="1"/>
  <c r="C31" i="10"/>
  <c r="F31" i="10"/>
  <c r="E30" i="10"/>
  <c r="F30" i="10" s="1"/>
  <c r="D30" i="10"/>
  <c r="C30" i="10"/>
  <c r="B30" i="10"/>
  <c r="E29" i="10"/>
  <c r="F29" i="10" s="1"/>
  <c r="D29" i="10"/>
  <c r="C29" i="10"/>
  <c r="B29" i="10"/>
  <c r="D28" i="10"/>
  <c r="C28" i="10"/>
  <c r="F28" i="10"/>
  <c r="B28" i="10"/>
  <c r="F27" i="10"/>
  <c r="C27" i="10"/>
  <c r="D73" i="10"/>
  <c r="D74" i="10"/>
  <c r="D76" i="10"/>
  <c r="D71" i="10"/>
  <c r="D69" i="10"/>
  <c r="F65" i="10"/>
  <c r="C73" i="10"/>
  <c r="D60" i="10"/>
  <c r="D85" i="10"/>
  <c r="D86" i="10"/>
  <c r="C51" i="10"/>
  <c r="E50" i="10"/>
  <c r="F50" i="10" s="1"/>
  <c r="D50" i="10"/>
  <c r="B50" i="10"/>
  <c r="E49" i="10"/>
  <c r="F49" i="10" s="1"/>
  <c r="D49" i="10"/>
  <c r="B49" i="10"/>
  <c r="E48" i="10"/>
  <c r="F48" i="10" s="1"/>
  <c r="D48" i="10"/>
  <c r="B48" i="10"/>
  <c r="E47" i="10"/>
  <c r="F47" i="10" s="1"/>
  <c r="D47" i="10"/>
  <c r="B47" i="10"/>
  <c r="A47" i="10"/>
  <c r="C47" i="10"/>
  <c r="E46" i="10"/>
  <c r="F46" i="10" s="1"/>
  <c r="D46" i="10"/>
  <c r="B46" i="10"/>
  <c r="E45" i="10"/>
  <c r="F45" i="10" s="1"/>
  <c r="D45" i="10"/>
  <c r="B45" i="10"/>
  <c r="D44" i="10"/>
  <c r="B44" i="10"/>
  <c r="E41" i="10"/>
  <c r="F41" i="10" s="1"/>
  <c r="D41" i="10"/>
  <c r="B41" i="10"/>
  <c r="A41" i="10"/>
  <c r="C41" i="10"/>
  <c r="E40" i="10"/>
  <c r="F40" i="10" s="1"/>
  <c r="D40" i="10"/>
  <c r="B40" i="10"/>
  <c r="A40" i="10"/>
  <c r="C40" i="10"/>
  <c r="E39" i="10"/>
  <c r="F39" i="10" s="1"/>
  <c r="D39" i="10"/>
  <c r="C39" i="10"/>
  <c r="B39" i="10"/>
  <c r="A39" i="10"/>
  <c r="A48" i="10"/>
  <c r="C48" i="10"/>
  <c r="E38" i="10"/>
  <c r="F38" i="10" s="1"/>
  <c r="D38" i="10"/>
  <c r="B38" i="10"/>
  <c r="A38" i="10"/>
  <c r="C38" i="10"/>
  <c r="E37" i="10"/>
  <c r="F37" i="10" s="1"/>
  <c r="D37" i="10"/>
  <c r="B37" i="10"/>
  <c r="A37" i="10"/>
  <c r="C37" i="10"/>
  <c r="E36" i="10"/>
  <c r="F36" i="10" s="1"/>
  <c r="D36" i="10"/>
  <c r="B36" i="10"/>
  <c r="A36" i="10"/>
  <c r="C36" i="10"/>
  <c r="D35" i="10"/>
  <c r="B35" i="10"/>
  <c r="A35" i="10"/>
  <c r="A44" i="10"/>
  <c r="C44" i="10"/>
  <c r="F44" i="10"/>
  <c r="E32" i="10"/>
  <c r="F32" i="10" s="1"/>
  <c r="D32" i="10"/>
  <c r="C32" i="10"/>
  <c r="B32" i="10"/>
  <c r="E24" i="10"/>
  <c r="F24" i="10"/>
  <c r="D24" i="10"/>
  <c r="C24" i="10"/>
  <c r="B24" i="10"/>
  <c r="E23" i="10"/>
  <c r="F23" i="10" s="1"/>
  <c r="D23" i="10"/>
  <c r="C23" i="10"/>
  <c r="B23" i="10"/>
  <c r="E22" i="10"/>
  <c r="F22" i="10"/>
  <c r="D22" i="10"/>
  <c r="C22" i="10"/>
  <c r="B22" i="10"/>
  <c r="E21" i="10"/>
  <c r="F21" i="10" s="1"/>
  <c r="D21" i="10"/>
  <c r="C21" i="10"/>
  <c r="B21" i="10"/>
  <c r="E20" i="10"/>
  <c r="F20" i="10"/>
  <c r="D20" i="10"/>
  <c r="C20" i="10"/>
  <c r="B20" i="10"/>
  <c r="E19" i="10"/>
  <c r="F19" i="10" s="1"/>
  <c r="D19" i="10"/>
  <c r="C19" i="10"/>
  <c r="B19" i="10"/>
  <c r="E18" i="10"/>
  <c r="F18" i="10"/>
  <c r="D18" i="10"/>
  <c r="C18" i="10"/>
  <c r="B18" i="10"/>
  <c r="D17" i="10"/>
  <c r="C17" i="10"/>
  <c r="F17" i="10"/>
  <c r="B17" i="10"/>
  <c r="B15" i="10"/>
  <c r="E14" i="10"/>
  <c r="F14" i="10"/>
  <c r="D14" i="10"/>
  <c r="C14" i="10"/>
  <c r="B14" i="10"/>
  <c r="E13" i="10"/>
  <c r="F13" i="10" s="1"/>
  <c r="D13" i="10"/>
  <c r="C13" i="10"/>
  <c r="B13" i="10"/>
  <c r="E12" i="10"/>
  <c r="F12" i="10"/>
  <c r="D12" i="10"/>
  <c r="C12" i="10"/>
  <c r="B12" i="10"/>
  <c r="E11" i="10"/>
  <c r="F11" i="10" s="1"/>
  <c r="D11" i="10"/>
  <c r="C11" i="10"/>
  <c r="B11" i="10"/>
  <c r="E10" i="10"/>
  <c r="F10" i="10"/>
  <c r="D10" i="10"/>
  <c r="C10" i="10"/>
  <c r="B10" i="10"/>
  <c r="E9" i="10"/>
  <c r="F9" i="10" s="1"/>
  <c r="D9" i="10"/>
  <c r="C9" i="10"/>
  <c r="B9" i="10"/>
  <c r="E8" i="10"/>
  <c r="F8" i="10"/>
  <c r="D8" i="10"/>
  <c r="C8" i="10"/>
  <c r="B8" i="10"/>
  <c r="H6" i="10"/>
  <c r="D83" i="10"/>
  <c r="C35" i="10"/>
  <c r="F35" i="10"/>
  <c r="C85" i="10"/>
  <c r="E85" i="10"/>
  <c r="E73" i="10"/>
  <c r="A46" i="10"/>
  <c r="C46" i="10"/>
  <c r="A50" i="10"/>
  <c r="C50" i="10"/>
  <c r="E51" i="10"/>
  <c r="F51" i="10"/>
  <c r="D81" i="10"/>
  <c r="A45" i="10"/>
  <c r="C45" i="10"/>
  <c r="A49" i="10"/>
  <c r="C49" i="10"/>
  <c r="I53" i="9"/>
  <c r="I54" i="9"/>
  <c r="F38" i="9"/>
  <c r="G38" i="9" s="1"/>
  <c r="E38" i="9"/>
  <c r="D38" i="9"/>
  <c r="C38" i="9"/>
  <c r="F37" i="9"/>
  <c r="G37" i="9"/>
  <c r="E37" i="9"/>
  <c r="D37" i="9"/>
  <c r="C37" i="9"/>
  <c r="F36" i="9"/>
  <c r="G36" i="9" s="1"/>
  <c r="E36" i="9"/>
  <c r="D36" i="9"/>
  <c r="C36" i="9"/>
  <c r="F35" i="9"/>
  <c r="G35" i="9"/>
  <c r="E35" i="9"/>
  <c r="D35" i="9"/>
  <c r="C35" i="9"/>
  <c r="F34" i="9"/>
  <c r="G34" i="9" s="1"/>
  <c r="E34" i="9"/>
  <c r="D34" i="9"/>
  <c r="C34" i="9"/>
  <c r="F33" i="9"/>
  <c r="G33" i="9"/>
  <c r="E33" i="9"/>
  <c r="D33" i="9"/>
  <c r="C33" i="9"/>
  <c r="F31" i="9"/>
  <c r="G31" i="9"/>
  <c r="E31" i="9"/>
  <c r="D31" i="9"/>
  <c r="C31" i="9"/>
  <c r="F30" i="9"/>
  <c r="G30" i="9"/>
  <c r="E30" i="9"/>
  <c r="D30" i="9"/>
  <c r="C30" i="9"/>
  <c r="F29" i="9"/>
  <c r="G29" i="9" s="1"/>
  <c r="E29" i="9"/>
  <c r="D29" i="9"/>
  <c r="C29" i="9"/>
  <c r="F28" i="9"/>
  <c r="G28" i="9"/>
  <c r="E28" i="9"/>
  <c r="D28" i="9"/>
  <c r="C28" i="9"/>
  <c r="F27" i="9"/>
  <c r="G27" i="9" s="1"/>
  <c r="E27" i="9"/>
  <c r="D27" i="9"/>
  <c r="C27" i="9"/>
  <c r="F26" i="9"/>
  <c r="G26" i="9"/>
  <c r="E26" i="9"/>
  <c r="D26" i="9"/>
  <c r="C26" i="9"/>
  <c r="F25" i="9"/>
  <c r="G25" i="9" s="1"/>
  <c r="E25" i="9"/>
  <c r="D25" i="9"/>
  <c r="C25" i="9"/>
  <c r="F24" i="9"/>
  <c r="G24" i="9"/>
  <c r="E24" i="9"/>
  <c r="D24" i="9"/>
  <c r="C24" i="9"/>
  <c r="F20" i="9"/>
  <c r="G20" i="9"/>
  <c r="E20" i="9"/>
  <c r="D20" i="9"/>
  <c r="C20" i="9"/>
  <c r="F19" i="9"/>
  <c r="G19" i="9"/>
  <c r="E19" i="9"/>
  <c r="D19" i="9"/>
  <c r="C19" i="9"/>
  <c r="F18" i="9"/>
  <c r="G18" i="9" s="1"/>
  <c r="E18" i="9"/>
  <c r="D18" i="9"/>
  <c r="C18" i="9"/>
  <c r="F17" i="9"/>
  <c r="G17" i="9"/>
  <c r="E17" i="9"/>
  <c r="D17" i="9"/>
  <c r="C17" i="9"/>
  <c r="F14" i="9"/>
  <c r="G14" i="9" s="1"/>
  <c r="E14" i="9"/>
  <c r="D14" i="9"/>
  <c r="C14" i="9"/>
  <c r="F13" i="9"/>
  <c r="G13" i="9"/>
  <c r="E13" i="9"/>
  <c r="D13" i="9"/>
  <c r="C13" i="9"/>
  <c r="F12" i="9"/>
  <c r="G12" i="9" s="1"/>
  <c r="E12" i="9"/>
  <c r="D12" i="9"/>
  <c r="C12" i="9"/>
  <c r="F11" i="9"/>
  <c r="G11" i="9"/>
  <c r="E11" i="9"/>
  <c r="D11" i="9"/>
  <c r="C11" i="9"/>
  <c r="F10" i="9"/>
  <c r="G10" i="9"/>
  <c r="E10" i="9"/>
  <c r="D10" i="9"/>
  <c r="C10" i="9"/>
  <c r="D9" i="9"/>
  <c r="I7" i="9"/>
  <c r="D73" i="8"/>
  <c r="D74" i="8"/>
  <c r="D76" i="8"/>
  <c r="D71" i="8"/>
  <c r="D69" i="8"/>
  <c r="F65" i="8"/>
  <c r="C73" i="8"/>
  <c r="D60" i="8"/>
  <c r="D83" i="8"/>
  <c r="C51" i="8"/>
  <c r="E50" i="8"/>
  <c r="F50" i="8"/>
  <c r="D50" i="8"/>
  <c r="B50" i="8"/>
  <c r="E49" i="8"/>
  <c r="F49" i="8"/>
  <c r="D49" i="8"/>
  <c r="B49" i="8"/>
  <c r="E48" i="8"/>
  <c r="F48" i="8" s="1"/>
  <c r="D48" i="8"/>
  <c r="B48" i="8"/>
  <c r="E47" i="8"/>
  <c r="F47" i="8"/>
  <c r="D47" i="8"/>
  <c r="B47" i="8"/>
  <c r="E46" i="8"/>
  <c r="F46" i="8" s="1"/>
  <c r="D46" i="8"/>
  <c r="B46" i="8"/>
  <c r="A46" i="8"/>
  <c r="C46" i="8"/>
  <c r="E45" i="8"/>
  <c r="F45" i="8"/>
  <c r="D45" i="8"/>
  <c r="B45" i="8"/>
  <c r="E44" i="8"/>
  <c r="F44" i="8"/>
  <c r="D44" i="8"/>
  <c r="B44" i="8"/>
  <c r="E42" i="8"/>
  <c r="F42" i="8" s="1"/>
  <c r="D42" i="8"/>
  <c r="C42" i="8"/>
  <c r="B42" i="8"/>
  <c r="E41" i="8"/>
  <c r="F41" i="8" s="1"/>
  <c r="D41" i="8"/>
  <c r="C41" i="8"/>
  <c r="B41" i="8"/>
  <c r="A41" i="8"/>
  <c r="A50" i="8"/>
  <c r="C50" i="8"/>
  <c r="E40" i="8"/>
  <c r="F40" i="8" s="1"/>
  <c r="D40" i="8"/>
  <c r="B40" i="8"/>
  <c r="A40" i="8"/>
  <c r="A49" i="8"/>
  <c r="C49" i="8"/>
  <c r="E39" i="8"/>
  <c r="F39" i="8"/>
  <c r="D39" i="8"/>
  <c r="B39" i="8"/>
  <c r="A39" i="8"/>
  <c r="A48" i="8"/>
  <c r="C48" i="8"/>
  <c r="E38" i="8"/>
  <c r="F38" i="8" s="1"/>
  <c r="D38" i="8"/>
  <c r="B38" i="8"/>
  <c r="A38" i="8"/>
  <c r="C38" i="8"/>
  <c r="E37" i="8"/>
  <c r="F37" i="8"/>
  <c r="D37" i="8"/>
  <c r="C37" i="8"/>
  <c r="B37" i="8"/>
  <c r="A37" i="8"/>
  <c r="E36" i="8"/>
  <c r="F36" i="8" s="1"/>
  <c r="D36" i="8"/>
  <c r="B36" i="8"/>
  <c r="A36" i="8"/>
  <c r="A45" i="8"/>
  <c r="C45" i="8"/>
  <c r="E35" i="8"/>
  <c r="F35" i="8"/>
  <c r="D35" i="8"/>
  <c r="B35" i="8"/>
  <c r="A35" i="8"/>
  <c r="A44" i="8"/>
  <c r="C44" i="8"/>
  <c r="E32" i="8"/>
  <c r="F32" i="8" s="1"/>
  <c r="D32" i="8"/>
  <c r="C32" i="8"/>
  <c r="B32" i="8"/>
  <c r="E31" i="8"/>
  <c r="F31" i="8"/>
  <c r="D31" i="8"/>
  <c r="C31" i="8"/>
  <c r="B31" i="8"/>
  <c r="E30" i="8"/>
  <c r="F30" i="8" s="1"/>
  <c r="D30" i="8"/>
  <c r="C30" i="8"/>
  <c r="B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 s="1"/>
  <c r="D24" i="8"/>
  <c r="C24" i="8"/>
  <c r="B24" i="8"/>
  <c r="E23" i="8"/>
  <c r="F23" i="8"/>
  <c r="D23" i="8"/>
  <c r="C23" i="8"/>
  <c r="B23" i="8"/>
  <c r="E22" i="8"/>
  <c r="F22" i="8" s="1"/>
  <c r="D22" i="8"/>
  <c r="C22" i="8"/>
  <c r="B22" i="8"/>
  <c r="E21" i="8"/>
  <c r="F21" i="8"/>
  <c r="D21" i="8"/>
  <c r="C21" i="8"/>
  <c r="B21" i="8"/>
  <c r="E20" i="8"/>
  <c r="F20" i="8" s="1"/>
  <c r="D20" i="8"/>
  <c r="C20" i="8"/>
  <c r="B20" i="8"/>
  <c r="E19" i="8"/>
  <c r="F19" i="8"/>
  <c r="D19" i="8"/>
  <c r="C19" i="8"/>
  <c r="B19" i="8"/>
  <c r="E18" i="8"/>
  <c r="F18" i="8" s="1"/>
  <c r="D18" i="8"/>
  <c r="C18" i="8"/>
  <c r="B18" i="8"/>
  <c r="E17" i="8"/>
  <c r="F17" i="8"/>
  <c r="D17" i="8"/>
  <c r="C17" i="8"/>
  <c r="B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 s="1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81" i="8"/>
  <c r="D85" i="8"/>
  <c r="D86" i="8"/>
  <c r="F27" i="8"/>
  <c r="A47" i="8"/>
  <c r="C47" i="8"/>
  <c r="C40" i="8"/>
  <c r="C36" i="8"/>
  <c r="C85" i="8"/>
  <c r="E85" i="8"/>
  <c r="E73" i="8"/>
  <c r="E51" i="8"/>
  <c r="F51" i="8"/>
  <c r="C35" i="8"/>
  <c r="C39" i="8"/>
  <c r="F41" i="9"/>
  <c r="G41" i="9" l="1"/>
  <c r="F53" i="10"/>
  <c r="F56" i="10"/>
  <c r="F54" i="10"/>
  <c r="G43" i="9"/>
  <c r="F53" i="8"/>
  <c r="F54" i="8"/>
  <c r="F56" i="8"/>
  <c r="C74" i="10" l="1"/>
  <c r="H56" i="10"/>
  <c r="H2" i="10" s="1"/>
  <c r="F55" i="8"/>
  <c r="C69" i="8"/>
  <c r="H53" i="8"/>
  <c r="F2" i="8" s="1"/>
  <c r="F64" i="8"/>
  <c r="F55" i="10"/>
  <c r="F64" i="10"/>
  <c r="H53" i="10"/>
  <c r="F2" i="10" s="1"/>
  <c r="C69" i="10"/>
  <c r="H54" i="10"/>
  <c r="G2" i="10" s="1"/>
  <c r="C76" i="10"/>
  <c r="E76" i="10" s="1"/>
  <c r="G49" i="9"/>
  <c r="C74" i="8"/>
  <c r="H56" i="8"/>
  <c r="H2" i="8" s="1"/>
  <c r="C76" i="8"/>
  <c r="E76" i="8" s="1"/>
  <c r="H54" i="8"/>
  <c r="G2" i="8" s="1"/>
  <c r="E74" i="8" l="1"/>
  <c r="C86" i="8"/>
  <c r="E86" i="8" s="1"/>
  <c r="E69" i="10"/>
  <c r="C81" i="10"/>
  <c r="E81" i="10" s="1"/>
  <c r="F63" i="8"/>
  <c r="O54" i="8"/>
  <c r="H55" i="8"/>
  <c r="E69" i="8"/>
  <c r="E78" i="8" s="1"/>
  <c r="C81" i="8"/>
  <c r="E81" i="8" s="1"/>
  <c r="H55" i="10"/>
  <c r="F63" i="10"/>
  <c r="O54" i="10"/>
  <c r="E74" i="10"/>
  <c r="C86" i="10"/>
  <c r="E86" i="10" s="1"/>
  <c r="E63" i="10" l="1"/>
  <c r="C71" i="10"/>
  <c r="F66" i="10"/>
  <c r="O56" i="8"/>
  <c r="O58" i="8"/>
  <c r="O55" i="8"/>
  <c r="O57" i="8" s="1"/>
  <c r="O59" i="8" s="1"/>
  <c r="F66" i="8"/>
  <c r="C71" i="8"/>
  <c r="E63" i="8"/>
  <c r="G63" i="8"/>
  <c r="E78" i="10"/>
  <c r="O56" i="10"/>
  <c r="O57" i="10" s="1"/>
  <c r="O59" i="10" s="1"/>
  <c r="O58" i="10"/>
  <c r="O60" i="8" l="1"/>
  <c r="O61" i="8"/>
  <c r="O62" i="8" s="1"/>
  <c r="O60" i="10"/>
  <c r="O61" i="10" s="1"/>
  <c r="O62" i="10" s="1"/>
  <c r="G51" i="10"/>
  <c r="G22" i="10"/>
  <c r="G44" i="10"/>
  <c r="G14" i="10"/>
  <c r="G65" i="10"/>
  <c r="G24" i="10"/>
  <c r="G31" i="10"/>
  <c r="G12" i="10"/>
  <c r="G35" i="10"/>
  <c r="G10" i="10"/>
  <c r="G28" i="10"/>
  <c r="G27" i="10"/>
  <c r="G17" i="10"/>
  <c r="G8" i="10"/>
  <c r="G20" i="10"/>
  <c r="G66" i="10"/>
  <c r="G47" i="10"/>
  <c r="G29" i="10"/>
  <c r="G9" i="10"/>
  <c r="G46" i="10"/>
  <c r="G38" i="10"/>
  <c r="G48" i="10"/>
  <c r="G37" i="10"/>
  <c r="G32" i="10"/>
  <c r="G13" i="10"/>
  <c r="G18" i="10"/>
  <c r="G40" i="10"/>
  <c r="G19" i="10"/>
  <c r="G36" i="10"/>
  <c r="G45" i="10"/>
  <c r="G30" i="10"/>
  <c r="G23" i="10"/>
  <c r="G11" i="10"/>
  <c r="G39" i="10"/>
  <c r="G21" i="10"/>
  <c r="G49" i="10"/>
  <c r="G50" i="10"/>
  <c r="G41" i="10"/>
  <c r="G53" i="10"/>
  <c r="G54" i="10"/>
  <c r="G56" i="10"/>
  <c r="G55" i="10"/>
  <c r="G64" i="10"/>
  <c r="E71" i="8"/>
  <c r="C83" i="8"/>
  <c r="E83" i="8" s="1"/>
  <c r="E71" i="10"/>
  <c r="C83" i="10"/>
  <c r="E83" i="10" s="1"/>
  <c r="G63" i="10"/>
  <c r="G9" i="8"/>
  <c r="G10" i="8"/>
  <c r="G45" i="8"/>
  <c r="G44" i="8"/>
  <c r="G50" i="8"/>
  <c r="G35" i="8"/>
  <c r="G21" i="8"/>
  <c r="G27" i="8"/>
  <c r="G14" i="8"/>
  <c r="G51" i="8"/>
  <c r="G39" i="8"/>
  <c r="G37" i="8"/>
  <c r="G65" i="8"/>
  <c r="G8" i="8"/>
  <c r="G47" i="8"/>
  <c r="G49" i="8"/>
  <c r="G66" i="8"/>
  <c r="G19" i="8"/>
  <c r="G17" i="8"/>
  <c r="G36" i="8"/>
  <c r="G20" i="8"/>
  <c r="G24" i="8"/>
  <c r="G29" i="8"/>
  <c r="G30" i="8"/>
  <c r="G23" i="8"/>
  <c r="G48" i="8"/>
  <c r="G40" i="8"/>
  <c r="G22" i="8"/>
  <c r="G46" i="8"/>
  <c r="G12" i="8"/>
  <c r="G11" i="8"/>
  <c r="G18" i="8"/>
  <c r="G38" i="8"/>
  <c r="G32" i="8"/>
  <c r="G31" i="8"/>
  <c r="G41" i="8"/>
  <c r="G42" i="8"/>
  <c r="G28" i="8"/>
  <c r="G13" i="8"/>
  <c r="G54" i="8"/>
  <c r="G56" i="8"/>
  <c r="G53" i="8"/>
  <c r="G64" i="8"/>
  <c r="G55" i="8"/>
  <c r="E2" i="10" l="1"/>
  <c r="P62" i="10"/>
  <c r="F9" i="9"/>
  <c r="G9" i="9" s="1"/>
  <c r="E2" i="8"/>
  <c r="P62" i="8"/>
  <c r="G40" i="9" l="1"/>
  <c r="G42" i="9" l="1"/>
  <c r="G48" i="9" l="1"/>
  <c r="G44" i="9"/>
  <c r="G50" i="9" l="1"/>
  <c r="G51" i="9" l="1"/>
  <c r="G52" i="9" l="1"/>
  <c r="J53" i="9"/>
  <c r="I1" i="9"/>
  <c r="G53" i="9"/>
  <c r="H51" i="9" s="1"/>
  <c r="H24" i="9" l="1"/>
  <c r="G54" i="9"/>
  <c r="H26" i="9"/>
  <c r="H11" i="9"/>
  <c r="H30" i="9"/>
  <c r="H33" i="9"/>
  <c r="H35" i="9"/>
  <c r="H10" i="9"/>
  <c r="H13" i="9"/>
  <c r="H19" i="9"/>
  <c r="G55" i="9"/>
  <c r="H20" i="9"/>
  <c r="H28" i="9"/>
  <c r="H37" i="9"/>
  <c r="H17" i="9"/>
  <c r="H14" i="9"/>
  <c r="H12" i="9"/>
  <c r="H31" i="9"/>
  <c r="H36" i="9"/>
  <c r="H29" i="9"/>
  <c r="H38" i="9"/>
  <c r="H18" i="9"/>
  <c r="H25" i="9"/>
  <c r="H34" i="9"/>
  <c r="H27" i="9"/>
  <c r="H41" i="9"/>
  <c r="H43" i="9"/>
  <c r="H49" i="9"/>
  <c r="H9" i="9"/>
  <c r="H40" i="9"/>
  <c r="H42" i="9"/>
  <c r="H48" i="9"/>
  <c r="H44" i="9"/>
  <c r="H50" i="9"/>
</calcChain>
</file>

<file path=xl/sharedStrings.xml><?xml version="1.0" encoding="utf-8"?>
<sst xmlns="http://schemas.openxmlformats.org/spreadsheetml/2006/main" count="320" uniqueCount="153">
  <si>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</si>
  <si>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</si>
  <si>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</si>
  <si>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</si>
  <si>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</si>
  <si>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</si>
  <si>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</si>
  <si>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</si>
  <si>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</si>
  <si>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</si>
  <si>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</si>
  <si>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</si>
  <si>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</si>
  <si>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</si>
  <si>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</si>
  <si>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</si>
  <si>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</si>
  <si>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</si>
  <si>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</si>
  <si>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</si>
  <si>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</si>
  <si>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</si>
  <si>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</si>
  <si>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</si>
  <si>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</si>
  <si>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</si>
  <si>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</si>
  <si>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</si>
  <si>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</si>
  <si>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</si>
  <si>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</si>
  <si>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</si>
  <si>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</si>
  <si>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</si>
  <si>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</si>
  <si>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</si>
  <si>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</si>
  <si>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</si>
  <si>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</si>
  <si>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</si>
  <si>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</si>
  <si>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</si>
  <si>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</si>
  <si>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</si>
  <si>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</si>
  <si>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</si>
  <si>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</si>
  <si>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</si>
  <si>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</si>
  <si>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</si>
  <si>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</si>
  <si>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</si>
  <si>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</si>
  <si>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</si>
  <si>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</si>
  <si>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</si>
  <si>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</si>
  <si>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</si>
  <si>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</si>
  <si>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</si>
  <si>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</si>
  <si>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</si>
  <si>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</si>
  <si>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</si>
  <si>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</si>
  <si>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</si>
  <si>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</si>
  <si>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</si>
  <si>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</si>
  <si>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</si>
  <si>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</si>
  <si>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</si>
  <si>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</si>
  <si>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</si>
  <si>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</si>
  <si>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</si>
  <si>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</si>
  <si>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</si>
  <si>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</si>
  <si>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</si>
  <si>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</si>
  <si>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</si>
  <si>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</si>
  <si>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</si>
  <si>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</si>
  <si>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</si>
  <si>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</si>
  <si>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</si>
  <si>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</si>
  <si>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</si>
  <si>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</si>
  <si>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</si>
  <si>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</si>
  <si>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</si>
  <si>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</si>
  <si>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</si>
  <si>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</si>
  <si>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</si>
  <si>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</si>
  <si>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</si>
  <si>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</si>
  <si>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GALLETA MEDIA LUNA BAÑADO CHOCOLATE</t>
  </si>
  <si>
    <t>FAS</t>
  </si>
  <si>
    <t>ETIQUETA BLANCA 2 5/8X1 15/16 (UND)</t>
  </si>
  <si>
    <t>BOLSA CON VENTANA 10.5X18CM</t>
  </si>
  <si>
    <t>ETIPLAST</t>
  </si>
  <si>
    <t>0702123</t>
  </si>
  <si>
    <t>GIF</t>
  </si>
  <si>
    <t>904000030</t>
  </si>
  <si>
    <t>NUEVO</t>
  </si>
  <si>
    <t>Und</t>
  </si>
  <si>
    <t xml:space="preserve">MEDIA LUNA </t>
  </si>
  <si>
    <t>4, Mantener en temp ambiente</t>
  </si>
  <si>
    <t>ETIQUETA CINTA SPOON MEDIA LUNA CHOCOLATE BELGA MILK</t>
  </si>
  <si>
    <t>NUEVA</t>
  </si>
  <si>
    <t>CARTULINA KRAFT 2.5 X 31 -8 (UND) DISEÑO NAVIDAD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</si>
  <si>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</si>
  <si>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</si>
  <si>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</si>
  <si>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% MK</t>
  </si>
  <si>
    <t>1952856</t>
  </si>
  <si>
    <t xml:space="preserve">NUEVA </t>
  </si>
  <si>
    <t xml:space="preserve">0,27 dolares por cartulina </t>
  </si>
  <si>
    <t>3, Etiquetar con fecha de vencimiento en un costado; y etiqueta con nombre y descripción de ingredientes en la parte trasera</t>
  </si>
  <si>
    <t>20200077(PTL00070) Media Luna Chocolate Leche Und Bolsita 100g</t>
  </si>
  <si>
    <t>SE00273</t>
  </si>
  <si>
    <t>EM10190</t>
  </si>
  <si>
    <t>0702169</t>
  </si>
  <si>
    <t>EM10071</t>
  </si>
  <si>
    <t>EM10005</t>
  </si>
  <si>
    <t>EM10011</t>
  </si>
  <si>
    <t>Javier Tong, Chef</t>
  </si>
  <si>
    <t>Esteban Cartin, Gte Manufactura</t>
  </si>
  <si>
    <t># Código Netsuite</t>
  </si>
  <si>
    <t>Ensamble</t>
  </si>
  <si>
    <t>UND</t>
  </si>
  <si>
    <t>Decoración</t>
  </si>
  <si>
    <t/>
  </si>
  <si>
    <t>Empaque</t>
  </si>
  <si>
    <t xml:space="preserve">CARTULINA KRAFT 2.5 X 31 -8 </t>
  </si>
  <si>
    <t>CENTINELA</t>
  </si>
  <si>
    <t>ETIQ.FECHA VENCIMIENTO VERDE</t>
  </si>
  <si>
    <t>Tiempo de Horneo:</t>
  </si>
  <si>
    <t>Horno:</t>
  </si>
  <si>
    <t>Temperatura de Horneo:</t>
  </si>
  <si>
    <t>Otros</t>
  </si>
  <si>
    <t>CONTROL DE CAMBIOS</t>
  </si>
  <si>
    <t>EM10424</t>
  </si>
  <si>
    <t>ETIQUETA GALLETA MEDIA LUNA CHOCO LECHE NAVIDAD</t>
  </si>
  <si>
    <t>2, se cambia a etiqueta navideña</t>
  </si>
  <si>
    <t>POSTRES</t>
  </si>
  <si>
    <t>02</t>
  </si>
  <si>
    <t>ESP-RE-POS-114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</si>
</sst>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000"/>
    <numFmt numFmtId="172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i/>
      <sz val="2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0" fontId="3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377">
    <xf numFmtId="0" fontId="0" fillId="0" borderId="0" xfId="0"/>
    <xf numFmtId="0" fontId="6" fillId="10" borderId="0" xfId="0" applyFont="1" applyFill="1" applyAlignment="1">
      <alignment vertical="center"/>
    </xf>
    <xf numFmtId="0" fontId="8" fillId="11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/>
    <xf numFmtId="49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0" fontId="9" fillId="4" borderId="19" xfId="6" applyNumberFormat="1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165" fontId="16" fillId="4" borderId="20" xfId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vertical="center"/>
    </xf>
    <xf numFmtId="10" fontId="9" fillId="4" borderId="20" xfId="6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8" xfId="0" applyFont="1" applyBorder="1" applyAlignment="1">
      <alignment horizontal="right"/>
    </xf>
    <xf numFmtId="165" fontId="21" fillId="5" borderId="21" xfId="1" applyFont="1" applyFill="1" applyBorder="1" applyAlignment="1">
      <alignment horizontal="right"/>
    </xf>
    <xf numFmtId="0" fontId="22" fillId="0" borderId="0" xfId="0" applyFont="1" applyAlignment="1">
      <alignment horizontal="left" vertical="center"/>
    </xf>
    <xf numFmtId="169" fontId="8" fillId="4" borderId="3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5" fontId="8" fillId="6" borderId="3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6" fillId="4" borderId="22" xfId="0" applyFont="1" applyFill="1" applyBorder="1" applyAlignment="1">
      <alignment vertical="center"/>
    </xf>
    <xf numFmtId="165" fontId="21" fillId="4" borderId="10" xfId="1" applyFont="1" applyFill="1" applyBorder="1" applyAlignment="1">
      <alignment horizontal="right"/>
    </xf>
    <xf numFmtId="0" fontId="8" fillId="4" borderId="11" xfId="0" applyFont="1" applyFill="1" applyBorder="1" applyAlignment="1">
      <alignment horizontal="right" vertical="center"/>
    </xf>
    <xf numFmtId="165" fontId="28" fillId="0" borderId="0" xfId="0" applyNumberFormat="1" applyFont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8" fillId="7" borderId="21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" fontId="6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0" fontId="36" fillId="0" borderId="0" xfId="0" applyFont="1"/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5" fontId="8" fillId="0" borderId="0" xfId="1" applyFont="1" applyAlignment="1">
      <alignment vertical="top"/>
    </xf>
    <xf numFmtId="4" fontId="8" fillId="0" borderId="0" xfId="1" applyNumberFormat="1" applyFont="1" applyAlignment="1">
      <alignment vertical="top"/>
    </xf>
    <xf numFmtId="49" fontId="8" fillId="0" borderId="0" xfId="2" applyNumberFormat="1" applyFont="1" applyAlignment="1">
      <alignment horizontal="center"/>
    </xf>
    <xf numFmtId="0" fontId="8" fillId="12" borderId="21" xfId="0" applyFont="1" applyFill="1" applyBorder="1" applyAlignment="1">
      <alignment horizontal="center" vertical="center"/>
    </xf>
    <xf numFmtId="0" fontId="18" fillId="0" borderId="0" xfId="0" applyFont="1"/>
    <xf numFmtId="0" fontId="40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8" fillId="4" borderId="10" xfId="0" applyFont="1" applyFill="1" applyBorder="1"/>
    <xf numFmtId="0" fontId="6" fillId="0" borderId="23" xfId="0" applyFont="1" applyBorder="1"/>
    <xf numFmtId="0" fontId="16" fillId="0" borderId="0" xfId="0" applyFont="1" applyAlignment="1">
      <alignment horizontal="center"/>
    </xf>
    <xf numFmtId="165" fontId="8" fillId="3" borderId="21" xfId="1" applyFont="1" applyFill="1" applyBorder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right"/>
    </xf>
    <xf numFmtId="2" fontId="4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3" fontId="8" fillId="8" borderId="21" xfId="0" applyNumberFormat="1" applyFont="1" applyFill="1" applyBorder="1" applyAlignment="1">
      <alignment horizontal="center"/>
    </xf>
    <xf numFmtId="0" fontId="22" fillId="4" borderId="10" xfId="0" applyFont="1" applyFill="1" applyBorder="1"/>
    <xf numFmtId="3" fontId="29" fillId="9" borderId="21" xfId="0" applyNumberFormat="1" applyFont="1" applyFill="1" applyBorder="1" applyAlignment="1">
      <alignment horizontal="center"/>
    </xf>
    <xf numFmtId="3" fontId="8" fillId="0" borderId="10" xfId="0" applyNumberFormat="1" applyFont="1" applyBorder="1" applyAlignment="1">
      <alignment horizontal="center"/>
    </xf>
    <xf numFmtId="165" fontId="8" fillId="0" borderId="3" xfId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 vertical="center"/>
    </xf>
    <xf numFmtId="165" fontId="10" fillId="0" borderId="0" xfId="1" applyFont="1" applyFill="1" applyBorder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6" applyNumberFormat="1" applyFont="1" applyFill="1" applyAlignment="1">
      <alignment vertical="center"/>
    </xf>
    <xf numFmtId="10" fontId="9" fillId="0" borderId="0" xfId="6" applyNumberFormat="1" applyFont="1" applyFill="1" applyAlignment="1">
      <alignment vertical="center"/>
    </xf>
    <xf numFmtId="165" fontId="6" fillId="0" borderId="0" xfId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65" fontId="16" fillId="0" borderId="0" xfId="1" applyFont="1" applyFill="1" applyAlignment="1">
      <alignment horizontal="center" vertical="center"/>
    </xf>
    <xf numFmtId="165" fontId="18" fillId="0" borderId="0" xfId="1" applyFont="1" applyFill="1" applyBorder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47" fillId="0" borderId="0" xfId="6" applyFont="1" applyFill="1" applyAlignment="1">
      <alignment horizontal="center"/>
    </xf>
    <xf numFmtId="4" fontId="16" fillId="0" borderId="0" xfId="1" applyNumberFormat="1" applyFont="1" applyFill="1" applyAlignment="1">
      <alignment vertical="center"/>
    </xf>
    <xf numFmtId="165" fontId="21" fillId="0" borderId="0" xfId="1" applyFont="1" applyFill="1" applyBorder="1" applyAlignment="1">
      <alignment horizontal="right"/>
    </xf>
    <xf numFmtId="165" fontId="8" fillId="0" borderId="3" xfId="1" applyFont="1" applyFill="1" applyBorder="1" applyAlignment="1">
      <alignment vertical="center"/>
    </xf>
    <xf numFmtId="4" fontId="16" fillId="0" borderId="0" xfId="2" applyNumberFormat="1" applyFont="1" applyFill="1" applyAlignment="1">
      <alignment horizontal="center" vertical="center"/>
    </xf>
    <xf numFmtId="10" fontId="23" fillId="0" borderId="0" xfId="6" applyNumberFormat="1" applyFont="1" applyFill="1" applyAlignment="1">
      <alignment horizontal="right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10" fontId="6" fillId="0" borderId="0" xfId="6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0" fontId="27" fillId="0" borderId="0" xfId="1" applyNumberFormat="1" applyFont="1" applyFill="1" applyAlignment="1">
      <alignment vertical="center"/>
    </xf>
    <xf numFmtId="10" fontId="9" fillId="0" borderId="0" xfId="6" applyNumberFormat="1" applyFont="1" applyFill="1" applyBorder="1" applyAlignment="1">
      <alignment vertical="center"/>
    </xf>
    <xf numFmtId="165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9" fontId="6" fillId="0" borderId="0" xfId="1" applyNumberFormat="1" applyFont="1" applyFill="1" applyAlignment="1">
      <alignment vertical="center"/>
    </xf>
    <xf numFmtId="4" fontId="15" fillId="0" borderId="0" xfId="1" applyNumberFormat="1" applyFont="1" applyFill="1" applyAlignment="1">
      <alignment vertical="center"/>
    </xf>
    <xf numFmtId="165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vertical="center"/>
    </xf>
    <xf numFmtId="165" fontId="24" fillId="0" borderId="0" xfId="1" applyFont="1" applyFill="1" applyBorder="1" applyAlignment="1">
      <alignment vertical="center"/>
    </xf>
    <xf numFmtId="165" fontId="6" fillId="0" borderId="0" xfId="1" applyFont="1" applyFill="1" applyBorder="1"/>
    <xf numFmtId="10" fontId="24" fillId="0" borderId="0" xfId="6" applyNumberFormat="1" applyFont="1" applyFill="1" applyBorder="1" applyAlignment="1">
      <alignment vertical="center"/>
    </xf>
    <xf numFmtId="165" fontId="6" fillId="0" borderId="0" xfId="1" applyFont="1" applyFill="1" applyBorder="1" applyAlignment="1">
      <alignment horizontal="center"/>
    </xf>
    <xf numFmtId="10" fontId="37" fillId="0" borderId="0" xfId="6" applyNumberFormat="1" applyFont="1" applyFill="1"/>
    <xf numFmtId="10" fontId="8" fillId="0" borderId="0" xfId="6" applyNumberFormat="1" applyFont="1" applyFill="1" applyAlignment="1">
      <alignment horizontal="right" vertical="center"/>
    </xf>
    <xf numFmtId="165" fontId="18" fillId="0" borderId="0" xfId="1" applyFont="1" applyFill="1" applyBorder="1" applyAlignment="1">
      <alignment vertical="center"/>
    </xf>
    <xf numFmtId="4" fontId="14" fillId="0" borderId="0" xfId="2" applyNumberFormat="1" applyFont="1" applyFill="1" applyBorder="1" applyAlignment="1">
      <alignment horizontal="center" vertical="center"/>
    </xf>
    <xf numFmtId="4" fontId="8" fillId="0" borderId="0" xfId="2" applyNumberFormat="1" applyFont="1" applyFill="1" applyBorder="1" applyAlignment="1">
      <alignment horizontal="center" vertical="center"/>
    </xf>
    <xf numFmtId="10" fontId="8" fillId="0" borderId="0" xfId="6" applyNumberFormat="1" applyFont="1" applyFill="1" applyAlignment="1">
      <alignment horizontal="right" vertical="top"/>
    </xf>
    <xf numFmtId="9" fontId="8" fillId="0" borderId="0" xfId="6" applyFont="1" applyFill="1" applyAlignment="1">
      <alignment horizontal="right" vertical="center"/>
    </xf>
    <xf numFmtId="165" fontId="40" fillId="0" borderId="0" xfId="1" applyFont="1" applyFill="1" applyBorder="1" applyAlignment="1">
      <alignment horizontal="center"/>
    </xf>
    <xf numFmtId="4" fontId="40" fillId="0" borderId="0" xfId="2" applyNumberFormat="1" applyFont="1" applyFill="1" applyBorder="1"/>
    <xf numFmtId="10" fontId="40" fillId="0" borderId="0" xfId="6" applyNumberFormat="1" applyFont="1" applyFill="1" applyAlignment="1">
      <alignment vertical="center"/>
    </xf>
    <xf numFmtId="49" fontId="40" fillId="0" borderId="0" xfId="2" applyNumberFormat="1" applyFont="1" applyFill="1" applyBorder="1" applyAlignment="1">
      <alignment horizontal="center"/>
    </xf>
    <xf numFmtId="49" fontId="41" fillId="0" borderId="0" xfId="2" applyNumberFormat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/>
    </xf>
    <xf numFmtId="165" fontId="8" fillId="0" borderId="24" xfId="1" applyFont="1" applyFill="1" applyBorder="1" applyAlignment="1">
      <alignment horizontal="center"/>
    </xf>
    <xf numFmtId="165" fontId="32" fillId="0" borderId="0" xfId="1" applyFont="1" applyFill="1" applyBorder="1" applyAlignment="1">
      <alignment horizontal="center"/>
    </xf>
    <xf numFmtId="9" fontId="16" fillId="0" borderId="0" xfId="1" applyNumberFormat="1" applyFont="1" applyFill="1" applyBorder="1" applyAlignment="1">
      <alignment vertical="top"/>
    </xf>
    <xf numFmtId="4" fontId="16" fillId="0" borderId="0" xfId="1" applyNumberFormat="1" applyFont="1" applyFill="1" applyBorder="1" applyAlignment="1">
      <alignment horizontal="center"/>
    </xf>
    <xf numFmtId="10" fontId="8" fillId="0" borderId="0" xfId="6" applyNumberFormat="1" applyFont="1" applyFill="1" applyBorder="1" applyAlignment="1">
      <alignment horizontal="right" vertical="top"/>
    </xf>
    <xf numFmtId="10" fontId="24" fillId="0" borderId="0" xfId="6" applyNumberFormat="1" applyFont="1" applyFill="1" applyBorder="1" applyAlignment="1">
      <alignment horizontal="right" vertical="top"/>
    </xf>
    <xf numFmtId="10" fontId="8" fillId="0" borderId="0" xfId="6" applyNumberFormat="1" applyFont="1" applyFill="1" applyAlignment="1">
      <alignment horizontal="right"/>
    </xf>
    <xf numFmtId="170" fontId="29" fillId="0" borderId="0" xfId="1" applyNumberFormat="1" applyFont="1" applyFill="1" applyAlignment="1">
      <alignment vertical="top"/>
    </xf>
    <xf numFmtId="10" fontId="29" fillId="0" borderId="0" xfId="6" applyNumberFormat="1" applyFont="1" applyFill="1" applyAlignment="1">
      <alignment horizontal="right"/>
    </xf>
    <xf numFmtId="10" fontId="46" fillId="0" borderId="0" xfId="6" applyNumberFormat="1" applyFont="1" applyFill="1" applyAlignment="1">
      <alignment horizontal="right"/>
    </xf>
    <xf numFmtId="165" fontId="22" fillId="0" borderId="0" xfId="1" applyFont="1" applyFill="1" applyBorder="1"/>
    <xf numFmtId="10" fontId="32" fillId="0" borderId="0" xfId="6" applyNumberFormat="1" applyFont="1" applyFill="1" applyAlignment="1">
      <alignment horizontal="right"/>
    </xf>
    <xf numFmtId="9" fontId="22" fillId="0" borderId="0" xfId="5" applyFont="1"/>
    <xf numFmtId="0" fontId="50" fillId="2" borderId="1" xfId="4" applyFont="1" applyFill="1" applyBorder="1" applyAlignment="1">
      <alignment horizontal="right"/>
    </xf>
    <xf numFmtId="0" fontId="51" fillId="2" borderId="2" xfId="4" applyFont="1" applyFill="1" applyBorder="1" applyAlignment="1">
      <alignment horizontal="center"/>
    </xf>
    <xf numFmtId="0" fontId="50" fillId="2" borderId="3" xfId="4" applyFont="1" applyFill="1" applyBorder="1" applyAlignment="1">
      <alignment horizontal="right"/>
    </xf>
    <xf numFmtId="49" fontId="49" fillId="2" borderId="4" xfId="4" applyNumberFormat="1" applyFont="1" applyFill="1" applyBorder="1" applyAlignment="1">
      <alignment horizontal="center"/>
    </xf>
    <xf numFmtId="0" fontId="49" fillId="2" borderId="12" xfId="4" applyFont="1" applyFill="1" applyBorder="1" applyAlignment="1">
      <alignment horizontal="right"/>
    </xf>
    <xf numFmtId="0" fontId="49" fillId="2" borderId="3" xfId="4" applyFont="1" applyFill="1" applyBorder="1" applyAlignment="1">
      <alignment horizontal="right"/>
    </xf>
    <xf numFmtId="14" fontId="52" fillId="2" borderId="0" xfId="4" applyNumberFormat="1" applyFont="1" applyFill="1" applyAlignment="1">
      <alignment horizontal="center" vertical="center" wrapText="1"/>
    </xf>
    <xf numFmtId="0" fontId="50" fillId="3" borderId="2" xfId="3" applyFont="1" applyFill="1" applyBorder="1" applyAlignment="1">
      <alignment horizontal="center" vertical="center" wrapText="1"/>
    </xf>
    <xf numFmtId="1" fontId="50" fillId="3" borderId="5" xfId="3" applyNumberFormat="1" applyFont="1" applyFill="1" applyBorder="1" applyAlignment="1">
      <alignment horizontal="center"/>
    </xf>
    <xf numFmtId="1" fontId="50" fillId="3" borderId="5" xfId="3" applyNumberFormat="1" applyFont="1" applyFill="1" applyBorder="1" applyAlignment="1">
      <alignment horizontal="center" wrapText="1"/>
    </xf>
    <xf numFmtId="0" fontId="50" fillId="3" borderId="15" xfId="3" applyFont="1" applyFill="1" applyBorder="1" applyAlignment="1">
      <alignment horizontal="center"/>
    </xf>
    <xf numFmtId="0" fontId="4" fillId="2" borderId="0" xfId="4" applyFont="1" applyFill="1" applyAlignment="1">
      <alignment horizontal="right"/>
    </xf>
    <xf numFmtId="0" fontId="52" fillId="2" borderId="40" xfId="4" applyFont="1" applyFill="1" applyBorder="1" applyAlignment="1">
      <alignment horizontal="center"/>
    </xf>
    <xf numFmtId="0" fontId="4" fillId="2" borderId="0" xfId="4" applyFont="1" applyFill="1"/>
    <xf numFmtId="0" fontId="50" fillId="3" borderId="34" xfId="3" applyFont="1" applyFill="1" applyBorder="1" applyAlignment="1">
      <alignment horizontal="center" vertical="center"/>
    </xf>
    <xf numFmtId="0" fontId="50" fillId="3" borderId="35" xfId="3" applyFont="1" applyFill="1" applyBorder="1" applyAlignment="1">
      <alignment horizontal="center" vertical="center"/>
    </xf>
    <xf numFmtId="0" fontId="50" fillId="3" borderId="34" xfId="3" applyFont="1" applyFill="1" applyBorder="1" applyAlignment="1">
      <alignment horizontal="center" vertical="center" wrapText="1"/>
    </xf>
    <xf numFmtId="0" fontId="50" fillId="3" borderId="35" xfId="3" applyFont="1" applyFill="1" applyBorder="1" applyAlignment="1">
      <alignment horizontal="center" vertical="center" wrapText="1"/>
    </xf>
    <xf numFmtId="0" fontId="50" fillId="3" borderId="1" xfId="3" applyFont="1" applyFill="1" applyBorder="1" applyAlignment="1">
      <alignment horizontal="center" vertical="center"/>
    </xf>
    <xf numFmtId="0" fontId="50" fillId="3" borderId="5" xfId="3" applyFont="1" applyFill="1" applyBorder="1" applyAlignment="1">
      <alignment horizontal="center" vertical="center"/>
    </xf>
    <xf numFmtId="14" fontId="49" fillId="2" borderId="50" xfId="4" applyNumberFormat="1" applyFont="1" applyFill="1" applyBorder="1" applyAlignment="1">
      <alignment horizontal="center" vertical="center" wrapText="1"/>
    </xf>
    <xf numFmtId="14" fontId="49" fillId="2" borderId="51" xfId="4" applyNumberFormat="1" applyFont="1" applyFill="1" applyBorder="1" applyAlignment="1">
      <alignment horizontal="center" vertical="center" wrapText="1"/>
    </xf>
    <xf numFmtId="14" fontId="49" fillId="2" borderId="14" xfId="4" applyNumberFormat="1" applyFont="1" applyFill="1" applyBorder="1" applyAlignment="1">
      <alignment horizontal="center" vertical="center" wrapText="1"/>
    </xf>
    <xf numFmtId="0" fontId="49" fillId="2" borderId="37" xfId="4" applyFont="1" applyFill="1" applyBorder="1" applyAlignment="1">
      <alignment horizontal="left"/>
    </xf>
    <xf numFmtId="0" fontId="49" fillId="2" borderId="38" xfId="4" applyFont="1" applyFill="1" applyBorder="1" applyAlignment="1">
      <alignment horizontal="left"/>
    </xf>
    <xf numFmtId="0" fontId="49" fillId="2" borderId="39" xfId="4" applyFont="1" applyFill="1" applyBorder="1" applyAlignment="1">
      <alignment horizontal="left"/>
    </xf>
    <xf numFmtId="0" fontId="49" fillId="2" borderId="27" xfId="4" applyFont="1" applyFill="1" applyBorder="1" applyAlignment="1">
      <alignment horizontal="left"/>
    </xf>
    <xf numFmtId="0" fontId="49" fillId="2" borderId="36" xfId="4" applyFont="1" applyFill="1" applyBorder="1" applyAlignment="1">
      <alignment horizontal="left"/>
    </xf>
    <xf numFmtId="0" fontId="49" fillId="2" borderId="26" xfId="4" applyFont="1" applyFill="1" applyBorder="1" applyAlignment="1">
      <alignment horizontal="left"/>
    </xf>
    <xf numFmtId="0" fontId="51" fillId="2" borderId="42" xfId="4" applyFont="1" applyFill="1" applyBorder="1" applyAlignment="1">
      <alignment horizontal="center"/>
    </xf>
    <xf numFmtId="0" fontId="51" fillId="2" borderId="57" xfId="4" applyFont="1" applyFill="1" applyBorder="1" applyAlignment="1">
      <alignment horizontal="center"/>
    </xf>
    <xf numFmtId="0" fontId="51" fillId="2" borderId="7" xfId="4" applyFont="1" applyFill="1" applyBorder="1" applyAlignment="1">
      <alignment horizontal="center"/>
    </xf>
    <xf numFmtId="0" fontId="51" fillId="2" borderId="46" xfId="4" applyFont="1" applyFill="1" applyBorder="1" applyAlignment="1">
      <alignment horizontal="center"/>
    </xf>
    <xf numFmtId="0" fontId="50" fillId="2" borderId="1" xfId="4" applyFont="1" applyFill="1" applyBorder="1" applyAlignment="1">
      <alignment horizontal="center"/>
    </xf>
    <xf numFmtId="0" fontId="50" fillId="2" borderId="48" xfId="4" applyFont="1" applyFill="1" applyBorder="1" applyAlignment="1">
      <alignment horizontal="center"/>
    </xf>
    <xf numFmtId="0" fontId="50" fillId="2" borderId="49" xfId="4" applyFont="1" applyFill="1" applyBorder="1" applyAlignment="1">
      <alignment horizontal="right" vertical="top" wrapText="1"/>
    </xf>
    <xf numFmtId="0" fontId="50" fillId="2" borderId="46" xfId="4" applyFont="1" applyFill="1" applyBorder="1" applyAlignment="1">
      <alignment horizontal="right" vertical="top" wrapText="1"/>
    </xf>
    <xf numFmtId="0" fontId="50" fillId="2" borderId="47" xfId="4" applyFont="1" applyFill="1" applyBorder="1" applyAlignment="1">
      <alignment horizontal="right" vertical="top" wrapText="1"/>
    </xf>
    <xf numFmtId="0" fontId="16" fillId="0" borderId="0" xfId="0" applyFont="1" applyAlignment="1">
      <alignment horizontal="center" vertical="center"/>
    </xf>
    <xf numFmtId="0" fontId="32" fillId="0" borderId="9" xfId="0" applyFont="1" applyBorder="1" applyAlignment="1">
      <alignment horizontal="right" vertical="center"/>
    </xf>
    <xf numFmtId="0" fontId="32" fillId="0" borderId="10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40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9" xfId="0" applyFont="1" applyFill="1" applyBorder="1" applyAlignment="1">
      <alignment horizontal="right"/>
    </xf>
    <xf numFmtId="0" fontId="21" fillId="4" borderId="10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8" fillId="0" borderId="40" xfId="0" applyFont="1" applyBorder="1" applyAlignment="1">
      <alignment horizontal="right" vertical="center"/>
    </xf>
    <xf numFmtId="0" fontId="8" fillId="0" borderId="43" xfId="0" applyFont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0" xfId="0" applyFont="1" applyFill="1" applyBorder="1" applyAlignment="1">
      <alignment horizontal="right" vertical="center"/>
    </xf>
    <xf numFmtId="0" fontId="8" fillId="8" borderId="11" xfId="0" applyFont="1" applyFill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24" fillId="0" borderId="3" xfId="0" applyFont="1" applyBorder="1" applyAlignment="1">
      <alignment horizontal="right" vertical="center"/>
    </xf>
    <xf numFmtId="0" fontId="25" fillId="0" borderId="7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6" fillId="0" borderId="3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7" fillId="0" borderId="42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11" fillId="0" borderId="4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right"/>
    </xf>
    <xf numFmtId="0" fontId="7" fillId="4" borderId="10" xfId="0" applyFont="1" applyFill="1" applyBorder="1" applyAlignment="1">
      <alignment horizontal="right"/>
    </xf>
    <xf numFmtId="10" fontId="48" fillId="13" borderId="19" xfId="6" applyNumberFormat="1" applyFont="1" applyFill="1" applyBorder="1" applyAlignment="1">
      <alignment horizontal="center" vertical="center" wrapText="1"/>
    </xf>
    <xf numFmtId="10" fontId="48" fillId="13" borderId="22" xfId="6" applyNumberFormat="1" applyFont="1" applyFill="1" applyBorder="1" applyAlignment="1">
      <alignment horizontal="center" vertical="center"/>
    </xf>
    <xf numFmtId="165" fontId="35" fillId="0" borderId="19" xfId="1" applyFont="1" applyFill="1" applyBorder="1" applyAlignment="1">
      <alignment horizontal="center" vertical="center"/>
    </xf>
    <xf numFmtId="165" fontId="35" fillId="0" borderId="22" xfId="1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44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8" xfId="0" applyFont="1" applyBorder="1" applyAlignment="1">
      <alignment horizontal="right"/>
    </xf>
    <xf numFmtId="0" fontId="53" fillId="5" borderId="27" xfId="4" applyFont="1" applyFill="1" applyBorder="1" applyAlignment="1">
      <alignment horizontal="center" vertical="center" wrapText="1"/>
    </xf>
    <xf numFmtId="0" fontId="53" fillId="5" borderId="36" xfId="4" applyFont="1" applyFill="1" applyBorder="1" applyAlignment="1">
      <alignment horizontal="center" vertical="center" wrapText="1"/>
    </xf>
    <xf numFmtId="0" fontId="53" fillId="5" borderId="26" xfId="4" applyFont="1" applyFill="1" applyBorder="1" applyAlignment="1">
      <alignment horizontal="center" vertical="center" wrapText="1"/>
    </xf>
    <xf numFmtId="0" fontId="54" fillId="0" borderId="6" xfId="3" applyFont="1" applyBorder="1" applyAlignment="1">
      <alignment horizontal="center" vertical="center"/>
    </xf>
    <xf numFmtId="0" fontId="54" fillId="0" borderId="26" xfId="3" applyFont="1" applyBorder="1" applyAlignment="1">
      <alignment horizontal="center" vertical="center"/>
    </xf>
    <xf numFmtId="0" fontId="55" fillId="0" borderId="3" xfId="3" applyFont="1" applyBorder="1" applyAlignment="1">
      <alignment vertical="center"/>
    </xf>
    <xf numFmtId="0" fontId="54" fillId="0" borderId="3" xfId="3" applyFont="1" applyBorder="1" applyAlignment="1">
      <alignment horizontal="center" vertical="center"/>
    </xf>
    <xf numFmtId="1" fontId="54" fillId="0" borderId="3" xfId="3" applyNumberFormat="1" applyFont="1" applyBorder="1" applyAlignment="1">
      <alignment horizontal="center"/>
    </xf>
    <xf numFmtId="1" fontId="54" fillId="0" borderId="3" xfId="3" applyNumberFormat="1" applyFont="1" applyBorder="1" applyAlignment="1">
      <alignment horizontal="center" wrapText="1"/>
    </xf>
    <xf numFmtId="0" fontId="56" fillId="0" borderId="4" xfId="3" applyFont="1" applyBorder="1" applyAlignment="1">
      <alignment horizontal="center"/>
    </xf>
    <xf numFmtId="0" fontId="56" fillId="0" borderId="12" xfId="0" applyFont="1" applyBorder="1" applyAlignment="1">
      <alignment horizontal="center" vertical="center"/>
    </xf>
    <xf numFmtId="0" fontId="56" fillId="0" borderId="12" xfId="0" applyFont="1" applyBorder="1" applyAlignment="1">
      <alignment vertical="center"/>
    </xf>
    <xf numFmtId="16" fontId="56" fillId="0" borderId="12" xfId="3" applyNumberFormat="1" applyFont="1" applyBorder="1" applyAlignment="1">
      <alignment horizontal="center" vertical="center"/>
    </xf>
    <xf numFmtId="1" fontId="56" fillId="0" borderId="12" xfId="3" applyNumberFormat="1" applyFont="1" applyBorder="1" applyAlignment="1">
      <alignment horizontal="center" vertical="center"/>
    </xf>
    <xf numFmtId="1" fontId="56" fillId="0" borderId="12" xfId="3" applyNumberFormat="1" applyFont="1" applyBorder="1" applyAlignment="1">
      <alignment horizontal="center" vertical="center" wrapText="1"/>
    </xf>
    <xf numFmtId="49" fontId="56" fillId="0" borderId="3" xfId="3" applyNumberFormat="1" applyFont="1" applyBorder="1" applyAlignment="1">
      <alignment horizontal="center"/>
    </xf>
    <xf numFmtId="49" fontId="56" fillId="0" borderId="3" xfId="3" applyNumberFormat="1" applyFont="1" applyBorder="1"/>
    <xf numFmtId="16" fontId="56" fillId="0" borderId="12" xfId="3" applyNumberFormat="1" applyFont="1" applyBorder="1" applyAlignment="1">
      <alignment horizontal="center"/>
    </xf>
    <xf numFmtId="1" fontId="56" fillId="0" borderId="12" xfId="3" applyNumberFormat="1" applyFont="1" applyBorder="1" applyAlignment="1">
      <alignment horizontal="center"/>
    </xf>
    <xf numFmtId="0" fontId="56" fillId="0" borderId="12" xfId="0" applyFont="1" applyBorder="1" applyAlignment="1">
      <alignment horizontal="center"/>
    </xf>
    <xf numFmtId="1" fontId="54" fillId="0" borderId="3" xfId="0" applyNumberFormat="1" applyFont="1" applyBorder="1" applyAlignment="1">
      <alignment horizontal="center"/>
    </xf>
    <xf numFmtId="0" fontId="56" fillId="0" borderId="3" xfId="7" applyFont="1" applyBorder="1" applyAlignment="1">
      <alignment horizontal="center"/>
    </xf>
    <xf numFmtId="49" fontId="54" fillId="0" borderId="3" xfId="3" applyNumberFormat="1" applyFont="1" applyBorder="1"/>
    <xf numFmtId="1" fontId="56" fillId="0" borderId="3" xfId="3" applyNumberFormat="1" applyFont="1" applyBorder="1" applyAlignment="1">
      <alignment horizontal="center" wrapText="1"/>
    </xf>
    <xf numFmtId="1" fontId="56" fillId="0" borderId="3" xfId="0" applyNumberFormat="1" applyFont="1" applyBorder="1" applyAlignment="1">
      <alignment horizontal="center"/>
    </xf>
    <xf numFmtId="1" fontId="56" fillId="0" borderId="12" xfId="3" applyNumberFormat="1" applyFont="1" applyBorder="1" applyAlignment="1">
      <alignment horizontal="center" wrapText="1"/>
    </xf>
    <xf numFmtId="49" fontId="56" fillId="0" borderId="6" xfId="0" applyNumberFormat="1" applyFont="1" applyBorder="1" applyAlignment="1">
      <alignment horizontal="center"/>
    </xf>
    <xf numFmtId="49" fontId="56" fillId="0" borderId="26" xfId="0" applyNumberFormat="1" applyFont="1" applyBorder="1" applyAlignment="1">
      <alignment horizontal="center"/>
    </xf>
    <xf numFmtId="49" fontId="56" fillId="0" borderId="3" xfId="0" applyNumberFormat="1" applyFont="1" applyBorder="1"/>
    <xf numFmtId="0" fontId="56" fillId="0" borderId="3" xfId="0" applyFont="1" applyBorder="1" applyAlignment="1">
      <alignment horizontal="center"/>
    </xf>
    <xf numFmtId="1" fontId="56" fillId="0" borderId="3" xfId="0" applyNumberFormat="1" applyFont="1" applyBorder="1" applyAlignment="1">
      <alignment horizontal="center" wrapText="1"/>
    </xf>
    <xf numFmtId="0" fontId="56" fillId="0" borderId="52" xfId="0" applyFont="1" applyBorder="1" applyAlignment="1">
      <alignment horizontal="center" vertical="center"/>
    </xf>
    <xf numFmtId="0" fontId="56" fillId="0" borderId="53" xfId="0" applyFont="1" applyBorder="1" applyAlignment="1">
      <alignment horizontal="center" vertical="center"/>
    </xf>
    <xf numFmtId="0" fontId="56" fillId="0" borderId="53" xfId="0" applyFont="1" applyBorder="1" applyAlignment="1">
      <alignment horizontal="left" vertical="center"/>
    </xf>
    <xf numFmtId="171" fontId="56" fillId="0" borderId="12" xfId="0" applyNumberFormat="1" applyFont="1" applyBorder="1" applyAlignment="1">
      <alignment horizontal="center" wrapText="1"/>
    </xf>
    <xf numFmtId="0" fontId="56" fillId="0" borderId="3" xfId="0" applyFont="1" applyBorder="1" applyAlignment="1">
      <alignment horizontal="center" vertical="center"/>
    </xf>
    <xf numFmtId="0" fontId="56" fillId="0" borderId="3" xfId="0" applyFont="1" applyBorder="1" applyAlignment="1">
      <alignment horizontal="left" vertical="center"/>
    </xf>
    <xf numFmtId="0" fontId="54" fillId="0" borderId="3" xfId="0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0" fontId="56" fillId="0" borderId="3" xfId="0" applyFont="1" applyBorder="1"/>
    <xf numFmtId="16" fontId="56" fillId="0" borderId="3" xfId="3" applyNumberFormat="1" applyFont="1" applyBorder="1" applyAlignment="1">
      <alignment horizontal="center"/>
    </xf>
    <xf numFmtId="1" fontId="56" fillId="0" borderId="0" xfId="3" applyNumberFormat="1" applyFont="1" applyAlignment="1">
      <alignment horizontal="center"/>
    </xf>
    <xf numFmtId="1" fontId="56" fillId="0" borderId="0" xfId="3" applyNumberFormat="1" applyFont="1" applyAlignment="1">
      <alignment horizontal="center" wrapText="1"/>
    </xf>
    <xf numFmtId="2" fontId="56" fillId="0" borderId="12" xfId="3" applyNumberFormat="1" applyFont="1" applyBorder="1" applyAlignment="1">
      <alignment horizontal="center"/>
    </xf>
    <xf numFmtId="0" fontId="56" fillId="10" borderId="3" xfId="0" applyFont="1" applyFill="1" applyBorder="1"/>
    <xf numFmtId="1" fontId="56" fillId="0" borderId="3" xfId="3" applyNumberFormat="1" applyFont="1" applyBorder="1" applyAlignment="1">
      <alignment horizontal="center"/>
    </xf>
    <xf numFmtId="0" fontId="56" fillId="0" borderId="12" xfId="3" applyFont="1" applyBorder="1" applyAlignment="1">
      <alignment horizontal="center"/>
    </xf>
    <xf numFmtId="49" fontId="56" fillId="0" borderId="6" xfId="3" applyNumberFormat="1" applyFont="1" applyBorder="1" applyAlignment="1">
      <alignment horizontal="center"/>
    </xf>
    <xf numFmtId="49" fontId="56" fillId="0" borderId="26" xfId="3" applyNumberFormat="1" applyFont="1" applyBorder="1" applyAlignment="1">
      <alignment horizontal="center"/>
    </xf>
    <xf numFmtId="0" fontId="54" fillId="10" borderId="3" xfId="3" applyFont="1" applyFill="1" applyBorder="1" applyAlignment="1">
      <alignment horizontal="left"/>
    </xf>
    <xf numFmtId="0" fontId="56" fillId="0" borderId="3" xfId="3" applyFont="1" applyBorder="1" applyAlignment="1">
      <alignment horizontal="center"/>
    </xf>
    <xf numFmtId="172" fontId="56" fillId="0" borderId="3" xfId="3" applyNumberFormat="1" applyFont="1" applyBorder="1" applyAlignment="1">
      <alignment horizontal="center"/>
    </xf>
    <xf numFmtId="0" fontId="56" fillId="10" borderId="0" xfId="0" applyFont="1" applyFill="1" applyAlignment="1">
      <alignment horizontal="center"/>
    </xf>
    <xf numFmtId="0" fontId="56" fillId="10" borderId="3" xfId="0" applyFont="1" applyFill="1" applyBorder="1" applyAlignment="1">
      <alignment horizontal="center"/>
    </xf>
    <xf numFmtId="0" fontId="56" fillId="10" borderId="0" xfId="0" applyFont="1" applyFill="1"/>
    <xf numFmtId="0" fontId="56" fillId="10" borderId="3" xfId="0" applyFont="1" applyFill="1" applyBorder="1" applyAlignment="1">
      <alignment horizontal="center" vertical="center"/>
    </xf>
    <xf numFmtId="49" fontId="56" fillId="0" borderId="3" xfId="0" applyNumberFormat="1" applyFont="1" applyBorder="1" applyAlignment="1">
      <alignment horizontal="center"/>
    </xf>
    <xf numFmtId="0" fontId="57" fillId="10" borderId="3" xfId="8" applyFont="1" applyFill="1" applyBorder="1" applyAlignment="1">
      <alignment horizontal="center"/>
    </xf>
    <xf numFmtId="0" fontId="57" fillId="10" borderId="3" xfId="8" applyFont="1" applyFill="1" applyBorder="1"/>
    <xf numFmtId="49" fontId="56" fillId="10" borderId="6" xfId="0" applyNumberFormat="1" applyFont="1" applyFill="1" applyBorder="1" applyAlignment="1">
      <alignment horizontal="center" vertical="center"/>
    </xf>
    <xf numFmtId="49" fontId="56" fillId="10" borderId="3" xfId="0" applyNumberFormat="1" applyFont="1" applyFill="1" applyBorder="1" applyAlignment="1">
      <alignment vertical="center"/>
    </xf>
    <xf numFmtId="16" fontId="56" fillId="0" borderId="3" xfId="0" applyNumberFormat="1" applyFont="1" applyBorder="1" applyAlignment="1">
      <alignment horizontal="center"/>
    </xf>
    <xf numFmtId="1" fontId="56" fillId="0" borderId="3" xfId="9" applyNumberFormat="1" applyFont="1" applyBorder="1" applyAlignment="1">
      <alignment horizontal="center"/>
    </xf>
    <xf numFmtId="1" fontId="56" fillId="0" borderId="3" xfId="9" applyNumberFormat="1" applyFont="1" applyBorder="1" applyAlignment="1">
      <alignment horizontal="center" wrapText="1"/>
    </xf>
    <xf numFmtId="49" fontId="54" fillId="0" borderId="25" xfId="3" applyNumberFormat="1" applyFont="1" applyBorder="1" applyAlignment="1">
      <alignment horizontal="center"/>
    </xf>
    <xf numFmtId="49" fontId="54" fillId="0" borderId="36" xfId="3" applyNumberFormat="1" applyFont="1" applyBorder="1" applyAlignment="1">
      <alignment horizontal="center"/>
    </xf>
    <xf numFmtId="0" fontId="55" fillId="10" borderId="3" xfId="3" applyFont="1" applyFill="1" applyBorder="1" applyAlignment="1">
      <alignment vertical="center"/>
    </xf>
    <xf numFmtId="0" fontId="54" fillId="0" borderId="26" xfId="3" applyFont="1" applyBorder="1" applyAlignment="1">
      <alignment horizontal="center"/>
    </xf>
    <xf numFmtId="2" fontId="56" fillId="0" borderId="3" xfId="3" applyNumberFormat="1" applyFont="1" applyBorder="1" applyAlignment="1">
      <alignment horizontal="center"/>
    </xf>
    <xf numFmtId="0" fontId="56" fillId="0" borderId="0" xfId="0" applyFont="1"/>
    <xf numFmtId="12" fontId="56" fillId="0" borderId="3" xfId="3" applyNumberFormat="1" applyFont="1" applyBorder="1" applyAlignment="1">
      <alignment horizontal="center"/>
    </xf>
    <xf numFmtId="49" fontId="56" fillId="0" borderId="6" xfId="0" applyNumberFormat="1" applyFont="1" applyBorder="1" applyAlignment="1">
      <alignment horizontal="center" vertical="center"/>
    </xf>
    <xf numFmtId="49" fontId="56" fillId="0" borderId="26" xfId="0" applyNumberFormat="1" applyFont="1" applyBorder="1" applyAlignment="1">
      <alignment horizontal="center" vertical="center"/>
    </xf>
    <xf numFmtId="49" fontId="56" fillId="0" borderId="3" xfId="0" applyNumberFormat="1" applyFont="1" applyBorder="1" applyAlignment="1">
      <alignment vertical="center"/>
    </xf>
    <xf numFmtId="49" fontId="56" fillId="0" borderId="3" xfId="0" applyNumberFormat="1" applyFont="1" applyBorder="1" applyAlignment="1">
      <alignment horizontal="center" vertical="center"/>
    </xf>
    <xf numFmtId="1" fontId="56" fillId="0" borderId="12" xfId="0" applyNumberFormat="1" applyFont="1" applyBorder="1" applyAlignment="1">
      <alignment horizontal="center" wrapText="1"/>
    </xf>
    <xf numFmtId="0" fontId="56" fillId="0" borderId="3" xfId="0" quotePrefix="1" applyFont="1" applyBorder="1"/>
    <xf numFmtId="0" fontId="56" fillId="0" borderId="0" xfId="0" applyFont="1" applyAlignment="1">
      <alignment horizontal="center"/>
    </xf>
    <xf numFmtId="49" fontId="58" fillId="2" borderId="7" xfId="3" applyNumberFormat="1" applyFont="1" applyFill="1" applyBorder="1" applyAlignment="1">
      <alignment horizontal="center" vertical="center"/>
    </xf>
    <xf numFmtId="49" fontId="58" fillId="2" borderId="0" xfId="3" applyNumberFormat="1" applyFont="1" applyFill="1" applyAlignment="1">
      <alignment horizontal="center" vertical="center"/>
    </xf>
    <xf numFmtId="0" fontId="56" fillId="2" borderId="0" xfId="3" applyFont="1" applyFill="1"/>
    <xf numFmtId="1" fontId="56" fillId="2" borderId="0" xfId="3" applyNumberFormat="1" applyFont="1" applyFill="1" applyAlignment="1">
      <alignment horizontal="center"/>
    </xf>
    <xf numFmtId="167" fontId="56" fillId="2" borderId="0" xfId="3" applyNumberFormat="1" applyFont="1" applyFill="1" applyAlignment="1">
      <alignment horizontal="center" wrapText="1"/>
    </xf>
    <xf numFmtId="0" fontId="56" fillId="2" borderId="8" xfId="3" applyFont="1" applyFill="1" applyBorder="1" applyAlignment="1">
      <alignment horizontal="center"/>
    </xf>
    <xf numFmtId="0" fontId="56" fillId="3" borderId="9" xfId="3" applyFont="1" applyFill="1" applyBorder="1" applyAlignment="1">
      <alignment horizontal="center"/>
    </xf>
    <xf numFmtId="0" fontId="56" fillId="3" borderId="10" xfId="3" applyFont="1" applyFill="1" applyBorder="1" applyAlignment="1">
      <alignment horizontal="center"/>
    </xf>
    <xf numFmtId="0" fontId="56" fillId="3" borderId="10" xfId="3" applyFont="1" applyFill="1" applyBorder="1"/>
    <xf numFmtId="0" fontId="54" fillId="3" borderId="10" xfId="3" applyFont="1" applyFill="1" applyBorder="1" applyAlignment="1">
      <alignment horizontal="center"/>
    </xf>
    <xf numFmtId="1" fontId="54" fillId="3" borderId="10" xfId="3" applyNumberFormat="1" applyFont="1" applyFill="1" applyBorder="1" applyAlignment="1">
      <alignment horizontal="center"/>
    </xf>
    <xf numFmtId="167" fontId="56" fillId="3" borderId="10" xfId="3" applyNumberFormat="1" applyFont="1" applyFill="1" applyBorder="1" applyAlignment="1">
      <alignment horizontal="center" wrapText="1"/>
    </xf>
    <xf numFmtId="0" fontId="56" fillId="3" borderId="11" xfId="3" applyFont="1" applyFill="1" applyBorder="1" applyAlignment="1">
      <alignment horizontal="center"/>
    </xf>
    <xf numFmtId="0" fontId="54" fillId="0" borderId="29" xfId="3" applyFont="1" applyBorder="1" applyAlignment="1">
      <alignment horizontal="right"/>
    </xf>
    <xf numFmtId="0" fontId="54" fillId="0" borderId="30" xfId="3" applyFont="1" applyBorder="1" applyAlignment="1">
      <alignment horizontal="right"/>
    </xf>
    <xf numFmtId="0" fontId="54" fillId="0" borderId="41" xfId="3" applyFont="1" applyBorder="1" applyAlignment="1">
      <alignment horizontal="right"/>
    </xf>
    <xf numFmtId="1" fontId="56" fillId="0" borderId="12" xfId="0" applyNumberFormat="1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167" fontId="56" fillId="0" borderId="12" xfId="3" applyNumberFormat="1" applyFont="1" applyBorder="1" applyAlignment="1">
      <alignment horizontal="right"/>
    </xf>
    <xf numFmtId="0" fontId="56" fillId="2" borderId="13" xfId="3" applyFont="1" applyFill="1" applyBorder="1" applyAlignment="1">
      <alignment horizontal="center"/>
    </xf>
    <xf numFmtId="0" fontId="56" fillId="2" borderId="31" xfId="3" applyFont="1" applyFill="1" applyBorder="1" applyAlignment="1">
      <alignment horizontal="center"/>
    </xf>
    <xf numFmtId="0" fontId="54" fillId="0" borderId="25" xfId="3" applyFont="1" applyBorder="1" applyAlignment="1">
      <alignment horizontal="right"/>
    </xf>
    <xf numFmtId="0" fontId="54" fillId="0" borderId="36" xfId="3" applyFont="1" applyBorder="1" applyAlignment="1">
      <alignment horizontal="right"/>
    </xf>
    <xf numFmtId="0" fontId="54" fillId="0" borderId="26" xfId="3" applyFont="1" applyBorder="1" applyAlignment="1">
      <alignment horizontal="right"/>
    </xf>
    <xf numFmtId="0" fontId="56" fillId="0" borderId="3" xfId="3" applyFont="1" applyBorder="1" applyAlignment="1">
      <alignment horizontal="right"/>
    </xf>
    <xf numFmtId="167" fontId="56" fillId="0" borderId="27" xfId="3" applyNumberFormat="1" applyFont="1" applyBorder="1" applyAlignment="1">
      <alignment horizontal="center"/>
    </xf>
    <xf numFmtId="167" fontId="56" fillId="0" borderId="28" xfId="3" applyNumberFormat="1" applyFont="1" applyBorder="1" applyAlignment="1">
      <alignment horizontal="center"/>
    </xf>
    <xf numFmtId="167" fontId="56" fillId="0" borderId="27" xfId="3" applyNumberFormat="1" applyFont="1" applyBorder="1" applyAlignment="1">
      <alignment horizontal="right" wrapText="1"/>
    </xf>
    <xf numFmtId="167" fontId="56" fillId="0" borderId="26" xfId="3" applyNumberFormat="1" applyFont="1" applyBorder="1" applyAlignment="1">
      <alignment horizontal="right" wrapText="1"/>
    </xf>
    <xf numFmtId="0" fontId="54" fillId="0" borderId="35" xfId="3" applyFont="1" applyBorder="1" applyAlignment="1">
      <alignment horizontal="right"/>
    </xf>
    <xf numFmtId="0" fontId="54" fillId="0" borderId="45" xfId="3" applyFont="1" applyBorder="1" applyAlignment="1">
      <alignment horizontal="right"/>
    </xf>
    <xf numFmtId="0" fontId="54" fillId="0" borderId="5" xfId="3" applyFont="1" applyBorder="1" applyAlignment="1">
      <alignment horizontal="right"/>
    </xf>
    <xf numFmtId="1" fontId="56" fillId="0" borderId="5" xfId="0" applyNumberFormat="1" applyFont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6" fillId="0" borderId="5" xfId="3" applyFont="1" applyBorder="1" applyAlignment="1">
      <alignment horizontal="right"/>
    </xf>
    <xf numFmtId="167" fontId="56" fillId="0" borderId="32" xfId="3" applyNumberFormat="1" applyFont="1" applyBorder="1" applyAlignment="1">
      <alignment horizontal="center"/>
    </xf>
    <xf numFmtId="167" fontId="56" fillId="0" borderId="33" xfId="3" applyNumberFormat="1" applyFont="1" applyBorder="1" applyAlignment="1">
      <alignment horizontal="center"/>
    </xf>
    <xf numFmtId="0" fontId="54" fillId="0" borderId="29" xfId="3" applyFont="1" applyBorder="1" applyAlignment="1">
      <alignment horizontal="left" wrapText="1"/>
    </xf>
    <xf numFmtId="0" fontId="54" fillId="0" borderId="30" xfId="3" applyFont="1" applyBorder="1" applyAlignment="1">
      <alignment horizontal="left" wrapText="1"/>
    </xf>
    <xf numFmtId="0" fontId="54" fillId="0" borderId="31" xfId="3" applyFont="1" applyBorder="1" applyAlignment="1">
      <alignment horizontal="left" wrapText="1"/>
    </xf>
    <xf numFmtId="0" fontId="54" fillId="0" borderId="25" xfId="3" applyFont="1" applyBorder="1" applyAlignment="1">
      <alignment horizontal="left" wrapText="1"/>
    </xf>
    <xf numFmtId="0" fontId="54" fillId="0" borderId="36" xfId="3" applyFont="1" applyBorder="1" applyAlignment="1">
      <alignment horizontal="left" wrapText="1"/>
    </xf>
    <xf numFmtId="0" fontId="54" fillId="0" borderId="28" xfId="3" applyFont="1" applyBorder="1" applyAlignment="1">
      <alignment horizontal="left" wrapText="1"/>
    </xf>
    <xf numFmtId="0" fontId="56" fillId="0" borderId="25" xfId="0" applyFont="1" applyBorder="1" applyAlignment="1">
      <alignment horizontal="left"/>
    </xf>
    <xf numFmtId="0" fontId="56" fillId="0" borderId="36" xfId="0" applyFont="1" applyBorder="1" applyAlignment="1">
      <alignment horizontal="left"/>
    </xf>
    <xf numFmtId="0" fontId="56" fillId="0" borderId="28" xfId="0" applyFont="1" applyBorder="1" applyAlignment="1">
      <alignment horizontal="left"/>
    </xf>
    <xf numFmtId="0" fontId="56" fillId="0" borderId="54" xfId="3" applyFont="1" applyBorder="1" applyAlignment="1">
      <alignment horizontal="left"/>
    </xf>
    <xf numFmtId="0" fontId="56" fillId="0" borderId="55" xfId="3" applyFont="1" applyBorder="1" applyAlignment="1">
      <alignment horizontal="left"/>
    </xf>
    <xf numFmtId="0" fontId="56" fillId="0" borderId="33" xfId="3" applyFont="1" applyBorder="1" applyAlignment="1">
      <alignment horizontal="left"/>
    </xf>
    <xf numFmtId="0" fontId="54" fillId="14" borderId="56" xfId="4" applyFont="1" applyFill="1" applyBorder="1" applyAlignment="1">
      <alignment horizontal="center"/>
    </xf>
    <xf numFmtId="0" fontId="54" fillId="14" borderId="23" xfId="4" applyFont="1" applyFill="1" applyBorder="1" applyAlignment="1">
      <alignment horizontal="center"/>
    </xf>
    <xf numFmtId="0" fontId="56" fillId="10" borderId="3" xfId="4" applyFont="1" applyFill="1" applyBorder="1"/>
    <xf numFmtId="0" fontId="56" fillId="2" borderId="3" xfId="4" applyFont="1" applyFill="1" applyBorder="1" applyAlignment="1">
      <alignment horizontal="left"/>
    </xf>
    <xf numFmtId="0" fontId="54" fillId="3" borderId="9" xfId="3" applyFont="1" applyFill="1" applyBorder="1" applyAlignment="1">
      <alignment horizontal="center"/>
    </xf>
    <xf numFmtId="0" fontId="54" fillId="3" borderId="10" xfId="3" applyFont="1" applyFill="1" applyBorder="1" applyAlignment="1">
      <alignment horizontal="center"/>
    </xf>
    <xf numFmtId="0" fontId="54" fillId="3" borderId="11" xfId="3" applyFont="1" applyFill="1" applyBorder="1" applyAlignment="1">
      <alignment horizontal="center"/>
    </xf>
  </cellXfs>
  <cellStyles count="10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3" xfId="8" xr:uid="{55D24AC9-6D56-490B-BFCE-BB34C6CBD9DB}"/>
    <cellStyle name="Normal 3 2" xfId="9" xr:uid="{8480BFA4-9C32-451C-A81A-5D1FFE1210CA}"/>
    <cellStyle name="Normal 5" xfId="7" xr:uid="{B8C0FC06-C487-4549-A680-806EA1C69411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184718</xdr:rowOff>
    </xdr:from>
    <xdr:to>
      <xdr:col>1</xdr:col>
      <xdr:colOff>891699</xdr:colOff>
      <xdr:row>4</xdr:row>
      <xdr:rowOff>27215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9C24251-3D3B-4EA4-9114-20E18861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18"/>
          <a:ext cx="2211592" cy="1012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8" name="Picture 1">
          <a:extLst>
            <a:ext uri="{FF2B5EF4-FFF2-40B4-BE49-F238E27FC236}">
              <a16:creationId xmlns:a16="http://schemas.microsoft.com/office/drawing/2014/main" id="{57C9F691-DEBC-8B95-0820-2C1BB843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9" name="Picture 2">
          <a:extLst>
            <a:ext uri="{FF2B5EF4-FFF2-40B4-BE49-F238E27FC236}">
              <a16:creationId xmlns:a16="http://schemas.microsoft.com/office/drawing/2014/main" id="{95618B00-1362-311F-4D9C-0879B1FB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0" name="Picture 3">
          <a:extLst>
            <a:ext uri="{FF2B5EF4-FFF2-40B4-BE49-F238E27FC236}">
              <a16:creationId xmlns:a16="http://schemas.microsoft.com/office/drawing/2014/main" id="{DD3428C0-4F98-3B22-6D36-B2EEFE1E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1" name="Picture 4">
          <a:extLst>
            <a:ext uri="{FF2B5EF4-FFF2-40B4-BE49-F238E27FC236}">
              <a16:creationId xmlns:a16="http://schemas.microsoft.com/office/drawing/2014/main" id="{EBB35BE8-B273-CEC0-2B9C-7D30B1D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2" name="Picture 5">
          <a:extLst>
            <a:ext uri="{FF2B5EF4-FFF2-40B4-BE49-F238E27FC236}">
              <a16:creationId xmlns:a16="http://schemas.microsoft.com/office/drawing/2014/main" id="{64779D02-1EE5-2909-7D06-87A402B4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3" name="Picture 6">
          <a:extLst>
            <a:ext uri="{FF2B5EF4-FFF2-40B4-BE49-F238E27FC236}">
              <a16:creationId xmlns:a16="http://schemas.microsoft.com/office/drawing/2014/main" id="{82E32929-7818-6B40-946B-3B740718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4" name="Picture 7">
          <a:extLst>
            <a:ext uri="{FF2B5EF4-FFF2-40B4-BE49-F238E27FC236}">
              <a16:creationId xmlns:a16="http://schemas.microsoft.com/office/drawing/2014/main" id="{1B5D0DE4-E16E-5449-E263-8D80A0CE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5" name="Picture 8">
          <a:extLst>
            <a:ext uri="{FF2B5EF4-FFF2-40B4-BE49-F238E27FC236}">
              <a16:creationId xmlns:a16="http://schemas.microsoft.com/office/drawing/2014/main" id="{C04F8112-55A1-A87F-B86F-B74AD35A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6" name="Picture 9">
          <a:extLst>
            <a:ext uri="{FF2B5EF4-FFF2-40B4-BE49-F238E27FC236}">
              <a16:creationId xmlns:a16="http://schemas.microsoft.com/office/drawing/2014/main" id="{99A62F47-77A5-9872-7D98-806627D6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7" name="Picture 10">
          <a:extLst>
            <a:ext uri="{FF2B5EF4-FFF2-40B4-BE49-F238E27FC236}">
              <a16:creationId xmlns:a16="http://schemas.microsoft.com/office/drawing/2014/main" id="{F7BDE8FA-C23C-755F-0CAA-B25E4482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8" name="Picture 11">
          <a:extLst>
            <a:ext uri="{FF2B5EF4-FFF2-40B4-BE49-F238E27FC236}">
              <a16:creationId xmlns:a16="http://schemas.microsoft.com/office/drawing/2014/main" id="{7968B92E-DA84-188F-894D-E876AB30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9" name="Picture 12">
          <a:extLst>
            <a:ext uri="{FF2B5EF4-FFF2-40B4-BE49-F238E27FC236}">
              <a16:creationId xmlns:a16="http://schemas.microsoft.com/office/drawing/2014/main" id="{18986B72-D88B-ADD3-7198-608DC3C2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0" name="Picture 13">
          <a:extLst>
            <a:ext uri="{FF2B5EF4-FFF2-40B4-BE49-F238E27FC236}">
              <a16:creationId xmlns:a16="http://schemas.microsoft.com/office/drawing/2014/main" id="{88185B23-6CB8-27A5-2BE8-EDADAF28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1" name="Picture 14">
          <a:extLst>
            <a:ext uri="{FF2B5EF4-FFF2-40B4-BE49-F238E27FC236}">
              <a16:creationId xmlns:a16="http://schemas.microsoft.com/office/drawing/2014/main" id="{F436FCDE-F270-09BA-78AF-A0277F1A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2" name="Picture 15">
          <a:extLst>
            <a:ext uri="{FF2B5EF4-FFF2-40B4-BE49-F238E27FC236}">
              <a16:creationId xmlns:a16="http://schemas.microsoft.com/office/drawing/2014/main" id="{7668438A-6EB2-E6BE-BCD9-5767027D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3" name="Picture 16">
          <a:extLst>
            <a:ext uri="{FF2B5EF4-FFF2-40B4-BE49-F238E27FC236}">
              <a16:creationId xmlns:a16="http://schemas.microsoft.com/office/drawing/2014/main" id="{9EBD19BD-CCEC-8CA9-77D0-81FFECD1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4" name="Picture 17">
          <a:extLst>
            <a:ext uri="{FF2B5EF4-FFF2-40B4-BE49-F238E27FC236}">
              <a16:creationId xmlns:a16="http://schemas.microsoft.com/office/drawing/2014/main" id="{120D2793-6580-9B09-4F69-BC4CEBB8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5" name="Picture 18">
          <a:extLst>
            <a:ext uri="{FF2B5EF4-FFF2-40B4-BE49-F238E27FC236}">
              <a16:creationId xmlns:a16="http://schemas.microsoft.com/office/drawing/2014/main" id="{24EBA23E-649B-3713-9CA1-BE9C6A2D8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6" name="Picture 19">
          <a:extLst>
            <a:ext uri="{FF2B5EF4-FFF2-40B4-BE49-F238E27FC236}">
              <a16:creationId xmlns:a16="http://schemas.microsoft.com/office/drawing/2014/main" id="{CCAF2FCC-3A5E-A169-DADF-308F1488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7" name="Picture 20">
          <a:extLst>
            <a:ext uri="{FF2B5EF4-FFF2-40B4-BE49-F238E27FC236}">
              <a16:creationId xmlns:a16="http://schemas.microsoft.com/office/drawing/2014/main" id="{0A67E32C-F580-4410-61E6-52FD43A1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8" name="Picture 21">
          <a:extLst>
            <a:ext uri="{FF2B5EF4-FFF2-40B4-BE49-F238E27FC236}">
              <a16:creationId xmlns:a16="http://schemas.microsoft.com/office/drawing/2014/main" id="{BE667786-F519-CF62-BCBC-82B7F9FC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9" name="Picture 22">
          <a:extLst>
            <a:ext uri="{FF2B5EF4-FFF2-40B4-BE49-F238E27FC236}">
              <a16:creationId xmlns:a16="http://schemas.microsoft.com/office/drawing/2014/main" id="{2DF85B59-5BE9-1335-13EC-84311C86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0" name="Picture 23">
          <a:extLst>
            <a:ext uri="{FF2B5EF4-FFF2-40B4-BE49-F238E27FC236}">
              <a16:creationId xmlns:a16="http://schemas.microsoft.com/office/drawing/2014/main" id="{85C78DA7-2DA2-62E0-ADB8-A1DAD152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1" name="Picture 24">
          <a:extLst>
            <a:ext uri="{FF2B5EF4-FFF2-40B4-BE49-F238E27FC236}">
              <a16:creationId xmlns:a16="http://schemas.microsoft.com/office/drawing/2014/main" id="{8EE5BF4A-B637-63B0-8D2A-BE4E0E8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2" name="Picture 25">
          <a:extLst>
            <a:ext uri="{FF2B5EF4-FFF2-40B4-BE49-F238E27FC236}">
              <a16:creationId xmlns:a16="http://schemas.microsoft.com/office/drawing/2014/main" id="{A5ED89A3-2B85-58DF-52EF-B0A3453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3" name="Picture 26">
          <a:extLst>
            <a:ext uri="{FF2B5EF4-FFF2-40B4-BE49-F238E27FC236}">
              <a16:creationId xmlns:a16="http://schemas.microsoft.com/office/drawing/2014/main" id="{C9AB1F12-924D-B843-28A1-C40CDE5D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4" name="Picture 27">
          <a:extLst>
            <a:ext uri="{FF2B5EF4-FFF2-40B4-BE49-F238E27FC236}">
              <a16:creationId xmlns:a16="http://schemas.microsoft.com/office/drawing/2014/main" id="{49159998-AB60-2959-9C73-91B144BB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5" name="Picture 28">
          <a:extLst>
            <a:ext uri="{FF2B5EF4-FFF2-40B4-BE49-F238E27FC236}">
              <a16:creationId xmlns:a16="http://schemas.microsoft.com/office/drawing/2014/main" id="{6BE4B870-AC91-C984-2670-8F2E9DE7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6" name="Picture 29">
          <a:extLst>
            <a:ext uri="{FF2B5EF4-FFF2-40B4-BE49-F238E27FC236}">
              <a16:creationId xmlns:a16="http://schemas.microsoft.com/office/drawing/2014/main" id="{EA08ECBF-B554-E2E6-5269-DFF0E0F5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7" name="Picture 30">
          <a:extLst>
            <a:ext uri="{FF2B5EF4-FFF2-40B4-BE49-F238E27FC236}">
              <a16:creationId xmlns:a16="http://schemas.microsoft.com/office/drawing/2014/main" id="{7C386740-7ED9-39D8-83CB-57DA4534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8" name="Picture 31">
          <a:extLst>
            <a:ext uri="{FF2B5EF4-FFF2-40B4-BE49-F238E27FC236}">
              <a16:creationId xmlns:a16="http://schemas.microsoft.com/office/drawing/2014/main" id="{9D9457DD-765C-637A-25DA-6B3525A2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9" name="Picture 32">
          <a:extLst>
            <a:ext uri="{FF2B5EF4-FFF2-40B4-BE49-F238E27FC236}">
              <a16:creationId xmlns:a16="http://schemas.microsoft.com/office/drawing/2014/main" id="{20A3761C-6E8B-0D7A-5B7A-7430F624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0" name="Picture 33">
          <a:extLst>
            <a:ext uri="{FF2B5EF4-FFF2-40B4-BE49-F238E27FC236}">
              <a16:creationId xmlns:a16="http://schemas.microsoft.com/office/drawing/2014/main" id="{F735F2EA-96AD-5989-862D-042A20EB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1" name="Picture 34">
          <a:extLst>
            <a:ext uri="{FF2B5EF4-FFF2-40B4-BE49-F238E27FC236}">
              <a16:creationId xmlns:a16="http://schemas.microsoft.com/office/drawing/2014/main" id="{C28899BB-6D3A-926A-3AE6-E49EAB01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2" name="Picture 35">
          <a:extLst>
            <a:ext uri="{FF2B5EF4-FFF2-40B4-BE49-F238E27FC236}">
              <a16:creationId xmlns:a16="http://schemas.microsoft.com/office/drawing/2014/main" id="{DA9B6CC6-4E71-AD04-8AB2-BA8C8445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3" name="Picture 36">
          <a:extLst>
            <a:ext uri="{FF2B5EF4-FFF2-40B4-BE49-F238E27FC236}">
              <a16:creationId xmlns:a16="http://schemas.microsoft.com/office/drawing/2014/main" id="{F0996095-6A86-6593-F550-74F230C3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4" name="Picture 37">
          <a:extLst>
            <a:ext uri="{FF2B5EF4-FFF2-40B4-BE49-F238E27FC236}">
              <a16:creationId xmlns:a16="http://schemas.microsoft.com/office/drawing/2014/main" id="{EB60CF3B-BAE4-9694-EA78-B68B7F51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5" name="Picture 38">
          <a:extLst>
            <a:ext uri="{FF2B5EF4-FFF2-40B4-BE49-F238E27FC236}">
              <a16:creationId xmlns:a16="http://schemas.microsoft.com/office/drawing/2014/main" id="{894422A8-0FA2-5F10-B8C0-B774DBDC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6" name="Picture 39">
          <a:extLst>
            <a:ext uri="{FF2B5EF4-FFF2-40B4-BE49-F238E27FC236}">
              <a16:creationId xmlns:a16="http://schemas.microsoft.com/office/drawing/2014/main" id="{81975262-6930-1737-C763-4619B897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7" name="Picture 40">
          <a:extLst>
            <a:ext uri="{FF2B5EF4-FFF2-40B4-BE49-F238E27FC236}">
              <a16:creationId xmlns:a16="http://schemas.microsoft.com/office/drawing/2014/main" id="{78EDC8B4-B6C9-7433-DC4A-3D4944AD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8" name="Picture 41">
          <a:extLst>
            <a:ext uri="{FF2B5EF4-FFF2-40B4-BE49-F238E27FC236}">
              <a16:creationId xmlns:a16="http://schemas.microsoft.com/office/drawing/2014/main" id="{188BC74E-F03F-9706-613B-EA3EC029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9" name="Picture 42">
          <a:extLst>
            <a:ext uri="{FF2B5EF4-FFF2-40B4-BE49-F238E27FC236}">
              <a16:creationId xmlns:a16="http://schemas.microsoft.com/office/drawing/2014/main" id="{782D821F-AB9C-12FC-6310-65FF877F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0" name="Picture 43">
          <a:extLst>
            <a:ext uri="{FF2B5EF4-FFF2-40B4-BE49-F238E27FC236}">
              <a16:creationId xmlns:a16="http://schemas.microsoft.com/office/drawing/2014/main" id="{62B8DEFB-F4DB-D545-971F-150A99FA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1" name="Picture 44">
          <a:extLst>
            <a:ext uri="{FF2B5EF4-FFF2-40B4-BE49-F238E27FC236}">
              <a16:creationId xmlns:a16="http://schemas.microsoft.com/office/drawing/2014/main" id="{1707BF0F-B0EA-E265-5AD1-EA69E097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2" name="Picture 45">
          <a:extLst>
            <a:ext uri="{FF2B5EF4-FFF2-40B4-BE49-F238E27FC236}">
              <a16:creationId xmlns:a16="http://schemas.microsoft.com/office/drawing/2014/main" id="{1D184C52-8022-C352-AE51-CF7AAB63D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3" name="Picture 46">
          <a:extLst>
            <a:ext uri="{FF2B5EF4-FFF2-40B4-BE49-F238E27FC236}">
              <a16:creationId xmlns:a16="http://schemas.microsoft.com/office/drawing/2014/main" id="{6EFF72FE-9293-6A44-10A1-BFD11E55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4" name="Picture 47">
          <a:extLst>
            <a:ext uri="{FF2B5EF4-FFF2-40B4-BE49-F238E27FC236}">
              <a16:creationId xmlns:a16="http://schemas.microsoft.com/office/drawing/2014/main" id="{73E3FD6D-85BD-1801-77E6-1B980FF9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5" name="Picture 48">
          <a:extLst>
            <a:ext uri="{FF2B5EF4-FFF2-40B4-BE49-F238E27FC236}">
              <a16:creationId xmlns:a16="http://schemas.microsoft.com/office/drawing/2014/main" id="{765D971A-BF0A-5EE2-9D18-CDA3EAAC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6" name="Picture 49">
          <a:extLst>
            <a:ext uri="{FF2B5EF4-FFF2-40B4-BE49-F238E27FC236}">
              <a16:creationId xmlns:a16="http://schemas.microsoft.com/office/drawing/2014/main" id="{CE41DBBD-08D8-DF9D-894B-0550A6FB7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7" name="Picture 50">
          <a:extLst>
            <a:ext uri="{FF2B5EF4-FFF2-40B4-BE49-F238E27FC236}">
              <a16:creationId xmlns:a16="http://schemas.microsoft.com/office/drawing/2014/main" id="{B6D001ED-80CD-909C-FAC8-CBA73F7E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8" name="Picture 51">
          <a:extLst>
            <a:ext uri="{FF2B5EF4-FFF2-40B4-BE49-F238E27FC236}">
              <a16:creationId xmlns:a16="http://schemas.microsoft.com/office/drawing/2014/main" id="{E945DC16-EE94-C9CE-9266-67914759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9" name="Picture 52">
          <a:extLst>
            <a:ext uri="{FF2B5EF4-FFF2-40B4-BE49-F238E27FC236}">
              <a16:creationId xmlns:a16="http://schemas.microsoft.com/office/drawing/2014/main" id="{13EC328D-0DCE-9D7F-4AA3-DAC1B9C0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0" name="Picture 53">
          <a:extLst>
            <a:ext uri="{FF2B5EF4-FFF2-40B4-BE49-F238E27FC236}">
              <a16:creationId xmlns:a16="http://schemas.microsoft.com/office/drawing/2014/main" id="{883C51CC-E68F-D87B-46DC-4E60FA75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1" name="Picture 54">
          <a:extLst>
            <a:ext uri="{FF2B5EF4-FFF2-40B4-BE49-F238E27FC236}">
              <a16:creationId xmlns:a16="http://schemas.microsoft.com/office/drawing/2014/main" id="{17D91A74-35D4-B4FC-6E44-F59FB075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2" name="Picture 55">
          <a:extLst>
            <a:ext uri="{FF2B5EF4-FFF2-40B4-BE49-F238E27FC236}">
              <a16:creationId xmlns:a16="http://schemas.microsoft.com/office/drawing/2014/main" id="{357D7A27-F189-1D97-4330-32E97B03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3" name="Picture 56">
          <a:extLst>
            <a:ext uri="{FF2B5EF4-FFF2-40B4-BE49-F238E27FC236}">
              <a16:creationId xmlns:a16="http://schemas.microsoft.com/office/drawing/2014/main" id="{DBAED988-1ECC-6EAF-89E0-DB4EE7BE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4" name="Picture 57">
          <a:extLst>
            <a:ext uri="{FF2B5EF4-FFF2-40B4-BE49-F238E27FC236}">
              <a16:creationId xmlns:a16="http://schemas.microsoft.com/office/drawing/2014/main" id="{4162C829-DFF7-4B3C-4166-29FEEA9A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5" name="Picture 58">
          <a:extLst>
            <a:ext uri="{FF2B5EF4-FFF2-40B4-BE49-F238E27FC236}">
              <a16:creationId xmlns:a16="http://schemas.microsoft.com/office/drawing/2014/main" id="{2AC0DC6B-C568-0ADA-D116-718D3E69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6" name="Picture 59">
          <a:extLst>
            <a:ext uri="{FF2B5EF4-FFF2-40B4-BE49-F238E27FC236}">
              <a16:creationId xmlns:a16="http://schemas.microsoft.com/office/drawing/2014/main" id="{968D609B-BD2E-8BB3-AD03-472048D8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7" name="Picture 60">
          <a:extLst>
            <a:ext uri="{FF2B5EF4-FFF2-40B4-BE49-F238E27FC236}">
              <a16:creationId xmlns:a16="http://schemas.microsoft.com/office/drawing/2014/main" id="{65E1EA87-99BF-2B75-35A1-9C4B0441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8" name="Picture 61">
          <a:extLst>
            <a:ext uri="{FF2B5EF4-FFF2-40B4-BE49-F238E27FC236}">
              <a16:creationId xmlns:a16="http://schemas.microsoft.com/office/drawing/2014/main" id="{8A85FF74-9342-D52F-A3CF-6B730613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9" name="Picture 62">
          <a:extLst>
            <a:ext uri="{FF2B5EF4-FFF2-40B4-BE49-F238E27FC236}">
              <a16:creationId xmlns:a16="http://schemas.microsoft.com/office/drawing/2014/main" id="{6D70B5C9-F8D0-D2FA-4329-243D9CF3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0" name="Picture 63">
          <a:extLst>
            <a:ext uri="{FF2B5EF4-FFF2-40B4-BE49-F238E27FC236}">
              <a16:creationId xmlns:a16="http://schemas.microsoft.com/office/drawing/2014/main" id="{5FD084F9-8175-86B0-E62E-6FBA841E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1" name="Picture 64">
          <a:extLst>
            <a:ext uri="{FF2B5EF4-FFF2-40B4-BE49-F238E27FC236}">
              <a16:creationId xmlns:a16="http://schemas.microsoft.com/office/drawing/2014/main" id="{02E0E653-4E38-AF45-821E-A7663BF2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2" name="Picture 65">
          <a:extLst>
            <a:ext uri="{FF2B5EF4-FFF2-40B4-BE49-F238E27FC236}">
              <a16:creationId xmlns:a16="http://schemas.microsoft.com/office/drawing/2014/main" id="{B0F4ECD8-D1BF-D35E-F87B-18169AF9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3" name="Picture 66">
          <a:extLst>
            <a:ext uri="{FF2B5EF4-FFF2-40B4-BE49-F238E27FC236}">
              <a16:creationId xmlns:a16="http://schemas.microsoft.com/office/drawing/2014/main" id="{D1D6EF14-1E2E-BC74-B821-10FFD5E8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4" name="Picture 67">
          <a:extLst>
            <a:ext uri="{FF2B5EF4-FFF2-40B4-BE49-F238E27FC236}">
              <a16:creationId xmlns:a16="http://schemas.microsoft.com/office/drawing/2014/main" id="{53CAD86B-F7EC-953A-42A4-6F35748B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5" name="Picture 68">
          <a:extLst>
            <a:ext uri="{FF2B5EF4-FFF2-40B4-BE49-F238E27FC236}">
              <a16:creationId xmlns:a16="http://schemas.microsoft.com/office/drawing/2014/main" id="{A8B47E07-F45C-8B66-8751-E98BFC7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6" name="Picture 69">
          <a:extLst>
            <a:ext uri="{FF2B5EF4-FFF2-40B4-BE49-F238E27FC236}">
              <a16:creationId xmlns:a16="http://schemas.microsoft.com/office/drawing/2014/main" id="{CB9C2F83-C614-FC72-9DBB-5E91092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7" name="Picture 70">
          <a:extLst>
            <a:ext uri="{FF2B5EF4-FFF2-40B4-BE49-F238E27FC236}">
              <a16:creationId xmlns:a16="http://schemas.microsoft.com/office/drawing/2014/main" id="{90F56428-C4A5-D861-2693-67AFA3FA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8" name="Picture 71">
          <a:extLst>
            <a:ext uri="{FF2B5EF4-FFF2-40B4-BE49-F238E27FC236}">
              <a16:creationId xmlns:a16="http://schemas.microsoft.com/office/drawing/2014/main" id="{9F7C2139-ED66-EC06-A426-4003B80B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9" name="Picture 72">
          <a:extLst>
            <a:ext uri="{FF2B5EF4-FFF2-40B4-BE49-F238E27FC236}">
              <a16:creationId xmlns:a16="http://schemas.microsoft.com/office/drawing/2014/main" id="{9C6D9EB4-0150-214F-D090-A97CE33C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0" name="Picture 73">
          <a:extLst>
            <a:ext uri="{FF2B5EF4-FFF2-40B4-BE49-F238E27FC236}">
              <a16:creationId xmlns:a16="http://schemas.microsoft.com/office/drawing/2014/main" id="{7E2DEEFD-8FEF-9E18-1576-9C1A40EC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1" name="Picture 74">
          <a:extLst>
            <a:ext uri="{FF2B5EF4-FFF2-40B4-BE49-F238E27FC236}">
              <a16:creationId xmlns:a16="http://schemas.microsoft.com/office/drawing/2014/main" id="{37BB2FCD-D45E-FD34-1CE9-E595C481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2" name="Picture 75">
          <a:extLst>
            <a:ext uri="{FF2B5EF4-FFF2-40B4-BE49-F238E27FC236}">
              <a16:creationId xmlns:a16="http://schemas.microsoft.com/office/drawing/2014/main" id="{DAB952C2-D7EA-6F02-5A98-8E372A39A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3" name="Picture 76">
          <a:extLst>
            <a:ext uri="{FF2B5EF4-FFF2-40B4-BE49-F238E27FC236}">
              <a16:creationId xmlns:a16="http://schemas.microsoft.com/office/drawing/2014/main" id="{6A5E7F7B-FC25-1106-828C-34D414EB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4" name="Picture 77">
          <a:extLst>
            <a:ext uri="{FF2B5EF4-FFF2-40B4-BE49-F238E27FC236}">
              <a16:creationId xmlns:a16="http://schemas.microsoft.com/office/drawing/2014/main" id="{2058325B-4674-0550-C9B1-C21EF372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5" name="Picture 78">
          <a:extLst>
            <a:ext uri="{FF2B5EF4-FFF2-40B4-BE49-F238E27FC236}">
              <a16:creationId xmlns:a16="http://schemas.microsoft.com/office/drawing/2014/main" id="{68264A63-1E34-1552-2A90-99B0AD39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6" name="Picture 79">
          <a:extLst>
            <a:ext uri="{FF2B5EF4-FFF2-40B4-BE49-F238E27FC236}">
              <a16:creationId xmlns:a16="http://schemas.microsoft.com/office/drawing/2014/main" id="{6DE60797-0FF3-6A47-B892-32102E9F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7" name="Picture 80">
          <a:extLst>
            <a:ext uri="{FF2B5EF4-FFF2-40B4-BE49-F238E27FC236}">
              <a16:creationId xmlns:a16="http://schemas.microsoft.com/office/drawing/2014/main" id="{57CE6E18-16E2-B790-4BA1-AEE27909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8" name="Picture 81">
          <a:extLst>
            <a:ext uri="{FF2B5EF4-FFF2-40B4-BE49-F238E27FC236}">
              <a16:creationId xmlns:a16="http://schemas.microsoft.com/office/drawing/2014/main" id="{5CC116A0-A2D0-6BCE-DC08-2DDEAB37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9" name="Picture 82">
          <a:extLst>
            <a:ext uri="{FF2B5EF4-FFF2-40B4-BE49-F238E27FC236}">
              <a16:creationId xmlns:a16="http://schemas.microsoft.com/office/drawing/2014/main" id="{60120575-BC50-C9A8-0E9B-EF77012A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0" name="Picture 83">
          <a:extLst>
            <a:ext uri="{FF2B5EF4-FFF2-40B4-BE49-F238E27FC236}">
              <a16:creationId xmlns:a16="http://schemas.microsoft.com/office/drawing/2014/main" id="{01ECD56B-E827-7C63-946A-A2736C3B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1" name="Picture 84">
          <a:extLst>
            <a:ext uri="{FF2B5EF4-FFF2-40B4-BE49-F238E27FC236}">
              <a16:creationId xmlns:a16="http://schemas.microsoft.com/office/drawing/2014/main" id="{1E863CBF-BDD8-5317-A35A-0B695FA0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2" name="Picture 85">
          <a:extLst>
            <a:ext uri="{FF2B5EF4-FFF2-40B4-BE49-F238E27FC236}">
              <a16:creationId xmlns:a16="http://schemas.microsoft.com/office/drawing/2014/main" id="{A6C07692-D08F-1194-6C0A-3454B18C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3" name="Picture 86">
          <a:extLst>
            <a:ext uri="{FF2B5EF4-FFF2-40B4-BE49-F238E27FC236}">
              <a16:creationId xmlns:a16="http://schemas.microsoft.com/office/drawing/2014/main" id="{9160FD38-C974-3D28-055E-E52DE21B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4" name="Picture 87">
          <a:extLst>
            <a:ext uri="{FF2B5EF4-FFF2-40B4-BE49-F238E27FC236}">
              <a16:creationId xmlns:a16="http://schemas.microsoft.com/office/drawing/2014/main" id="{06C393A2-2E80-15F7-9889-9989FBF0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5" name="Picture 88">
          <a:extLst>
            <a:ext uri="{FF2B5EF4-FFF2-40B4-BE49-F238E27FC236}">
              <a16:creationId xmlns:a16="http://schemas.microsoft.com/office/drawing/2014/main" id="{AD18AB09-E4A8-4797-2AA8-5907CF60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6" name="Picture 89">
          <a:extLst>
            <a:ext uri="{FF2B5EF4-FFF2-40B4-BE49-F238E27FC236}">
              <a16:creationId xmlns:a16="http://schemas.microsoft.com/office/drawing/2014/main" id="{B0EF175A-D21C-07EB-3060-9BF16C5B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7" name="Picture 90">
          <a:extLst>
            <a:ext uri="{FF2B5EF4-FFF2-40B4-BE49-F238E27FC236}">
              <a16:creationId xmlns:a16="http://schemas.microsoft.com/office/drawing/2014/main" id="{59D24A84-DF0B-955A-ADCA-87C23045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8" name="Picture 91">
          <a:extLst>
            <a:ext uri="{FF2B5EF4-FFF2-40B4-BE49-F238E27FC236}">
              <a16:creationId xmlns:a16="http://schemas.microsoft.com/office/drawing/2014/main" id="{7CBD952F-1D3B-E09F-9542-09EA202C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9" name="Picture 92">
          <a:extLst>
            <a:ext uri="{FF2B5EF4-FFF2-40B4-BE49-F238E27FC236}">
              <a16:creationId xmlns:a16="http://schemas.microsoft.com/office/drawing/2014/main" id="{20F83348-E06D-8A89-9E22-8B6D4E1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0" name="Picture 93">
          <a:extLst>
            <a:ext uri="{FF2B5EF4-FFF2-40B4-BE49-F238E27FC236}">
              <a16:creationId xmlns:a16="http://schemas.microsoft.com/office/drawing/2014/main" id="{4BF3C0AD-C079-F707-911A-11E85C73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1" name="Picture 94">
          <a:extLst>
            <a:ext uri="{FF2B5EF4-FFF2-40B4-BE49-F238E27FC236}">
              <a16:creationId xmlns:a16="http://schemas.microsoft.com/office/drawing/2014/main" id="{61E9F2AF-010A-8A4B-0EFE-736630C9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2" name="Picture 95">
          <a:extLst>
            <a:ext uri="{FF2B5EF4-FFF2-40B4-BE49-F238E27FC236}">
              <a16:creationId xmlns:a16="http://schemas.microsoft.com/office/drawing/2014/main" id="{1A139774-E20B-65E5-5B80-C30C1897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3" name="Picture 96">
          <a:extLst>
            <a:ext uri="{FF2B5EF4-FFF2-40B4-BE49-F238E27FC236}">
              <a16:creationId xmlns:a16="http://schemas.microsoft.com/office/drawing/2014/main" id="{62D341B1-3336-AFC5-7821-D99E70C9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4" name="Picture 97">
          <a:extLst>
            <a:ext uri="{FF2B5EF4-FFF2-40B4-BE49-F238E27FC236}">
              <a16:creationId xmlns:a16="http://schemas.microsoft.com/office/drawing/2014/main" id="{9CF9147B-2777-E2A6-06E4-17308AF6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5" name="Picture 98">
          <a:extLst>
            <a:ext uri="{FF2B5EF4-FFF2-40B4-BE49-F238E27FC236}">
              <a16:creationId xmlns:a16="http://schemas.microsoft.com/office/drawing/2014/main" id="{AD99A681-DC19-8193-BAE4-493D03C1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6" name="Picture 99">
          <a:extLst>
            <a:ext uri="{FF2B5EF4-FFF2-40B4-BE49-F238E27FC236}">
              <a16:creationId xmlns:a16="http://schemas.microsoft.com/office/drawing/2014/main" id="{05942EAD-5C04-FE16-B458-342C9B5D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7" name="Picture 100">
          <a:extLst>
            <a:ext uri="{FF2B5EF4-FFF2-40B4-BE49-F238E27FC236}">
              <a16:creationId xmlns:a16="http://schemas.microsoft.com/office/drawing/2014/main" id="{419FCCC3-25E6-3D6F-650A-3DB6E6F1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8" name="Picture 101">
          <a:extLst>
            <a:ext uri="{FF2B5EF4-FFF2-40B4-BE49-F238E27FC236}">
              <a16:creationId xmlns:a16="http://schemas.microsoft.com/office/drawing/2014/main" id="{AD81292E-5085-FA17-EE63-E49B7C9A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9" name="Picture 102">
          <a:extLst>
            <a:ext uri="{FF2B5EF4-FFF2-40B4-BE49-F238E27FC236}">
              <a16:creationId xmlns:a16="http://schemas.microsoft.com/office/drawing/2014/main" id="{5874CD92-A058-38EB-75D3-9B154140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0" name="Picture 103">
          <a:extLst>
            <a:ext uri="{FF2B5EF4-FFF2-40B4-BE49-F238E27FC236}">
              <a16:creationId xmlns:a16="http://schemas.microsoft.com/office/drawing/2014/main" id="{F348AF47-F04A-73FF-B8AA-F2A49371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1" name="Picture 104">
          <a:extLst>
            <a:ext uri="{FF2B5EF4-FFF2-40B4-BE49-F238E27FC236}">
              <a16:creationId xmlns:a16="http://schemas.microsoft.com/office/drawing/2014/main" id="{47D95D43-2FF5-AA4F-FFB7-FBDBB749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2" name="Picture 105">
          <a:extLst>
            <a:ext uri="{FF2B5EF4-FFF2-40B4-BE49-F238E27FC236}">
              <a16:creationId xmlns:a16="http://schemas.microsoft.com/office/drawing/2014/main" id="{C9929D36-AAD8-AA9D-A1AA-5DEE926A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3" name="Picture 106">
          <a:extLst>
            <a:ext uri="{FF2B5EF4-FFF2-40B4-BE49-F238E27FC236}">
              <a16:creationId xmlns:a16="http://schemas.microsoft.com/office/drawing/2014/main" id="{71AF190E-9FA6-4C5E-28A1-25FF43CF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4" name="Picture 107">
          <a:extLst>
            <a:ext uri="{FF2B5EF4-FFF2-40B4-BE49-F238E27FC236}">
              <a16:creationId xmlns:a16="http://schemas.microsoft.com/office/drawing/2014/main" id="{DAF690AC-0982-7AAD-C234-5B616196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5" name="Picture 108">
          <a:extLst>
            <a:ext uri="{FF2B5EF4-FFF2-40B4-BE49-F238E27FC236}">
              <a16:creationId xmlns:a16="http://schemas.microsoft.com/office/drawing/2014/main" id="{503188C5-465E-3DE8-B9D9-68A999ED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6" name="Picture 109">
          <a:extLst>
            <a:ext uri="{FF2B5EF4-FFF2-40B4-BE49-F238E27FC236}">
              <a16:creationId xmlns:a16="http://schemas.microsoft.com/office/drawing/2014/main" id="{99A570B3-B2C4-08EE-6902-E5970E6E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7" name="Picture 110">
          <a:extLst>
            <a:ext uri="{FF2B5EF4-FFF2-40B4-BE49-F238E27FC236}">
              <a16:creationId xmlns:a16="http://schemas.microsoft.com/office/drawing/2014/main" id="{9F356E72-C899-FA04-D34E-4111DBAB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8" name="Picture 111">
          <a:extLst>
            <a:ext uri="{FF2B5EF4-FFF2-40B4-BE49-F238E27FC236}">
              <a16:creationId xmlns:a16="http://schemas.microsoft.com/office/drawing/2014/main" id="{CEA825DD-5641-BBEE-0CC5-B0273F34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9" name="Picture 112">
          <a:extLst>
            <a:ext uri="{FF2B5EF4-FFF2-40B4-BE49-F238E27FC236}">
              <a16:creationId xmlns:a16="http://schemas.microsoft.com/office/drawing/2014/main" id="{745F0DA7-BDDB-DF1A-4B18-89E59E187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0" name="Picture 113">
          <a:extLst>
            <a:ext uri="{FF2B5EF4-FFF2-40B4-BE49-F238E27FC236}">
              <a16:creationId xmlns:a16="http://schemas.microsoft.com/office/drawing/2014/main" id="{A67B6B08-5EE7-4422-94A9-1A71D03CA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1" name="Picture 114">
          <a:extLst>
            <a:ext uri="{FF2B5EF4-FFF2-40B4-BE49-F238E27FC236}">
              <a16:creationId xmlns:a16="http://schemas.microsoft.com/office/drawing/2014/main" id="{ED2E0E9C-F920-1C2A-B753-2069D08E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2" name="Picture 115">
          <a:extLst>
            <a:ext uri="{FF2B5EF4-FFF2-40B4-BE49-F238E27FC236}">
              <a16:creationId xmlns:a16="http://schemas.microsoft.com/office/drawing/2014/main" id="{2E0A22EF-CA91-27F0-E5C2-BB61F710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3" name="Picture 116">
          <a:extLst>
            <a:ext uri="{FF2B5EF4-FFF2-40B4-BE49-F238E27FC236}">
              <a16:creationId xmlns:a16="http://schemas.microsoft.com/office/drawing/2014/main" id="{B647A302-B1B6-95D8-49B9-A85AFA88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4" name="Picture 117">
          <a:extLst>
            <a:ext uri="{FF2B5EF4-FFF2-40B4-BE49-F238E27FC236}">
              <a16:creationId xmlns:a16="http://schemas.microsoft.com/office/drawing/2014/main" id="{B92EA1ED-873C-8A2A-E1BA-E5CD62A2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5" name="Picture 118">
          <a:extLst>
            <a:ext uri="{FF2B5EF4-FFF2-40B4-BE49-F238E27FC236}">
              <a16:creationId xmlns:a16="http://schemas.microsoft.com/office/drawing/2014/main" id="{BCD25DCA-6A74-0033-B3DC-7531FD37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6" name="Picture 119">
          <a:extLst>
            <a:ext uri="{FF2B5EF4-FFF2-40B4-BE49-F238E27FC236}">
              <a16:creationId xmlns:a16="http://schemas.microsoft.com/office/drawing/2014/main" id="{4D512389-D982-D92B-5EBC-3CC53F9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7" name="Picture 120">
          <a:extLst>
            <a:ext uri="{FF2B5EF4-FFF2-40B4-BE49-F238E27FC236}">
              <a16:creationId xmlns:a16="http://schemas.microsoft.com/office/drawing/2014/main" id="{329F186E-FD1D-A65E-CC72-C76A3F0D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8" name="Picture 121">
          <a:extLst>
            <a:ext uri="{FF2B5EF4-FFF2-40B4-BE49-F238E27FC236}">
              <a16:creationId xmlns:a16="http://schemas.microsoft.com/office/drawing/2014/main" id="{530DCD00-D1FD-19C3-D126-79CD326E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9" name="Picture 122">
          <a:extLst>
            <a:ext uri="{FF2B5EF4-FFF2-40B4-BE49-F238E27FC236}">
              <a16:creationId xmlns:a16="http://schemas.microsoft.com/office/drawing/2014/main" id="{0DFC424F-CD0C-5F7B-3E2C-4FC2E3DA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0" name="Picture 123">
          <a:extLst>
            <a:ext uri="{FF2B5EF4-FFF2-40B4-BE49-F238E27FC236}">
              <a16:creationId xmlns:a16="http://schemas.microsoft.com/office/drawing/2014/main" id="{4F5FCC70-C8F9-4C2C-528E-44473504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1" name="Picture 124">
          <a:extLst>
            <a:ext uri="{FF2B5EF4-FFF2-40B4-BE49-F238E27FC236}">
              <a16:creationId xmlns:a16="http://schemas.microsoft.com/office/drawing/2014/main" id="{F681266C-505F-8BB2-7D6D-EF8F90EEE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2" name="Picture 125">
          <a:extLst>
            <a:ext uri="{FF2B5EF4-FFF2-40B4-BE49-F238E27FC236}">
              <a16:creationId xmlns:a16="http://schemas.microsoft.com/office/drawing/2014/main" id="{CE8DC2E7-EE4B-CA13-BF77-6CC4E465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3" name="Picture 126">
          <a:extLst>
            <a:ext uri="{FF2B5EF4-FFF2-40B4-BE49-F238E27FC236}">
              <a16:creationId xmlns:a16="http://schemas.microsoft.com/office/drawing/2014/main" id="{7191D488-539F-72BA-A543-EAEDED9C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4" name="Picture 127">
          <a:extLst>
            <a:ext uri="{FF2B5EF4-FFF2-40B4-BE49-F238E27FC236}">
              <a16:creationId xmlns:a16="http://schemas.microsoft.com/office/drawing/2014/main" id="{3385131E-7073-5AB3-9D2F-424522D0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5" name="Picture 128">
          <a:extLst>
            <a:ext uri="{FF2B5EF4-FFF2-40B4-BE49-F238E27FC236}">
              <a16:creationId xmlns:a16="http://schemas.microsoft.com/office/drawing/2014/main" id="{A28429E1-0E24-C8D0-DB55-1E184484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6" name="Picture 129">
          <a:extLst>
            <a:ext uri="{FF2B5EF4-FFF2-40B4-BE49-F238E27FC236}">
              <a16:creationId xmlns:a16="http://schemas.microsoft.com/office/drawing/2014/main" id="{A5FD777C-AE28-B920-B663-9C7B182E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7" name="Picture 130">
          <a:extLst>
            <a:ext uri="{FF2B5EF4-FFF2-40B4-BE49-F238E27FC236}">
              <a16:creationId xmlns:a16="http://schemas.microsoft.com/office/drawing/2014/main" id="{342F58F7-8EE4-63DE-91F2-F33125DE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8" name="Picture 131">
          <a:extLst>
            <a:ext uri="{FF2B5EF4-FFF2-40B4-BE49-F238E27FC236}">
              <a16:creationId xmlns:a16="http://schemas.microsoft.com/office/drawing/2014/main" id="{4CDB5770-9011-620E-70D5-32B4F54F6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9" name="Picture 132">
          <a:extLst>
            <a:ext uri="{FF2B5EF4-FFF2-40B4-BE49-F238E27FC236}">
              <a16:creationId xmlns:a16="http://schemas.microsoft.com/office/drawing/2014/main" id="{174610D2-42D6-5AC2-A190-A092B3A3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0" name="Picture 133">
          <a:extLst>
            <a:ext uri="{FF2B5EF4-FFF2-40B4-BE49-F238E27FC236}">
              <a16:creationId xmlns:a16="http://schemas.microsoft.com/office/drawing/2014/main" id="{ADFBE80B-D8CF-D336-BF85-37B6948C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1" name="Picture 134">
          <a:extLst>
            <a:ext uri="{FF2B5EF4-FFF2-40B4-BE49-F238E27FC236}">
              <a16:creationId xmlns:a16="http://schemas.microsoft.com/office/drawing/2014/main" id="{0F03DEE5-E0BA-F3DA-758D-23C97546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2" name="Picture 135">
          <a:extLst>
            <a:ext uri="{FF2B5EF4-FFF2-40B4-BE49-F238E27FC236}">
              <a16:creationId xmlns:a16="http://schemas.microsoft.com/office/drawing/2014/main" id="{56158048-03D2-9B8F-1ECB-65E18F0A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3" name="Picture 136">
          <a:extLst>
            <a:ext uri="{FF2B5EF4-FFF2-40B4-BE49-F238E27FC236}">
              <a16:creationId xmlns:a16="http://schemas.microsoft.com/office/drawing/2014/main" id="{121828EA-E98E-51BF-B95F-BE85ABB0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4" name="Picture 137">
          <a:extLst>
            <a:ext uri="{FF2B5EF4-FFF2-40B4-BE49-F238E27FC236}">
              <a16:creationId xmlns:a16="http://schemas.microsoft.com/office/drawing/2014/main" id="{136A537E-5218-506E-6F8B-4244F5F10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5" name="Picture 138">
          <a:extLst>
            <a:ext uri="{FF2B5EF4-FFF2-40B4-BE49-F238E27FC236}">
              <a16:creationId xmlns:a16="http://schemas.microsoft.com/office/drawing/2014/main" id="{A7B9071A-164F-B95F-CA8E-786BA9FC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6" name="Picture 139">
          <a:extLst>
            <a:ext uri="{FF2B5EF4-FFF2-40B4-BE49-F238E27FC236}">
              <a16:creationId xmlns:a16="http://schemas.microsoft.com/office/drawing/2014/main" id="{44223FC3-041F-7FD2-BE84-229B34E8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7" name="Picture 140">
          <a:extLst>
            <a:ext uri="{FF2B5EF4-FFF2-40B4-BE49-F238E27FC236}">
              <a16:creationId xmlns:a16="http://schemas.microsoft.com/office/drawing/2014/main" id="{9D630886-3BB0-1919-457C-90A54354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8" name="Picture 141">
          <a:extLst>
            <a:ext uri="{FF2B5EF4-FFF2-40B4-BE49-F238E27FC236}">
              <a16:creationId xmlns:a16="http://schemas.microsoft.com/office/drawing/2014/main" id="{071C6711-DB26-0C56-5A48-A475CD21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9" name="Picture 142">
          <a:extLst>
            <a:ext uri="{FF2B5EF4-FFF2-40B4-BE49-F238E27FC236}">
              <a16:creationId xmlns:a16="http://schemas.microsoft.com/office/drawing/2014/main" id="{71151792-2257-22FB-C2CD-F8FC9159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0" name="Picture 143">
          <a:extLst>
            <a:ext uri="{FF2B5EF4-FFF2-40B4-BE49-F238E27FC236}">
              <a16:creationId xmlns:a16="http://schemas.microsoft.com/office/drawing/2014/main" id="{A5659050-B0D3-93E5-DEFD-52780E39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1" name="Picture 144">
          <a:extLst>
            <a:ext uri="{FF2B5EF4-FFF2-40B4-BE49-F238E27FC236}">
              <a16:creationId xmlns:a16="http://schemas.microsoft.com/office/drawing/2014/main" id="{35881EFA-6BEA-74D4-CB22-93B6D53D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2" name="Picture 145">
          <a:extLst>
            <a:ext uri="{FF2B5EF4-FFF2-40B4-BE49-F238E27FC236}">
              <a16:creationId xmlns:a16="http://schemas.microsoft.com/office/drawing/2014/main" id="{0BAA5ED3-7EFA-3ECD-C5DD-291EE3B6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3" name="Picture 146">
          <a:extLst>
            <a:ext uri="{FF2B5EF4-FFF2-40B4-BE49-F238E27FC236}">
              <a16:creationId xmlns:a16="http://schemas.microsoft.com/office/drawing/2014/main" id="{5A0B5CCC-0EE1-55C9-E484-61F63B08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4" name="Picture 147">
          <a:extLst>
            <a:ext uri="{FF2B5EF4-FFF2-40B4-BE49-F238E27FC236}">
              <a16:creationId xmlns:a16="http://schemas.microsoft.com/office/drawing/2014/main" id="{F9D2320D-3F1C-2787-FEDE-6A3BB33F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5" name="Picture 148">
          <a:extLst>
            <a:ext uri="{FF2B5EF4-FFF2-40B4-BE49-F238E27FC236}">
              <a16:creationId xmlns:a16="http://schemas.microsoft.com/office/drawing/2014/main" id="{0D474708-C61F-EE53-E670-FA212C9D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6" name="Picture 149">
          <a:extLst>
            <a:ext uri="{FF2B5EF4-FFF2-40B4-BE49-F238E27FC236}">
              <a16:creationId xmlns:a16="http://schemas.microsoft.com/office/drawing/2014/main" id="{20B5D008-492B-86F5-25DC-E4B947D3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7" name="Picture 150">
          <a:extLst>
            <a:ext uri="{FF2B5EF4-FFF2-40B4-BE49-F238E27FC236}">
              <a16:creationId xmlns:a16="http://schemas.microsoft.com/office/drawing/2014/main" id="{5F0AFE39-3F67-B2E9-8B83-438C401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8" name="Picture 151">
          <a:extLst>
            <a:ext uri="{FF2B5EF4-FFF2-40B4-BE49-F238E27FC236}">
              <a16:creationId xmlns:a16="http://schemas.microsoft.com/office/drawing/2014/main" id="{F3B8CA5F-BB8A-3CA2-670E-6733947F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9" name="Picture 152">
          <a:extLst>
            <a:ext uri="{FF2B5EF4-FFF2-40B4-BE49-F238E27FC236}">
              <a16:creationId xmlns:a16="http://schemas.microsoft.com/office/drawing/2014/main" id="{09080219-7691-C935-82CE-C5EA6C8F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0" name="Picture 153">
          <a:extLst>
            <a:ext uri="{FF2B5EF4-FFF2-40B4-BE49-F238E27FC236}">
              <a16:creationId xmlns:a16="http://schemas.microsoft.com/office/drawing/2014/main" id="{706E1ECF-A332-DC96-2CD0-368955DE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1" name="Picture 154">
          <a:extLst>
            <a:ext uri="{FF2B5EF4-FFF2-40B4-BE49-F238E27FC236}">
              <a16:creationId xmlns:a16="http://schemas.microsoft.com/office/drawing/2014/main" id="{113F248F-9075-FA6E-33F3-0C21B127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2" name="Picture 155">
          <a:extLst>
            <a:ext uri="{FF2B5EF4-FFF2-40B4-BE49-F238E27FC236}">
              <a16:creationId xmlns:a16="http://schemas.microsoft.com/office/drawing/2014/main" id="{A51C933B-ED30-A176-6F19-0C7DC9FE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3" name="Picture 156">
          <a:extLst>
            <a:ext uri="{FF2B5EF4-FFF2-40B4-BE49-F238E27FC236}">
              <a16:creationId xmlns:a16="http://schemas.microsoft.com/office/drawing/2014/main" id="{CB5F64C7-3B58-6497-B77A-FC7CE0D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4" name="Picture 157">
          <a:extLst>
            <a:ext uri="{FF2B5EF4-FFF2-40B4-BE49-F238E27FC236}">
              <a16:creationId xmlns:a16="http://schemas.microsoft.com/office/drawing/2014/main" id="{DD80ED32-65B6-DF0E-C75F-F7F2A914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5" name="Picture 158">
          <a:extLst>
            <a:ext uri="{FF2B5EF4-FFF2-40B4-BE49-F238E27FC236}">
              <a16:creationId xmlns:a16="http://schemas.microsoft.com/office/drawing/2014/main" id="{E6F294F9-A756-1F9F-F9CB-A8F25020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6" name="Picture 159">
          <a:extLst>
            <a:ext uri="{FF2B5EF4-FFF2-40B4-BE49-F238E27FC236}">
              <a16:creationId xmlns:a16="http://schemas.microsoft.com/office/drawing/2014/main" id="{5DA5F8CA-B20F-CB95-06DA-006E5FB0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7" name="Picture 160">
          <a:extLst>
            <a:ext uri="{FF2B5EF4-FFF2-40B4-BE49-F238E27FC236}">
              <a16:creationId xmlns:a16="http://schemas.microsoft.com/office/drawing/2014/main" id="{645D3A6F-5CBE-CBC9-A7E8-012D0737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8" name="Picture 161">
          <a:extLst>
            <a:ext uri="{FF2B5EF4-FFF2-40B4-BE49-F238E27FC236}">
              <a16:creationId xmlns:a16="http://schemas.microsoft.com/office/drawing/2014/main" id="{1311930A-D61F-26E4-B300-7C800683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9" name="Picture 162">
          <a:extLst>
            <a:ext uri="{FF2B5EF4-FFF2-40B4-BE49-F238E27FC236}">
              <a16:creationId xmlns:a16="http://schemas.microsoft.com/office/drawing/2014/main" id="{7D18F1D3-F558-57E2-F485-C7A1D3F5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0" name="Picture 163">
          <a:extLst>
            <a:ext uri="{FF2B5EF4-FFF2-40B4-BE49-F238E27FC236}">
              <a16:creationId xmlns:a16="http://schemas.microsoft.com/office/drawing/2014/main" id="{DA145BAD-52C6-DF71-5F1F-10DEAAA3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1" name="Picture 164">
          <a:extLst>
            <a:ext uri="{FF2B5EF4-FFF2-40B4-BE49-F238E27FC236}">
              <a16:creationId xmlns:a16="http://schemas.microsoft.com/office/drawing/2014/main" id="{31739A28-83F4-BC22-6FD6-A2DBA3E0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2" name="Picture 165">
          <a:extLst>
            <a:ext uri="{FF2B5EF4-FFF2-40B4-BE49-F238E27FC236}">
              <a16:creationId xmlns:a16="http://schemas.microsoft.com/office/drawing/2014/main" id="{4C5EC5E2-4DF4-2978-32DE-B62AE61B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3" name="Picture 166">
          <a:extLst>
            <a:ext uri="{FF2B5EF4-FFF2-40B4-BE49-F238E27FC236}">
              <a16:creationId xmlns:a16="http://schemas.microsoft.com/office/drawing/2014/main" id="{53E498D7-792A-19AC-54DF-A1AA4EFB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4" name="Picture 167">
          <a:extLst>
            <a:ext uri="{FF2B5EF4-FFF2-40B4-BE49-F238E27FC236}">
              <a16:creationId xmlns:a16="http://schemas.microsoft.com/office/drawing/2014/main" id="{BAE0FB4C-A108-45E1-A6D7-55B04E99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5" name="Picture 168">
          <a:extLst>
            <a:ext uri="{FF2B5EF4-FFF2-40B4-BE49-F238E27FC236}">
              <a16:creationId xmlns:a16="http://schemas.microsoft.com/office/drawing/2014/main" id="{D88FD58A-28F3-63EE-09B6-A94E03D3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6" name="Picture 169">
          <a:extLst>
            <a:ext uri="{FF2B5EF4-FFF2-40B4-BE49-F238E27FC236}">
              <a16:creationId xmlns:a16="http://schemas.microsoft.com/office/drawing/2014/main" id="{8A99E6AE-165E-FBDA-4098-45C71A88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7" name="Picture 170">
          <a:extLst>
            <a:ext uri="{FF2B5EF4-FFF2-40B4-BE49-F238E27FC236}">
              <a16:creationId xmlns:a16="http://schemas.microsoft.com/office/drawing/2014/main" id="{9469A7CD-B4C3-7C77-7A46-6A1D834F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8" name="Picture 171">
          <a:extLst>
            <a:ext uri="{FF2B5EF4-FFF2-40B4-BE49-F238E27FC236}">
              <a16:creationId xmlns:a16="http://schemas.microsoft.com/office/drawing/2014/main" id="{B17C7FE1-2DB8-B4A5-B67F-35BCDA4C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9" name="Picture 172">
          <a:extLst>
            <a:ext uri="{FF2B5EF4-FFF2-40B4-BE49-F238E27FC236}">
              <a16:creationId xmlns:a16="http://schemas.microsoft.com/office/drawing/2014/main" id="{EDFFD383-7515-B43E-280E-E526710A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0" name="Picture 173">
          <a:extLst>
            <a:ext uri="{FF2B5EF4-FFF2-40B4-BE49-F238E27FC236}">
              <a16:creationId xmlns:a16="http://schemas.microsoft.com/office/drawing/2014/main" id="{AA40D577-3822-B588-A6A4-786B0BC8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1" name="Picture 174">
          <a:extLst>
            <a:ext uri="{FF2B5EF4-FFF2-40B4-BE49-F238E27FC236}">
              <a16:creationId xmlns:a16="http://schemas.microsoft.com/office/drawing/2014/main" id="{27E6667E-B4EB-21CB-3DD2-1E79E1C3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2" name="Picture 175">
          <a:extLst>
            <a:ext uri="{FF2B5EF4-FFF2-40B4-BE49-F238E27FC236}">
              <a16:creationId xmlns:a16="http://schemas.microsoft.com/office/drawing/2014/main" id="{AD4BE71E-8C25-903B-409A-40CB2EC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3" name="Picture 176">
          <a:extLst>
            <a:ext uri="{FF2B5EF4-FFF2-40B4-BE49-F238E27FC236}">
              <a16:creationId xmlns:a16="http://schemas.microsoft.com/office/drawing/2014/main" id="{1209492B-58E1-CDF2-C114-8EFBC9B4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4" name="Picture 177">
          <a:extLst>
            <a:ext uri="{FF2B5EF4-FFF2-40B4-BE49-F238E27FC236}">
              <a16:creationId xmlns:a16="http://schemas.microsoft.com/office/drawing/2014/main" id="{84EE03D8-35EA-CD01-68DC-8AF85D65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5" name="Picture 178">
          <a:extLst>
            <a:ext uri="{FF2B5EF4-FFF2-40B4-BE49-F238E27FC236}">
              <a16:creationId xmlns:a16="http://schemas.microsoft.com/office/drawing/2014/main" id="{D8A8A4BC-87AA-3A2B-BF95-03AE9B98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6" name="Picture 179">
          <a:extLst>
            <a:ext uri="{FF2B5EF4-FFF2-40B4-BE49-F238E27FC236}">
              <a16:creationId xmlns:a16="http://schemas.microsoft.com/office/drawing/2014/main" id="{096012BE-E26D-26DB-6D1F-5A675DE6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7" name="Picture 180">
          <a:extLst>
            <a:ext uri="{FF2B5EF4-FFF2-40B4-BE49-F238E27FC236}">
              <a16:creationId xmlns:a16="http://schemas.microsoft.com/office/drawing/2014/main" id="{9B8674D0-818A-3FB9-141A-42271FAB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8" name="Picture 181">
          <a:extLst>
            <a:ext uri="{FF2B5EF4-FFF2-40B4-BE49-F238E27FC236}">
              <a16:creationId xmlns:a16="http://schemas.microsoft.com/office/drawing/2014/main" id="{D61D2A27-2260-1D7F-DDB5-6FD25F3E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9" name="Picture 182">
          <a:extLst>
            <a:ext uri="{FF2B5EF4-FFF2-40B4-BE49-F238E27FC236}">
              <a16:creationId xmlns:a16="http://schemas.microsoft.com/office/drawing/2014/main" id="{79914548-840C-04C2-6046-1EA315FF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0" name="Picture 183">
          <a:extLst>
            <a:ext uri="{FF2B5EF4-FFF2-40B4-BE49-F238E27FC236}">
              <a16:creationId xmlns:a16="http://schemas.microsoft.com/office/drawing/2014/main" id="{7E1C8EDA-30B8-38B9-B866-7A296918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1" name="Picture 184">
          <a:extLst>
            <a:ext uri="{FF2B5EF4-FFF2-40B4-BE49-F238E27FC236}">
              <a16:creationId xmlns:a16="http://schemas.microsoft.com/office/drawing/2014/main" id="{70632396-B044-0C83-CF31-885E1869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2" name="Picture 185">
          <a:extLst>
            <a:ext uri="{FF2B5EF4-FFF2-40B4-BE49-F238E27FC236}">
              <a16:creationId xmlns:a16="http://schemas.microsoft.com/office/drawing/2014/main" id="{413D7234-3022-8282-72FC-4CFC1C0F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3" name="Picture 186">
          <a:extLst>
            <a:ext uri="{FF2B5EF4-FFF2-40B4-BE49-F238E27FC236}">
              <a16:creationId xmlns:a16="http://schemas.microsoft.com/office/drawing/2014/main" id="{FE0155F1-67E0-D4B6-726F-22954498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4" name="Picture 187">
          <a:extLst>
            <a:ext uri="{FF2B5EF4-FFF2-40B4-BE49-F238E27FC236}">
              <a16:creationId xmlns:a16="http://schemas.microsoft.com/office/drawing/2014/main" id="{EDE50619-1CAB-92C5-8A41-092D6B97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5" name="Picture 188">
          <a:extLst>
            <a:ext uri="{FF2B5EF4-FFF2-40B4-BE49-F238E27FC236}">
              <a16:creationId xmlns:a16="http://schemas.microsoft.com/office/drawing/2014/main" id="{4D97980D-1059-D702-D641-CE82C7C0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6" name="Picture 189">
          <a:extLst>
            <a:ext uri="{FF2B5EF4-FFF2-40B4-BE49-F238E27FC236}">
              <a16:creationId xmlns:a16="http://schemas.microsoft.com/office/drawing/2014/main" id="{6C69F03E-7B9E-D9AE-4D69-80092B3C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7" name="Picture 190">
          <a:extLst>
            <a:ext uri="{FF2B5EF4-FFF2-40B4-BE49-F238E27FC236}">
              <a16:creationId xmlns:a16="http://schemas.microsoft.com/office/drawing/2014/main" id="{5C9F6668-69B3-8EB5-928F-01D95BAF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8" name="Picture 191">
          <a:extLst>
            <a:ext uri="{FF2B5EF4-FFF2-40B4-BE49-F238E27FC236}">
              <a16:creationId xmlns:a16="http://schemas.microsoft.com/office/drawing/2014/main" id="{D212C315-641C-EE8A-B4EF-14E3F6D5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9" name="Picture 192">
          <a:extLst>
            <a:ext uri="{FF2B5EF4-FFF2-40B4-BE49-F238E27FC236}">
              <a16:creationId xmlns:a16="http://schemas.microsoft.com/office/drawing/2014/main" id="{EB4DF952-DF55-DC30-0584-7A005BA2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0" name="Picture 193">
          <a:extLst>
            <a:ext uri="{FF2B5EF4-FFF2-40B4-BE49-F238E27FC236}">
              <a16:creationId xmlns:a16="http://schemas.microsoft.com/office/drawing/2014/main" id="{F112EA12-9E17-3F62-EB0D-4EB752F4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1" name="Picture 194">
          <a:extLst>
            <a:ext uri="{FF2B5EF4-FFF2-40B4-BE49-F238E27FC236}">
              <a16:creationId xmlns:a16="http://schemas.microsoft.com/office/drawing/2014/main" id="{F4439035-51BC-7951-50E7-B61B4056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2" name="Picture 195">
          <a:extLst>
            <a:ext uri="{FF2B5EF4-FFF2-40B4-BE49-F238E27FC236}">
              <a16:creationId xmlns:a16="http://schemas.microsoft.com/office/drawing/2014/main" id="{516A7500-9272-89CA-BDD2-E7250F0A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3" name="Picture 196">
          <a:extLst>
            <a:ext uri="{FF2B5EF4-FFF2-40B4-BE49-F238E27FC236}">
              <a16:creationId xmlns:a16="http://schemas.microsoft.com/office/drawing/2014/main" id="{35AB183D-A81B-0E6B-E9F7-3A8133EA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4" name="Picture 197">
          <a:extLst>
            <a:ext uri="{FF2B5EF4-FFF2-40B4-BE49-F238E27FC236}">
              <a16:creationId xmlns:a16="http://schemas.microsoft.com/office/drawing/2014/main" id="{9436B979-0C0E-BC5C-6D0B-BEB79723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5" name="Picture 198">
          <a:extLst>
            <a:ext uri="{FF2B5EF4-FFF2-40B4-BE49-F238E27FC236}">
              <a16:creationId xmlns:a16="http://schemas.microsoft.com/office/drawing/2014/main" id="{44E1158B-42E6-0AB2-BD87-E011254A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6" name="Picture 199">
          <a:extLst>
            <a:ext uri="{FF2B5EF4-FFF2-40B4-BE49-F238E27FC236}">
              <a16:creationId xmlns:a16="http://schemas.microsoft.com/office/drawing/2014/main" id="{9ADCCB8C-2BB9-D329-31B5-5A44B2F45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7" name="Picture 200">
          <a:extLst>
            <a:ext uri="{FF2B5EF4-FFF2-40B4-BE49-F238E27FC236}">
              <a16:creationId xmlns:a16="http://schemas.microsoft.com/office/drawing/2014/main" id="{AD0FB74A-6353-B9AF-9AF7-879581C1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8" name="Picture 201">
          <a:extLst>
            <a:ext uri="{FF2B5EF4-FFF2-40B4-BE49-F238E27FC236}">
              <a16:creationId xmlns:a16="http://schemas.microsoft.com/office/drawing/2014/main" id="{C86C9E67-6386-F429-1232-F7A275FA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9" name="Picture 202">
          <a:extLst>
            <a:ext uri="{FF2B5EF4-FFF2-40B4-BE49-F238E27FC236}">
              <a16:creationId xmlns:a16="http://schemas.microsoft.com/office/drawing/2014/main" id="{BADDAA6D-CB21-7226-9008-A6FB60E6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0" name="Picture 203">
          <a:extLst>
            <a:ext uri="{FF2B5EF4-FFF2-40B4-BE49-F238E27FC236}">
              <a16:creationId xmlns:a16="http://schemas.microsoft.com/office/drawing/2014/main" id="{E884F841-E5B8-0F35-23BD-37AF2020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1" name="Picture 204">
          <a:extLst>
            <a:ext uri="{FF2B5EF4-FFF2-40B4-BE49-F238E27FC236}">
              <a16:creationId xmlns:a16="http://schemas.microsoft.com/office/drawing/2014/main" id="{BCA822E3-D0B3-F20F-549F-94AF7800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2" name="Picture 205">
          <a:extLst>
            <a:ext uri="{FF2B5EF4-FFF2-40B4-BE49-F238E27FC236}">
              <a16:creationId xmlns:a16="http://schemas.microsoft.com/office/drawing/2014/main" id="{C39BD7D4-BDCC-8DE5-C317-BFDEFDC0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3" name="Picture 206">
          <a:extLst>
            <a:ext uri="{FF2B5EF4-FFF2-40B4-BE49-F238E27FC236}">
              <a16:creationId xmlns:a16="http://schemas.microsoft.com/office/drawing/2014/main" id="{31CA5179-E69B-5C05-A34E-F524D57A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4" name="Picture 207">
          <a:extLst>
            <a:ext uri="{FF2B5EF4-FFF2-40B4-BE49-F238E27FC236}">
              <a16:creationId xmlns:a16="http://schemas.microsoft.com/office/drawing/2014/main" id="{3F0700FE-74C1-DC5E-2ED5-965D1188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5" name="Picture 208">
          <a:extLst>
            <a:ext uri="{FF2B5EF4-FFF2-40B4-BE49-F238E27FC236}">
              <a16:creationId xmlns:a16="http://schemas.microsoft.com/office/drawing/2014/main" id="{FF4D6177-3EF0-6850-FF37-9F0FB7AC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6" name="Picture 209">
          <a:extLst>
            <a:ext uri="{FF2B5EF4-FFF2-40B4-BE49-F238E27FC236}">
              <a16:creationId xmlns:a16="http://schemas.microsoft.com/office/drawing/2014/main" id="{710AE63E-A779-F657-540C-5F201DB0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7" name="Picture 210">
          <a:extLst>
            <a:ext uri="{FF2B5EF4-FFF2-40B4-BE49-F238E27FC236}">
              <a16:creationId xmlns:a16="http://schemas.microsoft.com/office/drawing/2014/main" id="{128B288E-A7E1-07BA-B738-8B991C8F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8" name="Picture 211">
          <a:extLst>
            <a:ext uri="{FF2B5EF4-FFF2-40B4-BE49-F238E27FC236}">
              <a16:creationId xmlns:a16="http://schemas.microsoft.com/office/drawing/2014/main" id="{5A556F68-6D6B-F959-AB54-7079A923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9" name="Picture 212">
          <a:extLst>
            <a:ext uri="{FF2B5EF4-FFF2-40B4-BE49-F238E27FC236}">
              <a16:creationId xmlns:a16="http://schemas.microsoft.com/office/drawing/2014/main" id="{81ABF22C-CA14-5B1E-9BBB-CFFDF8C9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0" name="Picture 213">
          <a:extLst>
            <a:ext uri="{FF2B5EF4-FFF2-40B4-BE49-F238E27FC236}">
              <a16:creationId xmlns:a16="http://schemas.microsoft.com/office/drawing/2014/main" id="{FAC8D909-524E-5EAD-9301-4B8B83D2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1" name="Picture 214">
          <a:extLst>
            <a:ext uri="{FF2B5EF4-FFF2-40B4-BE49-F238E27FC236}">
              <a16:creationId xmlns:a16="http://schemas.microsoft.com/office/drawing/2014/main" id="{CBF84B1E-4D83-E02A-1D48-572CD5793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2" name="Picture 215">
          <a:extLst>
            <a:ext uri="{FF2B5EF4-FFF2-40B4-BE49-F238E27FC236}">
              <a16:creationId xmlns:a16="http://schemas.microsoft.com/office/drawing/2014/main" id="{65BB76D5-34F3-ECD4-A041-E9FC2AC4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3" name="Picture 216">
          <a:extLst>
            <a:ext uri="{FF2B5EF4-FFF2-40B4-BE49-F238E27FC236}">
              <a16:creationId xmlns:a16="http://schemas.microsoft.com/office/drawing/2014/main" id="{A9036ABD-B2DB-E092-97B4-7CA7EF8A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4" name="Picture 217">
          <a:extLst>
            <a:ext uri="{FF2B5EF4-FFF2-40B4-BE49-F238E27FC236}">
              <a16:creationId xmlns:a16="http://schemas.microsoft.com/office/drawing/2014/main" id="{2916CF30-1343-7AE8-F93B-485C86D0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5" name="Picture 218">
          <a:extLst>
            <a:ext uri="{FF2B5EF4-FFF2-40B4-BE49-F238E27FC236}">
              <a16:creationId xmlns:a16="http://schemas.microsoft.com/office/drawing/2014/main" id="{9F678C61-B582-9D0E-100A-9FC28F4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6" name="Picture 219">
          <a:extLst>
            <a:ext uri="{FF2B5EF4-FFF2-40B4-BE49-F238E27FC236}">
              <a16:creationId xmlns:a16="http://schemas.microsoft.com/office/drawing/2014/main" id="{9AEDAFB7-6DD6-198A-AF58-4BF832CF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7" name="Picture 220">
          <a:extLst>
            <a:ext uri="{FF2B5EF4-FFF2-40B4-BE49-F238E27FC236}">
              <a16:creationId xmlns:a16="http://schemas.microsoft.com/office/drawing/2014/main" id="{A302D31C-61EE-C92D-BE49-23175B49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8" name="Picture 221">
          <a:extLst>
            <a:ext uri="{FF2B5EF4-FFF2-40B4-BE49-F238E27FC236}">
              <a16:creationId xmlns:a16="http://schemas.microsoft.com/office/drawing/2014/main" id="{A22E3229-4127-6267-5192-4387D157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9" name="Picture 222">
          <a:extLst>
            <a:ext uri="{FF2B5EF4-FFF2-40B4-BE49-F238E27FC236}">
              <a16:creationId xmlns:a16="http://schemas.microsoft.com/office/drawing/2014/main" id="{4D29E7D3-8465-9903-062B-5297C88D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0" name="Picture 223">
          <a:extLst>
            <a:ext uri="{FF2B5EF4-FFF2-40B4-BE49-F238E27FC236}">
              <a16:creationId xmlns:a16="http://schemas.microsoft.com/office/drawing/2014/main" id="{6F069D40-2E7E-5316-960B-5DDA2E8B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1" name="Picture 224">
          <a:extLst>
            <a:ext uri="{FF2B5EF4-FFF2-40B4-BE49-F238E27FC236}">
              <a16:creationId xmlns:a16="http://schemas.microsoft.com/office/drawing/2014/main" id="{9466A377-F4A7-B2F7-321F-4E605684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2" name="Picture 225">
          <a:extLst>
            <a:ext uri="{FF2B5EF4-FFF2-40B4-BE49-F238E27FC236}">
              <a16:creationId xmlns:a16="http://schemas.microsoft.com/office/drawing/2014/main" id="{11DCEBF6-1F6A-92A9-08ED-3539941B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3" name="Picture 226">
          <a:extLst>
            <a:ext uri="{FF2B5EF4-FFF2-40B4-BE49-F238E27FC236}">
              <a16:creationId xmlns:a16="http://schemas.microsoft.com/office/drawing/2014/main" id="{7773F5D4-F065-C34D-293D-6F03D0DBB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4" name="Picture 227">
          <a:extLst>
            <a:ext uri="{FF2B5EF4-FFF2-40B4-BE49-F238E27FC236}">
              <a16:creationId xmlns:a16="http://schemas.microsoft.com/office/drawing/2014/main" id="{0272B755-9841-C438-201E-8000EDAA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5" name="Picture 228">
          <a:extLst>
            <a:ext uri="{FF2B5EF4-FFF2-40B4-BE49-F238E27FC236}">
              <a16:creationId xmlns:a16="http://schemas.microsoft.com/office/drawing/2014/main" id="{00924746-1734-50E4-FD37-132199D4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6" name="Picture 229">
          <a:extLst>
            <a:ext uri="{FF2B5EF4-FFF2-40B4-BE49-F238E27FC236}">
              <a16:creationId xmlns:a16="http://schemas.microsoft.com/office/drawing/2014/main" id="{B23E491C-4126-7642-6F79-B2AC3AD5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7" name="Picture 230">
          <a:extLst>
            <a:ext uri="{FF2B5EF4-FFF2-40B4-BE49-F238E27FC236}">
              <a16:creationId xmlns:a16="http://schemas.microsoft.com/office/drawing/2014/main" id="{CA9AA1D2-9D47-7170-8130-16E7FE89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8" name="Picture 231">
          <a:extLst>
            <a:ext uri="{FF2B5EF4-FFF2-40B4-BE49-F238E27FC236}">
              <a16:creationId xmlns:a16="http://schemas.microsoft.com/office/drawing/2014/main" id="{2383C496-9A2B-6331-D21D-F72AD12E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9" name="Picture 232">
          <a:extLst>
            <a:ext uri="{FF2B5EF4-FFF2-40B4-BE49-F238E27FC236}">
              <a16:creationId xmlns:a16="http://schemas.microsoft.com/office/drawing/2014/main" id="{79A9266B-7FD0-A815-E876-6DF4449A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0" name="Picture 233">
          <a:extLst>
            <a:ext uri="{FF2B5EF4-FFF2-40B4-BE49-F238E27FC236}">
              <a16:creationId xmlns:a16="http://schemas.microsoft.com/office/drawing/2014/main" id="{5C9B0590-971F-65AF-B418-FDEE610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1" name="Picture 234">
          <a:extLst>
            <a:ext uri="{FF2B5EF4-FFF2-40B4-BE49-F238E27FC236}">
              <a16:creationId xmlns:a16="http://schemas.microsoft.com/office/drawing/2014/main" id="{67E06782-2DDA-0A2C-1AA6-711145F8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2" name="Picture 235">
          <a:extLst>
            <a:ext uri="{FF2B5EF4-FFF2-40B4-BE49-F238E27FC236}">
              <a16:creationId xmlns:a16="http://schemas.microsoft.com/office/drawing/2014/main" id="{D4D94FD2-1A98-C72F-D8D5-2556C509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3" name="Picture 236">
          <a:extLst>
            <a:ext uri="{FF2B5EF4-FFF2-40B4-BE49-F238E27FC236}">
              <a16:creationId xmlns:a16="http://schemas.microsoft.com/office/drawing/2014/main" id="{4D72028F-EF7D-27A5-FA85-3B518D52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4" name="Picture 237">
          <a:extLst>
            <a:ext uri="{FF2B5EF4-FFF2-40B4-BE49-F238E27FC236}">
              <a16:creationId xmlns:a16="http://schemas.microsoft.com/office/drawing/2014/main" id="{726547A1-3AB1-C6F5-6248-2273A447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5" name="Picture 238">
          <a:extLst>
            <a:ext uri="{FF2B5EF4-FFF2-40B4-BE49-F238E27FC236}">
              <a16:creationId xmlns:a16="http://schemas.microsoft.com/office/drawing/2014/main" id="{BEF44ECB-F3E8-A23A-8B7E-4FB37BC6D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6" name="Picture 239">
          <a:extLst>
            <a:ext uri="{FF2B5EF4-FFF2-40B4-BE49-F238E27FC236}">
              <a16:creationId xmlns:a16="http://schemas.microsoft.com/office/drawing/2014/main" id="{C5433E8E-198A-D5E6-C6FC-1DF898D8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7" name="Picture 240">
          <a:extLst>
            <a:ext uri="{FF2B5EF4-FFF2-40B4-BE49-F238E27FC236}">
              <a16:creationId xmlns:a16="http://schemas.microsoft.com/office/drawing/2014/main" id="{A9D708CC-1C04-1FEF-888F-A55F5B43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8" name="Picture 241">
          <a:extLst>
            <a:ext uri="{FF2B5EF4-FFF2-40B4-BE49-F238E27FC236}">
              <a16:creationId xmlns:a16="http://schemas.microsoft.com/office/drawing/2014/main" id="{3D6F853C-473F-0E67-A138-A3713D39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9" name="Picture 242">
          <a:extLst>
            <a:ext uri="{FF2B5EF4-FFF2-40B4-BE49-F238E27FC236}">
              <a16:creationId xmlns:a16="http://schemas.microsoft.com/office/drawing/2014/main" id="{6E999CFF-1B2D-EFFB-B2FA-116F565E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0" name="Picture 243">
          <a:extLst>
            <a:ext uri="{FF2B5EF4-FFF2-40B4-BE49-F238E27FC236}">
              <a16:creationId xmlns:a16="http://schemas.microsoft.com/office/drawing/2014/main" id="{72D83085-4A09-9377-239B-A27C618B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1" name="Picture 244">
          <a:extLst>
            <a:ext uri="{FF2B5EF4-FFF2-40B4-BE49-F238E27FC236}">
              <a16:creationId xmlns:a16="http://schemas.microsoft.com/office/drawing/2014/main" id="{63640963-9AB3-C176-7214-A481872C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2" name="Picture 245">
          <a:extLst>
            <a:ext uri="{FF2B5EF4-FFF2-40B4-BE49-F238E27FC236}">
              <a16:creationId xmlns:a16="http://schemas.microsoft.com/office/drawing/2014/main" id="{F08AA825-AEC9-B387-D97E-0B438BF6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3" name="Picture 246">
          <a:extLst>
            <a:ext uri="{FF2B5EF4-FFF2-40B4-BE49-F238E27FC236}">
              <a16:creationId xmlns:a16="http://schemas.microsoft.com/office/drawing/2014/main" id="{F97BEE82-F447-864C-A4CC-1FBE6B09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4" name="Picture 247">
          <a:extLst>
            <a:ext uri="{FF2B5EF4-FFF2-40B4-BE49-F238E27FC236}">
              <a16:creationId xmlns:a16="http://schemas.microsoft.com/office/drawing/2014/main" id="{3EB1D831-3012-2636-B16F-52CF6CB0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5" name="Picture 248">
          <a:extLst>
            <a:ext uri="{FF2B5EF4-FFF2-40B4-BE49-F238E27FC236}">
              <a16:creationId xmlns:a16="http://schemas.microsoft.com/office/drawing/2014/main" id="{CF450737-969F-55E1-CF34-2791E3C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6" name="Picture 249">
          <a:extLst>
            <a:ext uri="{FF2B5EF4-FFF2-40B4-BE49-F238E27FC236}">
              <a16:creationId xmlns:a16="http://schemas.microsoft.com/office/drawing/2014/main" id="{8C2A6D96-A202-C1A6-9462-3FA4A852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7" name="Picture 250">
          <a:extLst>
            <a:ext uri="{FF2B5EF4-FFF2-40B4-BE49-F238E27FC236}">
              <a16:creationId xmlns:a16="http://schemas.microsoft.com/office/drawing/2014/main" id="{CF349E90-9EF5-6395-0388-82E60D8E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8" name="Picture 251">
          <a:extLst>
            <a:ext uri="{FF2B5EF4-FFF2-40B4-BE49-F238E27FC236}">
              <a16:creationId xmlns:a16="http://schemas.microsoft.com/office/drawing/2014/main" id="{4F5E4432-57AF-5F1E-E9FA-117D2F72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9" name="Picture 252">
          <a:extLst>
            <a:ext uri="{FF2B5EF4-FFF2-40B4-BE49-F238E27FC236}">
              <a16:creationId xmlns:a16="http://schemas.microsoft.com/office/drawing/2014/main" id="{A62ABBF2-ECA7-1255-0FE9-0C29A91C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0" name="Picture 253">
          <a:extLst>
            <a:ext uri="{FF2B5EF4-FFF2-40B4-BE49-F238E27FC236}">
              <a16:creationId xmlns:a16="http://schemas.microsoft.com/office/drawing/2014/main" id="{3FD9CB45-6377-CA1A-55B4-5EE32872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1" name="Picture 254">
          <a:extLst>
            <a:ext uri="{FF2B5EF4-FFF2-40B4-BE49-F238E27FC236}">
              <a16:creationId xmlns:a16="http://schemas.microsoft.com/office/drawing/2014/main" id="{BD9FF726-A002-4277-A74C-E4C4D4D1F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2" name="Picture 255">
          <a:extLst>
            <a:ext uri="{FF2B5EF4-FFF2-40B4-BE49-F238E27FC236}">
              <a16:creationId xmlns:a16="http://schemas.microsoft.com/office/drawing/2014/main" id="{118F1524-141B-99C9-CB59-0D02CE7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3" name="Picture 256">
          <a:extLst>
            <a:ext uri="{FF2B5EF4-FFF2-40B4-BE49-F238E27FC236}">
              <a16:creationId xmlns:a16="http://schemas.microsoft.com/office/drawing/2014/main" id="{445A4627-4E1C-85EA-5AB3-5AAD5342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4" name="Picture 257">
          <a:extLst>
            <a:ext uri="{FF2B5EF4-FFF2-40B4-BE49-F238E27FC236}">
              <a16:creationId xmlns:a16="http://schemas.microsoft.com/office/drawing/2014/main" id="{B5A3329D-AF85-F4B9-B43F-89C31BD8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5" name="Picture 258">
          <a:extLst>
            <a:ext uri="{FF2B5EF4-FFF2-40B4-BE49-F238E27FC236}">
              <a16:creationId xmlns:a16="http://schemas.microsoft.com/office/drawing/2014/main" id="{A8DB2320-FB07-4B9F-2AAB-BB41A729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6" name="Picture 259">
          <a:extLst>
            <a:ext uri="{FF2B5EF4-FFF2-40B4-BE49-F238E27FC236}">
              <a16:creationId xmlns:a16="http://schemas.microsoft.com/office/drawing/2014/main" id="{28EC69D8-CF90-6BA0-8812-F74CAC42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7" name="Picture 260">
          <a:extLst>
            <a:ext uri="{FF2B5EF4-FFF2-40B4-BE49-F238E27FC236}">
              <a16:creationId xmlns:a16="http://schemas.microsoft.com/office/drawing/2014/main" id="{37A46CC5-7A36-28A3-101E-3C7CACF2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8" name="Picture 261">
          <a:extLst>
            <a:ext uri="{FF2B5EF4-FFF2-40B4-BE49-F238E27FC236}">
              <a16:creationId xmlns:a16="http://schemas.microsoft.com/office/drawing/2014/main" id="{24175C3F-7443-73A9-704C-F23BE660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9" name="Picture 262">
          <a:extLst>
            <a:ext uri="{FF2B5EF4-FFF2-40B4-BE49-F238E27FC236}">
              <a16:creationId xmlns:a16="http://schemas.microsoft.com/office/drawing/2014/main" id="{6498BF74-D503-86A6-709F-C9690E7E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0" name="Picture 263">
          <a:extLst>
            <a:ext uri="{FF2B5EF4-FFF2-40B4-BE49-F238E27FC236}">
              <a16:creationId xmlns:a16="http://schemas.microsoft.com/office/drawing/2014/main" id="{F9621502-F1B2-D270-B252-778CC18D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1" name="Picture 264">
          <a:extLst>
            <a:ext uri="{FF2B5EF4-FFF2-40B4-BE49-F238E27FC236}">
              <a16:creationId xmlns:a16="http://schemas.microsoft.com/office/drawing/2014/main" id="{6D46F6CD-E9CF-926D-770E-C4BD3526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2" name="Picture 265">
          <a:extLst>
            <a:ext uri="{FF2B5EF4-FFF2-40B4-BE49-F238E27FC236}">
              <a16:creationId xmlns:a16="http://schemas.microsoft.com/office/drawing/2014/main" id="{53840B46-DA1E-8BBC-7414-107B6EE8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3" name="Picture 266">
          <a:extLst>
            <a:ext uri="{FF2B5EF4-FFF2-40B4-BE49-F238E27FC236}">
              <a16:creationId xmlns:a16="http://schemas.microsoft.com/office/drawing/2014/main" id="{28C9D327-89CD-E878-8991-DFBEDD38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4" name="Picture 267">
          <a:extLst>
            <a:ext uri="{FF2B5EF4-FFF2-40B4-BE49-F238E27FC236}">
              <a16:creationId xmlns:a16="http://schemas.microsoft.com/office/drawing/2014/main" id="{FECE794A-960F-1646-B2ED-E778FA1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5" name="Picture 268">
          <a:extLst>
            <a:ext uri="{FF2B5EF4-FFF2-40B4-BE49-F238E27FC236}">
              <a16:creationId xmlns:a16="http://schemas.microsoft.com/office/drawing/2014/main" id="{0D6440AB-5A97-5DAE-3968-D4C97387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6" name="Picture 269">
          <a:extLst>
            <a:ext uri="{FF2B5EF4-FFF2-40B4-BE49-F238E27FC236}">
              <a16:creationId xmlns:a16="http://schemas.microsoft.com/office/drawing/2014/main" id="{B4294B8B-10BD-01AE-CBB5-83A1ADE7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7" name="Picture 270">
          <a:extLst>
            <a:ext uri="{FF2B5EF4-FFF2-40B4-BE49-F238E27FC236}">
              <a16:creationId xmlns:a16="http://schemas.microsoft.com/office/drawing/2014/main" id="{19B97553-26DD-74DE-3233-8EA988DE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8" name="Picture 271">
          <a:extLst>
            <a:ext uri="{FF2B5EF4-FFF2-40B4-BE49-F238E27FC236}">
              <a16:creationId xmlns:a16="http://schemas.microsoft.com/office/drawing/2014/main" id="{AF3195D1-1D2E-100A-C84F-D75BBBDF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9" name="Picture 272">
          <a:extLst>
            <a:ext uri="{FF2B5EF4-FFF2-40B4-BE49-F238E27FC236}">
              <a16:creationId xmlns:a16="http://schemas.microsoft.com/office/drawing/2014/main" id="{C27C28BF-69AD-34A0-C616-A056C8FC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0" name="Picture 273">
          <a:extLst>
            <a:ext uri="{FF2B5EF4-FFF2-40B4-BE49-F238E27FC236}">
              <a16:creationId xmlns:a16="http://schemas.microsoft.com/office/drawing/2014/main" id="{5A94ACD0-B22C-CAE8-B6C4-EE0424C1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1" name="Picture 274">
          <a:extLst>
            <a:ext uri="{FF2B5EF4-FFF2-40B4-BE49-F238E27FC236}">
              <a16:creationId xmlns:a16="http://schemas.microsoft.com/office/drawing/2014/main" id="{ECF2FFF5-36AD-FA19-5066-88F13705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2" name="Picture 275">
          <a:extLst>
            <a:ext uri="{FF2B5EF4-FFF2-40B4-BE49-F238E27FC236}">
              <a16:creationId xmlns:a16="http://schemas.microsoft.com/office/drawing/2014/main" id="{4B7DF7A0-D616-B985-B3E3-2A91AA8A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3" name="Picture 276">
          <a:extLst>
            <a:ext uri="{FF2B5EF4-FFF2-40B4-BE49-F238E27FC236}">
              <a16:creationId xmlns:a16="http://schemas.microsoft.com/office/drawing/2014/main" id="{B01A3422-2607-F154-9135-3BD7F113D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4" name="Picture 277">
          <a:extLst>
            <a:ext uri="{FF2B5EF4-FFF2-40B4-BE49-F238E27FC236}">
              <a16:creationId xmlns:a16="http://schemas.microsoft.com/office/drawing/2014/main" id="{8F89F443-B30C-B780-E1A7-12A6BEA3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5" name="Picture 278">
          <a:extLst>
            <a:ext uri="{FF2B5EF4-FFF2-40B4-BE49-F238E27FC236}">
              <a16:creationId xmlns:a16="http://schemas.microsoft.com/office/drawing/2014/main" id="{6CD6A806-CCA8-5606-C9A3-B60932F0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6" name="Picture 279">
          <a:extLst>
            <a:ext uri="{FF2B5EF4-FFF2-40B4-BE49-F238E27FC236}">
              <a16:creationId xmlns:a16="http://schemas.microsoft.com/office/drawing/2014/main" id="{58108280-949D-EA10-FEAB-61352DFB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7" name="Picture 280">
          <a:extLst>
            <a:ext uri="{FF2B5EF4-FFF2-40B4-BE49-F238E27FC236}">
              <a16:creationId xmlns:a16="http://schemas.microsoft.com/office/drawing/2014/main" id="{FB9CFCDA-463C-9859-2490-A567B59C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8" name="Picture 281">
          <a:extLst>
            <a:ext uri="{FF2B5EF4-FFF2-40B4-BE49-F238E27FC236}">
              <a16:creationId xmlns:a16="http://schemas.microsoft.com/office/drawing/2014/main" id="{92BFA60D-E8A5-74A4-3ED4-98AC53CD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9" name="Picture 282">
          <a:extLst>
            <a:ext uri="{FF2B5EF4-FFF2-40B4-BE49-F238E27FC236}">
              <a16:creationId xmlns:a16="http://schemas.microsoft.com/office/drawing/2014/main" id="{E3628F4F-E628-BFD6-6406-6B25B3D7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0" name="Picture 283">
          <a:extLst>
            <a:ext uri="{FF2B5EF4-FFF2-40B4-BE49-F238E27FC236}">
              <a16:creationId xmlns:a16="http://schemas.microsoft.com/office/drawing/2014/main" id="{22B2E396-E14F-FFA4-C793-983A01C8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1" name="Picture 284">
          <a:extLst>
            <a:ext uri="{FF2B5EF4-FFF2-40B4-BE49-F238E27FC236}">
              <a16:creationId xmlns:a16="http://schemas.microsoft.com/office/drawing/2014/main" id="{53147E4A-687A-97A8-CD6B-8E84B236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2" name="Picture 285">
          <a:extLst>
            <a:ext uri="{FF2B5EF4-FFF2-40B4-BE49-F238E27FC236}">
              <a16:creationId xmlns:a16="http://schemas.microsoft.com/office/drawing/2014/main" id="{183C1165-B1C0-323E-ED71-C1D73EB0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3" name="Picture 286">
          <a:extLst>
            <a:ext uri="{FF2B5EF4-FFF2-40B4-BE49-F238E27FC236}">
              <a16:creationId xmlns:a16="http://schemas.microsoft.com/office/drawing/2014/main" id="{B8AABEE5-28D3-D0F3-FC98-EF377E08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4" name="Picture 287">
          <a:extLst>
            <a:ext uri="{FF2B5EF4-FFF2-40B4-BE49-F238E27FC236}">
              <a16:creationId xmlns:a16="http://schemas.microsoft.com/office/drawing/2014/main" id="{2E66A7AB-5913-7421-F3A8-B8782C5C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5" name="Picture 288">
          <a:extLst>
            <a:ext uri="{FF2B5EF4-FFF2-40B4-BE49-F238E27FC236}">
              <a16:creationId xmlns:a16="http://schemas.microsoft.com/office/drawing/2014/main" id="{4B115198-9A5F-B2BF-1B73-834840A4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6" name="Picture 289">
          <a:extLst>
            <a:ext uri="{FF2B5EF4-FFF2-40B4-BE49-F238E27FC236}">
              <a16:creationId xmlns:a16="http://schemas.microsoft.com/office/drawing/2014/main" id="{04215723-584F-EAD1-4371-0FCF7472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7" name="Picture 290">
          <a:extLst>
            <a:ext uri="{FF2B5EF4-FFF2-40B4-BE49-F238E27FC236}">
              <a16:creationId xmlns:a16="http://schemas.microsoft.com/office/drawing/2014/main" id="{DC188CCD-B054-049E-ABF4-4FD35F1B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8" name="Picture 291">
          <a:extLst>
            <a:ext uri="{FF2B5EF4-FFF2-40B4-BE49-F238E27FC236}">
              <a16:creationId xmlns:a16="http://schemas.microsoft.com/office/drawing/2014/main" id="{9DF3A2D1-8E54-4D62-4717-EBB84584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9" name="Picture 292">
          <a:extLst>
            <a:ext uri="{FF2B5EF4-FFF2-40B4-BE49-F238E27FC236}">
              <a16:creationId xmlns:a16="http://schemas.microsoft.com/office/drawing/2014/main" id="{2D9D66C2-DC63-46C9-8E66-C50BEE66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0" name="Picture 293">
          <a:extLst>
            <a:ext uri="{FF2B5EF4-FFF2-40B4-BE49-F238E27FC236}">
              <a16:creationId xmlns:a16="http://schemas.microsoft.com/office/drawing/2014/main" id="{DD7070C3-0045-96F3-5E10-488E5F67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1" name="Picture 294">
          <a:extLst>
            <a:ext uri="{FF2B5EF4-FFF2-40B4-BE49-F238E27FC236}">
              <a16:creationId xmlns:a16="http://schemas.microsoft.com/office/drawing/2014/main" id="{6452C611-5B7A-9D60-232D-BAD23A03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2" name="Picture 295">
          <a:extLst>
            <a:ext uri="{FF2B5EF4-FFF2-40B4-BE49-F238E27FC236}">
              <a16:creationId xmlns:a16="http://schemas.microsoft.com/office/drawing/2014/main" id="{AC5536AA-B470-E8D5-4551-94D132DD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3" name="Picture 296">
          <a:extLst>
            <a:ext uri="{FF2B5EF4-FFF2-40B4-BE49-F238E27FC236}">
              <a16:creationId xmlns:a16="http://schemas.microsoft.com/office/drawing/2014/main" id="{A8187333-7072-4D39-6E66-7F7F50A7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4" name="Picture 297">
          <a:extLst>
            <a:ext uri="{FF2B5EF4-FFF2-40B4-BE49-F238E27FC236}">
              <a16:creationId xmlns:a16="http://schemas.microsoft.com/office/drawing/2014/main" id="{826C6A23-FEF6-907E-B6E4-D43EA427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5" name="Picture 298">
          <a:extLst>
            <a:ext uri="{FF2B5EF4-FFF2-40B4-BE49-F238E27FC236}">
              <a16:creationId xmlns:a16="http://schemas.microsoft.com/office/drawing/2014/main" id="{A6FCCE89-D645-DBA3-A892-9A428BE5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6" name="Picture 299">
          <a:extLst>
            <a:ext uri="{FF2B5EF4-FFF2-40B4-BE49-F238E27FC236}">
              <a16:creationId xmlns:a16="http://schemas.microsoft.com/office/drawing/2014/main" id="{3DB5DA9C-60B1-DFED-7210-99566638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7" name="Picture 300">
          <a:extLst>
            <a:ext uri="{FF2B5EF4-FFF2-40B4-BE49-F238E27FC236}">
              <a16:creationId xmlns:a16="http://schemas.microsoft.com/office/drawing/2014/main" id="{9ED8F6D0-0243-8882-BC04-76B572C9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8" name="Picture 301">
          <a:extLst>
            <a:ext uri="{FF2B5EF4-FFF2-40B4-BE49-F238E27FC236}">
              <a16:creationId xmlns:a16="http://schemas.microsoft.com/office/drawing/2014/main" id="{0BC2EDD3-2C7B-8A66-47B1-4043D66E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9" name="Picture 302">
          <a:extLst>
            <a:ext uri="{FF2B5EF4-FFF2-40B4-BE49-F238E27FC236}">
              <a16:creationId xmlns:a16="http://schemas.microsoft.com/office/drawing/2014/main" id="{AFB18910-4AFB-93A7-6786-53EE84F5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0" name="Picture 303">
          <a:extLst>
            <a:ext uri="{FF2B5EF4-FFF2-40B4-BE49-F238E27FC236}">
              <a16:creationId xmlns:a16="http://schemas.microsoft.com/office/drawing/2014/main" id="{B682922E-DF34-22FF-A02C-C759D886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1" name="Picture 304">
          <a:extLst>
            <a:ext uri="{FF2B5EF4-FFF2-40B4-BE49-F238E27FC236}">
              <a16:creationId xmlns:a16="http://schemas.microsoft.com/office/drawing/2014/main" id="{AABD0D7C-77EE-2838-B8B9-C9C3B7AC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2" name="Picture 305">
          <a:extLst>
            <a:ext uri="{FF2B5EF4-FFF2-40B4-BE49-F238E27FC236}">
              <a16:creationId xmlns:a16="http://schemas.microsoft.com/office/drawing/2014/main" id="{F4E3770B-BE25-4275-2CCC-FF707230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3" name="Picture 306">
          <a:extLst>
            <a:ext uri="{FF2B5EF4-FFF2-40B4-BE49-F238E27FC236}">
              <a16:creationId xmlns:a16="http://schemas.microsoft.com/office/drawing/2014/main" id="{D9B3B8A2-4073-3CCA-2DDD-A7FC435F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4" name="Picture 307">
          <a:extLst>
            <a:ext uri="{FF2B5EF4-FFF2-40B4-BE49-F238E27FC236}">
              <a16:creationId xmlns:a16="http://schemas.microsoft.com/office/drawing/2014/main" id="{651A2799-DD9E-8BA4-FB2A-2A41F4A0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5" name="Picture 308">
          <a:extLst>
            <a:ext uri="{FF2B5EF4-FFF2-40B4-BE49-F238E27FC236}">
              <a16:creationId xmlns:a16="http://schemas.microsoft.com/office/drawing/2014/main" id="{3355AC18-314F-B6A8-D372-EF45413A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6" name="Picture 309">
          <a:extLst>
            <a:ext uri="{FF2B5EF4-FFF2-40B4-BE49-F238E27FC236}">
              <a16:creationId xmlns:a16="http://schemas.microsoft.com/office/drawing/2014/main" id="{BC0023D2-C418-1CF8-4B67-994214D6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7" name="Picture 310">
          <a:extLst>
            <a:ext uri="{FF2B5EF4-FFF2-40B4-BE49-F238E27FC236}">
              <a16:creationId xmlns:a16="http://schemas.microsoft.com/office/drawing/2014/main" id="{14103637-42E4-32F7-53F9-F4E7079B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8" name="Picture 311">
          <a:extLst>
            <a:ext uri="{FF2B5EF4-FFF2-40B4-BE49-F238E27FC236}">
              <a16:creationId xmlns:a16="http://schemas.microsoft.com/office/drawing/2014/main" id="{BB220F19-2D6D-1F8A-E04F-9E8C2797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9" name="Picture 312">
          <a:extLst>
            <a:ext uri="{FF2B5EF4-FFF2-40B4-BE49-F238E27FC236}">
              <a16:creationId xmlns:a16="http://schemas.microsoft.com/office/drawing/2014/main" id="{64FB69D5-3AF8-2DD4-80A2-3967FD2A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0" name="Picture 313">
          <a:extLst>
            <a:ext uri="{FF2B5EF4-FFF2-40B4-BE49-F238E27FC236}">
              <a16:creationId xmlns:a16="http://schemas.microsoft.com/office/drawing/2014/main" id="{E5042BF3-B089-F0F7-4CC5-67A8EF5E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1" name="Picture 314">
          <a:extLst>
            <a:ext uri="{FF2B5EF4-FFF2-40B4-BE49-F238E27FC236}">
              <a16:creationId xmlns:a16="http://schemas.microsoft.com/office/drawing/2014/main" id="{0029D290-D2FD-1703-5E8C-97D935D5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2" name="Picture 315">
          <a:extLst>
            <a:ext uri="{FF2B5EF4-FFF2-40B4-BE49-F238E27FC236}">
              <a16:creationId xmlns:a16="http://schemas.microsoft.com/office/drawing/2014/main" id="{00342A26-C7D5-157E-15FE-38D2B882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3" name="Picture 316">
          <a:extLst>
            <a:ext uri="{FF2B5EF4-FFF2-40B4-BE49-F238E27FC236}">
              <a16:creationId xmlns:a16="http://schemas.microsoft.com/office/drawing/2014/main" id="{B7F32C6E-1823-7C3D-D384-F23912C2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4" name="Picture 317">
          <a:extLst>
            <a:ext uri="{FF2B5EF4-FFF2-40B4-BE49-F238E27FC236}">
              <a16:creationId xmlns:a16="http://schemas.microsoft.com/office/drawing/2014/main" id="{4924F821-63DA-95CA-0953-62FE6A44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5" name="Picture 318">
          <a:extLst>
            <a:ext uri="{FF2B5EF4-FFF2-40B4-BE49-F238E27FC236}">
              <a16:creationId xmlns:a16="http://schemas.microsoft.com/office/drawing/2014/main" id="{39687B3E-21BF-0564-ACEC-BD334C80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6" name="Picture 319">
          <a:extLst>
            <a:ext uri="{FF2B5EF4-FFF2-40B4-BE49-F238E27FC236}">
              <a16:creationId xmlns:a16="http://schemas.microsoft.com/office/drawing/2014/main" id="{6595F002-32CA-52AA-F96D-248BD7C8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7" name="Picture 320">
          <a:extLst>
            <a:ext uri="{FF2B5EF4-FFF2-40B4-BE49-F238E27FC236}">
              <a16:creationId xmlns:a16="http://schemas.microsoft.com/office/drawing/2014/main" id="{223655AF-23C9-4169-3D0A-6C6697E7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8" name="Picture 321">
          <a:extLst>
            <a:ext uri="{FF2B5EF4-FFF2-40B4-BE49-F238E27FC236}">
              <a16:creationId xmlns:a16="http://schemas.microsoft.com/office/drawing/2014/main" id="{2D396E4F-D42A-D190-6C15-F529C24C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9" name="Picture 322">
          <a:extLst>
            <a:ext uri="{FF2B5EF4-FFF2-40B4-BE49-F238E27FC236}">
              <a16:creationId xmlns:a16="http://schemas.microsoft.com/office/drawing/2014/main" id="{419E9F8B-4852-81D8-CC8C-4A30B2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0" name="Picture 323">
          <a:extLst>
            <a:ext uri="{FF2B5EF4-FFF2-40B4-BE49-F238E27FC236}">
              <a16:creationId xmlns:a16="http://schemas.microsoft.com/office/drawing/2014/main" id="{6078B9E5-3FA8-0776-1AB5-073145C3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1" name="Picture 324">
          <a:extLst>
            <a:ext uri="{FF2B5EF4-FFF2-40B4-BE49-F238E27FC236}">
              <a16:creationId xmlns:a16="http://schemas.microsoft.com/office/drawing/2014/main" id="{B8055B8A-C648-AFAD-BC1F-D2863EA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2" name="Picture 325">
          <a:extLst>
            <a:ext uri="{FF2B5EF4-FFF2-40B4-BE49-F238E27FC236}">
              <a16:creationId xmlns:a16="http://schemas.microsoft.com/office/drawing/2014/main" id="{10769465-6858-1E28-0F88-DEA491FC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3" name="Picture 326">
          <a:extLst>
            <a:ext uri="{FF2B5EF4-FFF2-40B4-BE49-F238E27FC236}">
              <a16:creationId xmlns:a16="http://schemas.microsoft.com/office/drawing/2014/main" id="{3CE47FD4-E9D6-087C-AFDC-EC157505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4" name="Picture 327">
          <a:extLst>
            <a:ext uri="{FF2B5EF4-FFF2-40B4-BE49-F238E27FC236}">
              <a16:creationId xmlns:a16="http://schemas.microsoft.com/office/drawing/2014/main" id="{70BD7238-9388-2AD0-C818-568FAE624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5" name="Picture 328">
          <a:extLst>
            <a:ext uri="{FF2B5EF4-FFF2-40B4-BE49-F238E27FC236}">
              <a16:creationId xmlns:a16="http://schemas.microsoft.com/office/drawing/2014/main" id="{10454C74-C611-2B62-510B-ED5591B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6" name="Picture 329">
          <a:extLst>
            <a:ext uri="{FF2B5EF4-FFF2-40B4-BE49-F238E27FC236}">
              <a16:creationId xmlns:a16="http://schemas.microsoft.com/office/drawing/2014/main" id="{AAF75F2B-E02C-5CAD-0F4C-32423B0A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7" name="Picture 330">
          <a:extLst>
            <a:ext uri="{FF2B5EF4-FFF2-40B4-BE49-F238E27FC236}">
              <a16:creationId xmlns:a16="http://schemas.microsoft.com/office/drawing/2014/main" id="{572A5293-DC69-6315-577F-A9B7E11B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8" name="Picture 331">
          <a:extLst>
            <a:ext uri="{FF2B5EF4-FFF2-40B4-BE49-F238E27FC236}">
              <a16:creationId xmlns:a16="http://schemas.microsoft.com/office/drawing/2014/main" id="{D81C053B-131B-1673-7538-06075CFD6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9" name="Picture 332">
          <a:extLst>
            <a:ext uri="{FF2B5EF4-FFF2-40B4-BE49-F238E27FC236}">
              <a16:creationId xmlns:a16="http://schemas.microsoft.com/office/drawing/2014/main" id="{AB1AA753-38BE-78C0-E23F-79B2BFFF6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0" name="Picture 333">
          <a:extLst>
            <a:ext uri="{FF2B5EF4-FFF2-40B4-BE49-F238E27FC236}">
              <a16:creationId xmlns:a16="http://schemas.microsoft.com/office/drawing/2014/main" id="{72235C8D-A350-B242-7A7E-AF713BFB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1" name="Picture 334">
          <a:extLst>
            <a:ext uri="{FF2B5EF4-FFF2-40B4-BE49-F238E27FC236}">
              <a16:creationId xmlns:a16="http://schemas.microsoft.com/office/drawing/2014/main" id="{A8101C5D-BB5E-94F8-7FB8-FC8C275E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2" name="Picture 335">
          <a:extLst>
            <a:ext uri="{FF2B5EF4-FFF2-40B4-BE49-F238E27FC236}">
              <a16:creationId xmlns:a16="http://schemas.microsoft.com/office/drawing/2014/main" id="{E3CC8667-21A9-D909-E19C-08FA10D9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3" name="Picture 336">
          <a:extLst>
            <a:ext uri="{FF2B5EF4-FFF2-40B4-BE49-F238E27FC236}">
              <a16:creationId xmlns:a16="http://schemas.microsoft.com/office/drawing/2014/main" id="{5AB75708-D8BC-B639-8C03-26810CB7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4" name="Picture 337">
          <a:extLst>
            <a:ext uri="{FF2B5EF4-FFF2-40B4-BE49-F238E27FC236}">
              <a16:creationId xmlns:a16="http://schemas.microsoft.com/office/drawing/2014/main" id="{75F8AFC6-91C9-5C45-DC9F-19FA0578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5" name="Picture 338">
          <a:extLst>
            <a:ext uri="{FF2B5EF4-FFF2-40B4-BE49-F238E27FC236}">
              <a16:creationId xmlns:a16="http://schemas.microsoft.com/office/drawing/2014/main" id="{6BD7F901-08E9-47DB-7F1C-028944FC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6" name="Picture 339">
          <a:extLst>
            <a:ext uri="{FF2B5EF4-FFF2-40B4-BE49-F238E27FC236}">
              <a16:creationId xmlns:a16="http://schemas.microsoft.com/office/drawing/2014/main" id="{8E901DAC-4A34-F18C-AB7C-3C6D5D5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7" name="Picture 340">
          <a:extLst>
            <a:ext uri="{FF2B5EF4-FFF2-40B4-BE49-F238E27FC236}">
              <a16:creationId xmlns:a16="http://schemas.microsoft.com/office/drawing/2014/main" id="{3B05F985-15C0-4F6D-1BAF-2A57D19E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8" name="Picture 341">
          <a:extLst>
            <a:ext uri="{FF2B5EF4-FFF2-40B4-BE49-F238E27FC236}">
              <a16:creationId xmlns:a16="http://schemas.microsoft.com/office/drawing/2014/main" id="{EDFD1CFF-CEAA-C1A9-32E8-1E625BFD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9" name="Picture 342">
          <a:extLst>
            <a:ext uri="{FF2B5EF4-FFF2-40B4-BE49-F238E27FC236}">
              <a16:creationId xmlns:a16="http://schemas.microsoft.com/office/drawing/2014/main" id="{30AB700E-E118-4A97-1FE1-955D0E88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0" name="Picture 343">
          <a:extLst>
            <a:ext uri="{FF2B5EF4-FFF2-40B4-BE49-F238E27FC236}">
              <a16:creationId xmlns:a16="http://schemas.microsoft.com/office/drawing/2014/main" id="{4A639DEE-D930-9DCD-662C-AE214908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1" name="Picture 344">
          <a:extLst>
            <a:ext uri="{FF2B5EF4-FFF2-40B4-BE49-F238E27FC236}">
              <a16:creationId xmlns:a16="http://schemas.microsoft.com/office/drawing/2014/main" id="{EA76D910-E8A6-A646-89A2-5D1D3B232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2" name="Picture 345">
          <a:extLst>
            <a:ext uri="{FF2B5EF4-FFF2-40B4-BE49-F238E27FC236}">
              <a16:creationId xmlns:a16="http://schemas.microsoft.com/office/drawing/2014/main" id="{ECC054EB-616A-7EDB-D0C0-3254624F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3" name="Picture 346">
          <a:extLst>
            <a:ext uri="{FF2B5EF4-FFF2-40B4-BE49-F238E27FC236}">
              <a16:creationId xmlns:a16="http://schemas.microsoft.com/office/drawing/2014/main" id="{F1A113EA-6702-4428-B507-F501CF61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4" name="Picture 347">
          <a:extLst>
            <a:ext uri="{FF2B5EF4-FFF2-40B4-BE49-F238E27FC236}">
              <a16:creationId xmlns:a16="http://schemas.microsoft.com/office/drawing/2014/main" id="{C1968073-14ED-E508-9069-9EAB5D44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5" name="Picture 348">
          <a:extLst>
            <a:ext uri="{FF2B5EF4-FFF2-40B4-BE49-F238E27FC236}">
              <a16:creationId xmlns:a16="http://schemas.microsoft.com/office/drawing/2014/main" id="{98656231-F5C9-7D03-E8DF-8179B883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6" name="Picture 349">
          <a:extLst>
            <a:ext uri="{FF2B5EF4-FFF2-40B4-BE49-F238E27FC236}">
              <a16:creationId xmlns:a16="http://schemas.microsoft.com/office/drawing/2014/main" id="{FF9F7EB3-B42C-33A7-6593-C76E8B0F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7" name="Picture 350">
          <a:extLst>
            <a:ext uri="{FF2B5EF4-FFF2-40B4-BE49-F238E27FC236}">
              <a16:creationId xmlns:a16="http://schemas.microsoft.com/office/drawing/2014/main" id="{F2783045-3E46-094A-E719-FDA93C0FD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8" name="Picture 351">
          <a:extLst>
            <a:ext uri="{FF2B5EF4-FFF2-40B4-BE49-F238E27FC236}">
              <a16:creationId xmlns:a16="http://schemas.microsoft.com/office/drawing/2014/main" id="{8CADF46A-1BE5-1C63-5079-2AC2867B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9" name="Picture 352">
          <a:extLst>
            <a:ext uri="{FF2B5EF4-FFF2-40B4-BE49-F238E27FC236}">
              <a16:creationId xmlns:a16="http://schemas.microsoft.com/office/drawing/2014/main" id="{26DB4214-656A-E493-A018-7315ECA4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0" name="Picture 353">
          <a:extLst>
            <a:ext uri="{FF2B5EF4-FFF2-40B4-BE49-F238E27FC236}">
              <a16:creationId xmlns:a16="http://schemas.microsoft.com/office/drawing/2014/main" id="{43C6382A-8553-F769-946C-38B7929E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1" name="Picture 354">
          <a:extLst>
            <a:ext uri="{FF2B5EF4-FFF2-40B4-BE49-F238E27FC236}">
              <a16:creationId xmlns:a16="http://schemas.microsoft.com/office/drawing/2014/main" id="{00E2918C-8B51-862D-29DE-7C319C85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2" name="Picture 355">
          <a:extLst>
            <a:ext uri="{FF2B5EF4-FFF2-40B4-BE49-F238E27FC236}">
              <a16:creationId xmlns:a16="http://schemas.microsoft.com/office/drawing/2014/main" id="{C121A93D-5725-7E7B-73D6-714E42BD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3" name="Picture 356">
          <a:extLst>
            <a:ext uri="{FF2B5EF4-FFF2-40B4-BE49-F238E27FC236}">
              <a16:creationId xmlns:a16="http://schemas.microsoft.com/office/drawing/2014/main" id="{D1E171E8-F5A4-FCE1-0F00-851A0588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4" name="Picture 357">
          <a:extLst>
            <a:ext uri="{FF2B5EF4-FFF2-40B4-BE49-F238E27FC236}">
              <a16:creationId xmlns:a16="http://schemas.microsoft.com/office/drawing/2014/main" id="{20E44F6E-CB64-4A37-1404-E91497B3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5" name="Picture 358">
          <a:extLst>
            <a:ext uri="{FF2B5EF4-FFF2-40B4-BE49-F238E27FC236}">
              <a16:creationId xmlns:a16="http://schemas.microsoft.com/office/drawing/2014/main" id="{877ECBBA-6AB0-4015-A2A0-C1372527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6" name="Picture 359">
          <a:extLst>
            <a:ext uri="{FF2B5EF4-FFF2-40B4-BE49-F238E27FC236}">
              <a16:creationId xmlns:a16="http://schemas.microsoft.com/office/drawing/2014/main" id="{2E8382EB-B3DE-7A64-96AB-32E2F1F7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7" name="Picture 360">
          <a:extLst>
            <a:ext uri="{FF2B5EF4-FFF2-40B4-BE49-F238E27FC236}">
              <a16:creationId xmlns:a16="http://schemas.microsoft.com/office/drawing/2014/main" id="{24C943E8-928A-FBFE-89F1-07F14929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8" name="Picture 361">
          <a:extLst>
            <a:ext uri="{FF2B5EF4-FFF2-40B4-BE49-F238E27FC236}">
              <a16:creationId xmlns:a16="http://schemas.microsoft.com/office/drawing/2014/main" id="{F0244F40-371B-FE94-741D-5CB68354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9" name="Picture 362">
          <a:extLst>
            <a:ext uri="{FF2B5EF4-FFF2-40B4-BE49-F238E27FC236}">
              <a16:creationId xmlns:a16="http://schemas.microsoft.com/office/drawing/2014/main" id="{FBDAA6D5-1BE7-AACC-147C-2E70F494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0" name="Picture 363">
          <a:extLst>
            <a:ext uri="{FF2B5EF4-FFF2-40B4-BE49-F238E27FC236}">
              <a16:creationId xmlns:a16="http://schemas.microsoft.com/office/drawing/2014/main" id="{D209794A-1ACA-9076-2182-8A482673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1" name="Picture 364">
          <a:extLst>
            <a:ext uri="{FF2B5EF4-FFF2-40B4-BE49-F238E27FC236}">
              <a16:creationId xmlns:a16="http://schemas.microsoft.com/office/drawing/2014/main" id="{5DB293BE-4D9B-21EA-ECEF-A02DD132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2" name="Picture 365">
          <a:extLst>
            <a:ext uri="{FF2B5EF4-FFF2-40B4-BE49-F238E27FC236}">
              <a16:creationId xmlns:a16="http://schemas.microsoft.com/office/drawing/2014/main" id="{8C8F7704-5361-0D01-FB9D-F279FAEF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3" name="Picture 366">
          <a:extLst>
            <a:ext uri="{FF2B5EF4-FFF2-40B4-BE49-F238E27FC236}">
              <a16:creationId xmlns:a16="http://schemas.microsoft.com/office/drawing/2014/main" id="{255126A6-6058-6589-970A-A9A73DCD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4" name="Picture 367">
          <a:extLst>
            <a:ext uri="{FF2B5EF4-FFF2-40B4-BE49-F238E27FC236}">
              <a16:creationId xmlns:a16="http://schemas.microsoft.com/office/drawing/2014/main" id="{82490F0C-13C5-C228-CC99-3728510A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5" name="Picture 368">
          <a:extLst>
            <a:ext uri="{FF2B5EF4-FFF2-40B4-BE49-F238E27FC236}">
              <a16:creationId xmlns:a16="http://schemas.microsoft.com/office/drawing/2014/main" id="{662C2C8B-219A-8981-E576-CF7C8C04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6" name="Picture 369">
          <a:extLst>
            <a:ext uri="{FF2B5EF4-FFF2-40B4-BE49-F238E27FC236}">
              <a16:creationId xmlns:a16="http://schemas.microsoft.com/office/drawing/2014/main" id="{27DEC027-ECBA-BFF5-B02E-A38B6808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7" name="Picture 370">
          <a:extLst>
            <a:ext uri="{FF2B5EF4-FFF2-40B4-BE49-F238E27FC236}">
              <a16:creationId xmlns:a16="http://schemas.microsoft.com/office/drawing/2014/main" id="{FDE17F34-522D-ADB2-D109-BCD6298F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8" name="Picture 371">
          <a:extLst>
            <a:ext uri="{FF2B5EF4-FFF2-40B4-BE49-F238E27FC236}">
              <a16:creationId xmlns:a16="http://schemas.microsoft.com/office/drawing/2014/main" id="{B1A0E2F3-8880-EA4D-6396-2B4FB1EC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9" name="Picture 372">
          <a:extLst>
            <a:ext uri="{FF2B5EF4-FFF2-40B4-BE49-F238E27FC236}">
              <a16:creationId xmlns:a16="http://schemas.microsoft.com/office/drawing/2014/main" id="{5D48DBF7-EDF8-D15C-7843-091D34A6E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0" name="Picture 373">
          <a:extLst>
            <a:ext uri="{FF2B5EF4-FFF2-40B4-BE49-F238E27FC236}">
              <a16:creationId xmlns:a16="http://schemas.microsoft.com/office/drawing/2014/main" id="{C7F485EF-DAAC-190E-653B-044FD8F8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1" name="Picture 374">
          <a:extLst>
            <a:ext uri="{FF2B5EF4-FFF2-40B4-BE49-F238E27FC236}">
              <a16:creationId xmlns:a16="http://schemas.microsoft.com/office/drawing/2014/main" id="{7E20816B-D8A3-A8CA-082C-4D7008B6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2" name="Picture 375">
          <a:extLst>
            <a:ext uri="{FF2B5EF4-FFF2-40B4-BE49-F238E27FC236}">
              <a16:creationId xmlns:a16="http://schemas.microsoft.com/office/drawing/2014/main" id="{1799A477-3331-E1E7-8DEB-DFAF5912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3" name="Picture 376">
          <a:extLst>
            <a:ext uri="{FF2B5EF4-FFF2-40B4-BE49-F238E27FC236}">
              <a16:creationId xmlns:a16="http://schemas.microsoft.com/office/drawing/2014/main" id="{C06CF2CD-741C-2949-9743-9C447FDD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4" name="Picture 377">
          <a:extLst>
            <a:ext uri="{FF2B5EF4-FFF2-40B4-BE49-F238E27FC236}">
              <a16:creationId xmlns:a16="http://schemas.microsoft.com/office/drawing/2014/main" id="{2C62C9FF-7D95-B27A-5E1B-B18E88B0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5" name="Picture 378">
          <a:extLst>
            <a:ext uri="{FF2B5EF4-FFF2-40B4-BE49-F238E27FC236}">
              <a16:creationId xmlns:a16="http://schemas.microsoft.com/office/drawing/2014/main" id="{97F8E124-F2A0-CD80-93C0-99F78BC0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6" name="Picture 379">
          <a:extLst>
            <a:ext uri="{FF2B5EF4-FFF2-40B4-BE49-F238E27FC236}">
              <a16:creationId xmlns:a16="http://schemas.microsoft.com/office/drawing/2014/main" id="{60DFA961-2F72-FD82-ACAD-029CF2AB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7" name="Picture 380">
          <a:extLst>
            <a:ext uri="{FF2B5EF4-FFF2-40B4-BE49-F238E27FC236}">
              <a16:creationId xmlns:a16="http://schemas.microsoft.com/office/drawing/2014/main" id="{493E1505-DA5A-7844-B3BB-ABB251CB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8" name="Picture 381">
          <a:extLst>
            <a:ext uri="{FF2B5EF4-FFF2-40B4-BE49-F238E27FC236}">
              <a16:creationId xmlns:a16="http://schemas.microsoft.com/office/drawing/2014/main" id="{175796CF-0897-91F2-C3D7-83B0E688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9" name="Picture 382">
          <a:extLst>
            <a:ext uri="{FF2B5EF4-FFF2-40B4-BE49-F238E27FC236}">
              <a16:creationId xmlns:a16="http://schemas.microsoft.com/office/drawing/2014/main" id="{043C04A5-A862-A829-6E22-76849F8D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0" name="Picture 383">
          <a:extLst>
            <a:ext uri="{FF2B5EF4-FFF2-40B4-BE49-F238E27FC236}">
              <a16:creationId xmlns:a16="http://schemas.microsoft.com/office/drawing/2014/main" id="{75F76A6A-F9C1-FACD-5E06-31971241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1" name="Picture 384">
          <a:extLst>
            <a:ext uri="{FF2B5EF4-FFF2-40B4-BE49-F238E27FC236}">
              <a16:creationId xmlns:a16="http://schemas.microsoft.com/office/drawing/2014/main" id="{1241CF06-4C72-FE36-D816-A08021E9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2" name="Picture 385">
          <a:extLst>
            <a:ext uri="{FF2B5EF4-FFF2-40B4-BE49-F238E27FC236}">
              <a16:creationId xmlns:a16="http://schemas.microsoft.com/office/drawing/2014/main" id="{7C7214A6-5344-EA7D-B0C0-5AB747F6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3" name="Picture 386">
          <a:extLst>
            <a:ext uri="{FF2B5EF4-FFF2-40B4-BE49-F238E27FC236}">
              <a16:creationId xmlns:a16="http://schemas.microsoft.com/office/drawing/2014/main" id="{859DE19F-7AD6-BEA1-358D-F4E1D415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4" name="Picture 387">
          <a:extLst>
            <a:ext uri="{FF2B5EF4-FFF2-40B4-BE49-F238E27FC236}">
              <a16:creationId xmlns:a16="http://schemas.microsoft.com/office/drawing/2014/main" id="{7BBC3A44-1B51-3059-7E55-58897361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5" name="Picture 388">
          <a:extLst>
            <a:ext uri="{FF2B5EF4-FFF2-40B4-BE49-F238E27FC236}">
              <a16:creationId xmlns:a16="http://schemas.microsoft.com/office/drawing/2014/main" id="{D7511662-1E53-8F2D-B4D7-00E9B48D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6" name="Picture 389">
          <a:extLst>
            <a:ext uri="{FF2B5EF4-FFF2-40B4-BE49-F238E27FC236}">
              <a16:creationId xmlns:a16="http://schemas.microsoft.com/office/drawing/2014/main" id="{A37447BB-CDE7-B4EC-0C78-049C28B2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7" name="Picture 390">
          <a:extLst>
            <a:ext uri="{FF2B5EF4-FFF2-40B4-BE49-F238E27FC236}">
              <a16:creationId xmlns:a16="http://schemas.microsoft.com/office/drawing/2014/main" id="{5F713060-E8A1-6986-0E40-86848DB1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8" name="Picture 391">
          <a:extLst>
            <a:ext uri="{FF2B5EF4-FFF2-40B4-BE49-F238E27FC236}">
              <a16:creationId xmlns:a16="http://schemas.microsoft.com/office/drawing/2014/main" id="{DECCE40B-C963-DB09-5F19-DED6CD81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9" name="Picture 392">
          <a:extLst>
            <a:ext uri="{FF2B5EF4-FFF2-40B4-BE49-F238E27FC236}">
              <a16:creationId xmlns:a16="http://schemas.microsoft.com/office/drawing/2014/main" id="{CB35BFAD-9663-C45F-9BA3-92474057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0" name="Picture 393">
          <a:extLst>
            <a:ext uri="{FF2B5EF4-FFF2-40B4-BE49-F238E27FC236}">
              <a16:creationId xmlns:a16="http://schemas.microsoft.com/office/drawing/2014/main" id="{269DD9D1-7742-67BE-320B-BD0A9015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1" name="Picture 394">
          <a:extLst>
            <a:ext uri="{FF2B5EF4-FFF2-40B4-BE49-F238E27FC236}">
              <a16:creationId xmlns:a16="http://schemas.microsoft.com/office/drawing/2014/main" id="{69A88C8E-BEFD-BE1F-A0D3-481AABBF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2" name="Picture 395">
          <a:extLst>
            <a:ext uri="{FF2B5EF4-FFF2-40B4-BE49-F238E27FC236}">
              <a16:creationId xmlns:a16="http://schemas.microsoft.com/office/drawing/2014/main" id="{645E53FF-3A26-5150-3D6E-B26414E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3" name="Picture 396">
          <a:extLst>
            <a:ext uri="{FF2B5EF4-FFF2-40B4-BE49-F238E27FC236}">
              <a16:creationId xmlns:a16="http://schemas.microsoft.com/office/drawing/2014/main" id="{E2AEA201-43F0-DB87-5FEA-7682187A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4" name="Picture 397">
          <a:extLst>
            <a:ext uri="{FF2B5EF4-FFF2-40B4-BE49-F238E27FC236}">
              <a16:creationId xmlns:a16="http://schemas.microsoft.com/office/drawing/2014/main" id="{1A0D7812-41A1-1015-9101-16C27C5D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5" name="Picture 398">
          <a:extLst>
            <a:ext uri="{FF2B5EF4-FFF2-40B4-BE49-F238E27FC236}">
              <a16:creationId xmlns:a16="http://schemas.microsoft.com/office/drawing/2014/main" id="{2DBFD040-52DA-9B8C-3746-41688A2F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6" name="Picture 399">
          <a:extLst>
            <a:ext uri="{FF2B5EF4-FFF2-40B4-BE49-F238E27FC236}">
              <a16:creationId xmlns:a16="http://schemas.microsoft.com/office/drawing/2014/main" id="{691C9A8E-60D7-8585-65A4-F041D34C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7" name="Picture 400">
          <a:extLst>
            <a:ext uri="{FF2B5EF4-FFF2-40B4-BE49-F238E27FC236}">
              <a16:creationId xmlns:a16="http://schemas.microsoft.com/office/drawing/2014/main" id="{C455D2B3-95DF-36F1-41B8-818BDE95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8" name="Picture 401">
          <a:extLst>
            <a:ext uri="{FF2B5EF4-FFF2-40B4-BE49-F238E27FC236}">
              <a16:creationId xmlns:a16="http://schemas.microsoft.com/office/drawing/2014/main" id="{7CEDAC93-1AB2-A221-B5E8-0364F945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9" name="Picture 402">
          <a:extLst>
            <a:ext uri="{FF2B5EF4-FFF2-40B4-BE49-F238E27FC236}">
              <a16:creationId xmlns:a16="http://schemas.microsoft.com/office/drawing/2014/main" id="{F2CC04E6-B344-8FD2-EC5B-955EEB7C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0" name="Picture 403">
          <a:extLst>
            <a:ext uri="{FF2B5EF4-FFF2-40B4-BE49-F238E27FC236}">
              <a16:creationId xmlns:a16="http://schemas.microsoft.com/office/drawing/2014/main" id="{82D6A48A-2DE3-5582-4963-F1630BC4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1" name="Picture 404">
          <a:extLst>
            <a:ext uri="{FF2B5EF4-FFF2-40B4-BE49-F238E27FC236}">
              <a16:creationId xmlns:a16="http://schemas.microsoft.com/office/drawing/2014/main" id="{12CDB7B7-2F54-D17C-4B57-4CFCEC16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2" name="Picture 405">
          <a:extLst>
            <a:ext uri="{FF2B5EF4-FFF2-40B4-BE49-F238E27FC236}">
              <a16:creationId xmlns:a16="http://schemas.microsoft.com/office/drawing/2014/main" id="{1E7A0F44-2912-9086-E327-7390B9BD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3" name="Picture 406">
          <a:extLst>
            <a:ext uri="{FF2B5EF4-FFF2-40B4-BE49-F238E27FC236}">
              <a16:creationId xmlns:a16="http://schemas.microsoft.com/office/drawing/2014/main" id="{C46D7467-24F4-10C4-FBDE-5B9C7F30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4" name="Picture 407">
          <a:extLst>
            <a:ext uri="{FF2B5EF4-FFF2-40B4-BE49-F238E27FC236}">
              <a16:creationId xmlns:a16="http://schemas.microsoft.com/office/drawing/2014/main" id="{B8E97412-E5DE-8C5F-14B2-F6B16BF8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5" name="Picture 408">
          <a:extLst>
            <a:ext uri="{FF2B5EF4-FFF2-40B4-BE49-F238E27FC236}">
              <a16:creationId xmlns:a16="http://schemas.microsoft.com/office/drawing/2014/main" id="{4B3499BA-2BA1-724D-D516-52F6CEDB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6" name="Picture 409">
          <a:extLst>
            <a:ext uri="{FF2B5EF4-FFF2-40B4-BE49-F238E27FC236}">
              <a16:creationId xmlns:a16="http://schemas.microsoft.com/office/drawing/2014/main" id="{6CC9E7A2-4FD1-2FDE-119F-C8B83AE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7" name="Picture 410">
          <a:extLst>
            <a:ext uri="{FF2B5EF4-FFF2-40B4-BE49-F238E27FC236}">
              <a16:creationId xmlns:a16="http://schemas.microsoft.com/office/drawing/2014/main" id="{51B81DEC-0006-778D-B698-38310993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8" name="Picture 411">
          <a:extLst>
            <a:ext uri="{FF2B5EF4-FFF2-40B4-BE49-F238E27FC236}">
              <a16:creationId xmlns:a16="http://schemas.microsoft.com/office/drawing/2014/main" id="{D8E72874-CCAC-F39F-F17A-C35EB5BE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9" name="Picture 412">
          <a:extLst>
            <a:ext uri="{FF2B5EF4-FFF2-40B4-BE49-F238E27FC236}">
              <a16:creationId xmlns:a16="http://schemas.microsoft.com/office/drawing/2014/main" id="{B75CE400-2405-1E32-3FE6-9A2C17EE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0" name="Picture 413">
          <a:extLst>
            <a:ext uri="{FF2B5EF4-FFF2-40B4-BE49-F238E27FC236}">
              <a16:creationId xmlns:a16="http://schemas.microsoft.com/office/drawing/2014/main" id="{C95D0BDB-6AC9-451F-4C02-D3878847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1" name="Picture 414">
          <a:extLst>
            <a:ext uri="{FF2B5EF4-FFF2-40B4-BE49-F238E27FC236}">
              <a16:creationId xmlns:a16="http://schemas.microsoft.com/office/drawing/2014/main" id="{26857CB9-A885-A7F3-2C70-C05ED5B9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2" name="Picture 415">
          <a:extLst>
            <a:ext uri="{FF2B5EF4-FFF2-40B4-BE49-F238E27FC236}">
              <a16:creationId xmlns:a16="http://schemas.microsoft.com/office/drawing/2014/main" id="{12FA9604-8775-074E-8141-610DB70E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3" name="Picture 416">
          <a:extLst>
            <a:ext uri="{FF2B5EF4-FFF2-40B4-BE49-F238E27FC236}">
              <a16:creationId xmlns:a16="http://schemas.microsoft.com/office/drawing/2014/main" id="{B9C952FC-EAA7-B5FC-0B75-F0AF1766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4" name="Picture 417">
          <a:extLst>
            <a:ext uri="{FF2B5EF4-FFF2-40B4-BE49-F238E27FC236}">
              <a16:creationId xmlns:a16="http://schemas.microsoft.com/office/drawing/2014/main" id="{DE3121F7-DF97-654A-3EF3-45EC1C77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5" name="Picture 418">
          <a:extLst>
            <a:ext uri="{FF2B5EF4-FFF2-40B4-BE49-F238E27FC236}">
              <a16:creationId xmlns:a16="http://schemas.microsoft.com/office/drawing/2014/main" id="{2DB33836-7C73-8DDD-41D5-4F3A38F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6" name="Picture 419">
          <a:extLst>
            <a:ext uri="{FF2B5EF4-FFF2-40B4-BE49-F238E27FC236}">
              <a16:creationId xmlns:a16="http://schemas.microsoft.com/office/drawing/2014/main" id="{B68F683D-AF52-0902-87CE-AA2F64EC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7" name="Picture 420">
          <a:extLst>
            <a:ext uri="{FF2B5EF4-FFF2-40B4-BE49-F238E27FC236}">
              <a16:creationId xmlns:a16="http://schemas.microsoft.com/office/drawing/2014/main" id="{DAFE2B79-81B1-365A-8290-B755CE8F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8" name="Picture 421">
          <a:extLst>
            <a:ext uri="{FF2B5EF4-FFF2-40B4-BE49-F238E27FC236}">
              <a16:creationId xmlns:a16="http://schemas.microsoft.com/office/drawing/2014/main" id="{107DBA06-8052-4599-B75B-FD4735CB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9" name="Picture 422">
          <a:extLst>
            <a:ext uri="{FF2B5EF4-FFF2-40B4-BE49-F238E27FC236}">
              <a16:creationId xmlns:a16="http://schemas.microsoft.com/office/drawing/2014/main" id="{2B3B84DB-4271-E317-9FC3-C6415C4A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0" name="Picture 423">
          <a:extLst>
            <a:ext uri="{FF2B5EF4-FFF2-40B4-BE49-F238E27FC236}">
              <a16:creationId xmlns:a16="http://schemas.microsoft.com/office/drawing/2014/main" id="{47EBDE36-E774-F816-9361-34AE598E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1" name="Picture 424">
          <a:extLst>
            <a:ext uri="{FF2B5EF4-FFF2-40B4-BE49-F238E27FC236}">
              <a16:creationId xmlns:a16="http://schemas.microsoft.com/office/drawing/2014/main" id="{CB2FD3BF-79A2-3836-05D3-F5EE1A2B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2" name="Picture 425">
          <a:extLst>
            <a:ext uri="{FF2B5EF4-FFF2-40B4-BE49-F238E27FC236}">
              <a16:creationId xmlns:a16="http://schemas.microsoft.com/office/drawing/2014/main" id="{A726E493-3EF2-EA78-C0C7-37550292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3" name="Picture 426">
          <a:extLst>
            <a:ext uri="{FF2B5EF4-FFF2-40B4-BE49-F238E27FC236}">
              <a16:creationId xmlns:a16="http://schemas.microsoft.com/office/drawing/2014/main" id="{BB8E71FA-01F4-92FA-79D5-659555CF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4" name="Picture 427">
          <a:extLst>
            <a:ext uri="{FF2B5EF4-FFF2-40B4-BE49-F238E27FC236}">
              <a16:creationId xmlns:a16="http://schemas.microsoft.com/office/drawing/2014/main" id="{1B488E6E-6453-9397-857A-9B2D889C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5" name="Picture 428">
          <a:extLst>
            <a:ext uri="{FF2B5EF4-FFF2-40B4-BE49-F238E27FC236}">
              <a16:creationId xmlns:a16="http://schemas.microsoft.com/office/drawing/2014/main" id="{B5018337-0C68-751E-2451-3D99BDD7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6" name="Picture 429">
          <a:extLst>
            <a:ext uri="{FF2B5EF4-FFF2-40B4-BE49-F238E27FC236}">
              <a16:creationId xmlns:a16="http://schemas.microsoft.com/office/drawing/2014/main" id="{47FB2842-4DA5-43A6-EF5E-D98A6404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7" name="Picture 430">
          <a:extLst>
            <a:ext uri="{FF2B5EF4-FFF2-40B4-BE49-F238E27FC236}">
              <a16:creationId xmlns:a16="http://schemas.microsoft.com/office/drawing/2014/main" id="{D6775FE5-39B3-2BA2-B8E5-A714B6FA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8" name="Picture 431">
          <a:extLst>
            <a:ext uri="{FF2B5EF4-FFF2-40B4-BE49-F238E27FC236}">
              <a16:creationId xmlns:a16="http://schemas.microsoft.com/office/drawing/2014/main" id="{95AECC40-5D63-2103-8ADF-DA2BE58AB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9" name="Picture 432">
          <a:extLst>
            <a:ext uri="{FF2B5EF4-FFF2-40B4-BE49-F238E27FC236}">
              <a16:creationId xmlns:a16="http://schemas.microsoft.com/office/drawing/2014/main" id="{846ECC09-7202-798D-0323-394166E9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0" name="Picture 433">
          <a:extLst>
            <a:ext uri="{FF2B5EF4-FFF2-40B4-BE49-F238E27FC236}">
              <a16:creationId xmlns:a16="http://schemas.microsoft.com/office/drawing/2014/main" id="{40EE6858-C5D5-E1A9-9CBC-FFED74DE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1" name="Picture 434">
          <a:extLst>
            <a:ext uri="{FF2B5EF4-FFF2-40B4-BE49-F238E27FC236}">
              <a16:creationId xmlns:a16="http://schemas.microsoft.com/office/drawing/2014/main" id="{FC99ACF3-195E-7D81-D993-343EDD9A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2" name="Picture 435">
          <a:extLst>
            <a:ext uri="{FF2B5EF4-FFF2-40B4-BE49-F238E27FC236}">
              <a16:creationId xmlns:a16="http://schemas.microsoft.com/office/drawing/2014/main" id="{38589E1C-52DC-3DAD-2D0E-6FFD7786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3" name="Picture 436">
          <a:extLst>
            <a:ext uri="{FF2B5EF4-FFF2-40B4-BE49-F238E27FC236}">
              <a16:creationId xmlns:a16="http://schemas.microsoft.com/office/drawing/2014/main" id="{2B8164E9-134D-9217-A689-144AA050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4" name="Picture 437">
          <a:extLst>
            <a:ext uri="{FF2B5EF4-FFF2-40B4-BE49-F238E27FC236}">
              <a16:creationId xmlns:a16="http://schemas.microsoft.com/office/drawing/2014/main" id="{C208ABF3-6E61-08D7-7EE0-2F40DC7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5" name="Picture 438">
          <a:extLst>
            <a:ext uri="{FF2B5EF4-FFF2-40B4-BE49-F238E27FC236}">
              <a16:creationId xmlns:a16="http://schemas.microsoft.com/office/drawing/2014/main" id="{6F7B8756-D942-F280-ED25-88116474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6" name="Picture 439">
          <a:extLst>
            <a:ext uri="{FF2B5EF4-FFF2-40B4-BE49-F238E27FC236}">
              <a16:creationId xmlns:a16="http://schemas.microsoft.com/office/drawing/2014/main" id="{47312DF3-780E-6D4A-3144-2CA46CAF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7" name="Picture 440">
          <a:extLst>
            <a:ext uri="{FF2B5EF4-FFF2-40B4-BE49-F238E27FC236}">
              <a16:creationId xmlns:a16="http://schemas.microsoft.com/office/drawing/2014/main" id="{0BD9F686-22E9-CE9C-5F95-36F571A7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8" name="Picture 441">
          <a:extLst>
            <a:ext uri="{FF2B5EF4-FFF2-40B4-BE49-F238E27FC236}">
              <a16:creationId xmlns:a16="http://schemas.microsoft.com/office/drawing/2014/main" id="{8EA89467-5042-26D2-77A0-8A93FC75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9" name="Picture 442">
          <a:extLst>
            <a:ext uri="{FF2B5EF4-FFF2-40B4-BE49-F238E27FC236}">
              <a16:creationId xmlns:a16="http://schemas.microsoft.com/office/drawing/2014/main" id="{225417C7-CB9C-5453-0541-4B6A4E1B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0" name="Picture 443">
          <a:extLst>
            <a:ext uri="{FF2B5EF4-FFF2-40B4-BE49-F238E27FC236}">
              <a16:creationId xmlns:a16="http://schemas.microsoft.com/office/drawing/2014/main" id="{165A4794-A245-0DF9-8712-9C7924B9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1" name="Picture 444">
          <a:extLst>
            <a:ext uri="{FF2B5EF4-FFF2-40B4-BE49-F238E27FC236}">
              <a16:creationId xmlns:a16="http://schemas.microsoft.com/office/drawing/2014/main" id="{CB09A38C-D219-663C-5D6A-96EAFBAB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2" name="Picture 445">
          <a:extLst>
            <a:ext uri="{FF2B5EF4-FFF2-40B4-BE49-F238E27FC236}">
              <a16:creationId xmlns:a16="http://schemas.microsoft.com/office/drawing/2014/main" id="{E0CE3B18-7DEF-8CDF-C8AC-393E3DFA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3" name="Picture 446">
          <a:extLst>
            <a:ext uri="{FF2B5EF4-FFF2-40B4-BE49-F238E27FC236}">
              <a16:creationId xmlns:a16="http://schemas.microsoft.com/office/drawing/2014/main" id="{F919FF93-889F-22AE-69E9-78D54901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4" name="Picture 447">
          <a:extLst>
            <a:ext uri="{FF2B5EF4-FFF2-40B4-BE49-F238E27FC236}">
              <a16:creationId xmlns:a16="http://schemas.microsoft.com/office/drawing/2014/main" id="{339DB192-1181-E84B-E116-B7D212B1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5" name="Picture 448">
          <a:extLst>
            <a:ext uri="{FF2B5EF4-FFF2-40B4-BE49-F238E27FC236}">
              <a16:creationId xmlns:a16="http://schemas.microsoft.com/office/drawing/2014/main" id="{5E353904-BD38-E6EE-E92E-8570C861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6" name="Picture 449">
          <a:extLst>
            <a:ext uri="{FF2B5EF4-FFF2-40B4-BE49-F238E27FC236}">
              <a16:creationId xmlns:a16="http://schemas.microsoft.com/office/drawing/2014/main" id="{9C03C74B-EDA9-AFC3-8822-E4D7AB30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7" name="Picture 450">
          <a:extLst>
            <a:ext uri="{FF2B5EF4-FFF2-40B4-BE49-F238E27FC236}">
              <a16:creationId xmlns:a16="http://schemas.microsoft.com/office/drawing/2014/main" id="{397A65EF-8B4D-9C42-B256-C89D1A72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8" name="Picture 451">
          <a:extLst>
            <a:ext uri="{FF2B5EF4-FFF2-40B4-BE49-F238E27FC236}">
              <a16:creationId xmlns:a16="http://schemas.microsoft.com/office/drawing/2014/main" id="{22DDAB4B-F739-3349-D254-43CAA4B6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9" name="Picture 452">
          <a:extLst>
            <a:ext uri="{FF2B5EF4-FFF2-40B4-BE49-F238E27FC236}">
              <a16:creationId xmlns:a16="http://schemas.microsoft.com/office/drawing/2014/main" id="{3DEFE102-AABC-5011-5553-0D031956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0" name="Picture 453">
          <a:extLst>
            <a:ext uri="{FF2B5EF4-FFF2-40B4-BE49-F238E27FC236}">
              <a16:creationId xmlns:a16="http://schemas.microsoft.com/office/drawing/2014/main" id="{AF44EDD3-E778-0D3B-729E-13B3A00D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1" name="Picture 454">
          <a:extLst>
            <a:ext uri="{FF2B5EF4-FFF2-40B4-BE49-F238E27FC236}">
              <a16:creationId xmlns:a16="http://schemas.microsoft.com/office/drawing/2014/main" id="{634EE464-AB2C-CA75-0E47-D49BD185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2" name="Picture 455">
          <a:extLst>
            <a:ext uri="{FF2B5EF4-FFF2-40B4-BE49-F238E27FC236}">
              <a16:creationId xmlns:a16="http://schemas.microsoft.com/office/drawing/2014/main" id="{B2181DF9-FFC7-EA7E-2159-72CBCD20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3" name="Picture 456">
          <a:extLst>
            <a:ext uri="{FF2B5EF4-FFF2-40B4-BE49-F238E27FC236}">
              <a16:creationId xmlns:a16="http://schemas.microsoft.com/office/drawing/2014/main" id="{DFED6D9B-6DB1-B083-929C-431A889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4" name="Picture 457">
          <a:extLst>
            <a:ext uri="{FF2B5EF4-FFF2-40B4-BE49-F238E27FC236}">
              <a16:creationId xmlns:a16="http://schemas.microsoft.com/office/drawing/2014/main" id="{33A48C87-DDAA-D88C-DC16-65636E3B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5" name="Picture 458">
          <a:extLst>
            <a:ext uri="{FF2B5EF4-FFF2-40B4-BE49-F238E27FC236}">
              <a16:creationId xmlns:a16="http://schemas.microsoft.com/office/drawing/2014/main" id="{3AEBA200-ED83-B2A7-FB6E-4740E215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6" name="Picture 459">
          <a:extLst>
            <a:ext uri="{FF2B5EF4-FFF2-40B4-BE49-F238E27FC236}">
              <a16:creationId xmlns:a16="http://schemas.microsoft.com/office/drawing/2014/main" id="{E0144589-6CD6-FB6D-D24D-54809C09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7" name="Picture 460">
          <a:extLst>
            <a:ext uri="{FF2B5EF4-FFF2-40B4-BE49-F238E27FC236}">
              <a16:creationId xmlns:a16="http://schemas.microsoft.com/office/drawing/2014/main" id="{5B12EFB5-77C7-976A-3B10-69ACABFE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8" name="Picture 461">
          <a:extLst>
            <a:ext uri="{FF2B5EF4-FFF2-40B4-BE49-F238E27FC236}">
              <a16:creationId xmlns:a16="http://schemas.microsoft.com/office/drawing/2014/main" id="{DA18DAAF-2B2D-5D48-6B21-D12AB720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9" name="Picture 462">
          <a:extLst>
            <a:ext uri="{FF2B5EF4-FFF2-40B4-BE49-F238E27FC236}">
              <a16:creationId xmlns:a16="http://schemas.microsoft.com/office/drawing/2014/main" id="{510BB658-DC22-00BE-A6B9-76E03D8A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0" name="Picture 463">
          <a:extLst>
            <a:ext uri="{FF2B5EF4-FFF2-40B4-BE49-F238E27FC236}">
              <a16:creationId xmlns:a16="http://schemas.microsoft.com/office/drawing/2014/main" id="{C0B861D4-7403-FF59-E340-6F553C70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1" name="Picture 464">
          <a:extLst>
            <a:ext uri="{FF2B5EF4-FFF2-40B4-BE49-F238E27FC236}">
              <a16:creationId xmlns:a16="http://schemas.microsoft.com/office/drawing/2014/main" id="{E95DBD80-63D1-A9B7-331E-0E04B900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2" name="Picture 465">
          <a:extLst>
            <a:ext uri="{FF2B5EF4-FFF2-40B4-BE49-F238E27FC236}">
              <a16:creationId xmlns:a16="http://schemas.microsoft.com/office/drawing/2014/main" id="{1C4CCC87-31FC-2276-D14B-CB7C60E6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3" name="Picture 466">
          <a:extLst>
            <a:ext uri="{FF2B5EF4-FFF2-40B4-BE49-F238E27FC236}">
              <a16:creationId xmlns:a16="http://schemas.microsoft.com/office/drawing/2014/main" id="{E6F38423-8697-659F-236E-EBA63007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4" name="Picture 467">
          <a:extLst>
            <a:ext uri="{FF2B5EF4-FFF2-40B4-BE49-F238E27FC236}">
              <a16:creationId xmlns:a16="http://schemas.microsoft.com/office/drawing/2014/main" id="{AC48FE3E-3CF9-FF99-F97B-1FA8C1EA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5" name="Picture 468">
          <a:extLst>
            <a:ext uri="{FF2B5EF4-FFF2-40B4-BE49-F238E27FC236}">
              <a16:creationId xmlns:a16="http://schemas.microsoft.com/office/drawing/2014/main" id="{690FD647-C88D-48BB-6346-9BC3E71E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6" name="Picture 469">
          <a:extLst>
            <a:ext uri="{FF2B5EF4-FFF2-40B4-BE49-F238E27FC236}">
              <a16:creationId xmlns:a16="http://schemas.microsoft.com/office/drawing/2014/main" id="{8C21CC04-5956-DE01-0F1C-BFA15535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7" name="Picture 470">
          <a:extLst>
            <a:ext uri="{FF2B5EF4-FFF2-40B4-BE49-F238E27FC236}">
              <a16:creationId xmlns:a16="http://schemas.microsoft.com/office/drawing/2014/main" id="{7F923EAD-5A74-1127-2749-14D946AD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8" name="Picture 471">
          <a:extLst>
            <a:ext uri="{FF2B5EF4-FFF2-40B4-BE49-F238E27FC236}">
              <a16:creationId xmlns:a16="http://schemas.microsoft.com/office/drawing/2014/main" id="{AAD9306B-1C70-0887-D86E-2B7E39D1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9" name="Picture 472">
          <a:extLst>
            <a:ext uri="{FF2B5EF4-FFF2-40B4-BE49-F238E27FC236}">
              <a16:creationId xmlns:a16="http://schemas.microsoft.com/office/drawing/2014/main" id="{7362D298-82BD-F5D7-D6FE-CE2BAA9B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0" name="Picture 473">
          <a:extLst>
            <a:ext uri="{FF2B5EF4-FFF2-40B4-BE49-F238E27FC236}">
              <a16:creationId xmlns:a16="http://schemas.microsoft.com/office/drawing/2014/main" id="{9F947B43-AB6A-4557-7B0D-6EF09CD7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1" name="Picture 474">
          <a:extLst>
            <a:ext uri="{FF2B5EF4-FFF2-40B4-BE49-F238E27FC236}">
              <a16:creationId xmlns:a16="http://schemas.microsoft.com/office/drawing/2014/main" id="{6C69A2E4-BCA7-C274-EDCC-EC4366E6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2" name="Picture 475">
          <a:extLst>
            <a:ext uri="{FF2B5EF4-FFF2-40B4-BE49-F238E27FC236}">
              <a16:creationId xmlns:a16="http://schemas.microsoft.com/office/drawing/2014/main" id="{1C1ED65D-22B6-FCFC-0AE0-E4BBBF609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3" name="Picture 476">
          <a:extLst>
            <a:ext uri="{FF2B5EF4-FFF2-40B4-BE49-F238E27FC236}">
              <a16:creationId xmlns:a16="http://schemas.microsoft.com/office/drawing/2014/main" id="{84F4CAC3-E71C-0E0D-FCCA-586FC768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4" name="Picture 477">
          <a:extLst>
            <a:ext uri="{FF2B5EF4-FFF2-40B4-BE49-F238E27FC236}">
              <a16:creationId xmlns:a16="http://schemas.microsoft.com/office/drawing/2014/main" id="{C52DAC17-BD30-C01C-0E31-71793B38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5" name="Picture 478">
          <a:extLst>
            <a:ext uri="{FF2B5EF4-FFF2-40B4-BE49-F238E27FC236}">
              <a16:creationId xmlns:a16="http://schemas.microsoft.com/office/drawing/2014/main" id="{3B1ECC44-7EC4-8231-A3AC-79939F10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6" name="Picture 479">
          <a:extLst>
            <a:ext uri="{FF2B5EF4-FFF2-40B4-BE49-F238E27FC236}">
              <a16:creationId xmlns:a16="http://schemas.microsoft.com/office/drawing/2014/main" id="{039934DF-0366-05AD-08FF-7A4A9ED9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7" name="Picture 480">
          <a:extLst>
            <a:ext uri="{FF2B5EF4-FFF2-40B4-BE49-F238E27FC236}">
              <a16:creationId xmlns:a16="http://schemas.microsoft.com/office/drawing/2014/main" id="{D4E78627-0400-1EC4-3F44-05A086E6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8" name="Picture 481">
          <a:extLst>
            <a:ext uri="{FF2B5EF4-FFF2-40B4-BE49-F238E27FC236}">
              <a16:creationId xmlns:a16="http://schemas.microsoft.com/office/drawing/2014/main" id="{F7F818CE-5D62-A5C0-7CCB-489F4AD6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9" name="Picture 482">
          <a:extLst>
            <a:ext uri="{FF2B5EF4-FFF2-40B4-BE49-F238E27FC236}">
              <a16:creationId xmlns:a16="http://schemas.microsoft.com/office/drawing/2014/main" id="{FD8C297C-2489-390D-33F3-515E09DE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0" name="Picture 483">
          <a:extLst>
            <a:ext uri="{FF2B5EF4-FFF2-40B4-BE49-F238E27FC236}">
              <a16:creationId xmlns:a16="http://schemas.microsoft.com/office/drawing/2014/main" id="{712B490E-6D43-37FE-22E1-9FD34F1E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1" name="Picture 484">
          <a:extLst>
            <a:ext uri="{FF2B5EF4-FFF2-40B4-BE49-F238E27FC236}">
              <a16:creationId xmlns:a16="http://schemas.microsoft.com/office/drawing/2014/main" id="{BD982DE4-FE54-ADC2-EB7A-971EF400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2" name="Picture 485">
          <a:extLst>
            <a:ext uri="{FF2B5EF4-FFF2-40B4-BE49-F238E27FC236}">
              <a16:creationId xmlns:a16="http://schemas.microsoft.com/office/drawing/2014/main" id="{4B497D56-1533-3C53-E505-FEEA84A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3" name="Picture 486">
          <a:extLst>
            <a:ext uri="{FF2B5EF4-FFF2-40B4-BE49-F238E27FC236}">
              <a16:creationId xmlns:a16="http://schemas.microsoft.com/office/drawing/2014/main" id="{366549F2-1103-59CF-4EE1-B804389B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4" name="Picture 487">
          <a:extLst>
            <a:ext uri="{FF2B5EF4-FFF2-40B4-BE49-F238E27FC236}">
              <a16:creationId xmlns:a16="http://schemas.microsoft.com/office/drawing/2014/main" id="{61606EB3-51FC-C229-10C9-638A8A0A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5" name="Picture 488">
          <a:extLst>
            <a:ext uri="{FF2B5EF4-FFF2-40B4-BE49-F238E27FC236}">
              <a16:creationId xmlns:a16="http://schemas.microsoft.com/office/drawing/2014/main" id="{E0C62B92-A83B-0351-E006-5CB7AF61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6" name="Picture 489">
          <a:extLst>
            <a:ext uri="{FF2B5EF4-FFF2-40B4-BE49-F238E27FC236}">
              <a16:creationId xmlns:a16="http://schemas.microsoft.com/office/drawing/2014/main" id="{CF774869-CBCF-198B-3F1A-A8BA4A2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7" name="Picture 490">
          <a:extLst>
            <a:ext uri="{FF2B5EF4-FFF2-40B4-BE49-F238E27FC236}">
              <a16:creationId xmlns:a16="http://schemas.microsoft.com/office/drawing/2014/main" id="{AEB1515E-1180-A34C-37E8-CD8AD335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8" name="Picture 491">
          <a:extLst>
            <a:ext uri="{FF2B5EF4-FFF2-40B4-BE49-F238E27FC236}">
              <a16:creationId xmlns:a16="http://schemas.microsoft.com/office/drawing/2014/main" id="{0243EAE3-97DB-DE2C-E569-28C4D9AF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9" name="Picture 492">
          <a:extLst>
            <a:ext uri="{FF2B5EF4-FFF2-40B4-BE49-F238E27FC236}">
              <a16:creationId xmlns:a16="http://schemas.microsoft.com/office/drawing/2014/main" id="{5C6D05A1-8DE5-6326-B2E7-2E442595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0" name="Picture 493">
          <a:extLst>
            <a:ext uri="{FF2B5EF4-FFF2-40B4-BE49-F238E27FC236}">
              <a16:creationId xmlns:a16="http://schemas.microsoft.com/office/drawing/2014/main" id="{72FCF528-47BC-C753-DBA8-C8730B47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1" name="Picture 494">
          <a:extLst>
            <a:ext uri="{FF2B5EF4-FFF2-40B4-BE49-F238E27FC236}">
              <a16:creationId xmlns:a16="http://schemas.microsoft.com/office/drawing/2014/main" id="{D86914A0-F807-B21D-2432-0938FC5D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2" name="Picture 495">
          <a:extLst>
            <a:ext uri="{FF2B5EF4-FFF2-40B4-BE49-F238E27FC236}">
              <a16:creationId xmlns:a16="http://schemas.microsoft.com/office/drawing/2014/main" id="{738F232E-5631-5753-5DBD-6608BB7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3" name="Picture 496">
          <a:extLst>
            <a:ext uri="{FF2B5EF4-FFF2-40B4-BE49-F238E27FC236}">
              <a16:creationId xmlns:a16="http://schemas.microsoft.com/office/drawing/2014/main" id="{F2A6A17E-0C28-3A95-F0A5-DD878FA1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4" name="Picture 497">
          <a:extLst>
            <a:ext uri="{FF2B5EF4-FFF2-40B4-BE49-F238E27FC236}">
              <a16:creationId xmlns:a16="http://schemas.microsoft.com/office/drawing/2014/main" id="{2A0EA971-1370-2188-7AD6-06A0655A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5" name="Picture 498">
          <a:extLst>
            <a:ext uri="{FF2B5EF4-FFF2-40B4-BE49-F238E27FC236}">
              <a16:creationId xmlns:a16="http://schemas.microsoft.com/office/drawing/2014/main" id="{13521967-AF34-B80A-97E7-D3815F88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6" name="Picture 499">
          <a:extLst>
            <a:ext uri="{FF2B5EF4-FFF2-40B4-BE49-F238E27FC236}">
              <a16:creationId xmlns:a16="http://schemas.microsoft.com/office/drawing/2014/main" id="{8A717A83-28C7-88FE-FA7D-10EDF18F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7" name="Picture 500">
          <a:extLst>
            <a:ext uri="{FF2B5EF4-FFF2-40B4-BE49-F238E27FC236}">
              <a16:creationId xmlns:a16="http://schemas.microsoft.com/office/drawing/2014/main" id="{9E8C03BB-E972-CC0B-1773-2D254465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8" name="Picture 501">
          <a:extLst>
            <a:ext uri="{FF2B5EF4-FFF2-40B4-BE49-F238E27FC236}">
              <a16:creationId xmlns:a16="http://schemas.microsoft.com/office/drawing/2014/main" id="{F66A7D3B-7F05-B4AB-85F2-C69A655F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9" name="Picture 502">
          <a:extLst>
            <a:ext uri="{FF2B5EF4-FFF2-40B4-BE49-F238E27FC236}">
              <a16:creationId xmlns:a16="http://schemas.microsoft.com/office/drawing/2014/main" id="{DFE8F49B-9C85-30B4-E375-A0755CB0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0" name="Picture 503">
          <a:extLst>
            <a:ext uri="{FF2B5EF4-FFF2-40B4-BE49-F238E27FC236}">
              <a16:creationId xmlns:a16="http://schemas.microsoft.com/office/drawing/2014/main" id="{B76D2BC9-FA18-F805-B1AF-4EB26C98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1" name="Picture 504">
          <a:extLst>
            <a:ext uri="{FF2B5EF4-FFF2-40B4-BE49-F238E27FC236}">
              <a16:creationId xmlns:a16="http://schemas.microsoft.com/office/drawing/2014/main" id="{CB37B845-6BB7-921D-B230-77913A19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2" name="Picture 505">
          <a:extLst>
            <a:ext uri="{FF2B5EF4-FFF2-40B4-BE49-F238E27FC236}">
              <a16:creationId xmlns:a16="http://schemas.microsoft.com/office/drawing/2014/main" id="{05C4E60F-6E9F-8AA6-939A-B34A6612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3" name="Picture 506">
          <a:extLst>
            <a:ext uri="{FF2B5EF4-FFF2-40B4-BE49-F238E27FC236}">
              <a16:creationId xmlns:a16="http://schemas.microsoft.com/office/drawing/2014/main" id="{75CD62F1-0F55-3AE5-B76F-DE24609A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4" name="Picture 507">
          <a:extLst>
            <a:ext uri="{FF2B5EF4-FFF2-40B4-BE49-F238E27FC236}">
              <a16:creationId xmlns:a16="http://schemas.microsoft.com/office/drawing/2014/main" id="{1A0C8F84-B24B-13C6-C2A1-E96488C7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5" name="Picture 508">
          <a:extLst>
            <a:ext uri="{FF2B5EF4-FFF2-40B4-BE49-F238E27FC236}">
              <a16:creationId xmlns:a16="http://schemas.microsoft.com/office/drawing/2014/main" id="{C4096881-B62B-6140-7ED9-BE4448C4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6" name="Picture 509">
          <a:extLst>
            <a:ext uri="{FF2B5EF4-FFF2-40B4-BE49-F238E27FC236}">
              <a16:creationId xmlns:a16="http://schemas.microsoft.com/office/drawing/2014/main" id="{70965BFB-CF6B-A90E-F13D-C6AA8AAF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7" name="Picture 510">
          <a:extLst>
            <a:ext uri="{FF2B5EF4-FFF2-40B4-BE49-F238E27FC236}">
              <a16:creationId xmlns:a16="http://schemas.microsoft.com/office/drawing/2014/main" id="{B5CC0DD0-C4AB-A31E-84AE-973D154C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8" name="Picture 511">
          <a:extLst>
            <a:ext uri="{FF2B5EF4-FFF2-40B4-BE49-F238E27FC236}">
              <a16:creationId xmlns:a16="http://schemas.microsoft.com/office/drawing/2014/main" id="{D13AD70C-B868-45BD-163F-CBB7CC63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9" name="Picture 512">
          <a:extLst>
            <a:ext uri="{FF2B5EF4-FFF2-40B4-BE49-F238E27FC236}">
              <a16:creationId xmlns:a16="http://schemas.microsoft.com/office/drawing/2014/main" id="{028E3A37-3D97-96BC-9B13-94AF9155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0" name="Picture 513">
          <a:extLst>
            <a:ext uri="{FF2B5EF4-FFF2-40B4-BE49-F238E27FC236}">
              <a16:creationId xmlns:a16="http://schemas.microsoft.com/office/drawing/2014/main" id="{47428127-E6E6-EB7F-6CD4-1AA19F43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1" name="Picture 514">
          <a:extLst>
            <a:ext uri="{FF2B5EF4-FFF2-40B4-BE49-F238E27FC236}">
              <a16:creationId xmlns:a16="http://schemas.microsoft.com/office/drawing/2014/main" id="{B4B8A73A-28A6-FD55-E160-CE893C9B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2" name="Picture 515">
          <a:extLst>
            <a:ext uri="{FF2B5EF4-FFF2-40B4-BE49-F238E27FC236}">
              <a16:creationId xmlns:a16="http://schemas.microsoft.com/office/drawing/2014/main" id="{B9B9A36D-E278-03B8-BCA9-4BAD92C8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3" name="Picture 516">
          <a:extLst>
            <a:ext uri="{FF2B5EF4-FFF2-40B4-BE49-F238E27FC236}">
              <a16:creationId xmlns:a16="http://schemas.microsoft.com/office/drawing/2014/main" id="{0F6861E8-4163-28BF-1E87-4CCA4DAA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4" name="Picture 517">
          <a:extLst>
            <a:ext uri="{FF2B5EF4-FFF2-40B4-BE49-F238E27FC236}">
              <a16:creationId xmlns:a16="http://schemas.microsoft.com/office/drawing/2014/main" id="{09A3039E-A747-F78D-5176-19C628F2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5" name="Picture 518">
          <a:extLst>
            <a:ext uri="{FF2B5EF4-FFF2-40B4-BE49-F238E27FC236}">
              <a16:creationId xmlns:a16="http://schemas.microsoft.com/office/drawing/2014/main" id="{02155982-C90F-0503-781D-A8F507F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6" name="Picture 519">
          <a:extLst>
            <a:ext uri="{FF2B5EF4-FFF2-40B4-BE49-F238E27FC236}">
              <a16:creationId xmlns:a16="http://schemas.microsoft.com/office/drawing/2014/main" id="{5E590437-3A60-4875-9243-D3171C6A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7" name="Picture 520">
          <a:extLst>
            <a:ext uri="{FF2B5EF4-FFF2-40B4-BE49-F238E27FC236}">
              <a16:creationId xmlns:a16="http://schemas.microsoft.com/office/drawing/2014/main" id="{3E00712E-FF0A-D25D-1C21-6A4E0463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8" name="Picture 521">
          <a:extLst>
            <a:ext uri="{FF2B5EF4-FFF2-40B4-BE49-F238E27FC236}">
              <a16:creationId xmlns:a16="http://schemas.microsoft.com/office/drawing/2014/main" id="{CD06B3C3-224B-DC49-D635-B30E5857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9" name="Picture 522">
          <a:extLst>
            <a:ext uri="{FF2B5EF4-FFF2-40B4-BE49-F238E27FC236}">
              <a16:creationId xmlns:a16="http://schemas.microsoft.com/office/drawing/2014/main" id="{932D2E9A-453A-946C-F5D6-CB0827DE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0" name="Picture 523">
          <a:extLst>
            <a:ext uri="{FF2B5EF4-FFF2-40B4-BE49-F238E27FC236}">
              <a16:creationId xmlns:a16="http://schemas.microsoft.com/office/drawing/2014/main" id="{4395F368-FB5D-4B9D-7EC0-F0973329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1" name="Picture 524">
          <a:extLst>
            <a:ext uri="{FF2B5EF4-FFF2-40B4-BE49-F238E27FC236}">
              <a16:creationId xmlns:a16="http://schemas.microsoft.com/office/drawing/2014/main" id="{1CA18734-A060-241E-ADD6-D4B95E2D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2" name="Picture 525">
          <a:extLst>
            <a:ext uri="{FF2B5EF4-FFF2-40B4-BE49-F238E27FC236}">
              <a16:creationId xmlns:a16="http://schemas.microsoft.com/office/drawing/2014/main" id="{C5ABF82B-927B-A768-96D7-8F61937E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3" name="Picture 526">
          <a:extLst>
            <a:ext uri="{FF2B5EF4-FFF2-40B4-BE49-F238E27FC236}">
              <a16:creationId xmlns:a16="http://schemas.microsoft.com/office/drawing/2014/main" id="{8FA1A5A3-0C03-99A6-86B0-9E1ADCA8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4" name="Picture 527">
          <a:extLst>
            <a:ext uri="{FF2B5EF4-FFF2-40B4-BE49-F238E27FC236}">
              <a16:creationId xmlns:a16="http://schemas.microsoft.com/office/drawing/2014/main" id="{65BB8EA8-230B-F721-C959-2D7D2640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5" name="Picture 528">
          <a:extLst>
            <a:ext uri="{FF2B5EF4-FFF2-40B4-BE49-F238E27FC236}">
              <a16:creationId xmlns:a16="http://schemas.microsoft.com/office/drawing/2014/main" id="{F23A875D-5203-F1E8-BB81-3A15E5D4C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6" name="Picture 529">
          <a:extLst>
            <a:ext uri="{FF2B5EF4-FFF2-40B4-BE49-F238E27FC236}">
              <a16:creationId xmlns:a16="http://schemas.microsoft.com/office/drawing/2014/main" id="{D52A8F28-F293-23B1-BE05-397862BB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7" name="Picture 530">
          <a:extLst>
            <a:ext uri="{FF2B5EF4-FFF2-40B4-BE49-F238E27FC236}">
              <a16:creationId xmlns:a16="http://schemas.microsoft.com/office/drawing/2014/main" id="{DC422E2D-A10E-3A6E-370F-EC947F5D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8" name="Picture 531">
          <a:extLst>
            <a:ext uri="{FF2B5EF4-FFF2-40B4-BE49-F238E27FC236}">
              <a16:creationId xmlns:a16="http://schemas.microsoft.com/office/drawing/2014/main" id="{95DE9CED-ECAB-0A3E-8EF3-1A49D4DD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9" name="Picture 532">
          <a:extLst>
            <a:ext uri="{FF2B5EF4-FFF2-40B4-BE49-F238E27FC236}">
              <a16:creationId xmlns:a16="http://schemas.microsoft.com/office/drawing/2014/main" id="{45E0DD3E-37CA-7E66-565C-6A3442F8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0" name="Picture 533">
          <a:extLst>
            <a:ext uri="{FF2B5EF4-FFF2-40B4-BE49-F238E27FC236}">
              <a16:creationId xmlns:a16="http://schemas.microsoft.com/office/drawing/2014/main" id="{1A229B77-6A0D-DF5D-F6F9-B11C99E6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1" name="Picture 534">
          <a:extLst>
            <a:ext uri="{FF2B5EF4-FFF2-40B4-BE49-F238E27FC236}">
              <a16:creationId xmlns:a16="http://schemas.microsoft.com/office/drawing/2014/main" id="{B523BA8A-C767-CAFB-F609-2B756C08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2" name="Picture 535">
          <a:extLst>
            <a:ext uri="{FF2B5EF4-FFF2-40B4-BE49-F238E27FC236}">
              <a16:creationId xmlns:a16="http://schemas.microsoft.com/office/drawing/2014/main" id="{F6032466-FDC0-AC20-A544-DE62D78C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3" name="Picture 536">
          <a:extLst>
            <a:ext uri="{FF2B5EF4-FFF2-40B4-BE49-F238E27FC236}">
              <a16:creationId xmlns:a16="http://schemas.microsoft.com/office/drawing/2014/main" id="{EDB7B279-D8CC-9969-70B5-3174A172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4" name="Picture 537">
          <a:extLst>
            <a:ext uri="{FF2B5EF4-FFF2-40B4-BE49-F238E27FC236}">
              <a16:creationId xmlns:a16="http://schemas.microsoft.com/office/drawing/2014/main" id="{EC544778-7E87-F297-4C70-01044394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5" name="Picture 538">
          <a:extLst>
            <a:ext uri="{FF2B5EF4-FFF2-40B4-BE49-F238E27FC236}">
              <a16:creationId xmlns:a16="http://schemas.microsoft.com/office/drawing/2014/main" id="{58D77172-F015-E759-709B-C8F474B4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6" name="Picture 539">
          <a:extLst>
            <a:ext uri="{FF2B5EF4-FFF2-40B4-BE49-F238E27FC236}">
              <a16:creationId xmlns:a16="http://schemas.microsoft.com/office/drawing/2014/main" id="{D91FA35E-63A4-B6FF-DE98-0803F14A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7" name="Picture 540">
          <a:extLst>
            <a:ext uri="{FF2B5EF4-FFF2-40B4-BE49-F238E27FC236}">
              <a16:creationId xmlns:a16="http://schemas.microsoft.com/office/drawing/2014/main" id="{59356A85-E610-D8C7-5A2B-F5E25B2B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8" name="Picture 541">
          <a:extLst>
            <a:ext uri="{FF2B5EF4-FFF2-40B4-BE49-F238E27FC236}">
              <a16:creationId xmlns:a16="http://schemas.microsoft.com/office/drawing/2014/main" id="{6EA2703D-B6C7-CBB1-D23A-260E081E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9" name="Picture 542">
          <a:extLst>
            <a:ext uri="{FF2B5EF4-FFF2-40B4-BE49-F238E27FC236}">
              <a16:creationId xmlns:a16="http://schemas.microsoft.com/office/drawing/2014/main" id="{7CF62140-E1C5-2E75-DDC7-58F3019A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0" name="Picture 543">
          <a:extLst>
            <a:ext uri="{FF2B5EF4-FFF2-40B4-BE49-F238E27FC236}">
              <a16:creationId xmlns:a16="http://schemas.microsoft.com/office/drawing/2014/main" id="{F6C9AED6-D6E3-86DB-7F91-32D7D997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1" name="Picture 544">
          <a:extLst>
            <a:ext uri="{FF2B5EF4-FFF2-40B4-BE49-F238E27FC236}">
              <a16:creationId xmlns:a16="http://schemas.microsoft.com/office/drawing/2014/main" id="{64C7A2FF-FEE2-49C0-674E-770EE991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2" name="Picture 545">
          <a:extLst>
            <a:ext uri="{FF2B5EF4-FFF2-40B4-BE49-F238E27FC236}">
              <a16:creationId xmlns:a16="http://schemas.microsoft.com/office/drawing/2014/main" id="{B94A309B-57D1-8C0A-4E2B-12241518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3" name="Picture 546">
          <a:extLst>
            <a:ext uri="{FF2B5EF4-FFF2-40B4-BE49-F238E27FC236}">
              <a16:creationId xmlns:a16="http://schemas.microsoft.com/office/drawing/2014/main" id="{A5AA5B68-2C6D-C5CA-F767-E3DDAF08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4" name="Picture 547">
          <a:extLst>
            <a:ext uri="{FF2B5EF4-FFF2-40B4-BE49-F238E27FC236}">
              <a16:creationId xmlns:a16="http://schemas.microsoft.com/office/drawing/2014/main" id="{4DAC4ED2-3974-7989-1CBB-7EC00E324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5" name="Picture 548">
          <a:extLst>
            <a:ext uri="{FF2B5EF4-FFF2-40B4-BE49-F238E27FC236}">
              <a16:creationId xmlns:a16="http://schemas.microsoft.com/office/drawing/2014/main" id="{1E9ECB7E-C3F4-4A08-B0FF-E53FEC2D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6" name="Picture 549">
          <a:extLst>
            <a:ext uri="{FF2B5EF4-FFF2-40B4-BE49-F238E27FC236}">
              <a16:creationId xmlns:a16="http://schemas.microsoft.com/office/drawing/2014/main" id="{3F5967E9-8140-440F-515D-30AF12D6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7" name="Picture 550">
          <a:extLst>
            <a:ext uri="{FF2B5EF4-FFF2-40B4-BE49-F238E27FC236}">
              <a16:creationId xmlns:a16="http://schemas.microsoft.com/office/drawing/2014/main" id="{02D44EC1-7549-8E1D-22E1-5D6E3D67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8" name="Picture 551">
          <a:extLst>
            <a:ext uri="{FF2B5EF4-FFF2-40B4-BE49-F238E27FC236}">
              <a16:creationId xmlns:a16="http://schemas.microsoft.com/office/drawing/2014/main" id="{4F9AEF10-FE47-DCCC-8722-4974364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9" name="Picture 552">
          <a:extLst>
            <a:ext uri="{FF2B5EF4-FFF2-40B4-BE49-F238E27FC236}">
              <a16:creationId xmlns:a16="http://schemas.microsoft.com/office/drawing/2014/main" id="{AEF4D2C0-9A2C-DBAF-D7B1-78F560BC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0" name="Picture 553">
          <a:extLst>
            <a:ext uri="{FF2B5EF4-FFF2-40B4-BE49-F238E27FC236}">
              <a16:creationId xmlns:a16="http://schemas.microsoft.com/office/drawing/2014/main" id="{EE12231E-1F3A-6727-4946-E0598BA9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1" name="Picture 554">
          <a:extLst>
            <a:ext uri="{FF2B5EF4-FFF2-40B4-BE49-F238E27FC236}">
              <a16:creationId xmlns:a16="http://schemas.microsoft.com/office/drawing/2014/main" id="{DA3831B3-CEF0-C11C-D662-380DB28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2" name="Picture 555">
          <a:extLst>
            <a:ext uri="{FF2B5EF4-FFF2-40B4-BE49-F238E27FC236}">
              <a16:creationId xmlns:a16="http://schemas.microsoft.com/office/drawing/2014/main" id="{6DD4E20D-18AA-0DAE-AB65-E767ABDB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3" name="Picture 556">
          <a:extLst>
            <a:ext uri="{FF2B5EF4-FFF2-40B4-BE49-F238E27FC236}">
              <a16:creationId xmlns:a16="http://schemas.microsoft.com/office/drawing/2014/main" id="{0F2592EF-2688-F40A-0E2B-3407A7B5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4" name="Picture 557">
          <a:extLst>
            <a:ext uri="{FF2B5EF4-FFF2-40B4-BE49-F238E27FC236}">
              <a16:creationId xmlns:a16="http://schemas.microsoft.com/office/drawing/2014/main" id="{69E7952E-34B2-F2E5-5CE9-E43D2774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5" name="Picture 558">
          <a:extLst>
            <a:ext uri="{FF2B5EF4-FFF2-40B4-BE49-F238E27FC236}">
              <a16:creationId xmlns:a16="http://schemas.microsoft.com/office/drawing/2014/main" id="{01395E9F-3DDA-E312-7BF6-901C9CA4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6" name="Picture 559">
          <a:extLst>
            <a:ext uri="{FF2B5EF4-FFF2-40B4-BE49-F238E27FC236}">
              <a16:creationId xmlns:a16="http://schemas.microsoft.com/office/drawing/2014/main" id="{9BF40A68-1CBB-FB6C-325D-2EF54BBC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7" name="Picture 560">
          <a:extLst>
            <a:ext uri="{FF2B5EF4-FFF2-40B4-BE49-F238E27FC236}">
              <a16:creationId xmlns:a16="http://schemas.microsoft.com/office/drawing/2014/main" id="{0FC781AB-BF94-55BA-EF71-37310C7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8" name="Picture 561">
          <a:extLst>
            <a:ext uri="{FF2B5EF4-FFF2-40B4-BE49-F238E27FC236}">
              <a16:creationId xmlns:a16="http://schemas.microsoft.com/office/drawing/2014/main" id="{01B13940-BB13-A365-9417-0006A18A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9" name="Picture 562">
          <a:extLst>
            <a:ext uri="{FF2B5EF4-FFF2-40B4-BE49-F238E27FC236}">
              <a16:creationId xmlns:a16="http://schemas.microsoft.com/office/drawing/2014/main" id="{2B765FA2-D24F-64B9-6AF8-84DF5F92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0" name="Picture 563">
          <a:extLst>
            <a:ext uri="{FF2B5EF4-FFF2-40B4-BE49-F238E27FC236}">
              <a16:creationId xmlns:a16="http://schemas.microsoft.com/office/drawing/2014/main" id="{9CFA7704-0E7A-17AD-B7C2-8F701EF3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1" name="Picture 564">
          <a:extLst>
            <a:ext uri="{FF2B5EF4-FFF2-40B4-BE49-F238E27FC236}">
              <a16:creationId xmlns:a16="http://schemas.microsoft.com/office/drawing/2014/main" id="{140E37E2-118C-DB23-A9BA-67FD6057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2" name="Picture 565">
          <a:extLst>
            <a:ext uri="{FF2B5EF4-FFF2-40B4-BE49-F238E27FC236}">
              <a16:creationId xmlns:a16="http://schemas.microsoft.com/office/drawing/2014/main" id="{457CAEB1-4413-CB6A-EAA8-EB27859E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3" name="Picture 566">
          <a:extLst>
            <a:ext uri="{FF2B5EF4-FFF2-40B4-BE49-F238E27FC236}">
              <a16:creationId xmlns:a16="http://schemas.microsoft.com/office/drawing/2014/main" id="{B63AF120-AD9F-ACF7-8B69-D28E495D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4" name="Picture 567">
          <a:extLst>
            <a:ext uri="{FF2B5EF4-FFF2-40B4-BE49-F238E27FC236}">
              <a16:creationId xmlns:a16="http://schemas.microsoft.com/office/drawing/2014/main" id="{63A4511B-2D38-0FF4-23C6-0C6C8BEF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5" name="Picture 568">
          <a:extLst>
            <a:ext uri="{FF2B5EF4-FFF2-40B4-BE49-F238E27FC236}">
              <a16:creationId xmlns:a16="http://schemas.microsoft.com/office/drawing/2014/main" id="{A69E038A-1610-1B49-DA00-423C9FE0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6" name="Picture 569">
          <a:extLst>
            <a:ext uri="{FF2B5EF4-FFF2-40B4-BE49-F238E27FC236}">
              <a16:creationId xmlns:a16="http://schemas.microsoft.com/office/drawing/2014/main" id="{8EAA632D-D181-E0D1-BF97-A3EF14C9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7" name="Picture 570">
          <a:extLst>
            <a:ext uri="{FF2B5EF4-FFF2-40B4-BE49-F238E27FC236}">
              <a16:creationId xmlns:a16="http://schemas.microsoft.com/office/drawing/2014/main" id="{6773EE04-17DC-F19B-4473-201927FA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8" name="Picture 571">
          <a:extLst>
            <a:ext uri="{FF2B5EF4-FFF2-40B4-BE49-F238E27FC236}">
              <a16:creationId xmlns:a16="http://schemas.microsoft.com/office/drawing/2014/main" id="{24CA6FEC-9C8D-3BF3-DA34-C7E379FB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9" name="Picture 572">
          <a:extLst>
            <a:ext uri="{FF2B5EF4-FFF2-40B4-BE49-F238E27FC236}">
              <a16:creationId xmlns:a16="http://schemas.microsoft.com/office/drawing/2014/main" id="{DA227E62-E323-6E4A-7614-652D992D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0" name="Picture 573">
          <a:extLst>
            <a:ext uri="{FF2B5EF4-FFF2-40B4-BE49-F238E27FC236}">
              <a16:creationId xmlns:a16="http://schemas.microsoft.com/office/drawing/2014/main" id="{2D430677-7989-5D15-79E5-9C173E20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1" name="Picture 574">
          <a:extLst>
            <a:ext uri="{FF2B5EF4-FFF2-40B4-BE49-F238E27FC236}">
              <a16:creationId xmlns:a16="http://schemas.microsoft.com/office/drawing/2014/main" id="{70190698-1EA1-6214-29CA-E197A637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2" name="Picture 575">
          <a:extLst>
            <a:ext uri="{FF2B5EF4-FFF2-40B4-BE49-F238E27FC236}">
              <a16:creationId xmlns:a16="http://schemas.microsoft.com/office/drawing/2014/main" id="{5454B5CB-7DBC-1D74-34F0-00BAB57A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3" name="Picture 576">
          <a:extLst>
            <a:ext uri="{FF2B5EF4-FFF2-40B4-BE49-F238E27FC236}">
              <a16:creationId xmlns:a16="http://schemas.microsoft.com/office/drawing/2014/main" id="{762F3D12-5AD6-CF7E-0A85-E4F8D0F0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4" name="Picture 577">
          <a:extLst>
            <a:ext uri="{FF2B5EF4-FFF2-40B4-BE49-F238E27FC236}">
              <a16:creationId xmlns:a16="http://schemas.microsoft.com/office/drawing/2014/main" id="{460D7818-98CA-2BBB-ABAA-56063B5D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5" name="Picture 578">
          <a:extLst>
            <a:ext uri="{FF2B5EF4-FFF2-40B4-BE49-F238E27FC236}">
              <a16:creationId xmlns:a16="http://schemas.microsoft.com/office/drawing/2014/main" id="{3A46C709-0671-9917-9169-C19A13B3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6" name="Picture 579">
          <a:extLst>
            <a:ext uri="{FF2B5EF4-FFF2-40B4-BE49-F238E27FC236}">
              <a16:creationId xmlns:a16="http://schemas.microsoft.com/office/drawing/2014/main" id="{33BB20A8-42DE-08E0-86D9-C5B3A72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7" name="Picture 580">
          <a:extLst>
            <a:ext uri="{FF2B5EF4-FFF2-40B4-BE49-F238E27FC236}">
              <a16:creationId xmlns:a16="http://schemas.microsoft.com/office/drawing/2014/main" id="{F929BD68-CBED-9DF3-1C82-84C59C40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8" name="Picture 581">
          <a:extLst>
            <a:ext uri="{FF2B5EF4-FFF2-40B4-BE49-F238E27FC236}">
              <a16:creationId xmlns:a16="http://schemas.microsoft.com/office/drawing/2014/main" id="{5B3657C9-61C7-912A-2B27-18C0A0BC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9" name="Picture 582">
          <a:extLst>
            <a:ext uri="{FF2B5EF4-FFF2-40B4-BE49-F238E27FC236}">
              <a16:creationId xmlns:a16="http://schemas.microsoft.com/office/drawing/2014/main" id="{2978E7A0-34AE-C3CF-2191-DD682DD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0" name="Picture 583">
          <a:extLst>
            <a:ext uri="{FF2B5EF4-FFF2-40B4-BE49-F238E27FC236}">
              <a16:creationId xmlns:a16="http://schemas.microsoft.com/office/drawing/2014/main" id="{33C18EDD-5361-76B7-63C9-FEE03BF3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1" name="Picture 584">
          <a:extLst>
            <a:ext uri="{FF2B5EF4-FFF2-40B4-BE49-F238E27FC236}">
              <a16:creationId xmlns:a16="http://schemas.microsoft.com/office/drawing/2014/main" id="{E62B8763-464B-C734-4D74-D8B884B3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2" name="Picture 585">
          <a:extLst>
            <a:ext uri="{FF2B5EF4-FFF2-40B4-BE49-F238E27FC236}">
              <a16:creationId xmlns:a16="http://schemas.microsoft.com/office/drawing/2014/main" id="{EFA9A92F-AF80-D26A-2909-3A47E77F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3" name="Picture 586">
          <a:extLst>
            <a:ext uri="{FF2B5EF4-FFF2-40B4-BE49-F238E27FC236}">
              <a16:creationId xmlns:a16="http://schemas.microsoft.com/office/drawing/2014/main" id="{9285084E-D23A-3270-1BA6-C3530D27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4" name="Picture 587">
          <a:extLst>
            <a:ext uri="{FF2B5EF4-FFF2-40B4-BE49-F238E27FC236}">
              <a16:creationId xmlns:a16="http://schemas.microsoft.com/office/drawing/2014/main" id="{3C29D4E2-8F74-0C9D-5D0C-946034DA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5" name="Picture 588">
          <a:extLst>
            <a:ext uri="{FF2B5EF4-FFF2-40B4-BE49-F238E27FC236}">
              <a16:creationId xmlns:a16="http://schemas.microsoft.com/office/drawing/2014/main" id="{D28A0D91-D4CB-C75A-372A-7F6EB975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6" name="Picture 589">
          <a:extLst>
            <a:ext uri="{FF2B5EF4-FFF2-40B4-BE49-F238E27FC236}">
              <a16:creationId xmlns:a16="http://schemas.microsoft.com/office/drawing/2014/main" id="{5489ECC0-C3D1-A5C1-433E-3E057675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7" name="Picture 590">
          <a:extLst>
            <a:ext uri="{FF2B5EF4-FFF2-40B4-BE49-F238E27FC236}">
              <a16:creationId xmlns:a16="http://schemas.microsoft.com/office/drawing/2014/main" id="{A0DBD4FA-20AD-C0BA-3534-C69C2BB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8" name="Picture 591">
          <a:extLst>
            <a:ext uri="{FF2B5EF4-FFF2-40B4-BE49-F238E27FC236}">
              <a16:creationId xmlns:a16="http://schemas.microsoft.com/office/drawing/2014/main" id="{0203D798-81F3-F318-D0A5-D2C0FFE6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9" name="Picture 592">
          <a:extLst>
            <a:ext uri="{FF2B5EF4-FFF2-40B4-BE49-F238E27FC236}">
              <a16:creationId xmlns:a16="http://schemas.microsoft.com/office/drawing/2014/main" id="{AC2B942A-A02F-DAEF-90B4-BA62A3D7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0" name="Picture 593">
          <a:extLst>
            <a:ext uri="{FF2B5EF4-FFF2-40B4-BE49-F238E27FC236}">
              <a16:creationId xmlns:a16="http://schemas.microsoft.com/office/drawing/2014/main" id="{05E0524F-5CCB-E259-D534-5966CE39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1" name="Picture 594">
          <a:extLst>
            <a:ext uri="{FF2B5EF4-FFF2-40B4-BE49-F238E27FC236}">
              <a16:creationId xmlns:a16="http://schemas.microsoft.com/office/drawing/2014/main" id="{00D020CB-67E6-B411-F474-09550A9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2" name="Picture 595">
          <a:extLst>
            <a:ext uri="{FF2B5EF4-FFF2-40B4-BE49-F238E27FC236}">
              <a16:creationId xmlns:a16="http://schemas.microsoft.com/office/drawing/2014/main" id="{4A10A1A9-688B-4684-BE95-86D065F0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3" name="Picture 596">
          <a:extLst>
            <a:ext uri="{FF2B5EF4-FFF2-40B4-BE49-F238E27FC236}">
              <a16:creationId xmlns:a16="http://schemas.microsoft.com/office/drawing/2014/main" id="{F84293DB-535B-1B7F-5759-BCE5C101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4" name="Picture 597">
          <a:extLst>
            <a:ext uri="{FF2B5EF4-FFF2-40B4-BE49-F238E27FC236}">
              <a16:creationId xmlns:a16="http://schemas.microsoft.com/office/drawing/2014/main" id="{6F7784C1-DECE-5081-DE11-8DCC56EA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5" name="Picture 598">
          <a:extLst>
            <a:ext uri="{FF2B5EF4-FFF2-40B4-BE49-F238E27FC236}">
              <a16:creationId xmlns:a16="http://schemas.microsoft.com/office/drawing/2014/main" id="{1C0F6AE1-F0F6-E978-8051-F2126E75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6" name="Picture 599">
          <a:extLst>
            <a:ext uri="{FF2B5EF4-FFF2-40B4-BE49-F238E27FC236}">
              <a16:creationId xmlns:a16="http://schemas.microsoft.com/office/drawing/2014/main" id="{215EA4BD-0D75-DA8A-928A-D6DE44748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7" name="Picture 600">
          <a:extLst>
            <a:ext uri="{FF2B5EF4-FFF2-40B4-BE49-F238E27FC236}">
              <a16:creationId xmlns:a16="http://schemas.microsoft.com/office/drawing/2014/main" id="{7C41E453-4A5D-C146-40EB-59FBDF5A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8" name="Picture 601">
          <a:extLst>
            <a:ext uri="{FF2B5EF4-FFF2-40B4-BE49-F238E27FC236}">
              <a16:creationId xmlns:a16="http://schemas.microsoft.com/office/drawing/2014/main" id="{778FC347-9E76-8495-0505-74C2C6A6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9" name="Picture 602">
          <a:extLst>
            <a:ext uri="{FF2B5EF4-FFF2-40B4-BE49-F238E27FC236}">
              <a16:creationId xmlns:a16="http://schemas.microsoft.com/office/drawing/2014/main" id="{6CFB3C43-D35C-B8BB-DB70-2FA9B104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0" name="Picture 603">
          <a:extLst>
            <a:ext uri="{FF2B5EF4-FFF2-40B4-BE49-F238E27FC236}">
              <a16:creationId xmlns:a16="http://schemas.microsoft.com/office/drawing/2014/main" id="{8C71B590-7756-ADDC-5DE3-B1F93860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1" name="Picture 604">
          <a:extLst>
            <a:ext uri="{FF2B5EF4-FFF2-40B4-BE49-F238E27FC236}">
              <a16:creationId xmlns:a16="http://schemas.microsoft.com/office/drawing/2014/main" id="{F9994626-AACC-704B-ABB0-22FDA368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2" name="Picture 605">
          <a:extLst>
            <a:ext uri="{FF2B5EF4-FFF2-40B4-BE49-F238E27FC236}">
              <a16:creationId xmlns:a16="http://schemas.microsoft.com/office/drawing/2014/main" id="{EB6534F7-FA5C-453D-B4A8-C27CD73C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3" name="Picture 606">
          <a:extLst>
            <a:ext uri="{FF2B5EF4-FFF2-40B4-BE49-F238E27FC236}">
              <a16:creationId xmlns:a16="http://schemas.microsoft.com/office/drawing/2014/main" id="{F415C753-339C-CB61-01D4-DBDF9880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4" name="Picture 607">
          <a:extLst>
            <a:ext uri="{FF2B5EF4-FFF2-40B4-BE49-F238E27FC236}">
              <a16:creationId xmlns:a16="http://schemas.microsoft.com/office/drawing/2014/main" id="{BA8A7970-CAA7-E632-69B9-BAB3404E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5" name="Picture 608">
          <a:extLst>
            <a:ext uri="{FF2B5EF4-FFF2-40B4-BE49-F238E27FC236}">
              <a16:creationId xmlns:a16="http://schemas.microsoft.com/office/drawing/2014/main" id="{2BE17D96-2AEC-323C-6930-F2A739CD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6" name="Picture 609">
          <a:extLst>
            <a:ext uri="{FF2B5EF4-FFF2-40B4-BE49-F238E27FC236}">
              <a16:creationId xmlns:a16="http://schemas.microsoft.com/office/drawing/2014/main" id="{E6A82E8F-EB63-8441-A0B5-FF1742E6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7" name="Picture 610">
          <a:extLst>
            <a:ext uri="{FF2B5EF4-FFF2-40B4-BE49-F238E27FC236}">
              <a16:creationId xmlns:a16="http://schemas.microsoft.com/office/drawing/2014/main" id="{778B3CD4-D74E-5DA0-1AE4-969E48D0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8" name="Picture 611">
          <a:extLst>
            <a:ext uri="{FF2B5EF4-FFF2-40B4-BE49-F238E27FC236}">
              <a16:creationId xmlns:a16="http://schemas.microsoft.com/office/drawing/2014/main" id="{7C9A838B-867F-CD30-CDD7-9F7C1A2C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9" name="Picture 612">
          <a:extLst>
            <a:ext uri="{FF2B5EF4-FFF2-40B4-BE49-F238E27FC236}">
              <a16:creationId xmlns:a16="http://schemas.microsoft.com/office/drawing/2014/main" id="{1A91AA0B-B4CC-4A00-58E8-C7504134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0" name="Picture 613">
          <a:extLst>
            <a:ext uri="{FF2B5EF4-FFF2-40B4-BE49-F238E27FC236}">
              <a16:creationId xmlns:a16="http://schemas.microsoft.com/office/drawing/2014/main" id="{D7A9F536-6E39-78E8-F262-421B515F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1" name="Picture 614">
          <a:extLst>
            <a:ext uri="{FF2B5EF4-FFF2-40B4-BE49-F238E27FC236}">
              <a16:creationId xmlns:a16="http://schemas.microsoft.com/office/drawing/2014/main" id="{B2A25070-329C-4B71-FD1A-C5FC038E0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2" name="Picture 615">
          <a:extLst>
            <a:ext uri="{FF2B5EF4-FFF2-40B4-BE49-F238E27FC236}">
              <a16:creationId xmlns:a16="http://schemas.microsoft.com/office/drawing/2014/main" id="{33955F02-BD96-7023-F96B-7A2F9E27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3" name="Picture 616">
          <a:extLst>
            <a:ext uri="{FF2B5EF4-FFF2-40B4-BE49-F238E27FC236}">
              <a16:creationId xmlns:a16="http://schemas.microsoft.com/office/drawing/2014/main" id="{07954ED6-9299-4715-D05A-D47B27D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4" name="Picture 617">
          <a:extLst>
            <a:ext uri="{FF2B5EF4-FFF2-40B4-BE49-F238E27FC236}">
              <a16:creationId xmlns:a16="http://schemas.microsoft.com/office/drawing/2014/main" id="{70323715-D96A-DEE7-3BBB-21493BD4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5" name="Picture 618">
          <a:extLst>
            <a:ext uri="{FF2B5EF4-FFF2-40B4-BE49-F238E27FC236}">
              <a16:creationId xmlns:a16="http://schemas.microsoft.com/office/drawing/2014/main" id="{3D827076-5DD8-CF9B-0B0E-58892D0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6" name="Picture 619">
          <a:extLst>
            <a:ext uri="{FF2B5EF4-FFF2-40B4-BE49-F238E27FC236}">
              <a16:creationId xmlns:a16="http://schemas.microsoft.com/office/drawing/2014/main" id="{A6D9C04E-CC12-E449-92AD-289A53BA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7" name="Picture 620">
          <a:extLst>
            <a:ext uri="{FF2B5EF4-FFF2-40B4-BE49-F238E27FC236}">
              <a16:creationId xmlns:a16="http://schemas.microsoft.com/office/drawing/2014/main" id="{8CDEC9B5-932E-ACFC-B93A-E824E237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8" name="Picture 621">
          <a:extLst>
            <a:ext uri="{FF2B5EF4-FFF2-40B4-BE49-F238E27FC236}">
              <a16:creationId xmlns:a16="http://schemas.microsoft.com/office/drawing/2014/main" id="{23A1E09A-F418-1FF2-9655-4739523F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9" name="Picture 622">
          <a:extLst>
            <a:ext uri="{FF2B5EF4-FFF2-40B4-BE49-F238E27FC236}">
              <a16:creationId xmlns:a16="http://schemas.microsoft.com/office/drawing/2014/main" id="{FFAC0383-A121-634C-5DED-396357A9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0" name="Picture 623">
          <a:extLst>
            <a:ext uri="{FF2B5EF4-FFF2-40B4-BE49-F238E27FC236}">
              <a16:creationId xmlns:a16="http://schemas.microsoft.com/office/drawing/2014/main" id="{945F559A-F23B-2569-F7F4-C9B1E4FB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1" name="Picture 624">
          <a:extLst>
            <a:ext uri="{FF2B5EF4-FFF2-40B4-BE49-F238E27FC236}">
              <a16:creationId xmlns:a16="http://schemas.microsoft.com/office/drawing/2014/main" id="{B0FAD62F-01B4-B616-DD14-0A9E902B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2" name="Picture 625">
          <a:extLst>
            <a:ext uri="{FF2B5EF4-FFF2-40B4-BE49-F238E27FC236}">
              <a16:creationId xmlns:a16="http://schemas.microsoft.com/office/drawing/2014/main" id="{E9D2D71E-E483-98B5-C93F-62CC284F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3" name="Picture 626">
          <a:extLst>
            <a:ext uri="{FF2B5EF4-FFF2-40B4-BE49-F238E27FC236}">
              <a16:creationId xmlns:a16="http://schemas.microsoft.com/office/drawing/2014/main" id="{8593D4CE-99D2-F874-527A-BBA0B0AB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4" name="Picture 627">
          <a:extLst>
            <a:ext uri="{FF2B5EF4-FFF2-40B4-BE49-F238E27FC236}">
              <a16:creationId xmlns:a16="http://schemas.microsoft.com/office/drawing/2014/main" id="{4F03D7D6-D852-410B-B779-0818A279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5" name="Picture 628">
          <a:extLst>
            <a:ext uri="{FF2B5EF4-FFF2-40B4-BE49-F238E27FC236}">
              <a16:creationId xmlns:a16="http://schemas.microsoft.com/office/drawing/2014/main" id="{B28102DE-D672-E579-2975-95977232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6" name="Picture 629">
          <a:extLst>
            <a:ext uri="{FF2B5EF4-FFF2-40B4-BE49-F238E27FC236}">
              <a16:creationId xmlns:a16="http://schemas.microsoft.com/office/drawing/2014/main" id="{36350A92-386B-8E49-8359-08DFC64E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7" name="Picture 630">
          <a:extLst>
            <a:ext uri="{FF2B5EF4-FFF2-40B4-BE49-F238E27FC236}">
              <a16:creationId xmlns:a16="http://schemas.microsoft.com/office/drawing/2014/main" id="{E11CA40F-DF56-C51B-8E23-1B3AC71C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8" name="Picture 631">
          <a:extLst>
            <a:ext uri="{FF2B5EF4-FFF2-40B4-BE49-F238E27FC236}">
              <a16:creationId xmlns:a16="http://schemas.microsoft.com/office/drawing/2014/main" id="{A196604B-200F-4078-C1C2-C28E1C7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9" name="Picture 632">
          <a:extLst>
            <a:ext uri="{FF2B5EF4-FFF2-40B4-BE49-F238E27FC236}">
              <a16:creationId xmlns:a16="http://schemas.microsoft.com/office/drawing/2014/main" id="{24141F88-C1D4-0179-1702-F8BF5691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0" name="Picture 633">
          <a:extLst>
            <a:ext uri="{FF2B5EF4-FFF2-40B4-BE49-F238E27FC236}">
              <a16:creationId xmlns:a16="http://schemas.microsoft.com/office/drawing/2014/main" id="{3BEE8030-CD80-08C6-C49B-218343FF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1" name="Picture 634">
          <a:extLst>
            <a:ext uri="{FF2B5EF4-FFF2-40B4-BE49-F238E27FC236}">
              <a16:creationId xmlns:a16="http://schemas.microsoft.com/office/drawing/2014/main" id="{AA786039-9A2E-9228-DCF9-F6C8063B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2" name="Picture 635">
          <a:extLst>
            <a:ext uri="{FF2B5EF4-FFF2-40B4-BE49-F238E27FC236}">
              <a16:creationId xmlns:a16="http://schemas.microsoft.com/office/drawing/2014/main" id="{B4504860-BB52-EDF5-CC71-BA780DA2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3" name="Picture 636">
          <a:extLst>
            <a:ext uri="{FF2B5EF4-FFF2-40B4-BE49-F238E27FC236}">
              <a16:creationId xmlns:a16="http://schemas.microsoft.com/office/drawing/2014/main" id="{2C76BAF5-C8B0-0C1B-6603-3837AAF4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4" name="Picture 637">
          <a:extLst>
            <a:ext uri="{FF2B5EF4-FFF2-40B4-BE49-F238E27FC236}">
              <a16:creationId xmlns:a16="http://schemas.microsoft.com/office/drawing/2014/main" id="{3B2B1846-0757-D102-8E9F-35DAC27B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5" name="Picture 638">
          <a:extLst>
            <a:ext uri="{FF2B5EF4-FFF2-40B4-BE49-F238E27FC236}">
              <a16:creationId xmlns:a16="http://schemas.microsoft.com/office/drawing/2014/main" id="{2C6928E3-FC90-3353-CBEF-6BD78C60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6" name="Picture 639">
          <a:extLst>
            <a:ext uri="{FF2B5EF4-FFF2-40B4-BE49-F238E27FC236}">
              <a16:creationId xmlns:a16="http://schemas.microsoft.com/office/drawing/2014/main" id="{EF13FB0E-C1AE-A9ED-53B0-2A319394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7" name="Picture 640">
          <a:extLst>
            <a:ext uri="{FF2B5EF4-FFF2-40B4-BE49-F238E27FC236}">
              <a16:creationId xmlns:a16="http://schemas.microsoft.com/office/drawing/2014/main" id="{1DDBCAA5-0E1E-3CCD-F037-960EAB50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8" name="Picture 641">
          <a:extLst>
            <a:ext uri="{FF2B5EF4-FFF2-40B4-BE49-F238E27FC236}">
              <a16:creationId xmlns:a16="http://schemas.microsoft.com/office/drawing/2014/main" id="{FFF459D2-974A-C52A-634F-2546E16B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9" name="Picture 642">
          <a:extLst>
            <a:ext uri="{FF2B5EF4-FFF2-40B4-BE49-F238E27FC236}">
              <a16:creationId xmlns:a16="http://schemas.microsoft.com/office/drawing/2014/main" id="{06F5B57B-1A49-5134-3949-A018947F8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0" name="Picture 643">
          <a:extLst>
            <a:ext uri="{FF2B5EF4-FFF2-40B4-BE49-F238E27FC236}">
              <a16:creationId xmlns:a16="http://schemas.microsoft.com/office/drawing/2014/main" id="{D26EB544-2F27-7A17-E747-1ADF0A96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1" name="Picture 644">
          <a:extLst>
            <a:ext uri="{FF2B5EF4-FFF2-40B4-BE49-F238E27FC236}">
              <a16:creationId xmlns:a16="http://schemas.microsoft.com/office/drawing/2014/main" id="{D492CC51-B4EC-2842-CD72-ECF73068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2" name="Picture 645">
          <a:extLst>
            <a:ext uri="{FF2B5EF4-FFF2-40B4-BE49-F238E27FC236}">
              <a16:creationId xmlns:a16="http://schemas.microsoft.com/office/drawing/2014/main" id="{8FEFE2B6-E803-9447-DCFB-F904F14D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3" name="Picture 646">
          <a:extLst>
            <a:ext uri="{FF2B5EF4-FFF2-40B4-BE49-F238E27FC236}">
              <a16:creationId xmlns:a16="http://schemas.microsoft.com/office/drawing/2014/main" id="{9B3B4846-5E66-A9E4-68BF-85FBF461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4" name="Picture 647">
          <a:extLst>
            <a:ext uri="{FF2B5EF4-FFF2-40B4-BE49-F238E27FC236}">
              <a16:creationId xmlns:a16="http://schemas.microsoft.com/office/drawing/2014/main" id="{31570D5E-FEDC-A36F-D844-71599C7B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5" name="Picture 648">
          <a:extLst>
            <a:ext uri="{FF2B5EF4-FFF2-40B4-BE49-F238E27FC236}">
              <a16:creationId xmlns:a16="http://schemas.microsoft.com/office/drawing/2014/main" id="{89E041EA-BA46-CE5F-D1FC-6AFF9F0C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6" name="Picture 649">
          <a:extLst>
            <a:ext uri="{FF2B5EF4-FFF2-40B4-BE49-F238E27FC236}">
              <a16:creationId xmlns:a16="http://schemas.microsoft.com/office/drawing/2014/main" id="{36D5D64C-1E1D-2AA4-F422-D4320D90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7" name="Picture 650">
          <a:extLst>
            <a:ext uri="{FF2B5EF4-FFF2-40B4-BE49-F238E27FC236}">
              <a16:creationId xmlns:a16="http://schemas.microsoft.com/office/drawing/2014/main" id="{0902869A-78AB-EA23-6F42-06A46BBD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8" name="Picture 651">
          <a:extLst>
            <a:ext uri="{FF2B5EF4-FFF2-40B4-BE49-F238E27FC236}">
              <a16:creationId xmlns:a16="http://schemas.microsoft.com/office/drawing/2014/main" id="{0518A0E0-CCA4-9620-A690-A0972F7D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9" name="Picture 652">
          <a:extLst>
            <a:ext uri="{FF2B5EF4-FFF2-40B4-BE49-F238E27FC236}">
              <a16:creationId xmlns:a16="http://schemas.microsoft.com/office/drawing/2014/main" id="{CA5AC62B-B5A4-6ACC-CB67-83C97979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0" name="Picture 653">
          <a:extLst>
            <a:ext uri="{FF2B5EF4-FFF2-40B4-BE49-F238E27FC236}">
              <a16:creationId xmlns:a16="http://schemas.microsoft.com/office/drawing/2014/main" id="{1CA7CEE9-A66E-C099-10C4-4F169AF7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1" name="Picture 654">
          <a:extLst>
            <a:ext uri="{FF2B5EF4-FFF2-40B4-BE49-F238E27FC236}">
              <a16:creationId xmlns:a16="http://schemas.microsoft.com/office/drawing/2014/main" id="{FFD0CC40-EFC3-8A9D-2463-BDA49E12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2" name="Picture 655">
          <a:extLst>
            <a:ext uri="{FF2B5EF4-FFF2-40B4-BE49-F238E27FC236}">
              <a16:creationId xmlns:a16="http://schemas.microsoft.com/office/drawing/2014/main" id="{6684C332-4F3C-CA3F-D796-E76D39F3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3" name="Picture 656">
          <a:extLst>
            <a:ext uri="{FF2B5EF4-FFF2-40B4-BE49-F238E27FC236}">
              <a16:creationId xmlns:a16="http://schemas.microsoft.com/office/drawing/2014/main" id="{BE0D3F3F-9C1A-D7AC-BB32-7698F385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4" name="Picture 657">
          <a:extLst>
            <a:ext uri="{FF2B5EF4-FFF2-40B4-BE49-F238E27FC236}">
              <a16:creationId xmlns:a16="http://schemas.microsoft.com/office/drawing/2014/main" id="{16C5A965-C7FD-BEE5-5CF9-968D92E7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5" name="Picture 658">
          <a:extLst>
            <a:ext uri="{FF2B5EF4-FFF2-40B4-BE49-F238E27FC236}">
              <a16:creationId xmlns:a16="http://schemas.microsoft.com/office/drawing/2014/main" id="{957B8F12-05B0-A930-2DB2-65CF0608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6" name="Picture 659">
          <a:extLst>
            <a:ext uri="{FF2B5EF4-FFF2-40B4-BE49-F238E27FC236}">
              <a16:creationId xmlns:a16="http://schemas.microsoft.com/office/drawing/2014/main" id="{8372765B-CEED-7A63-AA23-4BF3BF55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7" name="Picture 660">
          <a:extLst>
            <a:ext uri="{FF2B5EF4-FFF2-40B4-BE49-F238E27FC236}">
              <a16:creationId xmlns:a16="http://schemas.microsoft.com/office/drawing/2014/main" id="{01BFCB75-BF48-B36F-B7B1-34B07A84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8" name="Picture 661">
          <a:extLst>
            <a:ext uri="{FF2B5EF4-FFF2-40B4-BE49-F238E27FC236}">
              <a16:creationId xmlns:a16="http://schemas.microsoft.com/office/drawing/2014/main" id="{20452926-63FA-06F8-B266-80E16129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9" name="Picture 662">
          <a:extLst>
            <a:ext uri="{FF2B5EF4-FFF2-40B4-BE49-F238E27FC236}">
              <a16:creationId xmlns:a16="http://schemas.microsoft.com/office/drawing/2014/main" id="{C5BD6ECB-A12D-4A6C-309C-D9F9F86E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0" name="Picture 663">
          <a:extLst>
            <a:ext uri="{FF2B5EF4-FFF2-40B4-BE49-F238E27FC236}">
              <a16:creationId xmlns:a16="http://schemas.microsoft.com/office/drawing/2014/main" id="{D1298D98-8FA5-0879-F102-C6D1728E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1" name="Picture 664">
          <a:extLst>
            <a:ext uri="{FF2B5EF4-FFF2-40B4-BE49-F238E27FC236}">
              <a16:creationId xmlns:a16="http://schemas.microsoft.com/office/drawing/2014/main" id="{23811ADB-2D67-CA9A-52E4-62A0B023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2" name="Picture 665">
          <a:extLst>
            <a:ext uri="{FF2B5EF4-FFF2-40B4-BE49-F238E27FC236}">
              <a16:creationId xmlns:a16="http://schemas.microsoft.com/office/drawing/2014/main" id="{A0DEFEB6-7466-0D47-F003-92B2868B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3" name="Picture 666">
          <a:extLst>
            <a:ext uri="{FF2B5EF4-FFF2-40B4-BE49-F238E27FC236}">
              <a16:creationId xmlns:a16="http://schemas.microsoft.com/office/drawing/2014/main" id="{B84E316F-1420-BC32-8039-CA5AC649A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4" name="Picture 667">
          <a:extLst>
            <a:ext uri="{FF2B5EF4-FFF2-40B4-BE49-F238E27FC236}">
              <a16:creationId xmlns:a16="http://schemas.microsoft.com/office/drawing/2014/main" id="{48F38DEA-9A7A-8A59-B54D-666E072F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5" name="Picture 668">
          <a:extLst>
            <a:ext uri="{FF2B5EF4-FFF2-40B4-BE49-F238E27FC236}">
              <a16:creationId xmlns:a16="http://schemas.microsoft.com/office/drawing/2014/main" id="{B8728782-C4E7-B139-131B-CD81A1B1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6" name="Picture 669">
          <a:extLst>
            <a:ext uri="{FF2B5EF4-FFF2-40B4-BE49-F238E27FC236}">
              <a16:creationId xmlns:a16="http://schemas.microsoft.com/office/drawing/2014/main" id="{E67A625B-15D0-F20F-D396-4E77E59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7" name="Picture 670">
          <a:extLst>
            <a:ext uri="{FF2B5EF4-FFF2-40B4-BE49-F238E27FC236}">
              <a16:creationId xmlns:a16="http://schemas.microsoft.com/office/drawing/2014/main" id="{15092021-F0C0-3416-82EB-82D8C7A8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8" name="Picture 671">
          <a:extLst>
            <a:ext uri="{FF2B5EF4-FFF2-40B4-BE49-F238E27FC236}">
              <a16:creationId xmlns:a16="http://schemas.microsoft.com/office/drawing/2014/main" id="{E46A8EDF-56B7-A6D9-76BB-C10DABB3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9" name="Picture 672">
          <a:extLst>
            <a:ext uri="{FF2B5EF4-FFF2-40B4-BE49-F238E27FC236}">
              <a16:creationId xmlns:a16="http://schemas.microsoft.com/office/drawing/2014/main" id="{C29B7C2F-FF6A-B73E-08FE-63180877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0" name="Picture 673">
          <a:extLst>
            <a:ext uri="{FF2B5EF4-FFF2-40B4-BE49-F238E27FC236}">
              <a16:creationId xmlns:a16="http://schemas.microsoft.com/office/drawing/2014/main" id="{92F71F96-DA22-1C28-DE26-871722F0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1" name="Picture 674">
          <a:extLst>
            <a:ext uri="{FF2B5EF4-FFF2-40B4-BE49-F238E27FC236}">
              <a16:creationId xmlns:a16="http://schemas.microsoft.com/office/drawing/2014/main" id="{4B526288-1ED8-C936-6265-5A567A36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2" name="Picture 675">
          <a:extLst>
            <a:ext uri="{FF2B5EF4-FFF2-40B4-BE49-F238E27FC236}">
              <a16:creationId xmlns:a16="http://schemas.microsoft.com/office/drawing/2014/main" id="{C701D8CB-A4EA-96CD-192A-CB639B77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3" name="Picture 676">
          <a:extLst>
            <a:ext uri="{FF2B5EF4-FFF2-40B4-BE49-F238E27FC236}">
              <a16:creationId xmlns:a16="http://schemas.microsoft.com/office/drawing/2014/main" id="{C1C05667-61A8-A771-8A64-0657847F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4" name="Picture 677">
          <a:extLst>
            <a:ext uri="{FF2B5EF4-FFF2-40B4-BE49-F238E27FC236}">
              <a16:creationId xmlns:a16="http://schemas.microsoft.com/office/drawing/2014/main" id="{E63BA009-32E4-27A7-8082-E3C42527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5" name="Picture 678">
          <a:extLst>
            <a:ext uri="{FF2B5EF4-FFF2-40B4-BE49-F238E27FC236}">
              <a16:creationId xmlns:a16="http://schemas.microsoft.com/office/drawing/2014/main" id="{30BAFC10-22D1-82BE-6BFD-CF1D650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6" name="Picture 679">
          <a:extLst>
            <a:ext uri="{FF2B5EF4-FFF2-40B4-BE49-F238E27FC236}">
              <a16:creationId xmlns:a16="http://schemas.microsoft.com/office/drawing/2014/main" id="{FF36A408-865F-1F1D-D35A-2C71EB71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7" name="Picture 680">
          <a:extLst>
            <a:ext uri="{FF2B5EF4-FFF2-40B4-BE49-F238E27FC236}">
              <a16:creationId xmlns:a16="http://schemas.microsoft.com/office/drawing/2014/main" id="{75A36983-2B73-328E-91AC-2775659B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8" name="Picture 681">
          <a:extLst>
            <a:ext uri="{FF2B5EF4-FFF2-40B4-BE49-F238E27FC236}">
              <a16:creationId xmlns:a16="http://schemas.microsoft.com/office/drawing/2014/main" id="{AEE3B878-BD87-A1A5-6ECB-C3801398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9" name="Picture 682">
          <a:extLst>
            <a:ext uri="{FF2B5EF4-FFF2-40B4-BE49-F238E27FC236}">
              <a16:creationId xmlns:a16="http://schemas.microsoft.com/office/drawing/2014/main" id="{D123F083-A8B8-F068-9894-0D9EB028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0" name="Picture 683">
          <a:extLst>
            <a:ext uri="{FF2B5EF4-FFF2-40B4-BE49-F238E27FC236}">
              <a16:creationId xmlns:a16="http://schemas.microsoft.com/office/drawing/2014/main" id="{C3799487-C3A7-76D8-9D3B-1070FADC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1" name="Picture 684">
          <a:extLst>
            <a:ext uri="{FF2B5EF4-FFF2-40B4-BE49-F238E27FC236}">
              <a16:creationId xmlns:a16="http://schemas.microsoft.com/office/drawing/2014/main" id="{A3ADF3FC-1AA9-17E0-23B4-D104DED0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2" name="Picture 685">
          <a:extLst>
            <a:ext uri="{FF2B5EF4-FFF2-40B4-BE49-F238E27FC236}">
              <a16:creationId xmlns:a16="http://schemas.microsoft.com/office/drawing/2014/main" id="{AD7432C6-7596-1040-8655-4E2335E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3" name="Picture 686">
          <a:extLst>
            <a:ext uri="{FF2B5EF4-FFF2-40B4-BE49-F238E27FC236}">
              <a16:creationId xmlns:a16="http://schemas.microsoft.com/office/drawing/2014/main" id="{B2EE2BEF-B0AB-5CD7-C018-6FC1AE6B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4" name="Picture 687">
          <a:extLst>
            <a:ext uri="{FF2B5EF4-FFF2-40B4-BE49-F238E27FC236}">
              <a16:creationId xmlns:a16="http://schemas.microsoft.com/office/drawing/2014/main" id="{C8D9CEEE-6C53-C9CF-81AD-12A58BFB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5" name="Picture 688">
          <a:extLst>
            <a:ext uri="{FF2B5EF4-FFF2-40B4-BE49-F238E27FC236}">
              <a16:creationId xmlns:a16="http://schemas.microsoft.com/office/drawing/2014/main" id="{68CB7F21-6DDD-1F76-A47E-FD8BE685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6" name="Picture 689">
          <a:extLst>
            <a:ext uri="{FF2B5EF4-FFF2-40B4-BE49-F238E27FC236}">
              <a16:creationId xmlns:a16="http://schemas.microsoft.com/office/drawing/2014/main" id="{53BB80E4-BD50-9C1A-EAF8-2BC61955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7" name="Picture 690">
          <a:extLst>
            <a:ext uri="{FF2B5EF4-FFF2-40B4-BE49-F238E27FC236}">
              <a16:creationId xmlns:a16="http://schemas.microsoft.com/office/drawing/2014/main" id="{66537B6F-03F3-26E3-A766-A3D2B378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8" name="Picture 691">
          <a:extLst>
            <a:ext uri="{FF2B5EF4-FFF2-40B4-BE49-F238E27FC236}">
              <a16:creationId xmlns:a16="http://schemas.microsoft.com/office/drawing/2014/main" id="{EEC9E7F7-C27F-9E63-BE97-E990FD94D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9" name="Picture 692">
          <a:extLst>
            <a:ext uri="{FF2B5EF4-FFF2-40B4-BE49-F238E27FC236}">
              <a16:creationId xmlns:a16="http://schemas.microsoft.com/office/drawing/2014/main" id="{73E4C427-6F99-194F-5CD1-F1C2E2DD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0" name="Picture 693">
          <a:extLst>
            <a:ext uri="{FF2B5EF4-FFF2-40B4-BE49-F238E27FC236}">
              <a16:creationId xmlns:a16="http://schemas.microsoft.com/office/drawing/2014/main" id="{0D09BA95-F11D-79A4-E3FD-83585173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1" name="Picture 694">
          <a:extLst>
            <a:ext uri="{FF2B5EF4-FFF2-40B4-BE49-F238E27FC236}">
              <a16:creationId xmlns:a16="http://schemas.microsoft.com/office/drawing/2014/main" id="{6AAEE5C3-37CA-4014-B676-979D8D48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2" name="Picture 695">
          <a:extLst>
            <a:ext uri="{FF2B5EF4-FFF2-40B4-BE49-F238E27FC236}">
              <a16:creationId xmlns:a16="http://schemas.microsoft.com/office/drawing/2014/main" id="{600DCB58-CAB5-F535-9562-2ADD753C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3" name="Picture 696">
          <a:extLst>
            <a:ext uri="{FF2B5EF4-FFF2-40B4-BE49-F238E27FC236}">
              <a16:creationId xmlns:a16="http://schemas.microsoft.com/office/drawing/2014/main" id="{6E27CEBB-D8C4-919D-F6E3-414E619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4" name="Picture 697">
          <a:extLst>
            <a:ext uri="{FF2B5EF4-FFF2-40B4-BE49-F238E27FC236}">
              <a16:creationId xmlns:a16="http://schemas.microsoft.com/office/drawing/2014/main" id="{2C40560F-D375-8872-BE29-6C2CCE0F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5" name="Picture 698">
          <a:extLst>
            <a:ext uri="{FF2B5EF4-FFF2-40B4-BE49-F238E27FC236}">
              <a16:creationId xmlns:a16="http://schemas.microsoft.com/office/drawing/2014/main" id="{5F3B30BA-DCB8-9EE1-DE80-73EF7B25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6" name="Picture 699">
          <a:extLst>
            <a:ext uri="{FF2B5EF4-FFF2-40B4-BE49-F238E27FC236}">
              <a16:creationId xmlns:a16="http://schemas.microsoft.com/office/drawing/2014/main" id="{0C0A1F9F-2284-7505-624E-E27558FA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7" name="Picture 700">
          <a:extLst>
            <a:ext uri="{FF2B5EF4-FFF2-40B4-BE49-F238E27FC236}">
              <a16:creationId xmlns:a16="http://schemas.microsoft.com/office/drawing/2014/main" id="{37C517C3-9B91-E4D0-D33D-991F59C2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8" name="Picture 701">
          <a:extLst>
            <a:ext uri="{FF2B5EF4-FFF2-40B4-BE49-F238E27FC236}">
              <a16:creationId xmlns:a16="http://schemas.microsoft.com/office/drawing/2014/main" id="{E46D9EBA-DA6B-756D-947A-5C9D321C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9" name="Picture 702">
          <a:extLst>
            <a:ext uri="{FF2B5EF4-FFF2-40B4-BE49-F238E27FC236}">
              <a16:creationId xmlns:a16="http://schemas.microsoft.com/office/drawing/2014/main" id="{F2DA8CB5-4F4B-81A9-94D5-70DC71C7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0" name="Picture 703">
          <a:extLst>
            <a:ext uri="{FF2B5EF4-FFF2-40B4-BE49-F238E27FC236}">
              <a16:creationId xmlns:a16="http://schemas.microsoft.com/office/drawing/2014/main" id="{BE4D91C1-2FC5-7F1F-9B00-495F347B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1" name="Picture 704">
          <a:extLst>
            <a:ext uri="{FF2B5EF4-FFF2-40B4-BE49-F238E27FC236}">
              <a16:creationId xmlns:a16="http://schemas.microsoft.com/office/drawing/2014/main" id="{2B8E52B7-25CD-6918-FD63-90D1C5D6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2" name="Picture 705">
          <a:extLst>
            <a:ext uri="{FF2B5EF4-FFF2-40B4-BE49-F238E27FC236}">
              <a16:creationId xmlns:a16="http://schemas.microsoft.com/office/drawing/2014/main" id="{411832C0-5262-2C0E-E1FD-CEA03CEF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3" name="Picture 706">
          <a:extLst>
            <a:ext uri="{FF2B5EF4-FFF2-40B4-BE49-F238E27FC236}">
              <a16:creationId xmlns:a16="http://schemas.microsoft.com/office/drawing/2014/main" id="{261270F4-5072-6785-503A-F103563B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4" name="Picture 707">
          <a:extLst>
            <a:ext uri="{FF2B5EF4-FFF2-40B4-BE49-F238E27FC236}">
              <a16:creationId xmlns:a16="http://schemas.microsoft.com/office/drawing/2014/main" id="{3F1F8353-D859-6213-87CC-CB8C89FE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5" name="Picture 708">
          <a:extLst>
            <a:ext uri="{FF2B5EF4-FFF2-40B4-BE49-F238E27FC236}">
              <a16:creationId xmlns:a16="http://schemas.microsoft.com/office/drawing/2014/main" id="{A20E00F7-449E-1FB1-8B06-AE2C0B2E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6" name="Picture 709">
          <a:extLst>
            <a:ext uri="{FF2B5EF4-FFF2-40B4-BE49-F238E27FC236}">
              <a16:creationId xmlns:a16="http://schemas.microsoft.com/office/drawing/2014/main" id="{314AC2C6-F052-6F98-A436-18D43D6D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7" name="Picture 710">
          <a:extLst>
            <a:ext uri="{FF2B5EF4-FFF2-40B4-BE49-F238E27FC236}">
              <a16:creationId xmlns:a16="http://schemas.microsoft.com/office/drawing/2014/main" id="{3C67565D-624D-988E-798D-FB55B28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8" name="Picture 711">
          <a:extLst>
            <a:ext uri="{FF2B5EF4-FFF2-40B4-BE49-F238E27FC236}">
              <a16:creationId xmlns:a16="http://schemas.microsoft.com/office/drawing/2014/main" id="{5694A74B-6286-C632-7B4F-900662A8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9" name="Picture 712">
          <a:extLst>
            <a:ext uri="{FF2B5EF4-FFF2-40B4-BE49-F238E27FC236}">
              <a16:creationId xmlns:a16="http://schemas.microsoft.com/office/drawing/2014/main" id="{EB51C0E5-F691-266D-D902-5CA1BA83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0" name="Picture 713">
          <a:extLst>
            <a:ext uri="{FF2B5EF4-FFF2-40B4-BE49-F238E27FC236}">
              <a16:creationId xmlns:a16="http://schemas.microsoft.com/office/drawing/2014/main" id="{08C5CA38-8BD9-9515-DA1C-933BFD28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1" name="Picture 714">
          <a:extLst>
            <a:ext uri="{FF2B5EF4-FFF2-40B4-BE49-F238E27FC236}">
              <a16:creationId xmlns:a16="http://schemas.microsoft.com/office/drawing/2014/main" id="{331B98A0-8671-0322-E952-06621BFE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2" name="Picture 715">
          <a:extLst>
            <a:ext uri="{FF2B5EF4-FFF2-40B4-BE49-F238E27FC236}">
              <a16:creationId xmlns:a16="http://schemas.microsoft.com/office/drawing/2014/main" id="{C4642F50-6B7B-C5D9-C81A-53310339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3" name="Picture 716">
          <a:extLst>
            <a:ext uri="{FF2B5EF4-FFF2-40B4-BE49-F238E27FC236}">
              <a16:creationId xmlns:a16="http://schemas.microsoft.com/office/drawing/2014/main" id="{1CF05BB7-6C7F-D295-6F7D-A3D66325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4" name="Picture 717">
          <a:extLst>
            <a:ext uri="{FF2B5EF4-FFF2-40B4-BE49-F238E27FC236}">
              <a16:creationId xmlns:a16="http://schemas.microsoft.com/office/drawing/2014/main" id="{65A18F52-610E-444F-AD16-3FBB0FEB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5" name="Picture 718">
          <a:extLst>
            <a:ext uri="{FF2B5EF4-FFF2-40B4-BE49-F238E27FC236}">
              <a16:creationId xmlns:a16="http://schemas.microsoft.com/office/drawing/2014/main" id="{B9A09FC4-66F0-7591-F34B-962A1D47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6" name="Picture 719">
          <a:extLst>
            <a:ext uri="{FF2B5EF4-FFF2-40B4-BE49-F238E27FC236}">
              <a16:creationId xmlns:a16="http://schemas.microsoft.com/office/drawing/2014/main" id="{3D13F8ED-B02D-24E3-009D-060E7CDB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7" name="Picture 720">
          <a:extLst>
            <a:ext uri="{FF2B5EF4-FFF2-40B4-BE49-F238E27FC236}">
              <a16:creationId xmlns:a16="http://schemas.microsoft.com/office/drawing/2014/main" id="{D64812E2-B4A5-1E2E-CFFF-04774E80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8" name="Picture 721">
          <a:extLst>
            <a:ext uri="{FF2B5EF4-FFF2-40B4-BE49-F238E27FC236}">
              <a16:creationId xmlns:a16="http://schemas.microsoft.com/office/drawing/2014/main" id="{44676A0F-B8CA-1990-FDB9-73F3A0E7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9" name="Picture 722">
          <a:extLst>
            <a:ext uri="{FF2B5EF4-FFF2-40B4-BE49-F238E27FC236}">
              <a16:creationId xmlns:a16="http://schemas.microsoft.com/office/drawing/2014/main" id="{7D5ACC7B-55C2-6630-BE92-8C4E2A7F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0" name="Picture 723">
          <a:extLst>
            <a:ext uri="{FF2B5EF4-FFF2-40B4-BE49-F238E27FC236}">
              <a16:creationId xmlns:a16="http://schemas.microsoft.com/office/drawing/2014/main" id="{26FB934F-0788-3CE1-D03C-87D4B366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1" name="Picture 724">
          <a:extLst>
            <a:ext uri="{FF2B5EF4-FFF2-40B4-BE49-F238E27FC236}">
              <a16:creationId xmlns:a16="http://schemas.microsoft.com/office/drawing/2014/main" id="{5BE7A6E2-03B4-33E3-73F5-53FD470A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2" name="Picture 725">
          <a:extLst>
            <a:ext uri="{FF2B5EF4-FFF2-40B4-BE49-F238E27FC236}">
              <a16:creationId xmlns:a16="http://schemas.microsoft.com/office/drawing/2014/main" id="{F1A5EA1F-B25E-5069-8B93-49625021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3" name="Picture 726">
          <a:extLst>
            <a:ext uri="{FF2B5EF4-FFF2-40B4-BE49-F238E27FC236}">
              <a16:creationId xmlns:a16="http://schemas.microsoft.com/office/drawing/2014/main" id="{23CB8E88-12F0-7B42-5072-942A7CE8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4" name="Picture 727">
          <a:extLst>
            <a:ext uri="{FF2B5EF4-FFF2-40B4-BE49-F238E27FC236}">
              <a16:creationId xmlns:a16="http://schemas.microsoft.com/office/drawing/2014/main" id="{E76DC376-0C8C-0557-D403-2F8C005B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5" name="Picture 728">
          <a:extLst>
            <a:ext uri="{FF2B5EF4-FFF2-40B4-BE49-F238E27FC236}">
              <a16:creationId xmlns:a16="http://schemas.microsoft.com/office/drawing/2014/main" id="{864F878D-F0C1-2D9A-5128-7B750D0F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6" name="Picture 729">
          <a:extLst>
            <a:ext uri="{FF2B5EF4-FFF2-40B4-BE49-F238E27FC236}">
              <a16:creationId xmlns:a16="http://schemas.microsoft.com/office/drawing/2014/main" id="{7B84B531-B711-08C6-98A3-15D5CC0B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7" name="Picture 730">
          <a:extLst>
            <a:ext uri="{FF2B5EF4-FFF2-40B4-BE49-F238E27FC236}">
              <a16:creationId xmlns:a16="http://schemas.microsoft.com/office/drawing/2014/main" id="{1C968FFE-C0F0-F0E7-E0DB-10771055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8" name="Picture 731">
          <a:extLst>
            <a:ext uri="{FF2B5EF4-FFF2-40B4-BE49-F238E27FC236}">
              <a16:creationId xmlns:a16="http://schemas.microsoft.com/office/drawing/2014/main" id="{358BAF35-ABBD-C8C4-D843-27029CB6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9" name="Picture 732">
          <a:extLst>
            <a:ext uri="{FF2B5EF4-FFF2-40B4-BE49-F238E27FC236}">
              <a16:creationId xmlns:a16="http://schemas.microsoft.com/office/drawing/2014/main" id="{097D7D94-6A8C-EF44-5A08-7B87A27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0" name="Picture 733">
          <a:extLst>
            <a:ext uri="{FF2B5EF4-FFF2-40B4-BE49-F238E27FC236}">
              <a16:creationId xmlns:a16="http://schemas.microsoft.com/office/drawing/2014/main" id="{D6F5261C-C4DE-E5D9-E7BD-59FEAB79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1" name="Picture 734">
          <a:extLst>
            <a:ext uri="{FF2B5EF4-FFF2-40B4-BE49-F238E27FC236}">
              <a16:creationId xmlns:a16="http://schemas.microsoft.com/office/drawing/2014/main" id="{9258CB3E-CCE5-1814-141C-64E16E0B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2" name="Picture 735">
          <a:extLst>
            <a:ext uri="{FF2B5EF4-FFF2-40B4-BE49-F238E27FC236}">
              <a16:creationId xmlns:a16="http://schemas.microsoft.com/office/drawing/2014/main" id="{645AC02B-A320-3A45-789A-B981F1357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3" name="Picture 736">
          <a:extLst>
            <a:ext uri="{FF2B5EF4-FFF2-40B4-BE49-F238E27FC236}">
              <a16:creationId xmlns:a16="http://schemas.microsoft.com/office/drawing/2014/main" id="{1CD426DF-1235-4862-3F96-FA960A16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4" name="Picture 737">
          <a:extLst>
            <a:ext uri="{FF2B5EF4-FFF2-40B4-BE49-F238E27FC236}">
              <a16:creationId xmlns:a16="http://schemas.microsoft.com/office/drawing/2014/main" id="{F759B969-5B79-5A71-7738-24DD9CCD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5" name="Picture 738">
          <a:extLst>
            <a:ext uri="{FF2B5EF4-FFF2-40B4-BE49-F238E27FC236}">
              <a16:creationId xmlns:a16="http://schemas.microsoft.com/office/drawing/2014/main" id="{5C174E90-B027-19CD-B4D8-1FC7E43F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6" name="Picture 739">
          <a:extLst>
            <a:ext uri="{FF2B5EF4-FFF2-40B4-BE49-F238E27FC236}">
              <a16:creationId xmlns:a16="http://schemas.microsoft.com/office/drawing/2014/main" id="{BF196503-71F4-928A-5BB8-504E669B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7" name="Picture 740">
          <a:extLst>
            <a:ext uri="{FF2B5EF4-FFF2-40B4-BE49-F238E27FC236}">
              <a16:creationId xmlns:a16="http://schemas.microsoft.com/office/drawing/2014/main" id="{2E55BE4E-BB64-5C7A-175E-E6051AB7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8" name="Picture 741">
          <a:extLst>
            <a:ext uri="{FF2B5EF4-FFF2-40B4-BE49-F238E27FC236}">
              <a16:creationId xmlns:a16="http://schemas.microsoft.com/office/drawing/2014/main" id="{C37E7890-6443-090C-B5AF-3FA21F34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9" name="Picture 742">
          <a:extLst>
            <a:ext uri="{FF2B5EF4-FFF2-40B4-BE49-F238E27FC236}">
              <a16:creationId xmlns:a16="http://schemas.microsoft.com/office/drawing/2014/main" id="{8C6B10C3-687F-24F0-8D65-1CEF4891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0" name="Picture 743">
          <a:extLst>
            <a:ext uri="{FF2B5EF4-FFF2-40B4-BE49-F238E27FC236}">
              <a16:creationId xmlns:a16="http://schemas.microsoft.com/office/drawing/2014/main" id="{A4A374B7-1D53-9B2E-DDF0-8AC0F714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1" name="Picture 744">
          <a:extLst>
            <a:ext uri="{FF2B5EF4-FFF2-40B4-BE49-F238E27FC236}">
              <a16:creationId xmlns:a16="http://schemas.microsoft.com/office/drawing/2014/main" id="{87671B50-1724-B377-4522-87F76CDF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2" name="Picture 745">
          <a:extLst>
            <a:ext uri="{FF2B5EF4-FFF2-40B4-BE49-F238E27FC236}">
              <a16:creationId xmlns:a16="http://schemas.microsoft.com/office/drawing/2014/main" id="{91F17EEE-14E9-E512-DF94-F396F32D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3" name="Picture 746">
          <a:extLst>
            <a:ext uri="{FF2B5EF4-FFF2-40B4-BE49-F238E27FC236}">
              <a16:creationId xmlns:a16="http://schemas.microsoft.com/office/drawing/2014/main" id="{DD201CF3-0FC5-3BA9-6E3F-AF3A20750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4" name="Picture 747">
          <a:extLst>
            <a:ext uri="{FF2B5EF4-FFF2-40B4-BE49-F238E27FC236}">
              <a16:creationId xmlns:a16="http://schemas.microsoft.com/office/drawing/2014/main" id="{04C06BF1-BE3B-02E7-86B4-1F845026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5" name="Picture 748">
          <a:extLst>
            <a:ext uri="{FF2B5EF4-FFF2-40B4-BE49-F238E27FC236}">
              <a16:creationId xmlns:a16="http://schemas.microsoft.com/office/drawing/2014/main" id="{AD25B1FC-E1D8-31B0-58AE-62833540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6" name="Picture 749">
          <a:extLst>
            <a:ext uri="{FF2B5EF4-FFF2-40B4-BE49-F238E27FC236}">
              <a16:creationId xmlns:a16="http://schemas.microsoft.com/office/drawing/2014/main" id="{F855E415-A268-6336-DD80-F956372B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7" name="Picture 750">
          <a:extLst>
            <a:ext uri="{FF2B5EF4-FFF2-40B4-BE49-F238E27FC236}">
              <a16:creationId xmlns:a16="http://schemas.microsoft.com/office/drawing/2014/main" id="{C447CD4A-C34C-6A23-8735-C389FEF4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8" name="Picture 751">
          <a:extLst>
            <a:ext uri="{FF2B5EF4-FFF2-40B4-BE49-F238E27FC236}">
              <a16:creationId xmlns:a16="http://schemas.microsoft.com/office/drawing/2014/main" id="{EF1CDC2E-0C7B-768B-6FB9-0E98B3E9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9" name="Picture 752">
          <a:extLst>
            <a:ext uri="{FF2B5EF4-FFF2-40B4-BE49-F238E27FC236}">
              <a16:creationId xmlns:a16="http://schemas.microsoft.com/office/drawing/2014/main" id="{34EBE17A-41E8-5634-9DE6-FB626C33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0" name="Picture 753">
          <a:extLst>
            <a:ext uri="{FF2B5EF4-FFF2-40B4-BE49-F238E27FC236}">
              <a16:creationId xmlns:a16="http://schemas.microsoft.com/office/drawing/2014/main" id="{49A87751-C97D-77A4-0E2C-B44FC0CA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1" name="Picture 754">
          <a:extLst>
            <a:ext uri="{FF2B5EF4-FFF2-40B4-BE49-F238E27FC236}">
              <a16:creationId xmlns:a16="http://schemas.microsoft.com/office/drawing/2014/main" id="{42F0603B-B747-C880-6E92-8D733C45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2" name="Picture 755">
          <a:extLst>
            <a:ext uri="{FF2B5EF4-FFF2-40B4-BE49-F238E27FC236}">
              <a16:creationId xmlns:a16="http://schemas.microsoft.com/office/drawing/2014/main" id="{D8C00C1C-BF1F-4AA6-6667-625B0128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3" name="Picture 756">
          <a:extLst>
            <a:ext uri="{FF2B5EF4-FFF2-40B4-BE49-F238E27FC236}">
              <a16:creationId xmlns:a16="http://schemas.microsoft.com/office/drawing/2014/main" id="{932E9718-7C20-0728-9B44-5FFF2C39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4" name="Picture 757">
          <a:extLst>
            <a:ext uri="{FF2B5EF4-FFF2-40B4-BE49-F238E27FC236}">
              <a16:creationId xmlns:a16="http://schemas.microsoft.com/office/drawing/2014/main" id="{BF2572A8-1699-0806-40D1-CA95279C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5" name="Picture 758">
          <a:extLst>
            <a:ext uri="{FF2B5EF4-FFF2-40B4-BE49-F238E27FC236}">
              <a16:creationId xmlns:a16="http://schemas.microsoft.com/office/drawing/2014/main" id="{3CCC4FBB-AE5F-A73C-4936-7219193A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6" name="Picture 759">
          <a:extLst>
            <a:ext uri="{FF2B5EF4-FFF2-40B4-BE49-F238E27FC236}">
              <a16:creationId xmlns:a16="http://schemas.microsoft.com/office/drawing/2014/main" id="{A6A4A66F-42FE-C299-D72D-678865A4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7" name="Picture 760">
          <a:extLst>
            <a:ext uri="{FF2B5EF4-FFF2-40B4-BE49-F238E27FC236}">
              <a16:creationId xmlns:a16="http://schemas.microsoft.com/office/drawing/2014/main" id="{1CFCEE4D-AED4-F2CD-933A-D74BB184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8" name="Picture 761">
          <a:extLst>
            <a:ext uri="{FF2B5EF4-FFF2-40B4-BE49-F238E27FC236}">
              <a16:creationId xmlns:a16="http://schemas.microsoft.com/office/drawing/2014/main" id="{1472DA53-5410-CD1C-1F03-DD7ACD8E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9" name="Picture 762">
          <a:extLst>
            <a:ext uri="{FF2B5EF4-FFF2-40B4-BE49-F238E27FC236}">
              <a16:creationId xmlns:a16="http://schemas.microsoft.com/office/drawing/2014/main" id="{6E67CF59-F8D6-C90C-EF62-081965C1B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0" name="Picture 763">
          <a:extLst>
            <a:ext uri="{FF2B5EF4-FFF2-40B4-BE49-F238E27FC236}">
              <a16:creationId xmlns:a16="http://schemas.microsoft.com/office/drawing/2014/main" id="{0823CC3D-ACB2-820D-2677-E433AA49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1" name="Picture 764">
          <a:extLst>
            <a:ext uri="{FF2B5EF4-FFF2-40B4-BE49-F238E27FC236}">
              <a16:creationId xmlns:a16="http://schemas.microsoft.com/office/drawing/2014/main" id="{61D712DE-7E1D-7764-B6C8-FFC95623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2" name="Picture 765">
          <a:extLst>
            <a:ext uri="{FF2B5EF4-FFF2-40B4-BE49-F238E27FC236}">
              <a16:creationId xmlns:a16="http://schemas.microsoft.com/office/drawing/2014/main" id="{A2361C1B-D465-8F11-99A0-28455B76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3" name="Picture 766">
          <a:extLst>
            <a:ext uri="{FF2B5EF4-FFF2-40B4-BE49-F238E27FC236}">
              <a16:creationId xmlns:a16="http://schemas.microsoft.com/office/drawing/2014/main" id="{C6BC757E-EA62-1510-2B4F-0825D289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4" name="Picture 767">
          <a:extLst>
            <a:ext uri="{FF2B5EF4-FFF2-40B4-BE49-F238E27FC236}">
              <a16:creationId xmlns:a16="http://schemas.microsoft.com/office/drawing/2014/main" id="{A73EFECF-14D9-D4C1-8592-D2D62D89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5" name="Picture 768">
          <a:extLst>
            <a:ext uri="{FF2B5EF4-FFF2-40B4-BE49-F238E27FC236}">
              <a16:creationId xmlns:a16="http://schemas.microsoft.com/office/drawing/2014/main" id="{6F827DEA-AC61-63D5-4D19-6346C316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6" name="Picture 769">
          <a:extLst>
            <a:ext uri="{FF2B5EF4-FFF2-40B4-BE49-F238E27FC236}">
              <a16:creationId xmlns:a16="http://schemas.microsoft.com/office/drawing/2014/main" id="{080F8909-76ED-1640-6149-732D460C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7" name="Picture 770">
          <a:extLst>
            <a:ext uri="{FF2B5EF4-FFF2-40B4-BE49-F238E27FC236}">
              <a16:creationId xmlns:a16="http://schemas.microsoft.com/office/drawing/2014/main" id="{C4C3FF36-DD1D-FB50-69D0-F25ED074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8" name="Picture 771">
          <a:extLst>
            <a:ext uri="{FF2B5EF4-FFF2-40B4-BE49-F238E27FC236}">
              <a16:creationId xmlns:a16="http://schemas.microsoft.com/office/drawing/2014/main" id="{49D4326B-EF44-086B-6526-D60B9B14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9" name="Picture 772">
          <a:extLst>
            <a:ext uri="{FF2B5EF4-FFF2-40B4-BE49-F238E27FC236}">
              <a16:creationId xmlns:a16="http://schemas.microsoft.com/office/drawing/2014/main" id="{D5F0EA8A-37C0-61D2-B243-AE46C0E4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0" name="Picture 773">
          <a:extLst>
            <a:ext uri="{FF2B5EF4-FFF2-40B4-BE49-F238E27FC236}">
              <a16:creationId xmlns:a16="http://schemas.microsoft.com/office/drawing/2014/main" id="{8327B51E-E719-48DF-89F4-EC1220AC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1" name="Picture 774">
          <a:extLst>
            <a:ext uri="{FF2B5EF4-FFF2-40B4-BE49-F238E27FC236}">
              <a16:creationId xmlns:a16="http://schemas.microsoft.com/office/drawing/2014/main" id="{9D24CBFF-32B8-D2A5-CEEF-8E0AAB27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2" name="Picture 775">
          <a:extLst>
            <a:ext uri="{FF2B5EF4-FFF2-40B4-BE49-F238E27FC236}">
              <a16:creationId xmlns:a16="http://schemas.microsoft.com/office/drawing/2014/main" id="{E11F0AB9-2159-7B88-6FC3-8F819B19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3" name="Picture 776">
          <a:extLst>
            <a:ext uri="{FF2B5EF4-FFF2-40B4-BE49-F238E27FC236}">
              <a16:creationId xmlns:a16="http://schemas.microsoft.com/office/drawing/2014/main" id="{0FDB88DC-804A-A7D0-34C5-9F15E2B5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4" name="Picture 777">
          <a:extLst>
            <a:ext uri="{FF2B5EF4-FFF2-40B4-BE49-F238E27FC236}">
              <a16:creationId xmlns:a16="http://schemas.microsoft.com/office/drawing/2014/main" id="{090A0930-B578-32A7-89AA-13EE172E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5" name="Picture 778">
          <a:extLst>
            <a:ext uri="{FF2B5EF4-FFF2-40B4-BE49-F238E27FC236}">
              <a16:creationId xmlns:a16="http://schemas.microsoft.com/office/drawing/2014/main" id="{E1309923-0D63-CFA0-81A7-85C5E3CA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6" name="Picture 779">
          <a:extLst>
            <a:ext uri="{FF2B5EF4-FFF2-40B4-BE49-F238E27FC236}">
              <a16:creationId xmlns:a16="http://schemas.microsoft.com/office/drawing/2014/main" id="{56AAD8FE-5969-A571-E7D1-7B54EC18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7" name="Picture 780">
          <a:extLst>
            <a:ext uri="{FF2B5EF4-FFF2-40B4-BE49-F238E27FC236}">
              <a16:creationId xmlns:a16="http://schemas.microsoft.com/office/drawing/2014/main" id="{E268BAC1-0DDF-878A-3016-88873875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8" name="Picture 781">
          <a:extLst>
            <a:ext uri="{FF2B5EF4-FFF2-40B4-BE49-F238E27FC236}">
              <a16:creationId xmlns:a16="http://schemas.microsoft.com/office/drawing/2014/main" id="{70D80783-FCFF-2EEB-1D21-EE0577D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9" name="Picture 782">
          <a:extLst>
            <a:ext uri="{FF2B5EF4-FFF2-40B4-BE49-F238E27FC236}">
              <a16:creationId xmlns:a16="http://schemas.microsoft.com/office/drawing/2014/main" id="{EAB8CD14-E523-FDA5-0664-4F9B26CE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0" name="Picture 783">
          <a:extLst>
            <a:ext uri="{FF2B5EF4-FFF2-40B4-BE49-F238E27FC236}">
              <a16:creationId xmlns:a16="http://schemas.microsoft.com/office/drawing/2014/main" id="{2AE96F6C-F80C-4DD4-9D45-47BCB34E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1" name="Picture 784">
          <a:extLst>
            <a:ext uri="{FF2B5EF4-FFF2-40B4-BE49-F238E27FC236}">
              <a16:creationId xmlns:a16="http://schemas.microsoft.com/office/drawing/2014/main" id="{3B6F5B76-95B6-9925-75C5-D173E85F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2" name="Picture 785">
          <a:extLst>
            <a:ext uri="{FF2B5EF4-FFF2-40B4-BE49-F238E27FC236}">
              <a16:creationId xmlns:a16="http://schemas.microsoft.com/office/drawing/2014/main" id="{91D8887B-2E5F-DFFF-078B-98E650CD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3" name="Picture 786">
          <a:extLst>
            <a:ext uri="{FF2B5EF4-FFF2-40B4-BE49-F238E27FC236}">
              <a16:creationId xmlns:a16="http://schemas.microsoft.com/office/drawing/2014/main" id="{CAB2DCE2-4340-01C4-3F52-F35ABA12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4" name="Picture 787">
          <a:extLst>
            <a:ext uri="{FF2B5EF4-FFF2-40B4-BE49-F238E27FC236}">
              <a16:creationId xmlns:a16="http://schemas.microsoft.com/office/drawing/2014/main" id="{22DA8D4B-4E14-F836-F9F8-B7A3480E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5" name="Picture 788">
          <a:extLst>
            <a:ext uri="{FF2B5EF4-FFF2-40B4-BE49-F238E27FC236}">
              <a16:creationId xmlns:a16="http://schemas.microsoft.com/office/drawing/2014/main" id="{03CA7289-3066-8F5E-4911-25382A62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6" name="Picture 789">
          <a:extLst>
            <a:ext uri="{FF2B5EF4-FFF2-40B4-BE49-F238E27FC236}">
              <a16:creationId xmlns:a16="http://schemas.microsoft.com/office/drawing/2014/main" id="{63B9EA24-998B-0308-A9DE-2E7B4E80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7" name="Picture 790">
          <a:extLst>
            <a:ext uri="{FF2B5EF4-FFF2-40B4-BE49-F238E27FC236}">
              <a16:creationId xmlns:a16="http://schemas.microsoft.com/office/drawing/2014/main" id="{BD021687-67AD-E53F-D17C-F5D59D33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8" name="Picture 791">
          <a:extLst>
            <a:ext uri="{FF2B5EF4-FFF2-40B4-BE49-F238E27FC236}">
              <a16:creationId xmlns:a16="http://schemas.microsoft.com/office/drawing/2014/main" id="{F4F13CC1-213E-2483-30E1-84FF63A4E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9" name="Picture 792">
          <a:extLst>
            <a:ext uri="{FF2B5EF4-FFF2-40B4-BE49-F238E27FC236}">
              <a16:creationId xmlns:a16="http://schemas.microsoft.com/office/drawing/2014/main" id="{00A44A11-F970-EF8D-80C0-2426B077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0" name="Picture 793">
          <a:extLst>
            <a:ext uri="{FF2B5EF4-FFF2-40B4-BE49-F238E27FC236}">
              <a16:creationId xmlns:a16="http://schemas.microsoft.com/office/drawing/2014/main" id="{083315F9-C29C-3935-6C33-548FE2F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1" name="Picture 794">
          <a:extLst>
            <a:ext uri="{FF2B5EF4-FFF2-40B4-BE49-F238E27FC236}">
              <a16:creationId xmlns:a16="http://schemas.microsoft.com/office/drawing/2014/main" id="{98F572D8-EDEC-8017-F380-00B1CDB4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2" name="Picture 795">
          <a:extLst>
            <a:ext uri="{FF2B5EF4-FFF2-40B4-BE49-F238E27FC236}">
              <a16:creationId xmlns:a16="http://schemas.microsoft.com/office/drawing/2014/main" id="{42A70E3B-444C-3A98-1AA3-61910713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3" name="Picture 796">
          <a:extLst>
            <a:ext uri="{FF2B5EF4-FFF2-40B4-BE49-F238E27FC236}">
              <a16:creationId xmlns:a16="http://schemas.microsoft.com/office/drawing/2014/main" id="{28A1870C-2F14-35AA-33E9-4B77C231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4" name="Picture 797">
          <a:extLst>
            <a:ext uri="{FF2B5EF4-FFF2-40B4-BE49-F238E27FC236}">
              <a16:creationId xmlns:a16="http://schemas.microsoft.com/office/drawing/2014/main" id="{BC012B51-094A-99AC-2565-4FD216BC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5" name="Picture 798">
          <a:extLst>
            <a:ext uri="{FF2B5EF4-FFF2-40B4-BE49-F238E27FC236}">
              <a16:creationId xmlns:a16="http://schemas.microsoft.com/office/drawing/2014/main" id="{8CCF9FB5-EE9A-844F-CA73-F5A97777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6" name="Picture 799">
          <a:extLst>
            <a:ext uri="{FF2B5EF4-FFF2-40B4-BE49-F238E27FC236}">
              <a16:creationId xmlns:a16="http://schemas.microsoft.com/office/drawing/2014/main" id="{40A028D9-FCE6-0318-2080-ED5F5C65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7" name="Picture 800">
          <a:extLst>
            <a:ext uri="{FF2B5EF4-FFF2-40B4-BE49-F238E27FC236}">
              <a16:creationId xmlns:a16="http://schemas.microsoft.com/office/drawing/2014/main" id="{43DBA4C1-C54A-DBBC-3BEF-6FC4AA26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8" name="Picture 801">
          <a:extLst>
            <a:ext uri="{FF2B5EF4-FFF2-40B4-BE49-F238E27FC236}">
              <a16:creationId xmlns:a16="http://schemas.microsoft.com/office/drawing/2014/main" id="{4688ADB2-5047-1995-D08B-2812B79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9" name="Picture 802">
          <a:extLst>
            <a:ext uri="{FF2B5EF4-FFF2-40B4-BE49-F238E27FC236}">
              <a16:creationId xmlns:a16="http://schemas.microsoft.com/office/drawing/2014/main" id="{97F4EB49-7F56-4FAB-4249-A8EEEE5A9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0" name="Picture 803">
          <a:extLst>
            <a:ext uri="{FF2B5EF4-FFF2-40B4-BE49-F238E27FC236}">
              <a16:creationId xmlns:a16="http://schemas.microsoft.com/office/drawing/2014/main" id="{EDBB4044-DD43-3FF0-9789-85DCD82A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1" name="Picture 804">
          <a:extLst>
            <a:ext uri="{FF2B5EF4-FFF2-40B4-BE49-F238E27FC236}">
              <a16:creationId xmlns:a16="http://schemas.microsoft.com/office/drawing/2014/main" id="{2FD02C28-970F-C2C8-3A02-25EC418D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2" name="Picture 805">
          <a:extLst>
            <a:ext uri="{FF2B5EF4-FFF2-40B4-BE49-F238E27FC236}">
              <a16:creationId xmlns:a16="http://schemas.microsoft.com/office/drawing/2014/main" id="{8E9ABF82-926C-2267-B5B5-9D228B63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3" name="Picture 806">
          <a:extLst>
            <a:ext uri="{FF2B5EF4-FFF2-40B4-BE49-F238E27FC236}">
              <a16:creationId xmlns:a16="http://schemas.microsoft.com/office/drawing/2014/main" id="{C1E3300F-67F1-541D-D90D-13B42F43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4" name="Picture 807">
          <a:extLst>
            <a:ext uri="{FF2B5EF4-FFF2-40B4-BE49-F238E27FC236}">
              <a16:creationId xmlns:a16="http://schemas.microsoft.com/office/drawing/2014/main" id="{2FFA979F-3BD8-381B-0F6A-2C76AC8B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5" name="Picture 808">
          <a:extLst>
            <a:ext uri="{FF2B5EF4-FFF2-40B4-BE49-F238E27FC236}">
              <a16:creationId xmlns:a16="http://schemas.microsoft.com/office/drawing/2014/main" id="{7E48FCE6-EC9F-5CC4-6ED3-F5B0BC6A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6" name="Picture 809">
          <a:extLst>
            <a:ext uri="{FF2B5EF4-FFF2-40B4-BE49-F238E27FC236}">
              <a16:creationId xmlns:a16="http://schemas.microsoft.com/office/drawing/2014/main" id="{BE494B3A-E244-EF09-5F9D-31A1E967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7" name="Picture 810">
          <a:extLst>
            <a:ext uri="{FF2B5EF4-FFF2-40B4-BE49-F238E27FC236}">
              <a16:creationId xmlns:a16="http://schemas.microsoft.com/office/drawing/2014/main" id="{2AB7C871-2E4E-517C-4908-1E621699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8" name="Picture 811">
          <a:extLst>
            <a:ext uri="{FF2B5EF4-FFF2-40B4-BE49-F238E27FC236}">
              <a16:creationId xmlns:a16="http://schemas.microsoft.com/office/drawing/2014/main" id="{11C0DC84-FCBB-88D3-617B-95258BC0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9" name="Picture 812">
          <a:extLst>
            <a:ext uri="{FF2B5EF4-FFF2-40B4-BE49-F238E27FC236}">
              <a16:creationId xmlns:a16="http://schemas.microsoft.com/office/drawing/2014/main" id="{FE22F62D-6F7F-5ABB-353F-CDDE90C5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0" name="Picture 813">
          <a:extLst>
            <a:ext uri="{FF2B5EF4-FFF2-40B4-BE49-F238E27FC236}">
              <a16:creationId xmlns:a16="http://schemas.microsoft.com/office/drawing/2014/main" id="{D02BC46B-17FC-7A46-3831-10F7F9E0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1" name="Picture 814">
          <a:extLst>
            <a:ext uri="{FF2B5EF4-FFF2-40B4-BE49-F238E27FC236}">
              <a16:creationId xmlns:a16="http://schemas.microsoft.com/office/drawing/2014/main" id="{C7490F16-03B5-B1A4-15C3-1499D1FD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2" name="Picture 815">
          <a:extLst>
            <a:ext uri="{FF2B5EF4-FFF2-40B4-BE49-F238E27FC236}">
              <a16:creationId xmlns:a16="http://schemas.microsoft.com/office/drawing/2014/main" id="{7A5D425A-AA44-E8A1-D071-56C26F6B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3" name="Picture 816">
          <a:extLst>
            <a:ext uri="{FF2B5EF4-FFF2-40B4-BE49-F238E27FC236}">
              <a16:creationId xmlns:a16="http://schemas.microsoft.com/office/drawing/2014/main" id="{5E0C8B5F-5731-7E1E-05C7-3CE9831E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4" name="Picture 817">
          <a:extLst>
            <a:ext uri="{FF2B5EF4-FFF2-40B4-BE49-F238E27FC236}">
              <a16:creationId xmlns:a16="http://schemas.microsoft.com/office/drawing/2014/main" id="{DFE53509-3EBF-9A43-E4EE-AD2B472F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5" name="Picture 818">
          <a:extLst>
            <a:ext uri="{FF2B5EF4-FFF2-40B4-BE49-F238E27FC236}">
              <a16:creationId xmlns:a16="http://schemas.microsoft.com/office/drawing/2014/main" id="{8077AD4F-0CEF-8C28-A8B0-FFD870DD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6" name="Picture 819">
          <a:extLst>
            <a:ext uri="{FF2B5EF4-FFF2-40B4-BE49-F238E27FC236}">
              <a16:creationId xmlns:a16="http://schemas.microsoft.com/office/drawing/2014/main" id="{95063471-FEB3-014A-B927-74C1D6F86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7" name="Picture 820">
          <a:extLst>
            <a:ext uri="{FF2B5EF4-FFF2-40B4-BE49-F238E27FC236}">
              <a16:creationId xmlns:a16="http://schemas.microsoft.com/office/drawing/2014/main" id="{89A4EDF5-DA68-074E-9FCA-901C64F8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8" name="Picture 821">
          <a:extLst>
            <a:ext uri="{FF2B5EF4-FFF2-40B4-BE49-F238E27FC236}">
              <a16:creationId xmlns:a16="http://schemas.microsoft.com/office/drawing/2014/main" id="{05C1228C-56C0-3F55-78DD-84B46507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9" name="Picture 822">
          <a:extLst>
            <a:ext uri="{FF2B5EF4-FFF2-40B4-BE49-F238E27FC236}">
              <a16:creationId xmlns:a16="http://schemas.microsoft.com/office/drawing/2014/main" id="{7BE8CF19-827F-26FC-EE29-DA5011DC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0" name="Picture 823">
          <a:extLst>
            <a:ext uri="{FF2B5EF4-FFF2-40B4-BE49-F238E27FC236}">
              <a16:creationId xmlns:a16="http://schemas.microsoft.com/office/drawing/2014/main" id="{B8E0EFBA-89DF-C3CE-820F-AE14A9C0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1" name="Picture 824">
          <a:extLst>
            <a:ext uri="{FF2B5EF4-FFF2-40B4-BE49-F238E27FC236}">
              <a16:creationId xmlns:a16="http://schemas.microsoft.com/office/drawing/2014/main" id="{D64D2EBB-95C6-9947-4A1E-5BFA8020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2" name="Picture 825">
          <a:extLst>
            <a:ext uri="{FF2B5EF4-FFF2-40B4-BE49-F238E27FC236}">
              <a16:creationId xmlns:a16="http://schemas.microsoft.com/office/drawing/2014/main" id="{9D998A4F-B570-A9C4-68D7-3A522CCD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3" name="Picture 826">
          <a:extLst>
            <a:ext uri="{FF2B5EF4-FFF2-40B4-BE49-F238E27FC236}">
              <a16:creationId xmlns:a16="http://schemas.microsoft.com/office/drawing/2014/main" id="{290B6A01-2A44-2A07-9602-B77B0850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4" name="Picture 827">
          <a:extLst>
            <a:ext uri="{FF2B5EF4-FFF2-40B4-BE49-F238E27FC236}">
              <a16:creationId xmlns:a16="http://schemas.microsoft.com/office/drawing/2014/main" id="{0C25D03D-E3A6-7BED-5861-7E8EA9D5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5" name="Picture 828">
          <a:extLst>
            <a:ext uri="{FF2B5EF4-FFF2-40B4-BE49-F238E27FC236}">
              <a16:creationId xmlns:a16="http://schemas.microsoft.com/office/drawing/2014/main" id="{8E0B2E68-EF2D-21CF-085A-2F8B17E3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6" name="Picture 829">
          <a:extLst>
            <a:ext uri="{FF2B5EF4-FFF2-40B4-BE49-F238E27FC236}">
              <a16:creationId xmlns:a16="http://schemas.microsoft.com/office/drawing/2014/main" id="{2CDE733A-1E7A-2EAE-8E75-4BC5BB97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7" name="Picture 830">
          <a:extLst>
            <a:ext uri="{FF2B5EF4-FFF2-40B4-BE49-F238E27FC236}">
              <a16:creationId xmlns:a16="http://schemas.microsoft.com/office/drawing/2014/main" id="{FDB464FB-A492-70AD-9EC3-85FE0E9E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8" name="Picture 831">
          <a:extLst>
            <a:ext uri="{FF2B5EF4-FFF2-40B4-BE49-F238E27FC236}">
              <a16:creationId xmlns:a16="http://schemas.microsoft.com/office/drawing/2014/main" id="{B0C99445-FBBF-E5B3-1A77-F69244D6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9" name="Picture 832">
          <a:extLst>
            <a:ext uri="{FF2B5EF4-FFF2-40B4-BE49-F238E27FC236}">
              <a16:creationId xmlns:a16="http://schemas.microsoft.com/office/drawing/2014/main" id="{7E5F0358-CBBF-3A8D-9278-1BC1EAF5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0" name="Picture 833">
          <a:extLst>
            <a:ext uri="{FF2B5EF4-FFF2-40B4-BE49-F238E27FC236}">
              <a16:creationId xmlns:a16="http://schemas.microsoft.com/office/drawing/2014/main" id="{8E06B4F0-1185-640F-B48C-EB7A7A61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1" name="Picture 834">
          <a:extLst>
            <a:ext uri="{FF2B5EF4-FFF2-40B4-BE49-F238E27FC236}">
              <a16:creationId xmlns:a16="http://schemas.microsoft.com/office/drawing/2014/main" id="{E3F73129-17A2-84E7-1277-8016E1D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2" name="Picture 835">
          <a:extLst>
            <a:ext uri="{FF2B5EF4-FFF2-40B4-BE49-F238E27FC236}">
              <a16:creationId xmlns:a16="http://schemas.microsoft.com/office/drawing/2014/main" id="{8067F481-2C75-E3CF-BC90-C6EC94D5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3" name="Picture 836">
          <a:extLst>
            <a:ext uri="{FF2B5EF4-FFF2-40B4-BE49-F238E27FC236}">
              <a16:creationId xmlns:a16="http://schemas.microsoft.com/office/drawing/2014/main" id="{2E178F3B-920D-98A1-F489-39904A80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4" name="Picture 837">
          <a:extLst>
            <a:ext uri="{FF2B5EF4-FFF2-40B4-BE49-F238E27FC236}">
              <a16:creationId xmlns:a16="http://schemas.microsoft.com/office/drawing/2014/main" id="{94EDA9CE-9723-2B05-020F-57013FD6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5" name="Picture 838">
          <a:extLst>
            <a:ext uri="{FF2B5EF4-FFF2-40B4-BE49-F238E27FC236}">
              <a16:creationId xmlns:a16="http://schemas.microsoft.com/office/drawing/2014/main" id="{305E12E4-3CCE-EA5F-E9C1-0963904D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6" name="Picture 839">
          <a:extLst>
            <a:ext uri="{FF2B5EF4-FFF2-40B4-BE49-F238E27FC236}">
              <a16:creationId xmlns:a16="http://schemas.microsoft.com/office/drawing/2014/main" id="{78E16612-2954-EF2D-2183-27A11387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7" name="Picture 840">
          <a:extLst>
            <a:ext uri="{FF2B5EF4-FFF2-40B4-BE49-F238E27FC236}">
              <a16:creationId xmlns:a16="http://schemas.microsoft.com/office/drawing/2014/main" id="{01E7BC92-5DC6-4FDA-6355-03E88B76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8" name="Picture 841">
          <a:extLst>
            <a:ext uri="{FF2B5EF4-FFF2-40B4-BE49-F238E27FC236}">
              <a16:creationId xmlns:a16="http://schemas.microsoft.com/office/drawing/2014/main" id="{6CAB246E-080C-3BB4-96C2-489AF41D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9" name="Picture 842">
          <a:extLst>
            <a:ext uri="{FF2B5EF4-FFF2-40B4-BE49-F238E27FC236}">
              <a16:creationId xmlns:a16="http://schemas.microsoft.com/office/drawing/2014/main" id="{FB290406-A9E7-6693-8A05-CC364123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0" name="Picture 843">
          <a:extLst>
            <a:ext uri="{FF2B5EF4-FFF2-40B4-BE49-F238E27FC236}">
              <a16:creationId xmlns:a16="http://schemas.microsoft.com/office/drawing/2014/main" id="{1CA7F408-9DD4-800D-3999-7A0DC1E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1" name="Picture 844">
          <a:extLst>
            <a:ext uri="{FF2B5EF4-FFF2-40B4-BE49-F238E27FC236}">
              <a16:creationId xmlns:a16="http://schemas.microsoft.com/office/drawing/2014/main" id="{9CFB8808-3126-04CE-C5F1-5E5ECDF0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2" name="Picture 845">
          <a:extLst>
            <a:ext uri="{FF2B5EF4-FFF2-40B4-BE49-F238E27FC236}">
              <a16:creationId xmlns:a16="http://schemas.microsoft.com/office/drawing/2014/main" id="{B399F331-AB1E-5B24-FE10-1993F4C7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3" name="Picture 846">
          <a:extLst>
            <a:ext uri="{FF2B5EF4-FFF2-40B4-BE49-F238E27FC236}">
              <a16:creationId xmlns:a16="http://schemas.microsoft.com/office/drawing/2014/main" id="{A21039E7-A205-AE73-683A-FCD7B595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4" name="Picture 847">
          <a:extLst>
            <a:ext uri="{FF2B5EF4-FFF2-40B4-BE49-F238E27FC236}">
              <a16:creationId xmlns:a16="http://schemas.microsoft.com/office/drawing/2014/main" id="{494F481F-1DC1-A253-2070-980F275D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5" name="Picture 848">
          <a:extLst>
            <a:ext uri="{FF2B5EF4-FFF2-40B4-BE49-F238E27FC236}">
              <a16:creationId xmlns:a16="http://schemas.microsoft.com/office/drawing/2014/main" id="{E780D0EC-E39C-1881-1E9F-E16765E3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6" name="Picture 849">
          <a:extLst>
            <a:ext uri="{FF2B5EF4-FFF2-40B4-BE49-F238E27FC236}">
              <a16:creationId xmlns:a16="http://schemas.microsoft.com/office/drawing/2014/main" id="{27B56AE4-D550-81A9-60A9-41F693E9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7" name="Picture 850">
          <a:extLst>
            <a:ext uri="{FF2B5EF4-FFF2-40B4-BE49-F238E27FC236}">
              <a16:creationId xmlns:a16="http://schemas.microsoft.com/office/drawing/2014/main" id="{7C134859-BB61-1A27-93E8-5BFB12BF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8" name="Picture 851">
          <a:extLst>
            <a:ext uri="{FF2B5EF4-FFF2-40B4-BE49-F238E27FC236}">
              <a16:creationId xmlns:a16="http://schemas.microsoft.com/office/drawing/2014/main" id="{589D02AA-AD41-8E76-C3D4-36F0959D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9" name="Picture 852">
          <a:extLst>
            <a:ext uri="{FF2B5EF4-FFF2-40B4-BE49-F238E27FC236}">
              <a16:creationId xmlns:a16="http://schemas.microsoft.com/office/drawing/2014/main" id="{1CF24317-6B0F-2D73-1E3A-EF70416D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0" name="Picture 853">
          <a:extLst>
            <a:ext uri="{FF2B5EF4-FFF2-40B4-BE49-F238E27FC236}">
              <a16:creationId xmlns:a16="http://schemas.microsoft.com/office/drawing/2014/main" id="{61408003-8A25-ADDD-5810-5D11093B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1" name="Picture 854">
          <a:extLst>
            <a:ext uri="{FF2B5EF4-FFF2-40B4-BE49-F238E27FC236}">
              <a16:creationId xmlns:a16="http://schemas.microsoft.com/office/drawing/2014/main" id="{9F85B32F-0E01-4065-0CE0-C88AEADF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2" name="Picture 855">
          <a:extLst>
            <a:ext uri="{FF2B5EF4-FFF2-40B4-BE49-F238E27FC236}">
              <a16:creationId xmlns:a16="http://schemas.microsoft.com/office/drawing/2014/main" id="{67C4E4D4-0983-5657-E3DA-024ED42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3" name="Picture 856">
          <a:extLst>
            <a:ext uri="{FF2B5EF4-FFF2-40B4-BE49-F238E27FC236}">
              <a16:creationId xmlns:a16="http://schemas.microsoft.com/office/drawing/2014/main" id="{34D72BF9-312B-05CF-2226-4C7479D5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4" name="Picture 857">
          <a:extLst>
            <a:ext uri="{FF2B5EF4-FFF2-40B4-BE49-F238E27FC236}">
              <a16:creationId xmlns:a16="http://schemas.microsoft.com/office/drawing/2014/main" id="{237FE103-2560-8198-C0EB-1870FF9AB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5" name="Picture 858">
          <a:extLst>
            <a:ext uri="{FF2B5EF4-FFF2-40B4-BE49-F238E27FC236}">
              <a16:creationId xmlns:a16="http://schemas.microsoft.com/office/drawing/2014/main" id="{9AEEB11F-EE8B-3FF3-F811-BCA97782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6" name="Picture 859">
          <a:extLst>
            <a:ext uri="{FF2B5EF4-FFF2-40B4-BE49-F238E27FC236}">
              <a16:creationId xmlns:a16="http://schemas.microsoft.com/office/drawing/2014/main" id="{682EEE87-48C5-9AB8-BCF1-C21B7CB2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7" name="Picture 860">
          <a:extLst>
            <a:ext uri="{FF2B5EF4-FFF2-40B4-BE49-F238E27FC236}">
              <a16:creationId xmlns:a16="http://schemas.microsoft.com/office/drawing/2014/main" id="{9231E826-40DC-2E5B-72FE-24ACD887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8" name="Picture 861">
          <a:extLst>
            <a:ext uri="{FF2B5EF4-FFF2-40B4-BE49-F238E27FC236}">
              <a16:creationId xmlns:a16="http://schemas.microsoft.com/office/drawing/2014/main" id="{B91E3425-DC94-CC96-ECA9-32B0AF36C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9" name="Picture 862">
          <a:extLst>
            <a:ext uri="{FF2B5EF4-FFF2-40B4-BE49-F238E27FC236}">
              <a16:creationId xmlns:a16="http://schemas.microsoft.com/office/drawing/2014/main" id="{721AA88C-4FB3-54E7-634D-9712990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0" name="Picture 863">
          <a:extLst>
            <a:ext uri="{FF2B5EF4-FFF2-40B4-BE49-F238E27FC236}">
              <a16:creationId xmlns:a16="http://schemas.microsoft.com/office/drawing/2014/main" id="{DB86330F-7231-C82A-B44E-8B8F7DA5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1" name="Picture 864">
          <a:extLst>
            <a:ext uri="{FF2B5EF4-FFF2-40B4-BE49-F238E27FC236}">
              <a16:creationId xmlns:a16="http://schemas.microsoft.com/office/drawing/2014/main" id="{BE54B0F9-5DBD-8847-6423-FBF766E9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2" name="Picture 865">
          <a:extLst>
            <a:ext uri="{FF2B5EF4-FFF2-40B4-BE49-F238E27FC236}">
              <a16:creationId xmlns:a16="http://schemas.microsoft.com/office/drawing/2014/main" id="{AE0E9E93-AB09-6150-91EA-F332124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3" name="Picture 866">
          <a:extLst>
            <a:ext uri="{FF2B5EF4-FFF2-40B4-BE49-F238E27FC236}">
              <a16:creationId xmlns:a16="http://schemas.microsoft.com/office/drawing/2014/main" id="{C1C52768-63E5-7438-94CE-12E1FE0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4" name="Picture 867">
          <a:extLst>
            <a:ext uri="{FF2B5EF4-FFF2-40B4-BE49-F238E27FC236}">
              <a16:creationId xmlns:a16="http://schemas.microsoft.com/office/drawing/2014/main" id="{A849A7F8-CB9C-3EA4-BD49-F9B84BA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5" name="Picture 868">
          <a:extLst>
            <a:ext uri="{FF2B5EF4-FFF2-40B4-BE49-F238E27FC236}">
              <a16:creationId xmlns:a16="http://schemas.microsoft.com/office/drawing/2014/main" id="{3EAFCDE3-8BD2-9507-F50E-73A86E32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6" name="Picture 869">
          <a:extLst>
            <a:ext uri="{FF2B5EF4-FFF2-40B4-BE49-F238E27FC236}">
              <a16:creationId xmlns:a16="http://schemas.microsoft.com/office/drawing/2014/main" id="{523AC529-C877-9CCB-9F52-00091B42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7" name="Picture 870">
          <a:extLst>
            <a:ext uri="{FF2B5EF4-FFF2-40B4-BE49-F238E27FC236}">
              <a16:creationId xmlns:a16="http://schemas.microsoft.com/office/drawing/2014/main" id="{2483BE45-F6FE-9F53-C8CC-14DDD546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8" name="Picture 871">
          <a:extLst>
            <a:ext uri="{FF2B5EF4-FFF2-40B4-BE49-F238E27FC236}">
              <a16:creationId xmlns:a16="http://schemas.microsoft.com/office/drawing/2014/main" id="{864D8650-AF3B-95DC-7171-66480A95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9" name="Picture 872">
          <a:extLst>
            <a:ext uri="{FF2B5EF4-FFF2-40B4-BE49-F238E27FC236}">
              <a16:creationId xmlns:a16="http://schemas.microsoft.com/office/drawing/2014/main" id="{9BCF23F0-A0AA-A098-7C5B-8195CE03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0" name="Picture 873">
          <a:extLst>
            <a:ext uri="{FF2B5EF4-FFF2-40B4-BE49-F238E27FC236}">
              <a16:creationId xmlns:a16="http://schemas.microsoft.com/office/drawing/2014/main" id="{9D5D801E-3B4E-0FB0-90C2-879208E6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1" name="Picture 874">
          <a:extLst>
            <a:ext uri="{FF2B5EF4-FFF2-40B4-BE49-F238E27FC236}">
              <a16:creationId xmlns:a16="http://schemas.microsoft.com/office/drawing/2014/main" id="{E20C3917-80A2-3476-C11A-E83C7ADF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2" name="Picture 875">
          <a:extLst>
            <a:ext uri="{FF2B5EF4-FFF2-40B4-BE49-F238E27FC236}">
              <a16:creationId xmlns:a16="http://schemas.microsoft.com/office/drawing/2014/main" id="{C6238503-CB03-5190-9C01-C928AC5C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3" name="Picture 876">
          <a:extLst>
            <a:ext uri="{FF2B5EF4-FFF2-40B4-BE49-F238E27FC236}">
              <a16:creationId xmlns:a16="http://schemas.microsoft.com/office/drawing/2014/main" id="{7DBF0697-6234-F6D5-120B-D3EE6728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4" name="Picture 877">
          <a:extLst>
            <a:ext uri="{FF2B5EF4-FFF2-40B4-BE49-F238E27FC236}">
              <a16:creationId xmlns:a16="http://schemas.microsoft.com/office/drawing/2014/main" id="{A51066EC-FD7C-3F44-1B2A-DFC690F8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5" name="Picture 878">
          <a:extLst>
            <a:ext uri="{FF2B5EF4-FFF2-40B4-BE49-F238E27FC236}">
              <a16:creationId xmlns:a16="http://schemas.microsoft.com/office/drawing/2014/main" id="{4CD81F59-3757-0D4A-E183-09C43B2D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6" name="Picture 879">
          <a:extLst>
            <a:ext uri="{FF2B5EF4-FFF2-40B4-BE49-F238E27FC236}">
              <a16:creationId xmlns:a16="http://schemas.microsoft.com/office/drawing/2014/main" id="{627E5822-BDDC-346F-C351-4F302B57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7" name="Picture 880">
          <a:extLst>
            <a:ext uri="{FF2B5EF4-FFF2-40B4-BE49-F238E27FC236}">
              <a16:creationId xmlns:a16="http://schemas.microsoft.com/office/drawing/2014/main" id="{6DF1002A-EB1A-1D17-6606-7C0A6313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8" name="Picture 881">
          <a:extLst>
            <a:ext uri="{FF2B5EF4-FFF2-40B4-BE49-F238E27FC236}">
              <a16:creationId xmlns:a16="http://schemas.microsoft.com/office/drawing/2014/main" id="{DF7B2A85-A6EA-5998-8FCA-AABF9A5B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9" name="Picture 882">
          <a:extLst>
            <a:ext uri="{FF2B5EF4-FFF2-40B4-BE49-F238E27FC236}">
              <a16:creationId xmlns:a16="http://schemas.microsoft.com/office/drawing/2014/main" id="{45490823-9B4D-3522-5353-9A8D6F89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0" name="Picture 883">
          <a:extLst>
            <a:ext uri="{FF2B5EF4-FFF2-40B4-BE49-F238E27FC236}">
              <a16:creationId xmlns:a16="http://schemas.microsoft.com/office/drawing/2014/main" id="{085B1743-A15E-4E38-17B6-9F66047A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1" name="Picture 884">
          <a:extLst>
            <a:ext uri="{FF2B5EF4-FFF2-40B4-BE49-F238E27FC236}">
              <a16:creationId xmlns:a16="http://schemas.microsoft.com/office/drawing/2014/main" id="{A546E982-922C-0F3C-6A99-63166120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2" name="Picture 885">
          <a:extLst>
            <a:ext uri="{FF2B5EF4-FFF2-40B4-BE49-F238E27FC236}">
              <a16:creationId xmlns:a16="http://schemas.microsoft.com/office/drawing/2014/main" id="{78CD52B8-DF3D-A729-7D39-9EB3A049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3" name="Picture 886">
          <a:extLst>
            <a:ext uri="{FF2B5EF4-FFF2-40B4-BE49-F238E27FC236}">
              <a16:creationId xmlns:a16="http://schemas.microsoft.com/office/drawing/2014/main" id="{9B580D8D-C20C-CFD6-144C-63461002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4" name="Picture 887">
          <a:extLst>
            <a:ext uri="{FF2B5EF4-FFF2-40B4-BE49-F238E27FC236}">
              <a16:creationId xmlns:a16="http://schemas.microsoft.com/office/drawing/2014/main" id="{5C3C6A5D-E563-6201-2DBB-A9A05E35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5" name="Picture 888">
          <a:extLst>
            <a:ext uri="{FF2B5EF4-FFF2-40B4-BE49-F238E27FC236}">
              <a16:creationId xmlns:a16="http://schemas.microsoft.com/office/drawing/2014/main" id="{E9AF92C2-90D8-33F3-101C-1D124649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6" name="Picture 889">
          <a:extLst>
            <a:ext uri="{FF2B5EF4-FFF2-40B4-BE49-F238E27FC236}">
              <a16:creationId xmlns:a16="http://schemas.microsoft.com/office/drawing/2014/main" id="{E1AC4EAC-12FB-01E3-67C6-8D880B4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7" name="Picture 890">
          <a:extLst>
            <a:ext uri="{FF2B5EF4-FFF2-40B4-BE49-F238E27FC236}">
              <a16:creationId xmlns:a16="http://schemas.microsoft.com/office/drawing/2014/main" id="{39533B1B-574F-A536-8F96-99BE5854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8" name="Picture 891">
          <a:extLst>
            <a:ext uri="{FF2B5EF4-FFF2-40B4-BE49-F238E27FC236}">
              <a16:creationId xmlns:a16="http://schemas.microsoft.com/office/drawing/2014/main" id="{EA2BB65E-2946-15E4-1505-2728FA37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9" name="Picture 892">
          <a:extLst>
            <a:ext uri="{FF2B5EF4-FFF2-40B4-BE49-F238E27FC236}">
              <a16:creationId xmlns:a16="http://schemas.microsoft.com/office/drawing/2014/main" id="{565ABBF9-4978-A1CA-656A-4AA88E99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0" name="Picture 893">
          <a:extLst>
            <a:ext uri="{FF2B5EF4-FFF2-40B4-BE49-F238E27FC236}">
              <a16:creationId xmlns:a16="http://schemas.microsoft.com/office/drawing/2014/main" id="{39397718-FE6B-B03B-2978-28993E4B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1" name="Picture 894">
          <a:extLst>
            <a:ext uri="{FF2B5EF4-FFF2-40B4-BE49-F238E27FC236}">
              <a16:creationId xmlns:a16="http://schemas.microsoft.com/office/drawing/2014/main" id="{FEE0E38B-D664-708E-4257-C8F0FE55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2" name="Picture 895">
          <a:extLst>
            <a:ext uri="{FF2B5EF4-FFF2-40B4-BE49-F238E27FC236}">
              <a16:creationId xmlns:a16="http://schemas.microsoft.com/office/drawing/2014/main" id="{E377E6D1-E01B-E7ED-D2A1-4728969C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3" name="Picture 896">
          <a:extLst>
            <a:ext uri="{FF2B5EF4-FFF2-40B4-BE49-F238E27FC236}">
              <a16:creationId xmlns:a16="http://schemas.microsoft.com/office/drawing/2014/main" id="{D682E943-D1C5-4BFE-5CD0-54AFD8FF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4" name="Picture 897">
          <a:extLst>
            <a:ext uri="{FF2B5EF4-FFF2-40B4-BE49-F238E27FC236}">
              <a16:creationId xmlns:a16="http://schemas.microsoft.com/office/drawing/2014/main" id="{2F2AA7B8-1AAA-0E87-11F6-D5CC629F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5" name="Picture 898">
          <a:extLst>
            <a:ext uri="{FF2B5EF4-FFF2-40B4-BE49-F238E27FC236}">
              <a16:creationId xmlns:a16="http://schemas.microsoft.com/office/drawing/2014/main" id="{FC8ECF54-6F58-D6F7-E1F3-18F43CDD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6" name="Picture 899">
          <a:extLst>
            <a:ext uri="{FF2B5EF4-FFF2-40B4-BE49-F238E27FC236}">
              <a16:creationId xmlns:a16="http://schemas.microsoft.com/office/drawing/2014/main" id="{9404BA1B-CDF5-1D4A-1840-FD5949DA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7" name="Picture 900">
          <a:extLst>
            <a:ext uri="{FF2B5EF4-FFF2-40B4-BE49-F238E27FC236}">
              <a16:creationId xmlns:a16="http://schemas.microsoft.com/office/drawing/2014/main" id="{61CEC63E-E454-7628-A628-8133E1ED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8" name="Picture 901">
          <a:extLst>
            <a:ext uri="{FF2B5EF4-FFF2-40B4-BE49-F238E27FC236}">
              <a16:creationId xmlns:a16="http://schemas.microsoft.com/office/drawing/2014/main" id="{8A4BDFBF-9F84-756A-8064-451A45BD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9" name="Picture 902">
          <a:extLst>
            <a:ext uri="{FF2B5EF4-FFF2-40B4-BE49-F238E27FC236}">
              <a16:creationId xmlns:a16="http://schemas.microsoft.com/office/drawing/2014/main" id="{0D597068-DD55-4DE8-F606-E9F4764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0" name="Picture 903">
          <a:extLst>
            <a:ext uri="{FF2B5EF4-FFF2-40B4-BE49-F238E27FC236}">
              <a16:creationId xmlns:a16="http://schemas.microsoft.com/office/drawing/2014/main" id="{99196DE1-6FBE-5489-8567-B2B6C4F2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1" name="Picture 904">
          <a:extLst>
            <a:ext uri="{FF2B5EF4-FFF2-40B4-BE49-F238E27FC236}">
              <a16:creationId xmlns:a16="http://schemas.microsoft.com/office/drawing/2014/main" id="{B2540765-1412-2D90-D65B-C22E189D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2" name="Picture 905">
          <a:extLst>
            <a:ext uri="{FF2B5EF4-FFF2-40B4-BE49-F238E27FC236}">
              <a16:creationId xmlns:a16="http://schemas.microsoft.com/office/drawing/2014/main" id="{CA6C15CC-2015-9AA1-E081-720E688B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3" name="Picture 906">
          <a:extLst>
            <a:ext uri="{FF2B5EF4-FFF2-40B4-BE49-F238E27FC236}">
              <a16:creationId xmlns:a16="http://schemas.microsoft.com/office/drawing/2014/main" id="{C0CE2586-3B6C-A73D-3468-E04CDA7E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4" name="Picture 907">
          <a:extLst>
            <a:ext uri="{FF2B5EF4-FFF2-40B4-BE49-F238E27FC236}">
              <a16:creationId xmlns:a16="http://schemas.microsoft.com/office/drawing/2014/main" id="{91C452F4-83FD-1BE3-5CB3-EAD27E60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5" name="Picture 908">
          <a:extLst>
            <a:ext uri="{FF2B5EF4-FFF2-40B4-BE49-F238E27FC236}">
              <a16:creationId xmlns:a16="http://schemas.microsoft.com/office/drawing/2014/main" id="{211318B6-C2DE-5821-8B1F-2EA1541F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6" name="Picture 909">
          <a:extLst>
            <a:ext uri="{FF2B5EF4-FFF2-40B4-BE49-F238E27FC236}">
              <a16:creationId xmlns:a16="http://schemas.microsoft.com/office/drawing/2014/main" id="{9E08AB64-E684-DEB0-0635-6D302753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7" name="Picture 910">
          <a:extLst>
            <a:ext uri="{FF2B5EF4-FFF2-40B4-BE49-F238E27FC236}">
              <a16:creationId xmlns:a16="http://schemas.microsoft.com/office/drawing/2014/main" id="{613014F3-F11F-6238-28AE-0242B1A1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8" name="Picture 911">
          <a:extLst>
            <a:ext uri="{FF2B5EF4-FFF2-40B4-BE49-F238E27FC236}">
              <a16:creationId xmlns:a16="http://schemas.microsoft.com/office/drawing/2014/main" id="{079BCC74-FA1B-B9FE-8AB1-710C071D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9" name="Picture 912">
          <a:extLst>
            <a:ext uri="{FF2B5EF4-FFF2-40B4-BE49-F238E27FC236}">
              <a16:creationId xmlns:a16="http://schemas.microsoft.com/office/drawing/2014/main" id="{72D23D6A-B687-A1AC-C7DD-389A0380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0" name="Picture 913">
          <a:extLst>
            <a:ext uri="{FF2B5EF4-FFF2-40B4-BE49-F238E27FC236}">
              <a16:creationId xmlns:a16="http://schemas.microsoft.com/office/drawing/2014/main" id="{C24B2247-50DD-6CBA-9781-E4D09B1F8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1" name="Picture 914">
          <a:extLst>
            <a:ext uri="{FF2B5EF4-FFF2-40B4-BE49-F238E27FC236}">
              <a16:creationId xmlns:a16="http://schemas.microsoft.com/office/drawing/2014/main" id="{63EE4DA4-C668-9195-66A1-9F8AB599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2" name="Picture 915">
          <a:extLst>
            <a:ext uri="{FF2B5EF4-FFF2-40B4-BE49-F238E27FC236}">
              <a16:creationId xmlns:a16="http://schemas.microsoft.com/office/drawing/2014/main" id="{C20254B0-6E5B-C731-E19A-051AD2B6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3" name="Picture 916">
          <a:extLst>
            <a:ext uri="{FF2B5EF4-FFF2-40B4-BE49-F238E27FC236}">
              <a16:creationId xmlns:a16="http://schemas.microsoft.com/office/drawing/2014/main" id="{A7F47442-A0AC-FE03-0409-416FFD3C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4" name="Picture 917">
          <a:extLst>
            <a:ext uri="{FF2B5EF4-FFF2-40B4-BE49-F238E27FC236}">
              <a16:creationId xmlns:a16="http://schemas.microsoft.com/office/drawing/2014/main" id="{A2B9FC56-071C-AB66-D53A-85529E3F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5" name="Picture 918">
          <a:extLst>
            <a:ext uri="{FF2B5EF4-FFF2-40B4-BE49-F238E27FC236}">
              <a16:creationId xmlns:a16="http://schemas.microsoft.com/office/drawing/2014/main" id="{79F73573-C26F-466A-129C-8B12DACA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6" name="Picture 919">
          <a:extLst>
            <a:ext uri="{FF2B5EF4-FFF2-40B4-BE49-F238E27FC236}">
              <a16:creationId xmlns:a16="http://schemas.microsoft.com/office/drawing/2014/main" id="{60931E9B-9447-8608-E0FB-05A01ED0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7" name="Picture 920">
          <a:extLst>
            <a:ext uri="{FF2B5EF4-FFF2-40B4-BE49-F238E27FC236}">
              <a16:creationId xmlns:a16="http://schemas.microsoft.com/office/drawing/2014/main" id="{4A766430-05A1-525A-39CF-540ECC29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8" name="Picture 921">
          <a:extLst>
            <a:ext uri="{FF2B5EF4-FFF2-40B4-BE49-F238E27FC236}">
              <a16:creationId xmlns:a16="http://schemas.microsoft.com/office/drawing/2014/main" id="{F2542E61-24EE-CA60-71F1-0FA95221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9" name="Picture 922">
          <a:extLst>
            <a:ext uri="{FF2B5EF4-FFF2-40B4-BE49-F238E27FC236}">
              <a16:creationId xmlns:a16="http://schemas.microsoft.com/office/drawing/2014/main" id="{73CC6516-23E9-FEDD-C0DF-969F22F1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0" name="Picture 923">
          <a:extLst>
            <a:ext uri="{FF2B5EF4-FFF2-40B4-BE49-F238E27FC236}">
              <a16:creationId xmlns:a16="http://schemas.microsoft.com/office/drawing/2014/main" id="{A59CA071-2F63-A066-445B-0D1A76A1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1" name="Picture 924">
          <a:extLst>
            <a:ext uri="{FF2B5EF4-FFF2-40B4-BE49-F238E27FC236}">
              <a16:creationId xmlns:a16="http://schemas.microsoft.com/office/drawing/2014/main" id="{ED543B17-DA6D-C69A-427D-888D3919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2" name="Picture 925">
          <a:extLst>
            <a:ext uri="{FF2B5EF4-FFF2-40B4-BE49-F238E27FC236}">
              <a16:creationId xmlns:a16="http://schemas.microsoft.com/office/drawing/2014/main" id="{155B6D8A-4FF1-E295-7291-3AC7D8DA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3" name="Picture 926">
          <a:extLst>
            <a:ext uri="{FF2B5EF4-FFF2-40B4-BE49-F238E27FC236}">
              <a16:creationId xmlns:a16="http://schemas.microsoft.com/office/drawing/2014/main" id="{85CCD994-3996-416F-DA00-2AA4FDF0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4" name="Picture 927">
          <a:extLst>
            <a:ext uri="{FF2B5EF4-FFF2-40B4-BE49-F238E27FC236}">
              <a16:creationId xmlns:a16="http://schemas.microsoft.com/office/drawing/2014/main" id="{F5B384DA-AC53-1714-E15E-DA29A306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5" name="Picture 928">
          <a:extLst>
            <a:ext uri="{FF2B5EF4-FFF2-40B4-BE49-F238E27FC236}">
              <a16:creationId xmlns:a16="http://schemas.microsoft.com/office/drawing/2014/main" id="{2AD3264C-A659-5E3F-899D-1FEEF50C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6" name="Picture 929">
          <a:extLst>
            <a:ext uri="{FF2B5EF4-FFF2-40B4-BE49-F238E27FC236}">
              <a16:creationId xmlns:a16="http://schemas.microsoft.com/office/drawing/2014/main" id="{405FB122-F2CE-9945-98D3-18852313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7" name="Picture 930">
          <a:extLst>
            <a:ext uri="{FF2B5EF4-FFF2-40B4-BE49-F238E27FC236}">
              <a16:creationId xmlns:a16="http://schemas.microsoft.com/office/drawing/2014/main" id="{9E216947-C803-8F98-25EE-D9D43BD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8" name="Picture 931">
          <a:extLst>
            <a:ext uri="{FF2B5EF4-FFF2-40B4-BE49-F238E27FC236}">
              <a16:creationId xmlns:a16="http://schemas.microsoft.com/office/drawing/2014/main" id="{02A14BB2-9260-07A7-0A4D-D7D2D1D5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9" name="Picture 932">
          <a:extLst>
            <a:ext uri="{FF2B5EF4-FFF2-40B4-BE49-F238E27FC236}">
              <a16:creationId xmlns:a16="http://schemas.microsoft.com/office/drawing/2014/main" id="{51D6E3B7-6C09-E836-FE49-6AFCB61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0" name="Picture 933">
          <a:extLst>
            <a:ext uri="{FF2B5EF4-FFF2-40B4-BE49-F238E27FC236}">
              <a16:creationId xmlns:a16="http://schemas.microsoft.com/office/drawing/2014/main" id="{5B0299AB-2F15-FB4B-EA0A-398A0ACA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1" name="Picture 934">
          <a:extLst>
            <a:ext uri="{FF2B5EF4-FFF2-40B4-BE49-F238E27FC236}">
              <a16:creationId xmlns:a16="http://schemas.microsoft.com/office/drawing/2014/main" id="{DF464771-BACA-FF0F-FC18-C2DD44C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2" name="Picture 935">
          <a:extLst>
            <a:ext uri="{FF2B5EF4-FFF2-40B4-BE49-F238E27FC236}">
              <a16:creationId xmlns:a16="http://schemas.microsoft.com/office/drawing/2014/main" id="{15453D1A-132B-C47E-E103-3AD84510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3" name="Picture 936">
          <a:extLst>
            <a:ext uri="{FF2B5EF4-FFF2-40B4-BE49-F238E27FC236}">
              <a16:creationId xmlns:a16="http://schemas.microsoft.com/office/drawing/2014/main" id="{1CB3B7A9-BE33-1E01-535E-5DA68204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4" name="Picture 937">
          <a:extLst>
            <a:ext uri="{FF2B5EF4-FFF2-40B4-BE49-F238E27FC236}">
              <a16:creationId xmlns:a16="http://schemas.microsoft.com/office/drawing/2014/main" id="{C9AB938C-CA59-64BD-C550-6FF04D16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5" name="Picture 938">
          <a:extLst>
            <a:ext uri="{FF2B5EF4-FFF2-40B4-BE49-F238E27FC236}">
              <a16:creationId xmlns:a16="http://schemas.microsoft.com/office/drawing/2014/main" id="{D4908F09-7F7C-8AE6-CB1B-67BD9F97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6" name="Picture 939">
          <a:extLst>
            <a:ext uri="{FF2B5EF4-FFF2-40B4-BE49-F238E27FC236}">
              <a16:creationId xmlns:a16="http://schemas.microsoft.com/office/drawing/2014/main" id="{78737C88-B791-1729-92C4-72123840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7" name="Picture 940">
          <a:extLst>
            <a:ext uri="{FF2B5EF4-FFF2-40B4-BE49-F238E27FC236}">
              <a16:creationId xmlns:a16="http://schemas.microsoft.com/office/drawing/2014/main" id="{98748F14-02F3-A322-71C0-AE7F20BA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8" name="Picture 941">
          <a:extLst>
            <a:ext uri="{FF2B5EF4-FFF2-40B4-BE49-F238E27FC236}">
              <a16:creationId xmlns:a16="http://schemas.microsoft.com/office/drawing/2014/main" id="{3A7F41AE-A10D-1485-AC1E-518322D4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9" name="Picture 942">
          <a:extLst>
            <a:ext uri="{FF2B5EF4-FFF2-40B4-BE49-F238E27FC236}">
              <a16:creationId xmlns:a16="http://schemas.microsoft.com/office/drawing/2014/main" id="{EE2F018F-B000-472E-35BD-2F5F710F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0" name="Picture 943">
          <a:extLst>
            <a:ext uri="{FF2B5EF4-FFF2-40B4-BE49-F238E27FC236}">
              <a16:creationId xmlns:a16="http://schemas.microsoft.com/office/drawing/2014/main" id="{D4447887-7333-625E-7529-911B6AD4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1" name="Picture 944">
          <a:extLst>
            <a:ext uri="{FF2B5EF4-FFF2-40B4-BE49-F238E27FC236}">
              <a16:creationId xmlns:a16="http://schemas.microsoft.com/office/drawing/2014/main" id="{452DAAFA-2C62-ACDC-D438-1BE38683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2" name="Picture 945">
          <a:extLst>
            <a:ext uri="{FF2B5EF4-FFF2-40B4-BE49-F238E27FC236}">
              <a16:creationId xmlns:a16="http://schemas.microsoft.com/office/drawing/2014/main" id="{E3589319-C06D-6F23-3271-DDE87079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3" name="Picture 946">
          <a:extLst>
            <a:ext uri="{FF2B5EF4-FFF2-40B4-BE49-F238E27FC236}">
              <a16:creationId xmlns:a16="http://schemas.microsoft.com/office/drawing/2014/main" id="{BB069337-E534-3FC7-F125-BDF42BCC8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4" name="Picture 947">
          <a:extLst>
            <a:ext uri="{FF2B5EF4-FFF2-40B4-BE49-F238E27FC236}">
              <a16:creationId xmlns:a16="http://schemas.microsoft.com/office/drawing/2014/main" id="{FA310AA3-F979-86A5-0173-BB042691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5" name="Picture 948">
          <a:extLst>
            <a:ext uri="{FF2B5EF4-FFF2-40B4-BE49-F238E27FC236}">
              <a16:creationId xmlns:a16="http://schemas.microsoft.com/office/drawing/2014/main" id="{4B508957-3450-4053-761A-9A9223A9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6" name="Picture 949">
          <a:extLst>
            <a:ext uri="{FF2B5EF4-FFF2-40B4-BE49-F238E27FC236}">
              <a16:creationId xmlns:a16="http://schemas.microsoft.com/office/drawing/2014/main" id="{F1C3026E-5034-BFE1-18E6-1C7DD4F4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7" name="Picture 950">
          <a:extLst>
            <a:ext uri="{FF2B5EF4-FFF2-40B4-BE49-F238E27FC236}">
              <a16:creationId xmlns:a16="http://schemas.microsoft.com/office/drawing/2014/main" id="{867BC3B1-B25B-D46D-8CD0-02916487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8" name="Picture 951">
          <a:extLst>
            <a:ext uri="{FF2B5EF4-FFF2-40B4-BE49-F238E27FC236}">
              <a16:creationId xmlns:a16="http://schemas.microsoft.com/office/drawing/2014/main" id="{109E6535-5FAE-083A-A307-EE606A41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9" name="Picture 952">
          <a:extLst>
            <a:ext uri="{FF2B5EF4-FFF2-40B4-BE49-F238E27FC236}">
              <a16:creationId xmlns:a16="http://schemas.microsoft.com/office/drawing/2014/main" id="{B5E6572E-8226-BF0F-4568-5743A57D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0" name="Picture 953">
          <a:extLst>
            <a:ext uri="{FF2B5EF4-FFF2-40B4-BE49-F238E27FC236}">
              <a16:creationId xmlns:a16="http://schemas.microsoft.com/office/drawing/2014/main" id="{AA49C2E8-0AB8-911E-8CE5-68745623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1" name="Picture 954">
          <a:extLst>
            <a:ext uri="{FF2B5EF4-FFF2-40B4-BE49-F238E27FC236}">
              <a16:creationId xmlns:a16="http://schemas.microsoft.com/office/drawing/2014/main" id="{62313F25-476C-F171-C405-5DFB4D85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2" name="Picture 955">
          <a:extLst>
            <a:ext uri="{FF2B5EF4-FFF2-40B4-BE49-F238E27FC236}">
              <a16:creationId xmlns:a16="http://schemas.microsoft.com/office/drawing/2014/main" id="{E4AB6774-D19B-36E4-EAF6-459DD4CB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3" name="Picture 956">
          <a:extLst>
            <a:ext uri="{FF2B5EF4-FFF2-40B4-BE49-F238E27FC236}">
              <a16:creationId xmlns:a16="http://schemas.microsoft.com/office/drawing/2014/main" id="{14AEB9EA-077E-B714-C15F-FAE05BA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4" name="Picture 957">
          <a:extLst>
            <a:ext uri="{FF2B5EF4-FFF2-40B4-BE49-F238E27FC236}">
              <a16:creationId xmlns:a16="http://schemas.microsoft.com/office/drawing/2014/main" id="{D6D586B3-71EB-76AF-2913-CCAB14C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5" name="Picture 958">
          <a:extLst>
            <a:ext uri="{FF2B5EF4-FFF2-40B4-BE49-F238E27FC236}">
              <a16:creationId xmlns:a16="http://schemas.microsoft.com/office/drawing/2014/main" id="{E6244439-7E2C-95AF-6D8D-2524863B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6" name="Picture 959">
          <a:extLst>
            <a:ext uri="{FF2B5EF4-FFF2-40B4-BE49-F238E27FC236}">
              <a16:creationId xmlns:a16="http://schemas.microsoft.com/office/drawing/2014/main" id="{3B07BEBF-C999-2B59-8242-BCAE0944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7" name="Picture 960">
          <a:extLst>
            <a:ext uri="{FF2B5EF4-FFF2-40B4-BE49-F238E27FC236}">
              <a16:creationId xmlns:a16="http://schemas.microsoft.com/office/drawing/2014/main" id="{94B55DF8-AC4A-3EB8-BFE4-CE67146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8" name="Picture 961">
          <a:extLst>
            <a:ext uri="{FF2B5EF4-FFF2-40B4-BE49-F238E27FC236}">
              <a16:creationId xmlns:a16="http://schemas.microsoft.com/office/drawing/2014/main" id="{A7429514-AC84-6D87-7083-7BE793EC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9" name="Picture 962">
          <a:extLst>
            <a:ext uri="{FF2B5EF4-FFF2-40B4-BE49-F238E27FC236}">
              <a16:creationId xmlns:a16="http://schemas.microsoft.com/office/drawing/2014/main" id="{B00F2B4D-5AE2-D033-F147-0503F848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0" name="Picture 963">
          <a:extLst>
            <a:ext uri="{FF2B5EF4-FFF2-40B4-BE49-F238E27FC236}">
              <a16:creationId xmlns:a16="http://schemas.microsoft.com/office/drawing/2014/main" id="{31A28217-8FAC-4F85-FFE6-7FA6A377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1" name="Picture 964">
          <a:extLst>
            <a:ext uri="{FF2B5EF4-FFF2-40B4-BE49-F238E27FC236}">
              <a16:creationId xmlns:a16="http://schemas.microsoft.com/office/drawing/2014/main" id="{D57FBE1E-1D41-5D53-B0FC-E7724CF0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2" name="Picture 965">
          <a:extLst>
            <a:ext uri="{FF2B5EF4-FFF2-40B4-BE49-F238E27FC236}">
              <a16:creationId xmlns:a16="http://schemas.microsoft.com/office/drawing/2014/main" id="{A87E0BF3-49BA-C404-CD87-08B7D309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3" name="Picture 966">
          <a:extLst>
            <a:ext uri="{FF2B5EF4-FFF2-40B4-BE49-F238E27FC236}">
              <a16:creationId xmlns:a16="http://schemas.microsoft.com/office/drawing/2014/main" id="{FA52BF16-485E-8E3B-B956-A944568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4" name="Picture 967">
          <a:extLst>
            <a:ext uri="{FF2B5EF4-FFF2-40B4-BE49-F238E27FC236}">
              <a16:creationId xmlns:a16="http://schemas.microsoft.com/office/drawing/2014/main" id="{5942E0B9-C8FE-BE30-2762-7A54725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5" name="Picture 968">
          <a:extLst>
            <a:ext uri="{FF2B5EF4-FFF2-40B4-BE49-F238E27FC236}">
              <a16:creationId xmlns:a16="http://schemas.microsoft.com/office/drawing/2014/main" id="{89B7F582-8969-53DE-9ABD-5ECB97AE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6" name="Picture 969">
          <a:extLst>
            <a:ext uri="{FF2B5EF4-FFF2-40B4-BE49-F238E27FC236}">
              <a16:creationId xmlns:a16="http://schemas.microsoft.com/office/drawing/2014/main" id="{E8BD0FC3-F994-0032-1E2A-397FCD93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7" name="Picture 970">
          <a:extLst>
            <a:ext uri="{FF2B5EF4-FFF2-40B4-BE49-F238E27FC236}">
              <a16:creationId xmlns:a16="http://schemas.microsoft.com/office/drawing/2014/main" id="{EDFF1B72-03F4-C5EE-4A70-7611D397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8" name="Picture 971">
          <a:extLst>
            <a:ext uri="{FF2B5EF4-FFF2-40B4-BE49-F238E27FC236}">
              <a16:creationId xmlns:a16="http://schemas.microsoft.com/office/drawing/2014/main" id="{1E5F2FDC-2B0E-69DE-BA02-9E822D05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9" name="Picture 972">
          <a:extLst>
            <a:ext uri="{FF2B5EF4-FFF2-40B4-BE49-F238E27FC236}">
              <a16:creationId xmlns:a16="http://schemas.microsoft.com/office/drawing/2014/main" id="{8B2ED95F-68A7-B111-6FD4-A216D4C7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0" name="Picture 973">
          <a:extLst>
            <a:ext uri="{FF2B5EF4-FFF2-40B4-BE49-F238E27FC236}">
              <a16:creationId xmlns:a16="http://schemas.microsoft.com/office/drawing/2014/main" id="{8E8FFA5F-2F7D-1219-90BA-F3D299A6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1" name="Picture 974">
          <a:extLst>
            <a:ext uri="{FF2B5EF4-FFF2-40B4-BE49-F238E27FC236}">
              <a16:creationId xmlns:a16="http://schemas.microsoft.com/office/drawing/2014/main" id="{A71A2672-D73B-E4B6-B2D7-3718342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2" name="Picture 975">
          <a:extLst>
            <a:ext uri="{FF2B5EF4-FFF2-40B4-BE49-F238E27FC236}">
              <a16:creationId xmlns:a16="http://schemas.microsoft.com/office/drawing/2014/main" id="{03297120-4B35-DD64-3C39-0A4CC97C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3" name="Picture 976">
          <a:extLst>
            <a:ext uri="{FF2B5EF4-FFF2-40B4-BE49-F238E27FC236}">
              <a16:creationId xmlns:a16="http://schemas.microsoft.com/office/drawing/2014/main" id="{E54DD261-8780-7E4A-CEC1-0C1437C5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4" name="Picture 977">
          <a:extLst>
            <a:ext uri="{FF2B5EF4-FFF2-40B4-BE49-F238E27FC236}">
              <a16:creationId xmlns:a16="http://schemas.microsoft.com/office/drawing/2014/main" id="{692DD16F-003E-B35A-4370-E1F228E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5" name="Picture 978">
          <a:extLst>
            <a:ext uri="{FF2B5EF4-FFF2-40B4-BE49-F238E27FC236}">
              <a16:creationId xmlns:a16="http://schemas.microsoft.com/office/drawing/2014/main" id="{CDFEE497-A64E-B85B-1504-1C9AA0F1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6" name="Picture 979">
          <a:extLst>
            <a:ext uri="{FF2B5EF4-FFF2-40B4-BE49-F238E27FC236}">
              <a16:creationId xmlns:a16="http://schemas.microsoft.com/office/drawing/2014/main" id="{473430A1-EFBC-A7FF-E1A6-776B521D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7" name="Picture 980">
          <a:extLst>
            <a:ext uri="{FF2B5EF4-FFF2-40B4-BE49-F238E27FC236}">
              <a16:creationId xmlns:a16="http://schemas.microsoft.com/office/drawing/2014/main" id="{DC5E1B2B-3DFA-1E7F-A120-4313BB7B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8" name="Picture 981">
          <a:extLst>
            <a:ext uri="{FF2B5EF4-FFF2-40B4-BE49-F238E27FC236}">
              <a16:creationId xmlns:a16="http://schemas.microsoft.com/office/drawing/2014/main" id="{02BF0F91-E827-F5E5-9EB2-5EBF8CD7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9" name="Picture 982">
          <a:extLst>
            <a:ext uri="{FF2B5EF4-FFF2-40B4-BE49-F238E27FC236}">
              <a16:creationId xmlns:a16="http://schemas.microsoft.com/office/drawing/2014/main" id="{8DC46027-CE6B-9671-D7DF-392EC416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0" name="Picture 983">
          <a:extLst>
            <a:ext uri="{FF2B5EF4-FFF2-40B4-BE49-F238E27FC236}">
              <a16:creationId xmlns:a16="http://schemas.microsoft.com/office/drawing/2014/main" id="{9EA75C25-1D2B-1060-F7BD-7E95E0DA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1" name="Picture 984">
          <a:extLst>
            <a:ext uri="{FF2B5EF4-FFF2-40B4-BE49-F238E27FC236}">
              <a16:creationId xmlns:a16="http://schemas.microsoft.com/office/drawing/2014/main" id="{87599695-EADD-4A80-9545-81973BF9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2" name="Picture 985">
          <a:extLst>
            <a:ext uri="{FF2B5EF4-FFF2-40B4-BE49-F238E27FC236}">
              <a16:creationId xmlns:a16="http://schemas.microsoft.com/office/drawing/2014/main" id="{F0FFA751-E90E-F98F-FE7B-423BA243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3" name="Picture 986">
          <a:extLst>
            <a:ext uri="{FF2B5EF4-FFF2-40B4-BE49-F238E27FC236}">
              <a16:creationId xmlns:a16="http://schemas.microsoft.com/office/drawing/2014/main" id="{94E72436-C75B-C6E9-02E3-EEB7D285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4" name="Picture 987">
          <a:extLst>
            <a:ext uri="{FF2B5EF4-FFF2-40B4-BE49-F238E27FC236}">
              <a16:creationId xmlns:a16="http://schemas.microsoft.com/office/drawing/2014/main" id="{7724B6A9-5791-BD39-F94D-F3E16A6F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5" name="Picture 988">
          <a:extLst>
            <a:ext uri="{FF2B5EF4-FFF2-40B4-BE49-F238E27FC236}">
              <a16:creationId xmlns:a16="http://schemas.microsoft.com/office/drawing/2014/main" id="{14F5B6CF-D51E-3F22-A323-0C39036E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6" name="Picture 989">
          <a:extLst>
            <a:ext uri="{FF2B5EF4-FFF2-40B4-BE49-F238E27FC236}">
              <a16:creationId xmlns:a16="http://schemas.microsoft.com/office/drawing/2014/main" id="{209F1FE6-01BA-110A-A0F7-C713F2D3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7" name="Picture 990">
          <a:extLst>
            <a:ext uri="{FF2B5EF4-FFF2-40B4-BE49-F238E27FC236}">
              <a16:creationId xmlns:a16="http://schemas.microsoft.com/office/drawing/2014/main" id="{A7F08B7B-539D-E278-A056-B23A7655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8" name="Picture 991">
          <a:extLst>
            <a:ext uri="{FF2B5EF4-FFF2-40B4-BE49-F238E27FC236}">
              <a16:creationId xmlns:a16="http://schemas.microsoft.com/office/drawing/2014/main" id="{736FB3B1-BC17-979D-2339-2DBC0C00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9" name="Picture 992">
          <a:extLst>
            <a:ext uri="{FF2B5EF4-FFF2-40B4-BE49-F238E27FC236}">
              <a16:creationId xmlns:a16="http://schemas.microsoft.com/office/drawing/2014/main" id="{74FE6530-0365-6A99-9ED7-7B1361F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0" name="Picture 993">
          <a:extLst>
            <a:ext uri="{FF2B5EF4-FFF2-40B4-BE49-F238E27FC236}">
              <a16:creationId xmlns:a16="http://schemas.microsoft.com/office/drawing/2014/main" id="{50C4DFE9-DB23-4243-ABB4-03F57FE0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1" name="Picture 994">
          <a:extLst>
            <a:ext uri="{FF2B5EF4-FFF2-40B4-BE49-F238E27FC236}">
              <a16:creationId xmlns:a16="http://schemas.microsoft.com/office/drawing/2014/main" id="{78EE8497-57E9-BDE0-BA4F-24902860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2" name="Picture 995">
          <a:extLst>
            <a:ext uri="{FF2B5EF4-FFF2-40B4-BE49-F238E27FC236}">
              <a16:creationId xmlns:a16="http://schemas.microsoft.com/office/drawing/2014/main" id="{D76D73C5-1E90-5D38-FC4B-9DA4813D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3" name="Picture 996">
          <a:extLst>
            <a:ext uri="{FF2B5EF4-FFF2-40B4-BE49-F238E27FC236}">
              <a16:creationId xmlns:a16="http://schemas.microsoft.com/office/drawing/2014/main" id="{A20A42A6-646A-3783-A832-14766EA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4" name="Picture 997">
          <a:extLst>
            <a:ext uri="{FF2B5EF4-FFF2-40B4-BE49-F238E27FC236}">
              <a16:creationId xmlns:a16="http://schemas.microsoft.com/office/drawing/2014/main" id="{493FAC6B-F8F5-3791-741E-3696C788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5" name="Picture 998">
          <a:extLst>
            <a:ext uri="{FF2B5EF4-FFF2-40B4-BE49-F238E27FC236}">
              <a16:creationId xmlns:a16="http://schemas.microsoft.com/office/drawing/2014/main" id="{E3A624CE-8462-421F-3BE8-C8B87A4F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6" name="Picture 999">
          <a:extLst>
            <a:ext uri="{FF2B5EF4-FFF2-40B4-BE49-F238E27FC236}">
              <a16:creationId xmlns:a16="http://schemas.microsoft.com/office/drawing/2014/main" id="{678FB3A0-2C17-B1D3-8D1C-FE31FB54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7" name="Picture 1000">
          <a:extLst>
            <a:ext uri="{FF2B5EF4-FFF2-40B4-BE49-F238E27FC236}">
              <a16:creationId xmlns:a16="http://schemas.microsoft.com/office/drawing/2014/main" id="{D15C4DA5-DFE3-6E49-1F57-3EC44AFB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8" name="Picture 1001">
          <a:extLst>
            <a:ext uri="{FF2B5EF4-FFF2-40B4-BE49-F238E27FC236}">
              <a16:creationId xmlns:a16="http://schemas.microsoft.com/office/drawing/2014/main" id="{24CD6133-7397-0D36-B268-0B90E084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9" name="Picture 1002">
          <a:extLst>
            <a:ext uri="{FF2B5EF4-FFF2-40B4-BE49-F238E27FC236}">
              <a16:creationId xmlns:a16="http://schemas.microsoft.com/office/drawing/2014/main" id="{3CEAA037-519E-6B6C-01B1-F53575D6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0" name="Picture 1003">
          <a:extLst>
            <a:ext uri="{FF2B5EF4-FFF2-40B4-BE49-F238E27FC236}">
              <a16:creationId xmlns:a16="http://schemas.microsoft.com/office/drawing/2014/main" id="{2D5AB00B-A687-962D-425F-8916EE3C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1" name="Picture 1004">
          <a:extLst>
            <a:ext uri="{FF2B5EF4-FFF2-40B4-BE49-F238E27FC236}">
              <a16:creationId xmlns:a16="http://schemas.microsoft.com/office/drawing/2014/main" id="{AB921BA5-9F70-374B-012A-7FBC4780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2" name="Picture 1005">
          <a:extLst>
            <a:ext uri="{FF2B5EF4-FFF2-40B4-BE49-F238E27FC236}">
              <a16:creationId xmlns:a16="http://schemas.microsoft.com/office/drawing/2014/main" id="{A25ABFED-B165-8958-565B-DFBCC33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3" name="Picture 1006">
          <a:extLst>
            <a:ext uri="{FF2B5EF4-FFF2-40B4-BE49-F238E27FC236}">
              <a16:creationId xmlns:a16="http://schemas.microsoft.com/office/drawing/2014/main" id="{B67AB04F-44E3-D9B1-13FD-243739BC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4" name="Picture 1007">
          <a:extLst>
            <a:ext uri="{FF2B5EF4-FFF2-40B4-BE49-F238E27FC236}">
              <a16:creationId xmlns:a16="http://schemas.microsoft.com/office/drawing/2014/main" id="{E0E4B6D4-D6F8-128F-4380-0FAC1877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5" name="Picture 1008">
          <a:extLst>
            <a:ext uri="{FF2B5EF4-FFF2-40B4-BE49-F238E27FC236}">
              <a16:creationId xmlns:a16="http://schemas.microsoft.com/office/drawing/2014/main" id="{2430A170-953C-8FCF-2424-4915C396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6" name="Picture 1009">
          <a:extLst>
            <a:ext uri="{FF2B5EF4-FFF2-40B4-BE49-F238E27FC236}">
              <a16:creationId xmlns:a16="http://schemas.microsoft.com/office/drawing/2014/main" id="{1F1E3261-DB9D-B631-B7F7-39EFE27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7" name="Picture 1010">
          <a:extLst>
            <a:ext uri="{FF2B5EF4-FFF2-40B4-BE49-F238E27FC236}">
              <a16:creationId xmlns:a16="http://schemas.microsoft.com/office/drawing/2014/main" id="{B455D62C-A35D-2CB3-D6A1-1733110D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8" name="Picture 1011">
          <a:extLst>
            <a:ext uri="{FF2B5EF4-FFF2-40B4-BE49-F238E27FC236}">
              <a16:creationId xmlns:a16="http://schemas.microsoft.com/office/drawing/2014/main" id="{B5CFD574-8203-61D1-2609-C02E8062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9" name="Picture 1012">
          <a:extLst>
            <a:ext uri="{FF2B5EF4-FFF2-40B4-BE49-F238E27FC236}">
              <a16:creationId xmlns:a16="http://schemas.microsoft.com/office/drawing/2014/main" id="{8FC3D4F8-801A-87A0-2EB5-38F78D07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0" name="Picture 1013">
          <a:extLst>
            <a:ext uri="{FF2B5EF4-FFF2-40B4-BE49-F238E27FC236}">
              <a16:creationId xmlns:a16="http://schemas.microsoft.com/office/drawing/2014/main" id="{3155A676-045B-3712-6DED-073599B8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1" name="Picture 1014">
          <a:extLst>
            <a:ext uri="{FF2B5EF4-FFF2-40B4-BE49-F238E27FC236}">
              <a16:creationId xmlns:a16="http://schemas.microsoft.com/office/drawing/2014/main" id="{348F1816-A264-96CF-2437-32AD8736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2" name="Picture 1015">
          <a:extLst>
            <a:ext uri="{FF2B5EF4-FFF2-40B4-BE49-F238E27FC236}">
              <a16:creationId xmlns:a16="http://schemas.microsoft.com/office/drawing/2014/main" id="{89A61352-A23E-2B48-8813-D09B9CC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3" name="Picture 1016">
          <a:extLst>
            <a:ext uri="{FF2B5EF4-FFF2-40B4-BE49-F238E27FC236}">
              <a16:creationId xmlns:a16="http://schemas.microsoft.com/office/drawing/2014/main" id="{23EDC229-7578-D738-124F-BC11CBAF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4" name="Picture 1017">
          <a:extLst>
            <a:ext uri="{FF2B5EF4-FFF2-40B4-BE49-F238E27FC236}">
              <a16:creationId xmlns:a16="http://schemas.microsoft.com/office/drawing/2014/main" id="{8699E883-385C-5E4E-E976-0FCE26C9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5" name="Picture 1018">
          <a:extLst>
            <a:ext uri="{FF2B5EF4-FFF2-40B4-BE49-F238E27FC236}">
              <a16:creationId xmlns:a16="http://schemas.microsoft.com/office/drawing/2014/main" id="{91594328-127A-2994-01B2-0C16FE6B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6" name="Picture 1019">
          <a:extLst>
            <a:ext uri="{FF2B5EF4-FFF2-40B4-BE49-F238E27FC236}">
              <a16:creationId xmlns:a16="http://schemas.microsoft.com/office/drawing/2014/main" id="{5F0E75DD-C3B9-EF12-BFF0-E13EDA90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7" name="Picture 1020">
          <a:extLst>
            <a:ext uri="{FF2B5EF4-FFF2-40B4-BE49-F238E27FC236}">
              <a16:creationId xmlns:a16="http://schemas.microsoft.com/office/drawing/2014/main" id="{A61AA42B-3E88-0DC3-8829-4CD4DF2F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4411-8E4C-4EC8-B5DD-C2B9076C357F}">
  <sheetPr>
    <pageSetUpPr fitToPage="1"/>
  </sheetPr>
  <dimension ref="A1:I53"/>
  <sheetViews>
    <sheetView tabSelected="1" zoomScale="70" zoomScaleNormal="70" zoomScaleSheetLayoutView="70" workbookViewId="0">
      <selection activeCell="C1" sqref="C1:G1"/>
    </sheetView>
  </sheetViews>
  <sheetFormatPr baseColWidth="10" defaultRowHeight="12.75" x14ac:dyDescent="0.2"/>
  <cols>
    <col min="1" max="1" width="19.7109375" customWidth="1"/>
    <col min="2" max="2" width="14.28515625" bestFit="1" customWidth="1"/>
    <col min="3" max="3" width="84.42578125" customWidth="1"/>
    <col min="4" max="4" width="26.85546875" customWidth="1"/>
    <col min="5" max="5" width="16.42578125" customWidth="1"/>
    <col min="6" max="6" width="17" customWidth="1"/>
    <col min="7" max="7" width="16.85546875" customWidth="1"/>
    <col min="8" max="8" width="22.85546875" customWidth="1"/>
    <col min="9" max="9" width="23.5703125" bestFit="1" customWidth="1"/>
  </cols>
  <sheetData>
    <row r="1" spans="1:9" ht="18" x14ac:dyDescent="0.25">
      <c r="A1" s="185"/>
      <c r="B1" s="186"/>
      <c r="C1" s="189" t="s">
        <v>22</v>
      </c>
      <c r="D1" s="189"/>
      <c r="E1" s="189"/>
      <c r="F1" s="189"/>
      <c r="G1" s="189"/>
      <c r="H1" s="156" t="s">
        <v>21</v>
      </c>
      <c r="I1" s="157" t="s">
        <v>152</v>
      </c>
    </row>
    <row r="2" spans="1:9" ht="18" x14ac:dyDescent="0.25">
      <c r="A2" s="187"/>
      <c r="B2" s="188"/>
      <c r="C2" s="190" t="s">
        <v>0</v>
      </c>
      <c r="D2" s="190"/>
      <c r="E2" s="190"/>
      <c r="F2" s="190"/>
      <c r="G2" s="190"/>
      <c r="H2" s="158" t="s">
        <v>20</v>
      </c>
      <c r="I2" s="159" t="s">
        <v>151</v>
      </c>
    </row>
    <row r="3" spans="1:9" ht="37.5" customHeight="1" thickBot="1" x14ac:dyDescent="0.25">
      <c r="A3" s="187"/>
      <c r="B3" s="188"/>
      <c r="C3" s="243" t="s">
        <v>124</v>
      </c>
      <c r="D3" s="244"/>
      <c r="E3" s="244"/>
      <c r="F3" s="244"/>
      <c r="G3" s="245"/>
      <c r="H3" s="191" t="s">
        <v>19</v>
      </c>
      <c r="I3" s="176">
        <v>45960</v>
      </c>
    </row>
    <row r="4" spans="1:9" ht="18" x14ac:dyDescent="0.25">
      <c r="A4" s="187"/>
      <c r="B4" s="188"/>
      <c r="C4" s="160" t="s">
        <v>18</v>
      </c>
      <c r="D4" s="179" t="s">
        <v>131</v>
      </c>
      <c r="E4" s="180"/>
      <c r="F4" s="180"/>
      <c r="G4" s="181"/>
      <c r="H4" s="192"/>
      <c r="I4" s="177"/>
    </row>
    <row r="5" spans="1:9" ht="18.75" thickBot="1" x14ac:dyDescent="0.3">
      <c r="A5" s="187"/>
      <c r="B5" s="188"/>
      <c r="C5" s="161" t="s">
        <v>17</v>
      </c>
      <c r="D5" s="182" t="s">
        <v>132</v>
      </c>
      <c r="E5" s="183"/>
      <c r="F5" s="183"/>
      <c r="G5" s="184"/>
      <c r="H5" s="193"/>
      <c r="I5" s="178"/>
    </row>
    <row r="6" spans="1:9" ht="18.75" thickBot="1" x14ac:dyDescent="0.3">
      <c r="A6" s="167" t="s">
        <v>23</v>
      </c>
      <c r="B6" s="167"/>
      <c r="C6" s="167"/>
      <c r="D6" s="168" t="s">
        <v>150</v>
      </c>
      <c r="E6" s="168"/>
      <c r="F6" s="168"/>
      <c r="G6" s="169" t="s">
        <v>24</v>
      </c>
      <c r="H6" s="169"/>
      <c r="I6" s="162" t="s">
        <v>150</v>
      </c>
    </row>
    <row r="7" spans="1:9" ht="36" x14ac:dyDescent="0.2">
      <c r="A7" s="170" t="s">
        <v>1</v>
      </c>
      <c r="B7" s="172" t="s">
        <v>133</v>
      </c>
      <c r="C7" s="174" t="s">
        <v>2</v>
      </c>
      <c r="D7" s="174" t="s">
        <v>3</v>
      </c>
      <c r="E7" s="174" t="s">
        <v>4</v>
      </c>
      <c r="F7" s="174"/>
      <c r="G7" s="174" t="s">
        <v>16</v>
      </c>
      <c r="H7" s="174"/>
      <c r="I7" s="163" t="s">
        <v>5</v>
      </c>
    </row>
    <row r="8" spans="1:9" ht="52.5" customHeight="1" thickBot="1" x14ac:dyDescent="0.3">
      <c r="A8" s="171"/>
      <c r="B8" s="173"/>
      <c r="C8" s="175"/>
      <c r="D8" s="175"/>
      <c r="E8" s="164" t="s">
        <v>6</v>
      </c>
      <c r="F8" s="165" t="s">
        <v>7</v>
      </c>
      <c r="G8" s="164" t="s">
        <v>6</v>
      </c>
      <c r="H8" s="165" t="s">
        <v>7</v>
      </c>
      <c r="I8" s="166" t="s">
        <v>8</v>
      </c>
    </row>
    <row r="9" spans="1:9" ht="20.25" x14ac:dyDescent="0.3">
      <c r="A9" s="246"/>
      <c r="B9" s="247"/>
      <c r="C9" s="248" t="s">
        <v>134</v>
      </c>
      <c r="D9" s="249"/>
      <c r="E9" s="250"/>
      <c r="F9" s="251"/>
      <c r="G9" s="250"/>
      <c r="H9" s="251"/>
      <c r="I9" s="252"/>
    </row>
    <row r="10" spans="1:9" ht="20.25" x14ac:dyDescent="0.3">
      <c r="A10" s="253">
        <v>904000030</v>
      </c>
      <c r="B10" s="253" t="s">
        <v>125</v>
      </c>
      <c r="C10" s="254" t="s">
        <v>101</v>
      </c>
      <c r="D10" s="255" t="s">
        <v>102</v>
      </c>
      <c r="E10" s="256">
        <v>100</v>
      </c>
      <c r="F10" s="257" t="s">
        <v>26</v>
      </c>
      <c r="G10" s="256">
        <v>15</v>
      </c>
      <c r="H10" s="256" t="s">
        <v>135</v>
      </c>
      <c r="I10" s="252"/>
    </row>
    <row r="11" spans="1:9" ht="20.25" x14ac:dyDescent="0.3">
      <c r="A11" s="258"/>
      <c r="B11" s="258"/>
      <c r="C11" s="259"/>
      <c r="D11" s="260"/>
      <c r="E11" s="261"/>
      <c r="F11" s="262"/>
      <c r="G11" s="263"/>
      <c r="H11" s="264"/>
      <c r="I11" s="252"/>
    </row>
    <row r="12" spans="1:9" ht="20.25" x14ac:dyDescent="0.3">
      <c r="A12" s="258"/>
      <c r="B12" s="258"/>
      <c r="C12" s="265"/>
      <c r="D12" s="260"/>
      <c r="E12" s="261"/>
      <c r="F12" s="266"/>
      <c r="G12" s="267"/>
      <c r="H12" s="264"/>
      <c r="I12" s="252"/>
    </row>
    <row r="13" spans="1:9" ht="20.25" x14ac:dyDescent="0.3">
      <c r="A13" s="258"/>
      <c r="B13" s="258"/>
      <c r="C13" s="259"/>
      <c r="D13" s="260"/>
      <c r="E13" s="261"/>
      <c r="F13" s="268"/>
      <c r="G13" s="267"/>
      <c r="H13" s="264"/>
      <c r="I13" s="252"/>
    </row>
    <row r="14" spans="1:9" ht="20.25" x14ac:dyDescent="0.3">
      <c r="A14" s="269"/>
      <c r="B14" s="270"/>
      <c r="C14" s="271"/>
      <c r="D14" s="272"/>
      <c r="E14" s="267"/>
      <c r="F14" s="273"/>
      <c r="G14" s="267"/>
      <c r="H14" s="264"/>
      <c r="I14" s="252"/>
    </row>
    <row r="15" spans="1:9" ht="20.25" x14ac:dyDescent="0.3">
      <c r="A15" s="274"/>
      <c r="B15" s="275"/>
      <c r="C15" s="276"/>
      <c r="D15" s="272"/>
      <c r="E15" s="267"/>
      <c r="F15" s="273"/>
      <c r="G15" s="277"/>
      <c r="H15" s="264"/>
      <c r="I15" s="252"/>
    </row>
    <row r="16" spans="1:9" ht="20.25" x14ac:dyDescent="0.3">
      <c r="A16" s="274"/>
      <c r="B16" s="275"/>
      <c r="C16" s="276"/>
      <c r="D16" s="272"/>
      <c r="E16" s="267"/>
      <c r="F16" s="273"/>
      <c r="G16" s="277"/>
      <c r="H16" s="264"/>
      <c r="I16" s="252"/>
    </row>
    <row r="17" spans="1:9" ht="20.25" x14ac:dyDescent="0.3">
      <c r="A17" s="278"/>
      <c r="B17" s="278"/>
      <c r="C17" s="279"/>
      <c r="D17" s="280"/>
      <c r="E17" s="263"/>
      <c r="F17" s="281"/>
      <c r="G17" s="277"/>
      <c r="H17" s="264"/>
      <c r="I17" s="252"/>
    </row>
    <row r="18" spans="1:9" ht="20.25" x14ac:dyDescent="0.3">
      <c r="A18" s="272"/>
      <c r="B18" s="272"/>
      <c r="C18" s="282"/>
      <c r="D18" s="283"/>
      <c r="E18" s="284"/>
      <c r="F18" s="285"/>
      <c r="G18" s="286"/>
      <c r="H18" s="264"/>
      <c r="I18" s="252"/>
    </row>
    <row r="19" spans="1:9" ht="20.25" x14ac:dyDescent="0.3">
      <c r="A19" s="272"/>
      <c r="B19" s="272"/>
      <c r="C19" s="287"/>
      <c r="D19" s="288"/>
      <c r="E19" s="288"/>
      <c r="F19" s="266"/>
      <c r="G19" s="250"/>
      <c r="H19" s="289"/>
      <c r="I19" s="252"/>
    </row>
    <row r="20" spans="1:9" ht="20.25" x14ac:dyDescent="0.3">
      <c r="A20" s="290"/>
      <c r="B20" s="291"/>
      <c r="C20" s="292" t="s">
        <v>136</v>
      </c>
      <c r="D20" s="293" t="s">
        <v>137</v>
      </c>
      <c r="E20" s="294"/>
      <c r="F20" s="266"/>
      <c r="G20" s="250"/>
      <c r="H20" s="289"/>
      <c r="I20" s="252"/>
    </row>
    <row r="21" spans="1:9" ht="20.25" x14ac:dyDescent="0.3">
      <c r="A21" s="295"/>
      <c r="B21" s="296"/>
      <c r="C21" s="297"/>
      <c r="D21" s="298"/>
      <c r="E21" s="296"/>
      <c r="F21" s="299"/>
      <c r="G21" s="250"/>
      <c r="H21" s="289"/>
      <c r="I21" s="252"/>
    </row>
    <row r="22" spans="1:9" ht="20.25" x14ac:dyDescent="0.3">
      <c r="A22" s="300"/>
      <c r="B22" s="300"/>
      <c r="C22" s="301"/>
      <c r="D22" s="298"/>
      <c r="E22" s="296"/>
      <c r="F22" s="299"/>
      <c r="G22" s="250"/>
      <c r="H22" s="289"/>
      <c r="I22" s="252"/>
    </row>
    <row r="23" spans="1:9" ht="20.25" x14ac:dyDescent="0.3">
      <c r="A23" s="302"/>
      <c r="B23" s="296"/>
      <c r="C23" s="303"/>
      <c r="D23" s="298"/>
      <c r="E23" s="296"/>
      <c r="F23" s="299"/>
      <c r="G23" s="250"/>
      <c r="H23" s="289"/>
      <c r="I23" s="252"/>
    </row>
    <row r="24" spans="1:9" ht="20.25" x14ac:dyDescent="0.3">
      <c r="A24" s="272"/>
      <c r="B24" s="272"/>
      <c r="C24" s="287"/>
      <c r="D24" s="288"/>
      <c r="E24" s="293"/>
      <c r="F24" s="266"/>
      <c r="G24" s="250"/>
      <c r="H24" s="289"/>
      <c r="I24" s="252"/>
    </row>
    <row r="25" spans="1:9" ht="20.25" x14ac:dyDescent="0.3">
      <c r="A25" s="272"/>
      <c r="B25" s="272"/>
      <c r="C25" s="287"/>
      <c r="D25" s="304" t="s">
        <v>137</v>
      </c>
      <c r="E25" s="305"/>
      <c r="F25" s="306"/>
      <c r="G25" s="250"/>
      <c r="H25" s="289"/>
      <c r="I25" s="252"/>
    </row>
    <row r="26" spans="1:9" ht="20.25" x14ac:dyDescent="0.3">
      <c r="A26" s="307"/>
      <c r="B26" s="308"/>
      <c r="C26" s="309" t="s">
        <v>138</v>
      </c>
      <c r="D26" s="310" t="s">
        <v>137</v>
      </c>
      <c r="E26" s="250"/>
      <c r="F26" s="251"/>
      <c r="G26" s="250"/>
      <c r="H26" s="289"/>
      <c r="I26" s="252"/>
    </row>
    <row r="27" spans="1:9" ht="20.25" x14ac:dyDescent="0.3">
      <c r="A27" s="290" t="s">
        <v>127</v>
      </c>
      <c r="B27" s="291" t="s">
        <v>128</v>
      </c>
      <c r="C27" s="259" t="s">
        <v>139</v>
      </c>
      <c r="D27" s="260" t="s">
        <v>140</v>
      </c>
      <c r="E27" s="261">
        <v>1</v>
      </c>
      <c r="F27" s="268" t="s">
        <v>27</v>
      </c>
      <c r="G27" s="277"/>
      <c r="H27" s="289"/>
      <c r="I27" s="252"/>
    </row>
    <row r="28" spans="1:9" ht="20.25" x14ac:dyDescent="0.3">
      <c r="A28" s="290">
        <v>1952856</v>
      </c>
      <c r="B28" s="291" t="s">
        <v>126</v>
      </c>
      <c r="C28" s="259" t="s">
        <v>116</v>
      </c>
      <c r="D28" s="260" t="s">
        <v>140</v>
      </c>
      <c r="E28" s="261">
        <v>1</v>
      </c>
      <c r="F28" s="268" t="s">
        <v>27</v>
      </c>
      <c r="G28" s="311"/>
      <c r="H28" s="289"/>
      <c r="I28" s="252"/>
    </row>
    <row r="29" spans="1:9" ht="20.25" x14ac:dyDescent="0.3">
      <c r="A29" s="290">
        <v>702012</v>
      </c>
      <c r="B29" s="291" t="s">
        <v>129</v>
      </c>
      <c r="C29" s="259" t="s">
        <v>141</v>
      </c>
      <c r="D29" s="260" t="s">
        <v>105</v>
      </c>
      <c r="E29" s="261">
        <v>1</v>
      </c>
      <c r="F29" s="268" t="s">
        <v>27</v>
      </c>
      <c r="G29" s="250"/>
      <c r="H29" s="289"/>
      <c r="I29" s="252"/>
    </row>
    <row r="30" spans="1:9" ht="20.25" x14ac:dyDescent="0.3">
      <c r="A30" s="290" t="s">
        <v>106</v>
      </c>
      <c r="B30" s="291" t="s">
        <v>130</v>
      </c>
      <c r="C30" s="259" t="s">
        <v>103</v>
      </c>
      <c r="D30" s="260" t="s">
        <v>105</v>
      </c>
      <c r="E30" s="261">
        <v>1</v>
      </c>
      <c r="F30" s="268" t="s">
        <v>27</v>
      </c>
      <c r="G30" s="250"/>
      <c r="H30" s="289"/>
      <c r="I30" s="252"/>
    </row>
    <row r="31" spans="1:9" ht="20.25" x14ac:dyDescent="0.3">
      <c r="A31" s="312"/>
      <c r="B31" s="278" t="s">
        <v>147</v>
      </c>
      <c r="C31" s="279" t="s">
        <v>148</v>
      </c>
      <c r="D31" s="272" t="s">
        <v>105</v>
      </c>
      <c r="E31" s="267">
        <v>1</v>
      </c>
      <c r="F31" s="268" t="s">
        <v>27</v>
      </c>
      <c r="G31" s="250"/>
      <c r="H31" s="289"/>
      <c r="I31" s="252"/>
    </row>
    <row r="32" spans="1:9" ht="20.25" x14ac:dyDescent="0.3">
      <c r="A32" s="290"/>
      <c r="B32" s="291"/>
      <c r="C32" s="259"/>
      <c r="D32" s="283"/>
      <c r="E32" s="288"/>
      <c r="F32" s="266"/>
      <c r="G32" s="313"/>
      <c r="H32" s="289"/>
      <c r="I32" s="252"/>
    </row>
    <row r="33" spans="1:9" ht="20.25" x14ac:dyDescent="0.3">
      <c r="A33" s="314"/>
      <c r="B33" s="315"/>
      <c r="C33" s="316"/>
      <c r="D33" s="278"/>
      <c r="E33" s="317"/>
      <c r="F33" s="318"/>
      <c r="G33" s="288"/>
      <c r="H33" s="289"/>
      <c r="I33" s="252"/>
    </row>
    <row r="34" spans="1:9" ht="20.25" x14ac:dyDescent="0.3">
      <c r="A34" s="282"/>
      <c r="B34" s="272"/>
      <c r="C34" s="319"/>
      <c r="D34" s="282"/>
      <c r="E34" s="273"/>
      <c r="F34" s="273"/>
      <c r="G34" s="288"/>
      <c r="H34" s="289"/>
      <c r="I34" s="252"/>
    </row>
    <row r="35" spans="1:9" ht="20.25" x14ac:dyDescent="0.3">
      <c r="A35" s="272"/>
      <c r="B35" s="320"/>
      <c r="C35" s="282"/>
      <c r="D35" s="272"/>
      <c r="E35" s="267"/>
      <c r="F35" s="273"/>
      <c r="G35" s="288"/>
      <c r="H35" s="293"/>
      <c r="I35" s="252"/>
    </row>
    <row r="36" spans="1:9" ht="20.25" x14ac:dyDescent="0.3">
      <c r="A36" s="290"/>
      <c r="B36" s="291"/>
      <c r="C36" s="259"/>
      <c r="D36" s="293"/>
      <c r="E36" s="293"/>
      <c r="F36" s="266"/>
      <c r="G36" s="293"/>
      <c r="H36" s="293"/>
      <c r="I36" s="252"/>
    </row>
    <row r="37" spans="1:9" ht="21" thickBot="1" x14ac:dyDescent="0.35">
      <c r="A37" s="321"/>
      <c r="B37" s="322"/>
      <c r="C37" s="323"/>
      <c r="D37" s="323"/>
      <c r="E37" s="324"/>
      <c r="F37" s="325"/>
      <c r="G37" s="323"/>
      <c r="H37" s="323"/>
      <c r="I37" s="326"/>
    </row>
    <row r="38" spans="1:9" ht="21" thickBot="1" x14ac:dyDescent="0.35">
      <c r="A38" s="327"/>
      <c r="B38" s="328"/>
      <c r="C38" s="329"/>
      <c r="D38" s="330" t="s">
        <v>6</v>
      </c>
      <c r="E38" s="331" t="s">
        <v>15</v>
      </c>
      <c r="F38" s="332"/>
      <c r="G38" s="329"/>
      <c r="H38" s="329"/>
      <c r="I38" s="333"/>
    </row>
    <row r="39" spans="1:9" ht="20.25" x14ac:dyDescent="0.3">
      <c r="A39" s="334" t="s">
        <v>10</v>
      </c>
      <c r="B39" s="335"/>
      <c r="C39" s="336"/>
      <c r="D39" s="337">
        <v>100</v>
      </c>
      <c r="E39" s="338" t="s">
        <v>26</v>
      </c>
      <c r="F39" s="339" t="s">
        <v>142</v>
      </c>
      <c r="G39" s="339"/>
      <c r="H39" s="340"/>
      <c r="I39" s="341"/>
    </row>
    <row r="40" spans="1:9" ht="20.25" x14ac:dyDescent="0.3">
      <c r="A40" s="342" t="s">
        <v>9</v>
      </c>
      <c r="B40" s="343"/>
      <c r="C40" s="344"/>
      <c r="D40" s="280">
        <v>1</v>
      </c>
      <c r="E40" s="272" t="s">
        <v>29</v>
      </c>
      <c r="F40" s="345" t="s">
        <v>143</v>
      </c>
      <c r="G40" s="345"/>
      <c r="H40" s="346"/>
      <c r="I40" s="347"/>
    </row>
    <row r="41" spans="1:9" ht="20.25" x14ac:dyDescent="0.3">
      <c r="A41" s="342" t="s">
        <v>14</v>
      </c>
      <c r="B41" s="343"/>
      <c r="C41" s="344"/>
      <c r="D41" s="272">
        <v>1</v>
      </c>
      <c r="E41" s="272" t="s">
        <v>27</v>
      </c>
      <c r="F41" s="345" t="s">
        <v>144</v>
      </c>
      <c r="G41" s="345"/>
      <c r="H41" s="346"/>
      <c r="I41" s="347"/>
    </row>
    <row r="42" spans="1:9" ht="20.25" x14ac:dyDescent="0.3">
      <c r="A42" s="342" t="s">
        <v>13</v>
      </c>
      <c r="B42" s="343"/>
      <c r="C42" s="344"/>
      <c r="D42" s="272">
        <v>100</v>
      </c>
      <c r="E42" s="272" t="s">
        <v>26</v>
      </c>
      <c r="F42" s="348" t="s">
        <v>145</v>
      </c>
      <c r="G42" s="349"/>
      <c r="H42" s="346"/>
      <c r="I42" s="347"/>
    </row>
    <row r="43" spans="1:9" ht="21" thickBot="1" x14ac:dyDescent="0.35">
      <c r="A43" s="350" t="s">
        <v>12</v>
      </c>
      <c r="B43" s="351"/>
      <c r="C43" s="352"/>
      <c r="D43" s="353">
        <v>0</v>
      </c>
      <c r="E43" s="354" t="s">
        <v>26</v>
      </c>
      <c r="F43" s="355"/>
      <c r="G43" s="355"/>
      <c r="H43" s="356"/>
      <c r="I43" s="357"/>
    </row>
    <row r="44" spans="1:9" ht="21" thickBot="1" x14ac:dyDescent="0.35">
      <c r="A44" s="374" t="s">
        <v>11</v>
      </c>
      <c r="B44" s="375"/>
      <c r="C44" s="375"/>
      <c r="D44" s="375"/>
      <c r="E44" s="375"/>
      <c r="F44" s="375"/>
      <c r="G44" s="375"/>
      <c r="H44" s="375"/>
      <c r="I44" s="376"/>
    </row>
    <row r="45" spans="1:9" ht="20.25" x14ac:dyDescent="0.3">
      <c r="A45" s="358" t="s">
        <v>117</v>
      </c>
      <c r="B45" s="359"/>
      <c r="C45" s="359"/>
      <c r="D45" s="359"/>
      <c r="E45" s="359"/>
      <c r="F45" s="359"/>
      <c r="G45" s="359"/>
      <c r="H45" s="359"/>
      <c r="I45" s="360"/>
    </row>
    <row r="46" spans="1:9" ht="20.25" x14ac:dyDescent="0.3">
      <c r="A46" s="358" t="s">
        <v>118</v>
      </c>
      <c r="B46" s="359"/>
      <c r="C46" s="359"/>
      <c r="D46" s="359"/>
      <c r="E46" s="359"/>
      <c r="F46" s="359"/>
      <c r="G46" s="359"/>
      <c r="H46" s="359"/>
      <c r="I46" s="360"/>
    </row>
    <row r="47" spans="1:9" ht="20.25" x14ac:dyDescent="0.3">
      <c r="A47" s="361" t="s">
        <v>123</v>
      </c>
      <c r="B47" s="362"/>
      <c r="C47" s="362"/>
      <c r="D47" s="362"/>
      <c r="E47" s="362"/>
      <c r="F47" s="362"/>
      <c r="G47" s="362"/>
      <c r="H47" s="362"/>
      <c r="I47" s="363"/>
    </row>
    <row r="48" spans="1:9" ht="20.25" x14ac:dyDescent="0.3">
      <c r="A48" s="358" t="s">
        <v>112</v>
      </c>
      <c r="B48" s="359"/>
      <c r="C48" s="359"/>
      <c r="D48" s="359"/>
      <c r="E48" s="359"/>
      <c r="F48" s="359"/>
      <c r="G48" s="359"/>
      <c r="H48" s="359"/>
      <c r="I48" s="360"/>
    </row>
    <row r="49" spans="1:9" ht="20.25" x14ac:dyDescent="0.3">
      <c r="A49" s="364"/>
      <c r="B49" s="365"/>
      <c r="C49" s="365"/>
      <c r="D49" s="365"/>
      <c r="E49" s="365"/>
      <c r="F49" s="365"/>
      <c r="G49" s="365"/>
      <c r="H49" s="365"/>
      <c r="I49" s="366"/>
    </row>
    <row r="50" spans="1:9" ht="21" thickBot="1" x14ac:dyDescent="0.35">
      <c r="A50" s="367"/>
      <c r="B50" s="368"/>
      <c r="C50" s="368"/>
      <c r="D50" s="368"/>
      <c r="E50" s="368"/>
      <c r="F50" s="368"/>
      <c r="G50" s="368"/>
      <c r="H50" s="368"/>
      <c r="I50" s="369"/>
    </row>
    <row r="51" spans="1:9" ht="20.25" x14ac:dyDescent="0.3">
      <c r="A51" s="370" t="s">
        <v>146</v>
      </c>
      <c r="B51" s="371"/>
      <c r="C51" s="371"/>
      <c r="D51" s="371"/>
      <c r="E51" s="371"/>
      <c r="F51" s="371"/>
      <c r="G51" s="371"/>
      <c r="H51" s="371"/>
      <c r="I51" s="371"/>
    </row>
    <row r="52" spans="1:9" ht="20.25" x14ac:dyDescent="0.3">
      <c r="A52" s="372" t="s">
        <v>149</v>
      </c>
      <c r="B52" s="372"/>
      <c r="C52" s="372"/>
      <c r="D52" s="372"/>
      <c r="E52" s="372"/>
      <c r="F52" s="372"/>
      <c r="G52" s="372"/>
      <c r="H52" s="372"/>
      <c r="I52" s="372"/>
    </row>
    <row r="53" spans="1:9" ht="20.25" x14ac:dyDescent="0.3">
      <c r="A53" s="373"/>
      <c r="B53" s="373"/>
      <c r="C53" s="373"/>
      <c r="D53" s="373"/>
      <c r="E53" s="373"/>
      <c r="F53" s="373"/>
      <c r="G53" s="373"/>
      <c r="H53" s="373"/>
      <c r="I53" s="373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35" workbookViewId="0">
      <selection activeCell="O56" sqref="O56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125" bestFit="1" customWidth="1"/>
    <col min="8" max="8" width="10.42578125" style="52" bestFit="1" customWidth="1"/>
    <col min="9" max="9" width="4.5703125" style="52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30</v>
      </c>
      <c r="F1" s="3" t="s">
        <v>31</v>
      </c>
      <c r="G1" s="3" t="s">
        <v>32</v>
      </c>
      <c r="H1" s="3" t="s">
        <v>33</v>
      </c>
      <c r="I1" s="4"/>
    </row>
    <row r="2" spans="1:10" ht="30.75" customHeight="1" x14ac:dyDescent="0.2">
      <c r="A2" s="1"/>
      <c r="B2" s="1"/>
      <c r="C2" s="1"/>
      <c r="D2" s="1"/>
      <c r="E2" s="93">
        <f>IFERROR(O62,"")</f>
        <v>777.11154666666675</v>
      </c>
      <c r="F2" s="93">
        <f>IFERROR(H53,"")</f>
        <v>328</v>
      </c>
      <c r="G2" s="93">
        <f>IFERROR(H54,"")</f>
        <v>211.75133333333338</v>
      </c>
      <c r="H2" s="93">
        <f>IFERROR(H56,"")</f>
        <v>151</v>
      </c>
      <c r="I2" s="94"/>
    </row>
    <row r="3" spans="1:10" ht="15" customHeight="1" x14ac:dyDescent="0.2">
      <c r="A3" s="1"/>
      <c r="B3" s="1"/>
      <c r="C3" s="1"/>
      <c r="D3" s="1"/>
      <c r="E3" s="1"/>
      <c r="F3" s="95"/>
      <c r="G3" s="95"/>
      <c r="H3" s="95"/>
      <c r="I3" s="95"/>
    </row>
    <row r="4" spans="1:10" ht="24.75" customHeight="1" thickBot="1" x14ac:dyDescent="0.25">
      <c r="A4" s="220"/>
      <c r="B4" s="220"/>
      <c r="C4" s="220"/>
      <c r="D4" s="220"/>
      <c r="E4" s="220"/>
      <c r="F4" s="220"/>
      <c r="G4" s="220"/>
      <c r="H4" s="220"/>
      <c r="I4" s="7"/>
    </row>
    <row r="5" spans="1:10" ht="19.5" customHeight="1" thickBot="1" x14ac:dyDescent="0.25">
      <c r="A5" s="221" t="s">
        <v>34</v>
      </c>
      <c r="B5" s="222"/>
      <c r="C5" s="222"/>
      <c r="D5" s="222"/>
      <c r="E5" s="222"/>
      <c r="F5" s="222"/>
      <c r="G5" s="222"/>
      <c r="H5" s="223"/>
      <c r="I5" s="8"/>
    </row>
    <row r="6" spans="1:10" ht="19.5" thickBot="1" x14ac:dyDescent="0.25">
      <c r="A6" s="8"/>
      <c r="B6" s="8"/>
      <c r="C6" s="8"/>
      <c r="D6" s="8"/>
      <c r="E6" s="8"/>
      <c r="F6" s="224" t="s">
        <v>35</v>
      </c>
      <c r="G6" s="224"/>
      <c r="H6" s="9">
        <f ca="1">TODAY()</f>
        <v>45960</v>
      </c>
      <c r="I6" s="9"/>
    </row>
    <row r="7" spans="1:10" ht="26.25" hidden="1" thickBot="1" x14ac:dyDescent="0.25">
      <c r="A7" s="10" t="s">
        <v>36</v>
      </c>
      <c r="B7" s="11" t="s">
        <v>37</v>
      </c>
      <c r="C7" s="11" t="s">
        <v>36</v>
      </c>
      <c r="D7" s="12" t="s">
        <v>38</v>
      </c>
      <c r="E7" s="12" t="s">
        <v>39</v>
      </c>
      <c r="F7" s="12" t="s">
        <v>40</v>
      </c>
      <c r="G7" s="12" t="s">
        <v>41</v>
      </c>
      <c r="H7" s="13" t="s">
        <v>42</v>
      </c>
      <c r="I7" s="14"/>
    </row>
    <row r="8" spans="1:10" ht="13.5" hidden="1" x14ac:dyDescent="0.25">
      <c r="A8" s="15"/>
      <c r="B8" s="6" t="str">
        <f>IFERROR(VLOOKUP(H8,'[1]Consolidado MP Planta'!$A$2:$M$823,3,0),"")</f>
        <v/>
      </c>
      <c r="C8" s="96">
        <f>+A8</f>
        <v>0</v>
      </c>
      <c r="D8" s="97" t="str">
        <f>IFERROR(VLOOKUP(H8,'[1]Consolidado MP Planta'!$A$2:$M$823,13,0),"")</f>
        <v/>
      </c>
      <c r="E8" s="97" t="str">
        <f>IFERROR(VLOOKUP(H8,'[1]Consolidado MP Planta'!$A$2:$M$823,12,0),"")</f>
        <v/>
      </c>
      <c r="F8" s="97" t="str">
        <f>IFERROR(C8*E8,"")</f>
        <v/>
      </c>
      <c r="G8" s="98" t="str">
        <f t="shared" ref="G8:G14" si="0">IFERROR(F8/$F$66,"")</f>
        <v/>
      </c>
      <c r="H8" s="16"/>
      <c r="I8" s="16"/>
      <c r="J8" s="99"/>
    </row>
    <row r="9" spans="1:10" ht="13.5" hidden="1" x14ac:dyDescent="0.25">
      <c r="A9" s="15"/>
      <c r="B9" s="6" t="str">
        <f>IFERROR(VLOOKUP(H9,'[1]Consolidado MP Planta'!$A$2:$M$823,3,0),"")</f>
        <v/>
      </c>
      <c r="C9" s="96">
        <f t="shared" ref="C9:C14" si="1">+A9</f>
        <v>0</v>
      </c>
      <c r="D9" s="97" t="str">
        <f>IFERROR(VLOOKUP(H9,'[1]Consolidado MP Planta'!$A$2:$M$823,13,0),"")</f>
        <v/>
      </c>
      <c r="E9" s="97" t="str">
        <f>IFERROR(VLOOKUP(H9,'[1]Consolidado MP Planta'!$A$2:$M$823,12,0),"")</f>
        <v/>
      </c>
      <c r="F9" s="97" t="str">
        <f t="shared" ref="F9:F14" si="2">IFERROR(C9*E9,"")</f>
        <v/>
      </c>
      <c r="G9" s="98" t="str">
        <f t="shared" si="0"/>
        <v/>
      </c>
      <c r="H9" s="16"/>
      <c r="I9" s="16"/>
      <c r="J9" s="99"/>
    </row>
    <row r="10" spans="1:10" ht="13.5" hidden="1" x14ac:dyDescent="0.25">
      <c r="A10" s="15"/>
      <c r="B10" s="6" t="str">
        <f>IFERROR(VLOOKUP(H10,'[1]Consolidado MP Planta'!$A$2:$M$823,3,0),"")</f>
        <v/>
      </c>
      <c r="C10" s="96">
        <f t="shared" si="1"/>
        <v>0</v>
      </c>
      <c r="D10" s="97" t="str">
        <f>IFERROR(VLOOKUP(H10,'[1]Consolidado MP Planta'!$A$2:$M$823,13,0),"")</f>
        <v/>
      </c>
      <c r="E10" s="97" t="str">
        <f>IFERROR(VLOOKUP(H10,'[1]Consolidado MP Planta'!$A$2:$M$823,12,0),"")</f>
        <v/>
      </c>
      <c r="F10" s="97" t="str">
        <f t="shared" si="2"/>
        <v/>
      </c>
      <c r="G10" s="98" t="str">
        <f t="shared" si="0"/>
        <v/>
      </c>
      <c r="H10" s="16"/>
      <c r="I10" s="16"/>
      <c r="J10" s="99"/>
    </row>
    <row r="11" spans="1:10" ht="13.5" hidden="1" x14ac:dyDescent="0.25">
      <c r="A11" s="15"/>
      <c r="B11" s="6" t="str">
        <f>IFERROR(VLOOKUP(H11,'[1]Consolidado MP Planta'!$A$2:$M$823,3,0),"")</f>
        <v/>
      </c>
      <c r="C11" s="96">
        <f t="shared" si="1"/>
        <v>0</v>
      </c>
      <c r="D11" s="97" t="str">
        <f>IFERROR(VLOOKUP(H11,'[1]Consolidado MP Planta'!$A$2:$M$823,13,0),"")</f>
        <v/>
      </c>
      <c r="E11" s="97" t="str">
        <f>IFERROR(VLOOKUP(H11,'[1]Consolidado MP Planta'!$A$2:$M$823,12,0),"")</f>
        <v/>
      </c>
      <c r="F11" s="97" t="str">
        <f t="shared" si="2"/>
        <v/>
      </c>
      <c r="G11" s="98" t="str">
        <f t="shared" si="0"/>
        <v/>
      </c>
      <c r="H11" s="16"/>
      <c r="I11" s="16"/>
      <c r="J11" s="99"/>
    </row>
    <row r="12" spans="1:10" ht="13.5" hidden="1" x14ac:dyDescent="0.25">
      <c r="A12" s="15"/>
      <c r="B12" s="6" t="str">
        <f>IFERROR(VLOOKUP(H12,'[1]Consolidado MP Planta'!$A$2:$M$823,3,0),"")</f>
        <v/>
      </c>
      <c r="C12" s="96">
        <f t="shared" si="1"/>
        <v>0</v>
      </c>
      <c r="D12" s="97" t="str">
        <f>IFERROR(VLOOKUP(H12,'[1]Consolidado MP Planta'!$A$2:$M$823,13,0),"")</f>
        <v/>
      </c>
      <c r="E12" s="97" t="str">
        <f>IFERROR(VLOOKUP(H12,'[1]Consolidado MP Planta'!$A$2:$M$823,12,0),"")</f>
        <v/>
      </c>
      <c r="F12" s="97" t="str">
        <f t="shared" si="2"/>
        <v/>
      </c>
      <c r="G12" s="98" t="str">
        <f t="shared" si="0"/>
        <v/>
      </c>
      <c r="H12" s="16"/>
      <c r="I12" s="16"/>
      <c r="J12" s="99"/>
    </row>
    <row r="13" spans="1:10" ht="13.5" hidden="1" x14ac:dyDescent="0.25">
      <c r="A13" s="15"/>
      <c r="B13" s="6" t="str">
        <f>IFERROR(VLOOKUP(H13,'[1]Consolidado MP Planta'!$A$2:$M$823,3,0),"")</f>
        <v/>
      </c>
      <c r="C13" s="96">
        <f t="shared" si="1"/>
        <v>0</v>
      </c>
      <c r="D13" s="97" t="str">
        <f>IFERROR(VLOOKUP(H13,'[1]Consolidado MP Planta'!$A$2:$M$823,13,0),"")</f>
        <v/>
      </c>
      <c r="E13" s="97" t="str">
        <f>IFERROR(VLOOKUP(H13,'[1]Consolidado MP Planta'!$A$2:$M$823,12,0),"")</f>
        <v/>
      </c>
      <c r="F13" s="97" t="str">
        <f t="shared" si="2"/>
        <v/>
      </c>
      <c r="G13" s="98" t="str">
        <f t="shared" si="0"/>
        <v/>
      </c>
      <c r="H13" s="16"/>
      <c r="I13" s="16"/>
      <c r="J13" s="99"/>
    </row>
    <row r="14" spans="1:10" ht="13.5" hidden="1" x14ac:dyDescent="0.25">
      <c r="A14" s="15"/>
      <c r="B14" s="6" t="str">
        <f>IFERROR(VLOOKUP(H14,'[1]Consolidado MP Planta'!$A$2:$M$823,3,0),"")</f>
        <v/>
      </c>
      <c r="C14" s="96">
        <f t="shared" si="1"/>
        <v>0</v>
      </c>
      <c r="D14" s="97" t="str">
        <f>IFERROR(VLOOKUP(H14,'[1]Consolidado MP Planta'!$A$2:$M$823,13,0),"")</f>
        <v/>
      </c>
      <c r="E14" s="97" t="str">
        <f>IFERROR(VLOOKUP(H14,'[1]Consolidado MP Planta'!$A$2:$M$823,12,0),"")</f>
        <v/>
      </c>
      <c r="F14" s="97" t="str">
        <f t="shared" si="2"/>
        <v/>
      </c>
      <c r="G14" s="98" t="str">
        <f t="shared" si="0"/>
        <v/>
      </c>
      <c r="H14" s="16"/>
      <c r="I14" s="16"/>
      <c r="J14" s="99"/>
    </row>
    <row r="15" spans="1:10" ht="14.25" hidden="1" thickBot="1" x14ac:dyDescent="0.3">
      <c r="A15" s="15"/>
      <c r="B15" s="6" t="str">
        <f>IFERROR(VLOOKUP(H15,'[2]ARTICULOS MP PLANTA'!$A$2:$G$589,2,0),"")</f>
        <v/>
      </c>
      <c r="C15" s="96"/>
      <c r="D15" s="97"/>
      <c r="E15" s="97"/>
      <c r="F15" s="97"/>
      <c r="G15" s="98"/>
      <c r="H15" s="16"/>
      <c r="I15" s="16"/>
      <c r="J15" s="99"/>
    </row>
    <row r="16" spans="1:10" ht="26.25" thickBot="1" x14ac:dyDescent="0.25">
      <c r="A16" s="10" t="s">
        <v>36</v>
      </c>
      <c r="B16" s="11" t="s">
        <v>43</v>
      </c>
      <c r="C16" s="11" t="s">
        <v>36</v>
      </c>
      <c r="D16" s="12" t="s">
        <v>38</v>
      </c>
      <c r="E16" s="12" t="s">
        <v>39</v>
      </c>
      <c r="F16" s="12" t="s">
        <v>40</v>
      </c>
      <c r="G16" s="12" t="s">
        <v>41</v>
      </c>
      <c r="H16" s="13" t="s">
        <v>42</v>
      </c>
      <c r="I16" s="14"/>
      <c r="J16" s="99"/>
    </row>
    <row r="17" spans="1:14" ht="13.5" x14ac:dyDescent="0.25">
      <c r="A17" s="15">
        <v>100</v>
      </c>
      <c r="B17" s="6" t="str">
        <f>IFERROR(VLOOKUP(H17,[1]SEMIELABORADOS!$A$2:$M$6000,2,0),"")</f>
        <v>GALLETA 1/2 LUNA BAÑADO CHOCO LECHE UND</v>
      </c>
      <c r="C17" s="96">
        <f>+A17</f>
        <v>100</v>
      </c>
      <c r="D17" s="96" t="str">
        <f>IFERROR(VLOOKUP(H17,[1]SEMIELABORADOS!$A$2:$M$6000,6,0),"")</f>
        <v>Und</v>
      </c>
      <c r="E17" s="97">
        <v>3.28</v>
      </c>
      <c r="F17" s="97">
        <f>IFERROR(E17*C17,"")</f>
        <v>328</v>
      </c>
      <c r="G17" s="98">
        <f t="shared" ref="G17:G24" si="3">IFERROR(F17/$F$66,"")</f>
        <v>0.54547450183875912</v>
      </c>
      <c r="H17" s="16" t="s">
        <v>108</v>
      </c>
      <c r="I17" s="16"/>
      <c r="J17" s="99"/>
    </row>
    <row r="18" spans="1:14" ht="13.5" hidden="1" x14ac:dyDescent="0.25">
      <c r="A18" s="15"/>
      <c r="B18" s="6" t="str">
        <f>IFERROR(VLOOKUP(H18,[1]SEMIELABORADOS!$A$2:$M$6000,2,0),"")</f>
        <v/>
      </c>
      <c r="C18" s="96">
        <f t="shared" ref="C18:C24" si="4">+A18</f>
        <v>0</v>
      </c>
      <c r="D18" s="96" t="str">
        <f>IFERROR(VLOOKUP(H18,[1]SEMIELABORADOS!$A$2:$M$6000,6,0),"")</f>
        <v/>
      </c>
      <c r="E18" s="97" t="str">
        <f>IFERROR(VLOOKUP(H18,[1]SEMIELABORADOS!$A$2:$H$65536,8,0),"")</f>
        <v/>
      </c>
      <c r="F18" s="97" t="str">
        <f t="shared" ref="F18:F24" si="5">IFERROR(E18*C18,"")</f>
        <v/>
      </c>
      <c r="G18" s="98" t="str">
        <f t="shared" si="3"/>
        <v/>
      </c>
      <c r="H18" s="16"/>
      <c r="I18" s="16"/>
      <c r="J18" s="99"/>
    </row>
    <row r="19" spans="1:14" ht="13.5" hidden="1" x14ac:dyDescent="0.25">
      <c r="A19" s="15"/>
      <c r="B19" s="6" t="str">
        <f>IFERROR(VLOOKUP(H19,[1]SEMIELABORADOS!$A$2:$M$6000,2,0),"")</f>
        <v/>
      </c>
      <c r="C19" s="96">
        <f>+A19</f>
        <v>0</v>
      </c>
      <c r="D19" s="96" t="str">
        <f>IFERROR(VLOOKUP(H19,[1]SEMIELABORADOS!$A$2:$M$6000,6,0),"")</f>
        <v/>
      </c>
      <c r="E19" s="97" t="str">
        <f>IFERROR(VLOOKUP(H19,[1]SEMIELABORADOS!$A$2:$H$65536,8,0),"")</f>
        <v/>
      </c>
      <c r="F19" s="97" t="str">
        <f>IFERROR(E19*C19,"")</f>
        <v/>
      </c>
      <c r="G19" s="98" t="str">
        <f t="shared" si="3"/>
        <v/>
      </c>
      <c r="H19" s="16"/>
      <c r="I19" s="16"/>
      <c r="J19" s="99"/>
    </row>
    <row r="20" spans="1:14" ht="13.5" hidden="1" x14ac:dyDescent="0.25">
      <c r="A20" s="15"/>
      <c r="B20" s="6" t="str">
        <f>IFERROR(VLOOKUP(H20,[1]SEMIELABORADOS!$A$2:$M$6000,2,0),"")</f>
        <v/>
      </c>
      <c r="C20" s="96">
        <f>+A20</f>
        <v>0</v>
      </c>
      <c r="D20" s="96" t="str">
        <f>IFERROR(VLOOKUP(H20,[1]SEMIELABORADOS!$A$2:$M$6000,6,0),"")</f>
        <v/>
      </c>
      <c r="E20" s="97" t="str">
        <f>IFERROR(VLOOKUP(H20,[1]SEMIELABORADOS!$A$2:$H$65536,8,0),"")</f>
        <v/>
      </c>
      <c r="F20" s="97" t="str">
        <f>IFERROR(E20*C20,"")</f>
        <v/>
      </c>
      <c r="G20" s="98" t="str">
        <f t="shared" si="3"/>
        <v/>
      </c>
      <c r="H20" s="16"/>
      <c r="I20" s="16"/>
      <c r="J20" s="99"/>
    </row>
    <row r="21" spans="1:14" ht="13.5" hidden="1" x14ac:dyDescent="0.25">
      <c r="A21" s="15"/>
      <c r="B21" s="6" t="str">
        <f>IFERROR(VLOOKUP(H21,[1]SEMIELABORADOS!$A$2:$M$6000,2,0),"")</f>
        <v/>
      </c>
      <c r="C21" s="96">
        <f>+A21</f>
        <v>0</v>
      </c>
      <c r="D21" s="96" t="str">
        <f>IFERROR(VLOOKUP(H21,[1]SEMIELABORADOS!$A$2:$M$6000,6,0),"")</f>
        <v/>
      </c>
      <c r="E21" s="97" t="str">
        <f>IFERROR(VLOOKUP(H21,[1]SEMIELABORADOS!$A$2:$H$65536,8,0),"")</f>
        <v/>
      </c>
      <c r="F21" s="97" t="str">
        <f>IFERROR(E21*C21,"")</f>
        <v/>
      </c>
      <c r="G21" s="98" t="str">
        <f t="shared" si="3"/>
        <v/>
      </c>
      <c r="H21" s="16"/>
      <c r="I21" s="16"/>
      <c r="J21" s="99"/>
    </row>
    <row r="22" spans="1:14" ht="13.5" hidden="1" x14ac:dyDescent="0.25">
      <c r="A22" s="15"/>
      <c r="B22" s="6" t="str">
        <f>IFERROR(VLOOKUP(H22,[1]SEMIELABORADOS!$A$2:$M$6000,2,0),"")</f>
        <v/>
      </c>
      <c r="C22" s="96">
        <f t="shared" si="4"/>
        <v>0</v>
      </c>
      <c r="D22" s="96" t="str">
        <f>IFERROR(VLOOKUP(H22,[1]SEMIELABORADOS!$A$2:$M$6000,6,0),"")</f>
        <v/>
      </c>
      <c r="E22" s="97" t="str">
        <f>IFERROR(VLOOKUP(H22,[1]SEMIELABORADOS!$A$2:$H$65536,8,0),"")</f>
        <v/>
      </c>
      <c r="F22" s="97" t="str">
        <f t="shared" si="5"/>
        <v/>
      </c>
      <c r="G22" s="98" t="str">
        <f t="shared" si="3"/>
        <v/>
      </c>
      <c r="H22" s="16"/>
      <c r="I22" s="16"/>
      <c r="J22" s="99"/>
    </row>
    <row r="23" spans="1:14" ht="13.5" hidden="1" x14ac:dyDescent="0.25">
      <c r="A23" s="15"/>
      <c r="B23" s="6" t="str">
        <f>IFERROR(VLOOKUP(H23,[1]SEMIELABORADOS!$A$2:$M$6000,2,0),"")</f>
        <v/>
      </c>
      <c r="C23" s="96">
        <f t="shared" si="4"/>
        <v>0</v>
      </c>
      <c r="D23" s="96" t="str">
        <f>IFERROR(VLOOKUP(H23,[1]SEMIELABORADOS!$A$2:$M$6000,6,0),"")</f>
        <v/>
      </c>
      <c r="E23" s="97" t="str">
        <f>IFERROR(VLOOKUP(H23,[1]SEMIELABORADOS!$A$2:$H$65536,8,0),"")</f>
        <v/>
      </c>
      <c r="F23" s="97" t="str">
        <f t="shared" si="5"/>
        <v/>
      </c>
      <c r="G23" s="98" t="str">
        <f t="shared" si="3"/>
        <v/>
      </c>
      <c r="H23" s="16"/>
      <c r="I23" s="16"/>
      <c r="J23" s="99"/>
    </row>
    <row r="24" spans="1:14" ht="13.5" hidden="1" x14ac:dyDescent="0.25">
      <c r="A24" s="15"/>
      <c r="B24" s="6" t="str">
        <f>IFERROR(VLOOKUP(H24,[1]SEMIELABORADOS!$A$2:$M$6000,2,0),"")</f>
        <v/>
      </c>
      <c r="C24" s="96">
        <f t="shared" si="4"/>
        <v>0</v>
      </c>
      <c r="D24" s="96" t="str">
        <f>IFERROR(VLOOKUP(H24,[1]SEMIELABORADOS!$A$2:$M$6000,6,0),"")</f>
        <v/>
      </c>
      <c r="E24" s="97" t="str">
        <f>IFERROR(VLOOKUP(H24,[1]SEMIELABORADOS!$A$2:$H$65536,8,0),"")</f>
        <v/>
      </c>
      <c r="F24" s="97" t="str">
        <f t="shared" si="5"/>
        <v/>
      </c>
      <c r="G24" s="98" t="str">
        <f t="shared" si="3"/>
        <v/>
      </c>
      <c r="H24" s="16"/>
      <c r="I24" s="16"/>
      <c r="J24" s="99"/>
    </row>
    <row r="25" spans="1:14" ht="14.25" thickBot="1" x14ac:dyDescent="0.3">
      <c r="A25" s="15"/>
      <c r="C25" s="96"/>
      <c r="D25" s="96"/>
      <c r="E25" s="97"/>
      <c r="F25" s="97"/>
      <c r="G25" s="98"/>
      <c r="H25" s="16"/>
      <c r="I25" s="16"/>
      <c r="J25" s="99"/>
    </row>
    <row r="26" spans="1:14" ht="26.25" thickBot="1" x14ac:dyDescent="0.25">
      <c r="A26" s="10" t="s">
        <v>36</v>
      </c>
      <c r="B26" s="11" t="s">
        <v>25</v>
      </c>
      <c r="C26" s="11" t="s">
        <v>36</v>
      </c>
      <c r="D26" s="12" t="s">
        <v>38</v>
      </c>
      <c r="E26" s="12" t="s">
        <v>39</v>
      </c>
      <c r="F26" s="12" t="s">
        <v>40</v>
      </c>
      <c r="G26" s="12" t="s">
        <v>41</v>
      </c>
      <c r="H26" s="13" t="s">
        <v>42</v>
      </c>
      <c r="I26" s="14"/>
    </row>
    <row r="27" spans="1:14" ht="13.5" x14ac:dyDescent="0.25">
      <c r="A27" s="15">
        <v>1</v>
      </c>
      <c r="B27" s="17" t="s">
        <v>115</v>
      </c>
      <c r="C27" s="96">
        <f t="shared" ref="C27:C32" si="6">+A27</f>
        <v>1</v>
      </c>
      <c r="D27" s="97" t="s">
        <v>110</v>
      </c>
      <c r="E27" s="97">
        <v>170.83</v>
      </c>
      <c r="F27" s="97">
        <f t="shared" ref="F27:F32" si="7">IFERROR(C27*E27,"")</f>
        <v>170.83</v>
      </c>
      <c r="G27" s="98">
        <f t="shared" ref="G27:G32" si="8">IFERROR(F27/$F$66,"")</f>
        <v>0.28409575960096106</v>
      </c>
      <c r="H27" s="18" t="s">
        <v>114</v>
      </c>
      <c r="I27" s="18"/>
      <c r="J27" s="99"/>
      <c r="K27" s="217"/>
      <c r="L27" s="217"/>
      <c r="M27" s="6" t="s">
        <v>122</v>
      </c>
      <c r="N27" s="6">
        <f>0.27*632.72</f>
        <v>170.83440000000002</v>
      </c>
    </row>
    <row r="28" spans="1:14" ht="13.5" x14ac:dyDescent="0.25">
      <c r="A28" s="15">
        <v>1</v>
      </c>
      <c r="B28" s="17" t="str">
        <f>IFERROR(VLOOKUP(H28,'[1]Consolidado MP Planta'!$A$2:$M$823,3,0),"")</f>
        <v>BOLSA TRANSPARENTE 76X24X210 (KILO)</v>
      </c>
      <c r="C28" s="96">
        <f t="shared" si="6"/>
        <v>1</v>
      </c>
      <c r="D28" s="97" t="str">
        <f>IFERROR(VLOOKUP(H28,'[1]Consolidado MP Planta'!$A$2:$M$823,13,0),"")</f>
        <v>Und</v>
      </c>
      <c r="E28" s="97">
        <v>12.46</v>
      </c>
      <c r="F28" s="97">
        <f t="shared" si="7"/>
        <v>12.46</v>
      </c>
      <c r="G28" s="98">
        <f t="shared" si="8"/>
        <v>2.0721378941801642E-2</v>
      </c>
      <c r="H28" s="18" t="s">
        <v>120</v>
      </c>
      <c r="I28" s="18"/>
      <c r="J28" s="99"/>
      <c r="K28" s="217"/>
      <c r="L28" s="217"/>
    </row>
    <row r="29" spans="1:14" ht="13.5" x14ac:dyDescent="0.25">
      <c r="A29" s="15">
        <v>1</v>
      </c>
      <c r="B29" s="17" t="str">
        <f>IFERROR(VLOOKUP(H29,'[1]Consolidado MP Planta'!$A$2:$M$823,3,0),"")</f>
        <v>ETIQ.FECHA VENCIMIENTO VERDE (ROLLO)</v>
      </c>
      <c r="C29" s="96">
        <f t="shared" si="6"/>
        <v>1</v>
      </c>
      <c r="D29" s="97" t="str">
        <f>IFERROR(VLOOKUP(H29,'[1]Consolidado MP Planta'!$A$2:$M$823,13,0),"")</f>
        <v>Und</v>
      </c>
      <c r="E29" s="97">
        <f>IFERROR(VLOOKUP(H29,'[1]Consolidado MP Planta'!$A$2:$M$823,12,0),"")</f>
        <v>0.33333333333333331</v>
      </c>
      <c r="F29" s="97">
        <f t="shared" si="7"/>
        <v>0.33333333333333331</v>
      </c>
      <c r="G29" s="98">
        <f t="shared" si="8"/>
        <v>5.5434400593369821E-4</v>
      </c>
      <c r="H29" s="18" t="s">
        <v>28</v>
      </c>
      <c r="I29" s="18"/>
      <c r="J29" s="99"/>
      <c r="K29" s="217"/>
      <c r="L29" s="217"/>
    </row>
    <row r="30" spans="1:14" ht="13.5" x14ac:dyDescent="0.25">
      <c r="A30" s="15">
        <v>1</v>
      </c>
      <c r="B30" s="17" t="str">
        <f>IFERROR(VLOOKUP(H30,'[1]Consolidado MP Planta'!$A$2:$M$823,3,0),"")</f>
        <v>ETIQUETA BLANCA 2 5/8X1 15/16 (UND)</v>
      </c>
      <c r="C30" s="96">
        <f t="shared" si="6"/>
        <v>1</v>
      </c>
      <c r="D30" s="97" t="str">
        <f>IFERROR(VLOOKUP(H30,'[1]Consolidado MP Planta'!$A$2:$M$823,13,0),"")</f>
        <v>Und</v>
      </c>
      <c r="E30" s="97">
        <f>IFERROR(VLOOKUP(H30,'[1]Consolidado MP Planta'!$A$2:$M$823,12,0),"")</f>
        <v>2.1280000000000001</v>
      </c>
      <c r="F30" s="97">
        <f t="shared" si="7"/>
        <v>2.1280000000000001</v>
      </c>
      <c r="G30" s="98">
        <f t="shared" si="8"/>
        <v>3.5389321338807297E-3</v>
      </c>
      <c r="H30" s="18" t="s">
        <v>106</v>
      </c>
      <c r="I30" s="18"/>
      <c r="J30" s="99"/>
      <c r="K30" s="217"/>
      <c r="L30" s="217"/>
    </row>
    <row r="31" spans="1:14" ht="13.5" x14ac:dyDescent="0.25">
      <c r="A31" s="15">
        <v>1</v>
      </c>
      <c r="B31" s="17" t="s">
        <v>113</v>
      </c>
      <c r="C31" s="96">
        <f t="shared" si="6"/>
        <v>1</v>
      </c>
      <c r="D31" s="97" t="s">
        <v>110</v>
      </c>
      <c r="E31" s="97">
        <v>19</v>
      </c>
      <c r="F31" s="97">
        <f t="shared" si="7"/>
        <v>19</v>
      </c>
      <c r="G31" s="98">
        <f t="shared" si="8"/>
        <v>3.1597608338220798E-2</v>
      </c>
      <c r="H31" s="18" t="s">
        <v>121</v>
      </c>
      <c r="I31" s="18"/>
      <c r="J31" s="99"/>
      <c r="K31" s="19"/>
      <c r="L31" s="20"/>
    </row>
    <row r="32" spans="1:14" ht="13.5" x14ac:dyDescent="0.25">
      <c r="A32" s="15"/>
      <c r="B32" s="17" t="str">
        <f>IFERROR(VLOOKUP(H32,'[1]Consolidado MP Planta'!$A$2:$M$823,3,0),"")</f>
        <v/>
      </c>
      <c r="C32" s="96">
        <f t="shared" si="6"/>
        <v>0</v>
      </c>
      <c r="D32" s="97" t="str">
        <f>IFERROR(VLOOKUP(H32,'[1]Consolidado MP Planta'!$A$2:$M$823,13,0),"")</f>
        <v/>
      </c>
      <c r="E32" s="97" t="str">
        <f>IFERROR(VLOOKUP(H32,'[1]Consolidado MP Planta'!$A$2:$M$823,12,0),"")</f>
        <v/>
      </c>
      <c r="F32" s="97" t="str">
        <f t="shared" si="7"/>
        <v/>
      </c>
      <c r="G32" s="98" t="str">
        <f t="shared" si="8"/>
        <v/>
      </c>
      <c r="H32" s="18"/>
      <c r="I32" s="18"/>
      <c r="J32" s="99"/>
    </row>
    <row r="33" spans="1:13" ht="14.25" thickBot="1" x14ac:dyDescent="0.3">
      <c r="A33" s="15"/>
      <c r="B33" s="17"/>
      <c r="C33" s="96"/>
      <c r="D33" s="97"/>
      <c r="E33" s="97"/>
      <c r="F33" s="97"/>
      <c r="G33" s="98"/>
      <c r="H33" s="18"/>
      <c r="I33" s="18"/>
      <c r="J33" s="99"/>
    </row>
    <row r="34" spans="1:13" ht="26.25" thickBot="1" x14ac:dyDescent="0.25">
      <c r="A34" s="10" t="s">
        <v>36</v>
      </c>
      <c r="B34" s="11" t="s">
        <v>44</v>
      </c>
      <c r="C34" s="11" t="s">
        <v>36</v>
      </c>
      <c r="D34" s="12" t="s">
        <v>38</v>
      </c>
      <c r="E34" s="12" t="s">
        <v>39</v>
      </c>
      <c r="F34" s="12" t="s">
        <v>40</v>
      </c>
      <c r="G34" s="12" t="s">
        <v>41</v>
      </c>
      <c r="H34" s="13" t="s">
        <v>42</v>
      </c>
      <c r="I34" s="18"/>
      <c r="J34" s="99"/>
    </row>
    <row r="35" spans="1:13" ht="13.5" x14ac:dyDescent="0.25">
      <c r="A35" s="15">
        <f>+A17</f>
        <v>100</v>
      </c>
      <c r="B35" s="17" t="str">
        <f>IFERROR(VLOOKUP(H35,[1]SEMIELABORADOS!$A$2:$M$6000,2,0),"")</f>
        <v>GALLETA 1/2 LUNA BAÑADO CHOCO LECHE UND</v>
      </c>
      <c r="C35" s="96">
        <f>+A35</f>
        <v>100</v>
      </c>
      <c r="D35" s="97" t="str">
        <f>IFERROR(VLOOKUP(H35,[1]SEMIELABORADOS!$A$2:$M$6000,6,0),"")</f>
        <v>Und</v>
      </c>
      <c r="E35" s="97">
        <v>7.0000000000000007E-2</v>
      </c>
      <c r="F35" s="97">
        <f>IFERROR(E35*C35,"")</f>
        <v>7.0000000000000009</v>
      </c>
      <c r="G35" s="98">
        <f t="shared" ref="G35:G41" si="9">IFERROR(F35/$F$66,"")</f>
        <v>1.1641224124607665E-2</v>
      </c>
      <c r="H35" s="18" t="s">
        <v>108</v>
      </c>
      <c r="I35" s="18"/>
      <c r="J35" s="99"/>
    </row>
    <row r="36" spans="1:13" ht="13.5" hidden="1" x14ac:dyDescent="0.25">
      <c r="A36" s="15">
        <f t="shared" ref="A36:A41" si="10">+A18</f>
        <v>0</v>
      </c>
      <c r="B36" s="17" t="str">
        <f>IFERROR(VLOOKUP(H36,[1]SEMIELABORADOS!$A$2:$M$6000,2,0),"")</f>
        <v/>
      </c>
      <c r="C36" s="96">
        <f t="shared" ref="C36:C41" si="11">+A36</f>
        <v>0</v>
      </c>
      <c r="D36" s="97" t="str">
        <f>IFERROR(VLOOKUP(H36,[1]SEMIELABORADOS!$A$2:$M$6000,6,0),"")</f>
        <v/>
      </c>
      <c r="E36" s="97" t="str">
        <f>IFERROR(VLOOKUP(H36,[1]SEMIELABORADOS!$A$2:$M$65536,10,0),"")</f>
        <v/>
      </c>
      <c r="F36" s="97" t="str">
        <f t="shared" ref="F36:F41" si="12">IFERROR(E36*C36,"")</f>
        <v/>
      </c>
      <c r="G36" s="98" t="str">
        <f t="shared" si="9"/>
        <v/>
      </c>
      <c r="H36" s="18"/>
      <c r="I36" s="18"/>
      <c r="J36" s="99"/>
    </row>
    <row r="37" spans="1:13" ht="13.5" hidden="1" x14ac:dyDescent="0.25">
      <c r="A37" s="15">
        <f t="shared" si="10"/>
        <v>0</v>
      </c>
      <c r="B37" s="17" t="str">
        <f>IFERROR(VLOOKUP(H37,[1]SEMIELABORADOS!$A$2:$M$6000,2,0),"")</f>
        <v/>
      </c>
      <c r="C37" s="96">
        <f t="shared" si="11"/>
        <v>0</v>
      </c>
      <c r="D37" s="97" t="str">
        <f>IFERROR(VLOOKUP(H37,[1]SEMIELABORADOS!$A$2:$M$6000,6,0),"")</f>
        <v/>
      </c>
      <c r="E37" s="97" t="str">
        <f>IFERROR(VLOOKUP(H37,[1]SEMIELABORADOS!$A$2:$M$65536,10,0),"")</f>
        <v/>
      </c>
      <c r="F37" s="97" t="str">
        <f t="shared" si="12"/>
        <v/>
      </c>
      <c r="G37" s="98" t="str">
        <f t="shared" si="9"/>
        <v/>
      </c>
      <c r="H37" s="18"/>
      <c r="I37" s="18"/>
      <c r="J37" s="99"/>
    </row>
    <row r="38" spans="1:13" ht="13.5" hidden="1" x14ac:dyDescent="0.25">
      <c r="A38" s="15">
        <f t="shared" si="10"/>
        <v>0</v>
      </c>
      <c r="B38" s="17" t="str">
        <f>IFERROR(VLOOKUP(H38,[1]SEMIELABORADOS!$A$2:$M$6000,2,0),"")</f>
        <v/>
      </c>
      <c r="C38" s="96">
        <f>+A38</f>
        <v>0</v>
      </c>
      <c r="D38" s="97" t="str">
        <f>IFERROR(VLOOKUP(H38,[1]SEMIELABORADOS!$A$2:$M$6000,6,0),"")</f>
        <v/>
      </c>
      <c r="E38" s="97" t="str">
        <f>IFERROR(VLOOKUP(H38,[1]SEMIELABORADOS!$A$2:$M$65536,10,0),"")</f>
        <v/>
      </c>
      <c r="F38" s="97" t="str">
        <f>IFERROR(E38*C38,"")</f>
        <v/>
      </c>
      <c r="G38" s="98" t="str">
        <f t="shared" si="9"/>
        <v/>
      </c>
      <c r="H38" s="18"/>
      <c r="I38" s="18"/>
      <c r="J38" s="99"/>
    </row>
    <row r="39" spans="1:13" ht="13.5" hidden="1" x14ac:dyDescent="0.25">
      <c r="A39" s="15">
        <f t="shared" si="10"/>
        <v>0</v>
      </c>
      <c r="B39" s="17" t="str">
        <f>IFERROR(VLOOKUP(H39,[1]SEMIELABORADOS!$A$2:$M$6000,2,0),"")</f>
        <v/>
      </c>
      <c r="C39" s="96">
        <f>+A39</f>
        <v>0</v>
      </c>
      <c r="D39" s="97" t="str">
        <f>IFERROR(VLOOKUP(H39,[1]SEMIELABORADOS!$A$2:$M$6000,6,0),"")</f>
        <v/>
      </c>
      <c r="E39" s="97" t="str">
        <f>IFERROR(VLOOKUP(H39,[1]SEMIELABORADOS!$A$2:$M$65536,10,0),"")</f>
        <v/>
      </c>
      <c r="F39" s="97" t="str">
        <f>IFERROR(E39*C39,"")</f>
        <v/>
      </c>
      <c r="G39" s="98" t="str">
        <f t="shared" si="9"/>
        <v/>
      </c>
      <c r="H39" s="18"/>
      <c r="I39" s="18"/>
      <c r="J39" s="99"/>
    </row>
    <row r="40" spans="1:13" ht="13.5" hidden="1" x14ac:dyDescent="0.25">
      <c r="A40" s="15">
        <f t="shared" si="10"/>
        <v>0</v>
      </c>
      <c r="B40" s="17" t="str">
        <f>IFERROR(VLOOKUP(H40,[1]SEMIELABORADOS!$A$2:$M$6000,2,0),"")</f>
        <v/>
      </c>
      <c r="C40" s="96">
        <f t="shared" si="11"/>
        <v>0</v>
      </c>
      <c r="D40" s="97" t="str">
        <f>IFERROR(VLOOKUP(H40,[1]SEMIELABORADOS!$A$2:$M$6000,6,0),"")</f>
        <v/>
      </c>
      <c r="E40" s="97" t="str">
        <f>IFERROR(VLOOKUP(H40,[1]SEMIELABORADOS!$A$2:$M$65536,10,0),"")</f>
        <v/>
      </c>
      <c r="F40" s="97" t="str">
        <f t="shared" si="12"/>
        <v/>
      </c>
      <c r="G40" s="98" t="str">
        <f t="shared" si="9"/>
        <v/>
      </c>
      <c r="H40" s="18"/>
      <c r="I40" s="18"/>
      <c r="J40" s="99"/>
    </row>
    <row r="41" spans="1:13" ht="13.5" hidden="1" x14ac:dyDescent="0.25">
      <c r="A41" s="15">
        <f t="shared" si="10"/>
        <v>0</v>
      </c>
      <c r="B41" s="17" t="str">
        <f>IFERROR(VLOOKUP(H41,[1]SEMIELABORADOS!$A$2:$M$6000,2,0),"")</f>
        <v/>
      </c>
      <c r="C41" s="96">
        <f t="shared" si="11"/>
        <v>0</v>
      </c>
      <c r="D41" s="97" t="str">
        <f>IFERROR(VLOOKUP(H41,[1]SEMIELABORADOS!$A$2:$M$6000,6,0),"")</f>
        <v/>
      </c>
      <c r="E41" s="97" t="str">
        <f>IFERROR(VLOOKUP(H41,[1]SEMIELABORADOS!$A$2:$M$65536,10,0),"")</f>
        <v/>
      </c>
      <c r="F41" s="97" t="str">
        <f t="shared" si="12"/>
        <v/>
      </c>
      <c r="G41" s="98" t="str">
        <f t="shared" si="9"/>
        <v/>
      </c>
      <c r="H41" s="18"/>
      <c r="I41" s="18"/>
      <c r="J41" s="99"/>
    </row>
    <row r="42" spans="1:13" ht="14.25" thickBot="1" x14ac:dyDescent="0.3">
      <c r="A42" s="15"/>
      <c r="B42" s="17"/>
      <c r="C42" s="96"/>
      <c r="D42" s="97"/>
      <c r="E42" s="97"/>
      <c r="F42" s="97"/>
      <c r="G42" s="98"/>
      <c r="H42" s="18"/>
      <c r="I42" s="18"/>
      <c r="J42" s="99"/>
    </row>
    <row r="43" spans="1:13" ht="26.25" thickBot="1" x14ac:dyDescent="0.25">
      <c r="A43" s="10" t="s">
        <v>36</v>
      </c>
      <c r="B43" s="11" t="s">
        <v>46</v>
      </c>
      <c r="C43" s="11" t="s">
        <v>36</v>
      </c>
      <c r="D43" s="12" t="s">
        <v>38</v>
      </c>
      <c r="E43" s="12" t="s">
        <v>39</v>
      </c>
      <c r="F43" s="12" t="s">
        <v>40</v>
      </c>
      <c r="G43" s="12" t="s">
        <v>41</v>
      </c>
      <c r="H43" s="13" t="s">
        <v>42</v>
      </c>
      <c r="I43" s="14"/>
      <c r="J43" s="99"/>
    </row>
    <row r="44" spans="1:13" ht="13.5" x14ac:dyDescent="0.25">
      <c r="A44" s="15">
        <f>+A35</f>
        <v>100</v>
      </c>
      <c r="B44" s="17" t="str">
        <f>IFERROR(VLOOKUP(H44,[1]SEMIELABORADOS!$A$2:$M$6000,2,0),"")</f>
        <v>GALLETA 1/2 LUNA BAÑADO CHOCO LECHE UND</v>
      </c>
      <c r="C44" s="96">
        <f>+A44</f>
        <v>100</v>
      </c>
      <c r="D44" s="97" t="str">
        <f>IFERROR(VLOOKUP(H44,[1]SEMIELABORADOS!$A$2:$M$6000,6,0),"")</f>
        <v>Und</v>
      </c>
      <c r="E44" s="97">
        <v>0.96</v>
      </c>
      <c r="F44" s="97">
        <f>IFERROR(E44*C44,"")</f>
        <v>96</v>
      </c>
      <c r="G44" s="98">
        <f>IFERROR(F44/$F$66,"")</f>
        <v>0.15965107370890511</v>
      </c>
      <c r="H44" s="18" t="s">
        <v>108</v>
      </c>
      <c r="I44" s="14"/>
      <c r="J44" s="99"/>
    </row>
    <row r="45" spans="1:13" ht="13.5" hidden="1" x14ac:dyDescent="0.25">
      <c r="A45" s="15">
        <f t="shared" ref="A45:A50" si="13">+A36</f>
        <v>0</v>
      </c>
      <c r="B45" s="17" t="str">
        <f>IFERROR(VLOOKUP(H45,[1]SEMIELABORADOS!$A$2:$M$6000,2,0),"")</f>
        <v/>
      </c>
      <c r="C45" s="96">
        <f t="shared" ref="C45:C50" si="14">+A45</f>
        <v>0</v>
      </c>
      <c r="D45" s="97" t="str">
        <f>IFERROR(VLOOKUP(H45,[1]SEMIELABORADOS!$A$2:$M$6000,6,0),"")</f>
        <v/>
      </c>
      <c r="E45" s="97" t="str">
        <f>IFERROR(VLOOKUP(H45,[1]SEMIELABORADOS!$A$2:$M$65536,12,0),"")</f>
        <v/>
      </c>
      <c r="F45" s="97" t="str">
        <f t="shared" ref="F45:F50" si="15">IFERROR(E45*C45,"")</f>
        <v/>
      </c>
      <c r="G45" s="98" t="str">
        <f t="shared" ref="G45:G50" si="16">IFERROR(F45/$F$66,"")</f>
        <v/>
      </c>
      <c r="H45" s="18"/>
      <c r="I45" s="14"/>
      <c r="J45" s="99"/>
      <c r="M45" s="100"/>
    </row>
    <row r="46" spans="1:13" ht="13.5" hidden="1" x14ac:dyDescent="0.25">
      <c r="A46" s="15">
        <f t="shared" si="13"/>
        <v>0</v>
      </c>
      <c r="B46" s="17" t="str">
        <f>IFERROR(VLOOKUP(H46,[1]SEMIELABORADOS!$A$2:$M$6000,2,0),"")</f>
        <v/>
      </c>
      <c r="C46" s="96">
        <f t="shared" si="14"/>
        <v>0</v>
      </c>
      <c r="D46" s="97" t="str">
        <f>IFERROR(VLOOKUP(H46,[1]SEMIELABORADOS!$A$2:$M$6000,6,0),"")</f>
        <v/>
      </c>
      <c r="E46" s="97" t="str">
        <f>IFERROR(VLOOKUP(H46,[1]SEMIELABORADOS!$A$2:$M$65536,12,0),"")</f>
        <v/>
      </c>
      <c r="F46" s="97" t="str">
        <f t="shared" si="15"/>
        <v/>
      </c>
      <c r="G46" s="98" t="str">
        <f t="shared" si="16"/>
        <v/>
      </c>
      <c r="H46" s="18"/>
      <c r="I46" s="14"/>
      <c r="J46" s="99"/>
    </row>
    <row r="47" spans="1:13" ht="13.5" hidden="1" x14ac:dyDescent="0.25">
      <c r="A47" s="15">
        <f t="shared" si="13"/>
        <v>0</v>
      </c>
      <c r="B47" s="17" t="str">
        <f>IFERROR(VLOOKUP(H47,[1]SEMIELABORADOS!$A$2:$M$6000,2,0),"")</f>
        <v/>
      </c>
      <c r="C47" s="96">
        <f t="shared" si="14"/>
        <v>0</v>
      </c>
      <c r="D47" s="97" t="str">
        <f>IFERROR(VLOOKUP(H47,[1]SEMIELABORADOS!$A$2:$M$6000,6,0),"")</f>
        <v/>
      </c>
      <c r="E47" s="97" t="str">
        <f>IFERROR(VLOOKUP(H47,[1]SEMIELABORADOS!$A$2:$M$65536,12,0),"")</f>
        <v/>
      </c>
      <c r="F47" s="97" t="str">
        <f t="shared" si="15"/>
        <v/>
      </c>
      <c r="G47" s="98" t="str">
        <f t="shared" si="16"/>
        <v/>
      </c>
      <c r="H47" s="18"/>
      <c r="I47" s="14"/>
      <c r="J47" s="99"/>
    </row>
    <row r="48" spans="1:13" ht="13.5" hidden="1" x14ac:dyDescent="0.25">
      <c r="A48" s="15">
        <f t="shared" si="13"/>
        <v>0</v>
      </c>
      <c r="B48" s="17" t="str">
        <f>IFERROR(VLOOKUP(H48,[1]SEMIELABORADOS!$A$2:$M$6000,2,0),"")</f>
        <v/>
      </c>
      <c r="C48" s="96">
        <f t="shared" si="14"/>
        <v>0</v>
      </c>
      <c r="D48" s="97" t="str">
        <f>IFERROR(VLOOKUP(H48,[1]SEMIELABORADOS!$A$2:$M$6000,6,0),"")</f>
        <v/>
      </c>
      <c r="E48" s="97" t="str">
        <f>IFERROR(VLOOKUP(H48,[1]SEMIELABORADOS!$A$2:$M$65536,12,0),"")</f>
        <v/>
      </c>
      <c r="F48" s="97" t="str">
        <f t="shared" si="15"/>
        <v/>
      </c>
      <c r="G48" s="98" t="str">
        <f t="shared" si="16"/>
        <v/>
      </c>
      <c r="H48" s="18"/>
      <c r="I48" s="14"/>
      <c r="J48" s="99"/>
    </row>
    <row r="49" spans="1:17" ht="13.5" hidden="1" x14ac:dyDescent="0.25">
      <c r="A49" s="15">
        <f t="shared" si="13"/>
        <v>0</v>
      </c>
      <c r="B49" s="17" t="str">
        <f>IFERROR(VLOOKUP(H49,[1]SEMIELABORADOS!$A$2:$M$6000,2,0),"")</f>
        <v/>
      </c>
      <c r="C49" s="96">
        <f t="shared" si="14"/>
        <v>0</v>
      </c>
      <c r="D49" s="97" t="str">
        <f>IFERROR(VLOOKUP(H49,[1]SEMIELABORADOS!$A$2:$M$6000,6,0),"")</f>
        <v/>
      </c>
      <c r="E49" s="97" t="str">
        <f>IFERROR(VLOOKUP(H49,[1]SEMIELABORADOS!$A$2:$M$65536,12,0),"")</f>
        <v/>
      </c>
      <c r="F49" s="97" t="str">
        <f t="shared" si="15"/>
        <v/>
      </c>
      <c r="G49" s="98" t="str">
        <f t="shared" si="16"/>
        <v/>
      </c>
      <c r="H49" s="18"/>
      <c r="I49" s="14"/>
      <c r="J49" s="99"/>
    </row>
    <row r="50" spans="1:17" ht="13.5" hidden="1" x14ac:dyDescent="0.25">
      <c r="A50" s="15">
        <f t="shared" si="13"/>
        <v>0</v>
      </c>
      <c r="B50" s="17" t="str">
        <f>IFERROR(VLOOKUP(H50,[1]SEMIELABORADOS!$A$2:$M$6000,2,0),"")</f>
        <v/>
      </c>
      <c r="C50" s="96">
        <f t="shared" si="14"/>
        <v>0</v>
      </c>
      <c r="D50" s="97" t="str">
        <f>IFERROR(VLOOKUP(H50,[1]SEMIELABORADOS!$A$2:$M$6000,6,0),"")</f>
        <v/>
      </c>
      <c r="E50" s="97" t="str">
        <f>IFERROR(VLOOKUP(H50,[1]SEMIELABORADOS!$A$2:$M$65536,12,0),"")</f>
        <v/>
      </c>
      <c r="F50" s="97" t="str">
        <f t="shared" si="15"/>
        <v/>
      </c>
      <c r="G50" s="98" t="str">
        <f t="shared" si="16"/>
        <v/>
      </c>
      <c r="H50" s="17"/>
      <c r="I50" s="14"/>
      <c r="J50" s="99"/>
    </row>
    <row r="51" spans="1:17" ht="13.5" x14ac:dyDescent="0.25">
      <c r="A51" s="15">
        <v>1</v>
      </c>
      <c r="B51" s="17" t="s">
        <v>47</v>
      </c>
      <c r="C51" s="96">
        <f>+A51</f>
        <v>1</v>
      </c>
      <c r="D51" s="96" t="s">
        <v>45</v>
      </c>
      <c r="E51" s="97">
        <f>+F65</f>
        <v>55</v>
      </c>
      <c r="F51" s="97">
        <f>IFERROR(C51*E51,"")</f>
        <v>55</v>
      </c>
      <c r="G51" s="98">
        <f>IFERROR(F51/$F$66,"")</f>
        <v>9.1466760979060216E-2</v>
      </c>
      <c r="H51" s="22"/>
      <c r="I51" s="22"/>
      <c r="J51" s="99"/>
    </row>
    <row r="52" spans="1:17" ht="14.25" thickBot="1" x14ac:dyDescent="0.3">
      <c r="A52" s="15"/>
      <c r="B52" s="17"/>
      <c r="C52" s="96"/>
      <c r="D52" s="96"/>
      <c r="E52" s="97"/>
      <c r="F52" s="97"/>
      <c r="G52" s="98"/>
      <c r="H52" s="22"/>
      <c r="I52" s="22"/>
      <c r="J52" s="99"/>
    </row>
    <row r="53" spans="1:17" ht="13.5" thickBot="1" x14ac:dyDescent="0.25">
      <c r="A53" s="23"/>
      <c r="B53" s="214" t="s">
        <v>48</v>
      </c>
      <c r="C53" s="214"/>
      <c r="D53" s="214"/>
      <c r="E53" s="214"/>
      <c r="F53" s="101">
        <f>SUM(F8:F14,F17:F24)</f>
        <v>328</v>
      </c>
      <c r="G53" s="98">
        <f>+F53/$F$66</f>
        <v>0.54547450183875912</v>
      </c>
      <c r="H53" s="102">
        <f>+F53/$D$60</f>
        <v>328</v>
      </c>
      <c r="I53" s="102"/>
      <c r="J53" s="25"/>
      <c r="K53" s="26"/>
      <c r="L53" s="26"/>
      <c r="M53" s="26"/>
      <c r="N53" s="26"/>
      <c r="O53" s="26"/>
      <c r="P53" s="26"/>
      <c r="Q53" s="27"/>
    </row>
    <row r="54" spans="1:17" x14ac:dyDescent="0.2">
      <c r="A54" s="23"/>
      <c r="B54" s="214" t="s">
        <v>49</v>
      </c>
      <c r="C54" s="214"/>
      <c r="D54" s="214"/>
      <c r="E54" s="214"/>
      <c r="F54" s="101">
        <f>SUM(F27:F32,F35:F41)</f>
        <v>211.75133333333338</v>
      </c>
      <c r="G54" s="98">
        <f>+F54/$F$66</f>
        <v>0.35214924714540563</v>
      </c>
      <c r="H54" s="102">
        <f>+F54/$D$60</f>
        <v>211.75133333333338</v>
      </c>
      <c r="I54" s="102"/>
      <c r="J54" s="28"/>
      <c r="K54" s="218" t="s">
        <v>50</v>
      </c>
      <c r="L54" s="219"/>
      <c r="M54" s="219"/>
      <c r="N54" s="219"/>
      <c r="O54" s="103">
        <f>+F55</f>
        <v>539.75133333333338</v>
      </c>
      <c r="P54" s="103"/>
      <c r="Q54" s="29"/>
    </row>
    <row r="55" spans="1:17" x14ac:dyDescent="0.2">
      <c r="A55" s="23"/>
      <c r="B55" s="214" t="s">
        <v>51</v>
      </c>
      <c r="C55" s="214"/>
      <c r="D55" s="214"/>
      <c r="E55" s="214"/>
      <c r="F55" s="101">
        <f>+F53+F54</f>
        <v>539.75133333333338</v>
      </c>
      <c r="G55" s="98">
        <f>+F55/$F$66</f>
        <v>0.89762374898416475</v>
      </c>
      <c r="H55" s="102">
        <f>+F55/$D$60</f>
        <v>539.75133333333338</v>
      </c>
      <c r="I55" s="102"/>
      <c r="J55" s="30"/>
      <c r="K55" s="31"/>
      <c r="M55" s="104" t="s">
        <v>52</v>
      </c>
      <c r="N55" s="105"/>
      <c r="O55" s="103">
        <v>151</v>
      </c>
      <c r="P55" s="103"/>
      <c r="Q55" s="29"/>
    </row>
    <row r="56" spans="1:17" ht="13.5" thickBot="1" x14ac:dyDescent="0.25">
      <c r="A56" s="23"/>
      <c r="B56" s="24"/>
      <c r="C56" s="214" t="s">
        <v>53</v>
      </c>
      <c r="D56" s="214"/>
      <c r="E56" s="214"/>
      <c r="F56" s="101">
        <f>SUM(F44:F51)</f>
        <v>151</v>
      </c>
      <c r="G56" s="98">
        <f>+F56/$F$66</f>
        <v>0.25111783468796528</v>
      </c>
      <c r="H56" s="102">
        <f>+F56/$D$60</f>
        <v>151</v>
      </c>
      <c r="I56" s="102"/>
      <c r="J56" s="30"/>
      <c r="K56" s="31"/>
      <c r="L56" s="31"/>
      <c r="M56" s="31" t="s">
        <v>54</v>
      </c>
      <c r="N56" s="106"/>
      <c r="O56" s="103">
        <f>O54*N56</f>
        <v>0</v>
      </c>
      <c r="P56" s="103"/>
      <c r="Q56" s="29"/>
    </row>
    <row r="57" spans="1:17" ht="13.5" thickBot="1" x14ac:dyDescent="0.25">
      <c r="A57" s="23"/>
      <c r="B57" s="32"/>
      <c r="C57" s="32"/>
      <c r="D57" s="32"/>
      <c r="E57" s="32"/>
      <c r="F57" s="107"/>
      <c r="G57" s="98"/>
      <c r="H57" s="33"/>
      <c r="I57" s="102"/>
      <c r="J57" s="30"/>
      <c r="K57" s="34"/>
      <c r="M57" s="35" t="s">
        <v>55</v>
      </c>
      <c r="N57" s="36"/>
      <c r="O57" s="37">
        <f>SUM(O54:O56)</f>
        <v>690.75133333333338</v>
      </c>
      <c r="P57" s="108"/>
      <c r="Q57" s="29"/>
    </row>
    <row r="58" spans="1:17" x14ac:dyDescent="0.2">
      <c r="B58" s="216" t="s">
        <v>56</v>
      </c>
      <c r="C58" s="216"/>
      <c r="D58" s="109">
        <v>100</v>
      </c>
      <c r="E58" s="38"/>
      <c r="G58" s="98"/>
      <c r="H58" s="33"/>
      <c r="I58" s="110"/>
      <c r="J58" s="30"/>
      <c r="K58" s="34"/>
      <c r="L58" s="31"/>
      <c r="M58" s="31" t="s">
        <v>119</v>
      </c>
      <c r="N58" s="111">
        <v>0.16</v>
      </c>
      <c r="O58" s="103">
        <f>+O54*N58</f>
        <v>86.360213333333348</v>
      </c>
      <c r="P58" s="103"/>
      <c r="Q58" s="29"/>
    </row>
    <row r="59" spans="1:17" x14ac:dyDescent="0.2">
      <c r="B59" s="216" t="s">
        <v>57</v>
      </c>
      <c r="C59" s="216"/>
      <c r="D59" s="39">
        <v>100</v>
      </c>
      <c r="E59" s="38"/>
      <c r="G59" s="98"/>
      <c r="H59" s="33"/>
      <c r="I59" s="110"/>
      <c r="J59" s="30"/>
      <c r="K59" s="34"/>
      <c r="L59" s="31"/>
      <c r="M59" s="209" t="s">
        <v>55</v>
      </c>
      <c r="N59" s="209"/>
      <c r="O59" s="103">
        <f>SUM(O57:O58)</f>
        <v>777.11154666666675</v>
      </c>
      <c r="P59" s="103"/>
      <c r="Q59" s="29"/>
    </row>
    <row r="60" spans="1:17" ht="13.5" thickBot="1" x14ac:dyDescent="0.25">
      <c r="B60" s="210" t="s">
        <v>58</v>
      </c>
      <c r="C60" s="210"/>
      <c r="D60" s="109">
        <f>+D58/D59</f>
        <v>1</v>
      </c>
      <c r="E60" s="38"/>
      <c r="F60" s="40"/>
      <c r="G60" s="98"/>
      <c r="H60" s="33"/>
      <c r="I60" s="110"/>
      <c r="J60" s="30"/>
      <c r="K60" s="34"/>
      <c r="L60" s="209"/>
      <c r="M60" s="209"/>
      <c r="N60" s="111"/>
      <c r="O60" s="103">
        <f>+O59*N60</f>
        <v>0</v>
      </c>
      <c r="P60" s="103"/>
      <c r="Q60" s="29"/>
    </row>
    <row r="61" spans="1:17" ht="13.5" thickBot="1" x14ac:dyDescent="0.25">
      <c r="B61" s="210" t="s">
        <v>59</v>
      </c>
      <c r="C61" s="210"/>
      <c r="D61" s="41"/>
      <c r="E61" s="38"/>
      <c r="F61" s="40"/>
      <c r="G61" s="98"/>
      <c r="H61" s="33"/>
      <c r="I61" s="110"/>
      <c r="J61" s="30"/>
      <c r="K61" s="211" t="s">
        <v>60</v>
      </c>
      <c r="L61" s="212"/>
      <c r="M61" s="212"/>
      <c r="N61" s="213"/>
      <c r="O61" s="37">
        <f>SUM(O59:O60)</f>
        <v>777.11154666666675</v>
      </c>
      <c r="P61" s="42" t="s">
        <v>61</v>
      </c>
      <c r="Q61" s="29"/>
    </row>
    <row r="62" spans="1:17" ht="13.5" thickBot="1" x14ac:dyDescent="0.25">
      <c r="C62" s="23" t="s">
        <v>62</v>
      </c>
      <c r="D62" s="43"/>
      <c r="E62" s="4" t="s">
        <v>63</v>
      </c>
      <c r="F62" s="44" t="s">
        <v>64</v>
      </c>
      <c r="G62" s="98"/>
      <c r="H62" s="33"/>
      <c r="I62" s="110"/>
      <c r="J62" s="45"/>
      <c r="K62" s="46"/>
      <c r="L62" s="199" t="s">
        <v>65</v>
      </c>
      <c r="M62" s="199"/>
      <c r="N62" s="199"/>
      <c r="O62" s="112">
        <f>+O61/D60</f>
        <v>777.11154666666675</v>
      </c>
      <c r="P62" s="113">
        <f>+O62/D59</f>
        <v>7.771115466666668</v>
      </c>
      <c r="Q62" s="47"/>
    </row>
    <row r="63" spans="1:17" ht="13.5" thickBot="1" x14ac:dyDescent="0.25">
      <c r="B63" s="200" t="s">
        <v>51</v>
      </c>
      <c r="C63" s="200"/>
      <c r="D63" s="200"/>
      <c r="E63" s="114">
        <f>+F63/F63</f>
        <v>1</v>
      </c>
      <c r="F63" s="115">
        <f>SUM(F55)</f>
        <v>539.75133333333338</v>
      </c>
      <c r="G63" s="98">
        <f>+F63/$F$66</f>
        <v>0.89762374898416475</v>
      </c>
      <c r="H63" s="33"/>
      <c r="I63" s="110"/>
      <c r="K63" s="201"/>
      <c r="L63" s="202"/>
      <c r="M63" s="202"/>
      <c r="N63" s="202"/>
      <c r="O63" s="48"/>
      <c r="P63" s="49"/>
    </row>
    <row r="64" spans="1:17" ht="13.5" thickBot="1" x14ac:dyDescent="0.25">
      <c r="B64" s="203" t="s">
        <v>66</v>
      </c>
      <c r="C64" s="203"/>
      <c r="D64" s="203"/>
      <c r="E64" s="116">
        <v>0.02</v>
      </c>
      <c r="F64" s="115">
        <f>+F53*E64</f>
        <v>6.5600000000000005</v>
      </c>
      <c r="G64" s="98">
        <f>+F64/$F$66</f>
        <v>1.0909490036775183E-2</v>
      </c>
      <c r="H64" s="102"/>
      <c r="I64" s="110"/>
      <c r="J64" s="117"/>
      <c r="O64" s="50"/>
      <c r="P64" s="24"/>
    </row>
    <row r="65" spans="2:10" ht="13.5" thickBot="1" x14ac:dyDescent="0.25">
      <c r="B65" s="204" t="s">
        <v>67</v>
      </c>
      <c r="C65" s="205"/>
      <c r="D65" s="51">
        <v>1</v>
      </c>
      <c r="E65" s="118">
        <v>55</v>
      </c>
      <c r="F65" s="115">
        <f>+E65*D65</f>
        <v>55</v>
      </c>
      <c r="G65" s="98">
        <f>+F65/$F$66</f>
        <v>9.1466760979060216E-2</v>
      </c>
      <c r="H65" s="102"/>
      <c r="I65" s="102"/>
      <c r="J65" s="99"/>
    </row>
    <row r="66" spans="2:10" ht="13.5" thickBot="1" x14ac:dyDescent="0.25">
      <c r="B66" s="206" t="s">
        <v>68</v>
      </c>
      <c r="C66" s="207"/>
      <c r="D66" s="207"/>
      <c r="E66" s="208"/>
      <c r="F66" s="107">
        <f>SUM(F63:F65)</f>
        <v>601.31133333333332</v>
      </c>
      <c r="G66" s="98">
        <f>+F66/$F$66</f>
        <v>1</v>
      </c>
      <c r="H66" s="215"/>
      <c r="I66" s="102"/>
      <c r="J66" s="99"/>
    </row>
    <row r="67" spans="2:10" x14ac:dyDescent="0.2">
      <c r="C67" s="100"/>
      <c r="D67" s="100"/>
      <c r="E67" s="120"/>
      <c r="F67" s="115"/>
      <c r="G67" s="98"/>
      <c r="H67" s="215"/>
      <c r="I67" s="119"/>
      <c r="J67" s="6"/>
    </row>
    <row r="68" spans="2:10" ht="13.5" thickBot="1" x14ac:dyDescent="0.25">
      <c r="B68" s="194" t="s">
        <v>69</v>
      </c>
      <c r="C68" s="194"/>
      <c r="D68" s="194"/>
      <c r="E68" s="194"/>
      <c r="F68" s="194"/>
      <c r="G68" s="98"/>
      <c r="H68" s="53"/>
      <c r="I68" s="119"/>
      <c r="J68" s="6"/>
    </row>
    <row r="69" spans="2:10" ht="13.5" thickBot="1" x14ac:dyDescent="0.25">
      <c r="B69" s="54" t="s">
        <v>70</v>
      </c>
      <c r="C69" s="121">
        <f>+F53</f>
        <v>328</v>
      </c>
      <c r="D69" s="121">
        <f>+D58</f>
        <v>100</v>
      </c>
      <c r="E69" s="55">
        <f>+C69/D69</f>
        <v>3.28</v>
      </c>
      <c r="F69" s="98"/>
      <c r="G69" s="53"/>
      <c r="H69" s="99"/>
      <c r="I69" s="53"/>
      <c r="J69" s="6"/>
    </row>
    <row r="70" spans="2:10" x14ac:dyDescent="0.2">
      <c r="B70" s="56"/>
      <c r="C70" s="122"/>
      <c r="D70" s="123"/>
      <c r="E70" s="115"/>
      <c r="F70" s="98"/>
      <c r="G70" s="53"/>
      <c r="H70" s="99"/>
      <c r="I70" s="99"/>
      <c r="J70" s="6"/>
    </row>
    <row r="71" spans="2:10" x14ac:dyDescent="0.2">
      <c r="B71" s="54" t="s">
        <v>71</v>
      </c>
      <c r="C71" s="121">
        <f>SUM(F63:F64)</f>
        <v>546.31133333333332</v>
      </c>
      <c r="D71" s="121">
        <f>+D58</f>
        <v>100</v>
      </c>
      <c r="E71" s="124">
        <f>+C71/D71</f>
        <v>5.4631133333333333</v>
      </c>
      <c r="F71" s="98"/>
      <c r="G71" s="53"/>
      <c r="H71" s="99"/>
      <c r="I71" s="99"/>
      <c r="J71" s="6"/>
    </row>
    <row r="72" spans="2:10" x14ac:dyDescent="0.2">
      <c r="B72" s="54"/>
      <c r="C72" s="121"/>
      <c r="D72" s="121"/>
      <c r="E72" s="124"/>
      <c r="F72" s="98"/>
      <c r="G72" s="53"/>
      <c r="H72" s="99"/>
      <c r="I72" s="99"/>
      <c r="J72" s="6"/>
    </row>
    <row r="73" spans="2:10" ht="13.5" thickBot="1" x14ac:dyDescent="0.25">
      <c r="B73" s="54" t="s">
        <v>72</v>
      </c>
      <c r="C73" s="121">
        <f>+F65</f>
        <v>55</v>
      </c>
      <c r="D73" s="121">
        <f>+D58</f>
        <v>100</v>
      </c>
      <c r="E73" s="124">
        <f>+C73/D73</f>
        <v>0.55000000000000004</v>
      </c>
      <c r="F73" s="98"/>
      <c r="G73" s="53"/>
      <c r="H73" s="99"/>
      <c r="I73" s="99"/>
      <c r="J73" s="6"/>
    </row>
    <row r="74" spans="2:10" ht="13.5" thickBot="1" x14ac:dyDescent="0.25">
      <c r="B74" s="54" t="s">
        <v>73</v>
      </c>
      <c r="C74" s="121">
        <f>+F56</f>
        <v>151</v>
      </c>
      <c r="D74" s="121">
        <f>+D73</f>
        <v>100</v>
      </c>
      <c r="E74" s="55">
        <f>+C74/D74</f>
        <v>1.51</v>
      </c>
      <c r="F74" s="98"/>
      <c r="G74" s="53"/>
      <c r="H74" s="99"/>
      <c r="I74" s="99"/>
      <c r="J74" s="6"/>
    </row>
    <row r="75" spans="2:10" ht="13.5" thickBot="1" x14ac:dyDescent="0.25">
      <c r="B75" s="32"/>
      <c r="C75" s="107"/>
      <c r="D75" s="107"/>
      <c r="E75" s="124"/>
      <c r="F75" s="98"/>
      <c r="G75" s="53"/>
      <c r="H75" s="99"/>
      <c r="I75" s="99"/>
      <c r="J75" s="6"/>
    </row>
    <row r="76" spans="2:10" ht="13.5" thickBot="1" x14ac:dyDescent="0.25">
      <c r="B76" s="54" t="s">
        <v>74</v>
      </c>
      <c r="C76" s="121">
        <f>+F54</f>
        <v>211.75133333333338</v>
      </c>
      <c r="D76" s="121">
        <f>+D74</f>
        <v>100</v>
      </c>
      <c r="E76" s="55">
        <f>+C76/D76</f>
        <v>2.1175133333333336</v>
      </c>
      <c r="F76" s="98"/>
      <c r="G76" s="53"/>
      <c r="H76" s="99"/>
      <c r="I76" s="99"/>
      <c r="J76" s="99"/>
    </row>
    <row r="77" spans="2:10" ht="13.5" thickBot="1" x14ac:dyDescent="0.25">
      <c r="B77" s="32"/>
      <c r="C77" s="107"/>
      <c r="D77" s="107"/>
      <c r="E77" s="124"/>
      <c r="F77" s="98"/>
      <c r="G77" s="53"/>
      <c r="H77" s="99"/>
      <c r="I77" s="99"/>
    </row>
    <row r="78" spans="2:10" ht="13.5" thickBot="1" x14ac:dyDescent="0.25">
      <c r="B78" s="195" t="s">
        <v>75</v>
      </c>
      <c r="C78" s="196"/>
      <c r="D78" s="197"/>
      <c r="E78" s="55">
        <f>+E69+E74</f>
        <v>4.79</v>
      </c>
      <c r="G78" s="98"/>
      <c r="H78" s="53"/>
      <c r="I78" s="99"/>
      <c r="J78" s="124"/>
    </row>
    <row r="79" spans="2:10" x14ac:dyDescent="0.2">
      <c r="I79" s="53"/>
      <c r="J79" s="6"/>
    </row>
    <row r="80" spans="2:10" ht="13.5" thickBot="1" x14ac:dyDescent="0.25">
      <c r="B80" s="194" t="s">
        <v>76</v>
      </c>
      <c r="C80" s="194"/>
      <c r="D80" s="194"/>
      <c r="E80" s="194"/>
      <c r="F80" s="194"/>
      <c r="G80" s="98"/>
      <c r="H80" s="53"/>
      <c r="J80" s="6"/>
    </row>
    <row r="81" spans="1:10" ht="13.5" thickBot="1" x14ac:dyDescent="0.25">
      <c r="B81" s="54" t="s">
        <v>70</v>
      </c>
      <c r="C81" s="121">
        <f>+C69</f>
        <v>328</v>
      </c>
      <c r="D81" s="121">
        <f>+D60</f>
        <v>1</v>
      </c>
      <c r="E81" s="55">
        <f>+C81/D81</f>
        <v>328</v>
      </c>
      <c r="F81" s="98"/>
      <c r="G81" s="53"/>
      <c r="H81" s="99"/>
      <c r="I81" s="53"/>
      <c r="J81" s="6"/>
    </row>
    <row r="82" spans="1:10" x14ac:dyDescent="0.2">
      <c r="B82" s="56"/>
      <c r="C82" s="122"/>
      <c r="D82" s="123"/>
      <c r="E82" s="115"/>
      <c r="F82" s="98"/>
      <c r="G82" s="53"/>
      <c r="H82" s="99"/>
      <c r="I82" s="99"/>
      <c r="J82" s="6"/>
    </row>
    <row r="83" spans="1:10" x14ac:dyDescent="0.2">
      <c r="B83" s="54" t="s">
        <v>71</v>
      </c>
      <c r="C83" s="121">
        <f>+C71</f>
        <v>546.31133333333332</v>
      </c>
      <c r="D83" s="121">
        <f>+D60</f>
        <v>1</v>
      </c>
      <c r="E83" s="124">
        <f>+C83/D83</f>
        <v>546.31133333333332</v>
      </c>
      <c r="F83" s="98"/>
      <c r="G83" s="53"/>
      <c r="H83" s="99"/>
      <c r="I83" s="99"/>
      <c r="J83" s="6"/>
    </row>
    <row r="84" spans="1:10" x14ac:dyDescent="0.2">
      <c r="B84" s="54"/>
      <c r="C84" s="121"/>
      <c r="D84" s="121"/>
      <c r="E84" s="124"/>
      <c r="F84" s="98"/>
      <c r="G84" s="53"/>
      <c r="H84" s="99"/>
      <c r="I84" s="99"/>
      <c r="J84" s="6"/>
    </row>
    <row r="85" spans="1:10" ht="13.5" thickBot="1" x14ac:dyDescent="0.25">
      <c r="B85" s="54" t="s">
        <v>73</v>
      </c>
      <c r="C85" s="121">
        <f>+C73</f>
        <v>55</v>
      </c>
      <c r="D85" s="121">
        <f>+D60</f>
        <v>1</v>
      </c>
      <c r="E85" s="124">
        <f>+C85/D85</f>
        <v>55</v>
      </c>
      <c r="F85" s="126"/>
      <c r="G85" s="52"/>
      <c r="H85" s="5"/>
      <c r="I85" s="99"/>
    </row>
    <row r="86" spans="1:10" ht="13.5" thickBot="1" x14ac:dyDescent="0.25">
      <c r="B86" s="54" t="s">
        <v>73</v>
      </c>
      <c r="C86" s="121">
        <f>+C74</f>
        <v>151</v>
      </c>
      <c r="D86" s="121">
        <f>+D85</f>
        <v>1</v>
      </c>
      <c r="E86" s="55">
        <f>+C86/D86</f>
        <v>151</v>
      </c>
      <c r="F86" s="125"/>
      <c r="G86" s="52"/>
      <c r="H86" s="5"/>
      <c r="I86" s="5"/>
    </row>
    <row r="87" spans="1:10" x14ac:dyDescent="0.2">
      <c r="I87" s="5"/>
    </row>
    <row r="88" spans="1:10" x14ac:dyDescent="0.2">
      <c r="A88" s="198"/>
      <c r="B88" s="198"/>
      <c r="C88" s="57"/>
      <c r="D88" s="57"/>
      <c r="E88" s="127"/>
      <c r="G88" s="128"/>
    </row>
    <row r="89" spans="1:10" x14ac:dyDescent="0.2">
      <c r="A89" s="17"/>
      <c r="B89" s="58"/>
      <c r="C89" s="129"/>
      <c r="D89" s="129"/>
      <c r="E89" s="59"/>
      <c r="G89" s="128"/>
    </row>
    <row r="90" spans="1:10" x14ac:dyDescent="0.2">
      <c r="A90" s="17"/>
      <c r="B90" s="58"/>
      <c r="C90" s="60"/>
      <c r="D90" s="60"/>
      <c r="E90" s="17"/>
      <c r="G90" s="128"/>
    </row>
    <row r="91" spans="1:10" x14ac:dyDescent="0.2">
      <c r="A91" s="17"/>
      <c r="B91" s="58"/>
      <c r="C91" s="61"/>
      <c r="D91" s="61"/>
      <c r="E91" s="17"/>
      <c r="G91" s="128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topLeftCell="A3" workbookViewId="0">
      <selection activeCell="B34" sqref="B34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125" bestFit="1" customWidth="1"/>
    <col min="8" max="8" width="10.42578125" style="52" bestFit="1" customWidth="1"/>
    <col min="9" max="9" width="4.5703125" style="52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30</v>
      </c>
      <c r="F1" s="3" t="s">
        <v>31</v>
      </c>
      <c r="G1" s="3" t="s">
        <v>32</v>
      </c>
      <c r="H1" s="3" t="s">
        <v>33</v>
      </c>
      <c r="I1" s="4"/>
    </row>
    <row r="2" spans="1:10" ht="30.75" customHeight="1" x14ac:dyDescent="0.2">
      <c r="A2" s="1"/>
      <c r="B2" s="1"/>
      <c r="C2" s="1"/>
      <c r="D2" s="1"/>
      <c r="E2" s="93">
        <f>IFERROR(O62,"")</f>
        <v>548.04370156913239</v>
      </c>
      <c r="F2" s="93">
        <f>IFERROR(H53,"")</f>
        <v>288.86713346554893</v>
      </c>
      <c r="G2" s="93">
        <f>IFERROR(H54,"")</f>
        <v>120.1207035263409</v>
      </c>
      <c r="H2" s="93">
        <f>IFERROR(H56,"")</f>
        <v>79.97477065854018</v>
      </c>
      <c r="I2" s="94"/>
    </row>
    <row r="3" spans="1:10" ht="15" customHeight="1" x14ac:dyDescent="0.2">
      <c r="A3" s="1"/>
      <c r="B3" s="1"/>
      <c r="C3" s="1"/>
      <c r="D3" s="1"/>
      <c r="E3" s="1"/>
      <c r="F3" s="95"/>
      <c r="G3" s="95"/>
      <c r="H3" s="95"/>
      <c r="I3" s="95"/>
    </row>
    <row r="4" spans="1:10" ht="24.75" customHeight="1" thickBot="1" x14ac:dyDescent="0.25">
      <c r="A4" s="220"/>
      <c r="B4" s="220"/>
      <c r="C4" s="220"/>
      <c r="D4" s="220"/>
      <c r="E4" s="220"/>
      <c r="F4" s="220"/>
      <c r="G4" s="220"/>
      <c r="H4" s="220"/>
      <c r="I4" s="7"/>
    </row>
    <row r="5" spans="1:10" ht="19.5" customHeight="1" thickBot="1" x14ac:dyDescent="0.25">
      <c r="A5" s="221" t="s">
        <v>34</v>
      </c>
      <c r="B5" s="222"/>
      <c r="C5" s="222"/>
      <c r="D5" s="222"/>
      <c r="E5" s="222"/>
      <c r="F5" s="222"/>
      <c r="G5" s="222"/>
      <c r="H5" s="223"/>
      <c r="I5" s="8"/>
    </row>
    <row r="6" spans="1:10" ht="19.5" thickBot="1" x14ac:dyDescent="0.25">
      <c r="A6" s="8"/>
      <c r="B6" s="8"/>
      <c r="C6" s="8"/>
      <c r="D6" s="8"/>
      <c r="E6" s="8"/>
      <c r="F6" s="224" t="s">
        <v>35</v>
      </c>
      <c r="G6" s="224"/>
      <c r="H6" s="9">
        <f ca="1">TODAY()</f>
        <v>45960</v>
      </c>
      <c r="I6" s="9"/>
    </row>
    <row r="7" spans="1:10" ht="26.25" hidden="1" thickBot="1" x14ac:dyDescent="0.25">
      <c r="A7" s="10" t="s">
        <v>36</v>
      </c>
      <c r="B7" s="11" t="s">
        <v>37</v>
      </c>
      <c r="C7" s="11" t="s">
        <v>36</v>
      </c>
      <c r="D7" s="12" t="s">
        <v>38</v>
      </c>
      <c r="E7" s="12" t="s">
        <v>39</v>
      </c>
      <c r="F7" s="12" t="s">
        <v>40</v>
      </c>
      <c r="G7" s="12" t="s">
        <v>41</v>
      </c>
      <c r="H7" s="13" t="s">
        <v>42</v>
      </c>
      <c r="I7" s="14"/>
    </row>
    <row r="8" spans="1:10" ht="13.5" hidden="1" x14ac:dyDescent="0.25">
      <c r="A8" s="15"/>
      <c r="B8" s="6" t="str">
        <f>IFERROR(VLOOKUP(H8,'[1]Consolidado MP Planta'!$A$2:$M$823,3,0),"")</f>
        <v/>
      </c>
      <c r="C8" s="96">
        <f>+A8</f>
        <v>0</v>
      </c>
      <c r="D8" s="97" t="str">
        <f>IFERROR(VLOOKUP(H8,'[1]Consolidado MP Planta'!$A$2:$M$823,13,0),"")</f>
        <v/>
      </c>
      <c r="E8" s="97" t="str">
        <f>IFERROR(VLOOKUP(H8,'[1]Consolidado MP Planta'!$A$2:$M$823,12,0),"")</f>
        <v/>
      </c>
      <c r="F8" s="97" t="str">
        <f>IFERROR(C8*E8,"")</f>
        <v/>
      </c>
      <c r="G8" s="98" t="str">
        <f t="shared" ref="G8:G14" si="0">IFERROR(F8/$F$66,"")</f>
        <v/>
      </c>
      <c r="H8" s="16"/>
      <c r="I8" s="16"/>
      <c r="J8" s="99"/>
    </row>
    <row r="9" spans="1:10" ht="13.5" hidden="1" x14ac:dyDescent="0.25">
      <c r="A9" s="15"/>
      <c r="B9" s="6" t="str">
        <f>IFERROR(VLOOKUP(H9,'[1]Consolidado MP Planta'!$A$2:$M$823,3,0),"")</f>
        <v/>
      </c>
      <c r="C9" s="96">
        <f t="shared" ref="C9:C14" si="1">+A9</f>
        <v>0</v>
      </c>
      <c r="D9" s="97" t="str">
        <f>IFERROR(VLOOKUP(H9,'[1]Consolidado MP Planta'!$A$2:$M$823,13,0),"")</f>
        <v/>
      </c>
      <c r="E9" s="97" t="str">
        <f>IFERROR(VLOOKUP(H9,'[1]Consolidado MP Planta'!$A$2:$M$823,12,0),"")</f>
        <v/>
      </c>
      <c r="F9" s="97" t="str">
        <f t="shared" ref="F9:F14" si="2">IFERROR(C9*E9,"")</f>
        <v/>
      </c>
      <c r="G9" s="98" t="str">
        <f t="shared" si="0"/>
        <v/>
      </c>
      <c r="H9" s="16"/>
      <c r="I9" s="16"/>
      <c r="J9" s="99"/>
    </row>
    <row r="10" spans="1:10" ht="13.5" hidden="1" x14ac:dyDescent="0.25">
      <c r="A10" s="15"/>
      <c r="B10" s="6" t="str">
        <f>IFERROR(VLOOKUP(H10,'[1]Consolidado MP Planta'!$A$2:$M$823,3,0),"")</f>
        <v/>
      </c>
      <c r="C10" s="96">
        <f t="shared" si="1"/>
        <v>0</v>
      </c>
      <c r="D10" s="97" t="str">
        <f>IFERROR(VLOOKUP(H10,'[1]Consolidado MP Planta'!$A$2:$M$823,13,0),"")</f>
        <v/>
      </c>
      <c r="E10" s="97" t="str">
        <f>IFERROR(VLOOKUP(H10,'[1]Consolidado MP Planta'!$A$2:$M$823,12,0),"")</f>
        <v/>
      </c>
      <c r="F10" s="97" t="str">
        <f t="shared" si="2"/>
        <v/>
      </c>
      <c r="G10" s="98" t="str">
        <f t="shared" si="0"/>
        <v/>
      </c>
      <c r="H10" s="16"/>
      <c r="I10" s="16"/>
      <c r="J10" s="99"/>
    </row>
    <row r="11" spans="1:10" ht="13.5" hidden="1" x14ac:dyDescent="0.25">
      <c r="A11" s="15"/>
      <c r="B11" s="6" t="str">
        <f>IFERROR(VLOOKUP(H11,'[1]Consolidado MP Planta'!$A$2:$M$823,3,0),"")</f>
        <v/>
      </c>
      <c r="C11" s="96">
        <f t="shared" si="1"/>
        <v>0</v>
      </c>
      <c r="D11" s="97" t="str">
        <f>IFERROR(VLOOKUP(H11,'[1]Consolidado MP Planta'!$A$2:$M$823,13,0),"")</f>
        <v/>
      </c>
      <c r="E11" s="97" t="str">
        <f>IFERROR(VLOOKUP(H11,'[1]Consolidado MP Planta'!$A$2:$M$823,12,0),"")</f>
        <v/>
      </c>
      <c r="F11" s="97" t="str">
        <f t="shared" si="2"/>
        <v/>
      </c>
      <c r="G11" s="98" t="str">
        <f t="shared" si="0"/>
        <v/>
      </c>
      <c r="H11" s="16"/>
      <c r="I11" s="16"/>
      <c r="J11" s="99"/>
    </row>
    <row r="12" spans="1:10" ht="13.5" hidden="1" x14ac:dyDescent="0.25">
      <c r="A12" s="15"/>
      <c r="B12" s="6" t="str">
        <f>IFERROR(VLOOKUP(H12,'[1]Consolidado MP Planta'!$A$2:$M$823,3,0),"")</f>
        <v/>
      </c>
      <c r="C12" s="96">
        <f t="shared" si="1"/>
        <v>0</v>
      </c>
      <c r="D12" s="97" t="str">
        <f>IFERROR(VLOOKUP(H12,'[1]Consolidado MP Planta'!$A$2:$M$823,13,0),"")</f>
        <v/>
      </c>
      <c r="E12" s="97" t="str">
        <f>IFERROR(VLOOKUP(H12,'[1]Consolidado MP Planta'!$A$2:$M$823,12,0),"")</f>
        <v/>
      </c>
      <c r="F12" s="97" t="str">
        <f t="shared" si="2"/>
        <v/>
      </c>
      <c r="G12" s="98" t="str">
        <f t="shared" si="0"/>
        <v/>
      </c>
      <c r="H12" s="16"/>
      <c r="I12" s="16"/>
      <c r="J12" s="99"/>
    </row>
    <row r="13" spans="1:10" ht="13.5" hidden="1" x14ac:dyDescent="0.25">
      <c r="A13" s="15"/>
      <c r="B13" s="6" t="str">
        <f>IFERROR(VLOOKUP(H13,'[1]Consolidado MP Planta'!$A$2:$M$823,3,0),"")</f>
        <v/>
      </c>
      <c r="C13" s="96">
        <f t="shared" si="1"/>
        <v>0</v>
      </c>
      <c r="D13" s="97" t="str">
        <f>IFERROR(VLOOKUP(H13,'[1]Consolidado MP Planta'!$A$2:$M$823,13,0),"")</f>
        <v/>
      </c>
      <c r="E13" s="97" t="str">
        <f>IFERROR(VLOOKUP(H13,'[1]Consolidado MP Planta'!$A$2:$M$823,12,0),"")</f>
        <v/>
      </c>
      <c r="F13" s="97" t="str">
        <f t="shared" si="2"/>
        <v/>
      </c>
      <c r="G13" s="98" t="str">
        <f t="shared" si="0"/>
        <v/>
      </c>
      <c r="H13" s="16"/>
      <c r="I13" s="16"/>
      <c r="J13" s="99"/>
    </row>
    <row r="14" spans="1:10" ht="13.5" hidden="1" x14ac:dyDescent="0.25">
      <c r="A14" s="15"/>
      <c r="B14" s="6" t="str">
        <f>IFERROR(VLOOKUP(H14,'[1]Consolidado MP Planta'!$A$2:$M$823,3,0),"")</f>
        <v/>
      </c>
      <c r="C14" s="96">
        <f t="shared" si="1"/>
        <v>0</v>
      </c>
      <c r="D14" s="97" t="str">
        <f>IFERROR(VLOOKUP(H14,'[1]Consolidado MP Planta'!$A$2:$M$823,13,0),"")</f>
        <v/>
      </c>
      <c r="E14" s="97" t="str">
        <f>IFERROR(VLOOKUP(H14,'[1]Consolidado MP Planta'!$A$2:$M$823,12,0),"")</f>
        <v/>
      </c>
      <c r="F14" s="97" t="str">
        <f t="shared" si="2"/>
        <v/>
      </c>
      <c r="G14" s="98" t="str">
        <f t="shared" si="0"/>
        <v/>
      </c>
      <c r="H14" s="16"/>
      <c r="I14" s="16"/>
      <c r="J14" s="99"/>
    </row>
    <row r="15" spans="1:10" ht="14.25" hidden="1" thickBot="1" x14ac:dyDescent="0.3">
      <c r="A15" s="15"/>
      <c r="B15" s="6" t="str">
        <f>IFERROR(VLOOKUP(H15,'[3]Consolidado MP Planta'!$A$2:$G$589,2,0),"")</f>
        <v/>
      </c>
      <c r="C15" s="96"/>
      <c r="D15" s="97"/>
      <c r="E15" s="97"/>
      <c r="F15" s="97"/>
      <c r="G15" s="98"/>
      <c r="H15" s="16"/>
      <c r="I15" s="16"/>
      <c r="J15" s="99"/>
    </row>
    <row r="16" spans="1:10" ht="26.25" thickBot="1" x14ac:dyDescent="0.25">
      <c r="A16" s="10" t="s">
        <v>36</v>
      </c>
      <c r="B16" s="11" t="s">
        <v>43</v>
      </c>
      <c r="C16" s="11" t="s">
        <v>36</v>
      </c>
      <c r="D16" s="12" t="s">
        <v>38</v>
      </c>
      <c r="E16" s="12" t="s">
        <v>39</v>
      </c>
      <c r="F16" s="12" t="s">
        <v>40</v>
      </c>
      <c r="G16" s="12" t="s">
        <v>41</v>
      </c>
      <c r="H16" s="13" t="s">
        <v>42</v>
      </c>
      <c r="I16" s="14"/>
      <c r="J16" s="99"/>
    </row>
    <row r="17" spans="1:12" ht="13.5" x14ac:dyDescent="0.25">
      <c r="A17" s="15">
        <v>14</v>
      </c>
      <c r="B17" s="6" t="str">
        <f>IFERROR(VLOOKUP(H17,[1]SEMIELABORADOS!$A$2:$M$6000,2,0),"")</f>
        <v>GALLETA 1/2 LUNA BAÑADO CHOCO LECHE UND</v>
      </c>
      <c r="C17" s="96">
        <f>+A17</f>
        <v>14</v>
      </c>
      <c r="D17" s="96" t="str">
        <f>IFERROR(VLOOKUP(H17,[1]SEMIELABORADOS!$A$2:$M$6000,6,0),"")</f>
        <v>Und</v>
      </c>
      <c r="E17" s="97">
        <f>IFERROR(VLOOKUP(H17,[1]SEMIELABORADOS!$A$2:$H$65536,8,0),"")</f>
        <v>20.63336667611064</v>
      </c>
      <c r="F17" s="97">
        <f>IFERROR(E17*C17,"")</f>
        <v>288.86713346554893</v>
      </c>
      <c r="G17" s="98">
        <f>IFERROR(F17/$F$66,"")</f>
        <v>0.65315368866894941</v>
      </c>
      <c r="H17" s="16" t="s">
        <v>108</v>
      </c>
      <c r="I17" s="16"/>
      <c r="J17" s="99"/>
    </row>
    <row r="18" spans="1:12" ht="13.5" hidden="1" x14ac:dyDescent="0.25">
      <c r="A18" s="15"/>
      <c r="B18" s="6" t="str">
        <f>IFERROR(VLOOKUP(H18,[1]SEMIELABORADOS!$A$2:$M$6000,2,0),"")</f>
        <v/>
      </c>
      <c r="C18" s="96">
        <f t="shared" ref="C18:C24" si="3">+A18</f>
        <v>0</v>
      </c>
      <c r="D18" s="96" t="str">
        <f>IFERROR(VLOOKUP(H18,[1]SEMIELABORADOS!$A$2:$M$6000,6,0),"")</f>
        <v/>
      </c>
      <c r="E18" s="97" t="str">
        <f>IFERROR(VLOOKUP(H18,[1]SEMIELABORADOS!$A$2:$H$65536,8,0),"")</f>
        <v/>
      </c>
      <c r="F18" s="97" t="str">
        <f t="shared" ref="F18:F24" si="4">IFERROR(E18*C18,"")</f>
        <v/>
      </c>
      <c r="G18" s="98" t="str">
        <f t="shared" ref="G18:G24" si="5">IFERROR(F18/$F$66,"")</f>
        <v/>
      </c>
      <c r="H18" s="16"/>
      <c r="I18" s="16"/>
      <c r="J18" s="99"/>
    </row>
    <row r="19" spans="1:12" ht="13.5" hidden="1" x14ac:dyDescent="0.25">
      <c r="A19" s="15"/>
      <c r="B19" s="6" t="str">
        <f>IFERROR(VLOOKUP(H19,[1]SEMIELABORADOS!$A$2:$M$6000,2,0),"")</f>
        <v/>
      </c>
      <c r="C19" s="96">
        <f t="shared" si="3"/>
        <v>0</v>
      </c>
      <c r="D19" s="96" t="str">
        <f>IFERROR(VLOOKUP(H19,[1]SEMIELABORADOS!$A$2:$M$6000,6,0),"")</f>
        <v/>
      </c>
      <c r="E19" s="97" t="str">
        <f>IFERROR(VLOOKUP(H19,[1]SEMIELABORADOS!$A$2:$H$65536,8,0),"")</f>
        <v/>
      </c>
      <c r="F19" s="97" t="str">
        <f t="shared" si="4"/>
        <v/>
      </c>
      <c r="G19" s="98" t="str">
        <f t="shared" si="5"/>
        <v/>
      </c>
      <c r="H19" s="16"/>
      <c r="I19" s="16"/>
      <c r="J19" s="99"/>
    </row>
    <row r="20" spans="1:12" ht="13.5" hidden="1" x14ac:dyDescent="0.25">
      <c r="A20" s="15"/>
      <c r="B20" s="6" t="str">
        <f>IFERROR(VLOOKUP(H20,[1]SEMIELABORADOS!$A$2:$M$6000,2,0),"")</f>
        <v/>
      </c>
      <c r="C20" s="96">
        <f t="shared" si="3"/>
        <v>0</v>
      </c>
      <c r="D20" s="96" t="str">
        <f>IFERROR(VLOOKUP(H20,[1]SEMIELABORADOS!$A$2:$M$6000,6,0),"")</f>
        <v/>
      </c>
      <c r="E20" s="97" t="str">
        <f>IFERROR(VLOOKUP(H20,[1]SEMIELABORADOS!$A$2:$H$65536,8,0),"")</f>
        <v/>
      </c>
      <c r="F20" s="97" t="str">
        <f t="shared" si="4"/>
        <v/>
      </c>
      <c r="G20" s="98" t="str">
        <f t="shared" si="5"/>
        <v/>
      </c>
      <c r="H20" s="18"/>
      <c r="I20" s="16"/>
      <c r="J20" s="99"/>
    </row>
    <row r="21" spans="1:12" ht="13.5" hidden="1" x14ac:dyDescent="0.25">
      <c r="A21" s="15"/>
      <c r="B21" s="6" t="str">
        <f>IFERROR(VLOOKUP(H21,[1]SEMIELABORADOS!$A$2:$M$6000,2,0),"")</f>
        <v/>
      </c>
      <c r="C21" s="96">
        <f t="shared" si="3"/>
        <v>0</v>
      </c>
      <c r="D21" s="96" t="str">
        <f>IFERROR(VLOOKUP(H21,[1]SEMIELABORADOS!$A$2:$M$6000,6,0),"")</f>
        <v/>
      </c>
      <c r="E21" s="97" t="str">
        <f>IFERROR(VLOOKUP(H21,[1]SEMIELABORADOS!$A$2:$H$65536,8,0),"")</f>
        <v/>
      </c>
      <c r="F21" s="97" t="str">
        <f t="shared" si="4"/>
        <v/>
      </c>
      <c r="G21" s="98" t="str">
        <f t="shared" si="5"/>
        <v/>
      </c>
      <c r="H21" s="18"/>
      <c r="I21" s="16"/>
      <c r="J21" s="99"/>
    </row>
    <row r="22" spans="1:12" ht="13.5" hidden="1" x14ac:dyDescent="0.25">
      <c r="A22" s="15"/>
      <c r="B22" s="6" t="str">
        <f>IFERROR(VLOOKUP(H22,[1]SEMIELABORADOS!$A$2:$M$6000,2,0),"")</f>
        <v/>
      </c>
      <c r="C22" s="96">
        <f t="shared" si="3"/>
        <v>0</v>
      </c>
      <c r="D22" s="96" t="str">
        <f>IFERROR(VLOOKUP(H22,[1]SEMIELABORADOS!$A$2:$M$6000,6,0),"")</f>
        <v/>
      </c>
      <c r="E22" s="97" t="str">
        <f>IFERROR(VLOOKUP(H22,[1]SEMIELABORADOS!$A$2:$H$65536,8,0),"")</f>
        <v/>
      </c>
      <c r="F22" s="97" t="str">
        <f t="shared" si="4"/>
        <v/>
      </c>
      <c r="G22" s="98" t="str">
        <f t="shared" si="5"/>
        <v/>
      </c>
      <c r="H22" s="18"/>
      <c r="I22" s="16"/>
      <c r="J22" s="99"/>
    </row>
    <row r="23" spans="1:12" ht="13.5" hidden="1" x14ac:dyDescent="0.25">
      <c r="A23" s="15"/>
      <c r="B23" s="6" t="str">
        <f>IFERROR(VLOOKUP(H23,[1]SEMIELABORADOS!$A$2:$M$6000,2,0),"")</f>
        <v/>
      </c>
      <c r="C23" s="96">
        <f t="shared" si="3"/>
        <v>0</v>
      </c>
      <c r="D23" s="96" t="str">
        <f>IFERROR(VLOOKUP(H23,[1]SEMIELABORADOS!$A$2:$M$6000,6,0),"")</f>
        <v/>
      </c>
      <c r="E23" s="97" t="str">
        <f>IFERROR(VLOOKUP(H23,[1]SEMIELABORADOS!$A$2:$H$65536,8,0),"")</f>
        <v/>
      </c>
      <c r="F23" s="97" t="str">
        <f t="shared" si="4"/>
        <v/>
      </c>
      <c r="G23" s="98" t="str">
        <f t="shared" si="5"/>
        <v/>
      </c>
      <c r="H23" s="18"/>
      <c r="I23" s="16"/>
      <c r="J23" s="99"/>
    </row>
    <row r="24" spans="1:12" ht="13.5" hidden="1" x14ac:dyDescent="0.25">
      <c r="A24" s="15"/>
      <c r="B24" s="6" t="str">
        <f>IFERROR(VLOOKUP(H24,[1]SEMIELABORADOS!$A$2:$M$6000,2,0),"")</f>
        <v/>
      </c>
      <c r="C24" s="96">
        <f t="shared" si="3"/>
        <v>0</v>
      </c>
      <c r="D24" s="96" t="str">
        <f>IFERROR(VLOOKUP(H24,[1]SEMIELABORADOS!$A$2:$M$6000,6,0),"")</f>
        <v/>
      </c>
      <c r="E24" s="97" t="str">
        <f>IFERROR(VLOOKUP(H24,[1]SEMIELABORADOS!$A$2:$H$65536,8,0),"")</f>
        <v/>
      </c>
      <c r="F24" s="97" t="str">
        <f t="shared" si="4"/>
        <v/>
      </c>
      <c r="G24" s="98" t="str">
        <f t="shared" si="5"/>
        <v/>
      </c>
      <c r="H24" s="18"/>
      <c r="I24" s="16"/>
      <c r="J24" s="99"/>
    </row>
    <row r="25" spans="1:12" ht="14.25" thickBot="1" x14ac:dyDescent="0.3">
      <c r="A25" s="15"/>
      <c r="C25" s="96"/>
      <c r="D25" s="96"/>
      <c r="E25" s="97"/>
      <c r="F25" s="97"/>
      <c r="G25" s="98"/>
      <c r="H25" s="16"/>
      <c r="I25" s="16"/>
      <c r="J25" s="99"/>
    </row>
    <row r="26" spans="1:12" ht="26.25" thickBot="1" x14ac:dyDescent="0.25">
      <c r="A26" s="10" t="s">
        <v>36</v>
      </c>
      <c r="B26" s="11" t="s">
        <v>25</v>
      </c>
      <c r="C26" s="11" t="s">
        <v>36</v>
      </c>
      <c r="D26" s="12" t="s">
        <v>38</v>
      </c>
      <c r="E26" s="12" t="s">
        <v>39</v>
      </c>
      <c r="F26" s="12" t="s">
        <v>40</v>
      </c>
      <c r="G26" s="12" t="s">
        <v>41</v>
      </c>
      <c r="H26" s="13" t="s">
        <v>42</v>
      </c>
      <c r="I26" s="14"/>
    </row>
    <row r="27" spans="1:12" ht="13.5" x14ac:dyDescent="0.25">
      <c r="A27" s="15">
        <v>1</v>
      </c>
      <c r="B27" s="17" t="s">
        <v>104</v>
      </c>
      <c r="C27" s="96">
        <f t="shared" ref="C27:C32" si="6">+A27</f>
        <v>1</v>
      </c>
      <c r="D27" s="97" t="s">
        <v>110</v>
      </c>
      <c r="E27" s="97">
        <v>115</v>
      </c>
      <c r="F27" s="97">
        <f t="shared" ref="F27:F32" si="7">IFERROR(C27*E27,"")</f>
        <v>115</v>
      </c>
      <c r="G27" s="98">
        <f t="shared" ref="G27:G32" si="8">IFERROR(F27/$F$66,"")</f>
        <v>0.26002499244479582</v>
      </c>
      <c r="H27" s="18" t="s">
        <v>109</v>
      </c>
      <c r="I27" s="18"/>
      <c r="J27" s="99"/>
      <c r="K27" s="217"/>
      <c r="L27" s="217"/>
    </row>
    <row r="28" spans="1:12" ht="13.5" x14ac:dyDescent="0.25">
      <c r="A28" s="15">
        <v>1</v>
      </c>
      <c r="B28" s="17" t="str">
        <f>IFERROR(VLOOKUP(H28,'[1]Consolidado MP Planta'!$A$2:$M$823,3,0),"")</f>
        <v>ETIQ.FECHA VENCIMIENTO VERDE (ROLLO)</v>
      </c>
      <c r="C28" s="96">
        <f t="shared" si="6"/>
        <v>1</v>
      </c>
      <c r="D28" s="97" t="str">
        <f>IFERROR(VLOOKUP(H28,'[1]Consolidado MP Planta'!$A$2:$M$823,13,0),"")</f>
        <v>Und</v>
      </c>
      <c r="E28" s="97">
        <f>IFERROR(VLOOKUP(H28,'[1]Consolidado MP Planta'!$A$2:$M$823,12,0),"")</f>
        <v>0.33333333333333331</v>
      </c>
      <c r="F28" s="97">
        <f t="shared" si="7"/>
        <v>0.33333333333333331</v>
      </c>
      <c r="G28" s="98">
        <f t="shared" si="8"/>
        <v>7.5369563027477039E-4</v>
      </c>
      <c r="H28" s="18" t="s">
        <v>28</v>
      </c>
      <c r="I28" s="18"/>
      <c r="J28" s="99"/>
      <c r="K28" s="217"/>
      <c r="L28" s="217"/>
    </row>
    <row r="29" spans="1:12" ht="13.5" x14ac:dyDescent="0.25">
      <c r="A29" s="15">
        <v>1</v>
      </c>
      <c r="B29" s="17" t="str">
        <f>IFERROR(VLOOKUP(H29,'[1]Consolidado MP Planta'!$A$2:$M$823,3,0),"")</f>
        <v>ETIQUETA BLANCA 2 5/8X1 15/16 (UND)</v>
      </c>
      <c r="C29" s="96">
        <f t="shared" si="6"/>
        <v>1</v>
      </c>
      <c r="D29" s="97" t="str">
        <f>IFERROR(VLOOKUP(H29,'[1]Consolidado MP Planta'!$A$2:$M$823,13,0),"")</f>
        <v>Und</v>
      </c>
      <c r="E29" s="97">
        <f>IFERROR(VLOOKUP(H29,'[1]Consolidado MP Planta'!$A$2:$M$823,12,0),"")</f>
        <v>2.1280000000000001</v>
      </c>
      <c r="F29" s="97">
        <f t="shared" si="7"/>
        <v>2.1280000000000001</v>
      </c>
      <c r="G29" s="98">
        <f t="shared" si="8"/>
        <v>4.8115929036741346E-3</v>
      </c>
      <c r="H29" s="18" t="s">
        <v>106</v>
      </c>
      <c r="I29" s="18"/>
      <c r="J29" s="99"/>
      <c r="K29" s="217"/>
      <c r="L29" s="217"/>
    </row>
    <row r="30" spans="1:12" ht="13.5" hidden="1" x14ac:dyDescent="0.25">
      <c r="A30" s="15"/>
      <c r="B30" s="17" t="str">
        <f>IFERROR(VLOOKUP(H30,'[1]Consolidado MP Planta'!$A$2:$M$823,3,0),"")</f>
        <v/>
      </c>
      <c r="C30" s="96">
        <f t="shared" si="6"/>
        <v>0</v>
      </c>
      <c r="D30" s="97" t="str">
        <f>IFERROR(VLOOKUP(H30,'[1]Consolidado MP Planta'!$A$2:$M$823,13,0),"")</f>
        <v/>
      </c>
      <c r="E30" s="97" t="str">
        <f>IFERROR(VLOOKUP(H30,'[1]Consolidado MP Planta'!$A$2:$M$823,12,0),"")</f>
        <v/>
      </c>
      <c r="F30" s="97" t="str">
        <f t="shared" si="7"/>
        <v/>
      </c>
      <c r="G30" s="98" t="str">
        <f t="shared" si="8"/>
        <v/>
      </c>
      <c r="H30" s="18"/>
      <c r="I30" s="18"/>
      <c r="J30" s="99"/>
      <c r="K30" s="217"/>
      <c r="L30" s="217"/>
    </row>
    <row r="31" spans="1:12" ht="13.5" hidden="1" x14ac:dyDescent="0.25">
      <c r="A31" s="15"/>
      <c r="B31" s="17" t="str">
        <f>IFERROR(VLOOKUP(H31,'[1]Consolidado MP Planta'!$A$2:$M$823,3,0),"")</f>
        <v/>
      </c>
      <c r="C31" s="96">
        <f t="shared" si="6"/>
        <v>0</v>
      </c>
      <c r="D31" s="97" t="str">
        <f>IFERROR(VLOOKUP(H31,'[1]Consolidado MP Planta'!$A$2:$M$823,13,0),"")</f>
        <v/>
      </c>
      <c r="E31" s="97" t="str">
        <f>IFERROR(VLOOKUP(H31,'[1]Consolidado MP Planta'!$A$2:$M$823,12,0),"")</f>
        <v/>
      </c>
      <c r="F31" s="97" t="str">
        <f t="shared" si="7"/>
        <v/>
      </c>
      <c r="G31" s="98" t="str">
        <f t="shared" si="8"/>
        <v/>
      </c>
      <c r="H31" s="18"/>
      <c r="I31" s="18"/>
      <c r="J31" s="99"/>
      <c r="K31" s="19"/>
      <c r="L31" s="20"/>
    </row>
    <row r="32" spans="1:12" ht="13.5" hidden="1" x14ac:dyDescent="0.25">
      <c r="A32" s="15"/>
      <c r="B32" s="17" t="str">
        <f>IFERROR(VLOOKUP(H32,'[1]Consolidado MP Planta'!$A$2:$M$823,3,0),"")</f>
        <v/>
      </c>
      <c r="C32" s="96">
        <f t="shared" si="6"/>
        <v>0</v>
      </c>
      <c r="D32" s="97" t="str">
        <f>IFERROR(VLOOKUP(H32,'[1]Consolidado MP Planta'!$A$2:$M$823,13,0),"")</f>
        <v/>
      </c>
      <c r="E32" s="97" t="str">
        <f>IFERROR(VLOOKUP(H32,'[1]Consolidado MP Planta'!$A$2:$M$823,12,0),"")</f>
        <v/>
      </c>
      <c r="F32" s="97" t="str">
        <f t="shared" si="7"/>
        <v/>
      </c>
      <c r="G32" s="98" t="str">
        <f t="shared" si="8"/>
        <v/>
      </c>
      <c r="H32" s="18"/>
      <c r="I32" s="18"/>
      <c r="J32" s="99"/>
    </row>
    <row r="33" spans="1:13" ht="14.25" thickBot="1" x14ac:dyDescent="0.3">
      <c r="A33" s="15"/>
      <c r="B33" s="17"/>
      <c r="C33" s="96"/>
      <c r="D33" s="97"/>
      <c r="E33" s="97"/>
      <c r="F33" s="97"/>
      <c r="G33" s="98"/>
      <c r="H33" s="18"/>
      <c r="I33" s="18"/>
      <c r="J33" s="99"/>
    </row>
    <row r="34" spans="1:13" ht="26.25" thickBot="1" x14ac:dyDescent="0.25">
      <c r="A34" s="10" t="s">
        <v>36</v>
      </c>
      <c r="B34" s="11" t="s">
        <v>44</v>
      </c>
      <c r="C34" s="11" t="s">
        <v>36</v>
      </c>
      <c r="D34" s="12" t="s">
        <v>38</v>
      </c>
      <c r="E34" s="12" t="s">
        <v>39</v>
      </c>
      <c r="F34" s="12" t="s">
        <v>40</v>
      </c>
      <c r="G34" s="12" t="s">
        <v>41</v>
      </c>
      <c r="H34" s="13" t="s">
        <v>42</v>
      </c>
      <c r="I34" s="18"/>
      <c r="J34" s="99"/>
    </row>
    <row r="35" spans="1:13" ht="13.5" x14ac:dyDescent="0.25">
      <c r="A35" s="15">
        <f>+A17</f>
        <v>14</v>
      </c>
      <c r="B35" s="17" t="str">
        <f>IFERROR(VLOOKUP(H35,[1]SEMIELABORADOS!$A$2:$M$6000,2,0),"")</f>
        <v>GALLETA 1/2 LUNA BAÑADO CHOCO LECHE UND</v>
      </c>
      <c r="C35" s="96">
        <f>+A35</f>
        <v>14</v>
      </c>
      <c r="D35" s="97" t="str">
        <f>IFERROR(VLOOKUP(H35,[1]SEMIELABORADOS!$A$2:$M$6000,6,0),"")</f>
        <v>Und</v>
      </c>
      <c r="E35" s="97">
        <f>IFERROR(VLOOKUP(H35,[1]SEMIELABORADOS!$A$2:$M$65536,10,0),"")</f>
        <v>0.18995501378625559</v>
      </c>
      <c r="F35" s="97">
        <f>IFERROR(E35*C35,"")</f>
        <v>2.6593701930075784</v>
      </c>
      <c r="G35" s="98">
        <f>IFERROR(F35/$F$66,"")</f>
        <v>6.0130670812583538E-3</v>
      </c>
      <c r="H35" s="16" t="s">
        <v>108</v>
      </c>
      <c r="I35" s="18"/>
      <c r="J35" s="99"/>
    </row>
    <row r="36" spans="1:13" ht="13.5" hidden="1" x14ac:dyDescent="0.25">
      <c r="A36" s="15">
        <f t="shared" ref="A36:A41" si="9">+A18</f>
        <v>0</v>
      </c>
      <c r="B36" s="17" t="str">
        <f>IFERROR(VLOOKUP(H36,[1]SEMIELABORADOS!$A$2:$M$6000,2,0),"")</f>
        <v/>
      </c>
      <c r="C36" s="96">
        <f t="shared" ref="C36:C41" si="10">+A36</f>
        <v>0</v>
      </c>
      <c r="D36" s="97" t="str">
        <f>IFERROR(VLOOKUP(H36,[1]SEMIELABORADOS!$A$2:$M$6000,6,0),"")</f>
        <v/>
      </c>
      <c r="E36" s="97" t="str">
        <f>IFERROR(VLOOKUP(H36,[1]SEMIELABORADOS!$A$2:$M$65536,10,0),"")</f>
        <v/>
      </c>
      <c r="F36" s="97" t="str">
        <f t="shared" ref="F36:F41" si="11">IFERROR(E36*C36,"")</f>
        <v/>
      </c>
      <c r="G36" s="98" t="str">
        <f t="shared" ref="G36:G41" si="12">IFERROR(F36/$F$66,"")</f>
        <v/>
      </c>
      <c r="H36" s="16"/>
      <c r="I36" s="18"/>
      <c r="J36" s="99"/>
    </row>
    <row r="37" spans="1:13" ht="13.5" hidden="1" x14ac:dyDescent="0.25">
      <c r="A37" s="15">
        <f t="shared" si="9"/>
        <v>0</v>
      </c>
      <c r="B37" s="17" t="str">
        <f>IFERROR(VLOOKUP(H37,[1]SEMIELABORADOS!$A$2:$M$6000,2,0),"")</f>
        <v/>
      </c>
      <c r="C37" s="96">
        <f t="shared" si="10"/>
        <v>0</v>
      </c>
      <c r="D37" s="97" t="str">
        <f>IFERROR(VLOOKUP(H37,[1]SEMIELABORADOS!$A$2:$M$6000,6,0),"")</f>
        <v/>
      </c>
      <c r="E37" s="97" t="str">
        <f>IFERROR(VLOOKUP(H37,[1]SEMIELABORADOS!$A$2:$M$65536,10,0),"")</f>
        <v/>
      </c>
      <c r="F37" s="97" t="str">
        <f t="shared" si="11"/>
        <v/>
      </c>
      <c r="G37" s="98" t="str">
        <f t="shared" si="12"/>
        <v/>
      </c>
      <c r="H37" s="16"/>
      <c r="I37" s="18"/>
      <c r="J37" s="99"/>
    </row>
    <row r="38" spans="1:13" ht="13.5" hidden="1" x14ac:dyDescent="0.25">
      <c r="A38" s="15">
        <f t="shared" si="9"/>
        <v>0</v>
      </c>
      <c r="B38" s="17" t="str">
        <f>IFERROR(VLOOKUP(H38,[1]SEMIELABORADOS!$A$2:$M$6000,2,0),"")</f>
        <v/>
      </c>
      <c r="C38" s="96">
        <f t="shared" si="10"/>
        <v>0</v>
      </c>
      <c r="D38" s="97" t="str">
        <f>IFERROR(VLOOKUP(H38,[1]SEMIELABORADOS!$A$2:$M$6000,6,0),"")</f>
        <v/>
      </c>
      <c r="E38" s="97" t="str">
        <f>IFERROR(VLOOKUP(H38,[1]SEMIELABORADOS!$A$2:$M$65536,10,0),"")</f>
        <v/>
      </c>
      <c r="F38" s="97" t="str">
        <f t="shared" si="11"/>
        <v/>
      </c>
      <c r="G38" s="98" t="str">
        <f t="shared" si="12"/>
        <v/>
      </c>
      <c r="H38" s="16"/>
      <c r="I38" s="18"/>
      <c r="J38" s="99"/>
    </row>
    <row r="39" spans="1:13" ht="13.5" hidden="1" x14ac:dyDescent="0.25">
      <c r="A39" s="15">
        <f t="shared" si="9"/>
        <v>0</v>
      </c>
      <c r="B39" s="17" t="str">
        <f>IFERROR(VLOOKUP(H39,[1]SEMIELABORADOS!$A$2:$M$6000,2,0),"")</f>
        <v/>
      </c>
      <c r="C39" s="96">
        <f t="shared" si="10"/>
        <v>0</v>
      </c>
      <c r="D39" s="97" t="str">
        <f>IFERROR(VLOOKUP(H39,[1]SEMIELABORADOS!$A$2:$M$6000,6,0),"")</f>
        <v/>
      </c>
      <c r="E39" s="97" t="str">
        <f>IFERROR(VLOOKUP(H39,[1]SEMIELABORADOS!$A$2:$M$65536,10,0),"")</f>
        <v/>
      </c>
      <c r="F39" s="97" t="str">
        <f t="shared" si="11"/>
        <v/>
      </c>
      <c r="G39" s="98" t="str">
        <f t="shared" si="12"/>
        <v/>
      </c>
      <c r="H39" s="16"/>
      <c r="I39" s="18"/>
      <c r="J39" s="99"/>
    </row>
    <row r="40" spans="1:13" ht="13.5" hidden="1" x14ac:dyDescent="0.25">
      <c r="A40" s="15">
        <f t="shared" si="9"/>
        <v>0</v>
      </c>
      <c r="B40" s="17" t="str">
        <f>IFERROR(VLOOKUP(H40,[1]SEMIELABORADOS!$A$2:$M$6000,2,0),"")</f>
        <v/>
      </c>
      <c r="C40" s="96">
        <f t="shared" si="10"/>
        <v>0</v>
      </c>
      <c r="D40" s="97" t="str">
        <f>IFERROR(VLOOKUP(H40,[1]SEMIELABORADOS!$A$2:$M$6000,6,0),"")</f>
        <v/>
      </c>
      <c r="E40" s="97" t="str">
        <f>IFERROR(VLOOKUP(H40,[1]SEMIELABORADOS!$A$2:$M$65536,10,0),"")</f>
        <v/>
      </c>
      <c r="F40" s="97" t="str">
        <f t="shared" si="11"/>
        <v/>
      </c>
      <c r="G40" s="98" t="str">
        <f t="shared" si="12"/>
        <v/>
      </c>
      <c r="H40" s="16"/>
      <c r="I40" s="18"/>
      <c r="J40" s="99"/>
    </row>
    <row r="41" spans="1:13" ht="13.5" hidden="1" x14ac:dyDescent="0.25">
      <c r="A41" s="15">
        <f t="shared" si="9"/>
        <v>0</v>
      </c>
      <c r="B41" s="17" t="str">
        <f>IFERROR(VLOOKUP(H41,[1]SEMIELABORADOS!$A$2:$M$6000,2,0),"")</f>
        <v/>
      </c>
      <c r="C41" s="96">
        <f t="shared" si="10"/>
        <v>0</v>
      </c>
      <c r="D41" s="97" t="str">
        <f>IFERROR(VLOOKUP(H41,[1]SEMIELABORADOS!$A$2:$M$6000,6,0),"")</f>
        <v/>
      </c>
      <c r="E41" s="97" t="str">
        <f>IFERROR(VLOOKUP(H41,[1]SEMIELABORADOS!$A$2:$M$65536,10,0),"")</f>
        <v/>
      </c>
      <c r="F41" s="97" t="str">
        <f t="shared" si="11"/>
        <v/>
      </c>
      <c r="G41" s="98" t="str">
        <f t="shared" si="12"/>
        <v/>
      </c>
      <c r="H41" s="18"/>
      <c r="I41" s="18"/>
      <c r="J41" s="99"/>
    </row>
    <row r="42" spans="1:13" ht="14.25" thickBot="1" x14ac:dyDescent="0.3">
      <c r="A42" s="15"/>
      <c r="B42" s="6" t="str">
        <f>IFERROR(VLOOKUP(H42,[1]SEMIELABORADOS!$A$2:$M$6000,2,0),"")</f>
        <v/>
      </c>
      <c r="C42" s="96">
        <f>+A42</f>
        <v>0</v>
      </c>
      <c r="D42" s="96" t="str">
        <f>IFERROR(VLOOKUP(H42,[1]SEMIELABORADOS!$A$2:$M$6000,6,0),"")</f>
        <v/>
      </c>
      <c r="E42" s="97" t="str">
        <f>IFERROR(VLOOKUP(H42,[1]SEMIELABORADOS!$A$2:$H$65536,8,0),"")</f>
        <v/>
      </c>
      <c r="F42" s="97" t="str">
        <f>IFERROR(E42*C42,"")</f>
        <v/>
      </c>
      <c r="G42" s="98" t="str">
        <f>IFERROR(F42/$F$66,"")</f>
        <v/>
      </c>
      <c r="H42" s="18"/>
      <c r="I42" s="18"/>
      <c r="J42" s="99"/>
    </row>
    <row r="43" spans="1:13" ht="26.25" thickBot="1" x14ac:dyDescent="0.25">
      <c r="A43" s="10" t="s">
        <v>36</v>
      </c>
      <c r="B43" s="11" t="s">
        <v>46</v>
      </c>
      <c r="C43" s="11" t="s">
        <v>36</v>
      </c>
      <c r="D43" s="12" t="s">
        <v>38</v>
      </c>
      <c r="E43" s="12" t="s">
        <v>39</v>
      </c>
      <c r="F43" s="12" t="s">
        <v>40</v>
      </c>
      <c r="G43" s="12" t="s">
        <v>41</v>
      </c>
      <c r="H43" s="13" t="s">
        <v>42</v>
      </c>
      <c r="I43" s="14"/>
      <c r="J43" s="99"/>
    </row>
    <row r="44" spans="1:13" ht="13.5" x14ac:dyDescent="0.25">
      <c r="A44" s="15">
        <f>+A35</f>
        <v>14</v>
      </c>
      <c r="B44" s="17" t="str">
        <f>IFERROR(VLOOKUP(H44,[1]SEMIELABORADOS!$A$2:$M$6000,2,0),"")</f>
        <v>GALLETA 1/2 LUNA BAÑADO CHOCO LECHE UND</v>
      </c>
      <c r="C44" s="96">
        <f>+A44</f>
        <v>14</v>
      </c>
      <c r="D44" s="97" t="str">
        <f>IFERROR(VLOOKUP(H44,[1]SEMIELABORADOS!$A$2:$M$6000,6,0),"")</f>
        <v>Und</v>
      </c>
      <c r="E44" s="97">
        <f>IFERROR(VLOOKUP(H44,[1]SEMIELABORADOS!$A$2:$M$65536,12,0),"")</f>
        <v>3.7481979041814415</v>
      </c>
      <c r="F44" s="97">
        <f>IFERROR(E44*C44,"")</f>
        <v>52.47477065854018</v>
      </c>
      <c r="G44" s="98">
        <f>IFERROR(F44/$F$66,"")</f>
        <v>0.11865001603503741</v>
      </c>
      <c r="H44" s="16" t="s">
        <v>108</v>
      </c>
      <c r="I44" s="14"/>
      <c r="J44" s="99"/>
    </row>
    <row r="45" spans="1:13" ht="13.5" hidden="1" x14ac:dyDescent="0.25">
      <c r="A45" s="15">
        <f t="shared" ref="A45:A50" si="13">+A36</f>
        <v>0</v>
      </c>
      <c r="B45" s="17" t="str">
        <f>IFERROR(VLOOKUP(H45,[1]SEMIELABORADOS!$A$2:$M$6000,2,0),"")</f>
        <v/>
      </c>
      <c r="C45" s="96">
        <f t="shared" ref="C45:C50" si="14">+A45</f>
        <v>0</v>
      </c>
      <c r="D45" s="97" t="str">
        <f>IFERROR(VLOOKUP(H45,[1]SEMIELABORADOS!$A$2:$M$6000,6,0),"")</f>
        <v/>
      </c>
      <c r="E45" s="97" t="str">
        <f>IFERROR(VLOOKUP(H45,[1]SEMIELABORADOS!$A$2:$M$65536,12,0),"")</f>
        <v/>
      </c>
      <c r="F45" s="97" t="str">
        <f t="shared" ref="F45:F50" si="15">IFERROR(E45*C45,"")</f>
        <v/>
      </c>
      <c r="G45" s="98" t="str">
        <f t="shared" ref="G45:G50" si="16">IFERROR(F45/$F$66,"")</f>
        <v/>
      </c>
      <c r="H45" s="16"/>
      <c r="I45" s="14"/>
      <c r="J45" s="99"/>
      <c r="M45" s="100"/>
    </row>
    <row r="46" spans="1:13" ht="13.5" hidden="1" x14ac:dyDescent="0.25">
      <c r="A46" s="15">
        <f t="shared" si="13"/>
        <v>0</v>
      </c>
      <c r="B46" s="17" t="str">
        <f>IFERROR(VLOOKUP(H46,[1]SEMIELABORADOS!$A$2:$M$6000,2,0),"")</f>
        <v/>
      </c>
      <c r="C46" s="96">
        <f t="shared" si="14"/>
        <v>0</v>
      </c>
      <c r="D46" s="97" t="str">
        <f>IFERROR(VLOOKUP(H46,[1]SEMIELABORADOS!$A$2:$M$6000,6,0),"")</f>
        <v/>
      </c>
      <c r="E46" s="97" t="str">
        <f>IFERROR(VLOOKUP(H46,[1]SEMIELABORADOS!$A$2:$M$65536,12,0),"")</f>
        <v/>
      </c>
      <c r="F46" s="97" t="str">
        <f t="shared" si="15"/>
        <v/>
      </c>
      <c r="G46" s="98" t="str">
        <f t="shared" si="16"/>
        <v/>
      </c>
      <c r="H46" s="16"/>
      <c r="I46" s="14"/>
      <c r="J46" s="99"/>
    </row>
    <row r="47" spans="1:13" ht="13.5" hidden="1" x14ac:dyDescent="0.25">
      <c r="A47" s="15">
        <f t="shared" si="13"/>
        <v>0</v>
      </c>
      <c r="B47" s="17" t="str">
        <f>IFERROR(VLOOKUP(H47,[1]SEMIELABORADOS!$A$2:$M$6000,2,0),"")</f>
        <v/>
      </c>
      <c r="C47" s="96">
        <f t="shared" si="14"/>
        <v>0</v>
      </c>
      <c r="D47" s="97" t="str">
        <f>IFERROR(VLOOKUP(H47,[1]SEMIELABORADOS!$A$2:$M$6000,6,0),"")</f>
        <v/>
      </c>
      <c r="E47" s="97" t="str">
        <f>IFERROR(VLOOKUP(H47,[1]SEMIELABORADOS!$A$2:$M$65536,12,0),"")</f>
        <v/>
      </c>
      <c r="F47" s="97" t="str">
        <f t="shared" si="15"/>
        <v/>
      </c>
      <c r="G47" s="98" t="str">
        <f t="shared" si="16"/>
        <v/>
      </c>
      <c r="H47" s="18"/>
      <c r="I47" s="14"/>
      <c r="J47" s="99"/>
    </row>
    <row r="48" spans="1:13" ht="13.5" hidden="1" x14ac:dyDescent="0.25">
      <c r="A48" s="15">
        <f t="shared" si="13"/>
        <v>0</v>
      </c>
      <c r="B48" s="17" t="str">
        <f>IFERROR(VLOOKUP(H48,[1]SEMIELABORADOS!$A$2:$M$6000,2,0),"")</f>
        <v/>
      </c>
      <c r="C48" s="96">
        <f t="shared" si="14"/>
        <v>0</v>
      </c>
      <c r="D48" s="97" t="str">
        <f>IFERROR(VLOOKUP(H48,[1]SEMIELABORADOS!$A$2:$M$6000,6,0),"")</f>
        <v/>
      </c>
      <c r="E48" s="97" t="str">
        <f>IFERROR(VLOOKUP(H48,[1]SEMIELABORADOS!$A$2:$M$65536,12,0),"")</f>
        <v/>
      </c>
      <c r="F48" s="97" t="str">
        <f t="shared" si="15"/>
        <v/>
      </c>
      <c r="G48" s="98" t="str">
        <f t="shared" si="16"/>
        <v/>
      </c>
      <c r="H48" s="18"/>
      <c r="I48" s="14"/>
      <c r="J48" s="99"/>
    </row>
    <row r="49" spans="1:17" ht="13.5" hidden="1" x14ac:dyDescent="0.25">
      <c r="A49" s="15">
        <f t="shared" si="13"/>
        <v>0</v>
      </c>
      <c r="B49" s="17" t="str">
        <f>IFERROR(VLOOKUP(H49,[1]SEMIELABORADOS!$A$2:$M$6000,2,0),"")</f>
        <v/>
      </c>
      <c r="C49" s="96">
        <f t="shared" si="14"/>
        <v>0</v>
      </c>
      <c r="D49" s="97" t="str">
        <f>IFERROR(VLOOKUP(H49,[1]SEMIELABORADOS!$A$2:$M$6000,6,0),"")</f>
        <v/>
      </c>
      <c r="E49" s="97" t="str">
        <f>IFERROR(VLOOKUP(H49,[1]SEMIELABORADOS!$A$2:$M$65536,12,0),"")</f>
        <v/>
      </c>
      <c r="F49" s="97" t="str">
        <f t="shared" si="15"/>
        <v/>
      </c>
      <c r="G49" s="98" t="str">
        <f t="shared" si="16"/>
        <v/>
      </c>
      <c r="H49" s="18"/>
      <c r="I49" s="14"/>
      <c r="J49" s="99"/>
    </row>
    <row r="50" spans="1:17" ht="13.5" hidden="1" x14ac:dyDescent="0.25">
      <c r="A50" s="15">
        <f t="shared" si="13"/>
        <v>0</v>
      </c>
      <c r="B50" s="17" t="str">
        <f>IFERROR(VLOOKUP(H50,[1]SEMIELABORADOS!$A$2:$M$6000,2,0),"")</f>
        <v/>
      </c>
      <c r="C50" s="96">
        <f t="shared" si="14"/>
        <v>0</v>
      </c>
      <c r="D50" s="97" t="str">
        <f>IFERROR(VLOOKUP(H50,[1]SEMIELABORADOS!$A$2:$M$6000,6,0),"")</f>
        <v/>
      </c>
      <c r="E50" s="97" t="str">
        <f>IFERROR(VLOOKUP(H50,[1]SEMIELABORADOS!$A$2:$M$65536,12,0),"")</f>
        <v/>
      </c>
      <c r="F50" s="97" t="str">
        <f t="shared" si="15"/>
        <v/>
      </c>
      <c r="G50" s="98" t="str">
        <f t="shared" si="16"/>
        <v/>
      </c>
      <c r="H50" s="18"/>
      <c r="I50" s="14"/>
      <c r="J50" s="99"/>
    </row>
    <row r="51" spans="1:17" ht="13.5" x14ac:dyDescent="0.25">
      <c r="A51" s="15">
        <v>1</v>
      </c>
      <c r="B51" s="17" t="s">
        <v>47</v>
      </c>
      <c r="C51" s="96">
        <f>+A51</f>
        <v>1</v>
      </c>
      <c r="D51" s="96" t="s">
        <v>45</v>
      </c>
      <c r="E51" s="97">
        <f>+F65</f>
        <v>27.5</v>
      </c>
      <c r="F51" s="97">
        <f>IFERROR(C51*E51,"")</f>
        <v>27.5</v>
      </c>
      <c r="G51" s="98">
        <f>IFERROR(F51/$F$66,"")</f>
        <v>6.2179889497668561E-2</v>
      </c>
      <c r="H51" s="22"/>
      <c r="I51" s="22"/>
      <c r="J51" s="99"/>
    </row>
    <row r="52" spans="1:17" ht="14.25" thickBot="1" x14ac:dyDescent="0.3">
      <c r="A52" s="15"/>
      <c r="B52" s="17"/>
      <c r="C52" s="96"/>
      <c r="D52" s="96"/>
      <c r="E52" s="97"/>
      <c r="F52" s="97"/>
      <c r="G52" s="98"/>
      <c r="H52" s="22"/>
      <c r="I52" s="22"/>
      <c r="J52" s="99"/>
    </row>
    <row r="53" spans="1:17" ht="13.5" thickBot="1" x14ac:dyDescent="0.25">
      <c r="A53" s="23"/>
      <c r="B53" s="214" t="s">
        <v>48</v>
      </c>
      <c r="C53" s="214"/>
      <c r="D53" s="214"/>
      <c r="E53" s="214"/>
      <c r="F53" s="101">
        <f>SUM(F8:F14,F17:F24)</f>
        <v>288.86713346554893</v>
      </c>
      <c r="G53" s="98">
        <f>+F53/$F$66</f>
        <v>0.65315368866894941</v>
      </c>
      <c r="H53" s="102">
        <f>+F53/$D$60</f>
        <v>288.86713346554893</v>
      </c>
      <c r="I53" s="102"/>
      <c r="J53" s="25"/>
      <c r="K53" s="26"/>
      <c r="L53" s="26"/>
      <c r="M53" s="26"/>
      <c r="N53" s="26"/>
      <c r="O53" s="26"/>
      <c r="P53" s="26"/>
      <c r="Q53" s="27"/>
    </row>
    <row r="54" spans="1:17" x14ac:dyDescent="0.2">
      <c r="A54" s="23"/>
      <c r="B54" s="214" t="s">
        <v>49</v>
      </c>
      <c r="C54" s="214"/>
      <c r="D54" s="214"/>
      <c r="E54" s="214"/>
      <c r="F54" s="101">
        <f>SUM(F27:F32,F35:F41)</f>
        <v>120.1207035263409</v>
      </c>
      <c r="G54" s="98">
        <f>+F54/$F$66</f>
        <v>0.27160334806000302</v>
      </c>
      <c r="H54" s="102">
        <f>+F54/$D$60</f>
        <v>120.1207035263409</v>
      </c>
      <c r="I54" s="102"/>
      <c r="J54" s="28"/>
      <c r="K54" s="218" t="s">
        <v>50</v>
      </c>
      <c r="L54" s="219"/>
      <c r="M54" s="219"/>
      <c r="N54" s="219"/>
      <c r="O54" s="103">
        <f>+F55</f>
        <v>408.98783699188982</v>
      </c>
      <c r="P54" s="103"/>
      <c r="Q54" s="29"/>
    </row>
    <row r="55" spans="1:17" x14ac:dyDescent="0.2">
      <c r="A55" s="23"/>
      <c r="B55" s="214" t="s">
        <v>51</v>
      </c>
      <c r="C55" s="214"/>
      <c r="D55" s="214"/>
      <c r="E55" s="214"/>
      <c r="F55" s="101">
        <f>+F53+F54</f>
        <v>408.98783699188982</v>
      </c>
      <c r="G55" s="98">
        <f>+F55/$F$66</f>
        <v>0.92475703672895238</v>
      </c>
      <c r="H55" s="102">
        <f>+F55/$D$60</f>
        <v>408.98783699188982</v>
      </c>
      <c r="I55" s="102"/>
      <c r="J55" s="30"/>
      <c r="K55" s="31"/>
      <c r="L55" s="104" t="s">
        <v>52</v>
      </c>
      <c r="M55" s="104"/>
      <c r="N55" s="105">
        <v>0.18</v>
      </c>
      <c r="O55" s="103">
        <f>+O54*N55</f>
        <v>73.617810658540165</v>
      </c>
      <c r="P55" s="103"/>
      <c r="Q55" s="29"/>
    </row>
    <row r="56" spans="1:17" ht="13.5" thickBot="1" x14ac:dyDescent="0.25">
      <c r="A56" s="23"/>
      <c r="B56" s="24"/>
      <c r="C56" s="214" t="s">
        <v>53</v>
      </c>
      <c r="D56" s="214"/>
      <c r="E56" s="214"/>
      <c r="F56" s="101">
        <f>SUM(F44:F51)</f>
        <v>79.97477065854018</v>
      </c>
      <c r="G56" s="98">
        <f>+F56/$F$66</f>
        <v>0.18082990553270598</v>
      </c>
      <c r="H56" s="102">
        <f>+F56/$D$60</f>
        <v>79.97477065854018</v>
      </c>
      <c r="I56" s="102"/>
      <c r="J56" s="30"/>
      <c r="K56" s="31"/>
      <c r="L56" s="31"/>
      <c r="M56" s="31" t="s">
        <v>54</v>
      </c>
      <c r="N56" s="106"/>
      <c r="O56" s="103">
        <f>O54*N56</f>
        <v>0</v>
      </c>
      <c r="P56" s="103"/>
      <c r="Q56" s="29"/>
    </row>
    <row r="57" spans="1:17" ht="13.5" thickBot="1" x14ac:dyDescent="0.25">
      <c r="A57" s="23"/>
      <c r="B57" s="32"/>
      <c r="C57" s="32"/>
      <c r="D57" s="32"/>
      <c r="E57" s="32"/>
      <c r="F57" s="107"/>
      <c r="G57" s="98"/>
      <c r="H57" s="33"/>
      <c r="I57" s="102"/>
      <c r="J57" s="30"/>
      <c r="K57" s="34"/>
      <c r="M57" s="35" t="s">
        <v>55</v>
      </c>
      <c r="N57" s="36"/>
      <c r="O57" s="37">
        <f>SUM(O54:O56)</f>
        <v>482.60564765043</v>
      </c>
      <c r="P57" s="108"/>
      <c r="Q57" s="29"/>
    </row>
    <row r="58" spans="1:17" x14ac:dyDescent="0.2">
      <c r="B58" s="216" t="s">
        <v>56</v>
      </c>
      <c r="C58" s="216"/>
      <c r="D58" s="109">
        <v>100</v>
      </c>
      <c r="E58" s="38"/>
      <c r="G58" s="98"/>
      <c r="H58" s="33"/>
      <c r="I58" s="110"/>
      <c r="J58" s="30"/>
      <c r="K58" s="34"/>
      <c r="L58" s="31"/>
      <c r="M58" s="31" t="s">
        <v>107</v>
      </c>
      <c r="N58" s="111">
        <v>0.16</v>
      </c>
      <c r="O58" s="103">
        <f>+O54*N58</f>
        <v>65.438053918702366</v>
      </c>
      <c r="P58" s="103"/>
      <c r="Q58" s="29"/>
    </row>
    <row r="59" spans="1:17" x14ac:dyDescent="0.2">
      <c r="B59" s="216" t="s">
        <v>57</v>
      </c>
      <c r="C59" s="216"/>
      <c r="D59" s="39">
        <v>100</v>
      </c>
      <c r="E59" s="38"/>
      <c r="G59" s="98"/>
      <c r="H59" s="33"/>
      <c r="I59" s="110"/>
      <c r="J59" s="30"/>
      <c r="K59" s="34"/>
      <c r="L59" s="31"/>
      <c r="M59" s="209" t="s">
        <v>55</v>
      </c>
      <c r="N59" s="209"/>
      <c r="O59" s="103">
        <f>SUM(O57:O58)</f>
        <v>548.04370156913239</v>
      </c>
      <c r="P59" s="103"/>
      <c r="Q59" s="29"/>
    </row>
    <row r="60" spans="1:17" ht="13.5" thickBot="1" x14ac:dyDescent="0.25">
      <c r="B60" s="210" t="s">
        <v>58</v>
      </c>
      <c r="C60" s="210"/>
      <c r="D60" s="109">
        <f>+D58/D59</f>
        <v>1</v>
      </c>
      <c r="E60" s="38"/>
      <c r="F60" s="40"/>
      <c r="G60" s="98"/>
      <c r="H60" s="33"/>
      <c r="I60" s="110"/>
      <c r="J60" s="30"/>
      <c r="K60" s="34"/>
      <c r="L60" s="209"/>
      <c r="M60" s="209"/>
      <c r="N60" s="111"/>
      <c r="O60" s="103">
        <f>+O59*N60</f>
        <v>0</v>
      </c>
      <c r="P60" s="103"/>
      <c r="Q60" s="29"/>
    </row>
    <row r="61" spans="1:17" ht="13.5" thickBot="1" x14ac:dyDescent="0.25">
      <c r="B61" s="210" t="s">
        <v>59</v>
      </c>
      <c r="C61" s="210"/>
      <c r="D61" s="41"/>
      <c r="E61" s="38"/>
      <c r="F61" s="40"/>
      <c r="G61" s="98"/>
      <c r="H61" s="33"/>
      <c r="I61" s="110"/>
      <c r="J61" s="30"/>
      <c r="K61" s="211" t="s">
        <v>60</v>
      </c>
      <c r="L61" s="212"/>
      <c r="M61" s="212"/>
      <c r="N61" s="213"/>
      <c r="O61" s="37">
        <f>SUM(O59:O60)</f>
        <v>548.04370156913239</v>
      </c>
      <c r="P61" s="42" t="s">
        <v>61</v>
      </c>
      <c r="Q61" s="29"/>
    </row>
    <row r="62" spans="1:17" ht="13.5" thickBot="1" x14ac:dyDescent="0.25">
      <c r="C62" s="23" t="s">
        <v>62</v>
      </c>
      <c r="D62" s="43"/>
      <c r="E62" s="4" t="s">
        <v>63</v>
      </c>
      <c r="F62" s="44" t="s">
        <v>64</v>
      </c>
      <c r="G62" s="98"/>
      <c r="H62" s="33"/>
      <c r="I62" s="110"/>
      <c r="J62" s="45"/>
      <c r="K62" s="46"/>
      <c r="L62" s="199" t="s">
        <v>65</v>
      </c>
      <c r="M62" s="199"/>
      <c r="N62" s="199"/>
      <c r="O62" s="112">
        <f>+O61/D60</f>
        <v>548.04370156913239</v>
      </c>
      <c r="P62" s="113">
        <f>+O62/D59</f>
        <v>5.480437015691324</v>
      </c>
      <c r="Q62" s="47"/>
    </row>
    <row r="63" spans="1:17" ht="13.5" thickBot="1" x14ac:dyDescent="0.25">
      <c r="B63" s="200" t="s">
        <v>51</v>
      </c>
      <c r="C63" s="200"/>
      <c r="D63" s="200"/>
      <c r="E63" s="114">
        <f>+F63/F63</f>
        <v>1</v>
      </c>
      <c r="F63" s="115">
        <f>SUM(F55)</f>
        <v>408.98783699188982</v>
      </c>
      <c r="G63" s="98">
        <f>+F63/$F$66</f>
        <v>0.92475703672895238</v>
      </c>
      <c r="H63" s="33"/>
      <c r="I63" s="110"/>
      <c r="K63" s="201"/>
      <c r="L63" s="202"/>
      <c r="M63" s="202"/>
      <c r="N63" s="202"/>
      <c r="O63" s="48"/>
      <c r="P63" s="49"/>
    </row>
    <row r="64" spans="1:17" ht="13.5" thickBot="1" x14ac:dyDescent="0.25">
      <c r="B64" s="203" t="s">
        <v>66</v>
      </c>
      <c r="C64" s="203"/>
      <c r="D64" s="203"/>
      <c r="E64" s="116">
        <v>0.02</v>
      </c>
      <c r="F64" s="115">
        <f>+F53*E64</f>
        <v>5.7773426693109791</v>
      </c>
      <c r="G64" s="98">
        <f>+F64/$F$66</f>
        <v>1.3063073773378989E-2</v>
      </c>
      <c r="H64" s="102"/>
      <c r="I64" s="110"/>
      <c r="J64" s="117"/>
      <c r="O64" s="50"/>
      <c r="P64" s="24"/>
    </row>
    <row r="65" spans="2:10" ht="13.5" thickBot="1" x14ac:dyDescent="0.25">
      <c r="B65" s="204" t="s">
        <v>67</v>
      </c>
      <c r="C65" s="205"/>
      <c r="D65" s="51">
        <v>0.5</v>
      </c>
      <c r="E65" s="118">
        <v>55</v>
      </c>
      <c r="F65" s="115">
        <f>+E65*D65</f>
        <v>27.5</v>
      </c>
      <c r="G65" s="98">
        <f>+F65/$F$66</f>
        <v>6.2179889497668561E-2</v>
      </c>
      <c r="H65" s="102"/>
      <c r="I65" s="102"/>
      <c r="J65" s="99"/>
    </row>
    <row r="66" spans="2:10" ht="13.5" thickBot="1" x14ac:dyDescent="0.25">
      <c r="B66" s="206" t="s">
        <v>68</v>
      </c>
      <c r="C66" s="207"/>
      <c r="D66" s="207"/>
      <c r="E66" s="208"/>
      <c r="F66" s="107">
        <f>SUM(F63:F65)</f>
        <v>442.26517966120082</v>
      </c>
      <c r="G66" s="98">
        <f>+F66/$F$66</f>
        <v>1</v>
      </c>
      <c r="H66" s="215"/>
      <c r="I66" s="102"/>
      <c r="J66" s="99"/>
    </row>
    <row r="67" spans="2:10" x14ac:dyDescent="0.2">
      <c r="C67" s="100"/>
      <c r="D67" s="100"/>
      <c r="E67" s="120"/>
      <c r="F67" s="115"/>
      <c r="G67" s="98"/>
      <c r="H67" s="215"/>
      <c r="I67" s="119"/>
      <c r="J67" s="6"/>
    </row>
    <row r="68" spans="2:10" ht="13.5" thickBot="1" x14ac:dyDescent="0.25">
      <c r="B68" s="194" t="s">
        <v>69</v>
      </c>
      <c r="C68" s="194"/>
      <c r="D68" s="194"/>
      <c r="E68" s="194"/>
      <c r="F68" s="194"/>
      <c r="G68" s="98"/>
      <c r="H68" s="53"/>
      <c r="I68" s="119"/>
      <c r="J68" s="6"/>
    </row>
    <row r="69" spans="2:10" ht="13.5" thickBot="1" x14ac:dyDescent="0.25">
      <c r="B69" s="54" t="s">
        <v>70</v>
      </c>
      <c r="C69" s="121">
        <f>+F53</f>
        <v>288.86713346554893</v>
      </c>
      <c r="D69" s="121">
        <f>+D58</f>
        <v>100</v>
      </c>
      <c r="E69" s="55">
        <f>+C69/D69</f>
        <v>2.8886713346554895</v>
      </c>
      <c r="F69" s="98"/>
      <c r="G69" s="53"/>
      <c r="H69" s="99"/>
      <c r="I69" s="53"/>
      <c r="J69" s="6"/>
    </row>
    <row r="70" spans="2:10" x14ac:dyDescent="0.2">
      <c r="B70" s="56"/>
      <c r="C70" s="122"/>
      <c r="D70" s="123"/>
      <c r="E70" s="115"/>
      <c r="F70" s="98"/>
      <c r="G70" s="53"/>
      <c r="H70" s="99"/>
      <c r="I70" s="99"/>
      <c r="J70" s="6"/>
    </row>
    <row r="71" spans="2:10" x14ac:dyDescent="0.2">
      <c r="B71" s="54" t="s">
        <v>71</v>
      </c>
      <c r="C71" s="121">
        <f>SUM(F63:F64)</f>
        <v>414.76517966120082</v>
      </c>
      <c r="D71" s="121">
        <f>+D58</f>
        <v>100</v>
      </c>
      <c r="E71" s="124">
        <f>+C71/D71</f>
        <v>4.1476517966120081</v>
      </c>
      <c r="F71" s="98"/>
      <c r="G71" s="53"/>
      <c r="H71" s="99"/>
      <c r="I71" s="99"/>
      <c r="J71" s="6"/>
    </row>
    <row r="72" spans="2:10" x14ac:dyDescent="0.2">
      <c r="B72" s="54"/>
      <c r="C72" s="121"/>
      <c r="D72" s="121"/>
      <c r="E72" s="124"/>
      <c r="F72" s="98"/>
      <c r="G72" s="53"/>
      <c r="H72" s="99"/>
      <c r="I72" s="99"/>
      <c r="J72" s="6"/>
    </row>
    <row r="73" spans="2:10" ht="13.5" thickBot="1" x14ac:dyDescent="0.25">
      <c r="B73" s="54" t="s">
        <v>72</v>
      </c>
      <c r="C73" s="121">
        <f>+F65</f>
        <v>27.5</v>
      </c>
      <c r="D73" s="121">
        <f>+D58</f>
        <v>100</v>
      </c>
      <c r="E73" s="124">
        <f>+C73/D73</f>
        <v>0.27500000000000002</v>
      </c>
      <c r="F73" s="98"/>
      <c r="G73" s="53"/>
      <c r="H73" s="99"/>
      <c r="I73" s="99"/>
      <c r="J73" s="6"/>
    </row>
    <row r="74" spans="2:10" ht="13.5" thickBot="1" x14ac:dyDescent="0.25">
      <c r="B74" s="54" t="s">
        <v>73</v>
      </c>
      <c r="C74" s="121">
        <f>+F56</f>
        <v>79.97477065854018</v>
      </c>
      <c r="D74" s="121">
        <f>+D73</f>
        <v>100</v>
      </c>
      <c r="E74" s="55">
        <f>+C74/D74</f>
        <v>0.79974770658540184</v>
      </c>
      <c r="F74" s="98"/>
      <c r="G74" s="53"/>
      <c r="H74" s="99"/>
      <c r="I74" s="99"/>
      <c r="J74" s="6"/>
    </row>
    <row r="75" spans="2:10" ht="13.5" thickBot="1" x14ac:dyDescent="0.25">
      <c r="B75" s="32"/>
      <c r="C75" s="107"/>
      <c r="D75" s="107"/>
      <c r="E75" s="124"/>
      <c r="F75" s="98"/>
      <c r="G75" s="53"/>
      <c r="H75" s="99"/>
      <c r="I75" s="99"/>
      <c r="J75" s="6"/>
    </row>
    <row r="76" spans="2:10" ht="13.5" thickBot="1" x14ac:dyDescent="0.25">
      <c r="B76" s="54" t="s">
        <v>74</v>
      </c>
      <c r="C76" s="121">
        <f>+F54</f>
        <v>120.1207035263409</v>
      </c>
      <c r="D76" s="121">
        <f>+D74</f>
        <v>100</v>
      </c>
      <c r="E76" s="55">
        <f>+C76/D76</f>
        <v>1.201207035263409</v>
      </c>
      <c r="F76" s="98"/>
      <c r="G76" s="53"/>
      <c r="H76" s="99"/>
      <c r="I76" s="99"/>
      <c r="J76" s="99"/>
    </row>
    <row r="77" spans="2:10" ht="13.5" thickBot="1" x14ac:dyDescent="0.25">
      <c r="B77" s="32"/>
      <c r="C77" s="107"/>
      <c r="D77" s="107"/>
      <c r="E77" s="124"/>
      <c r="F77" s="98"/>
      <c r="G77" s="53"/>
      <c r="H77" s="99"/>
      <c r="I77" s="99"/>
    </row>
    <row r="78" spans="2:10" ht="13.5" thickBot="1" x14ac:dyDescent="0.25">
      <c r="B78" s="195" t="s">
        <v>75</v>
      </c>
      <c r="C78" s="196"/>
      <c r="D78" s="197"/>
      <c r="E78" s="55">
        <f>+E69+E74</f>
        <v>3.6884190412408913</v>
      </c>
      <c r="G78" s="98"/>
      <c r="H78" s="53"/>
      <c r="I78" s="99"/>
      <c r="J78" s="124"/>
    </row>
    <row r="79" spans="2:10" x14ac:dyDescent="0.2">
      <c r="I79" s="53"/>
      <c r="J79" s="6"/>
    </row>
    <row r="80" spans="2:10" ht="13.5" thickBot="1" x14ac:dyDescent="0.25">
      <c r="B80" s="194" t="s">
        <v>76</v>
      </c>
      <c r="C80" s="194"/>
      <c r="D80" s="194"/>
      <c r="E80" s="194"/>
      <c r="F80" s="194"/>
      <c r="G80" s="98"/>
      <c r="H80" s="53"/>
      <c r="J80" s="6"/>
    </row>
    <row r="81" spans="1:10" ht="13.5" thickBot="1" x14ac:dyDescent="0.25">
      <c r="B81" s="54" t="s">
        <v>70</v>
      </c>
      <c r="C81" s="121">
        <f>+C69</f>
        <v>288.86713346554893</v>
      </c>
      <c r="D81" s="121">
        <f>+D60</f>
        <v>1</v>
      </c>
      <c r="E81" s="55">
        <f>+C81/D81</f>
        <v>288.86713346554893</v>
      </c>
      <c r="F81" s="98"/>
      <c r="G81" s="53"/>
      <c r="H81" s="99"/>
      <c r="I81" s="53"/>
      <c r="J81" s="6"/>
    </row>
    <row r="82" spans="1:10" x14ac:dyDescent="0.2">
      <c r="B82" s="56"/>
      <c r="C82" s="122"/>
      <c r="D82" s="123"/>
      <c r="E82" s="115"/>
      <c r="F82" s="98"/>
      <c r="G82" s="53"/>
      <c r="H82" s="99"/>
      <c r="I82" s="99"/>
      <c r="J82" s="6"/>
    </row>
    <row r="83" spans="1:10" x14ac:dyDescent="0.2">
      <c r="B83" s="54" t="s">
        <v>71</v>
      </c>
      <c r="C83" s="121">
        <f>+C71</f>
        <v>414.76517966120082</v>
      </c>
      <c r="D83" s="121">
        <f>+D60</f>
        <v>1</v>
      </c>
      <c r="E83" s="124">
        <f>+C83/D83</f>
        <v>414.76517966120082</v>
      </c>
      <c r="F83" s="98"/>
      <c r="G83" s="53"/>
      <c r="H83" s="99"/>
      <c r="I83" s="99"/>
      <c r="J83" s="6"/>
    </row>
    <row r="84" spans="1:10" x14ac:dyDescent="0.2">
      <c r="B84" s="54"/>
      <c r="C84" s="121"/>
      <c r="D84" s="121"/>
      <c r="E84" s="124"/>
      <c r="F84" s="98"/>
      <c r="G84" s="53"/>
      <c r="H84" s="99"/>
      <c r="I84" s="99"/>
      <c r="J84" s="6"/>
    </row>
    <row r="85" spans="1:10" ht="13.5" thickBot="1" x14ac:dyDescent="0.25">
      <c r="B85" s="54" t="s">
        <v>73</v>
      </c>
      <c r="C85" s="121">
        <f>+C73</f>
        <v>27.5</v>
      </c>
      <c r="D85" s="121">
        <f>+D60</f>
        <v>1</v>
      </c>
      <c r="E85" s="124">
        <f>+C85/D85</f>
        <v>27.5</v>
      </c>
      <c r="F85" s="126"/>
      <c r="G85" s="52"/>
      <c r="H85" s="5"/>
      <c r="I85" s="99"/>
    </row>
    <row r="86" spans="1:10" ht="13.5" thickBot="1" x14ac:dyDescent="0.25">
      <c r="B86" s="54" t="s">
        <v>73</v>
      </c>
      <c r="C86" s="121">
        <f>+C74</f>
        <v>79.97477065854018</v>
      </c>
      <c r="D86" s="121">
        <f>+D85</f>
        <v>1</v>
      </c>
      <c r="E86" s="55">
        <f>+C86/D86</f>
        <v>79.97477065854018</v>
      </c>
      <c r="F86" s="125"/>
      <c r="G86" s="52"/>
      <c r="H86" s="5"/>
      <c r="I86" s="5"/>
    </row>
    <row r="87" spans="1:10" x14ac:dyDescent="0.2">
      <c r="I87" s="5"/>
    </row>
    <row r="88" spans="1:10" x14ac:dyDescent="0.2">
      <c r="A88" s="198"/>
      <c r="B88" s="198"/>
      <c r="C88" s="57"/>
      <c r="D88" s="57"/>
      <c r="E88" s="127"/>
      <c r="G88" s="128"/>
    </row>
    <row r="89" spans="1:10" x14ac:dyDescent="0.2">
      <c r="A89" s="17"/>
      <c r="B89" s="58"/>
      <c r="C89" s="129"/>
      <c r="D89" s="129"/>
      <c r="E89" s="59"/>
      <c r="G89" s="128"/>
    </row>
    <row r="90" spans="1:10" x14ac:dyDescent="0.2">
      <c r="A90" s="17"/>
      <c r="B90" s="58"/>
      <c r="C90" s="60"/>
      <c r="D90" s="60"/>
      <c r="E90" s="17"/>
      <c r="G90" s="128"/>
    </row>
    <row r="91" spans="1:10" x14ac:dyDescent="0.2">
      <c r="A91" s="17"/>
      <c r="B91" s="58"/>
      <c r="C91" s="61"/>
      <c r="D91" s="61"/>
      <c r="E91" s="17"/>
      <c r="G91" s="12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workbookViewId="0">
      <selection activeCell="B42" sqref="B41:F42"/>
    </sheetView>
  </sheetViews>
  <sheetFormatPr baseColWidth="10" defaultColWidth="8.42578125" defaultRowHeight="11.25" x14ac:dyDescent="0.2"/>
  <cols>
    <col min="1" max="1" width="5" style="62" customWidth="1"/>
    <col min="2" max="2" width="10" style="62" bestFit="1" customWidth="1"/>
    <col min="3" max="3" width="39.28515625" style="62" customWidth="1"/>
    <col min="4" max="4" width="10" style="62" bestFit="1" customWidth="1"/>
    <col min="5" max="5" width="10" style="62" customWidth="1"/>
    <col min="6" max="6" width="10.28515625" style="62" bestFit="1" customWidth="1"/>
    <col min="7" max="7" width="11.5703125" style="63" customWidth="1"/>
    <col min="8" max="8" width="10.42578125" style="130" bestFit="1" customWidth="1"/>
    <col min="9" max="9" width="11.5703125" style="65" bestFit="1" customWidth="1"/>
    <col min="10" max="10" width="11.7109375" style="64" customWidth="1"/>
    <col min="11" max="11" width="9" style="62" bestFit="1" customWidth="1"/>
    <col min="12" max="16384" width="8.42578125" style="62"/>
  </cols>
  <sheetData>
    <row r="1" spans="2:11" x14ac:dyDescent="0.2">
      <c r="H1" s="227" t="s">
        <v>77</v>
      </c>
      <c r="I1" s="229">
        <f>+G51</f>
        <v>561.74479410836068</v>
      </c>
    </row>
    <row r="2" spans="2:11" ht="19.5" customHeight="1" thickBot="1" x14ac:dyDescent="0.25">
      <c r="H2" s="228"/>
      <c r="I2" s="230"/>
    </row>
    <row r="3" spans="2:11" ht="12" thickBot="1" x14ac:dyDescent="0.25"/>
    <row r="4" spans="2:11" ht="36" customHeight="1" thickBot="1" x14ac:dyDescent="0.35">
      <c r="B4" s="231"/>
      <c r="C4" s="232"/>
      <c r="D4" s="232"/>
      <c r="E4" s="232"/>
      <c r="F4" s="232"/>
      <c r="G4" s="232"/>
      <c r="H4" s="232"/>
      <c r="I4" s="233"/>
    </row>
    <row r="5" spans="2:11" ht="19.5" customHeight="1" thickBot="1" x14ac:dyDescent="0.25">
      <c r="B5" s="234" t="s">
        <v>78</v>
      </c>
      <c r="C5" s="234"/>
      <c r="D5" s="234"/>
      <c r="E5" s="234"/>
      <c r="F5" s="234"/>
      <c r="G5" s="234"/>
      <c r="H5" s="234"/>
      <c r="I5" s="234"/>
    </row>
    <row r="6" spans="2:11" ht="19.5" customHeight="1" thickTop="1" x14ac:dyDescent="0.2">
      <c r="B6" s="235" t="s">
        <v>79</v>
      </c>
      <c r="C6" s="235"/>
      <c r="D6" s="235"/>
      <c r="E6" s="235"/>
      <c r="F6" s="235"/>
      <c r="G6" s="235"/>
      <c r="H6" s="235"/>
      <c r="I6" s="235"/>
    </row>
    <row r="7" spans="2:11" ht="19.5" customHeight="1" thickBot="1" x14ac:dyDescent="0.25">
      <c r="B7" s="66"/>
      <c r="C7" s="66"/>
      <c r="D7" s="66"/>
      <c r="E7" s="66"/>
      <c r="F7" s="66"/>
      <c r="G7" s="236" t="s">
        <v>35</v>
      </c>
      <c r="H7" s="236"/>
      <c r="I7" s="9">
        <f ca="1">TODAY()</f>
        <v>45960</v>
      </c>
    </row>
    <row r="8" spans="2:11" ht="26.25" thickBot="1" x14ac:dyDescent="0.25">
      <c r="B8" s="10" t="s">
        <v>36</v>
      </c>
      <c r="C8" s="11" t="s">
        <v>80</v>
      </c>
      <c r="D8" s="11" t="s">
        <v>36</v>
      </c>
      <c r="E8" s="12" t="s">
        <v>38</v>
      </c>
      <c r="F8" s="12" t="s">
        <v>39</v>
      </c>
      <c r="G8" s="12" t="s">
        <v>40</v>
      </c>
      <c r="H8" s="12" t="s">
        <v>41</v>
      </c>
      <c r="I8" s="13" t="s">
        <v>42</v>
      </c>
    </row>
    <row r="9" spans="2:11" s="67" customFormat="1" ht="13.5" x14ac:dyDescent="0.25">
      <c r="B9" s="15">
        <v>1</v>
      </c>
      <c r="C9" s="17" t="s">
        <v>111</v>
      </c>
      <c r="D9" s="96">
        <f t="shared" ref="D9:D14" si="0">+B9</f>
        <v>1</v>
      </c>
      <c r="E9" s="68" t="s">
        <v>100</v>
      </c>
      <c r="F9" s="97">
        <f>+'costo '!O62</f>
        <v>548.04370156913239</v>
      </c>
      <c r="G9" s="97">
        <f t="shared" ref="G9:G14" si="1">IFERROR(D9*F9,"")</f>
        <v>548.04370156913239</v>
      </c>
      <c r="H9" s="131">
        <f t="shared" ref="H9:H14" si="2">IFERROR(G9/$G$53,"")</f>
        <v>0.3723701359150996</v>
      </c>
      <c r="I9" s="18"/>
    </row>
    <row r="10" spans="2:11" s="67" customFormat="1" ht="13.5" hidden="1" x14ac:dyDescent="0.25">
      <c r="B10" s="15"/>
      <c r="C10" s="17" t="e">
        <f>VLOOKUP(I10,'[1]COMPRAS LOCALES'!$A$2:$F$380,2,0)</f>
        <v>#N/A</v>
      </c>
      <c r="D10" s="96">
        <f t="shared" si="0"/>
        <v>0</v>
      </c>
      <c r="E10" s="68" t="e">
        <f>VLOOKUP(I10,'[1]COMPRAS LOCALES'!$A$2:$F$380,5,0)</f>
        <v>#N/A</v>
      </c>
      <c r="F10" s="97" t="e">
        <f>VLOOKUP(I10,'[1]COMPRAS LOCALES'!$A$2:$F$380,6,0)</f>
        <v>#N/A</v>
      </c>
      <c r="G10" s="97" t="str">
        <f t="shared" si="1"/>
        <v/>
      </c>
      <c r="H10" s="131" t="str">
        <f t="shared" si="2"/>
        <v/>
      </c>
      <c r="I10" s="18"/>
      <c r="K10" s="132"/>
    </row>
    <row r="11" spans="2:11" s="67" customFormat="1" ht="13.5" hidden="1" x14ac:dyDescent="0.25">
      <c r="B11" s="15"/>
      <c r="C11" s="17" t="e">
        <f>VLOOKUP(I11,'[1]COMPRAS LOCALES'!$A$2:$F$380,2,0)</f>
        <v>#N/A</v>
      </c>
      <c r="D11" s="96">
        <f t="shared" si="0"/>
        <v>0</v>
      </c>
      <c r="E11" s="68" t="e">
        <f>VLOOKUP(I11,'[1]COMPRAS LOCALES'!$A$2:$F$380,5,0)</f>
        <v>#N/A</v>
      </c>
      <c r="F11" s="97" t="e">
        <f>VLOOKUP(I11,'[1]COMPRAS LOCALES'!$A$2:$F$380,6,0)</f>
        <v>#N/A</v>
      </c>
      <c r="G11" s="97" t="str">
        <f t="shared" si="1"/>
        <v/>
      </c>
      <c r="H11" s="131" t="str">
        <f t="shared" si="2"/>
        <v/>
      </c>
      <c r="I11" s="18"/>
    </row>
    <row r="12" spans="2:11" s="67" customFormat="1" ht="13.5" hidden="1" x14ac:dyDescent="0.25">
      <c r="B12" s="15"/>
      <c r="C12" s="17" t="e">
        <f>VLOOKUP(I12,'[1]COMPRAS LOCALES'!$A$2:$F$380,2,0)</f>
        <v>#N/A</v>
      </c>
      <c r="D12" s="96">
        <f t="shared" si="0"/>
        <v>0</v>
      </c>
      <c r="E12" s="68" t="e">
        <f>VLOOKUP(I12,'[1]COMPRAS LOCALES'!$A$2:$F$380,5,0)</f>
        <v>#N/A</v>
      </c>
      <c r="F12" s="97" t="e">
        <f>VLOOKUP(I12,'[1]COMPRAS LOCALES'!$A$2:$F$380,6,0)</f>
        <v>#N/A</v>
      </c>
      <c r="G12" s="97" t="str">
        <f t="shared" si="1"/>
        <v/>
      </c>
      <c r="H12" s="131" t="str">
        <f t="shared" si="2"/>
        <v/>
      </c>
      <c r="I12" s="18"/>
    </row>
    <row r="13" spans="2:11" s="67" customFormat="1" ht="13.5" hidden="1" x14ac:dyDescent="0.25">
      <c r="B13" s="15"/>
      <c r="C13" s="17" t="e">
        <f>VLOOKUP(I13,'[1]COMPRAS LOCALES'!$A$2:$F$380,2,0)</f>
        <v>#N/A</v>
      </c>
      <c r="D13" s="96">
        <f t="shared" si="0"/>
        <v>0</v>
      </c>
      <c r="E13" s="68" t="e">
        <f>VLOOKUP(I13,'[1]COMPRAS LOCALES'!$A$2:$F$380,5,0)</f>
        <v>#N/A</v>
      </c>
      <c r="F13" s="97" t="e">
        <f>VLOOKUP(I13,'[1]COMPRAS LOCALES'!$A$2:$F$380,6,0)</f>
        <v>#N/A</v>
      </c>
      <c r="G13" s="97" t="str">
        <f t="shared" si="1"/>
        <v/>
      </c>
      <c r="H13" s="131" t="str">
        <f t="shared" si="2"/>
        <v/>
      </c>
      <c r="I13" s="18"/>
    </row>
    <row r="14" spans="2:11" s="67" customFormat="1" ht="13.5" hidden="1" x14ac:dyDescent="0.25">
      <c r="B14" s="15"/>
      <c r="C14" s="17" t="e">
        <f>VLOOKUP(I14,'[1]COMPRAS LOCALES'!$A$2:$F$380,2,0)</f>
        <v>#N/A</v>
      </c>
      <c r="D14" s="96">
        <f t="shared" si="0"/>
        <v>0</v>
      </c>
      <c r="E14" s="68" t="e">
        <f>VLOOKUP(I14,'[1]COMPRAS LOCALES'!$A$2:$F$380,5,0)</f>
        <v>#N/A</v>
      </c>
      <c r="F14" s="97" t="e">
        <f>VLOOKUP(I14,'[1]COMPRAS LOCALES'!$A$2:$F$380,6,0)</f>
        <v>#N/A</v>
      </c>
      <c r="G14" s="97" t="str">
        <f t="shared" si="1"/>
        <v/>
      </c>
      <c r="H14" s="131" t="str">
        <f t="shared" si="2"/>
        <v/>
      </c>
      <c r="I14" s="18"/>
    </row>
    <row r="15" spans="2:11" s="67" customFormat="1" ht="13.5" x14ac:dyDescent="0.25">
      <c r="B15" s="15"/>
      <c r="C15" s="21"/>
      <c r="D15" s="96"/>
      <c r="E15" s="96"/>
      <c r="F15" s="97"/>
      <c r="G15" s="97"/>
      <c r="H15" s="131"/>
      <c r="I15" s="18"/>
    </row>
    <row r="16" spans="2:11" s="67" customFormat="1" ht="24" hidden="1" customHeight="1" thickBot="1" x14ac:dyDescent="0.25">
      <c r="B16" s="10" t="s">
        <v>36</v>
      </c>
      <c r="C16" s="11" t="s">
        <v>81</v>
      </c>
      <c r="D16" s="11" t="s">
        <v>36</v>
      </c>
      <c r="E16" s="12" t="s">
        <v>38</v>
      </c>
      <c r="F16" s="12" t="s">
        <v>39</v>
      </c>
      <c r="G16" s="12" t="s">
        <v>40</v>
      </c>
      <c r="H16" s="12" t="s">
        <v>41</v>
      </c>
      <c r="I16" s="13" t="s">
        <v>42</v>
      </c>
    </row>
    <row r="17" spans="2:9" s="67" customFormat="1" ht="13.5" hidden="1" x14ac:dyDescent="0.25">
      <c r="B17" s="15"/>
      <c r="C17" s="17" t="e">
        <f>VLOOKUP(I17,'[1]COMPRAS LOCALES'!$A$2:$F$380,2,0)</f>
        <v>#N/A</v>
      </c>
      <c r="D17" s="133">
        <f>+B17</f>
        <v>0</v>
      </c>
      <c r="E17" s="133" t="e">
        <f>VLOOKUP(I17,'[1]COMPRAS LOCALES'!$A$2:$F$380,5,0)</f>
        <v>#N/A</v>
      </c>
      <c r="F17" s="134" t="e">
        <f>VLOOKUP(I17,'[1]COMPRAS LOCALES'!$A$2:$F$380,6,0)</f>
        <v>#N/A</v>
      </c>
      <c r="G17" s="134" t="str">
        <f>IFERROR(D17*F17,"")</f>
        <v/>
      </c>
      <c r="H17" s="131" t="str">
        <f>IFERROR(G17/$G$53,"")</f>
        <v/>
      </c>
      <c r="I17" s="18"/>
    </row>
    <row r="18" spans="2:9" s="67" customFormat="1" ht="13.5" hidden="1" x14ac:dyDescent="0.25">
      <c r="B18" s="15"/>
      <c r="C18" s="17" t="e">
        <f>VLOOKUP(I18,'[1]COMPRAS LOCALES'!$A$2:$F$380,2,0)</f>
        <v>#N/A</v>
      </c>
      <c r="D18" s="133">
        <f>+B18</f>
        <v>0</v>
      </c>
      <c r="E18" s="133" t="e">
        <f>VLOOKUP(I18,'[1]COMPRAS LOCALES'!$A$2:$F$380,5,0)</f>
        <v>#N/A</v>
      </c>
      <c r="F18" s="134" t="e">
        <f>VLOOKUP(I18,'[1]COMPRAS LOCALES'!$A$2:$F$380,6,0)</f>
        <v>#N/A</v>
      </c>
      <c r="G18" s="134" t="str">
        <f>IFERROR(D18*F18,"")</f>
        <v/>
      </c>
      <c r="H18" s="131" t="str">
        <f>IFERROR(G18/$G$53,"")</f>
        <v/>
      </c>
      <c r="I18" s="18"/>
    </row>
    <row r="19" spans="2:9" s="67" customFormat="1" ht="13.5" hidden="1" x14ac:dyDescent="0.25">
      <c r="B19" s="15"/>
      <c r="C19" s="17" t="e">
        <f>VLOOKUP(I19,'[1]COMPRAS LOCALES'!$A$2:$F$380,2,0)</f>
        <v>#N/A</v>
      </c>
      <c r="D19" s="133">
        <f>+B19</f>
        <v>0</v>
      </c>
      <c r="E19" s="133" t="e">
        <f>VLOOKUP(I19,'[1]COMPRAS LOCALES'!$A$2:$F$380,5,0)</f>
        <v>#N/A</v>
      </c>
      <c r="F19" s="134" t="e">
        <f>VLOOKUP(I19,'[1]COMPRAS LOCALES'!$A$2:$F$380,6,0)</f>
        <v>#N/A</v>
      </c>
      <c r="G19" s="134" t="str">
        <f>IFERROR(D19*F19,"")</f>
        <v/>
      </c>
      <c r="H19" s="131" t="str">
        <f>IFERROR(G19/$G$53,"")</f>
        <v/>
      </c>
      <c r="I19" s="18"/>
    </row>
    <row r="20" spans="2:9" s="67" customFormat="1" ht="13.5" hidden="1" x14ac:dyDescent="0.25">
      <c r="B20" s="15"/>
      <c r="C20" s="17" t="e">
        <f>VLOOKUP(I20,'[1]COMPRAS LOCALES'!$A$2:$F$380,2,0)</f>
        <v>#N/A</v>
      </c>
      <c r="D20" s="133">
        <f>+B20</f>
        <v>0</v>
      </c>
      <c r="E20" s="133" t="e">
        <f>VLOOKUP(I20,'[1]COMPRAS LOCALES'!$A$2:$F$380,5,0)</f>
        <v>#N/A</v>
      </c>
      <c r="F20" s="134" t="e">
        <f>VLOOKUP(I20,'[1]COMPRAS LOCALES'!$A$2:$F$380,6,0)</f>
        <v>#N/A</v>
      </c>
      <c r="G20" s="134" t="str">
        <f>IFERROR(D20*F20,"")</f>
        <v/>
      </c>
      <c r="H20" s="131" t="str">
        <f>IFERROR(G20/$G$53,"")</f>
        <v/>
      </c>
      <c r="I20" s="18"/>
    </row>
    <row r="21" spans="2:9" s="67" customFormat="1" ht="13.5" hidden="1" thickBot="1" x14ac:dyDescent="0.25">
      <c r="B21" s="69"/>
      <c r="C21" s="70"/>
      <c r="D21" s="71"/>
      <c r="E21" s="71"/>
      <c r="F21" s="71"/>
      <c r="G21" s="72"/>
      <c r="H21" s="135"/>
      <c r="I21" s="73"/>
    </row>
    <row r="22" spans="2:9" s="67" customFormat="1" ht="26.25" hidden="1" thickBot="1" x14ac:dyDescent="0.25">
      <c r="B22" s="10" t="s">
        <v>65</v>
      </c>
      <c r="C22" s="11" t="s">
        <v>25</v>
      </c>
      <c r="D22" s="11" t="s">
        <v>65</v>
      </c>
      <c r="E22" s="12" t="s">
        <v>38</v>
      </c>
      <c r="F22" s="12" t="s">
        <v>82</v>
      </c>
      <c r="G22" s="12" t="s">
        <v>83</v>
      </c>
      <c r="H22" s="12" t="s">
        <v>84</v>
      </c>
      <c r="I22" s="13" t="s">
        <v>85</v>
      </c>
    </row>
    <row r="23" spans="2:9" s="67" customFormat="1" ht="14.25" hidden="1" thickBot="1" x14ac:dyDescent="0.3">
      <c r="B23" s="15"/>
      <c r="C23" s="74" t="s">
        <v>86</v>
      </c>
      <c r="D23" s="96"/>
      <c r="E23" s="96"/>
      <c r="F23" s="97"/>
      <c r="G23" s="97"/>
      <c r="H23" s="131"/>
      <c r="I23" s="18"/>
    </row>
    <row r="24" spans="2:9" s="67" customFormat="1" ht="13.5" hidden="1" x14ac:dyDescent="0.25">
      <c r="B24" s="15">
        <v>0.55000000000000004</v>
      </c>
      <c r="C24" s="17" t="e">
        <f>VLOOKUP(I24,'[4]COMPRAS LOCALES'!$A$1:$F$380,2,0)</f>
        <v>#N/A</v>
      </c>
      <c r="D24" s="96">
        <f>+B24</f>
        <v>0.55000000000000004</v>
      </c>
      <c r="E24" s="96" t="e">
        <f>VLOOKUP(I24,'[1]COMPRAS LOCALES'!$A$2:$F$380,5,0)</f>
        <v>#N/A</v>
      </c>
      <c r="F24" s="97" t="e">
        <f>VLOOKUP(I24,'[1]COMPRAS LOCALES'!$A$2:$F$380,6,0)</f>
        <v>#N/A</v>
      </c>
      <c r="G24" s="97" t="str">
        <f>IFERROR(F24*D24,"")</f>
        <v/>
      </c>
      <c r="H24" s="136" t="str">
        <f>IFERROR(G24/$G$53,"")</f>
        <v/>
      </c>
      <c r="I24" s="18"/>
    </row>
    <row r="25" spans="2:9" s="67" customFormat="1" ht="13.5" hidden="1" x14ac:dyDescent="0.25">
      <c r="B25" s="15">
        <v>0.55000000000000004</v>
      </c>
      <c r="C25" s="17" t="e">
        <f>VLOOKUP(I25,'[4]COMPRAS LOCALES'!$A$1:$F$380,2,0)</f>
        <v>#N/A</v>
      </c>
      <c r="D25" s="96">
        <f t="shared" ref="D25:D31" si="3">+B25</f>
        <v>0.55000000000000004</v>
      </c>
      <c r="E25" s="96" t="e">
        <f>VLOOKUP(I25,'[1]COMPRAS LOCALES'!$A$2:$F$380,5,0)</f>
        <v>#N/A</v>
      </c>
      <c r="F25" s="97" t="e">
        <f>VLOOKUP(I25,'[1]COMPRAS LOCALES'!$A$2:$F$380,6,0)</f>
        <v>#N/A</v>
      </c>
      <c r="G25" s="97" t="str">
        <f t="shared" ref="G25:G31" si="4">IFERROR(F25*D25,"")</f>
        <v/>
      </c>
      <c r="H25" s="136" t="str">
        <f t="shared" ref="H25:H31" si="5">IFERROR(G25/$G$53,"")</f>
        <v/>
      </c>
      <c r="I25" s="18"/>
    </row>
    <row r="26" spans="2:9" s="67" customFormat="1" ht="13.5" hidden="1" x14ac:dyDescent="0.25">
      <c r="B26" s="15">
        <v>0.55000000000000004</v>
      </c>
      <c r="C26" s="17" t="e">
        <f>VLOOKUP(I26,'[4]COMPRAS LOCALES'!$A$1:$F$380,2,0)</f>
        <v>#N/A</v>
      </c>
      <c r="D26" s="96">
        <f t="shared" si="3"/>
        <v>0.55000000000000004</v>
      </c>
      <c r="E26" s="96" t="e">
        <f>VLOOKUP(I26,'[1]COMPRAS LOCALES'!$A$2:$F$380,5,0)</f>
        <v>#N/A</v>
      </c>
      <c r="F26" s="97" t="e">
        <f>VLOOKUP(I26,'[1]COMPRAS LOCALES'!$A$2:$F$380,6,0)</f>
        <v>#N/A</v>
      </c>
      <c r="G26" s="97" t="str">
        <f t="shared" si="4"/>
        <v/>
      </c>
      <c r="H26" s="136" t="str">
        <f t="shared" si="5"/>
        <v/>
      </c>
      <c r="I26" s="18"/>
    </row>
    <row r="27" spans="2:9" s="67" customFormat="1" ht="13.5" hidden="1" x14ac:dyDescent="0.25">
      <c r="B27" s="15">
        <v>0.55000000000000004</v>
      </c>
      <c r="C27" s="17" t="e">
        <f>VLOOKUP(I27,'[4]COMPRAS LOCALES'!$A$1:$F$380,2,0)</f>
        <v>#N/A</v>
      </c>
      <c r="D27" s="96">
        <f t="shared" si="3"/>
        <v>0.55000000000000004</v>
      </c>
      <c r="E27" s="96" t="e">
        <f>VLOOKUP(I27,'[1]COMPRAS LOCALES'!$A$2:$F$380,5,0)</f>
        <v>#N/A</v>
      </c>
      <c r="F27" s="97" t="e">
        <f>VLOOKUP(I27,'[1]COMPRAS LOCALES'!$A$2:$F$380,6,0)</f>
        <v>#N/A</v>
      </c>
      <c r="G27" s="97" t="str">
        <f t="shared" si="4"/>
        <v/>
      </c>
      <c r="H27" s="136" t="str">
        <f t="shared" si="5"/>
        <v/>
      </c>
      <c r="I27" s="18"/>
    </row>
    <row r="28" spans="2:9" s="67" customFormat="1" ht="13.5" hidden="1" x14ac:dyDescent="0.25">
      <c r="B28" s="15">
        <v>0.55000000000000004</v>
      </c>
      <c r="C28" s="17" t="e">
        <f>VLOOKUP(I28,'[4]COMPRAS LOCALES'!$A$1:$F$380,2,0)</f>
        <v>#N/A</v>
      </c>
      <c r="D28" s="96">
        <f t="shared" si="3"/>
        <v>0.55000000000000004</v>
      </c>
      <c r="E28" s="96" t="e">
        <f>VLOOKUP(I28,'[1]COMPRAS LOCALES'!$A$2:$F$380,5,0)</f>
        <v>#N/A</v>
      </c>
      <c r="F28" s="97" t="e">
        <f>VLOOKUP(I28,'[1]COMPRAS LOCALES'!$A$2:$F$380,6,0)</f>
        <v>#N/A</v>
      </c>
      <c r="G28" s="97" t="str">
        <f t="shared" si="4"/>
        <v/>
      </c>
      <c r="H28" s="136" t="str">
        <f t="shared" si="5"/>
        <v/>
      </c>
      <c r="I28" s="18"/>
    </row>
    <row r="29" spans="2:9" s="67" customFormat="1" ht="13.5" hidden="1" x14ac:dyDescent="0.25">
      <c r="B29" s="15">
        <v>0.55000000000000004</v>
      </c>
      <c r="C29" s="17" t="e">
        <f>VLOOKUP(I29,'[4]COMPRAS LOCALES'!$A$1:$F$380,2,0)</f>
        <v>#N/A</v>
      </c>
      <c r="D29" s="96">
        <f t="shared" si="3"/>
        <v>0.55000000000000004</v>
      </c>
      <c r="E29" s="96" t="e">
        <f>VLOOKUP(I29,'[1]COMPRAS LOCALES'!$A$2:$F$380,5,0)</f>
        <v>#N/A</v>
      </c>
      <c r="F29" s="97" t="e">
        <f>VLOOKUP(I29,'[1]COMPRAS LOCALES'!$A$2:$F$380,6,0)</f>
        <v>#N/A</v>
      </c>
      <c r="G29" s="97" t="str">
        <f t="shared" si="4"/>
        <v/>
      </c>
      <c r="H29" s="136" t="str">
        <f t="shared" si="5"/>
        <v/>
      </c>
      <c r="I29" s="18"/>
    </row>
    <row r="30" spans="2:9" s="67" customFormat="1" ht="13.5" hidden="1" x14ac:dyDescent="0.25">
      <c r="B30" s="15">
        <v>0.55000000000000004</v>
      </c>
      <c r="C30" s="17" t="e">
        <f>VLOOKUP(I30,'[4]COMPRAS LOCALES'!$A$1:$F$380,2,0)</f>
        <v>#N/A</v>
      </c>
      <c r="D30" s="96">
        <f t="shared" si="3"/>
        <v>0.55000000000000004</v>
      </c>
      <c r="E30" s="96" t="e">
        <f>VLOOKUP(I30,'[1]COMPRAS LOCALES'!$A$2:$F$380,5,0)</f>
        <v>#N/A</v>
      </c>
      <c r="F30" s="97" t="e">
        <f>VLOOKUP(I30,'[1]COMPRAS LOCALES'!$A$2:$F$380,6,0)</f>
        <v>#N/A</v>
      </c>
      <c r="G30" s="97" t="str">
        <f t="shared" si="4"/>
        <v/>
      </c>
      <c r="H30" s="136" t="str">
        <f t="shared" si="5"/>
        <v/>
      </c>
      <c r="I30" s="18"/>
    </row>
    <row r="31" spans="2:9" s="67" customFormat="1" ht="13.5" hidden="1" x14ac:dyDescent="0.25">
      <c r="B31" s="15">
        <v>0.55000000000000004</v>
      </c>
      <c r="C31" s="17" t="e">
        <f>VLOOKUP(I31,'[4]COMPRAS LOCALES'!$A$1:$F$380,2,0)</f>
        <v>#N/A</v>
      </c>
      <c r="D31" s="96">
        <f t="shared" si="3"/>
        <v>0.55000000000000004</v>
      </c>
      <c r="E31" s="96" t="e">
        <f>VLOOKUP(I31,'[1]COMPRAS LOCALES'!$A$2:$F$380,5,0)</f>
        <v>#N/A</v>
      </c>
      <c r="F31" s="97" t="e">
        <f>VLOOKUP(I31,'[1]COMPRAS LOCALES'!$A$2:$F$380,6,0)</f>
        <v>#N/A</v>
      </c>
      <c r="G31" s="97" t="str">
        <f t="shared" si="4"/>
        <v/>
      </c>
      <c r="H31" s="136" t="str">
        <f t="shared" si="5"/>
        <v/>
      </c>
      <c r="I31" s="18"/>
    </row>
    <row r="32" spans="2:9" s="67" customFormat="1" ht="14.25" hidden="1" thickBot="1" x14ac:dyDescent="0.3">
      <c r="B32" s="15"/>
      <c r="C32" s="74" t="s">
        <v>87</v>
      </c>
      <c r="D32" s="96"/>
      <c r="E32" s="96"/>
      <c r="F32" s="97"/>
      <c r="G32" s="97"/>
      <c r="H32" s="136"/>
      <c r="I32" s="18"/>
    </row>
    <row r="33" spans="1:38" s="67" customFormat="1" ht="13.5" hidden="1" x14ac:dyDescent="0.25">
      <c r="B33" s="15">
        <v>0.05</v>
      </c>
      <c r="C33" s="21" t="str">
        <f>IFERROR(VLOOKUP(I33,'[3]COMPRAS LOCALES'!$A$2:$G$119,2,0),"")</f>
        <v/>
      </c>
      <c r="D33" s="96">
        <f t="shared" ref="D33:D38" si="6">+B33</f>
        <v>0.05</v>
      </c>
      <c r="E33" s="96" t="str">
        <f>IFERROR(VLOOKUP(I33,'[3]COMPRAS LOCALES'!$A$2:$G$119,6,0),"")</f>
        <v/>
      </c>
      <c r="F33" s="97" t="str">
        <f>IFERROR(VLOOKUP(I33,'[3]COMPRAS LOCALES'!$A$2:$G$119,7,0),"")</f>
        <v/>
      </c>
      <c r="G33" s="97" t="str">
        <f t="shared" ref="G33:G38" si="7">IFERROR(F33*D33,"")</f>
        <v/>
      </c>
      <c r="H33" s="136" t="str">
        <f t="shared" ref="H33:H38" si="8">IFERROR(G33/$G$53,"")</f>
        <v/>
      </c>
      <c r="I33" s="18"/>
    </row>
    <row r="34" spans="1:38" s="67" customFormat="1" ht="13.5" hidden="1" x14ac:dyDescent="0.25">
      <c r="B34" s="15">
        <v>0.05</v>
      </c>
      <c r="C34" s="21" t="str">
        <f>IFERROR(VLOOKUP(I34,'[3]COMPRAS LOCALES'!$A$2:$G$119,2,0),"")</f>
        <v/>
      </c>
      <c r="D34" s="96">
        <f t="shared" si="6"/>
        <v>0.05</v>
      </c>
      <c r="E34" s="96" t="str">
        <f>IFERROR(VLOOKUP(I34,'[3]COMPRAS LOCALES'!$A$2:$G$119,6,0),"")</f>
        <v/>
      </c>
      <c r="F34" s="97" t="str">
        <f>IFERROR(VLOOKUP(I34,'[3]COMPRAS LOCALES'!$A$2:$G$119,7,0),"")</f>
        <v/>
      </c>
      <c r="G34" s="97" t="str">
        <f t="shared" si="7"/>
        <v/>
      </c>
      <c r="H34" s="136" t="str">
        <f t="shared" si="8"/>
        <v/>
      </c>
      <c r="I34" s="18"/>
    </row>
    <row r="35" spans="1:38" s="67" customFormat="1" ht="13.5" hidden="1" x14ac:dyDescent="0.25">
      <c r="B35" s="15">
        <v>0.05</v>
      </c>
      <c r="C35" s="21" t="str">
        <f>IFERROR(VLOOKUP(I35,'[3]COMPRAS LOCALES'!$A$2:$G$119,2,0),"")</f>
        <v/>
      </c>
      <c r="D35" s="96">
        <f t="shared" si="6"/>
        <v>0.05</v>
      </c>
      <c r="E35" s="96" t="str">
        <f>IFERROR(VLOOKUP(I35,'[3]COMPRAS LOCALES'!$A$2:$G$119,6,0),"")</f>
        <v/>
      </c>
      <c r="F35" s="97" t="str">
        <f>IFERROR(VLOOKUP(I35,'[3]COMPRAS LOCALES'!$A$2:$G$119,7,0),"")</f>
        <v/>
      </c>
      <c r="G35" s="97" t="str">
        <f t="shared" si="7"/>
        <v/>
      </c>
      <c r="H35" s="136" t="str">
        <f t="shared" si="8"/>
        <v/>
      </c>
      <c r="I35" s="18"/>
    </row>
    <row r="36" spans="1:38" s="67" customFormat="1" ht="13.5" hidden="1" x14ac:dyDescent="0.25">
      <c r="B36" s="15">
        <v>0.05</v>
      </c>
      <c r="C36" s="21" t="str">
        <f>IFERROR(VLOOKUP(I36,'[3]COMPRAS LOCALES'!$A$2:$G$119,2,0),"")</f>
        <v/>
      </c>
      <c r="D36" s="96">
        <f t="shared" si="6"/>
        <v>0.05</v>
      </c>
      <c r="E36" s="96" t="str">
        <f>IFERROR(VLOOKUP(I36,'[3]COMPRAS LOCALES'!$A$2:$G$119,6,0),"")</f>
        <v/>
      </c>
      <c r="F36" s="97" t="str">
        <f>IFERROR(VLOOKUP(I36,'[3]COMPRAS LOCALES'!$A$2:$G$119,7,0),"")</f>
        <v/>
      </c>
      <c r="G36" s="97" t="str">
        <f t="shared" si="7"/>
        <v/>
      </c>
      <c r="H36" s="136" t="str">
        <f t="shared" si="8"/>
        <v/>
      </c>
      <c r="I36" s="18"/>
    </row>
    <row r="37" spans="1:38" s="67" customFormat="1" ht="13.5" hidden="1" x14ac:dyDescent="0.25">
      <c r="B37" s="15">
        <v>0.05</v>
      </c>
      <c r="C37" s="21" t="str">
        <f>IFERROR(VLOOKUP(I37,'[3]COMPRAS LOCALES'!$A$2:$G$119,2,0),"")</f>
        <v/>
      </c>
      <c r="D37" s="96">
        <f t="shared" si="6"/>
        <v>0.05</v>
      </c>
      <c r="E37" s="96" t="str">
        <f>IFERROR(VLOOKUP(I37,'[3]COMPRAS LOCALES'!$A$2:$G$119,6,0),"")</f>
        <v/>
      </c>
      <c r="F37" s="97" t="str">
        <f>IFERROR(VLOOKUP(I37,'[3]COMPRAS LOCALES'!$A$2:$G$119,7,0),"")</f>
        <v/>
      </c>
      <c r="G37" s="97" t="str">
        <f t="shared" si="7"/>
        <v/>
      </c>
      <c r="H37" s="136" t="str">
        <f t="shared" si="8"/>
        <v/>
      </c>
      <c r="I37" s="18"/>
    </row>
    <row r="38" spans="1:38" s="67" customFormat="1" ht="13.5" hidden="1" x14ac:dyDescent="0.25">
      <c r="B38" s="15">
        <v>0.05</v>
      </c>
      <c r="C38" s="21" t="str">
        <f>IFERROR(VLOOKUP(I38,'[3]COMPRAS LOCALES'!$A$2:$G$119,2,0),"")</f>
        <v/>
      </c>
      <c r="D38" s="96">
        <f t="shared" si="6"/>
        <v>0.05</v>
      </c>
      <c r="E38" s="96" t="str">
        <f>IFERROR(VLOOKUP(I38,'[3]COMPRAS LOCALES'!$A$2:$G$119,6,0),"")</f>
        <v/>
      </c>
      <c r="F38" s="97" t="str">
        <f>IFERROR(VLOOKUP(I38,'[3]COMPRAS LOCALES'!$A$2:$G$119,7,0),"")</f>
        <v/>
      </c>
      <c r="G38" s="97" t="str">
        <f t="shared" si="7"/>
        <v/>
      </c>
      <c r="H38" s="136" t="str">
        <f t="shared" si="8"/>
        <v/>
      </c>
      <c r="I38" s="18"/>
    </row>
    <row r="39" spans="1:38" ht="12.75" x14ac:dyDescent="0.2">
      <c r="A39" s="75"/>
      <c r="B39" s="137"/>
      <c r="C39" s="76"/>
      <c r="D39" s="138"/>
      <c r="E39" s="138"/>
      <c r="F39" s="138"/>
      <c r="G39" s="97"/>
      <c r="H39" s="139"/>
      <c r="I39" s="140"/>
      <c r="J39" s="141"/>
    </row>
    <row r="40" spans="1:38" ht="12.75" x14ac:dyDescent="0.2">
      <c r="A40" s="69"/>
      <c r="B40" s="237" t="s">
        <v>88</v>
      </c>
      <c r="C40" s="237"/>
      <c r="D40" s="237"/>
      <c r="E40" s="237"/>
      <c r="F40" s="237"/>
      <c r="G40" s="142">
        <f>SUM(G9:G14)</f>
        <v>548.04370156913239</v>
      </c>
      <c r="H40" s="131">
        <f>+G40/$G$53</f>
        <v>0.3723701359150996</v>
      </c>
      <c r="I40" s="62"/>
      <c r="J40" s="62"/>
    </row>
    <row r="41" spans="1:38" ht="13.5" thickBot="1" x14ac:dyDescent="0.25">
      <c r="A41" s="69"/>
      <c r="B41" s="237" t="s">
        <v>89</v>
      </c>
      <c r="C41" s="237"/>
      <c r="D41" s="237"/>
      <c r="E41" s="237"/>
      <c r="F41" s="237" t="e">
        <f>SUM(F17:F20)</f>
        <v>#N/A</v>
      </c>
      <c r="G41" s="143">
        <f>SUM(G17:G20)</f>
        <v>0</v>
      </c>
      <c r="H41" s="131">
        <f>+G41/$G$53</f>
        <v>0</v>
      </c>
      <c r="I41" s="62"/>
      <c r="J41" s="62"/>
    </row>
    <row r="42" spans="1:38" ht="13.5" thickTop="1" x14ac:dyDescent="0.2">
      <c r="A42" s="77"/>
      <c r="B42" s="238" t="s">
        <v>90</v>
      </c>
      <c r="C42" s="238"/>
      <c r="D42" s="238"/>
      <c r="E42" s="238"/>
      <c r="F42" s="238"/>
      <c r="G42" s="144">
        <f>SUM(G40:G41)</f>
        <v>548.04370156913239</v>
      </c>
      <c r="H42" s="131">
        <f>+G42/$G$53</f>
        <v>0.3723701359150996</v>
      </c>
      <c r="I42" s="62"/>
      <c r="J42" s="62"/>
    </row>
    <row r="43" spans="1:38" ht="13.5" thickBot="1" x14ac:dyDescent="0.25">
      <c r="A43" s="69"/>
      <c r="B43" s="239" t="s">
        <v>91</v>
      </c>
      <c r="C43" s="239"/>
      <c r="D43" s="239"/>
      <c r="E43" s="239"/>
      <c r="F43" s="239"/>
      <c r="G43" s="143">
        <f>SUM(G24:G38)</f>
        <v>0</v>
      </c>
      <c r="H43" s="131">
        <f>+G43/$G$53</f>
        <v>0</v>
      </c>
      <c r="I43" s="62"/>
      <c r="J43" s="62"/>
    </row>
    <row r="44" spans="1:38" ht="13.5" thickTop="1" x14ac:dyDescent="0.2">
      <c r="A44" s="77"/>
      <c r="B44" s="238" t="s">
        <v>50</v>
      </c>
      <c r="C44" s="238"/>
      <c r="D44" s="238"/>
      <c r="E44" s="238"/>
      <c r="F44" s="238"/>
      <c r="G44" s="144">
        <f>SUM(G42:G43)</f>
        <v>548.04370156913239</v>
      </c>
      <c r="H44" s="131">
        <f>+G44/$G$53</f>
        <v>0.3723701359150996</v>
      </c>
      <c r="I44" s="62"/>
      <c r="J44" s="62"/>
    </row>
    <row r="45" spans="1:38" ht="13.5" thickBot="1" x14ac:dyDescent="0.25">
      <c r="A45" s="17"/>
      <c r="B45" s="80"/>
      <c r="C45" s="80"/>
      <c r="D45" s="145"/>
      <c r="E45" s="145"/>
      <c r="F45" s="146"/>
      <c r="G45" s="147"/>
      <c r="H45" s="17"/>
      <c r="I45" s="62"/>
      <c r="J45" s="62"/>
    </row>
    <row r="46" spans="1:38" s="81" customFormat="1" ht="19.5" customHeight="1" thickBot="1" x14ac:dyDescent="0.3">
      <c r="A46" s="225"/>
      <c r="B46" s="226"/>
      <c r="C46" s="226"/>
      <c r="D46" s="226"/>
      <c r="E46" s="226"/>
      <c r="F46" s="226"/>
      <c r="G46" s="226"/>
      <c r="H46" s="226"/>
      <c r="I46" s="226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</row>
    <row r="47" spans="1:38" ht="12.75" x14ac:dyDescent="0.2">
      <c r="A47" s="17"/>
      <c r="B47" s="82"/>
      <c r="C47" s="82"/>
      <c r="D47" s="82"/>
      <c r="E47" s="17"/>
      <c r="F47" s="69"/>
      <c r="G47" s="148"/>
      <c r="H47" s="83"/>
      <c r="I47" s="62"/>
      <c r="J47" s="62"/>
    </row>
    <row r="48" spans="1:38" ht="12.75" x14ac:dyDescent="0.2">
      <c r="A48" s="80"/>
      <c r="B48" s="238" t="s">
        <v>90</v>
      </c>
      <c r="C48" s="238"/>
      <c r="D48" s="238"/>
      <c r="E48" s="78"/>
      <c r="G48" s="129">
        <f>+G42</f>
        <v>548.04370156913239</v>
      </c>
      <c r="H48" s="131">
        <f>+G48/$G$53</f>
        <v>0.3723701359150996</v>
      </c>
      <c r="I48" s="62"/>
      <c r="J48" s="62"/>
    </row>
    <row r="49" spans="1:38" ht="12.75" x14ac:dyDescent="0.2">
      <c r="A49" s="80"/>
      <c r="B49" s="239" t="s">
        <v>25</v>
      </c>
      <c r="C49" s="239"/>
      <c r="D49" s="239"/>
      <c r="E49" s="79"/>
      <c r="F49" s="149" t="s">
        <v>92</v>
      </c>
      <c r="G49" s="129">
        <f>+G43</f>
        <v>0</v>
      </c>
      <c r="H49" s="131">
        <f>+G49/$G$53</f>
        <v>0</v>
      </c>
      <c r="I49" s="62"/>
      <c r="J49" s="62"/>
    </row>
    <row r="50" spans="1:38" ht="13.5" thickBot="1" x14ac:dyDescent="0.25">
      <c r="A50" s="17"/>
      <c r="B50" s="239" t="s">
        <v>93</v>
      </c>
      <c r="C50" s="239"/>
      <c r="D50" s="239"/>
      <c r="E50" s="79"/>
      <c r="F50" s="150">
        <v>2.5000000000000001E-2</v>
      </c>
      <c r="G50" s="129">
        <f>+(G49+G48)*F50</f>
        <v>13.701092539228311</v>
      </c>
      <c r="H50" s="131">
        <f>+G50/$G$53</f>
        <v>9.3092533978774913E-3</v>
      </c>
      <c r="I50" s="62"/>
      <c r="J50" s="62"/>
    </row>
    <row r="51" spans="1:38" ht="13.5" thickBot="1" x14ac:dyDescent="0.25">
      <c r="A51" s="80"/>
      <c r="B51" s="241" t="s">
        <v>94</v>
      </c>
      <c r="C51" s="241"/>
      <c r="D51" s="241"/>
      <c r="E51" s="241"/>
      <c r="F51" s="242"/>
      <c r="G51" s="84">
        <f>SUM(G48:G50)</f>
        <v>561.74479410836068</v>
      </c>
      <c r="H51" s="131">
        <f>+G51/$G$53</f>
        <v>0.38167938931297707</v>
      </c>
      <c r="I51" s="62"/>
      <c r="J51" s="62"/>
    </row>
    <row r="52" spans="1:38" ht="17.25" customHeight="1" x14ac:dyDescent="0.2">
      <c r="A52" s="85"/>
      <c r="B52" s="240" t="s">
        <v>95</v>
      </c>
      <c r="C52" s="240"/>
      <c r="D52" s="240"/>
      <c r="E52" s="86"/>
      <c r="F52" s="151">
        <v>1.62</v>
      </c>
      <c r="G52" s="129">
        <f>+G51*F52</f>
        <v>910.02656645554441</v>
      </c>
      <c r="H52" s="87"/>
      <c r="I52" s="62"/>
      <c r="J52" s="62"/>
    </row>
    <row r="53" spans="1:38" ht="13.5" thickBot="1" x14ac:dyDescent="0.25">
      <c r="A53" s="85"/>
      <c r="B53" s="240" t="s">
        <v>96</v>
      </c>
      <c r="C53" s="240"/>
      <c r="D53" s="240"/>
      <c r="E53" s="86"/>
      <c r="F53" s="152"/>
      <c r="G53" s="129">
        <f>SUM(G51:G52)</f>
        <v>1471.7713605639051</v>
      </c>
      <c r="H53" s="88"/>
      <c r="I53" s="153">
        <f>+I55/1.13</f>
        <v>1504.424778761062</v>
      </c>
      <c r="J53" s="155">
        <f>+(I53-G51)/G51</f>
        <v>1.6781285639664658</v>
      </c>
    </row>
    <row r="54" spans="1:38" s="90" customFormat="1" ht="13.5" thickBot="1" x14ac:dyDescent="0.25">
      <c r="A54" s="85"/>
      <c r="B54" s="240" t="s">
        <v>97</v>
      </c>
      <c r="C54" s="240"/>
      <c r="D54" s="240"/>
      <c r="E54" s="86"/>
      <c r="F54" s="154">
        <v>0.13</v>
      </c>
      <c r="G54" s="89">
        <f>+G53*(1+F54)</f>
        <v>1663.1016374372125</v>
      </c>
      <c r="H54" s="88"/>
      <c r="I54" s="153">
        <f>+I53*1.13</f>
        <v>1700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 spans="1:38" ht="13.5" thickBot="1" x14ac:dyDescent="0.25">
      <c r="A55" s="17"/>
      <c r="B55" s="240" t="s">
        <v>98</v>
      </c>
      <c r="C55" s="240"/>
      <c r="D55" s="240"/>
      <c r="E55" s="86"/>
      <c r="F55" s="154">
        <v>0.23</v>
      </c>
      <c r="G55" s="91">
        <f>+G53*(1+F55)</f>
        <v>1810.2787734936032</v>
      </c>
      <c r="H55" s="83"/>
      <c r="I55" s="153">
        <v>1700</v>
      </c>
      <c r="J55" s="62"/>
    </row>
    <row r="56" spans="1:38" ht="13.5" thickBot="1" x14ac:dyDescent="0.25">
      <c r="A56" s="17"/>
      <c r="B56" s="86"/>
      <c r="C56" s="86"/>
      <c r="D56" s="86"/>
      <c r="E56" s="86"/>
      <c r="F56" s="154"/>
      <c r="G56" s="92"/>
      <c r="H56" s="83"/>
      <c r="I56" s="62"/>
      <c r="J56" s="62"/>
    </row>
    <row r="57" spans="1:38" s="81" customFormat="1" ht="19.5" customHeight="1" thickBot="1" x14ac:dyDescent="0.3">
      <c r="A57" s="225" t="s">
        <v>99</v>
      </c>
      <c r="B57" s="226"/>
      <c r="C57" s="226"/>
      <c r="D57" s="226"/>
      <c r="E57" s="226"/>
      <c r="F57" s="226"/>
      <c r="G57" s="226"/>
      <c r="H57" s="226"/>
      <c r="I57" s="226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0" customFormat="1" ht="19.5" customHeight="1" thickBot="1" x14ac:dyDescent="0.25">
      <c r="A65" s="62"/>
      <c r="B65" s="62"/>
      <c r="C65" s="62"/>
      <c r="D65" s="62"/>
      <c r="E65" s="62"/>
      <c r="F65" s="62"/>
      <c r="G65" s="63"/>
      <c r="H65" s="130"/>
      <c r="I65" s="65"/>
      <c r="J65" s="64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02C55AE-B45D-4510-B128-B30C29EC1121}">
  <ds:schemaRefs>
    <ds:schemaRef ds:uri="http://schemas.microsoft.com/office/infopath/2007/PartnerControls"/>
    <ds:schemaRef ds:uri="http://purl.org/dc/dcmitype/"/>
    <ds:schemaRef ds:uri="7b4e74ba-38a7-42d4-a9ca-1da0fc041db0"/>
    <ds:schemaRef ds:uri="http://purl.org/dc/terms/"/>
    <ds:schemaRef ds:uri="http://schemas.microsoft.com/office/2006/documentManagement/types"/>
    <ds:schemaRef ds:uri="http://purl.org/dc/elements/1.1/"/>
    <ds:schemaRef ds:uri="eae225b5-53a6-4b69-be5f-a92fedf9fd9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7D84B6E-ABF0-418D-9C56-9AB2FD46A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CE4AE2-D331-4B57-8C85-13A09CC1A561}"/>
</file>

<file path=customXml/itemProps4.xml><?xml version="1.0" encoding="utf-8"?>
<ds:datastoreItem xmlns:ds="http://schemas.openxmlformats.org/officeDocument/2006/customXml" ds:itemID="{F439FD78-BBC7-40CA-ADA9-D28BCAC5932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COSTO SET 2022</vt:lpstr>
      <vt:lpstr>costo </vt:lpstr>
      <vt:lpstr>precio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2025-10-30T17:49:04Z</cp:lastPrinted>
  <dcterms:created xsi:type="dcterms:W3CDTF">2009-03-11T22:07:15Z</dcterms:created>
  <dcterms:modified xsi:type="dcterms:W3CDTF">2025-10-30T18:32:40Z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
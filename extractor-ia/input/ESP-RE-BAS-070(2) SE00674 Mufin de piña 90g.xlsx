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0" documentId="8_{32EDDDF3-3051-40CE-9084-4E3D1F2DBEE8}" xr6:coauthVersionLast="47" xr6:coauthVersionMax="47" xr10:uidLastSave="{00000000-0000-0000-0000-000000000000}"/>
  <bookViews>
    <workbookView xWindow="-120" yWindow="-120" windowWidth="29040" windowHeight="15840" xr2:uid="{C47E411C-CF32-41F5-BAF1-2B90D26284B3}"/>
  </bookViews>
  <sheets>
    <sheet name="Mufin piña" sheetId="1" r:id="rId1"/>
  </sheets>
  <definedNames>
    <definedName name="_xlnm.Print_Area" localSheetId="0">'Mufin piña'!$A$1:$I$35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4" i="1"/>
  <c r="J15" i="1"/>
  <c r="J16" i="1"/>
  <c r="J17" i="1"/>
  <c r="D26" i="1"/>
</calcChain>
</file>

<file path=xl/sharedStrings.xml><?xml version="1.0" encoding="utf-8"?>
<sst xmlns="http://schemas.openxmlformats.org/spreadsheetml/2006/main" count="83" uniqueCount="69">
  <si>
    <t xml:space="preserve">CONTROL DE CAMBIOS </t>
  </si>
  <si>
    <t>3.- Llevar al horno a 180ºC por 20 minutos.</t>
  </si>
  <si>
    <t>2.- Luego colocar los 20g de relleno de piña y cerrar con los 35g de batido faltantes. Luego colocar los 2 gramos de coco hebra sobre el mufin.</t>
  </si>
  <si>
    <t>1.- Pesar primero 35g de batido en la capsula.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</si>
  <si>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</si>
  <si>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</si>
  <si>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</si>
  <si>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</si>
  <si>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</si>
  <si>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</si>
  <si>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</si>
  <si>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</si>
  <si>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</si>
  <si>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</si>
  <si>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</si>
  <si>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</si>
  <si>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</si>
  <si>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</si>
  <si>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</si>
  <si>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</si>
  <si>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EM10011</t>
  </si>
  <si>
    <t>ETIQ.FECHA VENCIMIENTO BLANCO</t>
  </si>
  <si>
    <t>EM10004</t>
  </si>
  <si>
    <t>BOLSA TRANSPARENTE 56X96X1.80 (KILO)</t>
  </si>
  <si>
    <t>AS00028</t>
  </si>
  <si>
    <t>CAPSULA # 10 BLANCA (PAQ:500 UND)</t>
  </si>
  <si>
    <t>EM10067</t>
  </si>
  <si>
    <t>NUECES INDUSTRIALES</t>
  </si>
  <si>
    <t>COCO HEBRA</t>
  </si>
  <si>
    <t>MP10750</t>
  </si>
  <si>
    <t>NUEVO</t>
  </si>
  <si>
    <t>20g unidad</t>
  </si>
  <si>
    <t>FAS</t>
  </si>
  <si>
    <t>RELLENO DE PIÑA PARA EMPANADA KILO</t>
  </si>
  <si>
    <t>SE00419</t>
  </si>
  <si>
    <t>uds</t>
  </si>
  <si>
    <t>70g unidad</t>
  </si>
  <si>
    <t>Batido Queque Seco Vainilla</t>
  </si>
  <si>
    <t>SE00411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</si>
  <si>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</si>
  <si>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</si>
  <si>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</si>
  <si>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</si>
  <si>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</si>
  <si>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</si>
  <si>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</si>
  <si>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</si>
  <si>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</si>
  <si>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Pastas</t>
  </si>
  <si>
    <t xml:space="preserve">AREA QUE EMPACA: </t>
  </si>
  <si>
    <t>Batidos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</si>
  <si>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</si>
  <si>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</si>
  <si>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</si>
  <si>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</si>
  <si>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</si>
  <si>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</si>
  <si>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SE00674 Mufin de piña 90g</t>
  </si>
  <si>
    <t>REVISIÓN:</t>
  </si>
  <si>
    <t>ESPECIFICACION DE RECETA</t>
  </si>
  <si>
    <t>CÓDIGO:</t>
  </si>
  <si>
    <t>SERVICIOS DE PASTELERIA S.A.</t>
  </si>
  <si>
    <t>ESP-RE-BAS-070</t>
  </si>
  <si>
    <t>MP10673</t>
  </si>
  <si>
    <t>Preservante Nataxul 7703</t>
  </si>
  <si>
    <t>2g unidad</t>
  </si>
  <si>
    <t>1g unidad</t>
  </si>
  <si>
    <t>Revision #2: Se agrega preservante nataxul</t>
  </si>
  <si>
    <t>4.- colocar en bandejar y rociar con el preservante nataxul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</si>
</sst>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color rgb="FF000000"/>
      <name val="Aptos Narrow"/>
      <family val="2"/>
      <scheme val="minor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9" fillId="0" borderId="0"/>
  </cellStyleXfs>
  <cellXfs count="176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9" xfId="0" applyFont="1" applyFill="1" applyBorder="1"/>
    <xf numFmtId="164" fontId="2" fillId="3" borderId="29" xfId="0" applyNumberFormat="1" applyFont="1" applyFill="1" applyBorder="1" applyAlignment="1">
      <alignment horizontal="center" wrapText="1"/>
    </xf>
    <xf numFmtId="1" fontId="2" fillId="3" borderId="29" xfId="0" applyNumberFormat="1" applyFont="1" applyFill="1" applyBorder="1" applyAlignment="1">
      <alignment horizontal="center"/>
    </xf>
    <xf numFmtId="49" fontId="5" fillId="3" borderId="29" xfId="0" applyNumberFormat="1" applyFont="1" applyFill="1" applyBorder="1" applyAlignment="1">
      <alignment horizontal="left" vertical="center"/>
    </xf>
    <xf numFmtId="49" fontId="5" fillId="3" borderId="30" xfId="0" applyNumberFormat="1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0" xfId="3"/>
    <xf numFmtId="0" fontId="2" fillId="5" borderId="12" xfId="0" applyFont="1" applyFill="1" applyBorder="1" applyAlignment="1">
      <alignment horizontal="center"/>
    </xf>
    <xf numFmtId="1" fontId="2" fillId="5" borderId="13" xfId="3" applyNumberFormat="1" applyFont="1" applyFill="1" applyBorder="1" applyAlignment="1">
      <alignment horizontal="center" wrapText="1"/>
    </xf>
    <xf numFmtId="1" fontId="2" fillId="5" borderId="13" xfId="3" applyNumberFormat="1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5" borderId="13" xfId="0" applyFont="1" applyFill="1" applyBorder="1"/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5" xfId="0" applyFont="1" applyFill="1" applyBorder="1"/>
    <xf numFmtId="1" fontId="2" fillId="5" borderId="9" xfId="0" applyNumberFormat="1" applyFont="1" applyFill="1" applyBorder="1" applyAlignment="1">
      <alignment horizontal="center" wrapText="1"/>
    </xf>
    <xf numFmtId="1" fontId="2" fillId="5" borderId="9" xfId="0" applyNumberFormat="1" applyFont="1" applyFill="1" applyBorder="1" applyAlignment="1">
      <alignment horizontal="center"/>
    </xf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6" fillId="0" borderId="13" xfId="0" applyFont="1" applyBorder="1"/>
    <xf numFmtId="0" fontId="7" fillId="0" borderId="13" xfId="0" applyFont="1" applyBorder="1" applyAlignment="1">
      <alignment horizontal="center"/>
    </xf>
    <xf numFmtId="0" fontId="1" fillId="5" borderId="12" xfId="0" applyFont="1" applyFill="1" applyBorder="1"/>
    <xf numFmtId="1" fontId="2" fillId="5" borderId="24" xfId="0" applyNumberFormat="1" applyFont="1" applyFill="1" applyBorder="1" applyAlignment="1">
      <alignment horizontal="center" wrapText="1"/>
    </xf>
    <xf numFmtId="1" fontId="2" fillId="5" borderId="13" xfId="0" applyNumberFormat="1" applyFont="1" applyFill="1" applyBorder="1" applyAlignment="1">
      <alignment horizontal="center"/>
    </xf>
    <xf numFmtId="1" fontId="4" fillId="5" borderId="9" xfId="0" applyNumberFormat="1" applyFont="1" applyFill="1" applyBorder="1" applyAlignment="1">
      <alignment horizontal="center"/>
    </xf>
    <xf numFmtId="0" fontId="4" fillId="5" borderId="31" xfId="0" applyFont="1" applyFill="1" applyBorder="1" applyAlignment="1">
      <alignment horizontal="left"/>
    </xf>
    <xf numFmtId="0" fontId="1" fillId="5" borderId="32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12" fontId="2" fillId="5" borderId="13" xfId="0" applyNumberFormat="1" applyFont="1" applyFill="1" applyBorder="1" applyAlignment="1">
      <alignment horizontal="center"/>
    </xf>
    <xf numFmtId="0" fontId="1" fillId="6" borderId="13" xfId="0" applyFont="1" applyFill="1" applyBorder="1"/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1" fontId="2" fillId="6" borderId="13" xfId="0" applyNumberFormat="1" applyFont="1" applyFill="1" applyBorder="1" applyAlignment="1">
      <alignment horizontal="center"/>
    </xf>
    <xf numFmtId="1" fontId="2" fillId="5" borderId="13" xfId="0" applyNumberFormat="1" applyFont="1" applyFill="1" applyBorder="1" applyAlignment="1">
      <alignment horizontal="center" wrapText="1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" fillId="6" borderId="16" xfId="0" applyFont="1" applyFill="1" applyBorder="1"/>
    <xf numFmtId="1" fontId="2" fillId="6" borderId="26" xfId="0" applyNumberFormat="1" applyFont="1" applyFill="1" applyBorder="1" applyAlignment="1">
      <alignment horizontal="center" wrapText="1"/>
    </xf>
    <xf numFmtId="1" fontId="2" fillId="6" borderId="17" xfId="0" applyNumberFormat="1" applyFont="1" applyFill="1" applyBorder="1" applyAlignment="1">
      <alignment horizontal="center"/>
    </xf>
    <xf numFmtId="1" fontId="2" fillId="0" borderId="17" xfId="0" applyNumberFormat="1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8" xfId="0" applyFont="1" applyBorder="1" applyAlignment="1">
      <alignment horizontal="center"/>
    </xf>
    <xf numFmtId="0" fontId="4" fillId="4" borderId="34" xfId="0" applyFont="1" applyFill="1" applyBorder="1" applyAlignment="1">
      <alignment horizontal="center" vertical="center"/>
    </xf>
    <xf numFmtId="1" fontId="4" fillId="4" borderId="31" xfId="0" applyNumberFormat="1" applyFont="1" applyFill="1" applyBorder="1" applyAlignment="1">
      <alignment horizontal="center" vertical="center" wrapText="1"/>
    </xf>
    <xf numFmtId="1" fontId="4" fillId="4" borderId="31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14" fontId="10" fillId="3" borderId="37" xfId="4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12" fillId="0" borderId="12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3" fillId="3" borderId="31" xfId="4" applyFont="1" applyFill="1" applyBorder="1" applyAlignment="1">
      <alignment horizontal="center"/>
    </xf>
    <xf numFmtId="0" fontId="11" fillId="7" borderId="28" xfId="4" applyFont="1" applyFill="1" applyBorder="1" applyAlignment="1">
      <alignment horizontal="center" vertical="center" wrapText="1"/>
    </xf>
    <xf numFmtId="0" fontId="11" fillId="7" borderId="27" xfId="4" applyFont="1" applyFill="1" applyBorder="1" applyAlignment="1">
      <alignment horizontal="center" vertical="center" wrapText="1"/>
    </xf>
    <xf numFmtId="0" fontId="11" fillId="7" borderId="25" xfId="4" applyFont="1" applyFill="1" applyBorder="1" applyAlignment="1">
      <alignment horizontal="center" vertical="center" wrapText="1"/>
    </xf>
    <xf numFmtId="0" fontId="4" fillId="3" borderId="32" xfId="4" applyFont="1" applyFill="1" applyBorder="1" applyAlignment="1">
      <alignment horizontal="right" vertical="top" wrapText="1"/>
    </xf>
    <xf numFmtId="0" fontId="4" fillId="3" borderId="41" xfId="4" applyFont="1" applyFill="1" applyBorder="1" applyAlignment="1">
      <alignment horizontal="right" vertical="top" wrapText="1"/>
    </xf>
    <xf numFmtId="0" fontId="4" fillId="3" borderId="39" xfId="4" applyFont="1" applyFill="1" applyBorder="1" applyAlignment="1">
      <alignment horizontal="right" vertical="top" wrapText="1"/>
    </xf>
    <xf numFmtId="0" fontId="11" fillId="3" borderId="30" xfId="4" applyFont="1" applyFill="1" applyBorder="1" applyAlignment="1">
      <alignment horizontal="right" vertical="center"/>
    </xf>
    <xf numFmtId="0" fontId="11" fillId="3" borderId="29" xfId="4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" fillId="5" borderId="13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20" xfId="0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64" fontId="2" fillId="0" borderId="23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164" fontId="2" fillId="0" borderId="2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2" fontId="2" fillId="5" borderId="24" xfId="3" applyNumberFormat="1" applyFont="1" applyFill="1" applyBorder="1" applyAlignment="1">
      <alignment horizontal="center"/>
    </xf>
    <xf numFmtId="12" fontId="2" fillId="5" borderId="14" xfId="3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40" xfId="4" applyNumberFormat="1" applyFont="1" applyFill="1" applyBorder="1" applyAlignment="1">
      <alignment horizontal="center" vertical="center" wrapText="1"/>
    </xf>
    <xf numFmtId="14" fontId="2" fillId="3" borderId="38" xfId="4" applyNumberFormat="1" applyFont="1" applyFill="1" applyBorder="1" applyAlignment="1">
      <alignment horizontal="center" vertical="center" wrapText="1"/>
    </xf>
    <xf numFmtId="0" fontId="2" fillId="3" borderId="13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11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2" fillId="3" borderId="43" xfId="4" applyFont="1" applyFill="1" applyBorder="1" applyAlignment="1">
      <alignment horizontal="center"/>
    </xf>
    <xf numFmtId="0" fontId="2" fillId="3" borderId="42" xfId="4" applyFont="1" applyFill="1" applyBorder="1" applyAlignment="1">
      <alignment horizontal="center"/>
    </xf>
    <xf numFmtId="0" fontId="2" fillId="3" borderId="21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30" xfId="4" applyFont="1" applyFill="1" applyBorder="1" applyAlignment="1">
      <alignment horizontal="center"/>
    </xf>
    <xf numFmtId="0" fontId="2" fillId="3" borderId="29" xfId="4" applyFont="1" applyFill="1" applyBorder="1" applyAlignment="1">
      <alignment horizontal="center"/>
    </xf>
    <xf numFmtId="0" fontId="10" fillId="3" borderId="29" xfId="4" applyFont="1" applyFill="1" applyBorder="1" applyAlignment="1">
      <alignment horizontal="center" vertical="center"/>
    </xf>
    <xf numFmtId="0" fontId="11" fillId="3" borderId="29" xfId="4" applyFont="1" applyFill="1" applyBorder="1" applyAlignment="1">
      <alignment vertical="center"/>
    </xf>
    <xf numFmtId="0" fontId="13" fillId="3" borderId="17" xfId="4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8" xfId="0" applyFont="1" applyBorder="1" applyAlignment="1">
      <alignment horizontal="right"/>
    </xf>
    <xf numFmtId="0" fontId="4" fillId="0" borderId="2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0" fontId="2" fillId="3" borderId="26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164" fontId="2" fillId="0" borderId="13" xfId="0" applyNumberFormat="1" applyFont="1" applyBorder="1" applyAlignment="1">
      <alignment horizontal="right" wrapText="1"/>
    </xf>
  </cellXfs>
  <cellStyles count="5">
    <cellStyle name="Normal" xfId="0" builtinId="0"/>
    <cellStyle name="Normal 2" xfId="3" xr:uid="{63B784B4-4880-4D86-9D2A-017E9DEEE70B}"/>
    <cellStyle name="Normal 3" xfId="1" xr:uid="{0150B857-1C11-4976-95B8-17182D7149DB}"/>
    <cellStyle name="Normal_CRITERIOS DE EVALUACION PT DE GB 2" xfId="4" xr:uid="{CAEAA3C8-6B7B-458B-AF05-2918BE0BE9F7}"/>
    <cellStyle name="Porcentaje 2" xfId="2" xr:uid="{1D0E8879-32D1-401C-8820-5AFF33CD5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FE3B-1F8F-4BFB-B7BC-55C0BA244E5B}">
  <dimension ref="A1:M43"/>
  <sheetViews>
    <sheetView tabSelected="1" view="pageBreakPreview" zoomScaleNormal="100" zoomScaleSheetLayoutView="100" workbookViewId="0">
      <selection activeCell="N11" sqref="N11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40" customWidth="1"/>
    <col min="4" max="4" width="21.42578125" customWidth="1"/>
    <col min="7" max="7" width="15" customWidth="1"/>
    <col min="8" max="8" width="18.140625" customWidth="1"/>
    <col min="9" max="9" width="19" customWidth="1"/>
  </cols>
  <sheetData>
    <row r="1" spans="1:10" ht="16.5" x14ac:dyDescent="0.3">
      <c r="A1" s="137"/>
      <c r="B1" s="138"/>
      <c r="C1" s="145" t="s">
        <v>61</v>
      </c>
      <c r="D1" s="145"/>
      <c r="E1" s="145"/>
      <c r="F1" s="145"/>
      <c r="G1" s="145"/>
      <c r="H1" s="83" t="s">
        <v>60</v>
      </c>
      <c r="I1" s="82" t="s">
        <v>62</v>
      </c>
    </row>
    <row r="2" spans="1:10" ht="17.25" thickBot="1" x14ac:dyDescent="0.35">
      <c r="A2" s="139"/>
      <c r="B2" s="140"/>
      <c r="C2" s="91" t="s">
        <v>59</v>
      </c>
      <c r="D2" s="91"/>
      <c r="E2" s="91"/>
      <c r="F2" s="91"/>
      <c r="G2" s="91"/>
      <c r="H2" s="80" t="s">
        <v>58</v>
      </c>
      <c r="I2" s="81">
        <v>2</v>
      </c>
    </row>
    <row r="3" spans="1:10" ht="50.1" customHeight="1" x14ac:dyDescent="0.25">
      <c r="A3" s="139"/>
      <c r="B3" s="140"/>
      <c r="C3" s="92" t="s">
        <v>57</v>
      </c>
      <c r="D3" s="93"/>
      <c r="E3" s="93"/>
      <c r="F3" s="93"/>
      <c r="G3" s="94"/>
      <c r="H3" s="95" t="s">
        <v>56</v>
      </c>
      <c r="I3" s="126">
        <v>45688</v>
      </c>
    </row>
    <row r="4" spans="1:10" ht="16.5" x14ac:dyDescent="0.3">
      <c r="A4" s="139"/>
      <c r="B4" s="140"/>
      <c r="C4" s="80" t="s">
        <v>55</v>
      </c>
      <c r="D4" s="129" t="s">
        <v>54</v>
      </c>
      <c r="E4" s="129"/>
      <c r="F4" s="129"/>
      <c r="G4" s="129"/>
      <c r="H4" s="96"/>
      <c r="I4" s="127"/>
    </row>
    <row r="5" spans="1:10" ht="17.25" thickBot="1" x14ac:dyDescent="0.35">
      <c r="A5" s="141"/>
      <c r="B5" s="142"/>
      <c r="C5" s="79" t="s">
        <v>53</v>
      </c>
      <c r="D5" s="130" t="s">
        <v>52</v>
      </c>
      <c r="E5" s="130"/>
      <c r="F5" s="130"/>
      <c r="G5" s="130"/>
      <c r="H5" s="97"/>
      <c r="I5" s="128"/>
    </row>
    <row r="6" spans="1:10" ht="30.75" customHeight="1" thickBot="1" x14ac:dyDescent="0.3">
      <c r="A6" s="98" t="s">
        <v>51</v>
      </c>
      <c r="B6" s="99"/>
      <c r="C6" s="99"/>
      <c r="D6" s="143" t="s">
        <v>50</v>
      </c>
      <c r="E6" s="143"/>
      <c r="F6" s="143"/>
      <c r="G6" s="144" t="s">
        <v>49</v>
      </c>
      <c r="H6" s="144"/>
      <c r="I6" s="78" t="s">
        <v>48</v>
      </c>
    </row>
    <row r="7" spans="1:10" ht="29.25" customHeight="1" x14ac:dyDescent="0.25">
      <c r="A7" s="131" t="s">
        <v>47</v>
      </c>
      <c r="B7" s="135" t="s">
        <v>46</v>
      </c>
      <c r="C7" s="133" t="s">
        <v>45</v>
      </c>
      <c r="D7" s="133" t="s">
        <v>44</v>
      </c>
      <c r="E7" s="133" t="s">
        <v>43</v>
      </c>
      <c r="F7" s="133"/>
      <c r="G7" s="133" t="s">
        <v>42</v>
      </c>
      <c r="H7" s="133"/>
      <c r="I7" s="77" t="s">
        <v>41</v>
      </c>
    </row>
    <row r="8" spans="1:10" ht="26.25" thickBot="1" x14ac:dyDescent="0.3">
      <c r="A8" s="132"/>
      <c r="B8" s="136"/>
      <c r="C8" s="134"/>
      <c r="D8" s="134"/>
      <c r="E8" s="76" t="s">
        <v>18</v>
      </c>
      <c r="F8" s="75" t="s">
        <v>40</v>
      </c>
      <c r="G8" s="76" t="s">
        <v>18</v>
      </c>
      <c r="H8" s="75" t="s">
        <v>40</v>
      </c>
      <c r="I8" s="74" t="s">
        <v>39</v>
      </c>
    </row>
    <row r="9" spans="1:10" x14ac:dyDescent="0.25">
      <c r="A9" s="73"/>
      <c r="B9" s="72" t="s">
        <v>38</v>
      </c>
      <c r="C9" t="s">
        <v>37</v>
      </c>
      <c r="D9" s="71" t="s">
        <v>32</v>
      </c>
      <c r="E9" s="13">
        <v>19000</v>
      </c>
      <c r="F9" s="70" t="s">
        <v>5</v>
      </c>
      <c r="G9" s="69" t="s">
        <v>36</v>
      </c>
      <c r="H9" s="68">
        <v>270</v>
      </c>
      <c r="I9" s="67" t="s">
        <v>35</v>
      </c>
      <c r="J9">
        <f>+E9/$D$24</f>
        <v>70.370370370370367</v>
      </c>
    </row>
    <row r="10" spans="1:10" x14ac:dyDescent="0.25">
      <c r="A10" s="66">
        <v>90100090</v>
      </c>
      <c r="B10" s="65" t="s">
        <v>34</v>
      </c>
      <c r="C10" s="64" t="s">
        <v>33</v>
      </c>
      <c r="D10" s="40" t="s">
        <v>32</v>
      </c>
      <c r="E10" s="53">
        <v>5440</v>
      </c>
      <c r="F10" s="63" t="s">
        <v>5</v>
      </c>
      <c r="G10" s="62" t="s">
        <v>31</v>
      </c>
      <c r="H10" s="52"/>
      <c r="I10" s="51"/>
      <c r="J10">
        <f>+E10/$D$24</f>
        <v>20.148148148148149</v>
      </c>
    </row>
    <row r="11" spans="1:10" x14ac:dyDescent="0.25">
      <c r="A11" s="61" t="s">
        <v>30</v>
      </c>
      <c r="B11" s="60" t="s">
        <v>29</v>
      </c>
      <c r="C11" s="59" t="s">
        <v>28</v>
      </c>
      <c r="D11" s="40" t="s">
        <v>27</v>
      </c>
      <c r="E11" s="46">
        <v>540</v>
      </c>
      <c r="F11" s="45" t="s">
        <v>5</v>
      </c>
      <c r="G11" s="58" t="s">
        <v>65</v>
      </c>
      <c r="H11" s="52"/>
      <c r="I11" s="51"/>
      <c r="J11">
        <f>+E11/$D$24</f>
        <v>2</v>
      </c>
    </row>
    <row r="12" spans="1:10" x14ac:dyDescent="0.25">
      <c r="A12" s="57"/>
      <c r="B12" s="72" t="s">
        <v>63</v>
      </c>
      <c r="C12" t="s">
        <v>64</v>
      </c>
      <c r="D12" s="40"/>
      <c r="E12" s="54">
        <v>270</v>
      </c>
      <c r="F12" s="45" t="s">
        <v>5</v>
      </c>
      <c r="G12" s="53" t="s">
        <v>66</v>
      </c>
      <c r="H12" s="52"/>
      <c r="I12" s="51"/>
    </row>
    <row r="13" spans="1:10" x14ac:dyDescent="0.25">
      <c r="A13" s="56"/>
      <c r="B13" s="56"/>
      <c r="C13" s="55"/>
      <c r="D13" s="40"/>
      <c r="E13" s="54"/>
      <c r="F13" s="45"/>
      <c r="G13" s="53"/>
      <c r="H13" s="52"/>
      <c r="I13" s="51"/>
    </row>
    <row r="14" spans="1:10" x14ac:dyDescent="0.25">
      <c r="A14" s="48">
        <v>1950733</v>
      </c>
      <c r="B14" s="48" t="s">
        <v>26</v>
      </c>
      <c r="C14" s="47" t="s">
        <v>25</v>
      </c>
      <c r="D14" s="40"/>
      <c r="E14" s="54">
        <v>270</v>
      </c>
      <c r="F14" s="45" t="s">
        <v>10</v>
      </c>
      <c r="G14" s="53"/>
      <c r="H14" s="52"/>
      <c r="I14" s="51"/>
      <c r="J14">
        <f>+E14/$D$24</f>
        <v>1</v>
      </c>
    </row>
    <row r="15" spans="1:10" ht="13.5" customHeight="1" x14ac:dyDescent="0.25">
      <c r="A15" s="48">
        <v>1950928</v>
      </c>
      <c r="B15" s="48" t="s">
        <v>24</v>
      </c>
      <c r="C15" s="47" t="s">
        <v>23</v>
      </c>
      <c r="D15" s="40"/>
      <c r="E15" s="46">
        <v>8</v>
      </c>
      <c r="F15" s="45" t="s">
        <v>10</v>
      </c>
      <c r="G15" s="104"/>
      <c r="H15" s="104"/>
      <c r="I15" s="44"/>
      <c r="J15">
        <f>+E15/$D$24</f>
        <v>2.9629629629629631E-2</v>
      </c>
    </row>
    <row r="16" spans="1:10" ht="13.5" customHeight="1" x14ac:dyDescent="0.25">
      <c r="A16" s="50">
        <v>702007</v>
      </c>
      <c r="B16" s="50" t="s">
        <v>22</v>
      </c>
      <c r="C16" s="49" t="s">
        <v>21</v>
      </c>
      <c r="D16" s="40"/>
      <c r="E16" s="46">
        <v>8</v>
      </c>
      <c r="F16" s="45" t="s">
        <v>10</v>
      </c>
      <c r="G16" s="104"/>
      <c r="H16" s="104"/>
      <c r="I16" s="44"/>
      <c r="J16">
        <f>+E16/$D$24</f>
        <v>2.9629629629629631E-2</v>
      </c>
    </row>
    <row r="17" spans="1:13" ht="13.5" customHeight="1" x14ac:dyDescent="0.25">
      <c r="A17" s="48">
        <v>702123</v>
      </c>
      <c r="B17" s="48" t="s">
        <v>20</v>
      </c>
      <c r="C17" s="47" t="s">
        <v>19</v>
      </c>
      <c r="D17" s="40"/>
      <c r="E17" s="46">
        <v>8</v>
      </c>
      <c r="F17" s="45" t="s">
        <v>10</v>
      </c>
      <c r="G17" s="104"/>
      <c r="H17" s="104"/>
      <c r="I17" s="44"/>
      <c r="J17">
        <f>+E17/$D$24</f>
        <v>2.9629629629629631E-2</v>
      </c>
    </row>
    <row r="18" spans="1:13" x14ac:dyDescent="0.25">
      <c r="A18" s="43"/>
      <c r="B18" s="42"/>
      <c r="C18" s="41"/>
      <c r="D18" s="40"/>
      <c r="E18" s="39"/>
      <c r="F18" s="38"/>
      <c r="G18" s="120"/>
      <c r="H18" s="121"/>
      <c r="I18" s="37"/>
      <c r="L18" s="36"/>
    </row>
    <row r="19" spans="1:13" x14ac:dyDescent="0.25">
      <c r="A19" s="35"/>
      <c r="B19" s="34"/>
      <c r="C19" s="33"/>
      <c r="D19" s="32"/>
      <c r="E19" s="31"/>
      <c r="F19" s="30"/>
      <c r="G19" s="29"/>
      <c r="H19" s="28"/>
      <c r="I19" s="27"/>
    </row>
    <row r="20" spans="1:13" ht="15.75" thickBot="1" x14ac:dyDescent="0.3">
      <c r="A20" s="26"/>
      <c r="B20" s="25"/>
      <c r="C20" s="22"/>
      <c r="D20" s="22"/>
      <c r="E20" s="24"/>
      <c r="F20" s="23"/>
      <c r="G20" s="22"/>
      <c r="H20" s="22"/>
      <c r="I20" s="21"/>
      <c r="L20" s="8"/>
    </row>
    <row r="21" spans="1:13" ht="15.75" thickBot="1" x14ac:dyDescent="0.3">
      <c r="A21" s="20"/>
      <c r="B21" s="19"/>
      <c r="C21" s="15"/>
      <c r="D21" s="18" t="s">
        <v>18</v>
      </c>
      <c r="E21" s="17" t="s">
        <v>17</v>
      </c>
      <c r="F21" s="16"/>
      <c r="G21" s="15"/>
      <c r="H21" s="15"/>
      <c r="I21" s="14"/>
      <c r="L21" s="8"/>
    </row>
    <row r="22" spans="1:13" x14ac:dyDescent="0.25">
      <c r="A22" s="150" t="s">
        <v>16</v>
      </c>
      <c r="B22" s="151"/>
      <c r="C22" s="152"/>
      <c r="D22" s="13">
        <v>24440</v>
      </c>
      <c r="E22" s="12" t="s">
        <v>5</v>
      </c>
      <c r="F22" s="153" t="s">
        <v>15</v>
      </c>
      <c r="G22" s="153"/>
      <c r="H22" s="154"/>
      <c r="I22" s="155"/>
      <c r="L22" s="8"/>
    </row>
    <row r="23" spans="1:13" x14ac:dyDescent="0.25">
      <c r="A23" s="114" t="s">
        <v>14</v>
      </c>
      <c r="B23" s="115"/>
      <c r="C23" s="116"/>
      <c r="D23" s="11">
        <v>55</v>
      </c>
      <c r="E23" s="11" t="s">
        <v>13</v>
      </c>
      <c r="F23" s="117" t="s">
        <v>12</v>
      </c>
      <c r="G23" s="117"/>
      <c r="H23" s="118"/>
      <c r="I23" s="119"/>
      <c r="L23" s="8"/>
    </row>
    <row r="24" spans="1:13" x14ac:dyDescent="0.25">
      <c r="A24" s="114" t="s">
        <v>11</v>
      </c>
      <c r="B24" s="115"/>
      <c r="C24" s="116"/>
      <c r="D24" s="11">
        <v>270</v>
      </c>
      <c r="E24" s="11" t="s">
        <v>10</v>
      </c>
      <c r="F24" s="117" t="s">
        <v>9</v>
      </c>
      <c r="G24" s="117"/>
      <c r="H24" s="118"/>
      <c r="I24" s="119"/>
      <c r="L24" s="8"/>
    </row>
    <row r="25" spans="1:13" x14ac:dyDescent="0.25">
      <c r="A25" s="114" t="s">
        <v>8</v>
      </c>
      <c r="B25" s="115"/>
      <c r="C25" s="116"/>
      <c r="D25" s="10">
        <v>90</v>
      </c>
      <c r="E25" s="9" t="s">
        <v>5</v>
      </c>
      <c r="F25" s="175" t="s">
        <v>7</v>
      </c>
      <c r="G25" s="175"/>
      <c r="H25" s="118"/>
      <c r="I25" s="119"/>
      <c r="L25" s="8"/>
    </row>
    <row r="26" spans="1:13" ht="15.75" thickBot="1" x14ac:dyDescent="0.3">
      <c r="A26" s="122" t="s">
        <v>6</v>
      </c>
      <c r="B26" s="123"/>
      <c r="C26" s="124"/>
      <c r="D26" s="7">
        <f>SUM(E9:E11)-D22</f>
        <v>540</v>
      </c>
      <c r="E26" s="6" t="s">
        <v>5</v>
      </c>
      <c r="F26" s="125"/>
      <c r="G26" s="125"/>
      <c r="H26" s="112"/>
      <c r="I26" s="113"/>
      <c r="J26" s="5"/>
      <c r="K26" s="5"/>
      <c r="M26" s="5"/>
    </row>
    <row r="27" spans="1:13" ht="15.75" thickBot="1" x14ac:dyDescent="0.3">
      <c r="A27" s="105" t="s">
        <v>4</v>
      </c>
      <c r="B27" s="106"/>
      <c r="C27" s="106"/>
      <c r="D27" s="106"/>
      <c r="E27" s="106"/>
      <c r="F27" s="106"/>
      <c r="G27" s="106"/>
      <c r="H27" s="106"/>
      <c r="I27" s="107"/>
    </row>
    <row r="28" spans="1:13" x14ac:dyDescent="0.25">
      <c r="A28" s="108" t="s">
        <v>3</v>
      </c>
      <c r="B28" s="109"/>
      <c r="C28" s="110"/>
      <c r="D28" s="110"/>
      <c r="E28" s="110"/>
      <c r="F28" s="110"/>
      <c r="G28" s="110"/>
      <c r="H28" s="110"/>
      <c r="I28" s="111"/>
      <c r="J28" s="1"/>
      <c r="K28" s="1"/>
      <c r="L28" s="3"/>
      <c r="M28" s="1"/>
    </row>
    <row r="29" spans="1:13" ht="27.6" customHeight="1" x14ac:dyDescent="0.25">
      <c r="A29" s="171" t="s">
        <v>2</v>
      </c>
      <c r="B29" s="172"/>
      <c r="C29" s="173"/>
      <c r="D29" s="173"/>
      <c r="E29" s="173"/>
      <c r="F29" s="173"/>
      <c r="G29" s="173"/>
      <c r="H29" s="173"/>
      <c r="I29" s="174"/>
      <c r="J29" s="1"/>
      <c r="K29" s="1"/>
      <c r="L29" s="3"/>
      <c r="M29" s="4"/>
    </row>
    <row r="30" spans="1:13" x14ac:dyDescent="0.25">
      <c r="A30" s="156" t="s">
        <v>1</v>
      </c>
      <c r="B30" s="157"/>
      <c r="C30" s="158"/>
      <c r="D30" s="158"/>
      <c r="E30" s="158"/>
      <c r="F30" s="158"/>
      <c r="G30" s="158"/>
      <c r="H30" s="158"/>
      <c r="I30" s="159"/>
      <c r="J30" s="2"/>
      <c r="K30" s="2"/>
      <c r="L30" s="3"/>
      <c r="M30" s="2"/>
    </row>
    <row r="31" spans="1:13" x14ac:dyDescent="0.25">
      <c r="A31" s="88" t="s">
        <v>68</v>
      </c>
      <c r="B31" s="89"/>
      <c r="C31" s="89"/>
      <c r="D31" s="89"/>
      <c r="E31" s="89"/>
      <c r="F31" s="89"/>
      <c r="G31" s="89"/>
      <c r="H31" s="89"/>
      <c r="I31" s="90"/>
      <c r="J31" s="2"/>
      <c r="K31" s="2"/>
      <c r="L31" s="3"/>
      <c r="M31" s="2"/>
    </row>
    <row r="32" spans="1:13" x14ac:dyDescent="0.25">
      <c r="A32" s="160"/>
      <c r="B32" s="161"/>
      <c r="C32" s="162"/>
      <c r="D32" s="162"/>
      <c r="E32" s="162"/>
      <c r="F32" s="162"/>
      <c r="G32" s="162"/>
      <c r="H32" s="162"/>
      <c r="I32" s="163"/>
      <c r="J32" s="1"/>
      <c r="K32" s="1"/>
      <c r="L32" s="1"/>
      <c r="M32" s="1"/>
    </row>
    <row r="33" spans="1:13" ht="15.75" thickBot="1" x14ac:dyDescent="0.3">
      <c r="A33" s="164"/>
      <c r="B33" s="165"/>
      <c r="C33" s="166"/>
      <c r="D33" s="166"/>
      <c r="E33" s="166"/>
      <c r="F33" s="166"/>
      <c r="G33" s="166"/>
      <c r="H33" s="166"/>
      <c r="I33" s="167"/>
      <c r="J33" s="1"/>
      <c r="K33" s="1"/>
      <c r="L33" s="1"/>
      <c r="M33" s="1"/>
    </row>
    <row r="34" spans="1:13" x14ac:dyDescent="0.25">
      <c r="A34" s="168" t="s">
        <v>0</v>
      </c>
      <c r="B34" s="169"/>
      <c r="C34" s="169"/>
      <c r="D34" s="169"/>
      <c r="E34" s="169"/>
      <c r="F34" s="169"/>
      <c r="G34" s="169"/>
      <c r="H34" s="169"/>
      <c r="I34" s="170"/>
      <c r="J34" s="1"/>
      <c r="K34" s="1"/>
      <c r="L34" s="1"/>
      <c r="M34" s="1"/>
    </row>
    <row r="35" spans="1:13" ht="15.75" thickBot="1" x14ac:dyDescent="0.3">
      <c r="A35" s="100" t="s">
        <v>67</v>
      </c>
      <c r="B35" s="101"/>
      <c r="C35" s="102"/>
      <c r="D35" s="102"/>
      <c r="E35" s="102"/>
      <c r="F35" s="102"/>
      <c r="G35" s="102"/>
      <c r="H35" s="102"/>
      <c r="I35" s="103"/>
      <c r="J35" s="1"/>
      <c r="K35" s="1"/>
      <c r="L35" s="1"/>
      <c r="M35" s="1"/>
    </row>
    <row r="36" spans="1:13" ht="15.75" thickBot="1" x14ac:dyDescent="0.3">
      <c r="A36" s="84"/>
      <c r="B36" s="85"/>
      <c r="C36" s="86"/>
      <c r="D36" s="86"/>
      <c r="E36" s="86"/>
      <c r="F36" s="86"/>
      <c r="G36" s="86"/>
      <c r="H36" s="86"/>
      <c r="I36" s="87"/>
      <c r="J36" s="1"/>
      <c r="K36" s="1"/>
      <c r="L36" s="1"/>
      <c r="M36" s="1"/>
    </row>
    <row r="37" spans="1:13" ht="15.75" thickBot="1" x14ac:dyDescent="0.3">
      <c r="A37" s="84"/>
      <c r="B37" s="85"/>
      <c r="C37" s="86"/>
      <c r="D37" s="86"/>
      <c r="E37" s="86"/>
      <c r="F37" s="86"/>
      <c r="G37" s="86"/>
      <c r="H37" s="86"/>
      <c r="I37" s="87"/>
      <c r="J37" s="1"/>
      <c r="K37" s="1"/>
      <c r="L37" s="1"/>
      <c r="M37" s="1"/>
    </row>
    <row r="38" spans="1:13" ht="15.75" thickBot="1" x14ac:dyDescent="0.3">
      <c r="A38" s="84"/>
      <c r="B38" s="85"/>
      <c r="C38" s="86"/>
      <c r="D38" s="86"/>
      <c r="E38" s="86"/>
      <c r="F38" s="86"/>
      <c r="G38" s="86"/>
      <c r="H38" s="86"/>
      <c r="I38" s="87"/>
    </row>
    <row r="39" spans="1:13" ht="15.75" thickBot="1" x14ac:dyDescent="0.3">
      <c r="A39" s="84"/>
      <c r="B39" s="85"/>
      <c r="C39" s="86"/>
      <c r="D39" s="86"/>
      <c r="E39" s="86"/>
      <c r="F39" s="86"/>
      <c r="G39" s="86"/>
      <c r="H39" s="86"/>
      <c r="I39" s="87"/>
    </row>
    <row r="40" spans="1:13" ht="15.75" thickBot="1" x14ac:dyDescent="0.3">
      <c r="A40" s="84"/>
      <c r="B40" s="85"/>
      <c r="C40" s="86"/>
      <c r="D40" s="86"/>
      <c r="E40" s="86"/>
      <c r="F40" s="86"/>
      <c r="G40" s="86"/>
      <c r="H40" s="86"/>
      <c r="I40" s="87"/>
    </row>
    <row r="41" spans="1:13" ht="15.75" thickBot="1" x14ac:dyDescent="0.3">
      <c r="A41" s="84"/>
      <c r="B41" s="85"/>
      <c r="C41" s="86"/>
      <c r="D41" s="86"/>
      <c r="E41" s="86"/>
      <c r="F41" s="86"/>
      <c r="G41" s="86"/>
      <c r="H41" s="86"/>
      <c r="I41" s="87"/>
    </row>
    <row r="42" spans="1:13" ht="15.75" thickBot="1" x14ac:dyDescent="0.3">
      <c r="A42" s="84"/>
      <c r="B42" s="85"/>
      <c r="C42" s="86"/>
      <c r="D42" s="86"/>
      <c r="E42" s="86"/>
      <c r="F42" s="86"/>
      <c r="G42" s="86"/>
      <c r="H42" s="86"/>
      <c r="I42" s="87"/>
    </row>
    <row r="43" spans="1:13" ht="15" customHeight="1" thickBot="1" x14ac:dyDescent="0.3">
      <c r="A43" s="146"/>
      <c r="B43" s="147"/>
      <c r="C43" s="148"/>
      <c r="D43" s="148"/>
      <c r="E43" s="148"/>
      <c r="F43" s="148"/>
      <c r="G43" s="148"/>
      <c r="H43" s="148"/>
      <c r="I43" s="149"/>
    </row>
  </sheetData>
  <mergeCells count="53">
    <mergeCell ref="A43:I43"/>
    <mergeCell ref="A22:C22"/>
    <mergeCell ref="F22:G22"/>
    <mergeCell ref="H22:I22"/>
    <mergeCell ref="A23:C23"/>
    <mergeCell ref="F23:G23"/>
    <mergeCell ref="H23:I23"/>
    <mergeCell ref="A42:I42"/>
    <mergeCell ref="A30:I30"/>
    <mergeCell ref="A32:I32"/>
    <mergeCell ref="A33:I33"/>
    <mergeCell ref="A34:I34"/>
    <mergeCell ref="A29:I29"/>
    <mergeCell ref="F25:G25"/>
    <mergeCell ref="F26:G26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D6:F6"/>
    <mergeCell ref="G6:H6"/>
    <mergeCell ref="C1:G1"/>
    <mergeCell ref="G15:H15"/>
    <mergeCell ref="G17:H17"/>
    <mergeCell ref="C2:G2"/>
    <mergeCell ref="C3:G3"/>
    <mergeCell ref="H3:H5"/>
    <mergeCell ref="A6:C6"/>
    <mergeCell ref="A35:I35"/>
    <mergeCell ref="G16:H16"/>
    <mergeCell ref="A27:I27"/>
    <mergeCell ref="A28:I28"/>
    <mergeCell ref="H26:I26"/>
    <mergeCell ref="A24:C24"/>
    <mergeCell ref="F24:G24"/>
    <mergeCell ref="H24:I24"/>
    <mergeCell ref="A25:C25"/>
    <mergeCell ref="G18:H18"/>
    <mergeCell ref="H25:I25"/>
    <mergeCell ref="A26:C26"/>
    <mergeCell ref="A41:I41"/>
    <mergeCell ref="A40:I40"/>
    <mergeCell ref="A39:I39"/>
    <mergeCell ref="A31:I31"/>
    <mergeCell ref="A38:I38"/>
    <mergeCell ref="A37:I37"/>
    <mergeCell ref="A36:I36"/>
  </mergeCells>
  <pageMargins left="0.7" right="0.7" top="1.3149999999999999" bottom="0.75" header="0.3" footer="0.3"/>
  <pageSetup paperSize="9" scale="44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D39F2E-A6CB-4B2F-9535-2F24BCD471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624B12-3CAB-4957-90E7-938EEDA58919}">
  <ds:schemaRefs>
    <ds:schemaRef ds:uri="http://schemas.microsoft.com/office/2006/metadata/properties"/>
    <ds:schemaRef ds:uri="http://schemas.microsoft.com/office/infopath/2007/PartnerControls"/>
    <ds:schemaRef ds:uri="eae225b5-53a6-4b69-be5f-a92fedf9fd97"/>
    <ds:schemaRef ds:uri="7b4e74ba-38a7-42d4-a9ca-1da0fc041db0"/>
  </ds:schemaRefs>
</ds:datastoreItem>
</file>

<file path=customXml/itemProps3.xml><?xml version="1.0" encoding="utf-8"?>
<ds:datastoreItem xmlns:ds="http://schemas.openxmlformats.org/officeDocument/2006/customXml" ds:itemID="{98602FCE-F2C8-474F-A12C-4323AD7290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Mufin piña</vt:lpstr>
      <vt:lpstr>'Mufin piña'!Área_de_impresión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2025-02-05T19:13:32Z</cp:lastPrinted>
  <dcterms:created xsi:type="dcterms:W3CDTF">2025-01-31T20:28:58Z</dcterms:created>
  <dcterms:modified xsi:type="dcterms:W3CDTF">2025-02-18T22:46:45Z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
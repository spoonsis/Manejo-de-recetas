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B5B51913-94D1-46E4-9F3D-70C6ABE28C1C}" xr6:coauthVersionLast="47" xr6:coauthVersionMax="47" xr10:uidLastSave="{6A12C997-FFFB-4B66-A8E1-55E0653F0232}"/>
  <bookViews>
    <workbookView xWindow="-108" yWindow="-108" windowWidth="23256" windowHeight="12456" tabRatio="876" xr2:uid="{70916686-2E86-4A42-A2A3-9CCBA3329E05}"/>
  </bookViews>
  <sheets>
    <sheet name="Hoja1" sheetId="8" r:id="rId1"/>
    <sheet name="-costeo" sheetId="7" state="hidden" r:id="rId2"/>
  </sheets>
  <externalReferences>
    <externalReference r:id="rId3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7" l="1"/>
  <c r="D67" i="7"/>
  <c r="D69" i="7"/>
  <c r="D64" i="7"/>
  <c r="D62" i="7"/>
  <c r="F58" i="7"/>
  <c r="C66" i="7"/>
  <c r="D53" i="7"/>
  <c r="D76" i="7"/>
  <c r="C44" i="7"/>
  <c r="E43" i="7"/>
  <c r="A43" i="7"/>
  <c r="C43" i="7"/>
  <c r="E42" i="7"/>
  <c r="A42" i="7"/>
  <c r="C42" i="7"/>
  <c r="F42" i="7"/>
  <c r="E41" i="7"/>
  <c r="A41" i="7"/>
  <c r="C41" i="7"/>
  <c r="E40" i="7"/>
  <c r="A40" i="7"/>
  <c r="C40" i="7"/>
  <c r="F40" i="7"/>
  <c r="E39" i="7"/>
  <c r="A39" i="7"/>
  <c r="C39" i="7"/>
  <c r="F39" i="7"/>
  <c r="E36" i="7"/>
  <c r="A36" i="7"/>
  <c r="C36" i="7"/>
  <c r="F36" i="7"/>
  <c r="G36" i="7"/>
  <c r="E35" i="7"/>
  <c r="A35" i="7"/>
  <c r="C35" i="7"/>
  <c r="E34" i="7"/>
  <c r="A34" i="7"/>
  <c r="C34" i="7"/>
  <c r="F34" i="7"/>
  <c r="G34" i="7"/>
  <c r="E33" i="7"/>
  <c r="A33" i="7"/>
  <c r="C33" i="7"/>
  <c r="F33" i="7"/>
  <c r="G33" i="7"/>
  <c r="E32" i="7"/>
  <c r="A32" i="7"/>
  <c r="C32" i="7"/>
  <c r="F32" i="7"/>
  <c r="G32" i="7"/>
  <c r="E29" i="7"/>
  <c r="F29" i="7"/>
  <c r="D29" i="7"/>
  <c r="C29" i="7"/>
  <c r="B29" i="7"/>
  <c r="E28" i="7"/>
  <c r="D28" i="7"/>
  <c r="C28" i="7"/>
  <c r="F28" i="7"/>
  <c r="B28" i="7"/>
  <c r="E27" i="7"/>
  <c r="F27" i="7"/>
  <c r="D27" i="7"/>
  <c r="C27" i="7"/>
  <c r="B27" i="7"/>
  <c r="E26" i="7"/>
  <c r="F26" i="7"/>
  <c r="D26" i="7"/>
  <c r="C26" i="7"/>
  <c r="B26" i="7"/>
  <c r="E25" i="7"/>
  <c r="F25" i="7"/>
  <c r="D25" i="7"/>
  <c r="C25" i="7"/>
  <c r="B25" i="7"/>
  <c r="E24" i="7"/>
  <c r="D24" i="7"/>
  <c r="C24" i="7"/>
  <c r="F24" i="7"/>
  <c r="B24" i="7"/>
  <c r="E21" i="7"/>
  <c r="F21" i="7"/>
  <c r="D21" i="7"/>
  <c r="C21" i="7"/>
  <c r="B21" i="7"/>
  <c r="E20" i="7"/>
  <c r="D20" i="7"/>
  <c r="C20" i="7"/>
  <c r="F20" i="7"/>
  <c r="B20" i="7"/>
  <c r="E19" i="7"/>
  <c r="F19" i="7"/>
  <c r="D19" i="7"/>
  <c r="C19" i="7"/>
  <c r="B19" i="7"/>
  <c r="E18" i="7"/>
  <c r="F18" i="7"/>
  <c r="D18" i="7"/>
  <c r="C18" i="7"/>
  <c r="B18" i="7"/>
  <c r="E17" i="7"/>
  <c r="F17" i="7"/>
  <c r="D17" i="7"/>
  <c r="C17" i="7"/>
  <c r="B17" i="7"/>
  <c r="E14" i="7"/>
  <c r="D14" i="7"/>
  <c r="C14" i="7"/>
  <c r="F14" i="7"/>
  <c r="B14" i="7"/>
  <c r="C13" i="7"/>
  <c r="F13" i="7"/>
  <c r="E12" i="7"/>
  <c r="F12" i="7"/>
  <c r="D12" i="7"/>
  <c r="C12" i="7"/>
  <c r="B12" i="7"/>
  <c r="C11" i="7"/>
  <c r="F11" i="7"/>
  <c r="E10" i="7"/>
  <c r="D10" i="7"/>
  <c r="C10" i="7"/>
  <c r="F10" i="7"/>
  <c r="B10" i="7"/>
  <c r="F9" i="7"/>
  <c r="C9" i="7"/>
  <c r="C8" i="7"/>
  <c r="F8" i="7"/>
  <c r="H6" i="7"/>
  <c r="F41" i="7"/>
  <c r="F43" i="7"/>
  <c r="F35" i="7"/>
  <c r="G35" i="7"/>
  <c r="E44" i="7"/>
  <c r="F44" i="7"/>
  <c r="D74" i="7"/>
  <c r="F49" i="7"/>
  <c r="F47" i="7"/>
  <c r="F46" i="7"/>
  <c r="C78" i="7"/>
  <c r="E78" i="7"/>
  <c r="E66" i="7"/>
  <c r="D78" i="7"/>
  <c r="D79" i="7"/>
  <c r="H46" i="7"/>
  <c r="F2" i="7"/>
  <c r="F57" i="7"/>
  <c r="C62" i="7"/>
  <c r="F48" i="7"/>
  <c r="O48" i="7"/>
  <c r="H49" i="7"/>
  <c r="H2" i="7"/>
  <c r="C67" i="7"/>
  <c r="H47" i="7"/>
  <c r="G2" i="7"/>
  <c r="C69" i="7"/>
  <c r="E69" i="7"/>
  <c r="C74" i="7"/>
  <c r="E74" i="7"/>
  <c r="E62" i="7"/>
  <c r="E71" i="7"/>
  <c r="E67" i="7"/>
  <c r="C79" i="7"/>
  <c r="E79" i="7"/>
  <c r="F56" i="7"/>
  <c r="O47" i="7"/>
  <c r="H48" i="7"/>
  <c r="O49" i="7"/>
  <c r="O50" i="7"/>
  <c r="C64" i="7"/>
  <c r="G56" i="7"/>
  <c r="E56" i="7"/>
  <c r="F59" i="7"/>
  <c r="E64" i="7"/>
  <c r="C76" i="7"/>
  <c r="E76" i="7"/>
  <c r="O51" i="7"/>
  <c r="O52" i="7"/>
  <c r="G59" i="7"/>
  <c r="G58" i="7"/>
  <c r="G43" i="7"/>
  <c r="G18" i="7"/>
  <c r="G9" i="7"/>
  <c r="G26" i="7"/>
  <c r="G41" i="7"/>
  <c r="G27" i="7"/>
  <c r="G21" i="7"/>
  <c r="G42" i="7"/>
  <c r="G29" i="7"/>
  <c r="G12" i="7"/>
  <c r="G19" i="7"/>
  <c r="G8" i="7"/>
  <c r="G28" i="7"/>
  <c r="G11" i="7"/>
  <c r="G17" i="7"/>
  <c r="G44" i="7"/>
  <c r="G20" i="7"/>
  <c r="G25" i="7"/>
  <c r="G10" i="7"/>
  <c r="G40" i="7"/>
  <c r="G14" i="7"/>
  <c r="G39" i="7"/>
  <c r="G24" i="7"/>
  <c r="G13" i="7"/>
  <c r="G46" i="7"/>
  <c r="G49" i="7"/>
  <c r="G47" i="7"/>
  <c r="G48" i="7"/>
  <c r="G57" i="7"/>
  <c r="O53" i="7"/>
  <c r="O54" i="7"/>
  <c r="O55" i="7"/>
  <c r="P55" i="7"/>
  <c r="E2" i="7"/>
</calcChain>
</file>

<file path=xl/sharedStrings.xml><?xml version="1.0" encoding="utf-8"?>
<sst xmlns="http://schemas.openxmlformats.org/spreadsheetml/2006/main" count="191" uniqueCount="130">
  <si>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</si>
  <si>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</si>
  <si>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</si>
  <si>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</si>
  <si>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</si>
  <si>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</si>
  <si>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</si>
  <si>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</si>
  <si>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</si>
  <si>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</si>
  <si>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</si>
  <si>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</si>
  <si>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</si>
  <si>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</si>
  <si>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</si>
  <si>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</si>
  <si>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</si>
  <si>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</si>
  <si>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</si>
  <si>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</si>
  <si>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</si>
  <si>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</si>
  <si>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</si>
  <si>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</si>
  <si>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</si>
  <si>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</si>
  <si>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</si>
  <si>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Pimienta</t>
  </si>
  <si>
    <t>min</t>
  </si>
  <si>
    <t>ud</t>
  </si>
  <si>
    <t>1- Agregar el aceite a la olla, cuando este caliente agregar la cebolla, saltear por 5 minutos.</t>
  </si>
  <si>
    <t xml:space="preserve">2- Agregar el azucar, pimienta, sal y preservante. </t>
  </si>
  <si>
    <t>3- Cocer por 10 minutos.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</si>
  <si>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</si>
  <si>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</si>
  <si>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</si>
  <si>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</si>
  <si>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</si>
  <si>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</si>
  <si>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</si>
  <si>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</si>
  <si>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</si>
  <si>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</si>
  <si>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</si>
  <si>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</si>
  <si>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</si>
  <si>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</si>
  <si>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</si>
  <si>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</si>
  <si>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</si>
  <si>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</si>
  <si>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</si>
  <si>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</si>
  <si>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</si>
  <si>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</si>
  <si>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</si>
  <si>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</si>
  <si>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</si>
  <si>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</si>
  <si>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</si>
  <si>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</si>
  <si>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</si>
  <si>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</si>
  <si>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</si>
  <si>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</si>
  <si>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</si>
  <si>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</si>
  <si>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</si>
  <si>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</si>
  <si>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</si>
  <si>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</si>
  <si>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</si>
  <si>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</si>
  <si>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</si>
  <si>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</si>
  <si>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</si>
  <si>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</si>
  <si>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</si>
  <si>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</si>
  <si>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</si>
  <si>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</si>
  <si>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</si>
  <si>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0510109</t>
  </si>
  <si>
    <t>0910313</t>
  </si>
  <si>
    <t>0610202</t>
  </si>
  <si>
    <t>AZUCAR DOÑA MARIA (BOLSA=5 KILOS)</t>
  </si>
  <si>
    <t>Gramo</t>
  </si>
  <si>
    <t>0510204</t>
  </si>
  <si>
    <t>01212412</t>
  </si>
  <si>
    <t>PRESERVANTE 1017 (PAQ=5 KILOS)</t>
  </si>
  <si>
    <t>CEBOLLA CARAMELIZADA BLANCA</t>
  </si>
  <si>
    <t>CEBOLLA BLANCA JULIANA (PAQ=1 KILO )</t>
  </si>
  <si>
    <t>0101043</t>
  </si>
  <si>
    <t>4- Colocar en bandeja de aluminio y etiquetar.</t>
  </si>
  <si>
    <t>90100131</t>
  </si>
  <si>
    <t>AZUCAR BLANCO INDUSTRIAL KILO</t>
  </si>
  <si>
    <t>FAS</t>
  </si>
  <si>
    <t>PRESTO</t>
  </si>
  <si>
    <t>90100142</t>
  </si>
  <si>
    <t>EMPAQUE SAL KILO</t>
  </si>
  <si>
    <t>CAPULLO</t>
  </si>
  <si>
    <t>MAYCA</t>
  </si>
  <si>
    <t>ASEAL</t>
  </si>
  <si>
    <t>Javier Tong, Chef</t>
  </si>
  <si>
    <t>ETIQUETA BLANCA 2 5/8X1 15/16 (UND)</t>
  </si>
  <si>
    <t>90100091(SE00237) Cebolla caramelizada blanca 2000 g</t>
  </si>
  <si>
    <t>MP10104</t>
  </si>
  <si>
    <t>SE00016</t>
  </si>
  <si>
    <t>MP10002</t>
  </si>
  <si>
    <t>SE00104</t>
  </si>
  <si>
    <t>MP10025</t>
  </si>
  <si>
    <t>EM10011</t>
  </si>
  <si>
    <t>MP10038</t>
  </si>
  <si>
    <t xml:space="preserve">PIMIENTA NEGRA MOLIDA </t>
  </si>
  <si>
    <t xml:space="preserve">PRESERVANTE 1017S </t>
  </si>
  <si>
    <t>CEBOLLA BLANCA JULIANA</t>
  </si>
  <si>
    <t>ACEITE CAPULLO RBD</t>
  </si>
  <si>
    <t>ESP-RE-COCS-038</t>
  </si>
  <si>
    <t>01</t>
  </si>
  <si>
    <t>Esteban Cartin, Gte Manufactura</t>
  </si>
  <si>
    <t>Cocina</t>
  </si>
  <si>
    <t>Empaque</t>
  </si>
  <si>
    <t># Código Netsuite</t>
  </si>
  <si>
    <t>Ensamble</t>
  </si>
  <si>
    <t>Decoración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</si>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</sst>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</numFmts>
  <fonts count="4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2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/>
    <xf numFmtId="0" fontId="1" fillId="0" borderId="0"/>
  </cellStyleXfs>
  <cellXfs count="287">
    <xf numFmtId="0" fontId="0" fillId="0" borderId="0" xfId="0"/>
    <xf numFmtId="0" fontId="1" fillId="2" borderId="2" xfId="4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38" fillId="2" borderId="0" xfId="4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3" xfId="1" applyFont="1" applyBorder="1" applyAlignment="1">
      <alignment horizontal="center" vertical="center"/>
    </xf>
    <xf numFmtId="43" fontId="9" fillId="0" borderId="0" xfId="1" applyFont="1" applyAlignment="1">
      <alignment horizontal="center" vertical="center"/>
    </xf>
    <xf numFmtId="43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2" applyNumberFormat="1" applyFont="1" applyAlignment="1">
      <alignment horizontal="center" vertical="center"/>
    </xf>
    <xf numFmtId="4" fontId="9" fillId="0" borderId="0" xfId="2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1" applyNumberFormat="1" applyFont="1" applyAlignment="1">
      <alignment vertical="center"/>
    </xf>
    <xf numFmtId="43" fontId="17" fillId="0" borderId="0" xfId="1" applyFont="1" applyAlignment="1">
      <alignment horizontal="center"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43" fontId="17" fillId="4" borderId="20" xfId="1" applyFont="1" applyFill="1" applyBorder="1" applyAlignment="1">
      <alignment horizontal="center" vertical="center"/>
    </xf>
    <xf numFmtId="43" fontId="19" fillId="0" borderId="0" xfId="1" applyFont="1" applyAlignment="1">
      <alignment horizontal="right"/>
    </xf>
    <xf numFmtId="0" fontId="8" fillId="4" borderId="20" xfId="0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Alignment="1">
      <alignment vertical="center"/>
    </xf>
    <xf numFmtId="4" fontId="17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43" fontId="23" fillId="5" borderId="21" xfId="1" applyFont="1" applyFill="1" applyBorder="1" applyAlignment="1">
      <alignment horizontal="right"/>
    </xf>
    <xf numFmtId="43" fontId="23" fillId="0" borderId="0" xfId="1" applyFont="1" applyAlignment="1">
      <alignment horizontal="right"/>
    </xf>
    <xf numFmtId="43" fontId="9" fillId="0" borderId="3" xfId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68" fontId="9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6" borderId="3" xfId="1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4" borderId="22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2" fillId="0" borderId="0" xfId="1" applyNumberFormat="1" applyFont="1" applyAlignment="1">
      <alignment horizontal="center"/>
    </xf>
    <xf numFmtId="0" fontId="8" fillId="4" borderId="22" xfId="0" applyFont="1" applyFill="1" applyBorder="1" applyAlignment="1">
      <alignment vertical="center"/>
    </xf>
    <xf numFmtId="4" fontId="8" fillId="0" borderId="0" xfId="1" applyNumberFormat="1" applyFont="1" applyAlignment="1">
      <alignment vertical="center"/>
    </xf>
    <xf numFmtId="43" fontId="23" fillId="4" borderId="10" xfId="1" applyFont="1" applyFill="1" applyBorder="1" applyAlignment="1">
      <alignment horizontal="right"/>
    </xf>
    <xf numFmtId="0" fontId="9" fillId="4" borderId="11" xfId="0" applyFont="1" applyFill="1" applyBorder="1" applyAlignment="1">
      <alignment horizontal="right" vertical="center"/>
    </xf>
    <xf numFmtId="10" fontId="28" fillId="0" borderId="0" xfId="1" applyNumberFormat="1" applyFont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43" fontId="30" fillId="0" borderId="0" xfId="1" applyFont="1" applyAlignment="1">
      <alignment vertical="center"/>
    </xf>
    <xf numFmtId="4" fontId="31" fillId="0" borderId="0" xfId="2" applyNumberFormat="1" applyFont="1" applyAlignment="1">
      <alignment horizontal="center" vertical="center" wrapText="1"/>
    </xf>
    <xf numFmtId="43" fontId="8" fillId="0" borderId="0" xfId="1" applyFont="1" applyAlignment="1">
      <alignment vertical="center"/>
    </xf>
    <xf numFmtId="9" fontId="8" fillId="0" borderId="0" xfId="1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Alignment="1">
      <alignment vertical="center"/>
    </xf>
    <xf numFmtId="4" fontId="9" fillId="7" borderId="21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" applyFont="1" applyAlignment="1">
      <alignment vertical="center"/>
    </xf>
    <xf numFmtId="9" fontId="32" fillId="0" borderId="0" xfId="1" applyNumberFormat="1" applyFont="1" applyAlignment="1">
      <alignment vertical="center"/>
    </xf>
    <xf numFmtId="4" fontId="9" fillId="0" borderId="0" xfId="1" applyNumberFormat="1" applyFont="1" applyAlignment="1">
      <alignment horizontal="center" vertical="center"/>
    </xf>
    <xf numFmtId="43" fontId="25" fillId="0" borderId="0" xfId="1" applyFont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1" applyFont="1"/>
    <xf numFmtId="0" fontId="25" fillId="0" borderId="0" xfId="0" applyFont="1" applyAlignment="1">
      <alignment horizontal="right"/>
    </xf>
    <xf numFmtId="43" fontId="8" fillId="0" borderId="0" xfId="1" applyFont="1" applyAlignment="1">
      <alignment horizontal="center"/>
    </xf>
    <xf numFmtId="9" fontId="35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5" fontId="9" fillId="0" borderId="0" xfId="0" applyNumberFormat="1" applyFont="1"/>
    <xf numFmtId="10" fontId="9" fillId="0" borderId="0" xfId="5" applyNumberFormat="1" applyFont="1" applyAlignment="1">
      <alignment vertical="center"/>
    </xf>
    <xf numFmtId="10" fontId="10" fillId="0" borderId="0" xfId="5" applyNumberFormat="1" applyFont="1" applyAlignment="1">
      <alignment vertical="center"/>
    </xf>
    <xf numFmtId="10" fontId="10" fillId="4" borderId="19" xfId="5" applyNumberFormat="1" applyFont="1" applyFill="1" applyBorder="1" applyAlignment="1">
      <alignment vertical="center"/>
    </xf>
    <xf numFmtId="10" fontId="10" fillId="4" borderId="20" xfId="5" applyNumberFormat="1" applyFont="1" applyFill="1" applyBorder="1" applyAlignment="1">
      <alignment vertical="center"/>
    </xf>
    <xf numFmtId="9" fontId="39" fillId="0" borderId="0" xfId="5" applyFont="1" applyAlignment="1">
      <alignment horizontal="center"/>
    </xf>
    <xf numFmtId="10" fontId="20" fillId="0" borderId="0" xfId="5" applyNumberFormat="1" applyFont="1" applyAlignment="1">
      <alignment horizontal="right"/>
    </xf>
    <xf numFmtId="2" fontId="20" fillId="0" borderId="0" xfId="1" applyNumberFormat="1" applyFont="1" applyAlignment="1">
      <alignment horizontal="center"/>
    </xf>
    <xf numFmtId="10" fontId="8" fillId="0" borderId="0" xfId="5" applyNumberFormat="1" applyFont="1" applyAlignment="1">
      <alignment vertical="center"/>
    </xf>
    <xf numFmtId="10" fontId="25" fillId="0" borderId="0" xfId="5" applyNumberFormat="1" applyFont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42" fillId="2" borderId="1" xfId="4" applyFont="1" applyFill="1" applyBorder="1" applyAlignment="1">
      <alignment horizontal="right"/>
    </xf>
    <xf numFmtId="0" fontId="42" fillId="2" borderId="3" xfId="4" applyFont="1" applyFill="1" applyBorder="1" applyAlignment="1">
      <alignment horizontal="right"/>
    </xf>
    <xf numFmtId="49" fontId="40" fillId="2" borderId="4" xfId="4" applyNumberFormat="1" applyFont="1" applyFill="1" applyBorder="1" applyAlignment="1">
      <alignment horizontal="center"/>
    </xf>
    <xf numFmtId="0" fontId="40" fillId="2" borderId="12" xfId="4" applyFont="1" applyFill="1" applyBorder="1" applyAlignment="1">
      <alignment horizontal="right"/>
    </xf>
    <xf numFmtId="0" fontId="40" fillId="2" borderId="3" xfId="4" applyFont="1" applyFill="1" applyBorder="1" applyAlignment="1">
      <alignment horizontal="right"/>
    </xf>
    <xf numFmtId="0" fontId="42" fillId="3" borderId="2" xfId="3" applyFont="1" applyFill="1" applyBorder="1" applyAlignment="1">
      <alignment horizontal="center" vertical="center" wrapText="1"/>
    </xf>
    <xf numFmtId="1" fontId="42" fillId="3" borderId="5" xfId="3" applyNumberFormat="1" applyFont="1" applyFill="1" applyBorder="1" applyAlignment="1">
      <alignment horizontal="center"/>
    </xf>
    <xf numFmtId="1" fontId="42" fillId="3" borderId="5" xfId="3" applyNumberFormat="1" applyFont="1" applyFill="1" applyBorder="1" applyAlignment="1">
      <alignment horizontal="center" wrapText="1"/>
    </xf>
    <xf numFmtId="0" fontId="42" fillId="3" borderId="15" xfId="3" applyFont="1" applyFill="1" applyBorder="1" applyAlignment="1">
      <alignment horizontal="center"/>
    </xf>
    <xf numFmtId="0" fontId="43" fillId="0" borderId="6" xfId="3" applyFont="1" applyBorder="1" applyAlignment="1">
      <alignment horizontal="center" vertical="center"/>
    </xf>
    <xf numFmtId="0" fontId="43" fillId="0" borderId="23" xfId="3" applyFont="1" applyBorder="1" applyAlignment="1">
      <alignment horizontal="center" vertical="center"/>
    </xf>
    <xf numFmtId="0" fontId="44" fillId="0" borderId="3" xfId="3" applyFont="1" applyBorder="1" applyAlignment="1">
      <alignment vertical="center"/>
    </xf>
    <xf numFmtId="0" fontId="43" fillId="0" borderId="3" xfId="3" applyFont="1" applyBorder="1" applyAlignment="1">
      <alignment horizontal="center" vertical="center"/>
    </xf>
    <xf numFmtId="1" fontId="43" fillId="0" borderId="3" xfId="3" applyNumberFormat="1" applyFont="1" applyBorder="1" applyAlignment="1">
      <alignment horizontal="center"/>
    </xf>
    <xf numFmtId="1" fontId="43" fillId="0" borderId="3" xfId="3" applyNumberFormat="1" applyFont="1" applyBorder="1" applyAlignment="1">
      <alignment horizontal="center" wrapText="1"/>
    </xf>
    <xf numFmtId="0" fontId="36" fillId="0" borderId="4" xfId="3" applyFont="1" applyBorder="1" applyAlignment="1">
      <alignment horizontal="center"/>
    </xf>
    <xf numFmtId="1" fontId="40" fillId="0" borderId="12" xfId="0" applyNumberFormat="1" applyFont="1" applyBorder="1" applyAlignment="1">
      <alignment horizontal="center"/>
    </xf>
    <xf numFmtId="0" fontId="37" fillId="0" borderId="6" xfId="7" applyBorder="1" applyAlignment="1">
      <alignment horizontal="center"/>
    </xf>
    <xf numFmtId="0" fontId="37" fillId="0" borderId="23" xfId="7" applyBorder="1" applyAlignment="1">
      <alignment horizontal="center"/>
    </xf>
    <xf numFmtId="0" fontId="37" fillId="0" borderId="3" xfId="7" applyBorder="1"/>
    <xf numFmtId="0" fontId="37" fillId="0" borderId="3" xfId="7" applyBorder="1" applyAlignment="1">
      <alignment horizontal="center" vertical="center"/>
    </xf>
    <xf numFmtId="1" fontId="36" fillId="0" borderId="3" xfId="0" applyNumberFormat="1" applyFont="1" applyBorder="1" applyAlignment="1">
      <alignment horizontal="center"/>
    </xf>
    <xf numFmtId="1" fontId="36" fillId="0" borderId="3" xfId="0" applyNumberFormat="1" applyFont="1" applyBorder="1" applyAlignment="1">
      <alignment horizontal="center" wrapText="1"/>
    </xf>
    <xf numFmtId="43" fontId="40" fillId="0" borderId="12" xfId="1" applyFont="1" applyBorder="1" applyAlignment="1">
      <alignment horizontal="center"/>
    </xf>
    <xf numFmtId="0" fontId="0" fillId="0" borderId="3" xfId="7" applyFont="1" applyBorder="1"/>
    <xf numFmtId="2" fontId="43" fillId="0" borderId="3" xfId="3" applyNumberFormat="1" applyFont="1" applyBorder="1" applyAlignment="1">
      <alignment horizontal="center"/>
    </xf>
    <xf numFmtId="16" fontId="36" fillId="0" borderId="3" xfId="0" applyNumberFormat="1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40" fillId="0" borderId="3" xfId="0" quotePrefix="1" applyFont="1" applyBorder="1" applyAlignment="1">
      <alignment horizontal="center"/>
    </xf>
    <xf numFmtId="0" fontId="40" fillId="0" borderId="3" xfId="0" quotePrefix="1" applyFont="1" applyBorder="1"/>
    <xf numFmtId="0" fontId="0" fillId="9" borderId="3" xfId="0" applyFill="1" applyBorder="1"/>
    <xf numFmtId="1" fontId="36" fillId="0" borderId="3" xfId="3" applyNumberFormat="1" applyFont="1" applyBorder="1" applyAlignment="1">
      <alignment horizontal="center"/>
    </xf>
    <xf numFmtId="1" fontId="36" fillId="0" borderId="3" xfId="3" applyNumberFormat="1" applyFont="1" applyBorder="1" applyAlignment="1">
      <alignment horizontal="center" wrapText="1"/>
    </xf>
    <xf numFmtId="49" fontId="36" fillId="0" borderId="6" xfId="3" applyNumberFormat="1" applyFont="1" applyBorder="1" applyAlignment="1">
      <alignment horizontal="center"/>
    </xf>
    <xf numFmtId="49" fontId="36" fillId="0" borderId="23" xfId="3" applyNumberFormat="1" applyFont="1" applyBorder="1" applyAlignment="1">
      <alignment horizontal="center"/>
    </xf>
    <xf numFmtId="0" fontId="45" fillId="9" borderId="3" xfId="3" applyFont="1" applyFill="1" applyBorder="1" applyAlignment="1">
      <alignment horizontal="left"/>
    </xf>
    <xf numFmtId="0" fontId="36" fillId="0" borderId="3" xfId="3" applyFont="1" applyBorder="1" applyAlignment="1">
      <alignment horizontal="center"/>
    </xf>
    <xf numFmtId="169" fontId="36" fillId="0" borderId="3" xfId="3" applyNumberFormat="1" applyFont="1" applyBorder="1" applyAlignment="1">
      <alignment horizontal="center"/>
    </xf>
    <xf numFmtId="0" fontId="1" fillId="0" borderId="6" xfId="8" applyBorder="1" applyAlignment="1">
      <alignment horizontal="center"/>
    </xf>
    <xf numFmtId="0" fontId="1" fillId="0" borderId="3" xfId="3" applyBorder="1" applyAlignment="1">
      <alignment horizontal="center"/>
    </xf>
    <xf numFmtId="0" fontId="1" fillId="9" borderId="3" xfId="8" applyFill="1" applyBorder="1"/>
    <xf numFmtId="16" fontId="36" fillId="0" borderId="3" xfId="8" applyNumberFormat="1" applyFont="1" applyBorder="1" applyAlignment="1">
      <alignment horizontal="center"/>
    </xf>
    <xf numFmtId="0" fontId="1" fillId="0" borderId="3" xfId="8" applyBorder="1" applyAlignment="1">
      <alignment horizontal="center"/>
    </xf>
    <xf numFmtId="1" fontId="36" fillId="0" borderId="3" xfId="8" applyNumberFormat="1" applyFont="1" applyBorder="1" applyAlignment="1">
      <alignment horizontal="center"/>
    </xf>
    <xf numFmtId="1" fontId="36" fillId="0" borderId="3" xfId="8" applyNumberFormat="1" applyFont="1" applyBorder="1" applyAlignment="1">
      <alignment horizontal="center" wrapText="1"/>
    </xf>
    <xf numFmtId="49" fontId="43" fillId="0" borderId="35" xfId="3" applyNumberFormat="1" applyFont="1" applyBorder="1" applyAlignment="1">
      <alignment horizontal="center"/>
    </xf>
    <xf numFmtId="49" fontId="43" fillId="0" borderId="36" xfId="3" applyNumberFormat="1" applyFont="1" applyBorder="1" applyAlignment="1">
      <alignment horizontal="center"/>
    </xf>
    <xf numFmtId="0" fontId="46" fillId="9" borderId="3" xfId="3" applyFont="1" applyFill="1" applyBorder="1" applyAlignment="1">
      <alignment vertical="center"/>
    </xf>
    <xf numFmtId="0" fontId="43" fillId="0" borderId="23" xfId="3" applyFont="1" applyBorder="1" applyAlignment="1">
      <alignment horizontal="center"/>
    </xf>
    <xf numFmtId="2" fontId="36" fillId="0" borderId="3" xfId="3" applyNumberFormat="1" applyFont="1" applyBorder="1" applyAlignment="1">
      <alignment horizontal="center"/>
    </xf>
    <xf numFmtId="0" fontId="0" fillId="0" borderId="23" xfId="7" applyFont="1" applyBorder="1" applyAlignment="1">
      <alignment horizontal="center"/>
    </xf>
    <xf numFmtId="0" fontId="0" fillId="9" borderId="3" xfId="0" applyFill="1" applyBorder="1" applyAlignment="1">
      <alignment horizontal="center"/>
    </xf>
    <xf numFmtId="49" fontId="36" fillId="9" borderId="6" xfId="3" applyNumberFormat="1" applyFont="1" applyFill="1" applyBorder="1" applyAlignment="1">
      <alignment horizontal="center"/>
    </xf>
    <xf numFmtId="49" fontId="36" fillId="9" borderId="23" xfId="3" applyNumberFormat="1" applyFont="1" applyFill="1" applyBorder="1" applyAlignment="1">
      <alignment horizontal="center"/>
    </xf>
    <xf numFmtId="49" fontId="8" fillId="9" borderId="3" xfId="3" applyNumberFormat="1" applyFont="1" applyFill="1" applyBorder="1"/>
    <xf numFmtId="0" fontId="47" fillId="0" borderId="3" xfId="3" applyFont="1" applyBorder="1" applyAlignment="1">
      <alignment horizontal="center"/>
    </xf>
    <xf numFmtId="12" fontId="36" fillId="0" borderId="3" xfId="3" applyNumberFormat="1" applyFont="1" applyBorder="1" applyAlignment="1">
      <alignment horizontal="center"/>
    </xf>
    <xf numFmtId="49" fontId="8" fillId="0" borderId="3" xfId="3" applyNumberFormat="1" applyFont="1" applyBorder="1"/>
    <xf numFmtId="1" fontId="47" fillId="0" borderId="3" xfId="3" applyNumberFormat="1" applyFont="1" applyBorder="1" applyAlignment="1">
      <alignment horizontal="center"/>
    </xf>
    <xf numFmtId="49" fontId="48" fillId="2" borderId="7" xfId="3" applyNumberFormat="1" applyFont="1" applyFill="1" applyBorder="1" applyAlignment="1">
      <alignment horizontal="center" vertical="center"/>
    </xf>
    <xf numFmtId="49" fontId="48" fillId="2" borderId="0" xfId="3" applyNumberFormat="1" applyFont="1" applyFill="1" applyAlignment="1">
      <alignment horizontal="center" vertical="center"/>
    </xf>
    <xf numFmtId="0" fontId="40" fillId="2" borderId="0" xfId="3" applyFont="1" applyFill="1"/>
    <xf numFmtId="1" fontId="40" fillId="2" borderId="0" xfId="3" applyNumberFormat="1" applyFont="1" applyFill="1" applyAlignment="1">
      <alignment horizontal="center"/>
    </xf>
    <xf numFmtId="164" fontId="40" fillId="2" borderId="0" xfId="3" applyNumberFormat="1" applyFont="1" applyFill="1" applyAlignment="1">
      <alignment horizontal="center" wrapText="1"/>
    </xf>
    <xf numFmtId="0" fontId="40" fillId="2" borderId="8" xfId="3" applyFont="1" applyFill="1" applyBorder="1" applyAlignment="1">
      <alignment horizontal="center"/>
    </xf>
    <xf numFmtId="0" fontId="40" fillId="3" borderId="9" xfId="3" applyFont="1" applyFill="1" applyBorder="1" applyAlignment="1">
      <alignment horizontal="center"/>
    </xf>
    <xf numFmtId="0" fontId="40" fillId="3" borderId="10" xfId="3" applyFont="1" applyFill="1" applyBorder="1" applyAlignment="1">
      <alignment horizontal="center"/>
    </xf>
    <xf numFmtId="0" fontId="40" fillId="3" borderId="10" xfId="3" applyFont="1" applyFill="1" applyBorder="1"/>
    <xf numFmtId="0" fontId="42" fillId="3" borderId="10" xfId="3" applyFont="1" applyFill="1" applyBorder="1" applyAlignment="1">
      <alignment horizontal="center"/>
    </xf>
    <xf numFmtId="1" fontId="42" fillId="3" borderId="10" xfId="3" applyNumberFormat="1" applyFont="1" applyFill="1" applyBorder="1" applyAlignment="1">
      <alignment horizontal="center"/>
    </xf>
    <xf numFmtId="164" fontId="40" fillId="3" borderId="10" xfId="3" applyNumberFormat="1" applyFont="1" applyFill="1" applyBorder="1" applyAlignment="1">
      <alignment horizontal="center" wrapText="1"/>
    </xf>
    <xf numFmtId="0" fontId="40" fillId="3" borderId="11" xfId="3" applyFont="1" applyFill="1" applyBorder="1" applyAlignment="1">
      <alignment horizontal="center"/>
    </xf>
    <xf numFmtId="0" fontId="36" fillId="0" borderId="36" xfId="0" applyFont="1" applyBorder="1" applyAlignment="1">
      <alignment horizontal="left"/>
    </xf>
    <xf numFmtId="0" fontId="40" fillId="0" borderId="51" xfId="3" applyFont="1" applyBorder="1" applyAlignment="1">
      <alignment horizontal="left"/>
    </xf>
    <xf numFmtId="0" fontId="40" fillId="0" borderId="52" xfId="3" applyFont="1" applyBorder="1" applyAlignment="1">
      <alignment horizontal="left"/>
    </xf>
    <xf numFmtId="0" fontId="40" fillId="0" borderId="29" xfId="3" applyFont="1" applyBorder="1" applyAlignment="1">
      <alignment horizontal="left"/>
    </xf>
    <xf numFmtId="0" fontId="42" fillId="11" borderId="53" xfId="4" applyFont="1" applyFill="1" applyBorder="1" applyAlignment="1">
      <alignment horizontal="center"/>
    </xf>
    <xf numFmtId="0" fontId="42" fillId="11" borderId="41" xfId="4" applyFont="1" applyFill="1" applyBorder="1" applyAlignment="1">
      <alignment horizontal="center"/>
    </xf>
    <xf numFmtId="0" fontId="40" fillId="2" borderId="54" xfId="4" applyFont="1" applyFill="1" applyBorder="1" applyAlignment="1">
      <alignment horizontal="left"/>
    </xf>
    <xf numFmtId="0" fontId="40" fillId="2" borderId="0" xfId="4" applyFont="1" applyFill="1" applyAlignment="1">
      <alignment horizontal="left"/>
    </xf>
    <xf numFmtId="0" fontId="5" fillId="0" borderId="30" xfId="3" applyFont="1" applyBorder="1" applyAlignment="1">
      <alignment horizontal="left" wrapText="1"/>
    </xf>
    <xf numFmtId="0" fontId="5" fillId="0" borderId="31" xfId="3" applyFont="1" applyBorder="1" applyAlignment="1">
      <alignment horizontal="left" wrapText="1"/>
    </xf>
    <xf numFmtId="0" fontId="5" fillId="0" borderId="32" xfId="3" applyFont="1" applyBorder="1" applyAlignment="1">
      <alignment horizontal="left" wrapText="1"/>
    </xf>
    <xf numFmtId="0" fontId="40" fillId="0" borderId="35" xfId="0" applyFont="1" applyBorder="1" applyAlignment="1">
      <alignment vertical="center"/>
    </xf>
    <xf numFmtId="0" fontId="40" fillId="0" borderId="36" xfId="0" applyFont="1" applyBorder="1" applyAlignment="1">
      <alignment vertical="center"/>
    </xf>
    <xf numFmtId="0" fontId="40" fillId="0" borderId="34" xfId="0" applyFont="1" applyBorder="1" applyAlignment="1">
      <alignment vertical="center"/>
    </xf>
    <xf numFmtId="0" fontId="40" fillId="0" borderId="35" xfId="0" applyFont="1" applyBorder="1" applyAlignment="1">
      <alignment horizontal="left"/>
    </xf>
    <xf numFmtId="0" fontId="40" fillId="0" borderId="36" xfId="0" applyFont="1" applyBorder="1" applyAlignment="1">
      <alignment horizontal="left"/>
    </xf>
    <xf numFmtId="0" fontId="40" fillId="0" borderId="34" xfId="0" applyFont="1" applyBorder="1" applyAlignment="1">
      <alignment horizontal="left"/>
    </xf>
    <xf numFmtId="0" fontId="36" fillId="0" borderId="36" xfId="0" applyFont="1" applyBorder="1" applyAlignment="1">
      <alignment horizontal="left"/>
    </xf>
    <xf numFmtId="0" fontId="42" fillId="0" borderId="26" xfId="3" applyFont="1" applyBorder="1" applyAlignment="1">
      <alignment horizontal="right"/>
    </xf>
    <xf numFmtId="0" fontId="42" fillId="0" borderId="27" xfId="3" applyFont="1" applyBorder="1" applyAlignment="1">
      <alignment horizontal="right"/>
    </xf>
    <xf numFmtId="0" fontId="42" fillId="0" borderId="5" xfId="3" applyFont="1" applyBorder="1" applyAlignment="1">
      <alignment horizontal="right"/>
    </xf>
    <xf numFmtId="0" fontId="40" fillId="0" borderId="5" xfId="3" applyFont="1" applyBorder="1" applyAlignment="1">
      <alignment horizontal="right"/>
    </xf>
    <xf numFmtId="164" fontId="40" fillId="0" borderId="28" xfId="3" applyNumberFormat="1" applyFont="1" applyBorder="1" applyAlignment="1">
      <alignment horizontal="center"/>
    </xf>
    <xf numFmtId="164" fontId="40" fillId="0" borderId="29" xfId="3" applyNumberFormat="1" applyFont="1" applyBorder="1" applyAlignment="1">
      <alignment horizontal="center"/>
    </xf>
    <xf numFmtId="0" fontId="42" fillId="3" borderId="9" xfId="3" applyFont="1" applyFill="1" applyBorder="1" applyAlignment="1">
      <alignment horizontal="left"/>
    </xf>
    <xf numFmtId="0" fontId="42" fillId="3" borderId="10" xfId="3" applyFont="1" applyFill="1" applyBorder="1" applyAlignment="1">
      <alignment horizontal="left"/>
    </xf>
    <xf numFmtId="0" fontId="42" fillId="3" borderId="11" xfId="3" applyFont="1" applyFill="1" applyBorder="1" applyAlignment="1">
      <alignment horizontal="left"/>
    </xf>
    <xf numFmtId="0" fontId="42" fillId="0" borderId="35" xfId="3" applyFont="1" applyBorder="1" applyAlignment="1">
      <alignment horizontal="right"/>
    </xf>
    <xf numFmtId="0" fontId="42" fillId="0" borderId="36" xfId="3" applyFont="1" applyBorder="1" applyAlignment="1">
      <alignment horizontal="right"/>
    </xf>
    <xf numFmtId="0" fontId="42" fillId="0" borderId="23" xfId="3" applyFont="1" applyBorder="1" applyAlignment="1">
      <alignment horizontal="right"/>
    </xf>
    <xf numFmtId="0" fontId="40" fillId="0" borderId="3" xfId="3" applyFont="1" applyBorder="1" applyAlignment="1">
      <alignment horizontal="right"/>
    </xf>
    <xf numFmtId="164" fontId="40" fillId="0" borderId="33" xfId="3" applyNumberFormat="1" applyFont="1" applyBorder="1" applyAlignment="1">
      <alignment horizontal="center"/>
    </xf>
    <xf numFmtId="164" fontId="40" fillId="0" borderId="34" xfId="3" applyNumberFormat="1" applyFont="1" applyBorder="1" applyAlignment="1">
      <alignment horizontal="center"/>
    </xf>
    <xf numFmtId="164" fontId="40" fillId="0" borderId="33" xfId="3" applyNumberFormat="1" applyFont="1" applyBorder="1" applyAlignment="1">
      <alignment horizontal="right" wrapText="1"/>
    </xf>
    <xf numFmtId="164" fontId="40" fillId="0" borderId="23" xfId="3" applyNumberFormat="1" applyFont="1" applyBorder="1" applyAlignment="1">
      <alignment horizontal="right" wrapText="1"/>
    </xf>
    <xf numFmtId="0" fontId="42" fillId="0" borderId="30" xfId="3" applyFont="1" applyBorder="1" applyAlignment="1">
      <alignment horizontal="right"/>
    </xf>
    <xf numFmtId="0" fontId="42" fillId="0" borderId="31" xfId="3" applyFont="1" applyBorder="1" applyAlignment="1">
      <alignment horizontal="right"/>
    </xf>
    <xf numFmtId="0" fontId="42" fillId="0" borderId="37" xfId="3" applyFont="1" applyBorder="1" applyAlignment="1">
      <alignment horizontal="right"/>
    </xf>
    <xf numFmtId="164" fontId="40" fillId="0" borderId="12" xfId="3" applyNumberFormat="1" applyFont="1" applyBorder="1" applyAlignment="1">
      <alignment horizontal="right"/>
    </xf>
    <xf numFmtId="0" fontId="40" fillId="2" borderId="13" xfId="3" applyFont="1" applyFill="1" applyBorder="1" applyAlignment="1">
      <alignment horizontal="center"/>
    </xf>
    <xf numFmtId="0" fontId="40" fillId="2" borderId="32" xfId="3" applyFont="1" applyFill="1" applyBorder="1" applyAlignment="1">
      <alignment horizontal="center"/>
    </xf>
    <xf numFmtId="0" fontId="4" fillId="2" borderId="0" xfId="4" applyFont="1" applyFill="1" applyAlignment="1">
      <alignment horizontal="right"/>
    </xf>
    <xf numFmtId="0" fontId="38" fillId="2" borderId="24" xfId="4" applyFont="1" applyFill="1" applyBorder="1" applyAlignment="1">
      <alignment horizontal="center"/>
    </xf>
    <xf numFmtId="0" fontId="4" fillId="2" borderId="0" xfId="4" applyFont="1" applyFill="1"/>
    <xf numFmtId="0" fontId="42" fillId="3" borderId="38" xfId="3" applyFont="1" applyFill="1" applyBorder="1" applyAlignment="1">
      <alignment horizontal="center" vertical="center"/>
    </xf>
    <xf numFmtId="0" fontId="42" fillId="3" borderId="26" xfId="3" applyFont="1" applyFill="1" applyBorder="1" applyAlignment="1">
      <alignment horizontal="center" vertical="center"/>
    </xf>
    <xf numFmtId="0" fontId="42" fillId="3" borderId="38" xfId="3" applyFont="1" applyFill="1" applyBorder="1" applyAlignment="1">
      <alignment horizontal="center" vertical="center" wrapText="1"/>
    </xf>
    <xf numFmtId="0" fontId="42" fillId="3" borderId="26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/>
    </xf>
    <xf numFmtId="0" fontId="42" fillId="3" borderId="5" xfId="3" applyFont="1" applyFill="1" applyBorder="1" applyAlignment="1">
      <alignment horizontal="center" vertical="center"/>
    </xf>
    <xf numFmtId="0" fontId="40" fillId="2" borderId="40" xfId="4" applyFont="1" applyFill="1" applyBorder="1" applyAlignment="1">
      <alignment horizontal="center"/>
    </xf>
    <xf numFmtId="0" fontId="40" fillId="2" borderId="41" xfId="4" applyFont="1" applyFill="1" applyBorder="1" applyAlignment="1">
      <alignment horizontal="center"/>
    </xf>
    <xf numFmtId="0" fontId="40" fillId="2" borderId="7" xfId="4" applyFont="1" applyFill="1" applyBorder="1" applyAlignment="1">
      <alignment horizontal="center"/>
    </xf>
    <xf numFmtId="0" fontId="40" fillId="2" borderId="0" xfId="4" applyFont="1" applyFill="1" applyAlignment="1">
      <alignment horizontal="center"/>
    </xf>
    <xf numFmtId="0" fontId="40" fillId="2" borderId="30" xfId="4" applyFont="1" applyFill="1" applyBorder="1" applyAlignment="1">
      <alignment horizontal="center"/>
    </xf>
    <xf numFmtId="0" fontId="40" fillId="2" borderId="31" xfId="4" applyFont="1" applyFill="1" applyBorder="1" applyAlignment="1">
      <alignment horizontal="center"/>
    </xf>
    <xf numFmtId="0" fontId="41" fillId="2" borderId="1" xfId="4" applyFont="1" applyFill="1" applyBorder="1" applyAlignment="1">
      <alignment horizontal="center"/>
    </xf>
    <xf numFmtId="0" fontId="41" fillId="2" borderId="39" xfId="4" applyFont="1" applyFill="1" applyBorder="1" applyAlignment="1">
      <alignment horizontal="center"/>
    </xf>
    <xf numFmtId="0" fontId="6" fillId="5" borderId="33" xfId="4" applyFont="1" applyFill="1" applyBorder="1" applyAlignment="1">
      <alignment horizontal="center" vertical="center" wrapText="1"/>
    </xf>
    <xf numFmtId="0" fontId="6" fillId="5" borderId="36" xfId="4" applyFont="1" applyFill="1" applyBorder="1" applyAlignment="1">
      <alignment horizontal="center" vertical="center" wrapText="1"/>
    </xf>
    <xf numFmtId="0" fontId="6" fillId="5" borderId="23" xfId="4" applyFont="1" applyFill="1" applyBorder="1" applyAlignment="1">
      <alignment horizontal="center" vertical="center" wrapText="1"/>
    </xf>
    <xf numFmtId="0" fontId="42" fillId="2" borderId="45" xfId="4" applyFont="1" applyFill="1" applyBorder="1" applyAlignment="1">
      <alignment horizontal="right" vertical="top" wrapText="1"/>
    </xf>
    <xf numFmtId="0" fontId="42" fillId="2" borderId="42" xfId="4" applyFont="1" applyFill="1" applyBorder="1" applyAlignment="1">
      <alignment horizontal="right" vertical="top" wrapText="1"/>
    </xf>
    <xf numFmtId="0" fontId="42" fillId="2" borderId="43" xfId="4" applyFont="1" applyFill="1" applyBorder="1" applyAlignment="1">
      <alignment horizontal="right" vertical="top" wrapText="1"/>
    </xf>
    <xf numFmtId="14" fontId="40" fillId="2" borderId="46" xfId="4" applyNumberFormat="1" applyFont="1" applyFill="1" applyBorder="1" applyAlignment="1">
      <alignment horizontal="center" vertical="center" wrapText="1"/>
    </xf>
    <xf numFmtId="14" fontId="40" fillId="2" borderId="50" xfId="4" applyNumberFormat="1" applyFont="1" applyFill="1" applyBorder="1" applyAlignment="1">
      <alignment horizontal="center" vertical="center" wrapText="1"/>
    </xf>
    <xf numFmtId="14" fontId="40" fillId="2" borderId="14" xfId="4" applyNumberFormat="1" applyFont="1" applyFill="1" applyBorder="1" applyAlignment="1">
      <alignment horizontal="center" vertical="center" wrapText="1"/>
    </xf>
    <xf numFmtId="0" fontId="40" fillId="2" borderId="47" xfId="4" applyFont="1" applyFill="1" applyBorder="1" applyAlignment="1">
      <alignment horizontal="left"/>
    </xf>
    <xf numFmtId="0" fontId="40" fillId="2" borderId="48" xfId="4" applyFont="1" applyFill="1" applyBorder="1" applyAlignment="1">
      <alignment horizontal="left"/>
    </xf>
    <xf numFmtId="0" fontId="40" fillId="2" borderId="49" xfId="4" applyFont="1" applyFill="1" applyBorder="1" applyAlignment="1">
      <alignment horizontal="left"/>
    </xf>
    <xf numFmtId="0" fontId="40" fillId="2" borderId="33" xfId="4" applyFont="1" applyFill="1" applyBorder="1" applyAlignment="1">
      <alignment horizontal="left"/>
    </xf>
    <xf numFmtId="0" fontId="40" fillId="2" borderId="36" xfId="4" applyFont="1" applyFill="1" applyBorder="1" applyAlignment="1">
      <alignment horizontal="left"/>
    </xf>
    <xf numFmtId="0" fontId="40" fillId="2" borderId="23" xfId="4" applyFont="1" applyFill="1" applyBorder="1" applyAlignment="1">
      <alignment horizontal="left"/>
    </xf>
    <xf numFmtId="0" fontId="12" fillId="0" borderId="2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40" xfId="0" applyFont="1" applyBorder="1" applyAlignment="1">
      <alignment horizontal="right"/>
    </xf>
    <xf numFmtId="0" fontId="18" fillId="0" borderId="4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8" fillId="0" borderId="3" xfId="0" applyFont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26" fillId="0" borderId="7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0" fontId="20" fillId="0" borderId="24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4" borderId="9" xfId="0" applyFont="1" applyFill="1" applyBorder="1" applyAlignment="1">
      <alignment horizontal="right"/>
    </xf>
    <xf numFmtId="0" fontId="23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34" fillId="0" borderId="0" xfId="0" applyFont="1" applyAlignment="1">
      <alignment horizontal="right"/>
    </xf>
    <xf numFmtId="0" fontId="9" fillId="0" borderId="24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8" borderId="9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horizontal="right" vertical="center"/>
    </xf>
    <xf numFmtId="0" fontId="9" fillId="8" borderId="11" xfId="0" applyFont="1" applyFill="1" applyBorder="1" applyAlignment="1">
      <alignment horizontal="right" vertical="center"/>
    </xf>
    <xf numFmtId="4" fontId="31" fillId="0" borderId="0" xfId="2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10" xfId="0" applyFont="1" applyBorder="1" applyAlignment="1">
      <alignment horizontal="right" vertical="center"/>
    </xf>
    <xf numFmtId="0" fontId="33" fillId="0" borderId="11" xfId="0" applyFont="1" applyBorder="1" applyAlignment="1">
      <alignment horizontal="right" vertical="center"/>
    </xf>
  </cellXfs>
  <cellStyles count="9">
    <cellStyle name="Millares" xfId="1" builtinId="3"/>
    <cellStyle name="Millares [0]" xfId="2" builtinId="6"/>
    <cellStyle name="Normal" xfId="0" builtinId="0"/>
    <cellStyle name="Normal 2" xfId="3" xr:uid="{E824E71E-F3CD-4D46-908D-BFBB28F743B0}"/>
    <cellStyle name="Normal 3" xfId="7" xr:uid="{DBD46778-2523-4A35-BEF8-3FF94F7F73D6}"/>
    <cellStyle name="Normal 3 2" xfId="8" xr:uid="{56B8C827-4655-486D-AF52-1D1BED8845BE}"/>
    <cellStyle name="Normal_CRITERIOS DE EVALUACION PT DE GB 2" xfId="4" xr:uid="{A34CDBD5-9659-43B6-A687-051AD8B38B5A}"/>
    <cellStyle name="Porcentaje" xfId="5" builtinId="5"/>
    <cellStyle name="Porcentaje 2" xfId="6" xr:uid="{3D1D4CBC-FC2A-4403-82A3-3DC96CF077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>
            <v>100</v>
          </cell>
          <cell r="E2" t="str">
            <v>Mililitro</v>
          </cell>
          <cell r="F2">
            <v>0.1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3671.9479999999999</v>
          </cell>
          <cell r="E3" t="str">
            <v>Gramo</v>
          </cell>
          <cell r="F3">
            <v>3.671948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812</v>
          </cell>
          <cell r="E4" t="str">
            <v>Gramo</v>
          </cell>
          <cell r="F4">
            <v>0.81200000000000006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1123.2429999999999</v>
          </cell>
          <cell r="E5" t="str">
            <v>Gramo</v>
          </cell>
          <cell r="F5">
            <v>1.123243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792.95600000000002</v>
          </cell>
          <cell r="E6" t="str">
            <v>Gramo</v>
          </cell>
          <cell r="F6">
            <v>0.79295599999999999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1500</v>
          </cell>
          <cell r="E7" t="str">
            <v>Gramo</v>
          </cell>
          <cell r="F7">
            <v>1.5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1625.011</v>
          </cell>
          <cell r="E8" t="str">
            <v>Gramo</v>
          </cell>
          <cell r="F8">
            <v>1.625011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1488</v>
          </cell>
          <cell r="E9" t="str">
            <v>Gramo</v>
          </cell>
          <cell r="F9">
            <v>1.488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1879.92</v>
          </cell>
          <cell r="E11" t="str">
            <v>Gramo</v>
          </cell>
          <cell r="F11">
            <v>1.87992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2165.34</v>
          </cell>
          <cell r="E12" t="str">
            <v>Gramo</v>
          </cell>
          <cell r="F12">
            <v>2.16534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1955</v>
          </cell>
          <cell r="E14" t="str">
            <v>Gramo</v>
          </cell>
          <cell r="F14">
            <v>1.9550000000000001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850</v>
          </cell>
          <cell r="E15" t="str">
            <v>Gramo</v>
          </cell>
          <cell r="F15">
            <v>0.85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3719.7170000000001</v>
          </cell>
          <cell r="E16" t="str">
            <v>Gramo</v>
          </cell>
          <cell r="F16">
            <v>3.7197170000000002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8000.6360000000004</v>
          </cell>
          <cell r="E17" t="str">
            <v>Gramo</v>
          </cell>
          <cell r="F17">
            <v>8.0006360000000001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1500</v>
          </cell>
          <cell r="E19" t="str">
            <v>Gramo</v>
          </cell>
          <cell r="F19">
            <v>1.5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2500.0259999999998</v>
          </cell>
          <cell r="E20" t="str">
            <v>Gramo</v>
          </cell>
          <cell r="F20">
            <v>2.5000259999999996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52010.652999999998</v>
          </cell>
          <cell r="E21" t="str">
            <v>Gramo</v>
          </cell>
          <cell r="F21">
            <v>52.010652999999998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3730.7440000000001</v>
          </cell>
          <cell r="E22" t="str">
            <v>Gramo</v>
          </cell>
          <cell r="F22">
            <v>3.7307440000000001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1990</v>
          </cell>
          <cell r="E23" t="str">
            <v>Gramo</v>
          </cell>
          <cell r="F23">
            <v>1.99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1949.58</v>
          </cell>
          <cell r="E24" t="str">
            <v>Gramo</v>
          </cell>
          <cell r="F24">
            <v>1.9495799999999999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182.61699999999999</v>
          </cell>
          <cell r="E25" t="str">
            <v>UND</v>
          </cell>
          <cell r="F25">
            <v>182.61699999999999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3639.7750000000001</v>
          </cell>
          <cell r="E26" t="str">
            <v>Gramo</v>
          </cell>
          <cell r="F26">
            <v>3.6397750000000002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1626.5050000000001</v>
          </cell>
          <cell r="E27" t="str">
            <v>Gramo</v>
          </cell>
          <cell r="F27">
            <v>1.6265050000000001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2000.04</v>
          </cell>
          <cell r="E28" t="str">
            <v>Gramo</v>
          </cell>
          <cell r="F28">
            <v>2.0000399999999998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2049.9989999999998</v>
          </cell>
          <cell r="E29" t="str">
            <v>Gramo</v>
          </cell>
          <cell r="F29">
            <v>2.0499989999999997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2585.0059999999999</v>
          </cell>
          <cell r="E31" t="str">
            <v>Gramo</v>
          </cell>
          <cell r="F31">
            <v>2.5850059999999999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808.52300000000002</v>
          </cell>
          <cell r="E32" t="str">
            <v>Gramo</v>
          </cell>
          <cell r="F32">
            <v>0.80852299999999999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549.952</v>
          </cell>
          <cell r="E34" t="str">
            <v>Gramo</v>
          </cell>
          <cell r="F34">
            <v>0.549952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1086.7070000000001</v>
          </cell>
          <cell r="E35" t="str">
            <v>Gramo</v>
          </cell>
          <cell r="F35">
            <v>1.0867070000000001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1423.585</v>
          </cell>
          <cell r="E36" t="str">
            <v>Gramo</v>
          </cell>
          <cell r="F36">
            <v>1.4235850000000001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1626.9480000000001</v>
          </cell>
          <cell r="E37" t="str">
            <v>Gramo</v>
          </cell>
          <cell r="F37">
            <v>1.6269480000000001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4999.9989999999998</v>
          </cell>
          <cell r="E39" t="str">
            <v>Gramo</v>
          </cell>
          <cell r="F39">
            <v>4.9999989999999999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1365.7819999999999</v>
          </cell>
          <cell r="E40" t="str">
            <v>Gramo</v>
          </cell>
          <cell r="F40">
            <v>1.3657819999999998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3805.4189999999999</v>
          </cell>
          <cell r="E42" t="str">
            <v>Gramo</v>
          </cell>
          <cell r="F42">
            <v>3.8054189999999997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5913.62</v>
          </cell>
          <cell r="E43" t="str">
            <v>Gramo</v>
          </cell>
          <cell r="F43">
            <v>5.9136199999999999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5095.0389999999998</v>
          </cell>
          <cell r="E45" t="str">
            <v>Gramo</v>
          </cell>
          <cell r="F45">
            <v>5.0950389999999999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2403.3040000000001</v>
          </cell>
          <cell r="E46" t="str">
            <v>Gramo</v>
          </cell>
          <cell r="F46">
            <v>2.4033039999999999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3148.902</v>
          </cell>
          <cell r="E48" t="str">
            <v>Gramo</v>
          </cell>
          <cell r="F48">
            <v>3.1489020000000001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2800.0030000000002</v>
          </cell>
          <cell r="E49" t="str">
            <v>Gramo</v>
          </cell>
          <cell r="F49">
            <v>2.8000030000000002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3629.1880000000001</v>
          </cell>
          <cell r="E50" t="str">
            <v>Gramo</v>
          </cell>
          <cell r="F50">
            <v>3.6291880000000001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4321</v>
          </cell>
          <cell r="E51" t="str">
            <v>Gramo</v>
          </cell>
          <cell r="F51">
            <v>4.3209999999999997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2990</v>
          </cell>
          <cell r="E52" t="str">
            <v>Gramo</v>
          </cell>
          <cell r="F52">
            <v>2.99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1803</v>
          </cell>
          <cell r="E53" t="str">
            <v>Gramo</v>
          </cell>
          <cell r="F53">
            <v>1.8029999999999999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4927.0929999999998</v>
          </cell>
          <cell r="E54" t="str">
            <v>Gramo</v>
          </cell>
          <cell r="F54">
            <v>4.9270930000000002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1545.0160000000001</v>
          </cell>
          <cell r="E57" t="str">
            <v>Gramo</v>
          </cell>
          <cell r="F57">
            <v>1.5450160000000002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3740</v>
          </cell>
          <cell r="E58" t="str">
            <v>Gramo</v>
          </cell>
          <cell r="F58">
            <v>3.74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24944.1</v>
          </cell>
          <cell r="E59" t="str">
            <v>Gramo</v>
          </cell>
          <cell r="F59">
            <v>1.2472049999999999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9250</v>
          </cell>
          <cell r="E60" t="str">
            <v>Gramo</v>
          </cell>
          <cell r="F60">
            <v>9.25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8395.9639999999999</v>
          </cell>
          <cell r="E61" t="str">
            <v>Gramo</v>
          </cell>
          <cell r="F61">
            <v>8.3959639999999993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5480.97</v>
          </cell>
          <cell r="E62" t="str">
            <v>Gramo</v>
          </cell>
          <cell r="F62">
            <v>5.4809700000000001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1773.8679999999999</v>
          </cell>
          <cell r="E63" t="str">
            <v>Gramo</v>
          </cell>
          <cell r="F63">
            <v>1.773868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1676.5139999999999</v>
          </cell>
          <cell r="E64" t="str">
            <v>Mililitro</v>
          </cell>
          <cell r="F64">
            <v>1.6765139999999998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3006.252</v>
          </cell>
          <cell r="E65" t="str">
            <v>Gramo</v>
          </cell>
          <cell r="F65">
            <v>3.0062519999999999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636.56899999999996</v>
          </cell>
          <cell r="E66" t="str">
            <v>Mililitro</v>
          </cell>
          <cell r="F66">
            <v>0.63656899999999994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4963.5</v>
          </cell>
          <cell r="E67" t="str">
            <v>Gramo</v>
          </cell>
          <cell r="F67">
            <v>4.9634999999999998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8476.8080000000009</v>
          </cell>
          <cell r="E68" t="str">
            <v>Gramo</v>
          </cell>
          <cell r="F68">
            <v>8.4768080000000001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9225.6039999999994</v>
          </cell>
          <cell r="E69" t="str">
            <v>Gramo</v>
          </cell>
          <cell r="F69">
            <v>9.2256039999999988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4701.058</v>
          </cell>
          <cell r="E70" t="str">
            <v>Gramo</v>
          </cell>
          <cell r="F70">
            <v>4.7010579999999997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1706.85</v>
          </cell>
          <cell r="E71" t="str">
            <v>Gramo</v>
          </cell>
          <cell r="F71">
            <v>1.70685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2526.105</v>
          </cell>
          <cell r="E73" t="str">
            <v>Gramo</v>
          </cell>
          <cell r="F73">
            <v>2.5261049999999998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2805.306</v>
          </cell>
          <cell r="E74" t="str">
            <v>Gramo</v>
          </cell>
          <cell r="F74">
            <v>2.8053059999999999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1968.627</v>
          </cell>
          <cell r="E75" t="str">
            <v>Gramo</v>
          </cell>
          <cell r="F75">
            <v>1.9686269999999999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1668.75</v>
          </cell>
          <cell r="E76" t="str">
            <v>Gramo</v>
          </cell>
          <cell r="F76">
            <v>1.66875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2034.5</v>
          </cell>
          <cell r="E77" t="str">
            <v>Gramo</v>
          </cell>
          <cell r="F77">
            <v>2.0345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1880.4949999999999</v>
          </cell>
          <cell r="E78" t="str">
            <v>Gramo</v>
          </cell>
          <cell r="F78">
            <v>1.8804949999999998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8870.6959999999999</v>
          </cell>
          <cell r="E79" t="str">
            <v>Gramo</v>
          </cell>
          <cell r="F79">
            <v>8.8706960000000006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12840.45</v>
          </cell>
          <cell r="E83" t="str">
            <v>Gramo</v>
          </cell>
          <cell r="F83">
            <v>12.840450000000001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4410.2560000000003</v>
          </cell>
          <cell r="E84" t="str">
            <v>Gramo</v>
          </cell>
          <cell r="F84">
            <v>4.4102560000000004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2115</v>
          </cell>
          <cell r="E87" t="str">
            <v>Mililitro</v>
          </cell>
          <cell r="F87">
            <v>2.1150000000000002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10817.456</v>
          </cell>
          <cell r="E89" t="str">
            <v>Gramo</v>
          </cell>
          <cell r="F89">
            <v>10.817456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2887</v>
          </cell>
          <cell r="E90" t="str">
            <v>Mililitro</v>
          </cell>
          <cell r="F90">
            <v>2.887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472.40199999999999</v>
          </cell>
          <cell r="E91" t="str">
            <v>Mililitro</v>
          </cell>
          <cell r="F91">
            <v>0.47240199999999999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95922.173999999999</v>
          </cell>
          <cell r="E92" t="str">
            <v>Gramo</v>
          </cell>
          <cell r="F92">
            <v>95.922173999999998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13919.84</v>
          </cell>
          <cell r="E93" t="str">
            <v>Gramo</v>
          </cell>
          <cell r="F93">
            <v>13.919840000000001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2033.181</v>
          </cell>
          <cell r="E94" t="str">
            <v>Gramo</v>
          </cell>
          <cell r="F94">
            <v>2.0331809999999999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1812.7239999999999</v>
          </cell>
          <cell r="E95" t="str">
            <v>Gramo</v>
          </cell>
          <cell r="F95">
            <v>1.812724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2122.346</v>
          </cell>
          <cell r="E96" t="str">
            <v>Gramo</v>
          </cell>
          <cell r="F96">
            <v>2.1223459999999998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1937.0229999999999</v>
          </cell>
          <cell r="E97" t="str">
            <v>Gramo</v>
          </cell>
          <cell r="F97">
            <v>1.9370229999999999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2336.7860000000001</v>
          </cell>
          <cell r="E101" t="str">
            <v>Gramo</v>
          </cell>
          <cell r="F101">
            <v>2.336786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3158.3029999999999</v>
          </cell>
          <cell r="E102" t="str">
            <v>Gramo</v>
          </cell>
          <cell r="F102">
            <v>3.1583030000000001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2337.4810000000002</v>
          </cell>
          <cell r="E103" t="str">
            <v>Gramo</v>
          </cell>
          <cell r="F103">
            <v>2.3374810000000004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2058.9949999999999</v>
          </cell>
          <cell r="E104" t="str">
            <v>Gramo</v>
          </cell>
          <cell r="F104">
            <v>2.0589949999999999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3058</v>
          </cell>
          <cell r="E105" t="str">
            <v>Gramo</v>
          </cell>
          <cell r="F105">
            <v>3.0579999999999998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2219.7910000000002</v>
          </cell>
          <cell r="E106" t="str">
            <v>Gramo</v>
          </cell>
          <cell r="F106">
            <v>2.2197910000000003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2860.7570000000001</v>
          </cell>
          <cell r="E109" t="str">
            <v>Gramo</v>
          </cell>
          <cell r="F109">
            <v>2.860757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2297.7919999999999</v>
          </cell>
          <cell r="E110" t="str">
            <v>Gramo</v>
          </cell>
          <cell r="F110">
            <v>2.2977919999999998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3134.9960000000001</v>
          </cell>
          <cell r="E111" t="str">
            <v>Gramo</v>
          </cell>
          <cell r="F111">
            <v>3.1349960000000001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2975</v>
          </cell>
          <cell r="E112" t="str">
            <v>Gramo</v>
          </cell>
          <cell r="F112">
            <v>2.9750000000000001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5024.6629999999996</v>
          </cell>
          <cell r="E113" t="str">
            <v>Gramo</v>
          </cell>
          <cell r="F113">
            <v>5.0246629999999994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2360</v>
          </cell>
          <cell r="E114" t="str">
            <v>Gramo</v>
          </cell>
          <cell r="F114">
            <v>2.36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2661.7150000000001</v>
          </cell>
          <cell r="E115" t="str">
            <v>Gramo</v>
          </cell>
          <cell r="F115">
            <v>2.6617150000000001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1549.85</v>
          </cell>
          <cell r="E116" t="str">
            <v>Mililitro</v>
          </cell>
          <cell r="F116">
            <v>1.5498499999999999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1215.915</v>
          </cell>
          <cell r="E117" t="str">
            <v>Gramo</v>
          </cell>
          <cell r="F117">
            <v>1.2159149999999999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368.4</v>
          </cell>
          <cell r="E118" t="str">
            <v>Gramo</v>
          </cell>
          <cell r="F118">
            <v>0.36839999999999995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5985.2550000000001</v>
          </cell>
          <cell r="E119" t="str">
            <v>Gramo</v>
          </cell>
          <cell r="F119">
            <v>5.9852550000000004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4240.7700000000004</v>
          </cell>
          <cell r="E120" t="str">
            <v>Mililitro</v>
          </cell>
          <cell r="F120">
            <v>4.2407700000000004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3584.056</v>
          </cell>
          <cell r="E121" t="str">
            <v>Gramo</v>
          </cell>
          <cell r="F121">
            <v>3.5840559999999999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6484.9269999999997</v>
          </cell>
          <cell r="E122" t="str">
            <v>Gramo</v>
          </cell>
          <cell r="F122">
            <v>6.4849269999999999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5931.7089999999998</v>
          </cell>
          <cell r="E123" t="str">
            <v>Gramo</v>
          </cell>
          <cell r="F123">
            <v>5.9317089999999997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1429.249</v>
          </cell>
          <cell r="E124" t="str">
            <v>Gramo</v>
          </cell>
          <cell r="F124">
            <v>1.429249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1315.317</v>
          </cell>
          <cell r="E125" t="str">
            <v>Gramo</v>
          </cell>
          <cell r="F125">
            <v>1.3153170000000001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796.85</v>
          </cell>
          <cell r="E126" t="str">
            <v>Gramo</v>
          </cell>
          <cell r="F126">
            <v>0.79685000000000006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1995.5060000000001</v>
          </cell>
          <cell r="E127" t="str">
            <v>Gramo</v>
          </cell>
          <cell r="F127">
            <v>1.995506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2768.2130000000002</v>
          </cell>
          <cell r="E129" t="str">
            <v>Gramo</v>
          </cell>
          <cell r="F129">
            <v>2.7682130000000003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2536.0520000000001</v>
          </cell>
          <cell r="E130" t="str">
            <v>Gramo</v>
          </cell>
          <cell r="F130">
            <v>2.5360520000000002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1141.778</v>
          </cell>
          <cell r="E131" t="str">
            <v>Gramo</v>
          </cell>
          <cell r="F131">
            <v>1.141778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1613.4059999999999</v>
          </cell>
          <cell r="E132" t="str">
            <v>Gramo</v>
          </cell>
          <cell r="F132">
            <v>1.6134059999999999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8248</v>
          </cell>
          <cell r="E133" t="str">
            <v>Gramo</v>
          </cell>
          <cell r="F133">
            <v>8.2479999999999993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442.8</v>
          </cell>
          <cell r="E134" t="str">
            <v>Gramo</v>
          </cell>
          <cell r="F134">
            <v>0.44280000000000003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767.13</v>
          </cell>
          <cell r="E135" t="str">
            <v>Gramo</v>
          </cell>
          <cell r="F135">
            <v>0.76712999999999998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3599.366</v>
          </cell>
          <cell r="E136" t="str">
            <v>Gramo</v>
          </cell>
          <cell r="F136">
            <v>3.5993659999999998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618.66</v>
          </cell>
          <cell r="E138" t="str">
            <v>Gramo</v>
          </cell>
          <cell r="F138">
            <v>0.61865999999999999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2114.5630000000001</v>
          </cell>
          <cell r="E139" t="str">
            <v>Gramo</v>
          </cell>
          <cell r="F139">
            <v>2.114563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2652.8069999999998</v>
          </cell>
          <cell r="E140" t="str">
            <v>Gramo</v>
          </cell>
          <cell r="F140">
            <v>2.6528069999999997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805.99900000000002</v>
          </cell>
          <cell r="E141" t="str">
            <v>Gramo</v>
          </cell>
          <cell r="F141">
            <v>0.80599900000000002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333.76100000000002</v>
          </cell>
          <cell r="E142" t="str">
            <v>Gramo</v>
          </cell>
          <cell r="F142">
            <v>0.33376100000000003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1668.874</v>
          </cell>
          <cell r="E144" t="str">
            <v>Gramo</v>
          </cell>
          <cell r="F144">
            <v>1.668874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1530.175</v>
          </cell>
          <cell r="E146" t="str">
            <v>Gramo</v>
          </cell>
          <cell r="F146">
            <v>1.5301750000000001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1178.6600000000001</v>
          </cell>
          <cell r="E149" t="str">
            <v>Gramo</v>
          </cell>
          <cell r="F149">
            <v>1.17866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8597.3330000000005</v>
          </cell>
          <cell r="E150" t="str">
            <v>Mililitro</v>
          </cell>
          <cell r="F150">
            <v>8.5973330000000008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3721.1489999999999</v>
          </cell>
          <cell r="E151" t="str">
            <v>Gramo</v>
          </cell>
          <cell r="F151">
            <v>3.721149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10113.421</v>
          </cell>
          <cell r="E152" t="str">
            <v>Gramo</v>
          </cell>
          <cell r="F152">
            <v>10.113421000000001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1500</v>
          </cell>
          <cell r="E153" t="str">
            <v>Gramo</v>
          </cell>
          <cell r="F153">
            <v>1.5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4226.5529999999999</v>
          </cell>
          <cell r="E159" t="str">
            <v>Gramo</v>
          </cell>
          <cell r="F159">
            <v>4.226553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1700</v>
          </cell>
          <cell r="E160" t="str">
            <v>Gramo</v>
          </cell>
          <cell r="F160">
            <v>1.7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4617.5</v>
          </cell>
          <cell r="E162" t="str">
            <v>Gramo</v>
          </cell>
          <cell r="F162">
            <v>4.6174999999999997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367.68799999999999</v>
          </cell>
          <cell r="E166" t="str">
            <v>Gramo</v>
          </cell>
          <cell r="F166">
            <v>0.36768800000000001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416.05799999999999</v>
          </cell>
          <cell r="E167" t="str">
            <v>Gramo</v>
          </cell>
          <cell r="F167">
            <v>0.41605799999999998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1638.4929999999999</v>
          </cell>
          <cell r="E169" t="str">
            <v>Gramo</v>
          </cell>
          <cell r="F169">
            <v>1.638493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699.91499999999996</v>
          </cell>
          <cell r="E170" t="str">
            <v>Gramo</v>
          </cell>
          <cell r="F170">
            <v>0.69991499999999995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700.46900000000005</v>
          </cell>
          <cell r="E171" t="str">
            <v>Gramo</v>
          </cell>
          <cell r="F171">
            <v>0.70046900000000001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6037.7420000000002</v>
          </cell>
          <cell r="E172" t="str">
            <v>Gramo</v>
          </cell>
          <cell r="F172">
            <v>6.0377420000000006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892.5</v>
          </cell>
          <cell r="E175" t="str">
            <v>Gramo</v>
          </cell>
          <cell r="F175">
            <v>0.89249999999999996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1374.999</v>
          </cell>
          <cell r="E176" t="str">
            <v>Gramo</v>
          </cell>
          <cell r="F176">
            <v>1.3749990000000001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4785.6629999999996</v>
          </cell>
          <cell r="E177" t="str">
            <v>Gramo</v>
          </cell>
          <cell r="F177">
            <v>4.7856629999999996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5185.1809999999996</v>
          </cell>
          <cell r="E179" t="str">
            <v>Gramo</v>
          </cell>
          <cell r="F179">
            <v>5.1851809999999992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1943.491</v>
          </cell>
          <cell r="E180" t="str">
            <v>Gramo</v>
          </cell>
          <cell r="F180">
            <v>1.9434910000000001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32779.258000000002</v>
          </cell>
          <cell r="E182" t="str">
            <v>Gramo</v>
          </cell>
          <cell r="F182">
            <v>32.779257999999999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15425.944</v>
          </cell>
          <cell r="E183" t="str">
            <v>Gramo</v>
          </cell>
          <cell r="F183">
            <v>15.425943999999999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20514.726999999999</v>
          </cell>
          <cell r="E185" t="str">
            <v>Gramo</v>
          </cell>
          <cell r="F185">
            <v>20.514727000000001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3514.1170000000002</v>
          </cell>
          <cell r="E186" t="str">
            <v>Gramo</v>
          </cell>
          <cell r="F186">
            <v>3.5141170000000002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806.24900000000002</v>
          </cell>
          <cell r="E187" t="str">
            <v>Gramo</v>
          </cell>
          <cell r="F187">
            <v>0.80624899999999999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6716.9219999999996</v>
          </cell>
          <cell r="E188" t="str">
            <v>Gramo</v>
          </cell>
          <cell r="F188">
            <v>6.7169219999999994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14412.841</v>
          </cell>
          <cell r="E189" t="str">
            <v>Gramo</v>
          </cell>
          <cell r="F189">
            <v>14.412841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21081.771000000001</v>
          </cell>
          <cell r="E190" t="str">
            <v>Gramo</v>
          </cell>
          <cell r="F190">
            <v>21.081771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48584.362999999998</v>
          </cell>
          <cell r="E191" t="str">
            <v>Gramo</v>
          </cell>
          <cell r="F191">
            <v>48.584362999999996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16190.891</v>
          </cell>
          <cell r="E192" t="str">
            <v>Gramo</v>
          </cell>
          <cell r="F192">
            <v>16.190891000000001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1.4339999999999999</v>
          </cell>
          <cell r="E193" t="str">
            <v>Gramo</v>
          </cell>
          <cell r="F193">
            <v>1.4339999999999999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2.677</v>
          </cell>
          <cell r="E194" t="str">
            <v>Gramo</v>
          </cell>
          <cell r="F194">
            <v>2.677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469.74700000000001</v>
          </cell>
          <cell r="E195" t="str">
            <v>Gramo</v>
          </cell>
          <cell r="F195">
            <v>7.2268769230769232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28.657</v>
          </cell>
          <cell r="E196" t="str">
            <v>Gramo</v>
          </cell>
          <cell r="F196">
            <v>28.657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9.6069999999999993</v>
          </cell>
          <cell r="E197" t="str">
            <v>Gramo</v>
          </cell>
          <cell r="F197">
            <v>9.6069999999999993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68.991</v>
          </cell>
          <cell r="E198" t="str">
            <v>Gramo</v>
          </cell>
          <cell r="F198">
            <v>68.991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29.140999999999998</v>
          </cell>
          <cell r="E199" t="str">
            <v>Gramo</v>
          </cell>
          <cell r="F199">
            <v>29.140999999999998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7435.44</v>
          </cell>
          <cell r="E200" t="str">
            <v>Gramo</v>
          </cell>
          <cell r="F200">
            <v>7.4354399999999998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1562.3019999999999</v>
          </cell>
          <cell r="E201" t="str">
            <v>Gramo</v>
          </cell>
          <cell r="F201">
            <v>1.5623019999999999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332.48899999999998</v>
          </cell>
          <cell r="E202" t="str">
            <v>Gramo</v>
          </cell>
          <cell r="F202">
            <v>5.5414833333333329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279.59100000000001</v>
          </cell>
          <cell r="E203" t="str">
            <v>Gramo</v>
          </cell>
          <cell r="F203">
            <v>6.9897749999999998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9872.259</v>
          </cell>
          <cell r="E204" t="str">
            <v>Gramo</v>
          </cell>
          <cell r="F204">
            <v>9.8722589999999997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10852.181</v>
          </cell>
          <cell r="E205" t="str">
            <v>Gramo</v>
          </cell>
          <cell r="F205">
            <v>10.852181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15562.316999999999</v>
          </cell>
          <cell r="E206" t="str">
            <v>Gramo</v>
          </cell>
          <cell r="F206">
            <v>15.562316999999998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2558.6350000000002</v>
          </cell>
          <cell r="E207" t="str">
            <v>Gramo</v>
          </cell>
          <cell r="F207">
            <v>2.5586350000000002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9930.4560000000001</v>
          </cell>
          <cell r="E208" t="str">
            <v>Gramo</v>
          </cell>
          <cell r="F208">
            <v>9.9304559999999995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7760.7079999999996</v>
          </cell>
          <cell r="E209" t="str">
            <v>Gramo</v>
          </cell>
          <cell r="F209">
            <v>7.7607079999999993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8246.7749999999996</v>
          </cell>
          <cell r="E210" t="str">
            <v>Gramo</v>
          </cell>
          <cell r="F210">
            <v>8.2467749999999995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5211.7290000000003</v>
          </cell>
          <cell r="E211" t="str">
            <v>Gramo</v>
          </cell>
          <cell r="F211">
            <v>5.2117290000000001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</v>
          </cell>
          <cell r="E212" t="str">
            <v>UND</v>
          </cell>
          <cell r="F212">
            <v>45.454545454545453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1070</v>
          </cell>
          <cell r="E213" t="str">
            <v>Gramo</v>
          </cell>
          <cell r="F213">
            <v>1.07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1637.17</v>
          </cell>
          <cell r="E215" t="str">
            <v>Gramo</v>
          </cell>
          <cell r="F215">
            <v>1.63717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>
            <v>95.83</v>
          </cell>
          <cell r="E216" t="str">
            <v>UND</v>
          </cell>
          <cell r="F216">
            <v>95.83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34.701999999999998</v>
          </cell>
          <cell r="E217" t="str">
            <v>UND</v>
          </cell>
          <cell r="F217">
            <v>34.701999999999998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215.001</v>
          </cell>
          <cell r="E218" t="str">
            <v>UND</v>
          </cell>
          <cell r="F218">
            <v>215.001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1681.42</v>
          </cell>
          <cell r="E221" t="str">
            <v>Gramo</v>
          </cell>
          <cell r="F221">
            <v>1.6814200000000001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1134.732</v>
          </cell>
          <cell r="E222" t="str">
            <v>UND</v>
          </cell>
          <cell r="F222">
            <v>47.280499999999996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2421.0189999999998</v>
          </cell>
          <cell r="E225" t="str">
            <v>Gramo</v>
          </cell>
          <cell r="F225">
            <v>20.175158333333332</v>
          </cell>
        </row>
        <row r="226">
          <cell r="A226" t="str">
            <v>0807007</v>
          </cell>
          <cell r="B226" t="str">
            <v>LAMINA DE AZUCAR DE FONDANT (CAJA=120 UND)</v>
          </cell>
          <cell r="C226" t="str">
            <v>UND</v>
          </cell>
          <cell r="D226">
            <v>933.78399999999999</v>
          </cell>
          <cell r="E226" t="str">
            <v>UND</v>
          </cell>
          <cell r="F226">
            <v>933.78399999999999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711.74199999999996</v>
          </cell>
          <cell r="E228" t="str">
            <v>Mililitro</v>
          </cell>
          <cell r="F228">
            <v>0.71174199999999999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617.70000000000005</v>
          </cell>
          <cell r="E229" t="str">
            <v>Mililitro</v>
          </cell>
          <cell r="F229">
            <v>0.61770000000000003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2758.576</v>
          </cell>
          <cell r="E230" t="str">
            <v>Mililitro</v>
          </cell>
          <cell r="F230">
            <v>2.7585760000000001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2191.174</v>
          </cell>
          <cell r="E232" t="str">
            <v>Mililitro</v>
          </cell>
          <cell r="F232">
            <v>2.1911740000000002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934.47</v>
          </cell>
          <cell r="E234" t="str">
            <v>Mililitro</v>
          </cell>
          <cell r="F234">
            <v>0.93447000000000002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5599.9549999999999</v>
          </cell>
          <cell r="E235" t="str">
            <v>Mililitro</v>
          </cell>
          <cell r="F235">
            <v>5.5999549999999996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1951.943</v>
          </cell>
          <cell r="E236" t="str">
            <v>Mililitro</v>
          </cell>
          <cell r="F236">
            <v>1.951943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779.22799999999995</v>
          </cell>
          <cell r="E237" t="str">
            <v>Mililitro</v>
          </cell>
          <cell r="F237">
            <v>0.77922799999999992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698.45399999999995</v>
          </cell>
          <cell r="E238" t="str">
            <v>Gramo</v>
          </cell>
          <cell r="F238">
            <v>0.69845399999999991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1578.595</v>
          </cell>
          <cell r="E239" t="str">
            <v>Mililitro</v>
          </cell>
          <cell r="F239">
            <v>1.578595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815.06</v>
          </cell>
          <cell r="E240" t="str">
            <v>Mililitro</v>
          </cell>
          <cell r="F240">
            <v>0.8150599999999999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1708.7360000000001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2414.732</v>
          </cell>
          <cell r="E242" t="str">
            <v>Mililitro</v>
          </cell>
          <cell r="F242">
            <v>2.4147319999999999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6240.7790000000005</v>
          </cell>
          <cell r="E243" t="str">
            <v>Mililitro</v>
          </cell>
          <cell r="F243">
            <v>6.2407790000000007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895.803</v>
          </cell>
          <cell r="E244" t="str">
            <v>Mililitro</v>
          </cell>
          <cell r="F244">
            <v>0.89580300000000002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6396.7030000000004</v>
          </cell>
          <cell r="E245" t="str">
            <v>Mililitro</v>
          </cell>
          <cell r="F245">
            <v>1.6900140026420081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6639.759</v>
          </cell>
          <cell r="E246" t="str">
            <v>Mililitro</v>
          </cell>
          <cell r="F246">
            <v>1.7542295904887715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</v>
          </cell>
          <cell r="E247" t="str">
            <v>Gramo</v>
          </cell>
          <cell r="F247">
            <v>0.68300000000000005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5702.4560000000001</v>
          </cell>
          <cell r="E248" t="str">
            <v>Gramo</v>
          </cell>
          <cell r="F248">
            <v>5.7024559999999997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>
            <v>1255</v>
          </cell>
          <cell r="E249" t="str">
            <v>Mililitro</v>
          </cell>
          <cell r="F249">
            <v>1.2549999999999999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2484.0709999999999</v>
          </cell>
          <cell r="E250" t="str">
            <v>Gramo</v>
          </cell>
          <cell r="F250">
            <v>2.4840709999999997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9383</v>
          </cell>
          <cell r="E251" t="str">
            <v>Gramo</v>
          </cell>
          <cell r="F251">
            <v>3.2355172413793105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8157.9480000000003</v>
          </cell>
          <cell r="E252" t="str">
            <v>Mililitro</v>
          </cell>
          <cell r="F252">
            <v>8.1579480000000011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5162.2420000000002</v>
          </cell>
          <cell r="E253" t="str">
            <v>Mililitro</v>
          </cell>
          <cell r="F253">
            <v>5.162242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4351.7209999999995</v>
          </cell>
          <cell r="E254" t="str">
            <v>Mililitro</v>
          </cell>
          <cell r="F254">
            <v>4.3517209999999995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6111.6170000000002</v>
          </cell>
          <cell r="E255" t="str">
            <v>Mililitro</v>
          </cell>
          <cell r="F255">
            <v>6.1116169999999999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3060.828</v>
          </cell>
          <cell r="E257" t="str">
            <v>Mililitro</v>
          </cell>
          <cell r="F257">
            <v>3.0608279999999999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11620.938</v>
          </cell>
          <cell r="E258" t="str">
            <v>Mililitro</v>
          </cell>
          <cell r="F258">
            <v>11.620938000000001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5383.5119999999997</v>
          </cell>
          <cell r="E259" t="str">
            <v>Mililitro</v>
          </cell>
          <cell r="F259">
            <v>5.3835119999999996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3060.5929999999998</v>
          </cell>
          <cell r="E260" t="str">
            <v>Mililitro</v>
          </cell>
          <cell r="F260">
            <v>3.0605929999999999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970.96199999999999</v>
          </cell>
          <cell r="E261" t="str">
            <v>Gramo</v>
          </cell>
          <cell r="F261">
            <v>0.97096199999999999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1371.8920000000001</v>
          </cell>
          <cell r="E262" t="str">
            <v>Gramo</v>
          </cell>
          <cell r="F262">
            <v>1.3718920000000001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14760.195</v>
          </cell>
          <cell r="E263" t="str">
            <v>Gramo</v>
          </cell>
          <cell r="F263">
            <v>14.760195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4025.5990000000002</v>
          </cell>
          <cell r="E265" t="str">
            <v>Gramo</v>
          </cell>
          <cell r="F265">
            <v>6.1932292307692309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3557.2179999999998</v>
          </cell>
          <cell r="E266" t="str">
            <v>Gramo</v>
          </cell>
          <cell r="F266">
            <v>3.5572179999999998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4554.1459999999997</v>
          </cell>
          <cell r="E267" t="str">
            <v>Gramo</v>
          </cell>
          <cell r="F267">
            <v>2.8691119799999996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1676.2908629999999</v>
          </cell>
          <cell r="E268" t="str">
            <v>Gramo</v>
          </cell>
          <cell r="F268">
            <v>1.676290863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1330.4880000000001</v>
          </cell>
          <cell r="E270" t="str">
            <v>Gramo</v>
          </cell>
          <cell r="F270">
            <v>1.3304880000000001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1384.81</v>
          </cell>
          <cell r="E271" t="str">
            <v>Gramo</v>
          </cell>
          <cell r="F271">
            <v>1.3848099999999999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1193.3910000000001</v>
          </cell>
          <cell r="E272" t="str">
            <v>Gramo</v>
          </cell>
          <cell r="F272">
            <v>1.1933910000000001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6234.759</v>
          </cell>
          <cell r="E273" t="str">
            <v>Gramo</v>
          </cell>
          <cell r="F273">
            <v>6.2347590000000004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4832.7550000000001</v>
          </cell>
          <cell r="E274" t="str">
            <v>Gramo</v>
          </cell>
          <cell r="F274">
            <v>4.8327549999999997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5104.8280000000004</v>
          </cell>
          <cell r="E275" t="str">
            <v>Gramo</v>
          </cell>
          <cell r="F275">
            <v>5.1048280000000004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1803.0139999999999</v>
          </cell>
          <cell r="E276" t="str">
            <v>Gramo</v>
          </cell>
          <cell r="F276">
            <v>3.278207272727272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1788.233639602475</v>
          </cell>
          <cell r="E277" t="str">
            <v>Gramo</v>
          </cell>
          <cell r="F277">
            <v>1.7882336396024749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</v>
          </cell>
          <cell r="E278" t="str">
            <v>Gramo</v>
          </cell>
          <cell r="F278">
            <v>1.339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1338.3672359999998</v>
          </cell>
          <cell r="E279" t="str">
            <v>Mililitro</v>
          </cell>
          <cell r="F279">
            <v>1.3383672359999998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1244</v>
          </cell>
          <cell r="E280" t="str">
            <v>Gramo</v>
          </cell>
          <cell r="F280">
            <v>1.244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23750</v>
          </cell>
          <cell r="E281" t="str">
            <v>Gramo</v>
          </cell>
          <cell r="F281">
            <v>23.75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1984.630744</v>
          </cell>
          <cell r="E283" t="str">
            <v>Gramo</v>
          </cell>
          <cell r="F283">
            <v>1.9846307439999999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2742.5880000000002</v>
          </cell>
          <cell r="E284" t="str">
            <v>Gramo</v>
          </cell>
          <cell r="F284">
            <v>2.742588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17427.937999999998</v>
          </cell>
          <cell r="E285" t="str">
            <v>Gramo</v>
          </cell>
          <cell r="F285">
            <v>17.427937999999997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2733.335</v>
          </cell>
          <cell r="E289" t="str">
            <v>Gramo</v>
          </cell>
          <cell r="F289">
            <v>2.7333349999999998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6408.0010000000002</v>
          </cell>
          <cell r="E290" t="str">
            <v>Gramo</v>
          </cell>
          <cell r="F290">
            <v>6.4080010000000005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1063.277</v>
          </cell>
          <cell r="E291" t="str">
            <v>Gramo</v>
          </cell>
          <cell r="F291">
            <v>1.063277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6960.0010000000002</v>
          </cell>
          <cell r="E292" t="str">
            <v>Gramo</v>
          </cell>
          <cell r="F292">
            <v>6.9600010000000001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6504</v>
          </cell>
          <cell r="E293" t="str">
            <v>Gramo</v>
          </cell>
          <cell r="F293">
            <v>6.5039999999999996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56.209000000000003</v>
          </cell>
          <cell r="E295" t="str">
            <v>UND</v>
          </cell>
          <cell r="F295">
            <v>56.209000000000003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946.63699999999994</v>
          </cell>
          <cell r="E296" t="str">
            <v>Gramo</v>
          </cell>
          <cell r="F296">
            <v>0.94663699999999995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2335</v>
          </cell>
          <cell r="E297" t="str">
            <v>Gramo</v>
          </cell>
          <cell r="F297">
            <v>2.335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1176.3399999999999</v>
          </cell>
          <cell r="E298" t="str">
            <v>UND</v>
          </cell>
          <cell r="F298">
            <v>1176.3399999999999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2709</v>
          </cell>
          <cell r="E300" t="str">
            <v>Gramo</v>
          </cell>
          <cell r="F300">
            <v>2.7090000000000001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4874.0169999999998</v>
          </cell>
          <cell r="E301" t="str">
            <v>Centimetro</v>
          </cell>
          <cell r="F301">
            <v>0.3481440714285714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2226.08</v>
          </cell>
          <cell r="E306" t="str">
            <v>Gramo</v>
          </cell>
          <cell r="F306">
            <v>2.2260800000000001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13927.679</v>
          </cell>
          <cell r="E307" t="str">
            <v>Gramo</v>
          </cell>
          <cell r="F307">
            <v>13.927678999999999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2000</v>
          </cell>
          <cell r="E308" t="str">
            <v>Gramo</v>
          </cell>
          <cell r="F308">
            <v>2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16500</v>
          </cell>
          <cell r="E310" t="str">
            <v>Gramo</v>
          </cell>
          <cell r="F310">
            <v>16.5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19750</v>
          </cell>
          <cell r="E311" t="str">
            <v>Gramo</v>
          </cell>
          <cell r="F311">
            <v>19.75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8359.6710000000003</v>
          </cell>
          <cell r="E317" t="str">
            <v>Gramo</v>
          </cell>
          <cell r="F317">
            <v>8.3596710000000005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8442.6370000000006</v>
          </cell>
          <cell r="E319" t="str">
            <v>Gramo</v>
          </cell>
          <cell r="F319">
            <v>8.4426370000000013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3051.471</v>
          </cell>
          <cell r="E320" t="str">
            <v>Gramo</v>
          </cell>
          <cell r="F320">
            <v>3.0514709999999998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1350.5060000000001</v>
          </cell>
          <cell r="E321" t="str">
            <v>Gramo</v>
          </cell>
          <cell r="F321">
            <v>1.350506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829.85299999999995</v>
          </cell>
          <cell r="E322" t="str">
            <v>Gramo</v>
          </cell>
          <cell r="F322">
            <v>0.82985299999999995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1704.375</v>
          </cell>
          <cell r="E323" t="str">
            <v>Gramo</v>
          </cell>
          <cell r="F323">
            <v>1.704375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1911</v>
          </cell>
          <cell r="E324" t="str">
            <v>Gramo</v>
          </cell>
          <cell r="F324">
            <v>1.911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7154.29</v>
          </cell>
          <cell r="E325" t="str">
            <v>Gramo</v>
          </cell>
          <cell r="F325">
            <v>7.1542899999999996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26100</v>
          </cell>
          <cell r="E326" t="str">
            <v>Mililitro</v>
          </cell>
          <cell r="F326">
            <v>26.1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4666.6210000000001</v>
          </cell>
          <cell r="E327" t="str">
            <v>Gramo</v>
          </cell>
          <cell r="F327">
            <v>4.6666210000000001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6182.6490000000003</v>
          </cell>
          <cell r="E328" t="str">
            <v>Gramo</v>
          </cell>
          <cell r="F328">
            <v>6.1826490000000005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2810</v>
          </cell>
          <cell r="E329" t="str">
            <v>Gramo</v>
          </cell>
          <cell r="F329">
            <v>2.81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2248.35</v>
          </cell>
          <cell r="E331" t="str">
            <v>Gramo</v>
          </cell>
          <cell r="F331">
            <v>2.2483499999999998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2000</v>
          </cell>
          <cell r="E332" t="str">
            <v>Gramo</v>
          </cell>
          <cell r="F332">
            <v>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2443.998</v>
          </cell>
          <cell r="E333" t="str">
            <v>Gramo</v>
          </cell>
          <cell r="F333">
            <v>7.1882294117647056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6512</v>
          </cell>
          <cell r="E334" t="str">
            <v>Mililitro</v>
          </cell>
          <cell r="F334">
            <v>6.5119999999999996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595.5</v>
          </cell>
          <cell r="E336" t="str">
            <v>Gramo</v>
          </cell>
          <cell r="F336">
            <v>0.59550000000000003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3575.39</v>
          </cell>
          <cell r="E337" t="str">
            <v>Gramo</v>
          </cell>
          <cell r="F337">
            <v>3.5753900000000001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3690</v>
          </cell>
          <cell r="E338" t="str">
            <v>Gramo</v>
          </cell>
          <cell r="F338">
            <v>3.69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4573.2439999999997</v>
          </cell>
          <cell r="E339" t="str">
            <v>Gramo</v>
          </cell>
          <cell r="F339">
            <v>4.5732439999999999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1435.2750000000001</v>
          </cell>
          <cell r="E340" t="str">
            <v>Mililitro</v>
          </cell>
          <cell r="F340">
            <v>1.4352750000000001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2915.1019999999999</v>
          </cell>
          <cell r="E342" t="str">
            <v>Gramo</v>
          </cell>
          <cell r="F342">
            <v>2.9151020000000001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4564.7430000000004</v>
          </cell>
          <cell r="E343" t="str">
            <v>Gramo</v>
          </cell>
          <cell r="F343">
            <v>4.564743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2099.9899999999998</v>
          </cell>
          <cell r="E344" t="str">
            <v>Gramo</v>
          </cell>
          <cell r="F344">
            <v>2.0999899999999996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2479.3240000000001</v>
          </cell>
          <cell r="E345" t="str">
            <v>Gramo</v>
          </cell>
          <cell r="F345">
            <v>2.4793240000000001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3316.9969999999998</v>
          </cell>
          <cell r="E346" t="str">
            <v>Gramo</v>
          </cell>
          <cell r="F346">
            <v>3.3169969999999998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1800</v>
          </cell>
          <cell r="E348" t="str">
            <v>Gramo</v>
          </cell>
          <cell r="F348">
            <v>3.6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 t="str">
            <v>ROLLO</v>
          </cell>
          <cell r="E2" t="str">
            <v>UND</v>
          </cell>
          <cell r="F2" t="e">
            <v>#VALUE!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200.453</v>
          </cell>
          <cell r="E3" t="str">
            <v>UND</v>
          </cell>
          <cell r="F3">
            <v>0.22272555555555557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206.411</v>
          </cell>
          <cell r="E4" t="str">
            <v>UND</v>
          </cell>
          <cell r="F4">
            <v>0.22934555555555555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200.042</v>
          </cell>
          <cell r="E5" t="str">
            <v>UND</v>
          </cell>
          <cell r="F5">
            <v>0.22226888888888888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199.26300000000001</v>
          </cell>
          <cell r="E6" t="str">
            <v>UND</v>
          </cell>
          <cell r="F6">
            <v>0.22140333333333334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200.23099999999999</v>
          </cell>
          <cell r="E7" t="str">
            <v>UND</v>
          </cell>
          <cell r="F7">
            <v>0.22247888888888889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203.60400000000001</v>
          </cell>
          <cell r="E8" t="str">
            <v>UND</v>
          </cell>
          <cell r="F8">
            <v>0.22622666666666669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177.364</v>
          </cell>
          <cell r="E9" t="str">
            <v>UND</v>
          </cell>
          <cell r="F9">
            <v>0.19707111111111111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4.5430000000000001</v>
          </cell>
          <cell r="E10" t="str">
            <v>UND</v>
          </cell>
          <cell r="F10">
            <v>4.5430000000000001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344.41899999999998</v>
          </cell>
          <cell r="E11" t="str">
            <v>UND</v>
          </cell>
          <cell r="F11">
            <v>0.38268777777777774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600.00199999999995</v>
          </cell>
          <cell r="E12" t="str">
            <v>UND</v>
          </cell>
          <cell r="F12">
            <v>0.66666888888888887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603.28200000000004</v>
          </cell>
          <cell r="E13" t="str">
            <v>UND</v>
          </cell>
          <cell r="F13">
            <v>0.67031333333333343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600.74</v>
          </cell>
          <cell r="E15" t="str">
            <v>UND</v>
          </cell>
          <cell r="F15">
            <v>0.66748888888888891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2.411</v>
          </cell>
          <cell r="E16" t="str">
            <v>UND</v>
          </cell>
          <cell r="F16">
            <v>2.411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2.5089999999999999</v>
          </cell>
          <cell r="E17" t="str">
            <v>UND</v>
          </cell>
          <cell r="F17">
            <v>2.5089999999999999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1.1000000000000001</v>
          </cell>
          <cell r="E18" t="str">
            <v>UND</v>
          </cell>
          <cell r="F18">
            <v>1.1000000000000001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7.5</v>
          </cell>
          <cell r="E19" t="str">
            <v>UND</v>
          </cell>
          <cell r="F19">
            <v>7.5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12.504</v>
          </cell>
          <cell r="E21" t="str">
            <v>UND</v>
          </cell>
          <cell r="F21">
            <v>12.504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4.9950000000000001</v>
          </cell>
          <cell r="E22" t="str">
            <v>UND</v>
          </cell>
          <cell r="F22">
            <v>4.9950000000000001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600.48599999999999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6.1890000000000001</v>
          </cell>
          <cell r="E25" t="str">
            <v>UND</v>
          </cell>
          <cell r="F25">
            <v>6.1890000000000001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31.518999999999998</v>
          </cell>
          <cell r="E26" t="str">
            <v>UND</v>
          </cell>
          <cell r="F26">
            <v>31.518999999999998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28.279</v>
          </cell>
          <cell r="E27" t="str">
            <v>UND</v>
          </cell>
          <cell r="F27">
            <v>28.279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4157.8950000000004</v>
          </cell>
          <cell r="E41" t="str">
            <v>UND</v>
          </cell>
          <cell r="F41">
            <v>4.1578950000000008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54.351999999999997</v>
          </cell>
          <cell r="E42" t="str">
            <v>UND</v>
          </cell>
          <cell r="F42">
            <v>54.351999999999997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35</v>
          </cell>
          <cell r="E46" t="str">
            <v>UND</v>
          </cell>
          <cell r="F46">
            <v>35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29104.861000000001</v>
          </cell>
          <cell r="E48" t="str">
            <v>UND</v>
          </cell>
          <cell r="F48">
            <v>29.104861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313.22500000000002</v>
          </cell>
          <cell r="E50" t="str">
            <v>UND</v>
          </cell>
          <cell r="F50">
            <v>313.22500000000002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356.05399999999997</v>
          </cell>
          <cell r="E51" t="str">
            <v>UND</v>
          </cell>
          <cell r="F51">
            <v>356.05399999999997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30</v>
          </cell>
          <cell r="E54" t="str">
            <v>UND</v>
          </cell>
          <cell r="F54">
            <v>30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8.4979999999999993</v>
          </cell>
          <cell r="E56" t="str">
            <v>UND</v>
          </cell>
          <cell r="F56">
            <v>8.4979999999999993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6.8209999999999997</v>
          </cell>
          <cell r="E59" t="str">
            <v>UND</v>
          </cell>
          <cell r="F59">
            <v>6.8209999999999997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71.349999999999994</v>
          </cell>
          <cell r="E60" t="str">
            <v>UND</v>
          </cell>
          <cell r="F60">
            <v>71.349999999999994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9.577</v>
          </cell>
          <cell r="E62" t="str">
            <v>UND</v>
          </cell>
          <cell r="F62">
            <v>9.577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179.93</v>
          </cell>
          <cell r="E65" t="str">
            <v>UND</v>
          </cell>
          <cell r="F65">
            <v>179.93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131.57599999999999</v>
          </cell>
          <cell r="E66" t="str">
            <v>UND</v>
          </cell>
          <cell r="F66">
            <v>131.57599999999999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215.21799999999999</v>
          </cell>
          <cell r="E67" t="str">
            <v>UND</v>
          </cell>
          <cell r="F67">
            <v>215.21799999999999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104.86</v>
          </cell>
          <cell r="E69" t="str">
            <v>UND</v>
          </cell>
          <cell r="F69">
            <v>104.86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89</v>
          </cell>
          <cell r="E70" t="str">
            <v>UND</v>
          </cell>
          <cell r="F70">
            <v>89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127.33</v>
          </cell>
          <cell r="E71" t="str">
            <v>UND</v>
          </cell>
          <cell r="F71">
            <v>127.33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1350.001</v>
          </cell>
          <cell r="E74" t="str">
            <v>UND</v>
          </cell>
          <cell r="F74">
            <v>6.7500049999999998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49.161999999999999</v>
          </cell>
          <cell r="E76" t="str">
            <v>UND</v>
          </cell>
          <cell r="F76">
            <v>49.161999999999999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5.8890000000000002</v>
          </cell>
          <cell r="E77" t="str">
            <v>UND</v>
          </cell>
          <cell r="F77">
            <v>5.8890000000000002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103.297</v>
          </cell>
          <cell r="E78" t="str">
            <v>UND</v>
          </cell>
          <cell r="F78">
            <v>103.297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81.62</v>
          </cell>
          <cell r="E79" t="str">
            <v>UND</v>
          </cell>
          <cell r="F79">
            <v>81.62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784.67200000000003</v>
          </cell>
          <cell r="E80" t="str">
            <v>UND</v>
          </cell>
          <cell r="F80">
            <v>784.67200000000003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789.74900000000002</v>
          </cell>
          <cell r="E81" t="str">
            <v>UND</v>
          </cell>
          <cell r="F81">
            <v>789.74900000000002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38.616</v>
          </cell>
          <cell r="E82" t="str">
            <v>UND</v>
          </cell>
          <cell r="F82">
            <v>38.616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23.143999999999998</v>
          </cell>
          <cell r="E83" t="str">
            <v>UND</v>
          </cell>
          <cell r="F83">
            <v>23.143999999999998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13.134</v>
          </cell>
          <cell r="E84" t="str">
            <v>UND</v>
          </cell>
          <cell r="F84">
            <v>13.134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9.3800000000000008</v>
          </cell>
          <cell r="E85" t="str">
            <v>UND</v>
          </cell>
          <cell r="F85">
            <v>9.3800000000000008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6.7750000000000004</v>
          </cell>
          <cell r="E86" t="str">
            <v>UND</v>
          </cell>
          <cell r="F86">
            <v>6.7750000000000004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11.180999999999999</v>
          </cell>
          <cell r="E87" t="str">
            <v>UND</v>
          </cell>
          <cell r="F87">
            <v>11.180999999999999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39.340000000000003</v>
          </cell>
          <cell r="E89" t="str">
            <v>UND</v>
          </cell>
          <cell r="F89">
            <v>39.340000000000003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23</v>
          </cell>
          <cell r="E90" t="str">
            <v>UND</v>
          </cell>
          <cell r="F90">
            <v>23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217.596</v>
          </cell>
          <cell r="E91" t="str">
            <v>UND</v>
          </cell>
          <cell r="F91">
            <v>217.596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8449.2690000000002</v>
          </cell>
          <cell r="E92" t="str">
            <v>Centimetros</v>
          </cell>
          <cell r="F92">
            <v>0.42246345000000002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12004.584000000001</v>
          </cell>
          <cell r="E93" t="str">
            <v>Centimetros</v>
          </cell>
          <cell r="F93">
            <v>1.2004584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30</v>
          </cell>
          <cell r="E94" t="str">
            <v>UND</v>
          </cell>
          <cell r="F94">
            <v>30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3292.998</v>
          </cell>
          <cell r="E96" t="str">
            <v>UND</v>
          </cell>
          <cell r="F96">
            <v>6.5859959999999997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269.97699999999998</v>
          </cell>
          <cell r="E97" t="str">
            <v>UND</v>
          </cell>
          <cell r="F97">
            <v>269.97699999999998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7.58</v>
          </cell>
          <cell r="E101" t="str">
            <v>UND</v>
          </cell>
          <cell r="F101">
            <v>7.58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17.399999999999999</v>
          </cell>
          <cell r="E102" t="str">
            <v>UND</v>
          </cell>
          <cell r="F102">
            <v>17.399999999999999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40</v>
          </cell>
          <cell r="E103" t="str">
            <v>UND</v>
          </cell>
          <cell r="F103">
            <v>40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83.46</v>
          </cell>
          <cell r="E104" t="str">
            <v>UND</v>
          </cell>
          <cell r="F104">
            <v>83.46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395.10599999999999</v>
          </cell>
          <cell r="E105" t="str">
            <v>UND</v>
          </cell>
          <cell r="F105">
            <v>395.10599999999999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160</v>
          </cell>
          <cell r="E106" t="str">
            <v>UND</v>
          </cell>
          <cell r="F106">
            <v>160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176.01</v>
          </cell>
          <cell r="E107" t="str">
            <v>UND</v>
          </cell>
          <cell r="F107">
            <v>176.01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696.31299999999999</v>
          </cell>
          <cell r="E108" t="str">
            <v>UND</v>
          </cell>
          <cell r="F108">
            <v>696.31299999999999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175.10900000000001</v>
          </cell>
          <cell r="E109" t="str">
            <v>UND</v>
          </cell>
          <cell r="F109">
            <v>17.510899999999999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71.986999999999995</v>
          </cell>
          <cell r="E110" t="str">
            <v>UND</v>
          </cell>
          <cell r="F110">
            <v>71.986999999999995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41.500999999999998</v>
          </cell>
          <cell r="E111" t="str">
            <v>UND</v>
          </cell>
          <cell r="F111">
            <v>41.500999999999998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244.654</v>
          </cell>
          <cell r="E113" t="str">
            <v>UND</v>
          </cell>
          <cell r="F113">
            <v>244.654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101.07599999999999</v>
          </cell>
          <cell r="E115" t="str">
            <v>UND</v>
          </cell>
          <cell r="F115">
            <v>101.07599999999999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86.787000000000006</v>
          </cell>
          <cell r="E116" t="str">
            <v>UND</v>
          </cell>
          <cell r="F116">
            <v>86.787000000000006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4127.2020000000002</v>
          </cell>
          <cell r="E117" t="str">
            <v>UND</v>
          </cell>
          <cell r="F117">
            <v>12.356892215568863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23.997</v>
          </cell>
          <cell r="E118" t="str">
            <v>UND</v>
          </cell>
          <cell r="F118">
            <v>23.997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</v>
          </cell>
          <cell r="E119" t="str">
            <v>UND</v>
          </cell>
          <cell r="F119">
            <v>4.0419161676646711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140.977</v>
          </cell>
          <cell r="E121" t="str">
            <v>UND</v>
          </cell>
          <cell r="F121">
            <v>140.977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5.9279999999999999</v>
          </cell>
          <cell r="E123" t="str">
            <v>UND</v>
          </cell>
          <cell r="F123">
            <v>5.9279999999999999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4.4989999999999997</v>
          </cell>
          <cell r="E124" t="str">
            <v>UND</v>
          </cell>
          <cell r="F124">
            <v>4.4989999999999997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3674.7350000000001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6081.7049999999999</v>
          </cell>
          <cell r="E130" t="str">
            <v>Centimetros</v>
          </cell>
          <cell r="F130">
            <v>3.0408525000000002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20</v>
          </cell>
          <cell r="E131" t="str">
            <v>UND</v>
          </cell>
          <cell r="F131">
            <v>20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29.04</v>
          </cell>
          <cell r="E132" t="str">
            <v>UND</v>
          </cell>
          <cell r="F132">
            <v>29.04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409.346</v>
          </cell>
          <cell r="E133" t="str">
            <v>UND</v>
          </cell>
          <cell r="F133">
            <v>409.346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73.328999999999994</v>
          </cell>
          <cell r="E135" t="str">
            <v>UND</v>
          </cell>
          <cell r="F135">
            <v>73.328999999999994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67.031999999999996</v>
          </cell>
          <cell r="E136" t="str">
            <v>UND</v>
          </cell>
          <cell r="F136">
            <v>67.031999999999996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56.261000000000003</v>
          </cell>
          <cell r="E139" t="str">
            <v>UND</v>
          </cell>
          <cell r="F139">
            <v>56.261000000000003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35</v>
          </cell>
          <cell r="E143" t="str">
            <v>UND</v>
          </cell>
          <cell r="F143">
            <v>35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3789.87</v>
          </cell>
          <cell r="E145" t="str">
            <v>UND</v>
          </cell>
          <cell r="F145">
            <v>3.7898700000000001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3668.8389999999999</v>
          </cell>
          <cell r="E146" t="str">
            <v>UND</v>
          </cell>
          <cell r="F146">
            <v>9.6548394736842109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111</v>
          </cell>
          <cell r="E147" t="str">
            <v>UND</v>
          </cell>
          <cell r="F147">
            <v>111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76</v>
          </cell>
          <cell r="E148" t="str">
            <v>UND</v>
          </cell>
          <cell r="F148">
            <v>76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25.431000000000001</v>
          </cell>
          <cell r="E149" t="str">
            <v>UND</v>
          </cell>
          <cell r="F149">
            <v>25.431000000000001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83.998999999999995</v>
          </cell>
          <cell r="E151" t="str">
            <v>UND</v>
          </cell>
          <cell r="F151">
            <v>83.998999999999995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191.959</v>
          </cell>
          <cell r="E152" t="str">
            <v>UND</v>
          </cell>
          <cell r="F152">
            <v>191.959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25</v>
          </cell>
          <cell r="E156" t="str">
            <v>UND</v>
          </cell>
          <cell r="F156">
            <v>25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50.713000000000001</v>
          </cell>
          <cell r="E158" t="str">
            <v>UND</v>
          </cell>
          <cell r="F158">
            <v>50.713000000000001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28832.901999999998</v>
          </cell>
          <cell r="E159" t="str">
            <v>UND</v>
          </cell>
          <cell r="F159">
            <v>48.054836666666667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3671.4070000000002</v>
          </cell>
          <cell r="E161" t="str">
            <v>UND</v>
          </cell>
          <cell r="F161">
            <v>9.7294474625679079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3683.5970000000002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</v>
          </cell>
          <cell r="E164" t="str">
            <v>UND</v>
          </cell>
          <cell r="F164">
            <v>1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</v>
          </cell>
          <cell r="E170" t="str">
            <v>UND</v>
          </cell>
          <cell r="F170">
            <v>52.96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53</v>
          </cell>
          <cell r="E171" t="str">
            <v>UND</v>
          </cell>
          <cell r="F171">
            <v>53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81</v>
          </cell>
          <cell r="E172" t="str">
            <v>UND</v>
          </cell>
          <cell r="F172">
            <v>81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477.93799999999999</v>
          </cell>
          <cell r="E175" t="str">
            <v>UND</v>
          </cell>
          <cell r="F175">
            <v>477.93799999999999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372.88900000000001</v>
          </cell>
          <cell r="E176" t="str">
            <v>UND</v>
          </cell>
          <cell r="F176">
            <v>372.88900000000001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28000</v>
          </cell>
          <cell r="E180" t="str">
            <v>UND</v>
          </cell>
          <cell r="F180">
            <v>1120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20.622</v>
          </cell>
          <cell r="E181" t="str">
            <v>UND</v>
          </cell>
          <cell r="F181">
            <v>20.622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19.75</v>
          </cell>
          <cell r="E183" t="str">
            <v>UND</v>
          </cell>
          <cell r="F183">
            <v>19.75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608.73573950778734</v>
          </cell>
          <cell r="F2">
            <v>0.60873573950778737</v>
          </cell>
          <cell r="G2">
            <v>3.3029688446535435</v>
          </cell>
          <cell r="H2">
            <v>3.3029688446535436E-3</v>
          </cell>
          <cell r="I2">
            <v>88.277255974319345</v>
          </cell>
          <cell r="J2">
            <v>8.8277255974319346E-2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990.56374838407498</v>
          </cell>
          <cell r="F12">
            <v>0.99056374838407502</v>
          </cell>
          <cell r="G12">
            <v>2.0217379874354116</v>
          </cell>
          <cell r="H12">
            <v>2.0217379874354117E-3</v>
          </cell>
          <cell r="I12">
            <v>15.737704918032787</v>
          </cell>
          <cell r="J12">
            <v>1.5737704918032787E-2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552.21312166666667</v>
          </cell>
          <cell r="F22">
            <v>0.5522131216666667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1737.2709412642043</v>
          </cell>
          <cell r="F46">
            <v>1.7372709412642044</v>
          </cell>
          <cell r="G46">
            <v>13.970102860389611</v>
          </cell>
          <cell r="H46">
            <v>1.397010286038961E-2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1430.3321693439866</v>
          </cell>
          <cell r="F72">
            <v>1.4303321693439865</v>
          </cell>
          <cell r="G72">
            <v>0</v>
          </cell>
          <cell r="H72">
            <v>0</v>
          </cell>
          <cell r="I72">
            <v>16.652649285113544</v>
          </cell>
          <cell r="J72">
            <v>1.6652649285113542E-2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2547.8741613333336</v>
          </cell>
          <cell r="F75">
            <v>2.5478741613333336</v>
          </cell>
          <cell r="G75">
            <v>25.208804999999998</v>
          </cell>
          <cell r="H75">
            <v>2.5208804999999997E-2</v>
          </cell>
          <cell r="I75">
            <v>244.44444444444443</v>
          </cell>
          <cell r="J75">
            <v>0.24444444444444444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1714.7544734931646</v>
          </cell>
          <cell r="F103">
            <v>1.7147544734931646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4042.8231365853662</v>
          </cell>
          <cell r="F107">
            <v>4.0428231365853664</v>
          </cell>
          <cell r="G107">
            <v>23.942123550135502</v>
          </cell>
          <cell r="H107">
            <v>2.3942123550135502E-2</v>
          </cell>
          <cell r="I107">
            <v>218.53658536585365</v>
          </cell>
          <cell r="J107">
            <v>0.21853658536585366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819.02295651079965</v>
          </cell>
          <cell r="F118">
            <v>0.81902295651079959</v>
          </cell>
          <cell r="G118">
            <v>14.062581558991981</v>
          </cell>
          <cell r="H118">
            <v>1.4062581558991981E-2</v>
          </cell>
          <cell r="I118">
            <v>356.77776233934605</v>
          </cell>
          <cell r="J118">
            <v>0.35677776233934605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3211.4622092353557</v>
          </cell>
          <cell r="F142">
            <v>3.2114622092353557</v>
          </cell>
          <cell r="G142">
            <v>29.512431537985851</v>
          </cell>
          <cell r="H142">
            <v>2.9512431537985852E-2</v>
          </cell>
          <cell r="I142">
            <v>179.38887532749717</v>
          </cell>
          <cell r="J142">
            <v>0.17938887532749717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10958.738834</v>
          </cell>
          <cell r="F151">
            <v>0.68083616016401594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71.121496456506534</v>
          </cell>
          <cell r="F152">
            <v>71.121496456506534</v>
          </cell>
          <cell r="G152">
            <v>0.27676195935278836</v>
          </cell>
          <cell r="H152">
            <v>0.27676195935278836</v>
          </cell>
          <cell r="I152">
            <v>18.519672733708155</v>
          </cell>
          <cell r="J152">
            <v>18.519672733708155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19.52119882574652</v>
          </cell>
          <cell r="F164">
            <v>19.72</v>
          </cell>
          <cell r="G164">
            <v>9.5368987441130301E-2</v>
          </cell>
          <cell r="H164">
            <v>0.1</v>
          </cell>
          <cell r="I164">
            <v>4.9509491677912729</v>
          </cell>
          <cell r="J164">
            <v>4.9509491677912729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665.4397811904762</v>
          </cell>
          <cell r="F170">
            <v>0.6654397811904762</v>
          </cell>
          <cell r="G170">
            <v>2.5980797619047622</v>
          </cell>
          <cell r="H170">
            <v>2.598079761904762E-3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1199.4809079870481</v>
          </cell>
          <cell r="F173">
            <v>1.1994809079870481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45.067413371079169</v>
          </cell>
          <cell r="F177">
            <v>45.067413371079169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154.89431674075448</v>
          </cell>
          <cell r="F189">
            <v>154.89431674075448</v>
          </cell>
          <cell r="G189">
            <v>2.1687245391733558</v>
          </cell>
          <cell r="H189">
            <v>2.1687245391733558</v>
          </cell>
          <cell r="I189">
            <v>62.02939306112139</v>
          </cell>
          <cell r="J189">
            <v>62.02939306112139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209.31096279892876</v>
          </cell>
          <cell r="F191">
            <v>209.31096279892876</v>
          </cell>
          <cell r="G191">
            <v>2.2424409521036708</v>
          </cell>
          <cell r="H191">
            <v>2.2424409521036708</v>
          </cell>
          <cell r="I191">
            <v>41.102027327134408</v>
          </cell>
          <cell r="J191">
            <v>41.102027327134408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4351.3231120052769</v>
          </cell>
          <cell r="F197">
            <v>4.3513231120052769</v>
          </cell>
          <cell r="G197">
            <v>0</v>
          </cell>
          <cell r="H197">
            <v>0</v>
          </cell>
          <cell r="I197">
            <v>253.95778364116094</v>
          </cell>
          <cell r="J197">
            <v>0.25395778364116095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1724.7508127272729</v>
          </cell>
          <cell r="F202">
            <v>1.7247508127272728</v>
          </cell>
          <cell r="G202">
            <v>12.843313210606059</v>
          </cell>
          <cell r="H202">
            <v>1.2843313210606059E-2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185.4565714174318</v>
          </cell>
          <cell r="F214">
            <v>185.4565714174318</v>
          </cell>
          <cell r="G214">
            <v>1.7876254028537339</v>
          </cell>
          <cell r="H214">
            <v>1.7876254028537339</v>
          </cell>
          <cell r="I214">
            <v>45.177789122369987</v>
          </cell>
          <cell r="J214">
            <v>45.177789122369987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63.797436985006023</v>
          </cell>
          <cell r="F217">
            <v>63.797436985006023</v>
          </cell>
          <cell r="G217">
            <v>0.32475468809563957</v>
          </cell>
          <cell r="H217">
            <v>0.32475468809563957</v>
          </cell>
          <cell r="I217">
            <v>13.613844911731388</v>
          </cell>
          <cell r="J217">
            <v>13.613844911731388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1051.7748005228759</v>
          </cell>
          <cell r="F222">
            <v>1.051774800522876</v>
          </cell>
          <cell r="G222">
            <v>2.8203258152643773</v>
          </cell>
          <cell r="H222">
            <v>2.8203258152643771E-3</v>
          </cell>
          <cell r="I222">
            <v>48.801742919389973</v>
          </cell>
          <cell r="J222">
            <v>4.8801742919389976E-2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1546.4235751250001</v>
          </cell>
          <cell r="F224">
            <v>1.5464235751250002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3935.8849072038106</v>
          </cell>
          <cell r="F232">
            <v>3.9358849072038105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6346.6736250000013</v>
          </cell>
          <cell r="F233">
            <v>6.3466736250000011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6225.5187428593763</v>
          </cell>
          <cell r="F234">
            <v>6.2255187428593759</v>
          </cell>
          <cell r="G234">
            <v>2.636897777777778</v>
          </cell>
          <cell r="H234">
            <v>2.636897777777778E-3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3874.3922785714285</v>
          </cell>
          <cell r="F235">
            <v>3.8743922785714284</v>
          </cell>
          <cell r="G235">
            <v>13.561188571428572</v>
          </cell>
          <cell r="H235">
            <v>1.3561188571428571E-2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1844.8313342857143</v>
          </cell>
          <cell r="F236">
            <v>1.8448313342857143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1554.1960000000001</v>
          </cell>
          <cell r="F260">
            <v>1.5541960000000001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495.13248267748486</v>
          </cell>
          <cell r="F262">
            <v>0.49513248267748489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1430.3321693439866</v>
          </cell>
          <cell r="F269">
            <v>1.4303321693439865</v>
          </cell>
          <cell r="G269">
            <v>7.609716539682541</v>
          </cell>
          <cell r="H269">
            <v>7.6097165396825407E-3</v>
          </cell>
          <cell r="I269">
            <v>35.902649285113547</v>
          </cell>
          <cell r="J269">
            <v>3.5902649285113546E-2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3510.6532911506724</v>
          </cell>
          <cell r="F279">
            <v>3.5106532911506725</v>
          </cell>
          <cell r="G279">
            <v>6.7954622222222225</v>
          </cell>
          <cell r="H279">
            <v>6.7954622222222228E-3</v>
          </cell>
          <cell r="I279">
            <v>218.10175302171206</v>
          </cell>
          <cell r="J279">
            <v>0.21810175302171206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183.18473569526071</v>
          </cell>
          <cell r="F283">
            <v>183.18473569526071</v>
          </cell>
          <cell r="G283">
            <v>0.4704339146825397</v>
          </cell>
          <cell r="H283">
            <v>0.4704339146825397</v>
          </cell>
          <cell r="I283">
            <v>51.089693692178301</v>
          </cell>
          <cell r="J283">
            <v>51.089693692178301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1016.7252287196123</v>
          </cell>
          <cell r="F289">
            <v>1016.7252287196123</v>
          </cell>
          <cell r="G289">
            <v>12.923279756649269</v>
          </cell>
          <cell r="H289">
            <v>12.923279756649269</v>
          </cell>
          <cell r="I289">
            <v>56.691275167785236</v>
          </cell>
          <cell r="J289">
            <v>56.691275167785236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3323.2720196928417</v>
          </cell>
          <cell r="F290">
            <v>3.3232720196928418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5503.1167937172777</v>
          </cell>
          <cell r="F291">
            <v>5.503116793717278</v>
          </cell>
          <cell r="G291">
            <v>0.41964900620515805</v>
          </cell>
          <cell r="H291">
            <v>4.1964900620515804E-4</v>
          </cell>
          <cell r="I291">
            <v>192.35602094240838</v>
          </cell>
          <cell r="J291">
            <v>0.19235602094240839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3408.04018</v>
          </cell>
          <cell r="F292">
            <v>3.40804018</v>
          </cell>
          <cell r="G292">
            <v>6.3434992499999998</v>
          </cell>
          <cell r="H292">
            <v>6.3434992499999997E-3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367.37545465536004</v>
          </cell>
          <cell r="F295">
            <v>367.37545465536004</v>
          </cell>
          <cell r="G295">
            <v>3.4693863257028843</v>
          </cell>
          <cell r="H295">
            <v>3.4693863257028843</v>
          </cell>
          <cell r="I295">
            <v>18.288844549247234</v>
          </cell>
          <cell r="J295">
            <v>18.288844549247234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55.581025092537303</v>
          </cell>
          <cell r="F307">
            <v>55.581025092537303</v>
          </cell>
          <cell r="G307">
            <v>0.53978445174129353</v>
          </cell>
          <cell r="H307">
            <v>0.53978445174129353</v>
          </cell>
          <cell r="I307">
            <v>20.565694603903559</v>
          </cell>
          <cell r="J307">
            <v>20.565694603903559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6A57-E250-4952-B310-1B2182FF734D}">
  <dimension ref="A1:I66"/>
  <sheetViews>
    <sheetView tabSelected="1" zoomScale="70" zoomScaleNormal="70" workbookViewId="0">
      <selection sqref="A1:IV6553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" x14ac:dyDescent="0.25">
      <c r="A1" s="233"/>
      <c r="B1" s="234"/>
      <c r="C1" s="239" t="s">
        <v>22</v>
      </c>
      <c r="D1" s="239"/>
      <c r="E1" s="239"/>
      <c r="F1" s="239"/>
      <c r="G1" s="239"/>
      <c r="H1" s="111" t="s">
        <v>21</v>
      </c>
      <c r="I1" s="1" t="s">
        <v>117</v>
      </c>
    </row>
    <row r="2" spans="1:9" ht="15" x14ac:dyDescent="0.25">
      <c r="A2" s="235"/>
      <c r="B2" s="236"/>
      <c r="C2" s="240" t="s">
        <v>0</v>
      </c>
      <c r="D2" s="240"/>
      <c r="E2" s="240"/>
      <c r="F2" s="240"/>
      <c r="G2" s="240"/>
      <c r="H2" s="112" t="s">
        <v>20</v>
      </c>
      <c r="I2" s="113" t="s">
        <v>118</v>
      </c>
    </row>
    <row r="3" spans="1:9" ht="16.2" thickBot="1" x14ac:dyDescent="0.3">
      <c r="A3" s="235"/>
      <c r="B3" s="236"/>
      <c r="C3" s="241" t="s">
        <v>105</v>
      </c>
      <c r="D3" s="242"/>
      <c r="E3" s="242"/>
      <c r="F3" s="242"/>
      <c r="G3" s="243"/>
      <c r="H3" s="244" t="s">
        <v>19</v>
      </c>
      <c r="I3" s="247">
        <v>45609</v>
      </c>
    </row>
    <row r="4" spans="1:9" x14ac:dyDescent="0.25">
      <c r="A4" s="235"/>
      <c r="B4" s="236"/>
      <c r="C4" s="114" t="s">
        <v>18</v>
      </c>
      <c r="D4" s="250" t="s">
        <v>103</v>
      </c>
      <c r="E4" s="251"/>
      <c r="F4" s="251"/>
      <c r="G4" s="252"/>
      <c r="H4" s="245"/>
      <c r="I4" s="248"/>
    </row>
    <row r="5" spans="1:9" ht="13.8" thickBot="1" x14ac:dyDescent="0.3">
      <c r="A5" s="237"/>
      <c r="B5" s="238"/>
      <c r="C5" s="115" t="s">
        <v>17</v>
      </c>
      <c r="D5" s="253" t="s">
        <v>119</v>
      </c>
      <c r="E5" s="254"/>
      <c r="F5" s="254"/>
      <c r="G5" s="255"/>
      <c r="H5" s="246"/>
      <c r="I5" s="249"/>
    </row>
    <row r="6" spans="1:9" ht="18" thickBot="1" x14ac:dyDescent="0.35">
      <c r="A6" s="224" t="s">
        <v>23</v>
      </c>
      <c r="B6" s="224"/>
      <c r="C6" s="224"/>
      <c r="D6" s="225" t="s">
        <v>120</v>
      </c>
      <c r="E6" s="225"/>
      <c r="F6" s="225"/>
      <c r="G6" s="226" t="s">
        <v>24</v>
      </c>
      <c r="H6" s="226"/>
      <c r="I6" s="11" t="s">
        <v>121</v>
      </c>
    </row>
    <row r="7" spans="1:9" x14ac:dyDescent="0.25">
      <c r="A7" s="227" t="s">
        <v>1</v>
      </c>
      <c r="B7" s="229" t="s">
        <v>122</v>
      </c>
      <c r="C7" s="231" t="s">
        <v>2</v>
      </c>
      <c r="D7" s="231" t="s">
        <v>3</v>
      </c>
      <c r="E7" s="231" t="s">
        <v>4</v>
      </c>
      <c r="F7" s="231"/>
      <c r="G7" s="231" t="s">
        <v>16</v>
      </c>
      <c r="H7" s="231"/>
      <c r="I7" s="116" t="s">
        <v>5</v>
      </c>
    </row>
    <row r="8" spans="1:9" ht="26.4" thickBot="1" x14ac:dyDescent="0.3">
      <c r="A8" s="228"/>
      <c r="B8" s="230"/>
      <c r="C8" s="232"/>
      <c r="D8" s="232"/>
      <c r="E8" s="117" t="s">
        <v>6</v>
      </c>
      <c r="F8" s="118" t="s">
        <v>7</v>
      </c>
      <c r="G8" s="117" t="s">
        <v>6</v>
      </c>
      <c r="H8" s="118" t="s">
        <v>7</v>
      </c>
      <c r="I8" s="119" t="s">
        <v>8</v>
      </c>
    </row>
    <row r="9" spans="1:9" ht="13.8" x14ac:dyDescent="0.25">
      <c r="A9" s="120"/>
      <c r="B9" s="121"/>
      <c r="C9" s="122" t="s">
        <v>123</v>
      </c>
      <c r="D9" s="123"/>
      <c r="E9" s="124"/>
      <c r="F9" s="125"/>
      <c r="G9" s="124"/>
      <c r="H9" s="125"/>
      <c r="I9" s="126"/>
    </row>
    <row r="10" spans="1:9" ht="15" x14ac:dyDescent="0.25">
      <c r="A10" s="108">
        <v>101043</v>
      </c>
      <c r="B10" s="108" t="s">
        <v>106</v>
      </c>
      <c r="C10" s="110" t="s">
        <v>115</v>
      </c>
      <c r="D10" s="10" t="s">
        <v>97</v>
      </c>
      <c r="E10" s="10">
        <v>3100</v>
      </c>
      <c r="F10" s="10" t="s">
        <v>26</v>
      </c>
      <c r="G10" s="127"/>
      <c r="H10" s="125"/>
      <c r="I10" s="126"/>
    </row>
    <row r="11" spans="1:9" ht="15" x14ac:dyDescent="0.25">
      <c r="A11" s="106" t="s">
        <v>94</v>
      </c>
      <c r="B11" s="106" t="s">
        <v>107</v>
      </c>
      <c r="C11" s="107" t="s">
        <v>95</v>
      </c>
      <c r="D11" s="10" t="s">
        <v>96</v>
      </c>
      <c r="E11" s="10">
        <v>200</v>
      </c>
      <c r="F11" s="10" t="s">
        <v>26</v>
      </c>
      <c r="G11" s="127"/>
      <c r="H11" s="125"/>
      <c r="I11" s="126"/>
    </row>
    <row r="12" spans="1:9" ht="15" x14ac:dyDescent="0.25">
      <c r="A12" s="108">
        <v>10100050</v>
      </c>
      <c r="B12" s="108" t="s">
        <v>108</v>
      </c>
      <c r="C12" s="110" t="s">
        <v>116</v>
      </c>
      <c r="D12" s="10" t="s">
        <v>100</v>
      </c>
      <c r="E12" s="10">
        <v>200</v>
      </c>
      <c r="F12" s="10" t="s">
        <v>26</v>
      </c>
      <c r="G12" s="127"/>
      <c r="H12" s="125"/>
      <c r="I12" s="126"/>
    </row>
    <row r="13" spans="1:9" ht="15" x14ac:dyDescent="0.25">
      <c r="A13" s="108">
        <v>610236</v>
      </c>
      <c r="B13" s="109" t="s">
        <v>112</v>
      </c>
      <c r="C13" s="110" t="s">
        <v>113</v>
      </c>
      <c r="D13" s="10" t="s">
        <v>101</v>
      </c>
      <c r="E13" s="10">
        <v>20</v>
      </c>
      <c r="F13" s="10" t="s">
        <v>26</v>
      </c>
      <c r="G13" s="127"/>
      <c r="H13" s="125"/>
      <c r="I13" s="126"/>
    </row>
    <row r="14" spans="1:9" ht="15" x14ac:dyDescent="0.25">
      <c r="A14" s="106" t="s">
        <v>98</v>
      </c>
      <c r="B14" s="106" t="s">
        <v>109</v>
      </c>
      <c r="C14" s="107" t="s">
        <v>99</v>
      </c>
      <c r="D14" s="10" t="s">
        <v>96</v>
      </c>
      <c r="E14" s="10">
        <v>20</v>
      </c>
      <c r="F14" s="10" t="s">
        <v>26</v>
      </c>
      <c r="G14" s="127"/>
      <c r="H14" s="125"/>
      <c r="I14" s="126"/>
    </row>
    <row r="15" spans="1:9" ht="15" x14ac:dyDescent="0.25">
      <c r="A15" s="108">
        <v>1212412</v>
      </c>
      <c r="B15" s="108" t="s">
        <v>110</v>
      </c>
      <c r="C15" s="110" t="s">
        <v>114</v>
      </c>
      <c r="D15" s="10" t="s">
        <v>102</v>
      </c>
      <c r="E15" s="10">
        <v>20</v>
      </c>
      <c r="F15" s="10" t="s">
        <v>26</v>
      </c>
      <c r="G15" s="127"/>
      <c r="H15" s="125"/>
      <c r="I15" s="126"/>
    </row>
    <row r="16" spans="1:9" ht="14.4" x14ac:dyDescent="0.3">
      <c r="A16" s="128"/>
      <c r="B16" s="129"/>
      <c r="C16" s="130"/>
      <c r="D16" s="131"/>
      <c r="E16" s="132"/>
      <c r="F16" s="133"/>
      <c r="G16" s="134"/>
      <c r="H16" s="125"/>
      <c r="I16" s="126"/>
    </row>
    <row r="17" spans="1:9" ht="14.4" x14ac:dyDescent="0.3">
      <c r="A17" s="128"/>
      <c r="B17" s="129"/>
      <c r="C17" s="135"/>
      <c r="D17" s="131"/>
      <c r="E17" s="132"/>
      <c r="F17" s="133"/>
      <c r="G17" s="136"/>
      <c r="H17" s="125"/>
      <c r="I17" s="126"/>
    </row>
    <row r="18" spans="1:9" ht="14.4" x14ac:dyDescent="0.3">
      <c r="A18" s="128"/>
      <c r="B18" s="129"/>
      <c r="C18" s="130"/>
      <c r="D18" s="131"/>
      <c r="E18" s="132"/>
      <c r="F18" s="133"/>
      <c r="G18" s="124"/>
      <c r="H18" s="125"/>
      <c r="I18" s="126"/>
    </row>
    <row r="19" spans="1:9" ht="13.8" x14ac:dyDescent="0.25">
      <c r="A19" s="106"/>
      <c r="B19" s="106"/>
      <c r="C19" s="107"/>
      <c r="D19" s="137"/>
      <c r="E19" s="138"/>
      <c r="F19" s="133"/>
      <c r="G19" s="124"/>
      <c r="H19" s="125"/>
      <c r="I19" s="126"/>
    </row>
    <row r="20" spans="1:9" ht="13.8" x14ac:dyDescent="0.25">
      <c r="A20" s="139"/>
      <c r="B20" s="106"/>
      <c r="C20" s="140"/>
      <c r="D20" s="137"/>
      <c r="E20" s="132"/>
      <c r="F20" s="133"/>
      <c r="G20" s="124"/>
      <c r="H20" s="125"/>
      <c r="I20" s="126"/>
    </row>
    <row r="21" spans="1:9" ht="13.8" x14ac:dyDescent="0.25">
      <c r="A21" s="106"/>
      <c r="B21" s="106"/>
      <c r="C21" s="141"/>
      <c r="D21" s="142"/>
      <c r="E21" s="142"/>
      <c r="F21" s="143"/>
      <c r="G21" s="124"/>
      <c r="H21" s="125"/>
      <c r="I21" s="126"/>
    </row>
    <row r="22" spans="1:9" ht="15.6" x14ac:dyDescent="0.3">
      <c r="A22" s="144"/>
      <c r="B22" s="145"/>
      <c r="C22" s="146" t="s">
        <v>124</v>
      </c>
      <c r="D22" s="147"/>
      <c r="E22" s="148"/>
      <c r="F22" s="143"/>
      <c r="G22" s="124"/>
      <c r="H22" s="125"/>
      <c r="I22" s="126"/>
    </row>
    <row r="23" spans="1:9" ht="13.8" x14ac:dyDescent="0.25">
      <c r="A23" s="149"/>
      <c r="B23" s="150"/>
      <c r="C23" s="151"/>
      <c r="D23" s="152"/>
      <c r="E23" s="142"/>
      <c r="F23" s="143"/>
      <c r="G23" s="124"/>
      <c r="H23" s="125"/>
      <c r="I23" s="126"/>
    </row>
    <row r="24" spans="1:9" ht="13.8" x14ac:dyDescent="0.25">
      <c r="A24" s="106"/>
      <c r="B24" s="106"/>
      <c r="C24" s="141"/>
      <c r="D24" s="152"/>
      <c r="E24" s="142"/>
      <c r="F24" s="143"/>
      <c r="G24" s="124"/>
      <c r="H24" s="125"/>
      <c r="I24" s="126"/>
    </row>
    <row r="25" spans="1:9" ht="13.8" x14ac:dyDescent="0.25">
      <c r="A25" s="153"/>
      <c r="B25" s="153"/>
      <c r="C25" s="151"/>
      <c r="D25" s="152"/>
      <c r="E25" s="142"/>
      <c r="F25" s="143"/>
      <c r="G25" s="124"/>
      <c r="H25" s="125"/>
      <c r="I25" s="126"/>
    </row>
    <row r="26" spans="1:9" ht="13.8" x14ac:dyDescent="0.25">
      <c r="A26" s="106"/>
      <c r="B26" s="106"/>
      <c r="C26" s="141"/>
      <c r="D26" s="142"/>
      <c r="E26" s="147"/>
      <c r="F26" s="143"/>
      <c r="G26" s="124"/>
      <c r="H26" s="125"/>
      <c r="I26" s="126"/>
    </row>
    <row r="27" spans="1:9" ht="13.8" x14ac:dyDescent="0.25">
      <c r="A27" s="106"/>
      <c r="B27" s="106"/>
      <c r="C27" s="141"/>
      <c r="D27" s="137"/>
      <c r="E27" s="154"/>
      <c r="F27" s="155"/>
      <c r="G27" s="124"/>
      <c r="H27" s="125"/>
      <c r="I27" s="126"/>
    </row>
    <row r="28" spans="1:9" ht="15.6" x14ac:dyDescent="0.25">
      <c r="A28" s="156"/>
      <c r="B28" s="157"/>
      <c r="C28" s="158" t="s">
        <v>121</v>
      </c>
      <c r="D28" s="159"/>
      <c r="E28" s="124"/>
      <c r="F28" s="125"/>
      <c r="G28" s="124"/>
      <c r="H28" s="125"/>
      <c r="I28" s="126"/>
    </row>
    <row r="29" spans="1:9" ht="15" x14ac:dyDescent="0.25">
      <c r="A29" s="108">
        <v>702123</v>
      </c>
      <c r="B29" s="108" t="s">
        <v>111</v>
      </c>
      <c r="C29" s="105" t="s">
        <v>104</v>
      </c>
      <c r="D29" s="4"/>
      <c r="E29" s="2">
        <v>1</v>
      </c>
      <c r="F29" s="2" t="s">
        <v>29</v>
      </c>
      <c r="G29" s="160"/>
      <c r="H29" s="147"/>
      <c r="I29" s="126"/>
    </row>
    <row r="30" spans="1:9" ht="14.4" x14ac:dyDescent="0.3">
      <c r="A30" s="128"/>
      <c r="B30" s="161"/>
      <c r="C30" s="130"/>
      <c r="D30" s="131"/>
      <c r="E30" s="132"/>
      <c r="F30" s="133"/>
      <c r="G30" s="160"/>
      <c r="H30" s="147"/>
      <c r="I30" s="126"/>
    </row>
    <row r="31" spans="1:9" ht="14.4" x14ac:dyDescent="0.3">
      <c r="A31" s="128"/>
      <c r="B31" s="161"/>
      <c r="C31" s="130"/>
      <c r="D31" s="131"/>
      <c r="E31" s="132"/>
      <c r="F31" s="133"/>
      <c r="G31" s="124"/>
      <c r="H31" s="125"/>
      <c r="I31" s="126"/>
    </row>
    <row r="32" spans="1:9" ht="13.8" x14ac:dyDescent="0.25">
      <c r="A32" s="162"/>
      <c r="B32" s="162"/>
      <c r="C32" s="141"/>
      <c r="D32" s="147"/>
      <c r="E32" s="142"/>
      <c r="F32" s="143"/>
      <c r="G32" s="124"/>
      <c r="H32" s="125"/>
      <c r="I32" s="126"/>
    </row>
    <row r="33" spans="1:9" ht="13.8" x14ac:dyDescent="0.25">
      <c r="A33" s="163"/>
      <c r="B33" s="164"/>
      <c r="C33" s="165"/>
      <c r="D33" s="147"/>
      <c r="E33" s="142"/>
      <c r="F33" s="143"/>
      <c r="G33" s="124"/>
      <c r="H33" s="125"/>
      <c r="I33" s="126"/>
    </row>
    <row r="34" spans="1:9" ht="15.6" x14ac:dyDescent="0.3">
      <c r="A34" s="163"/>
      <c r="B34" s="164"/>
      <c r="C34" s="165"/>
      <c r="D34" s="166"/>
      <c r="E34" s="142"/>
      <c r="F34" s="143"/>
      <c r="G34" s="167"/>
      <c r="H34" s="147"/>
      <c r="I34" s="126"/>
    </row>
    <row r="35" spans="1:9" ht="15.6" x14ac:dyDescent="0.3">
      <c r="A35" s="144"/>
      <c r="B35" s="145"/>
      <c r="C35" s="168"/>
      <c r="D35" s="166"/>
      <c r="E35" s="142"/>
      <c r="F35" s="143"/>
      <c r="G35" s="142"/>
      <c r="H35" s="147"/>
      <c r="I35" s="126"/>
    </row>
    <row r="36" spans="1:9" ht="15.6" x14ac:dyDescent="0.3">
      <c r="A36" s="144"/>
      <c r="B36" s="145"/>
      <c r="C36" s="168"/>
      <c r="D36" s="166"/>
      <c r="E36" s="142"/>
      <c r="F36" s="143"/>
      <c r="G36" s="169"/>
      <c r="H36" s="143"/>
      <c r="I36" s="126"/>
    </row>
    <row r="37" spans="1:9" ht="15.6" x14ac:dyDescent="0.3">
      <c r="A37" s="144"/>
      <c r="B37" s="145"/>
      <c r="C37" s="168"/>
      <c r="D37" s="147"/>
      <c r="E37" s="147"/>
      <c r="F37" s="143"/>
      <c r="G37" s="166"/>
      <c r="H37" s="166"/>
      <c r="I37" s="126"/>
    </row>
    <row r="38" spans="1:9" ht="13.8" thickBot="1" x14ac:dyDescent="0.3">
      <c r="A38" s="170"/>
      <c r="B38" s="171"/>
      <c r="C38" s="172"/>
      <c r="D38" s="172"/>
      <c r="E38" s="173"/>
      <c r="F38" s="174"/>
      <c r="G38" s="172"/>
      <c r="H38" s="172"/>
      <c r="I38" s="175"/>
    </row>
    <row r="39" spans="1:9" ht="13.8" thickBot="1" x14ac:dyDescent="0.3">
      <c r="A39" s="176"/>
      <c r="B39" s="177"/>
      <c r="C39" s="178"/>
      <c r="D39" s="179" t="s">
        <v>6</v>
      </c>
      <c r="E39" s="180" t="s">
        <v>15</v>
      </c>
      <c r="F39" s="181"/>
      <c r="G39" s="178"/>
      <c r="H39" s="178"/>
      <c r="I39" s="182"/>
    </row>
    <row r="40" spans="1:9" x14ac:dyDescent="0.25">
      <c r="A40" s="218" t="s">
        <v>10</v>
      </c>
      <c r="B40" s="219"/>
      <c r="C40" s="220"/>
      <c r="D40" s="5">
        <v>2000</v>
      </c>
      <c r="E40" s="6" t="s">
        <v>26</v>
      </c>
      <c r="F40" s="221" t="s">
        <v>125</v>
      </c>
      <c r="G40" s="221"/>
      <c r="H40" s="222"/>
      <c r="I40" s="223"/>
    </row>
    <row r="41" spans="1:9" x14ac:dyDescent="0.25">
      <c r="A41" s="210" t="s">
        <v>9</v>
      </c>
      <c r="B41" s="211"/>
      <c r="C41" s="212"/>
      <c r="D41" s="7">
        <v>15</v>
      </c>
      <c r="E41" s="3" t="s">
        <v>28</v>
      </c>
      <c r="F41" s="213" t="s">
        <v>126</v>
      </c>
      <c r="G41" s="213"/>
      <c r="H41" s="214"/>
      <c r="I41" s="215"/>
    </row>
    <row r="42" spans="1:9" x14ac:dyDescent="0.25">
      <c r="A42" s="210" t="s">
        <v>14</v>
      </c>
      <c r="B42" s="211"/>
      <c r="C42" s="212"/>
      <c r="D42" s="3">
        <v>1</v>
      </c>
      <c r="E42" s="3" t="s">
        <v>29</v>
      </c>
      <c r="F42" s="213" t="s">
        <v>127</v>
      </c>
      <c r="G42" s="213"/>
      <c r="H42" s="214"/>
      <c r="I42" s="215"/>
    </row>
    <row r="43" spans="1:9" x14ac:dyDescent="0.25">
      <c r="A43" s="210" t="s">
        <v>13</v>
      </c>
      <c r="B43" s="211"/>
      <c r="C43" s="212"/>
      <c r="D43" s="3">
        <v>2000</v>
      </c>
      <c r="E43" s="3" t="s">
        <v>26</v>
      </c>
      <c r="F43" s="216" t="s">
        <v>128</v>
      </c>
      <c r="G43" s="217"/>
      <c r="H43" s="214"/>
      <c r="I43" s="215"/>
    </row>
    <row r="44" spans="1:9" ht="13.8" thickBot="1" x14ac:dyDescent="0.3">
      <c r="A44" s="201" t="s">
        <v>12</v>
      </c>
      <c r="B44" s="202"/>
      <c r="C44" s="203"/>
      <c r="D44" s="8">
        <v>1560</v>
      </c>
      <c r="E44" s="9" t="s">
        <v>26</v>
      </c>
      <c r="F44" s="204"/>
      <c r="G44" s="204"/>
      <c r="H44" s="205"/>
      <c r="I44" s="206"/>
    </row>
    <row r="45" spans="1:9" ht="13.8" thickBot="1" x14ac:dyDescent="0.3">
      <c r="A45" s="207" t="s">
        <v>11</v>
      </c>
      <c r="B45" s="208"/>
      <c r="C45" s="208"/>
      <c r="D45" s="208"/>
      <c r="E45" s="208"/>
      <c r="F45" s="208"/>
      <c r="G45" s="208"/>
      <c r="H45" s="208"/>
      <c r="I45" s="209"/>
    </row>
    <row r="46" spans="1:9" ht="13.8" x14ac:dyDescent="0.25">
      <c r="A46" s="191" t="s">
        <v>30</v>
      </c>
      <c r="B46" s="192"/>
      <c r="C46" s="192"/>
      <c r="D46" s="192"/>
      <c r="E46" s="192"/>
      <c r="F46" s="192"/>
      <c r="G46" s="192"/>
      <c r="H46" s="192"/>
      <c r="I46" s="193"/>
    </row>
    <row r="47" spans="1:9" ht="13.8" x14ac:dyDescent="0.25">
      <c r="A47" s="191" t="s">
        <v>31</v>
      </c>
      <c r="B47" s="192"/>
      <c r="C47" s="192"/>
      <c r="D47" s="192"/>
      <c r="E47" s="192"/>
      <c r="F47" s="192"/>
      <c r="G47" s="192"/>
      <c r="H47" s="192"/>
      <c r="I47" s="193"/>
    </row>
    <row r="48" spans="1:9" ht="13.8" x14ac:dyDescent="0.25">
      <c r="A48" s="191" t="s">
        <v>32</v>
      </c>
      <c r="B48" s="192"/>
      <c r="C48" s="192"/>
      <c r="D48" s="192"/>
      <c r="E48" s="192"/>
      <c r="F48" s="192"/>
      <c r="G48" s="192"/>
      <c r="H48" s="192"/>
      <c r="I48" s="193"/>
    </row>
    <row r="49" spans="1:9" ht="13.8" x14ac:dyDescent="0.25">
      <c r="A49" s="191" t="s">
        <v>93</v>
      </c>
      <c r="B49" s="192"/>
      <c r="C49" s="192"/>
      <c r="D49" s="192"/>
      <c r="E49" s="192"/>
      <c r="F49" s="192"/>
      <c r="G49" s="192"/>
      <c r="H49" s="192"/>
      <c r="I49" s="193"/>
    </row>
    <row r="50" spans="1:9" x14ac:dyDescent="0.25">
      <c r="A50" s="194"/>
      <c r="B50" s="195"/>
      <c r="C50" s="195"/>
      <c r="D50" s="195"/>
      <c r="E50" s="195"/>
      <c r="F50" s="195"/>
      <c r="G50" s="195"/>
      <c r="H50" s="195"/>
      <c r="I50" s="196"/>
    </row>
    <row r="51" spans="1:9" x14ac:dyDescent="0.25">
      <c r="A51" s="197"/>
      <c r="B51" s="198"/>
      <c r="C51" s="198"/>
      <c r="D51" s="198"/>
      <c r="E51" s="198"/>
      <c r="F51" s="198"/>
      <c r="G51" s="198"/>
      <c r="H51" s="198"/>
      <c r="I51" s="199"/>
    </row>
    <row r="52" spans="1:9" x14ac:dyDescent="0.25">
      <c r="A52" s="197"/>
      <c r="B52" s="198"/>
      <c r="C52" s="198"/>
      <c r="D52" s="198"/>
      <c r="E52" s="198"/>
      <c r="F52" s="198"/>
      <c r="G52" s="198"/>
      <c r="H52" s="198"/>
      <c r="I52" s="199"/>
    </row>
    <row r="53" spans="1:9" ht="13.8" x14ac:dyDescent="0.25">
      <c r="A53" s="200"/>
      <c r="B53" s="200"/>
      <c r="C53" s="200"/>
      <c r="D53" s="200"/>
      <c r="E53" s="200"/>
      <c r="F53" s="200"/>
      <c r="G53" s="200"/>
      <c r="H53" s="200"/>
      <c r="I53" s="200"/>
    </row>
    <row r="54" spans="1:9" ht="13.8" x14ac:dyDescent="0.25">
      <c r="A54" s="183"/>
      <c r="B54" s="183"/>
      <c r="C54" s="183"/>
      <c r="D54" s="183"/>
      <c r="E54" s="183"/>
      <c r="F54" s="183"/>
      <c r="G54" s="183"/>
      <c r="H54" s="183"/>
      <c r="I54" s="183"/>
    </row>
    <row r="55" spans="1:9" ht="13.8" x14ac:dyDescent="0.25">
      <c r="A55" s="183"/>
      <c r="B55" s="183"/>
      <c r="C55" s="183"/>
      <c r="D55" s="183"/>
      <c r="E55" s="183"/>
      <c r="F55" s="183"/>
      <c r="G55" s="183"/>
      <c r="H55" s="183"/>
      <c r="I55" s="183"/>
    </row>
    <row r="56" spans="1:9" ht="13.8" thickBot="1" x14ac:dyDescent="0.3">
      <c r="A56" s="184"/>
      <c r="B56" s="185"/>
      <c r="C56" s="185"/>
      <c r="D56" s="185"/>
      <c r="E56" s="185"/>
      <c r="F56" s="185"/>
      <c r="G56" s="185"/>
      <c r="H56" s="185"/>
      <c r="I56" s="186"/>
    </row>
    <row r="57" spans="1:9" x14ac:dyDescent="0.25">
      <c r="A57" s="187" t="s">
        <v>129</v>
      </c>
      <c r="B57" s="188"/>
      <c r="C57" s="188"/>
      <c r="D57" s="188"/>
      <c r="E57" s="188"/>
      <c r="F57" s="188"/>
      <c r="G57" s="188"/>
      <c r="H57" s="188"/>
      <c r="I57" s="188"/>
    </row>
    <row r="58" spans="1:9" x14ac:dyDescent="0.25">
      <c r="A58" s="189"/>
      <c r="B58" s="190"/>
      <c r="C58" s="190"/>
      <c r="D58" s="190"/>
      <c r="E58" s="190"/>
      <c r="F58" s="190"/>
      <c r="G58" s="190"/>
      <c r="H58" s="190"/>
      <c r="I58" s="190"/>
    </row>
    <row r="59" spans="1:9" x14ac:dyDescent="0.25">
      <c r="A59" s="189"/>
      <c r="B59" s="190"/>
      <c r="C59" s="190"/>
      <c r="D59" s="190"/>
      <c r="E59" s="190"/>
      <c r="F59" s="190"/>
      <c r="G59" s="190"/>
      <c r="H59" s="190"/>
      <c r="I59" s="190"/>
    </row>
    <row r="65" customFormat="1" x14ac:dyDescent="0.25"/>
    <row r="66" customFormat="1" x14ac:dyDescent="0.25"/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6:I56"/>
    <mergeCell ref="A57:I57"/>
    <mergeCell ref="A58:I58"/>
    <mergeCell ref="A59:I59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7952-9B3F-43C8-8DBB-27E9A5D465E5}">
  <dimension ref="A1:Q84"/>
  <sheetViews>
    <sheetView topLeftCell="A10" workbookViewId="0">
      <selection activeCell="D10" sqref="D10"/>
    </sheetView>
  </sheetViews>
  <sheetFormatPr baseColWidth="10" defaultColWidth="8.44140625" defaultRowHeight="13.2" x14ac:dyDescent="0.25"/>
  <cols>
    <col min="1" max="1" width="10" style="17" bestFit="1" customWidth="1"/>
    <col min="2" max="2" width="44.21875" style="17" bestFit="1" customWidth="1"/>
    <col min="3" max="3" width="10.44140625" style="17" bestFit="1" customWidth="1"/>
    <col min="4" max="4" width="10.44140625" style="17" customWidth="1"/>
    <col min="5" max="5" width="9.77734375" style="17" bestFit="1" customWidth="1"/>
    <col min="6" max="6" width="9.5546875" style="17" bestFit="1" customWidth="1"/>
    <col min="7" max="7" width="9.5546875" style="104" bestFit="1" customWidth="1"/>
    <col min="8" max="8" width="10.44140625" style="79" bestFit="1" customWidth="1"/>
    <col min="9" max="9" width="4.5546875" style="79" customWidth="1"/>
    <col min="10" max="10" width="1.77734375" style="16" customWidth="1"/>
    <col min="11" max="11" width="7" style="17" bestFit="1" customWidth="1"/>
    <col min="12" max="12" width="6.2187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21875" style="17" customWidth="1"/>
    <col min="18" max="16384" width="8.44140625" style="17"/>
  </cols>
  <sheetData>
    <row r="1" spans="1:10" ht="27.75" customHeight="1" x14ac:dyDescent="0.25">
      <c r="A1" s="12"/>
      <c r="B1" s="12"/>
      <c r="C1" s="12"/>
      <c r="D1" s="12"/>
      <c r="E1" s="13" t="s">
        <v>33</v>
      </c>
      <c r="F1" s="14" t="s">
        <v>34</v>
      </c>
      <c r="G1" s="14" t="s">
        <v>35</v>
      </c>
      <c r="H1" s="14" t="s">
        <v>36</v>
      </c>
      <c r="I1" s="15"/>
    </row>
    <row r="2" spans="1:10" ht="30.75" customHeight="1" x14ac:dyDescent="0.25">
      <c r="A2" s="12"/>
      <c r="B2" s="12"/>
      <c r="C2" s="12"/>
      <c r="D2" s="12"/>
      <c r="E2" s="18">
        <f>IFERROR(O55,"")</f>
        <v>9735.3270370124992</v>
      </c>
      <c r="F2" s="18">
        <f>IFERROR(H46,"")</f>
        <v>6527.1208199999992</v>
      </c>
      <c r="G2" s="18">
        <f>IFERROR(H47,"")</f>
        <v>0</v>
      </c>
      <c r="H2" s="18">
        <f>IFERROR(H49,"")</f>
        <v>825</v>
      </c>
      <c r="I2" s="19"/>
    </row>
    <row r="3" spans="1:10" ht="15" customHeight="1" x14ac:dyDescent="0.25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3">
      <c r="A4" s="256" t="s">
        <v>90</v>
      </c>
      <c r="B4" s="256"/>
      <c r="C4" s="256"/>
      <c r="D4" s="256"/>
      <c r="E4" s="256"/>
      <c r="F4" s="256"/>
      <c r="G4" s="256"/>
      <c r="H4" s="256"/>
      <c r="I4" s="21"/>
    </row>
    <row r="5" spans="1:10" ht="19.5" customHeight="1" thickBot="1" x14ac:dyDescent="0.3">
      <c r="A5" s="257" t="s">
        <v>37</v>
      </c>
      <c r="B5" s="258"/>
      <c r="C5" s="258"/>
      <c r="D5" s="258"/>
      <c r="E5" s="258"/>
      <c r="F5" s="258"/>
      <c r="G5" s="258"/>
      <c r="H5" s="259"/>
      <c r="I5" s="22"/>
    </row>
    <row r="6" spans="1:10" ht="18" thickBot="1" x14ac:dyDescent="0.3">
      <c r="A6" s="22"/>
      <c r="B6" s="22"/>
      <c r="C6" s="22"/>
      <c r="D6" s="22"/>
      <c r="E6" s="22"/>
      <c r="F6" s="260" t="s">
        <v>38</v>
      </c>
      <c r="G6" s="260"/>
      <c r="H6" s="23">
        <f ca="1">TODAY()</f>
        <v>45712</v>
      </c>
      <c r="I6" s="23"/>
    </row>
    <row r="7" spans="1:10" ht="40.200000000000003" thickBot="1" x14ac:dyDescent="0.3">
      <c r="A7" s="24" t="s">
        <v>39</v>
      </c>
      <c r="B7" s="25" t="s">
        <v>40</v>
      </c>
      <c r="C7" s="25" t="s">
        <v>39</v>
      </c>
      <c r="D7" s="26" t="s">
        <v>41</v>
      </c>
      <c r="E7" s="26" t="s">
        <v>42</v>
      </c>
      <c r="F7" s="26" t="s">
        <v>43</v>
      </c>
      <c r="G7" s="26" t="s">
        <v>44</v>
      </c>
      <c r="H7" s="27" t="s">
        <v>45</v>
      </c>
      <c r="I7" s="28"/>
    </row>
    <row r="8" spans="1:10" ht="13.8" x14ac:dyDescent="0.3">
      <c r="A8" s="29">
        <v>3100</v>
      </c>
      <c r="B8" s="17" t="s">
        <v>91</v>
      </c>
      <c r="C8" s="30">
        <f>+A8</f>
        <v>3100</v>
      </c>
      <c r="D8" s="31" t="s">
        <v>86</v>
      </c>
      <c r="E8" s="31">
        <v>1.88</v>
      </c>
      <c r="F8" s="31">
        <f>IFERROR(C8*E8,"")</f>
        <v>5828</v>
      </c>
      <c r="G8" s="96">
        <f>IFERROR(F8/$F$59,"")</f>
        <v>0.77886707123865195</v>
      </c>
      <c r="H8" s="32" t="s">
        <v>92</v>
      </c>
      <c r="I8" s="32"/>
      <c r="J8" s="97"/>
    </row>
    <row r="9" spans="1:10" ht="13.8" x14ac:dyDescent="0.3">
      <c r="A9" s="29">
        <v>200</v>
      </c>
      <c r="B9" s="17" t="s">
        <v>85</v>
      </c>
      <c r="C9" s="30">
        <f t="shared" ref="C9:C14" si="0">+A9</f>
        <v>200</v>
      </c>
      <c r="D9" s="31" t="s">
        <v>86</v>
      </c>
      <c r="E9" s="31">
        <v>0.65</v>
      </c>
      <c r="F9" s="31">
        <f t="shared" ref="F9:F14" si="1">IFERROR(C9*E9,"")</f>
        <v>130</v>
      </c>
      <c r="G9" s="96">
        <f t="shared" ref="G9:G14" si="2">IFERROR(F9/$F$59,"")</f>
        <v>1.7373493352955519E-2</v>
      </c>
      <c r="H9" s="32" t="s">
        <v>82</v>
      </c>
      <c r="I9" s="32"/>
      <c r="J9" s="97"/>
    </row>
    <row r="10" spans="1:10" ht="13.8" x14ac:dyDescent="0.3">
      <c r="A10" s="29">
        <v>200</v>
      </c>
      <c r="B10" s="17" t="str">
        <f>IFERROR(VLOOKUP($H10,'[1]MP PLANTA'!$A$2:$F$500,2,0),"")</f>
        <v>ACEITE CAPULLO RBD ( 17  LTS )</v>
      </c>
      <c r="C10" s="30">
        <f t="shared" si="0"/>
        <v>200</v>
      </c>
      <c r="D10" s="31" t="str">
        <f>IFERROR(VLOOKUP($H10,'[1]MP PLANTA'!$A$2:$F$500,5,0),"")</f>
        <v>Mililitro</v>
      </c>
      <c r="E10" s="31">
        <f>IFERROR(VLOOKUP($H10,'[1]MP PLANTA'!$A$2:$F$500,6,0),"")</f>
        <v>0.77922799999999992</v>
      </c>
      <c r="F10" s="31">
        <f t="shared" si="1"/>
        <v>155.84559999999999</v>
      </c>
      <c r="G10" s="96">
        <f t="shared" si="2"/>
        <v>2.0827557659133571E-2</v>
      </c>
      <c r="H10" s="32" t="s">
        <v>83</v>
      </c>
      <c r="I10" s="32"/>
      <c r="J10" s="97"/>
    </row>
    <row r="11" spans="1:10" ht="13.8" x14ac:dyDescent="0.3">
      <c r="A11" s="29">
        <v>20</v>
      </c>
      <c r="B11" s="17" t="s">
        <v>27</v>
      </c>
      <c r="C11" s="30">
        <f t="shared" si="0"/>
        <v>20</v>
      </c>
      <c r="D11" s="31" t="s">
        <v>86</v>
      </c>
      <c r="E11" s="31">
        <v>13.61</v>
      </c>
      <c r="F11" s="31">
        <f t="shared" si="1"/>
        <v>272.2</v>
      </c>
      <c r="G11" s="96">
        <f t="shared" si="2"/>
        <v>3.6377422235957628E-2</v>
      </c>
      <c r="H11" s="32" t="s">
        <v>84</v>
      </c>
      <c r="I11" s="32"/>
      <c r="J11" s="97"/>
    </row>
    <row r="12" spans="1:10" ht="13.8" x14ac:dyDescent="0.3">
      <c r="A12" s="29">
        <v>20</v>
      </c>
      <c r="B12" s="17" t="str">
        <f>IFERROR(VLOOKUP($H12,'[1]MP PLANTA'!$A$2:$F$500,2,0),"")</f>
        <v>SAL REFINADA ( 500 GRS )</v>
      </c>
      <c r="C12" s="30">
        <f t="shared" si="0"/>
        <v>20</v>
      </c>
      <c r="D12" s="31" t="str">
        <f>IFERROR(VLOOKUP($H12,'[1]MP PLANTA'!$A$2:$F$500,5,0),"")</f>
        <v>Gramo</v>
      </c>
      <c r="E12" s="31">
        <f>IFERROR(VLOOKUP($H12,'[1]MP PLANTA'!$A$2:$F$500,6,0),"")</f>
        <v>0.33376100000000003</v>
      </c>
      <c r="F12" s="31">
        <f t="shared" si="1"/>
        <v>6.6752200000000004</v>
      </c>
      <c r="G12" s="96">
        <f t="shared" si="2"/>
        <v>8.9209146384242879E-4</v>
      </c>
      <c r="H12" s="32" t="s">
        <v>87</v>
      </c>
      <c r="I12" s="32"/>
      <c r="J12" s="97"/>
    </row>
    <row r="13" spans="1:10" ht="13.8" x14ac:dyDescent="0.3">
      <c r="A13" s="29">
        <v>20</v>
      </c>
      <c r="B13" s="17" t="s">
        <v>89</v>
      </c>
      <c r="C13" s="30">
        <f t="shared" si="0"/>
        <v>20</v>
      </c>
      <c r="D13" s="31" t="s">
        <v>86</v>
      </c>
      <c r="E13" s="31">
        <v>6.72</v>
      </c>
      <c r="F13" s="31">
        <f t="shared" si="1"/>
        <v>134.4</v>
      </c>
      <c r="G13" s="96">
        <f t="shared" si="2"/>
        <v>1.7961519281824781E-2</v>
      </c>
      <c r="H13" s="32" t="s">
        <v>88</v>
      </c>
      <c r="I13" s="32"/>
      <c r="J13" s="97"/>
    </row>
    <row r="14" spans="1:10" ht="13.8" x14ac:dyDescent="0.3">
      <c r="A14" s="29"/>
      <c r="B14" s="17" t="str">
        <f>IFERROR(VLOOKUP($H14,'[1]MP PLANTA'!$A$2:$F$500,2,0),"")</f>
        <v/>
      </c>
      <c r="C14" s="30">
        <f t="shared" si="0"/>
        <v>0</v>
      </c>
      <c r="D14" s="31" t="str">
        <f>IFERROR(VLOOKUP($H14,'[1]MP PLANTA'!$A$2:$F$500,5,0),"")</f>
        <v/>
      </c>
      <c r="E14" s="31" t="str">
        <f>IFERROR(VLOOKUP($H14,'[1]MP PLANTA'!$A$2:$F$500,6,0),"")</f>
        <v/>
      </c>
      <c r="F14" s="31" t="str">
        <f t="shared" si="1"/>
        <v/>
      </c>
      <c r="G14" s="96" t="str">
        <f t="shared" si="2"/>
        <v/>
      </c>
      <c r="H14" s="32"/>
      <c r="I14" s="32"/>
      <c r="J14" s="97"/>
    </row>
    <row r="15" spans="1:10" ht="14.4" thickBot="1" x14ac:dyDescent="0.35">
      <c r="A15" s="29"/>
      <c r="C15" s="30"/>
      <c r="D15" s="31"/>
      <c r="E15" s="31"/>
      <c r="F15" s="31"/>
      <c r="G15" s="96"/>
      <c r="H15" s="32"/>
      <c r="I15" s="32"/>
      <c r="J15" s="97"/>
    </row>
    <row r="16" spans="1:10" ht="40.200000000000003" hidden="1" thickBot="1" x14ac:dyDescent="0.3">
      <c r="A16" s="24" t="s">
        <v>39</v>
      </c>
      <c r="B16" s="25" t="s">
        <v>46</v>
      </c>
      <c r="C16" s="25" t="s">
        <v>39</v>
      </c>
      <c r="D16" s="26" t="s">
        <v>41</v>
      </c>
      <c r="E16" s="26" t="s">
        <v>42</v>
      </c>
      <c r="F16" s="26" t="s">
        <v>43</v>
      </c>
      <c r="G16" s="26" t="s">
        <v>44</v>
      </c>
      <c r="H16" s="27" t="s">
        <v>45</v>
      </c>
      <c r="I16" s="28"/>
      <c r="J16" s="97"/>
    </row>
    <row r="17" spans="1:12" ht="13.8" hidden="1" x14ac:dyDescent="0.3">
      <c r="A17" s="29"/>
      <c r="B17" s="17" t="str">
        <f>IFERROR(VLOOKUP($H17,[1]SEMIELABORADOS!$A$1:$J$999,2,0),"")</f>
        <v/>
      </c>
      <c r="C17" s="30">
        <f>+A17</f>
        <v>0</v>
      </c>
      <c r="D17" s="30" t="str">
        <f>IFERROR(VLOOKUP($H17,[1]SEMIELABORADOS!$A$1:$J$999,4,0),"")</f>
        <v/>
      </c>
      <c r="E17" s="31" t="str">
        <f>IFERROR(VLOOKUP($H17,[1]SEMIELABORADOS!$A$1:$J$999,6,0),"")</f>
        <v/>
      </c>
      <c r="F17" s="31" t="str">
        <f>IFERROR(E17*C17,"")</f>
        <v/>
      </c>
      <c r="G17" s="96" t="str">
        <f>IFERROR(F17/$F$59,"")</f>
        <v/>
      </c>
      <c r="H17" s="32"/>
      <c r="I17" s="32"/>
      <c r="J17" s="97"/>
    </row>
    <row r="18" spans="1:12" ht="13.8" hidden="1" x14ac:dyDescent="0.3">
      <c r="A18" s="29"/>
      <c r="B18" s="17" t="str">
        <f>IFERROR(VLOOKUP($H18,[1]SEMIELABORADOS!$A$1:$J$999,2,0),"")</f>
        <v/>
      </c>
      <c r="C18" s="30">
        <f>+A18</f>
        <v>0</v>
      </c>
      <c r="D18" s="30" t="str">
        <f>IFERROR(VLOOKUP($H18,[1]SEMIELABORADOS!$A$1:$J$999,4,0),"")</f>
        <v/>
      </c>
      <c r="E18" s="31" t="str">
        <f>IFERROR(VLOOKUP($H18,[1]SEMIELABORADOS!$A$1:$J$999,6,0),"")</f>
        <v/>
      </c>
      <c r="F18" s="31" t="str">
        <f>IFERROR(E18*C18,"")</f>
        <v/>
      </c>
      <c r="G18" s="96" t="str">
        <f>IFERROR(F18/$F$59,"")</f>
        <v/>
      </c>
      <c r="H18" s="32"/>
      <c r="I18" s="32"/>
      <c r="J18" s="97"/>
    </row>
    <row r="19" spans="1:12" ht="13.8" hidden="1" x14ac:dyDescent="0.3">
      <c r="A19" s="29"/>
      <c r="B19" s="17" t="str">
        <f>IFERROR(VLOOKUP($H19,[1]SEMIELABORADOS!$A$1:$J$999,2,0),"")</f>
        <v/>
      </c>
      <c r="C19" s="30">
        <f>+A19</f>
        <v>0</v>
      </c>
      <c r="D19" s="30" t="str">
        <f>IFERROR(VLOOKUP($H19,[1]SEMIELABORADOS!$A$1:$J$999,4,0),"")</f>
        <v/>
      </c>
      <c r="E19" s="31" t="str">
        <f>IFERROR(VLOOKUP($H19,[1]SEMIELABORADOS!$A$1:$J$999,6,0),"")</f>
        <v/>
      </c>
      <c r="F19" s="31" t="str">
        <f>IFERROR(E19*C19,"")</f>
        <v/>
      </c>
      <c r="G19" s="96" t="str">
        <f>IFERROR(F19/$F$59,"")</f>
        <v/>
      </c>
      <c r="H19" s="32"/>
      <c r="I19" s="32"/>
      <c r="J19" s="97"/>
    </row>
    <row r="20" spans="1:12" ht="13.8" hidden="1" x14ac:dyDescent="0.3">
      <c r="A20" s="29"/>
      <c r="B20" s="17" t="str">
        <f>IFERROR(VLOOKUP($H20,[1]SEMIELABORADOS!$A$1:$J$999,2,0),"")</f>
        <v/>
      </c>
      <c r="C20" s="30">
        <f>+A20</f>
        <v>0</v>
      </c>
      <c r="D20" s="30" t="str">
        <f>IFERROR(VLOOKUP($H20,[1]SEMIELABORADOS!$A$1:$J$999,4,0),"")</f>
        <v/>
      </c>
      <c r="E20" s="31" t="str">
        <f>IFERROR(VLOOKUP($H20,[1]SEMIELABORADOS!$A$1:$J$999,6,0),"")</f>
        <v/>
      </c>
      <c r="F20" s="31" t="str">
        <f>IFERROR(E20*C20,"")</f>
        <v/>
      </c>
      <c r="G20" s="96" t="str">
        <f>IFERROR(F20/$F$59,"")</f>
        <v/>
      </c>
      <c r="H20" s="32"/>
      <c r="I20" s="32"/>
      <c r="J20" s="97"/>
    </row>
    <row r="21" spans="1:12" ht="13.8" hidden="1" x14ac:dyDescent="0.3">
      <c r="A21" s="29"/>
      <c r="B21" s="17" t="str">
        <f>IFERROR(VLOOKUP($H21,[1]SEMIELABORADOS!$A$1:$J$999,2,0),"")</f>
        <v/>
      </c>
      <c r="C21" s="30">
        <f>+A21</f>
        <v>0</v>
      </c>
      <c r="D21" s="30" t="str">
        <f>IFERROR(VLOOKUP($H21,[1]SEMIELABORADOS!$A$1:$J$999,4,0),"")</f>
        <v/>
      </c>
      <c r="E21" s="31" t="str">
        <f>IFERROR(VLOOKUP($H21,[1]SEMIELABORADOS!$A$1:$J$999,6,0),"")</f>
        <v/>
      </c>
      <c r="F21" s="31" t="str">
        <f>IFERROR(E21*C21,"")</f>
        <v/>
      </c>
      <c r="G21" s="96" t="str">
        <f>IFERROR(F21/$F$59,"")</f>
        <v/>
      </c>
      <c r="H21" s="32"/>
      <c r="I21" s="32"/>
      <c r="J21" s="97"/>
    </row>
    <row r="22" spans="1:12" ht="14.4" hidden="1" thickBot="1" x14ac:dyDescent="0.35">
      <c r="A22" s="29"/>
      <c r="C22" s="30"/>
      <c r="D22" s="30"/>
      <c r="E22" s="31"/>
      <c r="F22" s="31"/>
      <c r="G22" s="96"/>
      <c r="H22" s="32"/>
      <c r="I22" s="32"/>
      <c r="J22" s="97"/>
    </row>
    <row r="23" spans="1:12" ht="40.200000000000003" hidden="1" thickBot="1" x14ac:dyDescent="0.3">
      <c r="A23" s="24" t="s">
        <v>39</v>
      </c>
      <c r="B23" s="25" t="s">
        <v>25</v>
      </c>
      <c r="C23" s="25" t="s">
        <v>39</v>
      </c>
      <c r="D23" s="26" t="s">
        <v>41</v>
      </c>
      <c r="E23" s="26" t="s">
        <v>42</v>
      </c>
      <c r="F23" s="26" t="s">
        <v>43</v>
      </c>
      <c r="G23" s="26" t="s">
        <v>44</v>
      </c>
      <c r="H23" s="27" t="s">
        <v>45</v>
      </c>
      <c r="I23" s="28"/>
    </row>
    <row r="24" spans="1:12" ht="13.8" hidden="1" x14ac:dyDescent="0.3">
      <c r="A24" s="29"/>
      <c r="B24" s="33" t="str">
        <f>IFERROR(VLOOKUP($H24,'[1]EMP PLANTA'!$A$2:$F$500,2,0),"")</f>
        <v/>
      </c>
      <c r="C24" s="30">
        <f t="shared" ref="C24:C29" si="3">+A24</f>
        <v>0</v>
      </c>
      <c r="D24" s="31" t="str">
        <f>IFERROR(VLOOKUP($H24,'[1]EMP PLANTA'!$A$2:$F$500,5,0),"")</f>
        <v/>
      </c>
      <c r="E24" s="31" t="str">
        <f>IFERROR(VLOOKUP($H24,'[1]EMP PLANTA'!$A$2:$F$500,6,0),"")</f>
        <v/>
      </c>
      <c r="F24" s="31" t="str">
        <f t="shared" ref="F24:F29" si="4">IFERROR(E24*C24,"")</f>
        <v/>
      </c>
      <c r="G24" s="96" t="str">
        <f t="shared" ref="G24:G29" si="5">IFERROR(F24/$F$59,"")</f>
        <v/>
      </c>
      <c r="H24" s="34"/>
      <c r="I24" s="34"/>
      <c r="J24" s="97"/>
      <c r="K24" s="261"/>
      <c r="L24" s="261"/>
    </row>
    <row r="25" spans="1:12" ht="13.8" hidden="1" x14ac:dyDescent="0.3">
      <c r="A25" s="29"/>
      <c r="B25" s="33" t="str">
        <f>IFERROR(VLOOKUP($H25,'[1]EMP PLANTA'!$A$2:$F$500,2,0),"")</f>
        <v/>
      </c>
      <c r="C25" s="30">
        <f t="shared" si="3"/>
        <v>0</v>
      </c>
      <c r="D25" s="31" t="str">
        <f>IFERROR(VLOOKUP($H25,'[1]EMP PLANTA'!$A$2:$F$500,5,0),"")</f>
        <v/>
      </c>
      <c r="E25" s="31" t="str">
        <f>IFERROR(VLOOKUP($H25,'[1]EMP PLANTA'!$A$2:$F$500,6,0),"")</f>
        <v/>
      </c>
      <c r="F25" s="31" t="str">
        <f t="shared" si="4"/>
        <v/>
      </c>
      <c r="G25" s="96" t="str">
        <f t="shared" si="5"/>
        <v/>
      </c>
      <c r="H25" s="34"/>
      <c r="I25" s="34"/>
      <c r="J25" s="97"/>
      <c r="K25" s="261"/>
      <c r="L25" s="261"/>
    </row>
    <row r="26" spans="1:12" ht="13.8" hidden="1" x14ac:dyDescent="0.3">
      <c r="A26" s="29"/>
      <c r="B26" s="33" t="str">
        <f>IFERROR(VLOOKUP($H26,'[1]EMP PLANTA'!$A$2:$F$500,2,0),"")</f>
        <v/>
      </c>
      <c r="C26" s="30">
        <f t="shared" si="3"/>
        <v>0</v>
      </c>
      <c r="D26" s="31" t="str">
        <f>IFERROR(VLOOKUP($H26,'[1]EMP PLANTA'!$A$2:$F$500,5,0),"")</f>
        <v/>
      </c>
      <c r="E26" s="31" t="str">
        <f>IFERROR(VLOOKUP($H26,'[1]EMP PLANTA'!$A$2:$F$500,6,0),"")</f>
        <v/>
      </c>
      <c r="F26" s="31" t="str">
        <f t="shared" si="4"/>
        <v/>
      </c>
      <c r="G26" s="96" t="str">
        <f t="shared" si="5"/>
        <v/>
      </c>
      <c r="H26" s="34"/>
      <c r="I26" s="34"/>
      <c r="J26" s="97"/>
      <c r="K26" s="261"/>
      <c r="L26" s="261"/>
    </row>
    <row r="27" spans="1:12" ht="13.8" hidden="1" x14ac:dyDescent="0.3">
      <c r="A27" s="29"/>
      <c r="B27" s="33" t="str">
        <f>IFERROR(VLOOKUP($H27,'[1]EMP PLANTA'!$A$2:$F$500,2,0),"")</f>
        <v/>
      </c>
      <c r="C27" s="30">
        <f t="shared" si="3"/>
        <v>0</v>
      </c>
      <c r="D27" s="31" t="str">
        <f>IFERROR(VLOOKUP($H27,'[1]EMP PLANTA'!$A$2:$F$500,5,0),"")</f>
        <v/>
      </c>
      <c r="E27" s="31" t="str">
        <f>IFERROR(VLOOKUP($H27,'[1]EMP PLANTA'!$A$2:$F$500,6,0),"")</f>
        <v/>
      </c>
      <c r="F27" s="31" t="str">
        <f t="shared" si="4"/>
        <v/>
      </c>
      <c r="G27" s="96" t="str">
        <f t="shared" si="5"/>
        <v/>
      </c>
      <c r="H27" s="34"/>
      <c r="I27" s="34"/>
      <c r="J27" s="97"/>
      <c r="K27" s="261"/>
      <c r="L27" s="261"/>
    </row>
    <row r="28" spans="1:12" ht="13.8" hidden="1" x14ac:dyDescent="0.3">
      <c r="A28" s="29"/>
      <c r="B28" s="33" t="str">
        <f>IFERROR(VLOOKUP($H28,'[1]EMP PLANTA'!$A$2:$F$500,2,0),"")</f>
        <v/>
      </c>
      <c r="C28" s="30">
        <f t="shared" si="3"/>
        <v>0</v>
      </c>
      <c r="D28" s="31" t="str">
        <f>IFERROR(VLOOKUP($H28,'[1]EMP PLANTA'!$A$2:$F$500,5,0),"")</f>
        <v/>
      </c>
      <c r="E28" s="31" t="str">
        <f>IFERROR(VLOOKUP($H28,'[1]EMP PLANTA'!$A$2:$F$500,6,0),"")</f>
        <v/>
      </c>
      <c r="F28" s="31" t="str">
        <f t="shared" si="4"/>
        <v/>
      </c>
      <c r="G28" s="96" t="str">
        <f t="shared" si="5"/>
        <v/>
      </c>
      <c r="H28" s="34"/>
      <c r="I28" s="34"/>
      <c r="J28" s="97"/>
      <c r="K28" s="35"/>
      <c r="L28" s="36"/>
    </row>
    <row r="29" spans="1:12" ht="13.8" hidden="1" x14ac:dyDescent="0.3">
      <c r="A29" s="29"/>
      <c r="B29" s="33" t="str">
        <f>IFERROR(VLOOKUP($H29,'[1]EMP PLANTA'!$A$2:$F$500,2,0),"")</f>
        <v/>
      </c>
      <c r="C29" s="30">
        <f t="shared" si="3"/>
        <v>0</v>
      </c>
      <c r="D29" s="31" t="str">
        <f>IFERROR(VLOOKUP($H29,'[1]EMP PLANTA'!$A$2:$F$500,5,0),"")</f>
        <v/>
      </c>
      <c r="E29" s="31" t="str">
        <f>IFERROR(VLOOKUP($H29,'[1]EMP PLANTA'!$A$2:$F$500,6,0),"")</f>
        <v/>
      </c>
      <c r="F29" s="31" t="str">
        <f t="shared" si="4"/>
        <v/>
      </c>
      <c r="G29" s="96" t="str">
        <f t="shared" si="5"/>
        <v/>
      </c>
      <c r="H29" s="34"/>
      <c r="I29" s="34"/>
      <c r="J29" s="97"/>
    </row>
    <row r="30" spans="1:12" ht="14.4" hidden="1" thickBot="1" x14ac:dyDescent="0.35">
      <c r="A30" s="29"/>
      <c r="B30" s="33"/>
      <c r="C30" s="30"/>
      <c r="D30" s="31"/>
      <c r="E30" s="31"/>
      <c r="F30" s="31"/>
      <c r="G30" s="96"/>
      <c r="H30" s="34"/>
      <c r="I30" s="34"/>
      <c r="J30" s="97"/>
    </row>
    <row r="31" spans="1:12" ht="40.200000000000003" hidden="1" thickBot="1" x14ac:dyDescent="0.3">
      <c r="A31" s="24" t="s">
        <v>39</v>
      </c>
      <c r="B31" s="25" t="s">
        <v>47</v>
      </c>
      <c r="C31" s="25" t="s">
        <v>39</v>
      </c>
      <c r="D31" s="26" t="s">
        <v>41</v>
      </c>
      <c r="E31" s="26" t="s">
        <v>42</v>
      </c>
      <c r="F31" s="26" t="s">
        <v>43</v>
      </c>
      <c r="G31" s="26" t="s">
        <v>44</v>
      </c>
      <c r="H31" s="27" t="s">
        <v>45</v>
      </c>
      <c r="I31" s="28"/>
      <c r="J31" s="97"/>
    </row>
    <row r="32" spans="1:12" ht="13.8" hidden="1" x14ac:dyDescent="0.3">
      <c r="A32" s="29">
        <f>+A17</f>
        <v>0</v>
      </c>
      <c r="B32" s="33"/>
      <c r="C32" s="30">
        <f>+A32</f>
        <v>0</v>
      </c>
      <c r="D32" s="31" t="s">
        <v>48</v>
      </c>
      <c r="E32" s="31" t="str">
        <f>IFERROR(VLOOKUP($H32,[1]SEMIELABORADOS!$A$1:$J$999,8,0),"")</f>
        <v/>
      </c>
      <c r="F32" s="31" t="str">
        <f>IFERROR(E32*C32,"")</f>
        <v/>
      </c>
      <c r="G32" s="96" t="str">
        <f>IFERROR(F32/$F$58,"")</f>
        <v/>
      </c>
      <c r="H32" s="34"/>
      <c r="I32" s="34"/>
      <c r="J32" s="97"/>
    </row>
    <row r="33" spans="1:17" ht="13.8" hidden="1" x14ac:dyDescent="0.3">
      <c r="A33" s="29">
        <f>+A18</f>
        <v>0</v>
      </c>
      <c r="B33" s="33"/>
      <c r="C33" s="30">
        <f>+A33</f>
        <v>0</v>
      </c>
      <c r="D33" s="31" t="s">
        <v>48</v>
      </c>
      <c r="E33" s="31" t="str">
        <f>IFERROR(VLOOKUP($H33,[1]SEMIELABORADOS!$A$1:$J$999,8,0),"")</f>
        <v/>
      </c>
      <c r="F33" s="31" t="str">
        <f>IFERROR(E33*C33,"")</f>
        <v/>
      </c>
      <c r="G33" s="96" t="str">
        <f>IFERROR(F33/$F$58,"")</f>
        <v/>
      </c>
      <c r="H33" s="34"/>
      <c r="I33" s="34"/>
      <c r="J33" s="97"/>
    </row>
    <row r="34" spans="1:17" ht="13.8" hidden="1" x14ac:dyDescent="0.3">
      <c r="A34" s="29">
        <f>+A19</f>
        <v>0</v>
      </c>
      <c r="B34" s="33"/>
      <c r="C34" s="30">
        <f>+A34</f>
        <v>0</v>
      </c>
      <c r="D34" s="31" t="s">
        <v>48</v>
      </c>
      <c r="E34" s="31" t="str">
        <f>IFERROR(VLOOKUP($H34,[1]SEMIELABORADOS!$A$1:$J$999,8,0),"")</f>
        <v/>
      </c>
      <c r="F34" s="31" t="str">
        <f>IFERROR(E34*C34,"")</f>
        <v/>
      </c>
      <c r="G34" s="96" t="str">
        <f>IFERROR(F34/$F$58,"")</f>
        <v/>
      </c>
      <c r="H34" s="34"/>
      <c r="I34" s="34"/>
      <c r="J34" s="97"/>
    </row>
    <row r="35" spans="1:17" ht="13.8" hidden="1" x14ac:dyDescent="0.3">
      <c r="A35" s="29">
        <f>+A20</f>
        <v>0</v>
      </c>
      <c r="B35" s="33"/>
      <c r="C35" s="30">
        <f>+A35</f>
        <v>0</v>
      </c>
      <c r="D35" s="31" t="s">
        <v>48</v>
      </c>
      <c r="E35" s="31" t="str">
        <f>IFERROR(VLOOKUP($H35,[1]SEMIELABORADOS!$A$1:$J$999,8,0),"")</f>
        <v/>
      </c>
      <c r="F35" s="31" t="str">
        <f>IFERROR(E35*C35,"")</f>
        <v/>
      </c>
      <c r="G35" s="96" t="str">
        <f>IFERROR(F35/$F$58,"")</f>
        <v/>
      </c>
      <c r="H35" s="34"/>
      <c r="I35" s="34"/>
      <c r="J35" s="97"/>
    </row>
    <row r="36" spans="1:17" ht="13.8" hidden="1" x14ac:dyDescent="0.3">
      <c r="A36" s="29">
        <f>+A21</f>
        <v>0</v>
      </c>
      <c r="B36" s="33"/>
      <c r="C36" s="30">
        <f>+A36</f>
        <v>0</v>
      </c>
      <c r="D36" s="31" t="s">
        <v>48</v>
      </c>
      <c r="E36" s="31" t="str">
        <f>IFERROR(VLOOKUP($H36,[1]SEMIELABORADOS!$A$1:$J$999,8,0),"")</f>
        <v/>
      </c>
      <c r="F36" s="31" t="str">
        <f>IFERROR(E36*C36,"")</f>
        <v/>
      </c>
      <c r="G36" s="96" t="str">
        <f>IFERROR(F36/$F$58,"")</f>
        <v/>
      </c>
      <c r="H36" s="34"/>
      <c r="I36" s="34"/>
      <c r="J36" s="97"/>
    </row>
    <row r="37" spans="1:17" ht="14.4" hidden="1" thickBot="1" x14ac:dyDescent="0.35">
      <c r="A37" s="29"/>
      <c r="B37" s="33"/>
      <c r="C37" s="30"/>
      <c r="D37" s="31"/>
      <c r="E37" s="31"/>
      <c r="F37" s="31"/>
      <c r="G37" s="96"/>
      <c r="H37" s="34"/>
      <c r="I37" s="34"/>
      <c r="J37" s="97"/>
    </row>
    <row r="38" spans="1:17" ht="40.200000000000003" thickBot="1" x14ac:dyDescent="0.3">
      <c r="A38" s="24" t="s">
        <v>39</v>
      </c>
      <c r="B38" s="25" t="s">
        <v>49</v>
      </c>
      <c r="C38" s="25" t="s">
        <v>39</v>
      </c>
      <c r="D38" s="25"/>
      <c r="E38" s="26" t="s">
        <v>42</v>
      </c>
      <c r="F38" s="26" t="s">
        <v>43</v>
      </c>
      <c r="G38" s="26" t="s">
        <v>44</v>
      </c>
      <c r="H38" s="27" t="s">
        <v>45</v>
      </c>
      <c r="I38" s="28"/>
      <c r="J38" s="97"/>
    </row>
    <row r="39" spans="1:17" ht="13.8" hidden="1" x14ac:dyDescent="0.3">
      <c r="A39" s="29">
        <f>+A17</f>
        <v>0</v>
      </c>
      <c r="B39" s="37"/>
      <c r="C39" s="30">
        <f t="shared" ref="C39:C44" si="6">+A39</f>
        <v>0</v>
      </c>
      <c r="D39" s="30" t="s">
        <v>48</v>
      </c>
      <c r="E39" s="31" t="str">
        <f>IFERROR(VLOOKUP($H39,[1]SEMIELABORADOS!$A$1:$J$999,10,0),"")</f>
        <v/>
      </c>
      <c r="F39" s="31" t="str">
        <f t="shared" ref="F39:F44" si="7">IFERROR(C39*E39,"")</f>
        <v/>
      </c>
      <c r="G39" s="96" t="str">
        <f t="shared" ref="G39:G44" si="8">IFERROR(F39/$F$59,"")</f>
        <v/>
      </c>
      <c r="H39" s="38"/>
      <c r="I39" s="38"/>
      <c r="J39" s="97"/>
    </row>
    <row r="40" spans="1:17" ht="13.8" hidden="1" x14ac:dyDescent="0.3">
      <c r="A40" s="29">
        <f>+A18</f>
        <v>0</v>
      </c>
      <c r="B40" s="37"/>
      <c r="C40" s="30">
        <f t="shared" si="6"/>
        <v>0</v>
      </c>
      <c r="D40" s="30" t="s">
        <v>48</v>
      </c>
      <c r="E40" s="31" t="str">
        <f>IFERROR(VLOOKUP($H40,[1]SEMIELABORADOS!$A$1:$J$999,10,0),"")</f>
        <v/>
      </c>
      <c r="F40" s="31" t="str">
        <f t="shared" si="7"/>
        <v/>
      </c>
      <c r="G40" s="96" t="str">
        <f t="shared" si="8"/>
        <v/>
      </c>
      <c r="H40" s="38"/>
      <c r="I40" s="38"/>
      <c r="J40" s="97"/>
    </row>
    <row r="41" spans="1:17" ht="13.8" hidden="1" x14ac:dyDescent="0.3">
      <c r="A41" s="29">
        <f>+A19</f>
        <v>0</v>
      </c>
      <c r="B41" s="37"/>
      <c r="C41" s="30">
        <f t="shared" si="6"/>
        <v>0</v>
      </c>
      <c r="D41" s="30" t="s">
        <v>48</v>
      </c>
      <c r="E41" s="31" t="str">
        <f>IFERROR(VLOOKUP($H41,[1]SEMIELABORADOS!$A$1:$J$999,10,0),"")</f>
        <v/>
      </c>
      <c r="F41" s="31" t="str">
        <f t="shared" si="7"/>
        <v/>
      </c>
      <c r="G41" s="96" t="str">
        <f t="shared" si="8"/>
        <v/>
      </c>
      <c r="H41" s="38"/>
      <c r="I41" s="38"/>
      <c r="J41" s="97"/>
    </row>
    <row r="42" spans="1:17" ht="13.8" hidden="1" x14ac:dyDescent="0.3">
      <c r="A42" s="29">
        <f>+A20</f>
        <v>0</v>
      </c>
      <c r="B42" s="37"/>
      <c r="C42" s="30">
        <f t="shared" si="6"/>
        <v>0</v>
      </c>
      <c r="D42" s="30" t="s">
        <v>48</v>
      </c>
      <c r="E42" s="31" t="str">
        <f>IFERROR(VLOOKUP($H42,[1]SEMIELABORADOS!$A$1:$J$999,10,0),"")</f>
        <v/>
      </c>
      <c r="F42" s="31" t="str">
        <f t="shared" si="7"/>
        <v/>
      </c>
      <c r="G42" s="96" t="str">
        <f t="shared" si="8"/>
        <v/>
      </c>
      <c r="H42" s="38"/>
      <c r="I42" s="38"/>
      <c r="J42" s="97"/>
    </row>
    <row r="43" spans="1:17" ht="13.8" hidden="1" x14ac:dyDescent="0.3">
      <c r="A43" s="29">
        <f>+A21</f>
        <v>0</v>
      </c>
      <c r="B43" s="37"/>
      <c r="C43" s="30">
        <f t="shared" si="6"/>
        <v>0</v>
      </c>
      <c r="D43" s="30" t="s">
        <v>48</v>
      </c>
      <c r="E43" s="31" t="str">
        <f>IFERROR(VLOOKUP($H43,[1]SEMIELABORADOS!$A$1:$J$999,10,0),"")</f>
        <v/>
      </c>
      <c r="F43" s="31" t="str">
        <f t="shared" si="7"/>
        <v/>
      </c>
      <c r="G43" s="96" t="str">
        <f t="shared" si="8"/>
        <v/>
      </c>
      <c r="H43" s="38"/>
      <c r="I43" s="38"/>
      <c r="J43" s="97"/>
    </row>
    <row r="44" spans="1:17" ht="13.8" x14ac:dyDescent="0.3">
      <c r="A44" s="29">
        <v>1</v>
      </c>
      <c r="B44" s="33" t="s">
        <v>50</v>
      </c>
      <c r="C44" s="30">
        <f t="shared" si="6"/>
        <v>1</v>
      </c>
      <c r="D44" s="30" t="s">
        <v>48</v>
      </c>
      <c r="E44" s="31">
        <f>+F58</f>
        <v>825</v>
      </c>
      <c r="F44" s="31">
        <f t="shared" si="7"/>
        <v>825</v>
      </c>
      <c r="G44" s="96">
        <f t="shared" si="8"/>
        <v>0.11025486166298694</v>
      </c>
      <c r="H44" s="38"/>
      <c r="I44" s="38"/>
      <c r="J44" s="97"/>
    </row>
    <row r="45" spans="1:17" ht="14.4" thickBot="1" x14ac:dyDescent="0.35">
      <c r="A45" s="29"/>
      <c r="B45" s="33"/>
      <c r="C45" s="30"/>
      <c r="D45" s="30"/>
      <c r="E45" s="31"/>
      <c r="F45" s="31"/>
      <c r="G45" s="96"/>
      <c r="H45" s="38"/>
      <c r="I45" s="38"/>
      <c r="J45" s="97"/>
    </row>
    <row r="46" spans="1:17" ht="13.8" thickBot="1" x14ac:dyDescent="0.3">
      <c r="A46" s="39"/>
      <c r="B46" s="262" t="s">
        <v>51</v>
      </c>
      <c r="C46" s="262"/>
      <c r="D46" s="262"/>
      <c r="E46" s="262"/>
      <c r="F46" s="41">
        <f>SUM(F8:F14,F17:F21)</f>
        <v>6527.1208199999992</v>
      </c>
      <c r="G46" s="96">
        <f>+F46/$F$59</f>
        <v>0.87229915523236579</v>
      </c>
      <c r="H46" s="42">
        <f>+F46/$D$53</f>
        <v>6527.1208199999992</v>
      </c>
      <c r="I46" s="42"/>
      <c r="J46" s="98"/>
      <c r="K46" s="43"/>
      <c r="L46" s="43"/>
      <c r="M46" s="43"/>
      <c r="N46" s="43"/>
      <c r="O46" s="43"/>
      <c r="P46" s="43"/>
      <c r="Q46" s="44"/>
    </row>
    <row r="47" spans="1:17" x14ac:dyDescent="0.25">
      <c r="A47" s="39"/>
      <c r="B47" s="262" t="s">
        <v>52</v>
      </c>
      <c r="C47" s="262"/>
      <c r="D47" s="262"/>
      <c r="E47" s="262"/>
      <c r="F47" s="41">
        <f>SUM(F24:F29,F32:F36)</f>
        <v>0</v>
      </c>
      <c r="G47" s="96">
        <f>+F47/$F$59</f>
        <v>0</v>
      </c>
      <c r="H47" s="42">
        <f>+F47/$D$53</f>
        <v>0</v>
      </c>
      <c r="I47" s="42"/>
      <c r="J47" s="45"/>
      <c r="K47" s="263" t="s">
        <v>53</v>
      </c>
      <c r="L47" s="264"/>
      <c r="M47" s="264"/>
      <c r="N47" s="264"/>
      <c r="O47" s="46">
        <f>+F48</f>
        <v>6527.1208199999992</v>
      </c>
      <c r="P47" s="46"/>
      <c r="Q47" s="47"/>
    </row>
    <row r="48" spans="1:17" x14ac:dyDescent="0.25">
      <c r="A48" s="39"/>
      <c r="B48" s="262" t="s">
        <v>54</v>
      </c>
      <c r="C48" s="262"/>
      <c r="D48" s="262"/>
      <c r="E48" s="262"/>
      <c r="F48" s="41">
        <f>+F46+F47</f>
        <v>6527.1208199999992</v>
      </c>
      <c r="G48" s="96">
        <f>+F48/$F$59</f>
        <v>0.87229915523236579</v>
      </c>
      <c r="H48" s="42">
        <f>+F48/$D$53</f>
        <v>6527.1208199999992</v>
      </c>
      <c r="I48" s="42"/>
      <c r="J48" s="99"/>
      <c r="K48" s="48"/>
      <c r="L48" s="265" t="s">
        <v>55</v>
      </c>
      <c r="M48" s="265"/>
      <c r="N48" s="265"/>
      <c r="O48" s="46">
        <f>+F49</f>
        <v>825</v>
      </c>
      <c r="P48" s="46"/>
      <c r="Q48" s="47"/>
    </row>
    <row r="49" spans="1:17" ht="13.8" thickBot="1" x14ac:dyDescent="0.3">
      <c r="A49" s="39"/>
      <c r="B49" s="40"/>
      <c r="C49" s="262" t="s">
        <v>56</v>
      </c>
      <c r="D49" s="262"/>
      <c r="E49" s="262"/>
      <c r="F49" s="41">
        <f>SUM(F39:F44)</f>
        <v>825</v>
      </c>
      <c r="G49" s="96">
        <f>+F49/$F$59</f>
        <v>0.11025486166298694</v>
      </c>
      <c r="H49" s="42">
        <f>+F49/$D$53</f>
        <v>825</v>
      </c>
      <c r="I49" s="42"/>
      <c r="J49" s="99"/>
      <c r="K49" s="48"/>
      <c r="L49" s="48"/>
      <c r="M49" s="48" t="s">
        <v>57</v>
      </c>
      <c r="N49" s="100">
        <v>0.01</v>
      </c>
      <c r="O49" s="46">
        <f>O47*N49</f>
        <v>65.27120819999999</v>
      </c>
      <c r="P49" s="46"/>
      <c r="Q49" s="47"/>
    </row>
    <row r="50" spans="1:17" ht="13.8" thickBot="1" x14ac:dyDescent="0.25">
      <c r="A50" s="39"/>
      <c r="B50" s="49"/>
      <c r="C50" s="49"/>
      <c r="D50" s="49"/>
      <c r="E50" s="49"/>
      <c r="F50" s="50"/>
      <c r="G50" s="96"/>
      <c r="H50" s="51"/>
      <c r="I50" s="42"/>
      <c r="J50" s="99"/>
      <c r="K50" s="52"/>
      <c r="M50" s="53" t="s">
        <v>58</v>
      </c>
      <c r="N50" s="54"/>
      <c r="O50" s="55">
        <f>SUM(O47:O49)</f>
        <v>7417.392028199999</v>
      </c>
      <c r="P50" s="56"/>
      <c r="Q50" s="47"/>
    </row>
    <row r="51" spans="1:17" x14ac:dyDescent="0.25">
      <c r="B51" s="266" t="s">
        <v>59</v>
      </c>
      <c r="C51" s="266"/>
      <c r="D51" s="57">
        <v>2000</v>
      </c>
      <c r="E51" s="58"/>
      <c r="G51" s="96"/>
      <c r="H51" s="51"/>
      <c r="I51" s="51"/>
      <c r="J51" s="99"/>
      <c r="K51" s="52"/>
      <c r="L51" s="48"/>
      <c r="M51" s="48" t="s">
        <v>60</v>
      </c>
      <c r="N51" s="101">
        <v>0.25</v>
      </c>
      <c r="O51" s="46">
        <f>+O50*N51</f>
        <v>1854.3480070499998</v>
      </c>
      <c r="P51" s="46"/>
      <c r="Q51" s="47"/>
    </row>
    <row r="52" spans="1:17" x14ac:dyDescent="0.25">
      <c r="B52" s="266" t="s">
        <v>61</v>
      </c>
      <c r="C52" s="266"/>
      <c r="D52" s="59">
        <v>2000</v>
      </c>
      <c r="E52" s="58"/>
      <c r="G52" s="96"/>
      <c r="H52" s="51"/>
      <c r="I52" s="51"/>
      <c r="J52" s="99"/>
      <c r="K52" s="52"/>
      <c r="L52" s="48"/>
      <c r="M52" s="265" t="s">
        <v>58</v>
      </c>
      <c r="N52" s="265"/>
      <c r="O52" s="46">
        <f>SUM(O50:O51)</f>
        <v>9271.740035249999</v>
      </c>
      <c r="P52" s="46"/>
      <c r="Q52" s="47"/>
    </row>
    <row r="53" spans="1:17" ht="13.8" thickBot="1" x14ac:dyDescent="0.3">
      <c r="B53" s="267" t="s">
        <v>62</v>
      </c>
      <c r="C53" s="267"/>
      <c r="D53" s="57">
        <f>+D51/D52</f>
        <v>1</v>
      </c>
      <c r="E53" s="58"/>
      <c r="F53" s="60"/>
      <c r="G53" s="96"/>
      <c r="H53" s="51"/>
      <c r="I53" s="51"/>
      <c r="J53" s="99"/>
      <c r="K53" s="52"/>
      <c r="L53" s="265" t="s">
        <v>63</v>
      </c>
      <c r="M53" s="265"/>
      <c r="N53" s="101">
        <v>0.05</v>
      </c>
      <c r="O53" s="46">
        <f>+O52*N53</f>
        <v>463.58700176249999</v>
      </c>
      <c r="P53" s="46"/>
      <c r="Q53" s="47"/>
    </row>
    <row r="54" spans="1:17" ht="13.8" thickBot="1" x14ac:dyDescent="0.25">
      <c r="B54" s="267" t="s">
        <v>64</v>
      </c>
      <c r="C54" s="267"/>
      <c r="D54" s="61"/>
      <c r="E54" s="58"/>
      <c r="F54" s="60"/>
      <c r="G54" s="96"/>
      <c r="H54" s="51"/>
      <c r="I54" s="51"/>
      <c r="J54" s="99"/>
      <c r="K54" s="268" t="s">
        <v>65</v>
      </c>
      <c r="L54" s="269"/>
      <c r="M54" s="269"/>
      <c r="N54" s="270"/>
      <c r="O54" s="55">
        <f>SUM(O52:O53)</f>
        <v>9735.3270370124992</v>
      </c>
      <c r="P54" s="62" t="s">
        <v>66</v>
      </c>
      <c r="Q54" s="47"/>
    </row>
    <row r="55" spans="1:17" ht="13.8" thickBot="1" x14ac:dyDescent="0.25">
      <c r="C55" s="39" t="s">
        <v>67</v>
      </c>
      <c r="D55" s="63"/>
      <c r="E55" s="15" t="s">
        <v>68</v>
      </c>
      <c r="F55" s="64" t="s">
        <v>69</v>
      </c>
      <c r="G55" s="96"/>
      <c r="H55" s="51"/>
      <c r="I55" s="51"/>
      <c r="J55" s="65"/>
      <c r="K55" s="66"/>
      <c r="L55" s="271" t="s">
        <v>70</v>
      </c>
      <c r="M55" s="271"/>
      <c r="N55" s="271"/>
      <c r="O55" s="102">
        <f>+O54/D53</f>
        <v>9735.3270370124992</v>
      </c>
      <c r="P55" s="67">
        <f>+O55/D52</f>
        <v>4.8676635185062498</v>
      </c>
      <c r="Q55" s="68"/>
    </row>
    <row r="56" spans="1:17" ht="13.8" thickBot="1" x14ac:dyDescent="0.25">
      <c r="B56" s="272" t="s">
        <v>54</v>
      </c>
      <c r="C56" s="272"/>
      <c r="D56" s="272"/>
      <c r="E56" s="103">
        <f>+F56/F56</f>
        <v>1</v>
      </c>
      <c r="F56" s="69">
        <f>SUM(F48)</f>
        <v>6527.1208199999992</v>
      </c>
      <c r="G56" s="96">
        <f>+F56/$F$59</f>
        <v>0.87229915523236579</v>
      </c>
      <c r="H56" s="51"/>
      <c r="I56" s="51"/>
      <c r="K56" s="273"/>
      <c r="L56" s="274"/>
      <c r="M56" s="274"/>
      <c r="N56" s="274"/>
      <c r="O56" s="70"/>
      <c r="P56" s="71"/>
    </row>
    <row r="57" spans="1:17" ht="13.8" thickBot="1" x14ac:dyDescent="0.3">
      <c r="B57" s="275" t="s">
        <v>71</v>
      </c>
      <c r="C57" s="275"/>
      <c r="D57" s="275"/>
      <c r="E57" s="72">
        <v>0.02</v>
      </c>
      <c r="F57" s="69">
        <f>+F46*E57</f>
        <v>130.54241639999998</v>
      </c>
      <c r="G57" s="96">
        <f>+F57/$F$59</f>
        <v>1.7445983104647317E-2</v>
      </c>
      <c r="H57" s="42"/>
      <c r="I57" s="51"/>
      <c r="J57" s="97"/>
      <c r="O57" s="73"/>
      <c r="P57" s="40"/>
    </row>
    <row r="58" spans="1:17" ht="13.8" thickBot="1" x14ac:dyDescent="0.3">
      <c r="B58" s="277" t="s">
        <v>72</v>
      </c>
      <c r="C58" s="278"/>
      <c r="D58" s="74">
        <v>15</v>
      </c>
      <c r="E58" s="75">
        <v>55</v>
      </c>
      <c r="F58" s="69">
        <f>+E58*D58</f>
        <v>825</v>
      </c>
      <c r="G58" s="96">
        <f>+F58/$F$59</f>
        <v>0.11025486166298694</v>
      </c>
      <c r="H58" s="42"/>
      <c r="I58" s="42"/>
      <c r="J58" s="97"/>
    </row>
    <row r="59" spans="1:17" ht="13.8" thickBot="1" x14ac:dyDescent="0.3">
      <c r="B59" s="279" t="s">
        <v>73</v>
      </c>
      <c r="C59" s="280"/>
      <c r="D59" s="280"/>
      <c r="E59" s="281"/>
      <c r="F59" s="50">
        <f>SUM(F56:F58)</f>
        <v>7482.6632363999988</v>
      </c>
      <c r="G59" s="96">
        <f>+F59/$F$59</f>
        <v>1</v>
      </c>
      <c r="H59" s="282"/>
      <c r="I59" s="42"/>
      <c r="J59" s="97"/>
    </row>
    <row r="60" spans="1:17" x14ac:dyDescent="0.25">
      <c r="C60" s="77"/>
      <c r="D60" s="77"/>
      <c r="E60" s="78"/>
      <c r="F60" s="69"/>
      <c r="G60" s="96"/>
      <c r="H60" s="282"/>
      <c r="I60" s="76"/>
      <c r="J60" s="17"/>
    </row>
    <row r="61" spans="1:17" ht="13.8" thickBot="1" x14ac:dyDescent="0.3">
      <c r="B61" s="283" t="s">
        <v>74</v>
      </c>
      <c r="C61" s="283"/>
      <c r="D61" s="283"/>
      <c r="E61" s="283"/>
      <c r="F61" s="283"/>
      <c r="G61" s="96"/>
      <c r="H61" s="80"/>
      <c r="I61" s="76"/>
      <c r="J61" s="17"/>
    </row>
    <row r="62" spans="1:17" ht="13.8" thickBot="1" x14ac:dyDescent="0.3">
      <c r="B62" s="81" t="s">
        <v>75</v>
      </c>
      <c r="C62" s="82">
        <f>+F46</f>
        <v>6527.1208199999992</v>
      </c>
      <c r="D62" s="82">
        <f>+D51</f>
        <v>2000</v>
      </c>
      <c r="E62" s="83">
        <f>+C62/D62</f>
        <v>3.2635604099999997</v>
      </c>
      <c r="F62" s="96"/>
      <c r="G62" s="80"/>
      <c r="H62" s="97"/>
      <c r="I62" s="80"/>
      <c r="J62" s="17"/>
    </row>
    <row r="63" spans="1:17" x14ac:dyDescent="0.25">
      <c r="B63" s="84"/>
      <c r="C63" s="85"/>
      <c r="D63" s="86"/>
      <c r="E63" s="69"/>
      <c r="F63" s="96"/>
      <c r="G63" s="80"/>
      <c r="H63" s="97"/>
      <c r="I63" s="97"/>
      <c r="J63" s="17"/>
    </row>
    <row r="64" spans="1:17" x14ac:dyDescent="0.25">
      <c r="B64" s="81" t="s">
        <v>76</v>
      </c>
      <c r="C64" s="82">
        <f>SUM(F56:F57)</f>
        <v>6657.6632363999988</v>
      </c>
      <c r="D64" s="82">
        <f>+D51</f>
        <v>2000</v>
      </c>
      <c r="E64" s="87">
        <f>+C64/D64</f>
        <v>3.3288316181999993</v>
      </c>
      <c r="F64" s="96"/>
      <c r="G64" s="80"/>
      <c r="H64" s="97"/>
      <c r="I64" s="97"/>
      <c r="J64" s="17"/>
    </row>
    <row r="65" spans="2:10" x14ac:dyDescent="0.25">
      <c r="B65" s="81"/>
      <c r="C65" s="82"/>
      <c r="D65" s="82"/>
      <c r="E65" s="87"/>
      <c r="F65" s="96"/>
      <c r="G65" s="80"/>
      <c r="H65" s="97"/>
      <c r="I65" s="97"/>
      <c r="J65" s="17"/>
    </row>
    <row r="66" spans="2:10" ht="13.8" thickBot="1" x14ac:dyDescent="0.3">
      <c r="B66" s="81" t="s">
        <v>77</v>
      </c>
      <c r="C66" s="82">
        <f>+F58</f>
        <v>825</v>
      </c>
      <c r="D66" s="82">
        <f>+D51</f>
        <v>2000</v>
      </c>
      <c r="E66" s="87">
        <f>+C66/D66</f>
        <v>0.41249999999999998</v>
      </c>
      <c r="F66" s="96"/>
      <c r="G66" s="80"/>
      <c r="H66" s="97"/>
      <c r="I66" s="97"/>
      <c r="J66" s="17"/>
    </row>
    <row r="67" spans="2:10" ht="13.8" thickBot="1" x14ac:dyDescent="0.3">
      <c r="B67" s="81" t="s">
        <v>78</v>
      </c>
      <c r="C67" s="82">
        <f>+F49</f>
        <v>825</v>
      </c>
      <c r="D67" s="82">
        <f>+D66</f>
        <v>2000</v>
      </c>
      <c r="E67" s="83">
        <f>+C67/D67</f>
        <v>0.41249999999999998</v>
      </c>
      <c r="F67" s="96"/>
      <c r="G67" s="80"/>
      <c r="H67" s="97"/>
      <c r="I67" s="97"/>
      <c r="J67" s="17"/>
    </row>
    <row r="68" spans="2:10" ht="13.8" thickBot="1" x14ac:dyDescent="0.3">
      <c r="B68" s="49"/>
      <c r="C68" s="50"/>
      <c r="D68" s="50"/>
      <c r="E68" s="87"/>
      <c r="F68" s="96"/>
      <c r="G68" s="80"/>
      <c r="H68" s="97"/>
      <c r="I68" s="97"/>
      <c r="J68" s="17"/>
    </row>
    <row r="69" spans="2:10" ht="13.8" thickBot="1" x14ac:dyDescent="0.3">
      <c r="B69" s="81" t="s">
        <v>79</v>
      </c>
      <c r="C69" s="82">
        <f>+F47</f>
        <v>0</v>
      </c>
      <c r="D69" s="82">
        <f>+D67</f>
        <v>2000</v>
      </c>
      <c r="E69" s="83">
        <f>+C69/D69</f>
        <v>0</v>
      </c>
      <c r="F69" s="96"/>
      <c r="G69" s="80"/>
      <c r="H69" s="97"/>
      <c r="I69" s="97"/>
      <c r="J69" s="97"/>
    </row>
    <row r="70" spans="2:10" ht="13.8" thickBot="1" x14ac:dyDescent="0.3">
      <c r="B70" s="49"/>
      <c r="C70" s="50"/>
      <c r="D70" s="50"/>
      <c r="E70" s="87"/>
      <c r="F70" s="96"/>
      <c r="G70" s="80"/>
      <c r="H70" s="97"/>
      <c r="I70" s="97"/>
    </row>
    <row r="71" spans="2:10" ht="13.8" thickBot="1" x14ac:dyDescent="0.3">
      <c r="B71" s="284" t="s">
        <v>80</v>
      </c>
      <c r="C71" s="285"/>
      <c r="D71" s="286"/>
      <c r="E71" s="83">
        <f>+E62+E67</f>
        <v>3.6760604099999998</v>
      </c>
      <c r="G71" s="96"/>
      <c r="H71" s="80"/>
      <c r="I71" s="97"/>
      <c r="J71" s="87"/>
    </row>
    <row r="72" spans="2:10" x14ac:dyDescent="0.25">
      <c r="I72" s="80"/>
      <c r="J72" s="17"/>
    </row>
    <row r="73" spans="2:10" ht="13.8" thickBot="1" x14ac:dyDescent="0.3">
      <c r="B73" s="283" t="s">
        <v>81</v>
      </c>
      <c r="C73" s="283"/>
      <c r="D73" s="283"/>
      <c r="E73" s="283"/>
      <c r="F73" s="283"/>
      <c r="G73" s="96"/>
      <c r="H73" s="80"/>
      <c r="J73" s="17"/>
    </row>
    <row r="74" spans="2:10" ht="13.8" thickBot="1" x14ac:dyDescent="0.3">
      <c r="B74" s="81" t="s">
        <v>75</v>
      </c>
      <c r="C74" s="82">
        <f>+C62</f>
        <v>6527.1208199999992</v>
      </c>
      <c r="D74" s="82">
        <f>+D53</f>
        <v>1</v>
      </c>
      <c r="E74" s="83">
        <f>+C74/D74</f>
        <v>6527.1208199999992</v>
      </c>
      <c r="F74" s="96"/>
      <c r="G74" s="80"/>
      <c r="H74" s="97"/>
      <c r="I74" s="80"/>
      <c r="J74" s="17"/>
    </row>
    <row r="75" spans="2:10" x14ac:dyDescent="0.25">
      <c r="B75" s="84"/>
      <c r="C75" s="85"/>
      <c r="D75" s="86"/>
      <c r="E75" s="69"/>
      <c r="F75" s="96"/>
      <c r="G75" s="80"/>
      <c r="H75" s="97"/>
      <c r="I75" s="97"/>
      <c r="J75" s="17"/>
    </row>
    <row r="76" spans="2:10" x14ac:dyDescent="0.25">
      <c r="B76" s="81" t="s">
        <v>76</v>
      </c>
      <c r="C76" s="82">
        <f>+C64</f>
        <v>6657.6632363999988</v>
      </c>
      <c r="D76" s="82">
        <f>+D53</f>
        <v>1</v>
      </c>
      <c r="E76" s="87">
        <f>+C76/D76</f>
        <v>6657.6632363999988</v>
      </c>
      <c r="F76" s="96"/>
      <c r="G76" s="80"/>
      <c r="H76" s="97"/>
      <c r="I76" s="97"/>
      <c r="J76" s="17"/>
    </row>
    <row r="77" spans="2:10" x14ac:dyDescent="0.25">
      <c r="B77" s="81"/>
      <c r="C77" s="82"/>
      <c r="D77" s="82"/>
      <c r="E77" s="87"/>
      <c r="F77" s="96"/>
      <c r="G77" s="80"/>
      <c r="H77" s="97"/>
      <c r="I77" s="97"/>
      <c r="J77" s="17"/>
    </row>
    <row r="78" spans="2:10" ht="13.8" thickBot="1" x14ac:dyDescent="0.3">
      <c r="B78" s="81" t="s">
        <v>78</v>
      </c>
      <c r="C78" s="82">
        <f>+C66</f>
        <v>825</v>
      </c>
      <c r="D78" s="82">
        <f>+D53</f>
        <v>1</v>
      </c>
      <c r="E78" s="87">
        <f>+C78/D78</f>
        <v>825</v>
      </c>
      <c r="F78" s="88"/>
      <c r="G78" s="79"/>
      <c r="H78" s="16"/>
      <c r="I78" s="97"/>
    </row>
    <row r="79" spans="2:10" ht="13.8" thickBot="1" x14ac:dyDescent="0.3">
      <c r="B79" s="81" t="s">
        <v>78</v>
      </c>
      <c r="C79" s="82">
        <f>+C67</f>
        <v>825</v>
      </c>
      <c r="D79" s="82">
        <f>+D78</f>
        <v>1</v>
      </c>
      <c r="E79" s="83">
        <f>+C79/D79</f>
        <v>825</v>
      </c>
      <c r="F79" s="104"/>
      <c r="G79" s="79"/>
      <c r="H79" s="16"/>
      <c r="I79" s="16"/>
    </row>
    <row r="80" spans="2:10" x14ac:dyDescent="0.25">
      <c r="I80" s="16"/>
    </row>
    <row r="81" spans="1:5" x14ac:dyDescent="0.25">
      <c r="A81" s="276"/>
      <c r="B81" s="276"/>
      <c r="C81" s="89"/>
      <c r="D81" s="89"/>
      <c r="E81" s="90"/>
    </row>
    <row r="82" spans="1:5" x14ac:dyDescent="0.25">
      <c r="A82" s="33"/>
      <c r="B82" s="91"/>
      <c r="C82" s="92"/>
      <c r="D82" s="92"/>
      <c r="E82" s="93"/>
    </row>
    <row r="83" spans="1:5" x14ac:dyDescent="0.25">
      <c r="A83" s="33"/>
      <c r="B83" s="91"/>
      <c r="C83" s="94"/>
      <c r="D83" s="94"/>
      <c r="E83" s="33"/>
    </row>
    <row r="84" spans="1:5" x14ac:dyDescent="0.25">
      <c r="A84" s="33"/>
      <c r="B84" s="91"/>
      <c r="C84" s="95"/>
      <c r="D84" s="95"/>
      <c r="E84" s="33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2BC06920-E261-4A8A-A176-8D0D535A56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F142C-9146-4C27-8B77-797D82A9D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CAD9FD-647E-4D62-BF22-0A1173792F7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2E6E0B3-2F20-480D-B38B-0A2C032681B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-costeo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2020-08-25T14:12:36Z</cp:lastPrinted>
  <dcterms:created xsi:type="dcterms:W3CDTF">2009-03-11T22:07:15Z</dcterms:created>
  <dcterms:modified xsi:type="dcterms:W3CDTF">2025-02-24T15:28:01Z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120200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
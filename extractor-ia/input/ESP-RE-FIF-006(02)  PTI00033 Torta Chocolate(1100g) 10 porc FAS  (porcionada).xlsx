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3" documentId="8_{7EC4C338-1D25-44A8-93B0-95571B41A4F9}" xr6:coauthVersionLast="47" xr6:coauthVersionMax="47" xr10:uidLastSave="{97AB60D5-EE44-47EF-B60F-47D4F5B54567}"/>
  <bookViews>
    <workbookView xWindow="-120" yWindow="-120" windowWidth="20730" windowHeight="11040" firstSheet="1" activeTab="1" xr2:uid="{00000000-000D-0000-FFFF-FFFF00000000}"/>
  </bookViews>
  <sheets>
    <sheet name="Costo Rosquete" sheetId="12" state="hidden" r:id="rId1"/>
    <sheet name="Hoja1" sheetId="17" r:id="rId2"/>
    <sheet name="costo" sheetId="15" state="hidden" r:id="rId3"/>
    <sheet name="PRECIO-1" sheetId="16" state="hidden" r:id="rId4"/>
    <sheet name="Costo Ensamble " sheetId="13" state="hidden" r:id="rId5"/>
    <sheet name="Precio" sheetId="14" state="hidden" r:id="rId6"/>
  </sheets>
  <externalReferences>
    <externalReference r:id="rId7"/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" i="16" l="1"/>
  <c r="D6" i="16"/>
  <c r="D94" i="15"/>
  <c r="D95" i="15"/>
  <c r="D82" i="15"/>
  <c r="D83" i="15"/>
  <c r="D85" i="15"/>
  <c r="C82" i="15"/>
  <c r="C94" i="15"/>
  <c r="E94" i="15"/>
  <c r="D80" i="15"/>
  <c r="D78" i="15"/>
  <c r="F74" i="15"/>
  <c r="D69" i="15"/>
  <c r="D90" i="15"/>
  <c r="F60" i="15"/>
  <c r="E60" i="15"/>
  <c r="C60" i="15"/>
  <c r="E59" i="15"/>
  <c r="D59" i="15"/>
  <c r="B59" i="15"/>
  <c r="E58" i="15"/>
  <c r="D58" i="15"/>
  <c r="B58" i="15"/>
  <c r="E57" i="15"/>
  <c r="D57" i="15"/>
  <c r="B57" i="15"/>
  <c r="A57" i="15"/>
  <c r="C57" i="15"/>
  <c r="E56" i="15"/>
  <c r="D56" i="15"/>
  <c r="B56" i="15"/>
  <c r="E55" i="15"/>
  <c r="D55" i="15"/>
  <c r="B55" i="15"/>
  <c r="E54" i="15"/>
  <c r="D54" i="15"/>
  <c r="B54" i="15"/>
  <c r="E53" i="15"/>
  <c r="D53" i="15"/>
  <c r="B53" i="15"/>
  <c r="A53" i="15"/>
  <c r="C53" i="15"/>
  <c r="E50" i="15"/>
  <c r="D50" i="15"/>
  <c r="B50" i="15"/>
  <c r="A50" i="15"/>
  <c r="C50" i="15"/>
  <c r="E49" i="15"/>
  <c r="F49" i="15"/>
  <c r="D49" i="15"/>
  <c r="C49" i="15"/>
  <c r="B49" i="15"/>
  <c r="A49" i="15"/>
  <c r="A58" i="15"/>
  <c r="C58" i="15"/>
  <c r="F58" i="15"/>
  <c r="E48" i="15"/>
  <c r="F48" i="15"/>
  <c r="D48" i="15"/>
  <c r="C48" i="15"/>
  <c r="B48" i="15"/>
  <c r="A48" i="15"/>
  <c r="E47" i="15"/>
  <c r="D47" i="15"/>
  <c r="B47" i="15"/>
  <c r="A47" i="15"/>
  <c r="C47" i="15"/>
  <c r="E46" i="15"/>
  <c r="D46" i="15"/>
  <c r="B46" i="15"/>
  <c r="A46" i="15"/>
  <c r="C46" i="15"/>
  <c r="E45" i="15"/>
  <c r="F45" i="15"/>
  <c r="D45" i="15"/>
  <c r="C45" i="15"/>
  <c r="B45" i="15"/>
  <c r="A45" i="15"/>
  <c r="A54" i="15"/>
  <c r="C54" i="15"/>
  <c r="F54" i="15"/>
  <c r="E44" i="15"/>
  <c r="F44" i="15"/>
  <c r="D44" i="15"/>
  <c r="C44" i="15"/>
  <c r="B44" i="15"/>
  <c r="A44" i="15"/>
  <c r="E41" i="15"/>
  <c r="D41" i="15"/>
  <c r="C41" i="15"/>
  <c r="B41" i="15"/>
  <c r="E40" i="15"/>
  <c r="D40" i="15"/>
  <c r="C40" i="15"/>
  <c r="B40" i="15"/>
  <c r="E39" i="15"/>
  <c r="D39" i="15"/>
  <c r="C39" i="15"/>
  <c r="B39" i="15"/>
  <c r="E38" i="15"/>
  <c r="D38" i="15"/>
  <c r="C38" i="15"/>
  <c r="B38" i="15"/>
  <c r="E37" i="15"/>
  <c r="D37" i="15"/>
  <c r="C37" i="15"/>
  <c r="B37" i="15"/>
  <c r="E36" i="15"/>
  <c r="D36" i="15"/>
  <c r="C36" i="15"/>
  <c r="B36" i="15"/>
  <c r="E35" i="15"/>
  <c r="F35" i="15"/>
  <c r="D35" i="15"/>
  <c r="C35" i="15"/>
  <c r="B35" i="15"/>
  <c r="E34" i="15"/>
  <c r="F34" i="15"/>
  <c r="C34" i="15"/>
  <c r="B34" i="15"/>
  <c r="E33" i="15"/>
  <c r="F33" i="15"/>
  <c r="D33" i="15"/>
  <c r="C33" i="15"/>
  <c r="B33" i="15"/>
  <c r="E32" i="15"/>
  <c r="D32" i="15"/>
  <c r="C32" i="15"/>
  <c r="B32" i="15"/>
  <c r="E31" i="15"/>
  <c r="F31" i="15"/>
  <c r="D31" i="15"/>
  <c r="C31" i="15"/>
  <c r="B31" i="15"/>
  <c r="E30" i="15"/>
  <c r="D30" i="15"/>
  <c r="C30" i="15"/>
  <c r="B30" i="15"/>
  <c r="E29" i="15"/>
  <c r="F29" i="15"/>
  <c r="D29" i="15"/>
  <c r="C29" i="15"/>
  <c r="B29" i="15"/>
  <c r="E28" i="15"/>
  <c r="D28" i="15"/>
  <c r="C28" i="15"/>
  <c r="B28" i="15"/>
  <c r="E27" i="15"/>
  <c r="D27" i="15"/>
  <c r="C27" i="15"/>
  <c r="B27" i="15"/>
  <c r="E24" i="15"/>
  <c r="F24" i="15"/>
  <c r="D24" i="15"/>
  <c r="C24" i="15"/>
  <c r="B24" i="15"/>
  <c r="E23" i="15"/>
  <c r="F23" i="15"/>
  <c r="D23" i="15"/>
  <c r="C23" i="15"/>
  <c r="B23" i="15"/>
  <c r="E22" i="15"/>
  <c r="F22" i="15"/>
  <c r="D22" i="15"/>
  <c r="C22" i="15"/>
  <c r="B22" i="15"/>
  <c r="E21" i="15"/>
  <c r="F21" i="15"/>
  <c r="D21" i="15"/>
  <c r="C21" i="15"/>
  <c r="B21" i="15"/>
  <c r="E20" i="15"/>
  <c r="F20" i="15"/>
  <c r="D20" i="15"/>
  <c r="C20" i="15"/>
  <c r="B20" i="15"/>
  <c r="E19" i="15"/>
  <c r="F19" i="15"/>
  <c r="D19" i="15"/>
  <c r="C19" i="15"/>
  <c r="B19" i="15"/>
  <c r="E18" i="15"/>
  <c r="F18" i="15"/>
  <c r="D18" i="15"/>
  <c r="C18" i="15"/>
  <c r="B18" i="15"/>
  <c r="E17" i="15"/>
  <c r="F17" i="15"/>
  <c r="D17" i="15"/>
  <c r="C17" i="15"/>
  <c r="B17" i="15"/>
  <c r="B15" i="15"/>
  <c r="E14" i="15"/>
  <c r="F14" i="15"/>
  <c r="D14" i="15"/>
  <c r="C14" i="15"/>
  <c r="B14" i="15"/>
  <c r="E13" i="15"/>
  <c r="D13" i="15"/>
  <c r="C13" i="15"/>
  <c r="B13" i="15"/>
  <c r="E12" i="15"/>
  <c r="D12" i="15"/>
  <c r="C12" i="15"/>
  <c r="B12" i="15"/>
  <c r="E11" i="15"/>
  <c r="D11" i="15"/>
  <c r="C11" i="15"/>
  <c r="B11" i="15"/>
  <c r="E10" i="15"/>
  <c r="D10" i="15"/>
  <c r="C10" i="15"/>
  <c r="B10" i="15"/>
  <c r="F9" i="15"/>
  <c r="C9" i="15"/>
  <c r="B9" i="15"/>
  <c r="E8" i="15"/>
  <c r="D8" i="15"/>
  <c r="C8" i="15"/>
  <c r="B8" i="15"/>
  <c r="H6" i="15"/>
  <c r="F36" i="15"/>
  <c r="F37" i="15"/>
  <c r="F38" i="15"/>
  <c r="F39" i="15"/>
  <c r="F40" i="15"/>
  <c r="F41" i="15"/>
  <c r="F27" i="15"/>
  <c r="F28" i="15"/>
  <c r="F30" i="15"/>
  <c r="F32" i="15"/>
  <c r="F8" i="15"/>
  <c r="F10" i="15"/>
  <c r="F11" i="15"/>
  <c r="F12" i="15"/>
  <c r="F13" i="15"/>
  <c r="F50" i="15"/>
  <c r="F46" i="15"/>
  <c r="F53" i="15"/>
  <c r="F55" i="15"/>
  <c r="F56" i="15"/>
  <c r="F57" i="15"/>
  <c r="F59" i="15"/>
  <c r="F65" i="15"/>
  <c r="F47" i="15"/>
  <c r="A56" i="15"/>
  <c r="C56" i="15"/>
  <c r="E82" i="15"/>
  <c r="D92" i="15"/>
  <c r="A55" i="15"/>
  <c r="C55" i="15"/>
  <c r="A59" i="15"/>
  <c r="C59" i="15"/>
  <c r="D9" i="14"/>
  <c r="D6" i="14"/>
  <c r="C28" i="13"/>
  <c r="F28" i="13"/>
  <c r="B29" i="13"/>
  <c r="C29" i="13"/>
  <c r="D29" i="13"/>
  <c r="E29" i="13"/>
  <c r="F29" i="13"/>
  <c r="B30" i="13"/>
  <c r="C30" i="13"/>
  <c r="D30" i="13"/>
  <c r="E30" i="13"/>
  <c r="F30" i="13"/>
  <c r="C31" i="13"/>
  <c r="F31" i="13"/>
  <c r="B32" i="13"/>
  <c r="C32" i="13"/>
  <c r="D32" i="13"/>
  <c r="E32" i="13"/>
  <c r="B33" i="13"/>
  <c r="C33" i="13"/>
  <c r="D33" i="13"/>
  <c r="E33" i="13"/>
  <c r="B34" i="13"/>
  <c r="C34" i="13"/>
  <c r="D34" i="13"/>
  <c r="E34" i="13"/>
  <c r="C35" i="13"/>
  <c r="F35" i="13"/>
  <c r="D80" i="13"/>
  <c r="D70" i="13"/>
  <c r="D71" i="13"/>
  <c r="D73" i="13"/>
  <c r="D68" i="13"/>
  <c r="D66" i="13"/>
  <c r="F62" i="13"/>
  <c r="D57" i="13"/>
  <c r="D78" i="13"/>
  <c r="D82" i="13"/>
  <c r="D83" i="13"/>
  <c r="C48" i="13"/>
  <c r="E47" i="13"/>
  <c r="F47" i="13"/>
  <c r="A47" i="13"/>
  <c r="C47" i="13"/>
  <c r="E46" i="13"/>
  <c r="F46" i="13"/>
  <c r="A46" i="13"/>
  <c r="C46" i="13"/>
  <c r="E45" i="13"/>
  <c r="A45" i="13"/>
  <c r="C45" i="13"/>
  <c r="A44" i="13"/>
  <c r="C44" i="13"/>
  <c r="E41" i="13"/>
  <c r="F41" i="13"/>
  <c r="G41" i="13"/>
  <c r="C41" i="13"/>
  <c r="A41" i="13"/>
  <c r="E40" i="13"/>
  <c r="F40" i="13"/>
  <c r="G40" i="13"/>
  <c r="C40" i="13"/>
  <c r="A40" i="13"/>
  <c r="E39" i="13"/>
  <c r="A39" i="13"/>
  <c r="C39" i="13"/>
  <c r="A38" i="13"/>
  <c r="C38" i="13"/>
  <c r="E27" i="13"/>
  <c r="F27" i="13"/>
  <c r="D27" i="13"/>
  <c r="C27" i="13"/>
  <c r="B27" i="13"/>
  <c r="E26" i="13"/>
  <c r="F26" i="13"/>
  <c r="D26" i="13"/>
  <c r="C26" i="13"/>
  <c r="B26" i="13"/>
  <c r="E25" i="13"/>
  <c r="D25" i="13"/>
  <c r="C25" i="13"/>
  <c r="B25" i="13"/>
  <c r="C24" i="13"/>
  <c r="F24" i="13"/>
  <c r="E23" i="13"/>
  <c r="F23" i="13"/>
  <c r="D23" i="13"/>
  <c r="C23" i="13"/>
  <c r="B23" i="13"/>
  <c r="E22" i="13"/>
  <c r="D22" i="13"/>
  <c r="C22" i="13"/>
  <c r="B22" i="13"/>
  <c r="E19" i="13"/>
  <c r="F19" i="13"/>
  <c r="D19" i="13"/>
  <c r="C19" i="13"/>
  <c r="B19" i="13"/>
  <c r="E18" i="13"/>
  <c r="F18" i="13"/>
  <c r="D18" i="13"/>
  <c r="C18" i="13"/>
  <c r="B18" i="13"/>
  <c r="E17" i="13"/>
  <c r="F17" i="13"/>
  <c r="D17" i="13"/>
  <c r="C17" i="13"/>
  <c r="B17" i="13"/>
  <c r="C16" i="13"/>
  <c r="E13" i="13"/>
  <c r="F13" i="13"/>
  <c r="D13" i="13"/>
  <c r="C13" i="13"/>
  <c r="B13" i="13"/>
  <c r="E12" i="13"/>
  <c r="F12" i="13"/>
  <c r="D12" i="13"/>
  <c r="C12" i="13"/>
  <c r="B12" i="13"/>
  <c r="E11" i="13"/>
  <c r="F11" i="13"/>
  <c r="D11" i="13"/>
  <c r="C11" i="13"/>
  <c r="B11" i="13"/>
  <c r="C10" i="13"/>
  <c r="F10" i="13"/>
  <c r="E9" i="13"/>
  <c r="F9" i="13"/>
  <c r="D9" i="13"/>
  <c r="C9" i="13"/>
  <c r="B9" i="13"/>
  <c r="E8" i="13"/>
  <c r="F8" i="13"/>
  <c r="D8" i="13"/>
  <c r="C8" i="13"/>
  <c r="B8" i="13"/>
  <c r="H6" i="13"/>
  <c r="D57" i="12"/>
  <c r="D58" i="12"/>
  <c r="D45" i="12"/>
  <c r="D46" i="12"/>
  <c r="D48" i="12"/>
  <c r="D43" i="12"/>
  <c r="D41" i="12"/>
  <c r="F37" i="12"/>
  <c r="D32" i="12"/>
  <c r="D53" i="12"/>
  <c r="N29" i="12"/>
  <c r="C23" i="12"/>
  <c r="E22" i="12"/>
  <c r="F22" i="12"/>
  <c r="A22" i="12"/>
  <c r="C22" i="12"/>
  <c r="E21" i="12"/>
  <c r="F21" i="12"/>
  <c r="A21" i="12"/>
  <c r="C21" i="12"/>
  <c r="E18" i="12"/>
  <c r="F18" i="12"/>
  <c r="G18" i="12"/>
  <c r="C18" i="12"/>
  <c r="A18" i="12"/>
  <c r="E17" i="12"/>
  <c r="F17" i="12"/>
  <c r="G17" i="12"/>
  <c r="A17" i="12"/>
  <c r="C17" i="12"/>
  <c r="E14" i="12"/>
  <c r="F14" i="12"/>
  <c r="D14" i="12"/>
  <c r="C14" i="12"/>
  <c r="B14" i="12"/>
  <c r="E13" i="12"/>
  <c r="F13" i="12"/>
  <c r="D13" i="12"/>
  <c r="C13" i="12"/>
  <c r="B13" i="12"/>
  <c r="E12" i="12"/>
  <c r="F12" i="12"/>
  <c r="D12" i="12"/>
  <c r="C12" i="12"/>
  <c r="B12" i="12"/>
  <c r="E9" i="12"/>
  <c r="F9" i="12"/>
  <c r="D9" i="12"/>
  <c r="C9" i="12"/>
  <c r="B9" i="12"/>
  <c r="E8" i="12"/>
  <c r="F8" i="12"/>
  <c r="D8" i="12"/>
  <c r="C8" i="12"/>
  <c r="B8" i="12"/>
  <c r="H6" i="12"/>
  <c r="F45" i="13"/>
  <c r="F33" i="13"/>
  <c r="D55" i="12"/>
  <c r="F22" i="13"/>
  <c r="F25" i="13"/>
  <c r="F34" i="13"/>
  <c r="F32" i="13"/>
  <c r="F39" i="13"/>
  <c r="G39" i="13"/>
  <c r="C45" i="12"/>
  <c r="E23" i="12"/>
  <c r="F23" i="12"/>
  <c r="C70" i="13"/>
  <c r="E48" i="13"/>
  <c r="F48" i="13"/>
  <c r="C82" i="13"/>
  <c r="E82" i="13"/>
  <c r="E70" i="13"/>
  <c r="C57" i="12"/>
  <c r="E57" i="12"/>
  <c r="E45" i="12"/>
  <c r="H65" i="15"/>
  <c r="O64" i="15"/>
  <c r="C83" i="15"/>
  <c r="F28" i="12"/>
  <c r="F62" i="15"/>
  <c r="F26" i="12"/>
  <c r="F63" i="15"/>
  <c r="F25" i="12"/>
  <c r="H28" i="12"/>
  <c r="O27" i="12"/>
  <c r="C46" i="12"/>
  <c r="F73" i="15"/>
  <c r="C78" i="15"/>
  <c r="H62" i="15"/>
  <c r="F64" i="15"/>
  <c r="H26" i="12"/>
  <c r="C48" i="12"/>
  <c r="E48" i="12"/>
  <c r="H63" i="15"/>
  <c r="C85" i="15"/>
  <c r="E85" i="15"/>
  <c r="E83" i="15"/>
  <c r="C95" i="15"/>
  <c r="E95" i="15"/>
  <c r="F36" i="12"/>
  <c r="F27" i="12"/>
  <c r="H25" i="12"/>
  <c r="C41" i="12"/>
  <c r="F16" i="16"/>
  <c r="H2" i="15"/>
  <c r="F18" i="16"/>
  <c r="E6" i="16"/>
  <c r="F6" i="16"/>
  <c r="F2" i="15"/>
  <c r="E41" i="12"/>
  <c r="C53" i="12"/>
  <c r="E53" i="12"/>
  <c r="C58" i="12"/>
  <c r="E58" i="12"/>
  <c r="E46" i="12"/>
  <c r="G2" i="15"/>
  <c r="E9" i="16"/>
  <c r="F9" i="16"/>
  <c r="F2" i="12"/>
  <c r="E16" i="13"/>
  <c r="F16" i="13"/>
  <c r="E78" i="15"/>
  <c r="E87" i="15"/>
  <c r="C90" i="15"/>
  <c r="E90" i="15"/>
  <c r="F35" i="12"/>
  <c r="O26" i="12"/>
  <c r="H27" i="12"/>
  <c r="E38" i="13"/>
  <c r="F38" i="13"/>
  <c r="G2" i="12"/>
  <c r="O29" i="12"/>
  <c r="O31" i="12"/>
  <c r="F72" i="15"/>
  <c r="O63" i="15"/>
  <c r="H64" i="15"/>
  <c r="E44" i="13"/>
  <c r="F44" i="13"/>
  <c r="H2" i="12"/>
  <c r="C80" i="15"/>
  <c r="E72" i="15"/>
  <c r="F75" i="15"/>
  <c r="G72" i="15"/>
  <c r="O32" i="12"/>
  <c r="G38" i="13"/>
  <c r="F51" i="13"/>
  <c r="E50" i="12"/>
  <c r="F53" i="13"/>
  <c r="F50" i="13"/>
  <c r="O65" i="15"/>
  <c r="O66" i="15"/>
  <c r="F12" i="16"/>
  <c r="F11" i="16"/>
  <c r="O28" i="12"/>
  <c r="O30" i="12"/>
  <c r="F38" i="12"/>
  <c r="G35" i="12"/>
  <c r="E35" i="12"/>
  <c r="C43" i="12"/>
  <c r="O33" i="12"/>
  <c r="F13" i="16"/>
  <c r="E80" i="15"/>
  <c r="C92" i="15"/>
  <c r="E92" i="15"/>
  <c r="H51" i="13"/>
  <c r="C73" i="13"/>
  <c r="E73" i="13"/>
  <c r="G37" i="12"/>
  <c r="G13" i="12"/>
  <c r="G38" i="12"/>
  <c r="G23" i="12"/>
  <c r="G22" i="12"/>
  <c r="G8" i="12"/>
  <c r="G21" i="12"/>
  <c r="G12" i="12"/>
  <c r="G14" i="12"/>
  <c r="G9" i="12"/>
  <c r="G28" i="12"/>
  <c r="G26" i="12"/>
  <c r="G25" i="12"/>
  <c r="G36" i="12"/>
  <c r="G27" i="12"/>
  <c r="O67" i="15"/>
  <c r="O68" i="15"/>
  <c r="O34" i="12"/>
  <c r="O35" i="12"/>
  <c r="O36" i="12"/>
  <c r="C66" i="13"/>
  <c r="H50" i="13"/>
  <c r="F61" i="13"/>
  <c r="F52" i="13"/>
  <c r="C55" i="12"/>
  <c r="E55" i="12"/>
  <c r="E43" i="12"/>
  <c r="G11" i="15"/>
  <c r="G36" i="15"/>
  <c r="G57" i="15"/>
  <c r="G75" i="15"/>
  <c r="G50" i="15"/>
  <c r="G60" i="15"/>
  <c r="G28" i="15"/>
  <c r="G55" i="15"/>
  <c r="G74" i="15"/>
  <c r="G9" i="15"/>
  <c r="G58" i="15"/>
  <c r="G40" i="15"/>
  <c r="G38" i="15"/>
  <c r="G37" i="15"/>
  <c r="G54" i="15"/>
  <c r="G24" i="15"/>
  <c r="G45" i="15"/>
  <c r="G39" i="15"/>
  <c r="G8" i="15"/>
  <c r="G19" i="15"/>
  <c r="G21" i="15"/>
  <c r="G29" i="15"/>
  <c r="G48" i="15"/>
  <c r="G53" i="15"/>
  <c r="G12" i="15"/>
  <c r="G35" i="15"/>
  <c r="G31" i="15"/>
  <c r="G32" i="15"/>
  <c r="G49" i="15"/>
  <c r="G59" i="15"/>
  <c r="G41" i="15"/>
  <c r="G33" i="15"/>
  <c r="G22" i="15"/>
  <c r="G47" i="15"/>
  <c r="G13" i="15"/>
  <c r="G27" i="15"/>
  <c r="G56" i="15"/>
  <c r="G65" i="15"/>
  <c r="G44" i="15"/>
  <c r="G46" i="15"/>
  <c r="G18" i="15"/>
  <c r="G34" i="15"/>
  <c r="G17" i="15"/>
  <c r="G14" i="15"/>
  <c r="G20" i="15"/>
  <c r="G10" i="15"/>
  <c r="G30" i="15"/>
  <c r="G23" i="15"/>
  <c r="G63" i="15"/>
  <c r="G62" i="15"/>
  <c r="G64" i="15"/>
  <c r="G73" i="15"/>
  <c r="C71" i="13"/>
  <c r="H53" i="13"/>
  <c r="O52" i="13"/>
  <c r="H52" i="13"/>
  <c r="O51" i="13"/>
  <c r="F60" i="13"/>
  <c r="O69" i="15"/>
  <c r="O70" i="15"/>
  <c r="O71" i="15"/>
  <c r="G2" i="13"/>
  <c r="E9" i="14"/>
  <c r="F9" i="14"/>
  <c r="F2" i="13"/>
  <c r="E6" i="14"/>
  <c r="F6" i="14"/>
  <c r="E66" i="13"/>
  <c r="C78" i="13"/>
  <c r="E78" i="13"/>
  <c r="E2" i="12"/>
  <c r="P36" i="12"/>
  <c r="E71" i="13"/>
  <c r="C83" i="13"/>
  <c r="E83" i="13"/>
  <c r="F15" i="16"/>
  <c r="H2" i="13"/>
  <c r="F16" i="14"/>
  <c r="P71" i="15"/>
  <c r="E2" i="15"/>
  <c r="F18" i="14"/>
  <c r="E75" i="13"/>
  <c r="E60" i="13"/>
  <c r="C68" i="13"/>
  <c r="F63" i="13"/>
  <c r="G60" i="13"/>
  <c r="F11" i="14"/>
  <c r="O53" i="13"/>
  <c r="O54" i="13"/>
  <c r="F17" i="16"/>
  <c r="F19" i="16"/>
  <c r="F12" i="14"/>
  <c r="G63" i="13"/>
  <c r="G29" i="13"/>
  <c r="G10" i="13"/>
  <c r="G33" i="13"/>
  <c r="G31" i="13"/>
  <c r="G62" i="13"/>
  <c r="G27" i="13"/>
  <c r="G23" i="13"/>
  <c r="G28" i="13"/>
  <c r="G22" i="13"/>
  <c r="G45" i="13"/>
  <c r="G35" i="13"/>
  <c r="G48" i="13"/>
  <c r="G17" i="13"/>
  <c r="G24" i="13"/>
  <c r="G25" i="13"/>
  <c r="G12" i="13"/>
  <c r="G8" i="13"/>
  <c r="G9" i="13"/>
  <c r="G47" i="13"/>
  <c r="G34" i="13"/>
  <c r="G18" i="13"/>
  <c r="G30" i="13"/>
  <c r="G13" i="13"/>
  <c r="G26" i="13"/>
  <c r="G46" i="13"/>
  <c r="G32" i="13"/>
  <c r="G19" i="13"/>
  <c r="G11" i="13"/>
  <c r="G16" i="13"/>
  <c r="G44" i="13"/>
  <c r="G51" i="13"/>
  <c r="G53" i="13"/>
  <c r="G50" i="13"/>
  <c r="G52" i="13"/>
  <c r="G61" i="13"/>
  <c r="F20" i="16"/>
  <c r="E68" i="13"/>
  <c r="C80" i="13"/>
  <c r="E80" i="13"/>
  <c r="O55" i="13"/>
  <c r="O56" i="13"/>
  <c r="F13" i="14"/>
  <c r="O57" i="13"/>
  <c r="O58" i="13"/>
  <c r="O59" i="13"/>
  <c r="F15" i="14"/>
  <c r="F21" i="16"/>
  <c r="E2" i="13"/>
  <c r="P59" i="13"/>
  <c r="F17" i="14"/>
  <c r="F22" i="16"/>
  <c r="F23" i="16"/>
  <c r="G21" i="16"/>
  <c r="G19" i="16"/>
  <c r="F19" i="14"/>
  <c r="F27" i="16"/>
  <c r="G23" i="16"/>
  <c r="G16" i="16"/>
  <c r="G6" i="16"/>
  <c r="G18" i="16"/>
  <c r="G9" i="16"/>
  <c r="G11" i="16"/>
  <c r="G12" i="16"/>
  <c r="G13" i="16"/>
  <c r="G15" i="16"/>
  <c r="G17" i="16"/>
  <c r="G20" i="16"/>
  <c r="G22" i="16"/>
  <c r="F28" i="16"/>
  <c r="F29" i="16"/>
  <c r="F20" i="14"/>
  <c r="F21" i="14"/>
  <c r="F30" i="16"/>
  <c r="F31" i="16"/>
  <c r="F22" i="14"/>
  <c r="F23" i="14"/>
  <c r="G19" i="14"/>
  <c r="F32" i="16"/>
  <c r="F34" i="16"/>
  <c r="F35" i="16"/>
  <c r="H29" i="16"/>
  <c r="G29" i="16"/>
  <c r="F27" i="14"/>
  <c r="G23" i="14"/>
  <c r="G6" i="14"/>
  <c r="G16" i="14"/>
  <c r="G9" i="14"/>
  <c r="G18" i="14"/>
  <c r="G12" i="14"/>
  <c r="G11" i="14"/>
  <c r="G13" i="14"/>
  <c r="G15" i="14"/>
  <c r="G17" i="14"/>
  <c r="G21" i="14"/>
  <c r="G20" i="14"/>
  <c r="G22" i="14"/>
  <c r="F28" i="14"/>
  <c r="F29" i="14"/>
  <c r="F30" i="14"/>
  <c r="F31" i="14"/>
  <c r="H29" i="14"/>
  <c r="G29" i="14"/>
  <c r="F32" i="14"/>
  <c r="F34" i="14"/>
  <c r="F35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arodriguez</author>
  </authors>
  <commentList>
    <comment ref="N31" authorId="0" shapeId="0" xr:uid="{76048A07-A74D-4B0A-97FF-E908AF0DED83}">
      <text>
        <r>
          <rPr>
            <b/>
            <sz val="9"/>
            <color indexed="81"/>
            <rFont val="Tahoma"/>
            <family val="2"/>
          </rPr>
          <t>arodriguez:</t>
        </r>
        <r>
          <rPr>
            <sz val="9"/>
            <color indexed="81"/>
            <rFont val="Tahoma"/>
            <family val="2"/>
          </rPr>
          <t xml:space="preserve">
Iincluye alisto y camiones</t>
        </r>
      </text>
    </comment>
  </commentList>
</comments>
</file>

<file path=xl/sharedStrings.xml><?xml version="1.0" encoding="utf-8"?>
<sst xmlns="http://schemas.openxmlformats.org/spreadsheetml/2006/main" count="541" uniqueCount="201">
  <si>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</si>
  <si>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</si>
  <si>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</si>
  <si>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</si>
  <si>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</si>
  <si>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</si>
  <si>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</si>
  <si>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</si>
  <si>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</si>
  <si>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</si>
  <si>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</si>
  <si>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</si>
  <si>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</si>
  <si>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</si>
  <si>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</si>
  <si>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</si>
  <si>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</si>
  <si>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</si>
  <si>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</si>
  <si>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SERVICIOS DE PASTELERIA S.A.</t>
  </si>
  <si>
    <t>Unidad Internacional</t>
  </si>
  <si>
    <t>Horno:</t>
  </si>
  <si>
    <t>0702069</t>
  </si>
  <si>
    <t>ETIQ.BLANCA 1 1/4 * 3/4</t>
  </si>
  <si>
    <t>1950692</t>
  </si>
  <si>
    <t>7-  Distribuir el cofetti de chocolate en el borde de las porciones.</t>
  </si>
  <si>
    <t>2-  Distribuir 1 tazas de manjar en el rosquete y colocar la otra mitad del rosquete.</t>
  </si>
  <si>
    <t>1- Hacer un corte transversal al rosquete por la mitad, colocar 1/2 rosquete en la orla, pegado con dulce de leche.</t>
  </si>
  <si>
    <t>CREMA CHANTILLY CHOCO (SPOON-IND)(24875g)</t>
  </si>
  <si>
    <t>95718</t>
  </si>
  <si>
    <t>LA CIABATTA</t>
  </si>
  <si>
    <t>FAS</t>
  </si>
  <si>
    <t>10700008</t>
  </si>
  <si>
    <t>DULCE DE LECHE SUAVE F2 ( 5 KG )</t>
  </si>
  <si>
    <t>51400015</t>
  </si>
  <si>
    <t>QUEQUERA CHILENA (CAJA:50 UND)</t>
  </si>
  <si>
    <t>ud</t>
  </si>
  <si>
    <t>ORLA CARTON 10" DORADA UND</t>
  </si>
  <si>
    <t>1950772</t>
  </si>
  <si>
    <t>PAPEL ENCERADO 12 X 10 (CAJA)</t>
  </si>
  <si>
    <t>703020</t>
  </si>
  <si>
    <t>CINTA ADHESIVA TRANSPARENTE 2*100 MTS</t>
  </si>
  <si>
    <t>cm</t>
  </si>
  <si>
    <t>0702007</t>
  </si>
  <si>
    <t>ETIQUETA BLANCA 2 5/8X1 15/16</t>
  </si>
  <si>
    <t>1952871</t>
  </si>
  <si>
    <t>CAJA PRALINE UND</t>
  </si>
  <si>
    <t>3-  Tapizar la torta con crema de chocolate y peinar los costados. Colcoar Sirope de chocolate en la superficie y con ayuda de una espatula formar un espiral en toda la superficie</t>
  </si>
  <si>
    <t>Javier Tong, Chef</t>
  </si>
  <si>
    <t>EMPAQUE</t>
  </si>
  <si>
    <t>1950928</t>
  </si>
  <si>
    <t>0702123</t>
  </si>
  <si>
    <t>Precio
Local</t>
  </si>
  <si>
    <t>Costo MP</t>
  </si>
  <si>
    <t>Costo EM</t>
  </si>
  <si>
    <t>Costo MO</t>
  </si>
  <si>
    <t>ROSQUETE CHOCOLATE PASTELERO REAL 800G</t>
  </si>
  <si>
    <t xml:space="preserve">ESTRUCTURA DE COSTOS </t>
  </si>
  <si>
    <t>Fecha:</t>
  </si>
  <si>
    <t>UNIDADES</t>
  </si>
  <si>
    <t>MATERIA PRIMA SEMIELABORADOS</t>
  </si>
  <si>
    <t>UND
MEDIDA</t>
  </si>
  <si>
    <t>COSTO UNITARIO</t>
  </si>
  <si>
    <t>TOTAL COSTO</t>
  </si>
  <si>
    <t>% PREC. DEFINIDO</t>
  </si>
  <si>
    <t>CODIGOS</t>
  </si>
  <si>
    <t>95720</t>
  </si>
  <si>
    <t>96296</t>
  </si>
  <si>
    <t>EMPAQUE SEMIELABORADOS</t>
  </si>
  <si>
    <t>EMPAQUE ENGRASE MOLDES PLANTA</t>
  </si>
  <si>
    <t>N/A</t>
  </si>
  <si>
    <t>MODI</t>
  </si>
  <si>
    <t>MODIENGRASE MOLDES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</si>
  <si>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</si>
  <si>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</si>
  <si>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</si>
  <si>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</si>
  <si>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</si>
  <si>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</si>
  <si>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</si>
  <si>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 xml:space="preserve">DESECHO </t>
  </si>
  <si>
    <t>GAF</t>
  </si>
  <si>
    <t xml:space="preserve"> GRAMOS</t>
  </si>
  <si>
    <t>COSTO PLANTA</t>
  </si>
  <si>
    <t xml:space="preserve"> PESO POR UNIDAD</t>
  </si>
  <si>
    <t>LOGISTICA</t>
  </si>
  <si>
    <t>UNIDADES TOTALES</t>
  </si>
  <si>
    <t>ADMINISTRACION</t>
  </si>
  <si>
    <t>UNIDAD EMPAQUE</t>
  </si>
  <si>
    <t>UND</t>
  </si>
  <si>
    <t>COSTO TOTAL</t>
  </si>
  <si>
    <t xml:space="preserve"> </t>
  </si>
  <si>
    <t>S/ COSTO</t>
  </si>
  <si>
    <t>TOTAL</t>
  </si>
  <si>
    <t>TRANSFERENCIA</t>
  </si>
  <si>
    <t>PRECIO DE VENTA PLANTA A LOCAL</t>
  </si>
  <si>
    <t>GR</t>
  </si>
  <si>
    <t xml:space="preserve"> DESECHOS Y PERDIDAS</t>
  </si>
  <si>
    <t>UNIDAD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</si>
  <si>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</si>
  <si>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</si>
  <si>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</si>
  <si>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</si>
  <si>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</si>
  <si>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</si>
  <si>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</si>
  <si>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</si>
  <si>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</si>
  <si>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</si>
  <si>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PASTEL CHOCOLATE INDUSTRIA PORCIONADO </t>
  </si>
  <si>
    <t>DESCRIPCION MAT.PRIMA</t>
  </si>
  <si>
    <t>0310143</t>
  </si>
  <si>
    <t>1210421</t>
  </si>
  <si>
    <t>CONFITE CHOCOLATE CRUJIENTE</t>
  </si>
  <si>
    <t>Gramo</t>
  </si>
  <si>
    <t>ROSQUETE CHOCOLATE BUCCA 800G</t>
  </si>
  <si>
    <t>ROSQUETE CHOCOLATE PASTELERO REAL 900g</t>
  </si>
  <si>
    <t>DESECHO</t>
  </si>
  <si>
    <t>% MK</t>
  </si>
  <si>
    <t>UNIDAD MEDIDA</t>
  </si>
  <si>
    <t>CM</t>
  </si>
  <si>
    <t>ESTRUCTURA DE COSTOS</t>
  </si>
  <si>
    <t>INDUSTRIA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</si>
  <si>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</si>
  <si>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</si>
  <si>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</si>
  <si>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</si>
  <si>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</si>
  <si>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</si>
  <si>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</si>
  <si>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</si>
  <si>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</si>
  <si>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</si>
  <si>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>CAMIONES</t>
  </si>
  <si>
    <t>Costo</t>
  </si>
  <si>
    <t>% Margen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</si>
  <si>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</si>
  <si>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</si>
  <si>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</si>
  <si>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</si>
  <si>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</si>
  <si>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</si>
  <si>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 xml:space="preserve">Torta chocolate porcionada </t>
  </si>
  <si>
    <t>907000226</t>
  </si>
  <si>
    <t>8- Tapar y etiquetar con nombre, fecha de vencimiento en congelado , etiqueta con dia juliano.</t>
  </si>
  <si>
    <t>9.- Introducir en caja Praline, etiquetar con nombre, fecha vencimiento en congelado, # juliano</t>
  </si>
  <si>
    <t>min</t>
  </si>
  <si>
    <t>11700002</t>
  </si>
  <si>
    <t>Esteban Cartin, Gte Manufactura</t>
  </si>
  <si>
    <t>701096</t>
  </si>
  <si>
    <t>0702006</t>
  </si>
  <si>
    <t>Und</t>
  </si>
  <si>
    <t>TORTA CHOCO PORCIONADA 8 PORC</t>
  </si>
  <si>
    <t>1010047</t>
  </si>
  <si>
    <t>Gramos</t>
  </si>
  <si>
    <t>6- Cortar el papel encerado en 6 rectangulos (1ro por la mitas y de cada mitad cortar 3 cuadros), doblar por la mitad e introducir uno en cada porcion.</t>
  </si>
  <si>
    <t>907000291</t>
  </si>
  <si>
    <t>ROSQUETE EASY CHOCOLATE BC 800G</t>
  </si>
  <si>
    <t>CREMA BETTERCREAM DOBLE CHOCO (UND:4 K)</t>
  </si>
  <si>
    <t>RICHS</t>
  </si>
  <si>
    <t>SE00441</t>
  </si>
  <si>
    <t># Código Netsuite</t>
  </si>
  <si>
    <t>MP10176</t>
  </si>
  <si>
    <t>SE00024</t>
  </si>
  <si>
    <t>MP10006</t>
  </si>
  <si>
    <t>EM10023</t>
  </si>
  <si>
    <t>EM10008</t>
  </si>
  <si>
    <t>EM10090</t>
  </si>
  <si>
    <t>EM10248</t>
  </si>
  <si>
    <t>EM10002</t>
  </si>
  <si>
    <t>EM10011</t>
  </si>
  <si>
    <t>EM10062</t>
  </si>
  <si>
    <t>5- Porcionar en 10</t>
  </si>
  <si>
    <t>EM10124</t>
  </si>
  <si>
    <t>Etiqueta Blanca R-153</t>
  </si>
  <si>
    <t>AREA QUE PRODUCE:</t>
  </si>
  <si>
    <t>Figuras</t>
  </si>
  <si>
    <t xml:space="preserve">AREA QUE EMPACA: </t>
  </si>
  <si>
    <t>Medida alternativa</t>
  </si>
  <si>
    <t xml:space="preserve">Costo - Referencia </t>
  </si>
  <si>
    <t>Colones</t>
  </si>
  <si>
    <t>Ensamble</t>
  </si>
  <si>
    <t>1 TAZA</t>
  </si>
  <si>
    <t>Decoración</t>
  </si>
  <si>
    <t/>
  </si>
  <si>
    <t>Empaque</t>
  </si>
  <si>
    <t>EXPORT PMT</t>
  </si>
  <si>
    <t>ESTUARDO</t>
  </si>
  <si>
    <t>LOGAN</t>
  </si>
  <si>
    <t>MAYCA</t>
  </si>
  <si>
    <t>ETIPLAS</t>
  </si>
  <si>
    <t>Tiempo de Horneo:</t>
  </si>
  <si>
    <t>Temperatura de Horneo:</t>
  </si>
  <si>
    <t>Otros</t>
  </si>
  <si>
    <t>CONTROL DE CAMBIOS</t>
  </si>
  <si>
    <t>ESP-RE-FIF-006</t>
  </si>
  <si>
    <t>MP10709</t>
  </si>
  <si>
    <t>SPRINKLES CHOCO</t>
  </si>
  <si>
    <t xml:space="preserve">Revision #2: Cambio en el codigo de los palitos de chocolate. </t>
  </si>
  <si>
    <t>02</t>
  </si>
  <si>
    <t>PTI00033 Torta Chocolate(1100g) 10 porc FAS  (porcionada)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</si>
</sst>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0.0"/>
    <numFmt numFmtId="169" formatCode="[$-409]d\-mmm\-yy;@"/>
    <numFmt numFmtId="170" formatCode="_-* #,##0.0\ _€_-;\-* #,##0.0\ _€_-;_-* &quot;-&quot;??\ _€_-;_-@_-"/>
    <numFmt numFmtId="171" formatCode="0.0%"/>
    <numFmt numFmtId="172" formatCode="0.0000"/>
  </numFmts>
  <fonts count="6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0"/>
      <name val="Times New Roman"/>
      <family val="1"/>
    </font>
    <font>
      <sz val="8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7"/>
      <name val="Times New Roman"/>
      <family val="1"/>
    </font>
    <font>
      <sz val="10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FF000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theme="6" tint="-0.249977111117893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b/>
      <sz val="14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2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8" fillId="0" borderId="0"/>
    <xf numFmtId="0" fontId="4" fillId="0" borderId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0" fontId="1" fillId="0" borderId="0"/>
    <xf numFmtId="0" fontId="3" fillId="0" borderId="0"/>
  </cellStyleXfs>
  <cellXfs count="373">
    <xf numFmtId="0" fontId="0" fillId="0" borderId="0" xfId="0"/>
    <xf numFmtId="0" fontId="7" fillId="2" borderId="2" xfId="2" applyFont="1" applyFill="1" applyBorder="1" applyAlignment="1">
      <alignment horizontal="right"/>
    </xf>
    <xf numFmtId="0" fontId="7" fillId="2" borderId="4" xfId="2" applyFont="1" applyFill="1" applyBorder="1" applyAlignment="1">
      <alignment horizontal="right"/>
    </xf>
    <xf numFmtId="0" fontId="6" fillId="2" borderId="6" xfId="2" applyFont="1" applyFill="1" applyBorder="1" applyAlignment="1">
      <alignment horizontal="right"/>
    </xf>
    <xf numFmtId="0" fontId="6" fillId="2" borderId="4" xfId="2" applyFont="1" applyFill="1" applyBorder="1" applyAlignment="1">
      <alignment horizontal="right"/>
    </xf>
    <xf numFmtId="49" fontId="6" fillId="2" borderId="5" xfId="2" applyNumberFormat="1" applyFont="1" applyFill="1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9" fillId="5" borderId="0" xfId="0" applyFont="1" applyFill="1" applyAlignment="1">
      <alignment vertical="center"/>
    </xf>
    <xf numFmtId="0" fontId="13" fillId="6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5" fontId="13" fillId="0" borderId="4" xfId="5" applyFont="1" applyFill="1" applyBorder="1" applyAlignment="1">
      <alignment horizontal="center" vertical="center"/>
    </xf>
    <xf numFmtId="165" fontId="13" fillId="0" borderId="0" xfId="5" applyFont="1" applyFill="1" applyBorder="1" applyAlignment="1">
      <alignment horizontal="center" vertical="center"/>
    </xf>
    <xf numFmtId="165" fontId="15" fillId="0" borderId="0" xfId="5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9" fontId="18" fillId="0" borderId="0" xfId="0" applyNumberFormat="1" applyFont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/>
    </xf>
    <xf numFmtId="0" fontId="13" fillId="7" borderId="20" xfId="0" applyFont="1" applyFill="1" applyBorder="1" applyAlignment="1">
      <alignment horizontal="center" vertical="center"/>
    </xf>
    <xf numFmtId="0" fontId="13" fillId="7" borderId="20" xfId="0" applyFont="1" applyFill="1" applyBorder="1" applyAlignment="1">
      <alignment horizontal="center" vertical="center" wrapText="1"/>
    </xf>
    <xf numFmtId="0" fontId="13" fillId="7" borderId="2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0" fontId="14" fillId="0" borderId="0" xfId="4" applyNumberFormat="1" applyFont="1" applyFill="1" applyAlignment="1">
      <alignment vertical="center"/>
    </xf>
    <xf numFmtId="2" fontId="12" fillId="0" borderId="0" xfId="0" applyNumberFormat="1" applyFont="1" applyAlignment="1">
      <alignment horizontal="center"/>
    </xf>
    <xf numFmtId="4" fontId="12" fillId="0" borderId="0" xfId="6" applyNumberFormat="1" applyFont="1" applyFill="1" applyAlignment="1">
      <alignment horizontal="center" vertical="center"/>
    </xf>
    <xf numFmtId="4" fontId="13" fillId="0" borderId="0" xfId="6" applyNumberFormat="1" applyFont="1" applyFill="1" applyAlignment="1">
      <alignment horizontal="center" vertical="center"/>
    </xf>
    <xf numFmtId="10" fontId="13" fillId="0" borderId="0" xfId="4" applyNumberFormat="1" applyFont="1" applyFill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0" fontId="9" fillId="0" borderId="0" xfId="0" applyFont="1"/>
    <xf numFmtId="49" fontId="13" fillId="0" borderId="0" xfId="0" applyNumberFormat="1" applyFont="1" applyAlignment="1">
      <alignment horizontal="center"/>
    </xf>
    <xf numFmtId="49" fontId="9" fillId="0" borderId="0" xfId="0" applyNumberFormat="1" applyFont="1"/>
    <xf numFmtId="49" fontId="1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13" fillId="0" borderId="0" xfId="5" applyNumberFormat="1" applyFont="1" applyFill="1" applyAlignment="1">
      <alignment vertical="center"/>
    </xf>
    <xf numFmtId="165" fontId="20" fillId="0" borderId="0" xfId="5" applyFont="1" applyFill="1" applyAlignment="1">
      <alignment horizontal="center" vertical="center"/>
    </xf>
    <xf numFmtId="10" fontId="14" fillId="7" borderId="42" xfId="4" applyNumberFormat="1" applyFont="1" applyFill="1" applyBorder="1" applyAlignment="1">
      <alignment vertical="center"/>
    </xf>
    <xf numFmtId="0" fontId="9" fillId="7" borderId="13" xfId="0" applyFont="1" applyFill="1" applyBorder="1" applyAlignment="1">
      <alignment vertical="center"/>
    </xf>
    <xf numFmtId="0" fontId="9" fillId="7" borderId="42" xfId="0" applyFont="1" applyFill="1" applyBorder="1" applyAlignment="1">
      <alignment vertical="center"/>
    </xf>
    <xf numFmtId="165" fontId="20" fillId="7" borderId="43" xfId="5" applyFont="1" applyFill="1" applyBorder="1" applyAlignment="1">
      <alignment horizontal="center" vertical="center"/>
    </xf>
    <xf numFmtId="165" fontId="22" fillId="0" borderId="0" xfId="5" applyFont="1" applyFill="1" applyBorder="1" applyAlignment="1">
      <alignment horizontal="right"/>
    </xf>
    <xf numFmtId="0" fontId="9" fillId="7" borderId="43" xfId="0" applyFont="1" applyFill="1" applyBorder="1" applyAlignment="1">
      <alignment vertical="center"/>
    </xf>
    <xf numFmtId="10" fontId="14" fillId="7" borderId="43" xfId="4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13" fillId="0" borderId="0" xfId="0" applyFont="1" applyAlignment="1">
      <alignment horizontal="right" vertical="center"/>
    </xf>
    <xf numFmtId="9" fontId="23" fillId="0" borderId="0" xfId="5" applyNumberFormat="1" applyFont="1" applyFill="1"/>
    <xf numFmtId="0" fontId="20" fillId="0" borderId="0" xfId="0" applyFont="1" applyAlignment="1">
      <alignment horizontal="right" vertical="center"/>
    </xf>
    <xf numFmtId="4" fontId="20" fillId="0" borderId="0" xfId="5" applyNumberFormat="1" applyFont="1" applyFill="1" applyAlignment="1">
      <alignment vertical="center"/>
    </xf>
    <xf numFmtId="4" fontId="20" fillId="0" borderId="0" xfId="6" applyNumberFormat="1" applyFont="1" applyAlignment="1">
      <alignment horizontal="center" vertical="center"/>
    </xf>
    <xf numFmtId="4" fontId="20" fillId="0" borderId="0" xfId="6" applyNumberFormat="1" applyFont="1" applyFill="1" applyAlignment="1">
      <alignment horizontal="center" vertical="center"/>
    </xf>
    <xf numFmtId="165" fontId="13" fillId="0" borderId="4" xfId="5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16" xfId="0" applyFont="1" applyBorder="1" applyAlignment="1">
      <alignment horizontal="right"/>
    </xf>
    <xf numFmtId="165" fontId="27" fillId="4" borderId="46" xfId="5" applyFont="1" applyFill="1" applyBorder="1" applyAlignment="1">
      <alignment horizontal="right"/>
    </xf>
    <xf numFmtId="165" fontId="27" fillId="0" borderId="0" xfId="5" applyFont="1" applyFill="1" applyBorder="1" applyAlignment="1">
      <alignment horizontal="right"/>
    </xf>
    <xf numFmtId="170" fontId="13" fillId="7" borderId="4" xfId="5" applyNumberFormat="1" applyFont="1" applyFill="1" applyBorder="1" applyAlignment="1">
      <alignment vertical="center"/>
    </xf>
    <xf numFmtId="10" fontId="23" fillId="0" borderId="0" xfId="4" applyNumberFormat="1" applyFont="1" applyFill="1" applyAlignment="1">
      <alignment horizontal="right"/>
    </xf>
    <xf numFmtId="4" fontId="9" fillId="0" borderId="0" xfId="0" applyNumberFormat="1" applyFont="1" applyAlignment="1">
      <alignment horizontal="center" vertical="center"/>
    </xf>
    <xf numFmtId="165" fontId="13" fillId="8" borderId="4" xfId="5" applyFont="1" applyFill="1" applyBorder="1" applyAlignment="1">
      <alignment vertical="center"/>
    </xf>
    <xf numFmtId="0" fontId="9" fillId="5" borderId="0" xfId="0" applyFont="1" applyFill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10" fontId="9" fillId="0" borderId="0" xfId="4" applyNumberFormat="1" applyFont="1" applyFill="1" applyAlignment="1">
      <alignment vertical="center"/>
    </xf>
    <xf numFmtId="4" fontId="9" fillId="0" borderId="0" xfId="5" applyNumberFormat="1" applyFont="1" applyFill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10" fontId="30" fillId="0" borderId="0" xfId="5" applyNumberFormat="1" applyFont="1" applyFill="1" applyAlignment="1">
      <alignment vertical="center"/>
    </xf>
    <xf numFmtId="0" fontId="14" fillId="7" borderId="47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2" fontId="23" fillId="0" borderId="0" xfId="5" applyNumberFormat="1" applyFont="1" applyFill="1" applyBorder="1" applyAlignment="1">
      <alignment horizontal="center"/>
    </xf>
    <xf numFmtId="2" fontId="26" fillId="0" borderId="0" xfId="5" applyNumberFormat="1" applyFont="1" applyFill="1" applyBorder="1" applyAlignment="1">
      <alignment horizontal="center"/>
    </xf>
    <xf numFmtId="0" fontId="9" fillId="7" borderId="47" xfId="0" applyFont="1" applyFill="1" applyBorder="1" applyAlignment="1">
      <alignment vertical="center"/>
    </xf>
    <xf numFmtId="0" fontId="9" fillId="5" borderId="46" xfId="0" applyFont="1" applyFill="1" applyBorder="1" applyAlignment="1">
      <alignment horizontal="center" vertical="center"/>
    </xf>
    <xf numFmtId="165" fontId="32" fillId="0" borderId="0" xfId="5" applyFont="1" applyFill="1" applyAlignment="1">
      <alignment vertical="center"/>
    </xf>
    <xf numFmtId="165" fontId="27" fillId="7" borderId="13" xfId="5" applyFont="1" applyFill="1" applyBorder="1" applyAlignment="1">
      <alignment horizontal="right"/>
    </xf>
    <xf numFmtId="0" fontId="13" fillId="7" borderId="14" xfId="0" applyFont="1" applyFill="1" applyBorder="1" applyAlignment="1">
      <alignment horizontal="right" vertical="center"/>
    </xf>
    <xf numFmtId="4" fontId="33" fillId="0" borderId="0" xfId="6" applyNumberFormat="1" applyFont="1" applyFill="1" applyAlignment="1">
      <alignment horizontal="center" vertical="center" wrapText="1"/>
    </xf>
    <xf numFmtId="10" fontId="14" fillId="0" borderId="0" xfId="4" applyNumberFormat="1" applyFont="1" applyFill="1" applyBorder="1" applyAlignment="1">
      <alignment vertical="center"/>
    </xf>
    <xf numFmtId="165" fontId="34" fillId="0" borderId="0" xfId="0" applyNumberFormat="1" applyFont="1" applyAlignment="1">
      <alignment horizontal="center" vertical="center"/>
    </xf>
    <xf numFmtId="165" fontId="9" fillId="0" borderId="0" xfId="5" applyFont="1" applyFill="1" applyAlignment="1">
      <alignment vertical="center"/>
    </xf>
    <xf numFmtId="9" fontId="9" fillId="0" borderId="0" xfId="5" applyNumberFormat="1" applyFont="1" applyFill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9" fillId="0" borderId="0" xfId="5" applyNumberFormat="1" applyFont="1" applyFill="1" applyAlignment="1">
      <alignment vertical="center"/>
    </xf>
    <xf numFmtId="4" fontId="13" fillId="10" borderId="46" xfId="5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5" fontId="10" fillId="0" borderId="0" xfId="5" applyFont="1" applyFill="1" applyAlignment="1">
      <alignment vertical="center"/>
    </xf>
    <xf numFmtId="9" fontId="10" fillId="0" borderId="0" xfId="5" applyNumberFormat="1" applyFont="1" applyFill="1" applyAlignment="1">
      <alignment vertical="center"/>
    </xf>
    <xf numFmtId="4" fontId="13" fillId="0" borderId="0" xfId="5" applyNumberFormat="1" applyFont="1" applyFill="1" applyAlignment="1">
      <alignment horizontal="center" vertical="center"/>
    </xf>
    <xf numFmtId="165" fontId="28" fillId="0" borderId="0" xfId="5" applyFont="1" applyFill="1" applyBorder="1" applyAlignment="1">
      <alignment vertical="center"/>
    </xf>
    <xf numFmtId="0" fontId="20" fillId="0" borderId="0" xfId="0" applyFont="1" applyAlignment="1">
      <alignment horizontal="center" vertical="center"/>
    </xf>
    <xf numFmtId="10" fontId="28" fillId="0" borderId="0" xfId="4" applyNumberFormat="1" applyFont="1" applyFill="1" applyAlignment="1">
      <alignment vertical="center"/>
    </xf>
    <xf numFmtId="4" fontId="9" fillId="0" borderId="0" xfId="0" applyNumberFormat="1" applyFont="1" applyAlignment="1">
      <alignment horizontal="center"/>
    </xf>
    <xf numFmtId="165" fontId="9" fillId="0" borderId="0" xfId="5" applyFont="1" applyFill="1" applyBorder="1"/>
    <xf numFmtId="10" fontId="28" fillId="0" borderId="0" xfId="4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165" fontId="9" fillId="0" borderId="0" xfId="5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13" fillId="0" borderId="0" xfId="0" applyNumberFormat="1" applyFont="1" applyAlignment="1">
      <alignment horizontal="center"/>
    </xf>
    <xf numFmtId="165" fontId="13" fillId="0" borderId="0" xfId="0" applyNumberFormat="1" applyFont="1"/>
    <xf numFmtId="10" fontId="13" fillId="0" borderId="0" xfId="3" applyNumberFormat="1" applyFont="1" applyFill="1" applyAlignment="1">
      <alignment vertical="center"/>
    </xf>
    <xf numFmtId="10" fontId="14" fillId="0" borderId="0" xfId="3" applyNumberFormat="1" applyFont="1" applyFill="1" applyAlignment="1">
      <alignment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10" fontId="14" fillId="7" borderId="42" xfId="3" applyNumberFormat="1" applyFont="1" applyFill="1" applyBorder="1" applyAlignment="1">
      <alignment vertical="center"/>
    </xf>
    <xf numFmtId="10" fontId="14" fillId="7" borderId="43" xfId="3" applyNumberFormat="1" applyFont="1" applyFill="1" applyBorder="1" applyAlignment="1">
      <alignment vertical="center"/>
    </xf>
    <xf numFmtId="9" fontId="40" fillId="0" borderId="0" xfId="3" applyFont="1" applyFill="1" applyAlignment="1">
      <alignment horizontal="center"/>
    </xf>
    <xf numFmtId="10" fontId="23" fillId="0" borderId="0" xfId="3" applyNumberFormat="1" applyFont="1" applyFill="1" applyAlignment="1">
      <alignment horizontal="right"/>
    </xf>
    <xf numFmtId="10" fontId="9" fillId="0" borderId="0" xfId="3" applyNumberFormat="1" applyFont="1" applyFill="1" applyAlignment="1">
      <alignment vertical="center"/>
    </xf>
    <xf numFmtId="10" fontId="14" fillId="0" borderId="0" xfId="3" applyNumberFormat="1" applyFont="1" applyFill="1" applyBorder="1" applyAlignment="1">
      <alignment vertical="center"/>
    </xf>
    <xf numFmtId="10" fontId="28" fillId="0" borderId="0" xfId="3" applyNumberFormat="1" applyFont="1" applyFill="1" applyAlignment="1">
      <alignment vertical="center"/>
    </xf>
    <xf numFmtId="10" fontId="28" fillId="0" borderId="0" xfId="3" applyNumberFormat="1" applyFont="1" applyFill="1" applyBorder="1" applyAlignment="1">
      <alignment vertical="center"/>
    </xf>
    <xf numFmtId="2" fontId="12" fillId="11" borderId="0" xfId="0" applyNumberFormat="1" applyFont="1" applyFill="1" applyAlignment="1">
      <alignment horizontal="center"/>
    </xf>
    <xf numFmtId="0" fontId="9" fillId="11" borderId="0" xfId="0" applyFont="1" applyFill="1" applyAlignment="1">
      <alignment vertical="center"/>
    </xf>
    <xf numFmtId="0" fontId="9" fillId="11" borderId="0" xfId="0" applyFont="1" applyFill="1"/>
    <xf numFmtId="4" fontId="12" fillId="11" borderId="0" xfId="6" applyNumberFormat="1" applyFont="1" applyFill="1" applyAlignment="1">
      <alignment horizontal="center" vertical="center"/>
    </xf>
    <xf numFmtId="4" fontId="13" fillId="11" borderId="0" xfId="6" applyNumberFormat="1" applyFont="1" applyFill="1" applyAlignment="1">
      <alignment horizontal="center" vertical="center"/>
    </xf>
    <xf numFmtId="10" fontId="13" fillId="11" borderId="0" xfId="3" applyNumberFormat="1" applyFont="1" applyFill="1" applyAlignment="1">
      <alignment vertical="center"/>
    </xf>
    <xf numFmtId="49" fontId="13" fillId="11" borderId="0" xfId="0" applyNumberFormat="1" applyFont="1" applyFill="1" applyAlignment="1">
      <alignment horizontal="center"/>
    </xf>
    <xf numFmtId="0" fontId="24" fillId="0" borderId="0" xfId="0" applyFont="1"/>
    <xf numFmtId="0" fontId="42" fillId="0" borderId="51" xfId="0" applyFont="1" applyBorder="1" applyAlignment="1">
      <alignment horizontal="center" vertical="center" wrapText="1"/>
    </xf>
    <xf numFmtId="0" fontId="43" fillId="4" borderId="4" xfId="0" applyFont="1" applyFill="1" applyBorder="1" applyAlignment="1">
      <alignment horizontal="center"/>
    </xf>
    <xf numFmtId="0" fontId="43" fillId="4" borderId="4" xfId="0" applyFont="1" applyFill="1" applyBorder="1" applyAlignment="1">
      <alignment horizontal="center" wrapText="1"/>
    </xf>
    <xf numFmtId="0" fontId="27" fillId="0" borderId="0" xfId="0" applyFont="1"/>
    <xf numFmtId="0" fontId="27" fillId="0" borderId="0" xfId="0" applyFont="1" applyAlignment="1">
      <alignment horizontal="center"/>
    </xf>
    <xf numFmtId="165" fontId="27" fillId="0" borderId="0" xfId="5" applyFont="1"/>
    <xf numFmtId="4" fontId="27" fillId="0" borderId="0" xfId="5" applyNumberFormat="1" applyFont="1" applyAlignment="1">
      <alignment horizontal="right"/>
    </xf>
    <xf numFmtId="9" fontId="27" fillId="0" borderId="0" xfId="3" applyFont="1" applyAlignment="1">
      <alignment horizontal="right"/>
    </xf>
    <xf numFmtId="49" fontId="27" fillId="0" borderId="0" xfId="6" applyNumberFormat="1" applyFont="1" applyAlignment="1">
      <alignment horizontal="center"/>
    </xf>
    <xf numFmtId="0" fontId="22" fillId="0" borderId="0" xfId="0" applyFont="1"/>
    <xf numFmtId="165" fontId="44" fillId="0" borderId="0" xfId="5" applyFont="1" applyFill="1" applyBorder="1" applyAlignment="1">
      <alignment horizontal="center"/>
    </xf>
    <xf numFmtId="0" fontId="44" fillId="0" borderId="0" xfId="0" applyFont="1"/>
    <xf numFmtId="4" fontId="44" fillId="0" borderId="0" xfId="6" applyNumberFormat="1" applyFont="1" applyFill="1" applyBorder="1"/>
    <xf numFmtId="4" fontId="44" fillId="0" borderId="0" xfId="6" applyNumberFormat="1" applyFont="1" applyFill="1" applyBorder="1" applyAlignment="1">
      <alignment horizontal="right"/>
    </xf>
    <xf numFmtId="9" fontId="25" fillId="0" borderId="0" xfId="3" applyFont="1" applyFill="1"/>
    <xf numFmtId="49" fontId="44" fillId="0" borderId="0" xfId="6" applyNumberFormat="1" applyFont="1" applyFill="1" applyBorder="1" applyAlignment="1">
      <alignment horizontal="center"/>
    </xf>
    <xf numFmtId="9" fontId="27" fillId="0" borderId="0" xfId="3" applyFont="1" applyFill="1" applyAlignment="1">
      <alignment vertical="center"/>
    </xf>
    <xf numFmtId="165" fontId="22" fillId="0" borderId="52" xfId="5" applyFont="1" applyFill="1" applyBorder="1" applyAlignment="1">
      <alignment horizontal="right"/>
    </xf>
    <xf numFmtId="9" fontId="25" fillId="0" borderId="0" xfId="5" applyNumberFormat="1" applyFont="1" applyFill="1" applyBorder="1"/>
    <xf numFmtId="4" fontId="25" fillId="0" borderId="0" xfId="5" applyNumberFormat="1" applyFont="1" applyFill="1" applyBorder="1" applyAlignment="1">
      <alignment horizontal="right"/>
    </xf>
    <xf numFmtId="10" fontId="22" fillId="0" borderId="0" xfId="3" applyNumberFormat="1" applyFont="1" applyFill="1" applyAlignment="1">
      <alignment horizontal="right"/>
    </xf>
    <xf numFmtId="0" fontId="25" fillId="0" borderId="0" xfId="0" applyFont="1" applyAlignment="1">
      <alignment horizontal="center"/>
    </xf>
    <xf numFmtId="10" fontId="27" fillId="0" borderId="0" xfId="3" applyNumberFormat="1" applyFont="1" applyFill="1" applyBorder="1" applyAlignment="1">
      <alignment horizontal="right"/>
    </xf>
    <xf numFmtId="171" fontId="23" fillId="0" borderId="0" xfId="5" applyNumberFormat="1" applyFont="1" applyFill="1"/>
    <xf numFmtId="0" fontId="27" fillId="0" borderId="0" xfId="3" applyNumberFormat="1" applyFont="1" applyFill="1" applyAlignment="1">
      <alignment vertical="center"/>
    </xf>
    <xf numFmtId="2" fontId="25" fillId="0" borderId="0" xfId="0" applyNumberFormat="1" applyFont="1" applyAlignment="1">
      <alignment horizontal="center"/>
    </xf>
    <xf numFmtId="0" fontId="45" fillId="0" borderId="0" xfId="0" applyFont="1" applyAlignment="1">
      <alignment horizontal="right"/>
    </xf>
    <xf numFmtId="10" fontId="27" fillId="0" borderId="0" xfId="3" applyNumberFormat="1" applyFont="1" applyFill="1"/>
    <xf numFmtId="0" fontId="22" fillId="7" borderId="13" xfId="0" applyFont="1" applyFill="1" applyBorder="1"/>
    <xf numFmtId="0" fontId="22" fillId="0" borderId="41" xfId="0" applyFont="1" applyBorder="1" applyAlignment="1">
      <alignment horizontal="right"/>
    </xf>
    <xf numFmtId="10" fontId="26" fillId="0" borderId="0" xfId="3" applyNumberFormat="1" applyFont="1" applyFill="1" applyBorder="1"/>
    <xf numFmtId="165" fontId="27" fillId="5" borderId="0" xfId="5" applyFont="1" applyFill="1" applyBorder="1" applyAlignment="1">
      <alignment horizontal="right"/>
    </xf>
    <xf numFmtId="10" fontId="27" fillId="0" borderId="0" xfId="3" applyNumberFormat="1" applyFont="1" applyFill="1" applyAlignment="1">
      <alignment vertical="center"/>
    </xf>
    <xf numFmtId="9" fontId="25" fillId="0" borderId="0" xfId="3" applyFont="1" applyFill="1" applyAlignment="1">
      <alignment horizontal="center"/>
    </xf>
    <xf numFmtId="2" fontId="48" fillId="0" borderId="0" xfId="0" applyNumberFormat="1" applyFont="1" applyAlignment="1">
      <alignment horizontal="center"/>
    </xf>
    <xf numFmtId="10" fontId="50" fillId="0" borderId="0" xfId="3" applyNumberFormat="1" applyFont="1" applyFill="1" applyAlignment="1">
      <alignment horizontal="right"/>
    </xf>
    <xf numFmtId="3" fontId="27" fillId="3" borderId="46" xfId="0" applyNumberFormat="1" applyFont="1" applyFill="1" applyBorder="1" applyAlignment="1">
      <alignment horizontal="center"/>
    </xf>
    <xf numFmtId="10" fontId="26" fillId="0" borderId="0" xfId="3" applyNumberFormat="1" applyFont="1" applyFill="1" applyAlignment="1">
      <alignment horizontal="right"/>
    </xf>
    <xf numFmtId="1" fontId="26" fillId="0" borderId="0" xfId="0" applyNumberFormat="1" applyFont="1" applyAlignment="1">
      <alignment horizontal="center"/>
    </xf>
    <xf numFmtId="165" fontId="23" fillId="0" borderId="0" xfId="0" applyNumberFormat="1" applyFont="1" applyAlignment="1">
      <alignment horizontal="right"/>
    </xf>
    <xf numFmtId="10" fontId="26" fillId="0" borderId="0" xfId="3" applyNumberFormat="1" applyFont="1" applyFill="1"/>
    <xf numFmtId="0" fontId="22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10" fontId="51" fillId="0" borderId="0" xfId="3" applyNumberFormat="1" applyFont="1" applyFill="1"/>
    <xf numFmtId="0" fontId="52" fillId="0" borderId="0" xfId="0" applyFont="1" applyAlignment="1">
      <alignment horizontal="center"/>
    </xf>
    <xf numFmtId="10" fontId="49" fillId="11" borderId="0" xfId="3" applyNumberFormat="1" applyFont="1" applyFill="1" applyAlignment="1">
      <alignment horizontal="right"/>
    </xf>
    <xf numFmtId="165" fontId="22" fillId="11" borderId="0" xfId="5" applyFont="1" applyFill="1" applyBorder="1" applyAlignment="1">
      <alignment horizontal="right"/>
    </xf>
    <xf numFmtId="10" fontId="49" fillId="12" borderId="0" xfId="3" applyNumberFormat="1" applyFont="1" applyFill="1" applyAlignment="1">
      <alignment horizontal="right"/>
    </xf>
    <xf numFmtId="165" fontId="22" fillId="12" borderId="0" xfId="5" applyFont="1" applyFill="1" applyBorder="1" applyAlignment="1">
      <alignment horizontal="right"/>
    </xf>
    <xf numFmtId="0" fontId="7" fillId="3" borderId="3" xfId="8" applyFont="1" applyFill="1" applyBorder="1" applyAlignment="1">
      <alignment horizontal="center" vertical="center" wrapText="1"/>
    </xf>
    <xf numFmtId="1" fontId="7" fillId="3" borderId="1" xfId="8" applyNumberFormat="1" applyFont="1" applyFill="1" applyBorder="1" applyAlignment="1">
      <alignment horizontal="center"/>
    </xf>
    <xf numFmtId="1" fontId="7" fillId="3" borderId="1" xfId="8" applyNumberFormat="1" applyFont="1" applyFill="1" applyBorder="1" applyAlignment="1">
      <alignment horizontal="center" wrapText="1"/>
    </xf>
    <xf numFmtId="0" fontId="7" fillId="3" borderId="40" xfId="8" applyFont="1" applyFill="1" applyBorder="1" applyAlignment="1">
      <alignment horizontal="center"/>
    </xf>
    <xf numFmtId="0" fontId="36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right" vertical="center"/>
    </xf>
    <xf numFmtId="0" fontId="29" fillId="0" borderId="11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16" xfId="0" applyFont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23" fillId="0" borderId="41" xfId="0" applyFont="1" applyBorder="1" applyAlignment="1">
      <alignment horizontal="right"/>
    </xf>
    <xf numFmtId="0" fontId="13" fillId="0" borderId="41" xfId="0" applyFont="1" applyBorder="1" applyAlignment="1">
      <alignment horizontal="right" vertical="center"/>
    </xf>
    <xf numFmtId="0" fontId="13" fillId="0" borderId="48" xfId="0" applyFont="1" applyBorder="1" applyAlignment="1">
      <alignment horizontal="right" vertical="center"/>
    </xf>
    <xf numFmtId="0" fontId="27" fillId="7" borderId="12" xfId="0" applyFont="1" applyFill="1" applyBorder="1" applyAlignment="1">
      <alignment horizontal="right"/>
    </xf>
    <xf numFmtId="0" fontId="27" fillId="7" borderId="13" xfId="0" applyFont="1" applyFill="1" applyBorder="1" applyAlignment="1">
      <alignment horizontal="right"/>
    </xf>
    <xf numFmtId="0" fontId="13" fillId="9" borderId="12" xfId="0" applyFont="1" applyFill="1" applyBorder="1" applyAlignment="1">
      <alignment horizontal="right" vertical="center"/>
    </xf>
    <xf numFmtId="0" fontId="13" fillId="9" borderId="13" xfId="0" applyFont="1" applyFill="1" applyBorder="1" applyAlignment="1">
      <alignment horizontal="right" vertical="center"/>
    </xf>
    <xf numFmtId="0" fontId="13" fillId="9" borderId="14" xfId="0" applyFont="1" applyFill="1" applyBorder="1" applyAlignment="1">
      <alignment horizontal="right" vertical="center"/>
    </xf>
    <xf numFmtId="4" fontId="33" fillId="0" borderId="0" xfId="6" applyNumberFormat="1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right" vertical="center"/>
    </xf>
    <xf numFmtId="0" fontId="35" fillId="0" borderId="13" xfId="0" applyFont="1" applyBorder="1" applyAlignment="1">
      <alignment horizontal="right" vertical="center"/>
    </xf>
    <xf numFmtId="0" fontId="35" fillId="0" borderId="14" xfId="0" applyFont="1" applyBorder="1" applyAlignment="1">
      <alignment horizontal="right" vertical="center"/>
    </xf>
    <xf numFmtId="0" fontId="28" fillId="0" borderId="4" xfId="0" applyFont="1" applyBorder="1" applyAlignment="1">
      <alignment horizontal="right" vertical="center"/>
    </xf>
    <xf numFmtId="0" fontId="26" fillId="0" borderId="0" xfId="0" applyFont="1" applyAlignment="1">
      <alignment horizontal="right"/>
    </xf>
    <xf numFmtId="0" fontId="26" fillId="0" borderId="16" xfId="0" applyFont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21" fillId="0" borderId="44" xfId="0" applyFont="1" applyBorder="1" applyAlignment="1">
      <alignment horizontal="right"/>
    </xf>
    <xf numFmtId="0" fontId="21" fillId="0" borderId="45" xfId="0" applyFont="1" applyBorder="1" applyAlignment="1">
      <alignment horizontal="right"/>
    </xf>
    <xf numFmtId="0" fontId="9" fillId="0" borderId="4" xfId="0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right" vertical="center" wrapText="1"/>
    </xf>
    <xf numFmtId="14" fontId="6" fillId="2" borderId="10" xfId="2" applyNumberFormat="1" applyFont="1" applyFill="1" applyBorder="1" applyAlignment="1">
      <alignment horizontal="center" vertical="center" wrapText="1"/>
    </xf>
    <xf numFmtId="14" fontId="6" fillId="2" borderId="25" xfId="2" applyNumberFormat="1" applyFont="1" applyFill="1" applyBorder="1" applyAlignment="1">
      <alignment horizontal="center" vertical="center" wrapText="1"/>
    </xf>
    <xf numFmtId="14" fontId="6" fillId="2" borderId="7" xfId="2" applyNumberFormat="1" applyFont="1" applyFill="1" applyBorder="1" applyAlignment="1">
      <alignment horizontal="center" vertical="center" wrapText="1"/>
    </xf>
    <xf numFmtId="0" fontId="6" fillId="2" borderId="26" xfId="2" applyFont="1" applyFill="1" applyBorder="1" applyAlignment="1">
      <alignment horizontal="left"/>
    </xf>
    <xf numFmtId="0" fontId="6" fillId="2" borderId="27" xfId="2" applyFont="1" applyFill="1" applyBorder="1" applyAlignment="1">
      <alignment horizontal="left"/>
    </xf>
    <xf numFmtId="0" fontId="6" fillId="2" borderId="28" xfId="2" applyFont="1" applyFill="1" applyBorder="1" applyAlignment="1">
      <alignment horizontal="left"/>
    </xf>
    <xf numFmtId="0" fontId="6" fillId="2" borderId="17" xfId="2" applyFont="1" applyFill="1" applyBorder="1" applyAlignment="1">
      <alignment horizontal="left"/>
    </xf>
    <xf numFmtId="0" fontId="6" fillId="2" borderId="29" xfId="2" applyFont="1" applyFill="1" applyBorder="1" applyAlignment="1">
      <alignment horizontal="left"/>
    </xf>
    <xf numFmtId="0" fontId="6" fillId="2" borderId="8" xfId="2" applyFont="1" applyFill="1" applyBorder="1" applyAlignment="1">
      <alignment horizontal="left"/>
    </xf>
    <xf numFmtId="0" fontId="6" fillId="2" borderId="44" xfId="2" applyFont="1" applyFill="1" applyBorder="1" applyAlignment="1">
      <alignment horizontal="center"/>
    </xf>
    <xf numFmtId="0" fontId="6" fillId="2" borderId="45" xfId="2" applyFont="1" applyFill="1" applyBorder="1" applyAlignment="1">
      <alignment horizontal="center"/>
    </xf>
    <xf numFmtId="0" fontId="6" fillId="2" borderId="11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34" xfId="2" applyFont="1" applyFill="1" applyBorder="1" applyAlignment="1">
      <alignment horizontal="center"/>
    </xf>
    <xf numFmtId="0" fontId="6" fillId="2" borderId="51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center"/>
    </xf>
    <xf numFmtId="0" fontId="5" fillId="2" borderId="9" xfId="2" applyFont="1" applyFill="1" applyBorder="1" applyAlignment="1">
      <alignment horizontal="center"/>
    </xf>
    <xf numFmtId="0" fontId="7" fillId="2" borderId="22" xfId="2" applyFont="1" applyFill="1" applyBorder="1" applyAlignment="1">
      <alignment horizontal="right" vertical="top" wrapText="1"/>
    </xf>
    <xf numFmtId="0" fontId="7" fillId="2" borderId="23" xfId="2" applyFont="1" applyFill="1" applyBorder="1" applyAlignment="1">
      <alignment horizontal="right" vertical="top" wrapText="1"/>
    </xf>
    <xf numFmtId="0" fontId="7" fillId="2" borderId="24" xfId="2" applyFont="1" applyFill="1" applyBorder="1" applyAlignment="1">
      <alignment horizontal="right" vertical="top" wrapText="1"/>
    </xf>
    <xf numFmtId="0" fontId="53" fillId="2" borderId="0" xfId="9" applyFont="1" applyFill="1" applyAlignment="1">
      <alignment horizontal="right"/>
    </xf>
    <xf numFmtId="0" fontId="53" fillId="2" borderId="0" xfId="9" applyFont="1" applyFill="1"/>
    <xf numFmtId="0" fontId="7" fillId="3" borderId="30" xfId="8" applyFont="1" applyFill="1" applyBorder="1" applyAlignment="1">
      <alignment horizontal="center" vertical="center"/>
    </xf>
    <xf numFmtId="0" fontId="7" fillId="3" borderId="31" xfId="8" applyFont="1" applyFill="1" applyBorder="1" applyAlignment="1">
      <alignment horizontal="center" vertical="center"/>
    </xf>
    <xf numFmtId="0" fontId="7" fillId="3" borderId="30" xfId="8" applyFont="1" applyFill="1" applyBorder="1" applyAlignment="1">
      <alignment horizontal="center" vertical="center" wrapText="1"/>
    </xf>
    <xf numFmtId="0" fontId="7" fillId="3" borderId="31" xfId="8" applyFont="1" applyFill="1" applyBorder="1" applyAlignment="1">
      <alignment horizontal="center" vertical="center" wrapText="1"/>
    </xf>
    <xf numFmtId="0" fontId="7" fillId="3" borderId="2" xfId="8" applyFont="1" applyFill="1" applyBorder="1" applyAlignment="1">
      <alignment horizontal="center" vertical="center"/>
    </xf>
    <xf numFmtId="0" fontId="7" fillId="3" borderId="1" xfId="8" applyFont="1" applyFill="1" applyBorder="1" applyAlignment="1">
      <alignment horizontal="center" vertical="center"/>
    </xf>
    <xf numFmtId="0" fontId="41" fillId="0" borderId="12" xfId="0" applyFont="1" applyBorder="1" applyAlignment="1">
      <alignment horizontal="center"/>
    </xf>
    <xf numFmtId="0" fontId="41" fillId="0" borderId="13" xfId="0" applyFont="1" applyBorder="1" applyAlignment="1">
      <alignment horizontal="center"/>
    </xf>
    <xf numFmtId="0" fontId="41" fillId="0" borderId="14" xfId="0" applyFont="1" applyBorder="1" applyAlignment="1">
      <alignment horizontal="center"/>
    </xf>
    <xf numFmtId="0" fontId="41" fillId="0" borderId="49" xfId="0" applyFont="1" applyBorder="1" applyAlignment="1">
      <alignment horizontal="center" vertical="center" wrapText="1"/>
    </xf>
    <xf numFmtId="0" fontId="42" fillId="0" borderId="50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right" vertical="center" wrapText="1"/>
    </xf>
    <xf numFmtId="0" fontId="22" fillId="7" borderId="12" xfId="0" applyFont="1" applyFill="1" applyBorder="1" applyAlignment="1">
      <alignment horizontal="center"/>
    </xf>
    <xf numFmtId="0" fontId="22" fillId="7" borderId="13" xfId="0" applyFont="1" applyFill="1" applyBorder="1" applyAlignment="1">
      <alignment horizontal="center"/>
    </xf>
    <xf numFmtId="0" fontId="46" fillId="0" borderId="45" xfId="0" applyFont="1" applyBorder="1" applyAlignment="1">
      <alignment horizontal="right"/>
    </xf>
    <xf numFmtId="0" fontId="46" fillId="0" borderId="0" xfId="0" applyFont="1" applyAlignment="1">
      <alignment horizontal="right"/>
    </xf>
    <xf numFmtId="0" fontId="42" fillId="7" borderId="12" xfId="0" applyFont="1" applyFill="1" applyBorder="1" applyAlignment="1">
      <alignment horizontal="right"/>
    </xf>
    <xf numFmtId="0" fontId="42" fillId="7" borderId="13" xfId="0" applyFont="1" applyFill="1" applyBorder="1" applyAlignment="1">
      <alignment horizontal="right"/>
    </xf>
    <xf numFmtId="0" fontId="47" fillId="0" borderId="0" xfId="0" applyFont="1" applyAlignment="1">
      <alignment horizontal="right"/>
    </xf>
    <xf numFmtId="0" fontId="46" fillId="12" borderId="0" xfId="0" applyFont="1" applyFill="1" applyAlignment="1">
      <alignment horizontal="right"/>
    </xf>
    <xf numFmtId="0" fontId="46" fillId="0" borderId="41" xfId="0" applyFont="1" applyBorder="1" applyAlignment="1">
      <alignment horizontal="right"/>
    </xf>
    <xf numFmtId="0" fontId="46" fillId="11" borderId="0" xfId="0" applyFont="1" applyFill="1" applyAlignment="1">
      <alignment horizontal="right"/>
    </xf>
    <xf numFmtId="0" fontId="54" fillId="4" borderId="19" xfId="2" applyFont="1" applyFill="1" applyBorder="1" applyAlignment="1">
      <alignment horizontal="center" vertical="center"/>
    </xf>
    <xf numFmtId="0" fontId="54" fillId="4" borderId="20" xfId="2" applyFont="1" applyFill="1" applyBorder="1" applyAlignment="1">
      <alignment horizontal="center" vertical="center"/>
    </xf>
    <xf numFmtId="0" fontId="54" fillId="4" borderId="21" xfId="2" applyFont="1" applyFill="1" applyBorder="1" applyAlignment="1">
      <alignment horizontal="center" vertical="center"/>
    </xf>
    <xf numFmtId="0" fontId="55" fillId="0" borderId="18" xfId="8" applyFont="1" applyBorder="1" applyAlignment="1">
      <alignment horizontal="center" vertical="center"/>
    </xf>
    <xf numFmtId="0" fontId="55" fillId="0" borderId="8" xfId="8" applyFont="1" applyBorder="1" applyAlignment="1">
      <alignment horizontal="center" vertical="center"/>
    </xf>
    <xf numFmtId="0" fontId="56" fillId="0" borderId="4" xfId="8" applyFont="1" applyBorder="1" applyAlignment="1">
      <alignment vertical="center"/>
    </xf>
    <xf numFmtId="0" fontId="55" fillId="0" borderId="4" xfId="8" applyFont="1" applyBorder="1" applyAlignment="1">
      <alignment horizontal="center" vertical="center"/>
    </xf>
    <xf numFmtId="1" fontId="55" fillId="0" borderId="4" xfId="8" applyNumberFormat="1" applyFont="1" applyBorder="1" applyAlignment="1">
      <alignment horizontal="center"/>
    </xf>
    <xf numFmtId="1" fontId="55" fillId="0" borderId="4" xfId="8" applyNumberFormat="1" applyFont="1" applyBorder="1" applyAlignment="1">
      <alignment horizontal="center" wrapText="1"/>
    </xf>
    <xf numFmtId="0" fontId="57" fillId="0" borderId="5" xfId="8" applyFont="1" applyBorder="1" applyAlignment="1">
      <alignment horizontal="center"/>
    </xf>
    <xf numFmtId="49" fontId="58" fillId="0" borderId="4" xfId="0" applyNumberFormat="1" applyFont="1" applyBorder="1" applyAlignment="1">
      <alignment horizontal="center"/>
    </xf>
    <xf numFmtId="0" fontId="58" fillId="0" borderId="4" xfId="0" applyFont="1" applyBorder="1" applyAlignment="1">
      <alignment horizontal="left"/>
    </xf>
    <xf numFmtId="16" fontId="57" fillId="0" borderId="4" xfId="0" applyNumberFormat="1" applyFont="1" applyBorder="1" applyAlignment="1">
      <alignment horizontal="center"/>
    </xf>
    <xf numFmtId="1" fontId="57" fillId="0" borderId="4" xfId="0" applyNumberFormat="1" applyFont="1" applyBorder="1" applyAlignment="1">
      <alignment horizontal="center"/>
    </xf>
    <xf numFmtId="1" fontId="57" fillId="0" borderId="4" xfId="0" applyNumberFormat="1" applyFont="1" applyBorder="1" applyAlignment="1">
      <alignment horizontal="center" wrapText="1"/>
    </xf>
    <xf numFmtId="0" fontId="59" fillId="0" borderId="4" xfId="10" applyFont="1" applyBorder="1" applyAlignment="1">
      <alignment horizontal="center"/>
    </xf>
    <xf numFmtId="0" fontId="57" fillId="0" borderId="4" xfId="10" applyFont="1" applyBorder="1" applyAlignment="1">
      <alignment horizontal="center"/>
    </xf>
    <xf numFmtId="0" fontId="57" fillId="0" borderId="0" xfId="0" applyFont="1" applyAlignment="1">
      <alignment horizontal="center"/>
    </xf>
    <xf numFmtId="0" fontId="57" fillId="0" borderId="0" xfId="0" applyFont="1"/>
    <xf numFmtId="172" fontId="57" fillId="0" borderId="6" xfId="0" applyNumberFormat="1" applyFont="1" applyBorder="1" applyAlignment="1">
      <alignment horizontal="center" wrapText="1"/>
    </xf>
    <xf numFmtId="49" fontId="57" fillId="0" borderId="18" xfId="0" applyNumberFormat="1" applyFont="1" applyBorder="1" applyAlignment="1">
      <alignment horizontal="center"/>
    </xf>
    <xf numFmtId="49" fontId="57" fillId="0" borderId="8" xfId="0" applyNumberFormat="1" applyFont="1" applyBorder="1" applyAlignment="1">
      <alignment horizontal="center"/>
    </xf>
    <xf numFmtId="49" fontId="57" fillId="0" borderId="4" xfId="0" applyNumberFormat="1" applyFont="1" applyBorder="1"/>
    <xf numFmtId="0" fontId="57" fillId="0" borderId="4" xfId="8" applyFont="1" applyBorder="1" applyAlignment="1">
      <alignment horizontal="center" vertical="center"/>
    </xf>
    <xf numFmtId="0" fontId="57" fillId="0" borderId="4" xfId="8" applyFont="1" applyBorder="1" applyAlignment="1">
      <alignment horizontal="left" vertical="center"/>
    </xf>
    <xf numFmtId="0" fontId="57" fillId="0" borderId="4" xfId="0" applyFont="1" applyBorder="1" applyAlignment="1">
      <alignment horizontal="center"/>
    </xf>
    <xf numFmtId="0" fontId="57" fillId="0" borderId="4" xfId="0" applyFont="1" applyBorder="1"/>
    <xf numFmtId="1" fontId="57" fillId="0" borderId="9" xfId="0" applyNumberFormat="1" applyFont="1" applyBorder="1" applyAlignment="1">
      <alignment horizontal="center" vertical="center" wrapText="1"/>
    </xf>
    <xf numFmtId="0" fontId="57" fillId="0" borderId="54" xfId="0" applyFont="1" applyBorder="1" applyAlignment="1">
      <alignment horizontal="center" vertical="center"/>
    </xf>
    <xf numFmtId="0" fontId="57" fillId="0" borderId="55" xfId="0" applyFont="1" applyBorder="1" applyAlignment="1">
      <alignment horizontal="center" vertical="center"/>
    </xf>
    <xf numFmtId="0" fontId="57" fillId="0" borderId="55" xfId="0" applyFont="1" applyBorder="1" applyAlignment="1">
      <alignment horizontal="left" vertical="center"/>
    </xf>
    <xf numFmtId="0" fontId="57" fillId="0" borderId="4" xfId="0" applyFont="1" applyBorder="1" applyAlignment="1">
      <alignment horizontal="center" vertical="center"/>
    </xf>
    <xf numFmtId="0" fontId="57" fillId="0" borderId="4" xfId="0" applyFont="1" applyBorder="1" applyAlignment="1">
      <alignment horizontal="left" vertical="center"/>
    </xf>
    <xf numFmtId="0" fontId="55" fillId="0" borderId="4" xfId="0" applyFont="1" applyBorder="1" applyAlignment="1">
      <alignment horizontal="center"/>
    </xf>
    <xf numFmtId="1" fontId="55" fillId="0" borderId="4" xfId="0" applyNumberFormat="1" applyFont="1" applyBorder="1" applyAlignment="1">
      <alignment horizontal="center"/>
    </xf>
    <xf numFmtId="1" fontId="55" fillId="0" borderId="4" xfId="0" applyNumberFormat="1" applyFont="1" applyBorder="1" applyAlignment="1">
      <alignment horizontal="center" wrapText="1"/>
    </xf>
    <xf numFmtId="16" fontId="57" fillId="0" borderId="4" xfId="8" applyNumberFormat="1" applyFont="1" applyBorder="1" applyAlignment="1">
      <alignment horizontal="center"/>
    </xf>
    <xf numFmtId="1" fontId="57" fillId="0" borderId="0" xfId="8" applyNumberFormat="1" applyFont="1" applyAlignment="1">
      <alignment horizontal="center"/>
    </xf>
    <xf numFmtId="1" fontId="57" fillId="0" borderId="0" xfId="8" applyNumberFormat="1" applyFont="1" applyAlignment="1">
      <alignment horizontal="center" wrapText="1"/>
    </xf>
    <xf numFmtId="2" fontId="57" fillId="0" borderId="6" xfId="8" applyNumberFormat="1" applyFont="1" applyBorder="1" applyAlignment="1">
      <alignment horizontal="center"/>
    </xf>
    <xf numFmtId="0" fontId="57" fillId="5" borderId="4" xfId="0" applyFont="1" applyFill="1" applyBorder="1"/>
    <xf numFmtId="1" fontId="57" fillId="0" borderId="4" xfId="8" applyNumberFormat="1" applyFont="1" applyBorder="1" applyAlignment="1">
      <alignment horizontal="center"/>
    </xf>
    <xf numFmtId="1" fontId="57" fillId="0" borderId="4" xfId="8" applyNumberFormat="1" applyFont="1" applyBorder="1" applyAlignment="1">
      <alignment horizontal="center" wrapText="1"/>
    </xf>
    <xf numFmtId="0" fontId="57" fillId="0" borderId="6" xfId="8" applyFont="1" applyBorder="1" applyAlignment="1">
      <alignment horizontal="center"/>
    </xf>
    <xf numFmtId="49" fontId="57" fillId="0" borderId="18" xfId="8" applyNumberFormat="1" applyFont="1" applyBorder="1" applyAlignment="1">
      <alignment horizontal="center"/>
    </xf>
    <xf numFmtId="49" fontId="57" fillId="0" borderId="8" xfId="8" applyNumberFormat="1" applyFont="1" applyBorder="1" applyAlignment="1">
      <alignment horizontal="center"/>
    </xf>
    <xf numFmtId="0" fontId="55" fillId="5" borderId="4" xfId="8" applyFont="1" applyFill="1" applyBorder="1" applyAlignment="1">
      <alignment horizontal="left"/>
    </xf>
    <xf numFmtId="0" fontId="57" fillId="0" borderId="4" xfId="8" applyFont="1" applyBorder="1" applyAlignment="1">
      <alignment horizontal="center"/>
    </xf>
    <xf numFmtId="168" fontId="57" fillId="0" borderId="4" xfId="8" applyNumberFormat="1" applyFont="1" applyBorder="1" applyAlignment="1">
      <alignment horizontal="center"/>
    </xf>
    <xf numFmtId="0" fontId="57" fillId="0" borderId="18" xfId="0" applyFont="1" applyBorder="1"/>
    <xf numFmtId="1" fontId="57" fillId="0" borderId="4" xfId="11" applyNumberFormat="1" applyFont="1" applyBorder="1" applyAlignment="1">
      <alignment horizontal="center"/>
    </xf>
    <xf numFmtId="1" fontId="57" fillId="0" borderId="4" xfId="11" applyNumberFormat="1" applyFont="1" applyBorder="1" applyAlignment="1">
      <alignment horizontal="center" wrapText="1"/>
    </xf>
    <xf numFmtId="49" fontId="55" fillId="0" borderId="37" xfId="8" applyNumberFormat="1" applyFont="1" applyBorder="1" applyAlignment="1">
      <alignment horizontal="center"/>
    </xf>
    <xf numFmtId="49" fontId="55" fillId="0" borderId="29" xfId="8" applyNumberFormat="1" applyFont="1" applyBorder="1" applyAlignment="1">
      <alignment horizontal="center"/>
    </xf>
    <xf numFmtId="0" fontId="56" fillId="5" borderId="4" xfId="8" applyFont="1" applyFill="1" applyBorder="1" applyAlignment="1">
      <alignment vertical="center"/>
    </xf>
    <xf numFmtId="0" fontId="55" fillId="0" borderId="8" xfId="8" applyFont="1" applyBorder="1" applyAlignment="1">
      <alignment horizontal="center"/>
    </xf>
    <xf numFmtId="168" fontId="57" fillId="0" borderId="4" xfId="0" applyNumberFormat="1" applyFont="1" applyBorder="1" applyAlignment="1">
      <alignment horizontal="center"/>
    </xf>
    <xf numFmtId="2" fontId="57" fillId="0" borderId="4" xfId="8" applyNumberFormat="1" applyFont="1" applyBorder="1" applyAlignment="1">
      <alignment horizontal="center"/>
    </xf>
    <xf numFmtId="49" fontId="57" fillId="0" borderId="4" xfId="0" applyNumberFormat="1" applyFont="1" applyBorder="1" applyAlignment="1">
      <alignment horizontal="center"/>
    </xf>
    <xf numFmtId="12" fontId="57" fillId="0" borderId="4" xfId="8" applyNumberFormat="1" applyFont="1" applyBorder="1" applyAlignment="1">
      <alignment horizontal="center"/>
    </xf>
    <xf numFmtId="49" fontId="57" fillId="0" borderId="4" xfId="8" applyNumberFormat="1" applyFont="1" applyBorder="1"/>
    <xf numFmtId="49" fontId="58" fillId="2" borderId="11" xfId="8" applyNumberFormat="1" applyFont="1" applyFill="1" applyBorder="1" applyAlignment="1">
      <alignment horizontal="center" vertical="center"/>
    </xf>
    <xf numFmtId="49" fontId="58" fillId="2" borderId="0" xfId="8" applyNumberFormat="1" applyFont="1" applyFill="1" applyAlignment="1">
      <alignment horizontal="center" vertical="center"/>
    </xf>
    <xf numFmtId="0" fontId="57" fillId="2" borderId="0" xfId="8" applyFont="1" applyFill="1"/>
    <xf numFmtId="1" fontId="57" fillId="2" borderId="0" xfId="8" applyNumberFormat="1" applyFont="1" applyFill="1" applyAlignment="1">
      <alignment horizontal="center"/>
    </xf>
    <xf numFmtId="167" fontId="57" fillId="2" borderId="0" xfId="8" applyNumberFormat="1" applyFont="1" applyFill="1" applyAlignment="1">
      <alignment horizontal="center" wrapText="1"/>
    </xf>
    <xf numFmtId="0" fontId="57" fillId="2" borderId="16" xfId="8" applyFont="1" applyFill="1" applyBorder="1" applyAlignment="1">
      <alignment horizontal="center"/>
    </xf>
    <xf numFmtId="0" fontId="57" fillId="3" borderId="12" xfId="8" applyFont="1" applyFill="1" applyBorder="1" applyAlignment="1">
      <alignment horizontal="center"/>
    </xf>
    <xf numFmtId="0" fontId="57" fillId="3" borderId="13" xfId="8" applyFont="1" applyFill="1" applyBorder="1" applyAlignment="1">
      <alignment horizontal="center"/>
    </xf>
    <xf numFmtId="0" fontId="57" fillId="3" borderId="13" xfId="8" applyFont="1" applyFill="1" applyBorder="1"/>
    <xf numFmtId="0" fontId="55" fillId="3" borderId="13" xfId="8" applyFont="1" applyFill="1" applyBorder="1" applyAlignment="1">
      <alignment horizontal="center"/>
    </xf>
    <xf numFmtId="1" fontId="55" fillId="3" borderId="13" xfId="8" applyNumberFormat="1" applyFont="1" applyFill="1" applyBorder="1" applyAlignment="1">
      <alignment horizontal="center"/>
    </xf>
    <xf numFmtId="167" fontId="57" fillId="3" borderId="13" xfId="8" applyNumberFormat="1" applyFont="1" applyFill="1" applyBorder="1" applyAlignment="1">
      <alignment horizontal="center" wrapText="1"/>
    </xf>
    <xf numFmtId="0" fontId="57" fillId="3" borderId="14" xfId="8" applyFont="1" applyFill="1" applyBorder="1" applyAlignment="1">
      <alignment horizontal="center"/>
    </xf>
    <xf numFmtId="0" fontId="55" fillId="0" borderId="34" xfId="8" applyFont="1" applyBorder="1" applyAlignment="1">
      <alignment horizontal="right"/>
    </xf>
    <xf numFmtId="0" fontId="55" fillId="0" borderId="51" xfId="8" applyFont="1" applyBorder="1" applyAlignment="1">
      <alignment horizontal="right"/>
    </xf>
    <xf numFmtId="0" fontId="55" fillId="0" borderId="35" xfId="8" applyFont="1" applyBorder="1" applyAlignment="1">
      <alignment horizontal="right"/>
    </xf>
    <xf numFmtId="1" fontId="57" fillId="0" borderId="6" xfId="0" applyNumberFormat="1" applyFont="1" applyBorder="1" applyAlignment="1">
      <alignment horizontal="center"/>
    </xf>
    <xf numFmtId="0" fontId="57" fillId="0" borderId="15" xfId="0" applyFont="1" applyBorder="1" applyAlignment="1">
      <alignment horizontal="center"/>
    </xf>
    <xf numFmtId="167" fontId="57" fillId="0" borderId="6" xfId="8" applyNumberFormat="1" applyFont="1" applyBorder="1" applyAlignment="1">
      <alignment horizontal="right"/>
    </xf>
    <xf numFmtId="0" fontId="57" fillId="2" borderId="15" xfId="8" applyFont="1" applyFill="1" applyBorder="1" applyAlignment="1">
      <alignment horizontal="center"/>
    </xf>
    <xf numFmtId="0" fontId="57" fillId="2" borderId="36" xfId="8" applyFont="1" applyFill="1" applyBorder="1" applyAlignment="1">
      <alignment horizontal="center"/>
    </xf>
    <xf numFmtId="0" fontId="55" fillId="0" borderId="37" xfId="8" applyFont="1" applyBorder="1" applyAlignment="1">
      <alignment horizontal="right"/>
    </xf>
    <xf numFmtId="0" fontId="55" fillId="0" borderId="29" xfId="8" applyFont="1" applyBorder="1" applyAlignment="1">
      <alignment horizontal="right"/>
    </xf>
    <xf numFmtId="0" fontId="55" fillId="0" borderId="8" xfId="8" applyFont="1" applyBorder="1" applyAlignment="1">
      <alignment horizontal="right"/>
    </xf>
    <xf numFmtId="0" fontId="57" fillId="0" borderId="4" xfId="8" applyFont="1" applyBorder="1" applyAlignment="1">
      <alignment horizontal="right"/>
    </xf>
    <xf numFmtId="167" fontId="57" fillId="0" borderId="17" xfId="8" applyNumberFormat="1" applyFont="1" applyBorder="1" applyAlignment="1">
      <alignment horizontal="center"/>
    </xf>
    <xf numFmtId="167" fontId="57" fillId="0" borderId="38" xfId="8" applyNumberFormat="1" applyFont="1" applyBorder="1" applyAlignment="1">
      <alignment horizontal="center"/>
    </xf>
    <xf numFmtId="167" fontId="57" fillId="0" borderId="17" xfId="8" applyNumberFormat="1" applyFont="1" applyBorder="1" applyAlignment="1">
      <alignment horizontal="right" wrapText="1"/>
    </xf>
    <xf numFmtId="167" fontId="57" fillId="0" borderId="8" xfId="8" applyNumberFormat="1" applyFont="1" applyBorder="1" applyAlignment="1">
      <alignment horizontal="right" wrapText="1"/>
    </xf>
    <xf numFmtId="0" fontId="55" fillId="0" borderId="31" xfId="8" applyFont="1" applyBorder="1" applyAlignment="1">
      <alignment horizontal="right"/>
    </xf>
    <xf numFmtId="0" fontId="55" fillId="0" borderId="53" xfId="8" applyFont="1" applyBorder="1" applyAlignment="1">
      <alignment horizontal="right"/>
    </xf>
    <xf numFmtId="0" fontId="55" fillId="0" borderId="1" xfId="8" applyFont="1" applyBorder="1" applyAlignment="1">
      <alignment horizontal="right"/>
    </xf>
    <xf numFmtId="1" fontId="57" fillId="0" borderId="1" xfId="0" applyNumberFormat="1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1" xfId="8" applyFont="1" applyBorder="1" applyAlignment="1">
      <alignment horizontal="right"/>
    </xf>
    <xf numFmtId="167" fontId="57" fillId="0" borderId="32" xfId="8" applyNumberFormat="1" applyFont="1" applyBorder="1" applyAlignment="1">
      <alignment horizontal="center"/>
    </xf>
    <xf numFmtId="167" fontId="57" fillId="0" borderId="33" xfId="8" applyNumberFormat="1" applyFont="1" applyBorder="1" applyAlignment="1">
      <alignment horizontal="center"/>
    </xf>
    <xf numFmtId="0" fontId="57" fillId="0" borderId="39" xfId="0" applyFont="1" applyBorder="1" applyAlignment="1">
      <alignment horizontal="left"/>
    </xf>
    <xf numFmtId="0" fontId="57" fillId="0" borderId="35" xfId="0" applyFont="1" applyBorder="1" applyAlignment="1">
      <alignment horizontal="left"/>
    </xf>
    <xf numFmtId="0" fontId="57" fillId="0" borderId="6" xfId="0" applyFont="1" applyBorder="1" applyAlignment="1">
      <alignment horizontal="left"/>
    </xf>
    <xf numFmtId="0" fontId="57" fillId="0" borderId="7" xfId="0" applyFont="1" applyBorder="1" applyAlignment="1">
      <alignment horizontal="left"/>
    </xf>
    <xf numFmtId="0" fontId="57" fillId="0" borderId="37" xfId="0" applyFont="1" applyBorder="1" applyAlignment="1">
      <alignment horizontal="left" wrapText="1"/>
    </xf>
    <xf numFmtId="0" fontId="57" fillId="0" borderId="29" xfId="0" applyFont="1" applyBorder="1" applyAlignment="1">
      <alignment horizontal="left" wrapText="1"/>
    </xf>
    <xf numFmtId="0" fontId="57" fillId="0" borderId="38" xfId="0" applyFont="1" applyBorder="1" applyAlignment="1">
      <alignment horizontal="left" wrapText="1"/>
    </xf>
    <xf numFmtId="0" fontId="57" fillId="0" borderId="37" xfId="0" applyFont="1" applyBorder="1" applyAlignment="1">
      <alignment horizontal="left"/>
    </xf>
    <xf numFmtId="0" fontId="57" fillId="0" borderId="29" xfId="0" applyFont="1" applyBorder="1" applyAlignment="1">
      <alignment horizontal="left"/>
    </xf>
    <xf numFmtId="0" fontId="57" fillId="0" borderId="38" xfId="0" applyFont="1" applyBorder="1" applyAlignment="1">
      <alignment horizontal="left"/>
    </xf>
    <xf numFmtId="0" fontId="57" fillId="0" borderId="18" xfId="0" applyFont="1" applyBorder="1" applyAlignment="1">
      <alignment horizontal="left"/>
    </xf>
    <xf numFmtId="0" fontId="57" fillId="0" borderId="8" xfId="0" applyFont="1" applyBorder="1" applyAlignment="1">
      <alignment horizontal="left"/>
    </xf>
    <xf numFmtId="0" fontId="57" fillId="0" borderId="4" xfId="0" applyFont="1" applyBorder="1" applyAlignment="1">
      <alignment horizontal="left"/>
    </xf>
    <xf numFmtId="0" fontId="57" fillId="0" borderId="5" xfId="0" applyFont="1" applyBorder="1" applyAlignment="1">
      <alignment horizontal="left"/>
    </xf>
    <xf numFmtId="0" fontId="55" fillId="3" borderId="12" xfId="8" applyFont="1" applyFill="1" applyBorder="1" applyAlignment="1">
      <alignment horizontal="center"/>
    </xf>
    <xf numFmtId="0" fontId="55" fillId="3" borderId="13" xfId="8" applyFont="1" applyFill="1" applyBorder="1" applyAlignment="1">
      <alignment horizontal="center"/>
    </xf>
    <xf numFmtId="0" fontId="55" fillId="3" borderId="14" xfId="8" applyFont="1" applyFill="1" applyBorder="1" applyAlignment="1">
      <alignment horizontal="center"/>
    </xf>
    <xf numFmtId="0" fontId="57" fillId="0" borderId="56" xfId="8" applyFont="1" applyBorder="1" applyAlignment="1">
      <alignment horizontal="left"/>
    </xf>
    <xf numFmtId="0" fontId="57" fillId="0" borderId="57" xfId="8" applyFont="1" applyBorder="1" applyAlignment="1">
      <alignment horizontal="left"/>
    </xf>
    <xf numFmtId="0" fontId="57" fillId="0" borderId="58" xfId="8" applyFont="1" applyBorder="1" applyAlignment="1">
      <alignment horizontal="left"/>
    </xf>
    <xf numFmtId="0" fontId="55" fillId="13" borderId="4" xfId="2" applyFont="1" applyFill="1" applyBorder="1" applyAlignment="1">
      <alignment horizontal="center"/>
    </xf>
    <xf numFmtId="0" fontId="57" fillId="2" borderId="4" xfId="2" applyFont="1" applyFill="1" applyBorder="1" applyAlignment="1">
      <alignment horizontal="left"/>
    </xf>
    <xf numFmtId="0" fontId="60" fillId="2" borderId="41" xfId="9" applyFont="1" applyFill="1" applyBorder="1" applyAlignment="1">
      <alignment horizontal="center"/>
    </xf>
    <xf numFmtId="14" fontId="60" fillId="2" borderId="0" xfId="9" applyNumberFormat="1" applyFont="1" applyFill="1" applyAlignment="1">
      <alignment horizontal="center" vertical="center" wrapText="1"/>
    </xf>
  </cellXfs>
  <cellStyles count="12">
    <cellStyle name="Millares" xfId="5" builtinId="3"/>
    <cellStyle name="Millares [0]" xfId="6" builtinId="6"/>
    <cellStyle name="Normal" xfId="0" builtinId="0"/>
    <cellStyle name="Normal 2" xfId="1" xr:uid="{00000000-0005-0000-0000-000001000000}"/>
    <cellStyle name="Normal 2 2" xfId="8" xr:uid="{A5AC6AD8-E46D-44D4-B1EE-4DAFFBB35539}"/>
    <cellStyle name="Normal 3" xfId="7" xr:uid="{40AE0FD7-2034-4CEB-866D-D9D980B6EE5B}"/>
    <cellStyle name="Normal 3 2" xfId="11" xr:uid="{BCC84D38-6704-423D-94B5-F5E6A9FF0741}"/>
    <cellStyle name="Normal 5" xfId="10" xr:uid="{EAF63CF4-A60A-43F6-84DF-7A49159D213D}"/>
    <cellStyle name="Normal_CRITERIOS DE EVALUACION PT DE GB" xfId="2" xr:uid="{00000000-0005-0000-0000-000002000000}"/>
    <cellStyle name="Normal_CRITERIOS DE EVALUACION PT DE GB 2" xfId="9" xr:uid="{467F6683-11E4-47F6-9364-72942FE79852}"/>
    <cellStyle name="Porcentaje" xfId="3" builtinId="5"/>
    <cellStyle name="Porcentaje 2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119063</xdr:colOff>
      <xdr:row>0</xdr:row>
      <xdr:rowOff>95250</xdr:rowOff>
    </xdr:from>
    <xdr:to>
      <xdr:col>1</xdr:col>
      <xdr:colOff>962362</xdr:colOff>
      <xdr:row>4</xdr:row>
      <xdr:rowOff>107156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56260D19-9F93-4B31-9181-24187C146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3" y="95250"/>
          <a:ext cx="1843424" cy="1012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ase%20datos%20costos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3845.4989999999998</v>
          </cell>
          <cell r="E146" t="str">
            <v>UND</v>
          </cell>
          <cell r="F146">
            <v>10.119734210526316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95001</v>
          </cell>
          <cell r="B2" t="str">
            <v>PASTA DE HOJALDRE (33644g)</v>
          </cell>
          <cell r="C2" t="str">
            <v>KILO</v>
          </cell>
          <cell r="D2" t="str">
            <v>GRAMO</v>
          </cell>
          <cell r="E2">
            <v>584.85363651792932</v>
          </cell>
          <cell r="F2">
            <v>0.58485363651792932</v>
          </cell>
          <cell r="G2">
            <v>3.2665845367991899</v>
          </cell>
          <cell r="H2">
            <v>3.2665845367991901E-3</v>
          </cell>
          <cell r="I2">
            <v>98.116434338150142</v>
          </cell>
          <cell r="J2">
            <v>9.8116434338150149E-2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(23.3 Kg)</v>
          </cell>
          <cell r="C4" t="str">
            <v>KILO</v>
          </cell>
          <cell r="D4" t="str">
            <v>GRAMO</v>
          </cell>
          <cell r="E4">
            <v>948.40396783549795</v>
          </cell>
          <cell r="F4">
            <v>0.94840396783549796</v>
          </cell>
          <cell r="G4">
            <v>2.792724716553288</v>
          </cell>
          <cell r="H4">
            <v>2.792724716553288E-3</v>
          </cell>
          <cell r="I4">
            <v>23.809523809523807</v>
          </cell>
          <cell r="J4">
            <v>2.3809523809523808E-2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793.83436830892322</v>
          </cell>
          <cell r="F10">
            <v>793.83436830892322</v>
          </cell>
          <cell r="G10">
            <v>15.868516243916272</v>
          </cell>
          <cell r="H10">
            <v>15.868516243916272</v>
          </cell>
          <cell r="I10">
            <v>31.608908872505264</v>
          </cell>
          <cell r="J10">
            <v>31.608908872505264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1238.6712159554729</v>
          </cell>
          <cell r="F11">
            <v>1.2386712159554729</v>
          </cell>
          <cell r="G11">
            <v>3.0026979415142683</v>
          </cell>
          <cell r="H11">
            <v>3.0026979415142684E-3</v>
          </cell>
          <cell r="I11">
            <v>20.408163265306122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(21750g)</v>
          </cell>
          <cell r="C12" t="str">
            <v>KILO</v>
          </cell>
          <cell r="D12" t="str">
            <v>GRAMO</v>
          </cell>
          <cell r="E12">
            <v>990.29529845433274</v>
          </cell>
          <cell r="F12">
            <v>0.99029529845433273</v>
          </cell>
          <cell r="G12">
            <v>2.1484353072376492</v>
          </cell>
          <cell r="H12">
            <v>2.1484353072376491E-3</v>
          </cell>
          <cell r="I12">
            <v>15.456674473067917</v>
          </cell>
          <cell r="J12">
            <v>1.5456674473067917E-2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683.6534171611188</v>
          </cell>
          <cell r="F24">
            <v>683.6534171611188</v>
          </cell>
          <cell r="G24">
            <v>10.058780857638652</v>
          </cell>
          <cell r="H24">
            <v>10.058780857638652</v>
          </cell>
          <cell r="I24">
            <v>25.201607762170244</v>
          </cell>
          <cell r="J24">
            <v>25.201607762170244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970.90652724668178</v>
          </cell>
          <cell r="F25">
            <v>0.97090652724668181</v>
          </cell>
          <cell r="G25">
            <v>4.6256774435915551</v>
          </cell>
          <cell r="H25">
            <v>4.6256774435915549E-3</v>
          </cell>
          <cell r="I25">
            <v>70.847709087107518</v>
          </cell>
          <cell r="J25">
            <v>7.0847709087107524E-2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3307.9748571428568</v>
          </cell>
          <cell r="F28">
            <v>3.3079748571428569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95167</v>
          </cell>
          <cell r="B29" t="str">
            <v>COCCION POLLO RECORTE (31600g)</v>
          </cell>
          <cell r="C29" t="str">
            <v>KILO</v>
          </cell>
          <cell r="D29" t="str">
            <v>GRAMO</v>
          </cell>
          <cell r="E29">
            <v>3244.1848639240507</v>
          </cell>
          <cell r="F29">
            <v>3.2441848639240507</v>
          </cell>
          <cell r="G29">
            <v>0</v>
          </cell>
          <cell r="H29">
            <v>0</v>
          </cell>
          <cell r="I29">
            <v>71.360759493670898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KILO</v>
          </cell>
          <cell r="D36" t="str">
            <v>GRAMO</v>
          </cell>
          <cell r="E36">
            <v>2120.5222677290203</v>
          </cell>
          <cell r="F36">
            <v>2.1205222677290205</v>
          </cell>
          <cell r="G36">
            <v>10.596546310832027</v>
          </cell>
          <cell r="H36">
            <v>1.0596546310832027E-2</v>
          </cell>
          <cell r="I36">
            <v>133.09284607530222</v>
          </cell>
          <cell r="J36">
            <v>0.13309284607530222</v>
          </cell>
        </row>
        <row r="37">
          <cell r="A37" t="str">
            <v>95214</v>
          </cell>
          <cell r="B37" t="str">
            <v>RELLENO P/TORTA CHOCOFRESA (23500g)</v>
          </cell>
          <cell r="C37" t="str">
            <v>KILO</v>
          </cell>
          <cell r="D37" t="str">
            <v>GRAMO</v>
          </cell>
          <cell r="E37">
            <v>1872.9511215744681</v>
          </cell>
          <cell r="F37">
            <v>1.8729511215744681</v>
          </cell>
          <cell r="G37">
            <v>5.335342806484296</v>
          </cell>
          <cell r="H37">
            <v>5.3353428064842959E-3</v>
          </cell>
          <cell r="I37">
            <v>42.127659574468083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95250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1297.2533308306129</v>
          </cell>
          <cell r="F42">
            <v>1297.2533308306129</v>
          </cell>
          <cell r="G42">
            <v>70.788359435540642</v>
          </cell>
          <cell r="H42">
            <v>70.788359435540642</v>
          </cell>
          <cell r="I42">
            <v>158.6154586129754</v>
          </cell>
          <cell r="J42">
            <v>158.6154586129754</v>
          </cell>
        </row>
        <row r="43">
          <cell r="A43" t="str">
            <v>95256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7933.5487464300013</v>
          </cell>
          <cell r="F43">
            <v>7933.5487464300013</v>
          </cell>
          <cell r="G43">
            <v>28.963056999999999</v>
          </cell>
          <cell r="H43">
            <v>28.963056999999999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1753.4719664914771</v>
          </cell>
          <cell r="F46">
            <v>1.7534719664914771</v>
          </cell>
          <cell r="G46">
            <v>14.051182974025975</v>
          </cell>
          <cell r="H46">
            <v>1.4051182974025975E-2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KILO</v>
          </cell>
          <cell r="D47" t="str">
            <v>GRAMO</v>
          </cell>
          <cell r="E47">
            <v>684.79922046276204</v>
          </cell>
          <cell r="F47">
            <v>0.68479922046276198</v>
          </cell>
          <cell r="G47">
            <v>8.0169969631236455</v>
          </cell>
          <cell r="H47">
            <v>8.0169969631236453E-3</v>
          </cell>
          <cell r="I47">
            <v>60.737527114967456</v>
          </cell>
          <cell r="J47">
            <v>6.0737527114967459E-2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647.65550580645174</v>
          </cell>
          <cell r="F50">
            <v>0.6476555058064517</v>
          </cell>
          <cell r="G50">
            <v>12.197808870967741</v>
          </cell>
          <cell r="H50">
            <v>1.2197808870967742E-2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KILO</v>
          </cell>
          <cell r="D51" t="str">
            <v>GRAMO</v>
          </cell>
          <cell r="E51">
            <v>569.29152371342082</v>
          </cell>
          <cell r="F51">
            <v>0.56929152371342084</v>
          </cell>
          <cell r="G51">
            <v>3.8406655398587279</v>
          </cell>
          <cell r="H51">
            <v>3.8406655398587281E-3</v>
          </cell>
          <cell r="I51">
            <v>28.254288597376387</v>
          </cell>
          <cell r="J51">
            <v>2.8254288597376387E-2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KILO</v>
          </cell>
          <cell r="D52" t="str">
            <v>GRAMO</v>
          </cell>
          <cell r="E52">
            <v>1082.8636379845727</v>
          </cell>
          <cell r="F52">
            <v>1.0828636379845726</v>
          </cell>
          <cell r="G52">
            <v>18.813585167644479</v>
          </cell>
          <cell r="H52">
            <v>1.8813585167644479E-2</v>
          </cell>
          <cell r="I52">
            <v>131.96794124853756</v>
          </cell>
          <cell r="J52">
            <v>0.13196794124853756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KILO</v>
          </cell>
          <cell r="D53" t="str">
            <v>GRAMO</v>
          </cell>
          <cell r="E53">
            <v>3656.2497406250004</v>
          </cell>
          <cell r="F53">
            <v>3.6562497406250003</v>
          </cell>
          <cell r="G53">
            <v>0</v>
          </cell>
          <cell r="H53">
            <v>0</v>
          </cell>
          <cell r="I53">
            <v>154.6875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KILO</v>
          </cell>
          <cell r="D54" t="str">
            <v>GRAMO</v>
          </cell>
          <cell r="E54">
            <v>2396.9071813186811</v>
          </cell>
          <cell r="F54">
            <v>2.3969071813186811</v>
          </cell>
          <cell r="G54">
            <v>46.169972527472524</v>
          </cell>
          <cell r="H54">
            <v>4.6169972527472521E-2</v>
          </cell>
          <cell r="I54">
            <v>60.439560439560438</v>
          </cell>
          <cell r="J54">
            <v>6.043956043956044E-2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767.32043160682326</v>
          </cell>
          <cell r="F59">
            <v>767.32043160682326</v>
          </cell>
          <cell r="G59">
            <v>7.0299872128901688</v>
          </cell>
          <cell r="H59">
            <v>7.0299872128901688</v>
          </cell>
          <cell r="I59">
            <v>47.41185682326622</v>
          </cell>
          <cell r="J59">
            <v>47.41185682326622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4703.7801359999994</v>
          </cell>
          <cell r="F61">
            <v>0.9875666882217089</v>
          </cell>
          <cell r="G61">
            <v>64.769083809523821</v>
          </cell>
          <cell r="H61">
            <v>1.3598379972606304E-2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(1.498g)</v>
          </cell>
          <cell r="C62" t="str">
            <v>TANDA</v>
          </cell>
          <cell r="D62" t="str">
            <v>GRAMO</v>
          </cell>
          <cell r="E62">
            <v>601.8134419999999</v>
          </cell>
          <cell r="F62">
            <v>0.60181344199999987</v>
          </cell>
          <cell r="G62">
            <v>27.00001</v>
          </cell>
          <cell r="H62">
            <v>2.7000009999999998E-2</v>
          </cell>
          <cell r="I62">
            <v>55</v>
          </cell>
          <cell r="J62">
            <v>5.5E-2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5709.5266739999988</v>
          </cell>
          <cell r="F63">
            <v>0.59252041033623903</v>
          </cell>
          <cell r="G63">
            <v>64.73816761904763</v>
          </cell>
          <cell r="H63">
            <v>6.7183652572693677E-3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15091.605450999999</v>
          </cell>
          <cell r="F65">
            <v>1.6343519006930907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22.268273333333333</v>
          </cell>
          <cell r="H66">
            <v>4.6586345885634584E-3</v>
          </cell>
          <cell r="I66">
            <v>168</v>
          </cell>
          <cell r="J66">
            <v>3.5146443514644354E-2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8572.8293130000002</v>
          </cell>
          <cell r="F67">
            <v>1.3592562728714128</v>
          </cell>
          <cell r="G67">
            <v>32.365582698412702</v>
          </cell>
          <cell r="H67">
            <v>5.1316921988921356E-3</v>
          </cell>
          <cell r="I67">
            <v>82.5</v>
          </cell>
          <cell r="J67">
            <v>1.308070397970509E-2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18952.719329999996</v>
          </cell>
          <cell r="F69">
            <v>1.0345370813318775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KILO</v>
          </cell>
          <cell r="D72" t="str">
            <v>GRAMO</v>
          </cell>
          <cell r="E72">
            <v>1571.1600631712397</v>
          </cell>
          <cell r="F72">
            <v>1.5711600631712397</v>
          </cell>
          <cell r="G72">
            <v>0</v>
          </cell>
          <cell r="H72">
            <v>0</v>
          </cell>
          <cell r="I72">
            <v>17.929910350448246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2590.2078588744589</v>
          </cell>
          <cell r="F75">
            <v>2.590207858874459</v>
          </cell>
          <cell r="G75">
            <v>19.771527272727273</v>
          </cell>
          <cell r="H75">
            <v>1.9771527272727272E-2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117.43575905671182</v>
          </cell>
          <cell r="F77">
            <v>117.43575905671182</v>
          </cell>
          <cell r="G77">
            <v>0.9310591617952928</v>
          </cell>
          <cell r="H77">
            <v>0.9310591617952928</v>
          </cell>
          <cell r="I77">
            <v>23.308078817733989</v>
          </cell>
          <cell r="J77">
            <v>23.308078817733989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284.48865127795523</v>
          </cell>
          <cell r="F79">
            <v>0.28448865127795525</v>
          </cell>
          <cell r="G79">
            <v>5.4044722044728424</v>
          </cell>
          <cell r="H79">
            <v>5.4044722044728427E-3</v>
          </cell>
          <cell r="I79">
            <v>26.837060702875398</v>
          </cell>
          <cell r="J79">
            <v>2.68370607028754E-2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(11500g)</v>
          </cell>
          <cell r="C81" t="str">
            <v>KILO</v>
          </cell>
          <cell r="D81" t="str">
            <v>GRAMO</v>
          </cell>
          <cell r="E81">
            <v>812.38193146551714</v>
          </cell>
          <cell r="F81">
            <v>0.81238193146551718</v>
          </cell>
          <cell r="G81">
            <v>6.5109032293377114</v>
          </cell>
          <cell r="H81">
            <v>6.5109032293377113E-3</v>
          </cell>
          <cell r="I81">
            <v>53.103448275862064</v>
          </cell>
          <cell r="J81">
            <v>5.3103448275862067E-2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95539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768.32905857936305</v>
          </cell>
          <cell r="F85">
            <v>768.32905857936305</v>
          </cell>
          <cell r="G85">
            <v>11.782994976749775</v>
          </cell>
          <cell r="H85">
            <v>11.782994976749775</v>
          </cell>
          <cell r="I85">
            <v>96.580617261110319</v>
          </cell>
          <cell r="J85">
            <v>96.580617261110319</v>
          </cell>
        </row>
        <row r="86">
          <cell r="A86" t="str">
            <v>95555</v>
          </cell>
          <cell r="B86" t="str">
            <v>BASE PREMEZCLA CHILENA (11.637g)</v>
          </cell>
          <cell r="C86" t="str">
            <v>TANDA</v>
          </cell>
          <cell r="D86" t="str">
            <v>GRAMO</v>
          </cell>
          <cell r="E86">
            <v>9424.6852049999998</v>
          </cell>
          <cell r="F86">
            <v>0.80988959396751736</v>
          </cell>
          <cell r="G86">
            <v>64.728212063492066</v>
          </cell>
          <cell r="H86">
            <v>5.5622765372082212E-3</v>
          </cell>
          <cell r="I86">
            <v>112</v>
          </cell>
          <cell r="J86">
            <v>9.6244736615966314E-3</v>
          </cell>
        </row>
        <row r="87">
          <cell r="A87" t="str">
            <v>95559</v>
          </cell>
          <cell r="B87" t="str">
            <v>PASTA FROLA (6400g)</v>
          </cell>
          <cell r="C87" t="str">
            <v>KILO</v>
          </cell>
          <cell r="D87" t="str">
            <v>GRAMO</v>
          </cell>
          <cell r="E87">
            <v>840.04416647851303</v>
          </cell>
          <cell r="F87">
            <v>0.84004416647851299</v>
          </cell>
          <cell r="G87">
            <v>14.636299569575705</v>
          </cell>
          <cell r="H87">
            <v>1.4636299569575704E-2</v>
          </cell>
          <cell r="I87">
            <v>86.927071573718678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7257.1164360000002</v>
          </cell>
          <cell r="F88">
            <v>1.208311094905095</v>
          </cell>
          <cell r="G88">
            <v>32.363238730158727</v>
          </cell>
          <cell r="H88">
            <v>5.3884846370560648E-3</v>
          </cell>
          <cell r="I88">
            <v>112</v>
          </cell>
          <cell r="J88">
            <v>1.8648018648018648E-2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(5588g)</v>
          </cell>
          <cell r="C91" t="str">
            <v>TANDA</v>
          </cell>
          <cell r="D91" t="str">
            <v>GRAMO</v>
          </cell>
          <cell r="E91">
            <v>5156.7229370000005</v>
          </cell>
          <cell r="F91">
            <v>0.92282085486757348</v>
          </cell>
          <cell r="G91">
            <v>11.021531111111111</v>
          </cell>
          <cell r="H91">
            <v>1.9723570349160901E-3</v>
          </cell>
          <cell r="I91">
            <v>168</v>
          </cell>
          <cell r="J91">
            <v>3.0064423765211165E-2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21504.613643000001</v>
          </cell>
          <cell r="F92">
            <v>0.92057421416952057</v>
          </cell>
          <cell r="G92">
            <v>64.511940952380954</v>
          </cell>
          <cell r="H92">
            <v>2.7616413078930201E-3</v>
          </cell>
          <cell r="I92">
            <v>220</v>
          </cell>
          <cell r="J92">
            <v>9.4178082191780817E-3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18452.244969999996</v>
          </cell>
          <cell r="F93">
            <v>0.7615453970284769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9735.8883400000013</v>
          </cell>
          <cell r="F94">
            <v>0.90314363079777382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1253.9992172776592</v>
          </cell>
          <cell r="F97">
            <v>1.2539992172776593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(41940g)</v>
          </cell>
          <cell r="C99" t="str">
            <v>KILO</v>
          </cell>
          <cell r="D99" t="str">
            <v>GRAMO</v>
          </cell>
          <cell r="E99">
            <v>2768.6223719033878</v>
          </cell>
          <cell r="F99">
            <v>2.7686223719033878</v>
          </cell>
          <cell r="G99">
            <v>3.0528611621086759</v>
          </cell>
          <cell r="H99">
            <v>3.0528611621086759E-3</v>
          </cell>
          <cell r="I99">
            <v>19.670489497150761</v>
          </cell>
          <cell r="J99">
            <v>1.9670489497150761E-2</v>
          </cell>
        </row>
        <row r="100">
          <cell r="A100" t="str">
            <v>95643</v>
          </cell>
          <cell r="B100" t="str">
            <v>QUESO PARMESANO RALLADO (7400g)</v>
          </cell>
          <cell r="C100" t="str">
            <v>KILO</v>
          </cell>
          <cell r="D100" t="str">
            <v>GRAMO</v>
          </cell>
          <cell r="E100">
            <v>9225.5450000000001</v>
          </cell>
          <cell r="F100">
            <v>9.2255450000000003</v>
          </cell>
          <cell r="G100">
            <v>7.3218353400585752</v>
          </cell>
          <cell r="H100">
            <v>7.3218353400585755E-3</v>
          </cell>
          <cell r="I100">
            <v>125.28473804100229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1739.1296426850838</v>
          </cell>
          <cell r="F103">
            <v>1.7391296426850837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95653</v>
          </cell>
          <cell r="B104" t="str">
            <v>RELLENO CARNE P/ LASAGÑA (21000g)</v>
          </cell>
          <cell r="C104" t="str">
            <v>KILO</v>
          </cell>
          <cell r="D104" t="str">
            <v>GRAMO</v>
          </cell>
          <cell r="E104">
            <v>2559.1263787931034</v>
          </cell>
          <cell r="F104">
            <v>2.5591263787931036</v>
          </cell>
          <cell r="G104">
            <v>0</v>
          </cell>
          <cell r="H104">
            <v>0</v>
          </cell>
          <cell r="I104">
            <v>82.974137931034491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KILO</v>
          </cell>
          <cell r="D109" t="str">
            <v>GRAMO</v>
          </cell>
          <cell r="E109">
            <v>1710.6626765571432</v>
          </cell>
          <cell r="F109">
            <v>1.7106626765571431</v>
          </cell>
          <cell r="G109">
            <v>0</v>
          </cell>
          <cell r="H109">
            <v>0</v>
          </cell>
          <cell r="I109">
            <v>20.952380952380953</v>
          </cell>
          <cell r="J109">
            <v>2.0952380952380951E-2</v>
          </cell>
        </row>
        <row r="110">
          <cell r="A110" t="str">
            <v>95666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1760.9872389770026</v>
          </cell>
          <cell r="F110">
            <v>1.7609872389770025</v>
          </cell>
          <cell r="G110">
            <v>39.074754143683727</v>
          </cell>
          <cell r="H110">
            <v>3.9074754143683728E-2</v>
          </cell>
          <cell r="I110">
            <v>109.84800422944751</v>
          </cell>
          <cell r="J110">
            <v>0.10984800422944752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(38.600g)</v>
          </cell>
          <cell r="C112" t="str">
            <v>KILO</v>
          </cell>
          <cell r="D112" t="str">
            <v>GRAMO</v>
          </cell>
          <cell r="E112">
            <v>2115.6424392621952</v>
          </cell>
          <cell r="F112">
            <v>2.1156424392621953</v>
          </cell>
          <cell r="G112">
            <v>6.4920155758807594</v>
          </cell>
          <cell r="H112">
            <v>6.4920155758807592E-3</v>
          </cell>
          <cell r="I112">
            <v>121.37784552845528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95670</v>
          </cell>
          <cell r="B114" t="str">
            <v>RELLENO POLLO PASTEL (22.7 k)</v>
          </cell>
          <cell r="C114" t="str">
            <v>KILO</v>
          </cell>
          <cell r="D114" t="str">
            <v>GRAMO</v>
          </cell>
          <cell r="E114">
            <v>2703.686224716992</v>
          </cell>
          <cell r="F114">
            <v>2.7036862247169919</v>
          </cell>
          <cell r="G114">
            <v>4.0075103703703707</v>
          </cell>
          <cell r="H114">
            <v>4.0075103703703704E-3</v>
          </cell>
          <cell r="I114">
            <v>179.98153288568301</v>
          </cell>
          <cell r="J114">
            <v>0.179981532885683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(5.550g)</v>
          </cell>
          <cell r="C116" t="str">
            <v>KILO</v>
          </cell>
          <cell r="D116" t="str">
            <v>GRAMO</v>
          </cell>
          <cell r="E116">
            <v>1729.6271186440677</v>
          </cell>
          <cell r="F116">
            <v>1.7296271186440677</v>
          </cell>
          <cell r="G116">
            <v>0</v>
          </cell>
          <cell r="H116">
            <v>0</v>
          </cell>
          <cell r="I116">
            <v>46.610169491525426</v>
          </cell>
          <cell r="J116">
            <v>4.6610169491525424E-2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KILO</v>
          </cell>
          <cell r="D117" t="str">
            <v>GRAMO</v>
          </cell>
          <cell r="E117">
            <v>2155.207538893691</v>
          </cell>
          <cell r="F117">
            <v>2.1552075388936909</v>
          </cell>
          <cell r="G117">
            <v>0</v>
          </cell>
          <cell r="H117">
            <v>0</v>
          </cell>
          <cell r="I117">
            <v>95.073465859982718</v>
          </cell>
          <cell r="J117">
            <v>9.507346585998272E-2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(9 Kg)</v>
          </cell>
          <cell r="C119" t="str">
            <v>KILO</v>
          </cell>
          <cell r="D119" t="str">
            <v>GRAMO</v>
          </cell>
          <cell r="E119">
            <v>2063.2433992014589</v>
          </cell>
          <cell r="F119">
            <v>2.0632433992014589</v>
          </cell>
          <cell r="G119">
            <v>0</v>
          </cell>
          <cell r="H119">
            <v>0</v>
          </cell>
          <cell r="I119">
            <v>100</v>
          </cell>
          <cell r="J119">
            <v>0.1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(7.9 Litros)</v>
          </cell>
          <cell r="C123" t="str">
            <v>LITRO</v>
          </cell>
          <cell r="D123" t="str">
            <v>Mililitro</v>
          </cell>
          <cell r="E123">
            <v>420.62845454545459</v>
          </cell>
          <cell r="F123">
            <v>0.42062845454545461</v>
          </cell>
          <cell r="G123">
            <v>2.2753401010101006</v>
          </cell>
          <cell r="H123">
            <v>2.2753401010101007E-3</v>
          </cell>
          <cell r="I123">
            <v>15.272727272727273</v>
          </cell>
          <cell r="J123">
            <v>1.5272727272727273E-2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KILO</v>
          </cell>
          <cell r="D124" t="str">
            <v>GRAMO</v>
          </cell>
          <cell r="E124">
            <v>1851.745370786517</v>
          </cell>
          <cell r="F124">
            <v>1.851745370786517</v>
          </cell>
          <cell r="G124">
            <v>0</v>
          </cell>
          <cell r="H124">
            <v>0</v>
          </cell>
          <cell r="I124">
            <v>100.67415730337079</v>
          </cell>
          <cell r="J124">
            <v>0.10067415730337079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95708</v>
          </cell>
          <cell r="B126" t="str">
            <v>RELLENO QUESO P/TORTA ZANAHORIA (11100g)</v>
          </cell>
          <cell r="C126" t="str">
            <v>KILO</v>
          </cell>
          <cell r="D126" t="str">
            <v>GRAMO</v>
          </cell>
          <cell r="E126">
            <v>2622.3874716756759</v>
          </cell>
          <cell r="F126">
            <v>2.6223874716756761</v>
          </cell>
          <cell r="G126">
            <v>0</v>
          </cell>
          <cell r="H126">
            <v>0</v>
          </cell>
          <cell r="I126">
            <v>29.72972972972973</v>
          </cell>
          <cell r="J126">
            <v>2.9729729729729731E-2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95715</v>
          </cell>
          <cell r="B128" t="str">
            <v>CREMA CHANTILLY CHOCOLATE BUCCA (23.3 Kg)</v>
          </cell>
          <cell r="C128" t="str">
            <v>KILO</v>
          </cell>
          <cell r="D128" t="str">
            <v>GRAMO</v>
          </cell>
          <cell r="E128">
            <v>1582.5535660944206</v>
          </cell>
          <cell r="F128">
            <v>1.5825535660944205</v>
          </cell>
          <cell r="G128">
            <v>4.2961373390557937E-2</v>
          </cell>
          <cell r="H128">
            <v>4.2961373390557938E-5</v>
          </cell>
          <cell r="I128">
            <v>24.0343347639485</v>
          </cell>
          <cell r="J128">
            <v>2.4034334763948499E-2</v>
          </cell>
        </row>
        <row r="129">
          <cell r="A129" t="str">
            <v>95716</v>
          </cell>
          <cell r="B129" t="str">
            <v>CREMA CHANTILLY FIGURITAS (6000g)</v>
          </cell>
          <cell r="C129" t="str">
            <v>KILO</v>
          </cell>
          <cell r="D129" t="str">
            <v>GRAMO</v>
          </cell>
          <cell r="E129">
            <v>1668.6120000000001</v>
          </cell>
          <cell r="F129">
            <v>1.668612</v>
          </cell>
          <cell r="G129">
            <v>0</v>
          </cell>
          <cell r="H129">
            <v>0</v>
          </cell>
          <cell r="I129">
            <v>46.666666666666671</v>
          </cell>
          <cell r="J129">
            <v>4.6666666666666669E-2</v>
          </cell>
        </row>
        <row r="130">
          <cell r="A130" t="str">
            <v>95717</v>
          </cell>
          <cell r="B130" t="str">
            <v>CREMA CHANTILLY BLANCA SPOON-IND (20800g)</v>
          </cell>
          <cell r="C130" t="str">
            <v>KILO</v>
          </cell>
          <cell r="D130" t="str">
            <v>GRAMO</v>
          </cell>
          <cell r="E130">
            <v>1578.4318454326924</v>
          </cell>
          <cell r="F130">
            <v>1.5784318454326924</v>
          </cell>
          <cell r="G130">
            <v>4.8124999999999994E-2</v>
          </cell>
          <cell r="H130">
            <v>4.8124999999999997E-5</v>
          </cell>
          <cell r="I130">
            <v>26.442307692307693</v>
          </cell>
          <cell r="J130">
            <v>2.6442307692307692E-2</v>
          </cell>
        </row>
        <row r="131">
          <cell r="A131" t="str">
            <v>95718</v>
          </cell>
          <cell r="B131" t="str">
            <v>CREMA CHANTILLY CHOCO (SPOON-IND)(24875g)</v>
          </cell>
          <cell r="C131" t="str">
            <v>KILO</v>
          </cell>
          <cell r="D131" t="str">
            <v>GRAMO</v>
          </cell>
          <cell r="E131">
            <v>1776.2515933668342</v>
          </cell>
          <cell r="F131">
            <v>1.7762515933668341</v>
          </cell>
          <cell r="G131">
            <v>0</v>
          </cell>
          <cell r="H131">
            <v>0</v>
          </cell>
          <cell r="I131">
            <v>13.266331658291458</v>
          </cell>
          <cell r="J131">
            <v>1.3266331658291457E-2</v>
          </cell>
        </row>
        <row r="132">
          <cell r="A132" t="str">
            <v>95719</v>
          </cell>
          <cell r="B132" t="str">
            <v>CREMA CHANTILLY CAFE (21 Kg)</v>
          </cell>
          <cell r="C132" t="str">
            <v>KILO</v>
          </cell>
          <cell r="D132" t="str">
            <v>GRAMO</v>
          </cell>
          <cell r="E132">
            <v>1592.5735355450238</v>
          </cell>
          <cell r="F132">
            <v>1.5925735355450237</v>
          </cell>
          <cell r="G132">
            <v>0</v>
          </cell>
          <cell r="H132">
            <v>0</v>
          </cell>
          <cell r="I132">
            <v>26.540284360189574</v>
          </cell>
          <cell r="J132">
            <v>2.6540284360189573E-2</v>
          </cell>
        </row>
        <row r="133">
          <cell r="A133" t="str">
            <v>95720</v>
          </cell>
          <cell r="B133" t="str">
            <v>MEZCLA ENGRASE MOLDES (29800g)</v>
          </cell>
          <cell r="C133" t="str">
            <v>KILO</v>
          </cell>
          <cell r="D133" t="str">
            <v>GRAMO</v>
          </cell>
          <cell r="E133">
            <v>868.45385906040258</v>
          </cell>
          <cell r="F133">
            <v>0.86845385906040262</v>
          </cell>
          <cell r="G133">
            <v>11.341300671140942</v>
          </cell>
          <cell r="H133">
            <v>1.1341300671140942E-2</v>
          </cell>
          <cell r="I133">
            <v>55.369127516778526</v>
          </cell>
          <cell r="J133">
            <v>5.5369127516778527E-2</v>
          </cell>
        </row>
        <row r="134">
          <cell r="A134" t="str">
            <v>95721</v>
          </cell>
          <cell r="B134" t="str">
            <v>BASE PREMEZCLA P/SUSPIRO (4055g)</v>
          </cell>
          <cell r="C134" t="str">
            <v>TANDA</v>
          </cell>
          <cell r="D134" t="str">
            <v>GRAMO</v>
          </cell>
          <cell r="E134">
            <v>10200.690200000001</v>
          </cell>
          <cell r="F134">
            <v>2.5155832799013567</v>
          </cell>
          <cell r="G134">
            <v>11.020357777777779</v>
          </cell>
          <cell r="H134">
            <v>2.7177207836689959E-3</v>
          </cell>
          <cell r="I134">
            <v>112</v>
          </cell>
          <cell r="J134">
            <v>2.7620221948212082E-2</v>
          </cell>
        </row>
        <row r="135">
          <cell r="A135" t="str">
            <v>95722</v>
          </cell>
          <cell r="B135" t="str">
            <v>ROSQUETE VAINILLA PURATOS (350g)</v>
          </cell>
          <cell r="C135" t="str">
            <v>UND</v>
          </cell>
          <cell r="D135" t="str">
            <v>UND</v>
          </cell>
          <cell r="E135">
            <v>352.8318835193088</v>
          </cell>
          <cell r="F135">
            <v>352.8318835193088</v>
          </cell>
          <cell r="G135">
            <v>7.645747840647199</v>
          </cell>
          <cell r="H135">
            <v>7.645747840647199</v>
          </cell>
          <cell r="I135">
            <v>15.083449363446784</v>
          </cell>
          <cell r="J135">
            <v>15.083449363446784</v>
          </cell>
        </row>
        <row r="136">
          <cell r="A136" t="str">
            <v>95723</v>
          </cell>
          <cell r="B136" t="str">
            <v>ROSQUETE CHOCOLATE BUCCA  (425g)</v>
          </cell>
          <cell r="C136" t="str">
            <v>UND</v>
          </cell>
          <cell r="D136" t="str">
            <v>UND</v>
          </cell>
          <cell r="E136">
            <v>474.88237784340049</v>
          </cell>
          <cell r="F136">
            <v>474.88237784340049</v>
          </cell>
          <cell r="G136">
            <v>9.1301279333483265</v>
          </cell>
          <cell r="H136">
            <v>9.1301279333483265</v>
          </cell>
          <cell r="I136">
            <v>46.30613969674372</v>
          </cell>
          <cell r="J136">
            <v>46.30613969674372</v>
          </cell>
        </row>
        <row r="137">
          <cell r="A137" t="str">
            <v>95732</v>
          </cell>
          <cell r="B137" t="str">
            <v>PLANCHA ROSQUETE ZANAHORIA (900g)</v>
          </cell>
          <cell r="C137" t="str">
            <v>UND</v>
          </cell>
          <cell r="D137" t="str">
            <v>UND</v>
          </cell>
          <cell r="E137">
            <v>1631.6073961350182</v>
          </cell>
          <cell r="F137">
            <v>1631.6073961350182</v>
          </cell>
          <cell r="G137">
            <v>33.643738712590341</v>
          </cell>
          <cell r="H137">
            <v>33.643738712590341</v>
          </cell>
          <cell r="I137">
            <v>179.32800631662062</v>
          </cell>
          <cell r="J137">
            <v>179.32800631662062</v>
          </cell>
        </row>
        <row r="138">
          <cell r="A138" t="str">
            <v>95736</v>
          </cell>
          <cell r="B138" t="str">
            <v>SALSA FRESA (1980g)</v>
          </cell>
          <cell r="C138" t="str">
            <v>KILO</v>
          </cell>
          <cell r="D138" t="str">
            <v>GRAMO</v>
          </cell>
          <cell r="E138">
            <v>2524.4494736842103</v>
          </cell>
          <cell r="F138">
            <v>2.5244494736842102</v>
          </cell>
          <cell r="G138">
            <v>2.8421052631578951</v>
          </cell>
          <cell r="H138">
            <v>2.8421052631578949E-3</v>
          </cell>
          <cell r="I138">
            <v>57.89473684210526</v>
          </cell>
          <cell r="J138">
            <v>5.7894736842105263E-2</v>
          </cell>
        </row>
        <row r="139">
          <cell r="A139" t="str">
            <v>95739</v>
          </cell>
          <cell r="B139" t="str">
            <v>COCCION PAPA P/PURE (1000g)</v>
          </cell>
          <cell r="C139" t="str">
            <v>KILO</v>
          </cell>
          <cell r="D139" t="str">
            <v>GRAMO</v>
          </cell>
          <cell r="E139">
            <v>1505.085</v>
          </cell>
          <cell r="F139">
            <v>1.505085</v>
          </cell>
          <cell r="G139">
            <v>10.958269000000001</v>
          </cell>
          <cell r="H139">
            <v>1.0958269000000001E-2</v>
          </cell>
          <cell r="I139">
            <v>110</v>
          </cell>
          <cell r="J139">
            <v>0.11</v>
          </cell>
        </row>
        <row r="140">
          <cell r="A140" t="str">
            <v>95742</v>
          </cell>
          <cell r="B140" t="str">
            <v>ADEREZO ALCAPARRAS Y ANCHOAS (1280g)</v>
          </cell>
          <cell r="C140" t="str">
            <v>KILO</v>
          </cell>
          <cell r="D140" t="str">
            <v>GRAMO</v>
          </cell>
          <cell r="E140">
            <v>3186.3497932995865</v>
          </cell>
          <cell r="F140">
            <v>3.1863497932995863</v>
          </cell>
          <cell r="G140">
            <v>10.480755004741077</v>
          </cell>
          <cell r="H140">
            <v>1.0480755004741077E-2</v>
          </cell>
          <cell r="I140">
            <v>220.34519033879377</v>
          </cell>
          <cell r="J140">
            <v>0.22034519033879377</v>
          </cell>
        </row>
        <row r="141">
          <cell r="A141" t="str">
            <v>95743</v>
          </cell>
          <cell r="B141" t="str">
            <v>ADEREZO TEJANO (700g)</v>
          </cell>
          <cell r="C141" t="str">
            <v>KILO</v>
          </cell>
          <cell r="D141" t="str">
            <v>GRAMO</v>
          </cell>
          <cell r="E141">
            <v>1519.4840372487097</v>
          </cell>
          <cell r="F141">
            <v>1.5194840372487097</v>
          </cell>
          <cell r="G141">
            <v>0</v>
          </cell>
          <cell r="H141">
            <v>0</v>
          </cell>
          <cell r="I141">
            <v>380.61649851794556</v>
          </cell>
          <cell r="J141">
            <v>0.38061649851794555</v>
          </cell>
        </row>
        <row r="142">
          <cell r="A142" t="str">
            <v>95745</v>
          </cell>
          <cell r="B142" t="str">
            <v>CARNE MECHADA ARREGLADA (3170g)</v>
          </cell>
          <cell r="C142" t="str">
            <v>KILO</v>
          </cell>
          <cell r="D142" t="str">
            <v>GRAMO</v>
          </cell>
          <cell r="E142">
            <v>4022.521239392076</v>
          </cell>
          <cell r="F142">
            <v>4.0225212393920762</v>
          </cell>
          <cell r="G142">
            <v>42.743247032468886</v>
          </cell>
          <cell r="H142">
            <v>4.2743247032468887E-2</v>
          </cell>
          <cell r="I142">
            <v>256.04155281028466</v>
          </cell>
          <cell r="J142">
            <v>0.25604155281028468</v>
          </cell>
        </row>
        <row r="143">
          <cell r="A143" t="str">
            <v>95776</v>
          </cell>
          <cell r="B143" t="str">
            <v>BASE PREMEZCLA VAINILLA PURATOS (12522g)</v>
          </cell>
          <cell r="C143" t="str">
            <v>KILO</v>
          </cell>
          <cell r="D143" t="str">
            <v>GRAMO</v>
          </cell>
          <cell r="E143">
            <v>13543.394102</v>
          </cell>
          <cell r="F143">
            <v>1.0815679685353778</v>
          </cell>
          <cell r="G143">
            <v>45.869093809523811</v>
          </cell>
          <cell r="H143">
            <v>3.6630804831116284E-3</v>
          </cell>
          <cell r="I143">
            <v>110</v>
          </cell>
          <cell r="J143">
            <v>8.7845392109886598E-3</v>
          </cell>
        </row>
        <row r="144">
          <cell r="A144" t="str">
            <v>95781</v>
          </cell>
          <cell r="B144" t="str">
            <v>BASE PREMEZCLA GALLETA JENGIBRE (10081g)</v>
          </cell>
          <cell r="C144" t="str">
            <v>TANDA</v>
          </cell>
          <cell r="D144" t="str">
            <v>GRAMO</v>
          </cell>
          <cell r="E144">
            <v>8815.3442730000006</v>
          </cell>
          <cell r="F144">
            <v>0.87445137119333405</v>
          </cell>
          <cell r="G144">
            <v>53.963805396825393</v>
          </cell>
          <cell r="H144">
            <v>5.3530210690234496E-3</v>
          </cell>
          <cell r="I144">
            <v>280</v>
          </cell>
          <cell r="J144">
            <v>2.7775022319214363E-2</v>
          </cell>
        </row>
        <row r="145">
          <cell r="A145" t="str">
            <v>95784</v>
          </cell>
          <cell r="B145" t="str">
            <v>EMPAQUE SALSA ROJA SPOON (2000g)</v>
          </cell>
          <cell r="C145" t="str">
            <v>KILO</v>
          </cell>
          <cell r="D145" t="str">
            <v>GRAMO</v>
          </cell>
          <cell r="E145">
            <v>1108.6450457952756</v>
          </cell>
          <cell r="F145">
            <v>1.1086450457952757</v>
          </cell>
          <cell r="G145">
            <v>10.458209017206181</v>
          </cell>
          <cell r="H145">
            <v>1.0458209017206182E-2</v>
          </cell>
          <cell r="I145">
            <v>59.029002624671918</v>
          </cell>
          <cell r="J145">
            <v>5.9029002624671915E-2</v>
          </cell>
        </row>
        <row r="146">
          <cell r="A146" t="str">
            <v>95785</v>
          </cell>
          <cell r="B146" t="str">
            <v>COCCION BERENJENA EMPARRILLADA (2880g)</v>
          </cell>
          <cell r="C146" t="str">
            <v>KILO</v>
          </cell>
          <cell r="D146" t="str">
            <v>GRAMO</v>
          </cell>
          <cell r="E146">
            <v>2635.993496521739</v>
          </cell>
          <cell r="F146">
            <v>2.6359934965217389</v>
          </cell>
          <cell r="G146">
            <v>0</v>
          </cell>
          <cell r="H146">
            <v>0</v>
          </cell>
          <cell r="I146">
            <v>486.95652173913044</v>
          </cell>
          <cell r="J146">
            <v>0.48695652173913045</v>
          </cell>
        </row>
        <row r="147">
          <cell r="A147" t="str">
            <v>95786</v>
          </cell>
          <cell r="B147" t="str">
            <v>COCCION ZUCCINI EMPARRILLADO (1600g)</v>
          </cell>
          <cell r="C147" t="str">
            <v>KILO</v>
          </cell>
          <cell r="D147" t="str">
            <v>GRAMO</v>
          </cell>
          <cell r="E147">
            <v>5064.2918999999993</v>
          </cell>
          <cell r="F147">
            <v>5.0642918999999988</v>
          </cell>
          <cell r="G147">
            <v>0</v>
          </cell>
          <cell r="H147">
            <v>0</v>
          </cell>
          <cell r="I147">
            <v>687.5</v>
          </cell>
          <cell r="J147">
            <v>0.6875</v>
          </cell>
        </row>
        <row r="148">
          <cell r="A148" t="str">
            <v>95789</v>
          </cell>
          <cell r="B148" t="str">
            <v>CREMA CON MANJAR (21000g)</v>
          </cell>
          <cell r="C148" t="str">
            <v>KILO</v>
          </cell>
          <cell r="D148" t="str">
            <v>GRAMO</v>
          </cell>
          <cell r="E148">
            <v>1874.0260666666668</v>
          </cell>
          <cell r="F148">
            <v>1.8740260666666668</v>
          </cell>
          <cell r="G148">
            <v>4.7666666666666663E-2</v>
          </cell>
          <cell r="H148">
            <v>4.7666666666666662E-5</v>
          </cell>
          <cell r="I148">
            <v>26.666666666666668</v>
          </cell>
          <cell r="J148">
            <v>2.6666666666666668E-2</v>
          </cell>
        </row>
        <row r="149">
          <cell r="A149" t="str">
            <v>95790</v>
          </cell>
          <cell r="B149" t="str">
            <v>CALDO P/SOPA NEGRA (1.780g)</v>
          </cell>
          <cell r="C149" t="str">
            <v>KILO</v>
          </cell>
          <cell r="D149" t="str">
            <v>GRAMO</v>
          </cell>
          <cell r="E149">
            <v>752.71955666666668</v>
          </cell>
          <cell r="F149">
            <v>0.75271955666666668</v>
          </cell>
          <cell r="G149">
            <v>0</v>
          </cell>
          <cell r="H149">
            <v>0</v>
          </cell>
          <cell r="I149">
            <v>137.5</v>
          </cell>
          <cell r="J149">
            <v>0.13750000000000001</v>
          </cell>
        </row>
        <row r="150">
          <cell r="A150" t="str">
            <v>95793</v>
          </cell>
          <cell r="B150" t="str">
            <v>ALMIBAR DE CAFE (12.1 Kg)</v>
          </cell>
          <cell r="C150" t="str">
            <v>KILO</v>
          </cell>
          <cell r="D150" t="str">
            <v>GRAMO</v>
          </cell>
          <cell r="E150">
            <v>408.48461283764158</v>
          </cell>
          <cell r="F150">
            <v>0.40848461283764159</v>
          </cell>
          <cell r="G150">
            <v>7.6222862358408356</v>
          </cell>
          <cell r="H150">
            <v>7.6222862358408354E-3</v>
          </cell>
          <cell r="I150">
            <v>49.755762680537586</v>
          </cell>
          <cell r="J150">
            <v>4.9755762680537587E-2</v>
          </cell>
        </row>
        <row r="151">
          <cell r="A151" t="str">
            <v>95795</v>
          </cell>
          <cell r="B151" t="str">
            <v>BASE PREMEZCLA P/ PAN BLANCO (8156g)</v>
          </cell>
          <cell r="C151" t="str">
            <v>TANDA</v>
          </cell>
          <cell r="D151" t="str">
            <v>GRAMO</v>
          </cell>
          <cell r="E151">
            <v>10933.471006</v>
          </cell>
          <cell r="F151">
            <v>0.67926633983598406</v>
          </cell>
          <cell r="G151">
            <v>45.865592698412698</v>
          </cell>
          <cell r="H151">
            <v>2.8495025284799142E-3</v>
          </cell>
          <cell r="I151">
            <v>110</v>
          </cell>
          <cell r="J151">
            <v>6.8339960238568585E-3</v>
          </cell>
        </row>
        <row r="152">
          <cell r="A152" t="str">
            <v>95797</v>
          </cell>
          <cell r="B152" t="str">
            <v>BOLLETA PAN BLANCO 140G (UND)</v>
          </cell>
          <cell r="C152" t="str">
            <v>UND</v>
          </cell>
          <cell r="D152" t="str">
            <v>UND</v>
          </cell>
          <cell r="E152">
            <v>71.121492454165036</v>
          </cell>
          <cell r="F152">
            <v>71.121492454165036</v>
          </cell>
          <cell r="G152">
            <v>0.27852989712318466</v>
          </cell>
          <cell r="H152">
            <v>0.27852989712318466</v>
          </cell>
          <cell r="I152">
            <v>18.51807179710579</v>
          </cell>
          <cell r="J152">
            <v>18.51807179710579</v>
          </cell>
        </row>
        <row r="153">
          <cell r="A153" t="str">
            <v>95803</v>
          </cell>
          <cell r="B153" t="str">
            <v>GALLETA P/ALFAJOR MEDIANO (UND)</v>
          </cell>
          <cell r="C153" t="str">
            <v>UND</v>
          </cell>
          <cell r="D153" t="str">
            <v>UND</v>
          </cell>
          <cell r="E153">
            <v>14.642681142857146</v>
          </cell>
          <cell r="F153">
            <v>14.642681142857146</v>
          </cell>
          <cell r="G153">
            <v>7.4189052360338056E-2</v>
          </cell>
          <cell r="H153">
            <v>7.4189052360338056E-2</v>
          </cell>
          <cell r="I153">
            <v>16.863636363636363</v>
          </cell>
          <cell r="J153">
            <v>16.863636363636363</v>
          </cell>
        </row>
        <row r="154">
          <cell r="A154" t="str">
            <v>95805</v>
          </cell>
          <cell r="B154" t="str">
            <v>ROSQUETE CHOCOLATE SPOON RED  (440g)</v>
          </cell>
          <cell r="C154" t="str">
            <v>UND</v>
          </cell>
          <cell r="D154" t="str">
            <v>UND</v>
          </cell>
          <cell r="E154">
            <v>558.9814924235036</v>
          </cell>
          <cell r="F154">
            <v>558.9814924235036</v>
          </cell>
          <cell r="G154">
            <v>8.3304650306402905</v>
          </cell>
          <cell r="H154">
            <v>8.3304650306402905</v>
          </cell>
          <cell r="I154">
            <v>20.892096973017395</v>
          </cell>
          <cell r="J154">
            <v>20.892096973017395</v>
          </cell>
        </row>
        <row r="155">
          <cell r="A155" t="str">
            <v>95812</v>
          </cell>
          <cell r="B155" t="str">
            <v>TOCINETA FRITA (265g)</v>
          </cell>
          <cell r="C155" t="str">
            <v>KILO</v>
          </cell>
          <cell r="D155" t="str">
            <v>GRAMO</v>
          </cell>
          <cell r="E155">
            <v>10598.679245283018</v>
          </cell>
          <cell r="F155">
            <v>10.598679245283018</v>
          </cell>
          <cell r="G155">
            <v>0</v>
          </cell>
          <cell r="H155">
            <v>0</v>
          </cell>
          <cell r="I155">
            <v>1056.6037735849056</v>
          </cell>
          <cell r="J155">
            <v>1.0566037735849056</v>
          </cell>
        </row>
        <row r="156">
          <cell r="A156" t="str">
            <v>95817</v>
          </cell>
          <cell r="B156" t="str">
            <v>MEZCLA TRES LECHES PASTEURIZADA (36130 ml)</v>
          </cell>
          <cell r="C156" t="str">
            <v>LITRO</v>
          </cell>
          <cell r="D156" t="str">
            <v>Mililitro</v>
          </cell>
          <cell r="E156">
            <v>1262.4053961958332</v>
          </cell>
          <cell r="F156">
            <v>1.2624053961958333</v>
          </cell>
          <cell r="G156">
            <v>0</v>
          </cell>
          <cell r="H156">
            <v>0</v>
          </cell>
          <cell r="I156">
            <v>11.203703703703704</v>
          </cell>
          <cell r="J156">
            <v>1.1203703703703704E-2</v>
          </cell>
        </row>
        <row r="157">
          <cell r="A157" t="str">
            <v>95820</v>
          </cell>
          <cell r="B157" t="str">
            <v>CALDO P/SOPA POLLO (1150g)</v>
          </cell>
          <cell r="C157" t="str">
            <v>KILO</v>
          </cell>
          <cell r="D157" t="str">
            <v>GRAMO</v>
          </cell>
          <cell r="E157">
            <v>545.74586700000009</v>
          </cell>
          <cell r="F157">
            <v>0.54574586700000005</v>
          </cell>
          <cell r="G157">
            <v>12.604402499999999</v>
          </cell>
          <cell r="H157">
            <v>1.2604402499999999E-2</v>
          </cell>
          <cell r="I157">
            <v>275</v>
          </cell>
          <cell r="J157">
            <v>0.27500000000000002</v>
          </cell>
        </row>
        <row r="158">
          <cell r="A158" t="str">
            <v>95821</v>
          </cell>
          <cell r="B158" t="str">
            <v>COCCION CREMA BROCOLI (4000g)</v>
          </cell>
          <cell r="C158" t="str">
            <v>KILO</v>
          </cell>
          <cell r="D158" t="str">
            <v>GRAMO</v>
          </cell>
          <cell r="E158">
            <v>1126.8274617431762</v>
          </cell>
          <cell r="F158">
            <v>1.1268274617431762</v>
          </cell>
          <cell r="G158">
            <v>0</v>
          </cell>
          <cell r="H158">
            <v>0</v>
          </cell>
          <cell r="I158">
            <v>66.532258064516128</v>
          </cell>
          <cell r="J158">
            <v>6.6532258064516125E-2</v>
          </cell>
        </row>
        <row r="159">
          <cell r="A159" t="str">
            <v>95822</v>
          </cell>
          <cell r="B159" t="str">
            <v>CALDO P/SOPA AZTECA (37010g)</v>
          </cell>
          <cell r="C159" t="str">
            <v>KILO</v>
          </cell>
          <cell r="D159" t="str">
            <v>GRAMO</v>
          </cell>
          <cell r="E159">
            <v>890.86645346260389</v>
          </cell>
          <cell r="F159">
            <v>0.89086645346260385</v>
          </cell>
          <cell r="G159">
            <v>0</v>
          </cell>
          <cell r="H159">
            <v>0</v>
          </cell>
          <cell r="I159">
            <v>45.706371191135737</v>
          </cell>
          <cell r="J159">
            <v>4.5706371191135735E-2</v>
          </cell>
        </row>
        <row r="160">
          <cell r="A160" t="str">
            <v>95827</v>
          </cell>
          <cell r="B160" t="str">
            <v>TEMPERADO CHOCOLATE LECHE BELCOLADE (4900g)</v>
          </cell>
          <cell r="C160" t="str">
            <v>KILO</v>
          </cell>
          <cell r="D160" t="str">
            <v>GRAMO</v>
          </cell>
          <cell r="E160">
            <v>6636.7346938775509</v>
          </cell>
          <cell r="F160">
            <v>6.6367346938775507</v>
          </cell>
          <cell r="G160">
            <v>1.8918510204081629</v>
          </cell>
          <cell r="H160">
            <v>1.891851020408163E-3</v>
          </cell>
          <cell r="I160">
            <v>57.142857142857139</v>
          </cell>
          <cell r="J160">
            <v>5.7142857142857141E-2</v>
          </cell>
        </row>
        <row r="161">
          <cell r="A161" t="str">
            <v>95828</v>
          </cell>
          <cell r="B161" t="str">
            <v>TEMPERADO CHOCOLATE BLANCO (3200g)</v>
          </cell>
          <cell r="C161" t="str">
            <v>KILO</v>
          </cell>
          <cell r="D161" t="str">
            <v>GRAMO</v>
          </cell>
          <cell r="E161">
            <v>4534.6199374999997</v>
          </cell>
          <cell r="F161">
            <v>4.5346199374999996</v>
          </cell>
          <cell r="G161">
            <v>2.9559371874999996</v>
          </cell>
          <cell r="H161">
            <v>2.9559371874999995E-3</v>
          </cell>
          <cell r="I161">
            <v>87.5</v>
          </cell>
          <cell r="J161">
            <v>8.7499999999999994E-2</v>
          </cell>
        </row>
        <row r="162">
          <cell r="A162" t="str">
            <v>95829</v>
          </cell>
          <cell r="B162" t="str">
            <v>GLACE BLANCO PURO (7495g)</v>
          </cell>
          <cell r="C162" t="str">
            <v>KILO</v>
          </cell>
          <cell r="D162" t="str">
            <v>GRAMO</v>
          </cell>
          <cell r="E162">
            <v>1609.9631754503</v>
          </cell>
          <cell r="F162">
            <v>1.6099631754503001</v>
          </cell>
          <cell r="G162">
            <v>4.8027942628418954</v>
          </cell>
          <cell r="H162">
            <v>4.8027942628418949E-3</v>
          </cell>
          <cell r="I162">
            <v>89.659773182121413</v>
          </cell>
          <cell r="J162">
            <v>8.9659773182121413E-2</v>
          </cell>
        </row>
        <row r="163">
          <cell r="A163" t="str">
            <v>95831</v>
          </cell>
          <cell r="B163" t="str">
            <v>BASE PREMEZCLA RELLENO CHOCOFRESA (5400g)</v>
          </cell>
          <cell r="C163" t="str">
            <v>TANDA</v>
          </cell>
          <cell r="D163" t="str">
            <v>GRAMO</v>
          </cell>
          <cell r="E163">
            <v>16091.9946</v>
          </cell>
          <cell r="F163">
            <v>2.9799989999999998</v>
          </cell>
          <cell r="G163">
            <v>73.961945952380958</v>
          </cell>
          <cell r="H163">
            <v>1.3696656657848326E-2</v>
          </cell>
          <cell r="I163">
            <v>55</v>
          </cell>
          <cell r="J163">
            <v>1.0185185185185186E-2</v>
          </cell>
        </row>
        <row r="164">
          <cell r="A164" t="str">
            <v>95832</v>
          </cell>
          <cell r="B164" t="str">
            <v>GALLETAS P/CAFE (UND)</v>
          </cell>
          <cell r="C164" t="str">
            <v>UND</v>
          </cell>
          <cell r="D164" t="str">
            <v>UND</v>
          </cell>
          <cell r="E164">
            <v>17.543326118605066</v>
          </cell>
          <cell r="F164">
            <v>19.72</v>
          </cell>
          <cell r="G164">
            <v>8.5832025117739422E-2</v>
          </cell>
          <cell r="H164">
            <v>0.1</v>
          </cell>
          <cell r="I164">
            <v>4.4380520532099474</v>
          </cell>
          <cell r="J164">
            <v>4.4380520532099474</v>
          </cell>
        </row>
        <row r="165">
          <cell r="A165" t="str">
            <v>95834</v>
          </cell>
          <cell r="B165" t="str">
            <v>FLAN CARAMELO MINI P/FLAN TRES LECHES (UND=500g)</v>
          </cell>
          <cell r="C165" t="str">
            <v>UND</v>
          </cell>
          <cell r="D165" t="str">
            <v>UND</v>
          </cell>
          <cell r="E165">
            <v>871.41789396866682</v>
          </cell>
          <cell r="F165">
            <v>871.41789396866682</v>
          </cell>
          <cell r="G165">
            <v>24.008873999999999</v>
          </cell>
          <cell r="H165">
            <v>24.008873999999999</v>
          </cell>
          <cell r="I165">
            <v>77.400000000000006</v>
          </cell>
          <cell r="J165">
            <v>77.400000000000006</v>
          </cell>
        </row>
        <row r="166">
          <cell r="A166" t="str">
            <v>95846</v>
          </cell>
          <cell r="B166" t="str">
            <v>COCCION SALSA ROJA SPOON (31750g)</v>
          </cell>
          <cell r="C166" t="str">
            <v>KILO</v>
          </cell>
          <cell r="D166" t="str">
            <v>GRAMO</v>
          </cell>
          <cell r="E166">
            <v>1109.7791323464567</v>
          </cell>
          <cell r="F166">
            <v>1.1097791323464568</v>
          </cell>
          <cell r="G166">
            <v>1.1959131968503938</v>
          </cell>
          <cell r="H166">
            <v>1.1959131968503937E-3</v>
          </cell>
          <cell r="I166">
            <v>34.645669291338585</v>
          </cell>
          <cell r="J166">
            <v>3.4645669291338582E-2</v>
          </cell>
        </row>
        <row r="167">
          <cell r="A167" t="str">
            <v>95854</v>
          </cell>
          <cell r="B167" t="str">
            <v>COCCION CREMA DE AYOTE (30800g)</v>
          </cell>
          <cell r="C167" t="str">
            <v>KILO</v>
          </cell>
          <cell r="D167" t="str">
            <v>GRAMO</v>
          </cell>
          <cell r="E167">
            <v>973.63387899999998</v>
          </cell>
          <cell r="F167">
            <v>0.97363387899999998</v>
          </cell>
          <cell r="G167">
            <v>0.11219635918148582</v>
          </cell>
          <cell r="H167">
            <v>1.1219635918148582E-4</v>
          </cell>
          <cell r="I167">
            <v>50.449216132922416</v>
          </cell>
          <cell r="J167">
            <v>5.0449216132922414E-2</v>
          </cell>
        </row>
        <row r="168">
          <cell r="A168" t="str">
            <v>95858</v>
          </cell>
          <cell r="B168" t="str">
            <v>COCCION PECHUGA PARRILLA (UND)</v>
          </cell>
          <cell r="C168" t="str">
            <v>UND</v>
          </cell>
          <cell r="D168" t="str">
            <v>UND</v>
          </cell>
          <cell r="E168">
            <v>440.72822681667395</v>
          </cell>
          <cell r="F168">
            <v>440.72822681667395</v>
          </cell>
          <cell r="G168">
            <v>1.5807835482255743</v>
          </cell>
          <cell r="H168">
            <v>1.5807835482255743</v>
          </cell>
          <cell r="I168">
            <v>9.8454027664768109</v>
          </cell>
          <cell r="J168">
            <v>9.8454027664768109</v>
          </cell>
        </row>
        <row r="169">
          <cell r="A169" t="str">
            <v>95863</v>
          </cell>
          <cell r="B169" t="str">
            <v>BASE PREMEZCLA PURE DE PAPA (4000g)</v>
          </cell>
          <cell r="C169" t="str">
            <v>TANDA</v>
          </cell>
          <cell r="D169" t="str">
            <v>GRAMO</v>
          </cell>
          <cell r="E169">
            <v>6221.9480000000003</v>
          </cell>
          <cell r="F169">
            <v>1.5554870000000001</v>
          </cell>
          <cell r="G169">
            <v>32.142857142857146</v>
          </cell>
          <cell r="H169">
            <v>8.0357142857142867E-3</v>
          </cell>
          <cell r="I169">
            <v>56</v>
          </cell>
          <cell r="J169">
            <v>1.4E-2</v>
          </cell>
        </row>
        <row r="170">
          <cell r="A170" t="str">
            <v>95874</v>
          </cell>
          <cell r="B170" t="str">
            <v>SALSA TAMARINDO (2905g)</v>
          </cell>
          <cell r="C170" t="str">
            <v>KILO</v>
          </cell>
          <cell r="D170" t="str">
            <v>GRAMO</v>
          </cell>
          <cell r="E170">
            <v>673.94177435714289</v>
          </cell>
          <cell r="F170">
            <v>0.67394177435714286</v>
          </cell>
          <cell r="G170">
            <v>2.6672902380952381</v>
          </cell>
          <cell r="H170">
            <v>2.6672902380952381E-3</v>
          </cell>
          <cell r="I170">
            <v>65.476190476190482</v>
          </cell>
          <cell r="J170">
            <v>6.5476190476190479E-2</v>
          </cell>
        </row>
        <row r="171">
          <cell r="A171" t="str">
            <v>95878</v>
          </cell>
          <cell r="B171" t="str">
            <v>SALSA LIMON Y ALCAPARRAS (1200g)</v>
          </cell>
          <cell r="C171" t="str">
            <v>KILO</v>
          </cell>
          <cell r="D171" t="str">
            <v>GRAMO</v>
          </cell>
          <cell r="E171">
            <v>1960.6105894221296</v>
          </cell>
          <cell r="F171">
            <v>1.9606105894221295</v>
          </cell>
          <cell r="G171">
            <v>9.8570690296466451E-2</v>
          </cell>
          <cell r="H171">
            <v>9.8570690296466445E-5</v>
          </cell>
          <cell r="I171">
            <v>119.79520840170659</v>
          </cell>
          <cell r="J171">
            <v>0.11979520840170658</v>
          </cell>
        </row>
        <row r="172">
          <cell r="A172" t="str">
            <v>95879</v>
          </cell>
          <cell r="B172" t="str">
            <v>RELLENO CARNE SOMBRERO PERUANO (2057g)</v>
          </cell>
          <cell r="C172" t="str">
            <v>KILO</v>
          </cell>
          <cell r="D172" t="str">
            <v>GRAMO</v>
          </cell>
          <cell r="E172">
            <v>2820.5823037963492</v>
          </cell>
          <cell r="F172">
            <v>2.8205823037963493</v>
          </cell>
          <cell r="G172">
            <v>0</v>
          </cell>
          <cell r="H172">
            <v>0</v>
          </cell>
          <cell r="I172">
            <v>401.06951871657753</v>
          </cell>
          <cell r="J172">
            <v>0.40106951871657753</v>
          </cell>
        </row>
        <row r="173">
          <cell r="A173" t="str">
            <v>95882</v>
          </cell>
          <cell r="B173" t="str">
            <v>BATIDO GENOVESA (22320g)</v>
          </cell>
          <cell r="C173" t="str">
            <v>KILO</v>
          </cell>
          <cell r="D173" t="str">
            <v>GRAMO</v>
          </cell>
          <cell r="E173">
            <v>1132.0095804101459</v>
          </cell>
          <cell r="F173">
            <v>1.1320095804101458</v>
          </cell>
          <cell r="G173">
            <v>0</v>
          </cell>
          <cell r="H173">
            <v>0</v>
          </cell>
          <cell r="I173">
            <v>19.78773160640403</v>
          </cell>
          <cell r="J173">
            <v>1.9787731606404031E-2</v>
          </cell>
        </row>
        <row r="174">
          <cell r="A174" t="str">
            <v>95883</v>
          </cell>
          <cell r="B174" t="str">
            <v>BASE GALLETA P/BARRA PECANAS (400g)</v>
          </cell>
          <cell r="C174" t="str">
            <v>UND</v>
          </cell>
          <cell r="D174" t="str">
            <v>UND</v>
          </cell>
          <cell r="E174">
            <v>829.59735667114091</v>
          </cell>
          <cell r="F174">
            <v>829.59735667114091</v>
          </cell>
          <cell r="G174">
            <v>14.519826875838925</v>
          </cell>
          <cell r="H174">
            <v>14.519826875838925</v>
          </cell>
          <cell r="I174">
            <v>113.1275167785235</v>
          </cell>
          <cell r="J174">
            <v>113.1275167785235</v>
          </cell>
        </row>
        <row r="175">
          <cell r="A175" t="str">
            <v>95884</v>
          </cell>
          <cell r="B175" t="str">
            <v>RELLENO PECANAS P/BARRAS (3975g)</v>
          </cell>
          <cell r="C175" t="str">
            <v>KILO</v>
          </cell>
          <cell r="D175" t="str">
            <v>GRAMO</v>
          </cell>
          <cell r="E175">
            <v>1745.5228490566042</v>
          </cell>
          <cell r="F175">
            <v>1.7455228490566042</v>
          </cell>
          <cell r="G175">
            <v>0</v>
          </cell>
          <cell r="H175">
            <v>0</v>
          </cell>
          <cell r="I175">
            <v>140.88050314465409</v>
          </cell>
          <cell r="J175">
            <v>0.14088050314465408</v>
          </cell>
        </row>
        <row r="176">
          <cell r="A176" t="str">
            <v>95885</v>
          </cell>
          <cell r="B176" t="str">
            <v>PLANCHA BARRA DE PECANAS (1425g)</v>
          </cell>
          <cell r="C176" t="str">
            <v>UND</v>
          </cell>
          <cell r="D176" t="str">
            <v>UND</v>
          </cell>
          <cell r="E176">
            <v>4546.1427989352915</v>
          </cell>
          <cell r="F176">
            <v>4546.1427989352915</v>
          </cell>
          <cell r="G176">
            <v>14.519826875838925</v>
          </cell>
          <cell r="H176">
            <v>14.519826875838925</v>
          </cell>
          <cell r="I176">
            <v>335.01430923135365</v>
          </cell>
          <cell r="J176">
            <v>335.01430923135365</v>
          </cell>
        </row>
        <row r="177">
          <cell r="A177" t="str">
            <v>95890</v>
          </cell>
          <cell r="B177" t="str">
            <v>REBANADA CROSTINIS PARMESANO (UND)</v>
          </cell>
          <cell r="C177" t="str">
            <v>UND</v>
          </cell>
          <cell r="D177" t="str">
            <v>UND</v>
          </cell>
          <cell r="E177">
            <v>46.419747183579176</v>
          </cell>
          <cell r="F177">
            <v>46.419747183579176</v>
          </cell>
          <cell r="G177">
            <v>0.12270622458169364</v>
          </cell>
          <cell r="H177">
            <v>0.12270622458169364</v>
          </cell>
          <cell r="I177">
            <v>26.868729026942543</v>
          </cell>
          <cell r="J177">
            <v>26.868729026942543</v>
          </cell>
        </row>
        <row r="178">
          <cell r="A178" t="str">
            <v>95892</v>
          </cell>
          <cell r="B178" t="str">
            <v>REBANADA CROSTINIS TOMATE (UND)</v>
          </cell>
          <cell r="C178" t="str">
            <v>UND</v>
          </cell>
          <cell r="D178" t="str">
            <v>UND</v>
          </cell>
          <cell r="E178">
            <v>46.975118392240581</v>
          </cell>
          <cell r="F178">
            <v>46.975118392240581</v>
          </cell>
          <cell r="G178">
            <v>0.11339934089754986</v>
          </cell>
          <cell r="H178">
            <v>0.11339934089754986</v>
          </cell>
          <cell r="I178">
            <v>27.088700707050897</v>
          </cell>
          <cell r="J178">
            <v>27.088700707050897</v>
          </cell>
        </row>
        <row r="179">
          <cell r="A179" t="str">
            <v>95893</v>
          </cell>
          <cell r="B179" t="str">
            <v>GALLETA CHOCOLATE BLANCO/MACADAMIA (UND)</v>
          </cell>
          <cell r="C179" t="str">
            <v>UND</v>
          </cell>
          <cell r="D179" t="str">
            <v>UND</v>
          </cell>
          <cell r="E179">
            <v>243.35316090966765</v>
          </cell>
          <cell r="F179">
            <v>243.35316090966765</v>
          </cell>
          <cell r="G179">
            <v>0.34567573662551443</v>
          </cell>
          <cell r="H179">
            <v>0.34567573662551443</v>
          </cell>
          <cell r="I179">
            <v>20.657777777777778</v>
          </cell>
          <cell r="J179">
            <v>20.657777777777778</v>
          </cell>
        </row>
        <row r="180">
          <cell r="A180" t="str">
            <v>95894</v>
          </cell>
          <cell r="B180" t="str">
            <v>BASE PREMEZCLA GALLETA CHOCOLATE CHIPS (663g)</v>
          </cell>
          <cell r="C180" t="str">
            <v>TANDA</v>
          </cell>
          <cell r="D180" t="str">
            <v>GRAMO</v>
          </cell>
          <cell r="E180">
            <v>4845.6445659999999</v>
          </cell>
          <cell r="F180">
            <v>0.70206383164300201</v>
          </cell>
          <cell r="G180">
            <v>17.771546111111114</v>
          </cell>
          <cell r="H180">
            <v>2.5748400624617668E-3</v>
          </cell>
          <cell r="I180">
            <v>112</v>
          </cell>
          <cell r="J180">
            <v>1.6227180527383367E-2</v>
          </cell>
        </row>
        <row r="181">
          <cell r="A181" t="str">
            <v>95920</v>
          </cell>
          <cell r="B181" t="str">
            <v>CREMA CHOCOLATE CON AGUA (900g)</v>
          </cell>
          <cell r="C181" t="str">
            <v>Kilo</v>
          </cell>
          <cell r="D181" t="str">
            <v>Gramo</v>
          </cell>
          <cell r="E181">
            <v>1350.8181999999999</v>
          </cell>
          <cell r="F181">
            <v>1.3508182</v>
          </cell>
          <cell r="G181">
            <v>7.6890899999999993</v>
          </cell>
          <cell r="H181">
            <v>7.6890899999999991E-3</v>
          </cell>
          <cell r="I181">
            <v>50.909090909090914</v>
          </cell>
          <cell r="J181">
            <v>5.0909090909090911E-2</v>
          </cell>
        </row>
        <row r="182">
          <cell r="A182" t="str">
            <v>95930</v>
          </cell>
          <cell r="B182" t="str">
            <v>TIQUEÑOS DE QUESO (UND)</v>
          </cell>
          <cell r="C182" t="str">
            <v>UND</v>
          </cell>
          <cell r="D182" t="str">
            <v>UND</v>
          </cell>
          <cell r="E182">
            <v>69.895097488372087</v>
          </cell>
          <cell r="F182">
            <v>69.895097488372087</v>
          </cell>
          <cell r="G182">
            <v>1.0934808139534881E-2</v>
          </cell>
          <cell r="H182">
            <v>1.0934808139534881E-2</v>
          </cell>
          <cell r="I182">
            <v>7.7703488372093021</v>
          </cell>
          <cell r="J182">
            <v>7.7703488372093021</v>
          </cell>
        </row>
        <row r="183">
          <cell r="A183" t="str">
            <v>95966</v>
          </cell>
          <cell r="B183" t="str">
            <v>COCCION HONGOS SALTEADOS  (2790g)</v>
          </cell>
          <cell r="C183" t="str">
            <v>KILO</v>
          </cell>
          <cell r="D183" t="str">
            <v>GRAMO</v>
          </cell>
          <cell r="E183">
            <v>3629.3204697024025</v>
          </cell>
          <cell r="F183">
            <v>3.6293204697024026</v>
          </cell>
          <cell r="G183">
            <v>0</v>
          </cell>
          <cell r="H183">
            <v>0</v>
          </cell>
          <cell r="I183">
            <v>197.20329867335963</v>
          </cell>
          <cell r="J183">
            <v>0.19720329867335962</v>
          </cell>
        </row>
        <row r="184">
          <cell r="A184" t="str">
            <v>95968</v>
          </cell>
          <cell r="B184" t="str">
            <v>ADEREZO MOSTAZA MIEL (4450g)</v>
          </cell>
          <cell r="C184" t="str">
            <v>KILO</v>
          </cell>
          <cell r="D184" t="str">
            <v>GRAMO</v>
          </cell>
          <cell r="E184">
            <v>2339.5513111855466</v>
          </cell>
          <cell r="F184">
            <v>2.3395513111855468</v>
          </cell>
          <cell r="G184">
            <v>11.950525782111065</v>
          </cell>
          <cell r="H184">
            <v>1.1950525782111065E-2</v>
          </cell>
          <cell r="I184">
            <v>89.434579176999804</v>
          </cell>
          <cell r="J184">
            <v>8.9434579176999804E-2</v>
          </cell>
        </row>
        <row r="185">
          <cell r="A185" t="str">
            <v>95990</v>
          </cell>
          <cell r="B185" t="str">
            <v>TARTALETA OVALADA DULCE (UND)</v>
          </cell>
          <cell r="C185" t="str">
            <v>UND</v>
          </cell>
          <cell r="D185" t="str">
            <v>UND</v>
          </cell>
          <cell r="E185">
            <v>52.843058724812039</v>
          </cell>
          <cell r="F185">
            <v>52.843058724812039</v>
          </cell>
          <cell r="G185">
            <v>0.39404174340613446</v>
          </cell>
          <cell r="H185">
            <v>0.39404174340613446</v>
          </cell>
          <cell r="I185">
            <v>17.809523809523807</v>
          </cell>
          <cell r="J185">
            <v>17.809523809523807</v>
          </cell>
        </row>
        <row r="186">
          <cell r="A186" t="str">
            <v>96022</v>
          </cell>
          <cell r="B186" t="str">
            <v>RELLENO JAMON-QUESO CREMA P/EMPANADA (420g)</v>
          </cell>
          <cell r="C186" t="str">
            <v>Kilo</v>
          </cell>
          <cell r="D186" t="str">
            <v>Gramo</v>
          </cell>
          <cell r="E186">
            <v>3527.5846928571427</v>
          </cell>
          <cell r="F186">
            <v>3.5275846928571428</v>
          </cell>
          <cell r="G186">
            <v>20.062483333333333</v>
          </cell>
          <cell r="H186">
            <v>2.0062483333333332E-2</v>
          </cell>
          <cell r="I186">
            <v>261.90476190476193</v>
          </cell>
          <cell r="J186">
            <v>0.26190476190476192</v>
          </cell>
        </row>
        <row r="187">
          <cell r="A187" t="str">
            <v>96032</v>
          </cell>
          <cell r="B187" t="str">
            <v>CARAMELO AZUCAR P/FLAN (900g)</v>
          </cell>
          <cell r="C187" t="str">
            <v>KILO</v>
          </cell>
          <cell r="D187" t="str">
            <v>GRAMO</v>
          </cell>
          <cell r="E187">
            <v>401.04444444444442</v>
          </cell>
          <cell r="F187">
            <v>0.40104444444444443</v>
          </cell>
          <cell r="G187">
            <v>0</v>
          </cell>
          <cell r="H187">
            <v>0</v>
          </cell>
          <cell r="I187">
            <v>373.33333333333337</v>
          </cell>
          <cell r="J187">
            <v>0.37333333333333335</v>
          </cell>
        </row>
        <row r="188">
          <cell r="A188" t="str">
            <v>96037</v>
          </cell>
          <cell r="B188" t="str">
            <v>RELLENO CEBOLLA Y QUESO P/EMPANADA (1000g)</v>
          </cell>
          <cell r="C188" t="str">
            <v>KILO</v>
          </cell>
          <cell r="D188" t="str">
            <v>GRAMO</v>
          </cell>
          <cell r="E188">
            <v>3182.9953504999999</v>
          </cell>
          <cell r="F188">
            <v>3.1829953504999997</v>
          </cell>
          <cell r="G188">
            <v>23.595589314028313</v>
          </cell>
          <cell r="H188">
            <v>2.3595589314028314E-2</v>
          </cell>
          <cell r="I188">
            <v>337.89189189189187</v>
          </cell>
          <cell r="J188">
            <v>0.33789189189189189</v>
          </cell>
        </row>
        <row r="189">
          <cell r="A189" t="str">
            <v>96038</v>
          </cell>
          <cell r="B189" t="str">
            <v>EMPANADA CEBOLLA Y QUESO LAVAZZA (UND)</v>
          </cell>
          <cell r="C189" t="str">
            <v>UND</v>
          </cell>
          <cell r="D189" t="str">
            <v>UND</v>
          </cell>
          <cell r="E189">
            <v>154.8772280327008</v>
          </cell>
          <cell r="F189">
            <v>154.8772280327008</v>
          </cell>
          <cell r="G189">
            <v>2.1859325422494185</v>
          </cell>
          <cell r="H189">
            <v>2.1859325422494185</v>
          </cell>
          <cell r="I189">
            <v>62.028973598034135</v>
          </cell>
          <cell r="J189">
            <v>62.028973598034135</v>
          </cell>
        </row>
        <row r="190">
          <cell r="A190" t="str">
            <v>96039</v>
          </cell>
          <cell r="B190" t="str">
            <v>EMPANADA JAMON Y PETTI POIS FAS (UND)</v>
          </cell>
          <cell r="C190" t="str">
            <v>UND</v>
          </cell>
          <cell r="D190" t="str">
            <v>UND</v>
          </cell>
          <cell r="E190">
            <v>127.0016258582545</v>
          </cell>
          <cell r="F190">
            <v>127.0016258582545</v>
          </cell>
          <cell r="G190">
            <v>0.73652764234903134</v>
          </cell>
          <cell r="H190">
            <v>0.73652764234903134</v>
          </cell>
          <cell r="I190">
            <v>67.901510178238496</v>
          </cell>
          <cell r="J190">
            <v>67.901510178238496</v>
          </cell>
        </row>
        <row r="191">
          <cell r="A191" t="str">
            <v>96055</v>
          </cell>
          <cell r="B191" t="str">
            <v>EMPANADA CARNE MECHADA IND (UND)</v>
          </cell>
          <cell r="C191" t="str">
            <v>UND</v>
          </cell>
          <cell r="D191" t="str">
            <v>UND</v>
          </cell>
          <cell r="E191">
            <v>244.93062478975185</v>
          </cell>
          <cell r="F191">
            <v>244.93062478975185</v>
          </cell>
          <cell r="G191">
            <v>2.8525404214828645</v>
          </cell>
          <cell r="H191">
            <v>2.8525404214828645</v>
          </cell>
          <cell r="I191">
            <v>44.052602441043518</v>
          </cell>
          <cell r="J191">
            <v>44.052602441043518</v>
          </cell>
        </row>
        <row r="192">
          <cell r="A192" t="str">
            <v>96058</v>
          </cell>
          <cell r="B192" t="str">
            <v>BASE PREMEZCLA YOGURT CAKE  (1804g)</v>
          </cell>
          <cell r="C192" t="str">
            <v>TANDA</v>
          </cell>
          <cell r="D192" t="str">
            <v>GRAMO</v>
          </cell>
          <cell r="E192">
            <v>3078.0217600000001</v>
          </cell>
          <cell r="F192">
            <v>1.7062204878048781</v>
          </cell>
          <cell r="G192">
            <v>11.020357777777779</v>
          </cell>
          <cell r="H192">
            <v>6.1088457748213849E-3</v>
          </cell>
          <cell r="I192">
            <v>112</v>
          </cell>
          <cell r="J192">
            <v>6.2084257206208429E-2</v>
          </cell>
        </row>
        <row r="193">
          <cell r="A193" t="str">
            <v>96059</v>
          </cell>
          <cell r="B193" t="str">
            <v>ROSQUETE YOGURT CAKE (400g)</v>
          </cell>
          <cell r="C193" t="str">
            <v>UND</v>
          </cell>
          <cell r="D193" t="str">
            <v>UND</v>
          </cell>
          <cell r="E193">
            <v>566.44048035760045</v>
          </cell>
          <cell r="F193">
            <v>566.44048035760045</v>
          </cell>
          <cell r="G193">
            <v>7.6925275956760082</v>
          </cell>
          <cell r="H193">
            <v>7.6925275956760082</v>
          </cell>
          <cell r="I193">
            <v>45.229776115579696</v>
          </cell>
          <cell r="J193">
            <v>45.229776115579696</v>
          </cell>
        </row>
        <row r="194">
          <cell r="A194" t="str">
            <v>96076</v>
          </cell>
          <cell r="B194" t="str">
            <v>RELLENO CARNE MECHA-COMINO-ROMERO (1000g)</v>
          </cell>
          <cell r="C194" t="str">
            <v>Kilo</v>
          </cell>
          <cell r="D194" t="str">
            <v>Gramo</v>
          </cell>
          <cell r="E194">
            <v>3486.6073803027475</v>
          </cell>
          <cell r="F194">
            <v>3.4866073803027473</v>
          </cell>
          <cell r="G194">
            <v>33.528991908140348</v>
          </cell>
          <cell r="H194">
            <v>3.3528991908140349E-2</v>
          </cell>
          <cell r="I194">
            <v>230.83623001068085</v>
          </cell>
          <cell r="J194">
            <v>0.23083623001068085</v>
          </cell>
        </row>
        <row r="195">
          <cell r="A195" t="str">
            <v>96098</v>
          </cell>
          <cell r="B195" t="str">
            <v>ADEREZO PEPINILLOS Y ANCHOAS (390g)</v>
          </cell>
          <cell r="C195" t="str">
            <v>KILO</v>
          </cell>
          <cell r="D195" t="str">
            <v>GRAMO</v>
          </cell>
          <cell r="E195">
            <v>2774.9748658519438</v>
          </cell>
          <cell r="F195">
            <v>2.7749748658519438</v>
          </cell>
          <cell r="G195">
            <v>22.677630516055928</v>
          </cell>
          <cell r="H195">
            <v>2.2677630516055928E-2</v>
          </cell>
          <cell r="I195">
            <v>727.77511757705349</v>
          </cell>
          <cell r="J195">
            <v>0.72777511757705349</v>
          </cell>
        </row>
        <row r="196">
          <cell r="A196" t="str">
            <v>96100</v>
          </cell>
          <cell r="B196" t="str">
            <v>COCCION QUINUA BLANCA (600g)</v>
          </cell>
          <cell r="C196" t="str">
            <v>KILO</v>
          </cell>
          <cell r="D196" t="str">
            <v>GRAMO</v>
          </cell>
          <cell r="E196">
            <v>2098.3056844444445</v>
          </cell>
          <cell r="F196">
            <v>2.0983056844444445</v>
          </cell>
          <cell r="G196">
            <v>0</v>
          </cell>
          <cell r="H196">
            <v>0</v>
          </cell>
          <cell r="I196">
            <v>183.33333333333331</v>
          </cell>
          <cell r="J196">
            <v>0.18333333333333332</v>
          </cell>
        </row>
        <row r="197">
          <cell r="A197" t="str">
            <v>96108</v>
          </cell>
          <cell r="B197" t="str">
            <v>CEBOLLA CARAMELIZADA (1516g)</v>
          </cell>
          <cell r="C197" t="str">
            <v>KILO</v>
          </cell>
          <cell r="D197" t="str">
            <v>GRAMO</v>
          </cell>
          <cell r="E197">
            <v>3038.1794284166672</v>
          </cell>
          <cell r="F197">
            <v>3.038179428416667</v>
          </cell>
          <cell r="G197">
            <v>0</v>
          </cell>
          <cell r="H197">
            <v>0</v>
          </cell>
          <cell r="I197">
            <v>160.41666666666669</v>
          </cell>
          <cell r="J197">
            <v>0.16041666666666668</v>
          </cell>
        </row>
        <row r="198">
          <cell r="A198" t="str">
            <v>96136</v>
          </cell>
          <cell r="B198" t="str">
            <v>MERENGUE P/SUSPIROS (5040g)</v>
          </cell>
          <cell r="C198" t="str">
            <v>KILO</v>
          </cell>
          <cell r="D198" t="str">
            <v>GRAMO</v>
          </cell>
          <cell r="E198">
            <v>1988.6052257444767</v>
          </cell>
          <cell r="F198">
            <v>1.9886052257444766</v>
          </cell>
          <cell r="G198">
            <v>2.1172637421282956</v>
          </cell>
          <cell r="H198">
            <v>2.1172637421282958E-3</v>
          </cell>
          <cell r="I198">
            <v>150.62439961575407</v>
          </cell>
          <cell r="J198">
            <v>0.15062439961575408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96170</v>
          </cell>
          <cell r="B200" t="str">
            <v>EMPANADA CARNE PERUANA GRANDE (UND)</v>
          </cell>
          <cell r="C200" t="str">
            <v>UND</v>
          </cell>
          <cell r="D200" t="str">
            <v>UND</v>
          </cell>
          <cell r="E200">
            <v>184.75896482753404</v>
          </cell>
          <cell r="F200">
            <v>184.75896482753404</v>
          </cell>
          <cell r="G200">
            <v>1.8487279947561979</v>
          </cell>
          <cell r="H200">
            <v>1.8487279947561979</v>
          </cell>
          <cell r="I200">
            <v>58.297288149715087</v>
          </cell>
          <cell r="J200">
            <v>58.297288149715087</v>
          </cell>
        </row>
        <row r="201">
          <cell r="A201" t="str">
            <v>96180</v>
          </cell>
          <cell r="B201" t="str">
            <v>RELLENO DELIZZIA (7.150 Kg)</v>
          </cell>
          <cell r="C201" t="str">
            <v>KILO</v>
          </cell>
          <cell r="D201" t="str">
            <v>GRAMO</v>
          </cell>
          <cell r="E201">
            <v>1901.6339954888927</v>
          </cell>
          <cell r="F201">
            <v>1.9016339954888926</v>
          </cell>
          <cell r="G201">
            <v>1.5039062499999999E-2</v>
          </cell>
          <cell r="H201">
            <v>1.5039062499999999E-5</v>
          </cell>
          <cell r="I201">
            <v>77.01322115384616</v>
          </cell>
          <cell r="J201">
            <v>7.7013221153846165E-2</v>
          </cell>
        </row>
        <row r="202">
          <cell r="A202" t="str">
            <v>96192</v>
          </cell>
          <cell r="B202" t="str">
            <v>ACEITE DE AJO Y PEREJIL (1000g)</v>
          </cell>
          <cell r="C202" t="str">
            <v>KILO</v>
          </cell>
          <cell r="D202" t="str">
            <v>GRAMO</v>
          </cell>
          <cell r="E202">
            <v>1720.8381377272729</v>
          </cell>
          <cell r="F202">
            <v>1.7208381377272728</v>
          </cell>
          <cell r="G202">
            <v>12.925640710606059</v>
          </cell>
          <cell r="H202">
            <v>1.2925640710606059E-2</v>
          </cell>
          <cell r="I202">
            <v>221.60363636363635</v>
          </cell>
          <cell r="J202">
            <v>0.22160363636363636</v>
          </cell>
        </row>
        <row r="203">
          <cell r="A203" t="str">
            <v>96197</v>
          </cell>
          <cell r="B203" t="str">
            <v>MEZCLA DE YEMA PARA PINTAR (1430g)</v>
          </cell>
          <cell r="C203" t="str">
            <v>KILO</v>
          </cell>
          <cell r="D203" t="str">
            <v>GRAMO</v>
          </cell>
          <cell r="E203">
            <v>2409.9551000000001</v>
          </cell>
          <cell r="F203">
            <v>2.4099551000000003</v>
          </cell>
          <cell r="G203">
            <v>0</v>
          </cell>
          <cell r="H203">
            <v>0</v>
          </cell>
          <cell r="I203">
            <v>56</v>
          </cell>
          <cell r="J203">
            <v>5.6000000000000001E-2</v>
          </cell>
        </row>
        <row r="204">
          <cell r="A204" t="str">
            <v>96199</v>
          </cell>
          <cell r="B204" t="str">
            <v>COBERTURA CHOCOLATE LECHE RALLADO (4700g)</v>
          </cell>
          <cell r="C204" t="str">
            <v>KILO</v>
          </cell>
          <cell r="D204" t="str">
            <v>GRAMO</v>
          </cell>
          <cell r="E204">
            <v>4752.793617021277</v>
          </cell>
          <cell r="F204">
            <v>4.7527936170212772</v>
          </cell>
          <cell r="G204">
            <v>0.21297872340425528</v>
          </cell>
          <cell r="H204">
            <v>2.1297872340425529E-4</v>
          </cell>
          <cell r="I204">
            <v>83.404255319148945</v>
          </cell>
          <cell r="J204">
            <v>8.340425531914894E-2</v>
          </cell>
        </row>
        <row r="205">
          <cell r="A205" t="str">
            <v>96223</v>
          </cell>
          <cell r="B205" t="str">
            <v>GANACHE DE DULCE LECHE (4800g)</v>
          </cell>
          <cell r="C205" t="str">
            <v>KILO</v>
          </cell>
          <cell r="D205" t="str">
            <v>GRAMO</v>
          </cell>
          <cell r="E205">
            <v>2483.106770833333</v>
          </cell>
          <cell r="F205">
            <v>2.483106770833333</v>
          </cell>
          <cell r="G205">
            <v>0</v>
          </cell>
          <cell r="H205">
            <v>0</v>
          </cell>
          <cell r="I205">
            <v>116.66666666666667</v>
          </cell>
          <cell r="J205">
            <v>0.11666666666666667</v>
          </cell>
        </row>
        <row r="206">
          <cell r="A206" t="str">
            <v>96242</v>
          </cell>
          <cell r="B206" t="str">
            <v>PURE PAPA (2000g)</v>
          </cell>
          <cell r="C206" t="str">
            <v>KILO</v>
          </cell>
          <cell r="D206" t="str">
            <v>GRAMO</v>
          </cell>
          <cell r="E206">
            <v>1389.1041269999998</v>
          </cell>
          <cell r="F206">
            <v>1.3891041269999997</v>
          </cell>
          <cell r="G206">
            <v>11.336887714285714</v>
          </cell>
          <cell r="H206">
            <v>1.1336887714285714E-2</v>
          </cell>
          <cell r="I206">
            <v>165.7</v>
          </cell>
          <cell r="J206">
            <v>0.16569999999999999</v>
          </cell>
        </row>
        <row r="207">
          <cell r="A207" t="str">
            <v>96251</v>
          </cell>
          <cell r="B207" t="str">
            <v>GALLETA P/TORTA CHILENA FAS (210g)</v>
          </cell>
          <cell r="C207" t="str">
            <v>UND</v>
          </cell>
          <cell r="D207" t="str">
            <v>UND</v>
          </cell>
          <cell r="E207">
            <v>226.41733244134201</v>
          </cell>
          <cell r="F207">
            <v>226.41733244134201</v>
          </cell>
          <cell r="G207">
            <v>0.65629030839002267</v>
          </cell>
          <cell r="H207">
            <v>0.65629030839002267</v>
          </cell>
          <cell r="I207">
            <v>27.595238095238095</v>
          </cell>
          <cell r="J207">
            <v>27.595238095238095</v>
          </cell>
        </row>
        <row r="208">
          <cell r="A208" t="str">
            <v>96252</v>
          </cell>
          <cell r="B208" t="str">
            <v>RELLENO CHEESE CAKE INDUSTRIA (8700g)</v>
          </cell>
          <cell r="C208" t="str">
            <v>KILO</v>
          </cell>
          <cell r="D208" t="str">
            <v>GRAMO</v>
          </cell>
          <cell r="E208">
            <v>1829.8089595444446</v>
          </cell>
          <cell r="F208">
            <v>1.8298089595444447</v>
          </cell>
          <cell r="G208">
            <v>1.2833333333333334E-2</v>
          </cell>
          <cell r="H208">
            <v>1.2833333333333333E-5</v>
          </cell>
          <cell r="I208">
            <v>100.51282051282051</v>
          </cell>
          <cell r="J208">
            <v>0.10051282051282051</v>
          </cell>
        </row>
        <row r="209">
          <cell r="A209" t="str">
            <v>96263</v>
          </cell>
          <cell r="B209" t="str">
            <v>QUESO PARMESANO LAMINADO (8580g)</v>
          </cell>
          <cell r="C209" t="str">
            <v>KILO</v>
          </cell>
          <cell r="D209" t="str">
            <v>GRAMO</v>
          </cell>
          <cell r="E209">
            <v>9408.3355186480203</v>
          </cell>
          <cell r="F209">
            <v>9.4083355186480198</v>
          </cell>
          <cell r="G209">
            <v>3.0547558275058275</v>
          </cell>
          <cell r="H209">
            <v>3.0547558275058275E-3</v>
          </cell>
          <cell r="I209">
            <v>32.051282051282051</v>
          </cell>
          <cell r="J209">
            <v>3.2051282051282048E-2</v>
          </cell>
        </row>
        <row r="210">
          <cell r="A210" t="str">
            <v>96266</v>
          </cell>
          <cell r="B210" t="str">
            <v>LAMINA AZUCAR ESCANEADA (UND)</v>
          </cell>
          <cell r="C210" t="str">
            <v>UND</v>
          </cell>
          <cell r="D210" t="str">
            <v>UND</v>
          </cell>
          <cell r="E210">
            <v>1387.384</v>
          </cell>
          <cell r="F210">
            <v>1387.384</v>
          </cell>
          <cell r="G210">
            <v>0</v>
          </cell>
          <cell r="H210">
            <v>0</v>
          </cell>
          <cell r="I210">
            <v>275</v>
          </cell>
          <cell r="J210">
            <v>275</v>
          </cell>
        </row>
        <row r="211">
          <cell r="A211" t="str">
            <v>96267</v>
          </cell>
          <cell r="B211" t="str">
            <v>ROSQUETE CHOCOLATE BUCCA (320g)</v>
          </cell>
          <cell r="C211" t="str">
            <v>UND</v>
          </cell>
          <cell r="D211" t="str">
            <v>UND</v>
          </cell>
          <cell r="E211">
            <v>355.25335753863862</v>
          </cell>
          <cell r="F211">
            <v>355.25335753863862</v>
          </cell>
          <cell r="G211">
            <v>8.2092643814880741</v>
          </cell>
          <cell r="H211">
            <v>8.2092643814880741</v>
          </cell>
          <cell r="I211">
            <v>35.876510067114097</v>
          </cell>
          <cell r="J211">
            <v>35.876510067114097</v>
          </cell>
        </row>
        <row r="212">
          <cell r="A212" t="str">
            <v>96270</v>
          </cell>
          <cell r="B212" t="str">
            <v>ROSQUETE MELOCOTON PURATOS (360g)</v>
          </cell>
          <cell r="C212" t="str">
            <v>UND</v>
          </cell>
          <cell r="D212" t="str">
            <v>UND</v>
          </cell>
          <cell r="E212">
            <v>447.66176290350978</v>
          </cell>
          <cell r="F212">
            <v>447.66176290350978</v>
          </cell>
          <cell r="G212">
            <v>8.3417280087138295</v>
          </cell>
          <cell r="H212">
            <v>8.3417280087138295</v>
          </cell>
          <cell r="I212">
            <v>18.709296952359995</v>
          </cell>
          <cell r="J212">
            <v>18.709296952359995</v>
          </cell>
        </row>
        <row r="213">
          <cell r="A213" t="str">
            <v>96271</v>
          </cell>
          <cell r="B213" t="str">
            <v>CORTE  P/GALLETA ESC (UND)</v>
          </cell>
          <cell r="C213" t="str">
            <v>UND</v>
          </cell>
          <cell r="D213" t="str">
            <v>UND</v>
          </cell>
          <cell r="E213">
            <v>21.349894497743044</v>
          </cell>
          <cell r="F213">
            <v>21.349894497743044</v>
          </cell>
          <cell r="G213">
            <v>0</v>
          </cell>
          <cell r="H213">
            <v>0</v>
          </cell>
          <cell r="I213">
            <v>10.686239816064377</v>
          </cell>
          <cell r="J213">
            <v>10.686239816064377</v>
          </cell>
        </row>
        <row r="214">
          <cell r="A214" t="str">
            <v>96272</v>
          </cell>
          <cell r="B214" t="str">
            <v>EMPANADA POLLO C/AJONJOLI (UND)</v>
          </cell>
          <cell r="C214" t="str">
            <v>UND</v>
          </cell>
          <cell r="D214" t="str">
            <v>UND</v>
          </cell>
          <cell r="E214">
            <v>185.40642008823716</v>
          </cell>
          <cell r="F214">
            <v>185.40642008823716</v>
          </cell>
          <cell r="G214">
            <v>1.7940720010640245</v>
          </cell>
          <cell r="H214">
            <v>1.7940720010640245</v>
          </cell>
          <cell r="I214">
            <v>45.17753744451764</v>
          </cell>
          <cell r="J214">
            <v>45.17753744451764</v>
          </cell>
        </row>
        <row r="215">
          <cell r="A215" t="str">
            <v>96275</v>
          </cell>
          <cell r="B215" t="str">
            <v>GALLETA CHOCOLATE CHIPS STARBUCKS (UND)</v>
          </cell>
          <cell r="C215" t="str">
            <v>UND</v>
          </cell>
          <cell r="D215" t="str">
            <v>UND</v>
          </cell>
          <cell r="E215">
            <v>142.47345146308726</v>
          </cell>
          <cell r="F215">
            <v>142.47345146308726</v>
          </cell>
          <cell r="G215">
            <v>0.13315657482254814</v>
          </cell>
          <cell r="H215">
            <v>0.13315657482254814</v>
          </cell>
          <cell r="I215">
            <v>9.8643519761372112</v>
          </cell>
          <cell r="J215">
            <v>9.8643519761372112</v>
          </cell>
        </row>
        <row r="216">
          <cell r="A216" t="str">
            <v>96276</v>
          </cell>
          <cell r="B216" t="str">
            <v>ROSQUETE CARAMELO PURATOS (335g)</v>
          </cell>
          <cell r="C216" t="str">
            <v>UND</v>
          </cell>
          <cell r="D216" t="str">
            <v>UND</v>
          </cell>
          <cell r="E216">
            <v>446.846888464561</v>
          </cell>
          <cell r="F216">
            <v>446.846888464561</v>
          </cell>
          <cell r="G216">
            <v>7.6483473744357671</v>
          </cell>
          <cell r="H216">
            <v>7.6483473744357671</v>
          </cell>
          <cell r="I216">
            <v>5.5005424229143616</v>
          </cell>
          <cell r="J216">
            <v>5.5005424229143616</v>
          </cell>
        </row>
        <row r="217">
          <cell r="A217" t="str">
            <v>96277</v>
          </cell>
          <cell r="B217" t="str">
            <v>ARREGLADOS GRANDE (UND)</v>
          </cell>
          <cell r="C217" t="str">
            <v>UND</v>
          </cell>
          <cell r="D217" t="str">
            <v>UND</v>
          </cell>
          <cell r="E217">
            <v>63.791154345074041</v>
          </cell>
          <cell r="F217">
            <v>63.791154345074041</v>
          </cell>
          <cell r="G217">
            <v>0.33880285996871001</v>
          </cell>
          <cell r="H217">
            <v>0.33880285996871001</v>
          </cell>
          <cell r="I217">
            <v>13.452585776402852</v>
          </cell>
          <cell r="J217">
            <v>13.452585776402852</v>
          </cell>
        </row>
        <row r="218">
          <cell r="A218" t="str">
            <v>96280</v>
          </cell>
          <cell r="B218" t="str">
            <v>OREJITAS DULCES (5409g)</v>
          </cell>
          <cell r="C218" t="str">
            <v>KILO</v>
          </cell>
          <cell r="D218" t="str">
            <v>GRAMO</v>
          </cell>
          <cell r="E218">
            <v>935.32970759169018</v>
          </cell>
          <cell r="F218">
            <v>0.93532970759169021</v>
          </cell>
          <cell r="G218">
            <v>4.3075589700960348</v>
          </cell>
          <cell r="H218">
            <v>4.3075589700960351E-3</v>
          </cell>
          <cell r="I218">
            <v>625.67426218810954</v>
          </cell>
          <cell r="J218">
            <v>0.62567426218810951</v>
          </cell>
        </row>
        <row r="219">
          <cell r="A219" t="str">
            <v>96284</v>
          </cell>
          <cell r="B219" t="str">
            <v>CROISSANT SPOON 110g (UND)</v>
          </cell>
          <cell r="C219" t="str">
            <v>UND</v>
          </cell>
          <cell r="D219" t="str">
            <v>UND</v>
          </cell>
          <cell r="E219">
            <v>123.89697454065589</v>
          </cell>
          <cell r="F219">
            <v>123.89697454065589</v>
          </cell>
          <cell r="G219">
            <v>0.39982959433249193</v>
          </cell>
          <cell r="H219">
            <v>0.39982959433249193</v>
          </cell>
          <cell r="I219">
            <v>46.883423180592985</v>
          </cell>
          <cell r="J219">
            <v>46.883423180592985</v>
          </cell>
        </row>
        <row r="220">
          <cell r="A220" t="str">
            <v>96292</v>
          </cell>
          <cell r="B220" t="str">
            <v>ROSQUETE TRES LECHES RED. (150g)</v>
          </cell>
          <cell r="C220" t="str">
            <v>UND</v>
          </cell>
          <cell r="D220" t="str">
            <v>UND</v>
          </cell>
          <cell r="E220">
            <v>161.62757625425056</v>
          </cell>
          <cell r="F220">
            <v>161.62757625425056</v>
          </cell>
          <cell r="G220">
            <v>1.7718978079258554</v>
          </cell>
          <cell r="H220">
            <v>1.7718978079258554</v>
          </cell>
          <cell r="I220">
            <v>29.720637583892618</v>
          </cell>
          <cell r="J220">
            <v>29.720637583892618</v>
          </cell>
        </row>
        <row r="221">
          <cell r="A221" t="str">
            <v>96293</v>
          </cell>
          <cell r="B221" t="str">
            <v>BATIDO P/ROSQUETE TRES LECHES (16700g)</v>
          </cell>
          <cell r="C221" t="str">
            <v>KILO</v>
          </cell>
          <cell r="D221" t="str">
            <v>GRAMO</v>
          </cell>
          <cell r="E221">
            <v>974.43102043715862</v>
          </cell>
          <cell r="F221">
            <v>0.97443102043715857</v>
          </cell>
          <cell r="G221">
            <v>3.5376047879260999</v>
          </cell>
          <cell r="H221">
            <v>3.5376047879261E-3</v>
          </cell>
          <cell r="I221">
            <v>24.043715846994537</v>
          </cell>
          <cell r="J221">
            <v>2.4043715846994537E-2</v>
          </cell>
        </row>
        <row r="222">
          <cell r="A222" t="str">
            <v>96296</v>
          </cell>
          <cell r="B222" t="str">
            <v>BATIDO P/ROSQUETE CHOCOLATE BUCCA (11475g)</v>
          </cell>
          <cell r="C222" t="str">
            <v>KILO</v>
          </cell>
          <cell r="D222" t="str">
            <v>GRAMO</v>
          </cell>
          <cell r="E222">
            <v>1057.7837416993466</v>
          </cell>
          <cell r="F222">
            <v>1.0577837416993465</v>
          </cell>
          <cell r="G222">
            <v>2.8203258152643773</v>
          </cell>
          <cell r="H222">
            <v>2.8203258152643771E-3</v>
          </cell>
          <cell r="I222">
            <v>48.104575163398692</v>
          </cell>
          <cell r="J222">
            <v>4.8104575163398694E-2</v>
          </cell>
        </row>
        <row r="223">
          <cell r="A223" t="str">
            <v>96299</v>
          </cell>
          <cell r="B223" t="str">
            <v>CROISSANT C/JAMON STB (UND)</v>
          </cell>
          <cell r="C223" t="str">
            <v>UND</v>
          </cell>
          <cell r="D223" t="str">
            <v>UND</v>
          </cell>
          <cell r="E223">
            <v>307.09518973819553</v>
          </cell>
          <cell r="F223">
            <v>307.09518973819553</v>
          </cell>
          <cell r="G223">
            <v>0.73358858788922221</v>
          </cell>
          <cell r="H223">
            <v>0.73358858788922221</v>
          </cell>
          <cell r="I223">
            <v>50.787974886339036</v>
          </cell>
          <cell r="J223">
            <v>50.787974886339036</v>
          </cell>
        </row>
        <row r="224">
          <cell r="A224" t="str">
            <v>96305</v>
          </cell>
          <cell r="B224" t="str">
            <v>BATIDO P/BROWNIE SPOON (6000g)</v>
          </cell>
          <cell r="C224" t="str">
            <v>KILO</v>
          </cell>
          <cell r="D224" t="str">
            <v>GRAMO</v>
          </cell>
          <cell r="E224">
            <v>1517.20092525</v>
          </cell>
          <cell r="F224">
            <v>1.5172009252500001</v>
          </cell>
          <cell r="G224">
            <v>16.075130953749998</v>
          </cell>
          <cell r="H224">
            <v>8.9306283076388878E-3</v>
          </cell>
          <cell r="I224">
            <v>67.12062499999999</v>
          </cell>
          <cell r="J224">
            <v>3.7289236111111103E-2</v>
          </cell>
        </row>
        <row r="225">
          <cell r="A225" t="str">
            <v>96306</v>
          </cell>
          <cell r="B225" t="str">
            <v>BATIDO P/COCADA SPOON (21647g)</v>
          </cell>
          <cell r="C225" t="str">
            <v>KILO</v>
          </cell>
          <cell r="D225" t="str">
            <v>GRAMO</v>
          </cell>
          <cell r="E225">
            <v>1832.4797084720931</v>
          </cell>
          <cell r="F225">
            <v>1.8324797084720932</v>
          </cell>
          <cell r="G225">
            <v>0</v>
          </cell>
          <cell r="H225">
            <v>0</v>
          </cell>
          <cell r="I225">
            <v>25.581395348837209</v>
          </cell>
          <cell r="J225">
            <v>2.5581395348837209E-2</v>
          </cell>
        </row>
        <row r="226">
          <cell r="A226" t="str">
            <v>96311</v>
          </cell>
          <cell r="B226" t="str">
            <v>ROSQUETE CHOCOLATE RED. (700g)</v>
          </cell>
          <cell r="C226" t="str">
            <v>UND</v>
          </cell>
          <cell r="D226" t="str">
            <v>UND</v>
          </cell>
          <cell r="E226">
            <v>852.46206408625835</v>
          </cell>
          <cell r="F226">
            <v>852.46206408625835</v>
          </cell>
          <cell r="G226">
            <v>15.921994095213645</v>
          </cell>
          <cell r="H226">
            <v>15.921994095213645</v>
          </cell>
          <cell r="I226">
            <v>29.022774782704367</v>
          </cell>
          <cell r="J226">
            <v>29.022774782704367</v>
          </cell>
        </row>
        <row r="227">
          <cell r="A227" t="str">
            <v>96322</v>
          </cell>
          <cell r="B227" t="str">
            <v>BATIDO P/ROSQUETE CARAMELO (18150g)</v>
          </cell>
          <cell r="C227" t="str">
            <v>KILO</v>
          </cell>
          <cell r="D227" t="str">
            <v>GRAMO</v>
          </cell>
          <cell r="E227">
            <v>1190.2698842975205</v>
          </cell>
          <cell r="F227">
            <v>1.1902698842975206</v>
          </cell>
          <cell r="G227">
            <v>0</v>
          </cell>
          <cell r="H227">
            <v>0</v>
          </cell>
          <cell r="I227">
            <v>15.426997245179065</v>
          </cell>
          <cell r="J227">
            <v>1.5426997245179064E-2</v>
          </cell>
        </row>
        <row r="228">
          <cell r="A228" t="str">
            <v>96324</v>
          </cell>
          <cell r="B228" t="str">
            <v>ROSQUETE CARAMELO PURATOS (1060g)</v>
          </cell>
          <cell r="C228" t="str">
            <v>UND</v>
          </cell>
          <cell r="D228" t="str">
            <v>UND</v>
          </cell>
          <cell r="E228">
            <v>1440.5810135573906</v>
          </cell>
          <cell r="F228">
            <v>1440.5810135573906</v>
          </cell>
          <cell r="G228">
            <v>19.769060411482837</v>
          </cell>
          <cell r="H228">
            <v>19.769060411482837</v>
          </cell>
          <cell r="I228">
            <v>43.943276172306241</v>
          </cell>
          <cell r="J228">
            <v>43.943276172306241</v>
          </cell>
        </row>
        <row r="229">
          <cell r="A229" t="str">
            <v>96328</v>
          </cell>
          <cell r="B229" t="str">
            <v>ROSQUETE MELOCOTON RECT.PURATOS (3400g)</v>
          </cell>
          <cell r="C229" t="str">
            <v>UND</v>
          </cell>
          <cell r="D229" t="str">
            <v>UND</v>
          </cell>
          <cell r="E229">
            <v>4595.986369707296</v>
          </cell>
          <cell r="F229">
            <v>4595.986369707296</v>
          </cell>
          <cell r="G229">
            <v>29.641797018394229</v>
          </cell>
          <cell r="H229">
            <v>29.641797018394229</v>
          </cell>
          <cell r="I229">
            <v>140.25143489451781</v>
          </cell>
          <cell r="J229">
            <v>140.25143489451781</v>
          </cell>
        </row>
        <row r="230">
          <cell r="A230" t="str">
            <v>96329</v>
          </cell>
          <cell r="B230" t="str">
            <v>PRALINE (1380g)</v>
          </cell>
          <cell r="C230" t="str">
            <v>KILO</v>
          </cell>
          <cell r="D230" t="str">
            <v>GRAMO</v>
          </cell>
          <cell r="E230">
            <v>5776.4652173913037</v>
          </cell>
          <cell r="F230">
            <v>5.776465217391304</v>
          </cell>
          <cell r="G230">
            <v>7.8260869565217401</v>
          </cell>
          <cell r="H230">
            <v>7.8260869565217397E-3</v>
          </cell>
          <cell r="I230">
            <v>405.79710144927537</v>
          </cell>
          <cell r="J230">
            <v>0.40579710144927539</v>
          </cell>
        </row>
        <row r="231">
          <cell r="A231" t="str">
            <v>96331</v>
          </cell>
          <cell r="B231" t="str">
            <v>BOLLETA BLANCA P/CROCANTINI (80g)</v>
          </cell>
          <cell r="C231" t="str">
            <v>UND</v>
          </cell>
          <cell r="D231" t="str">
            <v>UND</v>
          </cell>
          <cell r="E231">
            <v>45.417622234316674</v>
          </cell>
          <cell r="F231">
            <v>45.417622234316674</v>
          </cell>
          <cell r="G231">
            <v>0.39930195657604239</v>
          </cell>
          <cell r="H231">
            <v>0.39930195657604239</v>
          </cell>
          <cell r="I231">
            <v>23.408856882257645</v>
          </cell>
          <cell r="J231">
            <v>23.408856882257645</v>
          </cell>
        </row>
        <row r="232">
          <cell r="A232" t="str">
            <v>96340</v>
          </cell>
          <cell r="B232" t="str">
            <v>CREMA MOKA C/BAILEYS (1200g)</v>
          </cell>
          <cell r="C232" t="str">
            <v>KILO</v>
          </cell>
          <cell r="D232" t="str">
            <v>GRAMO</v>
          </cell>
          <cell r="E232">
            <v>4033.7853397038107</v>
          </cell>
          <cell r="F232">
            <v>4.0337853397038108</v>
          </cell>
          <cell r="G232">
            <v>0.93512481943999726</v>
          </cell>
          <cell r="H232">
            <v>9.3512481943999726E-4</v>
          </cell>
          <cell r="I232">
            <v>249.85910983029137</v>
          </cell>
          <cell r="J232">
            <v>0.24985910983029139</v>
          </cell>
        </row>
        <row r="233">
          <cell r="A233" t="str">
            <v>96341</v>
          </cell>
          <cell r="B233" t="str">
            <v>PECANA CUBIERTA C/COCOLATE BLANCO (500g)</v>
          </cell>
          <cell r="C233" t="str">
            <v>KILO</v>
          </cell>
          <cell r="D233" t="str">
            <v>GRAMO</v>
          </cell>
          <cell r="E233">
            <v>6432.4953750000004</v>
          </cell>
          <cell r="F233">
            <v>6.4324953750000002</v>
          </cell>
          <cell r="G233">
            <v>32.96543615625</v>
          </cell>
          <cell r="H233">
            <v>3.296543615625E-2</v>
          </cell>
          <cell r="I233">
            <v>600.16666666666663</v>
          </cell>
          <cell r="J233">
            <v>0.60016666666666663</v>
          </cell>
        </row>
        <row r="234">
          <cell r="A234" t="str">
            <v>96342</v>
          </cell>
          <cell r="B234" t="str">
            <v>MEZCLA DE TRES LECHES C/BAILEYS (3600g)</v>
          </cell>
          <cell r="C234" t="str">
            <v>LITRO</v>
          </cell>
          <cell r="D234" t="str">
            <v>GRAMO</v>
          </cell>
          <cell r="E234">
            <v>6479.2919439704865</v>
          </cell>
          <cell r="F234">
            <v>6.4792919439704866</v>
          </cell>
          <cell r="G234">
            <v>2.6780055555555555</v>
          </cell>
          <cell r="H234">
            <v>2.6780055555555553E-3</v>
          </cell>
          <cell r="I234">
            <v>35.223765432098766</v>
          </cell>
          <cell r="J234">
            <v>3.5223765432098764E-2</v>
          </cell>
        </row>
        <row r="235">
          <cell r="A235" t="str">
            <v>96343</v>
          </cell>
          <cell r="B235" t="str">
            <v>GANACHE BAILEYS (700g)</v>
          </cell>
          <cell r="C235" t="str">
            <v>KILO</v>
          </cell>
          <cell r="D235" t="str">
            <v>GRAMO</v>
          </cell>
          <cell r="E235">
            <v>4033.9998857142855</v>
          </cell>
          <cell r="F235">
            <v>4.0339998857142856</v>
          </cell>
          <cell r="G235">
            <v>13.772599999999999</v>
          </cell>
          <cell r="H235">
            <v>1.3772599999999999E-2</v>
          </cell>
          <cell r="I235">
            <v>392.85714285714283</v>
          </cell>
          <cell r="J235">
            <v>0.39285714285714285</v>
          </cell>
        </row>
        <row r="236">
          <cell r="A236" t="str">
            <v>96344</v>
          </cell>
          <cell r="B236" t="str">
            <v>CREMA DULCE LECHE (24500g)</v>
          </cell>
          <cell r="C236" t="str">
            <v>KILO</v>
          </cell>
          <cell r="D236" t="str">
            <v>GRAMO</v>
          </cell>
          <cell r="E236">
            <v>1870.7287253877548</v>
          </cell>
          <cell r="F236">
            <v>1.8707287253877549</v>
          </cell>
          <cell r="G236">
            <v>0</v>
          </cell>
          <cell r="H236">
            <v>0</v>
          </cell>
          <cell r="I236">
            <v>11.224489795918366</v>
          </cell>
          <cell r="J236">
            <v>1.1224489795918367E-2</v>
          </cell>
        </row>
        <row r="237">
          <cell r="A237" t="str">
            <v>96349</v>
          </cell>
          <cell r="B237" t="str">
            <v>BATIDO P/ROSQUETE ZANAHORIA (10200g)</v>
          </cell>
          <cell r="C237" t="str">
            <v>KILO</v>
          </cell>
          <cell r="D237" t="str">
            <v>GRAMO</v>
          </cell>
          <cell r="E237">
            <v>1637.0907680285959</v>
          </cell>
          <cell r="F237">
            <v>1.637090768028596</v>
          </cell>
          <cell r="G237">
            <v>0.92457834152809126</v>
          </cell>
          <cell r="H237">
            <v>9.245783415280913E-4</v>
          </cell>
          <cell r="I237">
            <v>95.821209739325496</v>
          </cell>
          <cell r="J237">
            <v>9.5821209739325494E-2</v>
          </cell>
        </row>
        <row r="238">
          <cell r="A238" t="str">
            <v>96352</v>
          </cell>
          <cell r="B238" t="str">
            <v>GALLETA P/TORTA CHILENA BUCCA</v>
          </cell>
          <cell r="C238" t="str">
            <v>UND</v>
          </cell>
          <cell r="D238" t="str">
            <v>UND</v>
          </cell>
          <cell r="E238">
            <v>59.974259271360751</v>
          </cell>
          <cell r="F238">
            <v>59.974259271360751</v>
          </cell>
          <cell r="G238">
            <v>0.46606528812537668</v>
          </cell>
          <cell r="H238">
            <v>0.46606528812537668</v>
          </cell>
          <cell r="I238">
            <v>15.320253164556961</v>
          </cell>
          <cell r="J238">
            <v>15.320253164556961</v>
          </cell>
        </row>
        <row r="239">
          <cell r="A239" t="str">
            <v>96356</v>
          </cell>
          <cell r="B239" t="str">
            <v>ROSQUETE VAINILLA PURATOS  (1000g)</v>
          </cell>
          <cell r="C239" t="str">
            <v>UND</v>
          </cell>
          <cell r="D239" t="str">
            <v>UND</v>
          </cell>
          <cell r="E239">
            <v>1023.982802590923</v>
          </cell>
          <cell r="F239">
            <v>1023.982802590923</v>
          </cell>
          <cell r="G239">
            <v>24.187790337380832</v>
          </cell>
          <cell r="H239">
            <v>24.187790337380832</v>
          </cell>
          <cell r="I239">
            <v>34.421435367327526</v>
          </cell>
          <cell r="J239">
            <v>34.421435367327526</v>
          </cell>
        </row>
        <row r="240">
          <cell r="A240" t="str">
            <v>96357</v>
          </cell>
          <cell r="B240" t="str">
            <v>ROSQUETE CHOCOLATE SPOON  (280g)</v>
          </cell>
          <cell r="C240" t="str">
            <v>UND</v>
          </cell>
          <cell r="D240" t="str">
            <v>UND</v>
          </cell>
          <cell r="E240">
            <v>346.31448108981016</v>
          </cell>
          <cell r="F240">
            <v>346.31448108981016</v>
          </cell>
          <cell r="G240">
            <v>5.1702547117871935</v>
          </cell>
          <cell r="H240">
            <v>5.1702547117871935</v>
          </cell>
          <cell r="I240">
            <v>14.846672462552155</v>
          </cell>
          <cell r="J240">
            <v>14.846672462552155</v>
          </cell>
        </row>
        <row r="241">
          <cell r="A241" t="str">
            <v>96360</v>
          </cell>
          <cell r="B241" t="str">
            <v>COCCION PALMITO P/ENSALADA (1900g)</v>
          </cell>
          <cell r="C241" t="str">
            <v>KILO</v>
          </cell>
          <cell r="D241" t="str">
            <v>GRAMO</v>
          </cell>
          <cell r="E241">
            <v>2347.4006557894736</v>
          </cell>
          <cell r="F241">
            <v>2.3474006557894738</v>
          </cell>
          <cell r="G241">
            <v>44.225973684210523</v>
          </cell>
          <cell r="H241">
            <v>4.4225973684210523E-2</v>
          </cell>
          <cell r="I241">
            <v>86.842105263157904</v>
          </cell>
          <cell r="J241">
            <v>8.6842105263157901E-2</v>
          </cell>
        </row>
        <row r="242">
          <cell r="A242" t="str">
            <v>96361</v>
          </cell>
          <cell r="B242" t="str">
            <v>BATIDO YOGURT CAKE (10500g)</v>
          </cell>
          <cell r="C242" t="str">
            <v>KILO</v>
          </cell>
          <cell r="D242" t="str">
            <v>GRAMO</v>
          </cell>
          <cell r="E242">
            <v>1356.717147051859</v>
          </cell>
          <cell r="F242">
            <v>1.3567171470518591</v>
          </cell>
          <cell r="G242">
            <v>3.1315248243744573</v>
          </cell>
          <cell r="H242">
            <v>3.1315248243744573E-3</v>
          </cell>
          <cell r="I242">
            <v>47.738574473123371</v>
          </cell>
          <cell r="J242">
            <v>4.7738574473123373E-2</v>
          </cell>
        </row>
        <row r="243">
          <cell r="A243" t="str">
            <v>96362</v>
          </cell>
          <cell r="B243" t="str">
            <v>ADEREZO CULANTRO RANCH (500g)</v>
          </cell>
          <cell r="C243" t="str">
            <v>KILO</v>
          </cell>
          <cell r="D243" t="str">
            <v>GRAMO</v>
          </cell>
          <cell r="E243">
            <v>1313.3792668857036</v>
          </cell>
          <cell r="F243">
            <v>1.3133792668857036</v>
          </cell>
          <cell r="G243">
            <v>64.31460317543943</v>
          </cell>
          <cell r="H243">
            <v>6.4314603175439425E-2</v>
          </cell>
          <cell r="I243">
            <v>604.54374873079269</v>
          </cell>
          <cell r="J243">
            <v>0.60454374873079264</v>
          </cell>
        </row>
        <row r="244">
          <cell r="A244" t="str">
            <v>96367</v>
          </cell>
          <cell r="B244" t="str">
            <v>ADEREZO PESTO ALBAHACA (300g)</v>
          </cell>
          <cell r="C244" t="str">
            <v>KILO</v>
          </cell>
          <cell r="D244" t="str">
            <v>GRAMO</v>
          </cell>
          <cell r="E244">
            <v>3256.399145833333</v>
          </cell>
          <cell r="F244">
            <v>3.256399145833333</v>
          </cell>
          <cell r="G244">
            <v>54.084525925925938</v>
          </cell>
          <cell r="H244">
            <v>5.4084525925925934E-2</v>
          </cell>
          <cell r="I244">
            <v>566.93693693693706</v>
          </cell>
          <cell r="J244">
            <v>0.56693693693693703</v>
          </cell>
        </row>
        <row r="245">
          <cell r="A245" t="str">
            <v>96368</v>
          </cell>
          <cell r="B245" t="str">
            <v>COCCION CARNE PHILLY (500g)</v>
          </cell>
          <cell r="C245" t="str">
            <v>KILO</v>
          </cell>
          <cell r="D245" t="str">
            <v>GRAMO</v>
          </cell>
          <cell r="E245">
            <v>11091.887170000002</v>
          </cell>
          <cell r="F245">
            <v>11.091887170000001</v>
          </cell>
          <cell r="G245">
            <v>49.338826999999995</v>
          </cell>
          <cell r="H245">
            <v>4.9338826999999995E-2</v>
          </cell>
          <cell r="I245">
            <v>560</v>
          </cell>
          <cell r="J245">
            <v>0.56000000000000005</v>
          </cell>
        </row>
        <row r="246">
          <cell r="A246" t="str">
            <v>96369</v>
          </cell>
          <cell r="B246" t="str">
            <v>COCCION CEBOLLA PHILLY (200g)</v>
          </cell>
          <cell r="C246" t="str">
            <v>KILO</v>
          </cell>
          <cell r="D246" t="str">
            <v>GRAMO</v>
          </cell>
          <cell r="E246">
            <v>7895.8827233333341</v>
          </cell>
          <cell r="F246">
            <v>7.895882723333334</v>
          </cell>
          <cell r="G246">
            <v>123.34706749999999</v>
          </cell>
          <cell r="H246">
            <v>0.12334706749999999</v>
          </cell>
          <cell r="I246">
            <v>1400</v>
          </cell>
          <cell r="J246">
            <v>1.4</v>
          </cell>
        </row>
        <row r="247">
          <cell r="A247" t="str">
            <v>96370</v>
          </cell>
          <cell r="B247" t="str">
            <v>MEZCLA CLARAS P/TORTA (1700g)</v>
          </cell>
          <cell r="C247" t="str">
            <v>KILO</v>
          </cell>
          <cell r="D247" t="str">
            <v>GRAMO</v>
          </cell>
          <cell r="E247">
            <v>2967.8659223529412</v>
          </cell>
          <cell r="F247">
            <v>2.9678659223529413</v>
          </cell>
          <cell r="G247">
            <v>0</v>
          </cell>
          <cell r="H247">
            <v>0</v>
          </cell>
          <cell r="I247">
            <v>98.823529411764696</v>
          </cell>
          <cell r="J247">
            <v>9.8823529411764699E-2</v>
          </cell>
        </row>
        <row r="248">
          <cell r="A248" t="str">
            <v>96371</v>
          </cell>
          <cell r="B248" t="str">
            <v>MEZCLA DE HUEVOS ENTEROS P/TORTA (750g)</v>
          </cell>
          <cell r="C248" t="str">
            <v>KILO</v>
          </cell>
          <cell r="D248" t="str">
            <v>GRAMO</v>
          </cell>
          <cell r="E248">
            <v>1409.0171506666668</v>
          </cell>
          <cell r="F248">
            <v>1.4090171506666669</v>
          </cell>
          <cell r="G248">
            <v>0</v>
          </cell>
          <cell r="H248">
            <v>0</v>
          </cell>
          <cell r="I248">
            <v>224</v>
          </cell>
          <cell r="J248">
            <v>0.224</v>
          </cell>
        </row>
        <row r="249">
          <cell r="A249" t="str">
            <v>96372</v>
          </cell>
          <cell r="B249" t="str">
            <v>QUESO CHEDDAR BLANCO LAMINADO Y EMPACADO (1000g)</v>
          </cell>
          <cell r="C249" t="str">
            <v>KILO</v>
          </cell>
          <cell r="D249" t="str">
            <v>GRAMO</v>
          </cell>
          <cell r="E249">
            <v>9278.7842700000001</v>
          </cell>
          <cell r="F249">
            <v>9.2787842700000009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96373</v>
          </cell>
          <cell r="B250" t="str">
            <v>QUESO CHEDDAR LAMINADO Y EMPACADO (1000g)</v>
          </cell>
          <cell r="C250" t="str">
            <v>KILO</v>
          </cell>
          <cell r="D250" t="str">
            <v>GRAMO</v>
          </cell>
          <cell r="E250">
            <v>9065.4797699999999</v>
          </cell>
          <cell r="F250">
            <v>9.0654797699999996</v>
          </cell>
          <cell r="G250">
            <v>52.097924444444445</v>
          </cell>
          <cell r="H250">
            <v>5.2097924444444443E-2</v>
          </cell>
          <cell r="I250">
            <v>224</v>
          </cell>
          <cell r="J250">
            <v>0.224</v>
          </cell>
        </row>
        <row r="251">
          <cell r="A251" t="str">
            <v>96374</v>
          </cell>
          <cell r="B251" t="str">
            <v>QUESO GOUDA BLANCO LAMINADO Y EMPACADO (1000g)</v>
          </cell>
          <cell r="C251" t="str">
            <v>KILO</v>
          </cell>
          <cell r="D251" t="str">
            <v>GRAMO</v>
          </cell>
          <cell r="E251">
            <v>6766.1310899999999</v>
          </cell>
          <cell r="F251">
            <v>6.76613109</v>
          </cell>
          <cell r="G251">
            <v>52.103924444444445</v>
          </cell>
          <cell r="H251">
            <v>5.2103924444444442E-2</v>
          </cell>
          <cell r="I251">
            <v>224</v>
          </cell>
          <cell r="J251">
            <v>0.224</v>
          </cell>
        </row>
        <row r="252">
          <cell r="A252" t="str">
            <v>96375</v>
          </cell>
          <cell r="B252" t="str">
            <v>QUESO MONTERREY JACK LAMINADO Y EMPACADO (1000g)</v>
          </cell>
          <cell r="C252" t="str">
            <v>KILO</v>
          </cell>
          <cell r="D252" t="str">
            <v>GRAMO</v>
          </cell>
          <cell r="E252">
            <v>6933.1377600000005</v>
          </cell>
          <cell r="F252">
            <v>6.9331377600000001</v>
          </cell>
          <cell r="G252">
            <v>52.223357777777778</v>
          </cell>
          <cell r="H252">
            <v>5.2223357777777778E-2</v>
          </cell>
          <cell r="I252">
            <v>224</v>
          </cell>
          <cell r="J252">
            <v>0.224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UND</v>
          </cell>
          <cell r="D253" t="str">
            <v>UND</v>
          </cell>
          <cell r="E253">
            <v>263.25</v>
          </cell>
          <cell r="F253">
            <v>263.25</v>
          </cell>
          <cell r="G253">
            <v>0</v>
          </cell>
          <cell r="H253">
            <v>0</v>
          </cell>
          <cell r="I253">
            <v>16.8</v>
          </cell>
          <cell r="J253">
            <v>16.8</v>
          </cell>
        </row>
        <row r="254">
          <cell r="A254" t="str">
            <v>96376</v>
          </cell>
          <cell r="B254" t="str">
            <v>SALCHICHA AMERICANA HORNEADA (300g)</v>
          </cell>
          <cell r="C254" t="str">
            <v>KILO</v>
          </cell>
          <cell r="D254" t="str">
            <v>GRAMO</v>
          </cell>
          <cell r="E254">
            <v>263.25</v>
          </cell>
          <cell r="F254">
            <v>0.26324999999999998</v>
          </cell>
          <cell r="G254">
            <v>0</v>
          </cell>
          <cell r="H254">
            <v>0</v>
          </cell>
          <cell r="I254">
            <v>16.8</v>
          </cell>
          <cell r="J254">
            <v>1.6800000000000002E-2</v>
          </cell>
        </row>
        <row r="255">
          <cell r="A255" t="str">
            <v>96377</v>
          </cell>
          <cell r="B255" t="str">
            <v>SALSA CEBOLLA PHILLY (500g)</v>
          </cell>
          <cell r="C255" t="str">
            <v>KILO</v>
          </cell>
          <cell r="D255" t="str">
            <v>GRAMO</v>
          </cell>
          <cell r="E255">
            <v>2593.4490490000003</v>
          </cell>
          <cell r="F255">
            <v>2.5934490490000002</v>
          </cell>
          <cell r="G255">
            <v>0</v>
          </cell>
          <cell r="H255">
            <v>0</v>
          </cell>
          <cell r="I255">
            <v>560</v>
          </cell>
          <cell r="J255">
            <v>0.56000000000000005</v>
          </cell>
        </row>
        <row r="256">
          <cell r="A256" t="str">
            <v>96378</v>
          </cell>
          <cell r="B256" t="str">
            <v>TOCINETA TOSTADA (150g)</v>
          </cell>
          <cell r="C256" t="str">
            <v>KILO</v>
          </cell>
          <cell r="D256" t="str">
            <v>GRAMO</v>
          </cell>
          <cell r="E256">
            <v>10946.533333333331</v>
          </cell>
          <cell r="F256">
            <v>10.946533333333331</v>
          </cell>
          <cell r="G256">
            <v>0</v>
          </cell>
          <cell r="H256">
            <v>0</v>
          </cell>
          <cell r="I256">
            <v>1120</v>
          </cell>
          <cell r="J256">
            <v>1.1200000000000001</v>
          </cell>
        </row>
        <row r="257">
          <cell r="A257" t="str">
            <v>96379</v>
          </cell>
          <cell r="B257" t="str">
            <v>TORTA DE CLARAS (110g)</v>
          </cell>
          <cell r="C257" t="str">
            <v>UND</v>
          </cell>
          <cell r="D257" t="str">
            <v>UND</v>
          </cell>
          <cell r="E257">
            <v>508.87973196778529</v>
          </cell>
          <cell r="F257">
            <v>508.87973196778529</v>
          </cell>
          <cell r="G257">
            <v>0</v>
          </cell>
          <cell r="H257">
            <v>0</v>
          </cell>
          <cell r="I257">
            <v>33.881879194630869</v>
          </cell>
          <cell r="J257">
            <v>33.881879194630869</v>
          </cell>
        </row>
        <row r="258">
          <cell r="A258" t="str">
            <v>96380</v>
          </cell>
          <cell r="B258" t="str">
            <v>TORTA DE HUEVO (75g)</v>
          </cell>
          <cell r="C258" t="str">
            <v>UND</v>
          </cell>
          <cell r="D258" t="str">
            <v>UND</v>
          </cell>
          <cell r="E258">
            <v>107.84754888389264</v>
          </cell>
          <cell r="F258">
            <v>107.84754888389264</v>
          </cell>
          <cell r="G258">
            <v>2.838254697986577E-2</v>
          </cell>
          <cell r="H258">
            <v>2.838254697986577E-2</v>
          </cell>
          <cell r="I258">
            <v>39.340939597315433</v>
          </cell>
          <cell r="J258">
            <v>39.340939597315433</v>
          </cell>
        </row>
        <row r="259">
          <cell r="A259" t="str">
            <v>96381</v>
          </cell>
          <cell r="B259" t="str">
            <v>TORTA HUEVOS Y VEGETALES (75g)</v>
          </cell>
          <cell r="C259" t="str">
            <v>UND</v>
          </cell>
          <cell r="D259" t="str">
            <v>UND</v>
          </cell>
          <cell r="E259">
            <v>113.89141737722596</v>
          </cell>
          <cell r="F259">
            <v>113.89141737722596</v>
          </cell>
          <cell r="G259">
            <v>2.838254697986577E-2</v>
          </cell>
          <cell r="H259">
            <v>2.838254697986577E-2</v>
          </cell>
          <cell r="I259">
            <v>37.100939597315438</v>
          </cell>
          <cell r="J259">
            <v>37.100939597315438</v>
          </cell>
        </row>
        <row r="260">
          <cell r="A260" t="str">
            <v>96388</v>
          </cell>
          <cell r="B260" t="str">
            <v>BASE DE GALLETA DE CHOCOLATE (1000g)</v>
          </cell>
          <cell r="C260" t="str">
            <v>KILO</v>
          </cell>
          <cell r="D260" t="str">
            <v>GRAMO</v>
          </cell>
          <cell r="E260">
            <v>1553.7802000000001</v>
          </cell>
          <cell r="F260">
            <v>1.5537802000000001</v>
          </cell>
          <cell r="G260">
            <v>0</v>
          </cell>
          <cell r="H260">
            <v>0</v>
          </cell>
          <cell r="I260">
            <v>220</v>
          </cell>
          <cell r="J260">
            <v>0.22</v>
          </cell>
        </row>
        <row r="261">
          <cell r="A261" t="str">
            <v>96392</v>
          </cell>
          <cell r="B261" t="str">
            <v>BASTONES QUESO TURRIALBA P/TIQUEÑOS</v>
          </cell>
          <cell r="C261" t="str">
            <v>KILO</v>
          </cell>
          <cell r="D261" t="str">
            <v>GRAMO</v>
          </cell>
          <cell r="E261">
            <v>3036.3153488372091</v>
          </cell>
          <cell r="F261">
            <v>3.036315348837209</v>
          </cell>
          <cell r="G261">
            <v>1.0934808139534882</v>
          </cell>
          <cell r="H261">
            <v>1.0934808139534881E-3</v>
          </cell>
          <cell r="I261">
            <v>89.534883720930225</v>
          </cell>
          <cell r="J261">
            <v>8.9534883720930228E-2</v>
          </cell>
        </row>
        <row r="262">
          <cell r="A262" t="str">
            <v>96393</v>
          </cell>
          <cell r="B262" t="str">
            <v>BATIDO P/PAN BLANCO (24650g)</v>
          </cell>
          <cell r="C262" t="str">
            <v>KILO</v>
          </cell>
          <cell r="D262" t="str">
            <v>GRAMO</v>
          </cell>
          <cell r="E262">
            <v>496.04960787018251</v>
          </cell>
          <cell r="F262">
            <v>0.49604960787018249</v>
          </cell>
          <cell r="G262">
            <v>1.8606731317814482</v>
          </cell>
          <cell r="H262">
            <v>1.8606731317814481E-3</v>
          </cell>
          <cell r="I262">
            <v>20.081135902636916</v>
          </cell>
          <cell r="J262">
            <v>2.0081135902636917E-2</v>
          </cell>
        </row>
        <row r="263">
          <cell r="A263" t="str">
            <v>96395</v>
          </cell>
          <cell r="B263" t="str">
            <v>PRALINE C/CHOCOLATE BLANCO (2600g)</v>
          </cell>
          <cell r="C263" t="str">
            <v>KILO</v>
          </cell>
          <cell r="D263" t="str">
            <v>GRAMO</v>
          </cell>
          <cell r="E263">
            <v>4516.5968076923073</v>
          </cell>
          <cell r="F263">
            <v>4.5165968076923075</v>
          </cell>
          <cell r="G263">
            <v>8.6926923076923082</v>
          </cell>
          <cell r="H263">
            <v>8.6926923076923075E-3</v>
          </cell>
          <cell r="I263">
            <v>430.76923076923077</v>
          </cell>
          <cell r="J263">
            <v>0.43076923076923079</v>
          </cell>
        </row>
        <row r="264">
          <cell r="A264" t="str">
            <v>96396</v>
          </cell>
          <cell r="B264" t="str">
            <v>CREMA CHANTILLY BEIDGE (10400g)</v>
          </cell>
          <cell r="C264" t="str">
            <v>KILO</v>
          </cell>
          <cell r="D264" t="str">
            <v>GRAMO</v>
          </cell>
          <cell r="E264">
            <v>1565.0805096153845</v>
          </cell>
          <cell r="F264">
            <v>1.5650805096153844</v>
          </cell>
          <cell r="G264">
            <v>9.6249999999999988E-2</v>
          </cell>
          <cell r="H264">
            <v>9.6249999999999995E-5</v>
          </cell>
          <cell r="I264">
            <v>26.923076923076923</v>
          </cell>
          <cell r="J264">
            <v>2.6923076923076925E-2</v>
          </cell>
        </row>
        <row r="265">
          <cell r="A265" t="str">
            <v>96398</v>
          </cell>
          <cell r="B265" t="str">
            <v>ALMIBAR CON LICOR DE CAFE (3000g)</v>
          </cell>
          <cell r="C265" t="str">
            <v>KILO</v>
          </cell>
          <cell r="D265" t="str">
            <v>GRAMO</v>
          </cell>
          <cell r="E265">
            <v>4242.1413380324821</v>
          </cell>
          <cell r="F265">
            <v>4.2421413380324822</v>
          </cell>
          <cell r="G265">
            <v>5.1454490111229436</v>
          </cell>
          <cell r="H265">
            <v>5.1454490111229436E-3</v>
          </cell>
          <cell r="I265">
            <v>11.182108626198085</v>
          </cell>
          <cell r="J265">
            <v>1.1182108626198084E-2</v>
          </cell>
        </row>
        <row r="266">
          <cell r="A266" t="str">
            <v>96399</v>
          </cell>
          <cell r="B266" t="str">
            <v>BATIDO P/TORTA KALUA (7684g)</v>
          </cell>
          <cell r="C266" t="str">
            <v>KILO</v>
          </cell>
          <cell r="D266" t="str">
            <v>GRAMO</v>
          </cell>
          <cell r="E266">
            <v>2598.1708149431574</v>
          </cell>
          <cell r="F266">
            <v>2.5981708149431575</v>
          </cell>
          <cell r="G266">
            <v>7.0082209161000613</v>
          </cell>
          <cell r="H266">
            <v>7.0082209161000612E-3</v>
          </cell>
          <cell r="I266">
            <v>111.33659065921081</v>
          </cell>
          <cell r="J266">
            <v>0.11133659065921081</v>
          </cell>
        </row>
        <row r="267">
          <cell r="A267" t="str">
            <v>96409</v>
          </cell>
          <cell r="B267" t="str">
            <v>BASE PREMEZCLA CHOCOLATE PILLSBURY (6012g)</v>
          </cell>
          <cell r="C267" t="str">
            <v>TANDA</v>
          </cell>
          <cell r="D267" t="str">
            <v>GRAMO</v>
          </cell>
          <cell r="E267">
            <v>8989.293107999998</v>
          </cell>
          <cell r="F267">
            <v>1.4952250678642711</v>
          </cell>
          <cell r="G267">
            <v>32.369083809523815</v>
          </cell>
          <cell r="H267">
            <v>5.3840791433007011E-3</v>
          </cell>
          <cell r="I267">
            <v>110</v>
          </cell>
          <cell r="J267">
            <v>1.8296739853626082E-2</v>
          </cell>
        </row>
        <row r="268">
          <cell r="A268" t="str">
            <v>96451</v>
          </cell>
          <cell r="B268" t="str">
            <v>MEZCLA TRES LECHES C/AGUA (2000g)</v>
          </cell>
          <cell r="C268" t="str">
            <v>Kilo</v>
          </cell>
          <cell r="D268" t="str">
            <v>Gramo</v>
          </cell>
          <cell r="E268">
            <v>866.54019873768948</v>
          </cell>
          <cell r="F268">
            <v>0.8665401987376895</v>
          </cell>
          <cell r="G268">
            <v>0</v>
          </cell>
          <cell r="H268">
            <v>0</v>
          </cell>
          <cell r="I268">
            <v>67.934680321062828</v>
          </cell>
          <cell r="J268">
            <v>6.7934680321062826E-2</v>
          </cell>
        </row>
        <row r="269">
          <cell r="A269" t="str">
            <v>96464</v>
          </cell>
          <cell r="B269" t="str">
            <v>EMPAQUE SALSA BLANCA SPOON  (5000g)</v>
          </cell>
          <cell r="C269" t="str">
            <v>KILO</v>
          </cell>
          <cell r="D269" t="str">
            <v>GRAMO</v>
          </cell>
          <cell r="E269">
            <v>1571.1600631712397</v>
          </cell>
          <cell r="F269">
            <v>1.5711600631712397</v>
          </cell>
          <cell r="G269">
            <v>7.751116539682541</v>
          </cell>
          <cell r="H269">
            <v>7.7511165396825406E-3</v>
          </cell>
          <cell r="I269">
            <v>37.179910350448246</v>
          </cell>
          <cell r="J269">
            <v>3.7179910350448243E-2</v>
          </cell>
        </row>
        <row r="270">
          <cell r="A270" t="str">
            <v>96465</v>
          </cell>
          <cell r="B270" t="str">
            <v>POLLO RECORTE EMPACADO (5000g)</v>
          </cell>
          <cell r="C270" t="str">
            <v>KILO</v>
          </cell>
          <cell r="D270" t="str">
            <v>GRAMO</v>
          </cell>
          <cell r="E270">
            <v>3244.1848639240507</v>
          </cell>
          <cell r="F270">
            <v>3.2441848639240507</v>
          </cell>
          <cell r="G270">
            <v>7.6104167619047631</v>
          </cell>
          <cell r="H270">
            <v>7.6104167619047633E-3</v>
          </cell>
          <cell r="I270">
            <v>79.610759493670884</v>
          </cell>
          <cell r="J270">
            <v>7.9610759493670885E-2</v>
          </cell>
        </row>
        <row r="271">
          <cell r="A271" t="str">
            <v>96466</v>
          </cell>
          <cell r="B271" t="str">
            <v>POLLO DESMENUZADO MARMITA EMPACADO (5000g)</v>
          </cell>
          <cell r="C271" t="str">
            <v>KILO</v>
          </cell>
          <cell r="D271" t="str">
            <v>GRAMO</v>
          </cell>
          <cell r="E271">
            <v>3656.2497406250004</v>
          </cell>
          <cell r="F271">
            <v>3.6562497406250003</v>
          </cell>
          <cell r="G271">
            <v>7.6104167619047631</v>
          </cell>
          <cell r="H271">
            <v>7.6104167619047633E-3</v>
          </cell>
          <cell r="I271">
            <v>165.6875</v>
          </cell>
          <cell r="J271">
            <v>0.16568749999999999</v>
          </cell>
        </row>
        <row r="272">
          <cell r="A272" t="str">
            <v>96467</v>
          </cell>
          <cell r="B272" t="str">
            <v>ARROZ PRECOCIDO P/GALLO PINTO EMPACADO (5000g)</v>
          </cell>
          <cell r="C272" t="str">
            <v>KILO</v>
          </cell>
          <cell r="D272" t="str">
            <v>GRAMO</v>
          </cell>
          <cell r="E272">
            <v>684.71402472885029</v>
          </cell>
          <cell r="F272">
            <v>0.68471402472885035</v>
          </cell>
          <cell r="G272">
            <v>16.192352665013946</v>
          </cell>
          <cell r="H272">
            <v>1.6192352665013947E-2</v>
          </cell>
          <cell r="I272">
            <v>80.337527114967457</v>
          </cell>
          <cell r="J272">
            <v>8.0337527114967458E-2</v>
          </cell>
        </row>
        <row r="273">
          <cell r="A273" t="str">
            <v>96468</v>
          </cell>
          <cell r="B273" t="str">
            <v>FRIJOLES P/GALLO PINTO EMPACADOS (4000g)</v>
          </cell>
          <cell r="C273" t="str">
            <v>KILO</v>
          </cell>
          <cell r="D273" t="str">
            <v>GRAMO</v>
          </cell>
          <cell r="E273">
            <v>569.29152371342082</v>
          </cell>
          <cell r="F273">
            <v>0.56929152371342084</v>
          </cell>
          <cell r="G273">
            <v>7.8970049843031731</v>
          </cell>
          <cell r="H273">
            <v>7.8970049843031728E-3</v>
          </cell>
          <cell r="I273">
            <v>49.254288597376387</v>
          </cell>
          <cell r="J273">
            <v>4.9254288597376385E-2</v>
          </cell>
        </row>
        <row r="274">
          <cell r="A274" t="str">
            <v>96475</v>
          </cell>
          <cell r="B274" t="str">
            <v>COCCION CREMA TOMATE (18500g)</v>
          </cell>
          <cell r="C274" t="str">
            <v>KILO</v>
          </cell>
          <cell r="D274" t="str">
            <v>GRAMO</v>
          </cell>
          <cell r="E274">
            <v>1090.2296858739235</v>
          </cell>
          <cell r="F274">
            <v>1.0902296858739235</v>
          </cell>
          <cell r="G274">
            <v>0</v>
          </cell>
          <cell r="H274">
            <v>0</v>
          </cell>
          <cell r="I274">
            <v>29.198841698841701</v>
          </cell>
          <cell r="J274">
            <v>2.9198841698841699E-2</v>
          </cell>
        </row>
        <row r="275">
          <cell r="A275" t="str">
            <v>96476</v>
          </cell>
          <cell r="B275" t="str">
            <v>BASE PREMEZCLA P/EMPANADA STB (9456g)</v>
          </cell>
          <cell r="C275" t="str">
            <v>TANDA</v>
          </cell>
          <cell r="D275" t="str">
            <v>GRAMO</v>
          </cell>
          <cell r="E275">
            <v>3544.9617000000003</v>
          </cell>
          <cell r="F275">
            <v>0.37489019670050766</v>
          </cell>
          <cell r="G275">
            <v>35.065582698412705</v>
          </cell>
          <cell r="H275">
            <v>3.7082892024548121E-3</v>
          </cell>
          <cell r="I275">
            <v>168</v>
          </cell>
          <cell r="J275">
            <v>1.7766497461928935E-2</v>
          </cell>
        </row>
        <row r="276">
          <cell r="A276" t="str">
            <v>96477</v>
          </cell>
          <cell r="B276" t="str">
            <v>PASTA P/EMPANADA STB (16000g)</v>
          </cell>
          <cell r="C276" t="str">
            <v>KILO</v>
          </cell>
          <cell r="D276" t="str">
            <v>GRAMO</v>
          </cell>
          <cell r="E276">
            <v>798.93995025000004</v>
          </cell>
          <cell r="F276">
            <v>0.79893995025000009</v>
          </cell>
          <cell r="G276">
            <v>2.1776800595238095</v>
          </cell>
          <cell r="H276">
            <v>2.1776800595238095E-3</v>
          </cell>
          <cell r="I276">
            <v>44.875</v>
          </cell>
          <cell r="J276">
            <v>4.4874999999999998E-2</v>
          </cell>
        </row>
        <row r="277">
          <cell r="A277" t="str">
            <v>96478</v>
          </cell>
          <cell r="B277" t="str">
            <v>RECTANGULOS DE PASTA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6.03</v>
          </cell>
          <cell r="J277">
            <v>6.03</v>
          </cell>
        </row>
        <row r="278">
          <cell r="A278" t="str">
            <v>96479</v>
          </cell>
          <cell r="B278" t="str">
            <v>RUEDA P/EMPANADA STB (UND)</v>
          </cell>
          <cell r="C278" t="str">
            <v>UND</v>
          </cell>
          <cell r="D278" t="str">
            <v>UND</v>
          </cell>
          <cell r="E278">
            <v>48.379249015000006</v>
          </cell>
          <cell r="F278">
            <v>48.379249015000006</v>
          </cell>
          <cell r="G278">
            <v>0.13066080357142856</v>
          </cell>
          <cell r="H278">
            <v>0.13066080357142856</v>
          </cell>
          <cell r="I278">
            <v>6.09</v>
          </cell>
          <cell r="J278">
            <v>6.09</v>
          </cell>
        </row>
        <row r="279">
          <cell r="A279" t="str">
            <v>96480</v>
          </cell>
          <cell r="B279" t="str">
            <v>RELLENO POLLO Y HONGOS STB EMPACADO (4000g)</v>
          </cell>
          <cell r="C279" t="str">
            <v>KILO</v>
          </cell>
          <cell r="D279" t="str">
            <v>GRAMO</v>
          </cell>
          <cell r="E279">
            <v>3397.7394979447758</v>
          </cell>
          <cell r="F279">
            <v>3.3977394979447757</v>
          </cell>
          <cell r="G279">
            <v>6.8891455555555563</v>
          </cell>
          <cell r="H279">
            <v>6.8891455555555566E-3</v>
          </cell>
          <cell r="I279">
            <v>241.83476259980947</v>
          </cell>
          <cell r="J279">
            <v>0.24183476259980946</v>
          </cell>
        </row>
        <row r="280">
          <cell r="A280" t="str">
            <v>96481</v>
          </cell>
          <cell r="B280" t="str">
            <v>RELLENO CAPRESSE STB EMPACADO (4000g)</v>
          </cell>
          <cell r="C280" t="str">
            <v>KILO</v>
          </cell>
          <cell r="D280" t="str">
            <v>GRAMO</v>
          </cell>
          <cell r="E280">
            <v>2734.9109968887979</v>
          </cell>
          <cell r="F280">
            <v>2.7349109968887979</v>
          </cell>
          <cell r="G280">
            <v>0.63700000000000001</v>
          </cell>
          <cell r="H280">
            <v>6.3699999999999998E-4</v>
          </cell>
          <cell r="I280">
            <v>165.82375204924509</v>
          </cell>
          <cell r="J280">
            <v>0.1658237520492451</v>
          </cell>
        </row>
        <row r="281">
          <cell r="A281" t="str">
            <v>96482</v>
          </cell>
          <cell r="B281" t="str">
            <v>RELLENO JAMON Y QUESO STB (4000g)</v>
          </cell>
          <cell r="C281" t="str">
            <v>KILO</v>
          </cell>
          <cell r="D281" t="str">
            <v>GRAMO</v>
          </cell>
          <cell r="E281">
            <v>2451.1142236052137</v>
          </cell>
          <cell r="F281">
            <v>2.4511142236052139</v>
          </cell>
          <cell r="G281">
            <v>6.7954622222222225</v>
          </cell>
          <cell r="H281">
            <v>6.7954622222222228E-3</v>
          </cell>
          <cell r="I281">
            <v>474.39387384356604</v>
          </cell>
          <cell r="J281">
            <v>0.47439387384356602</v>
          </cell>
        </row>
        <row r="282">
          <cell r="A282" t="str">
            <v>96483</v>
          </cell>
          <cell r="B282" t="str">
            <v>EMPANADA CAPRESSE STB (UND)</v>
          </cell>
          <cell r="C282" t="str">
            <v>UND</v>
          </cell>
          <cell r="D282" t="str">
            <v>UND</v>
          </cell>
          <cell r="E282">
            <v>191.24963460943991</v>
          </cell>
          <cell r="F282">
            <v>191.24963460943991</v>
          </cell>
          <cell r="G282">
            <v>0.16251080357142855</v>
          </cell>
          <cell r="H282">
            <v>0.16251080357142855</v>
          </cell>
          <cell r="I282">
            <v>35.08618760246226</v>
          </cell>
          <cell r="J282">
            <v>35.08618760246226</v>
          </cell>
        </row>
        <row r="283">
          <cell r="A283" t="str">
            <v>96484</v>
          </cell>
          <cell r="B283" t="str">
            <v>EMPANADA JAMON Y QUESO (UND)</v>
          </cell>
          <cell r="C283" t="str">
            <v>UND</v>
          </cell>
          <cell r="D283" t="str">
            <v>UND</v>
          </cell>
          <cell r="E283">
            <v>175.16650794651071</v>
          </cell>
          <cell r="F283">
            <v>175.16650794651071</v>
          </cell>
          <cell r="G283">
            <v>8.8327253432539674</v>
          </cell>
          <cell r="H283">
            <v>8.8327253432539674</v>
          </cell>
          <cell r="I283">
            <v>440.56969369217825</v>
          </cell>
          <cell r="J283">
            <v>440.56969369217825</v>
          </cell>
        </row>
        <row r="284">
          <cell r="A284" t="str">
            <v>96485</v>
          </cell>
          <cell r="B284" t="str">
            <v>EMPANADA POLLO Y HONGOS STB (UND)</v>
          </cell>
          <cell r="C284" t="str">
            <v>UND</v>
          </cell>
          <cell r="D284" t="str">
            <v>UND</v>
          </cell>
          <cell r="E284">
            <v>236.16168907253365</v>
          </cell>
          <cell r="F284">
            <v>236.16168907253365</v>
          </cell>
          <cell r="G284">
            <v>0.4704339146825397</v>
          </cell>
          <cell r="H284">
            <v>0.4704339146825397</v>
          </cell>
          <cell r="I284">
            <v>45.275087651085606</v>
          </cell>
          <cell r="J284">
            <v>45.275087651085606</v>
          </cell>
        </row>
        <row r="285">
          <cell r="A285" t="str">
            <v>96486</v>
          </cell>
          <cell r="B285" t="str">
            <v>RELLENO CARNE CON ACEITUNAS EMPACADO (2000g)</v>
          </cell>
          <cell r="C285" t="str">
            <v>KILO</v>
          </cell>
          <cell r="D285" t="str">
            <v>GRAMO</v>
          </cell>
          <cell r="E285">
            <v>3198.589746943192</v>
          </cell>
          <cell r="F285">
            <v>3.1985897469431919</v>
          </cell>
          <cell r="G285">
            <v>28.689440516707077</v>
          </cell>
          <cell r="H285">
            <v>2.8689440516707077E-2</v>
          </cell>
          <cell r="I285">
            <v>402.68474645994223</v>
          </cell>
          <cell r="J285">
            <v>0.40268474645994223</v>
          </cell>
        </row>
        <row r="286">
          <cell r="A286" t="str">
            <v>96487</v>
          </cell>
          <cell r="B286" t="str">
            <v>EMPANADA CARNE C/ACEITUNAS STB (UND)</v>
          </cell>
          <cell r="C286" t="str">
            <v>UND</v>
          </cell>
          <cell r="D286" t="str">
            <v>UND</v>
          </cell>
          <cell r="E286">
            <v>210.53312495933415</v>
          </cell>
          <cell r="F286">
            <v>210.53312495933415</v>
          </cell>
          <cell r="G286">
            <v>0.4490505549242424</v>
          </cell>
          <cell r="H286">
            <v>0.4490505549242424</v>
          </cell>
          <cell r="I286">
            <v>44.986999262860877</v>
          </cell>
          <cell r="J286">
            <v>44.986999262860877</v>
          </cell>
        </row>
        <row r="287">
          <cell r="A287" t="str">
            <v>1522355</v>
          </cell>
          <cell r="B287" t="str">
            <v>EMPAQUE MAYONESA (2000g)</v>
          </cell>
          <cell r="C287" t="str">
            <v>KILO</v>
          </cell>
          <cell r="D287" t="str">
            <v>GRAMO</v>
          </cell>
          <cell r="E287">
            <v>914.49014602822695</v>
          </cell>
          <cell r="F287">
            <v>0.91449014602822698</v>
          </cell>
          <cell r="G287">
            <v>5.5167612657726437</v>
          </cell>
          <cell r="H287">
            <v>5.5167612657726437E-3</v>
          </cell>
          <cell r="I287">
            <v>47.903698188136005</v>
          </cell>
          <cell r="J287">
            <v>4.7903698188136008E-2</v>
          </cell>
        </row>
        <row r="288">
          <cell r="A288" t="str">
            <v>96488</v>
          </cell>
          <cell r="B288" t="str">
            <v>ROSQUETE CUADRADO TRES LECHES (330g)</v>
          </cell>
          <cell r="C288" t="str">
            <v>UND</v>
          </cell>
          <cell r="D288" t="str">
            <v>UND</v>
          </cell>
          <cell r="E288">
            <v>329.13105196412442</v>
          </cell>
          <cell r="F288">
            <v>329.13105196412442</v>
          </cell>
          <cell r="G288">
            <v>1.2382540299524487</v>
          </cell>
          <cell r="H288">
            <v>1.2382540299524487</v>
          </cell>
          <cell r="I288">
            <v>28.483709579011595</v>
          </cell>
          <cell r="J288">
            <v>28.483709579011595</v>
          </cell>
        </row>
        <row r="289">
          <cell r="A289" t="str">
            <v>95356</v>
          </cell>
          <cell r="B289" t="str">
            <v>ROSQUETE TRES LECHES (1000g)</v>
          </cell>
          <cell r="C289" t="str">
            <v>UND</v>
          </cell>
          <cell r="D289" t="str">
            <v>UND</v>
          </cell>
          <cell r="E289">
            <v>875.20064786705029</v>
          </cell>
          <cell r="F289">
            <v>875.20064786705029</v>
          </cell>
          <cell r="G289">
            <v>11.131434946060155</v>
          </cell>
          <cell r="H289">
            <v>11.131434946060155</v>
          </cell>
          <cell r="I289">
            <v>48.803930968360504</v>
          </cell>
          <cell r="J289">
            <v>48.803930968360504</v>
          </cell>
        </row>
        <row r="290">
          <cell r="A290" t="str">
            <v>96389</v>
          </cell>
          <cell r="B290" t="str">
            <v>MOUSSE P/POSTRE COOKIES AND CREAM (1800g)</v>
          </cell>
          <cell r="C290" t="str">
            <v>KILO</v>
          </cell>
          <cell r="D290" t="str">
            <v>GRAMO</v>
          </cell>
          <cell r="E290">
            <v>3412.0520363595087</v>
          </cell>
          <cell r="F290">
            <v>3.4120520363595088</v>
          </cell>
          <cell r="G290">
            <v>9.090277777777777E-3</v>
          </cell>
          <cell r="H290">
            <v>9.0902777777777772E-6</v>
          </cell>
          <cell r="I290">
            <v>157.77243589743591</v>
          </cell>
          <cell r="J290">
            <v>0.15777243589743592</v>
          </cell>
        </row>
        <row r="291">
          <cell r="A291" t="str">
            <v>96390</v>
          </cell>
          <cell r="B291" t="str">
            <v>BASE CHOCOLATE Y ALMENDRAS P/MINI POSTRE (1000g)</v>
          </cell>
          <cell r="C291" t="str">
            <v>KILO</v>
          </cell>
          <cell r="D291" t="str">
            <v>GRAMO</v>
          </cell>
          <cell r="E291">
            <v>4564.1309955584647</v>
          </cell>
          <cell r="F291">
            <v>4.5641309955584646</v>
          </cell>
          <cell r="G291">
            <v>0.4859724379484196</v>
          </cell>
          <cell r="H291">
            <v>4.859724379484196E-4</v>
          </cell>
          <cell r="I291">
            <v>195.95549738219896</v>
          </cell>
          <cell r="J291">
            <v>0.19595549738219895</v>
          </cell>
        </row>
        <row r="292">
          <cell r="A292" t="str">
            <v>96391</v>
          </cell>
          <cell r="B292" t="str">
            <v>MOUSSE CHOCOLATE DARK C/COBERTURA (6000g)</v>
          </cell>
          <cell r="C292" t="str">
            <v>KILO</v>
          </cell>
          <cell r="D292" t="str">
            <v>GRAMO</v>
          </cell>
          <cell r="E292">
            <v>3291.487916666666</v>
          </cell>
          <cell r="F292">
            <v>3.2914879166666662</v>
          </cell>
          <cell r="G292">
            <v>6.3433650000000004</v>
          </cell>
          <cell r="H292">
            <v>6.3433650000000001E-3</v>
          </cell>
          <cell r="I292">
            <v>140</v>
          </cell>
          <cell r="J292">
            <v>0.14000000000000001</v>
          </cell>
        </row>
        <row r="293">
          <cell r="A293" t="str">
            <v>95584</v>
          </cell>
          <cell r="B293" t="str">
            <v>RELLENO QUESO P/CHESSE CAKE HORNEADO (12800g)</v>
          </cell>
          <cell r="C293" t="str">
            <v>KILO</v>
          </cell>
          <cell r="D293" t="str">
            <v>GRAMO</v>
          </cell>
          <cell r="E293">
            <v>2306.3680384765626</v>
          </cell>
          <cell r="F293">
            <v>2.3063680384765624</v>
          </cell>
          <cell r="G293">
            <v>0</v>
          </cell>
          <cell r="H293">
            <v>0</v>
          </cell>
          <cell r="I293">
            <v>25.78125</v>
          </cell>
          <cell r="J293">
            <v>2.5781249999999999E-2</v>
          </cell>
        </row>
        <row r="294">
          <cell r="A294" t="str">
            <v>95702</v>
          </cell>
          <cell r="B294" t="str">
            <v>RELLENO QUESO BASE P/CHESSE CAKE SPOON (7.8 Kg)</v>
          </cell>
          <cell r="C294" t="str">
            <v>KILO</v>
          </cell>
          <cell r="D294" t="str">
            <v>GRAMO</v>
          </cell>
          <cell r="E294">
            <v>1798.4060811282054</v>
          </cell>
          <cell r="F294">
            <v>1.7984060811282054</v>
          </cell>
          <cell r="G294">
            <v>0</v>
          </cell>
          <cell r="H294">
            <v>0</v>
          </cell>
          <cell r="I294">
            <v>105.76923076923077</v>
          </cell>
          <cell r="J294">
            <v>0.10576923076923077</v>
          </cell>
        </row>
        <row r="295">
          <cell r="A295" t="str">
            <v>95833</v>
          </cell>
          <cell r="B295" t="str">
            <v>ROSQUETE MELOCOTON PURATOS (300g)</v>
          </cell>
          <cell r="C295" t="str">
            <v>UND</v>
          </cell>
          <cell r="D295" t="str">
            <v>UND</v>
          </cell>
          <cell r="E295">
            <v>354.48884494634626</v>
          </cell>
          <cell r="F295">
            <v>354.48884494634626</v>
          </cell>
          <cell r="G295">
            <v>9.2045736593345016</v>
          </cell>
          <cell r="H295">
            <v>9.2045736593345016</v>
          </cell>
          <cell r="I295">
            <v>18.692332962886429</v>
          </cell>
          <cell r="J295">
            <v>18.692332962886429</v>
          </cell>
        </row>
        <row r="296">
          <cell r="A296" t="str">
            <v>95857</v>
          </cell>
          <cell r="B296" t="str">
            <v>ROSQUETE CHOCOLATE SPOON RED. (320g)</v>
          </cell>
          <cell r="C296" t="str">
            <v>UND</v>
          </cell>
          <cell r="D296" t="str">
            <v>UND</v>
          </cell>
          <cell r="E296">
            <v>395.76817663200347</v>
          </cell>
          <cell r="F296">
            <v>395.76817663200347</v>
          </cell>
          <cell r="G296">
            <v>5.8299605890354398</v>
          </cell>
          <cell r="H296">
            <v>5.8299605890354398</v>
          </cell>
          <cell r="I296">
            <v>16.8969495634217</v>
          </cell>
          <cell r="J296">
            <v>16.8969495634217</v>
          </cell>
        </row>
        <row r="297">
          <cell r="A297" t="str">
            <v>96273</v>
          </cell>
          <cell r="B297" t="str">
            <v>CORTE GALLETA PEQ P/TORTA CHILENA (UND)</v>
          </cell>
          <cell r="C297" t="str">
            <v>UND</v>
          </cell>
          <cell r="D297" t="str">
            <v>UND</v>
          </cell>
          <cell r="E297">
            <v>91.259726746921174</v>
          </cell>
          <cell r="F297">
            <v>91.259726746921174</v>
          </cell>
          <cell r="G297">
            <v>0.71619935522714828</v>
          </cell>
          <cell r="H297">
            <v>0.71619935522714828</v>
          </cell>
          <cell r="I297">
            <v>21.555665024630542</v>
          </cell>
          <cell r="J297">
            <v>21.555665024630542</v>
          </cell>
        </row>
        <row r="298">
          <cell r="A298" t="str">
            <v>95228</v>
          </cell>
          <cell r="B298" t="str">
            <v>EMPANADA DE POLLO PEQUEÑA  (UND)</v>
          </cell>
          <cell r="C298" t="str">
            <v>UND</v>
          </cell>
          <cell r="D298" t="str">
            <v>UND</v>
          </cell>
          <cell r="E298">
            <v>50.301003641910235</v>
          </cell>
          <cell r="F298">
            <v>50.301003641910235</v>
          </cell>
          <cell r="G298">
            <v>0.18561604071370563</v>
          </cell>
          <cell r="H298">
            <v>0.18561604071370563</v>
          </cell>
          <cell r="I298">
            <v>26.038033000308769</v>
          </cell>
          <cell r="J298">
            <v>26.038033000308769</v>
          </cell>
        </row>
        <row r="299">
          <cell r="A299" t="str">
            <v>96259</v>
          </cell>
          <cell r="B299" t="str">
            <v>EMPAQUE RELLENO QUESOS P/EMPANADA (2000g)</v>
          </cell>
          <cell r="C299" t="str">
            <v>KILO</v>
          </cell>
          <cell r="D299" t="str">
            <v>GRAMO</v>
          </cell>
          <cell r="E299">
            <v>4518.1805009999998</v>
          </cell>
          <cell r="F299">
            <v>4.5181805009999998</v>
          </cell>
          <cell r="G299">
            <v>9.6424850232310089</v>
          </cell>
          <cell r="H299">
            <v>9.6424850232310084E-3</v>
          </cell>
          <cell r="I299">
            <v>128.79271070615033</v>
          </cell>
          <cell r="J299">
            <v>0.12879271070615034</v>
          </cell>
        </row>
        <row r="300">
          <cell r="A300" t="str">
            <v>96262</v>
          </cell>
          <cell r="B300" t="str">
            <v>EMPANADITA TRES QUESOS (UND)</v>
          </cell>
          <cell r="C300" t="str">
            <v>UND</v>
          </cell>
          <cell r="D300" t="str">
            <v>UND</v>
          </cell>
          <cell r="E300">
            <v>108.39975543294742</v>
          </cell>
          <cell r="F300">
            <v>108.39975543294742</v>
          </cell>
          <cell r="G300">
            <v>0.55893450174345605</v>
          </cell>
          <cell r="H300">
            <v>0.55893450174345605</v>
          </cell>
          <cell r="I300">
            <v>32.685771306900534</v>
          </cell>
          <cell r="J300">
            <v>32.685771306900534</v>
          </cell>
        </row>
        <row r="301">
          <cell r="A301" t="str">
            <v>95152</v>
          </cell>
          <cell r="B301" t="str">
            <v>EMPAQUE RELLENO JAMON P/ ARROLLADO (2000g)</v>
          </cell>
          <cell r="C301" t="str">
            <v>KILO</v>
          </cell>
          <cell r="D301" t="str">
            <v>GRAMO</v>
          </cell>
          <cell r="E301">
            <v>3053.0307908769746</v>
          </cell>
          <cell r="F301">
            <v>3.0530307908769747</v>
          </cell>
          <cell r="G301">
            <v>6.1319432886334617</v>
          </cell>
          <cell r="H301">
            <v>6.1319432886334617E-3</v>
          </cell>
          <cell r="I301">
            <v>74.597701149425291</v>
          </cell>
          <cell r="J301">
            <v>7.4597701149425294E-2</v>
          </cell>
        </row>
        <row r="302">
          <cell r="A302" t="str">
            <v>95230</v>
          </cell>
          <cell r="B302" t="str">
            <v>ARROLLADO DE JAMON (UND)</v>
          </cell>
          <cell r="C302" t="str">
            <v>UND</v>
          </cell>
          <cell r="D302" t="str">
            <v>UND</v>
          </cell>
          <cell r="E302">
            <v>122.67460640985297</v>
          </cell>
          <cell r="F302">
            <v>122.67460640985297</v>
          </cell>
          <cell r="G302">
            <v>1.2535177289265251</v>
          </cell>
          <cell r="H302">
            <v>1.2535177289265251</v>
          </cell>
          <cell r="I302">
            <v>33.979038314581437</v>
          </cell>
          <cell r="J302">
            <v>33.979038314581437</v>
          </cell>
        </row>
        <row r="303">
          <cell r="A303" t="str">
            <v>95475</v>
          </cell>
          <cell r="B303" t="str">
            <v>PAÑUELO ESPINACA C/RICOTTA (UND)</v>
          </cell>
          <cell r="C303" t="str">
            <v>UND</v>
          </cell>
          <cell r="D303" t="str">
            <v>UND</v>
          </cell>
          <cell r="E303">
            <v>137.21388281956311</v>
          </cell>
          <cell r="F303">
            <v>137.21388281956311</v>
          </cell>
          <cell r="G303">
            <v>0.72944441322726261</v>
          </cell>
          <cell r="H303">
            <v>0.72944441322726261</v>
          </cell>
          <cell r="I303">
            <v>36.400315884852304</v>
          </cell>
          <cell r="J303">
            <v>36.400315884852304</v>
          </cell>
        </row>
        <row r="304">
          <cell r="A304" t="str">
            <v>95446</v>
          </cell>
          <cell r="B304" t="str">
            <v>CANASTITA DULCE S/RELLENO (UND)</v>
          </cell>
          <cell r="C304" t="str">
            <v>UND</v>
          </cell>
          <cell r="D304" t="str">
            <v>UND</v>
          </cell>
          <cell r="E304">
            <v>23.819677581492538</v>
          </cell>
          <cell r="F304">
            <v>23.819677581492538</v>
          </cell>
          <cell r="G304">
            <v>0.23133632153518124</v>
          </cell>
          <cell r="H304">
            <v>0.23133632153518124</v>
          </cell>
          <cell r="I304">
            <v>13.292338308457712</v>
          </cell>
          <cell r="J304">
            <v>13.292338308457712</v>
          </cell>
        </row>
        <row r="305">
          <cell r="A305" t="str">
            <v>95253</v>
          </cell>
          <cell r="B305" t="str">
            <v>PLANCHA BROWNIE (1950g)</v>
          </cell>
          <cell r="C305" t="str">
            <v>UND</v>
          </cell>
          <cell r="D305" t="str">
            <v>UND</v>
          </cell>
          <cell r="E305">
            <v>3135.9559502500001</v>
          </cell>
          <cell r="F305">
            <v>3135.9559502500001</v>
          </cell>
          <cell r="G305">
            <v>32.342785115277778</v>
          </cell>
          <cell r="H305">
            <v>32.342785115277778</v>
          </cell>
          <cell r="I305">
            <v>184.57847222222222</v>
          </cell>
          <cell r="J305">
            <v>184.57847222222222</v>
          </cell>
        </row>
        <row r="306">
          <cell r="A306" t="str">
            <v>95519</v>
          </cell>
          <cell r="B306" t="str">
            <v>ROSQUETE VAINILLA BUCCA (1200g)</v>
          </cell>
          <cell r="C306" t="str">
            <v>UND</v>
          </cell>
          <cell r="D306" t="str">
            <v>UND</v>
          </cell>
          <cell r="E306">
            <v>1223.9160074044096</v>
          </cell>
          <cell r="F306">
            <v>1223.9160074044096</v>
          </cell>
          <cell r="G306">
            <v>24.193430851167854</v>
          </cell>
          <cell r="H306">
            <v>24.193430851167854</v>
          </cell>
          <cell r="I306">
            <v>40.990017742806444</v>
          </cell>
          <cell r="J306">
            <v>40.990017742806444</v>
          </cell>
        </row>
        <row r="307">
          <cell r="A307" t="str">
            <v>96235</v>
          </cell>
          <cell r="B307" t="str">
            <v>CANASTA REDONDA (30g)</v>
          </cell>
          <cell r="C307" t="str">
            <v>UND</v>
          </cell>
          <cell r="D307" t="str">
            <v>UND</v>
          </cell>
          <cell r="E307">
            <v>55.485211661052638</v>
          </cell>
          <cell r="F307">
            <v>55.485211661052638</v>
          </cell>
          <cell r="G307">
            <v>0.41374383057644121</v>
          </cell>
          <cell r="H307">
            <v>0.41374383057644121</v>
          </cell>
          <cell r="I307">
            <v>20.223076923076921</v>
          </cell>
          <cell r="J307">
            <v>20.223076923076921</v>
          </cell>
        </row>
        <row r="308">
          <cell r="A308" t="str">
            <v>96285</v>
          </cell>
          <cell r="B308" t="str">
            <v>ROSQUETE CHOCOLATE (50g)</v>
          </cell>
          <cell r="C308" t="str">
            <v>UND</v>
          </cell>
          <cell r="D308" t="str">
            <v>UND</v>
          </cell>
          <cell r="E308">
            <v>64.920020827704391</v>
          </cell>
          <cell r="F308">
            <v>64.920020827704391</v>
          </cell>
          <cell r="G308">
            <v>1.6945652336553261</v>
          </cell>
          <cell r="H308">
            <v>1.6945652336553261</v>
          </cell>
          <cell r="I308">
            <v>8.6622596368573692</v>
          </cell>
          <cell r="J308">
            <v>8.6622596368573692</v>
          </cell>
        </row>
        <row r="309">
          <cell r="A309" t="str">
            <v>95372</v>
          </cell>
          <cell r="B309" t="str">
            <v>BASE PREMEZCLA TURRON ALMENDRA (3047g)</v>
          </cell>
          <cell r="C309" t="str">
            <v>TANDA</v>
          </cell>
          <cell r="D309" t="str">
            <v>GRAMO</v>
          </cell>
          <cell r="E309">
            <v>1537.6218530000001</v>
          </cell>
          <cell r="F309">
            <v>0.50463467443386945</v>
          </cell>
          <cell r="G309">
            <v>21.822725555555557</v>
          </cell>
          <cell r="H309">
            <v>7.1620366116033991E-3</v>
          </cell>
          <cell r="I309">
            <v>110</v>
          </cell>
          <cell r="J309">
            <v>3.6101083032490974E-2</v>
          </cell>
        </row>
        <row r="310">
          <cell r="A310" t="str">
            <v>96358</v>
          </cell>
          <cell r="B310" t="str">
            <v>BATIDO P/TURRON ALMENDRAS (5760g)</v>
          </cell>
          <cell r="C310" t="str">
            <v>KILO</v>
          </cell>
          <cell r="D310" t="str">
            <v>GRAMO</v>
          </cell>
          <cell r="E310">
            <v>2349.0428222222222</v>
          </cell>
          <cell r="F310">
            <v>2.3490428222222222</v>
          </cell>
          <cell r="G310">
            <v>3.7886732253086417</v>
          </cell>
          <cell r="H310">
            <v>3.7886732253086417E-3</v>
          </cell>
          <cell r="I310">
            <v>76.736111111111114</v>
          </cell>
          <cell r="J310">
            <v>7.6736111111111116E-2</v>
          </cell>
        </row>
        <row r="311">
          <cell r="A311" t="str">
            <v>95103</v>
          </cell>
          <cell r="B311" t="str">
            <v>MEDIA LUNA CUBIERTA CHOCOLATE LECHE (UND)</v>
          </cell>
          <cell r="C311" t="str">
            <v>UND</v>
          </cell>
          <cell r="D311" t="str">
            <v>UND</v>
          </cell>
          <cell r="E311">
            <v>25.479206085055701</v>
          </cell>
          <cell r="F311">
            <v>25.479206085055701</v>
          </cell>
          <cell r="G311">
            <v>0.23606913072852082</v>
          </cell>
          <cell r="H311">
            <v>0.23606913072852082</v>
          </cell>
          <cell r="I311">
            <v>4.1430462944096549</v>
          </cell>
          <cell r="J311">
            <v>4.1430462944096549</v>
          </cell>
        </row>
        <row r="312">
          <cell r="A312" t="str">
            <v>95369</v>
          </cell>
          <cell r="B312" t="str">
            <v>BASE PREMEZCLA QUEQUE SECO (3320g)</v>
          </cell>
          <cell r="C312" t="str">
            <v>TANDA</v>
          </cell>
          <cell r="D312" t="str">
            <v>GRAMO</v>
          </cell>
          <cell r="E312">
            <v>5261.1257500000002</v>
          </cell>
          <cell r="F312">
            <v>1.5846764307228915</v>
          </cell>
          <cell r="G312">
            <v>21.822757777777777</v>
          </cell>
          <cell r="H312">
            <v>6.5731198125836676E-3</v>
          </cell>
          <cell r="I312">
            <v>84</v>
          </cell>
          <cell r="J312">
            <v>2.5301204819277109E-2</v>
          </cell>
        </row>
        <row r="313">
          <cell r="A313" t="str">
            <v>95345</v>
          </cell>
          <cell r="B313" t="str">
            <v>ROSQUETE QQ SECO C/PASAS (750g)</v>
          </cell>
          <cell r="C313" t="str">
            <v>UND</v>
          </cell>
          <cell r="D313" t="str">
            <v>UND</v>
          </cell>
          <cell r="E313">
            <v>1347.2006525167783</v>
          </cell>
          <cell r="F313">
            <v>1347.2006525167783</v>
          </cell>
          <cell r="G313">
            <v>9.9081243153297116</v>
          </cell>
          <cell r="H313">
            <v>9.9081243153297116</v>
          </cell>
          <cell r="I313">
            <v>170.27037392138064</v>
          </cell>
          <cell r="J313">
            <v>170.27037392138064</v>
          </cell>
        </row>
        <row r="314">
          <cell r="A314" t="str">
            <v>95112</v>
          </cell>
          <cell r="B314" t="str">
            <v>ROSQUETE VAINILLA PERSONAL BUCCA (200g)</v>
          </cell>
          <cell r="C314" t="str">
            <v>UND</v>
          </cell>
          <cell r="D314" t="str">
            <v>UND</v>
          </cell>
          <cell r="E314">
            <v>203.19643881318322</v>
          </cell>
          <cell r="F314">
            <v>203.19643881318322</v>
          </cell>
          <cell r="G314">
            <v>4.392269724166896</v>
          </cell>
          <cell r="H314">
            <v>4.392269724166896</v>
          </cell>
          <cell r="I314">
            <v>10.814359975068081</v>
          </cell>
          <cell r="J314">
            <v>10.814359975068081</v>
          </cell>
        </row>
        <row r="315">
          <cell r="A315" t="str">
            <v>96185</v>
          </cell>
          <cell r="B315" t="str">
            <v>BASE PREMEZCLA SOUFLE (6.035 Kg)</v>
          </cell>
          <cell r="C315" t="str">
            <v>TANDA</v>
          </cell>
          <cell r="D315" t="str">
            <v>GRAMO</v>
          </cell>
          <cell r="E315">
            <v>10445.845386000001</v>
          </cell>
          <cell r="F315">
            <v>1.7311642999668546</v>
          </cell>
          <cell r="G315">
            <v>11.022725555555557</v>
          </cell>
          <cell r="H315">
            <v>1.8267692336021804E-3</v>
          </cell>
          <cell r="I315">
            <v>165</v>
          </cell>
          <cell r="J315">
            <v>2.7345044746436859E-2</v>
          </cell>
        </row>
        <row r="316">
          <cell r="A316" t="str">
            <v>96332</v>
          </cell>
          <cell r="B316" t="str">
            <v>BATIDO P/ROSQUETE SOUFFLE (11100g)</v>
          </cell>
          <cell r="C316" t="str">
            <v>KILO</v>
          </cell>
          <cell r="D316" t="str">
            <v>GRAMO</v>
          </cell>
          <cell r="E316">
            <v>1603.841223963964</v>
          </cell>
          <cell r="F316">
            <v>1.6038412239639641</v>
          </cell>
          <cell r="G316">
            <v>0.99303833833833832</v>
          </cell>
          <cell r="H316">
            <v>9.9303833833833837E-4</v>
          </cell>
          <cell r="I316">
            <v>49.549549549549553</v>
          </cell>
          <cell r="J316">
            <v>4.954954954954955E-2</v>
          </cell>
        </row>
        <row r="317">
          <cell r="A317"/>
          <cell r="B317" t="str">
            <v>RELLENO CHOCOMENTA</v>
          </cell>
          <cell r="C317"/>
          <cell r="D317"/>
          <cell r="E317"/>
          <cell r="F317"/>
          <cell r="G317"/>
          <cell r="H317"/>
          <cell r="I317"/>
          <cell r="J317"/>
        </row>
        <row r="318">
          <cell r="A318"/>
          <cell r="B318" t="str">
            <v>MEZCLA DULCE LECHE CON AGUA</v>
          </cell>
          <cell r="C318"/>
          <cell r="D318"/>
          <cell r="E318"/>
          <cell r="F318"/>
          <cell r="G318"/>
          <cell r="H318"/>
          <cell r="I318"/>
          <cell r="J318"/>
        </row>
        <row r="319">
          <cell r="A319"/>
          <cell r="B319" t="str">
            <v>SUSPIRO QUEBRADO 7650 g</v>
          </cell>
          <cell r="C319"/>
          <cell r="D319"/>
          <cell r="E319"/>
          <cell r="F319"/>
          <cell r="G319"/>
          <cell r="H319"/>
          <cell r="I319"/>
          <cell r="J319"/>
        </row>
        <row r="320">
          <cell r="A320"/>
          <cell r="B320" t="str">
            <v>SALSA NARANJA (TANDA= 500 g)</v>
          </cell>
          <cell r="C320"/>
          <cell r="D320"/>
          <cell r="E320"/>
          <cell r="F320"/>
          <cell r="G320"/>
          <cell r="H320"/>
          <cell r="I320"/>
          <cell r="J320"/>
        </row>
        <row r="321">
          <cell r="A321"/>
          <cell r="B321" t="str">
            <v>ROSQUETE CHOCOLATE BUCCA 800G</v>
          </cell>
          <cell r="C321"/>
          <cell r="D321"/>
          <cell r="E321"/>
          <cell r="F321"/>
          <cell r="G321"/>
          <cell r="H321"/>
          <cell r="I321"/>
          <cell r="J321"/>
        </row>
        <row r="322">
          <cell r="A322"/>
          <cell r="B322" t="str">
            <v>PREMEZCLA VAINILLA RICH 170G</v>
          </cell>
          <cell r="C322"/>
          <cell r="D322"/>
          <cell r="E322"/>
          <cell r="F322"/>
          <cell r="G322"/>
          <cell r="H322"/>
          <cell r="I322"/>
          <cell r="J322"/>
        </row>
        <row r="323">
          <cell r="A323"/>
          <cell r="B323" t="str">
            <v>Batido Vainilla Rich FAS 24000g</v>
          </cell>
          <cell r="C323"/>
          <cell r="D323"/>
          <cell r="E323"/>
          <cell r="F323"/>
          <cell r="G323"/>
          <cell r="H323"/>
          <cell r="I323"/>
          <cell r="J323"/>
        </row>
        <row r="324">
          <cell r="A324"/>
          <cell r="B324" t="str">
            <v>ROSQUETE VAINILLA RICH 900G</v>
          </cell>
          <cell r="C324"/>
          <cell r="D324"/>
          <cell r="E324"/>
          <cell r="F324"/>
          <cell r="G324"/>
          <cell r="H324"/>
          <cell r="I324"/>
          <cell r="J324"/>
        </row>
        <row r="325">
          <cell r="A325"/>
          <cell r="B325" t="str">
            <v xml:space="preserve">PREMEZCLA P/BATIDO CHOCO PASTELERO </v>
          </cell>
          <cell r="C325"/>
          <cell r="D325"/>
          <cell r="E325"/>
          <cell r="F325"/>
          <cell r="G325"/>
          <cell r="H325"/>
          <cell r="I325"/>
          <cell r="J325"/>
        </row>
        <row r="326">
          <cell r="A326"/>
          <cell r="B326" t="str">
            <v>BATIDO CHOCOLATE PASTELERO REAL 32400G</v>
          </cell>
          <cell r="C326"/>
          <cell r="D326"/>
          <cell r="E326"/>
          <cell r="F326"/>
          <cell r="G326"/>
          <cell r="H326"/>
          <cell r="I326"/>
          <cell r="J326"/>
        </row>
        <row r="327">
          <cell r="A327"/>
          <cell r="B327" t="str">
            <v>PLANCHA CHOCOLATE PASTELERO REAL 1300g</v>
          </cell>
          <cell r="C327"/>
          <cell r="D327"/>
          <cell r="E327"/>
          <cell r="F327"/>
          <cell r="G327"/>
          <cell r="H327"/>
          <cell r="I327"/>
          <cell r="J327"/>
        </row>
        <row r="328">
          <cell r="A328"/>
          <cell r="B328" t="str">
            <v>ROSQUETE MELOCOTON MED 300G</v>
          </cell>
          <cell r="C328"/>
          <cell r="D328"/>
          <cell r="E328"/>
          <cell r="F328"/>
          <cell r="G328"/>
          <cell r="H328"/>
          <cell r="I328"/>
          <cell r="J328"/>
        </row>
        <row r="329">
          <cell r="A329"/>
          <cell r="B329" t="str">
            <v>PREMEZCLA TORTA DE TRES LECHES RP 4527G</v>
          </cell>
          <cell r="C329"/>
          <cell r="D329"/>
          <cell r="E329"/>
          <cell r="F329"/>
          <cell r="G329"/>
          <cell r="H329"/>
          <cell r="I329"/>
          <cell r="J329"/>
        </row>
        <row r="330">
          <cell r="A330"/>
          <cell r="B330" t="str">
            <v>BATIDO TORTA DE TRES LECHES RP 9600G</v>
          </cell>
          <cell r="C330"/>
          <cell r="D330"/>
          <cell r="E330"/>
          <cell r="F330"/>
          <cell r="G330"/>
          <cell r="H330"/>
          <cell r="I330"/>
          <cell r="J330"/>
        </row>
        <row r="331">
          <cell r="A331"/>
          <cell r="B331" t="str">
            <v>ROSQUETE GUSTITO 4 LECHES 90g</v>
          </cell>
          <cell r="C331"/>
          <cell r="D331"/>
          <cell r="E331"/>
          <cell r="F331"/>
          <cell r="G331"/>
          <cell r="H331"/>
          <cell r="I331"/>
          <cell r="J331"/>
        </row>
        <row r="332">
          <cell r="A332"/>
          <cell r="B332" t="str">
            <v>PREMEZCLA TORTA QQ CRISTAL (8176g)</v>
          </cell>
          <cell r="C332"/>
          <cell r="D332"/>
          <cell r="E332"/>
          <cell r="F332"/>
          <cell r="G332"/>
          <cell r="H332"/>
          <cell r="I332"/>
          <cell r="J332"/>
        </row>
        <row r="333">
          <cell r="A333"/>
          <cell r="B333" t="str">
            <v>BATIDO CHOCOLATE 27500g</v>
          </cell>
          <cell r="C333"/>
          <cell r="D333"/>
          <cell r="E333"/>
          <cell r="F333"/>
          <cell r="G333"/>
          <cell r="H333"/>
          <cell r="I333"/>
          <cell r="J333"/>
        </row>
        <row r="334">
          <cell r="A334"/>
          <cell r="B334" t="str">
            <v>ROSQUETE DE CHOCOLATE 1100g</v>
          </cell>
          <cell r="C334"/>
          <cell r="D334"/>
          <cell r="E334"/>
          <cell r="F334"/>
          <cell r="G334"/>
          <cell r="H334"/>
          <cell r="I334"/>
          <cell r="J334"/>
        </row>
        <row r="335">
          <cell r="A335"/>
          <cell r="B335" t="str">
            <v>BORONA CHOCOLATE ROSTI POLLOS 3900G</v>
          </cell>
          <cell r="C335"/>
          <cell r="D335"/>
          <cell r="E335"/>
          <cell r="F335"/>
          <cell r="G335"/>
          <cell r="H335"/>
          <cell r="I335"/>
          <cell r="J335"/>
        </row>
        <row r="336">
          <cell r="A336"/>
          <cell r="B336" t="str">
            <v>BATIDO QUEQUE ARCOIRIS 33930</v>
          </cell>
          <cell r="C336"/>
          <cell r="D336"/>
          <cell r="E336"/>
          <cell r="F336"/>
          <cell r="G336"/>
          <cell r="H336"/>
          <cell r="I336"/>
          <cell r="J336"/>
        </row>
        <row r="337">
          <cell r="A337"/>
          <cell r="B337" t="str">
            <v>JAMON PAVO REBANADO 2870G</v>
          </cell>
          <cell r="C337"/>
          <cell r="D337"/>
          <cell r="E337"/>
          <cell r="F337"/>
          <cell r="G337"/>
          <cell r="H337"/>
          <cell r="I337"/>
          <cell r="J337"/>
        </row>
        <row r="338">
          <cell r="A338"/>
          <cell r="B338" t="str">
            <v>ROSQUETE TORTA DE TRES LECHES RP (960 gr)</v>
          </cell>
          <cell r="C338"/>
          <cell r="D338"/>
          <cell r="E338"/>
          <cell r="F338"/>
          <cell r="G338"/>
          <cell r="H338"/>
          <cell r="I338"/>
          <cell r="J338"/>
        </row>
        <row r="339">
          <cell r="A339"/>
          <cell r="B339" t="str">
            <v>MEZCLA DE TRES LECHES RP</v>
          </cell>
          <cell r="C339"/>
          <cell r="D339"/>
          <cell r="E339"/>
          <cell r="F339"/>
          <cell r="G339"/>
          <cell r="H339"/>
          <cell r="I339"/>
          <cell r="J339"/>
        </row>
        <row r="340">
          <cell r="A340"/>
          <cell r="B340" t="str">
            <v>MERENGUE PARA TRES LECHES RP</v>
          </cell>
          <cell r="C340"/>
          <cell r="D340"/>
          <cell r="E340"/>
          <cell r="F340"/>
          <cell r="G340"/>
          <cell r="H340"/>
          <cell r="I340"/>
          <cell r="J340"/>
        </row>
        <row r="341">
          <cell r="A341"/>
          <cell r="B341" t="str">
            <v xml:space="preserve">BASE PREMEZCLA P/BATIDO VAINILLA PASTELERO </v>
          </cell>
          <cell r="C341"/>
          <cell r="D341"/>
          <cell r="E341"/>
          <cell r="F341"/>
          <cell r="G341"/>
          <cell r="H341"/>
          <cell r="I341"/>
          <cell r="J341"/>
        </row>
        <row r="342">
          <cell r="A342"/>
          <cell r="B342" t="str">
            <v>Ensamble media torta chocolate</v>
          </cell>
          <cell r="C342"/>
          <cell r="D342"/>
          <cell r="E342"/>
          <cell r="F342"/>
          <cell r="G342"/>
          <cell r="H342"/>
          <cell r="I342"/>
          <cell r="J342"/>
        </row>
        <row r="343">
          <cell r="A343"/>
          <cell r="B343" t="str">
            <v>Ensamble media torta melocoton</v>
          </cell>
          <cell r="C343"/>
          <cell r="D343"/>
          <cell r="E343"/>
          <cell r="F343"/>
          <cell r="G343"/>
          <cell r="H343"/>
          <cell r="I343"/>
          <cell r="J343"/>
        </row>
        <row r="344">
          <cell r="A344"/>
          <cell r="B344" t="str">
            <v>BASE Premezcla Batidos para Rosquete Super esponja</v>
          </cell>
          <cell r="C344"/>
          <cell r="D344"/>
          <cell r="E344"/>
          <cell r="F344"/>
          <cell r="G344"/>
          <cell r="H344"/>
          <cell r="I344"/>
          <cell r="J344"/>
        </row>
        <row r="345">
          <cell r="A345"/>
          <cell r="B345" t="str">
            <v>BATIDO Super Esponja (40120g</v>
          </cell>
          <cell r="C345"/>
          <cell r="D345"/>
          <cell r="E345"/>
          <cell r="F345"/>
          <cell r="G345"/>
          <cell r="H345"/>
          <cell r="I345"/>
          <cell r="J345"/>
        </row>
        <row r="346">
          <cell r="A346"/>
          <cell r="B346" t="str">
            <v>Rosquete Super Esponja 380g</v>
          </cell>
          <cell r="C346"/>
          <cell r="D346"/>
          <cell r="E346"/>
          <cell r="F346"/>
          <cell r="G346"/>
          <cell r="H346"/>
          <cell r="I346"/>
          <cell r="J346"/>
        </row>
        <row r="347">
          <cell r="A347"/>
          <cell r="B347" t="str">
            <v>BATIDO P/ARROLLADO DULCE LECHE 3600G</v>
          </cell>
          <cell r="C347"/>
          <cell r="D347"/>
          <cell r="E347"/>
          <cell r="F347"/>
          <cell r="G347"/>
          <cell r="H347"/>
          <cell r="I347"/>
          <cell r="J347"/>
        </row>
        <row r="348">
          <cell r="A348"/>
          <cell r="B348" t="str">
            <v>RUEDA HOJALDRE EMPANADA DE POLLO PEQUEÑA</v>
          </cell>
          <cell r="C348"/>
          <cell r="D348"/>
          <cell r="E348"/>
          <cell r="F348"/>
          <cell r="G348"/>
          <cell r="H348"/>
          <cell r="I348"/>
          <cell r="J348"/>
        </row>
        <row r="349">
          <cell r="A349"/>
          <cell r="B349" t="str">
            <v>Crema de Garbanzos 10000G</v>
          </cell>
          <cell r="C349"/>
          <cell r="D349"/>
          <cell r="E349"/>
          <cell r="F349"/>
          <cell r="G349"/>
          <cell r="H349"/>
          <cell r="I349"/>
          <cell r="J349"/>
        </row>
        <row r="350">
          <cell r="A350"/>
          <cell r="B350" t="str">
            <v>Premezcla Pasta Piña(5262g) Spoon</v>
          </cell>
          <cell r="C350"/>
          <cell r="D350"/>
          <cell r="E350"/>
          <cell r="F350"/>
          <cell r="G350"/>
          <cell r="H350"/>
          <cell r="I350"/>
          <cell r="J350"/>
        </row>
        <row r="351">
          <cell r="A351"/>
          <cell r="B351" t="str">
            <v>Pasta para empanada de piña</v>
          </cell>
          <cell r="C351"/>
          <cell r="D351"/>
          <cell r="E351"/>
          <cell r="F351"/>
          <cell r="G351"/>
          <cell r="H351"/>
          <cell r="I351"/>
          <cell r="J351"/>
        </row>
        <row r="352">
          <cell r="A352"/>
          <cell r="B352" t="str">
            <v>ROSQUETE ARROLLADO 1000G</v>
          </cell>
          <cell r="C352"/>
          <cell r="D352"/>
          <cell r="E352"/>
          <cell r="F352"/>
          <cell r="G352"/>
          <cell r="H352"/>
          <cell r="I352"/>
          <cell r="J352"/>
        </row>
        <row r="353">
          <cell r="A353"/>
          <cell r="B353" t="str">
            <v>SALSA POMODORO 15000</v>
          </cell>
          <cell r="C353"/>
          <cell r="D353"/>
          <cell r="E353"/>
          <cell r="F353"/>
          <cell r="G353"/>
          <cell r="H353"/>
          <cell r="I353"/>
          <cell r="J353"/>
        </row>
        <row r="354">
          <cell r="A354"/>
          <cell r="B354" t="str">
            <v>CALDO POLLO C/CARCASA 47000</v>
          </cell>
          <cell r="C354"/>
          <cell r="D354"/>
          <cell r="E354"/>
          <cell r="F354"/>
          <cell r="G354"/>
          <cell r="H354"/>
          <cell r="I354"/>
          <cell r="J354"/>
        </row>
        <row r="355">
          <cell r="A355"/>
          <cell r="B355" t="str">
            <v>ALMIDON MODIFICADO (BOLSA:5000g)</v>
          </cell>
          <cell r="C355"/>
          <cell r="D355"/>
          <cell r="E355"/>
          <cell r="F355"/>
          <cell r="G355"/>
          <cell r="H355"/>
          <cell r="I355"/>
          <cell r="J355"/>
        </row>
        <row r="356">
          <cell r="A356"/>
          <cell r="B356" t="str">
            <v>SALSA CULANTRO 2000G</v>
          </cell>
          <cell r="C356"/>
          <cell r="D356"/>
          <cell r="E356"/>
          <cell r="F356"/>
          <cell r="G356"/>
          <cell r="H356"/>
          <cell r="I356"/>
          <cell r="J356"/>
        </row>
        <row r="357">
          <cell r="A357"/>
          <cell r="B357" t="str">
            <v>RELLENO LOMO SALTEADO 3150G</v>
          </cell>
          <cell r="C357"/>
          <cell r="D357"/>
          <cell r="E357"/>
          <cell r="F357"/>
          <cell r="G357"/>
          <cell r="H357"/>
          <cell r="I357"/>
          <cell r="J357"/>
        </row>
        <row r="358">
          <cell r="A358"/>
          <cell r="B358" t="str">
            <v>SALSA DE AJI 1400G</v>
          </cell>
          <cell r="C358"/>
          <cell r="D358"/>
          <cell r="E358"/>
          <cell r="F358"/>
          <cell r="G358"/>
          <cell r="H358"/>
          <cell r="I358"/>
          <cell r="J358"/>
        </row>
        <row r="359">
          <cell r="A359"/>
          <cell r="B359" t="str">
            <v>MEZCLA GALLO PINTO BUCCA 4000G</v>
          </cell>
          <cell r="C359"/>
          <cell r="D359"/>
          <cell r="E359"/>
          <cell r="F359"/>
          <cell r="G359"/>
          <cell r="H359"/>
          <cell r="I359"/>
          <cell r="J359"/>
        </row>
        <row r="360">
          <cell r="A360"/>
          <cell r="B360" t="str">
            <v>COCCION POLLO DIABLA TIA FLORITA 9600G</v>
          </cell>
          <cell r="C360"/>
          <cell r="D360"/>
          <cell r="E360"/>
          <cell r="F360"/>
          <cell r="G360"/>
          <cell r="H360"/>
          <cell r="I360"/>
          <cell r="J360"/>
        </row>
        <row r="361">
          <cell r="A361"/>
          <cell r="B361" t="str">
            <v>SALSA DIABLA TIA FLORITA 10025G</v>
          </cell>
          <cell r="C361"/>
          <cell r="D361"/>
          <cell r="E361"/>
          <cell r="F361"/>
          <cell r="G361"/>
          <cell r="H361"/>
          <cell r="I361"/>
          <cell r="J361"/>
        </row>
        <row r="362">
          <cell r="A362"/>
          <cell r="B362" t="str">
            <v>COCCION SALSA BOLOGNESA TIA FLORITA 8495</v>
          </cell>
          <cell r="C362"/>
          <cell r="D362"/>
          <cell r="E362"/>
          <cell r="F362"/>
          <cell r="G362"/>
          <cell r="H362"/>
          <cell r="I362"/>
          <cell r="J362"/>
        </row>
        <row r="363">
          <cell r="A363"/>
          <cell r="B363" t="str">
            <v>COCCION CARNE STROGANOFF TIA FLORITA 7000G</v>
          </cell>
          <cell r="C363"/>
          <cell r="D363"/>
          <cell r="E363"/>
          <cell r="F363"/>
          <cell r="G363"/>
          <cell r="H363"/>
          <cell r="I363"/>
          <cell r="J363"/>
        </row>
        <row r="364">
          <cell r="A364"/>
          <cell r="B364" t="str">
            <v>SALSA STROGANOFF TIA FLORITA 5400G</v>
          </cell>
          <cell r="C364"/>
          <cell r="D364"/>
          <cell r="E364"/>
          <cell r="F364"/>
          <cell r="G364"/>
          <cell r="H364"/>
          <cell r="I364"/>
          <cell r="J364"/>
        </row>
        <row r="365">
          <cell r="A365"/>
          <cell r="B365" t="str">
            <v>ESTOFADO RES TIA FLORITA</v>
          </cell>
          <cell r="C365"/>
          <cell r="D365"/>
          <cell r="E365"/>
          <cell r="F365"/>
          <cell r="G365"/>
          <cell r="H365"/>
          <cell r="I365"/>
          <cell r="J365"/>
        </row>
        <row r="366">
          <cell r="A366"/>
          <cell r="B366" t="str">
            <v>RELLENO ESPINACA-POLLO 9200G</v>
          </cell>
          <cell r="C366"/>
          <cell r="D366"/>
          <cell r="E366"/>
          <cell r="F366"/>
          <cell r="G366"/>
          <cell r="H366"/>
          <cell r="I366"/>
          <cell r="J366"/>
        </row>
        <row r="367">
          <cell r="A367"/>
          <cell r="B367" t="str">
            <v>BATIDO MELOCOTON FROM SCRATCH 21600</v>
          </cell>
          <cell r="C367"/>
          <cell r="D367"/>
          <cell r="E367"/>
          <cell r="F367"/>
          <cell r="G367"/>
          <cell r="H367"/>
          <cell r="I367"/>
          <cell r="J367"/>
        </row>
        <row r="368">
          <cell r="A368"/>
          <cell r="B368" t="str">
            <v>ROSQUETE MELOCOTON PERSONAL 180G</v>
          </cell>
          <cell r="C368"/>
          <cell r="D368"/>
          <cell r="E368"/>
          <cell r="F368"/>
          <cell r="G368"/>
          <cell r="H368"/>
          <cell r="I368"/>
          <cell r="J368"/>
        </row>
        <row r="369">
          <cell r="A369"/>
          <cell r="B369" t="str">
            <v>RELLENO LIMON PLANTA 2000G</v>
          </cell>
          <cell r="C369"/>
          <cell r="D369"/>
          <cell r="E369"/>
          <cell r="F369"/>
          <cell r="G369"/>
          <cell r="H369"/>
          <cell r="I369"/>
          <cell r="J369"/>
        </row>
        <row r="370">
          <cell r="A370"/>
          <cell r="B370" t="str">
            <v>AZUCAR BLANCO INDUSTRIAL</v>
          </cell>
          <cell r="C370"/>
          <cell r="D370"/>
          <cell r="E370"/>
          <cell r="F370"/>
          <cell r="G370"/>
          <cell r="H370"/>
          <cell r="I370"/>
          <cell r="J370"/>
        </row>
        <row r="371">
          <cell r="A371"/>
          <cell r="B371" t="str">
            <v>TOPPING MELOCOTON PLANTA 10000G</v>
          </cell>
          <cell r="C371"/>
          <cell r="D371"/>
          <cell r="E371"/>
          <cell r="F371"/>
          <cell r="G371"/>
          <cell r="H371"/>
          <cell r="I371"/>
          <cell r="J371"/>
        </row>
        <row r="372">
          <cell r="A372"/>
          <cell r="B372" t="str">
            <v>EMPAQUE TOPPING MELOCOTON PLANTA 2000G</v>
          </cell>
          <cell r="C372"/>
          <cell r="D372"/>
          <cell r="E372"/>
          <cell r="F372"/>
          <cell r="G372"/>
          <cell r="H372"/>
          <cell r="I372"/>
          <cell r="J372"/>
        </row>
        <row r="373">
          <cell r="A373"/>
          <cell r="B373" t="str">
            <v>TOPPING MELOCOON C/TOPPING 8000G PLANTA</v>
          </cell>
          <cell r="C373"/>
          <cell r="D373"/>
          <cell r="E373"/>
          <cell r="F373"/>
          <cell r="G373"/>
          <cell r="H373"/>
          <cell r="I373"/>
          <cell r="J373"/>
        </row>
        <row r="374">
          <cell r="A374"/>
          <cell r="B374" t="str">
            <v>SALSA TOMATE NUEVAPLANTA 5950G</v>
          </cell>
          <cell r="C374"/>
          <cell r="D374"/>
          <cell r="E374"/>
          <cell r="F374"/>
          <cell r="G374"/>
          <cell r="H374"/>
          <cell r="I374"/>
          <cell r="J374"/>
        </row>
        <row r="375">
          <cell r="A375"/>
          <cell r="B375" t="str">
            <v>STRIPS RP 15850G</v>
          </cell>
          <cell r="C375"/>
          <cell r="D375"/>
          <cell r="E375"/>
          <cell r="F375"/>
          <cell r="G375"/>
          <cell r="H375"/>
          <cell r="I375"/>
          <cell r="J375"/>
        </row>
        <row r="376">
          <cell r="A376"/>
          <cell r="B376" t="str">
            <v>PATACONES RP UND</v>
          </cell>
          <cell r="C376"/>
          <cell r="D376"/>
          <cell r="E376"/>
          <cell r="F376"/>
          <cell r="G376"/>
          <cell r="H376"/>
          <cell r="I376"/>
          <cell r="J376"/>
        </row>
        <row r="377">
          <cell r="A377"/>
          <cell r="B377" t="str">
            <v>REPOLLO RALLADO ROTIPOLLOS 14500G</v>
          </cell>
          <cell r="C377"/>
          <cell r="D377"/>
          <cell r="E377"/>
          <cell r="F377"/>
          <cell r="G377"/>
          <cell r="H377"/>
          <cell r="I377"/>
          <cell r="J377"/>
        </row>
        <row r="378">
          <cell r="A378"/>
          <cell r="B378" t="str">
            <v>ZANAHORIA RALLADA ROSTIPOLLOS 3700G</v>
          </cell>
          <cell r="C378"/>
          <cell r="D378"/>
          <cell r="E378"/>
          <cell r="F378"/>
          <cell r="G378"/>
          <cell r="H378"/>
          <cell r="I378"/>
          <cell r="J378"/>
        </row>
        <row r="379">
          <cell r="A379"/>
          <cell r="B379" t="str">
            <v>CHILE RALLADO RP 2400G</v>
          </cell>
          <cell r="C379"/>
          <cell r="D379"/>
          <cell r="E379"/>
          <cell r="F379"/>
          <cell r="G379"/>
          <cell r="H379"/>
          <cell r="I379"/>
          <cell r="J379"/>
        </row>
        <row r="380">
          <cell r="A380"/>
          <cell r="B380" t="str">
            <v>BATIDO DE VAINILLA RP 27500G</v>
          </cell>
          <cell r="C380"/>
          <cell r="D380"/>
          <cell r="E380"/>
          <cell r="F380"/>
          <cell r="G380"/>
          <cell r="H380"/>
          <cell r="I380"/>
          <cell r="J380"/>
        </row>
        <row r="381">
          <cell r="A381"/>
          <cell r="B381" t="str">
            <v>ROSQUETE DE VAINILLA RP (1100G)</v>
          </cell>
          <cell r="C381"/>
          <cell r="D381"/>
          <cell r="E381"/>
          <cell r="F381"/>
          <cell r="G381"/>
          <cell r="H381"/>
          <cell r="I381"/>
          <cell r="J381"/>
        </row>
        <row r="382">
          <cell r="A382"/>
          <cell r="B382" t="str">
            <v>ENSAMBLE TORTA VAINILLA RP</v>
          </cell>
          <cell r="C382"/>
          <cell r="D382"/>
          <cell r="E382"/>
          <cell r="F382"/>
          <cell r="G382"/>
          <cell r="H382"/>
          <cell r="I382"/>
          <cell r="J382"/>
        </row>
        <row r="383">
          <cell r="A383"/>
          <cell r="B383" t="str">
            <v>RELLENO MELOCOTON BUCCA  16000G</v>
          </cell>
          <cell r="C383"/>
          <cell r="D383"/>
          <cell r="E383"/>
          <cell r="F383"/>
          <cell r="G383"/>
          <cell r="H383"/>
          <cell r="I383"/>
          <cell r="J383"/>
        </row>
        <row r="384">
          <cell r="A384"/>
          <cell r="B384" t="str">
            <v>EMPAQUE RELLENO MELOCOTON BUCCA 4000G</v>
          </cell>
          <cell r="C384"/>
          <cell r="D384"/>
          <cell r="E384"/>
          <cell r="F384"/>
          <cell r="G384"/>
          <cell r="H384"/>
          <cell r="I384"/>
          <cell r="J384"/>
        </row>
        <row r="385">
          <cell r="A385"/>
          <cell r="B385" t="str">
            <v>ROSQUETE SUPER ESPONJA 250G</v>
          </cell>
          <cell r="C385"/>
          <cell r="D385"/>
          <cell r="E385"/>
          <cell r="F385"/>
          <cell r="G385"/>
          <cell r="H385"/>
          <cell r="I385"/>
          <cell r="J385"/>
        </row>
        <row r="386">
          <cell r="A386"/>
          <cell r="B386" t="str">
            <v>MEZCLA FLAN COCO SPOON 14000G</v>
          </cell>
          <cell r="C386"/>
          <cell r="D386"/>
          <cell r="E386"/>
          <cell r="F386"/>
          <cell r="G386"/>
          <cell r="H386"/>
          <cell r="I386"/>
          <cell r="J386"/>
        </row>
        <row r="387">
          <cell r="A387"/>
          <cell r="B387" t="str">
            <v>SOMBRERO PALMITO FROLA 65G</v>
          </cell>
          <cell r="C387"/>
          <cell r="D387"/>
          <cell r="E387"/>
          <cell r="F387"/>
          <cell r="G387"/>
          <cell r="H387"/>
          <cell r="I387"/>
          <cell r="J387"/>
        </row>
        <row r="388">
          <cell r="A388"/>
          <cell r="B388" t="str">
            <v>CUADRO HOJALDRE ENCHILADA PAPA</v>
          </cell>
          <cell r="C388"/>
          <cell r="D388"/>
          <cell r="E388"/>
          <cell r="F388"/>
          <cell r="G388"/>
          <cell r="H388"/>
          <cell r="I388"/>
          <cell r="J388"/>
        </row>
        <row r="389">
          <cell r="A389"/>
          <cell r="B389" t="str">
            <v>ENCHILADA PAPA Y CARNE</v>
          </cell>
          <cell r="C389"/>
          <cell r="D389"/>
          <cell r="E389"/>
          <cell r="F389"/>
          <cell r="G389"/>
          <cell r="H389"/>
          <cell r="I389"/>
          <cell r="J389"/>
        </row>
        <row r="390">
          <cell r="A390"/>
          <cell r="B390" t="str">
            <v>RELLENO PAPA CON CARNE ENCHILADA</v>
          </cell>
          <cell r="C390"/>
          <cell r="D390"/>
          <cell r="E390"/>
          <cell r="F390"/>
          <cell r="G390"/>
          <cell r="H390"/>
          <cell r="I390"/>
          <cell r="J390"/>
        </row>
        <row r="391">
          <cell r="A391"/>
          <cell r="B391" t="str">
            <v>CIRCULO HOJALDRE 6 CM</v>
          </cell>
          <cell r="C391"/>
          <cell r="D391"/>
          <cell r="E391"/>
          <cell r="F391"/>
          <cell r="G391"/>
          <cell r="H391"/>
          <cell r="I391"/>
          <cell r="J391"/>
        </row>
        <row r="392">
          <cell r="A392"/>
          <cell r="B392" t="str">
            <v>ARREGLADO MINI</v>
          </cell>
          <cell r="C392"/>
          <cell r="D392"/>
          <cell r="E392"/>
          <cell r="F392"/>
          <cell r="G392"/>
          <cell r="H392"/>
          <cell r="I392"/>
          <cell r="J392"/>
        </row>
        <row r="393">
          <cell r="A393"/>
          <cell r="B393" t="str">
            <v>BATIDO BROWNIE BLONDIE</v>
          </cell>
          <cell r="C393"/>
          <cell r="D393"/>
          <cell r="E393"/>
          <cell r="F393"/>
          <cell r="G393"/>
          <cell r="H393"/>
          <cell r="I393"/>
          <cell r="J393"/>
        </row>
        <row r="394">
          <cell r="A394"/>
          <cell r="B394" t="str">
            <v>PLANCHA BROWNIE BLONDIE</v>
          </cell>
          <cell r="C394"/>
          <cell r="D394"/>
          <cell r="E394"/>
          <cell r="F394"/>
          <cell r="G394"/>
          <cell r="H394"/>
          <cell r="I394"/>
          <cell r="J394"/>
        </row>
        <row r="395">
          <cell r="A395"/>
          <cell r="B395" t="str">
            <v>MEZCLA TRES LECHES CON DULCE LECHE</v>
          </cell>
          <cell r="C395"/>
          <cell r="D395"/>
          <cell r="E395"/>
          <cell r="F395"/>
          <cell r="G395"/>
          <cell r="H395"/>
          <cell r="I395"/>
          <cell r="J395"/>
        </row>
        <row r="396">
          <cell r="A396"/>
          <cell r="B396" t="str">
            <v>Crema Chantilly Fucsia</v>
          </cell>
          <cell r="C396"/>
          <cell r="D396"/>
          <cell r="E396"/>
          <cell r="F396"/>
          <cell r="G396"/>
          <cell r="H396"/>
          <cell r="I396"/>
          <cell r="J396"/>
        </row>
        <row r="397">
          <cell r="A397"/>
          <cell r="B397" t="str">
            <v>PASTEL PALMITO PEQ</v>
          </cell>
          <cell r="C397"/>
          <cell r="D397"/>
          <cell r="E397"/>
          <cell r="F397"/>
          <cell r="G397"/>
          <cell r="H397"/>
          <cell r="I397"/>
          <cell r="J397"/>
        </row>
        <row r="398">
          <cell r="A398"/>
          <cell r="B398" t="str">
            <v>RELLENO PASTEL ALMENDRAS 7500G</v>
          </cell>
          <cell r="C398"/>
          <cell r="D398"/>
          <cell r="E398"/>
          <cell r="F398"/>
          <cell r="G398"/>
          <cell r="H398"/>
          <cell r="I398"/>
          <cell r="J398"/>
        </row>
        <row r="399">
          <cell r="A399"/>
          <cell r="B399" t="str">
            <v>PIE ALMENDRAS Y PECANAS PERSONAL</v>
          </cell>
          <cell r="C399"/>
          <cell r="D399"/>
          <cell r="E399"/>
          <cell r="F399"/>
          <cell r="G399"/>
          <cell r="H399"/>
          <cell r="I399"/>
          <cell r="J399"/>
        </row>
        <row r="400">
          <cell r="A400"/>
          <cell r="B400" t="str">
            <v>RUEDA PASTA FROLA EMPANA POLLO Y CEBOLLA</v>
          </cell>
          <cell r="C400"/>
          <cell r="D400"/>
          <cell r="E400"/>
          <cell r="F400"/>
          <cell r="G400"/>
          <cell r="H400"/>
          <cell r="I400"/>
          <cell r="J400"/>
        </row>
        <row r="401">
          <cell r="A401"/>
          <cell r="B401" t="str">
            <v>RELLENO POLLO Y CEBOLLA 400G</v>
          </cell>
          <cell r="C401"/>
          <cell r="D401"/>
          <cell r="E401"/>
          <cell r="F401"/>
          <cell r="G401"/>
          <cell r="H401"/>
          <cell r="I401"/>
          <cell r="J401"/>
        </row>
        <row r="402">
          <cell r="A402"/>
          <cell r="B402" t="str">
            <v>EMPANADA POLLO Y CEBOLLA 72G</v>
          </cell>
          <cell r="C402"/>
          <cell r="D402"/>
          <cell r="E402"/>
          <cell r="F402"/>
          <cell r="G402"/>
          <cell r="H402"/>
          <cell r="I402"/>
          <cell r="J402"/>
        </row>
        <row r="403">
          <cell r="A403"/>
          <cell r="B403" t="str">
            <v>EMPANADA PIÑA Y COCO 85G</v>
          </cell>
          <cell r="C403"/>
          <cell r="D403"/>
          <cell r="E403"/>
          <cell r="F403"/>
          <cell r="G403"/>
          <cell r="H403"/>
          <cell r="I403"/>
          <cell r="J403"/>
        </row>
        <row r="404">
          <cell r="A404"/>
          <cell r="B404" t="str">
            <v>ADEREZO CULANTRO 2400G</v>
          </cell>
          <cell r="C404"/>
          <cell r="D404"/>
          <cell r="E404"/>
          <cell r="F404"/>
          <cell r="G404"/>
          <cell r="H404"/>
          <cell r="I404"/>
          <cell r="J404"/>
        </row>
        <row r="405">
          <cell r="A405"/>
          <cell r="B405" t="str">
            <v>ROSQUETE ZANAHORIA RECT (900g)</v>
          </cell>
          <cell r="C405"/>
          <cell r="D405"/>
          <cell r="E405"/>
          <cell r="F405"/>
          <cell r="G405"/>
          <cell r="H405"/>
          <cell r="I405"/>
          <cell r="J405"/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  <row r="494">
          <cell r="A494"/>
          <cell r="C494"/>
          <cell r="D494"/>
          <cell r="E494"/>
          <cell r="F494"/>
          <cell r="G494"/>
          <cell r="H494"/>
          <cell r="I494"/>
          <cell r="J494"/>
        </row>
        <row r="495">
          <cell r="A495"/>
          <cell r="C495"/>
          <cell r="D495"/>
          <cell r="E495"/>
          <cell r="F495"/>
          <cell r="G495"/>
          <cell r="H495"/>
          <cell r="I495"/>
          <cell r="J495"/>
        </row>
        <row r="496">
          <cell r="A496"/>
          <cell r="C496"/>
          <cell r="D496"/>
          <cell r="E496"/>
          <cell r="F496"/>
          <cell r="G496"/>
          <cell r="H496"/>
          <cell r="I496"/>
          <cell r="J496"/>
        </row>
      </sheetData>
      <sheetData sheetId="4">
        <row r="1">
          <cell r="A1" t="str">
            <v>Codigo</v>
          </cell>
        </row>
      </sheetData>
      <sheetData sheetId="5">
        <row r="2">
          <cell r="A2" t="str">
            <v>42069</v>
          </cell>
        </row>
      </sheetData>
      <sheetData sheetId="6">
        <row r="2">
          <cell r="A2" t="str">
            <v>0007526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</sheetNames>
    <sheetDataSet>
      <sheetData sheetId="0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/>
      <sheetData sheetId="2"/>
      <sheetData sheetId="3">
        <row r="2">
          <cell r="A2" t="str">
            <v>54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FB73A-2563-4B39-A6A8-D7A7CF910F63}">
  <dimension ref="A1:Q63"/>
  <sheetViews>
    <sheetView workbookViewId="0">
      <selection sqref="A1:XFD1048576"/>
    </sheetView>
  </sheetViews>
  <sheetFormatPr baseColWidth="10" defaultColWidth="8.42578125" defaultRowHeight="12.75" x14ac:dyDescent="0.2"/>
  <cols>
    <col min="1" max="1" width="10" style="12" customWidth="1"/>
    <col min="2" max="2" width="44.140625" style="12" customWidth="1"/>
    <col min="3" max="4" width="10.42578125" style="12" customWidth="1"/>
    <col min="5" max="5" width="9.85546875" style="12" customWidth="1"/>
    <col min="6" max="6" width="9.5703125" style="12" customWidth="1"/>
    <col min="7" max="7" width="9.5703125" style="92" customWidth="1"/>
    <col min="8" max="8" width="10.42578125" style="91" customWidth="1"/>
    <col min="9" max="9" width="4.5703125" style="91" customWidth="1"/>
    <col min="10" max="10" width="1.85546875" style="11" customWidth="1"/>
    <col min="11" max="11" width="7" style="12" customWidth="1"/>
    <col min="12" max="12" width="6.140625" style="12" customWidth="1"/>
    <col min="13" max="13" width="20.42578125" style="12" customWidth="1"/>
    <col min="14" max="14" width="6.42578125" style="12" customWidth="1"/>
    <col min="15" max="16" width="8.42578125" style="12"/>
    <col min="17" max="17" width="3.140625" style="12" customWidth="1"/>
    <col min="18" max="16384" width="8.42578125" style="12"/>
  </cols>
  <sheetData>
    <row r="1" spans="1:12" ht="27.75" customHeight="1" x14ac:dyDescent="0.2">
      <c r="A1" s="7"/>
      <c r="B1" s="7"/>
      <c r="C1" s="7"/>
      <c r="D1" s="7"/>
      <c r="E1" s="8" t="s">
        <v>52</v>
      </c>
      <c r="F1" s="9" t="s">
        <v>53</v>
      </c>
      <c r="G1" s="9" t="s">
        <v>54</v>
      </c>
      <c r="H1" s="9" t="s">
        <v>55</v>
      </c>
      <c r="I1" s="10"/>
    </row>
    <row r="2" spans="1:12" ht="30.75" customHeight="1" x14ac:dyDescent="0.2">
      <c r="A2" s="7"/>
      <c r="B2" s="7"/>
      <c r="C2" s="7"/>
      <c r="D2" s="7"/>
      <c r="E2" s="13">
        <f>IFERROR(O36,"")</f>
        <v>1253.9205470763743</v>
      </c>
      <c r="F2" s="13">
        <f>IFERROR(H25,"")</f>
        <v>869.70131273881952</v>
      </c>
      <c r="G2" s="13">
        <f>IFERROR(H26,"")</f>
        <v>15.670688712015467</v>
      </c>
      <c r="H2" s="13">
        <f>IFERROR(H28,"")</f>
        <v>72.614729277244081</v>
      </c>
      <c r="I2" s="14"/>
    </row>
    <row r="3" spans="1:12" ht="15" customHeight="1" x14ac:dyDescent="0.2">
      <c r="A3" s="7"/>
      <c r="B3" s="7"/>
      <c r="C3" s="7"/>
      <c r="D3" s="7"/>
      <c r="E3" s="7"/>
      <c r="F3" s="15"/>
      <c r="G3" s="15"/>
      <c r="H3" s="15"/>
      <c r="I3" s="15"/>
    </row>
    <row r="4" spans="1:12" ht="24.75" customHeight="1" thickBot="1" x14ac:dyDescent="0.25">
      <c r="A4" s="202" t="s">
        <v>56</v>
      </c>
      <c r="B4" s="202"/>
      <c r="C4" s="202"/>
      <c r="D4" s="202"/>
      <c r="E4" s="202"/>
      <c r="F4" s="202"/>
      <c r="G4" s="202"/>
      <c r="H4" s="202"/>
      <c r="I4" s="16"/>
    </row>
    <row r="5" spans="1:12" ht="19.5" customHeight="1" thickBot="1" x14ac:dyDescent="0.25">
      <c r="A5" s="203" t="s">
        <v>57</v>
      </c>
      <c r="B5" s="204"/>
      <c r="C5" s="204"/>
      <c r="D5" s="204"/>
      <c r="E5" s="204"/>
      <c r="F5" s="204"/>
      <c r="G5" s="204"/>
      <c r="H5" s="205"/>
      <c r="I5" s="17"/>
    </row>
    <row r="6" spans="1:12" ht="19.5" thickBot="1" x14ac:dyDescent="0.25">
      <c r="A6" s="17"/>
      <c r="B6" s="17"/>
      <c r="C6" s="17"/>
      <c r="D6" s="17"/>
      <c r="E6" s="17"/>
      <c r="F6" s="206" t="s">
        <v>58</v>
      </c>
      <c r="G6" s="206"/>
      <c r="H6" s="18">
        <f ca="1">TODAY()</f>
        <v>45938</v>
      </c>
      <c r="I6" s="18"/>
    </row>
    <row r="7" spans="1:12" ht="26.25" thickBot="1" x14ac:dyDescent="0.25">
      <c r="A7" s="19" t="s">
        <v>59</v>
      </c>
      <c r="B7" s="20" t="s">
        <v>60</v>
      </c>
      <c r="C7" s="20" t="s">
        <v>59</v>
      </c>
      <c r="D7" s="21" t="s">
        <v>61</v>
      </c>
      <c r="E7" s="21" t="s">
        <v>62</v>
      </c>
      <c r="F7" s="21" t="s">
        <v>63</v>
      </c>
      <c r="G7" s="21" t="s">
        <v>64</v>
      </c>
      <c r="H7" s="22" t="s">
        <v>65</v>
      </c>
      <c r="I7" s="23"/>
      <c r="J7" s="24"/>
    </row>
    <row r="8" spans="1:12" ht="13.5" x14ac:dyDescent="0.25">
      <c r="A8" s="25">
        <v>1500</v>
      </c>
      <c r="B8" s="12" t="str">
        <f>IFERROR(VLOOKUP($H8,[1]SEMIELABORADOS!$A$2:$J$500,2,0),"")</f>
        <v>MEZCLA ENGRASE MOLDES (29800g)</v>
      </c>
      <c r="C8" s="26">
        <f>+A8</f>
        <v>1500</v>
      </c>
      <c r="D8" s="26" t="str">
        <f>IFERROR(VLOOKUP($H8,[1]SEMIELABORADOS!$A$2:$J$500,4,0),"")</f>
        <v>GRAMO</v>
      </c>
      <c r="E8" s="27">
        <f>IFERROR(VLOOKUP($H8,[1]SEMIELABORADOS!$A$2:$J$500,6,0),"")</f>
        <v>0.86845385906040262</v>
      </c>
      <c r="F8" s="27">
        <f>IFERROR(E8*C8,"")</f>
        <v>1302.6807885906039</v>
      </c>
      <c r="G8" s="28">
        <f>IFERROR(F8/$F$38,"")</f>
        <v>2.3209950440185822E-2</v>
      </c>
      <c r="H8" s="29" t="s">
        <v>66</v>
      </c>
      <c r="I8" s="29"/>
      <c r="J8" s="24"/>
    </row>
    <row r="9" spans="1:12" ht="13.5" x14ac:dyDescent="0.25">
      <c r="A9" s="25">
        <v>48100</v>
      </c>
      <c r="B9" s="12" t="str">
        <f>IFERROR(VLOOKUP($H9,[1]SEMIELABORADOS!$A$2:$J$500,2,0),"")</f>
        <v>BATIDO P/ROSQUETE CHOCOLATE BUCCA (11475g)</v>
      </c>
      <c r="C9" s="26">
        <f>+A9</f>
        <v>48100</v>
      </c>
      <c r="D9" s="26" t="str">
        <f>IFERROR(VLOOKUP($H9,[1]SEMIELABORADOS!$A$2:$J$500,4,0),"")</f>
        <v>GRAMO</v>
      </c>
      <c r="E9" s="27">
        <f>IFERROR(VLOOKUP($H9,[1]SEMIELABORADOS!$A$2:$J$500,6,0),"")</f>
        <v>1.0577837416993465</v>
      </c>
      <c r="F9" s="27">
        <f>IFERROR(E9*C9,"")</f>
        <v>50879.397975738568</v>
      </c>
      <c r="G9" s="28">
        <f>IFERROR(F9/$F$38,"")</f>
        <v>0.90652162508747147</v>
      </c>
      <c r="H9" s="29" t="s">
        <v>67</v>
      </c>
      <c r="I9" s="29"/>
      <c r="J9" s="24"/>
    </row>
    <row r="10" spans="1:12" ht="14.25" thickBot="1" x14ac:dyDescent="0.3">
      <c r="A10" s="25"/>
      <c r="C10" s="26"/>
      <c r="D10" s="26"/>
      <c r="E10" s="27"/>
      <c r="F10" s="27"/>
      <c r="G10" s="28"/>
      <c r="H10" s="29"/>
      <c r="I10" s="29"/>
      <c r="J10" s="24"/>
    </row>
    <row r="11" spans="1:12" ht="26.25" thickBot="1" x14ac:dyDescent="0.25">
      <c r="A11" s="19" t="s">
        <v>59</v>
      </c>
      <c r="B11" s="20" t="s">
        <v>49</v>
      </c>
      <c r="C11" s="20" t="s">
        <v>59</v>
      </c>
      <c r="D11" s="21" t="s">
        <v>61</v>
      </c>
      <c r="E11" s="21" t="s">
        <v>62</v>
      </c>
      <c r="F11" s="21" t="s">
        <v>63</v>
      </c>
      <c r="G11" s="21" t="s">
        <v>64</v>
      </c>
      <c r="H11" s="22" t="s">
        <v>65</v>
      </c>
      <c r="I11" s="23"/>
    </row>
    <row r="12" spans="1:12" ht="13.5" x14ac:dyDescent="0.25">
      <c r="A12" s="25">
        <v>15</v>
      </c>
      <c r="B12" s="30" t="str">
        <f>IFERROR(VLOOKUP($H12,'[1]EMP PLANTA'!$A$2:$F$500,2,0),"")</f>
        <v>BOLSA TRANSPARENTE 56X96X1.80</v>
      </c>
      <c r="C12" s="26">
        <f>+A12</f>
        <v>15</v>
      </c>
      <c r="D12" s="27" t="str">
        <f>IFERROR(VLOOKUP($H12,'[1]EMP PLANTA'!$A$2:$F$500,5,0),"")</f>
        <v>UND</v>
      </c>
      <c r="E12" s="27">
        <f>IFERROR(VLOOKUP($H12,'[1]EMP PLANTA'!$A$2:$F$500,6,0),"")</f>
        <v>50</v>
      </c>
      <c r="F12" s="27">
        <f>IFERROR(E12*C12,"")</f>
        <v>750</v>
      </c>
      <c r="G12" s="28">
        <f>IFERROR(F12/$F$38,"")</f>
        <v>1.336279999106523E-2</v>
      </c>
      <c r="H12" s="31" t="s">
        <v>50</v>
      </c>
      <c r="I12" s="31"/>
      <c r="J12" s="24"/>
      <c r="K12" s="201"/>
      <c r="L12" s="201"/>
    </row>
    <row r="13" spans="1:12" ht="13.5" x14ac:dyDescent="0.25">
      <c r="A13" s="25">
        <v>15</v>
      </c>
      <c r="B13" s="30" t="str">
        <f>IFERROR(VLOOKUP($H13,'[1]EMP PLANTA'!$A$2:$F$500,2,0),"")</f>
        <v>ETIQUETA BLANCA 2 5/8X1 15/16 PRE BLANCA</v>
      </c>
      <c r="C13" s="26">
        <f>+A13</f>
        <v>15</v>
      </c>
      <c r="D13" s="27" t="str">
        <f>IFERROR(VLOOKUP($H13,'[1]EMP PLANTA'!$A$2:$F$500,5,0),"")</f>
        <v>UND</v>
      </c>
      <c r="E13" s="27">
        <f>IFERROR(VLOOKUP($H13,'[1]EMP PLANTA'!$A$2:$F$500,6,0),"")</f>
        <v>2.2759999999999998</v>
      </c>
      <c r="F13" s="27">
        <f>IFERROR(E13*C13,"")</f>
        <v>34.14</v>
      </c>
      <c r="G13" s="28">
        <f>IFERROR(F13/$F$38,"")</f>
        <v>6.0827465559328919E-4</v>
      </c>
      <c r="H13" s="31" t="s">
        <v>51</v>
      </c>
      <c r="I13" s="31"/>
      <c r="J13" s="24"/>
      <c r="K13" s="201"/>
      <c r="L13" s="201"/>
    </row>
    <row r="14" spans="1:12" ht="13.5" x14ac:dyDescent="0.25">
      <c r="A14" s="25">
        <v>15</v>
      </c>
      <c r="B14" s="30" t="str">
        <f>IFERROR(VLOOKUP($H14,'[1]EMP PLANTA'!$A$2:$F$500,2,0),"")</f>
        <v>ETIQ.FECHA VENCIMIENTO BLANCO</v>
      </c>
      <c r="C14" s="26">
        <f>+A14</f>
        <v>15</v>
      </c>
      <c r="D14" s="27" t="str">
        <f>IFERROR(VLOOKUP($H14,'[1]EMP PLANTA'!$A$2:$F$500,5,0),"")</f>
        <v>UND</v>
      </c>
      <c r="E14" s="27">
        <f>IFERROR(VLOOKUP($H14,'[1]EMP PLANTA'!$A$2:$F$500,6,0),"")</f>
        <v>0.22877999999999998</v>
      </c>
      <c r="F14" s="27">
        <f>IFERROR(E14*C14,"")</f>
        <v>3.4316999999999998</v>
      </c>
      <c r="G14" s="28">
        <f>IFERROR(F14/$F$38,"")</f>
        <v>6.1142827639118052E-5</v>
      </c>
      <c r="H14" s="31" t="s">
        <v>43</v>
      </c>
      <c r="I14" s="31"/>
      <c r="J14" s="24"/>
      <c r="K14" s="201"/>
      <c r="L14" s="201"/>
    </row>
    <row r="15" spans="1:12" ht="14.25" thickBot="1" x14ac:dyDescent="0.3">
      <c r="A15" s="25"/>
      <c r="B15" s="30"/>
      <c r="C15" s="26"/>
      <c r="D15" s="27"/>
      <c r="E15" s="27"/>
      <c r="F15" s="27"/>
      <c r="G15" s="28"/>
      <c r="H15" s="31"/>
      <c r="I15" s="31"/>
      <c r="J15" s="24"/>
    </row>
    <row r="16" spans="1:12" ht="26.25" thickBot="1" x14ac:dyDescent="0.25">
      <c r="A16" s="19" t="s">
        <v>59</v>
      </c>
      <c r="B16" s="20" t="s">
        <v>68</v>
      </c>
      <c r="C16" s="20" t="s">
        <v>59</v>
      </c>
      <c r="D16" s="21" t="s">
        <v>61</v>
      </c>
      <c r="E16" s="21" t="s">
        <v>62</v>
      </c>
      <c r="F16" s="21" t="s">
        <v>63</v>
      </c>
      <c r="G16" s="21" t="s">
        <v>64</v>
      </c>
      <c r="H16" s="22" t="s">
        <v>65</v>
      </c>
      <c r="I16" s="23"/>
      <c r="J16" s="24"/>
    </row>
    <row r="17" spans="1:17" ht="13.5" x14ac:dyDescent="0.25">
      <c r="A17" s="25">
        <f>+A8</f>
        <v>1500</v>
      </c>
      <c r="B17" s="30" t="s">
        <v>69</v>
      </c>
      <c r="C17" s="26">
        <f>+A17</f>
        <v>1500</v>
      </c>
      <c r="D17" s="27" t="s">
        <v>70</v>
      </c>
      <c r="E17" s="27">
        <f>IFERROR(VLOOKUP($H17,[1]SEMIELABORADOS!$A$2:$J$500,8,0),"")</f>
        <v>1.1341300671140942E-2</v>
      </c>
      <c r="F17" s="27">
        <f>IFERROR(E17*C17,"")</f>
        <v>17.011951006711413</v>
      </c>
      <c r="G17" s="28">
        <f>IFERROR(F17/$F$37,"")</f>
        <v>8.6795668401588848E-3</v>
      </c>
      <c r="H17" s="31" t="s">
        <v>66</v>
      </c>
      <c r="I17" s="31"/>
      <c r="J17" s="24"/>
    </row>
    <row r="18" spans="1:17" ht="13.5" x14ac:dyDescent="0.25">
      <c r="A18" s="25">
        <f>+A9</f>
        <v>48100</v>
      </c>
      <c r="B18" s="30" t="s">
        <v>69</v>
      </c>
      <c r="C18" s="26">
        <f>+A18</f>
        <v>48100</v>
      </c>
      <c r="D18" s="27" t="s">
        <v>70</v>
      </c>
      <c r="E18" s="27">
        <f>IFERROR(VLOOKUP($H18,[1]SEMIELABORADOS!$A$2:$J$500,8,0),"")</f>
        <v>2.8203258152643771E-3</v>
      </c>
      <c r="F18" s="27">
        <f>IFERROR(E18*C18,"")</f>
        <v>135.65767171421655</v>
      </c>
      <c r="G18" s="28">
        <f>IFERROR(F18/$F$37,"")</f>
        <v>6.9213097813375785E-2</v>
      </c>
      <c r="H18" s="31" t="s">
        <v>67</v>
      </c>
      <c r="I18" s="31"/>
      <c r="J18" s="24"/>
    </row>
    <row r="19" spans="1:17" ht="14.25" thickBot="1" x14ac:dyDescent="0.3">
      <c r="A19" s="25"/>
      <c r="B19" s="30"/>
      <c r="C19" s="26"/>
      <c r="D19" s="27"/>
      <c r="E19" s="27"/>
      <c r="F19" s="27"/>
      <c r="G19" s="28"/>
      <c r="H19" s="31"/>
      <c r="I19" s="31"/>
      <c r="J19" s="24"/>
    </row>
    <row r="20" spans="1:17" ht="26.25" thickBot="1" x14ac:dyDescent="0.25">
      <c r="A20" s="19" t="s">
        <v>59</v>
      </c>
      <c r="B20" s="20" t="s">
        <v>71</v>
      </c>
      <c r="C20" s="20" t="s">
        <v>59</v>
      </c>
      <c r="D20" s="20"/>
      <c r="E20" s="21" t="s">
        <v>62</v>
      </c>
      <c r="F20" s="21" t="s">
        <v>63</v>
      </c>
      <c r="G20" s="21" t="s">
        <v>64</v>
      </c>
      <c r="H20" s="22" t="s">
        <v>65</v>
      </c>
      <c r="I20" s="23"/>
      <c r="J20" s="24"/>
    </row>
    <row r="21" spans="1:17" ht="13.5" x14ac:dyDescent="0.25">
      <c r="A21" s="25">
        <f>+A8</f>
        <v>1500</v>
      </c>
      <c r="B21" s="32" t="s">
        <v>72</v>
      </c>
      <c r="C21" s="26">
        <f>+A21</f>
        <v>1500</v>
      </c>
      <c r="D21" s="26" t="s">
        <v>70</v>
      </c>
      <c r="E21" s="27">
        <f>IFERROR(VLOOKUP($H21,[1]SEMIELABORADOS!$A$2:$J$500,10,0),"")</f>
        <v>5.5369127516778527E-2</v>
      </c>
      <c r="F21" s="27">
        <f>IFERROR(C21*E21,"")</f>
        <v>83.053691275167793</v>
      </c>
      <c r="G21" s="28">
        <f>IFERROR(F21/$F$38,"")</f>
        <v>1.4797731533729953E-3</v>
      </c>
      <c r="H21" s="33" t="s">
        <v>66</v>
      </c>
      <c r="I21" s="33"/>
      <c r="J21" s="24"/>
    </row>
    <row r="22" spans="1:17" ht="13.5" x14ac:dyDescent="0.25">
      <c r="A22" s="25">
        <f>+A9</f>
        <v>48100</v>
      </c>
      <c r="B22" s="32" t="s">
        <v>72</v>
      </c>
      <c r="C22" s="26">
        <f>+A22</f>
        <v>48100</v>
      </c>
      <c r="D22" s="26" t="s">
        <v>70</v>
      </c>
      <c r="E22" s="27">
        <f>IFERROR(VLOOKUP($H22,[1]SEMIELABORADOS!$A$2:$J$500,10,0),"")</f>
        <v>4.8104575163398694E-2</v>
      </c>
      <c r="F22" s="27">
        <f>IFERROR(C22*E22,"")</f>
        <v>2313.830065359477</v>
      </c>
      <c r="G22" s="28">
        <f>IFERROR(F22/$F$38,"")</f>
        <v>4.1225664502282773E-2</v>
      </c>
      <c r="H22" s="33" t="s">
        <v>67</v>
      </c>
      <c r="I22" s="33"/>
      <c r="J22" s="24"/>
    </row>
    <row r="23" spans="1:17" ht="13.5" x14ac:dyDescent="0.25">
      <c r="A23" s="25">
        <v>1</v>
      </c>
      <c r="B23" s="30" t="s">
        <v>73</v>
      </c>
      <c r="C23" s="26">
        <f>+A23</f>
        <v>1</v>
      </c>
      <c r="D23" s="26" t="s">
        <v>70</v>
      </c>
      <c r="E23" s="27">
        <f>+F37</f>
        <v>1960</v>
      </c>
      <c r="F23" s="27">
        <f>IFERROR(C23*E23,"")</f>
        <v>1960</v>
      </c>
      <c r="G23" s="28">
        <f>IFERROR(F23/$F$38,"")</f>
        <v>3.4921450643317128E-2</v>
      </c>
      <c r="H23" s="33"/>
      <c r="I23" s="33"/>
      <c r="J23" s="24"/>
    </row>
    <row r="24" spans="1:17" ht="14.25" thickBot="1" x14ac:dyDescent="0.3">
      <c r="A24" s="25"/>
      <c r="B24" s="30"/>
      <c r="C24" s="26"/>
      <c r="D24" s="26"/>
      <c r="E24" s="27"/>
      <c r="F24" s="27"/>
      <c r="G24" s="28"/>
      <c r="H24" s="33"/>
      <c r="I24" s="33"/>
      <c r="J24" s="24"/>
    </row>
    <row r="25" spans="1:17" ht="13.5" thickBot="1" x14ac:dyDescent="0.25">
      <c r="A25" s="34"/>
      <c r="B25" s="197" t="s">
        <v>74</v>
      </c>
      <c r="C25" s="197"/>
      <c r="D25" s="197"/>
      <c r="E25" s="197"/>
      <c r="F25" s="35">
        <f>SUM(F8:F9)</f>
        <v>52182.07876432917</v>
      </c>
      <c r="G25" s="28">
        <f>+F25/$F$38</f>
        <v>0.92973157552765717</v>
      </c>
      <c r="H25" s="36">
        <f>+F25/$D$32</f>
        <v>869.70131273881952</v>
      </c>
      <c r="I25" s="36"/>
      <c r="J25" s="37"/>
      <c r="K25" s="38"/>
      <c r="L25" s="38"/>
      <c r="M25" s="38"/>
      <c r="N25" s="38"/>
      <c r="O25" s="38"/>
      <c r="P25" s="38"/>
      <c r="Q25" s="39"/>
    </row>
    <row r="26" spans="1:17" x14ac:dyDescent="0.2">
      <c r="A26" s="34"/>
      <c r="B26" s="197" t="s">
        <v>75</v>
      </c>
      <c r="C26" s="197"/>
      <c r="D26" s="197"/>
      <c r="E26" s="197"/>
      <c r="F26" s="35">
        <f>SUM(F12:F14,F17:F18)</f>
        <v>940.241322720928</v>
      </c>
      <c r="G26" s="28">
        <f>+F26/$F$38</f>
        <v>1.6752342318472502E-2</v>
      </c>
      <c r="H26" s="36">
        <f>+F26/$D$32</f>
        <v>15.670688712015467</v>
      </c>
      <c r="I26" s="36"/>
      <c r="J26" s="40"/>
      <c r="K26" s="198" t="s">
        <v>76</v>
      </c>
      <c r="L26" s="199"/>
      <c r="M26" s="199"/>
      <c r="N26" s="199"/>
      <c r="O26" s="41">
        <f>+F27</f>
        <v>53122.320087050095</v>
      </c>
      <c r="P26" s="41"/>
      <c r="Q26" s="42"/>
    </row>
    <row r="27" spans="1:17" x14ac:dyDescent="0.2">
      <c r="A27" s="34"/>
      <c r="B27" s="197" t="s">
        <v>77</v>
      </c>
      <c r="C27" s="197"/>
      <c r="D27" s="197"/>
      <c r="E27" s="197"/>
      <c r="F27" s="35">
        <f>+F25+F26</f>
        <v>53122.320087050095</v>
      </c>
      <c r="G27" s="28">
        <f>+F27/$F$38</f>
        <v>0.94648391784612962</v>
      </c>
      <c r="H27" s="36">
        <f>+F27/$D$32</f>
        <v>885.37200145083489</v>
      </c>
      <c r="I27" s="36"/>
      <c r="J27" s="43"/>
      <c r="K27" s="44"/>
      <c r="L27" s="175" t="s">
        <v>78</v>
      </c>
      <c r="M27" s="175"/>
      <c r="N27" s="175"/>
      <c r="O27" s="41">
        <f>+F28</f>
        <v>4356.8837566346447</v>
      </c>
      <c r="P27" s="41"/>
      <c r="Q27" s="42"/>
    </row>
    <row r="28" spans="1:17" x14ac:dyDescent="0.2">
      <c r="A28" s="34"/>
      <c r="B28" s="45"/>
      <c r="C28" s="197" t="s">
        <v>79</v>
      </c>
      <c r="D28" s="197"/>
      <c r="E28" s="197"/>
      <c r="F28" s="35">
        <f>SUM(F21:F23)</f>
        <v>4356.8837566346447</v>
      </c>
      <c r="G28" s="28">
        <f>+F28/$F$38</f>
        <v>7.7626888298972893E-2</v>
      </c>
      <c r="H28" s="36">
        <f>+F28/$D$32</f>
        <v>72.614729277244081</v>
      </c>
      <c r="I28" s="36"/>
      <c r="J28" s="43"/>
      <c r="K28" s="44"/>
      <c r="L28" s="175" t="s">
        <v>80</v>
      </c>
      <c r="M28" s="175"/>
      <c r="N28" s="46">
        <v>0.02</v>
      </c>
      <c r="O28" s="41">
        <f>+(O26+O27)*N28</f>
        <v>1149.5840768736948</v>
      </c>
      <c r="P28" s="41"/>
      <c r="Q28" s="42"/>
    </row>
    <row r="29" spans="1:17" ht="13.5" thickBot="1" x14ac:dyDescent="0.25">
      <c r="A29" s="34"/>
      <c r="B29" s="47"/>
      <c r="C29" s="47"/>
      <c r="D29" s="47"/>
      <c r="E29" s="47"/>
      <c r="F29" s="48"/>
      <c r="G29" s="28"/>
      <c r="H29" s="49"/>
      <c r="I29" s="50"/>
      <c r="J29" s="43"/>
      <c r="K29" s="44"/>
      <c r="L29" s="175" t="s">
        <v>81</v>
      </c>
      <c r="M29" s="175"/>
      <c r="N29" s="46">
        <f>230%*0.85</f>
        <v>1.9549999999999998</v>
      </c>
      <c r="O29" s="41">
        <f>+O27*N29</f>
        <v>8517.7077442207301</v>
      </c>
      <c r="P29" s="41"/>
      <c r="Q29" s="42"/>
    </row>
    <row r="30" spans="1:17" ht="13.5" thickBot="1" x14ac:dyDescent="0.25">
      <c r="B30" s="200" t="s">
        <v>82</v>
      </c>
      <c r="C30" s="200"/>
      <c r="D30" s="51">
        <v>48000</v>
      </c>
      <c r="E30" s="52"/>
      <c r="G30" s="28"/>
      <c r="H30" s="49"/>
      <c r="I30" s="50"/>
      <c r="J30" s="43"/>
      <c r="K30" s="53"/>
      <c r="M30" s="54" t="s">
        <v>83</v>
      </c>
      <c r="N30" s="55"/>
      <c r="O30" s="56">
        <f>SUM(O26:O29)</f>
        <v>67146.495664779155</v>
      </c>
      <c r="P30" s="57"/>
      <c r="Q30" s="42"/>
    </row>
    <row r="31" spans="1:17" x14ac:dyDescent="0.2">
      <c r="B31" s="200" t="s">
        <v>84</v>
      </c>
      <c r="C31" s="200"/>
      <c r="D31" s="58">
        <v>800</v>
      </c>
      <c r="E31" s="52"/>
      <c r="G31" s="28"/>
      <c r="H31" s="49"/>
      <c r="I31" s="50"/>
      <c r="J31" s="43"/>
      <c r="K31" s="53"/>
      <c r="L31" s="175" t="s">
        <v>85</v>
      </c>
      <c r="M31" s="175"/>
      <c r="N31" s="59">
        <v>0.25</v>
      </c>
      <c r="O31" s="41">
        <f>+($O$27+$O$29)*N31</f>
        <v>3218.6478752138437</v>
      </c>
      <c r="P31" s="41"/>
      <c r="Q31" s="42"/>
    </row>
    <row r="32" spans="1:17" ht="13.5" thickBot="1" x14ac:dyDescent="0.25">
      <c r="B32" s="194" t="s">
        <v>86</v>
      </c>
      <c r="C32" s="194"/>
      <c r="D32" s="51">
        <f>+D30/D31</f>
        <v>60</v>
      </c>
      <c r="E32" s="52"/>
      <c r="F32" s="60"/>
      <c r="G32" s="28"/>
      <c r="H32" s="49"/>
      <c r="I32" s="50"/>
      <c r="J32" s="43"/>
      <c r="K32" s="53"/>
      <c r="L32" s="44"/>
      <c r="M32" s="44" t="s">
        <v>87</v>
      </c>
      <c r="N32" s="59">
        <v>0.1</v>
      </c>
      <c r="O32" s="41">
        <f>+($O$27+$O$29)*N32</f>
        <v>1287.4591500855377</v>
      </c>
      <c r="P32" s="41"/>
      <c r="Q32" s="42"/>
    </row>
    <row r="33" spans="2:17" ht="13.5" thickBot="1" x14ac:dyDescent="0.25">
      <c r="B33" s="194" t="s">
        <v>88</v>
      </c>
      <c r="C33" s="194"/>
      <c r="D33" s="61" t="s">
        <v>89</v>
      </c>
      <c r="E33" s="52"/>
      <c r="F33" s="60"/>
      <c r="G33" s="28"/>
      <c r="H33" s="49"/>
      <c r="I33" s="50"/>
      <c r="J33" s="43"/>
      <c r="K33" s="53"/>
      <c r="L33" s="195" t="s">
        <v>90</v>
      </c>
      <c r="M33" s="195"/>
      <c r="N33" s="196"/>
      <c r="O33" s="56">
        <f>SUM(O30:O32)</f>
        <v>71652.602690078536</v>
      </c>
      <c r="P33" s="57"/>
      <c r="Q33" s="42"/>
    </row>
    <row r="34" spans="2:17" ht="13.5" thickBot="1" x14ac:dyDescent="0.25">
      <c r="C34" s="34" t="s">
        <v>91</v>
      </c>
      <c r="D34" s="62"/>
      <c r="E34" s="10" t="s">
        <v>92</v>
      </c>
      <c r="F34" s="63" t="s">
        <v>93</v>
      </c>
      <c r="G34" s="28"/>
      <c r="H34" s="49"/>
      <c r="I34" s="50"/>
      <c r="J34" s="43"/>
      <c r="K34" s="53"/>
      <c r="L34" s="175" t="s">
        <v>94</v>
      </c>
      <c r="M34" s="175"/>
      <c r="N34" s="59">
        <v>0.05</v>
      </c>
      <c r="O34" s="41">
        <f>+O33*N34</f>
        <v>3582.6301345039269</v>
      </c>
      <c r="P34" s="41"/>
      <c r="Q34" s="42"/>
    </row>
    <row r="35" spans="2:17" ht="13.5" thickBot="1" x14ac:dyDescent="0.25">
      <c r="B35" s="176" t="s">
        <v>77</v>
      </c>
      <c r="C35" s="176"/>
      <c r="D35" s="176"/>
      <c r="E35" s="64">
        <f>+F35/F35</f>
        <v>1</v>
      </c>
      <c r="F35" s="65">
        <f>SUM(F27)</f>
        <v>53122.320087050095</v>
      </c>
      <c r="G35" s="28">
        <f>+F35/$F$38</f>
        <v>0.94648391784612962</v>
      </c>
      <c r="H35" s="49"/>
      <c r="I35" s="50"/>
      <c r="J35" s="43"/>
      <c r="K35" s="177" t="s">
        <v>95</v>
      </c>
      <c r="L35" s="178"/>
      <c r="M35" s="178"/>
      <c r="N35" s="179"/>
      <c r="O35" s="56">
        <f>SUM(O33:O34)</f>
        <v>75235.232824582461</v>
      </c>
      <c r="P35" s="66" t="s">
        <v>96</v>
      </c>
      <c r="Q35" s="42"/>
    </row>
    <row r="36" spans="2:17" ht="13.5" thickBot="1" x14ac:dyDescent="0.25">
      <c r="B36" s="180" t="s">
        <v>97</v>
      </c>
      <c r="C36" s="180"/>
      <c r="D36" s="180"/>
      <c r="E36" s="67">
        <v>0.02</v>
      </c>
      <c r="F36" s="65">
        <f>+F25*E36</f>
        <v>1043.6415752865835</v>
      </c>
      <c r="G36" s="28">
        <f>+F36/$F$38</f>
        <v>1.8594631510553145E-2</v>
      </c>
      <c r="H36" s="36"/>
      <c r="I36" s="36"/>
      <c r="J36" s="68"/>
      <c r="K36" s="69"/>
      <c r="L36" s="181" t="s">
        <v>98</v>
      </c>
      <c r="M36" s="181"/>
      <c r="N36" s="181"/>
      <c r="O36" s="70">
        <f>+O35/D32</f>
        <v>1253.9205470763743</v>
      </c>
      <c r="P36" s="71">
        <f>+O36/D31</f>
        <v>1.5674006838454679</v>
      </c>
      <c r="Q36" s="72"/>
    </row>
    <row r="37" spans="2:17" ht="13.5" thickBot="1" x14ac:dyDescent="0.25">
      <c r="B37" s="182" t="s">
        <v>99</v>
      </c>
      <c r="C37" s="183"/>
      <c r="D37" s="73">
        <v>35</v>
      </c>
      <c r="E37" s="74">
        <v>56</v>
      </c>
      <c r="F37" s="65">
        <f>+E37*D37</f>
        <v>1960</v>
      </c>
      <c r="G37" s="28">
        <f>+F37/$F$38</f>
        <v>3.4921450643317128E-2</v>
      </c>
      <c r="H37" s="36"/>
      <c r="I37" s="36"/>
      <c r="K37" s="184"/>
      <c r="L37" s="185"/>
      <c r="M37" s="185"/>
      <c r="N37" s="185"/>
      <c r="O37" s="75"/>
      <c r="P37" s="76"/>
    </row>
    <row r="38" spans="2:17" ht="13.5" thickBot="1" x14ac:dyDescent="0.25">
      <c r="B38" s="186" t="s">
        <v>100</v>
      </c>
      <c r="C38" s="187"/>
      <c r="D38" s="187"/>
      <c r="E38" s="188"/>
      <c r="F38" s="48">
        <f>SUM(F35:F37)</f>
        <v>56125.961662336682</v>
      </c>
      <c r="G38" s="28">
        <f>+F38/$F$38</f>
        <v>1</v>
      </c>
      <c r="H38" s="189"/>
      <c r="I38" s="77"/>
      <c r="J38" s="78"/>
      <c r="O38" s="79"/>
      <c r="P38" s="45"/>
    </row>
    <row r="39" spans="2:17" x14ac:dyDescent="0.2">
      <c r="C39" s="80"/>
      <c r="D39" s="80"/>
      <c r="E39" s="81"/>
      <c r="F39" s="65"/>
      <c r="G39" s="28"/>
      <c r="H39" s="189"/>
      <c r="I39" s="77"/>
      <c r="J39" s="24"/>
    </row>
    <row r="40" spans="2:17" ht="13.5" thickBot="1" x14ac:dyDescent="0.25">
      <c r="B40" s="190" t="s">
        <v>101</v>
      </c>
      <c r="C40" s="190"/>
      <c r="D40" s="190"/>
      <c r="E40" s="190"/>
      <c r="F40" s="190"/>
      <c r="G40" s="28"/>
      <c r="H40" s="82"/>
      <c r="I40" s="82"/>
      <c r="J40" s="24"/>
    </row>
    <row r="41" spans="2:17" ht="13.5" thickBot="1" x14ac:dyDescent="0.25">
      <c r="B41" s="83" t="s">
        <v>102</v>
      </c>
      <c r="C41" s="84">
        <f>+F25</f>
        <v>52182.07876432917</v>
      </c>
      <c r="D41" s="84">
        <f>+D30</f>
        <v>48000</v>
      </c>
      <c r="E41" s="85">
        <f>+C41/D41</f>
        <v>1.0871266409235243</v>
      </c>
      <c r="F41" s="28"/>
      <c r="G41" s="82"/>
      <c r="H41" s="24"/>
      <c r="I41" s="24"/>
      <c r="J41" s="12"/>
    </row>
    <row r="42" spans="2:17" x14ac:dyDescent="0.2">
      <c r="B42" s="86"/>
      <c r="C42" s="87"/>
      <c r="D42" s="88"/>
      <c r="E42" s="65"/>
      <c r="F42" s="28"/>
      <c r="G42" s="82"/>
      <c r="H42" s="24"/>
      <c r="I42" s="24"/>
      <c r="J42" s="12"/>
    </row>
    <row r="43" spans="2:17" x14ac:dyDescent="0.2">
      <c r="B43" s="83" t="s">
        <v>103</v>
      </c>
      <c r="C43" s="84">
        <f>SUM(F35:F36)</f>
        <v>54165.961662336682</v>
      </c>
      <c r="D43" s="84">
        <f>+D30</f>
        <v>48000</v>
      </c>
      <c r="E43" s="89">
        <f>+C43/D43</f>
        <v>1.1284575346320143</v>
      </c>
      <c r="F43" s="28"/>
      <c r="G43" s="82"/>
      <c r="H43" s="24"/>
      <c r="I43" s="24"/>
      <c r="J43" s="12"/>
    </row>
    <row r="44" spans="2:17" x14ac:dyDescent="0.2">
      <c r="B44" s="83"/>
      <c r="C44" s="84"/>
      <c r="D44" s="84"/>
      <c r="E44" s="89"/>
      <c r="F44" s="28"/>
      <c r="G44" s="82"/>
      <c r="H44" s="24"/>
      <c r="I44" s="24"/>
      <c r="J44" s="12"/>
    </row>
    <row r="45" spans="2:17" ht="13.5" thickBot="1" x14ac:dyDescent="0.25">
      <c r="B45" s="83" t="s">
        <v>104</v>
      </c>
      <c r="C45" s="84">
        <f>+F37</f>
        <v>1960</v>
      </c>
      <c r="D45" s="84">
        <f>+D30</f>
        <v>48000</v>
      </c>
      <c r="E45" s="89">
        <f>+C45/D45</f>
        <v>4.0833333333333333E-2</v>
      </c>
      <c r="F45" s="28"/>
      <c r="G45" s="82"/>
      <c r="H45" s="24"/>
      <c r="I45" s="24"/>
      <c r="J45" s="12"/>
    </row>
    <row r="46" spans="2:17" ht="13.5" thickBot="1" x14ac:dyDescent="0.25">
      <c r="B46" s="83" t="s">
        <v>105</v>
      </c>
      <c r="C46" s="84">
        <f>+F28</f>
        <v>4356.8837566346447</v>
      </c>
      <c r="D46" s="84">
        <f>+D45</f>
        <v>48000</v>
      </c>
      <c r="E46" s="85">
        <f>+C46/D46</f>
        <v>9.0768411596555104E-2</v>
      </c>
      <c r="F46" s="28"/>
      <c r="G46" s="82"/>
      <c r="H46" s="24"/>
      <c r="I46" s="24"/>
      <c r="J46" s="12"/>
    </row>
    <row r="47" spans="2:17" ht="13.5" thickBot="1" x14ac:dyDescent="0.25">
      <c r="B47" s="47"/>
      <c r="C47" s="48"/>
      <c r="D47" s="48"/>
      <c r="E47" s="89"/>
      <c r="F47" s="28"/>
      <c r="G47" s="82"/>
      <c r="H47" s="24"/>
      <c r="I47" s="24"/>
      <c r="J47" s="12"/>
    </row>
    <row r="48" spans="2:17" ht="13.5" thickBot="1" x14ac:dyDescent="0.25">
      <c r="B48" s="83" t="s">
        <v>106</v>
      </c>
      <c r="C48" s="84">
        <f>+F26</f>
        <v>940.241322720928</v>
      </c>
      <c r="D48" s="84">
        <f>+D46</f>
        <v>48000</v>
      </c>
      <c r="E48" s="85">
        <f>+C48/D48</f>
        <v>1.9588360890019332E-2</v>
      </c>
      <c r="F48" s="28"/>
      <c r="G48" s="82"/>
      <c r="H48" s="24"/>
      <c r="I48" s="24"/>
      <c r="J48" s="12"/>
    </row>
    <row r="49" spans="1:10" ht="13.5" thickBot="1" x14ac:dyDescent="0.25">
      <c r="B49" s="47"/>
      <c r="C49" s="48"/>
      <c r="D49" s="48"/>
      <c r="E49" s="89"/>
      <c r="F49" s="28"/>
      <c r="G49" s="82"/>
      <c r="H49" s="24"/>
      <c r="I49" s="24"/>
      <c r="J49" s="12"/>
    </row>
    <row r="50" spans="1:10" ht="13.5" thickBot="1" x14ac:dyDescent="0.25">
      <c r="B50" s="191" t="s">
        <v>107</v>
      </c>
      <c r="C50" s="192"/>
      <c r="D50" s="193"/>
      <c r="E50" s="85">
        <f>+E41+E46</f>
        <v>1.1778950525200793</v>
      </c>
      <c r="G50" s="28"/>
      <c r="H50" s="82"/>
      <c r="I50" s="82"/>
      <c r="J50" s="24"/>
    </row>
    <row r="52" spans="1:10" ht="13.5" thickBot="1" x14ac:dyDescent="0.25">
      <c r="B52" s="190" t="s">
        <v>108</v>
      </c>
      <c r="C52" s="190"/>
      <c r="D52" s="190"/>
      <c r="E52" s="190"/>
      <c r="F52" s="190"/>
      <c r="G52" s="28"/>
      <c r="H52" s="82"/>
      <c r="I52" s="82"/>
      <c r="J52" s="89"/>
    </row>
    <row r="53" spans="1:10" ht="13.5" thickBot="1" x14ac:dyDescent="0.25">
      <c r="B53" s="83" t="s">
        <v>102</v>
      </c>
      <c r="C53" s="84">
        <f>+C41</f>
        <v>52182.07876432917</v>
      </c>
      <c r="D53" s="84">
        <f>+D32</f>
        <v>60</v>
      </c>
      <c r="E53" s="85">
        <f>+C53/D53</f>
        <v>869.70131273881952</v>
      </c>
      <c r="F53" s="28"/>
      <c r="G53" s="82"/>
      <c r="H53" s="24"/>
      <c r="I53" s="24"/>
      <c r="J53" s="12"/>
    </row>
    <row r="54" spans="1:10" x14ac:dyDescent="0.2">
      <c r="B54" s="86"/>
      <c r="C54" s="87"/>
      <c r="D54" s="88"/>
      <c r="E54" s="65"/>
      <c r="F54" s="28"/>
      <c r="G54" s="82"/>
      <c r="H54" s="24"/>
      <c r="I54" s="24"/>
      <c r="J54" s="12"/>
    </row>
    <row r="55" spans="1:10" x14ac:dyDescent="0.2">
      <c r="B55" s="83" t="s">
        <v>103</v>
      </c>
      <c r="C55" s="84">
        <f>+C43</f>
        <v>54165.961662336682</v>
      </c>
      <c r="D55" s="84">
        <f>+D32</f>
        <v>60</v>
      </c>
      <c r="E55" s="89">
        <f>+C55/D55</f>
        <v>902.76602770561135</v>
      </c>
      <c r="F55" s="28"/>
      <c r="G55" s="82"/>
      <c r="H55" s="24"/>
      <c r="I55" s="24"/>
      <c r="J55" s="12"/>
    </row>
    <row r="56" spans="1:10" x14ac:dyDescent="0.2">
      <c r="B56" s="83"/>
      <c r="C56" s="84"/>
      <c r="D56" s="84"/>
      <c r="E56" s="89"/>
      <c r="F56" s="28"/>
      <c r="G56" s="82"/>
      <c r="H56" s="24"/>
      <c r="I56" s="24"/>
      <c r="J56" s="12"/>
    </row>
    <row r="57" spans="1:10" ht="13.5" thickBot="1" x14ac:dyDescent="0.25">
      <c r="B57" s="83" t="s">
        <v>105</v>
      </c>
      <c r="C57" s="84">
        <f>+C45</f>
        <v>1960</v>
      </c>
      <c r="D57" s="84">
        <f>+D32</f>
        <v>60</v>
      </c>
      <c r="E57" s="89">
        <f>+C57/D57</f>
        <v>32.666666666666664</v>
      </c>
      <c r="F57" s="90"/>
      <c r="G57" s="91"/>
      <c r="H57" s="11"/>
      <c r="I57" s="11"/>
      <c r="J57" s="12"/>
    </row>
    <row r="58" spans="1:10" ht="13.5" thickBot="1" x14ac:dyDescent="0.25">
      <c r="B58" s="83" t="s">
        <v>105</v>
      </c>
      <c r="C58" s="84">
        <f>+C46</f>
        <v>4356.8837566346447</v>
      </c>
      <c r="D58" s="84">
        <f>+D57</f>
        <v>60</v>
      </c>
      <c r="E58" s="85">
        <f>+C58/D58</f>
        <v>72.614729277244081</v>
      </c>
      <c r="F58" s="92"/>
      <c r="G58" s="91"/>
      <c r="H58" s="11"/>
      <c r="I58" s="11"/>
      <c r="J58" s="12"/>
    </row>
    <row r="60" spans="1:10" x14ac:dyDescent="0.2">
      <c r="A60" s="174"/>
      <c r="B60" s="174"/>
      <c r="C60" s="93"/>
      <c r="D60" s="93"/>
      <c r="E60" s="94"/>
      <c r="G60" s="95"/>
    </row>
    <row r="61" spans="1:10" x14ac:dyDescent="0.2">
      <c r="A61" s="30"/>
      <c r="B61" s="96"/>
      <c r="C61" s="97"/>
      <c r="D61" s="97"/>
      <c r="E61" s="98"/>
      <c r="G61" s="95"/>
    </row>
    <row r="62" spans="1:10" x14ac:dyDescent="0.2">
      <c r="A62" s="30"/>
      <c r="B62" s="96"/>
      <c r="C62" s="99"/>
      <c r="D62" s="99"/>
      <c r="E62" s="30"/>
      <c r="G62" s="95"/>
    </row>
    <row r="63" spans="1:10" x14ac:dyDescent="0.2">
      <c r="A63" s="30"/>
      <c r="B63" s="96"/>
      <c r="C63" s="100"/>
      <c r="D63" s="100"/>
      <c r="E63" s="30"/>
      <c r="G63" s="95"/>
    </row>
  </sheetData>
  <mergeCells count="33">
    <mergeCell ref="K14:L14"/>
    <mergeCell ref="A4:H4"/>
    <mergeCell ref="A5:H5"/>
    <mergeCell ref="F6:G6"/>
    <mergeCell ref="K12:L12"/>
    <mergeCell ref="K13:L13"/>
    <mergeCell ref="B33:C33"/>
    <mergeCell ref="L33:N33"/>
    <mergeCell ref="B25:E25"/>
    <mergeCell ref="B26:E26"/>
    <mergeCell ref="K26:N26"/>
    <mergeCell ref="B27:E27"/>
    <mergeCell ref="L27:N27"/>
    <mergeCell ref="C28:E28"/>
    <mergeCell ref="L28:M28"/>
    <mergeCell ref="L29:M29"/>
    <mergeCell ref="B30:C30"/>
    <mergeCell ref="B31:C31"/>
    <mergeCell ref="L31:M31"/>
    <mergeCell ref="B32:C32"/>
    <mergeCell ref="A60:B60"/>
    <mergeCell ref="L34:M34"/>
    <mergeCell ref="B35:D35"/>
    <mergeCell ref="K35:N35"/>
    <mergeCell ref="B36:D36"/>
    <mergeCell ref="L36:N36"/>
    <mergeCell ref="B37:C37"/>
    <mergeCell ref="K37:N37"/>
    <mergeCell ref="B38:E38"/>
    <mergeCell ref="H38:H39"/>
    <mergeCell ref="B40:F40"/>
    <mergeCell ref="B50:D50"/>
    <mergeCell ref="B52:F5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672B-8BC2-4E06-941F-3D874C46EBEA}">
  <sheetPr>
    <pageSetUpPr fitToPage="1"/>
  </sheetPr>
  <dimension ref="A1:I58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1" max="1" width="15" bestFit="1" customWidth="1"/>
    <col min="2" max="2" width="15.42578125" customWidth="1"/>
    <col min="3" max="3" width="71.140625" customWidth="1"/>
    <col min="4" max="4" width="21.42578125" customWidth="1"/>
    <col min="5" max="5" width="14.140625" customWidth="1"/>
    <col min="7" max="7" width="21.7109375" customWidth="1"/>
    <col min="8" max="8" width="15" customWidth="1"/>
    <col min="9" max="9" width="23.42578125" bestFit="1" customWidth="1"/>
  </cols>
  <sheetData>
    <row r="1" spans="1:9" ht="15.75" x14ac:dyDescent="0.25">
      <c r="A1" s="216"/>
      <c r="B1" s="217"/>
      <c r="C1" s="222" t="s">
        <v>19</v>
      </c>
      <c r="D1" s="222"/>
      <c r="E1" s="222"/>
      <c r="F1" s="222"/>
      <c r="G1" s="222"/>
      <c r="H1" s="1" t="s">
        <v>0</v>
      </c>
      <c r="I1" s="6" t="s">
        <v>195</v>
      </c>
    </row>
    <row r="2" spans="1:9" ht="16.5" thickBot="1" x14ac:dyDescent="0.3">
      <c r="A2" s="218"/>
      <c r="B2" s="219"/>
      <c r="C2" s="223" t="s">
        <v>1</v>
      </c>
      <c r="D2" s="223"/>
      <c r="E2" s="223"/>
      <c r="F2" s="223"/>
      <c r="G2" s="223"/>
      <c r="H2" s="2" t="s">
        <v>2</v>
      </c>
      <c r="I2" s="5" t="s">
        <v>199</v>
      </c>
    </row>
    <row r="3" spans="1:9" ht="33" customHeight="1" thickBot="1" x14ac:dyDescent="0.25">
      <c r="A3" s="218"/>
      <c r="B3" s="219"/>
      <c r="C3" s="251" t="s">
        <v>200</v>
      </c>
      <c r="D3" s="252"/>
      <c r="E3" s="252"/>
      <c r="F3" s="252"/>
      <c r="G3" s="253"/>
      <c r="H3" s="224" t="s">
        <v>3</v>
      </c>
      <c r="I3" s="207">
        <v>45609</v>
      </c>
    </row>
    <row r="4" spans="1:9" ht="13.5" x14ac:dyDescent="0.25">
      <c r="A4" s="218"/>
      <c r="B4" s="219"/>
      <c r="C4" s="3" t="s">
        <v>4</v>
      </c>
      <c r="D4" s="210" t="s">
        <v>48</v>
      </c>
      <c r="E4" s="211"/>
      <c r="F4" s="211"/>
      <c r="G4" s="212"/>
      <c r="H4" s="225"/>
      <c r="I4" s="208"/>
    </row>
    <row r="5" spans="1:9" ht="14.25" thickBot="1" x14ac:dyDescent="0.3">
      <c r="A5" s="220"/>
      <c r="B5" s="221"/>
      <c r="C5" s="4" t="s">
        <v>5</v>
      </c>
      <c r="D5" s="213" t="s">
        <v>148</v>
      </c>
      <c r="E5" s="214"/>
      <c r="F5" s="214"/>
      <c r="G5" s="215"/>
      <c r="H5" s="226"/>
      <c r="I5" s="209"/>
    </row>
    <row r="6" spans="1:9" ht="18.75" thickBot="1" x14ac:dyDescent="0.3">
      <c r="A6" s="227" t="s">
        <v>175</v>
      </c>
      <c r="B6" s="227"/>
      <c r="C6" s="227"/>
      <c r="D6" s="371" t="s">
        <v>176</v>
      </c>
      <c r="E6" s="371"/>
      <c r="F6" s="371"/>
      <c r="G6" s="228" t="s">
        <v>177</v>
      </c>
      <c r="H6" s="228"/>
      <c r="I6" s="372" t="s">
        <v>176</v>
      </c>
    </row>
    <row r="7" spans="1:9" x14ac:dyDescent="0.2">
      <c r="A7" s="229" t="s">
        <v>6</v>
      </c>
      <c r="B7" s="231" t="s">
        <v>161</v>
      </c>
      <c r="C7" s="233" t="s">
        <v>7</v>
      </c>
      <c r="D7" s="233" t="s">
        <v>8</v>
      </c>
      <c r="E7" s="233" t="s">
        <v>20</v>
      </c>
      <c r="F7" s="233"/>
      <c r="G7" s="233" t="s">
        <v>178</v>
      </c>
      <c r="H7" s="233"/>
      <c r="I7" s="170" t="s">
        <v>179</v>
      </c>
    </row>
    <row r="8" spans="1:9" ht="26.25" thickBot="1" x14ac:dyDescent="0.25">
      <c r="A8" s="230"/>
      <c r="B8" s="232"/>
      <c r="C8" s="234"/>
      <c r="D8" s="234"/>
      <c r="E8" s="171" t="s">
        <v>9</v>
      </c>
      <c r="F8" s="172" t="s">
        <v>10</v>
      </c>
      <c r="G8" s="171" t="s">
        <v>9</v>
      </c>
      <c r="H8" s="172" t="s">
        <v>10</v>
      </c>
      <c r="I8" s="173" t="s">
        <v>180</v>
      </c>
    </row>
    <row r="9" spans="1:9" ht="20.25" x14ac:dyDescent="0.3">
      <c r="A9" s="254"/>
      <c r="B9" s="255"/>
      <c r="C9" s="256" t="s">
        <v>181</v>
      </c>
      <c r="D9" s="257"/>
      <c r="E9" s="258"/>
      <c r="F9" s="259"/>
      <c r="G9" s="258"/>
      <c r="H9" s="259"/>
      <c r="I9" s="260"/>
    </row>
    <row r="10" spans="1:9" ht="20.25" x14ac:dyDescent="0.3">
      <c r="A10" s="261" t="s">
        <v>156</v>
      </c>
      <c r="B10" s="261" t="s">
        <v>160</v>
      </c>
      <c r="C10" s="262" t="s">
        <v>157</v>
      </c>
      <c r="D10" s="263" t="s">
        <v>31</v>
      </c>
      <c r="E10" s="264">
        <v>755</v>
      </c>
      <c r="F10" s="265" t="s">
        <v>11</v>
      </c>
      <c r="G10" s="266"/>
      <c r="H10" s="267"/>
      <c r="I10" s="260"/>
    </row>
    <row r="11" spans="1:9" ht="20.25" x14ac:dyDescent="0.3">
      <c r="A11" s="268">
        <v>11700002</v>
      </c>
      <c r="B11" s="268" t="s">
        <v>162</v>
      </c>
      <c r="C11" s="269" t="s">
        <v>33</v>
      </c>
      <c r="D11" s="263" t="s">
        <v>30</v>
      </c>
      <c r="E11" s="264">
        <v>285</v>
      </c>
      <c r="F11" s="265" t="s">
        <v>11</v>
      </c>
      <c r="G11" s="270"/>
      <c r="H11" s="267" t="s">
        <v>182</v>
      </c>
      <c r="I11" s="260"/>
    </row>
    <row r="12" spans="1:9" ht="20.25" x14ac:dyDescent="0.3">
      <c r="A12" s="271" t="s">
        <v>29</v>
      </c>
      <c r="B12" s="272" t="s">
        <v>163</v>
      </c>
      <c r="C12" s="273" t="s">
        <v>28</v>
      </c>
      <c r="D12" s="263" t="s">
        <v>31</v>
      </c>
      <c r="E12" s="264">
        <v>100</v>
      </c>
      <c r="F12" s="265" t="s">
        <v>11</v>
      </c>
      <c r="G12" s="270"/>
      <c r="H12" s="267"/>
      <c r="I12" s="260"/>
    </row>
    <row r="13" spans="1:9" ht="20.25" x14ac:dyDescent="0.3">
      <c r="A13" s="274">
        <v>11400027</v>
      </c>
      <c r="B13" s="274" t="s">
        <v>164</v>
      </c>
      <c r="C13" s="275" t="s">
        <v>158</v>
      </c>
      <c r="D13" s="263" t="s">
        <v>159</v>
      </c>
      <c r="E13" s="264">
        <v>20</v>
      </c>
      <c r="F13" s="265" t="s">
        <v>11</v>
      </c>
      <c r="G13" s="270"/>
      <c r="H13" s="267"/>
      <c r="I13" s="260"/>
    </row>
    <row r="14" spans="1:9" ht="20.25" x14ac:dyDescent="0.3">
      <c r="A14" s="276"/>
      <c r="B14" s="276" t="s">
        <v>196</v>
      </c>
      <c r="C14" s="277" t="s">
        <v>197</v>
      </c>
      <c r="D14" s="278"/>
      <c r="E14" s="264">
        <v>10</v>
      </c>
      <c r="F14" s="278" t="s">
        <v>11</v>
      </c>
      <c r="G14" s="270"/>
      <c r="H14" s="267"/>
      <c r="I14" s="260"/>
    </row>
    <row r="15" spans="1:9" ht="20.25" x14ac:dyDescent="0.3">
      <c r="A15" s="279"/>
      <c r="B15" s="280"/>
      <c r="C15" s="281"/>
      <c r="D15" s="276"/>
      <c r="E15" s="264"/>
      <c r="F15" s="265"/>
      <c r="G15" s="270"/>
      <c r="H15" s="267"/>
      <c r="I15" s="260"/>
    </row>
    <row r="16" spans="1:9" ht="20.25" x14ac:dyDescent="0.3">
      <c r="A16" s="279"/>
      <c r="B16" s="280"/>
      <c r="C16" s="281"/>
      <c r="D16" s="276"/>
      <c r="E16" s="264"/>
      <c r="F16" s="265"/>
      <c r="G16" s="270"/>
      <c r="H16" s="267"/>
      <c r="I16" s="260"/>
    </row>
    <row r="17" spans="1:9" ht="20.25" x14ac:dyDescent="0.3">
      <c r="A17" s="282"/>
      <c r="B17" s="282"/>
      <c r="C17" s="283"/>
      <c r="D17" s="284"/>
      <c r="E17" s="285"/>
      <c r="F17" s="286"/>
      <c r="G17" s="270"/>
      <c r="H17" s="267"/>
      <c r="I17" s="260"/>
    </row>
    <row r="18" spans="1:9" ht="20.25" x14ac:dyDescent="0.3">
      <c r="A18" s="276"/>
      <c r="B18" s="276"/>
      <c r="C18" s="277"/>
      <c r="D18" s="287"/>
      <c r="E18" s="288"/>
      <c r="F18" s="289"/>
      <c r="G18" s="290"/>
      <c r="H18" s="267"/>
      <c r="I18" s="260"/>
    </row>
    <row r="19" spans="1:9" ht="20.25" x14ac:dyDescent="0.3">
      <c r="A19" s="276"/>
      <c r="B19" s="276"/>
      <c r="C19" s="291"/>
      <c r="D19" s="292"/>
      <c r="E19" s="292"/>
      <c r="F19" s="293"/>
      <c r="G19" s="258"/>
      <c r="H19" s="294"/>
      <c r="I19" s="260"/>
    </row>
    <row r="20" spans="1:9" ht="20.25" x14ac:dyDescent="0.3">
      <c r="A20" s="295"/>
      <c r="B20" s="296"/>
      <c r="C20" s="297" t="s">
        <v>183</v>
      </c>
      <c r="D20" s="298" t="s">
        <v>184</v>
      </c>
      <c r="E20" s="299"/>
      <c r="F20" s="293"/>
      <c r="G20" s="258"/>
      <c r="H20" s="294"/>
      <c r="I20" s="260"/>
    </row>
    <row r="21" spans="1:9" ht="20.25" x14ac:dyDescent="0.3">
      <c r="A21" s="300"/>
      <c r="B21" s="276"/>
      <c r="C21" s="277"/>
      <c r="D21" s="276"/>
      <c r="E21" s="276"/>
      <c r="F21" s="276"/>
      <c r="G21" s="258"/>
      <c r="H21" s="294"/>
      <c r="I21" s="260"/>
    </row>
    <row r="22" spans="1:9" ht="20.25" x14ac:dyDescent="0.3">
      <c r="A22" s="300"/>
      <c r="B22" s="276"/>
      <c r="C22" s="277"/>
      <c r="D22" s="276"/>
      <c r="E22" s="276"/>
      <c r="F22" s="276"/>
      <c r="G22" s="258"/>
      <c r="H22" s="294"/>
      <c r="I22" s="260"/>
    </row>
    <row r="23" spans="1:9" ht="20.25" x14ac:dyDescent="0.3">
      <c r="A23" s="300"/>
      <c r="B23" s="276"/>
      <c r="C23" s="277"/>
      <c r="D23" s="276"/>
      <c r="E23" s="276"/>
      <c r="F23" s="276"/>
      <c r="G23" s="258"/>
      <c r="H23" s="294"/>
      <c r="I23" s="260"/>
    </row>
    <row r="24" spans="1:9" ht="20.25" x14ac:dyDescent="0.3">
      <c r="A24" s="276"/>
      <c r="B24" s="276"/>
      <c r="C24" s="291"/>
      <c r="D24" s="292"/>
      <c r="E24" s="298"/>
      <c r="F24" s="293"/>
      <c r="G24" s="258"/>
      <c r="H24" s="294"/>
      <c r="I24" s="260"/>
    </row>
    <row r="25" spans="1:9" ht="20.25" x14ac:dyDescent="0.3">
      <c r="A25" s="276"/>
      <c r="B25" s="276"/>
      <c r="C25" s="291"/>
      <c r="D25" s="263" t="s">
        <v>184</v>
      </c>
      <c r="E25" s="301"/>
      <c r="F25" s="302"/>
      <c r="G25" s="258"/>
      <c r="H25" s="294"/>
      <c r="I25" s="260"/>
    </row>
    <row r="26" spans="1:9" ht="20.25" x14ac:dyDescent="0.3">
      <c r="A26" s="303"/>
      <c r="B26" s="304"/>
      <c r="C26" s="305" t="s">
        <v>185</v>
      </c>
      <c r="D26" s="306" t="s">
        <v>184</v>
      </c>
      <c r="E26" s="258"/>
      <c r="F26" s="259"/>
      <c r="G26" s="258"/>
      <c r="H26" s="294"/>
      <c r="I26" s="260"/>
    </row>
    <row r="27" spans="1:9" ht="20.25" x14ac:dyDescent="0.3">
      <c r="A27" s="276">
        <v>51400015</v>
      </c>
      <c r="B27" s="276" t="s">
        <v>165</v>
      </c>
      <c r="C27" s="277" t="s">
        <v>35</v>
      </c>
      <c r="D27" s="276" t="s">
        <v>186</v>
      </c>
      <c r="E27" s="264">
        <v>1</v>
      </c>
      <c r="F27" s="307" t="s">
        <v>36</v>
      </c>
      <c r="G27" s="270"/>
      <c r="H27" s="294"/>
      <c r="I27" s="260"/>
    </row>
    <row r="28" spans="1:9" ht="20.25" x14ac:dyDescent="0.3">
      <c r="A28" s="276">
        <v>1950692</v>
      </c>
      <c r="B28" s="276" t="s">
        <v>166</v>
      </c>
      <c r="C28" s="277" t="s">
        <v>37</v>
      </c>
      <c r="D28" s="276" t="s">
        <v>187</v>
      </c>
      <c r="E28" s="264">
        <v>1</v>
      </c>
      <c r="F28" s="307" t="s">
        <v>36</v>
      </c>
      <c r="G28" s="308"/>
      <c r="H28" s="294"/>
      <c r="I28" s="260"/>
    </row>
    <row r="29" spans="1:9" ht="20.25" x14ac:dyDescent="0.3">
      <c r="A29" s="309" t="s">
        <v>38</v>
      </c>
      <c r="B29" s="309" t="s">
        <v>167</v>
      </c>
      <c r="C29" s="273" t="s">
        <v>39</v>
      </c>
      <c r="D29" s="276" t="s">
        <v>188</v>
      </c>
      <c r="E29" s="276">
        <v>2</v>
      </c>
      <c r="F29" s="307" t="s">
        <v>36</v>
      </c>
      <c r="G29" s="258"/>
      <c r="H29" s="294"/>
      <c r="I29" s="260"/>
    </row>
    <row r="30" spans="1:9" ht="20.25" x14ac:dyDescent="0.3">
      <c r="A30" s="268">
        <v>703020</v>
      </c>
      <c r="B30" s="276" t="s">
        <v>168</v>
      </c>
      <c r="C30" s="269" t="s">
        <v>41</v>
      </c>
      <c r="D30" s="276" t="s">
        <v>189</v>
      </c>
      <c r="E30" s="264">
        <v>30</v>
      </c>
      <c r="F30" s="265" t="s">
        <v>42</v>
      </c>
      <c r="G30" s="258"/>
      <c r="H30" s="294"/>
      <c r="I30" s="260"/>
    </row>
    <row r="31" spans="1:9" ht="20.25" x14ac:dyDescent="0.3">
      <c r="A31" s="271" t="s">
        <v>22</v>
      </c>
      <c r="B31" s="272" t="s">
        <v>169</v>
      </c>
      <c r="C31" s="273" t="s">
        <v>23</v>
      </c>
      <c r="D31" s="276" t="s">
        <v>190</v>
      </c>
      <c r="E31" s="264">
        <v>1</v>
      </c>
      <c r="F31" s="307" t="s">
        <v>36</v>
      </c>
      <c r="G31" s="258"/>
      <c r="H31" s="294"/>
      <c r="I31" s="260"/>
    </row>
    <row r="32" spans="1:9" ht="20.25" x14ac:dyDescent="0.3">
      <c r="A32" s="264">
        <v>701096</v>
      </c>
      <c r="B32" s="268" t="s">
        <v>173</v>
      </c>
      <c r="C32" s="277" t="s">
        <v>174</v>
      </c>
      <c r="D32" s="276" t="s">
        <v>190</v>
      </c>
      <c r="E32" s="264">
        <v>1</v>
      </c>
      <c r="F32" s="307" t="s">
        <v>36</v>
      </c>
      <c r="G32" s="310"/>
      <c r="H32" s="294"/>
      <c r="I32" s="260"/>
    </row>
    <row r="33" spans="1:9" ht="20.25" x14ac:dyDescent="0.3">
      <c r="A33" s="276">
        <v>702123</v>
      </c>
      <c r="B33" s="276" t="s">
        <v>170</v>
      </c>
      <c r="C33" s="277" t="s">
        <v>44</v>
      </c>
      <c r="D33" s="277" t="s">
        <v>184</v>
      </c>
      <c r="E33" s="264">
        <v>1</v>
      </c>
      <c r="F33" s="264" t="s">
        <v>36</v>
      </c>
      <c r="G33" s="292"/>
      <c r="H33" s="294"/>
      <c r="I33" s="260"/>
    </row>
    <row r="34" spans="1:9" ht="20.25" x14ac:dyDescent="0.3">
      <c r="A34" s="276">
        <v>1952871</v>
      </c>
      <c r="B34" s="276" t="s">
        <v>171</v>
      </c>
      <c r="C34" s="277" t="s">
        <v>46</v>
      </c>
      <c r="D34" s="277"/>
      <c r="E34" s="264">
        <v>1</v>
      </c>
      <c r="F34" s="264" t="s">
        <v>36</v>
      </c>
      <c r="G34" s="292"/>
      <c r="H34" s="294"/>
      <c r="I34" s="260"/>
    </row>
    <row r="35" spans="1:9" ht="20.25" x14ac:dyDescent="0.3">
      <c r="A35" s="276">
        <v>703020</v>
      </c>
      <c r="B35" s="268" t="s">
        <v>168</v>
      </c>
      <c r="C35" s="277" t="s">
        <v>41</v>
      </c>
      <c r="D35" s="276" t="s">
        <v>189</v>
      </c>
      <c r="E35" s="264">
        <v>100</v>
      </c>
      <c r="F35" s="265" t="s">
        <v>42</v>
      </c>
      <c r="G35" s="292"/>
      <c r="H35" s="298"/>
      <c r="I35" s="260"/>
    </row>
    <row r="36" spans="1:9" ht="20.25" x14ac:dyDescent="0.3">
      <c r="A36" s="295"/>
      <c r="B36" s="296"/>
      <c r="C36" s="311"/>
      <c r="D36" s="298"/>
      <c r="E36" s="298"/>
      <c r="F36" s="293"/>
      <c r="G36" s="298"/>
      <c r="H36" s="298"/>
      <c r="I36" s="260"/>
    </row>
    <row r="37" spans="1:9" ht="21" thickBot="1" x14ac:dyDescent="0.35">
      <c r="A37" s="312"/>
      <c r="B37" s="313"/>
      <c r="C37" s="314"/>
      <c r="D37" s="314"/>
      <c r="E37" s="315"/>
      <c r="F37" s="316"/>
      <c r="G37" s="314"/>
      <c r="H37" s="314"/>
      <c r="I37" s="317"/>
    </row>
    <row r="38" spans="1:9" ht="21" thickBot="1" x14ac:dyDescent="0.35">
      <c r="A38" s="318"/>
      <c r="B38" s="319"/>
      <c r="C38" s="320"/>
      <c r="D38" s="321" t="s">
        <v>9</v>
      </c>
      <c r="E38" s="322" t="s">
        <v>12</v>
      </c>
      <c r="F38" s="323"/>
      <c r="G38" s="320"/>
      <c r="H38" s="320"/>
      <c r="I38" s="324"/>
    </row>
    <row r="39" spans="1:9" ht="20.25" x14ac:dyDescent="0.3">
      <c r="A39" s="325" t="s">
        <v>13</v>
      </c>
      <c r="B39" s="326"/>
      <c r="C39" s="327"/>
      <c r="D39" s="328">
        <v>1100</v>
      </c>
      <c r="E39" s="329" t="s">
        <v>11</v>
      </c>
      <c r="F39" s="330" t="s">
        <v>191</v>
      </c>
      <c r="G39" s="330"/>
      <c r="H39" s="331"/>
      <c r="I39" s="332"/>
    </row>
    <row r="40" spans="1:9" ht="20.25" x14ac:dyDescent="0.3">
      <c r="A40" s="333" t="s">
        <v>14</v>
      </c>
      <c r="B40" s="334"/>
      <c r="C40" s="335"/>
      <c r="D40" s="284">
        <v>9</v>
      </c>
      <c r="E40" s="276" t="s">
        <v>146</v>
      </c>
      <c r="F40" s="336" t="s">
        <v>21</v>
      </c>
      <c r="G40" s="336"/>
      <c r="H40" s="337"/>
      <c r="I40" s="338"/>
    </row>
    <row r="41" spans="1:9" ht="20.25" x14ac:dyDescent="0.3">
      <c r="A41" s="333" t="s">
        <v>15</v>
      </c>
      <c r="B41" s="334"/>
      <c r="C41" s="335"/>
      <c r="D41" s="276">
        <v>1</v>
      </c>
      <c r="E41" s="276" t="s">
        <v>36</v>
      </c>
      <c r="F41" s="336" t="s">
        <v>192</v>
      </c>
      <c r="G41" s="336"/>
      <c r="H41" s="337"/>
      <c r="I41" s="338"/>
    </row>
    <row r="42" spans="1:9" ht="20.25" x14ac:dyDescent="0.3">
      <c r="A42" s="333" t="s">
        <v>16</v>
      </c>
      <c r="B42" s="334"/>
      <c r="C42" s="335"/>
      <c r="D42" s="276">
        <v>1100</v>
      </c>
      <c r="E42" s="276" t="s">
        <v>11</v>
      </c>
      <c r="F42" s="339" t="s">
        <v>193</v>
      </c>
      <c r="G42" s="340"/>
      <c r="H42" s="337"/>
      <c r="I42" s="338"/>
    </row>
    <row r="43" spans="1:9" ht="21" thickBot="1" x14ac:dyDescent="0.35">
      <c r="A43" s="341" t="s">
        <v>17</v>
      </c>
      <c r="B43" s="342"/>
      <c r="C43" s="343"/>
      <c r="D43" s="344">
        <v>70</v>
      </c>
      <c r="E43" s="345" t="s">
        <v>11</v>
      </c>
      <c r="F43" s="346"/>
      <c r="G43" s="346"/>
      <c r="H43" s="347"/>
      <c r="I43" s="348"/>
    </row>
    <row r="44" spans="1:9" ht="21" thickBot="1" x14ac:dyDescent="0.35">
      <c r="A44" s="363" t="s">
        <v>18</v>
      </c>
      <c r="B44" s="364"/>
      <c r="C44" s="364"/>
      <c r="D44" s="364"/>
      <c r="E44" s="364"/>
      <c r="F44" s="364"/>
      <c r="G44" s="364"/>
      <c r="H44" s="364"/>
      <c r="I44" s="365"/>
    </row>
    <row r="45" spans="1:9" ht="20.25" x14ac:dyDescent="0.3">
      <c r="A45" s="349" t="s">
        <v>27</v>
      </c>
      <c r="B45" s="350"/>
      <c r="C45" s="351"/>
      <c r="D45" s="351"/>
      <c r="E45" s="351"/>
      <c r="F45" s="351"/>
      <c r="G45" s="351"/>
      <c r="H45" s="351"/>
      <c r="I45" s="352"/>
    </row>
    <row r="46" spans="1:9" ht="20.25" x14ac:dyDescent="0.3">
      <c r="A46" s="349" t="s">
        <v>26</v>
      </c>
      <c r="B46" s="350"/>
      <c r="C46" s="351"/>
      <c r="D46" s="351"/>
      <c r="E46" s="351"/>
      <c r="F46" s="351"/>
      <c r="G46" s="351"/>
      <c r="H46" s="351"/>
      <c r="I46" s="352"/>
    </row>
    <row r="47" spans="1:9" ht="48.75" customHeight="1" x14ac:dyDescent="0.3">
      <c r="A47" s="353" t="s">
        <v>47</v>
      </c>
      <c r="B47" s="354"/>
      <c r="C47" s="354"/>
      <c r="D47" s="354"/>
      <c r="E47" s="354"/>
      <c r="F47" s="354"/>
      <c r="G47" s="354"/>
      <c r="H47" s="354"/>
      <c r="I47" s="355"/>
    </row>
    <row r="48" spans="1:9" ht="20.25" x14ac:dyDescent="0.3">
      <c r="A48" s="349" t="s">
        <v>172</v>
      </c>
      <c r="B48" s="350"/>
      <c r="C48" s="351"/>
      <c r="D48" s="351"/>
      <c r="E48" s="351"/>
      <c r="F48" s="351"/>
      <c r="G48" s="351"/>
      <c r="H48" s="351"/>
      <c r="I48" s="352"/>
    </row>
    <row r="49" spans="1:9" ht="20.25" x14ac:dyDescent="0.3">
      <c r="A49" s="356" t="s">
        <v>155</v>
      </c>
      <c r="B49" s="357"/>
      <c r="C49" s="357"/>
      <c r="D49" s="357"/>
      <c r="E49" s="357"/>
      <c r="F49" s="357"/>
      <c r="G49" s="357"/>
      <c r="H49" s="357"/>
      <c r="I49" s="358"/>
    </row>
    <row r="50" spans="1:9" ht="20.25" x14ac:dyDescent="0.3">
      <c r="A50" s="356" t="s">
        <v>25</v>
      </c>
      <c r="B50" s="357"/>
      <c r="C50" s="357"/>
      <c r="D50" s="357"/>
      <c r="E50" s="357"/>
      <c r="F50" s="357"/>
      <c r="G50" s="357"/>
      <c r="H50" s="357"/>
      <c r="I50" s="358"/>
    </row>
    <row r="51" spans="1:9" ht="20.25" x14ac:dyDescent="0.3">
      <c r="A51" s="349" t="s">
        <v>144</v>
      </c>
      <c r="B51" s="350"/>
      <c r="C51" s="351"/>
      <c r="D51" s="351"/>
      <c r="E51" s="351"/>
      <c r="F51" s="351"/>
      <c r="G51" s="351"/>
      <c r="H51" s="351"/>
      <c r="I51" s="352"/>
    </row>
    <row r="52" spans="1:9" ht="20.25" x14ac:dyDescent="0.3">
      <c r="A52" s="359" t="s">
        <v>145</v>
      </c>
      <c r="B52" s="360"/>
      <c r="C52" s="361"/>
      <c r="D52" s="361"/>
      <c r="E52" s="361"/>
      <c r="F52" s="361"/>
      <c r="G52" s="361"/>
      <c r="H52" s="361"/>
      <c r="I52" s="362"/>
    </row>
    <row r="53" spans="1:9" ht="18" customHeight="1" x14ac:dyDescent="0.3">
      <c r="A53" s="356"/>
      <c r="B53" s="357"/>
      <c r="C53" s="357"/>
      <c r="D53" s="357"/>
      <c r="E53" s="357"/>
      <c r="F53" s="357"/>
      <c r="G53" s="357"/>
      <c r="H53" s="357"/>
      <c r="I53" s="358"/>
    </row>
    <row r="54" spans="1:9" ht="20.25" x14ac:dyDescent="0.3">
      <c r="A54" s="361"/>
      <c r="B54" s="361"/>
      <c r="C54" s="361"/>
      <c r="D54" s="361"/>
      <c r="E54" s="361"/>
      <c r="F54" s="361"/>
      <c r="G54" s="361"/>
      <c r="H54" s="361"/>
      <c r="I54" s="361"/>
    </row>
    <row r="55" spans="1:9" ht="20.25" x14ac:dyDescent="0.3">
      <c r="A55" s="366"/>
      <c r="B55" s="367"/>
      <c r="C55" s="367"/>
      <c r="D55" s="367"/>
      <c r="E55" s="367"/>
      <c r="F55" s="367"/>
      <c r="G55" s="367"/>
      <c r="H55" s="367"/>
      <c r="I55" s="368"/>
    </row>
    <row r="56" spans="1:9" ht="20.25" x14ac:dyDescent="0.3">
      <c r="A56" s="369" t="s">
        <v>194</v>
      </c>
      <c r="B56" s="369"/>
      <c r="C56" s="369"/>
      <c r="D56" s="369"/>
      <c r="E56" s="369"/>
      <c r="F56" s="369"/>
      <c r="G56" s="369"/>
      <c r="H56" s="369"/>
      <c r="I56" s="369"/>
    </row>
    <row r="57" spans="1:9" ht="20.25" x14ac:dyDescent="0.3">
      <c r="A57" s="370" t="s">
        <v>198</v>
      </c>
      <c r="B57" s="370"/>
      <c r="C57" s="370"/>
      <c r="D57" s="370"/>
      <c r="E57" s="370"/>
      <c r="F57" s="370"/>
      <c r="G57" s="370"/>
      <c r="H57" s="370"/>
      <c r="I57" s="370"/>
    </row>
    <row r="58" spans="1:9" ht="20.25" x14ac:dyDescent="0.3">
      <c r="A58" s="370"/>
      <c r="B58" s="370"/>
      <c r="C58" s="370"/>
      <c r="D58" s="370"/>
      <c r="E58" s="370"/>
      <c r="F58" s="370"/>
      <c r="G58" s="370"/>
      <c r="H58" s="370"/>
      <c r="I58" s="370"/>
    </row>
  </sheetData>
  <mergeCells count="47">
    <mergeCell ref="A53:I53"/>
    <mergeCell ref="A55:I55"/>
    <mergeCell ref="A56:I56"/>
    <mergeCell ref="A57:I57"/>
    <mergeCell ref="A58:I58"/>
    <mergeCell ref="A54:I54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9B55-857F-4FB6-8AC0-BC5AAC424687}">
  <dimension ref="A1:Q100"/>
  <sheetViews>
    <sheetView topLeftCell="A51" workbookViewId="0">
      <selection activeCell="E10" sqref="E10"/>
    </sheetView>
  </sheetViews>
  <sheetFormatPr baseColWidth="10" defaultColWidth="8.42578125" defaultRowHeight="12.75" x14ac:dyDescent="0.2"/>
  <cols>
    <col min="1" max="1" width="10" style="12" bestFit="1" customWidth="1"/>
    <col min="2" max="2" width="44.140625" style="12" bestFit="1" customWidth="1"/>
    <col min="3" max="3" width="10.42578125" style="12" bestFit="1" customWidth="1"/>
    <col min="4" max="4" width="10.42578125" style="12" customWidth="1"/>
    <col min="5" max="5" width="9.85546875" style="12" bestFit="1" customWidth="1"/>
    <col min="6" max="6" width="9.5703125" style="12" bestFit="1" customWidth="1"/>
    <col min="7" max="7" width="9.5703125" style="111" bestFit="1" customWidth="1"/>
    <col min="8" max="8" width="10.42578125" style="91" bestFit="1" customWidth="1"/>
    <col min="9" max="9" width="4.5703125" style="91" customWidth="1"/>
    <col min="10" max="10" width="1.85546875" style="11" customWidth="1"/>
    <col min="11" max="11" width="7" style="12" bestFit="1" customWidth="1"/>
    <col min="12" max="12" width="6.140625" style="12" customWidth="1"/>
    <col min="13" max="13" width="20.42578125" style="12" customWidth="1"/>
    <col min="14" max="14" width="6.42578125" style="12" bestFit="1" customWidth="1"/>
    <col min="15" max="16" width="8.42578125" style="12"/>
    <col min="17" max="17" width="3.140625" style="12" customWidth="1"/>
    <col min="18" max="256" width="8.42578125" style="12"/>
    <col min="257" max="257" width="10" style="12" bestFit="1" customWidth="1"/>
    <col min="258" max="258" width="44.140625" style="12" bestFit="1" customWidth="1"/>
    <col min="259" max="259" width="10.42578125" style="12" bestFit="1" customWidth="1"/>
    <col min="260" max="260" width="10.42578125" style="12" customWidth="1"/>
    <col min="261" max="261" width="9.85546875" style="12" bestFit="1" customWidth="1"/>
    <col min="262" max="263" width="9.5703125" style="12" bestFit="1" customWidth="1"/>
    <col min="264" max="264" width="10.42578125" style="12" bestFit="1" customWidth="1"/>
    <col min="265" max="265" width="4.5703125" style="12" customWidth="1"/>
    <col min="266" max="266" width="1.85546875" style="12" customWidth="1"/>
    <col min="267" max="267" width="7" style="12" bestFit="1" customWidth="1"/>
    <col min="268" max="268" width="6.140625" style="12" customWidth="1"/>
    <col min="269" max="269" width="20.42578125" style="12" customWidth="1"/>
    <col min="270" max="270" width="6.42578125" style="12" bestFit="1" customWidth="1"/>
    <col min="271" max="272" width="8.42578125" style="12"/>
    <col min="273" max="273" width="3.140625" style="12" customWidth="1"/>
    <col min="274" max="512" width="8.42578125" style="12"/>
    <col min="513" max="513" width="10" style="12" bestFit="1" customWidth="1"/>
    <col min="514" max="514" width="44.140625" style="12" bestFit="1" customWidth="1"/>
    <col min="515" max="515" width="10.42578125" style="12" bestFit="1" customWidth="1"/>
    <col min="516" max="516" width="10.42578125" style="12" customWidth="1"/>
    <col min="517" max="517" width="9.85546875" style="12" bestFit="1" customWidth="1"/>
    <col min="518" max="519" width="9.5703125" style="12" bestFit="1" customWidth="1"/>
    <col min="520" max="520" width="10.42578125" style="12" bestFit="1" customWidth="1"/>
    <col min="521" max="521" width="4.5703125" style="12" customWidth="1"/>
    <col min="522" max="522" width="1.85546875" style="12" customWidth="1"/>
    <col min="523" max="523" width="7" style="12" bestFit="1" customWidth="1"/>
    <col min="524" max="524" width="6.140625" style="12" customWidth="1"/>
    <col min="525" max="525" width="20.42578125" style="12" customWidth="1"/>
    <col min="526" max="526" width="6.42578125" style="12" bestFit="1" customWidth="1"/>
    <col min="527" max="528" width="8.42578125" style="12"/>
    <col min="529" max="529" width="3.140625" style="12" customWidth="1"/>
    <col min="530" max="768" width="8.42578125" style="12"/>
    <col min="769" max="769" width="10" style="12" bestFit="1" customWidth="1"/>
    <col min="770" max="770" width="44.140625" style="12" bestFit="1" customWidth="1"/>
    <col min="771" max="771" width="10.42578125" style="12" bestFit="1" customWidth="1"/>
    <col min="772" max="772" width="10.42578125" style="12" customWidth="1"/>
    <col min="773" max="773" width="9.85546875" style="12" bestFit="1" customWidth="1"/>
    <col min="774" max="775" width="9.5703125" style="12" bestFit="1" customWidth="1"/>
    <col min="776" max="776" width="10.42578125" style="12" bestFit="1" customWidth="1"/>
    <col min="777" max="777" width="4.5703125" style="12" customWidth="1"/>
    <col min="778" max="778" width="1.85546875" style="12" customWidth="1"/>
    <col min="779" max="779" width="7" style="12" bestFit="1" customWidth="1"/>
    <col min="780" max="780" width="6.140625" style="12" customWidth="1"/>
    <col min="781" max="781" width="20.42578125" style="12" customWidth="1"/>
    <col min="782" max="782" width="6.42578125" style="12" bestFit="1" customWidth="1"/>
    <col min="783" max="784" width="8.42578125" style="12"/>
    <col min="785" max="785" width="3.140625" style="12" customWidth="1"/>
    <col min="786" max="1024" width="8.42578125" style="12"/>
    <col min="1025" max="1025" width="10" style="12" bestFit="1" customWidth="1"/>
    <col min="1026" max="1026" width="44.140625" style="12" bestFit="1" customWidth="1"/>
    <col min="1027" max="1027" width="10.42578125" style="12" bestFit="1" customWidth="1"/>
    <col min="1028" max="1028" width="10.42578125" style="12" customWidth="1"/>
    <col min="1029" max="1029" width="9.85546875" style="12" bestFit="1" customWidth="1"/>
    <col min="1030" max="1031" width="9.5703125" style="12" bestFit="1" customWidth="1"/>
    <col min="1032" max="1032" width="10.42578125" style="12" bestFit="1" customWidth="1"/>
    <col min="1033" max="1033" width="4.5703125" style="12" customWidth="1"/>
    <col min="1034" max="1034" width="1.85546875" style="12" customWidth="1"/>
    <col min="1035" max="1035" width="7" style="12" bestFit="1" customWidth="1"/>
    <col min="1036" max="1036" width="6.140625" style="12" customWidth="1"/>
    <col min="1037" max="1037" width="20.42578125" style="12" customWidth="1"/>
    <col min="1038" max="1038" width="6.42578125" style="12" bestFit="1" customWidth="1"/>
    <col min="1039" max="1040" width="8.42578125" style="12"/>
    <col min="1041" max="1041" width="3.140625" style="12" customWidth="1"/>
    <col min="1042" max="1280" width="8.42578125" style="12"/>
    <col min="1281" max="1281" width="10" style="12" bestFit="1" customWidth="1"/>
    <col min="1282" max="1282" width="44.140625" style="12" bestFit="1" customWidth="1"/>
    <col min="1283" max="1283" width="10.42578125" style="12" bestFit="1" customWidth="1"/>
    <col min="1284" max="1284" width="10.42578125" style="12" customWidth="1"/>
    <col min="1285" max="1285" width="9.85546875" style="12" bestFit="1" customWidth="1"/>
    <col min="1286" max="1287" width="9.5703125" style="12" bestFit="1" customWidth="1"/>
    <col min="1288" max="1288" width="10.42578125" style="12" bestFit="1" customWidth="1"/>
    <col min="1289" max="1289" width="4.5703125" style="12" customWidth="1"/>
    <col min="1290" max="1290" width="1.85546875" style="12" customWidth="1"/>
    <col min="1291" max="1291" width="7" style="12" bestFit="1" customWidth="1"/>
    <col min="1292" max="1292" width="6.140625" style="12" customWidth="1"/>
    <col min="1293" max="1293" width="20.42578125" style="12" customWidth="1"/>
    <col min="1294" max="1294" width="6.42578125" style="12" bestFit="1" customWidth="1"/>
    <col min="1295" max="1296" width="8.42578125" style="12"/>
    <col min="1297" max="1297" width="3.140625" style="12" customWidth="1"/>
    <col min="1298" max="1536" width="8.42578125" style="12"/>
    <col min="1537" max="1537" width="10" style="12" bestFit="1" customWidth="1"/>
    <col min="1538" max="1538" width="44.140625" style="12" bestFit="1" customWidth="1"/>
    <col min="1539" max="1539" width="10.42578125" style="12" bestFit="1" customWidth="1"/>
    <col min="1540" max="1540" width="10.42578125" style="12" customWidth="1"/>
    <col min="1541" max="1541" width="9.85546875" style="12" bestFit="1" customWidth="1"/>
    <col min="1542" max="1543" width="9.5703125" style="12" bestFit="1" customWidth="1"/>
    <col min="1544" max="1544" width="10.42578125" style="12" bestFit="1" customWidth="1"/>
    <col min="1545" max="1545" width="4.5703125" style="12" customWidth="1"/>
    <col min="1546" max="1546" width="1.85546875" style="12" customWidth="1"/>
    <col min="1547" max="1547" width="7" style="12" bestFit="1" customWidth="1"/>
    <col min="1548" max="1548" width="6.140625" style="12" customWidth="1"/>
    <col min="1549" max="1549" width="20.42578125" style="12" customWidth="1"/>
    <col min="1550" max="1550" width="6.42578125" style="12" bestFit="1" customWidth="1"/>
    <col min="1551" max="1552" width="8.42578125" style="12"/>
    <col min="1553" max="1553" width="3.140625" style="12" customWidth="1"/>
    <col min="1554" max="1792" width="8.42578125" style="12"/>
    <col min="1793" max="1793" width="10" style="12" bestFit="1" customWidth="1"/>
    <col min="1794" max="1794" width="44.140625" style="12" bestFit="1" customWidth="1"/>
    <col min="1795" max="1795" width="10.42578125" style="12" bestFit="1" customWidth="1"/>
    <col min="1796" max="1796" width="10.42578125" style="12" customWidth="1"/>
    <col min="1797" max="1797" width="9.85546875" style="12" bestFit="1" customWidth="1"/>
    <col min="1798" max="1799" width="9.5703125" style="12" bestFit="1" customWidth="1"/>
    <col min="1800" max="1800" width="10.42578125" style="12" bestFit="1" customWidth="1"/>
    <col min="1801" max="1801" width="4.5703125" style="12" customWidth="1"/>
    <col min="1802" max="1802" width="1.85546875" style="12" customWidth="1"/>
    <col min="1803" max="1803" width="7" style="12" bestFit="1" customWidth="1"/>
    <col min="1804" max="1804" width="6.140625" style="12" customWidth="1"/>
    <col min="1805" max="1805" width="20.42578125" style="12" customWidth="1"/>
    <col min="1806" max="1806" width="6.42578125" style="12" bestFit="1" customWidth="1"/>
    <col min="1807" max="1808" width="8.42578125" style="12"/>
    <col min="1809" max="1809" width="3.140625" style="12" customWidth="1"/>
    <col min="1810" max="2048" width="8.42578125" style="12"/>
    <col min="2049" max="2049" width="10" style="12" bestFit="1" customWidth="1"/>
    <col min="2050" max="2050" width="44.140625" style="12" bestFit="1" customWidth="1"/>
    <col min="2051" max="2051" width="10.42578125" style="12" bestFit="1" customWidth="1"/>
    <col min="2052" max="2052" width="10.42578125" style="12" customWidth="1"/>
    <col min="2053" max="2053" width="9.85546875" style="12" bestFit="1" customWidth="1"/>
    <col min="2054" max="2055" width="9.5703125" style="12" bestFit="1" customWidth="1"/>
    <col min="2056" max="2056" width="10.42578125" style="12" bestFit="1" customWidth="1"/>
    <col min="2057" max="2057" width="4.5703125" style="12" customWidth="1"/>
    <col min="2058" max="2058" width="1.85546875" style="12" customWidth="1"/>
    <col min="2059" max="2059" width="7" style="12" bestFit="1" customWidth="1"/>
    <col min="2060" max="2060" width="6.140625" style="12" customWidth="1"/>
    <col min="2061" max="2061" width="20.42578125" style="12" customWidth="1"/>
    <col min="2062" max="2062" width="6.42578125" style="12" bestFit="1" customWidth="1"/>
    <col min="2063" max="2064" width="8.42578125" style="12"/>
    <col min="2065" max="2065" width="3.140625" style="12" customWidth="1"/>
    <col min="2066" max="2304" width="8.42578125" style="12"/>
    <col min="2305" max="2305" width="10" style="12" bestFit="1" customWidth="1"/>
    <col min="2306" max="2306" width="44.140625" style="12" bestFit="1" customWidth="1"/>
    <col min="2307" max="2307" width="10.42578125" style="12" bestFit="1" customWidth="1"/>
    <col min="2308" max="2308" width="10.42578125" style="12" customWidth="1"/>
    <col min="2309" max="2309" width="9.85546875" style="12" bestFit="1" customWidth="1"/>
    <col min="2310" max="2311" width="9.5703125" style="12" bestFit="1" customWidth="1"/>
    <col min="2312" max="2312" width="10.42578125" style="12" bestFit="1" customWidth="1"/>
    <col min="2313" max="2313" width="4.5703125" style="12" customWidth="1"/>
    <col min="2314" max="2314" width="1.85546875" style="12" customWidth="1"/>
    <col min="2315" max="2315" width="7" style="12" bestFit="1" customWidth="1"/>
    <col min="2316" max="2316" width="6.140625" style="12" customWidth="1"/>
    <col min="2317" max="2317" width="20.42578125" style="12" customWidth="1"/>
    <col min="2318" max="2318" width="6.42578125" style="12" bestFit="1" customWidth="1"/>
    <col min="2319" max="2320" width="8.42578125" style="12"/>
    <col min="2321" max="2321" width="3.140625" style="12" customWidth="1"/>
    <col min="2322" max="2560" width="8.42578125" style="12"/>
    <col min="2561" max="2561" width="10" style="12" bestFit="1" customWidth="1"/>
    <col min="2562" max="2562" width="44.140625" style="12" bestFit="1" customWidth="1"/>
    <col min="2563" max="2563" width="10.42578125" style="12" bestFit="1" customWidth="1"/>
    <col min="2564" max="2564" width="10.42578125" style="12" customWidth="1"/>
    <col min="2565" max="2565" width="9.85546875" style="12" bestFit="1" customWidth="1"/>
    <col min="2566" max="2567" width="9.5703125" style="12" bestFit="1" customWidth="1"/>
    <col min="2568" max="2568" width="10.42578125" style="12" bestFit="1" customWidth="1"/>
    <col min="2569" max="2569" width="4.5703125" style="12" customWidth="1"/>
    <col min="2570" max="2570" width="1.85546875" style="12" customWidth="1"/>
    <col min="2571" max="2571" width="7" style="12" bestFit="1" customWidth="1"/>
    <col min="2572" max="2572" width="6.140625" style="12" customWidth="1"/>
    <col min="2573" max="2573" width="20.42578125" style="12" customWidth="1"/>
    <col min="2574" max="2574" width="6.42578125" style="12" bestFit="1" customWidth="1"/>
    <col min="2575" max="2576" width="8.42578125" style="12"/>
    <col min="2577" max="2577" width="3.140625" style="12" customWidth="1"/>
    <col min="2578" max="2816" width="8.42578125" style="12"/>
    <col min="2817" max="2817" width="10" style="12" bestFit="1" customWidth="1"/>
    <col min="2818" max="2818" width="44.140625" style="12" bestFit="1" customWidth="1"/>
    <col min="2819" max="2819" width="10.42578125" style="12" bestFit="1" customWidth="1"/>
    <col min="2820" max="2820" width="10.42578125" style="12" customWidth="1"/>
    <col min="2821" max="2821" width="9.85546875" style="12" bestFit="1" customWidth="1"/>
    <col min="2822" max="2823" width="9.5703125" style="12" bestFit="1" customWidth="1"/>
    <col min="2824" max="2824" width="10.42578125" style="12" bestFit="1" customWidth="1"/>
    <col min="2825" max="2825" width="4.5703125" style="12" customWidth="1"/>
    <col min="2826" max="2826" width="1.85546875" style="12" customWidth="1"/>
    <col min="2827" max="2827" width="7" style="12" bestFit="1" customWidth="1"/>
    <col min="2828" max="2828" width="6.140625" style="12" customWidth="1"/>
    <col min="2829" max="2829" width="20.42578125" style="12" customWidth="1"/>
    <col min="2830" max="2830" width="6.42578125" style="12" bestFit="1" customWidth="1"/>
    <col min="2831" max="2832" width="8.42578125" style="12"/>
    <col min="2833" max="2833" width="3.140625" style="12" customWidth="1"/>
    <col min="2834" max="3072" width="8.42578125" style="12"/>
    <col min="3073" max="3073" width="10" style="12" bestFit="1" customWidth="1"/>
    <col min="3074" max="3074" width="44.140625" style="12" bestFit="1" customWidth="1"/>
    <col min="3075" max="3075" width="10.42578125" style="12" bestFit="1" customWidth="1"/>
    <col min="3076" max="3076" width="10.42578125" style="12" customWidth="1"/>
    <col min="3077" max="3077" width="9.85546875" style="12" bestFit="1" customWidth="1"/>
    <col min="3078" max="3079" width="9.5703125" style="12" bestFit="1" customWidth="1"/>
    <col min="3080" max="3080" width="10.42578125" style="12" bestFit="1" customWidth="1"/>
    <col min="3081" max="3081" width="4.5703125" style="12" customWidth="1"/>
    <col min="3082" max="3082" width="1.85546875" style="12" customWidth="1"/>
    <col min="3083" max="3083" width="7" style="12" bestFit="1" customWidth="1"/>
    <col min="3084" max="3084" width="6.140625" style="12" customWidth="1"/>
    <col min="3085" max="3085" width="20.42578125" style="12" customWidth="1"/>
    <col min="3086" max="3086" width="6.42578125" style="12" bestFit="1" customWidth="1"/>
    <col min="3087" max="3088" width="8.42578125" style="12"/>
    <col min="3089" max="3089" width="3.140625" style="12" customWidth="1"/>
    <col min="3090" max="3328" width="8.42578125" style="12"/>
    <col min="3329" max="3329" width="10" style="12" bestFit="1" customWidth="1"/>
    <col min="3330" max="3330" width="44.140625" style="12" bestFit="1" customWidth="1"/>
    <col min="3331" max="3331" width="10.42578125" style="12" bestFit="1" customWidth="1"/>
    <col min="3332" max="3332" width="10.42578125" style="12" customWidth="1"/>
    <col min="3333" max="3333" width="9.85546875" style="12" bestFit="1" customWidth="1"/>
    <col min="3334" max="3335" width="9.5703125" style="12" bestFit="1" customWidth="1"/>
    <col min="3336" max="3336" width="10.42578125" style="12" bestFit="1" customWidth="1"/>
    <col min="3337" max="3337" width="4.5703125" style="12" customWidth="1"/>
    <col min="3338" max="3338" width="1.85546875" style="12" customWidth="1"/>
    <col min="3339" max="3339" width="7" style="12" bestFit="1" customWidth="1"/>
    <col min="3340" max="3340" width="6.140625" style="12" customWidth="1"/>
    <col min="3341" max="3341" width="20.42578125" style="12" customWidth="1"/>
    <col min="3342" max="3342" width="6.42578125" style="12" bestFit="1" customWidth="1"/>
    <col min="3343" max="3344" width="8.42578125" style="12"/>
    <col min="3345" max="3345" width="3.140625" style="12" customWidth="1"/>
    <col min="3346" max="3584" width="8.42578125" style="12"/>
    <col min="3585" max="3585" width="10" style="12" bestFit="1" customWidth="1"/>
    <col min="3586" max="3586" width="44.140625" style="12" bestFit="1" customWidth="1"/>
    <col min="3587" max="3587" width="10.42578125" style="12" bestFit="1" customWidth="1"/>
    <col min="3588" max="3588" width="10.42578125" style="12" customWidth="1"/>
    <col min="3589" max="3589" width="9.85546875" style="12" bestFit="1" customWidth="1"/>
    <col min="3590" max="3591" width="9.5703125" style="12" bestFit="1" customWidth="1"/>
    <col min="3592" max="3592" width="10.42578125" style="12" bestFit="1" customWidth="1"/>
    <col min="3593" max="3593" width="4.5703125" style="12" customWidth="1"/>
    <col min="3594" max="3594" width="1.85546875" style="12" customWidth="1"/>
    <col min="3595" max="3595" width="7" style="12" bestFit="1" customWidth="1"/>
    <col min="3596" max="3596" width="6.140625" style="12" customWidth="1"/>
    <col min="3597" max="3597" width="20.42578125" style="12" customWidth="1"/>
    <col min="3598" max="3598" width="6.42578125" style="12" bestFit="1" customWidth="1"/>
    <col min="3599" max="3600" width="8.42578125" style="12"/>
    <col min="3601" max="3601" width="3.140625" style="12" customWidth="1"/>
    <col min="3602" max="3840" width="8.42578125" style="12"/>
    <col min="3841" max="3841" width="10" style="12" bestFit="1" customWidth="1"/>
    <col min="3842" max="3842" width="44.140625" style="12" bestFit="1" customWidth="1"/>
    <col min="3843" max="3843" width="10.42578125" style="12" bestFit="1" customWidth="1"/>
    <col min="3844" max="3844" width="10.42578125" style="12" customWidth="1"/>
    <col min="3845" max="3845" width="9.85546875" style="12" bestFit="1" customWidth="1"/>
    <col min="3846" max="3847" width="9.5703125" style="12" bestFit="1" customWidth="1"/>
    <col min="3848" max="3848" width="10.42578125" style="12" bestFit="1" customWidth="1"/>
    <col min="3849" max="3849" width="4.5703125" style="12" customWidth="1"/>
    <col min="3850" max="3850" width="1.85546875" style="12" customWidth="1"/>
    <col min="3851" max="3851" width="7" style="12" bestFit="1" customWidth="1"/>
    <col min="3852" max="3852" width="6.140625" style="12" customWidth="1"/>
    <col min="3853" max="3853" width="20.42578125" style="12" customWidth="1"/>
    <col min="3854" max="3854" width="6.42578125" style="12" bestFit="1" customWidth="1"/>
    <col min="3855" max="3856" width="8.42578125" style="12"/>
    <col min="3857" max="3857" width="3.140625" style="12" customWidth="1"/>
    <col min="3858" max="4096" width="8.42578125" style="12"/>
    <col min="4097" max="4097" width="10" style="12" bestFit="1" customWidth="1"/>
    <col min="4098" max="4098" width="44.140625" style="12" bestFit="1" customWidth="1"/>
    <col min="4099" max="4099" width="10.42578125" style="12" bestFit="1" customWidth="1"/>
    <col min="4100" max="4100" width="10.42578125" style="12" customWidth="1"/>
    <col min="4101" max="4101" width="9.85546875" style="12" bestFit="1" customWidth="1"/>
    <col min="4102" max="4103" width="9.5703125" style="12" bestFit="1" customWidth="1"/>
    <col min="4104" max="4104" width="10.42578125" style="12" bestFit="1" customWidth="1"/>
    <col min="4105" max="4105" width="4.5703125" style="12" customWidth="1"/>
    <col min="4106" max="4106" width="1.85546875" style="12" customWidth="1"/>
    <col min="4107" max="4107" width="7" style="12" bestFit="1" customWidth="1"/>
    <col min="4108" max="4108" width="6.140625" style="12" customWidth="1"/>
    <col min="4109" max="4109" width="20.42578125" style="12" customWidth="1"/>
    <col min="4110" max="4110" width="6.42578125" style="12" bestFit="1" customWidth="1"/>
    <col min="4111" max="4112" width="8.42578125" style="12"/>
    <col min="4113" max="4113" width="3.140625" style="12" customWidth="1"/>
    <col min="4114" max="4352" width="8.42578125" style="12"/>
    <col min="4353" max="4353" width="10" style="12" bestFit="1" customWidth="1"/>
    <col min="4354" max="4354" width="44.140625" style="12" bestFit="1" customWidth="1"/>
    <col min="4355" max="4355" width="10.42578125" style="12" bestFit="1" customWidth="1"/>
    <col min="4356" max="4356" width="10.42578125" style="12" customWidth="1"/>
    <col min="4357" max="4357" width="9.85546875" style="12" bestFit="1" customWidth="1"/>
    <col min="4358" max="4359" width="9.5703125" style="12" bestFit="1" customWidth="1"/>
    <col min="4360" max="4360" width="10.42578125" style="12" bestFit="1" customWidth="1"/>
    <col min="4361" max="4361" width="4.5703125" style="12" customWidth="1"/>
    <col min="4362" max="4362" width="1.85546875" style="12" customWidth="1"/>
    <col min="4363" max="4363" width="7" style="12" bestFit="1" customWidth="1"/>
    <col min="4364" max="4364" width="6.140625" style="12" customWidth="1"/>
    <col min="4365" max="4365" width="20.42578125" style="12" customWidth="1"/>
    <col min="4366" max="4366" width="6.42578125" style="12" bestFit="1" customWidth="1"/>
    <col min="4367" max="4368" width="8.42578125" style="12"/>
    <col min="4369" max="4369" width="3.140625" style="12" customWidth="1"/>
    <col min="4370" max="4608" width="8.42578125" style="12"/>
    <col min="4609" max="4609" width="10" style="12" bestFit="1" customWidth="1"/>
    <col min="4610" max="4610" width="44.140625" style="12" bestFit="1" customWidth="1"/>
    <col min="4611" max="4611" width="10.42578125" style="12" bestFit="1" customWidth="1"/>
    <col min="4612" max="4612" width="10.42578125" style="12" customWidth="1"/>
    <col min="4613" max="4613" width="9.85546875" style="12" bestFit="1" customWidth="1"/>
    <col min="4614" max="4615" width="9.5703125" style="12" bestFit="1" customWidth="1"/>
    <col min="4616" max="4616" width="10.42578125" style="12" bestFit="1" customWidth="1"/>
    <col min="4617" max="4617" width="4.5703125" style="12" customWidth="1"/>
    <col min="4618" max="4618" width="1.85546875" style="12" customWidth="1"/>
    <col min="4619" max="4619" width="7" style="12" bestFit="1" customWidth="1"/>
    <col min="4620" max="4620" width="6.140625" style="12" customWidth="1"/>
    <col min="4621" max="4621" width="20.42578125" style="12" customWidth="1"/>
    <col min="4622" max="4622" width="6.42578125" style="12" bestFit="1" customWidth="1"/>
    <col min="4623" max="4624" width="8.42578125" style="12"/>
    <col min="4625" max="4625" width="3.140625" style="12" customWidth="1"/>
    <col min="4626" max="4864" width="8.42578125" style="12"/>
    <col min="4865" max="4865" width="10" style="12" bestFit="1" customWidth="1"/>
    <col min="4866" max="4866" width="44.140625" style="12" bestFit="1" customWidth="1"/>
    <col min="4867" max="4867" width="10.42578125" style="12" bestFit="1" customWidth="1"/>
    <col min="4868" max="4868" width="10.42578125" style="12" customWidth="1"/>
    <col min="4869" max="4869" width="9.85546875" style="12" bestFit="1" customWidth="1"/>
    <col min="4870" max="4871" width="9.5703125" style="12" bestFit="1" customWidth="1"/>
    <col min="4872" max="4872" width="10.42578125" style="12" bestFit="1" customWidth="1"/>
    <col min="4873" max="4873" width="4.5703125" style="12" customWidth="1"/>
    <col min="4874" max="4874" width="1.85546875" style="12" customWidth="1"/>
    <col min="4875" max="4875" width="7" style="12" bestFit="1" customWidth="1"/>
    <col min="4876" max="4876" width="6.140625" style="12" customWidth="1"/>
    <col min="4877" max="4877" width="20.42578125" style="12" customWidth="1"/>
    <col min="4878" max="4878" width="6.42578125" style="12" bestFit="1" customWidth="1"/>
    <col min="4879" max="4880" width="8.42578125" style="12"/>
    <col min="4881" max="4881" width="3.140625" style="12" customWidth="1"/>
    <col min="4882" max="5120" width="8.42578125" style="12"/>
    <col min="5121" max="5121" width="10" style="12" bestFit="1" customWidth="1"/>
    <col min="5122" max="5122" width="44.140625" style="12" bestFit="1" customWidth="1"/>
    <col min="5123" max="5123" width="10.42578125" style="12" bestFit="1" customWidth="1"/>
    <col min="5124" max="5124" width="10.42578125" style="12" customWidth="1"/>
    <col min="5125" max="5125" width="9.85546875" style="12" bestFit="1" customWidth="1"/>
    <col min="5126" max="5127" width="9.5703125" style="12" bestFit="1" customWidth="1"/>
    <col min="5128" max="5128" width="10.42578125" style="12" bestFit="1" customWidth="1"/>
    <col min="5129" max="5129" width="4.5703125" style="12" customWidth="1"/>
    <col min="5130" max="5130" width="1.85546875" style="12" customWidth="1"/>
    <col min="5131" max="5131" width="7" style="12" bestFit="1" customWidth="1"/>
    <col min="5132" max="5132" width="6.140625" style="12" customWidth="1"/>
    <col min="5133" max="5133" width="20.42578125" style="12" customWidth="1"/>
    <col min="5134" max="5134" width="6.42578125" style="12" bestFit="1" customWidth="1"/>
    <col min="5135" max="5136" width="8.42578125" style="12"/>
    <col min="5137" max="5137" width="3.140625" style="12" customWidth="1"/>
    <col min="5138" max="5376" width="8.42578125" style="12"/>
    <col min="5377" max="5377" width="10" style="12" bestFit="1" customWidth="1"/>
    <col min="5378" max="5378" width="44.140625" style="12" bestFit="1" customWidth="1"/>
    <col min="5379" max="5379" width="10.42578125" style="12" bestFit="1" customWidth="1"/>
    <col min="5380" max="5380" width="10.42578125" style="12" customWidth="1"/>
    <col min="5381" max="5381" width="9.85546875" style="12" bestFit="1" customWidth="1"/>
    <col min="5382" max="5383" width="9.5703125" style="12" bestFit="1" customWidth="1"/>
    <col min="5384" max="5384" width="10.42578125" style="12" bestFit="1" customWidth="1"/>
    <col min="5385" max="5385" width="4.5703125" style="12" customWidth="1"/>
    <col min="5386" max="5386" width="1.85546875" style="12" customWidth="1"/>
    <col min="5387" max="5387" width="7" style="12" bestFit="1" customWidth="1"/>
    <col min="5388" max="5388" width="6.140625" style="12" customWidth="1"/>
    <col min="5389" max="5389" width="20.42578125" style="12" customWidth="1"/>
    <col min="5390" max="5390" width="6.42578125" style="12" bestFit="1" customWidth="1"/>
    <col min="5391" max="5392" width="8.42578125" style="12"/>
    <col min="5393" max="5393" width="3.140625" style="12" customWidth="1"/>
    <col min="5394" max="5632" width="8.42578125" style="12"/>
    <col min="5633" max="5633" width="10" style="12" bestFit="1" customWidth="1"/>
    <col min="5634" max="5634" width="44.140625" style="12" bestFit="1" customWidth="1"/>
    <col min="5635" max="5635" width="10.42578125" style="12" bestFit="1" customWidth="1"/>
    <col min="5636" max="5636" width="10.42578125" style="12" customWidth="1"/>
    <col min="5637" max="5637" width="9.85546875" style="12" bestFit="1" customWidth="1"/>
    <col min="5638" max="5639" width="9.5703125" style="12" bestFit="1" customWidth="1"/>
    <col min="5640" max="5640" width="10.42578125" style="12" bestFit="1" customWidth="1"/>
    <col min="5641" max="5641" width="4.5703125" style="12" customWidth="1"/>
    <col min="5642" max="5642" width="1.85546875" style="12" customWidth="1"/>
    <col min="5643" max="5643" width="7" style="12" bestFit="1" customWidth="1"/>
    <col min="5644" max="5644" width="6.140625" style="12" customWidth="1"/>
    <col min="5645" max="5645" width="20.42578125" style="12" customWidth="1"/>
    <col min="5646" max="5646" width="6.42578125" style="12" bestFit="1" customWidth="1"/>
    <col min="5647" max="5648" width="8.42578125" style="12"/>
    <col min="5649" max="5649" width="3.140625" style="12" customWidth="1"/>
    <col min="5650" max="5888" width="8.42578125" style="12"/>
    <col min="5889" max="5889" width="10" style="12" bestFit="1" customWidth="1"/>
    <col min="5890" max="5890" width="44.140625" style="12" bestFit="1" customWidth="1"/>
    <col min="5891" max="5891" width="10.42578125" style="12" bestFit="1" customWidth="1"/>
    <col min="5892" max="5892" width="10.42578125" style="12" customWidth="1"/>
    <col min="5893" max="5893" width="9.85546875" style="12" bestFit="1" customWidth="1"/>
    <col min="5894" max="5895" width="9.5703125" style="12" bestFit="1" customWidth="1"/>
    <col min="5896" max="5896" width="10.42578125" style="12" bestFit="1" customWidth="1"/>
    <col min="5897" max="5897" width="4.5703125" style="12" customWidth="1"/>
    <col min="5898" max="5898" width="1.85546875" style="12" customWidth="1"/>
    <col min="5899" max="5899" width="7" style="12" bestFit="1" customWidth="1"/>
    <col min="5900" max="5900" width="6.140625" style="12" customWidth="1"/>
    <col min="5901" max="5901" width="20.42578125" style="12" customWidth="1"/>
    <col min="5902" max="5902" width="6.42578125" style="12" bestFit="1" customWidth="1"/>
    <col min="5903" max="5904" width="8.42578125" style="12"/>
    <col min="5905" max="5905" width="3.140625" style="12" customWidth="1"/>
    <col min="5906" max="6144" width="8.42578125" style="12"/>
    <col min="6145" max="6145" width="10" style="12" bestFit="1" customWidth="1"/>
    <col min="6146" max="6146" width="44.140625" style="12" bestFit="1" customWidth="1"/>
    <col min="6147" max="6147" width="10.42578125" style="12" bestFit="1" customWidth="1"/>
    <col min="6148" max="6148" width="10.42578125" style="12" customWidth="1"/>
    <col min="6149" max="6149" width="9.85546875" style="12" bestFit="1" customWidth="1"/>
    <col min="6150" max="6151" width="9.5703125" style="12" bestFit="1" customWidth="1"/>
    <col min="6152" max="6152" width="10.42578125" style="12" bestFit="1" customWidth="1"/>
    <col min="6153" max="6153" width="4.5703125" style="12" customWidth="1"/>
    <col min="6154" max="6154" width="1.85546875" style="12" customWidth="1"/>
    <col min="6155" max="6155" width="7" style="12" bestFit="1" customWidth="1"/>
    <col min="6156" max="6156" width="6.140625" style="12" customWidth="1"/>
    <col min="6157" max="6157" width="20.42578125" style="12" customWidth="1"/>
    <col min="6158" max="6158" width="6.42578125" style="12" bestFit="1" customWidth="1"/>
    <col min="6159" max="6160" width="8.42578125" style="12"/>
    <col min="6161" max="6161" width="3.140625" style="12" customWidth="1"/>
    <col min="6162" max="6400" width="8.42578125" style="12"/>
    <col min="6401" max="6401" width="10" style="12" bestFit="1" customWidth="1"/>
    <col min="6402" max="6402" width="44.140625" style="12" bestFit="1" customWidth="1"/>
    <col min="6403" max="6403" width="10.42578125" style="12" bestFit="1" customWidth="1"/>
    <col min="6404" max="6404" width="10.42578125" style="12" customWidth="1"/>
    <col min="6405" max="6405" width="9.85546875" style="12" bestFit="1" customWidth="1"/>
    <col min="6406" max="6407" width="9.5703125" style="12" bestFit="1" customWidth="1"/>
    <col min="6408" max="6408" width="10.42578125" style="12" bestFit="1" customWidth="1"/>
    <col min="6409" max="6409" width="4.5703125" style="12" customWidth="1"/>
    <col min="6410" max="6410" width="1.85546875" style="12" customWidth="1"/>
    <col min="6411" max="6411" width="7" style="12" bestFit="1" customWidth="1"/>
    <col min="6412" max="6412" width="6.140625" style="12" customWidth="1"/>
    <col min="6413" max="6413" width="20.42578125" style="12" customWidth="1"/>
    <col min="6414" max="6414" width="6.42578125" style="12" bestFit="1" customWidth="1"/>
    <col min="6415" max="6416" width="8.42578125" style="12"/>
    <col min="6417" max="6417" width="3.140625" style="12" customWidth="1"/>
    <col min="6418" max="6656" width="8.42578125" style="12"/>
    <col min="6657" max="6657" width="10" style="12" bestFit="1" customWidth="1"/>
    <col min="6658" max="6658" width="44.140625" style="12" bestFit="1" customWidth="1"/>
    <col min="6659" max="6659" width="10.42578125" style="12" bestFit="1" customWidth="1"/>
    <col min="6660" max="6660" width="10.42578125" style="12" customWidth="1"/>
    <col min="6661" max="6661" width="9.85546875" style="12" bestFit="1" customWidth="1"/>
    <col min="6662" max="6663" width="9.5703125" style="12" bestFit="1" customWidth="1"/>
    <col min="6664" max="6664" width="10.42578125" style="12" bestFit="1" customWidth="1"/>
    <col min="6665" max="6665" width="4.5703125" style="12" customWidth="1"/>
    <col min="6666" max="6666" width="1.85546875" style="12" customWidth="1"/>
    <col min="6667" max="6667" width="7" style="12" bestFit="1" customWidth="1"/>
    <col min="6668" max="6668" width="6.140625" style="12" customWidth="1"/>
    <col min="6669" max="6669" width="20.42578125" style="12" customWidth="1"/>
    <col min="6670" max="6670" width="6.42578125" style="12" bestFit="1" customWidth="1"/>
    <col min="6671" max="6672" width="8.42578125" style="12"/>
    <col min="6673" max="6673" width="3.140625" style="12" customWidth="1"/>
    <col min="6674" max="6912" width="8.42578125" style="12"/>
    <col min="6913" max="6913" width="10" style="12" bestFit="1" customWidth="1"/>
    <col min="6914" max="6914" width="44.140625" style="12" bestFit="1" customWidth="1"/>
    <col min="6915" max="6915" width="10.42578125" style="12" bestFit="1" customWidth="1"/>
    <col min="6916" max="6916" width="10.42578125" style="12" customWidth="1"/>
    <col min="6917" max="6917" width="9.85546875" style="12" bestFit="1" customWidth="1"/>
    <col min="6918" max="6919" width="9.5703125" style="12" bestFit="1" customWidth="1"/>
    <col min="6920" max="6920" width="10.42578125" style="12" bestFit="1" customWidth="1"/>
    <col min="6921" max="6921" width="4.5703125" style="12" customWidth="1"/>
    <col min="6922" max="6922" width="1.85546875" style="12" customWidth="1"/>
    <col min="6923" max="6923" width="7" style="12" bestFit="1" customWidth="1"/>
    <col min="6924" max="6924" width="6.140625" style="12" customWidth="1"/>
    <col min="6925" max="6925" width="20.42578125" style="12" customWidth="1"/>
    <col min="6926" max="6926" width="6.42578125" style="12" bestFit="1" customWidth="1"/>
    <col min="6927" max="6928" width="8.42578125" style="12"/>
    <col min="6929" max="6929" width="3.140625" style="12" customWidth="1"/>
    <col min="6930" max="7168" width="8.42578125" style="12"/>
    <col min="7169" max="7169" width="10" style="12" bestFit="1" customWidth="1"/>
    <col min="7170" max="7170" width="44.140625" style="12" bestFit="1" customWidth="1"/>
    <col min="7171" max="7171" width="10.42578125" style="12" bestFit="1" customWidth="1"/>
    <col min="7172" max="7172" width="10.42578125" style="12" customWidth="1"/>
    <col min="7173" max="7173" width="9.85546875" style="12" bestFit="1" customWidth="1"/>
    <col min="7174" max="7175" width="9.5703125" style="12" bestFit="1" customWidth="1"/>
    <col min="7176" max="7176" width="10.42578125" style="12" bestFit="1" customWidth="1"/>
    <col min="7177" max="7177" width="4.5703125" style="12" customWidth="1"/>
    <col min="7178" max="7178" width="1.85546875" style="12" customWidth="1"/>
    <col min="7179" max="7179" width="7" style="12" bestFit="1" customWidth="1"/>
    <col min="7180" max="7180" width="6.140625" style="12" customWidth="1"/>
    <col min="7181" max="7181" width="20.42578125" style="12" customWidth="1"/>
    <col min="7182" max="7182" width="6.42578125" style="12" bestFit="1" customWidth="1"/>
    <col min="7183" max="7184" width="8.42578125" style="12"/>
    <col min="7185" max="7185" width="3.140625" style="12" customWidth="1"/>
    <col min="7186" max="7424" width="8.42578125" style="12"/>
    <col min="7425" max="7425" width="10" style="12" bestFit="1" customWidth="1"/>
    <col min="7426" max="7426" width="44.140625" style="12" bestFit="1" customWidth="1"/>
    <col min="7427" max="7427" width="10.42578125" style="12" bestFit="1" customWidth="1"/>
    <col min="7428" max="7428" width="10.42578125" style="12" customWidth="1"/>
    <col min="7429" max="7429" width="9.85546875" style="12" bestFit="1" customWidth="1"/>
    <col min="7430" max="7431" width="9.5703125" style="12" bestFit="1" customWidth="1"/>
    <col min="7432" max="7432" width="10.42578125" style="12" bestFit="1" customWidth="1"/>
    <col min="7433" max="7433" width="4.5703125" style="12" customWidth="1"/>
    <col min="7434" max="7434" width="1.85546875" style="12" customWidth="1"/>
    <col min="7435" max="7435" width="7" style="12" bestFit="1" customWidth="1"/>
    <col min="7436" max="7436" width="6.140625" style="12" customWidth="1"/>
    <col min="7437" max="7437" width="20.42578125" style="12" customWidth="1"/>
    <col min="7438" max="7438" width="6.42578125" style="12" bestFit="1" customWidth="1"/>
    <col min="7439" max="7440" width="8.42578125" style="12"/>
    <col min="7441" max="7441" width="3.140625" style="12" customWidth="1"/>
    <col min="7442" max="7680" width="8.42578125" style="12"/>
    <col min="7681" max="7681" width="10" style="12" bestFit="1" customWidth="1"/>
    <col min="7682" max="7682" width="44.140625" style="12" bestFit="1" customWidth="1"/>
    <col min="7683" max="7683" width="10.42578125" style="12" bestFit="1" customWidth="1"/>
    <col min="7684" max="7684" width="10.42578125" style="12" customWidth="1"/>
    <col min="7685" max="7685" width="9.85546875" style="12" bestFit="1" customWidth="1"/>
    <col min="7686" max="7687" width="9.5703125" style="12" bestFit="1" customWidth="1"/>
    <col min="7688" max="7688" width="10.42578125" style="12" bestFit="1" customWidth="1"/>
    <col min="7689" max="7689" width="4.5703125" style="12" customWidth="1"/>
    <col min="7690" max="7690" width="1.85546875" style="12" customWidth="1"/>
    <col min="7691" max="7691" width="7" style="12" bestFit="1" customWidth="1"/>
    <col min="7692" max="7692" width="6.140625" style="12" customWidth="1"/>
    <col min="7693" max="7693" width="20.42578125" style="12" customWidth="1"/>
    <col min="7694" max="7694" width="6.42578125" style="12" bestFit="1" customWidth="1"/>
    <col min="7695" max="7696" width="8.42578125" style="12"/>
    <col min="7697" max="7697" width="3.140625" style="12" customWidth="1"/>
    <col min="7698" max="7936" width="8.42578125" style="12"/>
    <col min="7937" max="7937" width="10" style="12" bestFit="1" customWidth="1"/>
    <col min="7938" max="7938" width="44.140625" style="12" bestFit="1" customWidth="1"/>
    <col min="7939" max="7939" width="10.42578125" style="12" bestFit="1" customWidth="1"/>
    <col min="7940" max="7940" width="10.42578125" style="12" customWidth="1"/>
    <col min="7941" max="7941" width="9.85546875" style="12" bestFit="1" customWidth="1"/>
    <col min="7942" max="7943" width="9.5703125" style="12" bestFit="1" customWidth="1"/>
    <col min="7944" max="7944" width="10.42578125" style="12" bestFit="1" customWidth="1"/>
    <col min="7945" max="7945" width="4.5703125" style="12" customWidth="1"/>
    <col min="7946" max="7946" width="1.85546875" style="12" customWidth="1"/>
    <col min="7947" max="7947" width="7" style="12" bestFit="1" customWidth="1"/>
    <col min="7948" max="7948" width="6.140625" style="12" customWidth="1"/>
    <col min="7949" max="7949" width="20.42578125" style="12" customWidth="1"/>
    <col min="7950" max="7950" width="6.42578125" style="12" bestFit="1" customWidth="1"/>
    <col min="7951" max="7952" width="8.42578125" style="12"/>
    <col min="7953" max="7953" width="3.140625" style="12" customWidth="1"/>
    <col min="7954" max="8192" width="8.42578125" style="12"/>
    <col min="8193" max="8193" width="10" style="12" bestFit="1" customWidth="1"/>
    <col min="8194" max="8194" width="44.140625" style="12" bestFit="1" customWidth="1"/>
    <col min="8195" max="8195" width="10.42578125" style="12" bestFit="1" customWidth="1"/>
    <col min="8196" max="8196" width="10.42578125" style="12" customWidth="1"/>
    <col min="8197" max="8197" width="9.85546875" style="12" bestFit="1" customWidth="1"/>
    <col min="8198" max="8199" width="9.5703125" style="12" bestFit="1" customWidth="1"/>
    <col min="8200" max="8200" width="10.42578125" style="12" bestFit="1" customWidth="1"/>
    <col min="8201" max="8201" width="4.5703125" style="12" customWidth="1"/>
    <col min="8202" max="8202" width="1.85546875" style="12" customWidth="1"/>
    <col min="8203" max="8203" width="7" style="12" bestFit="1" customWidth="1"/>
    <col min="8204" max="8204" width="6.140625" style="12" customWidth="1"/>
    <col min="8205" max="8205" width="20.42578125" style="12" customWidth="1"/>
    <col min="8206" max="8206" width="6.42578125" style="12" bestFit="1" customWidth="1"/>
    <col min="8207" max="8208" width="8.42578125" style="12"/>
    <col min="8209" max="8209" width="3.140625" style="12" customWidth="1"/>
    <col min="8210" max="8448" width="8.42578125" style="12"/>
    <col min="8449" max="8449" width="10" style="12" bestFit="1" customWidth="1"/>
    <col min="8450" max="8450" width="44.140625" style="12" bestFit="1" customWidth="1"/>
    <col min="8451" max="8451" width="10.42578125" style="12" bestFit="1" customWidth="1"/>
    <col min="8452" max="8452" width="10.42578125" style="12" customWidth="1"/>
    <col min="8453" max="8453" width="9.85546875" style="12" bestFit="1" customWidth="1"/>
    <col min="8454" max="8455" width="9.5703125" style="12" bestFit="1" customWidth="1"/>
    <col min="8456" max="8456" width="10.42578125" style="12" bestFit="1" customWidth="1"/>
    <col min="8457" max="8457" width="4.5703125" style="12" customWidth="1"/>
    <col min="8458" max="8458" width="1.85546875" style="12" customWidth="1"/>
    <col min="8459" max="8459" width="7" style="12" bestFit="1" customWidth="1"/>
    <col min="8460" max="8460" width="6.140625" style="12" customWidth="1"/>
    <col min="8461" max="8461" width="20.42578125" style="12" customWidth="1"/>
    <col min="8462" max="8462" width="6.42578125" style="12" bestFit="1" customWidth="1"/>
    <col min="8463" max="8464" width="8.42578125" style="12"/>
    <col min="8465" max="8465" width="3.140625" style="12" customWidth="1"/>
    <col min="8466" max="8704" width="8.42578125" style="12"/>
    <col min="8705" max="8705" width="10" style="12" bestFit="1" customWidth="1"/>
    <col min="8706" max="8706" width="44.140625" style="12" bestFit="1" customWidth="1"/>
    <col min="8707" max="8707" width="10.42578125" style="12" bestFit="1" customWidth="1"/>
    <col min="8708" max="8708" width="10.42578125" style="12" customWidth="1"/>
    <col min="8709" max="8709" width="9.85546875" style="12" bestFit="1" customWidth="1"/>
    <col min="8710" max="8711" width="9.5703125" style="12" bestFit="1" customWidth="1"/>
    <col min="8712" max="8712" width="10.42578125" style="12" bestFit="1" customWidth="1"/>
    <col min="8713" max="8713" width="4.5703125" style="12" customWidth="1"/>
    <col min="8714" max="8714" width="1.85546875" style="12" customWidth="1"/>
    <col min="8715" max="8715" width="7" style="12" bestFit="1" customWidth="1"/>
    <col min="8716" max="8716" width="6.140625" style="12" customWidth="1"/>
    <col min="8717" max="8717" width="20.42578125" style="12" customWidth="1"/>
    <col min="8718" max="8718" width="6.42578125" style="12" bestFit="1" customWidth="1"/>
    <col min="8719" max="8720" width="8.42578125" style="12"/>
    <col min="8721" max="8721" width="3.140625" style="12" customWidth="1"/>
    <col min="8722" max="8960" width="8.42578125" style="12"/>
    <col min="8961" max="8961" width="10" style="12" bestFit="1" customWidth="1"/>
    <col min="8962" max="8962" width="44.140625" style="12" bestFit="1" customWidth="1"/>
    <col min="8963" max="8963" width="10.42578125" style="12" bestFit="1" customWidth="1"/>
    <col min="8964" max="8964" width="10.42578125" style="12" customWidth="1"/>
    <col min="8965" max="8965" width="9.85546875" style="12" bestFit="1" customWidth="1"/>
    <col min="8966" max="8967" width="9.5703125" style="12" bestFit="1" customWidth="1"/>
    <col min="8968" max="8968" width="10.42578125" style="12" bestFit="1" customWidth="1"/>
    <col min="8969" max="8969" width="4.5703125" style="12" customWidth="1"/>
    <col min="8970" max="8970" width="1.85546875" style="12" customWidth="1"/>
    <col min="8971" max="8971" width="7" style="12" bestFit="1" customWidth="1"/>
    <col min="8972" max="8972" width="6.140625" style="12" customWidth="1"/>
    <col min="8973" max="8973" width="20.42578125" style="12" customWidth="1"/>
    <col min="8974" max="8974" width="6.42578125" style="12" bestFit="1" customWidth="1"/>
    <col min="8975" max="8976" width="8.42578125" style="12"/>
    <col min="8977" max="8977" width="3.140625" style="12" customWidth="1"/>
    <col min="8978" max="9216" width="8.42578125" style="12"/>
    <col min="9217" max="9217" width="10" style="12" bestFit="1" customWidth="1"/>
    <col min="9218" max="9218" width="44.140625" style="12" bestFit="1" customWidth="1"/>
    <col min="9219" max="9219" width="10.42578125" style="12" bestFit="1" customWidth="1"/>
    <col min="9220" max="9220" width="10.42578125" style="12" customWidth="1"/>
    <col min="9221" max="9221" width="9.85546875" style="12" bestFit="1" customWidth="1"/>
    <col min="9222" max="9223" width="9.5703125" style="12" bestFit="1" customWidth="1"/>
    <col min="9224" max="9224" width="10.42578125" style="12" bestFit="1" customWidth="1"/>
    <col min="9225" max="9225" width="4.5703125" style="12" customWidth="1"/>
    <col min="9226" max="9226" width="1.85546875" style="12" customWidth="1"/>
    <col min="9227" max="9227" width="7" style="12" bestFit="1" customWidth="1"/>
    <col min="9228" max="9228" width="6.140625" style="12" customWidth="1"/>
    <col min="9229" max="9229" width="20.42578125" style="12" customWidth="1"/>
    <col min="9230" max="9230" width="6.42578125" style="12" bestFit="1" customWidth="1"/>
    <col min="9231" max="9232" width="8.42578125" style="12"/>
    <col min="9233" max="9233" width="3.140625" style="12" customWidth="1"/>
    <col min="9234" max="9472" width="8.42578125" style="12"/>
    <col min="9473" max="9473" width="10" style="12" bestFit="1" customWidth="1"/>
    <col min="9474" max="9474" width="44.140625" style="12" bestFit="1" customWidth="1"/>
    <col min="9475" max="9475" width="10.42578125" style="12" bestFit="1" customWidth="1"/>
    <col min="9476" max="9476" width="10.42578125" style="12" customWidth="1"/>
    <col min="9477" max="9477" width="9.85546875" style="12" bestFit="1" customWidth="1"/>
    <col min="9478" max="9479" width="9.5703125" style="12" bestFit="1" customWidth="1"/>
    <col min="9480" max="9480" width="10.42578125" style="12" bestFit="1" customWidth="1"/>
    <col min="9481" max="9481" width="4.5703125" style="12" customWidth="1"/>
    <col min="9482" max="9482" width="1.85546875" style="12" customWidth="1"/>
    <col min="9483" max="9483" width="7" style="12" bestFit="1" customWidth="1"/>
    <col min="9484" max="9484" width="6.140625" style="12" customWidth="1"/>
    <col min="9485" max="9485" width="20.42578125" style="12" customWidth="1"/>
    <col min="9486" max="9486" width="6.42578125" style="12" bestFit="1" customWidth="1"/>
    <col min="9487" max="9488" width="8.42578125" style="12"/>
    <col min="9489" max="9489" width="3.140625" style="12" customWidth="1"/>
    <col min="9490" max="9728" width="8.42578125" style="12"/>
    <col min="9729" max="9729" width="10" style="12" bestFit="1" customWidth="1"/>
    <col min="9730" max="9730" width="44.140625" style="12" bestFit="1" customWidth="1"/>
    <col min="9731" max="9731" width="10.42578125" style="12" bestFit="1" customWidth="1"/>
    <col min="9732" max="9732" width="10.42578125" style="12" customWidth="1"/>
    <col min="9733" max="9733" width="9.85546875" style="12" bestFit="1" customWidth="1"/>
    <col min="9734" max="9735" width="9.5703125" style="12" bestFit="1" customWidth="1"/>
    <col min="9736" max="9736" width="10.42578125" style="12" bestFit="1" customWidth="1"/>
    <col min="9737" max="9737" width="4.5703125" style="12" customWidth="1"/>
    <col min="9738" max="9738" width="1.85546875" style="12" customWidth="1"/>
    <col min="9739" max="9739" width="7" style="12" bestFit="1" customWidth="1"/>
    <col min="9740" max="9740" width="6.140625" style="12" customWidth="1"/>
    <col min="9741" max="9741" width="20.42578125" style="12" customWidth="1"/>
    <col min="9742" max="9742" width="6.42578125" style="12" bestFit="1" customWidth="1"/>
    <col min="9743" max="9744" width="8.42578125" style="12"/>
    <col min="9745" max="9745" width="3.140625" style="12" customWidth="1"/>
    <col min="9746" max="9984" width="8.42578125" style="12"/>
    <col min="9985" max="9985" width="10" style="12" bestFit="1" customWidth="1"/>
    <col min="9986" max="9986" width="44.140625" style="12" bestFit="1" customWidth="1"/>
    <col min="9987" max="9987" width="10.42578125" style="12" bestFit="1" customWidth="1"/>
    <col min="9988" max="9988" width="10.42578125" style="12" customWidth="1"/>
    <col min="9989" max="9989" width="9.85546875" style="12" bestFit="1" customWidth="1"/>
    <col min="9990" max="9991" width="9.5703125" style="12" bestFit="1" customWidth="1"/>
    <col min="9992" max="9992" width="10.42578125" style="12" bestFit="1" customWidth="1"/>
    <col min="9993" max="9993" width="4.5703125" style="12" customWidth="1"/>
    <col min="9994" max="9994" width="1.85546875" style="12" customWidth="1"/>
    <col min="9995" max="9995" width="7" style="12" bestFit="1" customWidth="1"/>
    <col min="9996" max="9996" width="6.140625" style="12" customWidth="1"/>
    <col min="9997" max="9997" width="20.42578125" style="12" customWidth="1"/>
    <col min="9998" max="9998" width="6.42578125" style="12" bestFit="1" customWidth="1"/>
    <col min="9999" max="10000" width="8.42578125" style="12"/>
    <col min="10001" max="10001" width="3.140625" style="12" customWidth="1"/>
    <col min="10002" max="10240" width="8.42578125" style="12"/>
    <col min="10241" max="10241" width="10" style="12" bestFit="1" customWidth="1"/>
    <col min="10242" max="10242" width="44.140625" style="12" bestFit="1" customWidth="1"/>
    <col min="10243" max="10243" width="10.42578125" style="12" bestFit="1" customWidth="1"/>
    <col min="10244" max="10244" width="10.42578125" style="12" customWidth="1"/>
    <col min="10245" max="10245" width="9.85546875" style="12" bestFit="1" customWidth="1"/>
    <col min="10246" max="10247" width="9.5703125" style="12" bestFit="1" customWidth="1"/>
    <col min="10248" max="10248" width="10.42578125" style="12" bestFit="1" customWidth="1"/>
    <col min="10249" max="10249" width="4.5703125" style="12" customWidth="1"/>
    <col min="10250" max="10250" width="1.85546875" style="12" customWidth="1"/>
    <col min="10251" max="10251" width="7" style="12" bestFit="1" customWidth="1"/>
    <col min="10252" max="10252" width="6.140625" style="12" customWidth="1"/>
    <col min="10253" max="10253" width="20.42578125" style="12" customWidth="1"/>
    <col min="10254" max="10254" width="6.42578125" style="12" bestFit="1" customWidth="1"/>
    <col min="10255" max="10256" width="8.42578125" style="12"/>
    <col min="10257" max="10257" width="3.140625" style="12" customWidth="1"/>
    <col min="10258" max="10496" width="8.42578125" style="12"/>
    <col min="10497" max="10497" width="10" style="12" bestFit="1" customWidth="1"/>
    <col min="10498" max="10498" width="44.140625" style="12" bestFit="1" customWidth="1"/>
    <col min="10499" max="10499" width="10.42578125" style="12" bestFit="1" customWidth="1"/>
    <col min="10500" max="10500" width="10.42578125" style="12" customWidth="1"/>
    <col min="10501" max="10501" width="9.85546875" style="12" bestFit="1" customWidth="1"/>
    <col min="10502" max="10503" width="9.5703125" style="12" bestFit="1" customWidth="1"/>
    <col min="10504" max="10504" width="10.42578125" style="12" bestFit="1" customWidth="1"/>
    <col min="10505" max="10505" width="4.5703125" style="12" customWidth="1"/>
    <col min="10506" max="10506" width="1.85546875" style="12" customWidth="1"/>
    <col min="10507" max="10507" width="7" style="12" bestFit="1" customWidth="1"/>
    <col min="10508" max="10508" width="6.140625" style="12" customWidth="1"/>
    <col min="10509" max="10509" width="20.42578125" style="12" customWidth="1"/>
    <col min="10510" max="10510" width="6.42578125" style="12" bestFit="1" customWidth="1"/>
    <col min="10511" max="10512" width="8.42578125" style="12"/>
    <col min="10513" max="10513" width="3.140625" style="12" customWidth="1"/>
    <col min="10514" max="10752" width="8.42578125" style="12"/>
    <col min="10753" max="10753" width="10" style="12" bestFit="1" customWidth="1"/>
    <col min="10754" max="10754" width="44.140625" style="12" bestFit="1" customWidth="1"/>
    <col min="10755" max="10755" width="10.42578125" style="12" bestFit="1" customWidth="1"/>
    <col min="10756" max="10756" width="10.42578125" style="12" customWidth="1"/>
    <col min="10757" max="10757" width="9.85546875" style="12" bestFit="1" customWidth="1"/>
    <col min="10758" max="10759" width="9.5703125" style="12" bestFit="1" customWidth="1"/>
    <col min="10760" max="10760" width="10.42578125" style="12" bestFit="1" customWidth="1"/>
    <col min="10761" max="10761" width="4.5703125" style="12" customWidth="1"/>
    <col min="10762" max="10762" width="1.85546875" style="12" customWidth="1"/>
    <col min="10763" max="10763" width="7" style="12" bestFit="1" customWidth="1"/>
    <col min="10764" max="10764" width="6.140625" style="12" customWidth="1"/>
    <col min="10765" max="10765" width="20.42578125" style="12" customWidth="1"/>
    <col min="10766" max="10766" width="6.42578125" style="12" bestFit="1" customWidth="1"/>
    <col min="10767" max="10768" width="8.42578125" style="12"/>
    <col min="10769" max="10769" width="3.140625" style="12" customWidth="1"/>
    <col min="10770" max="11008" width="8.42578125" style="12"/>
    <col min="11009" max="11009" width="10" style="12" bestFit="1" customWidth="1"/>
    <col min="11010" max="11010" width="44.140625" style="12" bestFit="1" customWidth="1"/>
    <col min="11011" max="11011" width="10.42578125" style="12" bestFit="1" customWidth="1"/>
    <col min="11012" max="11012" width="10.42578125" style="12" customWidth="1"/>
    <col min="11013" max="11013" width="9.85546875" style="12" bestFit="1" customWidth="1"/>
    <col min="11014" max="11015" width="9.5703125" style="12" bestFit="1" customWidth="1"/>
    <col min="11016" max="11016" width="10.42578125" style="12" bestFit="1" customWidth="1"/>
    <col min="11017" max="11017" width="4.5703125" style="12" customWidth="1"/>
    <col min="11018" max="11018" width="1.85546875" style="12" customWidth="1"/>
    <col min="11019" max="11019" width="7" style="12" bestFit="1" customWidth="1"/>
    <col min="11020" max="11020" width="6.140625" style="12" customWidth="1"/>
    <col min="11021" max="11021" width="20.42578125" style="12" customWidth="1"/>
    <col min="11022" max="11022" width="6.42578125" style="12" bestFit="1" customWidth="1"/>
    <col min="11023" max="11024" width="8.42578125" style="12"/>
    <col min="11025" max="11025" width="3.140625" style="12" customWidth="1"/>
    <col min="11026" max="11264" width="8.42578125" style="12"/>
    <col min="11265" max="11265" width="10" style="12" bestFit="1" customWidth="1"/>
    <col min="11266" max="11266" width="44.140625" style="12" bestFit="1" customWidth="1"/>
    <col min="11267" max="11267" width="10.42578125" style="12" bestFit="1" customWidth="1"/>
    <col min="11268" max="11268" width="10.42578125" style="12" customWidth="1"/>
    <col min="11269" max="11269" width="9.85546875" style="12" bestFit="1" customWidth="1"/>
    <col min="11270" max="11271" width="9.5703125" style="12" bestFit="1" customWidth="1"/>
    <col min="11272" max="11272" width="10.42578125" style="12" bestFit="1" customWidth="1"/>
    <col min="11273" max="11273" width="4.5703125" style="12" customWidth="1"/>
    <col min="11274" max="11274" width="1.85546875" style="12" customWidth="1"/>
    <col min="11275" max="11275" width="7" style="12" bestFit="1" customWidth="1"/>
    <col min="11276" max="11276" width="6.140625" style="12" customWidth="1"/>
    <col min="11277" max="11277" width="20.42578125" style="12" customWidth="1"/>
    <col min="11278" max="11278" width="6.42578125" style="12" bestFit="1" customWidth="1"/>
    <col min="11279" max="11280" width="8.42578125" style="12"/>
    <col min="11281" max="11281" width="3.140625" style="12" customWidth="1"/>
    <col min="11282" max="11520" width="8.42578125" style="12"/>
    <col min="11521" max="11521" width="10" style="12" bestFit="1" customWidth="1"/>
    <col min="11522" max="11522" width="44.140625" style="12" bestFit="1" customWidth="1"/>
    <col min="11523" max="11523" width="10.42578125" style="12" bestFit="1" customWidth="1"/>
    <col min="11524" max="11524" width="10.42578125" style="12" customWidth="1"/>
    <col min="11525" max="11525" width="9.85546875" style="12" bestFit="1" customWidth="1"/>
    <col min="11526" max="11527" width="9.5703125" style="12" bestFit="1" customWidth="1"/>
    <col min="11528" max="11528" width="10.42578125" style="12" bestFit="1" customWidth="1"/>
    <col min="11529" max="11529" width="4.5703125" style="12" customWidth="1"/>
    <col min="11530" max="11530" width="1.85546875" style="12" customWidth="1"/>
    <col min="11531" max="11531" width="7" style="12" bestFit="1" customWidth="1"/>
    <col min="11532" max="11532" width="6.140625" style="12" customWidth="1"/>
    <col min="11533" max="11533" width="20.42578125" style="12" customWidth="1"/>
    <col min="11534" max="11534" width="6.42578125" style="12" bestFit="1" customWidth="1"/>
    <col min="11535" max="11536" width="8.42578125" style="12"/>
    <col min="11537" max="11537" width="3.140625" style="12" customWidth="1"/>
    <col min="11538" max="11776" width="8.42578125" style="12"/>
    <col min="11777" max="11777" width="10" style="12" bestFit="1" customWidth="1"/>
    <col min="11778" max="11778" width="44.140625" style="12" bestFit="1" customWidth="1"/>
    <col min="11779" max="11779" width="10.42578125" style="12" bestFit="1" customWidth="1"/>
    <col min="11780" max="11780" width="10.42578125" style="12" customWidth="1"/>
    <col min="11781" max="11781" width="9.85546875" style="12" bestFit="1" customWidth="1"/>
    <col min="11782" max="11783" width="9.5703125" style="12" bestFit="1" customWidth="1"/>
    <col min="11784" max="11784" width="10.42578125" style="12" bestFit="1" customWidth="1"/>
    <col min="11785" max="11785" width="4.5703125" style="12" customWidth="1"/>
    <col min="11786" max="11786" width="1.85546875" style="12" customWidth="1"/>
    <col min="11787" max="11787" width="7" style="12" bestFit="1" customWidth="1"/>
    <col min="11788" max="11788" width="6.140625" style="12" customWidth="1"/>
    <col min="11789" max="11789" width="20.42578125" style="12" customWidth="1"/>
    <col min="11790" max="11790" width="6.42578125" style="12" bestFit="1" customWidth="1"/>
    <col min="11791" max="11792" width="8.42578125" style="12"/>
    <col min="11793" max="11793" width="3.140625" style="12" customWidth="1"/>
    <col min="11794" max="12032" width="8.42578125" style="12"/>
    <col min="12033" max="12033" width="10" style="12" bestFit="1" customWidth="1"/>
    <col min="12034" max="12034" width="44.140625" style="12" bestFit="1" customWidth="1"/>
    <col min="12035" max="12035" width="10.42578125" style="12" bestFit="1" customWidth="1"/>
    <col min="12036" max="12036" width="10.42578125" style="12" customWidth="1"/>
    <col min="12037" max="12037" width="9.85546875" style="12" bestFit="1" customWidth="1"/>
    <col min="12038" max="12039" width="9.5703125" style="12" bestFit="1" customWidth="1"/>
    <col min="12040" max="12040" width="10.42578125" style="12" bestFit="1" customWidth="1"/>
    <col min="12041" max="12041" width="4.5703125" style="12" customWidth="1"/>
    <col min="12042" max="12042" width="1.85546875" style="12" customWidth="1"/>
    <col min="12043" max="12043" width="7" style="12" bestFit="1" customWidth="1"/>
    <col min="12044" max="12044" width="6.140625" style="12" customWidth="1"/>
    <col min="12045" max="12045" width="20.42578125" style="12" customWidth="1"/>
    <col min="12046" max="12046" width="6.42578125" style="12" bestFit="1" customWidth="1"/>
    <col min="12047" max="12048" width="8.42578125" style="12"/>
    <col min="12049" max="12049" width="3.140625" style="12" customWidth="1"/>
    <col min="12050" max="12288" width="8.42578125" style="12"/>
    <col min="12289" max="12289" width="10" style="12" bestFit="1" customWidth="1"/>
    <col min="12290" max="12290" width="44.140625" style="12" bestFit="1" customWidth="1"/>
    <col min="12291" max="12291" width="10.42578125" style="12" bestFit="1" customWidth="1"/>
    <col min="12292" max="12292" width="10.42578125" style="12" customWidth="1"/>
    <col min="12293" max="12293" width="9.85546875" style="12" bestFit="1" customWidth="1"/>
    <col min="12294" max="12295" width="9.5703125" style="12" bestFit="1" customWidth="1"/>
    <col min="12296" max="12296" width="10.42578125" style="12" bestFit="1" customWidth="1"/>
    <col min="12297" max="12297" width="4.5703125" style="12" customWidth="1"/>
    <col min="12298" max="12298" width="1.85546875" style="12" customWidth="1"/>
    <col min="12299" max="12299" width="7" style="12" bestFit="1" customWidth="1"/>
    <col min="12300" max="12300" width="6.140625" style="12" customWidth="1"/>
    <col min="12301" max="12301" width="20.42578125" style="12" customWidth="1"/>
    <col min="12302" max="12302" width="6.42578125" style="12" bestFit="1" customWidth="1"/>
    <col min="12303" max="12304" width="8.42578125" style="12"/>
    <col min="12305" max="12305" width="3.140625" style="12" customWidth="1"/>
    <col min="12306" max="12544" width="8.42578125" style="12"/>
    <col min="12545" max="12545" width="10" style="12" bestFit="1" customWidth="1"/>
    <col min="12546" max="12546" width="44.140625" style="12" bestFit="1" customWidth="1"/>
    <col min="12547" max="12547" width="10.42578125" style="12" bestFit="1" customWidth="1"/>
    <col min="12548" max="12548" width="10.42578125" style="12" customWidth="1"/>
    <col min="12549" max="12549" width="9.85546875" style="12" bestFit="1" customWidth="1"/>
    <col min="12550" max="12551" width="9.5703125" style="12" bestFit="1" customWidth="1"/>
    <col min="12552" max="12552" width="10.42578125" style="12" bestFit="1" customWidth="1"/>
    <col min="12553" max="12553" width="4.5703125" style="12" customWidth="1"/>
    <col min="12554" max="12554" width="1.85546875" style="12" customWidth="1"/>
    <col min="12555" max="12555" width="7" style="12" bestFit="1" customWidth="1"/>
    <col min="12556" max="12556" width="6.140625" style="12" customWidth="1"/>
    <col min="12557" max="12557" width="20.42578125" style="12" customWidth="1"/>
    <col min="12558" max="12558" width="6.42578125" style="12" bestFit="1" customWidth="1"/>
    <col min="12559" max="12560" width="8.42578125" style="12"/>
    <col min="12561" max="12561" width="3.140625" style="12" customWidth="1"/>
    <col min="12562" max="12800" width="8.42578125" style="12"/>
    <col min="12801" max="12801" width="10" style="12" bestFit="1" customWidth="1"/>
    <col min="12802" max="12802" width="44.140625" style="12" bestFit="1" customWidth="1"/>
    <col min="12803" max="12803" width="10.42578125" style="12" bestFit="1" customWidth="1"/>
    <col min="12804" max="12804" width="10.42578125" style="12" customWidth="1"/>
    <col min="12805" max="12805" width="9.85546875" style="12" bestFit="1" customWidth="1"/>
    <col min="12806" max="12807" width="9.5703125" style="12" bestFit="1" customWidth="1"/>
    <col min="12808" max="12808" width="10.42578125" style="12" bestFit="1" customWidth="1"/>
    <col min="12809" max="12809" width="4.5703125" style="12" customWidth="1"/>
    <col min="12810" max="12810" width="1.85546875" style="12" customWidth="1"/>
    <col min="12811" max="12811" width="7" style="12" bestFit="1" customWidth="1"/>
    <col min="12812" max="12812" width="6.140625" style="12" customWidth="1"/>
    <col min="12813" max="12813" width="20.42578125" style="12" customWidth="1"/>
    <col min="12814" max="12814" width="6.42578125" style="12" bestFit="1" customWidth="1"/>
    <col min="12815" max="12816" width="8.42578125" style="12"/>
    <col min="12817" max="12817" width="3.140625" style="12" customWidth="1"/>
    <col min="12818" max="13056" width="8.42578125" style="12"/>
    <col min="13057" max="13057" width="10" style="12" bestFit="1" customWidth="1"/>
    <col min="13058" max="13058" width="44.140625" style="12" bestFit="1" customWidth="1"/>
    <col min="13059" max="13059" width="10.42578125" style="12" bestFit="1" customWidth="1"/>
    <col min="13060" max="13060" width="10.42578125" style="12" customWidth="1"/>
    <col min="13061" max="13061" width="9.85546875" style="12" bestFit="1" customWidth="1"/>
    <col min="13062" max="13063" width="9.5703125" style="12" bestFit="1" customWidth="1"/>
    <col min="13064" max="13064" width="10.42578125" style="12" bestFit="1" customWidth="1"/>
    <col min="13065" max="13065" width="4.5703125" style="12" customWidth="1"/>
    <col min="13066" max="13066" width="1.85546875" style="12" customWidth="1"/>
    <col min="13067" max="13067" width="7" style="12" bestFit="1" customWidth="1"/>
    <col min="13068" max="13068" width="6.140625" style="12" customWidth="1"/>
    <col min="13069" max="13069" width="20.42578125" style="12" customWidth="1"/>
    <col min="13070" max="13070" width="6.42578125" style="12" bestFit="1" customWidth="1"/>
    <col min="13071" max="13072" width="8.42578125" style="12"/>
    <col min="13073" max="13073" width="3.140625" style="12" customWidth="1"/>
    <col min="13074" max="13312" width="8.42578125" style="12"/>
    <col min="13313" max="13313" width="10" style="12" bestFit="1" customWidth="1"/>
    <col min="13314" max="13314" width="44.140625" style="12" bestFit="1" customWidth="1"/>
    <col min="13315" max="13315" width="10.42578125" style="12" bestFit="1" customWidth="1"/>
    <col min="13316" max="13316" width="10.42578125" style="12" customWidth="1"/>
    <col min="13317" max="13317" width="9.85546875" style="12" bestFit="1" customWidth="1"/>
    <col min="13318" max="13319" width="9.5703125" style="12" bestFit="1" customWidth="1"/>
    <col min="13320" max="13320" width="10.42578125" style="12" bestFit="1" customWidth="1"/>
    <col min="13321" max="13321" width="4.5703125" style="12" customWidth="1"/>
    <col min="13322" max="13322" width="1.85546875" style="12" customWidth="1"/>
    <col min="13323" max="13323" width="7" style="12" bestFit="1" customWidth="1"/>
    <col min="13324" max="13324" width="6.140625" style="12" customWidth="1"/>
    <col min="13325" max="13325" width="20.42578125" style="12" customWidth="1"/>
    <col min="13326" max="13326" width="6.42578125" style="12" bestFit="1" customWidth="1"/>
    <col min="13327" max="13328" width="8.42578125" style="12"/>
    <col min="13329" max="13329" width="3.140625" style="12" customWidth="1"/>
    <col min="13330" max="13568" width="8.42578125" style="12"/>
    <col min="13569" max="13569" width="10" style="12" bestFit="1" customWidth="1"/>
    <col min="13570" max="13570" width="44.140625" style="12" bestFit="1" customWidth="1"/>
    <col min="13571" max="13571" width="10.42578125" style="12" bestFit="1" customWidth="1"/>
    <col min="13572" max="13572" width="10.42578125" style="12" customWidth="1"/>
    <col min="13573" max="13573" width="9.85546875" style="12" bestFit="1" customWidth="1"/>
    <col min="13574" max="13575" width="9.5703125" style="12" bestFit="1" customWidth="1"/>
    <col min="13576" max="13576" width="10.42578125" style="12" bestFit="1" customWidth="1"/>
    <col min="13577" max="13577" width="4.5703125" style="12" customWidth="1"/>
    <col min="13578" max="13578" width="1.85546875" style="12" customWidth="1"/>
    <col min="13579" max="13579" width="7" style="12" bestFit="1" customWidth="1"/>
    <col min="13580" max="13580" width="6.140625" style="12" customWidth="1"/>
    <col min="13581" max="13581" width="20.42578125" style="12" customWidth="1"/>
    <col min="13582" max="13582" width="6.42578125" style="12" bestFit="1" customWidth="1"/>
    <col min="13583" max="13584" width="8.42578125" style="12"/>
    <col min="13585" max="13585" width="3.140625" style="12" customWidth="1"/>
    <col min="13586" max="13824" width="8.42578125" style="12"/>
    <col min="13825" max="13825" width="10" style="12" bestFit="1" customWidth="1"/>
    <col min="13826" max="13826" width="44.140625" style="12" bestFit="1" customWidth="1"/>
    <col min="13827" max="13827" width="10.42578125" style="12" bestFit="1" customWidth="1"/>
    <col min="13828" max="13828" width="10.42578125" style="12" customWidth="1"/>
    <col min="13829" max="13829" width="9.85546875" style="12" bestFit="1" customWidth="1"/>
    <col min="13830" max="13831" width="9.5703125" style="12" bestFit="1" customWidth="1"/>
    <col min="13832" max="13832" width="10.42578125" style="12" bestFit="1" customWidth="1"/>
    <col min="13833" max="13833" width="4.5703125" style="12" customWidth="1"/>
    <col min="13834" max="13834" width="1.85546875" style="12" customWidth="1"/>
    <col min="13835" max="13835" width="7" style="12" bestFit="1" customWidth="1"/>
    <col min="13836" max="13836" width="6.140625" style="12" customWidth="1"/>
    <col min="13837" max="13837" width="20.42578125" style="12" customWidth="1"/>
    <col min="13838" max="13838" width="6.42578125" style="12" bestFit="1" customWidth="1"/>
    <col min="13839" max="13840" width="8.42578125" style="12"/>
    <col min="13841" max="13841" width="3.140625" style="12" customWidth="1"/>
    <col min="13842" max="14080" width="8.42578125" style="12"/>
    <col min="14081" max="14081" width="10" style="12" bestFit="1" customWidth="1"/>
    <col min="14082" max="14082" width="44.140625" style="12" bestFit="1" customWidth="1"/>
    <col min="14083" max="14083" width="10.42578125" style="12" bestFit="1" customWidth="1"/>
    <col min="14084" max="14084" width="10.42578125" style="12" customWidth="1"/>
    <col min="14085" max="14085" width="9.85546875" style="12" bestFit="1" customWidth="1"/>
    <col min="14086" max="14087" width="9.5703125" style="12" bestFit="1" customWidth="1"/>
    <col min="14088" max="14088" width="10.42578125" style="12" bestFit="1" customWidth="1"/>
    <col min="14089" max="14089" width="4.5703125" style="12" customWidth="1"/>
    <col min="14090" max="14090" width="1.85546875" style="12" customWidth="1"/>
    <col min="14091" max="14091" width="7" style="12" bestFit="1" customWidth="1"/>
    <col min="14092" max="14092" width="6.140625" style="12" customWidth="1"/>
    <col min="14093" max="14093" width="20.42578125" style="12" customWidth="1"/>
    <col min="14094" max="14094" width="6.42578125" style="12" bestFit="1" customWidth="1"/>
    <col min="14095" max="14096" width="8.42578125" style="12"/>
    <col min="14097" max="14097" width="3.140625" style="12" customWidth="1"/>
    <col min="14098" max="14336" width="8.42578125" style="12"/>
    <col min="14337" max="14337" width="10" style="12" bestFit="1" customWidth="1"/>
    <col min="14338" max="14338" width="44.140625" style="12" bestFit="1" customWidth="1"/>
    <col min="14339" max="14339" width="10.42578125" style="12" bestFit="1" customWidth="1"/>
    <col min="14340" max="14340" width="10.42578125" style="12" customWidth="1"/>
    <col min="14341" max="14341" width="9.85546875" style="12" bestFit="1" customWidth="1"/>
    <col min="14342" max="14343" width="9.5703125" style="12" bestFit="1" customWidth="1"/>
    <col min="14344" max="14344" width="10.42578125" style="12" bestFit="1" customWidth="1"/>
    <col min="14345" max="14345" width="4.5703125" style="12" customWidth="1"/>
    <col min="14346" max="14346" width="1.85546875" style="12" customWidth="1"/>
    <col min="14347" max="14347" width="7" style="12" bestFit="1" customWidth="1"/>
    <col min="14348" max="14348" width="6.140625" style="12" customWidth="1"/>
    <col min="14349" max="14349" width="20.42578125" style="12" customWidth="1"/>
    <col min="14350" max="14350" width="6.42578125" style="12" bestFit="1" customWidth="1"/>
    <col min="14351" max="14352" width="8.42578125" style="12"/>
    <col min="14353" max="14353" width="3.140625" style="12" customWidth="1"/>
    <col min="14354" max="14592" width="8.42578125" style="12"/>
    <col min="14593" max="14593" width="10" style="12" bestFit="1" customWidth="1"/>
    <col min="14594" max="14594" width="44.140625" style="12" bestFit="1" customWidth="1"/>
    <col min="14595" max="14595" width="10.42578125" style="12" bestFit="1" customWidth="1"/>
    <col min="14596" max="14596" width="10.42578125" style="12" customWidth="1"/>
    <col min="14597" max="14597" width="9.85546875" style="12" bestFit="1" customWidth="1"/>
    <col min="14598" max="14599" width="9.5703125" style="12" bestFit="1" customWidth="1"/>
    <col min="14600" max="14600" width="10.42578125" style="12" bestFit="1" customWidth="1"/>
    <col min="14601" max="14601" width="4.5703125" style="12" customWidth="1"/>
    <col min="14602" max="14602" width="1.85546875" style="12" customWidth="1"/>
    <col min="14603" max="14603" width="7" style="12" bestFit="1" customWidth="1"/>
    <col min="14604" max="14604" width="6.140625" style="12" customWidth="1"/>
    <col min="14605" max="14605" width="20.42578125" style="12" customWidth="1"/>
    <col min="14606" max="14606" width="6.42578125" style="12" bestFit="1" customWidth="1"/>
    <col min="14607" max="14608" width="8.42578125" style="12"/>
    <col min="14609" max="14609" width="3.140625" style="12" customWidth="1"/>
    <col min="14610" max="14848" width="8.42578125" style="12"/>
    <col min="14849" max="14849" width="10" style="12" bestFit="1" customWidth="1"/>
    <col min="14850" max="14850" width="44.140625" style="12" bestFit="1" customWidth="1"/>
    <col min="14851" max="14851" width="10.42578125" style="12" bestFit="1" customWidth="1"/>
    <col min="14852" max="14852" width="10.42578125" style="12" customWidth="1"/>
    <col min="14853" max="14853" width="9.85546875" style="12" bestFit="1" customWidth="1"/>
    <col min="14854" max="14855" width="9.5703125" style="12" bestFit="1" customWidth="1"/>
    <col min="14856" max="14856" width="10.42578125" style="12" bestFit="1" customWidth="1"/>
    <col min="14857" max="14857" width="4.5703125" style="12" customWidth="1"/>
    <col min="14858" max="14858" width="1.85546875" style="12" customWidth="1"/>
    <col min="14859" max="14859" width="7" style="12" bestFit="1" customWidth="1"/>
    <col min="14860" max="14860" width="6.140625" style="12" customWidth="1"/>
    <col min="14861" max="14861" width="20.42578125" style="12" customWidth="1"/>
    <col min="14862" max="14862" width="6.42578125" style="12" bestFit="1" customWidth="1"/>
    <col min="14863" max="14864" width="8.42578125" style="12"/>
    <col min="14865" max="14865" width="3.140625" style="12" customWidth="1"/>
    <col min="14866" max="15104" width="8.42578125" style="12"/>
    <col min="15105" max="15105" width="10" style="12" bestFit="1" customWidth="1"/>
    <col min="15106" max="15106" width="44.140625" style="12" bestFit="1" customWidth="1"/>
    <col min="15107" max="15107" width="10.42578125" style="12" bestFit="1" customWidth="1"/>
    <col min="15108" max="15108" width="10.42578125" style="12" customWidth="1"/>
    <col min="15109" max="15109" width="9.85546875" style="12" bestFit="1" customWidth="1"/>
    <col min="15110" max="15111" width="9.5703125" style="12" bestFit="1" customWidth="1"/>
    <col min="15112" max="15112" width="10.42578125" style="12" bestFit="1" customWidth="1"/>
    <col min="15113" max="15113" width="4.5703125" style="12" customWidth="1"/>
    <col min="15114" max="15114" width="1.85546875" style="12" customWidth="1"/>
    <col min="15115" max="15115" width="7" style="12" bestFit="1" customWidth="1"/>
    <col min="15116" max="15116" width="6.140625" style="12" customWidth="1"/>
    <col min="15117" max="15117" width="20.42578125" style="12" customWidth="1"/>
    <col min="15118" max="15118" width="6.42578125" style="12" bestFit="1" customWidth="1"/>
    <col min="15119" max="15120" width="8.42578125" style="12"/>
    <col min="15121" max="15121" width="3.140625" style="12" customWidth="1"/>
    <col min="15122" max="15360" width="8.42578125" style="12"/>
    <col min="15361" max="15361" width="10" style="12" bestFit="1" customWidth="1"/>
    <col min="15362" max="15362" width="44.140625" style="12" bestFit="1" customWidth="1"/>
    <col min="15363" max="15363" width="10.42578125" style="12" bestFit="1" customWidth="1"/>
    <col min="15364" max="15364" width="10.42578125" style="12" customWidth="1"/>
    <col min="15365" max="15365" width="9.85546875" style="12" bestFit="1" customWidth="1"/>
    <col min="15366" max="15367" width="9.5703125" style="12" bestFit="1" customWidth="1"/>
    <col min="15368" max="15368" width="10.42578125" style="12" bestFit="1" customWidth="1"/>
    <col min="15369" max="15369" width="4.5703125" style="12" customWidth="1"/>
    <col min="15370" max="15370" width="1.85546875" style="12" customWidth="1"/>
    <col min="15371" max="15371" width="7" style="12" bestFit="1" customWidth="1"/>
    <col min="15372" max="15372" width="6.140625" style="12" customWidth="1"/>
    <col min="15373" max="15373" width="20.42578125" style="12" customWidth="1"/>
    <col min="15374" max="15374" width="6.42578125" style="12" bestFit="1" customWidth="1"/>
    <col min="15375" max="15376" width="8.42578125" style="12"/>
    <col min="15377" max="15377" width="3.140625" style="12" customWidth="1"/>
    <col min="15378" max="15616" width="8.42578125" style="12"/>
    <col min="15617" max="15617" width="10" style="12" bestFit="1" customWidth="1"/>
    <col min="15618" max="15618" width="44.140625" style="12" bestFit="1" customWidth="1"/>
    <col min="15619" max="15619" width="10.42578125" style="12" bestFit="1" customWidth="1"/>
    <col min="15620" max="15620" width="10.42578125" style="12" customWidth="1"/>
    <col min="15621" max="15621" width="9.85546875" style="12" bestFit="1" customWidth="1"/>
    <col min="15622" max="15623" width="9.5703125" style="12" bestFit="1" customWidth="1"/>
    <col min="15624" max="15624" width="10.42578125" style="12" bestFit="1" customWidth="1"/>
    <col min="15625" max="15625" width="4.5703125" style="12" customWidth="1"/>
    <col min="15626" max="15626" width="1.85546875" style="12" customWidth="1"/>
    <col min="15627" max="15627" width="7" style="12" bestFit="1" customWidth="1"/>
    <col min="15628" max="15628" width="6.140625" style="12" customWidth="1"/>
    <col min="15629" max="15629" width="20.42578125" style="12" customWidth="1"/>
    <col min="15630" max="15630" width="6.42578125" style="12" bestFit="1" customWidth="1"/>
    <col min="15631" max="15632" width="8.42578125" style="12"/>
    <col min="15633" max="15633" width="3.140625" style="12" customWidth="1"/>
    <col min="15634" max="15872" width="8.42578125" style="12"/>
    <col min="15873" max="15873" width="10" style="12" bestFit="1" customWidth="1"/>
    <col min="15874" max="15874" width="44.140625" style="12" bestFit="1" customWidth="1"/>
    <col min="15875" max="15875" width="10.42578125" style="12" bestFit="1" customWidth="1"/>
    <col min="15876" max="15876" width="10.42578125" style="12" customWidth="1"/>
    <col min="15877" max="15877" width="9.85546875" style="12" bestFit="1" customWidth="1"/>
    <col min="15878" max="15879" width="9.5703125" style="12" bestFit="1" customWidth="1"/>
    <col min="15880" max="15880" width="10.42578125" style="12" bestFit="1" customWidth="1"/>
    <col min="15881" max="15881" width="4.5703125" style="12" customWidth="1"/>
    <col min="15882" max="15882" width="1.85546875" style="12" customWidth="1"/>
    <col min="15883" max="15883" width="7" style="12" bestFit="1" customWidth="1"/>
    <col min="15884" max="15884" width="6.140625" style="12" customWidth="1"/>
    <col min="15885" max="15885" width="20.42578125" style="12" customWidth="1"/>
    <col min="15886" max="15886" width="6.42578125" style="12" bestFit="1" customWidth="1"/>
    <col min="15887" max="15888" width="8.42578125" style="12"/>
    <col min="15889" max="15889" width="3.140625" style="12" customWidth="1"/>
    <col min="15890" max="16128" width="8.42578125" style="12"/>
    <col min="16129" max="16129" width="10" style="12" bestFit="1" customWidth="1"/>
    <col min="16130" max="16130" width="44.140625" style="12" bestFit="1" customWidth="1"/>
    <col min="16131" max="16131" width="10.42578125" style="12" bestFit="1" customWidth="1"/>
    <col min="16132" max="16132" width="10.42578125" style="12" customWidth="1"/>
    <col min="16133" max="16133" width="9.85546875" style="12" bestFit="1" customWidth="1"/>
    <col min="16134" max="16135" width="9.5703125" style="12" bestFit="1" customWidth="1"/>
    <col min="16136" max="16136" width="10.42578125" style="12" bestFit="1" customWidth="1"/>
    <col min="16137" max="16137" width="4.5703125" style="12" customWidth="1"/>
    <col min="16138" max="16138" width="1.85546875" style="12" customWidth="1"/>
    <col min="16139" max="16139" width="7" style="12" bestFit="1" customWidth="1"/>
    <col min="16140" max="16140" width="6.140625" style="12" customWidth="1"/>
    <col min="16141" max="16141" width="20.42578125" style="12" customWidth="1"/>
    <col min="16142" max="16142" width="6.42578125" style="12" bestFit="1" customWidth="1"/>
    <col min="16143" max="16144" width="8.42578125" style="12"/>
    <col min="16145" max="16145" width="3.140625" style="12" customWidth="1"/>
    <col min="16146" max="16384" width="8.42578125" style="12"/>
  </cols>
  <sheetData>
    <row r="1" spans="1:10" ht="27.75" customHeight="1" x14ac:dyDescent="0.2">
      <c r="A1" s="7"/>
      <c r="B1" s="7"/>
      <c r="C1" s="7"/>
      <c r="D1" s="7"/>
      <c r="E1" s="8" t="s">
        <v>52</v>
      </c>
      <c r="F1" s="9" t="s">
        <v>53</v>
      </c>
      <c r="G1" s="9" t="s">
        <v>54</v>
      </c>
      <c r="H1" s="9" t="s">
        <v>55</v>
      </c>
      <c r="I1" s="10"/>
    </row>
    <row r="2" spans="1:10" ht="30.75" customHeight="1" x14ac:dyDescent="0.2">
      <c r="A2" s="7"/>
      <c r="B2" s="7"/>
      <c r="C2" s="7"/>
      <c r="D2" s="7"/>
      <c r="E2" s="13">
        <f>IFERROR(O71,"")</f>
        <v>5439.3878936539541</v>
      </c>
      <c r="F2" s="13">
        <f>IFERROR(H62,"")</f>
        <v>1799.7910565008594</v>
      </c>
      <c r="G2" s="13">
        <f>IFERROR(H63,"")</f>
        <v>1603.4644771805556</v>
      </c>
      <c r="H2" s="13">
        <f>IFERROR(H65,"")</f>
        <v>707.0074490038312</v>
      </c>
      <c r="I2" s="14"/>
    </row>
    <row r="3" spans="1:10" ht="15" customHeight="1" x14ac:dyDescent="0.2">
      <c r="A3" s="7"/>
      <c r="B3" s="7"/>
      <c r="C3" s="7"/>
      <c r="D3" s="7"/>
      <c r="E3" s="7"/>
      <c r="F3" s="15"/>
      <c r="G3" s="15"/>
      <c r="H3" s="15"/>
      <c r="I3" s="15"/>
    </row>
    <row r="4" spans="1:10" ht="24.75" customHeight="1" thickBot="1" x14ac:dyDescent="0.25">
      <c r="A4" s="202"/>
      <c r="B4" s="202"/>
      <c r="C4" s="202"/>
      <c r="D4" s="202"/>
      <c r="E4" s="202"/>
      <c r="F4" s="202"/>
      <c r="G4" s="202"/>
      <c r="H4" s="202"/>
      <c r="I4" s="16"/>
    </row>
    <row r="5" spans="1:10" ht="19.5" customHeight="1" thickBot="1" x14ac:dyDescent="0.25">
      <c r="A5" s="203" t="s">
        <v>57</v>
      </c>
      <c r="B5" s="204"/>
      <c r="C5" s="204"/>
      <c r="D5" s="204"/>
      <c r="E5" s="204"/>
      <c r="F5" s="204"/>
      <c r="G5" s="204"/>
      <c r="H5" s="205"/>
      <c r="I5" s="17"/>
    </row>
    <row r="6" spans="1:10" ht="19.5" thickBot="1" x14ac:dyDescent="0.25">
      <c r="A6" s="17"/>
      <c r="B6" s="17"/>
      <c r="C6" s="17"/>
      <c r="D6" s="17"/>
      <c r="E6" s="17"/>
      <c r="F6" s="206" t="s">
        <v>58</v>
      </c>
      <c r="G6" s="206"/>
      <c r="H6" s="18">
        <f ca="1">TODAY()</f>
        <v>45938</v>
      </c>
      <c r="I6" s="18"/>
    </row>
    <row r="7" spans="1:10" ht="26.25" thickBot="1" x14ac:dyDescent="0.25">
      <c r="A7" s="19" t="s">
        <v>59</v>
      </c>
      <c r="B7" s="20" t="s">
        <v>110</v>
      </c>
      <c r="C7" s="20" t="s">
        <v>59</v>
      </c>
      <c r="D7" s="21" t="s">
        <v>61</v>
      </c>
      <c r="E7" s="21" t="s">
        <v>62</v>
      </c>
      <c r="F7" s="21" t="s">
        <v>63</v>
      </c>
      <c r="G7" s="21" t="s">
        <v>64</v>
      </c>
      <c r="H7" s="22" t="s">
        <v>65</v>
      </c>
      <c r="I7" s="23"/>
    </row>
    <row r="8" spans="1:10" ht="13.5" x14ac:dyDescent="0.25">
      <c r="A8" s="25">
        <v>285</v>
      </c>
      <c r="B8" s="12" t="str">
        <f>IFERROR(VLOOKUP(H8,'[2]Consolidado MP Planta'!$A$2:$M$823,3,0),"")</f>
        <v>DULCE LECHE LA CIABATA (UND:5 K )</v>
      </c>
      <c r="C8" s="26">
        <f>+A8</f>
        <v>285</v>
      </c>
      <c r="D8" s="27" t="str">
        <f>IFERROR(VLOOKUP(H8,'[2]Consolidado MP Planta'!$A$2:$M$823,13,0),"")</f>
        <v>Gramos</v>
      </c>
      <c r="E8" s="27">
        <f>IFERROR(VLOOKUP(H8,'[2]Consolidado MP Planta'!$A$2:$M$823,12,0),"")</f>
        <v>1.6850000000000001</v>
      </c>
      <c r="F8" s="27">
        <f>IFERROR(C8*E8,"")</f>
        <v>480.22500000000002</v>
      </c>
      <c r="G8" s="101">
        <f t="shared" ref="G8:G14" si="0">IFERROR(F8/$F$75,"")</f>
        <v>0.12206261285586241</v>
      </c>
      <c r="H8" s="29" t="s">
        <v>147</v>
      </c>
      <c r="I8" s="29"/>
      <c r="J8" s="102"/>
    </row>
    <row r="9" spans="1:10" ht="13.5" x14ac:dyDescent="0.25">
      <c r="A9" s="25">
        <v>40</v>
      </c>
      <c r="B9" s="12" t="str">
        <f>IFERROR(VLOOKUP(H9,'[2]Consolidado MP Planta'!$A$2:$M$823,3,0),"")</f>
        <v>SIROPE CHOCOLATE HERSHEY (UND:24 ONZ)</v>
      </c>
      <c r="C9" s="26">
        <f t="shared" ref="C9:C14" si="1">+A9</f>
        <v>40</v>
      </c>
      <c r="D9" s="27" t="s">
        <v>154</v>
      </c>
      <c r="E9" s="27">
        <v>3.16</v>
      </c>
      <c r="F9" s="27">
        <f t="shared" ref="F9:F14" si="2">IFERROR(C9*E9,"")</f>
        <v>126.4</v>
      </c>
      <c r="G9" s="101">
        <f t="shared" si="0"/>
        <v>3.2128094674331843E-2</v>
      </c>
      <c r="H9" s="29" t="s">
        <v>153</v>
      </c>
      <c r="I9" s="29"/>
      <c r="J9" s="102"/>
    </row>
    <row r="10" spans="1:10" ht="13.5" x14ac:dyDescent="0.25">
      <c r="A10" s="25">
        <v>10</v>
      </c>
      <c r="B10" s="12" t="str">
        <f>IFERROR(VLOOKUP(H10,'[2]Consolidado MP Planta'!$A$2:$M$823,3,0),"")</f>
        <v>CONFITE PALITO CHOCOLATE (PAQ:680 G)</v>
      </c>
      <c r="C10" s="26">
        <f t="shared" si="1"/>
        <v>10</v>
      </c>
      <c r="D10" s="27" t="str">
        <f>IFERROR(VLOOKUP(H10,'[2]Consolidado MP Planta'!$A$2:$M$823,13,0),"")</f>
        <v>Gramos</v>
      </c>
      <c r="E10" s="27">
        <f>IFERROR(VLOOKUP(H10,'[2]Consolidado MP Planta'!$A$2:$M$823,12,0),"")</f>
        <v>2.901470588235294</v>
      </c>
      <c r="F10" s="27">
        <f t="shared" si="2"/>
        <v>29.014705882352942</v>
      </c>
      <c r="G10" s="101">
        <f t="shared" si="0"/>
        <v>7.3748988729124077E-3</v>
      </c>
      <c r="H10" s="29" t="s">
        <v>32</v>
      </c>
      <c r="I10" s="29"/>
      <c r="J10" s="102"/>
    </row>
    <row r="11" spans="1:10" ht="13.5" hidden="1" x14ac:dyDescent="0.25">
      <c r="A11" s="25"/>
      <c r="B11" s="12" t="str">
        <f>IFERROR(VLOOKUP(H11,'[2]Consolidado MP Planta'!$A$2:$M$823,3,0),"")</f>
        <v/>
      </c>
      <c r="C11" s="26">
        <f t="shared" si="1"/>
        <v>0</v>
      </c>
      <c r="D11" s="27" t="str">
        <f>IFERROR(VLOOKUP(H11,'[2]Consolidado MP Planta'!$A$2:$M$823,13,0),"")</f>
        <v/>
      </c>
      <c r="E11" s="27" t="str">
        <f>IFERROR(VLOOKUP(H11,'[2]Consolidado MP Planta'!$A$2:$M$823,12,0),"")</f>
        <v/>
      </c>
      <c r="F11" s="27" t="str">
        <f t="shared" si="2"/>
        <v/>
      </c>
      <c r="G11" s="101" t="str">
        <f t="shared" si="0"/>
        <v/>
      </c>
      <c r="H11" s="29"/>
      <c r="I11" s="29"/>
      <c r="J11" s="102"/>
    </row>
    <row r="12" spans="1:10" ht="13.5" hidden="1" x14ac:dyDescent="0.25">
      <c r="A12" s="25"/>
      <c r="B12" s="12" t="str">
        <f>IFERROR(VLOOKUP(H12,'[2]Consolidado MP Planta'!$A$2:$M$823,3,0),"")</f>
        <v/>
      </c>
      <c r="C12" s="26">
        <f t="shared" si="1"/>
        <v>0</v>
      </c>
      <c r="D12" s="27" t="str">
        <f>IFERROR(VLOOKUP(H12,'[2]Consolidado MP Planta'!$A$2:$M$823,13,0),"")</f>
        <v/>
      </c>
      <c r="E12" s="27" t="str">
        <f>IFERROR(VLOOKUP(H12,'[2]Consolidado MP Planta'!$A$2:$M$823,12,0),"")</f>
        <v/>
      </c>
      <c r="F12" s="27" t="str">
        <f t="shared" si="2"/>
        <v/>
      </c>
      <c r="G12" s="101" t="str">
        <f t="shared" si="0"/>
        <v/>
      </c>
      <c r="H12" s="29"/>
      <c r="I12" s="29"/>
      <c r="J12" s="102"/>
    </row>
    <row r="13" spans="1:10" ht="13.5" hidden="1" x14ac:dyDescent="0.25">
      <c r="A13" s="25"/>
      <c r="B13" s="12" t="str">
        <f>IFERROR(VLOOKUP(H13,'[2]Consolidado MP Planta'!$A$2:$M$823,3,0),"")</f>
        <v/>
      </c>
      <c r="C13" s="26">
        <f t="shared" si="1"/>
        <v>0</v>
      </c>
      <c r="D13" s="27" t="str">
        <f>IFERROR(VLOOKUP(H13,'[2]Consolidado MP Planta'!$A$2:$M$823,13,0),"")</f>
        <v/>
      </c>
      <c r="E13" s="27" t="str">
        <f>IFERROR(VLOOKUP(H13,'[2]Consolidado MP Planta'!$A$2:$M$823,12,0),"")</f>
        <v/>
      </c>
      <c r="F13" s="27" t="str">
        <f t="shared" si="2"/>
        <v/>
      </c>
      <c r="G13" s="101" t="str">
        <f t="shared" si="0"/>
        <v/>
      </c>
      <c r="H13" s="29"/>
      <c r="I13" s="29"/>
      <c r="J13" s="102"/>
    </row>
    <row r="14" spans="1:10" ht="13.5" hidden="1" x14ac:dyDescent="0.25">
      <c r="A14" s="25"/>
      <c r="B14" s="12" t="str">
        <f>IFERROR(VLOOKUP(H14,'[2]Consolidado MP Planta'!$A$2:$M$823,3,0),"")</f>
        <v/>
      </c>
      <c r="C14" s="26">
        <f t="shared" si="1"/>
        <v>0</v>
      </c>
      <c r="D14" s="27" t="str">
        <f>IFERROR(VLOOKUP(H14,'[2]Consolidado MP Planta'!$A$2:$M$823,13,0),"")</f>
        <v/>
      </c>
      <c r="E14" s="27" t="str">
        <f>IFERROR(VLOOKUP(H14,'[2]Consolidado MP Planta'!$A$2:$M$823,12,0),"")</f>
        <v/>
      </c>
      <c r="F14" s="27" t="str">
        <f t="shared" si="2"/>
        <v/>
      </c>
      <c r="G14" s="101" t="str">
        <f t="shared" si="0"/>
        <v/>
      </c>
      <c r="H14" s="29"/>
      <c r="I14" s="29"/>
      <c r="J14" s="102"/>
    </row>
    <row r="15" spans="1:10" ht="14.25" thickBot="1" x14ac:dyDescent="0.3">
      <c r="A15" s="25"/>
      <c r="B15" s="12" t="str">
        <f>IFERROR(VLOOKUP(H15,'[3]ARTICULOS MP PLANTA'!$A$2:$G$589,2,0),"")</f>
        <v/>
      </c>
      <c r="C15" s="26"/>
      <c r="D15" s="27"/>
      <c r="E15" s="27"/>
      <c r="F15" s="27"/>
      <c r="G15" s="101"/>
      <c r="H15" s="29"/>
      <c r="I15" s="29"/>
      <c r="J15" s="102"/>
    </row>
    <row r="16" spans="1:10" ht="26.25" thickBot="1" x14ac:dyDescent="0.25">
      <c r="A16" s="19" t="s">
        <v>59</v>
      </c>
      <c r="B16" s="20" t="s">
        <v>60</v>
      </c>
      <c r="C16" s="20" t="s">
        <v>59</v>
      </c>
      <c r="D16" s="21" t="s">
        <v>61</v>
      </c>
      <c r="E16" s="21" t="s">
        <v>62</v>
      </c>
      <c r="F16" s="21" t="s">
        <v>63</v>
      </c>
      <c r="G16" s="21" t="s">
        <v>64</v>
      </c>
      <c r="H16" s="22" t="s">
        <v>65</v>
      </c>
      <c r="I16" s="23"/>
      <c r="J16" s="102"/>
    </row>
    <row r="17" spans="1:12" ht="13.5" x14ac:dyDescent="0.25">
      <c r="A17" s="25">
        <v>1</v>
      </c>
      <c r="B17" s="12" t="str">
        <f>IFERROR(VLOOKUP(H17,[2]SEMIELABORADOS!$A$2:$M$6000,2,0),"")</f>
        <v>ROSQUETE CHOCOLATE BUCCA 800 g</v>
      </c>
      <c r="C17" s="26">
        <f>+A17</f>
        <v>1</v>
      </c>
      <c r="D17" s="26" t="str">
        <f>IFERROR(VLOOKUP(H17,[2]SEMIELABORADOS!$A$2:$M$6000,6,0),"")</f>
        <v>Und</v>
      </c>
      <c r="E17" s="27">
        <f>IFERROR(VLOOKUP(H17,[2]SEMIELABORADOS!$A$2:$H$65536,8,0),"")</f>
        <v>892.79828305829699</v>
      </c>
      <c r="F17" s="27">
        <f>IFERROR(E17*C17,"")</f>
        <v>892.79828305829699</v>
      </c>
      <c r="G17" s="101">
        <f t="shared" ref="G17:G24" si="3">IFERROR(F17/$F$75,"")</f>
        <v>0.22692965002514148</v>
      </c>
      <c r="H17" s="29" t="s">
        <v>143</v>
      </c>
      <c r="I17" s="29"/>
      <c r="J17" s="102"/>
    </row>
    <row r="18" spans="1:12" ht="13.5" x14ac:dyDescent="0.25">
      <c r="A18" s="25">
        <v>100</v>
      </c>
      <c r="B18" s="12" t="str">
        <f>IFERROR(VLOOKUP(H18,[2]SEMIELABORADOS!$A$2:$M$6000,2,0),"")</f>
        <v>CREMA CHANTILLY CHOCO SPOON KILO</v>
      </c>
      <c r="C18" s="26">
        <f t="shared" ref="C18:C24" si="4">+A18</f>
        <v>100</v>
      </c>
      <c r="D18" s="26" t="str">
        <f>IFERROR(VLOOKUP(H18,[2]SEMIELABORADOS!$A$2:$M$6000,6,0),"")</f>
        <v>Gramo</v>
      </c>
      <c r="E18" s="27">
        <f>IFERROR(VLOOKUP(H18,[2]SEMIELABORADOS!$A$2:$H$65536,8,0),"")</f>
        <v>2.7135306756020943</v>
      </c>
      <c r="F18" s="27">
        <f t="shared" ref="F18:F24" si="5">IFERROR(E18*C18,"")</f>
        <v>271.35306756020941</v>
      </c>
      <c r="G18" s="101">
        <f t="shared" si="3"/>
        <v>6.8971970290702317E-2</v>
      </c>
      <c r="H18" s="29" t="s">
        <v>29</v>
      </c>
      <c r="I18" s="29"/>
      <c r="J18" s="102"/>
    </row>
    <row r="19" spans="1:12" ht="13.5" hidden="1" x14ac:dyDescent="0.25">
      <c r="A19" s="25"/>
      <c r="B19" s="12" t="str">
        <f>IFERROR(VLOOKUP(H19,[2]SEMIELABORADOS!$A$2:$M$6000,2,0),"")</f>
        <v/>
      </c>
      <c r="C19" s="26">
        <f>+A19</f>
        <v>0</v>
      </c>
      <c r="D19" s="26" t="str">
        <f>IFERROR(VLOOKUP(H19,[2]SEMIELABORADOS!$A$2:$M$6000,6,0),"")</f>
        <v/>
      </c>
      <c r="E19" s="27" t="str">
        <f>IFERROR(VLOOKUP(H19,[2]SEMIELABORADOS!$A$2:$H$65536,8,0),"")</f>
        <v/>
      </c>
      <c r="F19" s="27" t="str">
        <f>IFERROR(E19*C19,"")</f>
        <v/>
      </c>
      <c r="G19" s="101" t="str">
        <f t="shared" si="3"/>
        <v/>
      </c>
      <c r="H19" s="29"/>
      <c r="I19" s="29"/>
      <c r="J19" s="102"/>
    </row>
    <row r="20" spans="1:12" ht="13.5" hidden="1" x14ac:dyDescent="0.25">
      <c r="A20" s="25"/>
      <c r="B20" s="12" t="str">
        <f>IFERROR(VLOOKUP(H20,[2]SEMIELABORADOS!$A$2:$M$6000,2,0),"")</f>
        <v/>
      </c>
      <c r="C20" s="26">
        <f>+A20</f>
        <v>0</v>
      </c>
      <c r="D20" s="26" t="str">
        <f>IFERROR(VLOOKUP(H20,[2]SEMIELABORADOS!$A$2:$M$6000,6,0),"")</f>
        <v/>
      </c>
      <c r="E20" s="27" t="str">
        <f>IFERROR(VLOOKUP(H20,[2]SEMIELABORADOS!$A$2:$H$65536,8,0),"")</f>
        <v/>
      </c>
      <c r="F20" s="27" t="str">
        <f>IFERROR(E20*C20,"")</f>
        <v/>
      </c>
      <c r="G20" s="101" t="str">
        <f t="shared" si="3"/>
        <v/>
      </c>
      <c r="H20" s="29"/>
      <c r="I20" s="29"/>
      <c r="J20" s="102"/>
    </row>
    <row r="21" spans="1:12" ht="13.5" hidden="1" x14ac:dyDescent="0.25">
      <c r="A21" s="25"/>
      <c r="B21" s="12" t="str">
        <f>IFERROR(VLOOKUP(H21,[2]SEMIELABORADOS!$A$2:$M$6000,2,0),"")</f>
        <v/>
      </c>
      <c r="C21" s="26">
        <f>+A21</f>
        <v>0</v>
      </c>
      <c r="D21" s="26" t="str">
        <f>IFERROR(VLOOKUP(H21,[2]SEMIELABORADOS!$A$2:$M$6000,6,0),"")</f>
        <v/>
      </c>
      <c r="E21" s="27" t="str">
        <f>IFERROR(VLOOKUP(H21,[2]SEMIELABORADOS!$A$2:$H$65536,8,0),"")</f>
        <v/>
      </c>
      <c r="F21" s="27" t="str">
        <f>IFERROR(E21*C21,"")</f>
        <v/>
      </c>
      <c r="G21" s="101" t="str">
        <f t="shared" si="3"/>
        <v/>
      </c>
      <c r="H21" s="29"/>
      <c r="I21" s="29"/>
      <c r="J21" s="102"/>
    </row>
    <row r="22" spans="1:12" ht="13.5" hidden="1" x14ac:dyDescent="0.25">
      <c r="A22" s="25"/>
      <c r="B22" s="12" t="str">
        <f>IFERROR(VLOOKUP(H22,[2]SEMIELABORADOS!$A$2:$M$6000,2,0),"")</f>
        <v/>
      </c>
      <c r="C22" s="26">
        <f t="shared" si="4"/>
        <v>0</v>
      </c>
      <c r="D22" s="26" t="str">
        <f>IFERROR(VLOOKUP(H22,[2]SEMIELABORADOS!$A$2:$M$6000,6,0),"")</f>
        <v/>
      </c>
      <c r="E22" s="27" t="str">
        <f>IFERROR(VLOOKUP(H22,[2]SEMIELABORADOS!$A$2:$H$65536,8,0),"")</f>
        <v/>
      </c>
      <c r="F22" s="27" t="str">
        <f t="shared" si="5"/>
        <v/>
      </c>
      <c r="G22" s="101" t="str">
        <f t="shared" si="3"/>
        <v/>
      </c>
      <c r="H22" s="29"/>
      <c r="I22" s="29"/>
      <c r="J22" s="102"/>
    </row>
    <row r="23" spans="1:12" ht="13.5" hidden="1" x14ac:dyDescent="0.25">
      <c r="A23" s="25"/>
      <c r="B23" s="12" t="str">
        <f>IFERROR(VLOOKUP(H23,[2]SEMIELABORADOS!$A$2:$M$6000,2,0),"")</f>
        <v/>
      </c>
      <c r="C23" s="26">
        <f t="shared" si="4"/>
        <v>0</v>
      </c>
      <c r="D23" s="26" t="str">
        <f>IFERROR(VLOOKUP(H23,[2]SEMIELABORADOS!$A$2:$M$6000,6,0),"")</f>
        <v/>
      </c>
      <c r="E23" s="27" t="str">
        <f>IFERROR(VLOOKUP(H23,[2]SEMIELABORADOS!$A$2:$H$65536,8,0),"")</f>
        <v/>
      </c>
      <c r="F23" s="27" t="str">
        <f t="shared" si="5"/>
        <v/>
      </c>
      <c r="G23" s="101" t="str">
        <f t="shared" si="3"/>
        <v/>
      </c>
      <c r="H23" s="29"/>
      <c r="I23" s="29"/>
      <c r="J23" s="102"/>
    </row>
    <row r="24" spans="1:12" ht="13.5" hidden="1" x14ac:dyDescent="0.25">
      <c r="A24" s="25"/>
      <c r="B24" s="12" t="str">
        <f>IFERROR(VLOOKUP(H24,[2]SEMIELABORADOS!$A$2:$M$6000,2,0),"")</f>
        <v/>
      </c>
      <c r="C24" s="26">
        <f t="shared" si="4"/>
        <v>0</v>
      </c>
      <c r="D24" s="26" t="str">
        <f>IFERROR(VLOOKUP(H24,[2]SEMIELABORADOS!$A$2:$M$6000,6,0),"")</f>
        <v/>
      </c>
      <c r="E24" s="27" t="str">
        <f>IFERROR(VLOOKUP(H24,[2]SEMIELABORADOS!$A$2:$H$65536,8,0),"")</f>
        <v/>
      </c>
      <c r="F24" s="27" t="str">
        <f t="shared" si="5"/>
        <v/>
      </c>
      <c r="G24" s="101" t="str">
        <f t="shared" si="3"/>
        <v/>
      </c>
      <c r="H24" s="29"/>
      <c r="I24" s="29"/>
      <c r="J24" s="102"/>
    </row>
    <row r="25" spans="1:12" ht="14.25" thickBot="1" x14ac:dyDescent="0.3">
      <c r="A25" s="25"/>
      <c r="C25" s="26"/>
      <c r="D25" s="26"/>
      <c r="E25" s="27"/>
      <c r="F25" s="27"/>
      <c r="G25" s="101"/>
      <c r="H25" s="29"/>
      <c r="I25" s="29"/>
      <c r="J25" s="102"/>
    </row>
    <row r="26" spans="1:12" ht="26.25" thickBot="1" x14ac:dyDescent="0.25">
      <c r="A26" s="19" t="s">
        <v>59</v>
      </c>
      <c r="B26" s="20" t="s">
        <v>49</v>
      </c>
      <c r="C26" s="20" t="s">
        <v>59</v>
      </c>
      <c r="D26" s="21" t="s">
        <v>61</v>
      </c>
      <c r="E26" s="21" t="s">
        <v>62</v>
      </c>
      <c r="F26" s="21" t="s">
        <v>63</v>
      </c>
      <c r="G26" s="21" t="s">
        <v>64</v>
      </c>
      <c r="H26" s="22" t="s">
        <v>65</v>
      </c>
      <c r="I26" s="23"/>
    </row>
    <row r="27" spans="1:12" ht="13.5" x14ac:dyDescent="0.25">
      <c r="A27" s="25">
        <v>1</v>
      </c>
      <c r="B27" s="30" t="str">
        <f>IFERROR(VLOOKUP(H27,'[2]Consolidado MP Planta'!$A$2:$M$823,3,0),"")</f>
        <v>QUEQUERA CHILENA (CAJA:50 UND)</v>
      </c>
      <c r="C27" s="26">
        <f t="shared" ref="C27:C41" si="6">+A27</f>
        <v>1</v>
      </c>
      <c r="D27" s="27" t="str">
        <f>IFERROR(VLOOKUP(H27,'[2]Consolidado MP Planta'!$A$2:$M$823,13,0),"")</f>
        <v>Und</v>
      </c>
      <c r="E27" s="27">
        <f>IFERROR(VLOOKUP(H27,'[2]Consolidado MP Planta'!$A$2:$M$823,12,0),"")</f>
        <v>827.06</v>
      </c>
      <c r="F27" s="27">
        <f t="shared" ref="F27:F41" si="7">IFERROR(C27*E27,"")</f>
        <v>827.06</v>
      </c>
      <c r="G27" s="101">
        <f>IFERROR(F27/$F$75,"")</f>
        <v>0.21022042706766528</v>
      </c>
      <c r="H27" s="31" t="s">
        <v>34</v>
      </c>
      <c r="I27" s="31"/>
      <c r="J27" s="102"/>
      <c r="K27" s="201"/>
      <c r="L27" s="201"/>
    </row>
    <row r="28" spans="1:12" ht="13.5" x14ac:dyDescent="0.25">
      <c r="A28" s="25">
        <v>1</v>
      </c>
      <c r="B28" s="30" t="str">
        <f>IFERROR(VLOOKUP(H28,'[2]Consolidado MP Planta'!$A$2:$M$823,3,0),"")</f>
        <v>ORLA CARTON 10" DORADA (UND)</v>
      </c>
      <c r="C28" s="26">
        <f t="shared" si="6"/>
        <v>1</v>
      </c>
      <c r="D28" s="27" t="str">
        <f>IFERROR(VLOOKUP(H28,'[2]Consolidado MP Planta'!$A$2:$M$823,13,0),"")</f>
        <v>Und</v>
      </c>
      <c r="E28" s="27">
        <f>IFERROR(VLOOKUP(H28,'[2]Consolidado MP Planta'!$A$2:$M$823,12,0),"")</f>
        <v>137</v>
      </c>
      <c r="F28" s="27">
        <f t="shared" si="7"/>
        <v>137</v>
      </c>
      <c r="G28" s="101">
        <f t="shared" ref="G28:G39" si="8">IFERROR(F28/$F$75,"")</f>
        <v>3.4822381094805871E-2</v>
      </c>
      <c r="H28" s="31" t="s">
        <v>24</v>
      </c>
      <c r="I28" s="31"/>
      <c r="J28" s="102"/>
      <c r="K28" s="10"/>
      <c r="L28" s="10"/>
    </row>
    <row r="29" spans="1:12" ht="13.5" x14ac:dyDescent="0.25">
      <c r="A29" s="25">
        <v>2</v>
      </c>
      <c r="B29" s="30" t="str">
        <f>IFERROR(VLOOKUP(H29,'[2]Consolidado MP Planta'!$A$2:$M$823,3,0),"")</f>
        <v>PAPEL ENCERADO 10X10 (CAJA)</v>
      </c>
      <c r="C29" s="26">
        <f t="shared" si="6"/>
        <v>2</v>
      </c>
      <c r="D29" s="27" t="str">
        <f>IFERROR(VLOOKUP(H29,'[2]Consolidado MP Planta'!$A$2:$M$823,13,0),"")</f>
        <v>Und</v>
      </c>
      <c r="E29" s="27">
        <f>IFERROR(VLOOKUP(H29,'[2]Consolidado MP Planta'!$A$2:$M$823,12,0),"")</f>
        <v>10.641999999999999</v>
      </c>
      <c r="F29" s="27">
        <f t="shared" si="7"/>
        <v>21.283999999999999</v>
      </c>
      <c r="G29" s="101">
        <f t="shared" si="8"/>
        <v>5.4099237899404972E-3</v>
      </c>
      <c r="H29" s="31" t="s">
        <v>38</v>
      </c>
      <c r="I29" s="31"/>
      <c r="J29" s="102"/>
      <c r="K29" s="10"/>
      <c r="L29" s="10"/>
    </row>
    <row r="30" spans="1:12" ht="13.5" x14ac:dyDescent="0.25">
      <c r="A30" s="25">
        <v>30</v>
      </c>
      <c r="B30" s="30" t="str">
        <f>IFERROR(VLOOKUP(H30,'[2]Consolidado MP Planta'!$A$2:$M$823,3,0),"")</f>
        <v>CINTA ADHESIVA TRANSPARENT 2*100 M (UND)</v>
      </c>
      <c r="C30" s="26">
        <f t="shared" si="6"/>
        <v>30</v>
      </c>
      <c r="D30" s="27" t="str">
        <f>IFERROR(VLOOKUP(H30,'[2]Consolidado MP Planta'!$A$2:$M$823,13,0),"")</f>
        <v>Cm</v>
      </c>
      <c r="E30" s="27">
        <f>IFERROR(VLOOKUP(H30,'[2]Consolidado MP Planta'!$A$2:$M$823,12,0),"")</f>
        <v>0.17499999999999999</v>
      </c>
      <c r="F30" s="27">
        <f t="shared" si="7"/>
        <v>5.25</v>
      </c>
      <c r="G30" s="101">
        <f t="shared" si="8"/>
        <v>1.3344343120272324E-3</v>
      </c>
      <c r="H30" s="31" t="s">
        <v>40</v>
      </c>
      <c r="I30" s="31"/>
      <c r="J30" s="102"/>
      <c r="K30" s="10"/>
      <c r="L30" s="10"/>
    </row>
    <row r="31" spans="1:12" ht="13.5" x14ac:dyDescent="0.25">
      <c r="A31" s="25">
        <v>1</v>
      </c>
      <c r="B31" s="30" t="str">
        <f>IFERROR(VLOOKUP(H31,'[2]Consolidado MP Planta'!$A$2:$M$823,3,0),"")</f>
        <v>ETIQUETA BLANCA R-153 (UND)</v>
      </c>
      <c r="C31" s="26">
        <f t="shared" si="6"/>
        <v>1</v>
      </c>
      <c r="D31" s="27" t="str">
        <f>IFERROR(VLOOKUP(H31,'[2]Consolidado MP Planta'!$A$2:$M$823,13,0),"")</f>
        <v>Und</v>
      </c>
      <c r="E31" s="27">
        <f>IFERROR(VLOOKUP(H31,'[2]Consolidado MP Planta'!$A$2:$M$823,12,0),"")</f>
        <v>0.39</v>
      </c>
      <c r="F31" s="27">
        <f t="shared" si="7"/>
        <v>0.39</v>
      </c>
      <c r="G31" s="101">
        <f t="shared" si="8"/>
        <v>9.9129406036308694E-5</v>
      </c>
      <c r="H31" s="31" t="s">
        <v>149</v>
      </c>
      <c r="I31" s="31"/>
      <c r="J31" s="102"/>
      <c r="K31" s="10"/>
      <c r="L31" s="10"/>
    </row>
    <row r="32" spans="1:12" ht="13.5" x14ac:dyDescent="0.25">
      <c r="A32" s="25">
        <v>1</v>
      </c>
      <c r="B32" s="30" t="str">
        <f>IFERROR(VLOOKUP(H32,'[2]Consolidado MP Planta'!$A$2:$M$823,3,0),"")</f>
        <v>ETIQ.FECHA VENCIMIENTO AMARILLO (ROLLO)</v>
      </c>
      <c r="C32" s="26">
        <f t="shared" si="6"/>
        <v>1</v>
      </c>
      <c r="D32" s="27" t="str">
        <f>IFERROR(VLOOKUP(H32,'[2]Consolidado MP Planta'!$A$2:$M$823,13,0),"")</f>
        <v>Und</v>
      </c>
      <c r="E32" s="27">
        <f>IFERROR(VLOOKUP(H32,'[2]Consolidado MP Planta'!$A$2:$M$823,12,0),"")</f>
        <v>0.33333333333333331</v>
      </c>
      <c r="F32" s="27">
        <f t="shared" si="7"/>
        <v>0.33333333333333331</v>
      </c>
      <c r="G32" s="101">
        <f t="shared" si="8"/>
        <v>8.4725988065221099E-5</v>
      </c>
      <c r="H32" s="31" t="s">
        <v>150</v>
      </c>
      <c r="I32" s="31"/>
      <c r="J32" s="102"/>
      <c r="K32" s="10"/>
      <c r="L32" s="10"/>
    </row>
    <row r="33" spans="1:12" ht="13.5" x14ac:dyDescent="0.25">
      <c r="A33" s="25">
        <v>1</v>
      </c>
      <c r="B33" s="30" t="str">
        <f>IFERROR(VLOOKUP(H33,'[2]Consolidado MP Planta'!$A$2:$M$823,3,0),"")</f>
        <v>ETIQUETA BLANCA 2 5/8X1 15/16 (UND)</v>
      </c>
      <c r="C33" s="26">
        <f t="shared" si="6"/>
        <v>1</v>
      </c>
      <c r="D33" s="27" t="str">
        <f>IFERROR(VLOOKUP(H33,'[2]Consolidado MP Planta'!$A$2:$M$823,13,0),"")</f>
        <v>Und</v>
      </c>
      <c r="E33" s="27">
        <f>IFERROR(VLOOKUP(H33,'[2]Consolidado MP Planta'!$A$2:$M$823,12,0),"")</f>
        <v>2.1280000000000001</v>
      </c>
      <c r="F33" s="27">
        <f t="shared" si="7"/>
        <v>2.1280000000000001</v>
      </c>
      <c r="G33" s="101">
        <f t="shared" si="8"/>
        <v>5.4089070780837152E-4</v>
      </c>
      <c r="H33" s="31" t="s">
        <v>51</v>
      </c>
      <c r="I33" s="31"/>
      <c r="J33" s="102"/>
      <c r="K33" s="201"/>
      <c r="L33" s="201"/>
    </row>
    <row r="34" spans="1:12" ht="13.5" x14ac:dyDescent="0.25">
      <c r="A34" s="25">
        <v>1</v>
      </c>
      <c r="B34" s="30" t="str">
        <f>IFERROR(VLOOKUP(H34,'[2]Consolidado MP Planta'!$A$2:$M$823,3,0),"")</f>
        <v>CAJA PRALINE (UND)</v>
      </c>
      <c r="C34" s="26">
        <f t="shared" si="6"/>
        <v>1</v>
      </c>
      <c r="D34" s="27" t="s">
        <v>151</v>
      </c>
      <c r="E34" s="27">
        <f>IFERROR(VLOOKUP(H34,'[2]Consolidado MP Planta'!$A$2:$M$823,12,0),"")</f>
        <v>576</v>
      </c>
      <c r="F34" s="27">
        <f t="shared" si="7"/>
        <v>576</v>
      </c>
      <c r="G34" s="101">
        <f t="shared" si="8"/>
        <v>0.14640650737670205</v>
      </c>
      <c r="H34" s="31" t="s">
        <v>45</v>
      </c>
      <c r="I34" s="31"/>
      <c r="J34" s="102"/>
      <c r="K34" s="10"/>
      <c r="L34" s="10"/>
    </row>
    <row r="35" spans="1:12" ht="13.5" x14ac:dyDescent="0.25">
      <c r="A35" s="25">
        <v>1</v>
      </c>
      <c r="B35" s="30" t="str">
        <f>IFERROR(VLOOKUP(H35,'[2]Consolidado MP Planta'!$A$2:$M$823,3,0),"")</f>
        <v>ETIQUETA BLANCA R-153 (UND)</v>
      </c>
      <c r="C35" s="26">
        <f t="shared" si="6"/>
        <v>1</v>
      </c>
      <c r="D35" s="27" t="str">
        <f>IFERROR(VLOOKUP(H35,'[2]Consolidado MP Planta'!$A$2:$M$823,13,0),"")</f>
        <v>Und</v>
      </c>
      <c r="E35" s="27">
        <f>IFERROR(VLOOKUP(H35,'[2]Consolidado MP Planta'!$A$2:$M$823,12,0),"")</f>
        <v>0.39</v>
      </c>
      <c r="F35" s="27">
        <f t="shared" si="7"/>
        <v>0.39</v>
      </c>
      <c r="G35" s="101">
        <f t="shared" si="8"/>
        <v>9.9129406036308694E-5</v>
      </c>
      <c r="H35" s="31" t="s">
        <v>149</v>
      </c>
      <c r="I35" s="31"/>
      <c r="J35" s="102"/>
      <c r="K35" s="10"/>
      <c r="L35" s="10"/>
    </row>
    <row r="36" spans="1:12" ht="13.5" x14ac:dyDescent="0.25">
      <c r="A36" s="25">
        <v>1</v>
      </c>
      <c r="B36" s="30" t="str">
        <f>IFERROR(VLOOKUP(H36,'[2]Consolidado MP Planta'!$A$2:$M$823,3,0),"")</f>
        <v>ETIQ.FECHA VENCIMIENTO AMARILLO (ROLLO)</v>
      </c>
      <c r="C36" s="26">
        <f t="shared" si="6"/>
        <v>1</v>
      </c>
      <c r="D36" s="27" t="str">
        <f>IFERROR(VLOOKUP(H36,'[2]Consolidado MP Planta'!$A$2:$M$823,13,0),"")</f>
        <v>Und</v>
      </c>
      <c r="E36" s="27">
        <f>IFERROR(VLOOKUP(H36,'[2]Consolidado MP Planta'!$A$2:$M$823,12,0),"")</f>
        <v>0.33333333333333331</v>
      </c>
      <c r="F36" s="27">
        <f t="shared" si="7"/>
        <v>0.33333333333333331</v>
      </c>
      <c r="G36" s="101">
        <f t="shared" si="8"/>
        <v>8.4725988065221099E-5</v>
      </c>
      <c r="H36" s="31" t="s">
        <v>150</v>
      </c>
      <c r="I36" s="31"/>
      <c r="J36" s="102"/>
      <c r="K36" s="10"/>
      <c r="L36" s="10"/>
    </row>
    <row r="37" spans="1:12" ht="13.5" x14ac:dyDescent="0.25">
      <c r="A37" s="25">
        <v>1</v>
      </c>
      <c r="B37" s="30" t="str">
        <f>IFERROR(VLOOKUP(H37,'[2]Consolidado MP Planta'!$A$2:$M$823,3,0),"")</f>
        <v>ETIQUETA BLANCA 2 5/8X1 15/16 (UND)</v>
      </c>
      <c r="C37" s="26">
        <f t="shared" si="6"/>
        <v>1</v>
      </c>
      <c r="D37" s="27" t="str">
        <f>IFERROR(VLOOKUP(H37,'[2]Consolidado MP Planta'!$A$2:$M$823,13,0),"")</f>
        <v>Und</v>
      </c>
      <c r="E37" s="27">
        <f>IFERROR(VLOOKUP(H37,'[2]Consolidado MP Planta'!$A$2:$M$823,12,0),"")</f>
        <v>2.1280000000000001</v>
      </c>
      <c r="F37" s="27">
        <f t="shared" si="7"/>
        <v>2.1280000000000001</v>
      </c>
      <c r="G37" s="101">
        <f t="shared" si="8"/>
        <v>5.4089070780837152E-4</v>
      </c>
      <c r="H37" s="31" t="s">
        <v>51</v>
      </c>
      <c r="I37" s="31"/>
      <c r="J37" s="102"/>
      <c r="K37" s="10"/>
      <c r="L37" s="10"/>
    </row>
    <row r="38" spans="1:12" ht="13.5" x14ac:dyDescent="0.25">
      <c r="A38" s="25">
        <v>100</v>
      </c>
      <c r="B38" s="30" t="str">
        <f>IFERROR(VLOOKUP(H38,'[2]Consolidado MP Planta'!$A$2:$M$823,3,0),"")</f>
        <v>CINTA ADHESIVA TRANSPARENT 2*100 M (UND)</v>
      </c>
      <c r="C38" s="26">
        <f t="shared" si="6"/>
        <v>100</v>
      </c>
      <c r="D38" s="27" t="str">
        <f>IFERROR(VLOOKUP(H38,'[2]Consolidado MP Planta'!$A$2:$M$823,13,0),"")</f>
        <v>Cm</v>
      </c>
      <c r="E38" s="27">
        <f>IFERROR(VLOOKUP(H38,'[2]Consolidado MP Planta'!$A$2:$M$823,12,0),"")</f>
        <v>0.17499999999999999</v>
      </c>
      <c r="F38" s="27">
        <f t="shared" si="7"/>
        <v>17.5</v>
      </c>
      <c r="G38" s="101">
        <f t="shared" si="8"/>
        <v>4.448114373424108E-3</v>
      </c>
      <c r="H38" s="31" t="s">
        <v>40</v>
      </c>
      <c r="I38" s="31"/>
      <c r="J38" s="102"/>
      <c r="K38" s="201"/>
      <c r="L38" s="201"/>
    </row>
    <row r="39" spans="1:12" ht="13.5" hidden="1" x14ac:dyDescent="0.25">
      <c r="A39" s="25"/>
      <c r="B39" s="30" t="str">
        <f>IFERROR(VLOOKUP(H39,'[2]Consolidado MP Planta'!$A$2:$M$823,3,0),"")</f>
        <v/>
      </c>
      <c r="C39" s="26">
        <f t="shared" si="6"/>
        <v>0</v>
      </c>
      <c r="D39" s="27" t="str">
        <f>IFERROR(VLOOKUP(H39,'[2]Consolidado MP Planta'!$A$2:$M$823,13,0),"")</f>
        <v/>
      </c>
      <c r="E39" s="27" t="str">
        <f>IFERROR(VLOOKUP(H39,'[2]Consolidado MP Planta'!$A$2:$M$823,12,0),"")</f>
        <v/>
      </c>
      <c r="F39" s="27" t="str">
        <f t="shared" si="7"/>
        <v/>
      </c>
      <c r="G39" s="101" t="str">
        <f t="shared" si="8"/>
        <v/>
      </c>
      <c r="H39" s="31"/>
      <c r="I39" s="31"/>
      <c r="J39" s="102"/>
      <c r="K39" s="201"/>
      <c r="L39" s="201"/>
    </row>
    <row r="40" spans="1:12" ht="13.5" hidden="1" x14ac:dyDescent="0.25">
      <c r="A40" s="25"/>
      <c r="B40" s="30" t="str">
        <f>IFERROR(VLOOKUP(H40,'[2]Consolidado MP Planta'!$A$2:$M$823,3,0),"")</f>
        <v/>
      </c>
      <c r="C40" s="26">
        <f t="shared" si="6"/>
        <v>0</v>
      </c>
      <c r="D40" s="27" t="str">
        <f>IFERROR(VLOOKUP(H40,'[2]Consolidado MP Planta'!$A$2:$M$823,13,0),"")</f>
        <v/>
      </c>
      <c r="E40" s="27" t="str">
        <f>IFERROR(VLOOKUP(H40,'[2]Consolidado MP Planta'!$A$2:$M$823,12,0),"")</f>
        <v/>
      </c>
      <c r="F40" s="27" t="str">
        <f t="shared" si="7"/>
        <v/>
      </c>
      <c r="G40" s="101" t="str">
        <f>IFERROR(F40/$F$75,"")</f>
        <v/>
      </c>
      <c r="H40" s="31"/>
      <c r="I40" s="31"/>
      <c r="J40" s="102"/>
      <c r="K40" s="103"/>
      <c r="L40" s="104"/>
    </row>
    <row r="41" spans="1:12" ht="13.5" hidden="1" x14ac:dyDescent="0.25">
      <c r="A41" s="25"/>
      <c r="B41" s="30" t="str">
        <f>IFERROR(VLOOKUP(H41,'[2]Consolidado MP Planta'!$A$2:$M$823,3,0),"")</f>
        <v/>
      </c>
      <c r="C41" s="26">
        <f t="shared" si="6"/>
        <v>0</v>
      </c>
      <c r="D41" s="27" t="str">
        <f>IFERROR(VLOOKUP(H41,'[2]Consolidado MP Planta'!$A$2:$M$823,13,0),"")</f>
        <v/>
      </c>
      <c r="E41" s="27" t="str">
        <f>IFERROR(VLOOKUP(H41,'[2]Consolidado MP Planta'!$A$2:$M$823,12,0),"")</f>
        <v/>
      </c>
      <c r="F41" s="27" t="str">
        <f t="shared" si="7"/>
        <v/>
      </c>
      <c r="G41" s="101" t="str">
        <f>IFERROR(F41/$F$75,"")</f>
        <v/>
      </c>
      <c r="H41" s="31"/>
      <c r="I41" s="31"/>
      <c r="J41" s="102"/>
    </row>
    <row r="42" spans="1:12" ht="14.25" thickBot="1" x14ac:dyDescent="0.3">
      <c r="A42" s="25"/>
      <c r="B42" s="30"/>
      <c r="C42" s="26"/>
      <c r="D42" s="27"/>
      <c r="E42" s="27"/>
      <c r="F42" s="27"/>
      <c r="G42" s="101"/>
      <c r="H42" s="31"/>
      <c r="I42" s="31"/>
      <c r="J42" s="102"/>
    </row>
    <row r="43" spans="1:12" ht="26.25" thickBot="1" x14ac:dyDescent="0.25">
      <c r="A43" s="19" t="s">
        <v>59</v>
      </c>
      <c r="B43" s="20" t="s">
        <v>68</v>
      </c>
      <c r="C43" s="20" t="s">
        <v>59</v>
      </c>
      <c r="D43" s="21" t="s">
        <v>61</v>
      </c>
      <c r="E43" s="21" t="s">
        <v>62</v>
      </c>
      <c r="F43" s="21" t="s">
        <v>63</v>
      </c>
      <c r="G43" s="21" t="s">
        <v>64</v>
      </c>
      <c r="H43" s="22" t="s">
        <v>65</v>
      </c>
      <c r="I43" s="31"/>
      <c r="J43" s="102"/>
    </row>
    <row r="44" spans="1:12" ht="13.5" x14ac:dyDescent="0.25">
      <c r="A44" s="25">
        <f t="shared" ref="A44:A50" si="9">+A17</f>
        <v>1</v>
      </c>
      <c r="B44" s="30" t="str">
        <f>IFERROR(VLOOKUP(H44,[2]SEMIELABORADOS!$A$2:$M$6000,2,0),"")</f>
        <v>ROSQUETE CHOCOLATE BUCCA 800 g</v>
      </c>
      <c r="C44" s="26">
        <f>+A44</f>
        <v>1</v>
      </c>
      <c r="D44" s="27" t="str">
        <f>IFERROR(VLOOKUP(H44,[2]SEMIELABORADOS!$A$2:$M$6000,6,0),"")</f>
        <v>Und</v>
      </c>
      <c r="E44" s="27">
        <f>IFERROR(VLOOKUP(H44,[2]SEMIELABORADOS!$A$2:$M$65536,10,0),"")</f>
        <v>13.65929851388889</v>
      </c>
      <c r="F44" s="27">
        <f>IFERROR(E44*C44,"")</f>
        <v>13.65929851388889</v>
      </c>
      <c r="G44" s="101">
        <f t="shared" ref="G44:G50" si="10">IFERROR(F44/$F$75,"")</f>
        <v>3.4718926886011274E-3</v>
      </c>
      <c r="H44" s="31" t="s">
        <v>143</v>
      </c>
      <c r="I44" s="31"/>
      <c r="J44" s="102"/>
    </row>
    <row r="45" spans="1:12" ht="13.5" x14ac:dyDescent="0.25">
      <c r="A45" s="25">
        <f t="shared" si="9"/>
        <v>100</v>
      </c>
      <c r="B45" s="30" t="str">
        <f>IFERROR(VLOOKUP(H45,[2]SEMIELABORADOS!$A$2:$M$6000,2,0),"")</f>
        <v>CREMA CHANTILLY CHOCO SPOON KILO</v>
      </c>
      <c r="C45" s="26">
        <f t="shared" ref="C45:C50" si="11">+A45</f>
        <v>100</v>
      </c>
      <c r="D45" s="27" t="str">
        <f>IFERROR(VLOOKUP(H45,[2]SEMIELABORADOS!$A$2:$M$6000,6,0),"")</f>
        <v>Gramo</v>
      </c>
      <c r="E45" s="27">
        <f>IFERROR(VLOOKUP(H45,[2]SEMIELABORADOS!$A$2:$M$65536,10,0),"")</f>
        <v>8.5119999999999998E-5</v>
      </c>
      <c r="F45" s="27">
        <f t="shared" ref="F45:F50" si="12">IFERROR(E45*C45,"")</f>
        <v>8.5120000000000005E-3</v>
      </c>
      <c r="G45" s="101">
        <f t="shared" si="10"/>
        <v>2.1635628312334862E-6</v>
      </c>
      <c r="H45" s="31" t="s">
        <v>29</v>
      </c>
      <c r="I45" s="31"/>
      <c r="J45" s="102"/>
    </row>
    <row r="46" spans="1:12" ht="13.5" hidden="1" x14ac:dyDescent="0.25">
      <c r="A46" s="25">
        <f t="shared" si="9"/>
        <v>0</v>
      </c>
      <c r="B46" s="30" t="str">
        <f>IFERROR(VLOOKUP(H46,[2]SEMIELABORADOS!$A$2:$M$6000,2,0),"")</f>
        <v/>
      </c>
      <c r="C46" s="26">
        <f t="shared" si="11"/>
        <v>0</v>
      </c>
      <c r="D46" s="27" t="str">
        <f>IFERROR(VLOOKUP(H46,[2]SEMIELABORADOS!$A$2:$M$6000,6,0),"")</f>
        <v/>
      </c>
      <c r="E46" s="27" t="str">
        <f>IFERROR(VLOOKUP(H46,[2]SEMIELABORADOS!$A$2:$M$65536,10,0),"")</f>
        <v/>
      </c>
      <c r="F46" s="27" t="str">
        <f t="shared" si="12"/>
        <v/>
      </c>
      <c r="G46" s="101" t="str">
        <f t="shared" si="10"/>
        <v/>
      </c>
      <c r="H46" s="31"/>
      <c r="I46" s="31"/>
      <c r="J46" s="102"/>
    </row>
    <row r="47" spans="1:12" ht="13.5" hidden="1" x14ac:dyDescent="0.25">
      <c r="A47" s="25">
        <f t="shared" si="9"/>
        <v>0</v>
      </c>
      <c r="B47" s="30" t="str">
        <f>IFERROR(VLOOKUP(H47,[2]SEMIELABORADOS!$A$2:$M$6000,2,0),"")</f>
        <v/>
      </c>
      <c r="C47" s="26">
        <f>+A47</f>
        <v>0</v>
      </c>
      <c r="D47" s="27" t="str">
        <f>IFERROR(VLOOKUP(H47,[2]SEMIELABORADOS!$A$2:$M$6000,6,0),"")</f>
        <v/>
      </c>
      <c r="E47" s="27" t="str">
        <f>IFERROR(VLOOKUP(H47,[2]SEMIELABORADOS!$A$2:$M$65536,10,0),"")</f>
        <v/>
      </c>
      <c r="F47" s="27" t="str">
        <f>IFERROR(E47*C47,"")</f>
        <v/>
      </c>
      <c r="G47" s="101" t="str">
        <f t="shared" si="10"/>
        <v/>
      </c>
      <c r="H47" s="31"/>
      <c r="I47" s="31"/>
      <c r="J47" s="102"/>
    </row>
    <row r="48" spans="1:12" ht="13.5" hidden="1" x14ac:dyDescent="0.25">
      <c r="A48" s="25">
        <f t="shared" si="9"/>
        <v>0</v>
      </c>
      <c r="B48" s="30" t="str">
        <f>IFERROR(VLOOKUP(H48,[2]SEMIELABORADOS!$A$2:$M$6000,2,0),"")</f>
        <v/>
      </c>
      <c r="C48" s="26">
        <f>+A48</f>
        <v>0</v>
      </c>
      <c r="D48" s="27" t="str">
        <f>IFERROR(VLOOKUP(H48,[2]SEMIELABORADOS!$A$2:$M$6000,6,0),"")</f>
        <v/>
      </c>
      <c r="E48" s="27" t="str">
        <f>IFERROR(VLOOKUP(H48,[2]SEMIELABORADOS!$A$2:$M$65536,10,0),"")</f>
        <v/>
      </c>
      <c r="F48" s="27" t="str">
        <f>IFERROR(E48*C48,"")</f>
        <v/>
      </c>
      <c r="G48" s="101" t="str">
        <f t="shared" si="10"/>
        <v/>
      </c>
      <c r="H48" s="31"/>
      <c r="I48" s="31"/>
      <c r="J48" s="102"/>
    </row>
    <row r="49" spans="1:17" ht="13.5" hidden="1" x14ac:dyDescent="0.25">
      <c r="A49" s="25">
        <f t="shared" si="9"/>
        <v>0</v>
      </c>
      <c r="B49" s="30" t="str">
        <f>IFERROR(VLOOKUP(H49,[2]SEMIELABORADOS!$A$2:$M$6000,2,0),"")</f>
        <v/>
      </c>
      <c r="C49" s="26">
        <f t="shared" si="11"/>
        <v>0</v>
      </c>
      <c r="D49" s="27" t="str">
        <f>IFERROR(VLOOKUP(H49,[2]SEMIELABORADOS!$A$2:$M$6000,6,0),"")</f>
        <v/>
      </c>
      <c r="E49" s="27" t="str">
        <f>IFERROR(VLOOKUP(H49,[2]SEMIELABORADOS!$A$2:$M$65536,10,0),"")</f>
        <v/>
      </c>
      <c r="F49" s="27" t="str">
        <f t="shared" si="12"/>
        <v/>
      </c>
      <c r="G49" s="101" t="str">
        <f t="shared" si="10"/>
        <v/>
      </c>
      <c r="H49" s="31"/>
      <c r="I49" s="31"/>
      <c r="J49" s="102"/>
    </row>
    <row r="50" spans="1:17" ht="13.5" hidden="1" x14ac:dyDescent="0.25">
      <c r="A50" s="25">
        <f t="shared" si="9"/>
        <v>0</v>
      </c>
      <c r="B50" s="30" t="str">
        <f>IFERROR(VLOOKUP(H50,[2]SEMIELABORADOS!$A$2:$M$6000,2,0),"")</f>
        <v/>
      </c>
      <c r="C50" s="26">
        <f t="shared" si="11"/>
        <v>0</v>
      </c>
      <c r="D50" s="27" t="str">
        <f>IFERROR(VLOOKUP(H50,[2]SEMIELABORADOS!$A$2:$M$6000,6,0),"")</f>
        <v/>
      </c>
      <c r="E50" s="27" t="str">
        <f>IFERROR(VLOOKUP(H50,[2]SEMIELABORADOS!$A$2:$M$65536,10,0),"")</f>
        <v/>
      </c>
      <c r="F50" s="27" t="str">
        <f t="shared" si="12"/>
        <v/>
      </c>
      <c r="G50" s="101" t="str">
        <f t="shared" si="10"/>
        <v/>
      </c>
      <c r="H50" s="31"/>
      <c r="I50" s="31"/>
      <c r="J50" s="102"/>
    </row>
    <row r="51" spans="1:17" ht="14.25" thickBot="1" x14ac:dyDescent="0.3">
      <c r="A51" s="25"/>
      <c r="B51" s="30"/>
      <c r="C51" s="26"/>
      <c r="D51" s="27"/>
      <c r="E51" s="27"/>
      <c r="F51" s="27"/>
      <c r="G51" s="101"/>
      <c r="H51" s="31"/>
      <c r="I51" s="31"/>
      <c r="J51" s="102"/>
    </row>
    <row r="52" spans="1:17" ht="26.25" thickBot="1" x14ac:dyDescent="0.25">
      <c r="A52" s="19" t="s">
        <v>59</v>
      </c>
      <c r="B52" s="20" t="s">
        <v>71</v>
      </c>
      <c r="C52" s="20" t="s">
        <v>59</v>
      </c>
      <c r="D52" s="21" t="s">
        <v>61</v>
      </c>
      <c r="E52" s="21" t="s">
        <v>62</v>
      </c>
      <c r="F52" s="21" t="s">
        <v>63</v>
      </c>
      <c r="G52" s="21" t="s">
        <v>64</v>
      </c>
      <c r="H52" s="22" t="s">
        <v>65</v>
      </c>
      <c r="I52" s="23"/>
      <c r="J52" s="102"/>
    </row>
    <row r="53" spans="1:17" ht="13.5" x14ac:dyDescent="0.25">
      <c r="A53" s="25">
        <f>+A44</f>
        <v>1</v>
      </c>
      <c r="B53" s="30" t="str">
        <f>IFERROR(VLOOKUP(H53,[2]SEMIELABORADOS!$A$2:$M$6000,2,0),"")</f>
        <v>ROSQUETE CHOCOLATE BUCCA 800 g</v>
      </c>
      <c r="C53" s="26">
        <f>+A53</f>
        <v>1</v>
      </c>
      <c r="D53" s="27" t="str">
        <f>IFERROR(VLOOKUP(H53,[2]SEMIELABORADOS!$A$2:$M$6000,6,0),"")</f>
        <v>Und</v>
      </c>
      <c r="E53" s="27">
        <f>IFERROR(VLOOKUP(H53,[2]SEMIELABORADOS!$A$2:$M$65536,12,0),"")</f>
        <v>163.16236468299346</v>
      </c>
      <c r="F53" s="27">
        <f>IFERROR(E53*C53,"")</f>
        <v>163.16236468299346</v>
      </c>
      <c r="G53" s="101">
        <f>IFERROR(F53/$F$75,"")</f>
        <v>4.1472277688473669E-2</v>
      </c>
      <c r="H53" s="31" t="s">
        <v>143</v>
      </c>
      <c r="I53" s="23"/>
      <c r="J53" s="102"/>
    </row>
    <row r="54" spans="1:17" ht="13.5" x14ac:dyDescent="0.25">
      <c r="A54" s="25">
        <f t="shared" ref="A54:A59" si="13">+A45</f>
        <v>100</v>
      </c>
      <c r="B54" s="30" t="str">
        <f>IFERROR(VLOOKUP(H54,[2]SEMIELABORADOS!$A$2:$M$6000,2,0),"")</f>
        <v>CREMA CHANTILLY CHOCO SPOON KILO</v>
      </c>
      <c r="C54" s="26">
        <f t="shared" ref="C54:C59" si="14">+A54</f>
        <v>100</v>
      </c>
      <c r="D54" s="27" t="str">
        <f>IFERROR(VLOOKUP(H54,[2]SEMIELABORADOS!$A$2:$M$6000,6,0),"")</f>
        <v>Gramo</v>
      </c>
      <c r="E54" s="27">
        <f>IFERROR(VLOOKUP(H54,[2]SEMIELABORADOS!$A$2:$M$65536,12,0),"")</f>
        <v>0.48845084320837695</v>
      </c>
      <c r="F54" s="27">
        <f t="shared" ref="F54:F59" si="15">IFERROR(E54*C54,"")</f>
        <v>48.845084320837692</v>
      </c>
      <c r="G54" s="101">
        <f t="shared" ref="G54:G59" si="16">IFERROR(F54/$F$75,"")</f>
        <v>1.2415344093636038E-2</v>
      </c>
      <c r="H54" s="31" t="s">
        <v>29</v>
      </c>
      <c r="I54" s="23"/>
      <c r="J54" s="102"/>
    </row>
    <row r="55" spans="1:17" ht="13.5" hidden="1" x14ac:dyDescent="0.25">
      <c r="A55" s="25">
        <f t="shared" si="13"/>
        <v>0</v>
      </c>
      <c r="B55" s="30" t="str">
        <f>IFERROR(VLOOKUP(H55,[2]SEMIELABORADOS!$A$2:$M$6000,2,0),"")</f>
        <v/>
      </c>
      <c r="C55" s="26">
        <f t="shared" si="14"/>
        <v>0</v>
      </c>
      <c r="D55" s="27" t="str">
        <f>IFERROR(VLOOKUP(H55,[2]SEMIELABORADOS!$A$2:$M$6000,6,0),"")</f>
        <v/>
      </c>
      <c r="E55" s="27" t="str">
        <f>IFERROR(VLOOKUP(H55,[2]SEMIELABORADOS!$A$2:$M$65536,12,0),"")</f>
        <v/>
      </c>
      <c r="F55" s="27" t="str">
        <f t="shared" si="15"/>
        <v/>
      </c>
      <c r="G55" s="101" t="str">
        <f t="shared" si="16"/>
        <v/>
      </c>
      <c r="H55" s="31"/>
      <c r="I55" s="23"/>
      <c r="J55" s="102"/>
    </row>
    <row r="56" spans="1:17" ht="13.5" hidden="1" x14ac:dyDescent="0.25">
      <c r="A56" s="25">
        <f t="shared" si="13"/>
        <v>0</v>
      </c>
      <c r="B56" s="30" t="str">
        <f>IFERROR(VLOOKUP(H56,[2]SEMIELABORADOS!$A$2:$M$6000,2,0),"")</f>
        <v/>
      </c>
      <c r="C56" s="26">
        <f t="shared" si="14"/>
        <v>0</v>
      </c>
      <c r="D56" s="27" t="str">
        <f>IFERROR(VLOOKUP(H56,[2]SEMIELABORADOS!$A$2:$M$6000,6,0),"")</f>
        <v/>
      </c>
      <c r="E56" s="27" t="str">
        <f>IFERROR(VLOOKUP(H56,[2]SEMIELABORADOS!$A$2:$M$65536,12,0),"")</f>
        <v/>
      </c>
      <c r="F56" s="27" t="str">
        <f t="shared" si="15"/>
        <v/>
      </c>
      <c r="G56" s="101" t="str">
        <f t="shared" si="16"/>
        <v/>
      </c>
      <c r="H56" s="31"/>
      <c r="I56" s="23"/>
      <c r="J56" s="102"/>
    </row>
    <row r="57" spans="1:17" ht="13.5" hidden="1" x14ac:dyDescent="0.25">
      <c r="A57" s="25">
        <f t="shared" si="13"/>
        <v>0</v>
      </c>
      <c r="B57" s="30" t="str">
        <f>IFERROR(VLOOKUP(H57,[2]SEMIELABORADOS!$A$2:$M$6000,2,0),"")</f>
        <v/>
      </c>
      <c r="C57" s="26">
        <f t="shared" si="14"/>
        <v>0</v>
      </c>
      <c r="D57" s="27" t="str">
        <f>IFERROR(VLOOKUP(H57,[2]SEMIELABORADOS!$A$2:$M$6000,6,0),"")</f>
        <v/>
      </c>
      <c r="E57" s="27" t="str">
        <f>IFERROR(VLOOKUP(H57,[2]SEMIELABORADOS!$A$2:$M$65536,12,0),"")</f>
        <v/>
      </c>
      <c r="F57" s="27" t="str">
        <f t="shared" si="15"/>
        <v/>
      </c>
      <c r="G57" s="101" t="str">
        <f t="shared" si="16"/>
        <v/>
      </c>
      <c r="H57" s="31"/>
      <c r="I57" s="23"/>
      <c r="J57" s="102"/>
    </row>
    <row r="58" spans="1:17" ht="13.5" hidden="1" x14ac:dyDescent="0.25">
      <c r="A58" s="25">
        <f t="shared" si="13"/>
        <v>0</v>
      </c>
      <c r="B58" s="30" t="str">
        <f>IFERROR(VLOOKUP(H58,[2]SEMIELABORADOS!$A$2:$M$6000,2,0),"")</f>
        <v/>
      </c>
      <c r="C58" s="26">
        <f t="shared" si="14"/>
        <v>0</v>
      </c>
      <c r="D58" s="27" t="str">
        <f>IFERROR(VLOOKUP(H58,[2]SEMIELABORADOS!$A$2:$M$6000,6,0),"")</f>
        <v/>
      </c>
      <c r="E58" s="27" t="str">
        <f>IFERROR(VLOOKUP(H58,[2]SEMIELABORADOS!$A$2:$M$65536,12,0),"")</f>
        <v/>
      </c>
      <c r="F58" s="27" t="str">
        <f t="shared" si="15"/>
        <v/>
      </c>
      <c r="G58" s="101" t="str">
        <f t="shared" si="16"/>
        <v/>
      </c>
      <c r="H58" s="31"/>
      <c r="I58" s="23"/>
      <c r="J58" s="102"/>
    </row>
    <row r="59" spans="1:17" ht="13.5" hidden="1" x14ac:dyDescent="0.25">
      <c r="A59" s="25">
        <f t="shared" si="13"/>
        <v>0</v>
      </c>
      <c r="B59" s="30" t="str">
        <f>IFERROR(VLOOKUP(H59,[2]SEMIELABORADOS!$A$2:$M$6000,2,0),"")</f>
        <v/>
      </c>
      <c r="C59" s="26">
        <f t="shared" si="14"/>
        <v>0</v>
      </c>
      <c r="D59" s="27" t="str">
        <f>IFERROR(VLOOKUP(H59,[2]SEMIELABORADOS!$A$2:$M$6000,6,0),"")</f>
        <v/>
      </c>
      <c r="E59" s="27" t="str">
        <f>IFERROR(VLOOKUP(H59,[2]SEMIELABORADOS!$A$2:$M$65536,12,0),"")</f>
        <v/>
      </c>
      <c r="F59" s="27" t="str">
        <f t="shared" si="15"/>
        <v/>
      </c>
      <c r="G59" s="101" t="str">
        <f t="shared" si="16"/>
        <v/>
      </c>
      <c r="H59" s="30"/>
      <c r="I59" s="23"/>
      <c r="J59" s="102"/>
    </row>
    <row r="60" spans="1:17" ht="13.5" x14ac:dyDescent="0.25">
      <c r="A60" s="25">
        <v>1</v>
      </c>
      <c r="B60" s="30" t="s">
        <v>73</v>
      </c>
      <c r="C60" s="26">
        <f>+A60</f>
        <v>1</v>
      </c>
      <c r="D60" s="26" t="s">
        <v>70</v>
      </c>
      <c r="E60" s="27">
        <f>+F74</f>
        <v>495</v>
      </c>
      <c r="F60" s="27">
        <f>IFERROR(C60*E60,"")</f>
        <v>495</v>
      </c>
      <c r="G60" s="101">
        <f>IFERROR(F60/$F$75,"")</f>
        <v>0.12581809227685334</v>
      </c>
      <c r="H60" s="33"/>
      <c r="I60" s="33"/>
      <c r="J60" s="102"/>
    </row>
    <row r="61" spans="1:17" ht="14.25" thickBot="1" x14ac:dyDescent="0.3">
      <c r="A61" s="25"/>
      <c r="B61" s="30"/>
      <c r="C61" s="26"/>
      <c r="D61" s="26"/>
      <c r="E61" s="27"/>
      <c r="F61" s="27"/>
      <c r="G61" s="101"/>
      <c r="H61" s="33"/>
      <c r="I61" s="33"/>
      <c r="J61" s="102"/>
    </row>
    <row r="62" spans="1:17" ht="13.5" thickBot="1" x14ac:dyDescent="0.25">
      <c r="A62" s="34"/>
      <c r="B62" s="197" t="s">
        <v>74</v>
      </c>
      <c r="C62" s="197"/>
      <c r="D62" s="197"/>
      <c r="E62" s="197"/>
      <c r="F62" s="35">
        <f>SUM(F8:F14,F17:F24)</f>
        <v>1799.7910565008594</v>
      </c>
      <c r="G62" s="101">
        <f>+F62/$F$75</f>
        <v>0.45746722671895046</v>
      </c>
      <c r="H62" s="36">
        <f>+F62/$D$69</f>
        <v>1799.7910565008594</v>
      </c>
      <c r="I62" s="36"/>
      <c r="J62" s="105"/>
      <c r="K62" s="38"/>
      <c r="L62" s="38"/>
      <c r="M62" s="38"/>
      <c r="N62" s="38"/>
      <c r="O62" s="38"/>
      <c r="P62" s="38"/>
      <c r="Q62" s="39"/>
    </row>
    <row r="63" spans="1:17" x14ac:dyDescent="0.2">
      <c r="A63" s="34"/>
      <c r="B63" s="197" t="s">
        <v>75</v>
      </c>
      <c r="C63" s="197"/>
      <c r="D63" s="197"/>
      <c r="E63" s="197"/>
      <c r="F63" s="35">
        <f>SUM(F27:F41,F44:F50)</f>
        <v>1603.4644771805556</v>
      </c>
      <c r="G63" s="101">
        <f>+F63/$F$75</f>
        <v>0.40756533646981724</v>
      </c>
      <c r="H63" s="36">
        <f>+F63/$D$69</f>
        <v>1603.4644771805556</v>
      </c>
      <c r="I63" s="36"/>
      <c r="J63" s="40"/>
      <c r="K63" s="198" t="s">
        <v>76</v>
      </c>
      <c r="L63" s="199"/>
      <c r="M63" s="199"/>
      <c r="N63" s="199"/>
      <c r="O63" s="41">
        <f>+F64</f>
        <v>3403.2555336814148</v>
      </c>
      <c r="P63" s="41"/>
      <c r="Q63" s="42"/>
    </row>
    <row r="64" spans="1:17" x14ac:dyDescent="0.2">
      <c r="A64" s="34"/>
      <c r="B64" s="197" t="s">
        <v>77</v>
      </c>
      <c r="C64" s="197"/>
      <c r="D64" s="197"/>
      <c r="E64" s="197"/>
      <c r="F64" s="35">
        <f>+F62+F63</f>
        <v>3403.2555336814148</v>
      </c>
      <c r="G64" s="101">
        <f>+F64/$F$75</f>
        <v>0.86503256318876764</v>
      </c>
      <c r="H64" s="36">
        <f>+F64/$D$69</f>
        <v>3403.2555336814148</v>
      </c>
      <c r="I64" s="36"/>
      <c r="J64" s="106"/>
      <c r="K64" s="44"/>
      <c r="L64" s="175" t="s">
        <v>78</v>
      </c>
      <c r="M64" s="175"/>
      <c r="N64" s="175"/>
      <c r="O64" s="41">
        <f>+F65</f>
        <v>707.0074490038312</v>
      </c>
      <c r="P64" s="41"/>
      <c r="Q64" s="42"/>
    </row>
    <row r="65" spans="1:17" ht="13.5" thickBot="1" x14ac:dyDescent="0.25">
      <c r="A65" s="34"/>
      <c r="B65" s="45"/>
      <c r="C65" s="197" t="s">
        <v>79</v>
      </c>
      <c r="D65" s="197"/>
      <c r="E65" s="197"/>
      <c r="F65" s="35">
        <f>SUM(F53:F60)</f>
        <v>707.0074490038312</v>
      </c>
      <c r="G65" s="101">
        <f>+F65/$F$75</f>
        <v>0.17970571405896305</v>
      </c>
      <c r="H65" s="36">
        <f>+F65/$D$69</f>
        <v>707.0074490038312</v>
      </c>
      <c r="I65" s="36"/>
      <c r="J65" s="106"/>
      <c r="K65" s="44"/>
      <c r="L65" s="44"/>
      <c r="M65" s="44" t="s">
        <v>117</v>
      </c>
      <c r="N65" s="107">
        <v>0.01</v>
      </c>
      <c r="O65" s="41">
        <f>O63*N65</f>
        <v>34.032555336814148</v>
      </c>
      <c r="P65" s="41"/>
      <c r="Q65" s="42"/>
    </row>
    <row r="66" spans="1:17" ht="13.5" thickBot="1" x14ac:dyDescent="0.25">
      <c r="A66" s="34"/>
      <c r="B66" s="47"/>
      <c r="C66" s="47"/>
      <c r="D66" s="47"/>
      <c r="E66" s="47"/>
      <c r="F66" s="48"/>
      <c r="G66" s="101"/>
      <c r="H66" s="49"/>
      <c r="I66" s="36"/>
      <c r="J66" s="106"/>
      <c r="K66" s="53"/>
      <c r="M66" s="54" t="s">
        <v>83</v>
      </c>
      <c r="N66" s="55"/>
      <c r="O66" s="56">
        <f>SUM(O63:O65)</f>
        <v>4144.2955380220601</v>
      </c>
      <c r="P66" s="57"/>
      <c r="Q66" s="42"/>
    </row>
    <row r="67" spans="1:17" x14ac:dyDescent="0.2">
      <c r="B67" s="200" t="s">
        <v>82</v>
      </c>
      <c r="C67" s="200"/>
      <c r="D67" s="51">
        <v>1100</v>
      </c>
      <c r="E67" s="52"/>
      <c r="G67" s="101"/>
      <c r="H67" s="49"/>
      <c r="I67" s="50"/>
      <c r="J67" s="106"/>
      <c r="K67" s="53"/>
      <c r="L67" s="44"/>
      <c r="M67" s="44" t="s">
        <v>118</v>
      </c>
      <c r="N67" s="108">
        <v>0.25</v>
      </c>
      <c r="O67" s="41">
        <f>+O66*N67</f>
        <v>1036.073884505515</v>
      </c>
      <c r="P67" s="41"/>
      <c r="Q67" s="42"/>
    </row>
    <row r="68" spans="1:17" x14ac:dyDescent="0.2">
      <c r="B68" s="200" t="s">
        <v>84</v>
      </c>
      <c r="C68" s="200"/>
      <c r="D68" s="58">
        <v>1100</v>
      </c>
      <c r="E68" s="52"/>
      <c r="G68" s="101"/>
      <c r="H68" s="49"/>
      <c r="I68" s="50"/>
      <c r="J68" s="106"/>
      <c r="K68" s="53"/>
      <c r="L68" s="44"/>
      <c r="M68" s="175" t="s">
        <v>83</v>
      </c>
      <c r="N68" s="175"/>
      <c r="O68" s="41">
        <f>SUM(O66:O67)</f>
        <v>5180.3694225275749</v>
      </c>
      <c r="P68" s="41"/>
      <c r="Q68" s="42"/>
    </row>
    <row r="69" spans="1:17" ht="13.5" thickBot="1" x14ac:dyDescent="0.25">
      <c r="B69" s="194" t="s">
        <v>86</v>
      </c>
      <c r="C69" s="194"/>
      <c r="D69" s="51">
        <f>+D67/D68</f>
        <v>1</v>
      </c>
      <c r="E69" s="52"/>
      <c r="F69" s="60"/>
      <c r="G69" s="101"/>
      <c r="H69" s="49"/>
      <c r="I69" s="50"/>
      <c r="J69" s="106"/>
      <c r="K69" s="53"/>
      <c r="L69" s="175" t="s">
        <v>94</v>
      </c>
      <c r="M69" s="175"/>
      <c r="N69" s="108">
        <v>0.05</v>
      </c>
      <c r="O69" s="41">
        <f>+O68*N69</f>
        <v>259.01847112637876</v>
      </c>
      <c r="P69" s="41"/>
      <c r="Q69" s="42"/>
    </row>
    <row r="70" spans="1:17" ht="13.5" thickBot="1" x14ac:dyDescent="0.25">
      <c r="B70" s="194" t="s">
        <v>119</v>
      </c>
      <c r="C70" s="194"/>
      <c r="D70" s="61" t="s">
        <v>89</v>
      </c>
      <c r="E70" s="52"/>
      <c r="F70" s="60"/>
      <c r="G70" s="101"/>
      <c r="H70" s="49"/>
      <c r="I70" s="50"/>
      <c r="J70" s="106"/>
      <c r="K70" s="177" t="s">
        <v>95</v>
      </c>
      <c r="L70" s="178"/>
      <c r="M70" s="178"/>
      <c r="N70" s="179"/>
      <c r="O70" s="56">
        <f>SUM(O68:O69)</f>
        <v>5439.3878936539541</v>
      </c>
      <c r="P70" s="66" t="s">
        <v>96</v>
      </c>
      <c r="Q70" s="42"/>
    </row>
    <row r="71" spans="1:17" ht="13.5" thickBot="1" x14ac:dyDescent="0.25">
      <c r="C71" s="34" t="s">
        <v>91</v>
      </c>
      <c r="D71" s="62"/>
      <c r="E71" s="10" t="s">
        <v>92</v>
      </c>
      <c r="F71" s="63" t="s">
        <v>93</v>
      </c>
      <c r="G71" s="101"/>
      <c r="H71" s="49"/>
      <c r="I71" s="50"/>
      <c r="J71" s="68"/>
      <c r="K71" s="69"/>
      <c r="L71" s="181" t="s">
        <v>98</v>
      </c>
      <c r="M71" s="181"/>
      <c r="N71" s="181"/>
      <c r="O71" s="70">
        <f>+O70/D69</f>
        <v>5439.3878936539541</v>
      </c>
      <c r="P71" s="71">
        <f>+O71/D68</f>
        <v>4.9448980851399584</v>
      </c>
      <c r="Q71" s="72"/>
    </row>
    <row r="72" spans="1:17" ht="13.5" thickBot="1" x14ac:dyDescent="0.25">
      <c r="B72" s="176" t="s">
        <v>77</v>
      </c>
      <c r="C72" s="176"/>
      <c r="D72" s="176"/>
      <c r="E72" s="109">
        <f>+F72/F72</f>
        <v>1</v>
      </c>
      <c r="F72" s="65">
        <f>SUM(F64)</f>
        <v>3403.2555336814148</v>
      </c>
      <c r="G72" s="101">
        <f>+F72/$F$75</f>
        <v>0.86503256318876764</v>
      </c>
      <c r="H72" s="49"/>
      <c r="I72" s="50"/>
      <c r="K72" s="184"/>
      <c r="L72" s="185"/>
      <c r="M72" s="185"/>
      <c r="N72" s="185"/>
      <c r="O72" s="75"/>
      <c r="P72" s="76"/>
    </row>
    <row r="73" spans="1:17" ht="13.5" thickBot="1" x14ac:dyDescent="0.25">
      <c r="B73" s="180" t="s">
        <v>97</v>
      </c>
      <c r="C73" s="180"/>
      <c r="D73" s="180"/>
      <c r="E73" s="67">
        <v>0.02</v>
      </c>
      <c r="F73" s="65">
        <f>+F62*E73</f>
        <v>35.995821130017191</v>
      </c>
      <c r="G73" s="101">
        <f>+F73/$F$75</f>
        <v>9.14934453437901E-3</v>
      </c>
      <c r="H73" s="36"/>
      <c r="I73" s="50"/>
      <c r="J73" s="110"/>
      <c r="O73" s="79"/>
      <c r="P73" s="45"/>
    </row>
    <row r="74" spans="1:17" ht="13.5" thickBot="1" x14ac:dyDescent="0.25">
      <c r="B74" s="182" t="s">
        <v>99</v>
      </c>
      <c r="C74" s="183"/>
      <c r="D74" s="73">
        <v>9</v>
      </c>
      <c r="E74" s="74">
        <v>55</v>
      </c>
      <c r="F74" s="65">
        <f>+E74*D74</f>
        <v>495</v>
      </c>
      <c r="G74" s="101">
        <f>+F74/$F$75</f>
        <v>0.12581809227685334</v>
      </c>
      <c r="H74" s="36"/>
      <c r="I74" s="36"/>
      <c r="J74" s="102"/>
    </row>
    <row r="75" spans="1:17" ht="13.5" thickBot="1" x14ac:dyDescent="0.25">
      <c r="B75" s="186" t="s">
        <v>100</v>
      </c>
      <c r="C75" s="187"/>
      <c r="D75" s="187"/>
      <c r="E75" s="188"/>
      <c r="F75" s="48">
        <f>SUM(F72:F74)</f>
        <v>3934.2513548114321</v>
      </c>
      <c r="G75" s="101">
        <f>+F75/$F$75</f>
        <v>1</v>
      </c>
      <c r="H75" s="189"/>
      <c r="I75" s="36"/>
      <c r="J75" s="102"/>
    </row>
    <row r="76" spans="1:17" x14ac:dyDescent="0.2">
      <c r="C76" s="80"/>
      <c r="D76" s="80"/>
      <c r="E76" s="81"/>
      <c r="F76" s="65"/>
      <c r="G76" s="101"/>
      <c r="H76" s="189"/>
      <c r="I76" s="77"/>
      <c r="J76" s="12"/>
    </row>
    <row r="77" spans="1:17" ht="13.5" thickBot="1" x14ac:dyDescent="0.25">
      <c r="B77" s="190" t="s">
        <v>101</v>
      </c>
      <c r="C77" s="190"/>
      <c r="D77" s="190"/>
      <c r="E77" s="190"/>
      <c r="F77" s="190"/>
      <c r="G77" s="101"/>
      <c r="H77" s="82"/>
      <c r="I77" s="77"/>
      <c r="J77" s="12"/>
    </row>
    <row r="78" spans="1:17" ht="13.5" thickBot="1" x14ac:dyDescent="0.25">
      <c r="B78" s="83" t="s">
        <v>102</v>
      </c>
      <c r="C78" s="84">
        <f>+F62</f>
        <v>1799.7910565008594</v>
      </c>
      <c r="D78" s="84">
        <f>+D67</f>
        <v>1100</v>
      </c>
      <c r="E78" s="85">
        <f>+C78/D78</f>
        <v>1.6361736877280539</v>
      </c>
      <c r="F78" s="101"/>
      <c r="G78" s="82"/>
      <c r="H78" s="102"/>
      <c r="I78" s="82"/>
      <c r="J78" s="12"/>
    </row>
    <row r="79" spans="1:17" x14ac:dyDescent="0.2">
      <c r="B79" s="86"/>
      <c r="C79" s="87"/>
      <c r="D79" s="88"/>
      <c r="E79" s="65"/>
      <c r="F79" s="101"/>
      <c r="G79" s="82"/>
      <c r="H79" s="102"/>
      <c r="I79" s="102"/>
      <c r="J79" s="12"/>
    </row>
    <row r="80" spans="1:17" x14ac:dyDescent="0.2">
      <c r="B80" s="83" t="s">
        <v>103</v>
      </c>
      <c r="C80" s="84">
        <f>SUM(F72:F73)</f>
        <v>3439.2513548114321</v>
      </c>
      <c r="D80" s="84">
        <f>+D67</f>
        <v>1100</v>
      </c>
      <c r="E80" s="89">
        <f>+C80/D80</f>
        <v>3.1265921407376656</v>
      </c>
      <c r="F80" s="101"/>
      <c r="G80" s="82"/>
      <c r="H80" s="102"/>
      <c r="I80" s="102"/>
      <c r="J80" s="12"/>
    </row>
    <row r="81" spans="2:10" x14ac:dyDescent="0.2">
      <c r="B81" s="83"/>
      <c r="C81" s="84"/>
      <c r="D81" s="84"/>
      <c r="E81" s="89"/>
      <c r="F81" s="101"/>
      <c r="G81" s="82"/>
      <c r="H81" s="102"/>
      <c r="I81" s="102"/>
      <c r="J81" s="12"/>
    </row>
    <row r="82" spans="2:10" ht="13.5" thickBot="1" x14ac:dyDescent="0.25">
      <c r="B82" s="83" t="s">
        <v>104</v>
      </c>
      <c r="C82" s="84">
        <f>+F74</f>
        <v>495</v>
      </c>
      <c r="D82" s="84">
        <f>+D67</f>
        <v>1100</v>
      </c>
      <c r="E82" s="89">
        <f>+C82/D82</f>
        <v>0.45</v>
      </c>
      <c r="F82" s="101"/>
      <c r="G82" s="82"/>
      <c r="H82" s="102"/>
      <c r="I82" s="102"/>
      <c r="J82" s="12"/>
    </row>
    <row r="83" spans="2:10" ht="13.5" thickBot="1" x14ac:dyDescent="0.25">
      <c r="B83" s="83" t="s">
        <v>105</v>
      </c>
      <c r="C83" s="84">
        <f>+F65</f>
        <v>707.0074490038312</v>
      </c>
      <c r="D83" s="84">
        <f>+D82</f>
        <v>1100</v>
      </c>
      <c r="E83" s="85">
        <f>+C83/D83</f>
        <v>0.64273404454893746</v>
      </c>
      <c r="F83" s="101"/>
      <c r="G83" s="82"/>
      <c r="H83" s="102"/>
      <c r="I83" s="102"/>
      <c r="J83" s="12"/>
    </row>
    <row r="84" spans="2:10" ht="13.5" thickBot="1" x14ac:dyDescent="0.25">
      <c r="B84" s="47"/>
      <c r="C84" s="48"/>
      <c r="D84" s="48"/>
      <c r="E84" s="89"/>
      <c r="F84" s="101"/>
      <c r="G84" s="82"/>
      <c r="H84" s="102"/>
      <c r="I84" s="102"/>
      <c r="J84" s="12"/>
    </row>
    <row r="85" spans="2:10" ht="13.5" thickBot="1" x14ac:dyDescent="0.25">
      <c r="B85" s="83" t="s">
        <v>106</v>
      </c>
      <c r="C85" s="84">
        <f>+F63</f>
        <v>1603.4644771805556</v>
      </c>
      <c r="D85" s="84">
        <f>+D83</f>
        <v>1100</v>
      </c>
      <c r="E85" s="85">
        <f>+C85/D85</f>
        <v>1.4576949792550506</v>
      </c>
      <c r="F85" s="101"/>
      <c r="G85" s="82"/>
      <c r="H85" s="102"/>
      <c r="I85" s="102"/>
      <c r="J85" s="102"/>
    </row>
    <row r="86" spans="2:10" ht="13.5" thickBot="1" x14ac:dyDescent="0.25">
      <c r="B86" s="47"/>
      <c r="C86" s="48"/>
      <c r="D86" s="48"/>
      <c r="E86" s="89"/>
      <c r="F86" s="101"/>
      <c r="G86" s="82"/>
      <c r="H86" s="102"/>
      <c r="I86" s="102"/>
    </row>
    <row r="87" spans="2:10" ht="13.5" thickBot="1" x14ac:dyDescent="0.25">
      <c r="B87" s="191" t="s">
        <v>107</v>
      </c>
      <c r="C87" s="192"/>
      <c r="D87" s="193"/>
      <c r="E87" s="85">
        <f>+E78+E83</f>
        <v>2.2789077322769913</v>
      </c>
      <c r="G87" s="101"/>
      <c r="H87" s="82"/>
      <c r="I87" s="102"/>
      <c r="J87" s="89"/>
    </row>
    <row r="88" spans="2:10" x14ac:dyDescent="0.2">
      <c r="I88" s="82"/>
      <c r="J88" s="12"/>
    </row>
    <row r="89" spans="2:10" ht="13.5" thickBot="1" x14ac:dyDescent="0.25">
      <c r="B89" s="190" t="s">
        <v>108</v>
      </c>
      <c r="C89" s="190"/>
      <c r="D89" s="190"/>
      <c r="E89" s="190"/>
      <c r="F89" s="190"/>
      <c r="G89" s="101"/>
      <c r="H89" s="82"/>
      <c r="J89" s="12"/>
    </row>
    <row r="90" spans="2:10" ht="13.5" thickBot="1" x14ac:dyDescent="0.25">
      <c r="B90" s="83" t="s">
        <v>102</v>
      </c>
      <c r="C90" s="84">
        <f>+C78</f>
        <v>1799.7910565008594</v>
      </c>
      <c r="D90" s="84">
        <f>+D69</f>
        <v>1</v>
      </c>
      <c r="E90" s="85">
        <f>+C90/D90</f>
        <v>1799.7910565008594</v>
      </c>
      <c r="F90" s="101"/>
      <c r="G90" s="82"/>
      <c r="H90" s="102"/>
      <c r="I90" s="82"/>
      <c r="J90" s="12"/>
    </row>
    <row r="91" spans="2:10" x14ac:dyDescent="0.2">
      <c r="B91" s="86"/>
      <c r="C91" s="87"/>
      <c r="D91" s="88"/>
      <c r="E91" s="65"/>
      <c r="F91" s="101"/>
      <c r="G91" s="82"/>
      <c r="H91" s="102"/>
      <c r="I91" s="102"/>
      <c r="J91" s="12"/>
    </row>
    <row r="92" spans="2:10" x14ac:dyDescent="0.2">
      <c r="B92" s="83" t="s">
        <v>103</v>
      </c>
      <c r="C92" s="84">
        <f>+C80</f>
        <v>3439.2513548114321</v>
      </c>
      <c r="D92" s="84">
        <f>+D69</f>
        <v>1</v>
      </c>
      <c r="E92" s="89">
        <f>+C92/D92</f>
        <v>3439.2513548114321</v>
      </c>
      <c r="F92" s="101"/>
      <c r="G92" s="82"/>
      <c r="H92" s="102"/>
      <c r="I92" s="102"/>
      <c r="J92" s="12"/>
    </row>
    <row r="93" spans="2:10" x14ac:dyDescent="0.2">
      <c r="B93" s="83"/>
      <c r="C93" s="84"/>
      <c r="D93" s="84"/>
      <c r="E93" s="89"/>
      <c r="F93" s="101"/>
      <c r="G93" s="82"/>
      <c r="H93" s="102"/>
      <c r="I93" s="102"/>
      <c r="J93" s="12"/>
    </row>
    <row r="94" spans="2:10" ht="13.5" thickBot="1" x14ac:dyDescent="0.25">
      <c r="B94" s="83" t="s">
        <v>105</v>
      </c>
      <c r="C94" s="84">
        <f>+C82</f>
        <v>495</v>
      </c>
      <c r="D94" s="84">
        <f>+D69</f>
        <v>1</v>
      </c>
      <c r="E94" s="89">
        <f>+C94/D94</f>
        <v>495</v>
      </c>
      <c r="F94" s="90"/>
      <c r="G94" s="91"/>
      <c r="H94" s="11"/>
      <c r="I94" s="102"/>
    </row>
    <row r="95" spans="2:10" ht="13.5" thickBot="1" x14ac:dyDescent="0.25">
      <c r="B95" s="83" t="s">
        <v>105</v>
      </c>
      <c r="C95" s="84">
        <f>+C83</f>
        <v>707.0074490038312</v>
      </c>
      <c r="D95" s="84">
        <f>+D94</f>
        <v>1</v>
      </c>
      <c r="E95" s="85">
        <f>+C95/D95</f>
        <v>707.0074490038312</v>
      </c>
      <c r="F95" s="111"/>
      <c r="G95" s="91"/>
      <c r="H95" s="11"/>
      <c r="I95" s="11"/>
    </row>
    <row r="96" spans="2:10" x14ac:dyDescent="0.2">
      <c r="I96" s="11"/>
    </row>
    <row r="97" spans="1:7" x14ac:dyDescent="0.2">
      <c r="A97" s="174"/>
      <c r="B97" s="174"/>
      <c r="C97" s="93"/>
      <c r="D97" s="93"/>
      <c r="E97" s="94"/>
      <c r="G97" s="112"/>
    </row>
    <row r="98" spans="1:7" x14ac:dyDescent="0.2">
      <c r="A98" s="30"/>
      <c r="B98" s="96"/>
      <c r="C98" s="97"/>
      <c r="D98" s="97"/>
      <c r="E98" s="98"/>
      <c r="G98" s="112"/>
    </row>
    <row r="99" spans="1:7" x14ac:dyDescent="0.2">
      <c r="A99" s="30"/>
      <c r="B99" s="96"/>
      <c r="C99" s="99"/>
      <c r="D99" s="99"/>
      <c r="E99" s="30"/>
      <c r="G99" s="112"/>
    </row>
    <row r="100" spans="1:7" x14ac:dyDescent="0.2">
      <c r="A100" s="30"/>
      <c r="B100" s="96"/>
      <c r="C100" s="100"/>
      <c r="D100" s="100"/>
      <c r="E100" s="30"/>
      <c r="G100" s="112"/>
    </row>
  </sheetData>
  <mergeCells count="31">
    <mergeCell ref="A97:B97"/>
    <mergeCell ref="B74:C74"/>
    <mergeCell ref="B75:E75"/>
    <mergeCell ref="H75:H76"/>
    <mergeCell ref="B77:F77"/>
    <mergeCell ref="B87:D87"/>
    <mergeCell ref="B89:F89"/>
    <mergeCell ref="B73:D73"/>
    <mergeCell ref="C65:E65"/>
    <mergeCell ref="B67:C67"/>
    <mergeCell ref="B68:C68"/>
    <mergeCell ref="M68:N68"/>
    <mergeCell ref="B69:C69"/>
    <mergeCell ref="L69:M69"/>
    <mergeCell ref="B70:C70"/>
    <mergeCell ref="K70:N70"/>
    <mergeCell ref="L71:N71"/>
    <mergeCell ref="B72:D72"/>
    <mergeCell ref="K72:N72"/>
    <mergeCell ref="K39:L39"/>
    <mergeCell ref="B62:E62"/>
    <mergeCell ref="B63:E63"/>
    <mergeCell ref="K63:N63"/>
    <mergeCell ref="B64:E64"/>
    <mergeCell ref="L64:N64"/>
    <mergeCell ref="K38:L38"/>
    <mergeCell ref="A4:H4"/>
    <mergeCell ref="A5:H5"/>
    <mergeCell ref="F6:G6"/>
    <mergeCell ref="K27:L27"/>
    <mergeCell ref="K33:L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3869-A158-4F0F-94A5-198E60B0F847}">
  <dimension ref="A1:AK43"/>
  <sheetViews>
    <sheetView topLeftCell="A22" workbookViewId="0">
      <selection activeCell="L30" sqref="L30"/>
    </sheetView>
  </sheetViews>
  <sheetFormatPr baseColWidth="10" defaultColWidth="8.42578125" defaultRowHeight="11.25" x14ac:dyDescent="0.2"/>
  <cols>
    <col min="1" max="1" width="7.5703125" style="120" customWidth="1"/>
    <col min="2" max="2" width="7.85546875" style="120" bestFit="1" customWidth="1"/>
    <col min="3" max="3" width="39.140625" style="120" customWidth="1"/>
    <col min="4" max="4" width="10" style="120" bestFit="1" customWidth="1"/>
    <col min="5" max="5" width="9.42578125" style="120" bestFit="1" customWidth="1"/>
    <col min="6" max="6" width="11.85546875" style="163" customWidth="1"/>
    <col min="7" max="7" width="8.85546875" style="164" bestFit="1" customWidth="1"/>
    <col min="8" max="8" width="10.140625" style="165" bestFit="1" customWidth="1"/>
    <col min="9" max="256" width="8.42578125" style="120"/>
    <col min="257" max="257" width="7.5703125" style="120" customWidth="1"/>
    <col min="258" max="258" width="7.85546875" style="120" bestFit="1" customWidth="1"/>
    <col min="259" max="259" width="39.140625" style="120" customWidth="1"/>
    <col min="260" max="260" width="10" style="120" bestFit="1" customWidth="1"/>
    <col min="261" max="261" width="9.42578125" style="120" bestFit="1" customWidth="1"/>
    <col min="262" max="262" width="11.85546875" style="120" customWidth="1"/>
    <col min="263" max="263" width="8.85546875" style="120" bestFit="1" customWidth="1"/>
    <col min="264" max="264" width="10.140625" style="120" bestFit="1" customWidth="1"/>
    <col min="265" max="512" width="8.42578125" style="120"/>
    <col min="513" max="513" width="7.5703125" style="120" customWidth="1"/>
    <col min="514" max="514" width="7.85546875" style="120" bestFit="1" customWidth="1"/>
    <col min="515" max="515" width="39.140625" style="120" customWidth="1"/>
    <col min="516" max="516" width="10" style="120" bestFit="1" customWidth="1"/>
    <col min="517" max="517" width="9.42578125" style="120" bestFit="1" customWidth="1"/>
    <col min="518" max="518" width="11.85546875" style="120" customWidth="1"/>
    <col min="519" max="519" width="8.85546875" style="120" bestFit="1" customWidth="1"/>
    <col min="520" max="520" width="10.140625" style="120" bestFit="1" customWidth="1"/>
    <col min="521" max="768" width="8.42578125" style="120"/>
    <col min="769" max="769" width="7.5703125" style="120" customWidth="1"/>
    <col min="770" max="770" width="7.85546875" style="120" bestFit="1" customWidth="1"/>
    <col min="771" max="771" width="39.140625" style="120" customWidth="1"/>
    <col min="772" max="772" width="10" style="120" bestFit="1" customWidth="1"/>
    <col min="773" max="773" width="9.42578125" style="120" bestFit="1" customWidth="1"/>
    <col min="774" max="774" width="11.85546875" style="120" customWidth="1"/>
    <col min="775" max="775" width="8.85546875" style="120" bestFit="1" customWidth="1"/>
    <col min="776" max="776" width="10.140625" style="120" bestFit="1" customWidth="1"/>
    <col min="777" max="1024" width="8.42578125" style="120"/>
    <col min="1025" max="1025" width="7.5703125" style="120" customWidth="1"/>
    <col min="1026" max="1026" width="7.85546875" style="120" bestFit="1" customWidth="1"/>
    <col min="1027" max="1027" width="39.140625" style="120" customWidth="1"/>
    <col min="1028" max="1028" width="10" style="120" bestFit="1" customWidth="1"/>
    <col min="1029" max="1029" width="9.42578125" style="120" bestFit="1" customWidth="1"/>
    <col min="1030" max="1030" width="11.85546875" style="120" customWidth="1"/>
    <col min="1031" max="1031" width="8.85546875" style="120" bestFit="1" customWidth="1"/>
    <col min="1032" max="1032" width="10.140625" style="120" bestFit="1" customWidth="1"/>
    <col min="1033" max="1280" width="8.42578125" style="120"/>
    <col min="1281" max="1281" width="7.5703125" style="120" customWidth="1"/>
    <col min="1282" max="1282" width="7.85546875" style="120" bestFit="1" customWidth="1"/>
    <col min="1283" max="1283" width="39.140625" style="120" customWidth="1"/>
    <col min="1284" max="1284" width="10" style="120" bestFit="1" customWidth="1"/>
    <col min="1285" max="1285" width="9.42578125" style="120" bestFit="1" customWidth="1"/>
    <col min="1286" max="1286" width="11.85546875" style="120" customWidth="1"/>
    <col min="1287" max="1287" width="8.85546875" style="120" bestFit="1" customWidth="1"/>
    <col min="1288" max="1288" width="10.140625" style="120" bestFit="1" customWidth="1"/>
    <col min="1289" max="1536" width="8.42578125" style="120"/>
    <col min="1537" max="1537" width="7.5703125" style="120" customWidth="1"/>
    <col min="1538" max="1538" width="7.85546875" style="120" bestFit="1" customWidth="1"/>
    <col min="1539" max="1539" width="39.140625" style="120" customWidth="1"/>
    <col min="1540" max="1540" width="10" style="120" bestFit="1" customWidth="1"/>
    <col min="1541" max="1541" width="9.42578125" style="120" bestFit="1" customWidth="1"/>
    <col min="1542" max="1542" width="11.85546875" style="120" customWidth="1"/>
    <col min="1543" max="1543" width="8.85546875" style="120" bestFit="1" customWidth="1"/>
    <col min="1544" max="1544" width="10.140625" style="120" bestFit="1" customWidth="1"/>
    <col min="1545" max="1792" width="8.42578125" style="120"/>
    <col min="1793" max="1793" width="7.5703125" style="120" customWidth="1"/>
    <col min="1794" max="1794" width="7.85546875" style="120" bestFit="1" customWidth="1"/>
    <col min="1795" max="1795" width="39.140625" style="120" customWidth="1"/>
    <col min="1796" max="1796" width="10" style="120" bestFit="1" customWidth="1"/>
    <col min="1797" max="1797" width="9.42578125" style="120" bestFit="1" customWidth="1"/>
    <col min="1798" max="1798" width="11.85546875" style="120" customWidth="1"/>
    <col min="1799" max="1799" width="8.85546875" style="120" bestFit="1" customWidth="1"/>
    <col min="1800" max="1800" width="10.140625" style="120" bestFit="1" customWidth="1"/>
    <col min="1801" max="2048" width="8.42578125" style="120"/>
    <col min="2049" max="2049" width="7.5703125" style="120" customWidth="1"/>
    <col min="2050" max="2050" width="7.85546875" style="120" bestFit="1" customWidth="1"/>
    <col min="2051" max="2051" width="39.140625" style="120" customWidth="1"/>
    <col min="2052" max="2052" width="10" style="120" bestFit="1" customWidth="1"/>
    <col min="2053" max="2053" width="9.42578125" style="120" bestFit="1" customWidth="1"/>
    <col min="2054" max="2054" width="11.85546875" style="120" customWidth="1"/>
    <col min="2055" max="2055" width="8.85546875" style="120" bestFit="1" customWidth="1"/>
    <col min="2056" max="2056" width="10.140625" style="120" bestFit="1" customWidth="1"/>
    <col min="2057" max="2304" width="8.42578125" style="120"/>
    <col min="2305" max="2305" width="7.5703125" style="120" customWidth="1"/>
    <col min="2306" max="2306" width="7.85546875" style="120" bestFit="1" customWidth="1"/>
    <col min="2307" max="2307" width="39.140625" style="120" customWidth="1"/>
    <col min="2308" max="2308" width="10" style="120" bestFit="1" customWidth="1"/>
    <col min="2309" max="2309" width="9.42578125" style="120" bestFit="1" customWidth="1"/>
    <col min="2310" max="2310" width="11.85546875" style="120" customWidth="1"/>
    <col min="2311" max="2311" width="8.85546875" style="120" bestFit="1" customWidth="1"/>
    <col min="2312" max="2312" width="10.140625" style="120" bestFit="1" customWidth="1"/>
    <col min="2313" max="2560" width="8.42578125" style="120"/>
    <col min="2561" max="2561" width="7.5703125" style="120" customWidth="1"/>
    <col min="2562" max="2562" width="7.85546875" style="120" bestFit="1" customWidth="1"/>
    <col min="2563" max="2563" width="39.140625" style="120" customWidth="1"/>
    <col min="2564" max="2564" width="10" style="120" bestFit="1" customWidth="1"/>
    <col min="2565" max="2565" width="9.42578125" style="120" bestFit="1" customWidth="1"/>
    <col min="2566" max="2566" width="11.85546875" style="120" customWidth="1"/>
    <col min="2567" max="2567" width="8.85546875" style="120" bestFit="1" customWidth="1"/>
    <col min="2568" max="2568" width="10.140625" style="120" bestFit="1" customWidth="1"/>
    <col min="2569" max="2816" width="8.42578125" style="120"/>
    <col min="2817" max="2817" width="7.5703125" style="120" customWidth="1"/>
    <col min="2818" max="2818" width="7.85546875" style="120" bestFit="1" customWidth="1"/>
    <col min="2819" max="2819" width="39.140625" style="120" customWidth="1"/>
    <col min="2820" max="2820" width="10" style="120" bestFit="1" customWidth="1"/>
    <col min="2821" max="2821" width="9.42578125" style="120" bestFit="1" customWidth="1"/>
    <col min="2822" max="2822" width="11.85546875" style="120" customWidth="1"/>
    <col min="2823" max="2823" width="8.85546875" style="120" bestFit="1" customWidth="1"/>
    <col min="2824" max="2824" width="10.140625" style="120" bestFit="1" customWidth="1"/>
    <col min="2825" max="3072" width="8.42578125" style="120"/>
    <col min="3073" max="3073" width="7.5703125" style="120" customWidth="1"/>
    <col min="3074" max="3074" width="7.85546875" style="120" bestFit="1" customWidth="1"/>
    <col min="3075" max="3075" width="39.140625" style="120" customWidth="1"/>
    <col min="3076" max="3076" width="10" style="120" bestFit="1" customWidth="1"/>
    <col min="3077" max="3077" width="9.42578125" style="120" bestFit="1" customWidth="1"/>
    <col min="3078" max="3078" width="11.85546875" style="120" customWidth="1"/>
    <col min="3079" max="3079" width="8.85546875" style="120" bestFit="1" customWidth="1"/>
    <col min="3080" max="3080" width="10.140625" style="120" bestFit="1" customWidth="1"/>
    <col min="3081" max="3328" width="8.42578125" style="120"/>
    <col min="3329" max="3329" width="7.5703125" style="120" customWidth="1"/>
    <col min="3330" max="3330" width="7.85546875" style="120" bestFit="1" customWidth="1"/>
    <col min="3331" max="3331" width="39.140625" style="120" customWidth="1"/>
    <col min="3332" max="3332" width="10" style="120" bestFit="1" customWidth="1"/>
    <col min="3333" max="3333" width="9.42578125" style="120" bestFit="1" customWidth="1"/>
    <col min="3334" max="3334" width="11.85546875" style="120" customWidth="1"/>
    <col min="3335" max="3335" width="8.85546875" style="120" bestFit="1" customWidth="1"/>
    <col min="3336" max="3336" width="10.140625" style="120" bestFit="1" customWidth="1"/>
    <col min="3337" max="3584" width="8.42578125" style="120"/>
    <col min="3585" max="3585" width="7.5703125" style="120" customWidth="1"/>
    <col min="3586" max="3586" width="7.85546875" style="120" bestFit="1" customWidth="1"/>
    <col min="3587" max="3587" width="39.140625" style="120" customWidth="1"/>
    <col min="3588" max="3588" width="10" style="120" bestFit="1" customWidth="1"/>
    <col min="3589" max="3589" width="9.42578125" style="120" bestFit="1" customWidth="1"/>
    <col min="3590" max="3590" width="11.85546875" style="120" customWidth="1"/>
    <col min="3591" max="3591" width="8.85546875" style="120" bestFit="1" customWidth="1"/>
    <col min="3592" max="3592" width="10.140625" style="120" bestFit="1" customWidth="1"/>
    <col min="3593" max="3840" width="8.42578125" style="120"/>
    <col min="3841" max="3841" width="7.5703125" style="120" customWidth="1"/>
    <col min="3842" max="3842" width="7.85546875" style="120" bestFit="1" customWidth="1"/>
    <col min="3843" max="3843" width="39.140625" style="120" customWidth="1"/>
    <col min="3844" max="3844" width="10" style="120" bestFit="1" customWidth="1"/>
    <col min="3845" max="3845" width="9.42578125" style="120" bestFit="1" customWidth="1"/>
    <col min="3846" max="3846" width="11.85546875" style="120" customWidth="1"/>
    <col min="3847" max="3847" width="8.85546875" style="120" bestFit="1" customWidth="1"/>
    <col min="3848" max="3848" width="10.140625" style="120" bestFit="1" customWidth="1"/>
    <col min="3849" max="4096" width="8.42578125" style="120"/>
    <col min="4097" max="4097" width="7.5703125" style="120" customWidth="1"/>
    <col min="4098" max="4098" width="7.85546875" style="120" bestFit="1" customWidth="1"/>
    <col min="4099" max="4099" width="39.140625" style="120" customWidth="1"/>
    <col min="4100" max="4100" width="10" style="120" bestFit="1" customWidth="1"/>
    <col min="4101" max="4101" width="9.42578125" style="120" bestFit="1" customWidth="1"/>
    <col min="4102" max="4102" width="11.85546875" style="120" customWidth="1"/>
    <col min="4103" max="4103" width="8.85546875" style="120" bestFit="1" customWidth="1"/>
    <col min="4104" max="4104" width="10.140625" style="120" bestFit="1" customWidth="1"/>
    <col min="4105" max="4352" width="8.42578125" style="120"/>
    <col min="4353" max="4353" width="7.5703125" style="120" customWidth="1"/>
    <col min="4354" max="4354" width="7.85546875" style="120" bestFit="1" customWidth="1"/>
    <col min="4355" max="4355" width="39.140625" style="120" customWidth="1"/>
    <col min="4356" max="4356" width="10" style="120" bestFit="1" customWidth="1"/>
    <col min="4357" max="4357" width="9.42578125" style="120" bestFit="1" customWidth="1"/>
    <col min="4358" max="4358" width="11.85546875" style="120" customWidth="1"/>
    <col min="4359" max="4359" width="8.85546875" style="120" bestFit="1" customWidth="1"/>
    <col min="4360" max="4360" width="10.140625" style="120" bestFit="1" customWidth="1"/>
    <col min="4361" max="4608" width="8.42578125" style="120"/>
    <col min="4609" max="4609" width="7.5703125" style="120" customWidth="1"/>
    <col min="4610" max="4610" width="7.85546875" style="120" bestFit="1" customWidth="1"/>
    <col min="4611" max="4611" width="39.140625" style="120" customWidth="1"/>
    <col min="4612" max="4612" width="10" style="120" bestFit="1" customWidth="1"/>
    <col min="4613" max="4613" width="9.42578125" style="120" bestFit="1" customWidth="1"/>
    <col min="4614" max="4614" width="11.85546875" style="120" customWidth="1"/>
    <col min="4615" max="4615" width="8.85546875" style="120" bestFit="1" customWidth="1"/>
    <col min="4616" max="4616" width="10.140625" style="120" bestFit="1" customWidth="1"/>
    <col min="4617" max="4864" width="8.42578125" style="120"/>
    <col min="4865" max="4865" width="7.5703125" style="120" customWidth="1"/>
    <col min="4866" max="4866" width="7.85546875" style="120" bestFit="1" customWidth="1"/>
    <col min="4867" max="4867" width="39.140625" style="120" customWidth="1"/>
    <col min="4868" max="4868" width="10" style="120" bestFit="1" customWidth="1"/>
    <col min="4869" max="4869" width="9.42578125" style="120" bestFit="1" customWidth="1"/>
    <col min="4870" max="4870" width="11.85546875" style="120" customWidth="1"/>
    <col min="4871" max="4871" width="8.85546875" style="120" bestFit="1" customWidth="1"/>
    <col min="4872" max="4872" width="10.140625" style="120" bestFit="1" customWidth="1"/>
    <col min="4873" max="5120" width="8.42578125" style="120"/>
    <col min="5121" max="5121" width="7.5703125" style="120" customWidth="1"/>
    <col min="5122" max="5122" width="7.85546875" style="120" bestFit="1" customWidth="1"/>
    <col min="5123" max="5123" width="39.140625" style="120" customWidth="1"/>
    <col min="5124" max="5124" width="10" style="120" bestFit="1" customWidth="1"/>
    <col min="5125" max="5125" width="9.42578125" style="120" bestFit="1" customWidth="1"/>
    <col min="5126" max="5126" width="11.85546875" style="120" customWidth="1"/>
    <col min="5127" max="5127" width="8.85546875" style="120" bestFit="1" customWidth="1"/>
    <col min="5128" max="5128" width="10.140625" style="120" bestFit="1" customWidth="1"/>
    <col min="5129" max="5376" width="8.42578125" style="120"/>
    <col min="5377" max="5377" width="7.5703125" style="120" customWidth="1"/>
    <col min="5378" max="5378" width="7.85546875" style="120" bestFit="1" customWidth="1"/>
    <col min="5379" max="5379" width="39.140625" style="120" customWidth="1"/>
    <col min="5380" max="5380" width="10" style="120" bestFit="1" customWidth="1"/>
    <col min="5381" max="5381" width="9.42578125" style="120" bestFit="1" customWidth="1"/>
    <col min="5382" max="5382" width="11.85546875" style="120" customWidth="1"/>
    <col min="5383" max="5383" width="8.85546875" style="120" bestFit="1" customWidth="1"/>
    <col min="5384" max="5384" width="10.140625" style="120" bestFit="1" customWidth="1"/>
    <col min="5385" max="5632" width="8.42578125" style="120"/>
    <col min="5633" max="5633" width="7.5703125" style="120" customWidth="1"/>
    <col min="5634" max="5634" width="7.85546875" style="120" bestFit="1" customWidth="1"/>
    <col min="5635" max="5635" width="39.140625" style="120" customWidth="1"/>
    <col min="5636" max="5636" width="10" style="120" bestFit="1" customWidth="1"/>
    <col min="5637" max="5637" width="9.42578125" style="120" bestFit="1" customWidth="1"/>
    <col min="5638" max="5638" width="11.85546875" style="120" customWidth="1"/>
    <col min="5639" max="5639" width="8.85546875" style="120" bestFit="1" customWidth="1"/>
    <col min="5640" max="5640" width="10.140625" style="120" bestFit="1" customWidth="1"/>
    <col min="5641" max="5888" width="8.42578125" style="120"/>
    <col min="5889" max="5889" width="7.5703125" style="120" customWidth="1"/>
    <col min="5890" max="5890" width="7.85546875" style="120" bestFit="1" customWidth="1"/>
    <col min="5891" max="5891" width="39.140625" style="120" customWidth="1"/>
    <col min="5892" max="5892" width="10" style="120" bestFit="1" customWidth="1"/>
    <col min="5893" max="5893" width="9.42578125" style="120" bestFit="1" customWidth="1"/>
    <col min="5894" max="5894" width="11.85546875" style="120" customWidth="1"/>
    <col min="5895" max="5895" width="8.85546875" style="120" bestFit="1" customWidth="1"/>
    <col min="5896" max="5896" width="10.140625" style="120" bestFit="1" customWidth="1"/>
    <col min="5897" max="6144" width="8.42578125" style="120"/>
    <col min="6145" max="6145" width="7.5703125" style="120" customWidth="1"/>
    <col min="6146" max="6146" width="7.85546875" style="120" bestFit="1" customWidth="1"/>
    <col min="6147" max="6147" width="39.140625" style="120" customWidth="1"/>
    <col min="6148" max="6148" width="10" style="120" bestFit="1" customWidth="1"/>
    <col min="6149" max="6149" width="9.42578125" style="120" bestFit="1" customWidth="1"/>
    <col min="6150" max="6150" width="11.85546875" style="120" customWidth="1"/>
    <col min="6151" max="6151" width="8.85546875" style="120" bestFit="1" customWidth="1"/>
    <col min="6152" max="6152" width="10.140625" style="120" bestFit="1" customWidth="1"/>
    <col min="6153" max="6400" width="8.42578125" style="120"/>
    <col min="6401" max="6401" width="7.5703125" style="120" customWidth="1"/>
    <col min="6402" max="6402" width="7.85546875" style="120" bestFit="1" customWidth="1"/>
    <col min="6403" max="6403" width="39.140625" style="120" customWidth="1"/>
    <col min="6404" max="6404" width="10" style="120" bestFit="1" customWidth="1"/>
    <col min="6405" max="6405" width="9.42578125" style="120" bestFit="1" customWidth="1"/>
    <col min="6406" max="6406" width="11.85546875" style="120" customWidth="1"/>
    <col min="6407" max="6407" width="8.85546875" style="120" bestFit="1" customWidth="1"/>
    <col min="6408" max="6408" width="10.140625" style="120" bestFit="1" customWidth="1"/>
    <col min="6409" max="6656" width="8.42578125" style="120"/>
    <col min="6657" max="6657" width="7.5703125" style="120" customWidth="1"/>
    <col min="6658" max="6658" width="7.85546875" style="120" bestFit="1" customWidth="1"/>
    <col min="6659" max="6659" width="39.140625" style="120" customWidth="1"/>
    <col min="6660" max="6660" width="10" style="120" bestFit="1" customWidth="1"/>
    <col min="6661" max="6661" width="9.42578125" style="120" bestFit="1" customWidth="1"/>
    <col min="6662" max="6662" width="11.85546875" style="120" customWidth="1"/>
    <col min="6663" max="6663" width="8.85546875" style="120" bestFit="1" customWidth="1"/>
    <col min="6664" max="6664" width="10.140625" style="120" bestFit="1" customWidth="1"/>
    <col min="6665" max="6912" width="8.42578125" style="120"/>
    <col min="6913" max="6913" width="7.5703125" style="120" customWidth="1"/>
    <col min="6914" max="6914" width="7.85546875" style="120" bestFit="1" customWidth="1"/>
    <col min="6915" max="6915" width="39.140625" style="120" customWidth="1"/>
    <col min="6916" max="6916" width="10" style="120" bestFit="1" customWidth="1"/>
    <col min="6917" max="6917" width="9.42578125" style="120" bestFit="1" customWidth="1"/>
    <col min="6918" max="6918" width="11.85546875" style="120" customWidth="1"/>
    <col min="6919" max="6919" width="8.85546875" style="120" bestFit="1" customWidth="1"/>
    <col min="6920" max="6920" width="10.140625" style="120" bestFit="1" customWidth="1"/>
    <col min="6921" max="7168" width="8.42578125" style="120"/>
    <col min="7169" max="7169" width="7.5703125" style="120" customWidth="1"/>
    <col min="7170" max="7170" width="7.85546875" style="120" bestFit="1" customWidth="1"/>
    <col min="7171" max="7171" width="39.140625" style="120" customWidth="1"/>
    <col min="7172" max="7172" width="10" style="120" bestFit="1" customWidth="1"/>
    <col min="7173" max="7173" width="9.42578125" style="120" bestFit="1" customWidth="1"/>
    <col min="7174" max="7174" width="11.85546875" style="120" customWidth="1"/>
    <col min="7175" max="7175" width="8.85546875" style="120" bestFit="1" customWidth="1"/>
    <col min="7176" max="7176" width="10.140625" style="120" bestFit="1" customWidth="1"/>
    <col min="7177" max="7424" width="8.42578125" style="120"/>
    <col min="7425" max="7425" width="7.5703125" style="120" customWidth="1"/>
    <col min="7426" max="7426" width="7.85546875" style="120" bestFit="1" customWidth="1"/>
    <col min="7427" max="7427" width="39.140625" style="120" customWidth="1"/>
    <col min="7428" max="7428" width="10" style="120" bestFit="1" customWidth="1"/>
    <col min="7429" max="7429" width="9.42578125" style="120" bestFit="1" customWidth="1"/>
    <col min="7430" max="7430" width="11.85546875" style="120" customWidth="1"/>
    <col min="7431" max="7431" width="8.85546875" style="120" bestFit="1" customWidth="1"/>
    <col min="7432" max="7432" width="10.140625" style="120" bestFit="1" customWidth="1"/>
    <col min="7433" max="7680" width="8.42578125" style="120"/>
    <col min="7681" max="7681" width="7.5703125" style="120" customWidth="1"/>
    <col min="7682" max="7682" width="7.85546875" style="120" bestFit="1" customWidth="1"/>
    <col min="7683" max="7683" width="39.140625" style="120" customWidth="1"/>
    <col min="7684" max="7684" width="10" style="120" bestFit="1" customWidth="1"/>
    <col min="7685" max="7685" width="9.42578125" style="120" bestFit="1" customWidth="1"/>
    <col min="7686" max="7686" width="11.85546875" style="120" customWidth="1"/>
    <col min="7687" max="7687" width="8.85546875" style="120" bestFit="1" customWidth="1"/>
    <col min="7688" max="7688" width="10.140625" style="120" bestFit="1" customWidth="1"/>
    <col min="7689" max="7936" width="8.42578125" style="120"/>
    <col min="7937" max="7937" width="7.5703125" style="120" customWidth="1"/>
    <col min="7938" max="7938" width="7.85546875" style="120" bestFit="1" customWidth="1"/>
    <col min="7939" max="7939" width="39.140625" style="120" customWidth="1"/>
    <col min="7940" max="7940" width="10" style="120" bestFit="1" customWidth="1"/>
    <col min="7941" max="7941" width="9.42578125" style="120" bestFit="1" customWidth="1"/>
    <col min="7942" max="7942" width="11.85546875" style="120" customWidth="1"/>
    <col min="7943" max="7943" width="8.85546875" style="120" bestFit="1" customWidth="1"/>
    <col min="7944" max="7944" width="10.140625" style="120" bestFit="1" customWidth="1"/>
    <col min="7945" max="8192" width="8.42578125" style="120"/>
    <col min="8193" max="8193" width="7.5703125" style="120" customWidth="1"/>
    <col min="8194" max="8194" width="7.85546875" style="120" bestFit="1" customWidth="1"/>
    <col min="8195" max="8195" width="39.140625" style="120" customWidth="1"/>
    <col min="8196" max="8196" width="10" style="120" bestFit="1" customWidth="1"/>
    <col min="8197" max="8197" width="9.42578125" style="120" bestFit="1" customWidth="1"/>
    <col min="8198" max="8198" width="11.85546875" style="120" customWidth="1"/>
    <col min="8199" max="8199" width="8.85546875" style="120" bestFit="1" customWidth="1"/>
    <col min="8200" max="8200" width="10.140625" style="120" bestFit="1" customWidth="1"/>
    <col min="8201" max="8448" width="8.42578125" style="120"/>
    <col min="8449" max="8449" width="7.5703125" style="120" customWidth="1"/>
    <col min="8450" max="8450" width="7.85546875" style="120" bestFit="1" customWidth="1"/>
    <col min="8451" max="8451" width="39.140625" style="120" customWidth="1"/>
    <col min="8452" max="8452" width="10" style="120" bestFit="1" customWidth="1"/>
    <col min="8453" max="8453" width="9.42578125" style="120" bestFit="1" customWidth="1"/>
    <col min="8454" max="8454" width="11.85546875" style="120" customWidth="1"/>
    <col min="8455" max="8455" width="8.85546875" style="120" bestFit="1" customWidth="1"/>
    <col min="8456" max="8456" width="10.140625" style="120" bestFit="1" customWidth="1"/>
    <col min="8457" max="8704" width="8.42578125" style="120"/>
    <col min="8705" max="8705" width="7.5703125" style="120" customWidth="1"/>
    <col min="8706" max="8706" width="7.85546875" style="120" bestFit="1" customWidth="1"/>
    <col min="8707" max="8707" width="39.140625" style="120" customWidth="1"/>
    <col min="8708" max="8708" width="10" style="120" bestFit="1" customWidth="1"/>
    <col min="8709" max="8709" width="9.42578125" style="120" bestFit="1" customWidth="1"/>
    <col min="8710" max="8710" width="11.85546875" style="120" customWidth="1"/>
    <col min="8711" max="8711" width="8.85546875" style="120" bestFit="1" customWidth="1"/>
    <col min="8712" max="8712" width="10.140625" style="120" bestFit="1" customWidth="1"/>
    <col min="8713" max="8960" width="8.42578125" style="120"/>
    <col min="8961" max="8961" width="7.5703125" style="120" customWidth="1"/>
    <col min="8962" max="8962" width="7.85546875" style="120" bestFit="1" customWidth="1"/>
    <col min="8963" max="8963" width="39.140625" style="120" customWidth="1"/>
    <col min="8964" max="8964" width="10" style="120" bestFit="1" customWidth="1"/>
    <col min="8965" max="8965" width="9.42578125" style="120" bestFit="1" customWidth="1"/>
    <col min="8966" max="8966" width="11.85546875" style="120" customWidth="1"/>
    <col min="8967" max="8967" width="8.85546875" style="120" bestFit="1" customWidth="1"/>
    <col min="8968" max="8968" width="10.140625" style="120" bestFit="1" customWidth="1"/>
    <col min="8969" max="9216" width="8.42578125" style="120"/>
    <col min="9217" max="9217" width="7.5703125" style="120" customWidth="1"/>
    <col min="9218" max="9218" width="7.85546875" style="120" bestFit="1" customWidth="1"/>
    <col min="9219" max="9219" width="39.140625" style="120" customWidth="1"/>
    <col min="9220" max="9220" width="10" style="120" bestFit="1" customWidth="1"/>
    <col min="9221" max="9221" width="9.42578125" style="120" bestFit="1" customWidth="1"/>
    <col min="9222" max="9222" width="11.85546875" style="120" customWidth="1"/>
    <col min="9223" max="9223" width="8.85546875" style="120" bestFit="1" customWidth="1"/>
    <col min="9224" max="9224" width="10.140625" style="120" bestFit="1" customWidth="1"/>
    <col min="9225" max="9472" width="8.42578125" style="120"/>
    <col min="9473" max="9473" width="7.5703125" style="120" customWidth="1"/>
    <col min="9474" max="9474" width="7.85546875" style="120" bestFit="1" customWidth="1"/>
    <col min="9475" max="9475" width="39.140625" style="120" customWidth="1"/>
    <col min="9476" max="9476" width="10" style="120" bestFit="1" customWidth="1"/>
    <col min="9477" max="9477" width="9.42578125" style="120" bestFit="1" customWidth="1"/>
    <col min="9478" max="9478" width="11.85546875" style="120" customWidth="1"/>
    <col min="9479" max="9479" width="8.85546875" style="120" bestFit="1" customWidth="1"/>
    <col min="9480" max="9480" width="10.140625" style="120" bestFit="1" customWidth="1"/>
    <col min="9481" max="9728" width="8.42578125" style="120"/>
    <col min="9729" max="9729" width="7.5703125" style="120" customWidth="1"/>
    <col min="9730" max="9730" width="7.85546875" style="120" bestFit="1" customWidth="1"/>
    <col min="9731" max="9731" width="39.140625" style="120" customWidth="1"/>
    <col min="9732" max="9732" width="10" style="120" bestFit="1" customWidth="1"/>
    <col min="9733" max="9733" width="9.42578125" style="120" bestFit="1" customWidth="1"/>
    <col min="9734" max="9734" width="11.85546875" style="120" customWidth="1"/>
    <col min="9735" max="9735" width="8.85546875" style="120" bestFit="1" customWidth="1"/>
    <col min="9736" max="9736" width="10.140625" style="120" bestFit="1" customWidth="1"/>
    <col min="9737" max="9984" width="8.42578125" style="120"/>
    <col min="9985" max="9985" width="7.5703125" style="120" customWidth="1"/>
    <col min="9986" max="9986" width="7.85546875" style="120" bestFit="1" customWidth="1"/>
    <col min="9987" max="9987" width="39.140625" style="120" customWidth="1"/>
    <col min="9988" max="9988" width="10" style="120" bestFit="1" customWidth="1"/>
    <col min="9989" max="9989" width="9.42578125" style="120" bestFit="1" customWidth="1"/>
    <col min="9990" max="9990" width="11.85546875" style="120" customWidth="1"/>
    <col min="9991" max="9991" width="8.85546875" style="120" bestFit="1" customWidth="1"/>
    <col min="9992" max="9992" width="10.140625" style="120" bestFit="1" customWidth="1"/>
    <col min="9993" max="10240" width="8.42578125" style="120"/>
    <col min="10241" max="10241" width="7.5703125" style="120" customWidth="1"/>
    <col min="10242" max="10242" width="7.85546875" style="120" bestFit="1" customWidth="1"/>
    <col min="10243" max="10243" width="39.140625" style="120" customWidth="1"/>
    <col min="10244" max="10244" width="10" style="120" bestFit="1" customWidth="1"/>
    <col min="10245" max="10245" width="9.42578125" style="120" bestFit="1" customWidth="1"/>
    <col min="10246" max="10246" width="11.85546875" style="120" customWidth="1"/>
    <col min="10247" max="10247" width="8.85546875" style="120" bestFit="1" customWidth="1"/>
    <col min="10248" max="10248" width="10.140625" style="120" bestFit="1" customWidth="1"/>
    <col min="10249" max="10496" width="8.42578125" style="120"/>
    <col min="10497" max="10497" width="7.5703125" style="120" customWidth="1"/>
    <col min="10498" max="10498" width="7.85546875" style="120" bestFit="1" customWidth="1"/>
    <col min="10499" max="10499" width="39.140625" style="120" customWidth="1"/>
    <col min="10500" max="10500" width="10" style="120" bestFit="1" customWidth="1"/>
    <col min="10501" max="10501" width="9.42578125" style="120" bestFit="1" customWidth="1"/>
    <col min="10502" max="10502" width="11.85546875" style="120" customWidth="1"/>
    <col min="10503" max="10503" width="8.85546875" style="120" bestFit="1" customWidth="1"/>
    <col min="10504" max="10504" width="10.140625" style="120" bestFit="1" customWidth="1"/>
    <col min="10505" max="10752" width="8.42578125" style="120"/>
    <col min="10753" max="10753" width="7.5703125" style="120" customWidth="1"/>
    <col min="10754" max="10754" width="7.85546875" style="120" bestFit="1" customWidth="1"/>
    <col min="10755" max="10755" width="39.140625" style="120" customWidth="1"/>
    <col min="10756" max="10756" width="10" style="120" bestFit="1" customWidth="1"/>
    <col min="10757" max="10757" width="9.42578125" style="120" bestFit="1" customWidth="1"/>
    <col min="10758" max="10758" width="11.85546875" style="120" customWidth="1"/>
    <col min="10759" max="10759" width="8.85546875" style="120" bestFit="1" customWidth="1"/>
    <col min="10760" max="10760" width="10.140625" style="120" bestFit="1" customWidth="1"/>
    <col min="10761" max="11008" width="8.42578125" style="120"/>
    <col min="11009" max="11009" width="7.5703125" style="120" customWidth="1"/>
    <col min="11010" max="11010" width="7.85546875" style="120" bestFit="1" customWidth="1"/>
    <col min="11011" max="11011" width="39.140625" style="120" customWidth="1"/>
    <col min="11012" max="11012" width="10" style="120" bestFit="1" customWidth="1"/>
    <col min="11013" max="11013" width="9.42578125" style="120" bestFit="1" customWidth="1"/>
    <col min="11014" max="11014" width="11.85546875" style="120" customWidth="1"/>
    <col min="11015" max="11015" width="8.85546875" style="120" bestFit="1" customWidth="1"/>
    <col min="11016" max="11016" width="10.140625" style="120" bestFit="1" customWidth="1"/>
    <col min="11017" max="11264" width="8.42578125" style="120"/>
    <col min="11265" max="11265" width="7.5703125" style="120" customWidth="1"/>
    <col min="11266" max="11266" width="7.85546875" style="120" bestFit="1" customWidth="1"/>
    <col min="11267" max="11267" width="39.140625" style="120" customWidth="1"/>
    <col min="11268" max="11268" width="10" style="120" bestFit="1" customWidth="1"/>
    <col min="11269" max="11269" width="9.42578125" style="120" bestFit="1" customWidth="1"/>
    <col min="11270" max="11270" width="11.85546875" style="120" customWidth="1"/>
    <col min="11271" max="11271" width="8.85546875" style="120" bestFit="1" customWidth="1"/>
    <col min="11272" max="11272" width="10.140625" style="120" bestFit="1" customWidth="1"/>
    <col min="11273" max="11520" width="8.42578125" style="120"/>
    <col min="11521" max="11521" width="7.5703125" style="120" customWidth="1"/>
    <col min="11522" max="11522" width="7.85546875" style="120" bestFit="1" customWidth="1"/>
    <col min="11523" max="11523" width="39.140625" style="120" customWidth="1"/>
    <col min="11524" max="11524" width="10" style="120" bestFit="1" customWidth="1"/>
    <col min="11525" max="11525" width="9.42578125" style="120" bestFit="1" customWidth="1"/>
    <col min="11526" max="11526" width="11.85546875" style="120" customWidth="1"/>
    <col min="11527" max="11527" width="8.85546875" style="120" bestFit="1" customWidth="1"/>
    <col min="11528" max="11528" width="10.140625" style="120" bestFit="1" customWidth="1"/>
    <col min="11529" max="11776" width="8.42578125" style="120"/>
    <col min="11777" max="11777" width="7.5703125" style="120" customWidth="1"/>
    <col min="11778" max="11778" width="7.85546875" style="120" bestFit="1" customWidth="1"/>
    <col min="11779" max="11779" width="39.140625" style="120" customWidth="1"/>
    <col min="11780" max="11780" width="10" style="120" bestFit="1" customWidth="1"/>
    <col min="11781" max="11781" width="9.42578125" style="120" bestFit="1" customWidth="1"/>
    <col min="11782" max="11782" width="11.85546875" style="120" customWidth="1"/>
    <col min="11783" max="11783" width="8.85546875" style="120" bestFit="1" customWidth="1"/>
    <col min="11784" max="11784" width="10.140625" style="120" bestFit="1" customWidth="1"/>
    <col min="11785" max="12032" width="8.42578125" style="120"/>
    <col min="12033" max="12033" width="7.5703125" style="120" customWidth="1"/>
    <col min="12034" max="12034" width="7.85546875" style="120" bestFit="1" customWidth="1"/>
    <col min="12035" max="12035" width="39.140625" style="120" customWidth="1"/>
    <col min="12036" max="12036" width="10" style="120" bestFit="1" customWidth="1"/>
    <col min="12037" max="12037" width="9.42578125" style="120" bestFit="1" customWidth="1"/>
    <col min="12038" max="12038" width="11.85546875" style="120" customWidth="1"/>
    <col min="12039" max="12039" width="8.85546875" style="120" bestFit="1" customWidth="1"/>
    <col min="12040" max="12040" width="10.140625" style="120" bestFit="1" customWidth="1"/>
    <col min="12041" max="12288" width="8.42578125" style="120"/>
    <col min="12289" max="12289" width="7.5703125" style="120" customWidth="1"/>
    <col min="12290" max="12290" width="7.85546875" style="120" bestFit="1" customWidth="1"/>
    <col min="12291" max="12291" width="39.140625" style="120" customWidth="1"/>
    <col min="12292" max="12292" width="10" style="120" bestFit="1" customWidth="1"/>
    <col min="12293" max="12293" width="9.42578125" style="120" bestFit="1" customWidth="1"/>
    <col min="12294" max="12294" width="11.85546875" style="120" customWidth="1"/>
    <col min="12295" max="12295" width="8.85546875" style="120" bestFit="1" customWidth="1"/>
    <col min="12296" max="12296" width="10.140625" style="120" bestFit="1" customWidth="1"/>
    <col min="12297" max="12544" width="8.42578125" style="120"/>
    <col min="12545" max="12545" width="7.5703125" style="120" customWidth="1"/>
    <col min="12546" max="12546" width="7.85546875" style="120" bestFit="1" customWidth="1"/>
    <col min="12547" max="12547" width="39.140625" style="120" customWidth="1"/>
    <col min="12548" max="12548" width="10" style="120" bestFit="1" customWidth="1"/>
    <col min="12549" max="12549" width="9.42578125" style="120" bestFit="1" customWidth="1"/>
    <col min="12550" max="12550" width="11.85546875" style="120" customWidth="1"/>
    <col min="12551" max="12551" width="8.85546875" style="120" bestFit="1" customWidth="1"/>
    <col min="12552" max="12552" width="10.140625" style="120" bestFit="1" customWidth="1"/>
    <col min="12553" max="12800" width="8.42578125" style="120"/>
    <col min="12801" max="12801" width="7.5703125" style="120" customWidth="1"/>
    <col min="12802" max="12802" width="7.85546875" style="120" bestFit="1" customWidth="1"/>
    <col min="12803" max="12803" width="39.140625" style="120" customWidth="1"/>
    <col min="12804" max="12804" width="10" style="120" bestFit="1" customWidth="1"/>
    <col min="12805" max="12805" width="9.42578125" style="120" bestFit="1" customWidth="1"/>
    <col min="12806" max="12806" width="11.85546875" style="120" customWidth="1"/>
    <col min="12807" max="12807" width="8.85546875" style="120" bestFit="1" customWidth="1"/>
    <col min="12808" max="12808" width="10.140625" style="120" bestFit="1" customWidth="1"/>
    <col min="12809" max="13056" width="8.42578125" style="120"/>
    <col min="13057" max="13057" width="7.5703125" style="120" customWidth="1"/>
    <col min="13058" max="13058" width="7.85546875" style="120" bestFit="1" customWidth="1"/>
    <col min="13059" max="13059" width="39.140625" style="120" customWidth="1"/>
    <col min="13060" max="13060" width="10" style="120" bestFit="1" customWidth="1"/>
    <col min="13061" max="13061" width="9.42578125" style="120" bestFit="1" customWidth="1"/>
    <col min="13062" max="13062" width="11.85546875" style="120" customWidth="1"/>
    <col min="13063" max="13063" width="8.85546875" style="120" bestFit="1" customWidth="1"/>
    <col min="13064" max="13064" width="10.140625" style="120" bestFit="1" customWidth="1"/>
    <col min="13065" max="13312" width="8.42578125" style="120"/>
    <col min="13313" max="13313" width="7.5703125" style="120" customWidth="1"/>
    <col min="13314" max="13314" width="7.85546875" style="120" bestFit="1" customWidth="1"/>
    <col min="13315" max="13315" width="39.140625" style="120" customWidth="1"/>
    <col min="13316" max="13316" width="10" style="120" bestFit="1" customWidth="1"/>
    <col min="13317" max="13317" width="9.42578125" style="120" bestFit="1" customWidth="1"/>
    <col min="13318" max="13318" width="11.85546875" style="120" customWidth="1"/>
    <col min="13319" max="13319" width="8.85546875" style="120" bestFit="1" customWidth="1"/>
    <col min="13320" max="13320" width="10.140625" style="120" bestFit="1" customWidth="1"/>
    <col min="13321" max="13568" width="8.42578125" style="120"/>
    <col min="13569" max="13569" width="7.5703125" style="120" customWidth="1"/>
    <col min="13570" max="13570" width="7.85546875" style="120" bestFit="1" customWidth="1"/>
    <col min="13571" max="13571" width="39.140625" style="120" customWidth="1"/>
    <col min="13572" max="13572" width="10" style="120" bestFit="1" customWidth="1"/>
    <col min="13573" max="13573" width="9.42578125" style="120" bestFit="1" customWidth="1"/>
    <col min="13574" max="13574" width="11.85546875" style="120" customWidth="1"/>
    <col min="13575" max="13575" width="8.85546875" style="120" bestFit="1" customWidth="1"/>
    <col min="13576" max="13576" width="10.140625" style="120" bestFit="1" customWidth="1"/>
    <col min="13577" max="13824" width="8.42578125" style="120"/>
    <col min="13825" max="13825" width="7.5703125" style="120" customWidth="1"/>
    <col min="13826" max="13826" width="7.85546875" style="120" bestFit="1" customWidth="1"/>
    <col min="13827" max="13827" width="39.140625" style="120" customWidth="1"/>
    <col min="13828" max="13828" width="10" style="120" bestFit="1" customWidth="1"/>
    <col min="13829" max="13829" width="9.42578125" style="120" bestFit="1" customWidth="1"/>
    <col min="13830" max="13830" width="11.85546875" style="120" customWidth="1"/>
    <col min="13831" max="13831" width="8.85546875" style="120" bestFit="1" customWidth="1"/>
    <col min="13832" max="13832" width="10.140625" style="120" bestFit="1" customWidth="1"/>
    <col min="13833" max="14080" width="8.42578125" style="120"/>
    <col min="14081" max="14081" width="7.5703125" style="120" customWidth="1"/>
    <col min="14082" max="14082" width="7.85546875" style="120" bestFit="1" customWidth="1"/>
    <col min="14083" max="14083" width="39.140625" style="120" customWidth="1"/>
    <col min="14084" max="14084" width="10" style="120" bestFit="1" customWidth="1"/>
    <col min="14085" max="14085" width="9.42578125" style="120" bestFit="1" customWidth="1"/>
    <col min="14086" max="14086" width="11.85546875" style="120" customWidth="1"/>
    <col min="14087" max="14087" width="8.85546875" style="120" bestFit="1" customWidth="1"/>
    <col min="14088" max="14088" width="10.140625" style="120" bestFit="1" customWidth="1"/>
    <col min="14089" max="14336" width="8.42578125" style="120"/>
    <col min="14337" max="14337" width="7.5703125" style="120" customWidth="1"/>
    <col min="14338" max="14338" width="7.85546875" style="120" bestFit="1" customWidth="1"/>
    <col min="14339" max="14339" width="39.140625" style="120" customWidth="1"/>
    <col min="14340" max="14340" width="10" style="120" bestFit="1" customWidth="1"/>
    <col min="14341" max="14341" width="9.42578125" style="120" bestFit="1" customWidth="1"/>
    <col min="14342" max="14342" width="11.85546875" style="120" customWidth="1"/>
    <col min="14343" max="14343" width="8.85546875" style="120" bestFit="1" customWidth="1"/>
    <col min="14344" max="14344" width="10.140625" style="120" bestFit="1" customWidth="1"/>
    <col min="14345" max="14592" width="8.42578125" style="120"/>
    <col min="14593" max="14593" width="7.5703125" style="120" customWidth="1"/>
    <col min="14594" max="14594" width="7.85546875" style="120" bestFit="1" customWidth="1"/>
    <col min="14595" max="14595" width="39.140625" style="120" customWidth="1"/>
    <col min="14596" max="14596" width="10" style="120" bestFit="1" customWidth="1"/>
    <col min="14597" max="14597" width="9.42578125" style="120" bestFit="1" customWidth="1"/>
    <col min="14598" max="14598" width="11.85546875" style="120" customWidth="1"/>
    <col min="14599" max="14599" width="8.85546875" style="120" bestFit="1" customWidth="1"/>
    <col min="14600" max="14600" width="10.140625" style="120" bestFit="1" customWidth="1"/>
    <col min="14601" max="14848" width="8.42578125" style="120"/>
    <col min="14849" max="14849" width="7.5703125" style="120" customWidth="1"/>
    <col min="14850" max="14850" width="7.85546875" style="120" bestFit="1" customWidth="1"/>
    <col min="14851" max="14851" width="39.140625" style="120" customWidth="1"/>
    <col min="14852" max="14852" width="10" style="120" bestFit="1" customWidth="1"/>
    <col min="14853" max="14853" width="9.42578125" style="120" bestFit="1" customWidth="1"/>
    <col min="14854" max="14854" width="11.85546875" style="120" customWidth="1"/>
    <col min="14855" max="14855" width="8.85546875" style="120" bestFit="1" customWidth="1"/>
    <col min="14856" max="14856" width="10.140625" style="120" bestFit="1" customWidth="1"/>
    <col min="14857" max="15104" width="8.42578125" style="120"/>
    <col min="15105" max="15105" width="7.5703125" style="120" customWidth="1"/>
    <col min="15106" max="15106" width="7.85546875" style="120" bestFit="1" customWidth="1"/>
    <col min="15107" max="15107" width="39.140625" style="120" customWidth="1"/>
    <col min="15108" max="15108" width="10" style="120" bestFit="1" customWidth="1"/>
    <col min="15109" max="15109" width="9.42578125" style="120" bestFit="1" customWidth="1"/>
    <col min="15110" max="15110" width="11.85546875" style="120" customWidth="1"/>
    <col min="15111" max="15111" width="8.85546875" style="120" bestFit="1" customWidth="1"/>
    <col min="15112" max="15112" width="10.140625" style="120" bestFit="1" customWidth="1"/>
    <col min="15113" max="15360" width="8.42578125" style="120"/>
    <col min="15361" max="15361" width="7.5703125" style="120" customWidth="1"/>
    <col min="15362" max="15362" width="7.85546875" style="120" bestFit="1" customWidth="1"/>
    <col min="15363" max="15363" width="39.140625" style="120" customWidth="1"/>
    <col min="15364" max="15364" width="10" style="120" bestFit="1" customWidth="1"/>
    <col min="15365" max="15365" width="9.42578125" style="120" bestFit="1" customWidth="1"/>
    <col min="15366" max="15366" width="11.85546875" style="120" customWidth="1"/>
    <col min="15367" max="15367" width="8.85546875" style="120" bestFit="1" customWidth="1"/>
    <col min="15368" max="15368" width="10.140625" style="120" bestFit="1" customWidth="1"/>
    <col min="15369" max="15616" width="8.42578125" style="120"/>
    <col min="15617" max="15617" width="7.5703125" style="120" customWidth="1"/>
    <col min="15618" max="15618" width="7.85546875" style="120" bestFit="1" customWidth="1"/>
    <col min="15619" max="15619" width="39.140625" style="120" customWidth="1"/>
    <col min="15620" max="15620" width="10" style="120" bestFit="1" customWidth="1"/>
    <col min="15621" max="15621" width="9.42578125" style="120" bestFit="1" customWidth="1"/>
    <col min="15622" max="15622" width="11.85546875" style="120" customWidth="1"/>
    <col min="15623" max="15623" width="8.85546875" style="120" bestFit="1" customWidth="1"/>
    <col min="15624" max="15624" width="10.140625" style="120" bestFit="1" customWidth="1"/>
    <col min="15625" max="15872" width="8.42578125" style="120"/>
    <col min="15873" max="15873" width="7.5703125" style="120" customWidth="1"/>
    <col min="15874" max="15874" width="7.85546875" style="120" bestFit="1" customWidth="1"/>
    <col min="15875" max="15875" width="39.140625" style="120" customWidth="1"/>
    <col min="15876" max="15876" width="10" style="120" bestFit="1" customWidth="1"/>
    <col min="15877" max="15877" width="9.42578125" style="120" bestFit="1" customWidth="1"/>
    <col min="15878" max="15878" width="11.85546875" style="120" customWidth="1"/>
    <col min="15879" max="15879" width="8.85546875" style="120" bestFit="1" customWidth="1"/>
    <col min="15880" max="15880" width="10.140625" style="120" bestFit="1" customWidth="1"/>
    <col min="15881" max="16128" width="8.42578125" style="120"/>
    <col min="16129" max="16129" width="7.5703125" style="120" customWidth="1"/>
    <col min="16130" max="16130" width="7.85546875" style="120" bestFit="1" customWidth="1"/>
    <col min="16131" max="16131" width="39.140625" style="120" customWidth="1"/>
    <col min="16132" max="16132" width="10" style="120" bestFit="1" customWidth="1"/>
    <col min="16133" max="16133" width="9.42578125" style="120" bestFit="1" customWidth="1"/>
    <col min="16134" max="16134" width="11.85546875" style="120" customWidth="1"/>
    <col min="16135" max="16135" width="8.85546875" style="120" bestFit="1" customWidth="1"/>
    <col min="16136" max="16136" width="10.140625" style="120" bestFit="1" customWidth="1"/>
    <col min="16137" max="16384" width="8.42578125" style="120"/>
  </cols>
  <sheetData>
    <row r="1" spans="2:8" ht="36" customHeight="1" thickBot="1" x14ac:dyDescent="0.35">
      <c r="B1" s="235"/>
      <c r="C1" s="236"/>
      <c r="D1" s="236"/>
      <c r="E1" s="236"/>
      <c r="F1" s="236"/>
      <c r="G1" s="236"/>
      <c r="H1" s="237"/>
    </row>
    <row r="2" spans="2:8" ht="19.5" customHeight="1" thickBot="1" x14ac:dyDescent="0.25">
      <c r="B2" s="238" t="s">
        <v>121</v>
      </c>
      <c r="C2" s="238"/>
      <c r="D2" s="238"/>
      <c r="E2" s="238"/>
      <c r="F2" s="238"/>
      <c r="G2" s="238"/>
      <c r="H2" s="238"/>
    </row>
    <row r="3" spans="2:8" ht="19.5" customHeight="1" thickTop="1" x14ac:dyDescent="0.2">
      <c r="B3" s="239" t="s">
        <v>122</v>
      </c>
      <c r="C3" s="239"/>
      <c r="D3" s="239"/>
      <c r="E3" s="239"/>
      <c r="F3" s="239"/>
      <c r="G3" s="239"/>
      <c r="H3" s="239"/>
    </row>
    <row r="4" spans="2:8" ht="19.5" customHeight="1" x14ac:dyDescent="0.2">
      <c r="B4" s="121"/>
      <c r="C4" s="121"/>
      <c r="D4" s="121"/>
      <c r="E4" s="121"/>
      <c r="F4" s="240" t="s">
        <v>58</v>
      </c>
      <c r="G4" s="240"/>
      <c r="H4" s="18"/>
    </row>
    <row r="5" spans="2:8" ht="30" customHeight="1" x14ac:dyDescent="0.2">
      <c r="B5" s="122" t="s">
        <v>98</v>
      </c>
      <c r="C5" s="122" t="s">
        <v>110</v>
      </c>
      <c r="D5" s="122" t="s">
        <v>98</v>
      </c>
      <c r="E5" s="123" t="s">
        <v>123</v>
      </c>
      <c r="F5" s="123" t="s">
        <v>124</v>
      </c>
      <c r="G5" s="123" t="s">
        <v>125</v>
      </c>
      <c r="H5" s="123" t="s">
        <v>126</v>
      </c>
    </row>
    <row r="6" spans="2:8" s="124" customFormat="1" ht="20.100000000000001" customHeight="1" x14ac:dyDescent="0.2">
      <c r="B6" s="125">
        <v>1</v>
      </c>
      <c r="C6" s="124" t="s">
        <v>152</v>
      </c>
      <c r="D6" s="126">
        <f>+B6</f>
        <v>1</v>
      </c>
      <c r="E6" s="126">
        <f>+costo!H62</f>
        <v>1799.7910565008594</v>
      </c>
      <c r="F6" s="127">
        <f>+D6*E6</f>
        <v>1799.7910565008594</v>
      </c>
      <c r="G6" s="128">
        <f>+F6/$F$23</f>
        <v>0.3417579305375239</v>
      </c>
      <c r="H6" s="129" t="s">
        <v>127</v>
      </c>
    </row>
    <row r="7" spans="2:8" s="124" customFormat="1" ht="20.100000000000001" customHeight="1" x14ac:dyDescent="0.2">
      <c r="B7" s="125"/>
      <c r="D7" s="126"/>
      <c r="E7" s="126"/>
      <c r="F7" s="127"/>
      <c r="G7" s="128"/>
      <c r="H7" s="129"/>
    </row>
    <row r="8" spans="2:8" ht="30" customHeight="1" x14ac:dyDescent="0.2">
      <c r="B8" s="122" t="s">
        <v>98</v>
      </c>
      <c r="C8" s="122" t="s">
        <v>49</v>
      </c>
      <c r="D8" s="122" t="s">
        <v>98</v>
      </c>
      <c r="E8" s="123" t="s">
        <v>123</v>
      </c>
      <c r="F8" s="123" t="s">
        <v>124</v>
      </c>
      <c r="G8" s="123" t="s">
        <v>125</v>
      </c>
      <c r="H8" s="123" t="s">
        <v>126</v>
      </c>
    </row>
    <row r="9" spans="2:8" s="124" customFormat="1" ht="20.100000000000001" customHeight="1" x14ac:dyDescent="0.2">
      <c r="B9" s="125">
        <v>1</v>
      </c>
      <c r="C9" s="124" t="s">
        <v>128</v>
      </c>
      <c r="D9" s="126">
        <f>+B9</f>
        <v>1</v>
      </c>
      <c r="E9" s="126">
        <f>+costo!H63</f>
        <v>1603.4644771805556</v>
      </c>
      <c r="F9" s="127">
        <f>+D9*E9</f>
        <v>1603.4644771805556</v>
      </c>
      <c r="G9" s="128">
        <f>+F9/$F$23</f>
        <v>0.30447795561173113</v>
      </c>
      <c r="H9" s="129" t="s">
        <v>129</v>
      </c>
    </row>
    <row r="10" spans="2:8" s="130" customFormat="1" ht="17.25" customHeight="1" x14ac:dyDescent="0.2">
      <c r="B10" s="131"/>
      <c r="C10" s="132"/>
      <c r="D10" s="133"/>
      <c r="E10" s="133"/>
      <c r="F10" s="134"/>
      <c r="G10" s="135"/>
      <c r="H10" s="136"/>
    </row>
    <row r="11" spans="2:8" s="130" customFormat="1" ht="12" x14ac:dyDescent="0.2">
      <c r="B11" s="125"/>
      <c r="C11" s="175" t="s">
        <v>130</v>
      </c>
      <c r="D11" s="175"/>
      <c r="E11" s="126"/>
      <c r="F11" s="41">
        <f>SUM(F6)</f>
        <v>1799.7910565008594</v>
      </c>
      <c r="G11" s="137">
        <f>+F11/$F$23</f>
        <v>0.3417579305375239</v>
      </c>
      <c r="H11" s="129"/>
    </row>
    <row r="12" spans="2:8" s="130" customFormat="1" ht="12.75" thickBot="1" x14ac:dyDescent="0.25">
      <c r="B12" s="125"/>
      <c r="C12" s="175" t="s">
        <v>131</v>
      </c>
      <c r="D12" s="175"/>
      <c r="E12" s="126"/>
      <c r="F12" s="138">
        <f>SUM(F9)</f>
        <v>1603.4644771805556</v>
      </c>
      <c r="G12" s="137">
        <f>+F12/$F$23</f>
        <v>0.30447795561173113</v>
      </c>
      <c r="H12" s="129"/>
    </row>
    <row r="13" spans="2:8" s="130" customFormat="1" ht="12.75" thickTop="1" x14ac:dyDescent="0.2">
      <c r="B13" s="125"/>
      <c r="C13" s="178" t="s">
        <v>76</v>
      </c>
      <c r="D13" s="178"/>
      <c r="E13" s="178"/>
      <c r="F13" s="57">
        <f>SUM(F11:F12)</f>
        <v>3403.2555336814148</v>
      </c>
      <c r="G13" s="137">
        <f>+F13/$F$23</f>
        <v>0.64623588614925498</v>
      </c>
      <c r="H13" s="129"/>
    </row>
    <row r="14" spans="2:8" s="130" customFormat="1" ht="12" x14ac:dyDescent="0.2">
      <c r="C14" s="53"/>
      <c r="D14" s="53"/>
      <c r="E14" s="139"/>
      <c r="F14" s="140"/>
      <c r="G14" s="137"/>
    </row>
    <row r="15" spans="2:8" s="130" customFormat="1" ht="12" x14ac:dyDescent="0.2">
      <c r="B15" s="175" t="s">
        <v>76</v>
      </c>
      <c r="C15" s="175"/>
      <c r="D15" s="175"/>
      <c r="E15" s="141" t="s">
        <v>132</v>
      </c>
      <c r="F15" s="41">
        <f>+F13</f>
        <v>3403.2555336814148</v>
      </c>
      <c r="G15" s="137">
        <f t="shared" ref="G15:G23" si="0">+F15/$F$23</f>
        <v>0.64623588614925498</v>
      </c>
      <c r="H15" s="142"/>
    </row>
    <row r="16" spans="2:8" s="130" customFormat="1" ht="12.75" customHeight="1" thickBot="1" x14ac:dyDescent="0.25">
      <c r="B16" s="44"/>
      <c r="C16" s="175" t="s">
        <v>78</v>
      </c>
      <c r="D16" s="175"/>
      <c r="E16" s="143"/>
      <c r="F16" s="41">
        <f>+costo!H65</f>
        <v>707.0074490038312</v>
      </c>
      <c r="G16" s="137">
        <f t="shared" si="0"/>
        <v>0.1342519187287938</v>
      </c>
      <c r="H16" s="142"/>
    </row>
    <row r="17" spans="1:37" s="130" customFormat="1" ht="12.75" hidden="1" customHeight="1" x14ac:dyDescent="0.2">
      <c r="B17" s="44"/>
      <c r="C17" s="175" t="s">
        <v>80</v>
      </c>
      <c r="D17" s="175"/>
      <c r="E17" s="144">
        <v>0</v>
      </c>
      <c r="F17" s="41">
        <f>+(F15+F16)*E17</f>
        <v>0</v>
      </c>
      <c r="G17" s="137">
        <f t="shared" si="0"/>
        <v>0</v>
      </c>
      <c r="H17" s="142"/>
    </row>
    <row r="18" spans="1:37" s="130" customFormat="1" ht="12.75" hidden="1" thickBot="1" x14ac:dyDescent="0.25">
      <c r="B18" s="44"/>
      <c r="C18" s="175" t="s">
        <v>81</v>
      </c>
      <c r="D18" s="175"/>
      <c r="E18" s="144">
        <v>0</v>
      </c>
      <c r="F18" s="41">
        <f>+F16*E18</f>
        <v>0</v>
      </c>
      <c r="G18" s="137">
        <f t="shared" si="0"/>
        <v>0</v>
      </c>
      <c r="H18" s="142"/>
    </row>
    <row r="19" spans="1:37" s="130" customFormat="1" ht="12.75" thickBot="1" x14ac:dyDescent="0.25">
      <c r="B19" s="53"/>
      <c r="C19" s="195"/>
      <c r="D19" s="195"/>
      <c r="E19" s="196"/>
      <c r="F19" s="56">
        <f>SUM(F15:F18)</f>
        <v>4110.2629826852462</v>
      </c>
      <c r="G19" s="145">
        <f>+F19/$F$21</f>
        <v>0.8</v>
      </c>
      <c r="H19" s="142"/>
    </row>
    <row r="20" spans="1:37" s="130" customFormat="1" ht="12" x14ac:dyDescent="0.2">
      <c r="B20" s="53"/>
      <c r="C20" s="175" t="s">
        <v>118</v>
      </c>
      <c r="D20" s="175"/>
      <c r="E20" s="108">
        <v>0.25</v>
      </c>
      <c r="F20" s="41">
        <f>+F19*E20</f>
        <v>1027.5657456713116</v>
      </c>
      <c r="G20" s="137">
        <f t="shared" si="0"/>
        <v>0.1951219512195122</v>
      </c>
      <c r="H20" s="142"/>
    </row>
    <row r="21" spans="1:37" s="130" customFormat="1" ht="12" x14ac:dyDescent="0.2">
      <c r="B21" s="53"/>
      <c r="C21" s="175" t="s">
        <v>83</v>
      </c>
      <c r="D21" s="175"/>
      <c r="E21" s="175"/>
      <c r="F21" s="41">
        <f>SUM(F19:F20)</f>
        <v>5137.8287283565578</v>
      </c>
      <c r="G21" s="137">
        <f t="shared" si="0"/>
        <v>0.97560975609756106</v>
      </c>
      <c r="H21" s="142"/>
    </row>
    <row r="22" spans="1:37" s="130" customFormat="1" ht="12.75" thickBot="1" x14ac:dyDescent="0.25">
      <c r="B22" s="53"/>
      <c r="C22" s="175" t="s">
        <v>94</v>
      </c>
      <c r="D22" s="175"/>
      <c r="E22" s="108">
        <v>2.5000000000000001E-2</v>
      </c>
      <c r="F22" s="41">
        <f>+F21*E22</f>
        <v>128.44571820891395</v>
      </c>
      <c r="G22" s="137">
        <f t="shared" si="0"/>
        <v>2.4390243902439025E-2</v>
      </c>
      <c r="H22" s="142"/>
    </row>
    <row r="23" spans="1:37" s="130" customFormat="1" ht="12.75" thickBot="1" x14ac:dyDescent="0.25">
      <c r="B23" s="53"/>
      <c r="C23" s="178" t="s">
        <v>95</v>
      </c>
      <c r="D23" s="178"/>
      <c r="E23" s="179"/>
      <c r="F23" s="56">
        <f>SUM(F21:F22)</f>
        <v>5266.2744465654714</v>
      </c>
      <c r="G23" s="137">
        <f t="shared" si="0"/>
        <v>1</v>
      </c>
      <c r="H23" s="146"/>
    </row>
    <row r="24" spans="1:37" s="130" customFormat="1" ht="12.75" thickBot="1" x14ac:dyDescent="0.25">
      <c r="B24" s="53"/>
      <c r="C24" s="147"/>
      <c r="D24" s="147"/>
      <c r="E24" s="147"/>
      <c r="F24" s="57"/>
      <c r="G24" s="148"/>
      <c r="H24" s="146"/>
    </row>
    <row r="25" spans="1:37" s="149" customFormat="1" ht="19.5" customHeight="1" thickBot="1" x14ac:dyDescent="0.25">
      <c r="A25" s="241"/>
      <c r="B25" s="242"/>
      <c r="C25" s="242"/>
      <c r="D25" s="242"/>
      <c r="E25" s="242"/>
      <c r="F25" s="242"/>
      <c r="G25" s="242"/>
      <c r="H25" s="242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</row>
    <row r="26" spans="1:37" s="130" customFormat="1" ht="19.5" customHeight="1" thickBot="1" x14ac:dyDescent="0.25">
      <c r="F26" s="150"/>
      <c r="G26" s="151"/>
      <c r="H26" s="142"/>
    </row>
    <row r="27" spans="1:37" s="130" customFormat="1" ht="13.5" customHeight="1" thickBot="1" x14ac:dyDescent="0.25">
      <c r="B27" s="53"/>
      <c r="C27" s="178" t="s">
        <v>95</v>
      </c>
      <c r="D27" s="178"/>
      <c r="E27" s="179"/>
      <c r="F27" s="56">
        <f>+F23</f>
        <v>5266.2744465654714</v>
      </c>
      <c r="H27" s="142"/>
    </row>
    <row r="28" spans="1:37" s="130" customFormat="1" ht="13.5" customHeight="1" x14ac:dyDescent="0.2">
      <c r="B28" s="53"/>
      <c r="C28" s="244" t="s">
        <v>133</v>
      </c>
      <c r="D28" s="244" t="s">
        <v>85</v>
      </c>
      <c r="E28" s="108">
        <v>0.1</v>
      </c>
      <c r="F28" s="152">
        <f>+F27*E28</f>
        <v>526.62744465654714</v>
      </c>
      <c r="G28" s="153" t="s">
        <v>134</v>
      </c>
      <c r="H28" s="142" t="s">
        <v>135</v>
      </c>
    </row>
    <row r="29" spans="1:37" s="130" customFormat="1" ht="13.5" customHeight="1" x14ac:dyDescent="0.2">
      <c r="B29" s="53"/>
      <c r="C29" s="247" t="s">
        <v>90</v>
      </c>
      <c r="D29" s="247"/>
      <c r="E29" s="247"/>
      <c r="F29" s="152">
        <f>SUM(F27:F28)</f>
        <v>5792.9018912220181</v>
      </c>
      <c r="G29" s="153">
        <f>+F29/$F$31</f>
        <v>0.68965517241379304</v>
      </c>
      <c r="H29" s="154">
        <f>1-(F29/F31)</f>
        <v>0.31034482758620696</v>
      </c>
    </row>
    <row r="30" spans="1:37" s="130" customFormat="1" ht="12" x14ac:dyDescent="0.2">
      <c r="B30" s="132"/>
      <c r="C30" s="244" t="s">
        <v>136</v>
      </c>
      <c r="D30" s="244"/>
      <c r="E30" s="108">
        <v>0.45</v>
      </c>
      <c r="F30" s="41">
        <f>+F29*E30</f>
        <v>2606.8058510499081</v>
      </c>
      <c r="G30" s="148"/>
      <c r="H30" s="155"/>
    </row>
    <row r="31" spans="1:37" s="130" customFormat="1" ht="12.75" thickBot="1" x14ac:dyDescent="0.25">
      <c r="B31" s="132"/>
      <c r="C31" s="248" t="s">
        <v>137</v>
      </c>
      <c r="D31" s="248"/>
      <c r="E31" s="168"/>
      <c r="F31" s="169">
        <f>SUM(F29:F30)</f>
        <v>8399.7077422719267</v>
      </c>
      <c r="G31" s="148"/>
      <c r="H31" s="146"/>
    </row>
    <row r="32" spans="1:37" s="130" customFormat="1" ht="12.75" thickBot="1" x14ac:dyDescent="0.25">
      <c r="B32" s="132"/>
      <c r="C32" s="249" t="s">
        <v>138</v>
      </c>
      <c r="D32" s="249"/>
      <c r="E32" s="156">
        <v>0.13</v>
      </c>
      <c r="F32" s="157">
        <f>+F31*(1+E32)</f>
        <v>9491.6697487672755</v>
      </c>
      <c r="G32" s="148"/>
      <c r="H32" s="146"/>
    </row>
    <row r="33" spans="1:37" s="130" customFormat="1" ht="12.75" thickBot="1" x14ac:dyDescent="0.25">
      <c r="A33" s="241"/>
      <c r="B33" s="242"/>
      <c r="C33" s="242"/>
      <c r="D33" s="242"/>
      <c r="E33" s="242"/>
      <c r="F33" s="242"/>
      <c r="G33" s="242"/>
      <c r="H33" s="242"/>
    </row>
    <row r="34" spans="1:37" s="130" customFormat="1" ht="12" x14ac:dyDescent="0.2">
      <c r="B34" s="132"/>
      <c r="C34" s="243" t="s">
        <v>139</v>
      </c>
      <c r="D34" s="243"/>
      <c r="E34" s="158">
        <v>0.65</v>
      </c>
      <c r="F34" s="159">
        <f>+F31/0.65</f>
        <v>12922.627295802964</v>
      </c>
      <c r="G34" s="148"/>
      <c r="H34" s="146"/>
    </row>
    <row r="35" spans="1:37" s="130" customFormat="1" ht="12" x14ac:dyDescent="0.2">
      <c r="B35" s="132"/>
      <c r="C35" s="244" t="s">
        <v>140</v>
      </c>
      <c r="D35" s="244"/>
      <c r="E35" s="158">
        <v>0.13</v>
      </c>
      <c r="F35" s="159">
        <f>+F34*1.13</f>
        <v>14602.568844257348</v>
      </c>
      <c r="G35" s="148"/>
      <c r="H35" s="146"/>
    </row>
    <row r="36" spans="1:37" s="130" customFormat="1" ht="12.75" thickBot="1" x14ac:dyDescent="0.25">
      <c r="C36" s="181"/>
      <c r="D36" s="181"/>
      <c r="F36" s="160"/>
      <c r="G36" s="161"/>
      <c r="H36" s="142"/>
    </row>
    <row r="37" spans="1:37" s="149" customFormat="1" ht="19.5" customHeight="1" thickBot="1" x14ac:dyDescent="0.3">
      <c r="A37" s="245" t="s">
        <v>141</v>
      </c>
      <c r="B37" s="246"/>
      <c r="C37" s="246"/>
      <c r="D37" s="246"/>
      <c r="E37" s="246"/>
      <c r="F37" s="246"/>
      <c r="G37" s="246"/>
      <c r="H37" s="246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</row>
    <row r="38" spans="1:37" s="130" customFormat="1" ht="12" x14ac:dyDescent="0.2">
      <c r="F38" s="162"/>
      <c r="G38" s="161"/>
      <c r="H38" s="142"/>
    </row>
    <row r="43" spans="1:37" ht="12" x14ac:dyDescent="0.2">
      <c r="H43" s="134"/>
    </row>
  </sheetData>
  <mergeCells count="28"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  <mergeCell ref="C27:E27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12:D12"/>
    <mergeCell ref="B1:H1"/>
    <mergeCell ref="B2:H2"/>
    <mergeCell ref="B3:H3"/>
    <mergeCell ref="F4:G4"/>
    <mergeCell ref="C11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B847-EF8A-4406-A24A-302726880718}">
  <dimension ref="A1:Q88"/>
  <sheetViews>
    <sheetView topLeftCell="A4" workbookViewId="0">
      <selection activeCell="E16" sqref="E16"/>
    </sheetView>
  </sheetViews>
  <sheetFormatPr baseColWidth="10" defaultColWidth="8.42578125" defaultRowHeight="12.75" x14ac:dyDescent="0.2"/>
  <cols>
    <col min="1" max="1" width="10" style="12" customWidth="1"/>
    <col min="2" max="2" width="44.140625" style="12" customWidth="1"/>
    <col min="3" max="4" width="10.42578125" style="12" customWidth="1"/>
    <col min="5" max="5" width="9.85546875" style="12" customWidth="1"/>
    <col min="6" max="6" width="9.5703125" style="12" customWidth="1"/>
    <col min="7" max="7" width="9.5703125" style="111" customWidth="1"/>
    <col min="8" max="8" width="10.42578125" style="91" customWidth="1"/>
    <col min="9" max="9" width="4.5703125" style="91" customWidth="1"/>
    <col min="10" max="10" width="1.85546875" style="11" customWidth="1"/>
    <col min="11" max="11" width="7" style="12" customWidth="1"/>
    <col min="12" max="12" width="6.140625" style="12" customWidth="1"/>
    <col min="13" max="13" width="20.42578125" style="12" customWidth="1"/>
    <col min="14" max="14" width="6.42578125" style="12" customWidth="1"/>
    <col min="15" max="16" width="8.42578125" style="12"/>
    <col min="17" max="17" width="3.140625" style="12" customWidth="1"/>
    <col min="18" max="16384" width="8.42578125" style="12"/>
  </cols>
  <sheetData>
    <row r="1" spans="1:10" ht="27.75" customHeight="1" x14ac:dyDescent="0.2">
      <c r="A1" s="7"/>
      <c r="B1" s="7"/>
      <c r="C1" s="7"/>
      <c r="D1" s="7"/>
      <c r="E1" s="8" t="s">
        <v>52</v>
      </c>
      <c r="F1" s="9" t="s">
        <v>53</v>
      </c>
      <c r="G1" s="9" t="s">
        <v>54</v>
      </c>
      <c r="H1" s="9" t="s">
        <v>55</v>
      </c>
      <c r="I1" s="10"/>
    </row>
    <row r="2" spans="1:10" ht="30.75" customHeight="1" x14ac:dyDescent="0.2">
      <c r="A2" s="7"/>
      <c r="B2" s="7"/>
      <c r="C2" s="7"/>
      <c r="D2" s="7"/>
      <c r="E2" s="13">
        <f>IFERROR(O59,"")</f>
        <v>4096.3494337009615</v>
      </c>
      <c r="F2" s="13">
        <f>IFERROR(H50,"")</f>
        <v>1652.6410570755031</v>
      </c>
      <c r="G2" s="13">
        <f>IFERROR(H51,"")</f>
        <v>875.49103271201545</v>
      </c>
      <c r="H2" s="13">
        <f>IFERROR(H53,"")</f>
        <v>567.61472927724412</v>
      </c>
      <c r="I2" s="14"/>
    </row>
    <row r="3" spans="1:10" ht="15" customHeight="1" x14ac:dyDescent="0.2">
      <c r="A3" s="7"/>
      <c r="B3" s="7"/>
      <c r="C3" s="7"/>
      <c r="D3" s="7"/>
      <c r="E3" s="7"/>
      <c r="F3" s="15"/>
      <c r="G3" s="15"/>
      <c r="H3" s="15"/>
      <c r="I3" s="15"/>
    </row>
    <row r="4" spans="1:10" ht="24.75" customHeight="1" thickBot="1" x14ac:dyDescent="0.25">
      <c r="A4" s="202" t="s">
        <v>109</v>
      </c>
      <c r="B4" s="202"/>
      <c r="C4" s="202"/>
      <c r="D4" s="202"/>
      <c r="E4" s="202"/>
      <c r="F4" s="202"/>
      <c r="G4" s="202"/>
      <c r="H4" s="202"/>
      <c r="I4" s="16"/>
    </row>
    <row r="5" spans="1:10" ht="19.5" customHeight="1" thickBot="1" x14ac:dyDescent="0.25">
      <c r="A5" s="203" t="s">
        <v>57</v>
      </c>
      <c r="B5" s="204"/>
      <c r="C5" s="204"/>
      <c r="D5" s="204"/>
      <c r="E5" s="204"/>
      <c r="F5" s="204"/>
      <c r="G5" s="204"/>
      <c r="H5" s="205"/>
      <c r="I5" s="17"/>
    </row>
    <row r="6" spans="1:10" ht="19.5" thickBot="1" x14ac:dyDescent="0.25">
      <c r="A6" s="17"/>
      <c r="B6" s="17"/>
      <c r="C6" s="17"/>
      <c r="D6" s="17"/>
      <c r="E6" s="17"/>
      <c r="F6" s="206" t="s">
        <v>58</v>
      </c>
      <c r="G6" s="206"/>
      <c r="H6" s="18">
        <f ca="1">TODAY()</f>
        <v>45938</v>
      </c>
      <c r="I6" s="18"/>
    </row>
    <row r="7" spans="1:10" ht="26.25" thickBot="1" x14ac:dyDescent="0.25">
      <c r="A7" s="19" t="s">
        <v>59</v>
      </c>
      <c r="B7" s="20" t="s">
        <v>110</v>
      </c>
      <c r="C7" s="20" t="s">
        <v>59</v>
      </c>
      <c r="D7" s="21" t="s">
        <v>61</v>
      </c>
      <c r="E7" s="21" t="s">
        <v>62</v>
      </c>
      <c r="F7" s="21" t="s">
        <v>63</v>
      </c>
      <c r="G7" s="21" t="s">
        <v>64</v>
      </c>
      <c r="H7" s="22" t="s">
        <v>65</v>
      </c>
      <c r="I7" s="23"/>
    </row>
    <row r="8" spans="1:10" ht="13.5" x14ac:dyDescent="0.25">
      <c r="A8" s="25">
        <v>285</v>
      </c>
      <c r="B8" s="12" t="str">
        <f>IFERROR(VLOOKUP($H8,'[1]MP PLANTA'!$A$2:$F$500,2,0),"")</f>
        <v>DULCE DE LECHE SUAVE F2 ( 5 KG )</v>
      </c>
      <c r="C8" s="26">
        <f>+A8</f>
        <v>285</v>
      </c>
      <c r="D8" s="27" t="str">
        <f>IFERROR(VLOOKUP($H8,'[1]MP PLANTA'!$A$2:$F$500,5,0),"")</f>
        <v>Gramo</v>
      </c>
      <c r="E8" s="27">
        <f>IFERROR(VLOOKUP($H8,'[1]MP PLANTA'!$A$2:$F$500,6,0),"")</f>
        <v>1.3599809999999999</v>
      </c>
      <c r="F8" s="27">
        <f>IFERROR(C8*E8,"")</f>
        <v>387.594585</v>
      </c>
      <c r="G8" s="101">
        <f t="shared" ref="G8:G13" si="0">IFERROR(F8/$F$63,"")</f>
        <v>0.12682301506494181</v>
      </c>
      <c r="H8" s="29" t="s">
        <v>111</v>
      </c>
      <c r="I8" s="29"/>
      <c r="J8" s="102"/>
    </row>
    <row r="9" spans="1:10" ht="13.5" x14ac:dyDescent="0.25">
      <c r="A9" s="113">
        <v>40</v>
      </c>
      <c r="B9" s="114" t="str">
        <f>IFERROR(VLOOKUP($H9,'[1]MP PLANTA'!$A$2:$F$500,2,0),"")</f>
        <v>CHOCOLATE HERSHEYS SEMISWEET (2,5k)</v>
      </c>
      <c r="C9" s="26">
        <f t="shared" ref="C9:C13" si="1">+A9</f>
        <v>40</v>
      </c>
      <c r="D9" s="27" t="str">
        <f>IFERROR(VLOOKUP($H9,'[1]MP PLANTA'!$A$2:$F$500,5,0),"")</f>
        <v>Gramo</v>
      </c>
      <c r="E9" s="27">
        <f>IFERROR(VLOOKUP($H9,'[1]MP PLANTA'!$A$2:$F$500,6,0),"")</f>
        <v>4.7779999999999996</v>
      </c>
      <c r="F9" s="27">
        <f t="shared" ref="F9:F13" si="2">IFERROR(C9*E9,"")</f>
        <v>191.11999999999998</v>
      </c>
      <c r="G9" s="101">
        <f t="shared" si="0"/>
        <v>6.2535483149775362E-2</v>
      </c>
      <c r="H9" s="29" t="s">
        <v>112</v>
      </c>
      <c r="I9" s="29"/>
      <c r="J9" s="102"/>
    </row>
    <row r="10" spans="1:10" ht="13.5" x14ac:dyDescent="0.25">
      <c r="A10" s="25">
        <v>10</v>
      </c>
      <c r="B10" s="12" t="s">
        <v>113</v>
      </c>
      <c r="C10" s="26">
        <f t="shared" si="1"/>
        <v>10</v>
      </c>
      <c r="D10" s="27" t="s">
        <v>114</v>
      </c>
      <c r="E10" s="27">
        <v>2.66</v>
      </c>
      <c r="F10" s="27">
        <f t="shared" si="2"/>
        <v>26.6</v>
      </c>
      <c r="G10" s="101">
        <f t="shared" si="0"/>
        <v>8.7036618448306045E-3</v>
      </c>
      <c r="H10" s="29" t="s">
        <v>32</v>
      </c>
      <c r="I10" s="29"/>
      <c r="J10" s="102"/>
    </row>
    <row r="11" spans="1:10" ht="13.5" hidden="1" x14ac:dyDescent="0.25">
      <c r="A11" s="25"/>
      <c r="B11" s="12" t="str">
        <f>IFERROR(VLOOKUP($H11,'[1]MP PLANTA'!$A$2:$F$500,2,0),"")</f>
        <v/>
      </c>
      <c r="C11" s="26">
        <f t="shared" si="1"/>
        <v>0</v>
      </c>
      <c r="D11" s="27" t="str">
        <f>IFERROR(VLOOKUP($H11,'[1]MP PLANTA'!$A$2:$F$500,5,0),"")</f>
        <v/>
      </c>
      <c r="E11" s="27" t="str">
        <f>IFERROR(VLOOKUP($H11,'[1]MP PLANTA'!$A$2:$F$500,6,0),"")</f>
        <v/>
      </c>
      <c r="F11" s="27" t="str">
        <f t="shared" si="2"/>
        <v/>
      </c>
      <c r="G11" s="101" t="str">
        <f t="shared" si="0"/>
        <v/>
      </c>
      <c r="H11" s="29"/>
      <c r="I11" s="29"/>
      <c r="J11" s="102"/>
    </row>
    <row r="12" spans="1:10" ht="13.5" hidden="1" x14ac:dyDescent="0.25">
      <c r="A12" s="25"/>
      <c r="B12" s="12" t="str">
        <f>IFERROR(VLOOKUP($H12,'[1]MP PLANTA'!$A$2:$F$500,2,0),"")</f>
        <v/>
      </c>
      <c r="C12" s="26">
        <f t="shared" si="1"/>
        <v>0</v>
      </c>
      <c r="D12" s="27" t="str">
        <f>IFERROR(VLOOKUP($H12,'[1]MP PLANTA'!$A$2:$F$500,5,0),"")</f>
        <v/>
      </c>
      <c r="E12" s="27" t="str">
        <f>IFERROR(VLOOKUP($H12,'[1]MP PLANTA'!$A$2:$F$500,6,0),"")</f>
        <v/>
      </c>
      <c r="F12" s="27" t="str">
        <f t="shared" si="2"/>
        <v/>
      </c>
      <c r="G12" s="101" t="str">
        <f t="shared" si="0"/>
        <v/>
      </c>
      <c r="H12" s="29"/>
      <c r="I12" s="29"/>
      <c r="J12" s="102"/>
    </row>
    <row r="13" spans="1:10" ht="13.5" hidden="1" x14ac:dyDescent="0.25">
      <c r="A13" s="25"/>
      <c r="B13" s="12" t="str">
        <f>IFERROR(VLOOKUP($H13,'[1]MP PLANTA'!$A$2:$F$500,2,0),"")</f>
        <v/>
      </c>
      <c r="C13" s="26">
        <f t="shared" si="1"/>
        <v>0</v>
      </c>
      <c r="D13" s="27" t="str">
        <f>IFERROR(VLOOKUP($H13,'[1]MP PLANTA'!$A$2:$F$500,5,0),"")</f>
        <v/>
      </c>
      <c r="E13" s="27" t="str">
        <f>IFERROR(VLOOKUP($H13,'[1]MP PLANTA'!$A$2:$F$500,6,0),"")</f>
        <v/>
      </c>
      <c r="F13" s="27" t="str">
        <f t="shared" si="2"/>
        <v/>
      </c>
      <c r="G13" s="101" t="str">
        <f t="shared" si="0"/>
        <v/>
      </c>
      <c r="H13" s="29"/>
      <c r="I13" s="29"/>
      <c r="J13" s="102"/>
    </row>
    <row r="14" spans="1:10" ht="14.25" thickBot="1" x14ac:dyDescent="0.3">
      <c r="A14" s="25"/>
      <c r="C14" s="26"/>
      <c r="D14" s="27"/>
      <c r="E14" s="27"/>
      <c r="F14" s="27"/>
      <c r="G14" s="101"/>
      <c r="H14" s="29"/>
      <c r="I14" s="29"/>
      <c r="J14" s="102"/>
    </row>
    <row r="15" spans="1:10" ht="26.25" thickBot="1" x14ac:dyDescent="0.25">
      <c r="A15" s="19" t="s">
        <v>59</v>
      </c>
      <c r="B15" s="20" t="s">
        <v>60</v>
      </c>
      <c r="C15" s="20" t="s">
        <v>59</v>
      </c>
      <c r="D15" s="21" t="s">
        <v>61</v>
      </c>
      <c r="E15" s="21" t="s">
        <v>62</v>
      </c>
      <c r="F15" s="21" t="s">
        <v>63</v>
      </c>
      <c r="G15" s="21" t="s">
        <v>64</v>
      </c>
      <c r="H15" s="22" t="s">
        <v>65</v>
      </c>
      <c r="I15" s="23"/>
      <c r="J15" s="102"/>
    </row>
    <row r="16" spans="1:10" ht="13.5" x14ac:dyDescent="0.25">
      <c r="A16" s="113">
        <v>1</v>
      </c>
      <c r="B16" s="114" t="s">
        <v>115</v>
      </c>
      <c r="C16" s="26">
        <f>+A16</f>
        <v>1</v>
      </c>
      <c r="D16" s="26" t="s">
        <v>89</v>
      </c>
      <c r="E16" s="27">
        <f>+'Costo Rosquete'!H25</f>
        <v>869.70131273881952</v>
      </c>
      <c r="F16" s="27">
        <f>IFERROR(E16*C16,"")</f>
        <v>869.70131273881952</v>
      </c>
      <c r="G16" s="101">
        <f>IFERROR(F16/$F$63,"")</f>
        <v>0.28457090722120121</v>
      </c>
      <c r="H16" s="29"/>
      <c r="I16" s="29"/>
      <c r="J16" s="102"/>
    </row>
    <row r="17" spans="1:12" ht="13.5" x14ac:dyDescent="0.25">
      <c r="A17" s="113">
        <v>100</v>
      </c>
      <c r="B17" s="114" t="str">
        <f>IFERROR(VLOOKUP($H17,[1]SEMIELABORADOS!$A$1:$J$999,2,0),"")</f>
        <v>CREMA CHANTILLY CHOCO (SPOON-IND)(24875g)</v>
      </c>
      <c r="C17" s="26">
        <f>+A17</f>
        <v>100</v>
      </c>
      <c r="D17" s="26" t="str">
        <f>IFERROR(VLOOKUP($H17,[1]SEMIELABORADOS!$A$1:$J$999,4,0),"")</f>
        <v>GRAMO</v>
      </c>
      <c r="E17" s="27">
        <f>IFERROR(VLOOKUP($H17,[1]SEMIELABORADOS!$A$1:$J$999,6,0),"")</f>
        <v>1.7762515933668341</v>
      </c>
      <c r="F17" s="27">
        <f>IFERROR(E17*C17,"")</f>
        <v>177.62515933668342</v>
      </c>
      <c r="G17" s="101">
        <f>IFERROR(F17/$F$63,"")</f>
        <v>5.8119899323332627E-2</v>
      </c>
      <c r="H17" s="29" t="s">
        <v>29</v>
      </c>
      <c r="I17" s="29"/>
      <c r="J17" s="102"/>
    </row>
    <row r="18" spans="1:12" ht="13.5" hidden="1" x14ac:dyDescent="0.25">
      <c r="A18" s="25"/>
      <c r="B18" s="12" t="str">
        <f>IFERROR(VLOOKUP($H18,[1]SEMIELABORADOS!$A$1:$J$999,2,0),"")</f>
        <v/>
      </c>
      <c r="C18" s="26">
        <f>+A18</f>
        <v>0</v>
      </c>
      <c r="D18" s="26" t="str">
        <f>IFERROR(VLOOKUP($H18,[1]SEMIELABORADOS!$A$1:$J$999,4,0),"")</f>
        <v/>
      </c>
      <c r="E18" s="27" t="str">
        <f>IFERROR(VLOOKUP($H18,[1]SEMIELABORADOS!$A$1:$J$999,6,0),"")</f>
        <v/>
      </c>
      <c r="F18" s="27" t="str">
        <f>IFERROR(E18*C18,"")</f>
        <v/>
      </c>
      <c r="G18" s="101" t="str">
        <f>IFERROR(F18/$F$63,"")</f>
        <v/>
      </c>
      <c r="H18" s="29"/>
      <c r="I18" s="29"/>
      <c r="J18" s="102"/>
    </row>
    <row r="19" spans="1:12" ht="13.5" hidden="1" x14ac:dyDescent="0.25">
      <c r="A19" s="25"/>
      <c r="B19" s="12" t="str">
        <f>IFERROR(VLOOKUP($H19,[1]SEMIELABORADOS!$A$1:$J$999,2,0),"")</f>
        <v/>
      </c>
      <c r="C19" s="26">
        <f>+A19</f>
        <v>0</v>
      </c>
      <c r="D19" s="26" t="str">
        <f>IFERROR(VLOOKUP($H19,[1]SEMIELABORADOS!$A$1:$J$999,4,0),"")</f>
        <v/>
      </c>
      <c r="E19" s="27" t="str">
        <f>IFERROR(VLOOKUP($H19,[1]SEMIELABORADOS!$A$1:$J$999,6,0),"")</f>
        <v/>
      </c>
      <c r="F19" s="27" t="str">
        <f>IFERROR(E19*C19,"")</f>
        <v/>
      </c>
      <c r="G19" s="101" t="str">
        <f>IFERROR(F19/$F$63,"")</f>
        <v/>
      </c>
      <c r="H19" s="29"/>
      <c r="I19" s="29"/>
      <c r="J19" s="102"/>
    </row>
    <row r="20" spans="1:12" ht="14.25" thickBot="1" x14ac:dyDescent="0.3">
      <c r="A20" s="25"/>
      <c r="C20" s="26"/>
      <c r="D20" s="26"/>
      <c r="E20" s="27"/>
      <c r="F20" s="27"/>
      <c r="G20" s="101"/>
      <c r="H20" s="29"/>
      <c r="I20" s="29"/>
      <c r="J20" s="102"/>
    </row>
    <row r="21" spans="1:12" ht="26.25" thickBot="1" x14ac:dyDescent="0.25">
      <c r="A21" s="19" t="s">
        <v>59</v>
      </c>
      <c r="B21" s="20" t="s">
        <v>49</v>
      </c>
      <c r="C21" s="20" t="s">
        <v>59</v>
      </c>
      <c r="D21" s="21" t="s">
        <v>61</v>
      </c>
      <c r="E21" s="21" t="s">
        <v>62</v>
      </c>
      <c r="F21" s="21" t="s">
        <v>63</v>
      </c>
      <c r="G21" s="21" t="s">
        <v>64</v>
      </c>
      <c r="H21" s="22" t="s">
        <v>65</v>
      </c>
      <c r="I21" s="23"/>
    </row>
    <row r="22" spans="1:12" ht="13.5" x14ac:dyDescent="0.25">
      <c r="A22" s="113">
        <v>4</v>
      </c>
      <c r="B22" s="115" t="str">
        <f>IFERROR(VLOOKUP($H22,'[1]EMP PLANTA'!$A$2:$F$500,2,0),"")</f>
        <v>PAPEL ENCERADO 12 X 10 (CAJA)</v>
      </c>
      <c r="C22" s="116">
        <f t="shared" ref="C22:C27" si="3">+A22</f>
        <v>4</v>
      </c>
      <c r="D22" s="117" t="str">
        <f>IFERROR(VLOOKUP($H22,'[1]EMP PLANTA'!$A$2:$F$500,5,0),"")</f>
        <v>UND</v>
      </c>
      <c r="E22" s="117">
        <f>IFERROR(VLOOKUP($H22,'[1]EMP PLANTA'!$A$2:$F$500,6,0),"")</f>
        <v>7.0704459999999996</v>
      </c>
      <c r="F22" s="117">
        <f t="shared" ref="F22:F27" si="4">IFERROR(E22*C22,"")</f>
        <v>28.281783999999998</v>
      </c>
      <c r="G22" s="118">
        <f t="shared" ref="G22:G27" si="5">IFERROR(F22/$F$63,"")</f>
        <v>9.2539505377646856E-3</v>
      </c>
      <c r="H22" s="119" t="s">
        <v>38</v>
      </c>
      <c r="I22" s="31"/>
      <c r="J22" s="102"/>
      <c r="K22" s="201"/>
      <c r="L22" s="201"/>
    </row>
    <row r="23" spans="1:12" ht="13.5" x14ac:dyDescent="0.25">
      <c r="A23" s="113">
        <v>1</v>
      </c>
      <c r="B23" s="115" t="str">
        <f>IFERROR(VLOOKUP($H23,'[1]EMP PLANTA'!$A$2:$F$500,2,0),"")</f>
        <v>ORLA CARTON 10" DORADA  (100 * PAQ)</v>
      </c>
      <c r="C23" s="116">
        <f t="shared" si="3"/>
        <v>1</v>
      </c>
      <c r="D23" s="117" t="str">
        <f>IFERROR(VLOOKUP($H23,'[1]EMP PLANTA'!$A$2:$F$500,5,0),"")</f>
        <v>UND</v>
      </c>
      <c r="E23" s="117">
        <f>IFERROR(VLOOKUP($H23,'[1]EMP PLANTA'!$A$2:$F$500,6,0),"")</f>
        <v>99.497</v>
      </c>
      <c r="F23" s="117">
        <f t="shared" si="4"/>
        <v>99.497</v>
      </c>
      <c r="G23" s="118">
        <f t="shared" si="5"/>
        <v>3.2555948968989119E-2</v>
      </c>
      <c r="H23" s="119" t="s">
        <v>24</v>
      </c>
      <c r="I23" s="119"/>
      <c r="J23" s="102"/>
      <c r="K23" s="201"/>
      <c r="L23" s="201"/>
    </row>
    <row r="24" spans="1:12" ht="13.5" x14ac:dyDescent="0.25">
      <c r="A24" s="113">
        <v>1</v>
      </c>
      <c r="B24" s="115" t="s">
        <v>35</v>
      </c>
      <c r="C24" s="116">
        <f t="shared" si="3"/>
        <v>1</v>
      </c>
      <c r="D24" s="117" t="s">
        <v>89</v>
      </c>
      <c r="E24" s="117">
        <v>256.3</v>
      </c>
      <c r="F24" s="117">
        <f t="shared" si="4"/>
        <v>256.3</v>
      </c>
      <c r="G24" s="118">
        <f t="shared" si="5"/>
        <v>8.3862726722935474E-2</v>
      </c>
      <c r="H24" s="119" t="s">
        <v>34</v>
      </c>
      <c r="I24" s="31"/>
      <c r="J24" s="102"/>
      <c r="K24" s="201"/>
      <c r="L24" s="201"/>
    </row>
    <row r="25" spans="1:12" ht="13.5" hidden="1" x14ac:dyDescent="0.25">
      <c r="A25" s="25">
        <v>1</v>
      </c>
      <c r="B25" s="30" t="str">
        <f>IFERROR(VLOOKUP($H25,'[1]EMP PLANTA'!$A$2:$F$500,2,0),"")</f>
        <v/>
      </c>
      <c r="C25" s="26">
        <f t="shared" si="3"/>
        <v>1</v>
      </c>
      <c r="D25" s="27" t="str">
        <f>IFERROR(VLOOKUP($H25,'[1]EMP PLANTA'!$A$2:$F$500,5,0),"")</f>
        <v/>
      </c>
      <c r="E25" s="27" t="str">
        <f>IFERROR(VLOOKUP($H25,'[1]EMP PLANTA'!$A$2:$F$500,6,0),"")</f>
        <v/>
      </c>
      <c r="F25" s="27" t="str">
        <f t="shared" si="4"/>
        <v/>
      </c>
      <c r="G25" s="101" t="str">
        <f t="shared" si="5"/>
        <v/>
      </c>
      <c r="H25" s="31"/>
      <c r="I25" s="31"/>
      <c r="J25" s="102"/>
      <c r="K25" s="201"/>
      <c r="L25" s="201"/>
    </row>
    <row r="26" spans="1:12" ht="13.5" hidden="1" x14ac:dyDescent="0.25">
      <c r="A26" s="25">
        <v>1</v>
      </c>
      <c r="B26" s="30" t="str">
        <f>IFERROR(VLOOKUP($H26,'[1]EMP PLANTA'!$A$2:$F$500,2,0),"")</f>
        <v/>
      </c>
      <c r="C26" s="26">
        <f t="shared" si="3"/>
        <v>1</v>
      </c>
      <c r="D26" s="27" t="str">
        <f>IFERROR(VLOOKUP($H26,'[1]EMP PLANTA'!$A$2:$F$500,5,0),"")</f>
        <v/>
      </c>
      <c r="E26" s="27" t="str">
        <f>IFERROR(VLOOKUP($H26,'[1]EMP PLANTA'!$A$2:$F$500,6,0),"")</f>
        <v/>
      </c>
      <c r="F26" s="27" t="str">
        <f t="shared" si="4"/>
        <v/>
      </c>
      <c r="G26" s="101" t="str">
        <f t="shared" si="5"/>
        <v/>
      </c>
      <c r="H26" s="31"/>
      <c r="I26" s="31"/>
      <c r="J26" s="102"/>
      <c r="K26" s="103"/>
      <c r="L26" s="104"/>
    </row>
    <row r="27" spans="1:12" ht="13.5" x14ac:dyDescent="0.25">
      <c r="A27" s="113">
        <v>1</v>
      </c>
      <c r="B27" s="115" t="str">
        <f>IFERROR(VLOOKUP($H27,'[1]EMP PLANTA'!$A$2:$F$500,2,0),"")</f>
        <v>ETIQ.BLANCA 1 1/4 * 3/4</v>
      </c>
      <c r="C27" s="116">
        <f t="shared" si="3"/>
        <v>1</v>
      </c>
      <c r="D27" s="117" t="str">
        <f>IFERROR(VLOOKUP($H27,'[1]EMP PLANTA'!$A$2:$F$500,5,0),"")</f>
        <v>UND</v>
      </c>
      <c r="E27" s="117">
        <f>IFERROR(VLOOKUP($H27,'[1]EMP PLANTA'!$A$2:$F$500,6,0),"")</f>
        <v>0.61599999999999999</v>
      </c>
      <c r="F27" s="117">
        <f t="shared" si="4"/>
        <v>0.61599999999999999</v>
      </c>
      <c r="G27" s="118">
        <f t="shared" si="5"/>
        <v>2.0155848482765609E-4</v>
      </c>
      <c r="H27" s="119" t="s">
        <v>22</v>
      </c>
      <c r="I27" s="31"/>
      <c r="J27" s="102"/>
    </row>
    <row r="28" spans="1:12" ht="13.5" x14ac:dyDescent="0.25">
      <c r="A28" s="113">
        <v>30</v>
      </c>
      <c r="B28" s="115" t="s">
        <v>41</v>
      </c>
      <c r="C28" s="116">
        <f t="shared" ref="C28:C35" si="6">+A28</f>
        <v>30</v>
      </c>
      <c r="D28" s="117" t="s">
        <v>120</v>
      </c>
      <c r="E28" s="117">
        <v>0.15</v>
      </c>
      <c r="F28" s="117">
        <f t="shared" ref="F28:F35" si="7">IFERROR(E28*C28,"")</f>
        <v>4.5</v>
      </c>
      <c r="G28" s="118">
        <f t="shared" ref="G28:G35" si="8">IFERROR(F28/$F$63,"")</f>
        <v>1.4724239963059291E-3</v>
      </c>
      <c r="H28" s="119" t="s">
        <v>40</v>
      </c>
      <c r="I28" s="31"/>
      <c r="J28" s="102"/>
    </row>
    <row r="29" spans="1:12" ht="13.5" x14ac:dyDescent="0.25">
      <c r="A29" s="113">
        <v>1</v>
      </c>
      <c r="B29" s="115" t="str">
        <f>IFERROR(VLOOKUP($H29,'[1]EMP PLANTA'!$A$2:$F$500,2,0),"")</f>
        <v>ETIQ.FECHA VENCIMIENTO BLANCO</v>
      </c>
      <c r="C29" s="116">
        <f t="shared" si="6"/>
        <v>1</v>
      </c>
      <c r="D29" s="117" t="str">
        <f>IFERROR(VLOOKUP($H29,'[1]EMP PLANTA'!$A$2:$F$500,5,0),"")</f>
        <v>UND</v>
      </c>
      <c r="E29" s="117">
        <f>IFERROR(VLOOKUP($H29,'[1]EMP PLANTA'!$A$2:$F$500,6,0),"")</f>
        <v>0.22877999999999998</v>
      </c>
      <c r="F29" s="117">
        <f t="shared" si="7"/>
        <v>0.22877999999999998</v>
      </c>
      <c r="G29" s="118">
        <f t="shared" si="8"/>
        <v>7.4858035972193439E-5</v>
      </c>
      <c r="H29" s="119" t="s">
        <v>43</v>
      </c>
      <c r="I29" s="31"/>
      <c r="J29" s="102"/>
    </row>
    <row r="30" spans="1:12" ht="13.5" x14ac:dyDescent="0.25">
      <c r="A30" s="113">
        <v>1</v>
      </c>
      <c r="B30" s="115" t="str">
        <f>IFERROR(VLOOKUP($H30,'[1]EMP PLANTA'!$A$2:$F$500,2,0),"")</f>
        <v>ETIQUETA BLANCA 2 5/8X1 15/16 PRE BLANCA</v>
      </c>
      <c r="C30" s="116">
        <f t="shared" si="6"/>
        <v>1</v>
      </c>
      <c r="D30" s="117" t="str">
        <f>IFERROR(VLOOKUP($H30,'[1]EMP PLANTA'!$A$2:$F$500,5,0),"")</f>
        <v>UND</v>
      </c>
      <c r="E30" s="117">
        <f>IFERROR(VLOOKUP($H30,'[1]EMP PLANTA'!$A$2:$F$500,6,0),"")</f>
        <v>2.2759999999999998</v>
      </c>
      <c r="F30" s="117">
        <f t="shared" si="7"/>
        <v>2.2759999999999998</v>
      </c>
      <c r="G30" s="118">
        <f t="shared" si="8"/>
        <v>7.4471933679828763E-4</v>
      </c>
      <c r="H30" s="119" t="s">
        <v>51</v>
      </c>
      <c r="I30" s="31"/>
      <c r="J30" s="102"/>
    </row>
    <row r="31" spans="1:12" ht="13.5" x14ac:dyDescent="0.25">
      <c r="A31" s="25">
        <v>1</v>
      </c>
      <c r="B31" s="30" t="s">
        <v>46</v>
      </c>
      <c r="C31" s="26">
        <f t="shared" si="6"/>
        <v>1</v>
      </c>
      <c r="D31" s="27" t="s">
        <v>89</v>
      </c>
      <c r="E31" s="27">
        <v>450</v>
      </c>
      <c r="F31" s="27">
        <f t="shared" si="7"/>
        <v>450</v>
      </c>
      <c r="G31" s="101">
        <f t="shared" si="8"/>
        <v>0.14724239963059291</v>
      </c>
      <c r="H31" s="31" t="s">
        <v>45</v>
      </c>
      <c r="I31" s="31"/>
      <c r="J31" s="102"/>
    </row>
    <row r="32" spans="1:12" ht="13.5" x14ac:dyDescent="0.25">
      <c r="A32" s="25">
        <v>1</v>
      </c>
      <c r="B32" s="30" t="str">
        <f>IFERROR(VLOOKUP($H32,'[1]EMP PLANTA'!$A$2:$F$500,2,0),"")</f>
        <v>ETIQ.BLANCA 1 1/4 * 3/4</v>
      </c>
      <c r="C32" s="26">
        <f t="shared" si="6"/>
        <v>1</v>
      </c>
      <c r="D32" s="27" t="str">
        <f>IFERROR(VLOOKUP($H32,'[1]EMP PLANTA'!$A$2:$F$500,5,0),"")</f>
        <v>UND</v>
      </c>
      <c r="E32" s="27">
        <f>IFERROR(VLOOKUP($H32,'[1]EMP PLANTA'!$A$2:$F$500,6,0),"")</f>
        <v>0.61599999999999999</v>
      </c>
      <c r="F32" s="27">
        <f t="shared" si="7"/>
        <v>0.61599999999999999</v>
      </c>
      <c r="G32" s="101">
        <f t="shared" si="8"/>
        <v>2.0155848482765609E-4</v>
      </c>
      <c r="H32" s="31" t="s">
        <v>22</v>
      </c>
      <c r="I32" s="31"/>
      <c r="J32" s="102"/>
    </row>
    <row r="33" spans="1:10" ht="13.5" x14ac:dyDescent="0.25">
      <c r="A33" s="25">
        <v>1</v>
      </c>
      <c r="B33" s="30" t="str">
        <f>IFERROR(VLOOKUP($H33,'[1]EMP PLANTA'!$A$2:$F$500,2,0),"")</f>
        <v>ETIQ.FECHA VENCIMIENTO BLANCO</v>
      </c>
      <c r="C33" s="26">
        <f t="shared" si="6"/>
        <v>1</v>
      </c>
      <c r="D33" s="27" t="str">
        <f>IFERROR(VLOOKUP($H33,'[1]EMP PLANTA'!$A$2:$F$500,5,0),"")</f>
        <v>UND</v>
      </c>
      <c r="E33" s="27">
        <f>IFERROR(VLOOKUP($H33,'[1]EMP PLANTA'!$A$2:$F$500,6,0),"")</f>
        <v>0.22877999999999998</v>
      </c>
      <c r="F33" s="27">
        <f t="shared" si="7"/>
        <v>0.22877999999999998</v>
      </c>
      <c r="G33" s="101">
        <f t="shared" si="8"/>
        <v>7.4858035972193439E-5</v>
      </c>
      <c r="H33" s="31" t="s">
        <v>43</v>
      </c>
      <c r="I33" s="31"/>
      <c r="J33" s="102"/>
    </row>
    <row r="34" spans="1:10" ht="13.5" x14ac:dyDescent="0.25">
      <c r="A34" s="25">
        <v>1</v>
      </c>
      <c r="B34" s="30" t="str">
        <f>IFERROR(VLOOKUP($H34,'[1]EMP PLANTA'!$A$2:$F$500,2,0),"")</f>
        <v>ETIQUETA BLANCA 2 5/8X1 15/16 PRE BLANCA</v>
      </c>
      <c r="C34" s="26">
        <f t="shared" si="6"/>
        <v>1</v>
      </c>
      <c r="D34" s="27" t="str">
        <f>IFERROR(VLOOKUP($H34,'[1]EMP PLANTA'!$A$2:$F$500,5,0),"")</f>
        <v>UND</v>
      </c>
      <c r="E34" s="27">
        <f>IFERROR(VLOOKUP($H34,'[1]EMP PLANTA'!$A$2:$F$500,6,0),"")</f>
        <v>2.2759999999999998</v>
      </c>
      <c r="F34" s="27">
        <f t="shared" si="7"/>
        <v>2.2759999999999998</v>
      </c>
      <c r="G34" s="101">
        <f t="shared" si="8"/>
        <v>7.4471933679828763E-4</v>
      </c>
      <c r="H34" s="31" t="s">
        <v>51</v>
      </c>
      <c r="I34" s="31"/>
      <c r="J34" s="102"/>
    </row>
    <row r="35" spans="1:10" ht="13.5" x14ac:dyDescent="0.25">
      <c r="A35" s="25">
        <v>100</v>
      </c>
      <c r="B35" s="30" t="s">
        <v>41</v>
      </c>
      <c r="C35" s="26">
        <f t="shared" si="6"/>
        <v>100</v>
      </c>
      <c r="D35" s="27" t="s">
        <v>120</v>
      </c>
      <c r="E35" s="27">
        <v>0.15</v>
      </c>
      <c r="F35" s="27">
        <f t="shared" si="7"/>
        <v>15</v>
      </c>
      <c r="G35" s="101">
        <f t="shared" si="8"/>
        <v>4.9080799876864301E-3</v>
      </c>
      <c r="H35" s="31" t="s">
        <v>40</v>
      </c>
      <c r="I35" s="31"/>
      <c r="J35" s="102"/>
    </row>
    <row r="36" spans="1:10" ht="14.25" thickBot="1" x14ac:dyDescent="0.3">
      <c r="A36" s="25"/>
      <c r="B36" s="30"/>
      <c r="C36" s="26"/>
      <c r="D36" s="27" t="s">
        <v>91</v>
      </c>
      <c r="E36" s="27"/>
      <c r="F36" s="27"/>
      <c r="G36" s="101"/>
      <c r="H36" s="31"/>
      <c r="I36" s="31"/>
      <c r="J36" s="102"/>
    </row>
    <row r="37" spans="1:10" ht="26.25" thickBot="1" x14ac:dyDescent="0.25">
      <c r="A37" s="19" t="s">
        <v>59</v>
      </c>
      <c r="B37" s="20" t="s">
        <v>68</v>
      </c>
      <c r="C37" s="20" t="s">
        <v>59</v>
      </c>
      <c r="D37" s="21" t="s">
        <v>61</v>
      </c>
      <c r="E37" s="21" t="s">
        <v>62</v>
      </c>
      <c r="F37" s="21" t="s">
        <v>63</v>
      </c>
      <c r="G37" s="21" t="s">
        <v>64</v>
      </c>
      <c r="H37" s="22" t="s">
        <v>65</v>
      </c>
      <c r="I37" s="23"/>
      <c r="J37" s="102"/>
    </row>
    <row r="38" spans="1:10" ht="13.5" x14ac:dyDescent="0.25">
      <c r="A38" s="25">
        <f>+A16</f>
        <v>1</v>
      </c>
      <c r="B38" s="30" t="s">
        <v>116</v>
      </c>
      <c r="C38" s="26">
        <f>+A38</f>
        <v>1</v>
      </c>
      <c r="D38" s="27" t="s">
        <v>70</v>
      </c>
      <c r="E38" s="27">
        <f>+'Costo Rosquete'!H26</f>
        <v>15.670688712015467</v>
      </c>
      <c r="F38" s="27">
        <f>IFERROR(E38*C38,"")</f>
        <v>15.670688712015467</v>
      </c>
      <c r="G38" s="101">
        <f>IFERROR(F38/$F$62,"")</f>
        <v>3.1657956993970643E-2</v>
      </c>
      <c r="H38" s="31"/>
      <c r="I38" s="31"/>
      <c r="J38" s="102"/>
    </row>
    <row r="39" spans="1:10" ht="13.5" hidden="1" x14ac:dyDescent="0.25">
      <c r="A39" s="25">
        <f>+A17</f>
        <v>100</v>
      </c>
      <c r="B39" s="30"/>
      <c r="C39" s="26">
        <f>+A39</f>
        <v>100</v>
      </c>
      <c r="D39" s="27" t="s">
        <v>70</v>
      </c>
      <c r="E39" s="27" t="str">
        <f>IFERROR(VLOOKUP($H39,[1]SEMIELABORADOS!$A$1:$J$999,8,0),"")</f>
        <v/>
      </c>
      <c r="F39" s="27" t="str">
        <f>IFERROR(E39*C39,"")</f>
        <v/>
      </c>
      <c r="G39" s="101" t="str">
        <f>IFERROR(F39/$F$62,"")</f>
        <v/>
      </c>
      <c r="H39" s="31"/>
      <c r="I39" s="31"/>
      <c r="J39" s="102"/>
    </row>
    <row r="40" spans="1:10" ht="13.5" hidden="1" x14ac:dyDescent="0.25">
      <c r="A40" s="25">
        <f>+A18</f>
        <v>0</v>
      </c>
      <c r="B40" s="30"/>
      <c r="C40" s="26">
        <f>+A40</f>
        <v>0</v>
      </c>
      <c r="D40" s="27" t="s">
        <v>70</v>
      </c>
      <c r="E40" s="27" t="str">
        <f>IFERROR(VLOOKUP($H40,[1]SEMIELABORADOS!$A$1:$J$999,8,0),"")</f>
        <v/>
      </c>
      <c r="F40" s="27" t="str">
        <f>IFERROR(E40*C40,"")</f>
        <v/>
      </c>
      <c r="G40" s="101" t="str">
        <f>IFERROR(F40/$F$62,"")</f>
        <v/>
      </c>
      <c r="H40" s="31"/>
      <c r="I40" s="31"/>
      <c r="J40" s="102"/>
    </row>
    <row r="41" spans="1:10" ht="13.5" hidden="1" x14ac:dyDescent="0.25">
      <c r="A41" s="25">
        <f>+A19</f>
        <v>0</v>
      </c>
      <c r="B41" s="30"/>
      <c r="C41" s="26">
        <f>+A41</f>
        <v>0</v>
      </c>
      <c r="D41" s="27" t="s">
        <v>70</v>
      </c>
      <c r="E41" s="27" t="str">
        <f>IFERROR(VLOOKUP($H41,[1]SEMIELABORADOS!$A$1:$J$999,8,0),"")</f>
        <v/>
      </c>
      <c r="F41" s="27" t="str">
        <f>IFERROR(E41*C41,"")</f>
        <v/>
      </c>
      <c r="G41" s="101" t="str">
        <f>IFERROR(F41/$F$62,"")</f>
        <v/>
      </c>
      <c r="H41" s="31"/>
      <c r="I41" s="31"/>
      <c r="J41" s="102"/>
    </row>
    <row r="42" spans="1:10" ht="14.25" thickBot="1" x14ac:dyDescent="0.3">
      <c r="A42" s="25"/>
      <c r="B42" s="30"/>
      <c r="C42" s="26"/>
      <c r="D42" s="27"/>
      <c r="E42" s="27"/>
      <c r="F42" s="27"/>
      <c r="G42" s="101"/>
      <c r="H42" s="31"/>
      <c r="I42" s="31"/>
      <c r="J42" s="102"/>
    </row>
    <row r="43" spans="1:10" ht="26.25" thickBot="1" x14ac:dyDescent="0.25">
      <c r="A43" s="19" t="s">
        <v>59</v>
      </c>
      <c r="B43" s="20" t="s">
        <v>71</v>
      </c>
      <c r="C43" s="20" t="s">
        <v>59</v>
      </c>
      <c r="D43" s="20"/>
      <c r="E43" s="21" t="s">
        <v>62</v>
      </c>
      <c r="F43" s="21" t="s">
        <v>63</v>
      </c>
      <c r="G43" s="21" t="s">
        <v>64</v>
      </c>
      <c r="H43" s="22" t="s">
        <v>65</v>
      </c>
      <c r="I43" s="23"/>
      <c r="J43" s="102"/>
    </row>
    <row r="44" spans="1:10" ht="13.5" x14ac:dyDescent="0.25">
      <c r="A44" s="25">
        <f>+A16</f>
        <v>1</v>
      </c>
      <c r="B44" s="32" t="s">
        <v>116</v>
      </c>
      <c r="C44" s="26">
        <f t="shared" ref="C44:C48" si="9">+A44</f>
        <v>1</v>
      </c>
      <c r="D44" s="26" t="s">
        <v>70</v>
      </c>
      <c r="E44" s="27">
        <f>+'Costo Rosquete'!H28</f>
        <v>72.614729277244081</v>
      </c>
      <c r="F44" s="27">
        <f t="shared" ref="F44:F48" si="10">IFERROR(C44*E44,"")</f>
        <v>72.614729277244081</v>
      </c>
      <c r="G44" s="101">
        <f>IFERROR(F44/$F$63,"")</f>
        <v>2.3759926638460639E-2</v>
      </c>
      <c r="H44" s="33"/>
      <c r="I44" s="33"/>
      <c r="J44" s="102"/>
    </row>
    <row r="45" spans="1:10" ht="13.5" hidden="1" x14ac:dyDescent="0.25">
      <c r="A45" s="25">
        <f>+A17</f>
        <v>100</v>
      </c>
      <c r="B45" s="32"/>
      <c r="C45" s="26">
        <f t="shared" si="9"/>
        <v>100</v>
      </c>
      <c r="D45" s="26" t="s">
        <v>70</v>
      </c>
      <c r="E45" s="27" t="str">
        <f>IFERROR(VLOOKUP($H45,[1]SEMIELABORADOS!$A$1:$J$999,10,0),"")</f>
        <v/>
      </c>
      <c r="F45" s="27" t="str">
        <f t="shared" si="10"/>
        <v/>
      </c>
      <c r="G45" s="101" t="str">
        <f>IFERROR(F45/$F$63,"")</f>
        <v/>
      </c>
      <c r="H45" s="33"/>
      <c r="I45" s="33"/>
      <c r="J45" s="102"/>
    </row>
    <row r="46" spans="1:10" ht="13.5" hidden="1" x14ac:dyDescent="0.25">
      <c r="A46" s="25">
        <f>+A18</f>
        <v>0</v>
      </c>
      <c r="B46" s="32"/>
      <c r="C46" s="26">
        <f t="shared" si="9"/>
        <v>0</v>
      </c>
      <c r="D46" s="26" t="s">
        <v>70</v>
      </c>
      <c r="E46" s="27" t="str">
        <f>IFERROR(VLOOKUP($H46,[1]SEMIELABORADOS!$A$1:$J$999,10,0),"")</f>
        <v/>
      </c>
      <c r="F46" s="27" t="str">
        <f t="shared" si="10"/>
        <v/>
      </c>
      <c r="G46" s="101" t="str">
        <f>IFERROR(F46/$F$63,"")</f>
        <v/>
      </c>
      <c r="H46" s="33"/>
      <c r="I46" s="33"/>
      <c r="J46" s="102"/>
    </row>
    <row r="47" spans="1:10" ht="13.5" hidden="1" x14ac:dyDescent="0.25">
      <c r="A47" s="25">
        <f>+A19</f>
        <v>0</v>
      </c>
      <c r="B47" s="32"/>
      <c r="C47" s="26">
        <f t="shared" si="9"/>
        <v>0</v>
      </c>
      <c r="D47" s="26" t="s">
        <v>70</v>
      </c>
      <c r="E47" s="27" t="str">
        <f>IFERROR(VLOOKUP($H47,[1]SEMIELABORADOS!$A$1:$J$999,10,0),"")</f>
        <v/>
      </c>
      <c r="F47" s="27" t="str">
        <f t="shared" si="10"/>
        <v/>
      </c>
      <c r="G47" s="101" t="str">
        <f>IFERROR(F47/$F$63,"")</f>
        <v/>
      </c>
      <c r="H47" s="33"/>
      <c r="I47" s="33"/>
      <c r="J47" s="102"/>
    </row>
    <row r="48" spans="1:10" ht="13.5" x14ac:dyDescent="0.25">
      <c r="A48" s="25">
        <v>1</v>
      </c>
      <c r="B48" s="30" t="s">
        <v>73</v>
      </c>
      <c r="C48" s="26">
        <f t="shared" si="9"/>
        <v>1</v>
      </c>
      <c r="D48" s="26" t="s">
        <v>70</v>
      </c>
      <c r="E48" s="27">
        <f>+F62</f>
        <v>495</v>
      </c>
      <c r="F48" s="27">
        <f t="shared" si="10"/>
        <v>495</v>
      </c>
      <c r="G48" s="101">
        <f>IFERROR(F48/$F$63,"")</f>
        <v>0.16196663959365221</v>
      </c>
      <c r="H48" s="33"/>
      <c r="I48" s="33"/>
      <c r="J48" s="102"/>
    </row>
    <row r="49" spans="1:17" ht="14.25" thickBot="1" x14ac:dyDescent="0.3">
      <c r="A49" s="25"/>
      <c r="B49" s="30"/>
      <c r="C49" s="26"/>
      <c r="D49" s="26"/>
      <c r="E49" s="27"/>
      <c r="F49" s="27"/>
      <c r="G49" s="101"/>
      <c r="H49" s="33"/>
      <c r="I49" s="33"/>
      <c r="J49" s="102"/>
    </row>
    <row r="50" spans="1:17" ht="13.5" thickBot="1" x14ac:dyDescent="0.25">
      <c r="A50" s="34"/>
      <c r="B50" s="197" t="s">
        <v>74</v>
      </c>
      <c r="C50" s="197"/>
      <c r="D50" s="197"/>
      <c r="E50" s="197"/>
      <c r="F50" s="35">
        <f>SUM(F8:F13,F16:F19)</f>
        <v>1652.6410570755031</v>
      </c>
      <c r="G50" s="101">
        <f>+F50/$F$63</f>
        <v>0.54075296660408168</v>
      </c>
      <c r="H50" s="36">
        <f>+F50/$D$57</f>
        <v>1652.6410570755031</v>
      </c>
      <c r="I50" s="36"/>
      <c r="J50" s="105"/>
      <c r="K50" s="38"/>
      <c r="L50" s="38"/>
      <c r="M50" s="38"/>
      <c r="N50" s="38"/>
      <c r="O50" s="38"/>
      <c r="P50" s="38"/>
      <c r="Q50" s="39"/>
    </row>
    <row r="51" spans="1:17" x14ac:dyDescent="0.2">
      <c r="A51" s="34"/>
      <c r="B51" s="197" t="s">
        <v>75</v>
      </c>
      <c r="C51" s="197"/>
      <c r="D51" s="197"/>
      <c r="E51" s="197"/>
      <c r="F51" s="35">
        <f>SUM(F22:F35,F38:F41)</f>
        <v>875.49103271201545</v>
      </c>
      <c r="G51" s="101">
        <f>+F51/$F$63</f>
        <v>0.28646533447018463</v>
      </c>
      <c r="H51" s="36">
        <f>+F51/$D$57</f>
        <v>875.49103271201545</v>
      </c>
      <c r="I51" s="36"/>
      <c r="J51" s="40"/>
      <c r="K51" s="198" t="s">
        <v>76</v>
      </c>
      <c r="L51" s="199"/>
      <c r="M51" s="199"/>
      <c r="N51" s="199"/>
      <c r="O51" s="41">
        <f>+F52</f>
        <v>2528.1320897875185</v>
      </c>
      <c r="P51" s="41"/>
      <c r="Q51" s="42"/>
    </row>
    <row r="52" spans="1:17" x14ac:dyDescent="0.2">
      <c r="A52" s="34"/>
      <c r="B52" s="197" t="s">
        <v>77</v>
      </c>
      <c r="C52" s="197"/>
      <c r="D52" s="197"/>
      <c r="E52" s="197"/>
      <c r="F52" s="35">
        <f>+F50+F51</f>
        <v>2528.1320897875185</v>
      </c>
      <c r="G52" s="101">
        <f>+F52/$F$63</f>
        <v>0.82721830107426619</v>
      </c>
      <c r="H52" s="36">
        <f>+F52/$D$57</f>
        <v>2528.1320897875185</v>
      </c>
      <c r="I52" s="36"/>
      <c r="J52" s="106"/>
      <c r="K52" s="44"/>
      <c r="L52" s="175" t="s">
        <v>78</v>
      </c>
      <c r="M52" s="175"/>
      <c r="N52" s="175"/>
      <c r="O52" s="41">
        <f>+F53</f>
        <v>567.61472927724412</v>
      </c>
      <c r="P52" s="41"/>
      <c r="Q52" s="42"/>
    </row>
    <row r="53" spans="1:17" ht="13.5" thickBot="1" x14ac:dyDescent="0.25">
      <c r="A53" s="34"/>
      <c r="B53" s="45"/>
      <c r="C53" s="197" t="s">
        <v>79</v>
      </c>
      <c r="D53" s="197"/>
      <c r="E53" s="197"/>
      <c r="F53" s="35">
        <f>SUM(F44:F48)</f>
        <v>567.61472927724412</v>
      </c>
      <c r="G53" s="101">
        <f>+F53/$F$63</f>
        <v>0.18572656623211287</v>
      </c>
      <c r="H53" s="36">
        <f>+F53/$D$57</f>
        <v>567.61472927724412</v>
      </c>
      <c r="I53" s="36"/>
      <c r="J53" s="106"/>
      <c r="K53" s="44"/>
      <c r="L53" s="44"/>
      <c r="M53" s="44" t="s">
        <v>117</v>
      </c>
      <c r="N53" s="107">
        <v>0.01</v>
      </c>
      <c r="O53" s="41">
        <f>O51*N53</f>
        <v>25.281320897875187</v>
      </c>
      <c r="P53" s="41"/>
      <c r="Q53" s="42"/>
    </row>
    <row r="54" spans="1:17" ht="13.5" thickBot="1" x14ac:dyDescent="0.25">
      <c r="A54" s="34"/>
      <c r="B54" s="47"/>
      <c r="C54" s="47"/>
      <c r="D54" s="47"/>
      <c r="E54" s="47"/>
      <c r="F54" s="48"/>
      <c r="G54" s="101"/>
      <c r="H54" s="49"/>
      <c r="I54" s="36"/>
      <c r="J54" s="106"/>
      <c r="K54" s="53"/>
      <c r="M54" s="54" t="s">
        <v>83</v>
      </c>
      <c r="N54" s="55"/>
      <c r="O54" s="56">
        <f>SUM(O51:O53)</f>
        <v>3121.0281399626374</v>
      </c>
      <c r="P54" s="57"/>
      <c r="Q54" s="42"/>
    </row>
    <row r="55" spans="1:17" x14ac:dyDescent="0.2">
      <c r="B55" s="200" t="s">
        <v>82</v>
      </c>
      <c r="C55" s="200"/>
      <c r="D55" s="51">
        <v>1100</v>
      </c>
      <c r="E55" s="52"/>
      <c r="G55" s="101"/>
      <c r="H55" s="49"/>
      <c r="I55" s="50"/>
      <c r="J55" s="106"/>
      <c r="K55" s="53"/>
      <c r="L55" s="44"/>
      <c r="M55" s="44" t="s">
        <v>118</v>
      </c>
      <c r="N55" s="108">
        <v>0.25</v>
      </c>
      <c r="O55" s="41">
        <f>+O54*N55</f>
        <v>780.25703499065935</v>
      </c>
      <c r="P55" s="41"/>
      <c r="Q55" s="42"/>
    </row>
    <row r="56" spans="1:17" x14ac:dyDescent="0.2">
      <c r="B56" s="200" t="s">
        <v>84</v>
      </c>
      <c r="C56" s="200"/>
      <c r="D56" s="58">
        <v>1100</v>
      </c>
      <c r="E56" s="52"/>
      <c r="G56" s="101"/>
      <c r="H56" s="49"/>
      <c r="I56" s="50"/>
      <c r="J56" s="106"/>
      <c r="K56" s="53"/>
      <c r="L56" s="44"/>
      <c r="M56" s="175" t="s">
        <v>83</v>
      </c>
      <c r="N56" s="175"/>
      <c r="O56" s="41">
        <f>SUM(O54:O55)</f>
        <v>3901.2851749532965</v>
      </c>
      <c r="P56" s="41"/>
      <c r="Q56" s="42"/>
    </row>
    <row r="57" spans="1:17" ht="13.5" thickBot="1" x14ac:dyDescent="0.25">
      <c r="B57" s="194" t="s">
        <v>86</v>
      </c>
      <c r="C57" s="194"/>
      <c r="D57" s="51">
        <f>+D55/D56</f>
        <v>1</v>
      </c>
      <c r="E57" s="52"/>
      <c r="F57" s="60"/>
      <c r="G57" s="101"/>
      <c r="H57" s="49"/>
      <c r="I57" s="50"/>
      <c r="J57" s="106"/>
      <c r="K57" s="53"/>
      <c r="L57" s="175" t="s">
        <v>94</v>
      </c>
      <c r="M57" s="175"/>
      <c r="N57" s="108">
        <v>0.05</v>
      </c>
      <c r="O57" s="41">
        <f>+O56*N57</f>
        <v>195.06425874766484</v>
      </c>
      <c r="P57" s="41"/>
      <c r="Q57" s="42"/>
    </row>
    <row r="58" spans="1:17" ht="13.5" thickBot="1" x14ac:dyDescent="0.25">
      <c r="B58" s="194" t="s">
        <v>119</v>
      </c>
      <c r="C58" s="194"/>
      <c r="D58" s="61" t="s">
        <v>89</v>
      </c>
      <c r="E58" s="52"/>
      <c r="F58" s="60"/>
      <c r="G58" s="101"/>
      <c r="H58" s="49"/>
      <c r="I58" s="50"/>
      <c r="J58" s="106"/>
      <c r="K58" s="177" t="s">
        <v>95</v>
      </c>
      <c r="L58" s="178"/>
      <c r="M58" s="178"/>
      <c r="N58" s="179"/>
      <c r="O58" s="56">
        <f>SUM(O56:O57)</f>
        <v>4096.3494337009615</v>
      </c>
      <c r="P58" s="66" t="s">
        <v>96</v>
      </c>
      <c r="Q58" s="42"/>
    </row>
    <row r="59" spans="1:17" ht="13.5" thickBot="1" x14ac:dyDescent="0.25">
      <c r="C59" s="34" t="s">
        <v>91</v>
      </c>
      <c r="D59" s="62"/>
      <c r="E59" s="10" t="s">
        <v>92</v>
      </c>
      <c r="F59" s="63" t="s">
        <v>93</v>
      </c>
      <c r="G59" s="101"/>
      <c r="H59" s="49"/>
      <c r="I59" s="50"/>
      <c r="J59" s="68"/>
      <c r="K59" s="69"/>
      <c r="L59" s="181" t="s">
        <v>98</v>
      </c>
      <c r="M59" s="181"/>
      <c r="N59" s="181"/>
      <c r="O59" s="70">
        <f>+O58/D57</f>
        <v>4096.3494337009615</v>
      </c>
      <c r="P59" s="71">
        <f>+O59/D56</f>
        <v>3.7239540306372376</v>
      </c>
      <c r="Q59" s="72"/>
    </row>
    <row r="60" spans="1:17" ht="13.5" thickBot="1" x14ac:dyDescent="0.25">
      <c r="B60" s="176" t="s">
        <v>77</v>
      </c>
      <c r="C60" s="176"/>
      <c r="D60" s="176"/>
      <c r="E60" s="109">
        <f>+F60/F60</f>
        <v>1</v>
      </c>
      <c r="F60" s="65">
        <f>SUM(F52)</f>
        <v>2528.1320897875185</v>
      </c>
      <c r="G60" s="101">
        <f>+F60/$F$63</f>
        <v>0.82721830107426619</v>
      </c>
      <c r="H60" s="49"/>
      <c r="I60" s="50"/>
      <c r="K60" s="184"/>
      <c r="L60" s="185"/>
      <c r="M60" s="185"/>
      <c r="N60" s="185"/>
      <c r="O60" s="75"/>
      <c r="P60" s="76"/>
    </row>
    <row r="61" spans="1:17" ht="13.5" thickBot="1" x14ac:dyDescent="0.25">
      <c r="B61" s="180" t="s">
        <v>97</v>
      </c>
      <c r="C61" s="180"/>
      <c r="D61" s="180"/>
      <c r="E61" s="67">
        <v>0.02</v>
      </c>
      <c r="F61" s="65">
        <f>+F50*E61</f>
        <v>33.052821141510066</v>
      </c>
      <c r="G61" s="101">
        <f>+F61/$F$63</f>
        <v>1.0815059332081635E-2</v>
      </c>
      <c r="H61" s="36"/>
      <c r="I61" s="50"/>
      <c r="J61" s="110"/>
      <c r="O61" s="79"/>
      <c r="P61" s="45"/>
    </row>
    <row r="62" spans="1:17" ht="13.5" thickBot="1" x14ac:dyDescent="0.25">
      <c r="B62" s="182" t="s">
        <v>99</v>
      </c>
      <c r="C62" s="183"/>
      <c r="D62" s="73">
        <v>9</v>
      </c>
      <c r="E62" s="74">
        <v>55</v>
      </c>
      <c r="F62" s="65">
        <f>+E62*D62</f>
        <v>495</v>
      </c>
      <c r="G62" s="101">
        <f>+F62/$F$63</f>
        <v>0.16196663959365221</v>
      </c>
      <c r="H62" s="36"/>
      <c r="I62" s="36"/>
      <c r="J62" s="102"/>
    </row>
    <row r="63" spans="1:17" ht="13.5" thickBot="1" x14ac:dyDescent="0.25">
      <c r="B63" s="186" t="s">
        <v>100</v>
      </c>
      <c r="C63" s="187"/>
      <c r="D63" s="187"/>
      <c r="E63" s="188"/>
      <c r="F63" s="48">
        <f>SUM(F60:F62)</f>
        <v>3056.1849109290283</v>
      </c>
      <c r="G63" s="101">
        <f>+F63/$F$63</f>
        <v>1</v>
      </c>
      <c r="H63" s="189"/>
      <c r="I63" s="36"/>
      <c r="J63" s="102"/>
    </row>
    <row r="64" spans="1:17" x14ac:dyDescent="0.2">
      <c r="C64" s="80"/>
      <c r="D64" s="80"/>
      <c r="E64" s="81"/>
      <c r="F64" s="65"/>
      <c r="G64" s="101"/>
      <c r="H64" s="189"/>
      <c r="I64" s="77"/>
      <c r="J64" s="12"/>
    </row>
    <row r="65" spans="2:10" ht="13.5" thickBot="1" x14ac:dyDescent="0.25">
      <c r="B65" s="190" t="s">
        <v>101</v>
      </c>
      <c r="C65" s="190"/>
      <c r="D65" s="190"/>
      <c r="E65" s="190"/>
      <c r="F65" s="190"/>
      <c r="G65" s="101"/>
      <c r="H65" s="82"/>
      <c r="I65" s="77"/>
      <c r="J65" s="12"/>
    </row>
    <row r="66" spans="2:10" ht="13.5" thickBot="1" x14ac:dyDescent="0.25">
      <c r="B66" s="83" t="s">
        <v>102</v>
      </c>
      <c r="C66" s="84">
        <f>+F50</f>
        <v>1652.6410570755031</v>
      </c>
      <c r="D66" s="84">
        <f>+D55</f>
        <v>1100</v>
      </c>
      <c r="E66" s="85">
        <f>+C66/D66</f>
        <v>1.50240096097773</v>
      </c>
      <c r="F66" s="101"/>
      <c r="G66" s="82"/>
      <c r="H66" s="102"/>
      <c r="I66" s="82"/>
      <c r="J66" s="12"/>
    </row>
    <row r="67" spans="2:10" x14ac:dyDescent="0.2">
      <c r="B67" s="86"/>
      <c r="C67" s="87"/>
      <c r="D67" s="88"/>
      <c r="E67" s="65"/>
      <c r="F67" s="101"/>
      <c r="G67" s="82"/>
      <c r="H67" s="102"/>
      <c r="I67" s="102"/>
      <c r="J67" s="12"/>
    </row>
    <row r="68" spans="2:10" x14ac:dyDescent="0.2">
      <c r="B68" s="83" t="s">
        <v>103</v>
      </c>
      <c r="C68" s="84">
        <f>SUM(F60:F61)</f>
        <v>2561.1849109290283</v>
      </c>
      <c r="D68" s="84">
        <f>+D55</f>
        <v>1100</v>
      </c>
      <c r="E68" s="89">
        <f>+C68/D68</f>
        <v>2.3283499190263894</v>
      </c>
      <c r="F68" s="101"/>
      <c r="G68" s="82"/>
      <c r="H68" s="102"/>
      <c r="I68" s="102"/>
      <c r="J68" s="12"/>
    </row>
    <row r="69" spans="2:10" x14ac:dyDescent="0.2">
      <c r="B69" s="83"/>
      <c r="C69" s="84"/>
      <c r="D69" s="84"/>
      <c r="E69" s="89"/>
      <c r="F69" s="101"/>
      <c r="G69" s="82"/>
      <c r="H69" s="102"/>
      <c r="I69" s="102"/>
      <c r="J69" s="12"/>
    </row>
    <row r="70" spans="2:10" ht="13.5" thickBot="1" x14ac:dyDescent="0.25">
      <c r="B70" s="83" t="s">
        <v>104</v>
      </c>
      <c r="C70" s="84">
        <f>+F62</f>
        <v>495</v>
      </c>
      <c r="D70" s="84">
        <f>+D55</f>
        <v>1100</v>
      </c>
      <c r="E70" s="89">
        <f>+C70/D70</f>
        <v>0.45</v>
      </c>
      <c r="F70" s="101"/>
      <c r="G70" s="82"/>
      <c r="H70" s="102"/>
      <c r="I70" s="102"/>
      <c r="J70" s="12"/>
    </row>
    <row r="71" spans="2:10" ht="13.5" thickBot="1" x14ac:dyDescent="0.25">
      <c r="B71" s="83" t="s">
        <v>105</v>
      </c>
      <c r="C71" s="84">
        <f>+F53</f>
        <v>567.61472927724412</v>
      </c>
      <c r="D71" s="84">
        <f>+D70</f>
        <v>1100</v>
      </c>
      <c r="E71" s="85">
        <f>+C71/D71</f>
        <v>0.51601339025204007</v>
      </c>
      <c r="F71" s="101"/>
      <c r="G71" s="82"/>
      <c r="H71" s="102"/>
      <c r="I71" s="102"/>
      <c r="J71" s="12"/>
    </row>
    <row r="72" spans="2:10" ht="13.5" thickBot="1" x14ac:dyDescent="0.25">
      <c r="B72" s="47"/>
      <c r="C72" s="48"/>
      <c r="D72" s="48"/>
      <c r="E72" s="89"/>
      <c r="F72" s="101"/>
      <c r="G72" s="82"/>
      <c r="H72" s="102"/>
      <c r="I72" s="102"/>
      <c r="J72" s="12"/>
    </row>
    <row r="73" spans="2:10" ht="13.5" thickBot="1" x14ac:dyDescent="0.25">
      <c r="B73" s="83" t="s">
        <v>106</v>
      </c>
      <c r="C73" s="84">
        <f>+F51</f>
        <v>875.49103271201545</v>
      </c>
      <c r="D73" s="84">
        <f>+D71</f>
        <v>1100</v>
      </c>
      <c r="E73" s="85">
        <f>+C73/D73</f>
        <v>0.79590093882910495</v>
      </c>
      <c r="F73" s="101"/>
      <c r="G73" s="82"/>
      <c r="H73" s="102"/>
      <c r="I73" s="102"/>
      <c r="J73" s="102"/>
    </row>
    <row r="74" spans="2:10" ht="13.5" thickBot="1" x14ac:dyDescent="0.25">
      <c r="B74" s="47"/>
      <c r="C74" s="48"/>
      <c r="D74" s="48"/>
      <c r="E74" s="89"/>
      <c r="F74" s="101"/>
      <c r="G74" s="82"/>
      <c r="H74" s="102"/>
      <c r="I74" s="102"/>
    </row>
    <row r="75" spans="2:10" ht="13.5" thickBot="1" x14ac:dyDescent="0.25">
      <c r="B75" s="191" t="s">
        <v>107</v>
      </c>
      <c r="C75" s="192"/>
      <c r="D75" s="193"/>
      <c r="E75" s="85">
        <f>+E66+E71</f>
        <v>2.0184143512297701</v>
      </c>
      <c r="G75" s="101"/>
      <c r="H75" s="82"/>
      <c r="I75" s="102"/>
      <c r="J75" s="89"/>
    </row>
    <row r="76" spans="2:10" x14ac:dyDescent="0.2">
      <c r="I76" s="82"/>
      <c r="J76" s="12"/>
    </row>
    <row r="77" spans="2:10" ht="13.5" thickBot="1" x14ac:dyDescent="0.25">
      <c r="B77" s="190" t="s">
        <v>108</v>
      </c>
      <c r="C77" s="190"/>
      <c r="D77" s="190"/>
      <c r="E77" s="190"/>
      <c r="F77" s="190"/>
      <c r="G77" s="101"/>
      <c r="H77" s="82"/>
      <c r="J77" s="12"/>
    </row>
    <row r="78" spans="2:10" ht="13.5" thickBot="1" x14ac:dyDescent="0.25">
      <c r="B78" s="83" t="s">
        <v>102</v>
      </c>
      <c r="C78" s="84">
        <f>+C66</f>
        <v>1652.6410570755031</v>
      </c>
      <c r="D78" s="84">
        <f>+D57</f>
        <v>1</v>
      </c>
      <c r="E78" s="85">
        <f>+C78/D78</f>
        <v>1652.6410570755031</v>
      </c>
      <c r="F78" s="101"/>
      <c r="G78" s="82"/>
      <c r="H78" s="102"/>
      <c r="I78" s="82"/>
      <c r="J78" s="12"/>
    </row>
    <row r="79" spans="2:10" x14ac:dyDescent="0.2">
      <c r="B79" s="86"/>
      <c r="C79" s="87"/>
      <c r="D79" s="88"/>
      <c r="E79" s="65"/>
      <c r="F79" s="101"/>
      <c r="G79" s="82"/>
      <c r="H79" s="102"/>
      <c r="I79" s="102"/>
      <c r="J79" s="12"/>
    </row>
    <row r="80" spans="2:10" x14ac:dyDescent="0.2">
      <c r="B80" s="83" t="s">
        <v>103</v>
      </c>
      <c r="C80" s="84">
        <f>+C68</f>
        <v>2561.1849109290283</v>
      </c>
      <c r="D80" s="84">
        <f>+D57</f>
        <v>1</v>
      </c>
      <c r="E80" s="89">
        <f>+C80/D80</f>
        <v>2561.1849109290283</v>
      </c>
      <c r="F80" s="101"/>
      <c r="G80" s="82"/>
      <c r="H80" s="102"/>
      <c r="I80" s="102"/>
      <c r="J80" s="12"/>
    </row>
    <row r="81" spans="1:10" x14ac:dyDescent="0.2">
      <c r="B81" s="83"/>
      <c r="C81" s="84"/>
      <c r="D81" s="84"/>
      <c r="E81" s="89"/>
      <c r="F81" s="101"/>
      <c r="G81" s="82"/>
      <c r="H81" s="102"/>
      <c r="I81" s="102"/>
      <c r="J81" s="12"/>
    </row>
    <row r="82" spans="1:10" ht="13.5" thickBot="1" x14ac:dyDescent="0.25">
      <c r="B82" s="83" t="s">
        <v>105</v>
      </c>
      <c r="C82" s="84">
        <f>+C70</f>
        <v>495</v>
      </c>
      <c r="D82" s="84">
        <f>+D57</f>
        <v>1</v>
      </c>
      <c r="E82" s="89">
        <f>+C82/D82</f>
        <v>495</v>
      </c>
      <c r="F82" s="90"/>
      <c r="G82" s="91"/>
      <c r="H82" s="11"/>
      <c r="I82" s="102"/>
    </row>
    <row r="83" spans="1:10" ht="13.5" thickBot="1" x14ac:dyDescent="0.25">
      <c r="B83" s="83" t="s">
        <v>105</v>
      </c>
      <c r="C83" s="84">
        <f>+C71</f>
        <v>567.61472927724412</v>
      </c>
      <c r="D83" s="84">
        <f>+D82</f>
        <v>1</v>
      </c>
      <c r="E83" s="85">
        <f>+C83/D83</f>
        <v>567.61472927724412</v>
      </c>
      <c r="F83" s="111"/>
      <c r="G83" s="91"/>
      <c r="H83" s="11"/>
      <c r="I83" s="11"/>
    </row>
    <row r="84" spans="1:10" x14ac:dyDescent="0.2">
      <c r="I84" s="11"/>
    </row>
    <row r="85" spans="1:10" x14ac:dyDescent="0.2">
      <c r="A85" s="174"/>
      <c r="B85" s="174"/>
      <c r="C85" s="93"/>
      <c r="D85" s="93"/>
      <c r="E85" s="94"/>
      <c r="G85" s="112"/>
    </row>
    <row r="86" spans="1:10" x14ac:dyDescent="0.2">
      <c r="A86" s="30"/>
      <c r="B86" s="96"/>
      <c r="C86" s="97"/>
      <c r="D86" s="97"/>
      <c r="E86" s="98"/>
      <c r="G86" s="112"/>
    </row>
    <row r="87" spans="1:10" x14ac:dyDescent="0.2">
      <c r="A87" s="30"/>
      <c r="B87" s="96"/>
      <c r="C87" s="99"/>
      <c r="D87" s="99"/>
      <c r="E87" s="30"/>
      <c r="G87" s="112"/>
    </row>
    <row r="88" spans="1:10" x14ac:dyDescent="0.2">
      <c r="A88" s="30"/>
      <c r="B88" s="96"/>
      <c r="C88" s="100"/>
      <c r="D88" s="100"/>
      <c r="E88" s="30"/>
      <c r="G88" s="112"/>
    </row>
  </sheetData>
  <mergeCells count="31">
    <mergeCell ref="K24:L24"/>
    <mergeCell ref="A4:H4"/>
    <mergeCell ref="A5:H5"/>
    <mergeCell ref="F6:G6"/>
    <mergeCell ref="K22:L22"/>
    <mergeCell ref="K23:L23"/>
    <mergeCell ref="K25:L25"/>
    <mergeCell ref="B50:E50"/>
    <mergeCell ref="B51:E51"/>
    <mergeCell ref="K51:N51"/>
    <mergeCell ref="B52:E52"/>
    <mergeCell ref="L52:N52"/>
    <mergeCell ref="B61:D61"/>
    <mergeCell ref="C53:E53"/>
    <mergeCell ref="B55:C55"/>
    <mergeCell ref="B56:C56"/>
    <mergeCell ref="M56:N56"/>
    <mergeCell ref="B57:C57"/>
    <mergeCell ref="L57:M57"/>
    <mergeCell ref="B58:C58"/>
    <mergeCell ref="K58:N58"/>
    <mergeCell ref="L59:N59"/>
    <mergeCell ref="B60:D60"/>
    <mergeCell ref="K60:N60"/>
    <mergeCell ref="A85:B85"/>
    <mergeCell ref="B62:C62"/>
    <mergeCell ref="B63:E63"/>
    <mergeCell ref="H63:H64"/>
    <mergeCell ref="B65:F65"/>
    <mergeCell ref="B75:D75"/>
    <mergeCell ref="B77:F7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CD83-A553-4A83-9048-9B1A36D90B8F}">
  <dimension ref="A1:AK43"/>
  <sheetViews>
    <sheetView topLeftCell="A19" workbookViewId="0">
      <selection activeCell="O24" sqref="O24"/>
    </sheetView>
  </sheetViews>
  <sheetFormatPr baseColWidth="10" defaultColWidth="8.42578125" defaultRowHeight="11.25" x14ac:dyDescent="0.2"/>
  <cols>
    <col min="1" max="1" width="7.5703125" style="120" customWidth="1"/>
    <col min="2" max="2" width="7.85546875" style="120" bestFit="1" customWidth="1"/>
    <col min="3" max="3" width="39.140625" style="120" customWidth="1"/>
    <col min="4" max="4" width="10" style="120" bestFit="1" customWidth="1"/>
    <col min="5" max="5" width="9.42578125" style="120" bestFit="1" customWidth="1"/>
    <col min="6" max="6" width="11.85546875" style="163" customWidth="1"/>
    <col min="7" max="7" width="8.85546875" style="164" bestFit="1" customWidth="1"/>
    <col min="8" max="8" width="10.140625" style="165" bestFit="1" customWidth="1"/>
    <col min="9" max="256" width="8.42578125" style="120"/>
    <col min="257" max="257" width="7.5703125" style="120" customWidth="1"/>
    <col min="258" max="258" width="7.85546875" style="120" bestFit="1" customWidth="1"/>
    <col min="259" max="259" width="39.140625" style="120" customWidth="1"/>
    <col min="260" max="260" width="10" style="120" bestFit="1" customWidth="1"/>
    <col min="261" max="261" width="9.42578125" style="120" bestFit="1" customWidth="1"/>
    <col min="262" max="262" width="11.85546875" style="120" customWidth="1"/>
    <col min="263" max="263" width="8.85546875" style="120" bestFit="1" customWidth="1"/>
    <col min="264" max="264" width="10.140625" style="120" bestFit="1" customWidth="1"/>
    <col min="265" max="512" width="8.42578125" style="120"/>
    <col min="513" max="513" width="7.5703125" style="120" customWidth="1"/>
    <col min="514" max="514" width="7.85546875" style="120" bestFit="1" customWidth="1"/>
    <col min="515" max="515" width="39.140625" style="120" customWidth="1"/>
    <col min="516" max="516" width="10" style="120" bestFit="1" customWidth="1"/>
    <col min="517" max="517" width="9.42578125" style="120" bestFit="1" customWidth="1"/>
    <col min="518" max="518" width="11.85546875" style="120" customWidth="1"/>
    <col min="519" max="519" width="8.85546875" style="120" bestFit="1" customWidth="1"/>
    <col min="520" max="520" width="10.140625" style="120" bestFit="1" customWidth="1"/>
    <col min="521" max="768" width="8.42578125" style="120"/>
    <col min="769" max="769" width="7.5703125" style="120" customWidth="1"/>
    <col min="770" max="770" width="7.85546875" style="120" bestFit="1" customWidth="1"/>
    <col min="771" max="771" width="39.140625" style="120" customWidth="1"/>
    <col min="772" max="772" width="10" style="120" bestFit="1" customWidth="1"/>
    <col min="773" max="773" width="9.42578125" style="120" bestFit="1" customWidth="1"/>
    <col min="774" max="774" width="11.85546875" style="120" customWidth="1"/>
    <col min="775" max="775" width="8.85546875" style="120" bestFit="1" customWidth="1"/>
    <col min="776" max="776" width="10.140625" style="120" bestFit="1" customWidth="1"/>
    <col min="777" max="1024" width="8.42578125" style="120"/>
    <col min="1025" max="1025" width="7.5703125" style="120" customWidth="1"/>
    <col min="1026" max="1026" width="7.85546875" style="120" bestFit="1" customWidth="1"/>
    <col min="1027" max="1027" width="39.140625" style="120" customWidth="1"/>
    <col min="1028" max="1028" width="10" style="120" bestFit="1" customWidth="1"/>
    <col min="1029" max="1029" width="9.42578125" style="120" bestFit="1" customWidth="1"/>
    <col min="1030" max="1030" width="11.85546875" style="120" customWidth="1"/>
    <col min="1031" max="1031" width="8.85546875" style="120" bestFit="1" customWidth="1"/>
    <col min="1032" max="1032" width="10.140625" style="120" bestFit="1" customWidth="1"/>
    <col min="1033" max="1280" width="8.42578125" style="120"/>
    <col min="1281" max="1281" width="7.5703125" style="120" customWidth="1"/>
    <col min="1282" max="1282" width="7.85546875" style="120" bestFit="1" customWidth="1"/>
    <col min="1283" max="1283" width="39.140625" style="120" customWidth="1"/>
    <col min="1284" max="1284" width="10" style="120" bestFit="1" customWidth="1"/>
    <col min="1285" max="1285" width="9.42578125" style="120" bestFit="1" customWidth="1"/>
    <col min="1286" max="1286" width="11.85546875" style="120" customWidth="1"/>
    <col min="1287" max="1287" width="8.85546875" style="120" bestFit="1" customWidth="1"/>
    <col min="1288" max="1288" width="10.140625" style="120" bestFit="1" customWidth="1"/>
    <col min="1289" max="1536" width="8.42578125" style="120"/>
    <col min="1537" max="1537" width="7.5703125" style="120" customWidth="1"/>
    <col min="1538" max="1538" width="7.85546875" style="120" bestFit="1" customWidth="1"/>
    <col min="1539" max="1539" width="39.140625" style="120" customWidth="1"/>
    <col min="1540" max="1540" width="10" style="120" bestFit="1" customWidth="1"/>
    <col min="1541" max="1541" width="9.42578125" style="120" bestFit="1" customWidth="1"/>
    <col min="1542" max="1542" width="11.85546875" style="120" customWidth="1"/>
    <col min="1543" max="1543" width="8.85546875" style="120" bestFit="1" customWidth="1"/>
    <col min="1544" max="1544" width="10.140625" style="120" bestFit="1" customWidth="1"/>
    <col min="1545" max="1792" width="8.42578125" style="120"/>
    <col min="1793" max="1793" width="7.5703125" style="120" customWidth="1"/>
    <col min="1794" max="1794" width="7.85546875" style="120" bestFit="1" customWidth="1"/>
    <col min="1795" max="1795" width="39.140625" style="120" customWidth="1"/>
    <col min="1796" max="1796" width="10" style="120" bestFit="1" customWidth="1"/>
    <col min="1797" max="1797" width="9.42578125" style="120" bestFit="1" customWidth="1"/>
    <col min="1798" max="1798" width="11.85546875" style="120" customWidth="1"/>
    <col min="1799" max="1799" width="8.85546875" style="120" bestFit="1" customWidth="1"/>
    <col min="1800" max="1800" width="10.140625" style="120" bestFit="1" customWidth="1"/>
    <col min="1801" max="2048" width="8.42578125" style="120"/>
    <col min="2049" max="2049" width="7.5703125" style="120" customWidth="1"/>
    <col min="2050" max="2050" width="7.85546875" style="120" bestFit="1" customWidth="1"/>
    <col min="2051" max="2051" width="39.140625" style="120" customWidth="1"/>
    <col min="2052" max="2052" width="10" style="120" bestFit="1" customWidth="1"/>
    <col min="2053" max="2053" width="9.42578125" style="120" bestFit="1" customWidth="1"/>
    <col min="2054" max="2054" width="11.85546875" style="120" customWidth="1"/>
    <col min="2055" max="2055" width="8.85546875" style="120" bestFit="1" customWidth="1"/>
    <col min="2056" max="2056" width="10.140625" style="120" bestFit="1" customWidth="1"/>
    <col min="2057" max="2304" width="8.42578125" style="120"/>
    <col min="2305" max="2305" width="7.5703125" style="120" customWidth="1"/>
    <col min="2306" max="2306" width="7.85546875" style="120" bestFit="1" customWidth="1"/>
    <col min="2307" max="2307" width="39.140625" style="120" customWidth="1"/>
    <col min="2308" max="2308" width="10" style="120" bestFit="1" customWidth="1"/>
    <col min="2309" max="2309" width="9.42578125" style="120" bestFit="1" customWidth="1"/>
    <col min="2310" max="2310" width="11.85546875" style="120" customWidth="1"/>
    <col min="2311" max="2311" width="8.85546875" style="120" bestFit="1" customWidth="1"/>
    <col min="2312" max="2312" width="10.140625" style="120" bestFit="1" customWidth="1"/>
    <col min="2313" max="2560" width="8.42578125" style="120"/>
    <col min="2561" max="2561" width="7.5703125" style="120" customWidth="1"/>
    <col min="2562" max="2562" width="7.85546875" style="120" bestFit="1" customWidth="1"/>
    <col min="2563" max="2563" width="39.140625" style="120" customWidth="1"/>
    <col min="2564" max="2564" width="10" style="120" bestFit="1" customWidth="1"/>
    <col min="2565" max="2565" width="9.42578125" style="120" bestFit="1" customWidth="1"/>
    <col min="2566" max="2566" width="11.85546875" style="120" customWidth="1"/>
    <col min="2567" max="2567" width="8.85546875" style="120" bestFit="1" customWidth="1"/>
    <col min="2568" max="2568" width="10.140625" style="120" bestFit="1" customWidth="1"/>
    <col min="2569" max="2816" width="8.42578125" style="120"/>
    <col min="2817" max="2817" width="7.5703125" style="120" customWidth="1"/>
    <col min="2818" max="2818" width="7.85546875" style="120" bestFit="1" customWidth="1"/>
    <col min="2819" max="2819" width="39.140625" style="120" customWidth="1"/>
    <col min="2820" max="2820" width="10" style="120" bestFit="1" customWidth="1"/>
    <col min="2821" max="2821" width="9.42578125" style="120" bestFit="1" customWidth="1"/>
    <col min="2822" max="2822" width="11.85546875" style="120" customWidth="1"/>
    <col min="2823" max="2823" width="8.85546875" style="120" bestFit="1" customWidth="1"/>
    <col min="2824" max="2824" width="10.140625" style="120" bestFit="1" customWidth="1"/>
    <col min="2825" max="3072" width="8.42578125" style="120"/>
    <col min="3073" max="3073" width="7.5703125" style="120" customWidth="1"/>
    <col min="3074" max="3074" width="7.85546875" style="120" bestFit="1" customWidth="1"/>
    <col min="3075" max="3075" width="39.140625" style="120" customWidth="1"/>
    <col min="3076" max="3076" width="10" style="120" bestFit="1" customWidth="1"/>
    <col min="3077" max="3077" width="9.42578125" style="120" bestFit="1" customWidth="1"/>
    <col min="3078" max="3078" width="11.85546875" style="120" customWidth="1"/>
    <col min="3079" max="3079" width="8.85546875" style="120" bestFit="1" customWidth="1"/>
    <col min="3080" max="3080" width="10.140625" style="120" bestFit="1" customWidth="1"/>
    <col min="3081" max="3328" width="8.42578125" style="120"/>
    <col min="3329" max="3329" width="7.5703125" style="120" customWidth="1"/>
    <col min="3330" max="3330" width="7.85546875" style="120" bestFit="1" customWidth="1"/>
    <col min="3331" max="3331" width="39.140625" style="120" customWidth="1"/>
    <col min="3332" max="3332" width="10" style="120" bestFit="1" customWidth="1"/>
    <col min="3333" max="3333" width="9.42578125" style="120" bestFit="1" customWidth="1"/>
    <col min="3334" max="3334" width="11.85546875" style="120" customWidth="1"/>
    <col min="3335" max="3335" width="8.85546875" style="120" bestFit="1" customWidth="1"/>
    <col min="3336" max="3336" width="10.140625" style="120" bestFit="1" customWidth="1"/>
    <col min="3337" max="3584" width="8.42578125" style="120"/>
    <col min="3585" max="3585" width="7.5703125" style="120" customWidth="1"/>
    <col min="3586" max="3586" width="7.85546875" style="120" bestFit="1" customWidth="1"/>
    <col min="3587" max="3587" width="39.140625" style="120" customWidth="1"/>
    <col min="3588" max="3588" width="10" style="120" bestFit="1" customWidth="1"/>
    <col min="3589" max="3589" width="9.42578125" style="120" bestFit="1" customWidth="1"/>
    <col min="3590" max="3590" width="11.85546875" style="120" customWidth="1"/>
    <col min="3591" max="3591" width="8.85546875" style="120" bestFit="1" customWidth="1"/>
    <col min="3592" max="3592" width="10.140625" style="120" bestFit="1" customWidth="1"/>
    <col min="3593" max="3840" width="8.42578125" style="120"/>
    <col min="3841" max="3841" width="7.5703125" style="120" customWidth="1"/>
    <col min="3842" max="3842" width="7.85546875" style="120" bestFit="1" customWidth="1"/>
    <col min="3843" max="3843" width="39.140625" style="120" customWidth="1"/>
    <col min="3844" max="3844" width="10" style="120" bestFit="1" customWidth="1"/>
    <col min="3845" max="3845" width="9.42578125" style="120" bestFit="1" customWidth="1"/>
    <col min="3846" max="3846" width="11.85546875" style="120" customWidth="1"/>
    <col min="3847" max="3847" width="8.85546875" style="120" bestFit="1" customWidth="1"/>
    <col min="3848" max="3848" width="10.140625" style="120" bestFit="1" customWidth="1"/>
    <col min="3849" max="4096" width="8.42578125" style="120"/>
    <col min="4097" max="4097" width="7.5703125" style="120" customWidth="1"/>
    <col min="4098" max="4098" width="7.85546875" style="120" bestFit="1" customWidth="1"/>
    <col min="4099" max="4099" width="39.140625" style="120" customWidth="1"/>
    <col min="4100" max="4100" width="10" style="120" bestFit="1" customWidth="1"/>
    <col min="4101" max="4101" width="9.42578125" style="120" bestFit="1" customWidth="1"/>
    <col min="4102" max="4102" width="11.85546875" style="120" customWidth="1"/>
    <col min="4103" max="4103" width="8.85546875" style="120" bestFit="1" customWidth="1"/>
    <col min="4104" max="4104" width="10.140625" style="120" bestFit="1" customWidth="1"/>
    <col min="4105" max="4352" width="8.42578125" style="120"/>
    <col min="4353" max="4353" width="7.5703125" style="120" customWidth="1"/>
    <col min="4354" max="4354" width="7.85546875" style="120" bestFit="1" customWidth="1"/>
    <col min="4355" max="4355" width="39.140625" style="120" customWidth="1"/>
    <col min="4356" max="4356" width="10" style="120" bestFit="1" customWidth="1"/>
    <col min="4357" max="4357" width="9.42578125" style="120" bestFit="1" customWidth="1"/>
    <col min="4358" max="4358" width="11.85546875" style="120" customWidth="1"/>
    <col min="4359" max="4359" width="8.85546875" style="120" bestFit="1" customWidth="1"/>
    <col min="4360" max="4360" width="10.140625" style="120" bestFit="1" customWidth="1"/>
    <col min="4361" max="4608" width="8.42578125" style="120"/>
    <col min="4609" max="4609" width="7.5703125" style="120" customWidth="1"/>
    <col min="4610" max="4610" width="7.85546875" style="120" bestFit="1" customWidth="1"/>
    <col min="4611" max="4611" width="39.140625" style="120" customWidth="1"/>
    <col min="4612" max="4612" width="10" style="120" bestFit="1" customWidth="1"/>
    <col min="4613" max="4613" width="9.42578125" style="120" bestFit="1" customWidth="1"/>
    <col min="4614" max="4614" width="11.85546875" style="120" customWidth="1"/>
    <col min="4615" max="4615" width="8.85546875" style="120" bestFit="1" customWidth="1"/>
    <col min="4616" max="4616" width="10.140625" style="120" bestFit="1" customWidth="1"/>
    <col min="4617" max="4864" width="8.42578125" style="120"/>
    <col min="4865" max="4865" width="7.5703125" style="120" customWidth="1"/>
    <col min="4866" max="4866" width="7.85546875" style="120" bestFit="1" customWidth="1"/>
    <col min="4867" max="4867" width="39.140625" style="120" customWidth="1"/>
    <col min="4868" max="4868" width="10" style="120" bestFit="1" customWidth="1"/>
    <col min="4869" max="4869" width="9.42578125" style="120" bestFit="1" customWidth="1"/>
    <col min="4870" max="4870" width="11.85546875" style="120" customWidth="1"/>
    <col min="4871" max="4871" width="8.85546875" style="120" bestFit="1" customWidth="1"/>
    <col min="4872" max="4872" width="10.140625" style="120" bestFit="1" customWidth="1"/>
    <col min="4873" max="5120" width="8.42578125" style="120"/>
    <col min="5121" max="5121" width="7.5703125" style="120" customWidth="1"/>
    <col min="5122" max="5122" width="7.85546875" style="120" bestFit="1" customWidth="1"/>
    <col min="5123" max="5123" width="39.140625" style="120" customWidth="1"/>
    <col min="5124" max="5124" width="10" style="120" bestFit="1" customWidth="1"/>
    <col min="5125" max="5125" width="9.42578125" style="120" bestFit="1" customWidth="1"/>
    <col min="5126" max="5126" width="11.85546875" style="120" customWidth="1"/>
    <col min="5127" max="5127" width="8.85546875" style="120" bestFit="1" customWidth="1"/>
    <col min="5128" max="5128" width="10.140625" style="120" bestFit="1" customWidth="1"/>
    <col min="5129" max="5376" width="8.42578125" style="120"/>
    <col min="5377" max="5377" width="7.5703125" style="120" customWidth="1"/>
    <col min="5378" max="5378" width="7.85546875" style="120" bestFit="1" customWidth="1"/>
    <col min="5379" max="5379" width="39.140625" style="120" customWidth="1"/>
    <col min="5380" max="5380" width="10" style="120" bestFit="1" customWidth="1"/>
    <col min="5381" max="5381" width="9.42578125" style="120" bestFit="1" customWidth="1"/>
    <col min="5382" max="5382" width="11.85546875" style="120" customWidth="1"/>
    <col min="5383" max="5383" width="8.85546875" style="120" bestFit="1" customWidth="1"/>
    <col min="5384" max="5384" width="10.140625" style="120" bestFit="1" customWidth="1"/>
    <col min="5385" max="5632" width="8.42578125" style="120"/>
    <col min="5633" max="5633" width="7.5703125" style="120" customWidth="1"/>
    <col min="5634" max="5634" width="7.85546875" style="120" bestFit="1" customWidth="1"/>
    <col min="5635" max="5635" width="39.140625" style="120" customWidth="1"/>
    <col min="5636" max="5636" width="10" style="120" bestFit="1" customWidth="1"/>
    <col min="5637" max="5637" width="9.42578125" style="120" bestFit="1" customWidth="1"/>
    <col min="5638" max="5638" width="11.85546875" style="120" customWidth="1"/>
    <col min="5639" max="5639" width="8.85546875" style="120" bestFit="1" customWidth="1"/>
    <col min="5640" max="5640" width="10.140625" style="120" bestFit="1" customWidth="1"/>
    <col min="5641" max="5888" width="8.42578125" style="120"/>
    <col min="5889" max="5889" width="7.5703125" style="120" customWidth="1"/>
    <col min="5890" max="5890" width="7.85546875" style="120" bestFit="1" customWidth="1"/>
    <col min="5891" max="5891" width="39.140625" style="120" customWidth="1"/>
    <col min="5892" max="5892" width="10" style="120" bestFit="1" customWidth="1"/>
    <col min="5893" max="5893" width="9.42578125" style="120" bestFit="1" customWidth="1"/>
    <col min="5894" max="5894" width="11.85546875" style="120" customWidth="1"/>
    <col min="5895" max="5895" width="8.85546875" style="120" bestFit="1" customWidth="1"/>
    <col min="5896" max="5896" width="10.140625" style="120" bestFit="1" customWidth="1"/>
    <col min="5897" max="6144" width="8.42578125" style="120"/>
    <col min="6145" max="6145" width="7.5703125" style="120" customWidth="1"/>
    <col min="6146" max="6146" width="7.85546875" style="120" bestFit="1" customWidth="1"/>
    <col min="6147" max="6147" width="39.140625" style="120" customWidth="1"/>
    <col min="6148" max="6148" width="10" style="120" bestFit="1" customWidth="1"/>
    <col min="6149" max="6149" width="9.42578125" style="120" bestFit="1" customWidth="1"/>
    <col min="6150" max="6150" width="11.85546875" style="120" customWidth="1"/>
    <col min="6151" max="6151" width="8.85546875" style="120" bestFit="1" customWidth="1"/>
    <col min="6152" max="6152" width="10.140625" style="120" bestFit="1" customWidth="1"/>
    <col min="6153" max="6400" width="8.42578125" style="120"/>
    <col min="6401" max="6401" width="7.5703125" style="120" customWidth="1"/>
    <col min="6402" max="6402" width="7.85546875" style="120" bestFit="1" customWidth="1"/>
    <col min="6403" max="6403" width="39.140625" style="120" customWidth="1"/>
    <col min="6404" max="6404" width="10" style="120" bestFit="1" customWidth="1"/>
    <col min="6405" max="6405" width="9.42578125" style="120" bestFit="1" customWidth="1"/>
    <col min="6406" max="6406" width="11.85546875" style="120" customWidth="1"/>
    <col min="6407" max="6407" width="8.85546875" style="120" bestFit="1" customWidth="1"/>
    <col min="6408" max="6408" width="10.140625" style="120" bestFit="1" customWidth="1"/>
    <col min="6409" max="6656" width="8.42578125" style="120"/>
    <col min="6657" max="6657" width="7.5703125" style="120" customWidth="1"/>
    <col min="6658" max="6658" width="7.85546875" style="120" bestFit="1" customWidth="1"/>
    <col min="6659" max="6659" width="39.140625" style="120" customWidth="1"/>
    <col min="6660" max="6660" width="10" style="120" bestFit="1" customWidth="1"/>
    <col min="6661" max="6661" width="9.42578125" style="120" bestFit="1" customWidth="1"/>
    <col min="6662" max="6662" width="11.85546875" style="120" customWidth="1"/>
    <col min="6663" max="6663" width="8.85546875" style="120" bestFit="1" customWidth="1"/>
    <col min="6664" max="6664" width="10.140625" style="120" bestFit="1" customWidth="1"/>
    <col min="6665" max="6912" width="8.42578125" style="120"/>
    <col min="6913" max="6913" width="7.5703125" style="120" customWidth="1"/>
    <col min="6914" max="6914" width="7.85546875" style="120" bestFit="1" customWidth="1"/>
    <col min="6915" max="6915" width="39.140625" style="120" customWidth="1"/>
    <col min="6916" max="6916" width="10" style="120" bestFit="1" customWidth="1"/>
    <col min="6917" max="6917" width="9.42578125" style="120" bestFit="1" customWidth="1"/>
    <col min="6918" max="6918" width="11.85546875" style="120" customWidth="1"/>
    <col min="6919" max="6919" width="8.85546875" style="120" bestFit="1" customWidth="1"/>
    <col min="6920" max="6920" width="10.140625" style="120" bestFit="1" customWidth="1"/>
    <col min="6921" max="7168" width="8.42578125" style="120"/>
    <col min="7169" max="7169" width="7.5703125" style="120" customWidth="1"/>
    <col min="7170" max="7170" width="7.85546875" style="120" bestFit="1" customWidth="1"/>
    <col min="7171" max="7171" width="39.140625" style="120" customWidth="1"/>
    <col min="7172" max="7172" width="10" style="120" bestFit="1" customWidth="1"/>
    <col min="7173" max="7173" width="9.42578125" style="120" bestFit="1" customWidth="1"/>
    <col min="7174" max="7174" width="11.85546875" style="120" customWidth="1"/>
    <col min="7175" max="7175" width="8.85546875" style="120" bestFit="1" customWidth="1"/>
    <col min="7176" max="7176" width="10.140625" style="120" bestFit="1" customWidth="1"/>
    <col min="7177" max="7424" width="8.42578125" style="120"/>
    <col min="7425" max="7425" width="7.5703125" style="120" customWidth="1"/>
    <col min="7426" max="7426" width="7.85546875" style="120" bestFit="1" customWidth="1"/>
    <col min="7427" max="7427" width="39.140625" style="120" customWidth="1"/>
    <col min="7428" max="7428" width="10" style="120" bestFit="1" customWidth="1"/>
    <col min="7429" max="7429" width="9.42578125" style="120" bestFit="1" customWidth="1"/>
    <col min="7430" max="7430" width="11.85546875" style="120" customWidth="1"/>
    <col min="7431" max="7431" width="8.85546875" style="120" bestFit="1" customWidth="1"/>
    <col min="7432" max="7432" width="10.140625" style="120" bestFit="1" customWidth="1"/>
    <col min="7433" max="7680" width="8.42578125" style="120"/>
    <col min="7681" max="7681" width="7.5703125" style="120" customWidth="1"/>
    <col min="7682" max="7682" width="7.85546875" style="120" bestFit="1" customWidth="1"/>
    <col min="7683" max="7683" width="39.140625" style="120" customWidth="1"/>
    <col min="7684" max="7684" width="10" style="120" bestFit="1" customWidth="1"/>
    <col min="7685" max="7685" width="9.42578125" style="120" bestFit="1" customWidth="1"/>
    <col min="7686" max="7686" width="11.85546875" style="120" customWidth="1"/>
    <col min="7687" max="7687" width="8.85546875" style="120" bestFit="1" customWidth="1"/>
    <col min="7688" max="7688" width="10.140625" style="120" bestFit="1" customWidth="1"/>
    <col min="7689" max="7936" width="8.42578125" style="120"/>
    <col min="7937" max="7937" width="7.5703125" style="120" customWidth="1"/>
    <col min="7938" max="7938" width="7.85546875" style="120" bestFit="1" customWidth="1"/>
    <col min="7939" max="7939" width="39.140625" style="120" customWidth="1"/>
    <col min="7940" max="7940" width="10" style="120" bestFit="1" customWidth="1"/>
    <col min="7941" max="7941" width="9.42578125" style="120" bestFit="1" customWidth="1"/>
    <col min="7942" max="7942" width="11.85546875" style="120" customWidth="1"/>
    <col min="7943" max="7943" width="8.85546875" style="120" bestFit="1" customWidth="1"/>
    <col min="7944" max="7944" width="10.140625" style="120" bestFit="1" customWidth="1"/>
    <col min="7945" max="8192" width="8.42578125" style="120"/>
    <col min="8193" max="8193" width="7.5703125" style="120" customWidth="1"/>
    <col min="8194" max="8194" width="7.85546875" style="120" bestFit="1" customWidth="1"/>
    <col min="8195" max="8195" width="39.140625" style="120" customWidth="1"/>
    <col min="8196" max="8196" width="10" style="120" bestFit="1" customWidth="1"/>
    <col min="8197" max="8197" width="9.42578125" style="120" bestFit="1" customWidth="1"/>
    <col min="8198" max="8198" width="11.85546875" style="120" customWidth="1"/>
    <col min="8199" max="8199" width="8.85546875" style="120" bestFit="1" customWidth="1"/>
    <col min="8200" max="8200" width="10.140625" style="120" bestFit="1" customWidth="1"/>
    <col min="8201" max="8448" width="8.42578125" style="120"/>
    <col min="8449" max="8449" width="7.5703125" style="120" customWidth="1"/>
    <col min="8450" max="8450" width="7.85546875" style="120" bestFit="1" customWidth="1"/>
    <col min="8451" max="8451" width="39.140625" style="120" customWidth="1"/>
    <col min="8452" max="8452" width="10" style="120" bestFit="1" customWidth="1"/>
    <col min="8453" max="8453" width="9.42578125" style="120" bestFit="1" customWidth="1"/>
    <col min="8454" max="8454" width="11.85546875" style="120" customWidth="1"/>
    <col min="8455" max="8455" width="8.85546875" style="120" bestFit="1" customWidth="1"/>
    <col min="8456" max="8456" width="10.140625" style="120" bestFit="1" customWidth="1"/>
    <col min="8457" max="8704" width="8.42578125" style="120"/>
    <col min="8705" max="8705" width="7.5703125" style="120" customWidth="1"/>
    <col min="8706" max="8706" width="7.85546875" style="120" bestFit="1" customWidth="1"/>
    <col min="8707" max="8707" width="39.140625" style="120" customWidth="1"/>
    <col min="8708" max="8708" width="10" style="120" bestFit="1" customWidth="1"/>
    <col min="8709" max="8709" width="9.42578125" style="120" bestFit="1" customWidth="1"/>
    <col min="8710" max="8710" width="11.85546875" style="120" customWidth="1"/>
    <col min="8711" max="8711" width="8.85546875" style="120" bestFit="1" customWidth="1"/>
    <col min="8712" max="8712" width="10.140625" style="120" bestFit="1" customWidth="1"/>
    <col min="8713" max="8960" width="8.42578125" style="120"/>
    <col min="8961" max="8961" width="7.5703125" style="120" customWidth="1"/>
    <col min="8962" max="8962" width="7.85546875" style="120" bestFit="1" customWidth="1"/>
    <col min="8963" max="8963" width="39.140625" style="120" customWidth="1"/>
    <col min="8964" max="8964" width="10" style="120" bestFit="1" customWidth="1"/>
    <col min="8965" max="8965" width="9.42578125" style="120" bestFit="1" customWidth="1"/>
    <col min="8966" max="8966" width="11.85546875" style="120" customWidth="1"/>
    <col min="8967" max="8967" width="8.85546875" style="120" bestFit="1" customWidth="1"/>
    <col min="8968" max="8968" width="10.140625" style="120" bestFit="1" customWidth="1"/>
    <col min="8969" max="9216" width="8.42578125" style="120"/>
    <col min="9217" max="9217" width="7.5703125" style="120" customWidth="1"/>
    <col min="9218" max="9218" width="7.85546875" style="120" bestFit="1" customWidth="1"/>
    <col min="9219" max="9219" width="39.140625" style="120" customWidth="1"/>
    <col min="9220" max="9220" width="10" style="120" bestFit="1" customWidth="1"/>
    <col min="9221" max="9221" width="9.42578125" style="120" bestFit="1" customWidth="1"/>
    <col min="9222" max="9222" width="11.85546875" style="120" customWidth="1"/>
    <col min="9223" max="9223" width="8.85546875" style="120" bestFit="1" customWidth="1"/>
    <col min="9224" max="9224" width="10.140625" style="120" bestFit="1" customWidth="1"/>
    <col min="9225" max="9472" width="8.42578125" style="120"/>
    <col min="9473" max="9473" width="7.5703125" style="120" customWidth="1"/>
    <col min="9474" max="9474" width="7.85546875" style="120" bestFit="1" customWidth="1"/>
    <col min="9475" max="9475" width="39.140625" style="120" customWidth="1"/>
    <col min="9476" max="9476" width="10" style="120" bestFit="1" customWidth="1"/>
    <col min="9477" max="9477" width="9.42578125" style="120" bestFit="1" customWidth="1"/>
    <col min="9478" max="9478" width="11.85546875" style="120" customWidth="1"/>
    <col min="9479" max="9479" width="8.85546875" style="120" bestFit="1" customWidth="1"/>
    <col min="9480" max="9480" width="10.140625" style="120" bestFit="1" customWidth="1"/>
    <col min="9481" max="9728" width="8.42578125" style="120"/>
    <col min="9729" max="9729" width="7.5703125" style="120" customWidth="1"/>
    <col min="9730" max="9730" width="7.85546875" style="120" bestFit="1" customWidth="1"/>
    <col min="9731" max="9731" width="39.140625" style="120" customWidth="1"/>
    <col min="9732" max="9732" width="10" style="120" bestFit="1" customWidth="1"/>
    <col min="9733" max="9733" width="9.42578125" style="120" bestFit="1" customWidth="1"/>
    <col min="9734" max="9734" width="11.85546875" style="120" customWidth="1"/>
    <col min="9735" max="9735" width="8.85546875" style="120" bestFit="1" customWidth="1"/>
    <col min="9736" max="9736" width="10.140625" style="120" bestFit="1" customWidth="1"/>
    <col min="9737" max="9984" width="8.42578125" style="120"/>
    <col min="9985" max="9985" width="7.5703125" style="120" customWidth="1"/>
    <col min="9986" max="9986" width="7.85546875" style="120" bestFit="1" customWidth="1"/>
    <col min="9987" max="9987" width="39.140625" style="120" customWidth="1"/>
    <col min="9988" max="9988" width="10" style="120" bestFit="1" customWidth="1"/>
    <col min="9989" max="9989" width="9.42578125" style="120" bestFit="1" customWidth="1"/>
    <col min="9990" max="9990" width="11.85546875" style="120" customWidth="1"/>
    <col min="9991" max="9991" width="8.85546875" style="120" bestFit="1" customWidth="1"/>
    <col min="9992" max="9992" width="10.140625" style="120" bestFit="1" customWidth="1"/>
    <col min="9993" max="10240" width="8.42578125" style="120"/>
    <col min="10241" max="10241" width="7.5703125" style="120" customWidth="1"/>
    <col min="10242" max="10242" width="7.85546875" style="120" bestFit="1" customWidth="1"/>
    <col min="10243" max="10243" width="39.140625" style="120" customWidth="1"/>
    <col min="10244" max="10244" width="10" style="120" bestFit="1" customWidth="1"/>
    <col min="10245" max="10245" width="9.42578125" style="120" bestFit="1" customWidth="1"/>
    <col min="10246" max="10246" width="11.85546875" style="120" customWidth="1"/>
    <col min="10247" max="10247" width="8.85546875" style="120" bestFit="1" customWidth="1"/>
    <col min="10248" max="10248" width="10.140625" style="120" bestFit="1" customWidth="1"/>
    <col min="10249" max="10496" width="8.42578125" style="120"/>
    <col min="10497" max="10497" width="7.5703125" style="120" customWidth="1"/>
    <col min="10498" max="10498" width="7.85546875" style="120" bestFit="1" customWidth="1"/>
    <col min="10499" max="10499" width="39.140625" style="120" customWidth="1"/>
    <col min="10500" max="10500" width="10" style="120" bestFit="1" customWidth="1"/>
    <col min="10501" max="10501" width="9.42578125" style="120" bestFit="1" customWidth="1"/>
    <col min="10502" max="10502" width="11.85546875" style="120" customWidth="1"/>
    <col min="10503" max="10503" width="8.85546875" style="120" bestFit="1" customWidth="1"/>
    <col min="10504" max="10504" width="10.140625" style="120" bestFit="1" customWidth="1"/>
    <col min="10505" max="10752" width="8.42578125" style="120"/>
    <col min="10753" max="10753" width="7.5703125" style="120" customWidth="1"/>
    <col min="10754" max="10754" width="7.85546875" style="120" bestFit="1" customWidth="1"/>
    <col min="10755" max="10755" width="39.140625" style="120" customWidth="1"/>
    <col min="10756" max="10756" width="10" style="120" bestFit="1" customWidth="1"/>
    <col min="10757" max="10757" width="9.42578125" style="120" bestFit="1" customWidth="1"/>
    <col min="10758" max="10758" width="11.85546875" style="120" customWidth="1"/>
    <col min="10759" max="10759" width="8.85546875" style="120" bestFit="1" customWidth="1"/>
    <col min="10760" max="10760" width="10.140625" style="120" bestFit="1" customWidth="1"/>
    <col min="10761" max="11008" width="8.42578125" style="120"/>
    <col min="11009" max="11009" width="7.5703125" style="120" customWidth="1"/>
    <col min="11010" max="11010" width="7.85546875" style="120" bestFit="1" customWidth="1"/>
    <col min="11011" max="11011" width="39.140625" style="120" customWidth="1"/>
    <col min="11012" max="11012" width="10" style="120" bestFit="1" customWidth="1"/>
    <col min="11013" max="11013" width="9.42578125" style="120" bestFit="1" customWidth="1"/>
    <col min="11014" max="11014" width="11.85546875" style="120" customWidth="1"/>
    <col min="11015" max="11015" width="8.85546875" style="120" bestFit="1" customWidth="1"/>
    <col min="11016" max="11016" width="10.140625" style="120" bestFit="1" customWidth="1"/>
    <col min="11017" max="11264" width="8.42578125" style="120"/>
    <col min="11265" max="11265" width="7.5703125" style="120" customWidth="1"/>
    <col min="11266" max="11266" width="7.85546875" style="120" bestFit="1" customWidth="1"/>
    <col min="11267" max="11267" width="39.140625" style="120" customWidth="1"/>
    <col min="11268" max="11268" width="10" style="120" bestFit="1" customWidth="1"/>
    <col min="11269" max="11269" width="9.42578125" style="120" bestFit="1" customWidth="1"/>
    <col min="11270" max="11270" width="11.85546875" style="120" customWidth="1"/>
    <col min="11271" max="11271" width="8.85546875" style="120" bestFit="1" customWidth="1"/>
    <col min="11272" max="11272" width="10.140625" style="120" bestFit="1" customWidth="1"/>
    <col min="11273" max="11520" width="8.42578125" style="120"/>
    <col min="11521" max="11521" width="7.5703125" style="120" customWidth="1"/>
    <col min="11522" max="11522" width="7.85546875" style="120" bestFit="1" customWidth="1"/>
    <col min="11523" max="11523" width="39.140625" style="120" customWidth="1"/>
    <col min="11524" max="11524" width="10" style="120" bestFit="1" customWidth="1"/>
    <col min="11525" max="11525" width="9.42578125" style="120" bestFit="1" customWidth="1"/>
    <col min="11526" max="11526" width="11.85546875" style="120" customWidth="1"/>
    <col min="11527" max="11527" width="8.85546875" style="120" bestFit="1" customWidth="1"/>
    <col min="11528" max="11528" width="10.140625" style="120" bestFit="1" customWidth="1"/>
    <col min="11529" max="11776" width="8.42578125" style="120"/>
    <col min="11777" max="11777" width="7.5703125" style="120" customWidth="1"/>
    <col min="11778" max="11778" width="7.85546875" style="120" bestFit="1" customWidth="1"/>
    <col min="11779" max="11779" width="39.140625" style="120" customWidth="1"/>
    <col min="11780" max="11780" width="10" style="120" bestFit="1" customWidth="1"/>
    <col min="11781" max="11781" width="9.42578125" style="120" bestFit="1" customWidth="1"/>
    <col min="11782" max="11782" width="11.85546875" style="120" customWidth="1"/>
    <col min="11783" max="11783" width="8.85546875" style="120" bestFit="1" customWidth="1"/>
    <col min="11784" max="11784" width="10.140625" style="120" bestFit="1" customWidth="1"/>
    <col min="11785" max="12032" width="8.42578125" style="120"/>
    <col min="12033" max="12033" width="7.5703125" style="120" customWidth="1"/>
    <col min="12034" max="12034" width="7.85546875" style="120" bestFit="1" customWidth="1"/>
    <col min="12035" max="12035" width="39.140625" style="120" customWidth="1"/>
    <col min="12036" max="12036" width="10" style="120" bestFit="1" customWidth="1"/>
    <col min="12037" max="12037" width="9.42578125" style="120" bestFit="1" customWidth="1"/>
    <col min="12038" max="12038" width="11.85546875" style="120" customWidth="1"/>
    <col min="12039" max="12039" width="8.85546875" style="120" bestFit="1" customWidth="1"/>
    <col min="12040" max="12040" width="10.140625" style="120" bestFit="1" customWidth="1"/>
    <col min="12041" max="12288" width="8.42578125" style="120"/>
    <col min="12289" max="12289" width="7.5703125" style="120" customWidth="1"/>
    <col min="12290" max="12290" width="7.85546875" style="120" bestFit="1" customWidth="1"/>
    <col min="12291" max="12291" width="39.140625" style="120" customWidth="1"/>
    <col min="12292" max="12292" width="10" style="120" bestFit="1" customWidth="1"/>
    <col min="12293" max="12293" width="9.42578125" style="120" bestFit="1" customWidth="1"/>
    <col min="12294" max="12294" width="11.85546875" style="120" customWidth="1"/>
    <col min="12295" max="12295" width="8.85546875" style="120" bestFit="1" customWidth="1"/>
    <col min="12296" max="12296" width="10.140625" style="120" bestFit="1" customWidth="1"/>
    <col min="12297" max="12544" width="8.42578125" style="120"/>
    <col min="12545" max="12545" width="7.5703125" style="120" customWidth="1"/>
    <col min="12546" max="12546" width="7.85546875" style="120" bestFit="1" customWidth="1"/>
    <col min="12547" max="12547" width="39.140625" style="120" customWidth="1"/>
    <col min="12548" max="12548" width="10" style="120" bestFit="1" customWidth="1"/>
    <col min="12549" max="12549" width="9.42578125" style="120" bestFit="1" customWidth="1"/>
    <col min="12550" max="12550" width="11.85546875" style="120" customWidth="1"/>
    <col min="12551" max="12551" width="8.85546875" style="120" bestFit="1" customWidth="1"/>
    <col min="12552" max="12552" width="10.140625" style="120" bestFit="1" customWidth="1"/>
    <col min="12553" max="12800" width="8.42578125" style="120"/>
    <col min="12801" max="12801" width="7.5703125" style="120" customWidth="1"/>
    <col min="12802" max="12802" width="7.85546875" style="120" bestFit="1" customWidth="1"/>
    <col min="12803" max="12803" width="39.140625" style="120" customWidth="1"/>
    <col min="12804" max="12804" width="10" style="120" bestFit="1" customWidth="1"/>
    <col min="12805" max="12805" width="9.42578125" style="120" bestFit="1" customWidth="1"/>
    <col min="12806" max="12806" width="11.85546875" style="120" customWidth="1"/>
    <col min="12807" max="12807" width="8.85546875" style="120" bestFit="1" customWidth="1"/>
    <col min="12808" max="12808" width="10.140625" style="120" bestFit="1" customWidth="1"/>
    <col min="12809" max="13056" width="8.42578125" style="120"/>
    <col min="13057" max="13057" width="7.5703125" style="120" customWidth="1"/>
    <col min="13058" max="13058" width="7.85546875" style="120" bestFit="1" customWidth="1"/>
    <col min="13059" max="13059" width="39.140625" style="120" customWidth="1"/>
    <col min="13060" max="13060" width="10" style="120" bestFit="1" customWidth="1"/>
    <col min="13061" max="13061" width="9.42578125" style="120" bestFit="1" customWidth="1"/>
    <col min="13062" max="13062" width="11.85546875" style="120" customWidth="1"/>
    <col min="13063" max="13063" width="8.85546875" style="120" bestFit="1" customWidth="1"/>
    <col min="13064" max="13064" width="10.140625" style="120" bestFit="1" customWidth="1"/>
    <col min="13065" max="13312" width="8.42578125" style="120"/>
    <col min="13313" max="13313" width="7.5703125" style="120" customWidth="1"/>
    <col min="13314" max="13314" width="7.85546875" style="120" bestFit="1" customWidth="1"/>
    <col min="13315" max="13315" width="39.140625" style="120" customWidth="1"/>
    <col min="13316" max="13316" width="10" style="120" bestFit="1" customWidth="1"/>
    <col min="13317" max="13317" width="9.42578125" style="120" bestFit="1" customWidth="1"/>
    <col min="13318" max="13318" width="11.85546875" style="120" customWidth="1"/>
    <col min="13319" max="13319" width="8.85546875" style="120" bestFit="1" customWidth="1"/>
    <col min="13320" max="13320" width="10.140625" style="120" bestFit="1" customWidth="1"/>
    <col min="13321" max="13568" width="8.42578125" style="120"/>
    <col min="13569" max="13569" width="7.5703125" style="120" customWidth="1"/>
    <col min="13570" max="13570" width="7.85546875" style="120" bestFit="1" customWidth="1"/>
    <col min="13571" max="13571" width="39.140625" style="120" customWidth="1"/>
    <col min="13572" max="13572" width="10" style="120" bestFit="1" customWidth="1"/>
    <col min="13573" max="13573" width="9.42578125" style="120" bestFit="1" customWidth="1"/>
    <col min="13574" max="13574" width="11.85546875" style="120" customWidth="1"/>
    <col min="13575" max="13575" width="8.85546875" style="120" bestFit="1" customWidth="1"/>
    <col min="13576" max="13576" width="10.140625" style="120" bestFit="1" customWidth="1"/>
    <col min="13577" max="13824" width="8.42578125" style="120"/>
    <col min="13825" max="13825" width="7.5703125" style="120" customWidth="1"/>
    <col min="13826" max="13826" width="7.85546875" style="120" bestFit="1" customWidth="1"/>
    <col min="13827" max="13827" width="39.140625" style="120" customWidth="1"/>
    <col min="13828" max="13828" width="10" style="120" bestFit="1" customWidth="1"/>
    <col min="13829" max="13829" width="9.42578125" style="120" bestFit="1" customWidth="1"/>
    <col min="13830" max="13830" width="11.85546875" style="120" customWidth="1"/>
    <col min="13831" max="13831" width="8.85546875" style="120" bestFit="1" customWidth="1"/>
    <col min="13832" max="13832" width="10.140625" style="120" bestFit="1" customWidth="1"/>
    <col min="13833" max="14080" width="8.42578125" style="120"/>
    <col min="14081" max="14081" width="7.5703125" style="120" customWidth="1"/>
    <col min="14082" max="14082" width="7.85546875" style="120" bestFit="1" customWidth="1"/>
    <col min="14083" max="14083" width="39.140625" style="120" customWidth="1"/>
    <col min="14084" max="14084" width="10" style="120" bestFit="1" customWidth="1"/>
    <col min="14085" max="14085" width="9.42578125" style="120" bestFit="1" customWidth="1"/>
    <col min="14086" max="14086" width="11.85546875" style="120" customWidth="1"/>
    <col min="14087" max="14087" width="8.85546875" style="120" bestFit="1" customWidth="1"/>
    <col min="14088" max="14088" width="10.140625" style="120" bestFit="1" customWidth="1"/>
    <col min="14089" max="14336" width="8.42578125" style="120"/>
    <col min="14337" max="14337" width="7.5703125" style="120" customWidth="1"/>
    <col min="14338" max="14338" width="7.85546875" style="120" bestFit="1" customWidth="1"/>
    <col min="14339" max="14339" width="39.140625" style="120" customWidth="1"/>
    <col min="14340" max="14340" width="10" style="120" bestFit="1" customWidth="1"/>
    <col min="14341" max="14341" width="9.42578125" style="120" bestFit="1" customWidth="1"/>
    <col min="14342" max="14342" width="11.85546875" style="120" customWidth="1"/>
    <col min="14343" max="14343" width="8.85546875" style="120" bestFit="1" customWidth="1"/>
    <col min="14344" max="14344" width="10.140625" style="120" bestFit="1" customWidth="1"/>
    <col min="14345" max="14592" width="8.42578125" style="120"/>
    <col min="14593" max="14593" width="7.5703125" style="120" customWidth="1"/>
    <col min="14594" max="14594" width="7.85546875" style="120" bestFit="1" customWidth="1"/>
    <col min="14595" max="14595" width="39.140625" style="120" customWidth="1"/>
    <col min="14596" max="14596" width="10" style="120" bestFit="1" customWidth="1"/>
    <col min="14597" max="14597" width="9.42578125" style="120" bestFit="1" customWidth="1"/>
    <col min="14598" max="14598" width="11.85546875" style="120" customWidth="1"/>
    <col min="14599" max="14599" width="8.85546875" style="120" bestFit="1" customWidth="1"/>
    <col min="14600" max="14600" width="10.140625" style="120" bestFit="1" customWidth="1"/>
    <col min="14601" max="14848" width="8.42578125" style="120"/>
    <col min="14849" max="14849" width="7.5703125" style="120" customWidth="1"/>
    <col min="14850" max="14850" width="7.85546875" style="120" bestFit="1" customWidth="1"/>
    <col min="14851" max="14851" width="39.140625" style="120" customWidth="1"/>
    <col min="14852" max="14852" width="10" style="120" bestFit="1" customWidth="1"/>
    <col min="14853" max="14853" width="9.42578125" style="120" bestFit="1" customWidth="1"/>
    <col min="14854" max="14854" width="11.85546875" style="120" customWidth="1"/>
    <col min="14855" max="14855" width="8.85546875" style="120" bestFit="1" customWidth="1"/>
    <col min="14856" max="14856" width="10.140625" style="120" bestFit="1" customWidth="1"/>
    <col min="14857" max="15104" width="8.42578125" style="120"/>
    <col min="15105" max="15105" width="7.5703125" style="120" customWidth="1"/>
    <col min="15106" max="15106" width="7.85546875" style="120" bestFit="1" customWidth="1"/>
    <col min="15107" max="15107" width="39.140625" style="120" customWidth="1"/>
    <col min="15108" max="15108" width="10" style="120" bestFit="1" customWidth="1"/>
    <col min="15109" max="15109" width="9.42578125" style="120" bestFit="1" customWidth="1"/>
    <col min="15110" max="15110" width="11.85546875" style="120" customWidth="1"/>
    <col min="15111" max="15111" width="8.85546875" style="120" bestFit="1" customWidth="1"/>
    <col min="15112" max="15112" width="10.140625" style="120" bestFit="1" customWidth="1"/>
    <col min="15113" max="15360" width="8.42578125" style="120"/>
    <col min="15361" max="15361" width="7.5703125" style="120" customWidth="1"/>
    <col min="15362" max="15362" width="7.85546875" style="120" bestFit="1" customWidth="1"/>
    <col min="15363" max="15363" width="39.140625" style="120" customWidth="1"/>
    <col min="15364" max="15364" width="10" style="120" bestFit="1" customWidth="1"/>
    <col min="15365" max="15365" width="9.42578125" style="120" bestFit="1" customWidth="1"/>
    <col min="15366" max="15366" width="11.85546875" style="120" customWidth="1"/>
    <col min="15367" max="15367" width="8.85546875" style="120" bestFit="1" customWidth="1"/>
    <col min="15368" max="15368" width="10.140625" style="120" bestFit="1" customWidth="1"/>
    <col min="15369" max="15616" width="8.42578125" style="120"/>
    <col min="15617" max="15617" width="7.5703125" style="120" customWidth="1"/>
    <col min="15618" max="15618" width="7.85546875" style="120" bestFit="1" customWidth="1"/>
    <col min="15619" max="15619" width="39.140625" style="120" customWidth="1"/>
    <col min="15620" max="15620" width="10" style="120" bestFit="1" customWidth="1"/>
    <col min="15621" max="15621" width="9.42578125" style="120" bestFit="1" customWidth="1"/>
    <col min="15622" max="15622" width="11.85546875" style="120" customWidth="1"/>
    <col min="15623" max="15623" width="8.85546875" style="120" bestFit="1" customWidth="1"/>
    <col min="15624" max="15624" width="10.140625" style="120" bestFit="1" customWidth="1"/>
    <col min="15625" max="15872" width="8.42578125" style="120"/>
    <col min="15873" max="15873" width="7.5703125" style="120" customWidth="1"/>
    <col min="15874" max="15874" width="7.85546875" style="120" bestFit="1" customWidth="1"/>
    <col min="15875" max="15875" width="39.140625" style="120" customWidth="1"/>
    <col min="15876" max="15876" width="10" style="120" bestFit="1" customWidth="1"/>
    <col min="15877" max="15877" width="9.42578125" style="120" bestFit="1" customWidth="1"/>
    <col min="15878" max="15878" width="11.85546875" style="120" customWidth="1"/>
    <col min="15879" max="15879" width="8.85546875" style="120" bestFit="1" customWidth="1"/>
    <col min="15880" max="15880" width="10.140625" style="120" bestFit="1" customWidth="1"/>
    <col min="15881" max="16128" width="8.42578125" style="120"/>
    <col min="16129" max="16129" width="7.5703125" style="120" customWidth="1"/>
    <col min="16130" max="16130" width="7.85546875" style="120" bestFit="1" customWidth="1"/>
    <col min="16131" max="16131" width="39.140625" style="120" customWidth="1"/>
    <col min="16132" max="16132" width="10" style="120" bestFit="1" customWidth="1"/>
    <col min="16133" max="16133" width="9.42578125" style="120" bestFit="1" customWidth="1"/>
    <col min="16134" max="16134" width="11.85546875" style="120" customWidth="1"/>
    <col min="16135" max="16135" width="8.85546875" style="120" bestFit="1" customWidth="1"/>
    <col min="16136" max="16136" width="10.140625" style="120" bestFit="1" customWidth="1"/>
    <col min="16137" max="16384" width="8.42578125" style="120"/>
  </cols>
  <sheetData>
    <row r="1" spans="2:8" ht="36" customHeight="1" thickBot="1" x14ac:dyDescent="0.35">
      <c r="B1" s="235"/>
      <c r="C1" s="236"/>
      <c r="D1" s="236"/>
      <c r="E1" s="236"/>
      <c r="F1" s="236"/>
      <c r="G1" s="236"/>
      <c r="H1" s="237"/>
    </row>
    <row r="2" spans="2:8" ht="19.5" customHeight="1" thickBot="1" x14ac:dyDescent="0.25">
      <c r="B2" s="238" t="s">
        <v>121</v>
      </c>
      <c r="C2" s="238"/>
      <c r="D2" s="238"/>
      <c r="E2" s="238"/>
      <c r="F2" s="238"/>
      <c r="G2" s="238"/>
      <c r="H2" s="238"/>
    </row>
    <row r="3" spans="2:8" ht="19.5" customHeight="1" thickTop="1" x14ac:dyDescent="0.2">
      <c r="B3" s="239" t="s">
        <v>122</v>
      </c>
      <c r="C3" s="239"/>
      <c r="D3" s="239"/>
      <c r="E3" s="239"/>
      <c r="F3" s="239"/>
      <c r="G3" s="239"/>
      <c r="H3" s="239"/>
    </row>
    <row r="4" spans="2:8" ht="19.5" customHeight="1" x14ac:dyDescent="0.2">
      <c r="B4" s="121"/>
      <c r="C4" s="121"/>
      <c r="D4" s="121"/>
      <c r="E4" s="121"/>
      <c r="F4" s="240" t="s">
        <v>58</v>
      </c>
      <c r="G4" s="240"/>
      <c r="H4" s="18"/>
    </row>
    <row r="5" spans="2:8" ht="30" customHeight="1" x14ac:dyDescent="0.2">
      <c r="B5" s="122" t="s">
        <v>98</v>
      </c>
      <c r="C5" s="122" t="s">
        <v>110</v>
      </c>
      <c r="D5" s="122" t="s">
        <v>98</v>
      </c>
      <c r="E5" s="123" t="s">
        <v>123</v>
      </c>
      <c r="F5" s="123" t="s">
        <v>124</v>
      </c>
      <c r="G5" s="123" t="s">
        <v>125</v>
      </c>
      <c r="H5" s="123" t="s">
        <v>126</v>
      </c>
    </row>
    <row r="6" spans="2:8" s="124" customFormat="1" ht="20.100000000000001" customHeight="1" x14ac:dyDescent="0.2">
      <c r="B6" s="125">
        <v>1</v>
      </c>
      <c r="C6" s="124" t="s">
        <v>142</v>
      </c>
      <c r="D6" s="126">
        <f>+B6</f>
        <v>1</v>
      </c>
      <c r="E6" s="126">
        <f>+'Costo Ensamble '!H50</f>
        <v>1652.6410570755031</v>
      </c>
      <c r="F6" s="127">
        <f>+D6*E6</f>
        <v>1652.6410570755031</v>
      </c>
      <c r="G6" s="128">
        <f>+F6/$F$23</f>
        <v>0.41665751958290675</v>
      </c>
      <c r="H6" s="129" t="s">
        <v>127</v>
      </c>
    </row>
    <row r="7" spans="2:8" s="124" customFormat="1" ht="20.100000000000001" customHeight="1" x14ac:dyDescent="0.2">
      <c r="B7" s="125"/>
      <c r="D7" s="126"/>
      <c r="E7" s="126"/>
      <c r="F7" s="127"/>
      <c r="G7" s="128"/>
      <c r="H7" s="129"/>
    </row>
    <row r="8" spans="2:8" ht="30" customHeight="1" x14ac:dyDescent="0.2">
      <c r="B8" s="122" t="s">
        <v>98</v>
      </c>
      <c r="C8" s="122" t="s">
        <v>49</v>
      </c>
      <c r="D8" s="122" t="s">
        <v>98</v>
      </c>
      <c r="E8" s="123" t="s">
        <v>123</v>
      </c>
      <c r="F8" s="123" t="s">
        <v>124</v>
      </c>
      <c r="G8" s="123" t="s">
        <v>125</v>
      </c>
      <c r="H8" s="123" t="s">
        <v>126</v>
      </c>
    </row>
    <row r="9" spans="2:8" s="124" customFormat="1" ht="20.100000000000001" customHeight="1" x14ac:dyDescent="0.2">
      <c r="B9" s="125">
        <v>1</v>
      </c>
      <c r="C9" s="124" t="s">
        <v>128</v>
      </c>
      <c r="D9" s="126">
        <f>+B9</f>
        <v>1</v>
      </c>
      <c r="E9" s="126">
        <f>+'Costo Ensamble '!H51</f>
        <v>875.49103271201545</v>
      </c>
      <c r="F9" s="127">
        <f>+D9*E9</f>
        <v>875.49103271201545</v>
      </c>
      <c r="G9" s="128">
        <f>+F9/$F$23</f>
        <v>0.22072543856097626</v>
      </c>
      <c r="H9" s="129" t="s">
        <v>129</v>
      </c>
    </row>
    <row r="10" spans="2:8" s="130" customFormat="1" ht="17.25" customHeight="1" x14ac:dyDescent="0.2">
      <c r="B10" s="131"/>
      <c r="C10" s="132"/>
      <c r="D10" s="133"/>
      <c r="E10" s="133"/>
      <c r="F10" s="134"/>
      <c r="G10" s="135"/>
      <c r="H10" s="136"/>
    </row>
    <row r="11" spans="2:8" s="130" customFormat="1" ht="12" x14ac:dyDescent="0.2">
      <c r="B11" s="125"/>
      <c r="C11" s="175" t="s">
        <v>130</v>
      </c>
      <c r="D11" s="175"/>
      <c r="E11" s="126"/>
      <c r="F11" s="41">
        <f>SUM(F6)</f>
        <v>1652.6410570755031</v>
      </c>
      <c r="G11" s="137">
        <f>+F11/$F$23</f>
        <v>0.41665751958290675</v>
      </c>
      <c r="H11" s="129"/>
    </row>
    <row r="12" spans="2:8" s="130" customFormat="1" ht="12.75" thickBot="1" x14ac:dyDescent="0.25">
      <c r="B12" s="125"/>
      <c r="C12" s="175" t="s">
        <v>131</v>
      </c>
      <c r="D12" s="175"/>
      <c r="E12" s="126"/>
      <c r="F12" s="138">
        <f>SUM(F9)</f>
        <v>875.49103271201545</v>
      </c>
      <c r="G12" s="137">
        <f>+F12/$F$23</f>
        <v>0.22072543856097626</v>
      </c>
      <c r="H12" s="129"/>
    </row>
    <row r="13" spans="2:8" s="130" customFormat="1" ht="12.75" thickTop="1" x14ac:dyDescent="0.2">
      <c r="B13" s="125"/>
      <c r="C13" s="178" t="s">
        <v>76</v>
      </c>
      <c r="D13" s="178"/>
      <c r="E13" s="178"/>
      <c r="F13" s="57">
        <f>SUM(F11:F12)</f>
        <v>2528.1320897875185</v>
      </c>
      <c r="G13" s="137">
        <f>+F13/$F$23</f>
        <v>0.63738295814388302</v>
      </c>
      <c r="H13" s="129"/>
    </row>
    <row r="14" spans="2:8" s="130" customFormat="1" ht="12" x14ac:dyDescent="0.2">
      <c r="C14" s="53"/>
      <c r="D14" s="53"/>
      <c r="E14" s="139"/>
      <c r="F14" s="140"/>
      <c r="G14" s="137"/>
    </row>
    <row r="15" spans="2:8" s="130" customFormat="1" ht="12" x14ac:dyDescent="0.2">
      <c r="B15" s="175" t="s">
        <v>76</v>
      </c>
      <c r="C15" s="175"/>
      <c r="D15" s="175"/>
      <c r="E15" s="141" t="s">
        <v>132</v>
      </c>
      <c r="F15" s="41">
        <f>+F13</f>
        <v>2528.1320897875185</v>
      </c>
      <c r="G15" s="137">
        <f t="shared" ref="G15:G23" si="0">+F15/$F$23</f>
        <v>0.63738295814388302</v>
      </c>
      <c r="H15" s="142"/>
    </row>
    <row r="16" spans="2:8" s="130" customFormat="1" ht="12.75" customHeight="1" thickBot="1" x14ac:dyDescent="0.25">
      <c r="B16" s="44"/>
      <c r="C16" s="175" t="s">
        <v>78</v>
      </c>
      <c r="D16" s="175"/>
      <c r="E16" s="143"/>
      <c r="F16" s="41">
        <f>+'Costo Ensamble '!H53</f>
        <v>567.61472927724412</v>
      </c>
      <c r="G16" s="137">
        <f t="shared" si="0"/>
        <v>0.14310484673416582</v>
      </c>
      <c r="H16" s="142"/>
    </row>
    <row r="17" spans="1:37" s="130" customFormat="1" ht="12.75" hidden="1" customHeight="1" x14ac:dyDescent="0.2">
      <c r="B17" s="44"/>
      <c r="C17" s="175" t="s">
        <v>80</v>
      </c>
      <c r="D17" s="175"/>
      <c r="E17" s="144">
        <v>0</v>
      </c>
      <c r="F17" s="41">
        <f>+(F15+F16)*E17</f>
        <v>0</v>
      </c>
      <c r="G17" s="137">
        <f t="shared" si="0"/>
        <v>0</v>
      </c>
      <c r="H17" s="142"/>
    </row>
    <row r="18" spans="1:37" s="130" customFormat="1" ht="12.75" hidden="1" thickBot="1" x14ac:dyDescent="0.25">
      <c r="B18" s="44"/>
      <c r="C18" s="175" t="s">
        <v>81</v>
      </c>
      <c r="D18" s="175"/>
      <c r="E18" s="144">
        <v>0</v>
      </c>
      <c r="F18" s="41">
        <f>+F16*E18</f>
        <v>0</v>
      </c>
      <c r="G18" s="137">
        <f t="shared" si="0"/>
        <v>0</v>
      </c>
      <c r="H18" s="142"/>
    </row>
    <row r="19" spans="1:37" s="130" customFormat="1" ht="12.75" thickBot="1" x14ac:dyDescent="0.25">
      <c r="B19" s="53"/>
      <c r="C19" s="195"/>
      <c r="D19" s="195"/>
      <c r="E19" s="196"/>
      <c r="F19" s="56">
        <f>SUM(F15:F18)</f>
        <v>3095.7468190647623</v>
      </c>
      <c r="G19" s="145">
        <f>+F19/$F$21</f>
        <v>0.79999999999999993</v>
      </c>
      <c r="H19" s="142"/>
    </row>
    <row r="20" spans="1:37" s="130" customFormat="1" ht="12" x14ac:dyDescent="0.2">
      <c r="B20" s="53"/>
      <c r="C20" s="175" t="s">
        <v>118</v>
      </c>
      <c r="D20" s="175"/>
      <c r="E20" s="108">
        <v>0.25</v>
      </c>
      <c r="F20" s="41">
        <f>+F19*E20</f>
        <v>773.93670476619059</v>
      </c>
      <c r="G20" s="137">
        <f t="shared" si="0"/>
        <v>0.19512195121951217</v>
      </c>
      <c r="H20" s="142"/>
    </row>
    <row r="21" spans="1:37" s="130" customFormat="1" ht="12" x14ac:dyDescent="0.2">
      <c r="B21" s="53"/>
      <c r="C21" s="175" t="s">
        <v>83</v>
      </c>
      <c r="D21" s="175"/>
      <c r="E21" s="175"/>
      <c r="F21" s="41">
        <f>SUM(F19:F20)</f>
        <v>3869.6835238309532</v>
      </c>
      <c r="G21" s="137">
        <f t="shared" si="0"/>
        <v>0.97560975609756095</v>
      </c>
      <c r="H21" s="142"/>
    </row>
    <row r="22" spans="1:37" s="130" customFormat="1" ht="12.75" thickBot="1" x14ac:dyDescent="0.25">
      <c r="B22" s="53"/>
      <c r="C22" s="175" t="s">
        <v>94</v>
      </c>
      <c r="D22" s="175"/>
      <c r="E22" s="108">
        <v>2.5000000000000001E-2</v>
      </c>
      <c r="F22" s="41">
        <f>+F21*E22</f>
        <v>96.742088095773838</v>
      </c>
      <c r="G22" s="137">
        <f t="shared" si="0"/>
        <v>2.4390243902439025E-2</v>
      </c>
      <c r="H22" s="142"/>
    </row>
    <row r="23" spans="1:37" s="130" customFormat="1" ht="12.75" thickBot="1" x14ac:dyDescent="0.25">
      <c r="B23" s="53"/>
      <c r="C23" s="178" t="s">
        <v>95</v>
      </c>
      <c r="D23" s="178"/>
      <c r="E23" s="179"/>
      <c r="F23" s="56">
        <f>SUM(F21:F22)</f>
        <v>3966.425611926727</v>
      </c>
      <c r="G23" s="137">
        <f t="shared" si="0"/>
        <v>1</v>
      </c>
      <c r="H23" s="146"/>
    </row>
    <row r="24" spans="1:37" s="130" customFormat="1" ht="12.75" thickBot="1" x14ac:dyDescent="0.25">
      <c r="B24" s="53"/>
      <c r="C24" s="147"/>
      <c r="D24" s="147"/>
      <c r="E24" s="147"/>
      <c r="F24" s="57"/>
      <c r="G24" s="148"/>
      <c r="H24" s="146"/>
    </row>
    <row r="25" spans="1:37" s="149" customFormat="1" ht="19.5" customHeight="1" thickBot="1" x14ac:dyDescent="0.25">
      <c r="A25" s="241"/>
      <c r="B25" s="242"/>
      <c r="C25" s="242"/>
      <c r="D25" s="242"/>
      <c r="E25" s="242"/>
      <c r="F25" s="242"/>
      <c r="G25" s="242"/>
      <c r="H25" s="242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</row>
    <row r="26" spans="1:37" s="130" customFormat="1" ht="19.5" customHeight="1" thickBot="1" x14ac:dyDescent="0.25">
      <c r="F26" s="150"/>
      <c r="G26" s="151"/>
      <c r="H26" s="142"/>
    </row>
    <row r="27" spans="1:37" s="130" customFormat="1" ht="13.5" customHeight="1" thickBot="1" x14ac:dyDescent="0.25">
      <c r="B27" s="53"/>
      <c r="C27" s="178" t="s">
        <v>95</v>
      </c>
      <c r="D27" s="178"/>
      <c r="E27" s="179"/>
      <c r="F27" s="56">
        <f>+F23</f>
        <v>3966.425611926727</v>
      </c>
      <c r="H27" s="142"/>
    </row>
    <row r="28" spans="1:37" s="130" customFormat="1" ht="13.5" customHeight="1" x14ac:dyDescent="0.2">
      <c r="B28" s="53"/>
      <c r="C28" s="244" t="s">
        <v>133</v>
      </c>
      <c r="D28" s="244" t="s">
        <v>85</v>
      </c>
      <c r="E28" s="108">
        <v>0.1</v>
      </c>
      <c r="F28" s="152">
        <f>+F27*E28</f>
        <v>396.6425611926727</v>
      </c>
      <c r="G28" s="153" t="s">
        <v>134</v>
      </c>
      <c r="H28" s="142" t="s">
        <v>135</v>
      </c>
    </row>
    <row r="29" spans="1:37" s="130" customFormat="1" ht="13.5" customHeight="1" x14ac:dyDescent="0.2">
      <c r="B29" s="53"/>
      <c r="C29" s="247" t="s">
        <v>90</v>
      </c>
      <c r="D29" s="247"/>
      <c r="E29" s="247"/>
      <c r="F29" s="152">
        <f>SUM(F27:F28)</f>
        <v>4363.0681731193999</v>
      </c>
      <c r="G29" s="153">
        <f>+F29/$F$31</f>
        <v>0.68965517241379315</v>
      </c>
      <c r="H29" s="154">
        <f>1-(F29/F31)</f>
        <v>0.31034482758620685</v>
      </c>
    </row>
    <row r="30" spans="1:37" s="130" customFormat="1" ht="12" x14ac:dyDescent="0.2">
      <c r="B30" s="132"/>
      <c r="C30" s="244" t="s">
        <v>136</v>
      </c>
      <c r="D30" s="244"/>
      <c r="E30" s="108">
        <v>0.45</v>
      </c>
      <c r="F30" s="41">
        <f>+F29*E30</f>
        <v>1963.38067790373</v>
      </c>
      <c r="G30" s="148"/>
      <c r="H30" s="155"/>
    </row>
    <row r="31" spans="1:37" s="130" customFormat="1" ht="12.75" thickBot="1" x14ac:dyDescent="0.25">
      <c r="B31" s="132"/>
      <c r="C31" s="250" t="s">
        <v>137</v>
      </c>
      <c r="D31" s="250"/>
      <c r="E31" s="166"/>
      <c r="F31" s="167">
        <f>SUM(F29:F30)</f>
        <v>6326.4488510231295</v>
      </c>
      <c r="G31" s="148"/>
      <c r="H31" s="146"/>
    </row>
    <row r="32" spans="1:37" s="130" customFormat="1" ht="12.75" thickBot="1" x14ac:dyDescent="0.25">
      <c r="B32" s="132"/>
      <c r="C32" s="249" t="s">
        <v>138</v>
      </c>
      <c r="D32" s="249"/>
      <c r="E32" s="156">
        <v>0.13</v>
      </c>
      <c r="F32" s="157">
        <f>+F31*(1+E32)</f>
        <v>7148.8872016561354</v>
      </c>
      <c r="G32" s="148"/>
      <c r="H32" s="146"/>
    </row>
    <row r="33" spans="1:37" s="130" customFormat="1" ht="12.75" thickBot="1" x14ac:dyDescent="0.25">
      <c r="A33" s="241"/>
      <c r="B33" s="242"/>
      <c r="C33" s="242"/>
      <c r="D33" s="242"/>
      <c r="E33" s="242"/>
      <c r="F33" s="242"/>
      <c r="G33" s="242"/>
      <c r="H33" s="242"/>
    </row>
    <row r="34" spans="1:37" s="130" customFormat="1" ht="12" x14ac:dyDescent="0.2">
      <c r="B34" s="132"/>
      <c r="C34" s="243" t="s">
        <v>139</v>
      </c>
      <c r="D34" s="243"/>
      <c r="E34" s="158">
        <v>0.65</v>
      </c>
      <c r="F34" s="159">
        <f>+F31/0.65</f>
        <v>9732.998232343276</v>
      </c>
      <c r="G34" s="148"/>
      <c r="H34" s="146"/>
    </row>
    <row r="35" spans="1:37" s="130" customFormat="1" ht="12" x14ac:dyDescent="0.2">
      <c r="B35" s="132"/>
      <c r="C35" s="244" t="s">
        <v>140</v>
      </c>
      <c r="D35" s="244"/>
      <c r="E35" s="158">
        <v>0.13</v>
      </c>
      <c r="F35" s="159">
        <f>+F34*1.13</f>
        <v>10998.288002547901</v>
      </c>
      <c r="G35" s="148"/>
      <c r="H35" s="146"/>
    </row>
    <row r="36" spans="1:37" s="130" customFormat="1" ht="12.75" thickBot="1" x14ac:dyDescent="0.25">
      <c r="C36" s="181"/>
      <c r="D36" s="181"/>
      <c r="F36" s="160"/>
      <c r="G36" s="161"/>
      <c r="H36" s="142"/>
    </row>
    <row r="37" spans="1:37" s="149" customFormat="1" ht="19.5" customHeight="1" thickBot="1" x14ac:dyDescent="0.3">
      <c r="A37" s="245" t="s">
        <v>141</v>
      </c>
      <c r="B37" s="246"/>
      <c r="C37" s="246"/>
      <c r="D37" s="246"/>
      <c r="E37" s="246"/>
      <c r="F37" s="246"/>
      <c r="G37" s="246"/>
      <c r="H37" s="246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</row>
    <row r="38" spans="1:37" s="130" customFormat="1" ht="12" x14ac:dyDescent="0.2">
      <c r="F38" s="162"/>
      <c r="G38" s="161"/>
      <c r="H38" s="142"/>
    </row>
    <row r="43" spans="1:37" ht="12" x14ac:dyDescent="0.2">
      <c r="H43" s="134"/>
    </row>
  </sheetData>
  <mergeCells count="28">
    <mergeCell ref="C12:D12"/>
    <mergeCell ref="B1:H1"/>
    <mergeCell ref="B2:H2"/>
    <mergeCell ref="B3:H3"/>
    <mergeCell ref="F4:G4"/>
    <mergeCell ref="C11:D11"/>
    <mergeCell ref="C27:E27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21F1E5D-B857-4F3A-8F22-FF85FB84BC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27BC79-B83D-4611-89F3-404D6B5B52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EC77E7-6410-43A3-8E27-8A1C3EE17AC9}">
  <ds:schemaRefs>
    <ds:schemaRef ds:uri="http://purl.org/dc/terms/"/>
    <ds:schemaRef ds:uri="http://schemas.microsoft.com/office/2006/documentManagement/types"/>
    <ds:schemaRef ds:uri="619b02d4-3137-49d8-81cc-7be34c83d778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a773c2a9-8649-43e4-927e-bc5da8376b63"/>
    <ds:schemaRef ds:uri="http://purl.org/dc/dcmitype/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Costo Rosquete</vt:lpstr>
      <vt:lpstr>Hoja1</vt:lpstr>
      <vt:lpstr>costo</vt:lpstr>
      <vt:lpstr>PRECIO-1</vt:lpstr>
      <vt:lpstr>Costo Ensamble </vt:lpstr>
      <vt:lpstr>Precio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2025-10-08T21:54:13Z</cp:lastPrinted>
  <dcterms:created xsi:type="dcterms:W3CDTF">2012-05-10T22:32:20Z</dcterms:created>
  <dcterms:modified xsi:type="dcterms:W3CDTF">2025-10-08T21:57:59Z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318600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
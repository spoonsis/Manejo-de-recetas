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E6857EBF-510A-423A-9287-3FA4978D3EE7}" xr6:coauthVersionLast="47" xr6:coauthVersionMax="47" xr10:uidLastSave="{058A6462-DD1D-4253-808B-8B9EC150BAF1}"/>
  <bookViews>
    <workbookView xWindow="-120" yWindow="-120" windowWidth="20730" windowHeight="11040" tabRatio="789" firstSheet="3" activeTab="3" xr2:uid="{74C28F6A-68B1-4D67-8851-9F7AD3A672D3}"/>
  </bookViews>
  <sheets>
    <sheet name="Ensamble Industria " sheetId="1" state="hidden" r:id="rId1"/>
    <sheet name="COSTO INDUSTRIA " sheetId="11" state="hidden" r:id="rId2"/>
    <sheet name="Ensamble Local " sheetId="10" state="hidden" r:id="rId3"/>
    <sheet name="Ensamble local 2" sheetId="14" r:id="rId4"/>
    <sheet name="Hoja2" sheetId="12" state="hidden" r:id="rId5"/>
    <sheet name="Rosquete chocolate " sheetId="2" state="hidden" r:id="rId6"/>
    <sheet name="Batido" sheetId="3" state="hidden" r:id="rId7"/>
    <sheet name="Premezcla " sheetId="4" state="hidden" r:id="rId8"/>
    <sheet name="Travasado leche cond" sheetId="5" state="hidden" r:id="rId9"/>
    <sheet name="Leche cond cocinada dura" sheetId="6" state="hidden" r:id="rId10"/>
    <sheet name="Chantilly Morado " sheetId="7" state="hidden" r:id="rId11"/>
    <sheet name="Chantilly Blanca Spoon" sheetId="8" state="hidden" r:id="rId12"/>
    <sheet name="Ganache Chocolate Oscuro" sheetId="9" state="hidden" r:id="rId13"/>
  </sheets>
  <externalReferences>
    <externalReference r:id="rId14"/>
    <externalReference r:id="rId15"/>
  </externalReferences>
  <definedNames>
    <definedName name="_xlnm.Print_Area" localSheetId="0">'Ensamble Industria '!$A$1:$I$58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1" l="1"/>
  <c r="D30" i="11"/>
  <c r="C30" i="11"/>
  <c r="B30" i="11"/>
  <c r="E29" i="11"/>
  <c r="C29" i="11"/>
  <c r="B29" i="11"/>
  <c r="F30" i="11" l="1"/>
  <c r="F29" i="11"/>
  <c r="D75" i="11" l="1"/>
  <c r="D76" i="11" s="1"/>
  <c r="D78" i="11" s="1"/>
  <c r="D73" i="11"/>
  <c r="D71" i="11"/>
  <c r="F67" i="11"/>
  <c r="C75" i="11" s="1"/>
  <c r="C87" i="11" s="1"/>
  <c r="D62" i="11"/>
  <c r="D87" i="11" s="1"/>
  <c r="D88" i="11" s="1"/>
  <c r="C53" i="11"/>
  <c r="E52" i="11"/>
  <c r="D52" i="11"/>
  <c r="B52" i="11"/>
  <c r="E51" i="11"/>
  <c r="D51" i="11"/>
  <c r="B51" i="11"/>
  <c r="E50" i="11"/>
  <c r="D50" i="11"/>
  <c r="B50" i="11"/>
  <c r="E43" i="11"/>
  <c r="D43" i="11"/>
  <c r="B43" i="11"/>
  <c r="A43" i="11"/>
  <c r="A52" i="11" s="1"/>
  <c r="C52" i="11" s="1"/>
  <c r="E42" i="11"/>
  <c r="D42" i="11"/>
  <c r="B42" i="11"/>
  <c r="A42" i="11"/>
  <c r="A51" i="11" s="1"/>
  <c r="C51" i="11" s="1"/>
  <c r="E41" i="11"/>
  <c r="D41" i="11"/>
  <c r="B41" i="11"/>
  <c r="A41" i="11"/>
  <c r="C41" i="11" s="1"/>
  <c r="A40" i="11"/>
  <c r="C40" i="11" s="1"/>
  <c r="A39" i="11"/>
  <c r="A48" i="11" s="1"/>
  <c r="C48" i="11" s="1"/>
  <c r="A38" i="11"/>
  <c r="A47" i="11" s="1"/>
  <c r="C47" i="11" s="1"/>
  <c r="F47" i="11" s="1"/>
  <c r="A37" i="11"/>
  <c r="C37" i="11" s="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F31" i="11" s="1"/>
  <c r="D31" i="11"/>
  <c r="C31" i="11"/>
  <c r="B31" i="11"/>
  <c r="E28" i="11"/>
  <c r="D28" i="11"/>
  <c r="C28" i="11"/>
  <c r="B28" i="11"/>
  <c r="C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C20" i="11"/>
  <c r="F19" i="11"/>
  <c r="C19" i="11"/>
  <c r="C18" i="11"/>
  <c r="C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C10" i="11"/>
  <c r="F10" i="11" s="1"/>
  <c r="C9" i="11"/>
  <c r="C8" i="11"/>
  <c r="H6" i="11"/>
  <c r="A53" i="5"/>
  <c r="G10" i="5"/>
  <c r="D41" i="2"/>
  <c r="J10" i="2" s="1"/>
  <c r="F14" i="11" l="1"/>
  <c r="E53" i="11"/>
  <c r="F53" i="11"/>
  <c r="F51" i="11"/>
  <c r="F12" i="11"/>
  <c r="F33" i="11"/>
  <c r="F27" i="11"/>
  <c r="F11" i="11"/>
  <c r="F32" i="11"/>
  <c r="F41" i="11"/>
  <c r="F28" i="11"/>
  <c r="F13" i="11"/>
  <c r="F34" i="11"/>
  <c r="C42" i="11"/>
  <c r="F42" i="11" s="1"/>
  <c r="F9" i="11"/>
  <c r="F20" i="11"/>
  <c r="C39" i="11"/>
  <c r="F39" i="11" s="1"/>
  <c r="F48" i="11"/>
  <c r="C38" i="11"/>
  <c r="F38" i="11" s="1"/>
  <c r="F18" i="11"/>
  <c r="F17" i="11"/>
  <c r="F8" i="11"/>
  <c r="F52" i="11"/>
  <c r="F37" i="11"/>
  <c r="F40" i="11"/>
  <c r="F46" i="11"/>
  <c r="E87" i="11"/>
  <c r="C43" i="11"/>
  <c r="F43" i="11" s="1"/>
  <c r="D83" i="11"/>
  <c r="A49" i="11"/>
  <c r="C49" i="11" s="1"/>
  <c r="F49" i="11" s="1"/>
  <c r="E75" i="11"/>
  <c r="D85" i="11"/>
  <c r="A46" i="11"/>
  <c r="C46" i="11" s="1"/>
  <c r="A50" i="11"/>
  <c r="C50" i="11" s="1"/>
  <c r="F50" i="11" s="1"/>
  <c r="D45" i="1"/>
  <c r="F55" i="11" l="1"/>
  <c r="C71" i="11" s="1"/>
  <c r="F58" i="11"/>
  <c r="F56" i="11"/>
  <c r="H55" i="11" l="1"/>
  <c r="F2" i="11" s="1"/>
  <c r="F66" i="11"/>
  <c r="C78" i="11"/>
  <c r="E78" i="11" s="1"/>
  <c r="H56" i="11"/>
  <c r="G2" i="11" s="1"/>
  <c r="H58" i="11"/>
  <c r="C76" i="11"/>
  <c r="F57" i="11"/>
  <c r="E71" i="11"/>
  <c r="C83" i="11"/>
  <c r="E83" i="11" s="1"/>
  <c r="C88" i="11" l="1"/>
  <c r="E88" i="11" s="1"/>
  <c r="E76" i="11"/>
  <c r="E80" i="11" s="1"/>
  <c r="H57" i="11"/>
  <c r="O56" i="11"/>
  <c r="F65" i="11"/>
  <c r="O57" i="11"/>
  <c r="H2" i="11"/>
  <c r="H60" i="11"/>
  <c r="H61" i="11" s="1"/>
  <c r="O60" i="11" s="1"/>
  <c r="O58" i="11" l="1"/>
  <c r="O59" i="11" s="1"/>
  <c r="O61" i="11" s="1"/>
  <c r="C73" i="11"/>
  <c r="E65" i="11"/>
  <c r="F68" i="11"/>
  <c r="G65" i="11" l="1"/>
  <c r="G29" i="11"/>
  <c r="G30" i="11"/>
  <c r="C85" i="11"/>
  <c r="E85" i="11" s="1"/>
  <c r="E73" i="11"/>
  <c r="G68" i="11"/>
  <c r="G67" i="11"/>
  <c r="G18" i="11"/>
  <c r="G27" i="11"/>
  <c r="G23" i="11"/>
  <c r="G8" i="11"/>
  <c r="G14" i="11"/>
  <c r="G12" i="11"/>
  <c r="G11" i="11"/>
  <c r="G28" i="11"/>
  <c r="G17" i="11"/>
  <c r="G47" i="11"/>
  <c r="G53" i="11"/>
  <c r="G9" i="11"/>
  <c r="G51" i="11"/>
  <c r="G39" i="11"/>
  <c r="G10" i="11"/>
  <c r="G19" i="11"/>
  <c r="G33" i="11"/>
  <c r="G42" i="11"/>
  <c r="G41" i="11"/>
  <c r="G38" i="11"/>
  <c r="G20" i="11"/>
  <c r="G13" i="11"/>
  <c r="G48" i="11"/>
  <c r="G34" i="11"/>
  <c r="G32" i="11"/>
  <c r="G24" i="11"/>
  <c r="G22" i="11"/>
  <c r="G31" i="11"/>
  <c r="G21" i="11"/>
  <c r="G49" i="11"/>
  <c r="G37" i="11"/>
  <c r="G50" i="11"/>
  <c r="G46" i="11"/>
  <c r="G52" i="11"/>
  <c r="G55" i="11"/>
  <c r="G43" i="11"/>
  <c r="G40" i="11"/>
  <c r="G58" i="11"/>
  <c r="G56" i="11"/>
  <c r="G66" i="11"/>
  <c r="G57" i="11"/>
  <c r="O62" i="11"/>
  <c r="O63" i="11" s="1"/>
  <c r="O64" i="11" s="1"/>
  <c r="P64" i="11" l="1"/>
  <c r="E2" i="11"/>
</calcChain>
</file>

<file path=xl/sharedStrings.xml><?xml version="1.0" encoding="utf-8"?>
<sst xmlns="http://schemas.openxmlformats.org/spreadsheetml/2006/main" count="1101" uniqueCount="317">
  <si>
    <t>CONTROL DE CAMBIOS</t>
  </si>
  <si>
    <t>PROCEDIMIENTO DE PREPARACION DE LA  RECETA</t>
  </si>
  <si>
    <t>g</t>
  </si>
  <si>
    <t>MERMA</t>
  </si>
  <si>
    <t>Otros</t>
  </si>
  <si>
    <t>ud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</si>
  <si>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</si>
  <si>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</si>
  <si>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</si>
  <si>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</si>
  <si>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</si>
  <si>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</si>
  <si>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</si>
  <si>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</si>
  <si>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</si>
  <si>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</si>
  <si>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Decoración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</si>
  <si>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</si>
  <si>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</si>
  <si>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</si>
  <si>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</si>
  <si>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</si>
  <si>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</si>
  <si>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</si>
  <si>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</si>
  <si>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</si>
  <si>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</si>
  <si>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</si>
  <si>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</si>
  <si>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</si>
  <si>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</si>
  <si>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</si>
  <si>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</si>
  <si>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</si>
  <si>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</si>
  <si>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FAS</t>
  </si>
  <si>
    <t>Mariela Barrantes Sánchez, Chef</t>
  </si>
  <si>
    <t>Esteban Cartin, Gte Manufactura</t>
  </si>
  <si>
    <t>Figuras</t>
  </si>
  <si>
    <t>Ensamble</t>
  </si>
  <si>
    <t>11400066</t>
  </si>
  <si>
    <t>MP10007</t>
  </si>
  <si>
    <t>MANJAR LECHE CONDENSADA (PAQ: 6 K)</t>
  </si>
  <si>
    <t>NESTLÉ</t>
  </si>
  <si>
    <t>SE00700</t>
  </si>
  <si>
    <t xml:space="preserve">ROSQUETE CHOCOLATE DAWN 120g </t>
  </si>
  <si>
    <t>90100365</t>
  </si>
  <si>
    <t>SE00386</t>
  </si>
  <si>
    <t>TRASVASADO DE LECHE CONDENSADA COCINADA</t>
  </si>
  <si>
    <t/>
  </si>
  <si>
    <t xml:space="preserve">Colocho BOQUILLA#48 </t>
  </si>
  <si>
    <t xml:space="preserve">Colocho BOQUILLA#234 </t>
  </si>
  <si>
    <t>SE00001</t>
  </si>
  <si>
    <t>Ganache Chocolate Oscuro</t>
  </si>
  <si>
    <t>NUEVO</t>
  </si>
  <si>
    <t>Ojos</t>
  </si>
  <si>
    <t>2 unidades</t>
  </si>
  <si>
    <t xml:space="preserve">Confitura Hallowen </t>
  </si>
  <si>
    <t>Empaque</t>
  </si>
  <si>
    <t>51400047</t>
  </si>
  <si>
    <t>EM10288</t>
  </si>
  <si>
    <t>QUEQUERA MINI CAKE (CAJA:100 UND)</t>
  </si>
  <si>
    <t xml:space="preserve">M Y L </t>
  </si>
  <si>
    <t>EM10119</t>
  </si>
  <si>
    <t>ETIQ. GENERICA PEQUEÑA V-274 (UND)</t>
  </si>
  <si>
    <t>Etiplast</t>
  </si>
  <si>
    <t>EM10004</t>
  </si>
  <si>
    <t>ETIQ.FECHA VENCIMIENTO BLANCO (ROLLO)</t>
  </si>
  <si>
    <t>EM10011</t>
  </si>
  <si>
    <t>ETIQUETA BLANCA 2 5/8X1 15/16 (UND)</t>
  </si>
  <si>
    <t>1</t>
  </si>
  <si>
    <t>EM10135</t>
  </si>
  <si>
    <t xml:space="preserve">ETIQUETA SELLO DE SEGURIDAD (ROLLO:1000 U) </t>
  </si>
  <si>
    <t>2</t>
  </si>
  <si>
    <t>1950699</t>
  </si>
  <si>
    <t>EM10035</t>
  </si>
  <si>
    <t>BASE PARA ROSQUETE (UND)</t>
  </si>
  <si>
    <t>EM10124</t>
  </si>
  <si>
    <t>ETIQUETA BLANCA R-153 (UND)</t>
  </si>
  <si>
    <r>
      <rPr>
        <b/>
        <sz val="12"/>
        <rFont val="Century Gothic"/>
        <family val="2"/>
      </rPr>
      <t xml:space="preserve">1.- </t>
    </r>
    <r>
      <rPr>
        <sz val="12"/>
        <rFont val="Century Gothic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</si>
  <si>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t xml:space="preserve">3. Colocar el ganache en el centro con ayuda de una bolsa, realizar el colocho con la boquilla#234, en todo el borde hacia los lados de manera irregular. </t>
  </si>
  <si>
    <t xml:space="preserve">4.Poner dos ojos y la confitura de hallowen. </t>
  </si>
  <si>
    <t xml:space="preserve">5, Tapar y etiquetar </t>
  </si>
  <si>
    <t>SE00066</t>
  </si>
  <si>
    <t>Crema Chantilly Morado Barnie</t>
  </si>
  <si>
    <r>
      <rPr>
        <b/>
        <sz val="12"/>
        <rFont val="Century Gothic"/>
        <family val="2"/>
      </rPr>
      <t>2.-</t>
    </r>
    <r>
      <rPr>
        <sz val="12"/>
        <rFont val="Century Gothic"/>
        <family val="2"/>
      </rPr>
      <t xml:space="preserve"> Con manga y la boquilla cubrir el rosquete con la chantilly morada,  de manera que se cubran todas la paredes hasta llegar al borde,decorar las paredes y alisando la parte superior </t>
    </r>
  </si>
  <si>
    <t>ESP-RE-BAS-039</t>
  </si>
  <si>
    <t>02</t>
  </si>
  <si>
    <t xml:space="preserve"> SE00700 ROSQUETE CHOCOLATE DAWN 120g</t>
  </si>
  <si>
    <t>Javier Tong, Chef</t>
  </si>
  <si>
    <t>Batidos</t>
  </si>
  <si>
    <t>SE00342</t>
  </si>
  <si>
    <t>BATIDO NUCLEO CHOCOLATE DAWN</t>
  </si>
  <si>
    <t>AS00028</t>
  </si>
  <si>
    <t>BOLSA TRANSPARENTE 56X96X1.80 KILO</t>
  </si>
  <si>
    <t>PLASTICOS P</t>
  </si>
  <si>
    <t>ETIPLAST</t>
  </si>
  <si>
    <t>902000019</t>
  </si>
  <si>
    <t>MEZCLA P/ENGRASE MOLDES KILO</t>
  </si>
  <si>
    <t>CEMUSA</t>
  </si>
  <si>
    <t>1.- Pesar 120g de mezcla en los moldes previamente engrasados.</t>
  </si>
  <si>
    <t>2.- Hornear en el Horno Argental 220°C por 30 a 32 min</t>
  </si>
  <si>
    <t xml:space="preserve">3.- Enfriar y empacar 40 unidades por lata, cubrir con bolsa y etiquetar con fecha de produccion. </t>
  </si>
  <si>
    <t xml:space="preserve">2, se actualiza peso de cada prción </t>
  </si>
  <si>
    <t>ESP-RE-BAS-020</t>
  </si>
  <si>
    <t>01</t>
  </si>
  <si>
    <t>907000264(SE00342) Batido Nucleo Chocolate Dawn</t>
  </si>
  <si>
    <t>SE00341</t>
  </si>
  <si>
    <t>PREMEZCLA BATIDO NUCLEO CHOCOLATE DAWN</t>
  </si>
  <si>
    <t>MP10005</t>
  </si>
  <si>
    <t xml:space="preserve">HUEVO ENTERO PASTERI INNOVO ( CAJA: 10 K) </t>
  </si>
  <si>
    <t>INNOVO</t>
  </si>
  <si>
    <t>MP10002</t>
  </si>
  <si>
    <t>ACEITE CAPULLO RBD (UND:17 L)</t>
  </si>
  <si>
    <t>CAPULLO</t>
  </si>
  <si>
    <t>10415</t>
  </si>
  <si>
    <t>AGUA POTABLE (PLANTA)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</si>
  <si>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</si>
  <si>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</si>
  <si>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</si>
  <si>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</si>
  <si>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</si>
  <si>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ESP-RE-PRES-022</t>
  </si>
  <si>
    <t>SE00341 Premezcla Batido Nucleo Chocolate Dawn</t>
  </si>
  <si>
    <t>Premezclas</t>
  </si>
  <si>
    <t>MP10074</t>
  </si>
  <si>
    <t>AZUCAR BLANCO INDUSTRIAL (SACO:50 K)</t>
  </si>
  <si>
    <t>LAICA</t>
  </si>
  <si>
    <t>MP10478</t>
  </si>
  <si>
    <t>HARINA SILVER CAKE</t>
  </si>
  <si>
    <t>FAHACASA</t>
  </si>
  <si>
    <t>MP10479</t>
  </si>
  <si>
    <t>HARINA VERDE</t>
  </si>
  <si>
    <t>MP10304</t>
  </si>
  <si>
    <t>POLVO HORNEAR FLEISHMAN (PAQ:2.5 K)</t>
  </si>
  <si>
    <t>FLEISHMAN</t>
  </si>
  <si>
    <t>MP10008</t>
  </si>
  <si>
    <t>PRESERVANTE 1047S (PAQ=5 KILO)</t>
  </si>
  <si>
    <t>ASEAL</t>
  </si>
  <si>
    <t>0512255</t>
  </si>
  <si>
    <t>MP10146</t>
  </si>
  <si>
    <t xml:space="preserve">COCOA DUTCH PROCESS </t>
  </si>
  <si>
    <t>DUTCH</t>
  </si>
  <si>
    <t>MP10203</t>
  </si>
  <si>
    <t>GOMA XANTANA</t>
  </si>
  <si>
    <t>MABAKER &amp; CHEF</t>
  </si>
  <si>
    <t>MP10482</t>
  </si>
  <si>
    <t>COCENTRADO CHOCOLATE DAWN</t>
  </si>
  <si>
    <t>DAWN</t>
  </si>
  <si>
    <t>MP10517</t>
  </si>
  <si>
    <t>ACTI EGG</t>
  </si>
  <si>
    <t>PURATOS</t>
  </si>
  <si>
    <t>EM10013</t>
  </si>
  <si>
    <t>BOLSA 17x25 TRANSP KILO</t>
  </si>
  <si>
    <t>EM10133</t>
  </si>
  <si>
    <t>ETIQUETA ROJA LETRA ALERJENO (UND)</t>
  </si>
  <si>
    <t>EM10037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</si>
  <si>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</si>
  <si>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</si>
  <si>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</si>
  <si>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</si>
  <si>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ESP-RE-COCS-058</t>
  </si>
  <si>
    <t xml:space="preserve">SE00386 TRASVASADO LECHE CONDENSADA COCINADA </t>
  </si>
  <si>
    <t>Cocina</t>
  </si>
  <si>
    <t>SE00572</t>
  </si>
  <si>
    <t>LECHE CONDENSADA COCINADA DURA</t>
  </si>
  <si>
    <t>Latas</t>
  </si>
  <si>
    <t>GRAMOS</t>
  </si>
  <si>
    <t>EM10307</t>
  </si>
  <si>
    <t>BOLSA MARMITA 14 x 20 (KILO)</t>
  </si>
  <si>
    <t>bolsas</t>
  </si>
  <si>
    <t>1, Abril las latas de leche condensada y con ayuda de una espatula colocar el contenido en bolsas de 4 kg.</t>
  </si>
  <si>
    <t>2, hacer nudo y etiquetar</t>
  </si>
  <si>
    <t>ESP-RE-COCS-066</t>
  </si>
  <si>
    <t>90100409  (SE00572) Leche condensada cocinada Dura</t>
  </si>
  <si>
    <t>MP10477</t>
  </si>
  <si>
    <t xml:space="preserve">LATA LECHE CONDENSADA </t>
  </si>
  <si>
    <t>NESTLE</t>
  </si>
  <si>
    <t>EM10002</t>
  </si>
  <si>
    <t>ETIQ.BLANCA 1 1/4 * 3/4 (UND)</t>
  </si>
  <si>
    <t>cajas</t>
  </si>
  <si>
    <t>1, Retirar las etiquetas de cada lata de leche condensada</t>
  </si>
  <si>
    <t>2, Colocar las latas en la marmita (sin aspas). Cerrar a presion.</t>
  </si>
  <si>
    <t>#, Cocinar en programa "Leche Cocinada dura"</t>
  </si>
  <si>
    <t>4, Retirar con mucho cuidado el tapon para liberar presion. Luego que ya este liberada toda la presion, proceder a abrir la olla.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</si>
  <si>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</si>
  <si>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</si>
  <si>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ESP-RE-DEF-014</t>
  </si>
  <si>
    <t xml:space="preserve"> SE00066)Crema  Chantilly Morado Barnie</t>
  </si>
  <si>
    <t>SE00010</t>
  </si>
  <si>
    <t>CREMA CHANTILLY BLANCA SPOON-IND KILO</t>
  </si>
  <si>
    <t>MP10155</t>
  </si>
  <si>
    <t>COLORANTE EXOTIC PURPLE</t>
  </si>
  <si>
    <t>MASTER PACK</t>
  </si>
  <si>
    <t>10400011</t>
  </si>
  <si>
    <t>MP10149</t>
  </si>
  <si>
    <t>COLORANTE ARTIFICIAL ROSADO F225 (LITRO)</t>
  </si>
  <si>
    <t>AZTECK</t>
  </si>
  <si>
    <t>0702123</t>
  </si>
  <si>
    <t>1, Sacar la crema blanca spoon de la camara (temperatura maxima 18° ya batida).</t>
  </si>
  <si>
    <t>2, Agregar el colorante, mezclar a mano, hasta que este completamente homogeneo.</t>
  </si>
  <si>
    <t>3, Colocar platico para tapar y etiquetar.</t>
  </si>
  <si>
    <t xml:space="preserve">4, Volver a guardar en la camara hasta su uso. </t>
  </si>
  <si>
    <t xml:space="preserve">2, Se actualiza procediimento, tiempo de preparación </t>
  </si>
  <si>
    <t>ESP-RE-DES-018</t>
  </si>
  <si>
    <t xml:space="preserve"> Crema Blanca Spoon (20800g)  SE00010</t>
  </si>
  <si>
    <t>Decoracion</t>
  </si>
  <si>
    <t>MP10047</t>
  </si>
  <si>
    <t>BETTERCREME SUPREMO (UND:4 K)</t>
  </si>
  <si>
    <t>RICHS</t>
  </si>
  <si>
    <t>MP10048</t>
  </si>
  <si>
    <t>CREMA PRESTIGE GRAND (UND:4 K)</t>
  </si>
  <si>
    <t>AYA</t>
  </si>
  <si>
    <t>Etiplas</t>
  </si>
  <si>
    <t>1.- Abrir los galones de crema y verter dentro de la top cream. (Temperatura 5° liquida )</t>
  </si>
  <si>
    <t>2.- Disolver el preservante en el agua. Agregar a la top cream.</t>
  </si>
  <si>
    <t>3.- Batir por 17 minutos. Una ves lista (Temperatura 18° batida) Colocar en una tina plastica, tapar.</t>
  </si>
  <si>
    <t>4.- Etiquetar con nombre y fecha de vencimiento.</t>
  </si>
  <si>
    <t xml:space="preserve">5.- Mantener en refrigeración hasta su uso. </t>
  </si>
  <si>
    <t>2, Actualización tiempo de preparación y procedimiento</t>
  </si>
  <si>
    <t>ESP-RE-COCS-019</t>
  </si>
  <si>
    <t>908000032(SE00001) Ganache De chocolate Oscuro 40700g</t>
  </si>
  <si>
    <t>1210386</t>
  </si>
  <si>
    <t>MP10001</t>
  </si>
  <si>
    <t>COBERTURA CHOCOLATE LECHE ( 5KG )</t>
  </si>
  <si>
    <t>Nacional Chocolate</t>
  </si>
  <si>
    <t>11400027</t>
  </si>
  <si>
    <t>MP10006</t>
  </si>
  <si>
    <t>CREMA BETTERCREAM DOBLE CHOCO 4K</t>
  </si>
  <si>
    <t>Richs</t>
  </si>
  <si>
    <t>0702069</t>
  </si>
  <si>
    <t>ETIQ.BLANCA 1 1/4 * 3/4</t>
  </si>
  <si>
    <t>Cemusa</t>
  </si>
  <si>
    <t>Minutos</t>
  </si>
  <si>
    <t>1- Colocar la crema de chocolate en una olla y calentar hasta 55 grados hasta hervir, agregar primero la mitad del chocolate. Mezclar hasta derretir.</t>
  </si>
  <si>
    <t>2.- Añadir luego la mitad restante de chocolate, mezclar bien hasta derretir completamente el chocolate.</t>
  </si>
  <si>
    <t>3- Pasar el ganache caliente por un colador para evitar que queden grumos de chocolate.</t>
  </si>
  <si>
    <t>4.- Colocar en cheffing de acero y enfriar.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</si>
  <si>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</si>
  <si>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</si>
  <si>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</si>
  <si>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</si>
  <si>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</si>
  <si>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</si>
  <si>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</si>
  <si>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</si>
  <si>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</si>
  <si>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</si>
  <si>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</si>
  <si>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</si>
  <si>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</si>
  <si>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</si>
  <si>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</si>
  <si>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</si>
  <si>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</si>
  <si>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</si>
  <si>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</si>
  <si>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</si>
  <si>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</si>
  <si>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</si>
  <si>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</si>
  <si>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</si>
  <si>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</si>
  <si>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</si>
  <si>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</si>
  <si>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</si>
  <si>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</si>
  <si>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</si>
  <si>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</si>
  <si>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</si>
  <si>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</si>
  <si>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</si>
  <si>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</si>
  <si>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</si>
  <si>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</si>
  <si>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</si>
  <si>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</si>
  <si>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</si>
  <si>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</si>
  <si>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</si>
  <si>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</si>
  <si>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</si>
  <si>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</si>
  <si>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</si>
  <si>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</si>
  <si>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</si>
  <si>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</si>
  <si>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</si>
  <si>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</si>
  <si>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</si>
  <si>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Gramos </t>
  </si>
  <si>
    <t xml:space="preserve">UND </t>
  </si>
  <si>
    <t>UND</t>
  </si>
  <si>
    <t>Gramos</t>
  </si>
  <si>
    <t>0702077</t>
  </si>
  <si>
    <t>702174</t>
  </si>
  <si>
    <t>0702007</t>
  </si>
  <si>
    <t>701096</t>
  </si>
  <si>
    <t>Und</t>
  </si>
  <si>
    <t>PTI00253 MINI CAKE CHOCOLATE UD  HALLOWEN (Monstruo Morado ) Industria</t>
  </si>
  <si>
    <t>PTL00258  (20200109) MINI CAKE CHOCOLATE UD  HALLOWEN (Monstruo Morado ) Local</t>
  </si>
  <si>
    <t>Colocho BOQUILLA#22</t>
  </si>
  <si>
    <t>3. Colocar el ganache en el centro con ayuda de una bolsa, realizar el colocho con la boquilla#22, en toda la superficie y realizar besitos</t>
  </si>
  <si>
    <t>Costo atenrior ojos ( 8970 caja 700 ud) 12,81 c/u</t>
  </si>
  <si>
    <t>Costo actual ojos ( 8970 caja 200 ud) 44,85 c/u</t>
  </si>
  <si>
    <t>MP10883</t>
  </si>
  <si>
    <t>MP10885</t>
  </si>
  <si>
    <r>
      <rPr>
        <b/>
        <sz val="16"/>
        <rFont val="Arial"/>
        <family val="2"/>
      </rPr>
      <t xml:space="preserve">1.- </t>
    </r>
    <r>
      <rPr>
        <sz val="16"/>
        <rFont val="Arial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</si>
  <si>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Con manga y la boquilla cubrir el rosquete con la chantilly morada,  de manera que se cubran todas la paredes hasta llegar al borde,decorar las paredes y alisando la parte superior </t>
    </r>
  </si>
  <si>
    <t>29/07/20025</t>
  </si>
  <si>
    <t>ESP-RE-FIS-034</t>
  </si>
  <si>
    <t>EM10326</t>
  </si>
  <si>
    <t>Etiq Blanca 3x3</t>
  </si>
  <si>
    <t>2, Se quita rosquete de carton y se actualiza etiqueta de ingredientes.</t>
  </si>
  <si>
    <t>PTL00258  (20200109) MINI CAKE CHOCOLATE UD  HALLOWEN 
(Monstruo Morado) Local</t>
  </si>
  <si>
    <t xml:space="preserve">3. Se agrega etiqueta de halloween y se actualiza cantidad de confite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</si>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</sst>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  <numFmt numFmtId="167" formatCode="_(* #,##0.000_);_(* \(#,##0.000\);_(* &quot;-&quot;??_);_(@_)"/>
    <numFmt numFmtId="168" formatCode="_(* #,##0.00_);_(* \(#,##0.00\);_(* &quot;-&quot;??_);_(@_)"/>
    <numFmt numFmtId="169" formatCode="[$-409]d\-mmm\-yy;@"/>
    <numFmt numFmtId="170" formatCode="&quot;$&quot;#,##0_);[Red]\(&quot;$&quot;#,##0\)"/>
    <numFmt numFmtId="171" formatCode="_-* #,##0.0\ _€_-;\-* #,##0.0\ _€_-;_-* &quot;-&quot;??\ _€_-;_-@_-"/>
  </numFmts>
  <fonts count="8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9.85"/>
      <color indexed="8"/>
      <name val="Times New Roman"/>
      <family val="1"/>
    </font>
    <font>
      <sz val="11"/>
      <name val="Arial"/>
      <family val="2"/>
    </font>
    <font>
      <sz val="11"/>
      <color rgb="FF000000"/>
      <name val="Calibri"/>
      <family val="2"/>
    </font>
    <font>
      <sz val="11"/>
      <name val="Aptos"/>
      <family val="2"/>
    </font>
    <font>
      <b/>
      <sz val="10"/>
      <name val="Arial"/>
      <family val="2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Tahoma"/>
      <family val="2"/>
    </font>
    <font>
      <sz val="8"/>
      <name val="Tahoma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16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0" fontId="7" fillId="0" borderId="0"/>
    <xf numFmtId="0" fontId="1" fillId="0" borderId="0"/>
    <xf numFmtId="0" fontId="8" fillId="0" borderId="0"/>
    <xf numFmtId="0" fontId="1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983">
    <xf numFmtId="0" fontId="0" fillId="0" borderId="0" xfId="0"/>
    <xf numFmtId="1" fontId="6" fillId="0" borderId="15" xfId="0" applyNumberFormat="1" applyFont="1" applyBorder="1" applyAlignment="1">
      <alignment horizontal="center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10" fillId="2" borderId="29" xfId="2" applyFont="1" applyFill="1" applyBorder="1" applyAlignment="1">
      <alignment horizontal="right"/>
    </xf>
    <xf numFmtId="0" fontId="9" fillId="2" borderId="28" xfId="2" applyFont="1" applyFill="1" applyBorder="1" applyAlignment="1">
      <alignment horizontal="center"/>
    </xf>
    <xf numFmtId="0" fontId="10" fillId="2" borderId="15" xfId="2" applyFont="1" applyFill="1" applyBorder="1" applyAlignment="1">
      <alignment horizontal="right"/>
    </xf>
    <xf numFmtId="49" fontId="9" fillId="2" borderId="24" xfId="2" applyNumberFormat="1" applyFont="1" applyFill="1" applyBorder="1" applyAlignment="1">
      <alignment horizontal="center"/>
    </xf>
    <xf numFmtId="0" fontId="9" fillId="2" borderId="2" xfId="2" applyFont="1" applyFill="1" applyBorder="1" applyAlignment="1">
      <alignment horizontal="right"/>
    </xf>
    <xf numFmtId="0" fontId="9" fillId="2" borderId="15" xfId="2" applyFont="1" applyFill="1" applyBorder="1" applyAlignment="1">
      <alignment horizontal="right"/>
    </xf>
    <xf numFmtId="14" fontId="12" fillId="2" borderId="0" xfId="2" applyNumberFormat="1" applyFont="1" applyFill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1" fontId="10" fillId="3" borderId="9" xfId="1" applyNumberFormat="1" applyFont="1" applyFill="1" applyBorder="1" applyAlignment="1">
      <alignment horizontal="center"/>
    </xf>
    <xf numFmtId="1" fontId="10" fillId="3" borderId="9" xfId="1" applyNumberFormat="1" applyFont="1" applyFill="1" applyBorder="1" applyAlignment="1">
      <alignment horizontal="center" wrapText="1"/>
    </xf>
    <xf numFmtId="0" fontId="10" fillId="3" borderId="27" xfId="1" applyFont="1" applyFill="1" applyBorder="1" applyAlignment="1">
      <alignment horizontal="center"/>
    </xf>
    <xf numFmtId="0" fontId="13" fillId="0" borderId="25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4" fillId="0" borderId="15" xfId="1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6" fillId="0" borderId="24" xfId="1" applyFont="1" applyBorder="1" applyAlignment="1">
      <alignment horizontal="center"/>
    </xf>
    <xf numFmtId="49" fontId="6" fillId="4" borderId="25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vertical="center"/>
    </xf>
    <xf numFmtId="0" fontId="6" fillId="4" borderId="15" xfId="0" applyFont="1" applyFill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9" fontId="5" fillId="4" borderId="14" xfId="0" applyNumberFormat="1" applyFont="1" applyFill="1" applyBorder="1" applyAlignment="1">
      <alignment horizontal="center" vertical="center"/>
    </xf>
    <xf numFmtId="49" fontId="4" fillId="4" borderId="15" xfId="0" applyNumberFormat="1" applyFont="1" applyFill="1" applyBorder="1" applyAlignment="1">
      <alignment vertical="center"/>
    </xf>
    <xf numFmtId="0" fontId="5" fillId="4" borderId="15" xfId="0" applyFont="1" applyFill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5" fillId="4" borderId="0" xfId="0" applyFont="1" applyFill="1"/>
    <xf numFmtId="0" fontId="6" fillId="4" borderId="15" xfId="0" applyFont="1" applyFill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0" fontId="16" fillId="0" borderId="15" xfId="4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5" xfId="0" applyFont="1" applyBorder="1"/>
    <xf numFmtId="0" fontId="6" fillId="0" borderId="14" xfId="0" applyFont="1" applyBorder="1" applyAlignment="1">
      <alignment horizontal="center"/>
    </xf>
    <xf numFmtId="49" fontId="6" fillId="0" borderId="15" xfId="0" applyNumberFormat="1" applyFont="1" applyBorder="1"/>
    <xf numFmtId="1" fontId="9" fillId="0" borderId="15" xfId="0" applyNumberFormat="1" applyFont="1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16" fillId="0" borderId="15" xfId="0" applyFont="1" applyBorder="1" applyAlignment="1">
      <alignment horizontal="left" vertical="center"/>
    </xf>
    <xf numFmtId="165" fontId="7" fillId="0" borderId="15" xfId="0" applyNumberFormat="1" applyFont="1" applyBorder="1" applyAlignment="1">
      <alignment horizontal="center" wrapText="1"/>
    </xf>
    <xf numFmtId="0" fontId="13" fillId="0" borderId="15" xfId="0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1" fontId="13" fillId="0" borderId="15" xfId="0" applyNumberFormat="1" applyFont="1" applyBorder="1" applyAlignment="1">
      <alignment horizontal="center" wrapText="1"/>
    </xf>
    <xf numFmtId="16" fontId="7" fillId="0" borderId="15" xfId="1" applyNumberFormat="1" applyFont="1" applyBorder="1" applyAlignment="1">
      <alignment horizontal="center"/>
    </xf>
    <xf numFmtId="1" fontId="7" fillId="0" borderId="15" xfId="1" applyNumberFormat="1" applyFont="1" applyBorder="1" applyAlignment="1">
      <alignment horizontal="center"/>
    </xf>
    <xf numFmtId="1" fontId="7" fillId="0" borderId="15" xfId="1" applyNumberFormat="1" applyFont="1" applyBorder="1" applyAlignment="1">
      <alignment horizontal="center" wrapText="1"/>
    </xf>
    <xf numFmtId="2" fontId="9" fillId="0" borderId="15" xfId="1" applyNumberFormat="1" applyFont="1" applyBorder="1" applyAlignment="1">
      <alignment horizontal="center"/>
    </xf>
    <xf numFmtId="0" fontId="16" fillId="4" borderId="15" xfId="0" applyFont="1" applyFill="1" applyBorder="1"/>
    <xf numFmtId="1" fontId="6" fillId="0" borderId="15" xfId="1" applyNumberFormat="1" applyFont="1" applyBorder="1" applyAlignment="1">
      <alignment horizontal="center"/>
    </xf>
    <xf numFmtId="1" fontId="6" fillId="0" borderId="15" xfId="1" applyNumberFormat="1" applyFont="1" applyBorder="1" applyAlignment="1">
      <alignment horizontal="center" wrapText="1"/>
    </xf>
    <xf numFmtId="0" fontId="7" fillId="0" borderId="15" xfId="1" applyFont="1" applyBorder="1" applyAlignment="1">
      <alignment horizontal="center"/>
    </xf>
    <xf numFmtId="49" fontId="6" fillId="0" borderId="15" xfId="1" applyNumberFormat="1" applyFont="1" applyBorder="1" applyAlignment="1">
      <alignment horizontal="center"/>
    </xf>
    <xf numFmtId="0" fontId="13" fillId="4" borderId="15" xfId="1" applyFont="1" applyFill="1" applyBorder="1" applyAlignment="1">
      <alignment horizontal="left"/>
    </xf>
    <xf numFmtId="0" fontId="6" fillId="0" borderId="15" xfId="1" applyFont="1" applyBorder="1" applyAlignment="1">
      <alignment horizontal="center"/>
    </xf>
    <xf numFmtId="166" fontId="6" fillId="0" borderId="15" xfId="1" applyNumberFormat="1" applyFont="1" applyBorder="1" applyAlignment="1">
      <alignment horizontal="center"/>
    </xf>
    <xf numFmtId="49" fontId="6" fillId="4" borderId="15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/>
    </xf>
    <xf numFmtId="49" fontId="6" fillId="4" borderId="15" xfId="0" applyNumberFormat="1" applyFont="1" applyFill="1" applyBorder="1"/>
    <xf numFmtId="1" fontId="6" fillId="4" borderId="15" xfId="0" applyNumberFormat="1" applyFont="1" applyFill="1" applyBorder="1" applyAlignment="1">
      <alignment horizontal="center"/>
    </xf>
    <xf numFmtId="1" fontId="6" fillId="0" borderId="15" xfId="0" applyNumberFormat="1" applyFont="1" applyBorder="1"/>
    <xf numFmtId="16" fontId="6" fillId="0" borderId="15" xfId="0" applyNumberFormat="1" applyFont="1" applyBorder="1" applyAlignment="1">
      <alignment horizontal="center"/>
    </xf>
    <xf numFmtId="1" fontId="6" fillId="0" borderId="15" xfId="5" applyNumberFormat="1" applyFont="1" applyBorder="1" applyAlignment="1">
      <alignment horizontal="center"/>
    </xf>
    <xf numFmtId="1" fontId="6" fillId="0" borderId="15" xfId="5" applyNumberFormat="1" applyFont="1" applyBorder="1" applyAlignment="1">
      <alignment horizontal="center" wrapText="1"/>
    </xf>
    <xf numFmtId="49" fontId="13" fillId="0" borderId="15" xfId="1" applyNumberFormat="1" applyFont="1" applyBorder="1" applyAlignment="1">
      <alignment horizontal="center"/>
    </xf>
    <xf numFmtId="0" fontId="14" fillId="4" borderId="15" xfId="1" applyFont="1" applyFill="1" applyBorder="1" applyAlignment="1">
      <alignment vertical="center"/>
    </xf>
    <xf numFmtId="0" fontId="13" fillId="0" borderId="15" xfId="1" applyFont="1" applyBorder="1" applyAlignment="1">
      <alignment horizontal="center"/>
    </xf>
    <xf numFmtId="49" fontId="6" fillId="0" borderId="15" xfId="0" applyNumberFormat="1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2" fontId="6" fillId="0" borderId="15" xfId="1" applyNumberFormat="1" applyFont="1" applyBorder="1" applyAlignment="1">
      <alignment horizontal="center"/>
    </xf>
    <xf numFmtId="12" fontId="6" fillId="0" borderId="15" xfId="1" applyNumberFormat="1" applyFont="1" applyBorder="1" applyAlignment="1">
      <alignment horizontal="center"/>
    </xf>
    <xf numFmtId="0" fontId="9" fillId="0" borderId="15" xfId="0" quotePrefix="1" applyFont="1" applyBorder="1" applyAlignment="1">
      <alignment horizontal="right"/>
    </xf>
    <xf numFmtId="0" fontId="9" fillId="0" borderId="15" xfId="0" quotePrefix="1" applyFont="1" applyBorder="1"/>
    <xf numFmtId="0" fontId="6" fillId="0" borderId="15" xfId="0" applyFont="1" applyBorder="1"/>
    <xf numFmtId="0" fontId="16" fillId="0" borderId="0" xfId="0" applyFont="1" applyAlignment="1">
      <alignment horizontal="center"/>
    </xf>
    <xf numFmtId="49" fontId="6" fillId="0" borderId="25" xfId="1" applyNumberFormat="1" applyFont="1" applyBorder="1" applyAlignment="1">
      <alignment horizontal="center"/>
    </xf>
    <xf numFmtId="49" fontId="6" fillId="0" borderId="14" xfId="1" applyNumberFormat="1" applyFont="1" applyBorder="1" applyAlignment="1">
      <alignment horizontal="center"/>
    </xf>
    <xf numFmtId="49" fontId="6" fillId="0" borderId="15" xfId="1" applyNumberFormat="1" applyFont="1" applyBorder="1"/>
    <xf numFmtId="49" fontId="17" fillId="2" borderId="23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22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center"/>
    </xf>
    <xf numFmtId="0" fontId="9" fillId="3" borderId="5" xfId="1" applyFont="1" applyFill="1" applyBorder="1" applyAlignment="1">
      <alignment horizontal="center"/>
    </xf>
    <xf numFmtId="0" fontId="9" fillId="3" borderId="5" xfId="1" applyFont="1" applyFill="1" applyBorder="1"/>
    <xf numFmtId="0" fontId="10" fillId="3" borderId="5" xfId="1" applyFont="1" applyFill="1" applyBorder="1" applyAlignment="1">
      <alignment horizontal="center"/>
    </xf>
    <xf numFmtId="1" fontId="10" fillId="3" borderId="5" xfId="1" applyNumberFormat="1" applyFont="1" applyFill="1" applyBorder="1" applyAlignment="1">
      <alignment horizontal="center"/>
    </xf>
    <xf numFmtId="164" fontId="9" fillId="3" borderId="5" xfId="1" applyNumberFormat="1" applyFont="1" applyFill="1" applyBorder="1" applyAlignment="1">
      <alignment horizontal="center" wrapText="1"/>
    </xf>
    <xf numFmtId="0" fontId="9" fillId="3" borderId="4" xfId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2" borderId="29" xfId="2" applyFont="1" applyFill="1" applyBorder="1" applyAlignment="1">
      <alignment horizontal="right"/>
    </xf>
    <xf numFmtId="0" fontId="2" fillId="2" borderId="28" xfId="2" applyFont="1" applyFill="1" applyBorder="1" applyAlignment="1">
      <alignment horizontal="center"/>
    </xf>
    <xf numFmtId="0" fontId="3" fillId="2" borderId="15" xfId="2" applyFont="1" applyFill="1" applyBorder="1" applyAlignment="1">
      <alignment horizontal="right"/>
    </xf>
    <xf numFmtId="49" fontId="2" fillId="2" borderId="24" xfId="2" applyNumberFormat="1" applyFont="1" applyFill="1" applyBorder="1" applyAlignment="1">
      <alignment horizontal="center"/>
    </xf>
    <xf numFmtId="0" fontId="2" fillId="2" borderId="2" xfId="2" applyFont="1" applyFill="1" applyBorder="1" applyAlignment="1">
      <alignment horizontal="right"/>
    </xf>
    <xf numFmtId="0" fontId="2" fillId="2" borderId="15" xfId="2" applyFont="1" applyFill="1" applyBorder="1" applyAlignment="1">
      <alignment horizontal="right"/>
    </xf>
    <xf numFmtId="14" fontId="20" fillId="2" borderId="0" xfId="2" applyNumberFormat="1" applyFont="1" applyFill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1" fontId="3" fillId="3" borderId="9" xfId="1" applyNumberFormat="1" applyFont="1" applyFill="1" applyBorder="1" applyAlignment="1">
      <alignment horizontal="center"/>
    </xf>
    <xf numFmtId="1" fontId="3" fillId="3" borderId="9" xfId="1" applyNumberFormat="1" applyFont="1" applyFill="1" applyBorder="1" applyAlignment="1">
      <alignment horizontal="center" wrapText="1"/>
    </xf>
    <xf numFmtId="0" fontId="3" fillId="3" borderId="27" xfId="1" applyFont="1" applyFill="1" applyBorder="1" applyAlignment="1">
      <alignment horizontal="center"/>
    </xf>
    <xf numFmtId="0" fontId="21" fillId="0" borderId="2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2" fillId="0" borderId="15" xfId="1" applyFont="1" applyBorder="1" applyAlignment="1">
      <alignment vertical="center"/>
    </xf>
    <xf numFmtId="0" fontId="21" fillId="0" borderId="15" xfId="1" applyFont="1" applyBorder="1" applyAlignment="1">
      <alignment horizontal="center" vertical="center"/>
    </xf>
    <xf numFmtId="1" fontId="21" fillId="0" borderId="15" xfId="1" applyNumberFormat="1" applyFont="1" applyBorder="1" applyAlignment="1">
      <alignment horizontal="center"/>
    </xf>
    <xf numFmtId="1" fontId="21" fillId="0" borderId="15" xfId="1" applyNumberFormat="1" applyFont="1" applyBorder="1" applyAlignment="1">
      <alignment horizontal="center" wrapText="1"/>
    </xf>
    <xf numFmtId="0" fontId="5" fillId="0" borderId="24" xfId="1" applyFont="1" applyBorder="1" applyAlignment="1">
      <alignment horizontal="center"/>
    </xf>
    <xf numFmtId="1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12" fontId="2" fillId="0" borderId="2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5" fillId="0" borderId="25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0" fontId="2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5" fillId="0" borderId="15" xfId="1" applyFont="1" applyBorder="1" applyAlignment="1">
      <alignment horizontal="center"/>
    </xf>
    <xf numFmtId="166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0" fontId="23" fillId="4" borderId="25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4" borderId="2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 wrapText="1"/>
    </xf>
    <xf numFmtId="16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49" fontId="21" fillId="0" borderId="17" xfId="1" applyNumberFormat="1" applyFont="1" applyBorder="1" applyAlignment="1">
      <alignment horizontal="center"/>
    </xf>
    <xf numFmtId="49" fontId="21" fillId="0" borderId="16" xfId="1" applyNumberFormat="1" applyFont="1" applyBorder="1" applyAlignment="1">
      <alignment horizontal="center"/>
    </xf>
    <xf numFmtId="0" fontId="21" fillId="0" borderId="14" xfId="1" applyFont="1" applyBorder="1" applyAlignment="1">
      <alignment horizontal="center"/>
    </xf>
    <xf numFmtId="166" fontId="21" fillId="0" borderId="1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24" fillId="0" borderId="15" xfId="0" applyNumberFormat="1" applyFont="1" applyBorder="1"/>
    <xf numFmtId="0" fontId="5" fillId="0" borderId="15" xfId="0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167" fontId="3" fillId="4" borderId="15" xfId="6" applyNumberFormat="1" applyFont="1" applyFill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6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2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15" xfId="0" quotePrefix="1" applyFont="1" applyBorder="1"/>
    <xf numFmtId="49" fontId="27" fillId="2" borderId="23" xfId="1" applyNumberFormat="1" applyFont="1" applyFill="1" applyBorder="1" applyAlignment="1">
      <alignment horizontal="center" vertical="center"/>
    </xf>
    <xf numFmtId="49" fontId="27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2" fillId="2" borderId="22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/>
    </xf>
    <xf numFmtId="0" fontId="2" fillId="3" borderId="5" xfId="1" applyFont="1" applyFill="1" applyBorder="1"/>
    <xf numFmtId="0" fontId="3" fillId="3" borderId="5" xfId="1" applyFont="1" applyFill="1" applyBorder="1" applyAlignment="1">
      <alignment horizontal="center"/>
    </xf>
    <xf numFmtId="1" fontId="3" fillId="3" borderId="5" xfId="1" applyNumberFormat="1" applyFont="1" applyFill="1" applyBorder="1" applyAlignment="1">
      <alignment horizontal="center"/>
    </xf>
    <xf numFmtId="164" fontId="2" fillId="3" borderId="5" xfId="1" applyNumberFormat="1" applyFont="1" applyFill="1" applyBorder="1" applyAlignment="1">
      <alignment horizontal="center" wrapText="1"/>
    </xf>
    <xf numFmtId="0" fontId="2" fillId="3" borderId="4" xfId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47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48" xfId="1" applyBorder="1" applyAlignment="1">
      <alignment horizontal="left" vertical="center"/>
    </xf>
    <xf numFmtId="16" fontId="2" fillId="0" borderId="2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0" fontId="2" fillId="0" borderId="13" xfId="1" quotePrefix="1" applyFont="1" applyBorder="1" applyAlignment="1">
      <alignment horizontal="center"/>
    </xf>
    <xf numFmtId="0" fontId="2" fillId="0" borderId="15" xfId="1" quotePrefix="1" applyFont="1" applyBorder="1" applyAlignment="1">
      <alignment horizontal="center"/>
    </xf>
    <xf numFmtId="0" fontId="2" fillId="0" borderId="14" xfId="1" quotePrefix="1" applyFont="1" applyBorder="1"/>
    <xf numFmtId="16" fontId="2" fillId="0" borderId="15" xfId="1" applyNumberFormat="1" applyFont="1" applyBorder="1" applyAlignment="1">
      <alignment horizontal="center"/>
    </xf>
    <xf numFmtId="0" fontId="30" fillId="0" borderId="15" xfId="0" applyFont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/>
    </xf>
    <xf numFmtId="1" fontId="2" fillId="4" borderId="15" xfId="1" applyNumberFormat="1" applyFont="1" applyFill="1" applyBorder="1" applyAlignment="1">
      <alignment horizontal="center"/>
    </xf>
    <xf numFmtId="1" fontId="2" fillId="4" borderId="15" xfId="1" applyNumberFormat="1" applyFont="1" applyFill="1" applyBorder="1" applyAlignment="1">
      <alignment horizontal="center" wrapText="1"/>
    </xf>
    <xf numFmtId="49" fontId="5" fillId="0" borderId="15" xfId="0" applyNumberFormat="1" applyFont="1" applyBorder="1" applyAlignment="1">
      <alignment horizontal="center"/>
    </xf>
    <xf numFmtId="49" fontId="4" fillId="0" borderId="15" xfId="0" applyNumberFormat="1" applyFont="1" applyBorder="1"/>
    <xf numFmtId="16" fontId="5" fillId="0" borderId="15" xfId="0" applyNumberFormat="1" applyFont="1" applyBorder="1" applyAlignment="1">
      <alignment horizontal="center"/>
    </xf>
    <xf numFmtId="49" fontId="4" fillId="0" borderId="15" xfId="1" applyNumberFormat="1" applyFont="1" applyBorder="1"/>
    <xf numFmtId="1" fontId="2" fillId="0" borderId="2" xfId="0" applyNumberFormat="1" applyFont="1" applyBorder="1" applyAlignment="1">
      <alignment horizontal="center"/>
    </xf>
    <xf numFmtId="0" fontId="32" fillId="0" borderId="15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0" fillId="0" borderId="14" xfId="4" applyFont="1" applyBorder="1" applyAlignment="1">
      <alignment horizontal="center"/>
    </xf>
    <xf numFmtId="16" fontId="6" fillId="0" borderId="15" xfId="1" applyNumberFormat="1" applyFont="1" applyBorder="1" applyAlignment="1">
      <alignment horizontal="center"/>
    </xf>
    <xf numFmtId="0" fontId="8" fillId="0" borderId="15" xfId="4" applyBorder="1" applyAlignment="1">
      <alignment horizontal="center"/>
    </xf>
    <xf numFmtId="0" fontId="0" fillId="0" borderId="15" xfId="4" applyFont="1" applyBorder="1" applyAlignment="1">
      <alignment horizontal="center"/>
    </xf>
    <xf numFmtId="0" fontId="8" fillId="0" borderId="25" xfId="7" applyBorder="1" applyAlignment="1">
      <alignment horizontal="center"/>
    </xf>
    <xf numFmtId="0" fontId="8" fillId="0" borderId="14" xfId="7" applyBorder="1" applyAlignment="1">
      <alignment horizontal="center"/>
    </xf>
    <xf numFmtId="0" fontId="8" fillId="0" borderId="15" xfId="7" applyBorder="1"/>
    <xf numFmtId="0" fontId="8" fillId="0" borderId="15" xfId="7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 wrapText="1"/>
    </xf>
    <xf numFmtId="0" fontId="1" fillId="0" borderId="2" xfId="1" applyBorder="1" applyAlignment="1">
      <alignment horizontal="center"/>
    </xf>
    <xf numFmtId="1" fontId="1" fillId="0" borderId="15" xfId="1" applyNumberFormat="1" applyBorder="1" applyAlignment="1">
      <alignment horizontal="center" wrapText="1"/>
    </xf>
    <xf numFmtId="1" fontId="1" fillId="0" borderId="15" xfId="1" applyNumberForma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/>
    <xf numFmtId="0" fontId="8" fillId="4" borderId="25" xfId="7" applyFill="1" applyBorder="1" applyAlignment="1">
      <alignment horizontal="center"/>
    </xf>
    <xf numFmtId="0" fontId="8" fillId="4" borderId="14" xfId="7" applyFill="1" applyBorder="1" applyAlignment="1">
      <alignment horizontal="center"/>
    </xf>
    <xf numFmtId="0" fontId="0" fillId="4" borderId="15" xfId="7" applyFont="1" applyFill="1" applyBorder="1"/>
    <xf numFmtId="0" fontId="8" fillId="4" borderId="15" xfId="7" applyFill="1" applyBorder="1"/>
    <xf numFmtId="1" fontId="1" fillId="0" borderId="2" xfId="0" applyNumberFormat="1" applyFont="1" applyBorder="1" applyAlignment="1">
      <alignment horizontal="center" wrapText="1"/>
    </xf>
    <xf numFmtId="49" fontId="5" fillId="0" borderId="25" xfId="8" applyNumberFormat="1" applyFont="1" applyBorder="1" applyAlignment="1">
      <alignment horizontal="center"/>
    </xf>
    <xf numFmtId="49" fontId="5" fillId="0" borderId="14" xfId="8" applyNumberFormat="1" applyFont="1" applyBorder="1" applyAlignment="1">
      <alignment horizontal="center"/>
    </xf>
    <xf numFmtId="49" fontId="4" fillId="0" borderId="15" xfId="8" applyNumberFormat="1" applyFont="1" applyBorder="1"/>
    <xf numFmtId="0" fontId="5" fillId="0" borderId="15" xfId="8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15" xfId="0" applyFill="1" applyBorder="1"/>
    <xf numFmtId="0" fontId="1" fillId="0" borderId="25" xfId="5" applyBorder="1" applyAlignment="1">
      <alignment horizontal="center"/>
    </xf>
    <xf numFmtId="0" fontId="1" fillId="0" borderId="15" xfId="1" applyBorder="1" applyAlignment="1">
      <alignment horizontal="center"/>
    </xf>
    <xf numFmtId="0" fontId="1" fillId="4" borderId="15" xfId="5" applyFill="1" applyBorder="1"/>
    <xf numFmtId="16" fontId="5" fillId="0" borderId="15" xfId="5" applyNumberFormat="1" applyFont="1" applyBorder="1" applyAlignment="1">
      <alignment horizontal="center"/>
    </xf>
    <xf numFmtId="0" fontId="1" fillId="0" borderId="15" xfId="5" applyBorder="1" applyAlignment="1">
      <alignment horizontal="center"/>
    </xf>
    <xf numFmtId="1" fontId="5" fillId="0" borderId="15" xfId="5" applyNumberFormat="1" applyFont="1" applyBorder="1" applyAlignment="1">
      <alignment horizontal="center"/>
    </xf>
    <xf numFmtId="1" fontId="5" fillId="0" borderId="15" xfId="5" applyNumberFormat="1" applyFont="1" applyBorder="1" applyAlignment="1">
      <alignment horizontal="center" wrapText="1"/>
    </xf>
    <xf numFmtId="16" fontId="4" fillId="0" borderId="15" xfId="1" applyNumberFormat="1" applyFont="1" applyBorder="1" applyAlignment="1">
      <alignment horizontal="center"/>
    </xf>
    <xf numFmtId="16" fontId="5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5" fillId="0" borderId="15" xfId="1" applyNumberFormat="1" applyFont="1" applyBorder="1" applyAlignment="1">
      <alignment horizontal="center"/>
    </xf>
    <xf numFmtId="0" fontId="0" fillId="0" borderId="14" xfId="7" applyFont="1" applyBorder="1" applyAlignment="1">
      <alignment horizontal="center"/>
    </xf>
    <xf numFmtId="0" fontId="0" fillId="4" borderId="15" xfId="0" applyFill="1" applyBorder="1" applyAlignment="1">
      <alignment horizontal="center"/>
    </xf>
    <xf numFmtId="49" fontId="5" fillId="4" borderId="25" xfId="1" applyNumberFormat="1" applyFont="1" applyFill="1" applyBorder="1" applyAlignment="1">
      <alignment horizontal="center"/>
    </xf>
    <xf numFmtId="49" fontId="5" fillId="4" borderId="14" xfId="1" applyNumberFormat="1" applyFont="1" applyFill="1" applyBorder="1" applyAlignment="1">
      <alignment horizontal="center"/>
    </xf>
    <xf numFmtId="49" fontId="4" fillId="4" borderId="15" xfId="1" applyNumberFormat="1" applyFont="1" applyFill="1" applyBorder="1"/>
    <xf numFmtId="1" fontId="1" fillId="0" borderId="2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1" fillId="2" borderId="28" xfId="2" applyFont="1" applyFill="1" applyBorder="1" applyAlignment="1">
      <alignment horizont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2" xfId="0" applyFont="1" applyBorder="1" applyAlignment="1">
      <alignment horizontal="left" vertical="center"/>
    </xf>
    <xf numFmtId="0" fontId="35" fillId="0" borderId="15" xfId="0" applyFont="1" applyBorder="1" applyAlignment="1">
      <alignment horizontal="center" vertical="top"/>
    </xf>
    <xf numFmtId="0" fontId="2" fillId="7" borderId="15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left"/>
    </xf>
    <xf numFmtId="0" fontId="36" fillId="0" borderId="15" xfId="0" applyFont="1" applyBorder="1" applyAlignment="1">
      <alignment horizontal="center" vertical="top"/>
    </xf>
    <xf numFmtId="0" fontId="36" fillId="0" borderId="15" xfId="0" applyFont="1" applyBorder="1" applyAlignment="1">
      <alignment vertical="top"/>
    </xf>
    <xf numFmtId="0" fontId="2" fillId="7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wrapText="1"/>
    </xf>
    <xf numFmtId="0" fontId="37" fillId="0" borderId="15" xfId="0" applyFont="1" applyBorder="1" applyAlignment="1">
      <alignment horizontal="center" vertical="top" wrapText="1"/>
    </xf>
    <xf numFmtId="0" fontId="38" fillId="0" borderId="15" xfId="0" applyFont="1" applyBorder="1" applyAlignment="1">
      <alignment horizontal="left" vertical="top" wrapText="1"/>
    </xf>
    <xf numFmtId="0" fontId="1" fillId="0" borderId="15" xfId="0" applyFont="1" applyBorder="1"/>
    <xf numFmtId="0" fontId="1" fillId="4" borderId="25" xfId="1" applyFill="1" applyBorder="1" applyAlignment="1">
      <alignment horizontal="right"/>
    </xf>
    <xf numFmtId="0" fontId="1" fillId="4" borderId="14" xfId="1" applyFill="1" applyBorder="1" applyAlignment="1">
      <alignment horizontal="center"/>
    </xf>
    <xf numFmtId="0" fontId="1" fillId="4" borderId="15" xfId="1" applyFill="1" applyBorder="1"/>
    <xf numFmtId="0" fontId="1" fillId="4" borderId="2" xfId="1" applyFill="1" applyBorder="1" applyAlignment="1">
      <alignment horizontal="center"/>
    </xf>
    <xf numFmtId="0" fontId="1" fillId="4" borderId="15" xfId="1" applyFill="1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7" fillId="0" borderId="15" xfId="0" applyFont="1" applyBorder="1"/>
    <xf numFmtId="0" fontId="23" fillId="4" borderId="25" xfId="1" applyFont="1" applyFill="1" applyBorder="1" applyAlignment="1">
      <alignment horizontal="center"/>
    </xf>
    <xf numFmtId="0" fontId="23" fillId="4" borderId="14" xfId="1" applyFont="1" applyFill="1" applyBorder="1" applyAlignment="1">
      <alignment horizontal="center"/>
    </xf>
    <xf numFmtId="0" fontId="2" fillId="4" borderId="15" xfId="1" applyFont="1" applyFill="1" applyBorder="1" applyAlignment="1">
      <alignment horizontal="left"/>
    </xf>
    <xf numFmtId="0" fontId="2" fillId="0" borderId="15" xfId="1" applyFont="1" applyBorder="1" applyAlignment="1">
      <alignment horizontal="center" vertical="center"/>
    </xf>
    <xf numFmtId="1" fontId="2" fillId="0" borderId="15" xfId="1" applyNumberFormat="1" applyFont="1" applyBorder="1" applyAlignment="1">
      <alignment horizontal="center" vertical="center"/>
    </xf>
    <xf numFmtId="1" fontId="2" fillId="0" borderId="15" xfId="1" applyNumberFormat="1" applyFont="1" applyBorder="1" applyAlignment="1">
      <alignment horizontal="center" vertical="center" wrapText="1"/>
    </xf>
    <xf numFmtId="0" fontId="18" fillId="2" borderId="29" xfId="2" applyFont="1" applyFill="1" applyBorder="1" applyAlignment="1">
      <alignment horizontal="right"/>
    </xf>
    <xf numFmtId="0" fontId="39" fillId="2" borderId="28" xfId="2" applyFont="1" applyFill="1" applyBorder="1" applyAlignment="1">
      <alignment horizontal="center"/>
    </xf>
    <xf numFmtId="0" fontId="18" fillId="2" borderId="15" xfId="2" applyFont="1" applyFill="1" applyBorder="1" applyAlignment="1">
      <alignment horizontal="right"/>
    </xf>
    <xf numFmtId="49" fontId="39" fillId="2" borderId="24" xfId="2" applyNumberFormat="1" applyFont="1" applyFill="1" applyBorder="1" applyAlignment="1">
      <alignment horizontal="center"/>
    </xf>
    <xf numFmtId="0" fontId="39" fillId="2" borderId="2" xfId="2" applyFont="1" applyFill="1" applyBorder="1" applyAlignment="1">
      <alignment horizontal="right"/>
    </xf>
    <xf numFmtId="0" fontId="39" fillId="2" borderId="15" xfId="2" applyFont="1" applyFill="1" applyBorder="1" applyAlignment="1">
      <alignment horizontal="right"/>
    </xf>
    <xf numFmtId="14" fontId="40" fillId="2" borderId="0" xfId="2" applyNumberFormat="1" applyFont="1" applyFill="1" applyAlignment="1">
      <alignment horizontal="center" vertical="center" wrapText="1"/>
    </xf>
    <xf numFmtId="0" fontId="18" fillId="3" borderId="28" xfId="1" applyFont="1" applyFill="1" applyBorder="1" applyAlignment="1">
      <alignment horizontal="center" vertical="center" wrapText="1"/>
    </xf>
    <xf numFmtId="1" fontId="18" fillId="3" borderId="9" xfId="1" applyNumberFormat="1" applyFont="1" applyFill="1" applyBorder="1" applyAlignment="1">
      <alignment horizontal="center"/>
    </xf>
    <xf numFmtId="1" fontId="18" fillId="3" borderId="9" xfId="1" applyNumberFormat="1" applyFont="1" applyFill="1" applyBorder="1" applyAlignment="1">
      <alignment horizontal="center" wrapText="1"/>
    </xf>
    <xf numFmtId="0" fontId="18" fillId="3" borderId="27" xfId="1" applyFont="1" applyFill="1" applyBorder="1" applyAlignment="1">
      <alignment horizontal="center"/>
    </xf>
    <xf numFmtId="0" fontId="41" fillId="0" borderId="25" xfId="1" applyFont="1" applyBorder="1" applyAlignment="1">
      <alignment horizontal="center" vertical="center"/>
    </xf>
    <xf numFmtId="0" fontId="41" fillId="0" borderId="14" xfId="1" applyFont="1" applyBorder="1" applyAlignment="1">
      <alignment horizontal="center" vertical="center"/>
    </xf>
    <xf numFmtId="0" fontId="42" fillId="0" borderId="15" xfId="1" applyFont="1" applyBorder="1" applyAlignment="1">
      <alignment vertical="center"/>
    </xf>
    <xf numFmtId="0" fontId="41" fillId="0" borderId="15" xfId="1" applyFont="1" applyBorder="1" applyAlignment="1">
      <alignment horizontal="center" vertical="center"/>
    </xf>
    <xf numFmtId="1" fontId="41" fillId="0" borderId="15" xfId="1" applyNumberFormat="1" applyFont="1" applyBorder="1" applyAlignment="1">
      <alignment horizontal="center"/>
    </xf>
    <xf numFmtId="1" fontId="41" fillId="0" borderId="15" xfId="1" applyNumberFormat="1" applyFont="1" applyBorder="1" applyAlignment="1">
      <alignment horizontal="center" wrapText="1"/>
    </xf>
    <xf numFmtId="0" fontId="43" fillId="0" borderId="24" xfId="1" applyFont="1" applyBorder="1" applyAlignment="1">
      <alignment horizontal="center"/>
    </xf>
    <xf numFmtId="0" fontId="44" fillId="0" borderId="15" xfId="8" applyFont="1" applyBorder="1" applyAlignment="1">
      <alignment horizontal="center"/>
    </xf>
    <xf numFmtId="0" fontId="44" fillId="0" borderId="15" xfId="8" applyFont="1" applyBorder="1"/>
    <xf numFmtId="16" fontId="39" fillId="0" borderId="14" xfId="0" applyNumberFormat="1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1" fontId="39" fillId="0" borderId="15" xfId="0" applyNumberFormat="1" applyFont="1" applyBorder="1" applyAlignment="1">
      <alignment horizontal="center" wrapText="1"/>
    </xf>
    <xf numFmtId="1" fontId="43" fillId="0" borderId="2" xfId="1" applyNumberFormat="1" applyFont="1" applyBorder="1" applyAlignment="1">
      <alignment horizontal="center"/>
    </xf>
    <xf numFmtId="12" fontId="39" fillId="0" borderId="2" xfId="0" applyNumberFormat="1" applyFont="1" applyBorder="1" applyAlignment="1">
      <alignment horizontal="center"/>
    </xf>
    <xf numFmtId="0" fontId="44" fillId="0" borderId="15" xfId="0" applyFont="1" applyBorder="1" applyAlignment="1">
      <alignment horizontal="center"/>
    </xf>
    <xf numFmtId="0" fontId="44" fillId="0" borderId="15" xfId="0" applyFont="1" applyBorder="1"/>
    <xf numFmtId="166" fontId="43" fillId="0" borderId="15" xfId="1" applyNumberFormat="1" applyFont="1" applyBorder="1" applyAlignment="1">
      <alignment horizontal="center"/>
    </xf>
    <xf numFmtId="0" fontId="45" fillId="0" borderId="15" xfId="0" applyFont="1" applyBorder="1" applyAlignment="1">
      <alignment horizontal="center" vertical="top"/>
    </xf>
    <xf numFmtId="0" fontId="45" fillId="0" borderId="15" xfId="0" applyFont="1" applyBorder="1" applyAlignment="1">
      <alignment vertical="top"/>
    </xf>
    <xf numFmtId="0" fontId="43" fillId="4" borderId="15" xfId="0" applyFont="1" applyFill="1" applyBorder="1" applyAlignment="1">
      <alignment horizontal="center" vertical="center"/>
    </xf>
    <xf numFmtId="1" fontId="43" fillId="4" borderId="15" xfId="0" applyNumberFormat="1" applyFont="1" applyFill="1" applyBorder="1" applyAlignment="1">
      <alignment horizontal="center"/>
    </xf>
    <xf numFmtId="1" fontId="43" fillId="4" borderId="15" xfId="0" applyNumberFormat="1" applyFont="1" applyFill="1" applyBorder="1" applyAlignment="1">
      <alignment horizontal="center" wrapText="1"/>
    </xf>
    <xf numFmtId="1" fontId="44" fillId="0" borderId="15" xfId="0" applyNumberFormat="1" applyFont="1" applyBorder="1" applyAlignment="1">
      <alignment horizontal="center"/>
    </xf>
    <xf numFmtId="0" fontId="39" fillId="4" borderId="15" xfId="0" applyFont="1" applyFill="1" applyBorder="1" applyAlignment="1">
      <alignment horizontal="center" vertical="center"/>
    </xf>
    <xf numFmtId="1" fontId="39" fillId="4" borderId="15" xfId="0" applyNumberFormat="1" applyFont="1" applyFill="1" applyBorder="1" applyAlignment="1">
      <alignment horizontal="center"/>
    </xf>
    <xf numFmtId="1" fontId="39" fillId="4" borderId="15" xfId="0" applyNumberFormat="1" applyFont="1" applyFill="1" applyBorder="1" applyAlignment="1">
      <alignment horizontal="center" wrapText="1"/>
    </xf>
    <xf numFmtId="2" fontId="41" fillId="0" borderId="15" xfId="1" applyNumberFormat="1" applyFont="1" applyBorder="1" applyAlignment="1">
      <alignment horizontal="center"/>
    </xf>
    <xf numFmtId="16" fontId="43" fillId="0" borderId="14" xfId="0" applyNumberFormat="1" applyFont="1" applyBorder="1" applyAlignment="1">
      <alignment horizontal="center"/>
    </xf>
    <xf numFmtId="1" fontId="43" fillId="0" borderId="15" xfId="0" applyNumberFormat="1" applyFont="1" applyBorder="1" applyAlignment="1">
      <alignment horizontal="center"/>
    </xf>
    <xf numFmtId="1" fontId="43" fillId="0" borderId="15" xfId="0" applyNumberFormat="1" applyFont="1" applyBorder="1" applyAlignment="1">
      <alignment horizontal="center" wrapText="1"/>
    </xf>
    <xf numFmtId="49" fontId="43" fillId="0" borderId="25" xfId="1" applyNumberFormat="1" applyFont="1" applyBorder="1" applyAlignment="1">
      <alignment horizontal="center"/>
    </xf>
    <xf numFmtId="49" fontId="43" fillId="0" borderId="14" xfId="1" applyNumberFormat="1" applyFont="1" applyBorder="1" applyAlignment="1">
      <alignment horizontal="center"/>
    </xf>
    <xf numFmtId="0" fontId="41" fillId="4" borderId="15" xfId="1" applyFont="1" applyFill="1" applyBorder="1" applyAlignment="1">
      <alignment horizontal="left"/>
    </xf>
    <xf numFmtId="0" fontId="43" fillId="0" borderId="15" xfId="1" applyFont="1" applyBorder="1" applyAlignment="1">
      <alignment horizontal="center"/>
    </xf>
    <xf numFmtId="1" fontId="43" fillId="0" borderId="15" xfId="1" applyNumberFormat="1" applyFont="1" applyBorder="1" applyAlignment="1">
      <alignment horizontal="center" wrapText="1"/>
    </xf>
    <xf numFmtId="1" fontId="39" fillId="4" borderId="2" xfId="0" applyNumberFormat="1" applyFont="1" applyFill="1" applyBorder="1" applyAlignment="1">
      <alignment horizontal="center" wrapText="1"/>
    </xf>
    <xf numFmtId="0" fontId="44" fillId="0" borderId="0" xfId="0" applyFont="1" applyAlignment="1">
      <alignment horizontal="center"/>
    </xf>
    <xf numFmtId="0" fontId="44" fillId="0" borderId="0" xfId="0" applyFont="1"/>
    <xf numFmtId="16" fontId="39" fillId="4" borderId="15" xfId="0" applyNumberFormat="1" applyFont="1" applyFill="1" applyBorder="1" applyAlignment="1">
      <alignment horizontal="center"/>
    </xf>
    <xf numFmtId="0" fontId="39" fillId="2" borderId="15" xfId="0" applyFont="1" applyFill="1" applyBorder="1" applyAlignment="1">
      <alignment horizontal="center"/>
    </xf>
    <xf numFmtId="1" fontId="39" fillId="0" borderId="2" xfId="0" applyNumberFormat="1" applyFont="1" applyBorder="1" applyAlignment="1">
      <alignment horizontal="center" wrapText="1"/>
    </xf>
    <xf numFmtId="16" fontId="39" fillId="0" borderId="15" xfId="0" applyNumberFormat="1" applyFont="1" applyBorder="1" applyAlignment="1">
      <alignment horizontal="center"/>
    </xf>
    <xf numFmtId="1" fontId="39" fillId="0" borderId="2" xfId="0" applyNumberFormat="1" applyFont="1" applyBorder="1" applyAlignment="1">
      <alignment horizontal="center"/>
    </xf>
    <xf numFmtId="1" fontId="39" fillId="0" borderId="15" xfId="0" applyNumberFormat="1" applyFont="1" applyBorder="1" applyAlignment="1">
      <alignment horizontal="center"/>
    </xf>
    <xf numFmtId="49" fontId="41" fillId="0" borderId="17" xfId="1" applyNumberFormat="1" applyFont="1" applyBorder="1" applyAlignment="1">
      <alignment horizontal="center"/>
    </xf>
    <xf numFmtId="49" fontId="41" fillId="0" borderId="16" xfId="1" applyNumberFormat="1" applyFont="1" applyBorder="1" applyAlignment="1">
      <alignment horizontal="center"/>
    </xf>
    <xf numFmtId="0" fontId="42" fillId="4" borderId="15" xfId="1" applyFont="1" applyFill="1" applyBorder="1" applyAlignment="1">
      <alignment vertical="center"/>
    </xf>
    <xf numFmtId="0" fontId="41" fillId="0" borderId="14" xfId="1" applyFont="1" applyBorder="1" applyAlignment="1">
      <alignment horizontal="center"/>
    </xf>
    <xf numFmtId="166" fontId="41" fillId="0" borderId="15" xfId="1" applyNumberFormat="1" applyFont="1" applyBorder="1" applyAlignment="1">
      <alignment horizontal="center"/>
    </xf>
    <xf numFmtId="16" fontId="43" fillId="0" borderId="15" xfId="0" applyNumberFormat="1" applyFont="1" applyBorder="1" applyAlignment="1">
      <alignment horizontal="center"/>
    </xf>
    <xf numFmtId="167" fontId="18" fillId="4" borderId="15" xfId="6" applyNumberFormat="1" applyFont="1" applyFill="1" applyBorder="1" applyAlignment="1">
      <alignment horizontal="center"/>
    </xf>
    <xf numFmtId="0" fontId="43" fillId="0" borderId="15" xfId="0" applyFont="1" applyBorder="1" applyAlignment="1">
      <alignment horizontal="center"/>
    </xf>
    <xf numFmtId="0" fontId="43" fillId="0" borderId="15" xfId="0" applyFont="1" applyBorder="1"/>
    <xf numFmtId="1" fontId="44" fillId="0" borderId="0" xfId="0" applyNumberFormat="1" applyFont="1" applyAlignment="1">
      <alignment horizontal="center"/>
    </xf>
    <xf numFmtId="12" fontId="43" fillId="0" borderId="15" xfId="1" applyNumberFormat="1" applyFont="1" applyBorder="1" applyAlignment="1">
      <alignment horizontal="center"/>
    </xf>
    <xf numFmtId="0" fontId="43" fillId="0" borderId="47" xfId="0" applyFont="1" applyBorder="1" applyAlignment="1">
      <alignment horizontal="center" vertical="center"/>
    </xf>
    <xf numFmtId="0" fontId="43" fillId="0" borderId="48" xfId="0" applyFont="1" applyBorder="1" applyAlignment="1">
      <alignment horizontal="center" vertical="center"/>
    </xf>
    <xf numFmtId="0" fontId="43" fillId="0" borderId="48" xfId="0" applyFont="1" applyBorder="1" applyAlignment="1">
      <alignment horizontal="left" vertical="center"/>
    </xf>
    <xf numFmtId="0" fontId="41" fillId="4" borderId="15" xfId="0" applyFont="1" applyFill="1" applyBorder="1" applyAlignment="1">
      <alignment horizontal="center" vertical="center"/>
    </xf>
    <xf numFmtId="1" fontId="43" fillId="0" borderId="15" xfId="1" applyNumberFormat="1" applyFont="1" applyBorder="1" applyAlignment="1">
      <alignment horizontal="center"/>
    </xf>
    <xf numFmtId="49" fontId="43" fillId="0" borderId="15" xfId="1" applyNumberFormat="1" applyFont="1" applyBorder="1"/>
    <xf numFmtId="49" fontId="46" fillId="2" borderId="23" xfId="1" applyNumberFormat="1" applyFont="1" applyFill="1" applyBorder="1" applyAlignment="1">
      <alignment horizontal="center" vertical="center"/>
    </xf>
    <xf numFmtId="49" fontId="46" fillId="2" borderId="0" xfId="1" applyNumberFormat="1" applyFont="1" applyFill="1" applyAlignment="1">
      <alignment horizontal="center" vertical="center"/>
    </xf>
    <xf numFmtId="0" fontId="39" fillId="2" borderId="0" xfId="1" applyFont="1" applyFill="1"/>
    <xf numFmtId="1" fontId="39" fillId="2" borderId="0" xfId="1" applyNumberFormat="1" applyFont="1" applyFill="1" applyAlignment="1">
      <alignment horizontal="center"/>
    </xf>
    <xf numFmtId="164" fontId="39" fillId="2" borderId="0" xfId="1" applyNumberFormat="1" applyFont="1" applyFill="1" applyAlignment="1">
      <alignment horizontal="center" wrapText="1"/>
    </xf>
    <xf numFmtId="0" fontId="39" fillId="2" borderId="22" xfId="1" applyFont="1" applyFill="1" applyBorder="1" applyAlignment="1">
      <alignment horizontal="center"/>
    </xf>
    <xf numFmtId="0" fontId="39" fillId="3" borderId="6" xfId="1" applyFont="1" applyFill="1" applyBorder="1" applyAlignment="1">
      <alignment horizontal="center"/>
    </xf>
    <xf numFmtId="0" fontId="39" fillId="3" borderId="5" xfId="1" applyFont="1" applyFill="1" applyBorder="1" applyAlignment="1">
      <alignment horizontal="center"/>
    </xf>
    <xf numFmtId="0" fontId="39" fillId="3" borderId="5" xfId="1" applyFont="1" applyFill="1" applyBorder="1"/>
    <xf numFmtId="0" fontId="18" fillId="3" borderId="5" xfId="1" applyFont="1" applyFill="1" applyBorder="1" applyAlignment="1">
      <alignment horizontal="center"/>
    </xf>
    <xf numFmtId="1" fontId="18" fillId="3" borderId="5" xfId="1" applyNumberFormat="1" applyFont="1" applyFill="1" applyBorder="1" applyAlignment="1">
      <alignment horizontal="center"/>
    </xf>
    <xf numFmtId="164" fontId="39" fillId="3" borderId="5" xfId="1" applyNumberFormat="1" applyFont="1" applyFill="1" applyBorder="1" applyAlignment="1">
      <alignment horizontal="center" wrapText="1"/>
    </xf>
    <xf numFmtId="0" fontId="39" fillId="3" borderId="4" xfId="1" applyFont="1" applyFill="1" applyBorder="1" applyAlignment="1">
      <alignment horizontal="center"/>
    </xf>
    <xf numFmtId="0" fontId="39" fillId="0" borderId="19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1" fontId="39" fillId="0" borderId="9" xfId="0" applyNumberFormat="1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7" fillId="4" borderId="25" xfId="0" applyFont="1" applyFill="1" applyBorder="1" applyAlignment="1">
      <alignment horizontal="center"/>
    </xf>
    <xf numFmtId="0" fontId="47" fillId="4" borderId="15" xfId="0" applyFont="1" applyFill="1" applyBorder="1" applyAlignment="1">
      <alignment horizontal="center"/>
    </xf>
    <xf numFmtId="0" fontId="47" fillId="4" borderId="2" xfId="0" applyFont="1" applyFill="1" applyBorder="1"/>
    <xf numFmtId="0" fontId="9" fillId="4" borderId="14" xfId="0" applyFont="1" applyFill="1" applyBorder="1" applyAlignment="1">
      <alignment horizontal="center"/>
    </xf>
    <xf numFmtId="1" fontId="9" fillId="4" borderId="15" xfId="0" applyNumberFormat="1" applyFont="1" applyFill="1" applyBorder="1" applyAlignment="1">
      <alignment horizontal="center"/>
    </xf>
    <xf numFmtId="1" fontId="9" fillId="4" borderId="15" xfId="0" applyNumberFormat="1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12" fontId="9" fillId="0" borderId="2" xfId="0" applyNumberFormat="1" applyFont="1" applyBorder="1" applyAlignment="1">
      <alignment horizontal="center"/>
    </xf>
    <xf numFmtId="0" fontId="47" fillId="4" borderId="14" xfId="0" applyFont="1" applyFill="1" applyBorder="1" applyAlignment="1">
      <alignment horizontal="center"/>
    </xf>
    <xf numFmtId="0" fontId="47" fillId="4" borderId="15" xfId="0" applyFont="1" applyFill="1" applyBorder="1"/>
    <xf numFmtId="1" fontId="9" fillId="4" borderId="2" xfId="0" applyNumberFormat="1" applyFont="1" applyFill="1" applyBorder="1" applyAlignment="1">
      <alignment horizontal="center"/>
    </xf>
    <xf numFmtId="1" fontId="9" fillId="4" borderId="2" xfId="0" applyNumberFormat="1" applyFont="1" applyFill="1" applyBorder="1" applyAlignment="1">
      <alignment horizontal="center" wrapText="1"/>
    </xf>
    <xf numFmtId="0" fontId="9" fillId="0" borderId="15" xfId="0" applyFont="1" applyBorder="1" applyAlignment="1">
      <alignment horizontal="center"/>
    </xf>
    <xf numFmtId="0" fontId="48" fillId="0" borderId="15" xfId="0" applyFont="1" applyBorder="1" applyAlignment="1">
      <alignment horizontal="center"/>
    </xf>
    <xf numFmtId="0" fontId="48" fillId="0" borderId="15" xfId="0" applyFont="1" applyBorder="1" applyAlignment="1">
      <alignment horizontal="center" vertical="center"/>
    </xf>
    <xf numFmtId="0" fontId="48" fillId="7" borderId="15" xfId="0" applyFont="1" applyFill="1" applyBorder="1"/>
    <xf numFmtId="0" fontId="9" fillId="0" borderId="15" xfId="0" applyFont="1" applyBorder="1" applyAlignment="1">
      <alignment horizontal="center" wrapText="1"/>
    </xf>
    <xf numFmtId="0" fontId="48" fillId="7" borderId="0" xfId="0" applyFont="1" applyFill="1" applyAlignment="1">
      <alignment horizontal="center"/>
    </xf>
    <xf numFmtId="0" fontId="48" fillId="7" borderId="0" xfId="0" applyFont="1" applyFill="1"/>
    <xf numFmtId="0" fontId="10" fillId="7" borderId="15" xfId="0" applyFont="1" applyFill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48" fillId="7" borderId="15" xfId="0" applyFont="1" applyFill="1" applyBorder="1" applyAlignment="1">
      <alignment horizontal="left" vertical="center"/>
    </xf>
    <xf numFmtId="16" fontId="6" fillId="0" borderId="14" xfId="0" applyNumberFormat="1" applyFont="1" applyBorder="1" applyAlignment="1">
      <alignment horizontal="center"/>
    </xf>
    <xf numFmtId="0" fontId="47" fillId="4" borderId="3" xfId="0" applyFont="1" applyFill="1" applyBorder="1" applyAlignment="1">
      <alignment horizontal="center"/>
    </xf>
    <xf numFmtId="1" fontId="9" fillId="4" borderId="15" xfId="1" applyNumberFormat="1" applyFont="1" applyFill="1" applyBorder="1" applyAlignment="1">
      <alignment horizontal="center"/>
    </xf>
    <xf numFmtId="1" fontId="9" fillId="4" borderId="15" xfId="1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16" fontId="9" fillId="4" borderId="15" xfId="0" applyNumberFormat="1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6" fontId="9" fillId="0" borderId="15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49" fontId="13" fillId="0" borderId="17" xfId="1" applyNumberFormat="1" applyFont="1" applyBorder="1" applyAlignment="1">
      <alignment horizontal="center"/>
    </xf>
    <xf numFmtId="49" fontId="13" fillId="0" borderId="16" xfId="1" applyNumberFormat="1" applyFont="1" applyBorder="1" applyAlignment="1">
      <alignment horizontal="center"/>
    </xf>
    <xf numFmtId="0" fontId="13" fillId="0" borderId="14" xfId="1" applyFont="1" applyBorder="1" applyAlignment="1">
      <alignment horizontal="center"/>
    </xf>
    <xf numFmtId="166" fontId="13" fillId="0" borderId="15" xfId="1" applyNumberFormat="1" applyFont="1" applyBorder="1" applyAlignment="1">
      <alignment horizontal="center"/>
    </xf>
    <xf numFmtId="1" fontId="9" fillId="0" borderId="2" xfId="1" applyNumberFormat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167" fontId="10" fillId="4" borderId="15" xfId="6" applyNumberFormat="1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6" fillId="0" borderId="26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1" fontId="7" fillId="0" borderId="15" xfId="0" applyNumberFormat="1" applyFont="1" applyBorder="1" applyAlignment="1">
      <alignment horizontal="left" vertical="center"/>
    </xf>
    <xf numFmtId="0" fontId="6" fillId="4" borderId="25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" fontId="6" fillId="4" borderId="15" xfId="0" applyNumberFormat="1" applyFont="1" applyFill="1" applyBorder="1"/>
    <xf numFmtId="0" fontId="6" fillId="4" borderId="15" xfId="0" applyFont="1" applyFill="1" applyBorder="1" applyAlignment="1">
      <alignment horizontal="center" wrapText="1"/>
    </xf>
    <xf numFmtId="0" fontId="9" fillId="0" borderId="19" xfId="0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" fontId="5" fillId="4" borderId="2" xfId="0" applyNumberFormat="1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2" fontId="21" fillId="0" borderId="15" xfId="1" applyNumberFormat="1" applyFont="1" applyBorder="1" applyAlignment="1">
      <alignment horizontal="center"/>
    </xf>
    <xf numFmtId="16" fontId="5" fillId="4" borderId="15" xfId="0" applyNumberFormat="1" applyFont="1" applyFill="1" applyBorder="1" applyAlignment="1">
      <alignment horizontal="center"/>
    </xf>
    <xf numFmtId="1" fontId="5" fillId="4" borderId="15" xfId="0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 wrapText="1"/>
    </xf>
    <xf numFmtId="1" fontId="0" fillId="0" borderId="15" xfId="0" applyNumberFormat="1" applyBorder="1" applyAlignment="1">
      <alignment horizontal="center"/>
    </xf>
    <xf numFmtId="0" fontId="1" fillId="0" borderId="0" xfId="1"/>
    <xf numFmtId="0" fontId="2" fillId="2" borderId="0" xfId="1" applyFont="1" applyFill="1" applyAlignment="1">
      <alignment horizontal="left" indent="1"/>
    </xf>
    <xf numFmtId="9" fontId="2" fillId="2" borderId="0" xfId="9" applyFont="1" applyFill="1"/>
    <xf numFmtId="0" fontId="4" fillId="4" borderId="0" xfId="0" applyFont="1" applyFill="1" applyAlignment="1">
      <alignment vertical="center"/>
    </xf>
    <xf numFmtId="0" fontId="24" fillId="8" borderId="15" xfId="0" applyFont="1" applyFill="1" applyBorder="1" applyAlignment="1">
      <alignment horizontal="center" vertical="center" wrapText="1"/>
    </xf>
    <xf numFmtId="0" fontId="24" fillId="8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24" fillId="0" borderId="15" xfId="6" applyFont="1" applyFill="1" applyBorder="1" applyAlignment="1">
      <alignment horizontal="center" vertical="center"/>
    </xf>
    <xf numFmtId="43" fontId="24" fillId="0" borderId="0" xfId="6" applyFont="1" applyFill="1" applyBorder="1" applyAlignment="1">
      <alignment horizontal="center" vertical="center"/>
    </xf>
    <xf numFmtId="43" fontId="51" fillId="0" borderId="0" xfId="6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169" fontId="54" fillId="0" borderId="0" xfId="0" applyNumberFormat="1" applyFont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/>
    </xf>
    <xf numFmtId="0" fontId="24" fillId="9" borderId="54" xfId="0" applyFont="1" applyFill="1" applyBorder="1" applyAlignment="1">
      <alignment horizontal="center" vertical="center"/>
    </xf>
    <xf numFmtId="0" fontId="24" fillId="9" borderId="54" xfId="0" applyFont="1" applyFill="1" applyBorder="1" applyAlignment="1">
      <alignment horizontal="center" vertical="center" wrapText="1"/>
    </xf>
    <xf numFmtId="0" fontId="24" fillId="9" borderId="5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55" fillId="0" borderId="0" xfId="0" applyNumberFormat="1" applyFont="1" applyAlignment="1">
      <alignment horizontal="center"/>
    </xf>
    <xf numFmtId="4" fontId="55" fillId="0" borderId="0" xfId="10" applyNumberFormat="1" applyFont="1" applyFill="1" applyAlignment="1">
      <alignment horizontal="center" vertical="center"/>
    </xf>
    <xf numFmtId="4" fontId="24" fillId="0" borderId="0" xfId="10" applyNumberFormat="1" applyFont="1" applyFill="1" applyAlignment="1">
      <alignment horizontal="center" vertical="center"/>
    </xf>
    <xf numFmtId="10" fontId="24" fillId="0" borderId="0" xfId="9" applyNumberFormat="1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10" fontId="50" fillId="0" borderId="0" xfId="9" applyNumberFormat="1" applyFont="1" applyFill="1" applyAlignment="1">
      <alignment vertical="center"/>
    </xf>
    <xf numFmtId="0" fontId="4" fillId="0" borderId="0" xfId="0" applyFont="1"/>
    <xf numFmtId="49" fontId="24" fillId="0" borderId="0" xfId="0" applyNumberFormat="1" applyFont="1" applyAlignment="1">
      <alignment horizontal="center"/>
    </xf>
    <xf numFmtId="170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6" applyFont="1" applyFill="1" applyAlignment="1">
      <alignment vertical="center"/>
    </xf>
    <xf numFmtId="49" fontId="5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0" xfId="6" applyNumberFormat="1" applyFont="1" applyFill="1" applyAlignment="1">
      <alignment vertical="center"/>
    </xf>
    <xf numFmtId="43" fontId="57" fillId="0" borderId="0" xfId="6" applyFont="1" applyFill="1" applyAlignment="1">
      <alignment horizontal="center" vertical="center"/>
    </xf>
    <xf numFmtId="10" fontId="50" fillId="9" borderId="56" xfId="9" applyNumberFormat="1" applyFont="1" applyFill="1" applyBorder="1" applyAlignment="1">
      <alignment vertical="center"/>
    </xf>
    <xf numFmtId="0" fontId="4" fillId="9" borderId="5" xfId="0" applyFont="1" applyFill="1" applyBorder="1" applyAlignment="1">
      <alignment vertical="center"/>
    </xf>
    <xf numFmtId="0" fontId="4" fillId="9" borderId="56" xfId="0" applyFont="1" applyFill="1" applyBorder="1" applyAlignment="1">
      <alignment vertical="center"/>
    </xf>
    <xf numFmtId="43" fontId="57" fillId="9" borderId="57" xfId="6" applyFont="1" applyFill="1" applyBorder="1" applyAlignment="1">
      <alignment horizontal="center" vertical="center"/>
    </xf>
    <xf numFmtId="43" fontId="59" fillId="0" borderId="0" xfId="6" applyFont="1" applyFill="1" applyBorder="1" applyAlignment="1">
      <alignment horizontal="right"/>
    </xf>
    <xf numFmtId="0" fontId="4" fillId="9" borderId="57" xfId="0" applyFont="1" applyFill="1" applyBorder="1" applyAlignment="1">
      <alignment vertical="center"/>
    </xf>
    <xf numFmtId="10" fontId="50" fillId="9" borderId="57" xfId="9" applyNumberFormat="1" applyFont="1" applyFill="1" applyBorder="1" applyAlignment="1">
      <alignment vertical="center"/>
    </xf>
    <xf numFmtId="0" fontId="58" fillId="0" borderId="0" xfId="0" applyFont="1" applyAlignment="1">
      <alignment horizontal="right"/>
    </xf>
    <xf numFmtId="0" fontId="58" fillId="0" borderId="0" xfId="0" applyFont="1"/>
    <xf numFmtId="9" fontId="58" fillId="0" borderId="0" xfId="0" applyNumberFormat="1" applyFont="1"/>
    <xf numFmtId="9" fontId="60" fillId="0" borderId="0" xfId="9" applyFont="1" applyFill="1" applyAlignment="1">
      <alignment horizontal="center"/>
    </xf>
    <xf numFmtId="0" fontId="57" fillId="0" borderId="0" xfId="0" applyFont="1" applyAlignment="1">
      <alignment horizontal="right" vertical="center"/>
    </xf>
    <xf numFmtId="4" fontId="57" fillId="0" borderId="0" xfId="6" applyNumberFormat="1" applyFont="1" applyFill="1" applyAlignment="1">
      <alignment vertical="center"/>
    </xf>
    <xf numFmtId="4" fontId="57" fillId="0" borderId="0" xfId="10" applyNumberFormat="1" applyFont="1" applyAlignment="1">
      <alignment horizontal="center" vertical="center"/>
    </xf>
    <xf numFmtId="0" fontId="61" fillId="0" borderId="0" xfId="0" applyFont="1" applyAlignment="1">
      <alignment horizontal="right"/>
    </xf>
    <xf numFmtId="0" fontId="62" fillId="0" borderId="0" xfId="0" applyFont="1" applyAlignment="1">
      <alignment horizontal="right"/>
    </xf>
    <xf numFmtId="0" fontId="62" fillId="0" borderId="22" xfId="0" applyFont="1" applyBorder="1" applyAlignment="1">
      <alignment horizontal="right"/>
    </xf>
    <xf numFmtId="43" fontId="63" fillId="5" borderId="58" xfId="6" applyFont="1" applyFill="1" applyBorder="1" applyAlignment="1">
      <alignment horizontal="right"/>
    </xf>
    <xf numFmtId="43" fontId="63" fillId="0" borderId="0" xfId="6" applyFont="1" applyFill="1" applyBorder="1" applyAlignment="1">
      <alignment horizontal="right"/>
    </xf>
    <xf numFmtId="43" fontId="24" fillId="0" borderId="15" xfId="6" applyFont="1" applyFill="1" applyBorder="1" applyAlignment="1">
      <alignment vertical="center"/>
    </xf>
    <xf numFmtId="0" fontId="64" fillId="0" borderId="0" xfId="0" applyFont="1" applyAlignment="1">
      <alignment horizontal="left" vertical="center"/>
    </xf>
    <xf numFmtId="4" fontId="57" fillId="0" borderId="0" xfId="10" applyNumberFormat="1" applyFont="1" applyFill="1" applyAlignment="1">
      <alignment horizontal="center" vertical="center"/>
    </xf>
    <xf numFmtId="10" fontId="65" fillId="0" borderId="0" xfId="9" applyNumberFormat="1" applyFont="1" applyFill="1" applyAlignment="1">
      <alignment horizontal="right"/>
    </xf>
    <xf numFmtId="171" fontId="24" fillId="9" borderId="15" xfId="6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24" fillId="10" borderId="15" xfId="6" applyFont="1" applyFill="1" applyBorder="1" applyAlignment="1">
      <alignment vertical="center"/>
    </xf>
    <xf numFmtId="168" fontId="66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50" fillId="9" borderId="59" xfId="0" applyFont="1" applyFill="1" applyBorder="1" applyAlignment="1">
      <alignment vertical="center"/>
    </xf>
    <xf numFmtId="0" fontId="68" fillId="0" borderId="0" xfId="0" applyFont="1" applyAlignment="1">
      <alignment vertical="center"/>
    </xf>
    <xf numFmtId="2" fontId="65" fillId="0" borderId="0" xfId="6" applyNumberFormat="1" applyFont="1" applyFill="1" applyBorder="1" applyAlignment="1">
      <alignment horizontal="center"/>
    </xf>
    <xf numFmtId="2" fontId="62" fillId="0" borderId="0" xfId="6" applyNumberFormat="1" applyFont="1" applyFill="1" applyBorder="1" applyAlignment="1">
      <alignment horizontal="center"/>
    </xf>
    <xf numFmtId="0" fontId="4" fillId="9" borderId="59" xfId="0" applyFont="1" applyFill="1" applyBorder="1" applyAlignment="1">
      <alignment vertical="center"/>
    </xf>
    <xf numFmtId="10" fontId="4" fillId="0" borderId="0" xfId="9" applyNumberFormat="1" applyFont="1" applyFill="1" applyAlignment="1">
      <alignment vertical="center"/>
    </xf>
    <xf numFmtId="4" fontId="4" fillId="0" borderId="0" xfId="6" applyNumberFormat="1" applyFont="1" applyFill="1" applyAlignment="1">
      <alignment vertical="center"/>
    </xf>
    <xf numFmtId="43" fontId="63" fillId="9" borderId="5" xfId="6" applyFont="1" applyFill="1" applyBorder="1" applyAlignment="1">
      <alignment horizontal="right"/>
    </xf>
    <xf numFmtId="0" fontId="24" fillId="9" borderId="4" xfId="0" applyFont="1" applyFill="1" applyBorder="1" applyAlignment="1">
      <alignment horizontal="right" vertical="center"/>
    </xf>
    <xf numFmtId="10" fontId="69" fillId="0" borderId="0" xfId="6" applyNumberFormat="1" applyFont="1" applyFill="1" applyAlignment="1">
      <alignment vertical="center"/>
    </xf>
    <xf numFmtId="10" fontId="50" fillId="0" borderId="0" xfId="9" applyNumberFormat="1" applyFont="1" applyFill="1" applyBorder="1" applyAlignment="1">
      <alignment vertical="center"/>
    </xf>
    <xf numFmtId="168" fontId="70" fillId="0" borderId="0" xfId="0" applyNumberFormat="1" applyFont="1" applyAlignment="1">
      <alignment horizontal="center" vertical="center"/>
    </xf>
    <xf numFmtId="0" fontId="4" fillId="4" borderId="58" xfId="0" applyFont="1" applyFill="1" applyBorder="1" applyAlignment="1">
      <alignment horizontal="center" vertical="center"/>
    </xf>
    <xf numFmtId="43" fontId="71" fillId="0" borderId="0" xfId="6" applyFont="1" applyFill="1" applyAlignment="1">
      <alignment vertical="center"/>
    </xf>
    <xf numFmtId="4" fontId="72" fillId="0" borderId="0" xfId="10" applyNumberFormat="1" applyFont="1" applyFill="1" applyAlignment="1">
      <alignment horizontal="center" vertical="center" wrapText="1"/>
    </xf>
    <xf numFmtId="9" fontId="4" fillId="0" borderId="0" xfId="6" applyNumberFormat="1" applyFont="1" applyFill="1" applyAlignment="1">
      <alignment vertical="center"/>
    </xf>
    <xf numFmtId="0" fontId="5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6" fillId="0" borderId="0" xfId="0" applyFont="1" applyAlignment="1">
      <alignment horizontal="right" vertical="center"/>
    </xf>
    <xf numFmtId="4" fontId="56" fillId="0" borderId="0" xfId="6" applyNumberFormat="1" applyFont="1" applyFill="1" applyAlignment="1">
      <alignment vertical="center"/>
    </xf>
    <xf numFmtId="4" fontId="24" fillId="12" borderId="58" xfId="6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43" fontId="26" fillId="0" borderId="0" xfId="6" applyFont="1" applyFill="1" applyAlignment="1">
      <alignment vertical="center"/>
    </xf>
    <xf numFmtId="9" fontId="26" fillId="0" borderId="0" xfId="6" applyNumberFormat="1" applyFont="1" applyFill="1" applyAlignment="1">
      <alignment vertical="center"/>
    </xf>
    <xf numFmtId="4" fontId="24" fillId="0" borderId="0" xfId="6" applyNumberFormat="1" applyFont="1" applyFill="1" applyAlignment="1">
      <alignment horizontal="center" vertical="center"/>
    </xf>
    <xf numFmtId="10" fontId="66" fillId="0" borderId="0" xfId="9" applyNumberFormat="1" applyFont="1" applyFill="1" applyAlignment="1">
      <alignment vertical="center"/>
    </xf>
    <xf numFmtId="43" fontId="66" fillId="0" borderId="0" xfId="6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6" applyFont="1" applyFill="1" applyBorder="1"/>
    <xf numFmtId="10" fontId="66" fillId="0" borderId="0" xfId="9" applyNumberFormat="1" applyFont="1" applyFill="1" applyBorder="1" applyAlignment="1">
      <alignment vertical="center"/>
    </xf>
    <xf numFmtId="0" fontId="66" fillId="0" borderId="0" xfId="0" applyFont="1" applyAlignment="1">
      <alignment horizontal="right"/>
    </xf>
    <xf numFmtId="43" fontId="4" fillId="0" borderId="0" xfId="6" applyFont="1" applyFill="1" applyBorder="1" applyAlignment="1">
      <alignment horizontal="center"/>
    </xf>
    <xf numFmtId="9" fontId="75" fillId="0" borderId="0" xfId="0" applyNumberFormat="1" applyFont="1" applyAlignment="1">
      <alignment horizontal="left"/>
    </xf>
    <xf numFmtId="4" fontId="24" fillId="0" borderId="0" xfId="0" applyNumberFormat="1" applyFont="1" applyAlignment="1">
      <alignment horizontal="center"/>
    </xf>
    <xf numFmtId="168" fontId="24" fillId="0" borderId="0" xfId="0" applyNumberFormat="1" applyFont="1"/>
    <xf numFmtId="0" fontId="76" fillId="0" borderId="25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7" fillId="0" borderId="15" xfId="1" applyFont="1" applyBorder="1" applyAlignment="1">
      <alignment vertical="center"/>
    </xf>
    <xf numFmtId="0" fontId="76" fillId="0" borderId="15" xfId="1" applyFont="1" applyBorder="1" applyAlignment="1">
      <alignment horizontal="center" vertical="center"/>
    </xf>
    <xf numFmtId="1" fontId="76" fillId="0" borderId="15" xfId="1" applyNumberFormat="1" applyFont="1" applyBorder="1" applyAlignment="1">
      <alignment horizontal="center"/>
    </xf>
    <xf numFmtId="1" fontId="76" fillId="0" borderId="15" xfId="1" applyNumberFormat="1" applyFont="1" applyBorder="1" applyAlignment="1">
      <alignment horizontal="center" wrapText="1"/>
    </xf>
    <xf numFmtId="0" fontId="78" fillId="0" borderId="24" xfId="1" applyFont="1" applyBorder="1" applyAlignment="1">
      <alignment horizontal="center"/>
    </xf>
    <xf numFmtId="49" fontId="78" fillId="4" borderId="25" xfId="0" applyNumberFormat="1" applyFont="1" applyFill="1" applyBorder="1" applyAlignment="1">
      <alignment horizontal="center" vertical="center"/>
    </xf>
    <xf numFmtId="49" fontId="78" fillId="4" borderId="14" xfId="0" applyNumberFormat="1" applyFont="1" applyFill="1" applyBorder="1" applyAlignment="1">
      <alignment horizontal="center" vertical="center"/>
    </xf>
    <xf numFmtId="49" fontId="78" fillId="4" borderId="15" xfId="0" applyNumberFormat="1" applyFont="1" applyFill="1" applyBorder="1" applyAlignment="1">
      <alignment vertical="center"/>
    </xf>
    <xf numFmtId="0" fontId="78" fillId="4" borderId="15" xfId="0" applyFont="1" applyFill="1" applyBorder="1" applyAlignment="1">
      <alignment horizontal="center" vertical="center"/>
    </xf>
    <xf numFmtId="49" fontId="78" fillId="0" borderId="15" xfId="0" applyNumberFormat="1" applyFont="1" applyBorder="1" applyAlignment="1">
      <alignment horizontal="center" vertical="center"/>
    </xf>
    <xf numFmtId="1" fontId="78" fillId="0" borderId="15" xfId="0" applyNumberFormat="1" applyFont="1" applyBorder="1" applyAlignment="1">
      <alignment horizontal="center"/>
    </xf>
    <xf numFmtId="0" fontId="78" fillId="0" borderId="15" xfId="0" applyFont="1" applyBorder="1" applyAlignment="1">
      <alignment horizontal="center"/>
    </xf>
    <xf numFmtId="1" fontId="78" fillId="0" borderId="2" xfId="1" applyNumberFormat="1" applyFont="1" applyBorder="1" applyAlignment="1">
      <alignment horizontal="center" vertical="center"/>
    </xf>
    <xf numFmtId="0" fontId="79" fillId="4" borderId="0" xfId="0" applyFont="1" applyFill="1"/>
    <xf numFmtId="0" fontId="78" fillId="4" borderId="15" xfId="0" applyFont="1" applyFill="1" applyBorder="1" applyAlignment="1">
      <alignment horizontal="center"/>
    </xf>
    <xf numFmtId="49" fontId="78" fillId="0" borderId="15" xfId="0" applyNumberFormat="1" applyFont="1" applyBorder="1" applyAlignment="1">
      <alignment horizontal="center"/>
    </xf>
    <xf numFmtId="0" fontId="79" fillId="0" borderId="15" xfId="4" applyFont="1" applyBorder="1" applyAlignment="1">
      <alignment horizontal="center"/>
    </xf>
    <xf numFmtId="0" fontId="79" fillId="0" borderId="15" xfId="0" applyFont="1" applyBorder="1" applyAlignment="1">
      <alignment horizontal="center"/>
    </xf>
    <xf numFmtId="0" fontId="79" fillId="0" borderId="15" xfId="0" applyFont="1" applyBorder="1"/>
    <xf numFmtId="0" fontId="78" fillId="0" borderId="14" xfId="0" applyFont="1" applyBorder="1" applyAlignment="1">
      <alignment horizontal="center"/>
    </xf>
    <xf numFmtId="1" fontId="78" fillId="0" borderId="15" xfId="0" applyNumberFormat="1" applyFont="1" applyBorder="1" applyAlignment="1">
      <alignment horizontal="center" wrapText="1"/>
    </xf>
    <xf numFmtId="49" fontId="78" fillId="0" borderId="15" xfId="0" applyNumberFormat="1" applyFont="1" applyBorder="1"/>
    <xf numFmtId="0" fontId="79" fillId="0" borderId="15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/>
    </xf>
    <xf numFmtId="165" fontId="78" fillId="0" borderId="15" xfId="0" applyNumberFormat="1" applyFont="1" applyBorder="1" applyAlignment="1">
      <alignment horizontal="center" wrapText="1"/>
    </xf>
    <xf numFmtId="0" fontId="76" fillId="0" borderId="15" xfId="0" applyFont="1" applyBorder="1" applyAlignment="1">
      <alignment horizontal="center"/>
    </xf>
    <xf numFmtId="1" fontId="76" fillId="0" borderId="15" xfId="0" applyNumberFormat="1" applyFont="1" applyBorder="1" applyAlignment="1">
      <alignment horizontal="center"/>
    </xf>
    <xf numFmtId="1" fontId="76" fillId="0" borderId="15" xfId="0" applyNumberFormat="1" applyFont="1" applyBorder="1" applyAlignment="1">
      <alignment horizontal="center" wrapText="1"/>
    </xf>
    <xf numFmtId="16" fontId="78" fillId="0" borderId="15" xfId="1" applyNumberFormat="1" applyFont="1" applyBorder="1" applyAlignment="1">
      <alignment horizontal="center"/>
    </xf>
    <xf numFmtId="1" fontId="78" fillId="0" borderId="15" xfId="1" applyNumberFormat="1" applyFont="1" applyBorder="1" applyAlignment="1">
      <alignment horizontal="center"/>
    </xf>
    <xf numFmtId="1" fontId="78" fillId="0" borderId="15" xfId="1" applyNumberFormat="1" applyFont="1" applyBorder="1" applyAlignment="1">
      <alignment horizontal="center" wrapText="1"/>
    </xf>
    <xf numFmtId="2" fontId="78" fillId="0" borderId="15" xfId="1" applyNumberFormat="1" applyFont="1" applyBorder="1" applyAlignment="1">
      <alignment horizontal="center"/>
    </xf>
    <xf numFmtId="0" fontId="79" fillId="4" borderId="15" xfId="0" applyFont="1" applyFill="1" applyBorder="1"/>
    <xf numFmtId="0" fontId="78" fillId="0" borderId="15" xfId="1" applyFont="1" applyBorder="1" applyAlignment="1">
      <alignment horizontal="center"/>
    </xf>
    <xf numFmtId="49" fontId="78" fillId="0" borderId="15" xfId="1" applyNumberFormat="1" applyFont="1" applyBorder="1" applyAlignment="1">
      <alignment horizontal="center"/>
    </xf>
    <xf numFmtId="0" fontId="76" fillId="4" borderId="15" xfId="1" applyFont="1" applyFill="1" applyBorder="1" applyAlignment="1">
      <alignment horizontal="left"/>
    </xf>
    <xf numFmtId="166" fontId="78" fillId="0" borderId="15" xfId="1" applyNumberFormat="1" applyFont="1" applyBorder="1" applyAlignment="1">
      <alignment horizontal="center"/>
    </xf>
    <xf numFmtId="49" fontId="78" fillId="4" borderId="15" xfId="0" applyNumberFormat="1" applyFont="1" applyFill="1" applyBorder="1" applyAlignment="1">
      <alignment horizontal="center" vertical="center"/>
    </xf>
    <xf numFmtId="49" fontId="78" fillId="4" borderId="15" xfId="0" applyNumberFormat="1" applyFont="1" applyFill="1" applyBorder="1" applyAlignment="1">
      <alignment horizontal="center"/>
    </xf>
    <xf numFmtId="0" fontId="78" fillId="0" borderId="15" xfId="0" applyFont="1" applyBorder="1" applyAlignment="1">
      <alignment horizontal="center" vertical="center"/>
    </xf>
    <xf numFmtId="49" fontId="78" fillId="4" borderId="15" xfId="0" applyNumberFormat="1" applyFont="1" applyFill="1" applyBorder="1"/>
    <xf numFmtId="1" fontId="78" fillId="4" borderId="15" xfId="0" applyNumberFormat="1" applyFont="1" applyFill="1" applyBorder="1" applyAlignment="1">
      <alignment horizontal="center"/>
    </xf>
    <xf numFmtId="1" fontId="78" fillId="0" borderId="15" xfId="0" applyNumberFormat="1" applyFont="1" applyBorder="1"/>
    <xf numFmtId="16" fontId="78" fillId="0" borderId="15" xfId="0" applyNumberFormat="1" applyFont="1" applyBorder="1" applyAlignment="1">
      <alignment horizontal="center"/>
    </xf>
    <xf numFmtId="1" fontId="78" fillId="0" borderId="15" xfId="5" applyNumberFormat="1" applyFont="1" applyBorder="1" applyAlignment="1">
      <alignment horizontal="center"/>
    </xf>
    <xf numFmtId="1" fontId="78" fillId="0" borderId="15" xfId="5" applyNumberFormat="1" applyFont="1" applyBorder="1" applyAlignment="1">
      <alignment horizontal="center" wrapText="1"/>
    </xf>
    <xf numFmtId="49" fontId="76" fillId="0" borderId="15" xfId="1" applyNumberFormat="1" applyFont="1" applyBorder="1" applyAlignment="1">
      <alignment horizontal="center"/>
    </xf>
    <xf numFmtId="0" fontId="77" fillId="4" borderId="15" xfId="1" applyFont="1" applyFill="1" applyBorder="1" applyAlignment="1">
      <alignment vertical="center"/>
    </xf>
    <xf numFmtId="0" fontId="76" fillId="0" borderId="15" xfId="1" applyFont="1" applyBorder="1" applyAlignment="1">
      <alignment horizontal="center"/>
    </xf>
    <xf numFmtId="49" fontId="78" fillId="0" borderId="15" xfId="0" applyNumberFormat="1" applyFont="1" applyBorder="1" applyAlignment="1">
      <alignment vertical="center"/>
    </xf>
    <xf numFmtId="0" fontId="78" fillId="0" borderId="15" xfId="0" quotePrefix="1" applyFont="1" applyBorder="1" applyAlignment="1">
      <alignment horizontal="right"/>
    </xf>
    <xf numFmtId="0" fontId="78" fillId="0" borderId="15" xfId="0" quotePrefix="1" applyFont="1" applyBorder="1"/>
    <xf numFmtId="0" fontId="78" fillId="0" borderId="15" xfId="0" applyFont="1" applyBorder="1"/>
    <xf numFmtId="0" fontId="79" fillId="0" borderId="0" xfId="0" applyFont="1" applyAlignment="1">
      <alignment horizontal="center"/>
    </xf>
    <xf numFmtId="49" fontId="78" fillId="0" borderId="25" xfId="1" applyNumberFormat="1" applyFont="1" applyBorder="1" applyAlignment="1">
      <alignment horizontal="center"/>
    </xf>
    <xf numFmtId="49" fontId="78" fillId="0" borderId="14" xfId="1" applyNumberFormat="1" applyFont="1" applyBorder="1" applyAlignment="1">
      <alignment horizontal="center"/>
    </xf>
    <xf numFmtId="49" fontId="78" fillId="0" borderId="15" xfId="1" applyNumberFormat="1" applyFont="1" applyBorder="1"/>
    <xf numFmtId="49" fontId="80" fillId="2" borderId="23" xfId="1" applyNumberFormat="1" applyFont="1" applyFill="1" applyBorder="1" applyAlignment="1">
      <alignment horizontal="center" vertical="center"/>
    </xf>
    <xf numFmtId="49" fontId="80" fillId="2" borderId="0" xfId="1" applyNumberFormat="1" applyFont="1" applyFill="1" applyAlignment="1">
      <alignment horizontal="center" vertical="center"/>
    </xf>
    <xf numFmtId="0" fontId="78" fillId="2" borderId="0" xfId="1" applyFont="1" applyFill="1"/>
    <xf numFmtId="1" fontId="78" fillId="2" borderId="0" xfId="1" applyNumberFormat="1" applyFont="1" applyFill="1" applyAlignment="1">
      <alignment horizontal="center"/>
    </xf>
    <xf numFmtId="164" fontId="78" fillId="2" borderId="0" xfId="1" applyNumberFormat="1" applyFont="1" applyFill="1" applyAlignment="1">
      <alignment horizontal="center" wrapText="1"/>
    </xf>
    <xf numFmtId="0" fontId="78" fillId="2" borderId="22" xfId="1" applyFont="1" applyFill="1" applyBorder="1" applyAlignment="1">
      <alignment horizontal="center"/>
    </xf>
    <xf numFmtId="0" fontId="78" fillId="3" borderId="6" xfId="1" applyFont="1" applyFill="1" applyBorder="1" applyAlignment="1">
      <alignment horizontal="center"/>
    </xf>
    <xf numFmtId="0" fontId="78" fillId="3" borderId="5" xfId="1" applyFont="1" applyFill="1" applyBorder="1" applyAlignment="1">
      <alignment horizontal="center"/>
    </xf>
    <xf numFmtId="0" fontId="78" fillId="3" borderId="5" xfId="1" applyFont="1" applyFill="1" applyBorder="1"/>
    <xf numFmtId="0" fontId="76" fillId="3" borderId="5" xfId="1" applyFont="1" applyFill="1" applyBorder="1" applyAlignment="1">
      <alignment horizontal="center"/>
    </xf>
    <xf numFmtId="1" fontId="76" fillId="3" borderId="5" xfId="1" applyNumberFormat="1" applyFont="1" applyFill="1" applyBorder="1" applyAlignment="1">
      <alignment horizontal="center"/>
    </xf>
    <xf numFmtId="164" fontId="78" fillId="3" borderId="5" xfId="1" applyNumberFormat="1" applyFont="1" applyFill="1" applyBorder="1" applyAlignment="1">
      <alignment horizontal="center" wrapText="1"/>
    </xf>
    <xf numFmtId="0" fontId="78" fillId="3" borderId="4" xfId="1" applyFont="1" applyFill="1" applyBorder="1" applyAlignment="1">
      <alignment horizontal="center"/>
    </xf>
    <xf numFmtId="1" fontId="78" fillId="0" borderId="2" xfId="0" applyNumberFormat="1" applyFont="1" applyBorder="1" applyAlignment="1">
      <alignment horizontal="center"/>
    </xf>
    <xf numFmtId="0" fontId="78" fillId="0" borderId="19" xfId="0" applyFont="1" applyBorder="1" applyAlignment="1">
      <alignment horizontal="center"/>
    </xf>
    <xf numFmtId="1" fontId="78" fillId="0" borderId="9" xfId="0" applyNumberFormat="1" applyFont="1" applyBorder="1" applyAlignment="1">
      <alignment horizontal="center"/>
    </xf>
    <xf numFmtId="0" fontId="78" fillId="0" borderId="9" xfId="0" applyFont="1" applyBorder="1" applyAlignment="1">
      <alignment horizontal="center"/>
    </xf>
    <xf numFmtId="14" fontId="81" fillId="2" borderId="0" xfId="2" applyNumberFormat="1" applyFont="1" applyFill="1" applyAlignment="1">
      <alignment horizontal="center" vertical="center" wrapText="1"/>
    </xf>
    <xf numFmtId="0" fontId="82" fillId="0" borderId="15" xfId="0" applyFont="1" applyBorder="1"/>
    <xf numFmtId="0" fontId="3" fillId="6" borderId="45" xfId="2" applyFont="1" applyFill="1" applyBorder="1" applyAlignment="1">
      <alignment horizontal="center"/>
    </xf>
    <xf numFmtId="0" fontId="3" fillId="6" borderId="36" xfId="2" applyFont="1" applyFill="1" applyBorder="1" applyAlignment="1">
      <alignment horizontal="center"/>
    </xf>
    <xf numFmtId="0" fontId="2" fillId="2" borderId="46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10" fillId="3" borderId="6" xfId="1" applyFont="1" applyFill="1" applyBorder="1" applyAlignment="1">
      <alignment horizontal="left"/>
    </xf>
    <xf numFmtId="0" fontId="10" fillId="3" borderId="5" xfId="1" applyFont="1" applyFill="1" applyBorder="1" applyAlignment="1">
      <alignment horizontal="left"/>
    </xf>
    <xf numFmtId="0" fontId="10" fillId="3" borderId="4" xfId="1" applyFont="1" applyFill="1" applyBorder="1" applyAlignment="1">
      <alignment horizontal="left"/>
    </xf>
    <xf numFmtId="0" fontId="9" fillId="0" borderId="4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17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43" xfId="1" applyFont="1" applyBorder="1" applyAlignment="1">
      <alignment horizontal="left"/>
    </xf>
    <xf numFmtId="0" fontId="9" fillId="0" borderId="44" xfId="1" applyFont="1" applyBorder="1" applyAlignment="1">
      <alignment horizontal="left"/>
    </xf>
    <xf numFmtId="0" fontId="9" fillId="0" borderId="7" xfId="1" applyFont="1" applyBorder="1" applyAlignment="1">
      <alignment horizontal="left"/>
    </xf>
    <xf numFmtId="0" fontId="9" fillId="0" borderId="17" xfId="0" applyFont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4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21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4" fontId="9" fillId="0" borderId="2" xfId="1" applyNumberFormat="1" applyFont="1" applyBorder="1" applyAlignment="1">
      <alignment horizontal="right"/>
    </xf>
    <xf numFmtId="0" fontId="9" fillId="2" borderId="19" xfId="1" applyFont="1" applyFill="1" applyBorder="1" applyAlignment="1">
      <alignment horizontal="center"/>
    </xf>
    <xf numFmtId="0" fontId="9" fillId="2" borderId="18" xfId="1" applyFont="1" applyFill="1" applyBorder="1" applyAlignment="1">
      <alignment horizontal="center"/>
    </xf>
    <xf numFmtId="0" fontId="10" fillId="0" borderId="17" xfId="1" applyFont="1" applyBorder="1" applyAlignment="1">
      <alignment horizontal="right"/>
    </xf>
    <xf numFmtId="0" fontId="10" fillId="0" borderId="16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164" fontId="9" fillId="0" borderId="13" xfId="1" applyNumberFormat="1" applyFont="1" applyBorder="1" applyAlignment="1">
      <alignment horizontal="center"/>
    </xf>
    <xf numFmtId="164" fontId="9" fillId="0" borderId="12" xfId="1" applyNumberFormat="1" applyFont="1" applyBorder="1" applyAlignment="1">
      <alignment horizontal="center"/>
    </xf>
    <xf numFmtId="164" fontId="9" fillId="0" borderId="13" xfId="1" applyNumberFormat="1" applyFont="1" applyBorder="1" applyAlignment="1">
      <alignment horizontal="right" wrapText="1"/>
    </xf>
    <xf numFmtId="164" fontId="9" fillId="0" borderId="14" xfId="1" applyNumberFormat="1" applyFont="1" applyBorder="1" applyAlignment="1">
      <alignment horizontal="right" wrapText="1"/>
    </xf>
    <xf numFmtId="0" fontId="9" fillId="2" borderId="34" xfId="2" applyFont="1" applyFill="1" applyBorder="1" applyAlignment="1">
      <alignment horizontal="center"/>
    </xf>
    <xf numFmtId="0" fontId="9" fillId="2" borderId="36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9" fillId="2" borderId="0" xfId="2" applyFont="1" applyFill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9" fillId="2" borderId="20" xfId="2" applyFont="1" applyFill="1" applyBorder="1" applyAlignment="1">
      <alignment horizontal="center"/>
    </xf>
    <xf numFmtId="0" fontId="10" fillId="0" borderId="11" xfId="1" applyFont="1" applyBorder="1" applyAlignment="1">
      <alignment horizontal="right"/>
    </xf>
    <xf numFmtId="0" fontId="10" fillId="0" borderId="10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0" fontId="9" fillId="0" borderId="9" xfId="1" applyFont="1" applyBorder="1" applyAlignment="1">
      <alignment horizontal="right"/>
    </xf>
    <xf numFmtId="164" fontId="9" fillId="0" borderId="8" xfId="1" applyNumberFormat="1" applyFont="1" applyBorder="1" applyAlignment="1">
      <alignment horizontal="center"/>
    </xf>
    <xf numFmtId="164" fontId="9" fillId="0" borderId="7" xfId="1" applyNumberFormat="1" applyFont="1" applyBorder="1" applyAlignment="1">
      <alignment horizontal="center"/>
    </xf>
    <xf numFmtId="0" fontId="10" fillId="3" borderId="29" xfId="1" applyFont="1" applyFill="1" applyBorder="1" applyAlignment="1">
      <alignment horizontal="center" vertical="center"/>
    </xf>
    <xf numFmtId="14" fontId="9" fillId="2" borderId="38" xfId="2" applyNumberFormat="1" applyFont="1" applyFill="1" applyBorder="1" applyAlignment="1">
      <alignment horizontal="center" vertical="center" wrapText="1"/>
    </xf>
    <xf numFmtId="14" fontId="9" fillId="2" borderId="41" xfId="2" applyNumberFormat="1" applyFont="1" applyFill="1" applyBorder="1" applyAlignment="1">
      <alignment horizontal="center" vertical="center" wrapText="1"/>
    </xf>
    <xf numFmtId="14" fontId="9" fillId="2" borderId="1" xfId="2" applyNumberFormat="1" applyFont="1" applyFill="1" applyBorder="1" applyAlignment="1">
      <alignment horizontal="center" vertical="center" wrapText="1"/>
    </xf>
    <xf numFmtId="0" fontId="9" fillId="2" borderId="39" xfId="2" applyFont="1" applyFill="1" applyBorder="1" applyAlignment="1">
      <alignment horizontal="left"/>
    </xf>
    <xf numFmtId="0" fontId="9" fillId="2" borderId="40" xfId="2" applyFont="1" applyFill="1" applyBorder="1" applyAlignment="1">
      <alignment horizontal="left"/>
    </xf>
    <xf numFmtId="0" fontId="9" fillId="2" borderId="35" xfId="2" applyFont="1" applyFill="1" applyBorder="1" applyAlignment="1">
      <alignment horizontal="left"/>
    </xf>
    <xf numFmtId="0" fontId="9" fillId="2" borderId="13" xfId="2" applyFont="1" applyFill="1" applyBorder="1" applyAlignment="1">
      <alignment horizontal="left"/>
    </xf>
    <xf numFmtId="0" fontId="9" fillId="2" borderId="16" xfId="2" applyFont="1" applyFill="1" applyBorder="1" applyAlignment="1">
      <alignment horizontal="left"/>
    </xf>
    <xf numFmtId="0" fontId="9" fillId="2" borderId="14" xfId="2" applyFont="1" applyFill="1" applyBorder="1" applyAlignment="1">
      <alignment horizontal="left"/>
    </xf>
    <xf numFmtId="0" fontId="10" fillId="2" borderId="29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0" fillId="5" borderId="5" xfId="2" applyFont="1" applyFill="1" applyBorder="1" applyAlignment="1">
      <alignment horizontal="center" vertical="center" wrapText="1"/>
    </xf>
    <xf numFmtId="0" fontId="10" fillId="5" borderId="4" xfId="2" applyFont="1" applyFill="1" applyBorder="1" applyAlignment="1">
      <alignment horizontal="center" vertical="center" wrapText="1"/>
    </xf>
    <xf numFmtId="0" fontId="10" fillId="2" borderId="37" xfId="2" applyFont="1" applyFill="1" applyBorder="1" applyAlignment="1">
      <alignment horizontal="right" vertical="top" wrapText="1"/>
    </xf>
    <xf numFmtId="0" fontId="10" fillId="2" borderId="33" xfId="2" applyFont="1" applyFill="1" applyBorder="1" applyAlignment="1">
      <alignment horizontal="right" vertical="top" wrapText="1"/>
    </xf>
    <xf numFmtId="0" fontId="10" fillId="2" borderId="32" xfId="2" applyFont="1" applyFill="1" applyBorder="1" applyAlignment="1">
      <alignment horizontal="right" vertical="top" wrapText="1"/>
    </xf>
    <xf numFmtId="0" fontId="11" fillId="2" borderId="0" xfId="2" applyFont="1" applyFill="1" applyAlignment="1">
      <alignment horizontal="right"/>
    </xf>
    <xf numFmtId="0" fontId="12" fillId="2" borderId="31" xfId="2" applyFont="1" applyFill="1" applyBorder="1" applyAlignment="1">
      <alignment horizontal="center"/>
    </xf>
    <xf numFmtId="0" fontId="11" fillId="2" borderId="0" xfId="2" applyFont="1" applyFill="1"/>
    <xf numFmtId="0" fontId="10" fillId="3" borderId="30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0" fillId="3" borderId="30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73" fillId="0" borderId="6" xfId="0" applyFont="1" applyBorder="1" applyAlignment="1">
      <alignment horizontal="right" vertical="center"/>
    </xf>
    <xf numFmtId="0" fontId="73" fillId="0" borderId="5" xfId="0" applyFont="1" applyBorder="1" applyAlignment="1">
      <alignment horizontal="right" vertical="center"/>
    </xf>
    <xf numFmtId="0" fontId="73" fillId="0" borderId="4" xfId="0" applyFont="1" applyBorder="1" applyAlignment="1">
      <alignment horizontal="right" vertical="center"/>
    </xf>
    <xf numFmtId="0" fontId="74" fillId="0" borderId="0" xfId="0" applyFont="1" applyAlignment="1">
      <alignment horizontal="right"/>
    </xf>
    <xf numFmtId="0" fontId="65" fillId="0" borderId="31" xfId="0" applyFont="1" applyBorder="1" applyAlignment="1">
      <alignment horizontal="right"/>
    </xf>
    <xf numFmtId="0" fontId="57" fillId="0" borderId="0" xfId="0" applyFont="1" applyAlignment="1">
      <alignment horizontal="right" vertical="center"/>
    </xf>
    <xf numFmtId="0" fontId="63" fillId="9" borderId="6" xfId="0" applyFont="1" applyFill="1" applyBorder="1" applyAlignment="1">
      <alignment horizontal="right"/>
    </xf>
    <xf numFmtId="0" fontId="63" fillId="9" borderId="5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24" fillId="0" borderId="31" xfId="0" applyFont="1" applyBorder="1" applyAlignment="1">
      <alignment horizontal="right" vertical="center"/>
    </xf>
    <xf numFmtId="0" fontId="24" fillId="0" borderId="50" xfId="0" applyFont="1" applyBorder="1" applyAlignment="1">
      <alignment horizontal="right" vertical="center"/>
    </xf>
    <xf numFmtId="0" fontId="24" fillId="11" borderId="6" xfId="0" applyFont="1" applyFill="1" applyBorder="1" applyAlignment="1">
      <alignment horizontal="right" vertical="center"/>
    </xf>
    <xf numFmtId="0" fontId="24" fillId="11" borderId="5" xfId="0" applyFont="1" applyFill="1" applyBorder="1" applyAlignment="1">
      <alignment horizontal="right" vertical="center"/>
    </xf>
    <xf numFmtId="0" fontId="24" fillId="11" borderId="4" xfId="0" applyFont="1" applyFill="1" applyBorder="1" applyAlignment="1">
      <alignment horizontal="right" vertical="center"/>
    </xf>
    <xf numFmtId="4" fontId="72" fillId="0" borderId="0" xfId="10" applyNumberFormat="1" applyFont="1" applyFill="1" applyAlignment="1">
      <alignment horizontal="center" vertical="center" wrapText="1"/>
    </xf>
    <xf numFmtId="0" fontId="66" fillId="0" borderId="15" xfId="0" applyFont="1" applyBorder="1" applyAlignment="1">
      <alignment horizontal="right" vertical="center"/>
    </xf>
    <xf numFmtId="0" fontId="67" fillId="0" borderId="23" xfId="0" applyFont="1" applyBorder="1" applyAlignment="1">
      <alignment horizontal="right"/>
    </xf>
    <xf numFmtId="0" fontId="67" fillId="0" borderId="0" xfId="0" applyFont="1" applyAlignment="1">
      <alignment horizontal="right"/>
    </xf>
    <xf numFmtId="0" fontId="67" fillId="0" borderId="22" xfId="0" applyFont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58" fillId="0" borderId="34" xfId="0" applyFont="1" applyBorder="1" applyAlignment="1">
      <alignment horizontal="right"/>
    </xf>
    <xf numFmtId="0" fontId="58" fillId="0" borderId="36" xfId="0" applyFont="1" applyBorder="1" applyAlignment="1">
      <alignment horizontal="right"/>
    </xf>
    <xf numFmtId="0" fontId="4" fillId="0" borderId="15" xfId="0" applyFont="1" applyBorder="1" applyAlignment="1">
      <alignment horizontal="right" vertical="center"/>
    </xf>
    <xf numFmtId="0" fontId="58" fillId="0" borderId="0" xfId="0" applyFont="1" applyAlignment="1">
      <alignment horizontal="right"/>
    </xf>
    <xf numFmtId="0" fontId="52" fillId="0" borderId="31" xfId="0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 vertical="center" wrapText="1"/>
    </xf>
    <xf numFmtId="0" fontId="54" fillId="0" borderId="5" xfId="0" applyFont="1" applyBorder="1" applyAlignment="1">
      <alignment horizontal="right" vertical="center" wrapText="1"/>
    </xf>
    <xf numFmtId="0" fontId="76" fillId="0" borderId="17" xfId="1" applyFont="1" applyBorder="1" applyAlignment="1">
      <alignment horizontal="right"/>
    </xf>
    <xf numFmtId="0" fontId="76" fillId="0" borderId="16" xfId="1" applyFont="1" applyBorder="1" applyAlignment="1">
      <alignment horizontal="right"/>
    </xf>
    <xf numFmtId="0" fontId="76" fillId="0" borderId="14" xfId="1" applyFont="1" applyBorder="1" applyAlignment="1">
      <alignment horizontal="right"/>
    </xf>
    <xf numFmtId="0" fontId="78" fillId="0" borderId="15" xfId="1" applyFont="1" applyBorder="1" applyAlignment="1">
      <alignment horizontal="right"/>
    </xf>
    <xf numFmtId="164" fontId="78" fillId="0" borderId="13" xfId="1" applyNumberFormat="1" applyFont="1" applyBorder="1" applyAlignment="1">
      <alignment horizontal="center"/>
    </xf>
    <xf numFmtId="164" fontId="78" fillId="0" borderId="12" xfId="1" applyNumberFormat="1" applyFont="1" applyBorder="1" applyAlignment="1">
      <alignment horizontal="center"/>
    </xf>
    <xf numFmtId="0" fontId="76" fillId="0" borderId="11" xfId="1" applyFont="1" applyBorder="1" applyAlignment="1">
      <alignment horizontal="right"/>
    </xf>
    <xf numFmtId="0" fontId="76" fillId="0" borderId="10" xfId="1" applyFont="1" applyBorder="1" applyAlignment="1">
      <alignment horizontal="right"/>
    </xf>
    <xf numFmtId="0" fontId="76" fillId="0" borderId="9" xfId="1" applyFont="1" applyBorder="1" applyAlignment="1">
      <alignment horizontal="right"/>
    </xf>
    <xf numFmtId="0" fontId="78" fillId="0" borderId="9" xfId="1" applyFont="1" applyBorder="1" applyAlignment="1">
      <alignment horizontal="right"/>
    </xf>
    <xf numFmtId="164" fontId="78" fillId="0" borderId="8" xfId="1" applyNumberFormat="1" applyFont="1" applyBorder="1" applyAlignment="1">
      <alignment horizontal="center"/>
    </xf>
    <xf numFmtId="164" fontId="78" fillId="0" borderId="7" xfId="1" applyNumberFormat="1" applyFont="1" applyBorder="1" applyAlignment="1">
      <alignment horizontal="center"/>
    </xf>
    <xf numFmtId="0" fontId="83" fillId="5" borderId="5" xfId="2" applyFont="1" applyFill="1" applyBorder="1" applyAlignment="1">
      <alignment horizontal="center" vertical="center" wrapText="1"/>
    </xf>
    <xf numFmtId="0" fontId="83" fillId="5" borderId="4" xfId="2" applyFont="1" applyFill="1" applyBorder="1" applyAlignment="1">
      <alignment horizontal="center" vertical="center" wrapText="1"/>
    </xf>
    <xf numFmtId="0" fontId="78" fillId="0" borderId="17" xfId="0" applyFont="1" applyBorder="1" applyAlignment="1">
      <alignment horizontal="left"/>
    </xf>
    <xf numFmtId="0" fontId="78" fillId="0" borderId="16" xfId="0" applyFont="1" applyBorder="1" applyAlignment="1">
      <alignment horizontal="left"/>
    </xf>
    <xf numFmtId="0" fontId="78" fillId="0" borderId="12" xfId="0" applyFont="1" applyBorder="1" applyAlignment="1">
      <alignment horizontal="left"/>
    </xf>
    <xf numFmtId="0" fontId="78" fillId="0" borderId="42" xfId="0" applyFont="1" applyBorder="1" applyAlignment="1">
      <alignment horizontal="left"/>
    </xf>
    <xf numFmtId="0" fontId="78" fillId="0" borderId="3" xfId="0" applyFont="1" applyBorder="1" applyAlignment="1">
      <alignment horizontal="left"/>
    </xf>
    <xf numFmtId="0" fontId="78" fillId="0" borderId="2" xfId="0" applyFont="1" applyBorder="1" applyAlignment="1">
      <alignment horizontal="left"/>
    </xf>
    <xf numFmtId="0" fontId="78" fillId="0" borderId="1" xfId="0" applyFont="1" applyBorder="1" applyAlignment="1">
      <alignment horizontal="left"/>
    </xf>
    <xf numFmtId="164" fontId="78" fillId="0" borderId="13" xfId="1" applyNumberFormat="1" applyFont="1" applyBorder="1" applyAlignment="1">
      <alignment horizontal="right" wrapText="1"/>
    </xf>
    <xf numFmtId="164" fontId="78" fillId="0" borderId="14" xfId="1" applyNumberFormat="1" applyFont="1" applyBorder="1" applyAlignment="1">
      <alignment horizontal="right" wrapText="1"/>
    </xf>
    <xf numFmtId="0" fontId="78" fillId="0" borderId="42" xfId="0" applyFont="1" applyBorder="1" applyAlignment="1">
      <alignment horizontal="left" wrapText="1"/>
    </xf>
    <xf numFmtId="0" fontId="78" fillId="0" borderId="3" xfId="0" applyFont="1" applyBorder="1" applyAlignment="1">
      <alignment horizontal="left" wrapText="1"/>
    </xf>
    <xf numFmtId="0" fontId="78" fillId="0" borderId="2" xfId="0" applyFont="1" applyBorder="1" applyAlignment="1">
      <alignment horizontal="left" wrapText="1"/>
    </xf>
    <xf numFmtId="0" fontId="78" fillId="0" borderId="1" xfId="0" applyFont="1" applyBorder="1" applyAlignment="1">
      <alignment horizontal="left" wrapText="1"/>
    </xf>
    <xf numFmtId="0" fontId="76" fillId="3" borderId="6" xfId="1" applyFont="1" applyFill="1" applyBorder="1" applyAlignment="1">
      <alignment horizontal="center"/>
    </xf>
    <xf numFmtId="0" fontId="76" fillId="3" borderId="5" xfId="1" applyFont="1" applyFill="1" applyBorder="1" applyAlignment="1">
      <alignment horizontal="center"/>
    </xf>
    <xf numFmtId="0" fontId="76" fillId="3" borderId="4" xfId="1" applyFont="1" applyFill="1" applyBorder="1" applyAlignment="1">
      <alignment horizontal="center"/>
    </xf>
    <xf numFmtId="0" fontId="81" fillId="2" borderId="31" xfId="2" applyFont="1" applyFill="1" applyBorder="1" applyAlignment="1">
      <alignment horizontal="center"/>
    </xf>
    <xf numFmtId="0" fontId="78" fillId="2" borderId="15" xfId="2" applyFont="1" applyFill="1" applyBorder="1" applyAlignment="1">
      <alignment horizontal="left"/>
    </xf>
    <xf numFmtId="0" fontId="76" fillId="0" borderId="21" xfId="1" applyFont="1" applyBorder="1" applyAlignment="1">
      <alignment horizontal="right"/>
    </xf>
    <xf numFmtId="0" fontId="76" fillId="0" borderId="20" xfId="1" applyFont="1" applyBorder="1" applyAlignment="1">
      <alignment horizontal="right"/>
    </xf>
    <xf numFmtId="0" fontId="76" fillId="0" borderId="3" xfId="1" applyFont="1" applyBorder="1" applyAlignment="1">
      <alignment horizontal="right"/>
    </xf>
    <xf numFmtId="164" fontId="78" fillId="0" borderId="2" xfId="1" applyNumberFormat="1" applyFont="1" applyBorder="1" applyAlignment="1">
      <alignment horizontal="right"/>
    </xf>
    <xf numFmtId="0" fontId="78" fillId="2" borderId="19" xfId="1" applyFont="1" applyFill="1" applyBorder="1" applyAlignment="1">
      <alignment horizontal="center"/>
    </xf>
    <xf numFmtId="0" fontId="78" fillId="2" borderId="18" xfId="1" applyFont="1" applyFill="1" applyBorder="1" applyAlignment="1">
      <alignment horizontal="center"/>
    </xf>
    <xf numFmtId="0" fontId="78" fillId="0" borderId="43" xfId="1" applyFont="1" applyBorder="1" applyAlignment="1">
      <alignment horizontal="left"/>
    </xf>
    <xf numFmtId="0" fontId="78" fillId="0" borderId="44" xfId="1" applyFont="1" applyBorder="1" applyAlignment="1">
      <alignment horizontal="left"/>
    </xf>
    <xf numFmtId="0" fontId="78" fillId="0" borderId="7" xfId="1" applyFont="1" applyBorder="1" applyAlignment="1">
      <alignment horizontal="left"/>
    </xf>
    <xf numFmtId="0" fontId="76" fillId="6" borderId="45" xfId="2" applyFont="1" applyFill="1" applyBorder="1" applyAlignment="1">
      <alignment horizontal="center"/>
    </xf>
    <xf numFmtId="0" fontId="76" fillId="6" borderId="36" xfId="2" applyFont="1" applyFill="1" applyBorder="1" applyAlignment="1">
      <alignment horizontal="center"/>
    </xf>
    <xf numFmtId="0" fontId="78" fillId="0" borderId="17" xfId="0" applyFont="1" applyBorder="1" applyAlignment="1">
      <alignment horizontal="left" wrapText="1"/>
    </xf>
    <xf numFmtId="0" fontId="78" fillId="0" borderId="16" xfId="0" applyFont="1" applyBorder="1" applyAlignment="1">
      <alignment horizontal="left" wrapText="1"/>
    </xf>
    <xf numFmtId="0" fontId="78" fillId="0" borderId="12" xfId="0" applyFont="1" applyBorder="1" applyAlignment="1">
      <alignment horizontal="left" wrapText="1"/>
    </xf>
    <xf numFmtId="14" fontId="2" fillId="2" borderId="38" xfId="2" applyNumberFormat="1" applyFont="1" applyFill="1" applyBorder="1" applyAlignment="1">
      <alignment horizontal="center" vertical="center" wrapText="1"/>
    </xf>
    <xf numFmtId="14" fontId="2" fillId="2" borderId="4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2" borderId="39" xfId="2" applyFont="1" applyFill="1" applyBorder="1" applyAlignment="1">
      <alignment horizontal="left"/>
    </xf>
    <xf numFmtId="0" fontId="2" fillId="2" borderId="40" xfId="2" applyFont="1" applyFill="1" applyBorder="1" applyAlignment="1">
      <alignment horizontal="left"/>
    </xf>
    <xf numFmtId="0" fontId="2" fillId="2" borderId="35" xfId="2" applyFont="1" applyFill="1" applyBorder="1" applyAlignment="1">
      <alignment horizontal="left"/>
    </xf>
    <xf numFmtId="0" fontId="2" fillId="2" borderId="13" xfId="2" applyFont="1" applyFill="1" applyBorder="1" applyAlignment="1">
      <alignment horizontal="left"/>
    </xf>
    <xf numFmtId="0" fontId="2" fillId="2" borderId="16" xfId="2" applyFont="1" applyFill="1" applyBorder="1" applyAlignment="1">
      <alignment horizontal="left"/>
    </xf>
    <xf numFmtId="0" fontId="2" fillId="2" borderId="14" xfId="2" applyFont="1" applyFill="1" applyBorder="1" applyAlignment="1">
      <alignment horizontal="left"/>
    </xf>
    <xf numFmtId="0" fontId="2" fillId="2" borderId="34" xfId="2" applyFont="1" applyFill="1" applyBorder="1" applyAlignment="1">
      <alignment horizontal="center"/>
    </xf>
    <xf numFmtId="0" fontId="2" fillId="2" borderId="36" xfId="2" applyFont="1" applyFill="1" applyBorder="1" applyAlignment="1">
      <alignment horizontal="center"/>
    </xf>
    <xf numFmtId="0" fontId="2" fillId="2" borderId="23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21" xfId="2" applyFont="1" applyFill="1" applyBorder="1" applyAlignment="1">
      <alignment horizontal="center"/>
    </xf>
    <xf numFmtId="0" fontId="2" fillId="2" borderId="20" xfId="2" applyFont="1" applyFill="1" applyBorder="1" applyAlignment="1">
      <alignment horizontal="center"/>
    </xf>
    <xf numFmtId="0" fontId="10" fillId="2" borderId="8" xfId="2" applyFont="1" applyFill="1" applyBorder="1" applyAlignment="1">
      <alignment horizontal="center"/>
    </xf>
    <xf numFmtId="0" fontId="10" fillId="2" borderId="44" xfId="2" applyFont="1" applyFill="1" applyBorder="1" applyAlignment="1">
      <alignment horizontal="center"/>
    </xf>
    <xf numFmtId="0" fontId="10" fillId="2" borderId="10" xfId="2" applyFont="1" applyFill="1" applyBorder="1" applyAlignment="1">
      <alignment horizontal="center"/>
    </xf>
    <xf numFmtId="0" fontId="18" fillId="5" borderId="6" xfId="2" applyFont="1" applyFill="1" applyBorder="1" applyAlignment="1">
      <alignment horizontal="center" vertical="center" wrapText="1"/>
    </xf>
    <xf numFmtId="0" fontId="18" fillId="5" borderId="5" xfId="2" applyFont="1" applyFill="1" applyBorder="1" applyAlignment="1">
      <alignment horizontal="center" vertical="center" wrapText="1"/>
    </xf>
    <xf numFmtId="0" fontId="18" fillId="5" borderId="4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right" vertical="top" wrapText="1"/>
    </xf>
    <xf numFmtId="0" fontId="3" fillId="2" borderId="33" xfId="2" applyFont="1" applyFill="1" applyBorder="1" applyAlignment="1">
      <alignment horizontal="right" vertical="top" wrapText="1"/>
    </xf>
    <xf numFmtId="0" fontId="3" fillId="2" borderId="32" xfId="2" applyFont="1" applyFill="1" applyBorder="1" applyAlignment="1">
      <alignment horizontal="right" vertical="top" wrapText="1"/>
    </xf>
    <xf numFmtId="0" fontId="19" fillId="2" borderId="0" xfId="2" applyFont="1" applyFill="1" applyAlignment="1">
      <alignment horizontal="right"/>
    </xf>
    <xf numFmtId="0" fontId="20" fillId="2" borderId="31" xfId="2" applyFont="1" applyFill="1" applyBorder="1" applyAlignment="1">
      <alignment horizontal="center"/>
    </xf>
    <xf numFmtId="0" fontId="19" fillId="2" borderId="0" xfId="2" applyFont="1" applyFill="1"/>
    <xf numFmtId="0" fontId="3" fillId="3" borderId="3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0" borderId="21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0" fontId="3" fillId="0" borderId="3" xfId="1" applyFont="1" applyBorder="1" applyAlignment="1">
      <alignment horizontal="right"/>
    </xf>
    <xf numFmtId="164" fontId="2" fillId="0" borderId="2" xfId="1" applyNumberFormat="1" applyFont="1" applyBorder="1" applyAlignment="1">
      <alignment horizontal="right"/>
    </xf>
    <xf numFmtId="0" fontId="2" fillId="2" borderId="19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3" fillId="0" borderId="17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3" fillId="0" borderId="14" xfId="1" applyFont="1" applyBorder="1" applyAlignment="1">
      <alignment horizontal="right"/>
    </xf>
    <xf numFmtId="0" fontId="2" fillId="0" borderId="15" xfId="1" applyFont="1" applyBorder="1" applyAlignment="1">
      <alignment horizontal="right"/>
    </xf>
    <xf numFmtId="164" fontId="2" fillId="0" borderId="13" xfId="1" applyNumberFormat="1" applyFont="1" applyBorder="1" applyAlignment="1">
      <alignment horizontal="center"/>
    </xf>
    <xf numFmtId="164" fontId="2" fillId="0" borderId="12" xfId="1" applyNumberFormat="1" applyFont="1" applyBorder="1" applyAlignment="1">
      <alignment horizontal="center"/>
    </xf>
    <xf numFmtId="164" fontId="2" fillId="0" borderId="13" xfId="1" applyNumberFormat="1" applyFont="1" applyBorder="1" applyAlignment="1">
      <alignment horizontal="right" wrapText="1"/>
    </xf>
    <xf numFmtId="164" fontId="2" fillId="0" borderId="14" xfId="1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2" fillId="0" borderId="4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3" fillId="0" borderId="11" xfId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0" fontId="3" fillId="0" borderId="9" xfId="1" applyFont="1" applyBorder="1" applyAlignment="1">
      <alignment horizontal="right"/>
    </xf>
    <xf numFmtId="0" fontId="2" fillId="0" borderId="9" xfId="1" applyFont="1" applyBorder="1" applyAlignment="1">
      <alignment horizontal="right"/>
    </xf>
    <xf numFmtId="0" fontId="3" fillId="3" borderId="6" xfId="1" applyFont="1" applyFill="1" applyBorder="1" applyAlignment="1">
      <alignment horizontal="left"/>
    </xf>
    <xf numFmtId="0" fontId="3" fillId="3" borderId="5" xfId="1" applyFont="1" applyFill="1" applyBorder="1" applyAlignment="1">
      <alignment horizontal="left"/>
    </xf>
    <xf numFmtId="0" fontId="3" fillId="3" borderId="4" xfId="1" applyFont="1" applyFill="1" applyBorder="1" applyAlignment="1">
      <alignment horizontal="left"/>
    </xf>
    <xf numFmtId="0" fontId="2" fillId="0" borderId="17" xfId="1" applyFont="1" applyBorder="1" applyAlignment="1">
      <alignment horizontal="left"/>
    </xf>
    <xf numFmtId="0" fontId="2" fillId="0" borderId="16" xfId="1" applyFont="1" applyBorder="1" applyAlignment="1">
      <alignment horizontal="left"/>
    </xf>
    <xf numFmtId="0" fontId="2" fillId="0" borderId="12" xfId="1" applyFont="1" applyBorder="1" applyAlignment="1">
      <alignment horizontal="left"/>
    </xf>
    <xf numFmtId="0" fontId="28" fillId="0" borderId="21" xfId="1" applyFont="1" applyBorder="1" applyAlignment="1">
      <alignment horizontal="left" wrapText="1"/>
    </xf>
    <xf numFmtId="0" fontId="28" fillId="0" borderId="20" xfId="1" applyFont="1" applyBorder="1" applyAlignment="1">
      <alignment horizontal="left" wrapText="1"/>
    </xf>
    <xf numFmtId="0" fontId="28" fillId="0" borderId="18" xfId="1" applyFont="1" applyBorder="1" applyAlignment="1">
      <alignment horizontal="left" wrapText="1"/>
    </xf>
    <xf numFmtId="0" fontId="2" fillId="0" borderId="42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1" xfId="1" applyFont="1" applyBorder="1" applyAlignment="1">
      <alignment horizontal="left" wrapText="1"/>
    </xf>
    <xf numFmtId="0" fontId="2" fillId="0" borderId="11" xfId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0" fontId="2" fillId="0" borderId="9" xfId="1" applyFont="1" applyBorder="1" applyAlignment="1">
      <alignment horizontal="left"/>
    </xf>
    <xf numFmtId="0" fontId="2" fillId="0" borderId="27" xfId="1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9" fillId="5" borderId="13" xfId="2" applyFont="1" applyFill="1" applyBorder="1" applyAlignment="1">
      <alignment horizontal="center" vertical="center" wrapText="1"/>
    </xf>
    <xf numFmtId="0" fontId="29" fillId="5" borderId="16" xfId="2" applyFont="1" applyFill="1" applyBorder="1" applyAlignment="1">
      <alignment horizontal="center" vertical="center" wrapText="1"/>
    </xf>
    <xf numFmtId="0" fontId="29" fillId="5" borderId="14" xfId="2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6" fillId="0" borderId="17" xfId="1" applyFont="1" applyBorder="1" applyAlignment="1">
      <alignment horizontal="left" wrapText="1"/>
    </xf>
    <xf numFmtId="0" fontId="6" fillId="0" borderId="16" xfId="1" applyFont="1" applyBorder="1" applyAlignment="1">
      <alignment horizontal="left" wrapText="1"/>
    </xf>
    <xf numFmtId="0" fontId="6" fillId="0" borderId="12" xfId="1" applyFont="1" applyBorder="1" applyAlignment="1">
      <alignment horizontal="left" wrapText="1"/>
    </xf>
    <xf numFmtId="0" fontId="31" fillId="0" borderId="21" xfId="1" applyFont="1" applyBorder="1" applyAlignment="1">
      <alignment horizontal="left"/>
    </xf>
    <xf numFmtId="0" fontId="31" fillId="0" borderId="20" xfId="1" applyFont="1" applyBorder="1" applyAlignment="1">
      <alignment horizontal="left"/>
    </xf>
    <xf numFmtId="0" fontId="31" fillId="0" borderId="18" xfId="1" applyFont="1" applyBorder="1" applyAlignment="1">
      <alignment horizontal="left"/>
    </xf>
    <xf numFmtId="164" fontId="2" fillId="0" borderId="8" xfId="1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2" fillId="0" borderId="25" xfId="1" applyFont="1" applyBorder="1" applyAlignment="1">
      <alignment horizontal="left"/>
    </xf>
    <xf numFmtId="0" fontId="2" fillId="0" borderId="14" xfId="1" applyFont="1" applyBorder="1" applyAlignment="1">
      <alignment horizontal="left"/>
    </xf>
    <xf numFmtId="0" fontId="2" fillId="0" borderId="15" xfId="1" applyFont="1" applyBorder="1" applyAlignment="1">
      <alignment horizontal="left"/>
    </xf>
    <xf numFmtId="0" fontId="2" fillId="0" borderId="24" xfId="1" applyFont="1" applyBorder="1" applyAlignment="1">
      <alignment horizontal="left"/>
    </xf>
    <xf numFmtId="0" fontId="2" fillId="0" borderId="17" xfId="1" applyFont="1" applyBorder="1" applyAlignment="1">
      <alignment horizontal="left" wrapText="1"/>
    </xf>
    <xf numFmtId="0" fontId="2" fillId="0" borderId="16" xfId="1" applyFont="1" applyBorder="1" applyAlignment="1">
      <alignment horizontal="left" wrapText="1"/>
    </xf>
    <xf numFmtId="0" fontId="2" fillId="0" borderId="12" xfId="1" applyFont="1" applyBorder="1" applyAlignment="1">
      <alignment horizontal="left" wrapText="1"/>
    </xf>
    <xf numFmtId="0" fontId="2" fillId="0" borderId="25" xfId="1" applyFont="1" applyBorder="1" applyAlignment="1">
      <alignment horizontal="left" wrapText="1"/>
    </xf>
    <xf numFmtId="0" fontId="2" fillId="0" borderId="14" xfId="1" applyFont="1" applyBorder="1" applyAlignment="1">
      <alignment horizontal="left" wrapText="1"/>
    </xf>
    <xf numFmtId="0" fontId="2" fillId="0" borderId="15" xfId="1" applyFont="1" applyBorder="1" applyAlignment="1">
      <alignment horizontal="left" wrapText="1"/>
    </xf>
    <xf numFmtId="0" fontId="2" fillId="0" borderId="24" xfId="1" applyFont="1" applyBorder="1" applyAlignment="1">
      <alignment horizontal="left" wrapText="1"/>
    </xf>
    <xf numFmtId="0" fontId="31" fillId="0" borderId="49" xfId="1" applyFont="1" applyBorder="1" applyAlignment="1">
      <alignment horizontal="left"/>
    </xf>
    <xf numFmtId="0" fontId="31" fillId="0" borderId="31" xfId="1" applyFont="1" applyBorder="1" applyAlignment="1">
      <alignment horizontal="left"/>
    </xf>
    <xf numFmtId="0" fontId="31" fillId="0" borderId="50" xfId="1" applyFont="1" applyBorder="1" applyAlignment="1">
      <alignment horizontal="left"/>
    </xf>
    <xf numFmtId="0" fontId="2" fillId="0" borderId="43" xfId="1" applyFont="1" applyBorder="1" applyAlignment="1">
      <alignment horizontal="left"/>
    </xf>
    <xf numFmtId="0" fontId="2" fillId="0" borderId="44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14" fontId="39" fillId="2" borderId="38" xfId="2" applyNumberFormat="1" applyFont="1" applyFill="1" applyBorder="1" applyAlignment="1">
      <alignment horizontal="center" vertical="center" wrapText="1"/>
    </xf>
    <xf numFmtId="14" fontId="39" fillId="2" borderId="41" xfId="2" applyNumberFormat="1" applyFont="1" applyFill="1" applyBorder="1" applyAlignment="1">
      <alignment horizontal="center" vertical="center" wrapText="1"/>
    </xf>
    <xf numFmtId="14" fontId="39" fillId="2" borderId="1" xfId="2" applyNumberFormat="1" applyFont="1" applyFill="1" applyBorder="1" applyAlignment="1">
      <alignment horizontal="center" vertical="center" wrapText="1"/>
    </xf>
    <xf numFmtId="0" fontId="39" fillId="2" borderId="39" xfId="2" applyFont="1" applyFill="1" applyBorder="1" applyAlignment="1">
      <alignment horizontal="left"/>
    </xf>
    <xf numFmtId="0" fontId="39" fillId="2" borderId="40" xfId="2" applyFont="1" applyFill="1" applyBorder="1" applyAlignment="1">
      <alignment horizontal="left"/>
    </xf>
    <xf numFmtId="0" fontId="39" fillId="2" borderId="35" xfId="2" applyFont="1" applyFill="1" applyBorder="1" applyAlignment="1">
      <alignment horizontal="left"/>
    </xf>
    <xf numFmtId="0" fontId="39" fillId="2" borderId="13" xfId="2" applyFont="1" applyFill="1" applyBorder="1" applyAlignment="1">
      <alignment horizontal="left"/>
    </xf>
    <xf numFmtId="0" fontId="39" fillId="2" borderId="16" xfId="2" applyFont="1" applyFill="1" applyBorder="1" applyAlignment="1">
      <alignment horizontal="left"/>
    </xf>
    <xf numFmtId="0" fontId="39" fillId="2" borderId="14" xfId="2" applyFont="1" applyFill="1" applyBorder="1" applyAlignment="1">
      <alignment horizontal="left"/>
    </xf>
    <xf numFmtId="0" fontId="39" fillId="2" borderId="34" xfId="2" applyFont="1" applyFill="1" applyBorder="1" applyAlignment="1">
      <alignment horizontal="center"/>
    </xf>
    <xf numFmtId="0" fontId="39" fillId="2" borderId="36" xfId="2" applyFont="1" applyFill="1" applyBorder="1" applyAlignment="1">
      <alignment horizontal="center"/>
    </xf>
    <xf numFmtId="0" fontId="39" fillId="2" borderId="23" xfId="2" applyFont="1" applyFill="1" applyBorder="1" applyAlignment="1">
      <alignment horizontal="center"/>
    </xf>
    <xf numFmtId="0" fontId="39" fillId="2" borderId="0" xfId="2" applyFont="1" applyFill="1" applyAlignment="1">
      <alignment horizontal="center"/>
    </xf>
    <xf numFmtId="0" fontId="39" fillId="2" borderId="21" xfId="2" applyFont="1" applyFill="1" applyBorder="1" applyAlignment="1">
      <alignment horizontal="center"/>
    </xf>
    <xf numFmtId="0" fontId="39" fillId="2" borderId="20" xfId="2" applyFont="1" applyFill="1" applyBorder="1" applyAlignment="1">
      <alignment horizontal="center"/>
    </xf>
    <xf numFmtId="0" fontId="18" fillId="2" borderId="29" xfId="2" applyFont="1" applyFill="1" applyBorder="1" applyAlignment="1">
      <alignment horizontal="center"/>
    </xf>
    <xf numFmtId="0" fontId="18" fillId="2" borderId="8" xfId="2" applyFont="1" applyFill="1" applyBorder="1" applyAlignment="1">
      <alignment horizontal="center"/>
    </xf>
    <xf numFmtId="0" fontId="18" fillId="2" borderId="44" xfId="2" applyFont="1" applyFill="1" applyBorder="1" applyAlignment="1">
      <alignment horizontal="center"/>
    </xf>
    <xf numFmtId="0" fontId="18" fillId="2" borderId="10" xfId="2" applyFont="1" applyFill="1" applyBorder="1" applyAlignment="1">
      <alignment horizontal="center"/>
    </xf>
    <xf numFmtId="0" fontId="18" fillId="2" borderId="37" xfId="2" applyFont="1" applyFill="1" applyBorder="1" applyAlignment="1">
      <alignment horizontal="right" vertical="top" wrapText="1"/>
    </xf>
    <xf numFmtId="0" fontId="18" fillId="2" borderId="33" xfId="2" applyFont="1" applyFill="1" applyBorder="1" applyAlignment="1">
      <alignment horizontal="right" vertical="top" wrapText="1"/>
    </xf>
    <xf numFmtId="0" fontId="18" fillId="2" borderId="32" xfId="2" applyFont="1" applyFill="1" applyBorder="1" applyAlignment="1">
      <alignment horizontal="right" vertical="top" wrapText="1"/>
    </xf>
    <xf numFmtId="0" fontId="40" fillId="2" borderId="31" xfId="2" applyFont="1" applyFill="1" applyBorder="1" applyAlignment="1">
      <alignment horizontal="center"/>
    </xf>
    <xf numFmtId="0" fontId="18" fillId="3" borderId="30" xfId="1" applyFont="1" applyFill="1" applyBorder="1" applyAlignment="1">
      <alignment horizontal="center" vertical="center"/>
    </xf>
    <xf numFmtId="0" fontId="18" fillId="3" borderId="11" xfId="1" applyFont="1" applyFill="1" applyBorder="1" applyAlignment="1">
      <alignment horizontal="center" vertical="center"/>
    </xf>
    <xf numFmtId="0" fontId="18" fillId="3" borderId="30" xfId="1" applyFont="1" applyFill="1" applyBorder="1" applyAlignment="1">
      <alignment horizontal="center" vertical="center" wrapText="1"/>
    </xf>
    <xf numFmtId="0" fontId="18" fillId="3" borderId="11" xfId="1" applyFont="1" applyFill="1" applyBorder="1" applyAlignment="1">
      <alignment horizontal="center" vertical="center" wrapText="1"/>
    </xf>
    <xf numFmtId="0" fontId="18" fillId="3" borderId="29" xfId="1" applyFont="1" applyFill="1" applyBorder="1" applyAlignment="1">
      <alignment horizontal="center" vertical="center"/>
    </xf>
    <xf numFmtId="0" fontId="18" fillId="3" borderId="9" xfId="1" applyFont="1" applyFill="1" applyBorder="1" applyAlignment="1">
      <alignment horizontal="center" vertical="center"/>
    </xf>
    <xf numFmtId="0" fontId="18" fillId="0" borderId="21" xfId="1" applyFont="1" applyBorder="1" applyAlignment="1">
      <alignment horizontal="right"/>
    </xf>
    <xf numFmtId="0" fontId="18" fillId="0" borderId="20" xfId="1" applyFont="1" applyBorder="1" applyAlignment="1">
      <alignment horizontal="right"/>
    </xf>
    <xf numFmtId="0" fontId="18" fillId="0" borderId="3" xfId="1" applyFont="1" applyBorder="1" applyAlignment="1">
      <alignment horizontal="right"/>
    </xf>
    <xf numFmtId="164" fontId="39" fillId="0" borderId="2" xfId="1" applyNumberFormat="1" applyFont="1" applyBorder="1" applyAlignment="1">
      <alignment horizontal="right"/>
    </xf>
    <xf numFmtId="0" fontId="39" fillId="2" borderId="19" xfId="1" applyFont="1" applyFill="1" applyBorder="1" applyAlignment="1">
      <alignment horizontal="center"/>
    </xf>
    <xf numFmtId="0" fontId="39" fillId="2" borderId="18" xfId="1" applyFont="1" applyFill="1" applyBorder="1" applyAlignment="1">
      <alignment horizontal="center"/>
    </xf>
    <xf numFmtId="0" fontId="18" fillId="0" borderId="17" xfId="1" applyFont="1" applyBorder="1" applyAlignment="1">
      <alignment horizontal="right"/>
    </xf>
    <xf numFmtId="0" fontId="18" fillId="0" borderId="16" xfId="1" applyFont="1" applyBorder="1" applyAlignment="1">
      <alignment horizontal="right"/>
    </xf>
    <xf numFmtId="0" fontId="18" fillId="0" borderId="14" xfId="1" applyFont="1" applyBorder="1" applyAlignment="1">
      <alignment horizontal="right"/>
    </xf>
    <xf numFmtId="0" fontId="39" fillId="0" borderId="15" xfId="1" applyFont="1" applyBorder="1" applyAlignment="1">
      <alignment horizontal="right"/>
    </xf>
    <xf numFmtId="164" fontId="39" fillId="0" borderId="13" xfId="1" applyNumberFormat="1" applyFont="1" applyBorder="1" applyAlignment="1">
      <alignment horizontal="center"/>
    </xf>
    <xf numFmtId="164" fontId="39" fillId="0" borderId="12" xfId="1" applyNumberFormat="1" applyFont="1" applyBorder="1" applyAlignment="1">
      <alignment horizontal="center"/>
    </xf>
    <xf numFmtId="0" fontId="43" fillId="0" borderId="21" xfId="0" applyFont="1" applyBorder="1" applyAlignment="1">
      <alignment horizontal="left"/>
    </xf>
    <xf numFmtId="0" fontId="43" fillId="0" borderId="20" xfId="0" applyFont="1" applyBorder="1" applyAlignment="1">
      <alignment horizontal="left"/>
    </xf>
    <xf numFmtId="0" fontId="43" fillId="0" borderId="18" xfId="0" applyFont="1" applyBorder="1" applyAlignment="1">
      <alignment horizontal="left"/>
    </xf>
    <xf numFmtId="164" fontId="39" fillId="0" borderId="13" xfId="1" applyNumberFormat="1" applyFont="1" applyBorder="1" applyAlignment="1">
      <alignment horizontal="right" wrapText="1"/>
    </xf>
    <xf numFmtId="164" fontId="39" fillId="0" borderId="14" xfId="1" applyNumberFormat="1" applyFont="1" applyBorder="1" applyAlignment="1">
      <alignment horizontal="right" wrapText="1"/>
    </xf>
    <xf numFmtId="164" fontId="39" fillId="0" borderId="13" xfId="0" applyNumberFormat="1" applyFont="1" applyBorder="1" applyAlignment="1">
      <alignment horizontal="center" wrapText="1"/>
    </xf>
    <xf numFmtId="164" fontId="39" fillId="0" borderId="12" xfId="0" applyNumberFormat="1" applyFont="1" applyBorder="1" applyAlignment="1">
      <alignment horizontal="center" wrapText="1"/>
    </xf>
    <xf numFmtId="0" fontId="18" fillId="0" borderId="11" xfId="1" applyFont="1" applyBorder="1" applyAlignment="1">
      <alignment horizontal="right"/>
    </xf>
    <xf numFmtId="0" fontId="18" fillId="0" borderId="10" xfId="1" applyFont="1" applyBorder="1" applyAlignment="1">
      <alignment horizontal="right"/>
    </xf>
    <xf numFmtId="0" fontId="18" fillId="0" borderId="9" xfId="1" applyFont="1" applyBorder="1" applyAlignment="1">
      <alignment horizontal="right"/>
    </xf>
    <xf numFmtId="0" fontId="39" fillId="0" borderId="9" xfId="1" applyFont="1" applyBorder="1" applyAlignment="1">
      <alignment horizontal="right"/>
    </xf>
    <xf numFmtId="0" fontId="18" fillId="3" borderId="6" xfId="1" applyFont="1" applyFill="1" applyBorder="1" applyAlignment="1">
      <alignment horizontal="left"/>
    </xf>
    <xf numFmtId="0" fontId="18" fillId="3" borderId="5" xfId="1" applyFont="1" applyFill="1" applyBorder="1" applyAlignment="1">
      <alignment horizontal="left"/>
    </xf>
    <xf numFmtId="0" fontId="18" fillId="3" borderId="4" xfId="1" applyFont="1" applyFill="1" applyBorder="1" applyAlignment="1">
      <alignment horizontal="left"/>
    </xf>
    <xf numFmtId="0" fontId="41" fillId="0" borderId="17" xfId="0" applyFont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2" xfId="0" applyFont="1" applyBorder="1" applyAlignment="1">
      <alignment horizontal="left"/>
    </xf>
    <xf numFmtId="0" fontId="18" fillId="6" borderId="45" xfId="2" applyFont="1" applyFill="1" applyBorder="1" applyAlignment="1">
      <alignment horizontal="center"/>
    </xf>
    <xf numFmtId="0" fontId="18" fillId="6" borderId="36" xfId="2" applyFont="1" applyFill="1" applyBorder="1" applyAlignment="1">
      <alignment horizontal="center"/>
    </xf>
    <xf numFmtId="0" fontId="39" fillId="2" borderId="46" xfId="2" applyFont="1" applyFill="1" applyBorder="1" applyAlignment="1">
      <alignment horizontal="left"/>
    </xf>
    <xf numFmtId="0" fontId="39" fillId="2" borderId="0" xfId="2" applyFont="1" applyFill="1" applyAlignment="1">
      <alignment horizontal="left"/>
    </xf>
    <xf numFmtId="0" fontId="43" fillId="0" borderId="17" xfId="0" applyFont="1" applyBorder="1" applyAlignment="1">
      <alignment horizontal="left"/>
    </xf>
    <xf numFmtId="0" fontId="43" fillId="0" borderId="16" xfId="0" applyFont="1" applyBorder="1" applyAlignment="1">
      <alignment horizontal="left"/>
    </xf>
    <xf numFmtId="0" fontId="43" fillId="0" borderId="12" xfId="0" applyFont="1" applyBorder="1" applyAlignment="1">
      <alignment horizontal="left"/>
    </xf>
    <xf numFmtId="0" fontId="39" fillId="0" borderId="17" xfId="0" applyFont="1" applyBorder="1" applyAlignment="1">
      <alignment horizontal="left"/>
    </xf>
    <xf numFmtId="0" fontId="39" fillId="0" borderId="16" xfId="0" applyFont="1" applyBorder="1" applyAlignment="1">
      <alignment horizontal="left"/>
    </xf>
    <xf numFmtId="0" fontId="39" fillId="0" borderId="12" xfId="0" applyFont="1" applyBorder="1" applyAlignment="1">
      <alignment horizontal="left"/>
    </xf>
    <xf numFmtId="0" fontId="10" fillId="5" borderId="6" xfId="2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164" fontId="9" fillId="0" borderId="13" xfId="0" applyNumberFormat="1" applyFont="1" applyBorder="1" applyAlignment="1">
      <alignment horizontal="center" wrapText="1"/>
    </xf>
    <xf numFmtId="164" fontId="9" fillId="0" borderId="12" xfId="0" applyNumberFormat="1" applyFont="1" applyBorder="1" applyAlignment="1">
      <alignment horizontal="center" wrapText="1"/>
    </xf>
    <xf numFmtId="0" fontId="13" fillId="0" borderId="17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0" fillId="6" borderId="45" xfId="2" applyFont="1" applyFill="1" applyBorder="1" applyAlignment="1">
      <alignment horizontal="center"/>
    </xf>
    <xf numFmtId="0" fontId="10" fillId="6" borderId="36" xfId="2" applyFont="1" applyFill="1" applyBorder="1" applyAlignment="1">
      <alignment horizontal="center"/>
    </xf>
    <xf numFmtId="0" fontId="9" fillId="2" borderId="46" xfId="2" applyFont="1" applyFill="1" applyBorder="1" applyAlignment="1">
      <alignment horizontal="left"/>
    </xf>
    <xf numFmtId="0" fontId="9" fillId="2" borderId="0" xfId="2" applyFont="1" applyFill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14" xfId="0" applyFont="1" applyBorder="1" applyAlignment="1">
      <alignment horizontal="left" wrapText="1"/>
    </xf>
    <xf numFmtId="0" fontId="9" fillId="0" borderId="43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7" xfId="0" applyFont="1" applyBorder="1" applyAlignment="1">
      <alignment horizontal="left" wrapText="1"/>
    </xf>
    <xf numFmtId="0" fontId="5" fillId="0" borderId="16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6" fillId="0" borderId="17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43" xfId="0" applyFont="1" applyBorder="1" applyAlignment="1">
      <alignment horizontal="left"/>
    </xf>
    <xf numFmtId="0" fontId="6" fillId="0" borderId="44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2" xfId="0" applyFont="1" applyBorder="1" applyAlignment="1">
      <alignment horizontal="left"/>
    </xf>
  </cellXfs>
  <cellStyles count="11">
    <cellStyle name="Millares" xfId="6" builtinId="3"/>
    <cellStyle name="Millares [0]" xfId="10" builtinId="6"/>
    <cellStyle name="Normal" xfId="0" builtinId="0"/>
    <cellStyle name="Normal 2" xfId="1" xr:uid="{C0DB4AF8-A19F-4278-A9FF-581BF902206A}"/>
    <cellStyle name="Normal 2 2" xfId="3" xr:uid="{F81F2AC9-ED36-454F-8730-AB30E4881B94}"/>
    <cellStyle name="Normal 3" xfId="7" xr:uid="{B499BB5F-16EB-4280-A5B5-69EA4F8EC84C}"/>
    <cellStyle name="Normal 3 2" xfId="5" xr:uid="{B1A48605-350A-4CE3-94DD-CBBF35FD5DC0}"/>
    <cellStyle name="Normal 4" xfId="8" xr:uid="{CADA2603-3775-4B81-8186-FDDC9811BC25}"/>
    <cellStyle name="Normal 5" xfId="4" xr:uid="{B94A487A-5ACD-454C-BDCC-075D8E038F96}"/>
    <cellStyle name="Normal_CRITERIOS DE EVALUACION PT DE GB 2" xfId="2" xr:uid="{488504B2-C3C9-4CE5-B4A0-E149C322B0F3}"/>
    <cellStyle name="Porcentaje 2 2" xfId="9" xr:uid="{186F22E5-A714-4EF7-BE4F-E93A73FE0B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0</xdr:rowOff>
    </xdr:from>
    <xdr:to>
      <xdr:col>22</xdr:col>
      <xdr:colOff>46260</xdr:colOff>
      <xdr:row>39</xdr:row>
      <xdr:rowOff>137567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1DBDDA-DAE9-927E-5B72-5E6B54F5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7840" y="2232660"/>
          <a:ext cx="6226080" cy="4694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1</xdr:row>
      <xdr:rowOff>166685</xdr:rowOff>
    </xdr:from>
    <xdr:to>
      <xdr:col>1</xdr:col>
      <xdr:colOff>876417</xdr:colOff>
      <xdr:row>3</xdr:row>
      <xdr:rowOff>154780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204F8F3-A8DE-4CD4-AFFA-3A6D2AB22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380998"/>
          <a:ext cx="1757480" cy="785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158751</xdr:rowOff>
    </xdr:from>
    <xdr:to>
      <xdr:col>1</xdr:col>
      <xdr:colOff>502024</xdr:colOff>
      <xdr:row>5</xdr:row>
      <xdr:rowOff>33344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78B37197-8B85-4BB8-9E83-F89CBE959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158751"/>
          <a:ext cx="1357032" cy="1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14E3-0E51-4764-8089-3A716BDC8284}">
  <dimension ref="A1:I60"/>
  <sheetViews>
    <sheetView zoomScale="85" zoomScaleNormal="85" zoomScaleSheetLayoutView="85" workbookViewId="0">
      <selection activeCell="D22" sqref="D22"/>
    </sheetView>
  </sheetViews>
  <sheetFormatPr baseColWidth="10" defaultRowHeight="15" x14ac:dyDescent="0.25"/>
  <cols>
    <col min="3" max="3" width="53.140625" customWidth="1"/>
    <col min="4" max="4" width="34.28515625" bestFit="1" customWidth="1"/>
    <col min="7" max="7" width="17.140625" customWidth="1"/>
    <col min="8" max="8" width="27" customWidth="1"/>
    <col min="9" max="9" width="23.42578125" bestFit="1" customWidth="1"/>
  </cols>
  <sheetData>
    <row r="1" spans="1:9" ht="17.25" x14ac:dyDescent="0.3">
      <c r="A1" s="652"/>
      <c r="B1" s="653"/>
      <c r="C1" s="674" t="s">
        <v>34</v>
      </c>
      <c r="D1" s="674"/>
      <c r="E1" s="674"/>
      <c r="F1" s="674"/>
      <c r="G1" s="674"/>
      <c r="H1" s="4" t="s">
        <v>33</v>
      </c>
      <c r="I1" s="5"/>
    </row>
    <row r="2" spans="1:9" ht="18" thickBot="1" x14ac:dyDescent="0.35">
      <c r="A2" s="654"/>
      <c r="B2" s="655"/>
      <c r="C2" s="675" t="s">
        <v>32</v>
      </c>
      <c r="D2" s="675"/>
      <c r="E2" s="675"/>
      <c r="F2" s="675"/>
      <c r="G2" s="675"/>
      <c r="H2" s="6" t="s">
        <v>31</v>
      </c>
      <c r="I2" s="7"/>
    </row>
    <row r="3" spans="1:9" ht="15.95" customHeight="1" thickBot="1" x14ac:dyDescent="0.3">
      <c r="A3" s="654"/>
      <c r="B3" s="655"/>
      <c r="C3" s="676" t="s">
        <v>299</v>
      </c>
      <c r="D3" s="676"/>
      <c r="E3" s="676"/>
      <c r="F3" s="676"/>
      <c r="G3" s="677"/>
      <c r="H3" s="678" t="s">
        <v>30</v>
      </c>
      <c r="I3" s="665"/>
    </row>
    <row r="4" spans="1:9" ht="17.25" x14ac:dyDescent="0.3">
      <c r="A4" s="654"/>
      <c r="B4" s="655"/>
      <c r="C4" s="8" t="s">
        <v>29</v>
      </c>
      <c r="D4" s="668" t="s">
        <v>36</v>
      </c>
      <c r="E4" s="669"/>
      <c r="F4" s="669"/>
      <c r="G4" s="670"/>
      <c r="H4" s="679"/>
      <c r="I4" s="666"/>
    </row>
    <row r="5" spans="1:9" ht="18" thickBot="1" x14ac:dyDescent="0.35">
      <c r="A5" s="656"/>
      <c r="B5" s="657"/>
      <c r="C5" s="9" t="s">
        <v>28</v>
      </c>
      <c r="D5" s="671" t="s">
        <v>37</v>
      </c>
      <c r="E5" s="672"/>
      <c r="F5" s="672"/>
      <c r="G5" s="673"/>
      <c r="H5" s="680"/>
      <c r="I5" s="667"/>
    </row>
    <row r="6" spans="1:9" ht="16.5" thickBot="1" x14ac:dyDescent="0.3">
      <c r="A6" s="681" t="s">
        <v>27</v>
      </c>
      <c r="B6" s="681"/>
      <c r="C6" s="681"/>
      <c r="D6" s="682" t="s">
        <v>38</v>
      </c>
      <c r="E6" s="682"/>
      <c r="F6" s="682"/>
      <c r="G6" s="683" t="s">
        <v>26</v>
      </c>
      <c r="H6" s="683"/>
      <c r="I6" s="10" t="s">
        <v>38</v>
      </c>
    </row>
    <row r="7" spans="1:9" x14ac:dyDescent="0.25">
      <c r="A7" s="684" t="s">
        <v>25</v>
      </c>
      <c r="B7" s="686" t="s">
        <v>24</v>
      </c>
      <c r="C7" s="664" t="s">
        <v>23</v>
      </c>
      <c r="D7" s="664" t="s">
        <v>22</v>
      </c>
      <c r="E7" s="664" t="s">
        <v>21</v>
      </c>
      <c r="F7" s="664"/>
      <c r="G7" s="664" t="s">
        <v>20</v>
      </c>
      <c r="H7" s="664"/>
      <c r="I7" s="11" t="s">
        <v>19</v>
      </c>
    </row>
    <row r="8" spans="1:9" ht="31.5" thickBot="1" x14ac:dyDescent="0.3">
      <c r="A8" s="685"/>
      <c r="B8" s="687"/>
      <c r="C8" s="688"/>
      <c r="D8" s="688"/>
      <c r="E8" s="12" t="s">
        <v>15</v>
      </c>
      <c r="F8" s="13" t="s">
        <v>18</v>
      </c>
      <c r="G8" s="12" t="s">
        <v>15</v>
      </c>
      <c r="H8" s="13" t="s">
        <v>18</v>
      </c>
      <c r="I8" s="14" t="s">
        <v>17</v>
      </c>
    </row>
    <row r="9" spans="1:9" ht="15.75" x14ac:dyDescent="0.25">
      <c r="A9" s="15"/>
      <c r="B9" s="16"/>
      <c r="C9" s="17" t="s">
        <v>39</v>
      </c>
      <c r="D9" s="18"/>
      <c r="E9" s="19"/>
      <c r="F9" s="20"/>
      <c r="G9" s="19"/>
      <c r="H9" s="20"/>
      <c r="I9" s="21"/>
    </row>
    <row r="10" spans="1:9" ht="15.95" customHeight="1" x14ac:dyDescent="0.25">
      <c r="A10" s="22" t="s">
        <v>40</v>
      </c>
      <c r="B10" s="23" t="s">
        <v>41</v>
      </c>
      <c r="C10" s="24" t="s">
        <v>42</v>
      </c>
      <c r="D10" s="25" t="s">
        <v>43</v>
      </c>
      <c r="E10" s="25">
        <v>10</v>
      </c>
      <c r="F10" s="26" t="s">
        <v>2</v>
      </c>
      <c r="G10" s="27"/>
      <c r="H10" s="28"/>
      <c r="I10" s="21"/>
    </row>
    <row r="11" spans="1:9" ht="17.25" x14ac:dyDescent="0.25">
      <c r="A11" s="22"/>
      <c r="B11" s="29" t="s">
        <v>44</v>
      </c>
      <c r="C11" s="30" t="s">
        <v>45</v>
      </c>
      <c r="D11" s="31" t="s">
        <v>35</v>
      </c>
      <c r="E11" s="25">
        <v>112</v>
      </c>
      <c r="F11" s="26" t="s">
        <v>2</v>
      </c>
      <c r="G11" s="27"/>
      <c r="H11" s="32"/>
      <c r="I11" s="21"/>
    </row>
    <row r="12" spans="1:9" ht="17.25" x14ac:dyDescent="0.3">
      <c r="A12" s="22" t="s">
        <v>46</v>
      </c>
      <c r="B12" s="23" t="s">
        <v>47</v>
      </c>
      <c r="C12" s="33" t="s">
        <v>48</v>
      </c>
      <c r="D12" s="25" t="s">
        <v>43</v>
      </c>
      <c r="E12" s="34">
        <v>30</v>
      </c>
      <c r="F12" s="35" t="s">
        <v>2</v>
      </c>
      <c r="G12" s="36"/>
      <c r="H12" s="37"/>
      <c r="I12" s="21"/>
    </row>
    <row r="13" spans="1:9" ht="17.25" x14ac:dyDescent="0.3">
      <c r="A13" s="38"/>
      <c r="B13" s="38"/>
      <c r="C13" s="39"/>
      <c r="D13" s="40"/>
      <c r="E13" s="27"/>
      <c r="F13" s="1"/>
      <c r="G13" s="36"/>
      <c r="H13" s="37"/>
      <c r="I13" s="21"/>
    </row>
    <row r="14" spans="1:9" ht="17.25" x14ac:dyDescent="0.3">
      <c r="A14" s="35"/>
      <c r="B14" s="35"/>
      <c r="C14" s="41"/>
      <c r="D14" s="28"/>
      <c r="E14" s="36"/>
      <c r="F14" s="42"/>
      <c r="G14" s="36"/>
      <c r="H14" s="37"/>
      <c r="I14" s="21"/>
    </row>
    <row r="15" spans="1:9" ht="15.75" x14ac:dyDescent="0.25">
      <c r="A15" s="43"/>
      <c r="B15" s="43"/>
      <c r="C15" s="44"/>
      <c r="D15" s="28"/>
      <c r="E15" s="27"/>
      <c r="F15" s="1"/>
      <c r="G15" s="45"/>
      <c r="H15" s="37"/>
      <c r="I15" s="21"/>
    </row>
    <row r="16" spans="1:9" ht="15.75" x14ac:dyDescent="0.25">
      <c r="A16" s="43"/>
      <c r="B16" s="43"/>
      <c r="C16" s="44"/>
      <c r="D16" s="28"/>
      <c r="E16" s="27"/>
      <c r="F16" s="1"/>
      <c r="G16" s="45"/>
      <c r="H16" s="37"/>
      <c r="I16" s="21"/>
    </row>
    <row r="17" spans="1:9" ht="15.75" x14ac:dyDescent="0.25">
      <c r="A17" s="43"/>
      <c r="B17" s="43"/>
      <c r="C17" s="44"/>
      <c r="D17" s="46"/>
      <c r="E17" s="47"/>
      <c r="F17" s="48"/>
      <c r="G17" s="45"/>
      <c r="H17" s="37"/>
      <c r="I17" s="21"/>
    </row>
    <row r="18" spans="1:9" ht="17.25" x14ac:dyDescent="0.3">
      <c r="A18" s="38"/>
      <c r="B18" s="38"/>
      <c r="C18" s="39"/>
      <c r="D18" s="49"/>
      <c r="E18" s="50"/>
      <c r="F18" s="51"/>
      <c r="G18" s="52"/>
      <c r="H18" s="37"/>
      <c r="I18" s="21"/>
    </row>
    <row r="19" spans="1:9" ht="15.75" x14ac:dyDescent="0.25">
      <c r="A19" s="38"/>
      <c r="B19" s="38"/>
      <c r="C19" s="53"/>
      <c r="D19" s="54"/>
      <c r="E19" s="54"/>
      <c r="F19" s="55"/>
      <c r="G19" s="19"/>
      <c r="H19" s="56"/>
      <c r="I19" s="21"/>
    </row>
    <row r="20" spans="1:9" ht="15.75" x14ac:dyDescent="0.25">
      <c r="A20" s="57"/>
      <c r="B20" s="57"/>
      <c r="C20" s="58" t="s">
        <v>16</v>
      </c>
      <c r="D20" s="59" t="s">
        <v>49</v>
      </c>
      <c r="E20" s="60"/>
      <c r="F20" s="55"/>
      <c r="G20" s="19"/>
      <c r="H20" s="56"/>
      <c r="I20" s="21"/>
    </row>
    <row r="21" spans="1:9" ht="17.25" x14ac:dyDescent="0.3">
      <c r="A21" s="61"/>
      <c r="B21" s="3" t="s">
        <v>83</v>
      </c>
      <c r="C21" s="2" t="s">
        <v>84</v>
      </c>
      <c r="D21" s="25" t="s">
        <v>35</v>
      </c>
      <c r="E21" s="34">
        <v>22</v>
      </c>
      <c r="F21" s="35" t="s">
        <v>2</v>
      </c>
      <c r="G21" s="52"/>
      <c r="H21" s="52" t="s">
        <v>50</v>
      </c>
      <c r="I21" s="21"/>
    </row>
    <row r="22" spans="1:9" ht="15.75" x14ac:dyDescent="0.25">
      <c r="A22" s="61"/>
      <c r="B22" s="3" t="s">
        <v>83</v>
      </c>
      <c r="C22" s="2" t="s">
        <v>84</v>
      </c>
      <c r="D22" s="25" t="s">
        <v>35</v>
      </c>
      <c r="E22" s="34">
        <v>15</v>
      </c>
      <c r="F22" s="35" t="s">
        <v>2</v>
      </c>
      <c r="G22" s="27"/>
      <c r="H22" s="28" t="s">
        <v>51</v>
      </c>
      <c r="I22" s="21"/>
    </row>
    <row r="23" spans="1:9" ht="15.75" x14ac:dyDescent="0.25">
      <c r="A23" s="61"/>
      <c r="B23" s="3" t="s">
        <v>52</v>
      </c>
      <c r="C23" s="2" t="s">
        <v>53</v>
      </c>
      <c r="D23" s="25" t="s">
        <v>35</v>
      </c>
      <c r="E23" s="34">
        <v>8</v>
      </c>
      <c r="F23" s="35" t="s">
        <v>2</v>
      </c>
      <c r="G23" s="27"/>
      <c r="H23" s="28"/>
      <c r="I23" s="21"/>
    </row>
    <row r="24" spans="1:9" ht="15.75" x14ac:dyDescent="0.25">
      <c r="A24" s="62"/>
      <c r="B24" s="62" t="s">
        <v>54</v>
      </c>
      <c r="C24" s="63" t="s">
        <v>55</v>
      </c>
      <c r="D24" s="64"/>
      <c r="E24" s="34">
        <v>1</v>
      </c>
      <c r="F24" s="35" t="s">
        <v>2</v>
      </c>
      <c r="G24" s="65"/>
      <c r="H24" s="27" t="s">
        <v>56</v>
      </c>
      <c r="I24" s="21"/>
    </row>
    <row r="25" spans="1:9" ht="15.75" x14ac:dyDescent="0.25">
      <c r="A25" s="62"/>
      <c r="B25" s="62" t="s">
        <v>54</v>
      </c>
      <c r="C25" s="63" t="s">
        <v>57</v>
      </c>
      <c r="D25" s="64"/>
      <c r="E25" s="34">
        <v>1</v>
      </c>
      <c r="F25" s="35" t="s">
        <v>2</v>
      </c>
      <c r="G25" s="65"/>
      <c r="H25" s="27"/>
      <c r="I25" s="21"/>
    </row>
    <row r="26" spans="1:9" ht="15.75" x14ac:dyDescent="0.25">
      <c r="A26" s="38"/>
      <c r="B26" s="38"/>
      <c r="C26" s="39"/>
      <c r="D26" s="64"/>
      <c r="E26" s="34"/>
      <c r="F26" s="1"/>
      <c r="G26" s="19"/>
      <c r="H26" s="56"/>
      <c r="I26" s="21"/>
    </row>
    <row r="27" spans="1:9" ht="15.75" x14ac:dyDescent="0.25">
      <c r="A27" s="38"/>
      <c r="B27" s="38"/>
      <c r="C27" s="53"/>
      <c r="D27" s="66"/>
      <c r="E27" s="67"/>
      <c r="F27" s="68"/>
      <c r="G27" s="19"/>
      <c r="H27" s="56"/>
      <c r="I27" s="21"/>
    </row>
    <row r="28" spans="1:9" ht="15.75" x14ac:dyDescent="0.25">
      <c r="A28" s="69"/>
      <c r="B28" s="69"/>
      <c r="C28" s="70" t="s">
        <v>58</v>
      </c>
      <c r="D28" s="71" t="s">
        <v>49</v>
      </c>
      <c r="E28" s="19"/>
      <c r="F28" s="20"/>
      <c r="G28" s="19"/>
      <c r="H28" s="56"/>
      <c r="I28" s="21"/>
    </row>
    <row r="29" spans="1:9" ht="15.75" x14ac:dyDescent="0.25">
      <c r="A29" s="61" t="s">
        <v>59</v>
      </c>
      <c r="B29" s="61" t="s">
        <v>60</v>
      </c>
      <c r="C29" s="24" t="s">
        <v>61</v>
      </c>
      <c r="D29" s="25" t="s">
        <v>62</v>
      </c>
      <c r="E29" s="61">
        <v>1</v>
      </c>
      <c r="F29" s="57" t="s">
        <v>5</v>
      </c>
      <c r="G29" s="45"/>
      <c r="H29" s="56"/>
      <c r="I29" s="21"/>
    </row>
    <row r="30" spans="1:9" ht="15.75" x14ac:dyDescent="0.25">
      <c r="A30" s="26">
        <v>702077</v>
      </c>
      <c r="B30" s="26" t="s">
        <v>63</v>
      </c>
      <c r="C30" s="72" t="s">
        <v>64</v>
      </c>
      <c r="D30" s="73" t="s">
        <v>65</v>
      </c>
      <c r="E30" s="26">
        <v>1</v>
      </c>
      <c r="F30" s="57" t="s">
        <v>5</v>
      </c>
      <c r="G30" s="74"/>
      <c r="H30" s="56"/>
      <c r="I30" s="21"/>
    </row>
    <row r="31" spans="1:9" ht="15.75" x14ac:dyDescent="0.25">
      <c r="A31" s="26">
        <v>702007</v>
      </c>
      <c r="B31" s="26" t="s">
        <v>66</v>
      </c>
      <c r="C31" s="72" t="s">
        <v>67</v>
      </c>
      <c r="D31" s="73" t="s">
        <v>65</v>
      </c>
      <c r="E31" s="26">
        <v>1</v>
      </c>
      <c r="F31" s="57" t="s">
        <v>5</v>
      </c>
      <c r="G31" s="19"/>
      <c r="H31" s="56"/>
      <c r="I31" s="21"/>
    </row>
    <row r="32" spans="1:9" ht="15.75" x14ac:dyDescent="0.25">
      <c r="A32" s="26">
        <v>702123</v>
      </c>
      <c r="B32" s="26" t="s">
        <v>68</v>
      </c>
      <c r="C32" s="72" t="s">
        <v>69</v>
      </c>
      <c r="D32" s="73"/>
      <c r="E32" s="26" t="s">
        <v>70</v>
      </c>
      <c r="F32" s="57" t="s">
        <v>5</v>
      </c>
      <c r="G32" s="19"/>
      <c r="H32" s="56"/>
      <c r="I32" s="21"/>
    </row>
    <row r="33" spans="1:9" ht="15.75" x14ac:dyDescent="0.25">
      <c r="A33" s="26">
        <v>702174</v>
      </c>
      <c r="B33" s="26" t="s">
        <v>71</v>
      </c>
      <c r="C33" s="72" t="s">
        <v>72</v>
      </c>
      <c r="D33" s="73"/>
      <c r="E33" s="26" t="s">
        <v>73</v>
      </c>
      <c r="F33" s="57" t="s">
        <v>5</v>
      </c>
      <c r="G33" s="19"/>
      <c r="H33" s="56"/>
      <c r="I33" s="21"/>
    </row>
    <row r="34" spans="1:9" ht="15.75" x14ac:dyDescent="0.25">
      <c r="A34" s="26" t="s">
        <v>74</v>
      </c>
      <c r="B34" s="26" t="s">
        <v>75</v>
      </c>
      <c r="C34" s="72" t="s">
        <v>76</v>
      </c>
      <c r="D34" s="73"/>
      <c r="E34" s="26" t="s">
        <v>70</v>
      </c>
      <c r="F34" s="57" t="s">
        <v>5</v>
      </c>
      <c r="G34" s="75"/>
      <c r="H34" s="56"/>
      <c r="I34" s="21"/>
    </row>
    <row r="35" spans="1:9" ht="15.75" x14ac:dyDescent="0.25">
      <c r="A35" s="26">
        <v>701096</v>
      </c>
      <c r="B35" s="26" t="s">
        <v>77</v>
      </c>
      <c r="C35" s="72" t="s">
        <v>78</v>
      </c>
      <c r="D35" s="73"/>
      <c r="E35" s="26">
        <v>1</v>
      </c>
      <c r="F35" s="1" t="s">
        <v>5</v>
      </c>
      <c r="G35" s="54"/>
      <c r="H35" s="56"/>
      <c r="I35" s="21"/>
    </row>
    <row r="36" spans="1:9" ht="17.25" x14ac:dyDescent="0.3">
      <c r="A36" s="76"/>
      <c r="B36" s="38"/>
      <c r="C36" s="77"/>
      <c r="D36" s="78"/>
      <c r="E36" s="42"/>
      <c r="F36" s="42"/>
      <c r="G36" s="54"/>
      <c r="H36" s="56"/>
      <c r="I36" s="21"/>
    </row>
    <row r="37" spans="1:9" ht="15.75" x14ac:dyDescent="0.25">
      <c r="A37" s="38"/>
      <c r="B37" s="79"/>
      <c r="C37" s="39"/>
      <c r="D37" s="28"/>
      <c r="E37" s="27"/>
      <c r="F37" s="1"/>
      <c r="G37" s="54"/>
      <c r="H37" s="59"/>
      <c r="I37" s="21"/>
    </row>
    <row r="38" spans="1:9" ht="15.75" x14ac:dyDescent="0.25">
      <c r="A38" s="80"/>
      <c r="B38" s="81"/>
      <c r="C38" s="82"/>
      <c r="D38" s="59"/>
      <c r="E38" s="59"/>
      <c r="F38" s="55"/>
      <c r="G38" s="59"/>
      <c r="H38" s="59"/>
      <c r="I38" s="21"/>
    </row>
    <row r="39" spans="1:9" ht="18" thickBot="1" x14ac:dyDescent="0.35">
      <c r="A39" s="83"/>
      <c r="B39" s="84"/>
      <c r="C39" s="85"/>
      <c r="D39" s="85"/>
      <c r="E39" s="86"/>
      <c r="F39" s="87"/>
      <c r="G39" s="85"/>
      <c r="H39" s="85"/>
      <c r="I39" s="88"/>
    </row>
    <row r="40" spans="1:9" ht="18" thickBot="1" x14ac:dyDescent="0.35">
      <c r="A40" s="89"/>
      <c r="B40" s="90"/>
      <c r="C40" s="91"/>
      <c r="D40" s="92" t="s">
        <v>15</v>
      </c>
      <c r="E40" s="93" t="s">
        <v>14</v>
      </c>
      <c r="F40" s="94"/>
      <c r="G40" s="91"/>
      <c r="H40" s="91"/>
      <c r="I40" s="95"/>
    </row>
    <row r="41" spans="1:9" ht="17.25" x14ac:dyDescent="0.3">
      <c r="A41" s="638" t="s">
        <v>13</v>
      </c>
      <c r="B41" s="639"/>
      <c r="C41" s="640"/>
      <c r="D41" s="96">
        <v>182</v>
      </c>
      <c r="E41" s="97" t="s">
        <v>2</v>
      </c>
      <c r="F41" s="641" t="s">
        <v>12</v>
      </c>
      <c r="G41" s="641"/>
      <c r="H41" s="642"/>
      <c r="I41" s="643"/>
    </row>
    <row r="42" spans="1:9" ht="17.25" x14ac:dyDescent="0.3">
      <c r="A42" s="644" t="s">
        <v>11</v>
      </c>
      <c r="B42" s="645"/>
      <c r="C42" s="646"/>
      <c r="D42" s="98">
        <v>5</v>
      </c>
      <c r="E42" s="99" t="s">
        <v>10</v>
      </c>
      <c r="F42" s="647" t="s">
        <v>9</v>
      </c>
      <c r="G42" s="647"/>
      <c r="H42" s="648"/>
      <c r="I42" s="649"/>
    </row>
    <row r="43" spans="1:9" ht="17.25" x14ac:dyDescent="0.3">
      <c r="A43" s="644" t="s">
        <v>8</v>
      </c>
      <c r="B43" s="645"/>
      <c r="C43" s="646"/>
      <c r="D43" s="99">
        <v>1</v>
      </c>
      <c r="E43" s="99" t="s">
        <v>5</v>
      </c>
      <c r="F43" s="647" t="s">
        <v>7</v>
      </c>
      <c r="G43" s="647"/>
      <c r="H43" s="648"/>
      <c r="I43" s="649"/>
    </row>
    <row r="44" spans="1:9" ht="17.25" x14ac:dyDescent="0.3">
      <c r="A44" s="644" t="s">
        <v>6</v>
      </c>
      <c r="B44" s="645"/>
      <c r="C44" s="646"/>
      <c r="D44" s="99">
        <v>182</v>
      </c>
      <c r="E44" s="99" t="s">
        <v>2</v>
      </c>
      <c r="F44" s="650" t="s">
        <v>4</v>
      </c>
      <c r="G44" s="651"/>
      <c r="H44" s="648"/>
      <c r="I44" s="649"/>
    </row>
    <row r="45" spans="1:9" ht="18" thickBot="1" x14ac:dyDescent="0.35">
      <c r="A45" s="658" t="s">
        <v>3</v>
      </c>
      <c r="B45" s="659"/>
      <c r="C45" s="660"/>
      <c r="D45" s="100">
        <f>SUM(E10:E25)-D41</f>
        <v>17</v>
      </c>
      <c r="E45" s="101" t="s">
        <v>2</v>
      </c>
      <c r="F45" s="661"/>
      <c r="G45" s="661"/>
      <c r="H45" s="662"/>
      <c r="I45" s="663"/>
    </row>
    <row r="46" spans="1:9" ht="16.5" thickBot="1" x14ac:dyDescent="0.3">
      <c r="A46" s="618" t="s">
        <v>1</v>
      </c>
      <c r="B46" s="619"/>
      <c r="C46" s="619"/>
      <c r="D46" s="619"/>
      <c r="E46" s="619"/>
      <c r="F46" s="619"/>
      <c r="G46" s="619"/>
      <c r="H46" s="619"/>
      <c r="I46" s="620"/>
    </row>
    <row r="47" spans="1:9" ht="32.450000000000003" customHeight="1" x14ac:dyDescent="0.3">
      <c r="A47" s="621" t="s">
        <v>79</v>
      </c>
      <c r="B47" s="622"/>
      <c r="C47" s="623"/>
      <c r="D47" s="623"/>
      <c r="E47" s="623"/>
      <c r="F47" s="623"/>
      <c r="G47" s="623"/>
      <c r="H47" s="623"/>
      <c r="I47" s="624"/>
    </row>
    <row r="48" spans="1:9" ht="30" customHeight="1" x14ac:dyDescent="0.3">
      <c r="A48" s="621" t="s">
        <v>85</v>
      </c>
      <c r="B48" s="622"/>
      <c r="C48" s="623"/>
      <c r="D48" s="623"/>
      <c r="E48" s="623"/>
      <c r="F48" s="623"/>
      <c r="G48" s="623"/>
      <c r="H48" s="623"/>
      <c r="I48" s="624"/>
    </row>
    <row r="49" spans="1:9" ht="14.45" customHeight="1" x14ac:dyDescent="0.3">
      <c r="A49" s="634" t="s">
        <v>80</v>
      </c>
      <c r="B49" s="635"/>
      <c r="C49" s="636"/>
      <c r="D49" s="636"/>
      <c r="E49" s="636"/>
      <c r="F49" s="636"/>
      <c r="G49" s="636"/>
      <c r="H49" s="636"/>
      <c r="I49" s="637"/>
    </row>
    <row r="50" spans="1:9" ht="14.45" customHeight="1" x14ac:dyDescent="0.3">
      <c r="A50" s="634" t="s">
        <v>81</v>
      </c>
      <c r="B50" s="635"/>
      <c r="C50" s="636"/>
      <c r="D50" s="636"/>
      <c r="E50" s="636"/>
      <c r="F50" s="636"/>
      <c r="G50" s="636"/>
      <c r="H50" s="636"/>
      <c r="I50" s="637"/>
    </row>
    <row r="51" spans="1:9" ht="14.45" customHeight="1" x14ac:dyDescent="0.3">
      <c r="A51" s="634" t="s">
        <v>82</v>
      </c>
      <c r="B51" s="635"/>
      <c r="C51" s="636"/>
      <c r="D51" s="636"/>
      <c r="E51" s="636"/>
      <c r="F51" s="636"/>
      <c r="G51" s="636"/>
      <c r="H51" s="636"/>
      <c r="I51" s="637"/>
    </row>
    <row r="52" spans="1:9" ht="15.6" customHeight="1" x14ac:dyDescent="0.3">
      <c r="A52" s="631"/>
      <c r="B52" s="632"/>
      <c r="C52" s="632"/>
      <c r="D52" s="632"/>
      <c r="E52" s="632"/>
      <c r="F52" s="632"/>
      <c r="G52" s="632"/>
      <c r="H52" s="632"/>
      <c r="I52" s="633"/>
    </row>
    <row r="53" spans="1:9" ht="17.25" x14ac:dyDescent="0.3">
      <c r="A53" s="625"/>
      <c r="B53" s="626"/>
      <c r="C53" s="626"/>
      <c r="D53" s="626"/>
      <c r="E53" s="626"/>
      <c r="F53" s="626"/>
      <c r="G53" s="626"/>
      <c r="H53" s="626"/>
      <c r="I53" s="627"/>
    </row>
    <row r="54" spans="1:9" ht="17.25" x14ac:dyDescent="0.3">
      <c r="A54" s="625"/>
      <c r="B54" s="626"/>
      <c r="C54" s="626"/>
      <c r="D54" s="626"/>
      <c r="E54" s="626"/>
      <c r="F54" s="626"/>
      <c r="G54" s="626"/>
      <c r="H54" s="626"/>
      <c r="I54" s="627"/>
    </row>
    <row r="55" spans="1:9" ht="18" customHeight="1" x14ac:dyDescent="0.3">
      <c r="A55" s="625"/>
      <c r="B55" s="626"/>
      <c r="C55" s="626"/>
      <c r="D55" s="626"/>
      <c r="E55" s="626"/>
      <c r="F55" s="626"/>
      <c r="G55" s="626"/>
      <c r="H55" s="626"/>
      <c r="I55" s="627"/>
    </row>
    <row r="56" spans="1:9" ht="17.25" x14ac:dyDescent="0.3">
      <c r="A56" s="625"/>
      <c r="B56" s="626"/>
      <c r="C56" s="626"/>
      <c r="D56" s="626"/>
      <c r="E56" s="626"/>
      <c r="F56" s="626"/>
      <c r="G56" s="626"/>
      <c r="H56" s="626"/>
      <c r="I56" s="627"/>
    </row>
    <row r="57" spans="1:9" ht="18" thickBot="1" x14ac:dyDescent="0.35">
      <c r="A57" s="628"/>
      <c r="B57" s="629"/>
      <c r="C57" s="629"/>
      <c r="D57" s="629"/>
      <c r="E57" s="629"/>
      <c r="F57" s="629"/>
      <c r="G57" s="629"/>
      <c r="H57" s="629"/>
      <c r="I57" s="630"/>
    </row>
    <row r="58" spans="1:9" x14ac:dyDescent="0.25">
      <c r="A58" s="614" t="s">
        <v>0</v>
      </c>
      <c r="B58" s="615"/>
      <c r="C58" s="615"/>
      <c r="D58" s="615"/>
      <c r="E58" s="615"/>
      <c r="F58" s="615"/>
      <c r="G58" s="615"/>
      <c r="H58" s="615"/>
      <c r="I58" s="615"/>
    </row>
    <row r="59" spans="1:9" x14ac:dyDescent="0.25">
      <c r="A59" s="616"/>
      <c r="B59" s="617"/>
      <c r="C59" s="617"/>
      <c r="D59" s="617"/>
      <c r="E59" s="617"/>
      <c r="F59" s="617"/>
      <c r="G59" s="617"/>
      <c r="H59" s="617"/>
      <c r="I59" s="617"/>
    </row>
    <row r="60" spans="1:9" x14ac:dyDescent="0.25">
      <c r="A60" s="616"/>
      <c r="B60" s="617"/>
      <c r="C60" s="617"/>
      <c r="D60" s="617"/>
      <c r="E60" s="617"/>
      <c r="F60" s="617"/>
      <c r="G60" s="617"/>
      <c r="H60" s="617"/>
      <c r="I60" s="617"/>
    </row>
  </sheetData>
  <mergeCells count="47">
    <mergeCell ref="A7:A8"/>
    <mergeCell ref="B7:B8"/>
    <mergeCell ref="C7:C8"/>
    <mergeCell ref="D7:D8"/>
    <mergeCell ref="E7:F7"/>
    <mergeCell ref="A1:B5"/>
    <mergeCell ref="A48:I48"/>
    <mergeCell ref="A45:C45"/>
    <mergeCell ref="F45:G45"/>
    <mergeCell ref="H45:I45"/>
    <mergeCell ref="G7:H7"/>
    <mergeCell ref="I3:I5"/>
    <mergeCell ref="D4:G4"/>
    <mergeCell ref="D5:G5"/>
    <mergeCell ref="C1:G1"/>
    <mergeCell ref="C2:G2"/>
    <mergeCell ref="C3:G3"/>
    <mergeCell ref="H3:H5"/>
    <mergeCell ref="A6:C6"/>
    <mergeCell ref="D6:F6"/>
    <mergeCell ref="G6:H6"/>
    <mergeCell ref="F44:G44"/>
    <mergeCell ref="H44:I44"/>
    <mergeCell ref="A43:C43"/>
    <mergeCell ref="F43:G43"/>
    <mergeCell ref="H43:I43"/>
    <mergeCell ref="A44:C44"/>
    <mergeCell ref="A41:C41"/>
    <mergeCell ref="F41:G41"/>
    <mergeCell ref="H41:I41"/>
    <mergeCell ref="A42:C42"/>
    <mergeCell ref="F42:G42"/>
    <mergeCell ref="H42:I42"/>
    <mergeCell ref="A58:I58"/>
    <mergeCell ref="A59:I59"/>
    <mergeCell ref="A60:I60"/>
    <mergeCell ref="A46:I46"/>
    <mergeCell ref="A47:I47"/>
    <mergeCell ref="A55:I55"/>
    <mergeCell ref="A56:I56"/>
    <mergeCell ref="A57:I57"/>
    <mergeCell ref="A52:I52"/>
    <mergeCell ref="A50:I50"/>
    <mergeCell ref="A53:I53"/>
    <mergeCell ref="A54:I54"/>
    <mergeCell ref="A49:I49"/>
    <mergeCell ref="A51:I51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9C31-7C3A-4078-89D9-DDFF46A37467}">
  <dimension ref="A1:Q93"/>
  <sheetViews>
    <sheetView workbookViewId="0">
      <selection activeCell="M4" sqref="M4:M6"/>
    </sheetView>
  </sheetViews>
  <sheetFormatPr baseColWidth="10" defaultColWidth="8.42578125" defaultRowHeight="12.75" x14ac:dyDescent="0.25"/>
  <cols>
    <col min="1" max="1" width="10" style="444" bestFit="1" customWidth="1"/>
    <col min="2" max="2" width="44.28515625" style="444" bestFit="1" customWidth="1"/>
    <col min="3" max="3" width="10.42578125" style="444" bestFit="1" customWidth="1"/>
    <col min="4" max="4" width="10.42578125" style="444" customWidth="1"/>
    <col min="5" max="5" width="11" style="444" customWidth="1"/>
    <col min="6" max="6" width="9.5703125" style="444" bestFit="1" customWidth="1"/>
    <col min="7" max="7" width="10.85546875" style="526" customWidth="1"/>
    <col min="8" max="8" width="10.42578125" style="517" bestFit="1" customWidth="1"/>
    <col min="9" max="9" width="4.5703125" style="517" customWidth="1"/>
    <col min="10" max="10" width="1.85546875" style="443" customWidth="1"/>
    <col min="11" max="11" width="7" style="444" bestFit="1" customWidth="1"/>
    <col min="12" max="12" width="6.28515625" style="444" customWidth="1"/>
    <col min="13" max="13" width="20.42578125" style="444" customWidth="1"/>
    <col min="14" max="14" width="6.42578125" style="444" bestFit="1" customWidth="1"/>
    <col min="15" max="15" width="9.28515625" style="444" bestFit="1" customWidth="1"/>
    <col min="16" max="16" width="8.42578125" style="444"/>
    <col min="17" max="17" width="3.28515625" style="444" customWidth="1"/>
    <col min="18" max="16384" width="8.42578125" style="444"/>
  </cols>
  <sheetData>
    <row r="1" spans="1:16" ht="27.75" customHeight="1" x14ac:dyDescent="0.25">
      <c r="A1" s="439"/>
      <c r="B1" s="439"/>
      <c r="C1" s="439"/>
      <c r="D1" s="439"/>
      <c r="E1" s="440" t="s">
        <v>238</v>
      </c>
      <c r="F1" s="441" t="s">
        <v>239</v>
      </c>
      <c r="G1" s="441" t="s">
        <v>240</v>
      </c>
      <c r="H1" s="441" t="s">
        <v>241</v>
      </c>
      <c r="I1" s="442"/>
    </row>
    <row r="2" spans="1:16" ht="30.75" customHeight="1" x14ac:dyDescent="0.25">
      <c r="A2" s="439"/>
      <c r="B2" s="439"/>
      <c r="C2" s="439"/>
      <c r="D2" s="439"/>
      <c r="E2" s="445">
        <f>IFERROR(O64,"")</f>
        <v>1349.152632034632</v>
      </c>
      <c r="F2" s="445">
        <f>IFERROR(H55,"")</f>
        <v>462.79000000000008</v>
      </c>
      <c r="G2" s="445">
        <f>IFERROR(H56,"")</f>
        <v>292.44133333333332</v>
      </c>
      <c r="H2" s="445">
        <f>IFERROR(H58,"")</f>
        <v>324.33999999999997</v>
      </c>
      <c r="I2" s="446"/>
    </row>
    <row r="3" spans="1:16" ht="15" customHeight="1" x14ac:dyDescent="0.25">
      <c r="A3" s="439"/>
      <c r="B3" s="439"/>
      <c r="C3" s="439"/>
      <c r="D3" s="439"/>
      <c r="E3" s="439"/>
      <c r="F3" s="447"/>
      <c r="G3" s="447"/>
      <c r="H3" s="447"/>
      <c r="I3" s="447"/>
    </row>
    <row r="4" spans="1:16" ht="24.75" customHeight="1" thickBot="1" x14ac:dyDescent="0.3">
      <c r="A4" s="715"/>
      <c r="B4" s="715"/>
      <c r="C4" s="715"/>
      <c r="D4" s="715"/>
      <c r="E4" s="715"/>
      <c r="F4" s="715"/>
      <c r="G4" s="715"/>
      <c r="H4" s="715"/>
      <c r="I4" s="448"/>
      <c r="M4" s="444" t="s">
        <v>304</v>
      </c>
      <c r="P4" s="444">
        <v>44.85</v>
      </c>
    </row>
    <row r="5" spans="1:16" ht="19.5" customHeight="1" thickBot="1" x14ac:dyDescent="0.3">
      <c r="A5" s="716" t="s">
        <v>242</v>
      </c>
      <c r="B5" s="717"/>
      <c r="C5" s="717"/>
      <c r="D5" s="717"/>
      <c r="E5" s="717"/>
      <c r="F5" s="717"/>
      <c r="G5" s="717"/>
      <c r="H5" s="718"/>
      <c r="I5" s="449"/>
    </row>
    <row r="6" spans="1:16" ht="19.5" thickBot="1" x14ac:dyDescent="0.3">
      <c r="A6" s="449"/>
      <c r="B6" s="449"/>
      <c r="C6" s="449"/>
      <c r="D6" s="449"/>
      <c r="E6" s="449"/>
      <c r="F6" s="719" t="s">
        <v>243</v>
      </c>
      <c r="G6" s="719"/>
      <c r="H6" s="450">
        <f ca="1">TODAY()</f>
        <v>45887</v>
      </c>
      <c r="I6" s="450"/>
      <c r="M6" s="444" t="s">
        <v>303</v>
      </c>
    </row>
    <row r="7" spans="1:16" ht="26.25" thickBot="1" x14ac:dyDescent="0.3">
      <c r="A7" s="451" t="s">
        <v>244</v>
      </c>
      <c r="B7" s="452" t="s">
        <v>245</v>
      </c>
      <c r="C7" s="452" t="s">
        <v>244</v>
      </c>
      <c r="D7" s="453" t="s">
        <v>246</v>
      </c>
      <c r="E7" s="453" t="s">
        <v>247</v>
      </c>
      <c r="F7" s="453" t="s">
        <v>248</v>
      </c>
      <c r="G7" s="453" t="s">
        <v>249</v>
      </c>
      <c r="H7" s="454" t="s">
        <v>250</v>
      </c>
      <c r="I7" s="455"/>
    </row>
    <row r="8" spans="1:16" ht="13.5" x14ac:dyDescent="0.25">
      <c r="A8" s="456">
        <v>10</v>
      </c>
      <c r="B8" s="444" t="s">
        <v>42</v>
      </c>
      <c r="C8" s="457">
        <f>+A8</f>
        <v>10</v>
      </c>
      <c r="D8" s="458" t="s">
        <v>290</v>
      </c>
      <c r="E8" s="458">
        <v>2.13</v>
      </c>
      <c r="F8" s="458">
        <f>IFERROR(C8*E8,"")</f>
        <v>21.299999999999997</v>
      </c>
      <c r="G8" s="459">
        <f t="shared" ref="G8:G14" si="0">IFERROR(F8/$F$68,"")</f>
        <v>1.9860378122951213E-2</v>
      </c>
      <c r="H8" s="460" t="s">
        <v>40</v>
      </c>
      <c r="I8" s="460"/>
      <c r="J8" s="461"/>
    </row>
    <row r="9" spans="1:16" ht="13.5" x14ac:dyDescent="0.25">
      <c r="A9" s="456">
        <v>2</v>
      </c>
      <c r="B9" s="444" t="s">
        <v>55</v>
      </c>
      <c r="C9" s="457">
        <f t="shared" ref="C9:C14" si="1">+A9</f>
        <v>2</v>
      </c>
      <c r="D9" s="458" t="s">
        <v>292</v>
      </c>
      <c r="E9" s="458">
        <v>44.85</v>
      </c>
      <c r="F9" s="458">
        <f t="shared" ref="F9:F14" si="2">IFERROR(C9*E9,"")</f>
        <v>89.7</v>
      </c>
      <c r="G9" s="459">
        <f t="shared" si="0"/>
        <v>8.3637367024822731E-2</v>
      </c>
      <c r="H9" s="460"/>
      <c r="I9" s="460"/>
      <c r="J9" s="461"/>
    </row>
    <row r="10" spans="1:16" ht="13.5" x14ac:dyDescent="0.25">
      <c r="A10" s="456">
        <v>1</v>
      </c>
      <c r="B10" s="444" t="s">
        <v>57</v>
      </c>
      <c r="C10" s="457">
        <f t="shared" si="1"/>
        <v>1</v>
      </c>
      <c r="D10" s="458" t="s">
        <v>290</v>
      </c>
      <c r="E10" s="458">
        <v>13.14</v>
      </c>
      <c r="F10" s="458">
        <f t="shared" si="2"/>
        <v>13.14</v>
      </c>
      <c r="G10" s="459">
        <f t="shared" si="0"/>
        <v>1.2251895236412158E-2</v>
      </c>
      <c r="H10" s="460"/>
      <c r="I10" s="460"/>
      <c r="J10" s="461"/>
    </row>
    <row r="11" spans="1:16" ht="13.5" hidden="1" x14ac:dyDescent="0.25">
      <c r="A11" s="456"/>
      <c r="B11" s="444" t="str">
        <f>IFERROR(VLOOKUP(H11,'[1]Consolidado MP Planta'!$A$2:$M$823,3,0),"")</f>
        <v/>
      </c>
      <c r="C11" s="457">
        <f t="shared" si="1"/>
        <v>0</v>
      </c>
      <c r="D11" s="458" t="str">
        <f>IFERROR(VLOOKUP(H11,'[1]Consolidado MP Planta'!$A$2:$M$823,13,0),"")</f>
        <v/>
      </c>
      <c r="E11" s="458" t="str">
        <f>IFERROR(VLOOKUP(H11,'[1]Consolidado MP Planta'!$A$2:$M$823,12,0),"")</f>
        <v/>
      </c>
      <c r="F11" s="458" t="str">
        <f t="shared" si="2"/>
        <v/>
      </c>
      <c r="G11" s="459" t="str">
        <f t="shared" si="0"/>
        <v/>
      </c>
      <c r="H11" s="460"/>
      <c r="I11" s="460"/>
      <c r="J11" s="461"/>
    </row>
    <row r="12" spans="1:16" ht="13.5" hidden="1" x14ac:dyDescent="0.25">
      <c r="A12" s="456"/>
      <c r="B12" s="444" t="str">
        <f>IFERROR(VLOOKUP(H12,'[1]Consolidado MP Planta'!$A$2:$M$823,3,0),"")</f>
        <v/>
      </c>
      <c r="C12" s="457">
        <f t="shared" si="1"/>
        <v>0</v>
      </c>
      <c r="D12" s="458" t="str">
        <f>IFERROR(VLOOKUP(H12,'[1]Consolidado MP Planta'!$A$2:$M$823,13,0),"")</f>
        <v/>
      </c>
      <c r="E12" s="458" t="str">
        <f>IFERROR(VLOOKUP(H12,'[1]Consolidado MP Planta'!$A$2:$M$823,12,0),"")</f>
        <v/>
      </c>
      <c r="F12" s="458" t="str">
        <f t="shared" si="2"/>
        <v/>
      </c>
      <c r="G12" s="459" t="str">
        <f t="shared" si="0"/>
        <v/>
      </c>
      <c r="H12" s="460"/>
      <c r="I12" s="460"/>
      <c r="J12" s="461"/>
    </row>
    <row r="13" spans="1:16" ht="13.5" hidden="1" x14ac:dyDescent="0.25">
      <c r="A13" s="456"/>
      <c r="B13" s="444" t="str">
        <f>IFERROR(VLOOKUP(H13,'[1]Consolidado MP Planta'!$A$2:$M$823,3,0),"")</f>
        <v/>
      </c>
      <c r="C13" s="457">
        <f t="shared" si="1"/>
        <v>0</v>
      </c>
      <c r="D13" s="458" t="str">
        <f>IFERROR(VLOOKUP(H13,'[1]Consolidado MP Planta'!$A$2:$M$823,13,0),"")</f>
        <v/>
      </c>
      <c r="E13" s="458" t="str">
        <f>IFERROR(VLOOKUP(H13,'[1]Consolidado MP Planta'!$A$2:$M$823,12,0),"")</f>
        <v/>
      </c>
      <c r="F13" s="458" t="str">
        <f t="shared" si="2"/>
        <v/>
      </c>
      <c r="G13" s="459" t="str">
        <f t="shared" si="0"/>
        <v/>
      </c>
      <c r="H13" s="460"/>
      <c r="I13" s="460"/>
      <c r="J13" s="461"/>
    </row>
    <row r="14" spans="1:16" ht="13.5" hidden="1" x14ac:dyDescent="0.25">
      <c r="A14" s="456"/>
      <c r="B14" s="444" t="str">
        <f>IFERROR(VLOOKUP(H14,'[1]Consolidado MP Planta'!$A$2:$M$823,3,0),"")</f>
        <v/>
      </c>
      <c r="C14" s="457">
        <f t="shared" si="1"/>
        <v>0</v>
      </c>
      <c r="D14" s="458" t="str">
        <f>IFERROR(VLOOKUP(H14,'[1]Consolidado MP Planta'!$A$2:$M$823,13,0),"")</f>
        <v/>
      </c>
      <c r="E14" s="458" t="str">
        <f>IFERROR(VLOOKUP(H14,'[1]Consolidado MP Planta'!$A$2:$M$823,12,0),"")</f>
        <v/>
      </c>
      <c r="F14" s="458" t="str">
        <f t="shared" si="2"/>
        <v/>
      </c>
      <c r="G14" s="459" t="str">
        <f t="shared" si="0"/>
        <v/>
      </c>
      <c r="H14" s="460"/>
      <c r="I14" s="460"/>
      <c r="J14" s="461"/>
    </row>
    <row r="15" spans="1:16" ht="14.25" thickBot="1" x14ac:dyDescent="0.3">
      <c r="A15" s="456"/>
      <c r="B15" s="444" t="str">
        <f>IFERROR(VLOOKUP(H15,'[2]ARTICULOS MP PLANTA'!$A$2:$G$589,2,0),"")</f>
        <v/>
      </c>
      <c r="C15" s="457"/>
      <c r="D15" s="458"/>
      <c r="E15" s="458"/>
      <c r="F15" s="458"/>
      <c r="G15" s="459"/>
      <c r="H15" s="460"/>
      <c r="I15" s="460"/>
      <c r="J15" s="461"/>
    </row>
    <row r="16" spans="1:16" ht="26.25" thickBot="1" x14ac:dyDescent="0.3">
      <c r="A16" s="451" t="s">
        <v>244</v>
      </c>
      <c r="B16" s="452" t="s">
        <v>251</v>
      </c>
      <c r="C16" s="452" t="s">
        <v>244</v>
      </c>
      <c r="D16" s="453" t="s">
        <v>246</v>
      </c>
      <c r="E16" s="453" t="s">
        <v>247</v>
      </c>
      <c r="F16" s="453" t="s">
        <v>248</v>
      </c>
      <c r="G16" s="453" t="s">
        <v>249</v>
      </c>
      <c r="H16" s="454" t="s">
        <v>250</v>
      </c>
      <c r="I16" s="455"/>
      <c r="J16" s="461"/>
    </row>
    <row r="17" spans="1:12" ht="13.5" x14ac:dyDescent="0.25">
      <c r="A17" s="456">
        <v>1</v>
      </c>
      <c r="B17" s="444" t="s">
        <v>45</v>
      </c>
      <c r="C17" s="457">
        <f>+A17</f>
        <v>1</v>
      </c>
      <c r="D17" s="457" t="s">
        <v>291</v>
      </c>
      <c r="E17" s="458">
        <v>151.34</v>
      </c>
      <c r="F17" s="458">
        <f>IFERROR(E17*C17,"")</f>
        <v>151.34</v>
      </c>
      <c r="G17" s="459">
        <f t="shared" ref="G17:G24" si="3">IFERROR(F17/$F$68,"")</f>
        <v>0.14111125000598296</v>
      </c>
      <c r="H17" s="460" t="s">
        <v>44</v>
      </c>
      <c r="I17" s="460"/>
      <c r="J17" s="461"/>
    </row>
    <row r="18" spans="1:12" ht="13.5" x14ac:dyDescent="0.25">
      <c r="A18" s="456">
        <v>30</v>
      </c>
      <c r="B18" s="444" t="s">
        <v>48</v>
      </c>
      <c r="C18" s="457">
        <f t="shared" ref="C18:C24" si="4">+A18</f>
        <v>30</v>
      </c>
      <c r="D18" s="457" t="s">
        <v>290</v>
      </c>
      <c r="E18" s="458">
        <v>2.2000000000000002</v>
      </c>
      <c r="F18" s="458">
        <f t="shared" ref="F18:F24" si="5">IFERROR(E18*C18,"")</f>
        <v>66</v>
      </c>
      <c r="G18" s="459">
        <f t="shared" si="3"/>
        <v>6.1539199817595314E-2</v>
      </c>
      <c r="H18" s="460" t="s">
        <v>47</v>
      </c>
      <c r="I18" s="460"/>
      <c r="J18" s="461"/>
    </row>
    <row r="19" spans="1:12" ht="13.5" x14ac:dyDescent="0.25">
      <c r="A19" s="456">
        <v>37</v>
      </c>
      <c r="B19" s="444" t="s">
        <v>84</v>
      </c>
      <c r="C19" s="457">
        <f>+A19</f>
        <v>37</v>
      </c>
      <c r="D19" s="457" t="s">
        <v>290</v>
      </c>
      <c r="E19" s="458">
        <v>2.31</v>
      </c>
      <c r="F19" s="458">
        <f>IFERROR(E19*C19,"")</f>
        <v>85.47</v>
      </c>
      <c r="G19" s="459">
        <f t="shared" si="3"/>
        <v>7.9693263763785924E-2</v>
      </c>
      <c r="H19" s="460" t="s">
        <v>83</v>
      </c>
      <c r="I19" s="460"/>
      <c r="J19" s="461"/>
    </row>
    <row r="20" spans="1:12" ht="13.5" x14ac:dyDescent="0.25">
      <c r="A20" s="456">
        <v>8</v>
      </c>
      <c r="B20" s="444" t="s">
        <v>53</v>
      </c>
      <c r="C20" s="457">
        <f>+A20</f>
        <v>8</v>
      </c>
      <c r="D20" s="457" t="s">
        <v>290</v>
      </c>
      <c r="E20" s="458">
        <v>4.4800000000000004</v>
      </c>
      <c r="F20" s="458">
        <f>IFERROR(E20*C20,"")</f>
        <v>35.840000000000003</v>
      </c>
      <c r="G20" s="459">
        <f t="shared" si="3"/>
        <v>3.3417650325191159E-2</v>
      </c>
      <c r="H20" s="460" t="s">
        <v>52</v>
      </c>
      <c r="I20" s="460"/>
      <c r="J20" s="461"/>
    </row>
    <row r="21" spans="1:12" ht="15.6" hidden="1" customHeight="1" x14ac:dyDescent="0.25">
      <c r="A21" s="456"/>
      <c r="B21" s="444" t="str">
        <f>IFERROR(VLOOKUP(H21,[1]SEMIELABORADOS!$A$2:$M$6000,2,0),"")</f>
        <v/>
      </c>
      <c r="C21" s="457">
        <f>+A21</f>
        <v>0</v>
      </c>
      <c r="D21" s="457" t="str">
        <f>IFERROR(VLOOKUP(H21,[1]SEMIELABORADOS!$A$2:$M$6000,6,0),"")</f>
        <v/>
      </c>
      <c r="E21" s="458" t="str">
        <f>IFERROR(VLOOKUP(H21,[1]SEMIELABORADOS!$A$2:$H$65536,8,0),"")</f>
        <v/>
      </c>
      <c r="F21" s="458" t="str">
        <f>IFERROR(E21*C21,"")</f>
        <v/>
      </c>
      <c r="G21" s="459" t="str">
        <f t="shared" si="3"/>
        <v/>
      </c>
      <c r="H21" s="460"/>
      <c r="I21" s="460"/>
      <c r="J21" s="461"/>
    </row>
    <row r="22" spans="1:12" ht="13.5" hidden="1" x14ac:dyDescent="0.25">
      <c r="A22" s="456"/>
      <c r="B22" s="444" t="str">
        <f>IFERROR(VLOOKUP(H22,[1]SEMIELABORADOS!$A$2:$M$6000,2,0),"")</f>
        <v/>
      </c>
      <c r="C22" s="457">
        <f t="shared" si="4"/>
        <v>0</v>
      </c>
      <c r="D22" s="457" t="str">
        <f>IFERROR(VLOOKUP(H22,[1]SEMIELABORADOS!$A$2:$M$6000,6,0),"")</f>
        <v/>
      </c>
      <c r="E22" s="458" t="str">
        <f>IFERROR(VLOOKUP(H22,[1]SEMIELABORADOS!$A$2:$H$65536,8,0),"")</f>
        <v/>
      </c>
      <c r="F22" s="458" t="str">
        <f t="shared" si="5"/>
        <v/>
      </c>
      <c r="G22" s="459" t="str">
        <f t="shared" si="3"/>
        <v/>
      </c>
      <c r="H22" s="460"/>
      <c r="I22" s="460"/>
      <c r="J22" s="461"/>
    </row>
    <row r="23" spans="1:12" ht="13.5" hidden="1" x14ac:dyDescent="0.25">
      <c r="A23" s="456"/>
      <c r="B23" s="444" t="str">
        <f>IFERROR(VLOOKUP(H23,[1]SEMIELABORADOS!$A$2:$M$6000,2,0),"")</f>
        <v/>
      </c>
      <c r="C23" s="457">
        <f t="shared" si="4"/>
        <v>0</v>
      </c>
      <c r="D23" s="457" t="str">
        <f>IFERROR(VLOOKUP(H23,[1]SEMIELABORADOS!$A$2:$M$6000,6,0),"")</f>
        <v/>
      </c>
      <c r="E23" s="458" t="str">
        <f>IFERROR(VLOOKUP(H23,[1]SEMIELABORADOS!$A$2:$H$65536,8,0),"")</f>
        <v/>
      </c>
      <c r="F23" s="458" t="str">
        <f t="shared" si="5"/>
        <v/>
      </c>
      <c r="G23" s="459" t="str">
        <f t="shared" si="3"/>
        <v/>
      </c>
      <c r="H23" s="460"/>
      <c r="I23" s="460"/>
      <c r="J23" s="461"/>
    </row>
    <row r="24" spans="1:12" ht="13.5" hidden="1" x14ac:dyDescent="0.25">
      <c r="A24" s="456"/>
      <c r="B24" s="444" t="str">
        <f>IFERROR(VLOOKUP(H24,[1]SEMIELABORADOS!$A$2:$M$6000,2,0),"")</f>
        <v/>
      </c>
      <c r="C24" s="457">
        <f t="shared" si="4"/>
        <v>0</v>
      </c>
      <c r="D24" s="457" t="str">
        <f>IFERROR(VLOOKUP(H24,[1]SEMIELABORADOS!$A$2:$M$6000,6,0),"")</f>
        <v/>
      </c>
      <c r="E24" s="458" t="str">
        <f>IFERROR(VLOOKUP(H24,[1]SEMIELABORADOS!$A$2:$H$65536,8,0),"")</f>
        <v/>
      </c>
      <c r="F24" s="458" t="str">
        <f t="shared" si="5"/>
        <v/>
      </c>
      <c r="G24" s="459" t="str">
        <f t="shared" si="3"/>
        <v/>
      </c>
      <c r="H24" s="460"/>
      <c r="I24" s="460"/>
      <c r="J24" s="461"/>
    </row>
    <row r="25" spans="1:12" ht="14.25" thickBot="1" x14ac:dyDescent="0.3">
      <c r="A25" s="456"/>
      <c r="C25" s="457"/>
      <c r="D25" s="457"/>
      <c r="E25" s="458"/>
      <c r="F25" s="458"/>
      <c r="G25" s="459"/>
      <c r="H25" s="460"/>
      <c r="I25" s="460"/>
      <c r="J25" s="461"/>
    </row>
    <row r="26" spans="1:12" ht="26.25" thickBot="1" x14ac:dyDescent="0.3">
      <c r="A26" s="451" t="s">
        <v>244</v>
      </c>
      <c r="B26" s="452" t="s">
        <v>252</v>
      </c>
      <c r="C26" s="452" t="s">
        <v>244</v>
      </c>
      <c r="D26" s="453" t="s">
        <v>246</v>
      </c>
      <c r="E26" s="453" t="s">
        <v>247</v>
      </c>
      <c r="F26" s="453" t="s">
        <v>248</v>
      </c>
      <c r="G26" s="453" t="s">
        <v>249</v>
      </c>
      <c r="H26" s="454" t="s">
        <v>250</v>
      </c>
      <c r="I26" s="455"/>
    </row>
    <row r="27" spans="1:12" ht="13.5" x14ac:dyDescent="0.25">
      <c r="A27" s="456">
        <v>1</v>
      </c>
      <c r="B27" s="462" t="s">
        <v>61</v>
      </c>
      <c r="C27" s="457">
        <f t="shared" ref="C27:C34" si="6">+A27</f>
        <v>1</v>
      </c>
      <c r="D27" s="458" t="s">
        <v>298</v>
      </c>
      <c r="E27" s="458">
        <v>132.13</v>
      </c>
      <c r="F27" s="458">
        <f t="shared" ref="F27:F34" si="7">IFERROR(C27*E27,"")</f>
        <v>132.13</v>
      </c>
      <c r="G27" s="459">
        <f>IFERROR(F27/$F$68,"")</f>
        <v>0.12319961321058892</v>
      </c>
      <c r="H27" s="463" t="s">
        <v>59</v>
      </c>
      <c r="I27" s="463"/>
      <c r="J27" s="461"/>
      <c r="K27" s="709"/>
      <c r="L27" s="709"/>
    </row>
    <row r="28" spans="1:12" ht="13.5" x14ac:dyDescent="0.25">
      <c r="A28" s="456">
        <v>1</v>
      </c>
      <c r="B28" s="462" t="str">
        <f>IFERROR(VLOOKUP(H28,'[1]Consolidado MP Planta'!$A$2:$M$823,3,0),"")</f>
        <v>ETIQ. GENERICA PEQUEÑA V-274 (UND)</v>
      </c>
      <c r="C28" s="457">
        <f t="shared" si="6"/>
        <v>1</v>
      </c>
      <c r="D28" s="458" t="str">
        <f>IFERROR(VLOOKUP(H28,'[1]Consolidado MP Planta'!$A$2:$M$823,13,0),"")</f>
        <v>Und</v>
      </c>
      <c r="E28" s="458">
        <f>IFERROR(VLOOKUP(H28,'[1]Consolidado MP Planta'!$A$2:$M$823,12,0),"")</f>
        <v>13.45</v>
      </c>
      <c r="F28" s="458">
        <f t="shared" si="7"/>
        <v>13.45</v>
      </c>
      <c r="G28" s="459">
        <f>IFERROR(F28/$F$68,"")</f>
        <v>1.2540942993131165E-2</v>
      </c>
      <c r="H28" s="463" t="s">
        <v>294</v>
      </c>
      <c r="I28" s="463"/>
      <c r="J28" s="461"/>
      <c r="K28" s="709"/>
      <c r="L28" s="709"/>
    </row>
    <row r="29" spans="1:12" ht="13.5" x14ac:dyDescent="0.25">
      <c r="A29" s="456">
        <v>1</v>
      </c>
      <c r="B29" s="462" t="str">
        <f>IFERROR(VLOOKUP(H29,'[1]Consolidado MP Planta'!$A$2:$M$823,3,0),"")</f>
        <v>ETIQ.FECHA VENCIMIENTO BLANCO (ROLLO)</v>
      </c>
      <c r="C29" s="457">
        <f t="shared" ref="C29:C30" si="8">+A29</f>
        <v>1</v>
      </c>
      <c r="D29" s="458" t="s">
        <v>298</v>
      </c>
      <c r="E29" s="458">
        <f>IFERROR(VLOOKUP(H29,'[1]Consolidado MP Planta'!$A$2:$M$823,12,0),"")</f>
        <v>0.33333333333333331</v>
      </c>
      <c r="F29" s="458">
        <f t="shared" ref="F29:F30" si="9">IFERROR(C29*E29,"")</f>
        <v>0.33333333333333331</v>
      </c>
      <c r="G29" s="459">
        <f t="shared" ref="G29:G30" si="10">IFERROR(F29/$F$68,"")</f>
        <v>3.1080403948280459E-4</v>
      </c>
      <c r="H29" s="463" t="s">
        <v>296</v>
      </c>
      <c r="I29" s="463"/>
      <c r="J29" s="461"/>
      <c r="K29" s="442"/>
      <c r="L29" s="442"/>
    </row>
    <row r="30" spans="1:12" ht="13.5" x14ac:dyDescent="0.25">
      <c r="A30" s="456">
        <v>1</v>
      </c>
      <c r="B30" s="462" t="str">
        <f>IFERROR(VLOOKUP(H30,'[1]Consolidado MP Planta'!$A$2:$M$823,3,0),"")</f>
        <v>ETIQUETA BLANCA 2 5/8X1 15/16 (UND)</v>
      </c>
      <c r="C30" s="457">
        <f t="shared" si="8"/>
        <v>1</v>
      </c>
      <c r="D30" s="458" t="str">
        <f>IFERROR(VLOOKUP(H30,'[1]Consolidado MP Planta'!$A$2:$M$823,13,0),"")</f>
        <v>Und</v>
      </c>
      <c r="E30" s="458">
        <f>IFERROR(VLOOKUP(H30,'[1]Consolidado MP Planta'!$A$2:$M$823,12,0),"")</f>
        <v>2.1280000000000001</v>
      </c>
      <c r="F30" s="458">
        <f t="shared" si="9"/>
        <v>2.1280000000000001</v>
      </c>
      <c r="G30" s="459">
        <f t="shared" si="10"/>
        <v>1.9841729880582248E-3</v>
      </c>
      <c r="H30" s="463" t="s">
        <v>198</v>
      </c>
      <c r="I30" s="463"/>
      <c r="J30" s="461"/>
      <c r="K30" s="442"/>
      <c r="L30" s="442"/>
    </row>
    <row r="31" spans="1:12" ht="13.5" x14ac:dyDescent="0.25">
      <c r="A31" s="456">
        <v>2</v>
      </c>
      <c r="B31" s="462" t="str">
        <f>IFERROR(VLOOKUP(H31,'[1]Consolidado MP Planta'!$A$2:$M$823,3,0),"")</f>
        <v>ETIQUETA SELLO SEGURIDAD (ROLLO:1000)</v>
      </c>
      <c r="C31" s="457">
        <f t="shared" si="6"/>
        <v>2</v>
      </c>
      <c r="D31" s="458" t="str">
        <f>IFERROR(VLOOKUP(H31,'[1]Consolidado MP Planta'!$A$2:$M$823,13,0),"")</f>
        <v>Und</v>
      </c>
      <c r="E31" s="458">
        <f>IFERROR(VLOOKUP(H31,'[1]Consolidado MP Planta'!$A$2:$M$823,12,0),"")</f>
        <v>6</v>
      </c>
      <c r="F31" s="458">
        <f t="shared" si="7"/>
        <v>12</v>
      </c>
      <c r="G31" s="459">
        <f>IFERROR(F31/$F$68,"")</f>
        <v>1.1188945421380965E-2</v>
      </c>
      <c r="H31" s="463" t="s">
        <v>295</v>
      </c>
      <c r="I31" s="463"/>
      <c r="J31" s="461"/>
      <c r="K31" s="709"/>
      <c r="L31" s="709"/>
    </row>
    <row r="32" spans="1:12" ht="13.5" x14ac:dyDescent="0.25">
      <c r="A32" s="456">
        <v>1</v>
      </c>
      <c r="B32" s="462" t="str">
        <f>IFERROR(VLOOKUP(H32,'[1]Consolidado MP Planta'!$A$2:$M$823,3,0),"")</f>
        <v>BASE PARA ROSQUETE (UND)</v>
      </c>
      <c r="C32" s="457">
        <f t="shared" si="6"/>
        <v>1</v>
      </c>
      <c r="D32" s="458" t="str">
        <f>IFERROR(VLOOKUP(H32,'[1]Consolidado MP Planta'!$A$2:$M$823,13,0),"")</f>
        <v>Und</v>
      </c>
      <c r="E32" s="458">
        <f>IFERROR(VLOOKUP(H32,'[1]Consolidado MP Planta'!$A$2:$M$823,12,0),"")</f>
        <v>128</v>
      </c>
      <c r="F32" s="458">
        <f t="shared" si="7"/>
        <v>128</v>
      </c>
      <c r="G32" s="459">
        <f>IFERROR(F32/$F$68,"")</f>
        <v>0.11934875116139697</v>
      </c>
      <c r="H32" s="463" t="s">
        <v>74</v>
      </c>
      <c r="I32" s="463"/>
      <c r="J32" s="461"/>
      <c r="K32" s="709"/>
      <c r="L32" s="709"/>
    </row>
    <row r="33" spans="1:13" ht="13.5" x14ac:dyDescent="0.25">
      <c r="A33" s="456">
        <v>1</v>
      </c>
      <c r="B33" s="462" t="str">
        <f>IFERROR(VLOOKUP(H33,'[1]Consolidado MP Planta'!$A$2:$M$823,3,0),"")</f>
        <v>ETIQUETA BLANCA R-153 (UND)</v>
      </c>
      <c r="C33" s="457">
        <f t="shared" si="6"/>
        <v>1</v>
      </c>
      <c r="D33" s="458" t="str">
        <f>IFERROR(VLOOKUP(H33,'[1]Consolidado MP Planta'!$A$2:$M$823,13,0),"")</f>
        <v>Und</v>
      </c>
      <c r="E33" s="458">
        <f>IFERROR(VLOOKUP(H33,'[1]Consolidado MP Planta'!$A$2:$M$823,12,0),"")</f>
        <v>0.39</v>
      </c>
      <c r="F33" s="458">
        <f t="shared" si="7"/>
        <v>0.39</v>
      </c>
      <c r="G33" s="459">
        <f>IFERROR(F33/$F$68,"")</f>
        <v>3.6364072619488139E-4</v>
      </c>
      <c r="H33" s="463" t="s">
        <v>297</v>
      </c>
      <c r="I33" s="463"/>
      <c r="J33" s="461"/>
      <c r="K33" s="464"/>
      <c r="L33" s="465"/>
    </row>
    <row r="34" spans="1:13" ht="13.5" x14ac:dyDescent="0.25">
      <c r="A34" s="456"/>
      <c r="B34" s="462" t="str">
        <f>IFERROR(VLOOKUP(H34,'[1]Consolidado MP Planta'!$A$2:$M$823,3,0),"")</f>
        <v/>
      </c>
      <c r="C34" s="457">
        <f t="shared" si="6"/>
        <v>0</v>
      </c>
      <c r="D34" s="458" t="str">
        <f>IFERROR(VLOOKUP(H34,'[1]Consolidado MP Planta'!$A$2:$M$823,13,0),"")</f>
        <v/>
      </c>
      <c r="E34" s="458" t="str">
        <f>IFERROR(VLOOKUP(H34,'[1]Consolidado MP Planta'!$A$2:$M$823,12,0),"")</f>
        <v/>
      </c>
      <c r="F34" s="458" t="str">
        <f t="shared" si="7"/>
        <v/>
      </c>
      <c r="G34" s="459" t="str">
        <f>IFERROR(F34/$F$68,"")</f>
        <v/>
      </c>
      <c r="H34" s="463"/>
      <c r="I34" s="463"/>
      <c r="J34" s="461"/>
    </row>
    <row r="35" spans="1:13" ht="14.25" thickBot="1" x14ac:dyDescent="0.3">
      <c r="A35" s="456"/>
      <c r="B35" s="462"/>
      <c r="C35" s="457"/>
      <c r="D35" s="458"/>
      <c r="E35" s="458"/>
      <c r="F35" s="458"/>
      <c r="G35" s="459"/>
      <c r="H35" s="463"/>
      <c r="I35" s="463"/>
      <c r="J35" s="461"/>
    </row>
    <row r="36" spans="1:13" ht="26.25" thickBot="1" x14ac:dyDescent="0.25">
      <c r="A36" s="451" t="s">
        <v>244</v>
      </c>
      <c r="B36" s="452" t="s">
        <v>253</v>
      </c>
      <c r="C36" s="452" t="s">
        <v>244</v>
      </c>
      <c r="D36" s="453" t="s">
        <v>246</v>
      </c>
      <c r="E36" s="453" t="s">
        <v>247</v>
      </c>
      <c r="F36" s="453" t="s">
        <v>248</v>
      </c>
      <c r="G36" s="453" t="s">
        <v>249</v>
      </c>
      <c r="H36" s="454" t="s">
        <v>250</v>
      </c>
      <c r="I36" s="463"/>
      <c r="J36" s="461"/>
    </row>
    <row r="37" spans="1:13" ht="13.5" x14ac:dyDescent="0.25">
      <c r="A37" s="456">
        <f t="shared" ref="A37:A43" si="11">+A17</f>
        <v>1</v>
      </c>
      <c r="B37" s="462" t="s">
        <v>45</v>
      </c>
      <c r="C37" s="457">
        <f>+A37</f>
        <v>1</v>
      </c>
      <c r="D37" s="458" t="s">
        <v>292</v>
      </c>
      <c r="E37" s="458">
        <v>0.01</v>
      </c>
      <c r="F37" s="458">
        <f>IFERROR(E37*C37,"")</f>
        <v>0.01</v>
      </c>
      <c r="G37" s="459">
        <f t="shared" ref="G37:G43" si="12">IFERROR(F37/$F$68,"")</f>
        <v>9.3241211844841386E-6</v>
      </c>
      <c r="H37" s="460" t="s">
        <v>44</v>
      </c>
      <c r="I37" s="463"/>
      <c r="J37" s="461"/>
    </row>
    <row r="38" spans="1:13" ht="13.5" x14ac:dyDescent="0.25">
      <c r="A38" s="456">
        <f t="shared" si="11"/>
        <v>30</v>
      </c>
      <c r="B38" s="462" t="s">
        <v>48</v>
      </c>
      <c r="C38" s="457">
        <f t="shared" ref="C38:C43" si="13">+A38</f>
        <v>30</v>
      </c>
      <c r="D38" s="458" t="s">
        <v>292</v>
      </c>
      <c r="E38" s="458">
        <v>0.01</v>
      </c>
      <c r="F38" s="458">
        <f t="shared" ref="F38:F43" si="14">IFERROR(E38*C38,"")</f>
        <v>0.3</v>
      </c>
      <c r="G38" s="459">
        <f t="shared" si="12"/>
        <v>2.7972363553452415E-4</v>
      </c>
      <c r="H38" s="460" t="s">
        <v>47</v>
      </c>
      <c r="I38" s="463"/>
      <c r="J38" s="461"/>
    </row>
    <row r="39" spans="1:13" ht="13.5" x14ac:dyDescent="0.25">
      <c r="A39" s="456">
        <f t="shared" si="11"/>
        <v>37</v>
      </c>
      <c r="B39" s="444" t="s">
        <v>84</v>
      </c>
      <c r="C39" s="457">
        <f t="shared" si="13"/>
        <v>37</v>
      </c>
      <c r="D39" s="458" t="s">
        <v>293</v>
      </c>
      <c r="E39" s="458">
        <v>0.1</v>
      </c>
      <c r="F39" s="458">
        <f t="shared" si="14"/>
        <v>3.7</v>
      </c>
      <c r="G39" s="459">
        <f t="shared" si="12"/>
        <v>3.4499248382591314E-3</v>
      </c>
      <c r="H39" s="460" t="s">
        <v>83</v>
      </c>
      <c r="I39" s="463"/>
      <c r="J39" s="461"/>
    </row>
    <row r="40" spans="1:13" ht="13.5" x14ac:dyDescent="0.25">
      <c r="A40" s="456">
        <f t="shared" si="11"/>
        <v>8</v>
      </c>
      <c r="B40" s="444" t="s">
        <v>53</v>
      </c>
      <c r="C40" s="457">
        <f>+A40</f>
        <v>8</v>
      </c>
      <c r="D40" s="457" t="s">
        <v>290</v>
      </c>
      <c r="E40" s="458">
        <v>0</v>
      </c>
      <c r="F40" s="458">
        <f>IFERROR(E40*C40,"")</f>
        <v>0</v>
      </c>
      <c r="G40" s="459">
        <f t="shared" si="12"/>
        <v>0</v>
      </c>
      <c r="H40" s="460" t="s">
        <v>52</v>
      </c>
      <c r="I40" s="463"/>
      <c r="J40" s="461"/>
    </row>
    <row r="41" spans="1:13" ht="13.5" hidden="1" x14ac:dyDescent="0.25">
      <c r="A41" s="456">
        <f t="shared" si="11"/>
        <v>0</v>
      </c>
      <c r="B41" s="462" t="str">
        <f>IFERROR(VLOOKUP(H41,[1]SEMIELABORADOS!$A$2:$M$6000,2,0),"")</f>
        <v/>
      </c>
      <c r="C41" s="457">
        <f>+A41</f>
        <v>0</v>
      </c>
      <c r="D41" s="458" t="str">
        <f>IFERROR(VLOOKUP(H41,[1]SEMIELABORADOS!$A$2:$M$6000,6,0),"")</f>
        <v/>
      </c>
      <c r="E41" s="458" t="str">
        <f>IFERROR(VLOOKUP(H41,[1]SEMIELABORADOS!$A$2:$M$65536,10,0),"")</f>
        <v/>
      </c>
      <c r="F41" s="458" t="str">
        <f>IFERROR(E41*C41,"")</f>
        <v/>
      </c>
      <c r="G41" s="459" t="str">
        <f t="shared" si="12"/>
        <v/>
      </c>
      <c r="H41" s="463"/>
      <c r="I41" s="463"/>
      <c r="J41" s="461"/>
    </row>
    <row r="42" spans="1:13" ht="13.5" hidden="1" x14ac:dyDescent="0.25">
      <c r="A42" s="456">
        <f t="shared" si="11"/>
        <v>0</v>
      </c>
      <c r="B42" s="462" t="str">
        <f>IFERROR(VLOOKUP(H42,[1]SEMIELABORADOS!$A$2:$M$6000,2,0),"")</f>
        <v/>
      </c>
      <c r="C42" s="457">
        <f t="shared" si="13"/>
        <v>0</v>
      </c>
      <c r="D42" s="458" t="str">
        <f>IFERROR(VLOOKUP(H42,[1]SEMIELABORADOS!$A$2:$M$6000,6,0),"")</f>
        <v/>
      </c>
      <c r="E42" s="458" t="str">
        <f>IFERROR(VLOOKUP(H42,[1]SEMIELABORADOS!$A$2:$M$65536,10,0),"")</f>
        <v/>
      </c>
      <c r="F42" s="458" t="str">
        <f t="shared" si="14"/>
        <v/>
      </c>
      <c r="G42" s="459" t="str">
        <f t="shared" si="12"/>
        <v/>
      </c>
      <c r="H42" s="463"/>
      <c r="I42" s="463"/>
      <c r="J42" s="461"/>
    </row>
    <row r="43" spans="1:13" ht="13.5" hidden="1" x14ac:dyDescent="0.25">
      <c r="A43" s="456">
        <f t="shared" si="11"/>
        <v>0</v>
      </c>
      <c r="B43" s="462" t="str">
        <f>IFERROR(VLOOKUP(H43,[1]SEMIELABORADOS!$A$2:$M$6000,2,0),"")</f>
        <v/>
      </c>
      <c r="C43" s="457">
        <f t="shared" si="13"/>
        <v>0</v>
      </c>
      <c r="D43" s="458" t="str">
        <f>IFERROR(VLOOKUP(H43,[1]SEMIELABORADOS!$A$2:$M$6000,6,0),"")</f>
        <v/>
      </c>
      <c r="E43" s="458" t="str">
        <f>IFERROR(VLOOKUP(H43,[1]SEMIELABORADOS!$A$2:$M$65536,10,0),"")</f>
        <v/>
      </c>
      <c r="F43" s="458" t="str">
        <f t="shared" si="14"/>
        <v/>
      </c>
      <c r="G43" s="459" t="str">
        <f t="shared" si="12"/>
        <v/>
      </c>
      <c r="H43" s="463"/>
      <c r="I43" s="463"/>
      <c r="J43" s="461"/>
    </row>
    <row r="44" spans="1:13" ht="14.25" thickBot="1" x14ac:dyDescent="0.3">
      <c r="A44" s="456"/>
      <c r="B44" s="462"/>
      <c r="C44" s="457"/>
      <c r="D44" s="458"/>
      <c r="E44" s="458"/>
      <c r="F44" s="458"/>
      <c r="G44" s="459"/>
      <c r="H44" s="463"/>
      <c r="I44" s="463"/>
      <c r="J44" s="461"/>
    </row>
    <row r="45" spans="1:13" ht="26.25" thickBot="1" x14ac:dyDescent="0.3">
      <c r="A45" s="451" t="s">
        <v>244</v>
      </c>
      <c r="B45" s="452" t="s">
        <v>254</v>
      </c>
      <c r="C45" s="452" t="s">
        <v>244</v>
      </c>
      <c r="D45" s="453" t="s">
        <v>246</v>
      </c>
      <c r="E45" s="453" t="s">
        <v>247</v>
      </c>
      <c r="F45" s="453" t="s">
        <v>248</v>
      </c>
      <c r="G45" s="453" t="s">
        <v>249</v>
      </c>
      <c r="H45" s="454" t="s">
        <v>250</v>
      </c>
      <c r="I45" s="455"/>
      <c r="J45" s="461"/>
    </row>
    <row r="46" spans="1:13" ht="13.5" x14ac:dyDescent="0.25">
      <c r="A46" s="456">
        <f>+A37</f>
        <v>1</v>
      </c>
      <c r="B46" s="462" t="s">
        <v>45</v>
      </c>
      <c r="C46" s="457">
        <f>+A46</f>
        <v>1</v>
      </c>
      <c r="D46" s="458" t="s">
        <v>292</v>
      </c>
      <c r="E46" s="458">
        <v>13.94</v>
      </c>
      <c r="F46" s="458">
        <f>IFERROR(E46*C46,"")</f>
        <v>13.94</v>
      </c>
      <c r="G46" s="459">
        <f>IFERROR(F46/$F$68,"")</f>
        <v>1.2997824931170888E-2</v>
      </c>
      <c r="H46" s="460" t="s">
        <v>44</v>
      </c>
      <c r="I46" s="455"/>
      <c r="J46" s="461"/>
    </row>
    <row r="47" spans="1:13" ht="13.5" x14ac:dyDescent="0.25">
      <c r="A47" s="456">
        <f t="shared" ref="A47:A52" si="15">+A38</f>
        <v>30</v>
      </c>
      <c r="B47" s="462" t="s">
        <v>48</v>
      </c>
      <c r="C47" s="457">
        <f t="shared" ref="C47:C52" si="16">+A47</f>
        <v>30</v>
      </c>
      <c r="D47" s="458" t="s">
        <v>292</v>
      </c>
      <c r="E47" s="458">
        <v>0.02</v>
      </c>
      <c r="F47" s="458">
        <f t="shared" ref="F47:F52" si="17">IFERROR(E47*C47,"")</f>
        <v>0.6</v>
      </c>
      <c r="G47" s="459">
        <f t="shared" ref="G47:G52" si="18">IFERROR(F47/$F$68,"")</f>
        <v>5.5944727106904831E-4</v>
      </c>
      <c r="H47" s="460" t="s">
        <v>47</v>
      </c>
      <c r="I47" s="455"/>
      <c r="J47" s="461"/>
      <c r="M47" s="466"/>
    </row>
    <row r="48" spans="1:13" ht="13.5" x14ac:dyDescent="0.25">
      <c r="A48" s="456">
        <f t="shared" si="15"/>
        <v>37</v>
      </c>
      <c r="B48" s="444" t="s">
        <v>84</v>
      </c>
      <c r="C48" s="457">
        <f t="shared" si="16"/>
        <v>37</v>
      </c>
      <c r="D48" s="458" t="s">
        <v>293</v>
      </c>
      <c r="E48" s="458">
        <v>0.04</v>
      </c>
      <c r="F48" s="458">
        <f t="shared" si="17"/>
        <v>1.48</v>
      </c>
      <c r="G48" s="459">
        <f t="shared" si="18"/>
        <v>1.3799699353036524E-3</v>
      </c>
      <c r="H48" s="460" t="s">
        <v>83</v>
      </c>
      <c r="I48" s="455"/>
      <c r="J48" s="461"/>
    </row>
    <row r="49" spans="1:17" ht="13.5" x14ac:dyDescent="0.25">
      <c r="A49" s="456">
        <f t="shared" si="15"/>
        <v>8</v>
      </c>
      <c r="B49" s="444" t="s">
        <v>53</v>
      </c>
      <c r="C49" s="457">
        <f t="shared" si="16"/>
        <v>8</v>
      </c>
      <c r="D49" s="457" t="s">
        <v>290</v>
      </c>
      <c r="E49" s="458">
        <v>0.04</v>
      </c>
      <c r="F49" s="458">
        <f t="shared" si="17"/>
        <v>0.32</v>
      </c>
      <c r="G49" s="459">
        <f t="shared" si="18"/>
        <v>2.9837187790349244E-4</v>
      </c>
      <c r="H49" s="460" t="s">
        <v>52</v>
      </c>
      <c r="I49" s="455"/>
      <c r="J49" s="461"/>
    </row>
    <row r="50" spans="1:17" ht="13.5" hidden="1" x14ac:dyDescent="0.25">
      <c r="A50" s="456">
        <f t="shared" si="15"/>
        <v>0</v>
      </c>
      <c r="B50" s="462" t="str">
        <f>IFERROR(VLOOKUP(H50,[1]SEMIELABORADOS!$A$2:$M$6000,2,0),"")</f>
        <v/>
      </c>
      <c r="C50" s="457">
        <f t="shared" si="16"/>
        <v>0</v>
      </c>
      <c r="D50" s="458" t="str">
        <f>IFERROR(VLOOKUP(H50,[1]SEMIELABORADOS!$A$2:$M$6000,6,0),"")</f>
        <v/>
      </c>
      <c r="E50" s="458" t="str">
        <f>IFERROR(VLOOKUP(H50,[1]SEMIELABORADOS!$A$2:$M$65536,12,0),"")</f>
        <v/>
      </c>
      <c r="F50" s="458" t="str">
        <f t="shared" si="17"/>
        <v/>
      </c>
      <c r="G50" s="459" t="str">
        <f t="shared" si="18"/>
        <v/>
      </c>
      <c r="H50" s="463"/>
      <c r="I50" s="455"/>
      <c r="J50" s="461"/>
    </row>
    <row r="51" spans="1:17" ht="13.5" hidden="1" x14ac:dyDescent="0.25">
      <c r="A51" s="456">
        <f t="shared" si="15"/>
        <v>0</v>
      </c>
      <c r="B51" s="462" t="str">
        <f>IFERROR(VLOOKUP(H51,[1]SEMIELABORADOS!$A$2:$M$6000,2,0),"")</f>
        <v/>
      </c>
      <c r="C51" s="457">
        <f t="shared" si="16"/>
        <v>0</v>
      </c>
      <c r="D51" s="458" t="str">
        <f>IFERROR(VLOOKUP(H51,[1]SEMIELABORADOS!$A$2:$M$6000,6,0),"")</f>
        <v/>
      </c>
      <c r="E51" s="458" t="str">
        <f>IFERROR(VLOOKUP(H51,[1]SEMIELABORADOS!$A$2:$M$65536,12,0),"")</f>
        <v/>
      </c>
      <c r="F51" s="458" t="str">
        <f t="shared" si="17"/>
        <v/>
      </c>
      <c r="G51" s="459" t="str">
        <f t="shared" si="18"/>
        <v/>
      </c>
      <c r="H51" s="463"/>
      <c r="I51" s="455"/>
      <c r="J51" s="461"/>
    </row>
    <row r="52" spans="1:17" ht="13.5" hidden="1" x14ac:dyDescent="0.25">
      <c r="A52" s="456">
        <f t="shared" si="15"/>
        <v>0</v>
      </c>
      <c r="B52" s="462" t="str">
        <f>IFERROR(VLOOKUP(H52,[1]SEMIELABORADOS!$A$2:$M$6000,2,0),"")</f>
        <v/>
      </c>
      <c r="C52" s="457">
        <f t="shared" si="16"/>
        <v>0</v>
      </c>
      <c r="D52" s="458" t="str">
        <f>IFERROR(VLOOKUP(H52,[1]SEMIELABORADOS!$A$2:$M$6000,6,0),"")</f>
        <v/>
      </c>
      <c r="E52" s="458" t="str">
        <f>IFERROR(VLOOKUP(H52,[1]SEMIELABORADOS!$A$2:$M$65536,12,0),"")</f>
        <v/>
      </c>
      <c r="F52" s="458" t="str">
        <f t="shared" si="17"/>
        <v/>
      </c>
      <c r="G52" s="459" t="str">
        <f t="shared" si="18"/>
        <v/>
      </c>
      <c r="H52" s="462"/>
      <c r="I52" s="455"/>
      <c r="J52" s="461"/>
    </row>
    <row r="53" spans="1:17" ht="13.5" x14ac:dyDescent="0.25">
      <c r="A53" s="456">
        <v>1</v>
      </c>
      <c r="B53" s="462" t="s">
        <v>255</v>
      </c>
      <c r="C53" s="457">
        <f>+A53</f>
        <v>1</v>
      </c>
      <c r="D53" s="457" t="s">
        <v>256</v>
      </c>
      <c r="E53" s="458">
        <f>+F67</f>
        <v>308</v>
      </c>
      <c r="F53" s="458">
        <f>IFERROR(C53*E53,"")</f>
        <v>308</v>
      </c>
      <c r="G53" s="459">
        <f>IFERROR(F53/$F$68,"")</f>
        <v>0.28718293248211146</v>
      </c>
      <c r="H53" s="467"/>
      <c r="I53" s="467"/>
      <c r="J53" s="461"/>
    </row>
    <row r="54" spans="1:17" ht="14.25" thickBot="1" x14ac:dyDescent="0.3">
      <c r="A54" s="456"/>
      <c r="B54" s="462"/>
      <c r="C54" s="457"/>
      <c r="D54" s="457"/>
      <c r="E54" s="458"/>
      <c r="F54" s="458"/>
      <c r="G54" s="459"/>
      <c r="H54" s="467"/>
      <c r="I54" s="467"/>
      <c r="J54" s="461"/>
    </row>
    <row r="55" spans="1:17" ht="13.5" thickBot="1" x14ac:dyDescent="0.3">
      <c r="A55" s="468"/>
      <c r="B55" s="710" t="s">
        <v>257</v>
      </c>
      <c r="C55" s="710"/>
      <c r="D55" s="710"/>
      <c r="E55" s="710"/>
      <c r="F55" s="470">
        <f>SUM(F8:F14,F17:F24)</f>
        <v>462.79000000000008</v>
      </c>
      <c r="G55" s="459">
        <f>+F55/$F$68</f>
        <v>0.4315110042967415</v>
      </c>
      <c r="H55" s="471">
        <f>+F55/$D$62</f>
        <v>462.79000000000008</v>
      </c>
      <c r="I55" s="471"/>
      <c r="J55" s="472"/>
      <c r="K55" s="473"/>
      <c r="L55" s="473"/>
      <c r="M55" s="473"/>
      <c r="N55" s="473"/>
      <c r="O55" s="473"/>
      <c r="P55" s="473"/>
      <c r="Q55" s="474"/>
    </row>
    <row r="56" spans="1:17" x14ac:dyDescent="0.2">
      <c r="A56" s="468"/>
      <c r="B56" s="710" t="s">
        <v>258</v>
      </c>
      <c r="C56" s="710"/>
      <c r="D56" s="710"/>
      <c r="E56" s="710"/>
      <c r="F56" s="470">
        <f>SUM(F27:F34,F37:F43)</f>
        <v>292.44133333333332</v>
      </c>
      <c r="G56" s="459">
        <f>+F56/$F$68</f>
        <v>0.27267584313521204</v>
      </c>
      <c r="H56" s="471">
        <f>+F56/$D$62</f>
        <v>292.44133333333332</v>
      </c>
      <c r="I56" s="471"/>
      <c r="J56" s="475"/>
      <c r="K56" s="711" t="s">
        <v>259</v>
      </c>
      <c r="L56" s="712"/>
      <c r="M56" s="712"/>
      <c r="N56" s="712"/>
      <c r="O56" s="476">
        <f>+F57</f>
        <v>755.2313333333334</v>
      </c>
      <c r="P56" s="476"/>
      <c r="Q56" s="477"/>
    </row>
    <row r="57" spans="1:17" x14ac:dyDescent="0.2">
      <c r="A57" s="468"/>
      <c r="B57" s="710" t="s">
        <v>260</v>
      </c>
      <c r="C57" s="710"/>
      <c r="D57" s="710"/>
      <c r="E57" s="710"/>
      <c r="F57" s="470">
        <f>+F55+F56</f>
        <v>755.2313333333334</v>
      </c>
      <c r="G57" s="459">
        <f>+F57/$F$68</f>
        <v>0.70418684743195359</v>
      </c>
      <c r="H57" s="471">
        <f>+F57/$D$62</f>
        <v>755.2313333333334</v>
      </c>
      <c r="I57" s="471"/>
      <c r="J57" s="478"/>
      <c r="K57" s="479"/>
      <c r="M57" s="480" t="s">
        <v>261</v>
      </c>
      <c r="N57" s="481"/>
      <c r="O57" s="476">
        <f>+H58</f>
        <v>324.33999999999997</v>
      </c>
      <c r="P57" s="476"/>
      <c r="Q57" s="477"/>
    </row>
    <row r="58" spans="1:17" ht="13.5" thickBot="1" x14ac:dyDescent="0.25">
      <c r="A58" s="468"/>
      <c r="B58" s="469"/>
      <c r="C58" s="710" t="s">
        <v>262</v>
      </c>
      <c r="D58" s="710"/>
      <c r="E58" s="710"/>
      <c r="F58" s="470">
        <f>SUM(F46:F53)</f>
        <v>324.33999999999997</v>
      </c>
      <c r="G58" s="459">
        <f>+F58/$F$68</f>
        <v>0.3024185464975585</v>
      </c>
      <c r="H58" s="471">
        <f>+F58/$D$62</f>
        <v>324.33999999999997</v>
      </c>
      <c r="I58" s="471"/>
      <c r="J58" s="478"/>
      <c r="K58" s="479"/>
      <c r="L58" s="479"/>
      <c r="M58" s="479" t="s">
        <v>263</v>
      </c>
      <c r="N58" s="482"/>
      <c r="O58" s="476">
        <f>O56*N58</f>
        <v>0</v>
      </c>
      <c r="P58" s="476"/>
      <c r="Q58" s="477"/>
    </row>
    <row r="59" spans="1:17" ht="13.5" thickBot="1" x14ac:dyDescent="0.25">
      <c r="A59" s="468"/>
      <c r="B59" s="483"/>
      <c r="C59" s="483"/>
      <c r="D59" s="483"/>
      <c r="E59" s="483"/>
      <c r="F59" s="484"/>
      <c r="G59" s="459"/>
      <c r="H59" s="485"/>
      <c r="I59" s="471"/>
      <c r="J59" s="478"/>
      <c r="K59" s="486"/>
      <c r="M59" s="487" t="s">
        <v>264</v>
      </c>
      <c r="N59" s="488"/>
      <c r="O59" s="489">
        <f>SUM(O56:O58)</f>
        <v>1079.5713333333333</v>
      </c>
      <c r="P59" s="490"/>
      <c r="Q59" s="477"/>
    </row>
    <row r="60" spans="1:17" x14ac:dyDescent="0.2">
      <c r="B60" s="713" t="s">
        <v>265</v>
      </c>
      <c r="C60" s="713"/>
      <c r="D60" s="491">
        <v>182</v>
      </c>
      <c r="E60" s="492"/>
      <c r="G60" s="459"/>
      <c r="H60" s="485">
        <f>+H58/77</f>
        <v>4.2122077922077921</v>
      </c>
      <c r="I60" s="493"/>
      <c r="J60" s="478"/>
      <c r="K60" s="486"/>
      <c r="L60" s="479"/>
      <c r="M60" s="479" t="s">
        <v>266</v>
      </c>
      <c r="N60" s="494"/>
      <c r="O60" s="476">
        <f>+H61</f>
        <v>269.58129870129869</v>
      </c>
      <c r="P60" s="476"/>
      <c r="Q60" s="477"/>
    </row>
    <row r="61" spans="1:17" x14ac:dyDescent="0.2">
      <c r="B61" s="713" t="s">
        <v>267</v>
      </c>
      <c r="C61" s="713"/>
      <c r="D61" s="495">
        <v>182</v>
      </c>
      <c r="E61" s="492"/>
      <c r="G61" s="459"/>
      <c r="H61" s="485">
        <f>+H60*64</f>
        <v>269.58129870129869</v>
      </c>
      <c r="I61" s="493"/>
      <c r="J61" s="478"/>
      <c r="K61" s="486"/>
      <c r="L61" s="479"/>
      <c r="M61" s="714" t="s">
        <v>264</v>
      </c>
      <c r="N61" s="714"/>
      <c r="O61" s="476">
        <f>SUM(O59:O60)</f>
        <v>1349.152632034632</v>
      </c>
      <c r="P61" s="476"/>
      <c r="Q61" s="477"/>
    </row>
    <row r="62" spans="1:17" ht="13.5" thickBot="1" x14ac:dyDescent="0.25">
      <c r="B62" s="705" t="s">
        <v>268</v>
      </c>
      <c r="C62" s="705"/>
      <c r="D62" s="491">
        <f>+D60/D61</f>
        <v>1</v>
      </c>
      <c r="E62" s="492"/>
      <c r="F62" s="496"/>
      <c r="G62" s="459"/>
      <c r="H62" s="485"/>
      <c r="I62" s="493"/>
      <c r="J62" s="478"/>
      <c r="K62" s="486"/>
      <c r="L62" s="714"/>
      <c r="M62" s="714"/>
      <c r="N62" s="494"/>
      <c r="O62" s="476">
        <f>+O61*N62</f>
        <v>0</v>
      </c>
      <c r="P62" s="476"/>
      <c r="Q62" s="477"/>
    </row>
    <row r="63" spans="1:17" ht="13.5" thickBot="1" x14ac:dyDescent="0.25">
      <c r="B63" s="705" t="s">
        <v>269</v>
      </c>
      <c r="C63" s="705"/>
      <c r="D63" s="497"/>
      <c r="E63" s="492"/>
      <c r="F63" s="496"/>
      <c r="G63" s="459"/>
      <c r="H63" s="485"/>
      <c r="I63" s="493"/>
      <c r="J63" s="478"/>
      <c r="K63" s="706" t="s">
        <v>270</v>
      </c>
      <c r="L63" s="707"/>
      <c r="M63" s="707"/>
      <c r="N63" s="708"/>
      <c r="O63" s="489">
        <f>SUM(O61:O62)</f>
        <v>1349.152632034632</v>
      </c>
      <c r="P63" s="498" t="s">
        <v>271</v>
      </c>
      <c r="Q63" s="477"/>
    </row>
    <row r="64" spans="1:17" ht="13.5" thickBot="1" x14ac:dyDescent="0.25">
      <c r="C64" s="468" t="s">
        <v>272</v>
      </c>
      <c r="D64" s="499"/>
      <c r="E64" s="442" t="s">
        <v>273</v>
      </c>
      <c r="F64" s="500" t="s">
        <v>274</v>
      </c>
      <c r="G64" s="459"/>
      <c r="H64" s="485"/>
      <c r="I64" s="493"/>
      <c r="J64" s="501"/>
      <c r="K64" s="502"/>
      <c r="L64" s="694" t="s">
        <v>275</v>
      </c>
      <c r="M64" s="694"/>
      <c r="N64" s="694"/>
      <c r="O64" s="503">
        <f>+O63/D62</f>
        <v>1349.152632034632</v>
      </c>
      <c r="P64" s="504">
        <f>+O64/D61</f>
        <v>7.4129265496408356</v>
      </c>
      <c r="Q64" s="505"/>
    </row>
    <row r="65" spans="2:16" ht="13.5" thickBot="1" x14ac:dyDescent="0.25">
      <c r="B65" s="695" t="s">
        <v>260</v>
      </c>
      <c r="C65" s="695"/>
      <c r="D65" s="695"/>
      <c r="E65" s="506">
        <f>+F65/F65</f>
        <v>1</v>
      </c>
      <c r="F65" s="507">
        <f>SUM(F57)</f>
        <v>755.2313333333334</v>
      </c>
      <c r="G65" s="459">
        <f>+F65/$F$68</f>
        <v>0.70418684743195359</v>
      </c>
      <c r="H65" s="485"/>
      <c r="I65" s="493"/>
      <c r="K65" s="696"/>
      <c r="L65" s="697"/>
      <c r="M65" s="697"/>
      <c r="N65" s="697"/>
      <c r="O65" s="508"/>
      <c r="P65" s="509"/>
    </row>
    <row r="66" spans="2:16" ht="13.5" thickBot="1" x14ac:dyDescent="0.3">
      <c r="B66" s="698" t="s">
        <v>276</v>
      </c>
      <c r="C66" s="698"/>
      <c r="D66" s="698"/>
      <c r="E66" s="510">
        <v>0.02</v>
      </c>
      <c r="F66" s="507">
        <f>+F55*E66</f>
        <v>9.2558000000000025</v>
      </c>
      <c r="G66" s="459">
        <f>+F66/$F$68</f>
        <v>8.6302200859348314E-3</v>
      </c>
      <c r="H66" s="471"/>
      <c r="I66" s="493"/>
      <c r="J66" s="511"/>
      <c r="N66" s="444">
        <v>1</v>
      </c>
      <c r="O66" s="512">
        <v>1285.07</v>
      </c>
      <c r="P66" s="469"/>
    </row>
    <row r="67" spans="2:16" ht="13.5" thickBot="1" x14ac:dyDescent="0.3">
      <c r="B67" s="699" t="s">
        <v>277</v>
      </c>
      <c r="C67" s="700"/>
      <c r="D67" s="513">
        <v>4</v>
      </c>
      <c r="E67" s="514">
        <v>77</v>
      </c>
      <c r="F67" s="507">
        <f>+E67*D67</f>
        <v>308</v>
      </c>
      <c r="G67" s="459">
        <f>+F67/$F$68</f>
        <v>0.28718293248211146</v>
      </c>
      <c r="H67" s="471"/>
      <c r="I67" s="471"/>
      <c r="J67" s="461"/>
    </row>
    <row r="68" spans="2:16" ht="13.5" thickBot="1" x14ac:dyDescent="0.3">
      <c r="B68" s="701" t="s">
        <v>278</v>
      </c>
      <c r="C68" s="702"/>
      <c r="D68" s="702"/>
      <c r="E68" s="703"/>
      <c r="F68" s="484">
        <f>SUM(F65:F67)</f>
        <v>1072.4871333333335</v>
      </c>
      <c r="G68" s="459">
        <f>+F68/$F$68</f>
        <v>1</v>
      </c>
      <c r="H68" s="704"/>
      <c r="I68" s="471"/>
      <c r="J68" s="461"/>
      <c r="M68" s="444" t="s">
        <v>279</v>
      </c>
    </row>
    <row r="69" spans="2:16" x14ac:dyDescent="0.25">
      <c r="C69" s="466"/>
      <c r="D69" s="466"/>
      <c r="E69" s="516"/>
      <c r="F69" s="507"/>
      <c r="G69" s="459"/>
      <c r="H69" s="704"/>
      <c r="I69" s="515"/>
      <c r="J69" s="444"/>
      <c r="M69" s="444" t="s">
        <v>280</v>
      </c>
    </row>
    <row r="70" spans="2:16" ht="13.5" thickBot="1" x14ac:dyDescent="0.3">
      <c r="B70" s="689" t="s">
        <v>281</v>
      </c>
      <c r="C70" s="689"/>
      <c r="D70" s="689"/>
      <c r="E70" s="689"/>
      <c r="F70" s="689"/>
      <c r="G70" s="459"/>
      <c r="H70" s="518"/>
      <c r="I70" s="515"/>
      <c r="J70" s="444"/>
      <c r="M70" s="444" t="s">
        <v>282</v>
      </c>
    </row>
    <row r="71" spans="2:16" ht="13.5" thickBot="1" x14ac:dyDescent="0.3">
      <c r="B71" s="519" t="s">
        <v>283</v>
      </c>
      <c r="C71" s="520">
        <f>+F55</f>
        <v>462.79000000000008</v>
      </c>
      <c r="D71" s="520">
        <f>+D60</f>
        <v>182</v>
      </c>
      <c r="E71" s="521">
        <f>+C71/D71</f>
        <v>2.5428021978021982</v>
      </c>
      <c r="F71" s="459"/>
      <c r="G71" s="518"/>
      <c r="H71" s="461"/>
      <c r="I71" s="518"/>
      <c r="J71" s="444"/>
    </row>
    <row r="72" spans="2:16" x14ac:dyDescent="0.25">
      <c r="B72" s="522"/>
      <c r="C72" s="523"/>
      <c r="D72" s="524"/>
      <c r="E72" s="507"/>
      <c r="F72" s="459"/>
      <c r="G72" s="518"/>
      <c r="H72" s="461"/>
      <c r="I72" s="461"/>
      <c r="J72" s="444"/>
    </row>
    <row r="73" spans="2:16" x14ac:dyDescent="0.25">
      <c r="B73" s="519" t="s">
        <v>284</v>
      </c>
      <c r="C73" s="520">
        <f>SUM(F65:F66)</f>
        <v>764.48713333333342</v>
      </c>
      <c r="D73" s="520">
        <f>+D60</f>
        <v>182</v>
      </c>
      <c r="E73" s="525">
        <f>+C73/D73</f>
        <v>4.2004787545787554</v>
      </c>
      <c r="F73" s="459"/>
      <c r="G73" s="518"/>
      <c r="H73" s="461"/>
      <c r="I73" s="461"/>
      <c r="J73" s="444"/>
    </row>
    <row r="74" spans="2:16" x14ac:dyDescent="0.25">
      <c r="B74" s="519"/>
      <c r="C74" s="520"/>
      <c r="D74" s="520"/>
      <c r="E74" s="525"/>
      <c r="F74" s="459"/>
      <c r="G74" s="518"/>
      <c r="H74" s="461"/>
      <c r="I74" s="461"/>
      <c r="J74" s="444"/>
    </row>
    <row r="75" spans="2:16" ht="13.5" thickBot="1" x14ac:dyDescent="0.3">
      <c r="B75" s="519" t="s">
        <v>285</v>
      </c>
      <c r="C75" s="520">
        <f>+F67</f>
        <v>308</v>
      </c>
      <c r="D75" s="520">
        <f>+D60</f>
        <v>182</v>
      </c>
      <c r="E75" s="525">
        <f>+C75/D75</f>
        <v>1.6923076923076923</v>
      </c>
      <c r="F75" s="459"/>
      <c r="G75" s="518"/>
      <c r="H75" s="461"/>
      <c r="I75" s="461"/>
      <c r="J75" s="444"/>
    </row>
    <row r="76" spans="2:16" ht="13.5" thickBot="1" x14ac:dyDescent="0.3">
      <c r="B76" s="519" t="s">
        <v>286</v>
      </c>
      <c r="C76" s="520">
        <f>+F58</f>
        <v>324.33999999999997</v>
      </c>
      <c r="D76" s="520">
        <f>+D75</f>
        <v>182</v>
      </c>
      <c r="E76" s="521">
        <f>+C76/D76</f>
        <v>1.7820879120879118</v>
      </c>
      <c r="F76" s="459"/>
      <c r="G76" s="518"/>
      <c r="H76" s="461"/>
      <c r="I76" s="461"/>
      <c r="J76" s="444"/>
    </row>
    <row r="77" spans="2:16" ht="13.5" thickBot="1" x14ac:dyDescent="0.3">
      <c r="B77" s="483"/>
      <c r="C77" s="484"/>
      <c r="D77" s="484"/>
      <c r="E77" s="525"/>
      <c r="F77" s="459"/>
      <c r="G77" s="518"/>
      <c r="H77" s="461"/>
      <c r="I77" s="461"/>
      <c r="J77" s="444"/>
    </row>
    <row r="78" spans="2:16" ht="13.5" thickBot="1" x14ac:dyDescent="0.3">
      <c r="B78" s="519" t="s">
        <v>287</v>
      </c>
      <c r="C78" s="520">
        <f>+F56</f>
        <v>292.44133333333332</v>
      </c>
      <c r="D78" s="520">
        <f>+D76</f>
        <v>182</v>
      </c>
      <c r="E78" s="521">
        <f>+C78/D78</f>
        <v>1.6068205128205126</v>
      </c>
      <c r="F78" s="459"/>
      <c r="G78" s="518"/>
      <c r="H78" s="461"/>
      <c r="I78" s="461"/>
      <c r="J78" s="461"/>
    </row>
    <row r="79" spans="2:16" ht="13.5" thickBot="1" x14ac:dyDescent="0.3">
      <c r="B79" s="483"/>
      <c r="C79" s="484"/>
      <c r="D79" s="484"/>
      <c r="E79" s="525"/>
      <c r="F79" s="459"/>
      <c r="G79" s="518"/>
      <c r="H79" s="461"/>
      <c r="I79" s="461"/>
    </row>
    <row r="80" spans="2:16" ht="13.5" thickBot="1" x14ac:dyDescent="0.3">
      <c r="B80" s="690" t="s">
        <v>288</v>
      </c>
      <c r="C80" s="691"/>
      <c r="D80" s="692"/>
      <c r="E80" s="521">
        <f>+E71+E76</f>
        <v>4.3248901098901102</v>
      </c>
      <c r="G80" s="459"/>
      <c r="H80" s="518"/>
      <c r="I80" s="461"/>
      <c r="J80" s="525"/>
    </row>
    <row r="81" spans="1:10" x14ac:dyDescent="0.25">
      <c r="I81" s="518"/>
      <c r="J81" s="444"/>
    </row>
    <row r="82" spans="1:10" ht="13.5" thickBot="1" x14ac:dyDescent="0.3">
      <c r="B82" s="689" t="s">
        <v>289</v>
      </c>
      <c r="C82" s="689"/>
      <c r="D82" s="689"/>
      <c r="E82" s="689"/>
      <c r="F82" s="689"/>
      <c r="G82" s="459"/>
      <c r="H82" s="518"/>
      <c r="J82" s="444"/>
    </row>
    <row r="83" spans="1:10" ht="13.5" thickBot="1" x14ac:dyDescent="0.3">
      <c r="B83" s="519" t="s">
        <v>283</v>
      </c>
      <c r="C83" s="520">
        <f>+C71</f>
        <v>462.79000000000008</v>
      </c>
      <c r="D83" s="520">
        <f>+D62</f>
        <v>1</v>
      </c>
      <c r="E83" s="521">
        <f>+C83/D83</f>
        <v>462.79000000000008</v>
      </c>
      <c r="F83" s="459"/>
      <c r="G83" s="518"/>
      <c r="H83" s="461"/>
      <c r="I83" s="518"/>
      <c r="J83" s="444"/>
    </row>
    <row r="84" spans="1:10" x14ac:dyDescent="0.25">
      <c r="B84" s="522"/>
      <c r="C84" s="523"/>
      <c r="D84" s="524"/>
      <c r="E84" s="507"/>
      <c r="F84" s="459"/>
      <c r="G84" s="518"/>
      <c r="H84" s="461"/>
      <c r="I84" s="461"/>
      <c r="J84" s="444"/>
    </row>
    <row r="85" spans="1:10" x14ac:dyDescent="0.25">
      <c r="B85" s="519" t="s">
        <v>284</v>
      </c>
      <c r="C85" s="520">
        <f>+C73</f>
        <v>764.48713333333342</v>
      </c>
      <c r="D85" s="520">
        <f>+D62</f>
        <v>1</v>
      </c>
      <c r="E85" s="525">
        <f>+C85/D85</f>
        <v>764.48713333333342</v>
      </c>
      <c r="F85" s="459"/>
      <c r="G85" s="518"/>
      <c r="H85" s="461"/>
      <c r="I85" s="461"/>
      <c r="J85" s="444"/>
    </row>
    <row r="86" spans="1:10" x14ac:dyDescent="0.25">
      <c r="B86" s="519"/>
      <c r="C86" s="520"/>
      <c r="D86" s="520"/>
      <c r="E86" s="525"/>
      <c r="F86" s="459"/>
      <c r="G86" s="518"/>
      <c r="H86" s="461"/>
      <c r="I86" s="461"/>
      <c r="J86" s="444"/>
    </row>
    <row r="87" spans="1:10" ht="13.5" thickBot="1" x14ac:dyDescent="0.3">
      <c r="B87" s="519" t="s">
        <v>286</v>
      </c>
      <c r="C87" s="520">
        <f>+C75</f>
        <v>308</v>
      </c>
      <c r="D87" s="520">
        <f>+D62</f>
        <v>1</v>
      </c>
      <c r="E87" s="525">
        <f>+C87/D87</f>
        <v>308</v>
      </c>
      <c r="F87" s="527"/>
      <c r="G87" s="517"/>
      <c r="H87" s="443"/>
      <c r="I87" s="461"/>
    </row>
    <row r="88" spans="1:10" ht="13.5" thickBot="1" x14ac:dyDescent="0.3">
      <c r="B88" s="519" t="s">
        <v>286</v>
      </c>
      <c r="C88" s="520">
        <f>+C76</f>
        <v>324.33999999999997</v>
      </c>
      <c r="D88" s="520">
        <f>+D87</f>
        <v>1</v>
      </c>
      <c r="E88" s="521">
        <f>+C88/D88</f>
        <v>324.33999999999997</v>
      </c>
      <c r="F88" s="526"/>
      <c r="G88" s="517"/>
      <c r="H88" s="443"/>
      <c r="I88" s="443"/>
    </row>
    <row r="89" spans="1:10" x14ac:dyDescent="0.25">
      <c r="I89" s="443"/>
    </row>
    <row r="90" spans="1:10" x14ac:dyDescent="0.2">
      <c r="A90" s="693"/>
      <c r="B90" s="693"/>
      <c r="C90" s="528"/>
      <c r="D90" s="528"/>
      <c r="E90" s="529"/>
      <c r="G90" s="530"/>
    </row>
    <row r="91" spans="1:10" x14ac:dyDescent="0.2">
      <c r="A91" s="462"/>
      <c r="B91" s="531"/>
      <c r="C91" s="532"/>
      <c r="D91" s="532"/>
      <c r="E91" s="533"/>
      <c r="G91" s="530"/>
    </row>
    <row r="92" spans="1:10" x14ac:dyDescent="0.2">
      <c r="A92" s="462"/>
      <c r="B92" s="531"/>
      <c r="C92" s="534"/>
      <c r="D92" s="534"/>
      <c r="E92" s="462"/>
      <c r="G92" s="530"/>
    </row>
    <row r="93" spans="1:10" x14ac:dyDescent="0.2">
      <c r="A93" s="462"/>
      <c r="B93" s="531"/>
      <c r="C93" s="535"/>
      <c r="D93" s="535"/>
      <c r="E93" s="462"/>
      <c r="G93" s="530"/>
    </row>
  </sheetData>
  <mergeCells count="30">
    <mergeCell ref="K31:L31"/>
    <mergeCell ref="A4:H4"/>
    <mergeCell ref="A5:H5"/>
    <mergeCell ref="F6:G6"/>
    <mergeCell ref="K27:L27"/>
    <mergeCell ref="K28:L28"/>
    <mergeCell ref="B63:C63"/>
    <mergeCell ref="K63:N63"/>
    <mergeCell ref="K32:L32"/>
    <mergeCell ref="B55:E55"/>
    <mergeCell ref="B56:E56"/>
    <mergeCell ref="K56:N56"/>
    <mergeCell ref="B57:E57"/>
    <mergeCell ref="C58:E58"/>
    <mergeCell ref="B60:C60"/>
    <mergeCell ref="B61:C61"/>
    <mergeCell ref="M61:N61"/>
    <mergeCell ref="B62:C62"/>
    <mergeCell ref="L62:M62"/>
    <mergeCell ref="B70:F70"/>
    <mergeCell ref="B80:D80"/>
    <mergeCell ref="B82:F82"/>
    <mergeCell ref="A90:B90"/>
    <mergeCell ref="L64:N64"/>
    <mergeCell ref="B65:D65"/>
    <mergeCell ref="K65:N65"/>
    <mergeCell ref="B66:D66"/>
    <mergeCell ref="B67:C67"/>
    <mergeCell ref="B68:E68"/>
    <mergeCell ref="H68:H6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51D0-760C-41A8-AC19-DA9A54212A2C}">
  <dimension ref="A1:I60"/>
  <sheetViews>
    <sheetView workbookViewId="0">
      <selection activeCell="D14" sqref="D14"/>
    </sheetView>
  </sheetViews>
  <sheetFormatPr baseColWidth="10" defaultRowHeight="15" x14ac:dyDescent="0.25"/>
  <cols>
    <col min="3" max="3" width="54.140625" customWidth="1"/>
  </cols>
  <sheetData>
    <row r="1" spans="1:9" ht="17.25" x14ac:dyDescent="0.3">
      <c r="A1" s="652"/>
      <c r="B1" s="653"/>
      <c r="C1" s="674" t="s">
        <v>34</v>
      </c>
      <c r="D1" s="674"/>
      <c r="E1" s="674"/>
      <c r="F1" s="674"/>
      <c r="G1" s="674"/>
      <c r="H1" s="4" t="s">
        <v>33</v>
      </c>
      <c r="I1" s="5"/>
    </row>
    <row r="2" spans="1:9" ht="18" thickBot="1" x14ac:dyDescent="0.35">
      <c r="A2" s="654"/>
      <c r="B2" s="655"/>
      <c r="C2" s="675" t="s">
        <v>32</v>
      </c>
      <c r="D2" s="675"/>
      <c r="E2" s="675"/>
      <c r="F2" s="675"/>
      <c r="G2" s="675"/>
      <c r="H2" s="6" t="s">
        <v>31</v>
      </c>
      <c r="I2" s="7"/>
    </row>
    <row r="3" spans="1:9" ht="15.75" thickBot="1" x14ac:dyDescent="0.3">
      <c r="A3" s="654"/>
      <c r="B3" s="655"/>
      <c r="C3" s="676" t="s">
        <v>300</v>
      </c>
      <c r="D3" s="676"/>
      <c r="E3" s="676"/>
      <c r="F3" s="676"/>
      <c r="G3" s="677"/>
      <c r="H3" s="678" t="s">
        <v>30</v>
      </c>
      <c r="I3" s="665"/>
    </row>
    <row r="4" spans="1:9" ht="17.25" x14ac:dyDescent="0.3">
      <c r="A4" s="654"/>
      <c r="B4" s="655"/>
      <c r="C4" s="8" t="s">
        <v>29</v>
      </c>
      <c r="D4" s="668" t="s">
        <v>36</v>
      </c>
      <c r="E4" s="669"/>
      <c r="F4" s="669"/>
      <c r="G4" s="670"/>
      <c r="H4" s="679"/>
      <c r="I4" s="666"/>
    </row>
    <row r="5" spans="1:9" ht="18" thickBot="1" x14ac:dyDescent="0.35">
      <c r="A5" s="656"/>
      <c r="B5" s="657"/>
      <c r="C5" s="9" t="s">
        <v>28</v>
      </c>
      <c r="D5" s="671" t="s">
        <v>37</v>
      </c>
      <c r="E5" s="672"/>
      <c r="F5" s="672"/>
      <c r="G5" s="673"/>
      <c r="H5" s="680"/>
      <c r="I5" s="667"/>
    </row>
    <row r="6" spans="1:9" ht="16.5" thickBot="1" x14ac:dyDescent="0.3">
      <c r="A6" s="681" t="s">
        <v>27</v>
      </c>
      <c r="B6" s="681"/>
      <c r="C6" s="681"/>
      <c r="D6" s="682" t="s">
        <v>38</v>
      </c>
      <c r="E6" s="682"/>
      <c r="F6" s="682"/>
      <c r="G6" s="683" t="s">
        <v>26</v>
      </c>
      <c r="H6" s="683"/>
      <c r="I6" s="10" t="s">
        <v>38</v>
      </c>
    </row>
    <row r="7" spans="1:9" ht="45" x14ac:dyDescent="0.25">
      <c r="A7" s="684" t="s">
        <v>25</v>
      </c>
      <c r="B7" s="686" t="s">
        <v>24</v>
      </c>
      <c r="C7" s="664" t="s">
        <v>23</v>
      </c>
      <c r="D7" s="664" t="s">
        <v>22</v>
      </c>
      <c r="E7" s="664" t="s">
        <v>21</v>
      </c>
      <c r="F7" s="664"/>
      <c r="G7" s="664" t="s">
        <v>20</v>
      </c>
      <c r="H7" s="664"/>
      <c r="I7" s="11" t="s">
        <v>19</v>
      </c>
    </row>
    <row r="8" spans="1:9" ht="31.5" thickBot="1" x14ac:dyDescent="0.3">
      <c r="A8" s="685"/>
      <c r="B8" s="687"/>
      <c r="C8" s="688"/>
      <c r="D8" s="688"/>
      <c r="E8" s="12" t="s">
        <v>15</v>
      </c>
      <c r="F8" s="13" t="s">
        <v>18</v>
      </c>
      <c r="G8" s="12" t="s">
        <v>15</v>
      </c>
      <c r="H8" s="13" t="s">
        <v>18</v>
      </c>
      <c r="I8" s="14" t="s">
        <v>17</v>
      </c>
    </row>
    <row r="9" spans="1:9" ht="15.75" x14ac:dyDescent="0.25">
      <c r="A9" s="15"/>
      <c r="B9" s="16"/>
      <c r="C9" s="17" t="s">
        <v>39</v>
      </c>
      <c r="D9" s="18"/>
      <c r="E9" s="19"/>
      <c r="F9" s="20"/>
      <c r="G9" s="19"/>
      <c r="H9" s="20"/>
      <c r="I9" s="21"/>
    </row>
    <row r="10" spans="1:9" ht="15.75" x14ac:dyDescent="0.25">
      <c r="A10" s="22" t="s">
        <v>40</v>
      </c>
      <c r="B10" s="23" t="s">
        <v>41</v>
      </c>
      <c r="C10" s="24" t="s">
        <v>42</v>
      </c>
      <c r="D10" s="25" t="s">
        <v>43</v>
      </c>
      <c r="E10" s="25">
        <v>10</v>
      </c>
      <c r="F10" s="26" t="s">
        <v>2</v>
      </c>
      <c r="G10" s="27"/>
      <c r="H10" s="28"/>
      <c r="I10" s="21"/>
    </row>
    <row r="11" spans="1:9" ht="17.25" x14ac:dyDescent="0.25">
      <c r="A11" s="22"/>
      <c r="B11" s="29" t="s">
        <v>44</v>
      </c>
      <c r="C11" s="30" t="s">
        <v>45</v>
      </c>
      <c r="D11" s="31" t="s">
        <v>35</v>
      </c>
      <c r="E11" s="25">
        <v>112</v>
      </c>
      <c r="F11" s="26" t="s">
        <v>2</v>
      </c>
      <c r="G11" s="27"/>
      <c r="H11" s="32"/>
      <c r="I11" s="21"/>
    </row>
    <row r="12" spans="1:9" ht="17.25" x14ac:dyDescent="0.3">
      <c r="A12" s="22" t="s">
        <v>46</v>
      </c>
      <c r="B12" s="23" t="s">
        <v>47</v>
      </c>
      <c r="C12" s="33" t="s">
        <v>48</v>
      </c>
      <c r="D12" s="25" t="s">
        <v>43</v>
      </c>
      <c r="E12" s="34">
        <v>30</v>
      </c>
      <c r="F12" s="35" t="s">
        <v>2</v>
      </c>
      <c r="G12" s="36"/>
      <c r="H12" s="37"/>
      <c r="I12" s="21"/>
    </row>
    <row r="13" spans="1:9" ht="17.25" x14ac:dyDescent="0.3">
      <c r="A13" s="38"/>
      <c r="B13" s="38"/>
      <c r="C13" s="39"/>
      <c r="D13" s="40"/>
      <c r="E13" s="27"/>
      <c r="F13" s="1"/>
      <c r="G13" s="36"/>
      <c r="H13" s="37"/>
      <c r="I13" s="21"/>
    </row>
    <row r="14" spans="1:9" ht="17.25" x14ac:dyDescent="0.3">
      <c r="A14" s="35"/>
      <c r="B14" s="35"/>
      <c r="C14" s="41"/>
      <c r="D14" s="28"/>
      <c r="E14" s="36"/>
      <c r="F14" s="42"/>
      <c r="G14" s="36"/>
      <c r="H14" s="37"/>
      <c r="I14" s="21"/>
    </row>
    <row r="15" spans="1:9" ht="15.75" x14ac:dyDescent="0.25">
      <c r="A15" s="43"/>
      <c r="B15" s="43"/>
      <c r="C15" s="44"/>
      <c r="D15" s="28"/>
      <c r="E15" s="27"/>
      <c r="F15" s="1"/>
      <c r="G15" s="45"/>
      <c r="H15" s="37"/>
      <c r="I15" s="21"/>
    </row>
    <row r="16" spans="1:9" ht="15.75" x14ac:dyDescent="0.25">
      <c r="A16" s="43"/>
      <c r="B16" s="43"/>
      <c r="C16" s="44"/>
      <c r="D16" s="28"/>
      <c r="E16" s="27"/>
      <c r="F16" s="1"/>
      <c r="G16" s="45"/>
      <c r="H16" s="37"/>
      <c r="I16" s="21"/>
    </row>
    <row r="17" spans="1:9" ht="15.75" x14ac:dyDescent="0.25">
      <c r="A17" s="43"/>
      <c r="B17" s="43"/>
      <c r="C17" s="44"/>
      <c r="D17" s="46"/>
      <c r="E17" s="47"/>
      <c r="F17" s="48"/>
      <c r="G17" s="45"/>
      <c r="H17" s="37"/>
      <c r="I17" s="21"/>
    </row>
    <row r="18" spans="1:9" ht="17.25" x14ac:dyDescent="0.3">
      <c r="A18" s="38"/>
      <c r="B18" s="38"/>
      <c r="C18" s="39"/>
      <c r="D18" s="49"/>
      <c r="E18" s="50"/>
      <c r="F18" s="51"/>
      <c r="G18" s="52"/>
      <c r="H18" s="37"/>
      <c r="I18" s="21"/>
    </row>
    <row r="19" spans="1:9" ht="15.75" x14ac:dyDescent="0.25">
      <c r="A19" s="38"/>
      <c r="B19" s="38"/>
      <c r="C19" s="53"/>
      <c r="D19" s="54"/>
      <c r="E19" s="54"/>
      <c r="F19" s="55"/>
      <c r="G19" s="19"/>
      <c r="H19" s="56"/>
      <c r="I19" s="21"/>
    </row>
    <row r="20" spans="1:9" ht="15.75" x14ac:dyDescent="0.25">
      <c r="A20" s="57"/>
      <c r="B20" s="57"/>
      <c r="C20" s="58" t="s">
        <v>16</v>
      </c>
      <c r="D20" s="59" t="s">
        <v>49</v>
      </c>
      <c r="E20" s="60"/>
      <c r="F20" s="55"/>
      <c r="G20" s="19"/>
      <c r="H20" s="56"/>
      <c r="I20" s="21"/>
    </row>
    <row r="21" spans="1:9" ht="17.25" x14ac:dyDescent="0.3">
      <c r="A21" s="61"/>
      <c r="B21" s="3" t="s">
        <v>83</v>
      </c>
      <c r="C21" s="2" t="s">
        <v>84</v>
      </c>
      <c r="D21" s="25" t="s">
        <v>35</v>
      </c>
      <c r="E21" s="34">
        <v>22</v>
      </c>
      <c r="F21" s="35" t="s">
        <v>2</v>
      </c>
      <c r="G21" s="52"/>
      <c r="H21" s="52" t="s">
        <v>50</v>
      </c>
      <c r="I21" s="21"/>
    </row>
    <row r="22" spans="1:9" ht="15.75" x14ac:dyDescent="0.25">
      <c r="A22" s="61"/>
      <c r="B22" s="3" t="s">
        <v>83</v>
      </c>
      <c r="C22" s="2" t="s">
        <v>84</v>
      </c>
      <c r="D22" s="25" t="s">
        <v>35</v>
      </c>
      <c r="E22" s="34">
        <v>15</v>
      </c>
      <c r="F22" s="35" t="s">
        <v>2</v>
      </c>
      <c r="G22" s="27"/>
      <c r="H22" s="28" t="s">
        <v>51</v>
      </c>
      <c r="I22" s="21"/>
    </row>
    <row r="23" spans="1:9" ht="15.75" x14ac:dyDescent="0.25">
      <c r="A23" s="61"/>
      <c r="B23" s="3" t="s">
        <v>52</v>
      </c>
      <c r="C23" s="2" t="s">
        <v>53</v>
      </c>
      <c r="D23" s="25" t="s">
        <v>35</v>
      </c>
      <c r="E23" s="34">
        <v>8</v>
      </c>
      <c r="F23" s="35" t="s">
        <v>2</v>
      </c>
      <c r="G23" s="27"/>
      <c r="H23" s="28"/>
      <c r="I23" s="21"/>
    </row>
    <row r="24" spans="1:9" ht="15.75" x14ac:dyDescent="0.25">
      <c r="A24" s="62"/>
      <c r="B24" s="62" t="s">
        <v>54</v>
      </c>
      <c r="C24" s="63" t="s">
        <v>55</v>
      </c>
      <c r="D24" s="64"/>
      <c r="E24" s="34">
        <v>1</v>
      </c>
      <c r="F24" s="35" t="s">
        <v>2</v>
      </c>
      <c r="G24" s="65"/>
      <c r="H24" s="27" t="s">
        <v>56</v>
      </c>
      <c r="I24" s="21"/>
    </row>
    <row r="25" spans="1:9" ht="15.75" x14ac:dyDescent="0.25">
      <c r="A25" s="62"/>
      <c r="B25" s="62" t="s">
        <v>54</v>
      </c>
      <c r="C25" s="63" t="s">
        <v>57</v>
      </c>
      <c r="D25" s="64"/>
      <c r="E25" s="34">
        <v>1</v>
      </c>
      <c r="F25" s="35" t="s">
        <v>2</v>
      </c>
      <c r="G25" s="65"/>
      <c r="H25" s="27"/>
      <c r="I25" s="21"/>
    </row>
    <row r="26" spans="1:9" ht="15.75" x14ac:dyDescent="0.25">
      <c r="A26" s="38"/>
      <c r="B26" s="38"/>
      <c r="C26" s="39"/>
      <c r="D26" s="64"/>
      <c r="E26" s="34"/>
      <c r="F26" s="1"/>
      <c r="G26" s="19"/>
      <c r="H26" s="56"/>
      <c r="I26" s="21"/>
    </row>
    <row r="27" spans="1:9" ht="15.75" x14ac:dyDescent="0.25">
      <c r="A27" s="38"/>
      <c r="B27" s="38"/>
      <c r="C27" s="53"/>
      <c r="D27" s="66"/>
      <c r="E27" s="67"/>
      <c r="F27" s="68"/>
      <c r="G27" s="19"/>
      <c r="H27" s="56"/>
      <c r="I27" s="21"/>
    </row>
    <row r="28" spans="1:9" ht="15.75" x14ac:dyDescent="0.25">
      <c r="A28" s="69"/>
      <c r="B28" s="69"/>
      <c r="C28" s="70" t="s">
        <v>58</v>
      </c>
      <c r="D28" s="71" t="s">
        <v>49</v>
      </c>
      <c r="E28" s="19"/>
      <c r="F28" s="20"/>
      <c r="G28" s="19"/>
      <c r="H28" s="56"/>
      <c r="I28" s="21"/>
    </row>
    <row r="29" spans="1:9" ht="15.75" x14ac:dyDescent="0.25">
      <c r="A29" s="61" t="s">
        <v>59</v>
      </c>
      <c r="B29" s="61" t="s">
        <v>60</v>
      </c>
      <c r="C29" s="24" t="s">
        <v>61</v>
      </c>
      <c r="D29" s="25" t="s">
        <v>62</v>
      </c>
      <c r="E29" s="61">
        <v>1</v>
      </c>
      <c r="F29" s="57" t="s">
        <v>5</v>
      </c>
      <c r="G29" s="45"/>
      <c r="H29" s="56"/>
      <c r="I29" s="21"/>
    </row>
    <row r="30" spans="1:9" ht="15.75" x14ac:dyDescent="0.25">
      <c r="A30" s="26">
        <v>702077</v>
      </c>
      <c r="B30" s="26" t="s">
        <v>63</v>
      </c>
      <c r="C30" s="72" t="s">
        <v>64</v>
      </c>
      <c r="D30" s="73" t="s">
        <v>65</v>
      </c>
      <c r="E30" s="26">
        <v>1</v>
      </c>
      <c r="F30" s="57" t="s">
        <v>5</v>
      </c>
      <c r="G30" s="74"/>
      <c r="H30" s="56"/>
      <c r="I30" s="21"/>
    </row>
    <row r="31" spans="1:9" ht="15.75" x14ac:dyDescent="0.25">
      <c r="A31" s="26">
        <v>702007</v>
      </c>
      <c r="B31" s="26" t="s">
        <v>66</v>
      </c>
      <c r="C31" s="72" t="s">
        <v>67</v>
      </c>
      <c r="D31" s="73" t="s">
        <v>65</v>
      </c>
      <c r="E31" s="26">
        <v>1</v>
      </c>
      <c r="F31" s="57" t="s">
        <v>5</v>
      </c>
      <c r="G31" s="19"/>
      <c r="H31" s="56"/>
      <c r="I31" s="21"/>
    </row>
    <row r="32" spans="1:9" ht="15.75" x14ac:dyDescent="0.25">
      <c r="A32" s="26">
        <v>702123</v>
      </c>
      <c r="B32" s="26" t="s">
        <v>68</v>
      </c>
      <c r="C32" s="72" t="s">
        <v>69</v>
      </c>
      <c r="D32" s="73"/>
      <c r="E32" s="26" t="s">
        <v>70</v>
      </c>
      <c r="F32" s="57" t="s">
        <v>5</v>
      </c>
      <c r="G32" s="19"/>
      <c r="H32" s="56"/>
      <c r="I32" s="21"/>
    </row>
    <row r="33" spans="1:9" ht="15.75" x14ac:dyDescent="0.25">
      <c r="A33" s="26">
        <v>702174</v>
      </c>
      <c r="B33" s="26" t="s">
        <v>71</v>
      </c>
      <c r="C33" s="72" t="s">
        <v>72</v>
      </c>
      <c r="D33" s="73"/>
      <c r="E33" s="26" t="s">
        <v>73</v>
      </c>
      <c r="F33" s="57" t="s">
        <v>5</v>
      </c>
      <c r="G33" s="19"/>
      <c r="H33" s="56"/>
      <c r="I33" s="21"/>
    </row>
    <row r="34" spans="1:9" ht="15.75" x14ac:dyDescent="0.25">
      <c r="A34" s="26" t="s">
        <v>74</v>
      </c>
      <c r="B34" s="26" t="s">
        <v>75</v>
      </c>
      <c r="C34" s="72" t="s">
        <v>76</v>
      </c>
      <c r="D34" s="73"/>
      <c r="E34" s="26" t="s">
        <v>70</v>
      </c>
      <c r="F34" s="57" t="s">
        <v>5</v>
      </c>
      <c r="G34" s="75"/>
      <c r="H34" s="56"/>
      <c r="I34" s="21"/>
    </row>
    <row r="35" spans="1:9" ht="15.75" x14ac:dyDescent="0.25">
      <c r="A35" s="26">
        <v>701096</v>
      </c>
      <c r="B35" s="26" t="s">
        <v>77</v>
      </c>
      <c r="C35" s="72" t="s">
        <v>78</v>
      </c>
      <c r="D35" s="73"/>
      <c r="E35" s="26">
        <v>1</v>
      </c>
      <c r="F35" s="1" t="s">
        <v>5</v>
      </c>
      <c r="G35" s="54"/>
      <c r="H35" s="56"/>
      <c r="I35" s="21"/>
    </row>
    <row r="36" spans="1:9" ht="17.25" x14ac:dyDescent="0.3">
      <c r="A36" s="76"/>
      <c r="B36" s="38"/>
      <c r="C36" s="77"/>
      <c r="D36" s="78"/>
      <c r="E36" s="42"/>
      <c r="F36" s="42"/>
      <c r="G36" s="54"/>
      <c r="H36" s="56"/>
      <c r="I36" s="21"/>
    </row>
    <row r="37" spans="1:9" ht="15.75" x14ac:dyDescent="0.25">
      <c r="A37" s="38"/>
      <c r="B37" s="79"/>
      <c r="C37" s="39"/>
      <c r="D37" s="28"/>
      <c r="E37" s="27"/>
      <c r="F37" s="1"/>
      <c r="G37" s="54"/>
      <c r="H37" s="59"/>
      <c r="I37" s="21"/>
    </row>
    <row r="38" spans="1:9" ht="15.75" x14ac:dyDescent="0.25">
      <c r="A38" s="80"/>
      <c r="B38" s="81"/>
      <c r="C38" s="82"/>
      <c r="D38" s="59"/>
      <c r="E38" s="59"/>
      <c r="F38" s="55"/>
      <c r="G38" s="59"/>
      <c r="H38" s="59"/>
      <c r="I38" s="21"/>
    </row>
    <row r="39" spans="1:9" ht="18" thickBot="1" x14ac:dyDescent="0.35">
      <c r="A39" s="83"/>
      <c r="B39" s="84"/>
      <c r="C39" s="85"/>
      <c r="D39" s="85"/>
      <c r="E39" s="86"/>
      <c r="F39" s="87"/>
      <c r="G39" s="85"/>
      <c r="H39" s="85"/>
      <c r="I39" s="88"/>
    </row>
    <row r="40" spans="1:9" ht="18" thickBot="1" x14ac:dyDescent="0.35">
      <c r="A40" s="89"/>
      <c r="B40" s="90"/>
      <c r="C40" s="91"/>
      <c r="D40" s="92" t="s">
        <v>15</v>
      </c>
      <c r="E40" s="93" t="s">
        <v>14</v>
      </c>
      <c r="F40" s="94"/>
      <c r="G40" s="91"/>
      <c r="H40" s="91"/>
      <c r="I40" s="95"/>
    </row>
    <row r="41" spans="1:9" ht="17.25" x14ac:dyDescent="0.3">
      <c r="A41" s="638" t="s">
        <v>13</v>
      </c>
      <c r="B41" s="639"/>
      <c r="C41" s="640"/>
      <c r="D41" s="96">
        <v>182</v>
      </c>
      <c r="E41" s="97" t="s">
        <v>2</v>
      </c>
      <c r="F41" s="641" t="s">
        <v>12</v>
      </c>
      <c r="G41" s="641"/>
      <c r="H41" s="642"/>
      <c r="I41" s="643"/>
    </row>
    <row r="42" spans="1:9" ht="17.25" x14ac:dyDescent="0.3">
      <c r="A42" s="644" t="s">
        <v>11</v>
      </c>
      <c r="B42" s="645"/>
      <c r="C42" s="646"/>
      <c r="D42" s="98">
        <v>5</v>
      </c>
      <c r="E42" s="99" t="s">
        <v>10</v>
      </c>
      <c r="F42" s="647" t="s">
        <v>9</v>
      </c>
      <c r="G42" s="647"/>
      <c r="H42" s="648"/>
      <c r="I42" s="649"/>
    </row>
    <row r="43" spans="1:9" ht="17.25" x14ac:dyDescent="0.3">
      <c r="A43" s="644" t="s">
        <v>8</v>
      </c>
      <c r="B43" s="645"/>
      <c r="C43" s="646"/>
      <c r="D43" s="99">
        <v>1</v>
      </c>
      <c r="E43" s="99" t="s">
        <v>5</v>
      </c>
      <c r="F43" s="647" t="s">
        <v>7</v>
      </c>
      <c r="G43" s="647"/>
      <c r="H43" s="648"/>
      <c r="I43" s="649"/>
    </row>
    <row r="44" spans="1:9" ht="17.25" x14ac:dyDescent="0.3">
      <c r="A44" s="644" t="s">
        <v>6</v>
      </c>
      <c r="B44" s="645"/>
      <c r="C44" s="646"/>
      <c r="D44" s="99">
        <v>182</v>
      </c>
      <c r="E44" s="99" t="s">
        <v>2</v>
      </c>
      <c r="F44" s="650" t="s">
        <v>4</v>
      </c>
      <c r="G44" s="651"/>
      <c r="H44" s="648"/>
      <c r="I44" s="649"/>
    </row>
    <row r="45" spans="1:9" ht="18" thickBot="1" x14ac:dyDescent="0.35">
      <c r="A45" s="658" t="s">
        <v>3</v>
      </c>
      <c r="B45" s="659"/>
      <c r="C45" s="660"/>
      <c r="D45" s="100">
        <v>17</v>
      </c>
      <c r="E45" s="101" t="s">
        <v>2</v>
      </c>
      <c r="F45" s="661"/>
      <c r="G45" s="661"/>
      <c r="H45" s="662"/>
      <c r="I45" s="663"/>
    </row>
    <row r="46" spans="1:9" ht="16.5" thickBot="1" x14ac:dyDescent="0.3">
      <c r="A46" s="618" t="s">
        <v>1</v>
      </c>
      <c r="B46" s="619"/>
      <c r="C46" s="619"/>
      <c r="D46" s="619"/>
      <c r="E46" s="619"/>
      <c r="F46" s="619"/>
      <c r="G46" s="619"/>
      <c r="H46" s="619"/>
      <c r="I46" s="620"/>
    </row>
    <row r="47" spans="1:9" ht="17.25" x14ac:dyDescent="0.3">
      <c r="A47" s="621" t="s">
        <v>79</v>
      </c>
      <c r="B47" s="622"/>
      <c r="C47" s="623"/>
      <c r="D47" s="623"/>
      <c r="E47" s="623"/>
      <c r="F47" s="623"/>
      <c r="G47" s="623"/>
      <c r="H47" s="623"/>
      <c r="I47" s="624"/>
    </row>
    <row r="48" spans="1:9" ht="17.25" x14ac:dyDescent="0.3">
      <c r="A48" s="621" t="s">
        <v>85</v>
      </c>
      <c r="B48" s="622"/>
      <c r="C48" s="623"/>
      <c r="D48" s="623"/>
      <c r="E48" s="623"/>
      <c r="F48" s="623"/>
      <c r="G48" s="623"/>
      <c r="H48" s="623"/>
      <c r="I48" s="624"/>
    </row>
    <row r="49" spans="1:9" ht="17.25" x14ac:dyDescent="0.3">
      <c r="A49" s="634" t="s">
        <v>80</v>
      </c>
      <c r="B49" s="635"/>
      <c r="C49" s="636"/>
      <c r="D49" s="636"/>
      <c r="E49" s="636"/>
      <c r="F49" s="636"/>
      <c r="G49" s="636"/>
      <c r="H49" s="636"/>
      <c r="I49" s="637"/>
    </row>
    <row r="50" spans="1:9" ht="17.25" x14ac:dyDescent="0.3">
      <c r="A50" s="634" t="s">
        <v>81</v>
      </c>
      <c r="B50" s="635"/>
      <c r="C50" s="636"/>
      <c r="D50" s="636"/>
      <c r="E50" s="636"/>
      <c r="F50" s="636"/>
      <c r="G50" s="636"/>
      <c r="H50" s="636"/>
      <c r="I50" s="637"/>
    </row>
    <row r="51" spans="1:9" ht="17.25" x14ac:dyDescent="0.3">
      <c r="A51" s="634" t="s">
        <v>82</v>
      </c>
      <c r="B51" s="635"/>
      <c r="C51" s="636"/>
      <c r="D51" s="636"/>
      <c r="E51" s="636"/>
      <c r="F51" s="636"/>
      <c r="G51" s="636"/>
      <c r="H51" s="636"/>
      <c r="I51" s="637"/>
    </row>
    <row r="52" spans="1:9" ht="17.25" x14ac:dyDescent="0.3">
      <c r="A52" s="631"/>
      <c r="B52" s="632"/>
      <c r="C52" s="632"/>
      <c r="D52" s="632"/>
      <c r="E52" s="632"/>
      <c r="F52" s="632"/>
      <c r="G52" s="632"/>
      <c r="H52" s="632"/>
      <c r="I52" s="633"/>
    </row>
    <row r="53" spans="1:9" ht="17.25" x14ac:dyDescent="0.3">
      <c r="A53" s="625"/>
      <c r="B53" s="626"/>
      <c r="C53" s="626"/>
      <c r="D53" s="626"/>
      <c r="E53" s="626"/>
      <c r="F53" s="626"/>
      <c r="G53" s="626"/>
      <c r="H53" s="626"/>
      <c r="I53" s="627"/>
    </row>
    <row r="54" spans="1:9" ht="17.25" x14ac:dyDescent="0.3">
      <c r="A54" s="625"/>
      <c r="B54" s="626"/>
      <c r="C54" s="626"/>
      <c r="D54" s="626"/>
      <c r="E54" s="626"/>
      <c r="F54" s="626"/>
      <c r="G54" s="626"/>
      <c r="H54" s="626"/>
      <c r="I54" s="627"/>
    </row>
    <row r="55" spans="1:9" ht="17.25" x14ac:dyDescent="0.3">
      <c r="A55" s="625"/>
      <c r="B55" s="626"/>
      <c r="C55" s="626"/>
      <c r="D55" s="626"/>
      <c r="E55" s="626"/>
      <c r="F55" s="626"/>
      <c r="G55" s="626"/>
      <c r="H55" s="626"/>
      <c r="I55" s="627"/>
    </row>
    <row r="56" spans="1:9" ht="17.25" x14ac:dyDescent="0.3">
      <c r="A56" s="625"/>
      <c r="B56" s="626"/>
      <c r="C56" s="626"/>
      <c r="D56" s="626"/>
      <c r="E56" s="626"/>
      <c r="F56" s="626"/>
      <c r="G56" s="626"/>
      <c r="H56" s="626"/>
      <c r="I56" s="627"/>
    </row>
    <row r="57" spans="1:9" ht="18" thickBot="1" x14ac:dyDescent="0.35">
      <c r="A57" s="628"/>
      <c r="B57" s="629"/>
      <c r="C57" s="629"/>
      <c r="D57" s="629"/>
      <c r="E57" s="629"/>
      <c r="F57" s="629"/>
      <c r="G57" s="629"/>
      <c r="H57" s="629"/>
      <c r="I57" s="630"/>
    </row>
    <row r="58" spans="1:9" x14ac:dyDescent="0.25">
      <c r="A58" s="614" t="s">
        <v>0</v>
      </c>
      <c r="B58" s="615"/>
      <c r="C58" s="615"/>
      <c r="D58" s="615"/>
      <c r="E58" s="615"/>
      <c r="F58" s="615"/>
      <c r="G58" s="615"/>
      <c r="H58" s="615"/>
      <c r="I58" s="615"/>
    </row>
    <row r="59" spans="1:9" x14ac:dyDescent="0.25">
      <c r="A59" s="616"/>
      <c r="B59" s="617"/>
      <c r="C59" s="617"/>
      <c r="D59" s="617"/>
      <c r="E59" s="617"/>
      <c r="F59" s="617"/>
      <c r="G59" s="617"/>
      <c r="H59" s="617"/>
      <c r="I59" s="617"/>
    </row>
    <row r="60" spans="1:9" x14ac:dyDescent="0.25">
      <c r="A60" s="616"/>
      <c r="B60" s="617"/>
      <c r="C60" s="617"/>
      <c r="D60" s="617"/>
      <c r="E60" s="617"/>
      <c r="F60" s="617"/>
      <c r="G60" s="617"/>
      <c r="H60" s="617"/>
      <c r="I60" s="617"/>
    </row>
  </sheetData>
  <mergeCells count="47">
    <mergeCell ref="A60:I60"/>
    <mergeCell ref="A41:C41"/>
    <mergeCell ref="F41:G41"/>
    <mergeCell ref="H41:I41"/>
    <mergeCell ref="A57:I57"/>
    <mergeCell ref="A58:I58"/>
    <mergeCell ref="A51:I51"/>
    <mergeCell ref="A59:I59"/>
    <mergeCell ref="A49:I49"/>
    <mergeCell ref="A52:I52"/>
    <mergeCell ref="A53:I53"/>
    <mergeCell ref="A54:I54"/>
    <mergeCell ref="A55:I55"/>
    <mergeCell ref="A42:C42"/>
    <mergeCell ref="F42:G42"/>
    <mergeCell ref="H42:I42"/>
    <mergeCell ref="A1:B5"/>
    <mergeCell ref="A6:C6"/>
    <mergeCell ref="D6:F6"/>
    <mergeCell ref="G6:H6"/>
    <mergeCell ref="A7:A8"/>
    <mergeCell ref="B7:B8"/>
    <mergeCell ref="E7:F7"/>
    <mergeCell ref="A56:I56"/>
    <mergeCell ref="A50:I50"/>
    <mergeCell ref="A44:C44"/>
    <mergeCell ref="F44:G44"/>
    <mergeCell ref="H44:I44"/>
    <mergeCell ref="A47:I47"/>
    <mergeCell ref="A48:I48"/>
    <mergeCell ref="A46:I46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3:C43"/>
    <mergeCell ref="F43:G43"/>
    <mergeCell ref="H43:I43"/>
    <mergeCell ref="A45:C45"/>
    <mergeCell ref="F45:G45"/>
    <mergeCell ref="H45:I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7AF7-E7F9-4DEE-94B4-D4282B5E49C6}">
  <sheetPr>
    <pageSetUpPr fitToPage="1"/>
  </sheetPr>
  <dimension ref="A1:I6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2" width="15" bestFit="1" customWidth="1"/>
    <col min="3" max="3" width="74.7109375" customWidth="1"/>
    <col min="4" max="4" width="14.140625" bestFit="1" customWidth="1"/>
    <col min="6" max="6" width="14.5703125" customWidth="1"/>
    <col min="7" max="7" width="18.7109375" customWidth="1"/>
    <col min="8" max="8" width="18.140625" customWidth="1"/>
    <col min="9" max="9" width="18.42578125" customWidth="1"/>
  </cols>
  <sheetData>
    <row r="1" spans="1:9" ht="17.25" x14ac:dyDescent="0.3">
      <c r="A1" s="652"/>
      <c r="B1" s="653"/>
      <c r="C1" s="674" t="s">
        <v>34</v>
      </c>
      <c r="D1" s="674"/>
      <c r="E1" s="674"/>
      <c r="F1" s="674"/>
      <c r="G1" s="674"/>
      <c r="H1" s="4" t="s">
        <v>33</v>
      </c>
      <c r="I1" s="5" t="s">
        <v>310</v>
      </c>
    </row>
    <row r="2" spans="1:9" ht="18" thickBot="1" x14ac:dyDescent="0.35">
      <c r="A2" s="654"/>
      <c r="B2" s="655"/>
      <c r="C2" s="675" t="s">
        <v>32</v>
      </c>
      <c r="D2" s="675"/>
      <c r="E2" s="675"/>
      <c r="F2" s="675"/>
      <c r="G2" s="675"/>
      <c r="H2" s="6" t="s">
        <v>31</v>
      </c>
      <c r="I2" s="7" t="s">
        <v>316</v>
      </c>
    </row>
    <row r="3" spans="1:9" ht="45" customHeight="1" thickBot="1" x14ac:dyDescent="0.3">
      <c r="A3" s="654"/>
      <c r="B3" s="655"/>
      <c r="C3" s="732" t="s">
        <v>314</v>
      </c>
      <c r="D3" s="732"/>
      <c r="E3" s="732"/>
      <c r="F3" s="732"/>
      <c r="G3" s="733"/>
      <c r="H3" s="678" t="s">
        <v>30</v>
      </c>
      <c r="I3" s="665" t="s">
        <v>309</v>
      </c>
    </row>
    <row r="4" spans="1:9" ht="17.25" x14ac:dyDescent="0.3">
      <c r="A4" s="654"/>
      <c r="B4" s="655"/>
      <c r="C4" s="8" t="s">
        <v>29</v>
      </c>
      <c r="D4" s="668" t="s">
        <v>36</v>
      </c>
      <c r="E4" s="669"/>
      <c r="F4" s="669"/>
      <c r="G4" s="670"/>
      <c r="H4" s="679"/>
      <c r="I4" s="666"/>
    </row>
    <row r="5" spans="1:9" ht="18" thickBot="1" x14ac:dyDescent="0.35">
      <c r="A5" s="656"/>
      <c r="B5" s="657"/>
      <c r="C5" s="9" t="s">
        <v>28</v>
      </c>
      <c r="D5" s="671" t="s">
        <v>37</v>
      </c>
      <c r="E5" s="672"/>
      <c r="F5" s="672"/>
      <c r="G5" s="673"/>
      <c r="H5" s="680"/>
      <c r="I5" s="667"/>
    </row>
    <row r="6" spans="1:9" ht="21" thickBot="1" x14ac:dyDescent="0.35">
      <c r="A6" s="681" t="s">
        <v>27</v>
      </c>
      <c r="B6" s="681"/>
      <c r="C6" s="681"/>
      <c r="D6" s="750" t="s">
        <v>38</v>
      </c>
      <c r="E6" s="750"/>
      <c r="F6" s="750"/>
      <c r="G6" s="683" t="s">
        <v>26</v>
      </c>
      <c r="H6" s="683"/>
      <c r="I6" s="612" t="s">
        <v>38</v>
      </c>
    </row>
    <row r="7" spans="1:9" ht="30" x14ac:dyDescent="0.25">
      <c r="A7" s="684" t="s">
        <v>25</v>
      </c>
      <c r="B7" s="686" t="s">
        <v>24</v>
      </c>
      <c r="C7" s="664" t="s">
        <v>23</v>
      </c>
      <c r="D7" s="664" t="s">
        <v>22</v>
      </c>
      <c r="E7" s="664" t="s">
        <v>21</v>
      </c>
      <c r="F7" s="664"/>
      <c r="G7" s="664" t="s">
        <v>20</v>
      </c>
      <c r="H7" s="664"/>
      <c r="I7" s="11" t="s">
        <v>19</v>
      </c>
    </row>
    <row r="8" spans="1:9" ht="31.5" thickBot="1" x14ac:dyDescent="0.3">
      <c r="A8" s="685"/>
      <c r="B8" s="687"/>
      <c r="C8" s="688"/>
      <c r="D8" s="688"/>
      <c r="E8" s="12" t="s">
        <v>15</v>
      </c>
      <c r="F8" s="13" t="s">
        <v>18</v>
      </c>
      <c r="G8" s="12" t="s">
        <v>15</v>
      </c>
      <c r="H8" s="13" t="s">
        <v>18</v>
      </c>
      <c r="I8" s="14" t="s">
        <v>17</v>
      </c>
    </row>
    <row r="9" spans="1:9" ht="20.25" x14ac:dyDescent="0.3">
      <c r="A9" s="536"/>
      <c r="B9" s="537"/>
      <c r="C9" s="538" t="s">
        <v>39</v>
      </c>
      <c r="D9" s="539"/>
      <c r="E9" s="540"/>
      <c r="F9" s="541"/>
      <c r="G9" s="540"/>
      <c r="H9" s="541"/>
      <c r="I9" s="542"/>
    </row>
    <row r="10" spans="1:9" ht="20.25" x14ac:dyDescent="0.3">
      <c r="A10" s="543" t="s">
        <v>40</v>
      </c>
      <c r="B10" s="544" t="s">
        <v>41</v>
      </c>
      <c r="C10" s="545" t="s">
        <v>42</v>
      </c>
      <c r="D10" s="546" t="s">
        <v>43</v>
      </c>
      <c r="E10" s="546">
        <v>10</v>
      </c>
      <c r="F10" s="547" t="s">
        <v>2</v>
      </c>
      <c r="G10" s="548"/>
      <c r="H10" s="549"/>
      <c r="I10" s="542"/>
    </row>
    <row r="11" spans="1:9" ht="20.25" x14ac:dyDescent="0.3">
      <c r="A11" s="543"/>
      <c r="B11" s="544" t="s">
        <v>44</v>
      </c>
      <c r="C11" s="545" t="s">
        <v>45</v>
      </c>
      <c r="D11" s="546" t="s">
        <v>35</v>
      </c>
      <c r="E11" s="546">
        <v>112</v>
      </c>
      <c r="F11" s="547" t="s">
        <v>2</v>
      </c>
      <c r="G11" s="548"/>
      <c r="H11" s="550"/>
      <c r="I11" s="542"/>
    </row>
    <row r="12" spans="1:9" ht="20.25" x14ac:dyDescent="0.3">
      <c r="A12" s="543" t="s">
        <v>46</v>
      </c>
      <c r="B12" s="544" t="s">
        <v>47</v>
      </c>
      <c r="C12" s="551" t="s">
        <v>48</v>
      </c>
      <c r="D12" s="546" t="s">
        <v>43</v>
      </c>
      <c r="E12" s="552">
        <v>30</v>
      </c>
      <c r="F12" s="553" t="s">
        <v>2</v>
      </c>
      <c r="G12" s="548"/>
      <c r="H12" s="554"/>
      <c r="I12" s="542"/>
    </row>
    <row r="13" spans="1:9" ht="20.25" x14ac:dyDescent="0.3">
      <c r="A13" s="555"/>
      <c r="B13" s="555"/>
      <c r="C13" s="556"/>
      <c r="D13" s="557"/>
      <c r="E13" s="548"/>
      <c r="F13" s="558"/>
      <c r="G13" s="548"/>
      <c r="H13" s="554"/>
      <c r="I13" s="542"/>
    </row>
    <row r="14" spans="1:9" ht="20.25" x14ac:dyDescent="0.3">
      <c r="A14" s="553"/>
      <c r="B14" s="553"/>
      <c r="C14" s="559"/>
      <c r="D14" s="549"/>
      <c r="E14" s="548"/>
      <c r="F14" s="558"/>
      <c r="G14" s="548"/>
      <c r="H14" s="554"/>
      <c r="I14" s="542"/>
    </row>
    <row r="15" spans="1:9" ht="20.25" x14ac:dyDescent="0.3">
      <c r="A15" s="560"/>
      <c r="B15" s="560"/>
      <c r="C15" s="561"/>
      <c r="D15" s="549"/>
      <c r="E15" s="548"/>
      <c r="F15" s="558"/>
      <c r="G15" s="562"/>
      <c r="H15" s="554"/>
      <c r="I15" s="542"/>
    </row>
    <row r="16" spans="1:9" ht="20.25" x14ac:dyDescent="0.3">
      <c r="A16" s="560"/>
      <c r="B16" s="560"/>
      <c r="C16" s="561"/>
      <c r="D16" s="549"/>
      <c r="E16" s="548"/>
      <c r="F16" s="558"/>
      <c r="G16" s="562"/>
      <c r="H16" s="554"/>
      <c r="I16" s="542"/>
    </row>
    <row r="17" spans="1:9" ht="20.25" x14ac:dyDescent="0.3">
      <c r="A17" s="560"/>
      <c r="B17" s="560"/>
      <c r="C17" s="561"/>
      <c r="D17" s="563"/>
      <c r="E17" s="564"/>
      <c r="F17" s="565"/>
      <c r="G17" s="562"/>
      <c r="H17" s="554"/>
      <c r="I17" s="542"/>
    </row>
    <row r="18" spans="1:9" ht="20.25" x14ac:dyDescent="0.3">
      <c r="A18" s="555"/>
      <c r="B18" s="555"/>
      <c r="C18" s="556"/>
      <c r="D18" s="566"/>
      <c r="E18" s="567"/>
      <c r="F18" s="568"/>
      <c r="G18" s="569"/>
      <c r="H18" s="554"/>
      <c r="I18" s="542"/>
    </row>
    <row r="19" spans="1:9" ht="20.25" x14ac:dyDescent="0.3">
      <c r="A19" s="555"/>
      <c r="B19" s="555"/>
      <c r="C19" s="570"/>
      <c r="D19" s="567"/>
      <c r="E19" s="567"/>
      <c r="F19" s="568"/>
      <c r="G19" s="540"/>
      <c r="H19" s="571"/>
      <c r="I19" s="542"/>
    </row>
    <row r="20" spans="1:9" ht="20.25" x14ac:dyDescent="0.3">
      <c r="A20" s="572"/>
      <c r="B20" s="572"/>
      <c r="C20" s="573" t="s">
        <v>16</v>
      </c>
      <c r="D20" s="571" t="s">
        <v>49</v>
      </c>
      <c r="E20" s="574"/>
      <c r="F20" s="568"/>
      <c r="G20" s="540"/>
      <c r="H20" s="571"/>
      <c r="I20" s="542"/>
    </row>
    <row r="21" spans="1:9" ht="20.25" x14ac:dyDescent="0.3">
      <c r="A21" s="575"/>
      <c r="B21" s="555" t="s">
        <v>83</v>
      </c>
      <c r="C21" s="556" t="s">
        <v>84</v>
      </c>
      <c r="D21" s="546" t="s">
        <v>35</v>
      </c>
      <c r="E21" s="552">
        <v>22</v>
      </c>
      <c r="F21" s="553" t="s">
        <v>2</v>
      </c>
      <c r="G21" s="569"/>
      <c r="H21" s="569" t="s">
        <v>50</v>
      </c>
      <c r="I21" s="542"/>
    </row>
    <row r="22" spans="1:9" ht="20.25" x14ac:dyDescent="0.3">
      <c r="A22" s="575"/>
      <c r="B22" s="555" t="s">
        <v>83</v>
      </c>
      <c r="C22" s="556" t="s">
        <v>84</v>
      </c>
      <c r="D22" s="546" t="s">
        <v>35</v>
      </c>
      <c r="E22" s="552">
        <v>15</v>
      </c>
      <c r="F22" s="553" t="s">
        <v>2</v>
      </c>
      <c r="G22" s="548"/>
      <c r="H22" s="549" t="s">
        <v>301</v>
      </c>
      <c r="I22" s="542"/>
    </row>
    <row r="23" spans="1:9" ht="20.25" x14ac:dyDescent="0.3">
      <c r="A23" s="575"/>
      <c r="B23" s="555" t="s">
        <v>52</v>
      </c>
      <c r="C23" s="556" t="s">
        <v>53</v>
      </c>
      <c r="D23" s="546" t="s">
        <v>35</v>
      </c>
      <c r="E23" s="552">
        <v>8</v>
      </c>
      <c r="F23" s="553" t="s">
        <v>2</v>
      </c>
      <c r="G23" s="548"/>
      <c r="H23" s="549"/>
      <c r="I23" s="542"/>
    </row>
    <row r="24" spans="1:9" ht="20.25" x14ac:dyDescent="0.3">
      <c r="A24" s="576"/>
      <c r="B24" s="577" t="s">
        <v>305</v>
      </c>
      <c r="C24" s="578" t="s">
        <v>55</v>
      </c>
      <c r="D24" s="579"/>
      <c r="E24" s="552">
        <v>1</v>
      </c>
      <c r="F24" s="553" t="s">
        <v>2</v>
      </c>
      <c r="G24" s="580"/>
      <c r="H24" s="548" t="s">
        <v>56</v>
      </c>
      <c r="I24" s="542"/>
    </row>
    <row r="25" spans="1:9" ht="20.25" x14ac:dyDescent="0.3">
      <c r="A25" s="576"/>
      <c r="B25" s="577" t="s">
        <v>306</v>
      </c>
      <c r="C25" s="578" t="s">
        <v>57</v>
      </c>
      <c r="D25" s="579"/>
      <c r="E25" s="552">
        <v>3</v>
      </c>
      <c r="F25" s="553" t="s">
        <v>2</v>
      </c>
      <c r="G25" s="580"/>
      <c r="H25" s="548"/>
      <c r="I25" s="542"/>
    </row>
    <row r="26" spans="1:9" ht="20.25" x14ac:dyDescent="0.3">
      <c r="A26" s="555"/>
      <c r="B26" s="555"/>
      <c r="C26" s="556"/>
      <c r="D26" s="579"/>
      <c r="E26" s="552"/>
      <c r="F26" s="558"/>
      <c r="G26" s="540"/>
      <c r="H26" s="571"/>
      <c r="I26" s="542"/>
    </row>
    <row r="27" spans="1:9" ht="20.25" x14ac:dyDescent="0.3">
      <c r="A27" s="555"/>
      <c r="B27" s="555"/>
      <c r="C27" s="570"/>
      <c r="D27" s="581"/>
      <c r="E27" s="582"/>
      <c r="F27" s="583"/>
      <c r="G27" s="540"/>
      <c r="H27" s="571"/>
      <c r="I27" s="542"/>
    </row>
    <row r="28" spans="1:9" ht="20.25" x14ac:dyDescent="0.3">
      <c r="A28" s="584"/>
      <c r="B28" s="584"/>
      <c r="C28" s="585" t="s">
        <v>58</v>
      </c>
      <c r="D28" s="586" t="s">
        <v>49</v>
      </c>
      <c r="E28" s="540"/>
      <c r="F28" s="541"/>
      <c r="G28" s="540"/>
      <c r="H28" s="571"/>
      <c r="I28" s="542"/>
    </row>
    <row r="29" spans="1:9" ht="20.25" x14ac:dyDescent="0.3">
      <c r="A29" s="575" t="s">
        <v>59</v>
      </c>
      <c r="B29" s="575" t="s">
        <v>60</v>
      </c>
      <c r="C29" s="545" t="s">
        <v>61</v>
      </c>
      <c r="D29" s="546" t="s">
        <v>62</v>
      </c>
      <c r="E29" s="575">
        <v>1</v>
      </c>
      <c r="F29" s="572" t="s">
        <v>5</v>
      </c>
      <c r="G29" s="562"/>
      <c r="H29" s="571"/>
      <c r="I29" s="542"/>
    </row>
    <row r="30" spans="1:9" ht="20.25" x14ac:dyDescent="0.3">
      <c r="A30" s="547">
        <v>702077</v>
      </c>
      <c r="B30" s="547" t="s">
        <v>63</v>
      </c>
      <c r="C30" s="587" t="s">
        <v>64</v>
      </c>
      <c r="D30" s="577" t="s">
        <v>65</v>
      </c>
      <c r="E30" s="547">
        <v>1</v>
      </c>
      <c r="F30" s="572" t="s">
        <v>5</v>
      </c>
      <c r="G30" s="569"/>
      <c r="H30" s="571"/>
      <c r="I30" s="542"/>
    </row>
    <row r="31" spans="1:9" ht="20.25" x14ac:dyDescent="0.3">
      <c r="A31" s="547">
        <v>702007</v>
      </c>
      <c r="B31" s="547" t="s">
        <v>66</v>
      </c>
      <c r="C31" s="587" t="s">
        <v>67</v>
      </c>
      <c r="D31" s="577" t="s">
        <v>65</v>
      </c>
      <c r="E31" s="547">
        <v>1</v>
      </c>
      <c r="F31" s="572" t="s">
        <v>5</v>
      </c>
      <c r="G31" s="540"/>
      <c r="H31" s="571"/>
      <c r="I31" s="542"/>
    </row>
    <row r="32" spans="1:9" ht="23.25" x14ac:dyDescent="0.35">
      <c r="A32" s="547"/>
      <c r="B32" s="613" t="s">
        <v>311</v>
      </c>
      <c r="C32" s="613" t="s">
        <v>312</v>
      </c>
      <c r="D32" s="577"/>
      <c r="E32" s="547" t="s">
        <v>70</v>
      </c>
      <c r="F32" s="572" t="s">
        <v>5</v>
      </c>
      <c r="G32" s="540"/>
      <c r="H32" s="571"/>
      <c r="I32" s="542"/>
    </row>
    <row r="33" spans="1:9" ht="20.25" x14ac:dyDescent="0.3">
      <c r="A33" s="547">
        <v>702174</v>
      </c>
      <c r="B33" s="547" t="s">
        <v>71</v>
      </c>
      <c r="C33" s="587" t="s">
        <v>72</v>
      </c>
      <c r="D33" s="577"/>
      <c r="E33" s="547" t="s">
        <v>73</v>
      </c>
      <c r="F33" s="572" t="s">
        <v>5</v>
      </c>
      <c r="G33" s="540"/>
      <c r="H33" s="571"/>
      <c r="I33" s="542"/>
    </row>
    <row r="34" spans="1:9" ht="20.25" x14ac:dyDescent="0.3">
      <c r="A34" s="547">
        <v>701096</v>
      </c>
      <c r="B34" s="547" t="s">
        <v>77</v>
      </c>
      <c r="C34" s="587" t="s">
        <v>78</v>
      </c>
      <c r="D34" s="577"/>
      <c r="E34" s="547">
        <v>1</v>
      </c>
      <c r="F34" s="558" t="s">
        <v>5</v>
      </c>
      <c r="G34" s="567"/>
      <c r="H34" s="571"/>
      <c r="I34" s="542"/>
    </row>
    <row r="35" spans="1:9" ht="20.25" x14ac:dyDescent="0.3">
      <c r="A35" s="588"/>
      <c r="B35" s="555"/>
      <c r="C35" s="589"/>
      <c r="D35" s="590"/>
      <c r="E35" s="558"/>
      <c r="F35" s="558"/>
      <c r="G35" s="567"/>
      <c r="H35" s="571"/>
      <c r="I35" s="542"/>
    </row>
    <row r="36" spans="1:9" ht="20.25" x14ac:dyDescent="0.3">
      <c r="A36" s="555"/>
      <c r="B36" s="591"/>
      <c r="C36" s="556"/>
      <c r="D36" s="549"/>
      <c r="E36" s="548"/>
      <c r="F36" s="558"/>
      <c r="G36" s="567"/>
      <c r="H36" s="571"/>
      <c r="I36" s="542"/>
    </row>
    <row r="37" spans="1:9" ht="20.25" x14ac:dyDescent="0.3">
      <c r="A37" s="592"/>
      <c r="B37" s="593"/>
      <c r="C37" s="594"/>
      <c r="D37" s="571"/>
      <c r="E37" s="571"/>
      <c r="F37" s="568"/>
      <c r="G37" s="571"/>
      <c r="H37" s="571"/>
      <c r="I37" s="542"/>
    </row>
    <row r="38" spans="1:9" ht="21" thickBot="1" x14ac:dyDescent="0.35">
      <c r="A38" s="595"/>
      <c r="B38" s="596"/>
      <c r="C38" s="597"/>
      <c r="D38" s="597"/>
      <c r="E38" s="598"/>
      <c r="F38" s="599"/>
      <c r="G38" s="597"/>
      <c r="H38" s="597"/>
      <c r="I38" s="600"/>
    </row>
    <row r="39" spans="1:9" ht="21" thickBot="1" x14ac:dyDescent="0.35">
      <c r="A39" s="601"/>
      <c r="B39" s="602"/>
      <c r="C39" s="603"/>
      <c r="D39" s="604" t="s">
        <v>15</v>
      </c>
      <c r="E39" s="605" t="s">
        <v>14</v>
      </c>
      <c r="F39" s="606"/>
      <c r="G39" s="603"/>
      <c r="H39" s="603"/>
      <c r="I39" s="607"/>
    </row>
    <row r="40" spans="1:9" ht="20.25" x14ac:dyDescent="0.3">
      <c r="A40" s="752" t="s">
        <v>13</v>
      </c>
      <c r="B40" s="753"/>
      <c r="C40" s="754"/>
      <c r="D40" s="608">
        <v>182</v>
      </c>
      <c r="E40" s="609" t="s">
        <v>2</v>
      </c>
      <c r="F40" s="755" t="s">
        <v>12</v>
      </c>
      <c r="G40" s="755"/>
      <c r="H40" s="756"/>
      <c r="I40" s="757"/>
    </row>
    <row r="41" spans="1:9" ht="20.25" x14ac:dyDescent="0.3">
      <c r="A41" s="720" t="s">
        <v>11</v>
      </c>
      <c r="B41" s="721"/>
      <c r="C41" s="722"/>
      <c r="D41" s="563">
        <v>5</v>
      </c>
      <c r="E41" s="549" t="s">
        <v>10</v>
      </c>
      <c r="F41" s="723" t="s">
        <v>9</v>
      </c>
      <c r="G41" s="723"/>
      <c r="H41" s="724"/>
      <c r="I41" s="725"/>
    </row>
    <row r="42" spans="1:9" ht="20.25" x14ac:dyDescent="0.3">
      <c r="A42" s="720" t="s">
        <v>8</v>
      </c>
      <c r="B42" s="721"/>
      <c r="C42" s="722"/>
      <c r="D42" s="549">
        <v>1</v>
      </c>
      <c r="E42" s="549" t="s">
        <v>5</v>
      </c>
      <c r="F42" s="723" t="s">
        <v>7</v>
      </c>
      <c r="G42" s="723"/>
      <c r="H42" s="724"/>
      <c r="I42" s="725"/>
    </row>
    <row r="43" spans="1:9" ht="20.25" x14ac:dyDescent="0.3">
      <c r="A43" s="720" t="s">
        <v>6</v>
      </c>
      <c r="B43" s="721"/>
      <c r="C43" s="722"/>
      <c r="D43" s="549">
        <v>182</v>
      </c>
      <c r="E43" s="549" t="s">
        <v>2</v>
      </c>
      <c r="F43" s="741" t="s">
        <v>4</v>
      </c>
      <c r="G43" s="742"/>
      <c r="H43" s="724"/>
      <c r="I43" s="725"/>
    </row>
    <row r="44" spans="1:9" ht="21" thickBot="1" x14ac:dyDescent="0.35">
      <c r="A44" s="726" t="s">
        <v>3</v>
      </c>
      <c r="B44" s="727"/>
      <c r="C44" s="728"/>
      <c r="D44" s="610">
        <v>17</v>
      </c>
      <c r="E44" s="611" t="s">
        <v>2</v>
      </c>
      <c r="F44" s="729"/>
      <c r="G44" s="729"/>
      <c r="H44" s="730"/>
      <c r="I44" s="731"/>
    </row>
    <row r="45" spans="1:9" ht="21" thickBot="1" x14ac:dyDescent="0.35">
      <c r="A45" s="747" t="s">
        <v>1</v>
      </c>
      <c r="B45" s="748"/>
      <c r="C45" s="748"/>
      <c r="D45" s="748"/>
      <c r="E45" s="748"/>
      <c r="F45" s="748"/>
      <c r="G45" s="748"/>
      <c r="H45" s="748"/>
      <c r="I45" s="749"/>
    </row>
    <row r="46" spans="1:9" ht="45.75" customHeight="1" x14ac:dyDescent="0.3">
      <c r="A46" s="743" t="s">
        <v>307</v>
      </c>
      <c r="B46" s="744"/>
      <c r="C46" s="745"/>
      <c r="D46" s="745"/>
      <c r="E46" s="745"/>
      <c r="F46" s="745"/>
      <c r="G46" s="745"/>
      <c r="H46" s="745"/>
      <c r="I46" s="746"/>
    </row>
    <row r="47" spans="1:9" ht="41.25" customHeight="1" x14ac:dyDescent="0.3">
      <c r="A47" s="743" t="s">
        <v>308</v>
      </c>
      <c r="B47" s="744"/>
      <c r="C47" s="745"/>
      <c r="D47" s="745"/>
      <c r="E47" s="745"/>
      <c r="F47" s="745"/>
      <c r="G47" s="745"/>
      <c r="H47" s="745"/>
      <c r="I47" s="746"/>
    </row>
    <row r="48" spans="1:9" ht="20.25" x14ac:dyDescent="0.3">
      <c r="A48" s="737" t="s">
        <v>302</v>
      </c>
      <c r="B48" s="738"/>
      <c r="C48" s="739"/>
      <c r="D48" s="739"/>
      <c r="E48" s="739"/>
      <c r="F48" s="739"/>
      <c r="G48" s="739"/>
      <c r="H48" s="739"/>
      <c r="I48" s="740"/>
    </row>
    <row r="49" spans="1:9" ht="20.25" x14ac:dyDescent="0.3">
      <c r="A49" s="737" t="s">
        <v>81</v>
      </c>
      <c r="B49" s="738"/>
      <c r="C49" s="739"/>
      <c r="D49" s="739"/>
      <c r="E49" s="739"/>
      <c r="F49" s="739"/>
      <c r="G49" s="739"/>
      <c r="H49" s="739"/>
      <c r="I49" s="740"/>
    </row>
    <row r="50" spans="1:9" ht="20.25" x14ac:dyDescent="0.3">
      <c r="A50" s="737" t="s">
        <v>82</v>
      </c>
      <c r="B50" s="738"/>
      <c r="C50" s="739"/>
      <c r="D50" s="739"/>
      <c r="E50" s="739"/>
      <c r="F50" s="739"/>
      <c r="G50" s="739"/>
      <c r="H50" s="739"/>
      <c r="I50" s="740"/>
    </row>
    <row r="51" spans="1:9" ht="20.25" x14ac:dyDescent="0.3">
      <c r="A51" s="763"/>
      <c r="B51" s="764"/>
      <c r="C51" s="764"/>
      <c r="D51" s="764"/>
      <c r="E51" s="764"/>
      <c r="F51" s="764"/>
      <c r="G51" s="764"/>
      <c r="H51" s="764"/>
      <c r="I51" s="765"/>
    </row>
    <row r="52" spans="1:9" ht="20.25" x14ac:dyDescent="0.3">
      <c r="A52" s="734"/>
      <c r="B52" s="735"/>
      <c r="C52" s="735"/>
      <c r="D52" s="735"/>
      <c r="E52" s="735"/>
      <c r="F52" s="735"/>
      <c r="G52" s="735"/>
      <c r="H52" s="735"/>
      <c r="I52" s="736"/>
    </row>
    <row r="53" spans="1:9" ht="20.25" x14ac:dyDescent="0.3">
      <c r="A53" s="734"/>
      <c r="B53" s="735"/>
      <c r="C53" s="735"/>
      <c r="D53" s="735"/>
      <c r="E53" s="735"/>
      <c r="F53" s="735"/>
      <c r="G53" s="735"/>
      <c r="H53" s="735"/>
      <c r="I53" s="736"/>
    </row>
    <row r="54" spans="1:9" ht="20.25" x14ac:dyDescent="0.3">
      <c r="A54" s="734"/>
      <c r="B54" s="735"/>
      <c r="C54" s="735"/>
      <c r="D54" s="735"/>
      <c r="E54" s="735"/>
      <c r="F54" s="735"/>
      <c r="G54" s="735"/>
      <c r="H54" s="735"/>
      <c r="I54" s="736"/>
    </row>
    <row r="55" spans="1:9" ht="20.25" x14ac:dyDescent="0.3">
      <c r="A55" s="734"/>
      <c r="B55" s="735"/>
      <c r="C55" s="735"/>
      <c r="D55" s="735"/>
      <c r="E55" s="735"/>
      <c r="F55" s="735"/>
      <c r="G55" s="735"/>
      <c r="H55" s="735"/>
      <c r="I55" s="736"/>
    </row>
    <row r="56" spans="1:9" ht="21" thickBot="1" x14ac:dyDescent="0.35">
      <c r="A56" s="758"/>
      <c r="B56" s="759"/>
      <c r="C56" s="759"/>
      <c r="D56" s="759"/>
      <c r="E56" s="759"/>
      <c r="F56" s="759"/>
      <c r="G56" s="759"/>
      <c r="H56" s="759"/>
      <c r="I56" s="760"/>
    </row>
    <row r="57" spans="1:9" ht="20.25" x14ac:dyDescent="0.3">
      <c r="A57" s="761" t="s">
        <v>0</v>
      </c>
      <c r="B57" s="762"/>
      <c r="C57" s="762"/>
      <c r="D57" s="762"/>
      <c r="E57" s="762"/>
      <c r="F57" s="762"/>
      <c r="G57" s="762"/>
      <c r="H57" s="762"/>
      <c r="I57" s="762"/>
    </row>
    <row r="58" spans="1:9" ht="20.25" x14ac:dyDescent="0.3">
      <c r="A58" s="751" t="s">
        <v>313</v>
      </c>
      <c r="B58" s="751"/>
      <c r="C58" s="751"/>
      <c r="D58" s="751"/>
      <c r="E58" s="751"/>
      <c r="F58" s="751"/>
      <c r="G58" s="751"/>
      <c r="H58" s="751"/>
      <c r="I58" s="751"/>
    </row>
    <row r="59" spans="1:9" ht="20.25" x14ac:dyDescent="0.3">
      <c r="A59" s="751" t="s">
        <v>315</v>
      </c>
      <c r="B59" s="751"/>
      <c r="C59" s="751"/>
      <c r="D59" s="751"/>
      <c r="E59" s="751"/>
      <c r="F59" s="751"/>
      <c r="G59" s="751"/>
      <c r="H59" s="751"/>
      <c r="I59" s="751"/>
    </row>
    <row r="60" spans="1:9" ht="20.25" x14ac:dyDescent="0.3">
      <c r="A60" s="751"/>
      <c r="B60" s="751"/>
      <c r="C60" s="751"/>
      <c r="D60" s="751"/>
      <c r="E60" s="751"/>
      <c r="F60" s="751"/>
      <c r="G60" s="751"/>
      <c r="H60" s="751"/>
      <c r="I60" s="751"/>
    </row>
  </sheetData>
  <mergeCells count="48">
    <mergeCell ref="A60:I60"/>
    <mergeCell ref="A59:I59"/>
    <mergeCell ref="A40:C40"/>
    <mergeCell ref="F40:G40"/>
    <mergeCell ref="H40:I40"/>
    <mergeCell ref="A56:I56"/>
    <mergeCell ref="A57:I57"/>
    <mergeCell ref="A50:I50"/>
    <mergeCell ref="A58:I58"/>
    <mergeCell ref="A48:I48"/>
    <mergeCell ref="A51:I51"/>
    <mergeCell ref="A52:I52"/>
    <mergeCell ref="A53:I53"/>
    <mergeCell ref="A54:I54"/>
    <mergeCell ref="A41:C41"/>
    <mergeCell ref="F41:G41"/>
    <mergeCell ref="H41:I41"/>
    <mergeCell ref="A1:B5"/>
    <mergeCell ref="A6:C6"/>
    <mergeCell ref="D6:F6"/>
    <mergeCell ref="G6:H6"/>
    <mergeCell ref="A7:A8"/>
    <mergeCell ref="B7:B8"/>
    <mergeCell ref="E7:F7"/>
    <mergeCell ref="A55:I55"/>
    <mergeCell ref="A49:I49"/>
    <mergeCell ref="A43:C43"/>
    <mergeCell ref="F43:G43"/>
    <mergeCell ref="H43:I43"/>
    <mergeCell ref="A46:I46"/>
    <mergeCell ref="A47:I47"/>
    <mergeCell ref="A45:I45"/>
    <mergeCell ref="I3:I5"/>
    <mergeCell ref="D4:G4"/>
    <mergeCell ref="D5:G5"/>
    <mergeCell ref="G7:H7"/>
    <mergeCell ref="C1:G1"/>
    <mergeCell ref="C2:G2"/>
    <mergeCell ref="C3:G3"/>
    <mergeCell ref="H3:H5"/>
    <mergeCell ref="C7:C8"/>
    <mergeCell ref="D7:D8"/>
    <mergeCell ref="A42:C42"/>
    <mergeCell ref="F42:G42"/>
    <mergeCell ref="H42:I42"/>
    <mergeCell ref="A44:C44"/>
    <mergeCell ref="F44:G44"/>
    <mergeCell ref="H44:I44"/>
  </mergeCells>
  <pageMargins left="0.7" right="0.7" top="0.75" bottom="0.75" header="0.3" footer="0.3"/>
  <pageSetup scale="4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E870-5FDA-41F7-9B23-ED59D5E66E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329D-A137-4D35-A8E6-934CC7F75679}">
  <dimension ref="A1:J57"/>
  <sheetViews>
    <sheetView workbookViewId="0">
      <selection sqref="A1:XFD1048576"/>
    </sheetView>
  </sheetViews>
  <sheetFormatPr baseColWidth="10" defaultRowHeight="15" x14ac:dyDescent="0.25"/>
  <cols>
    <col min="1" max="1" width="13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10" ht="15.75" x14ac:dyDescent="0.25">
      <c r="A1" s="775"/>
      <c r="B1" s="776"/>
      <c r="C1" s="674" t="s">
        <v>34</v>
      </c>
      <c r="D1" s="674"/>
      <c r="E1" s="674"/>
      <c r="F1" s="674"/>
      <c r="G1" s="674"/>
      <c r="H1" s="102" t="s">
        <v>33</v>
      </c>
      <c r="I1" s="103" t="s">
        <v>86</v>
      </c>
    </row>
    <row r="2" spans="1:10" ht="18" customHeight="1" thickBot="1" x14ac:dyDescent="0.3">
      <c r="A2" s="777"/>
      <c r="B2" s="778"/>
      <c r="C2" s="781" t="s">
        <v>32</v>
      </c>
      <c r="D2" s="782"/>
      <c r="E2" s="782"/>
      <c r="F2" s="782"/>
      <c r="G2" s="783"/>
      <c r="H2" s="104" t="s">
        <v>31</v>
      </c>
      <c r="I2" s="105" t="s">
        <v>87</v>
      </c>
    </row>
    <row r="3" spans="1:10" ht="31.5" customHeight="1" thickBot="1" x14ac:dyDescent="0.3">
      <c r="A3" s="777"/>
      <c r="B3" s="778"/>
      <c r="C3" s="784" t="s">
        <v>88</v>
      </c>
      <c r="D3" s="785"/>
      <c r="E3" s="785"/>
      <c r="F3" s="785"/>
      <c r="G3" s="786"/>
      <c r="H3" s="787" t="s">
        <v>30</v>
      </c>
      <c r="I3" s="766">
        <v>45619</v>
      </c>
    </row>
    <row r="4" spans="1:10" ht="18" customHeight="1" x14ac:dyDescent="0.25">
      <c r="A4" s="777"/>
      <c r="B4" s="778"/>
      <c r="C4" s="106" t="s">
        <v>29</v>
      </c>
      <c r="D4" s="769" t="s">
        <v>89</v>
      </c>
      <c r="E4" s="770"/>
      <c r="F4" s="770"/>
      <c r="G4" s="771"/>
      <c r="H4" s="788"/>
      <c r="I4" s="767"/>
    </row>
    <row r="5" spans="1:10" ht="15.75" thickBot="1" x14ac:dyDescent="0.3">
      <c r="A5" s="779"/>
      <c r="B5" s="780"/>
      <c r="C5" s="107" t="s">
        <v>28</v>
      </c>
      <c r="D5" s="772" t="s">
        <v>37</v>
      </c>
      <c r="E5" s="773"/>
      <c r="F5" s="773"/>
      <c r="G5" s="774"/>
      <c r="H5" s="789"/>
      <c r="I5" s="768"/>
    </row>
    <row r="6" spans="1:10" ht="18.75" thickBot="1" x14ac:dyDescent="0.3">
      <c r="A6" s="790" t="s">
        <v>27</v>
      </c>
      <c r="B6" s="790"/>
      <c r="C6" s="790"/>
      <c r="D6" s="791" t="s">
        <v>90</v>
      </c>
      <c r="E6" s="791"/>
      <c r="F6" s="791"/>
      <c r="G6" s="792" t="s">
        <v>26</v>
      </c>
      <c r="H6" s="792"/>
      <c r="I6" s="108" t="s">
        <v>90</v>
      </c>
    </row>
    <row r="7" spans="1:10" x14ac:dyDescent="0.25">
      <c r="A7" s="793" t="s">
        <v>25</v>
      </c>
      <c r="B7" s="795" t="s">
        <v>24</v>
      </c>
      <c r="C7" s="797" t="s">
        <v>23</v>
      </c>
      <c r="D7" s="797" t="s">
        <v>22</v>
      </c>
      <c r="E7" s="797" t="s">
        <v>21</v>
      </c>
      <c r="F7" s="797"/>
      <c r="G7" s="797" t="s">
        <v>20</v>
      </c>
      <c r="H7" s="797"/>
      <c r="I7" s="109" t="s">
        <v>19</v>
      </c>
    </row>
    <row r="8" spans="1:10" ht="27" thickBot="1" x14ac:dyDescent="0.3">
      <c r="A8" s="794"/>
      <c r="B8" s="796"/>
      <c r="C8" s="798"/>
      <c r="D8" s="798"/>
      <c r="E8" s="110" t="s">
        <v>15</v>
      </c>
      <c r="F8" s="111" t="s">
        <v>18</v>
      </c>
      <c r="G8" s="110" t="s">
        <v>15</v>
      </c>
      <c r="H8" s="111" t="s">
        <v>18</v>
      </c>
      <c r="I8" s="112" t="s">
        <v>17</v>
      </c>
    </row>
    <row r="9" spans="1:10" ht="18.399999999999999" customHeight="1" x14ac:dyDescent="0.25">
      <c r="A9" s="113"/>
      <c r="B9" s="114"/>
      <c r="C9" s="115" t="s">
        <v>39</v>
      </c>
      <c r="D9" s="116"/>
      <c r="E9" s="117"/>
      <c r="F9" s="118"/>
      <c r="G9" s="117"/>
      <c r="H9" s="118"/>
      <c r="I9" s="119"/>
    </row>
    <row r="10" spans="1:10" ht="18" customHeight="1" x14ac:dyDescent="0.25">
      <c r="A10" s="120">
        <v>907000264</v>
      </c>
      <c r="B10" s="3" t="s">
        <v>91</v>
      </c>
      <c r="C10" s="2" t="s">
        <v>92</v>
      </c>
      <c r="D10" s="121" t="s">
        <v>35</v>
      </c>
      <c r="E10" s="122">
        <v>39000</v>
      </c>
      <c r="F10" s="123" t="s">
        <v>2</v>
      </c>
      <c r="G10" s="124"/>
      <c r="H10" s="125"/>
      <c r="I10" s="119"/>
      <c r="J10">
        <f>+E10/D41</f>
        <v>120.03077712233906</v>
      </c>
    </row>
    <row r="11" spans="1:10" x14ac:dyDescent="0.25">
      <c r="A11" s="121"/>
      <c r="B11" s="121"/>
      <c r="C11" s="126"/>
      <c r="D11" s="121"/>
      <c r="E11" s="122"/>
      <c r="F11" s="123"/>
      <c r="G11" s="124"/>
      <c r="H11" s="125"/>
      <c r="I11" s="119"/>
    </row>
    <row r="12" spans="1:10" x14ac:dyDescent="0.25">
      <c r="A12" s="121"/>
      <c r="B12" s="121"/>
      <c r="C12" s="126"/>
      <c r="D12" s="121"/>
      <c r="E12" s="122"/>
      <c r="F12" s="123"/>
      <c r="G12" s="124"/>
      <c r="H12" s="125"/>
      <c r="I12" s="119"/>
    </row>
    <row r="13" spans="1:10" x14ac:dyDescent="0.25">
      <c r="A13" s="121"/>
      <c r="B13" s="121"/>
      <c r="C13" s="126"/>
      <c r="D13" s="121"/>
      <c r="E13" s="122"/>
      <c r="F13" s="123"/>
      <c r="G13" s="124"/>
      <c r="H13" s="125"/>
      <c r="I13" s="119"/>
    </row>
    <row r="14" spans="1:10" x14ac:dyDescent="0.25">
      <c r="A14" s="121"/>
      <c r="B14" s="121"/>
      <c r="C14" s="126"/>
      <c r="D14" s="121"/>
      <c r="E14" s="122"/>
      <c r="F14" s="123"/>
      <c r="G14" s="124"/>
      <c r="H14" s="125"/>
      <c r="I14" s="119"/>
    </row>
    <row r="15" spans="1:10" x14ac:dyDescent="0.25">
      <c r="A15" s="121"/>
      <c r="B15" s="121"/>
      <c r="C15" s="126"/>
      <c r="D15" s="121"/>
      <c r="E15" s="122"/>
      <c r="F15" s="123"/>
      <c r="G15" s="124"/>
      <c r="H15" s="125"/>
      <c r="I15" s="119"/>
    </row>
    <row r="16" spans="1:10" x14ac:dyDescent="0.25">
      <c r="A16" s="121"/>
      <c r="B16" s="121"/>
      <c r="C16" s="126"/>
      <c r="D16" s="121"/>
      <c r="E16" s="122"/>
      <c r="F16" s="123"/>
      <c r="G16" s="124"/>
      <c r="H16" s="125"/>
      <c r="I16" s="119"/>
    </row>
    <row r="17" spans="1:9" x14ac:dyDescent="0.25">
      <c r="A17" s="121"/>
      <c r="B17" s="121"/>
      <c r="C17" s="126"/>
      <c r="D17" s="121"/>
      <c r="E17" s="122"/>
      <c r="F17" s="123"/>
      <c r="G17" s="124"/>
      <c r="H17" s="125"/>
      <c r="I17" s="119"/>
    </row>
    <row r="18" spans="1:9" x14ac:dyDescent="0.25">
      <c r="A18" s="121"/>
      <c r="B18" s="121"/>
      <c r="C18" s="126"/>
      <c r="D18" s="121"/>
      <c r="E18" s="122"/>
      <c r="F18" s="123"/>
      <c r="G18" s="124"/>
      <c r="H18" s="125"/>
      <c r="I18" s="119"/>
    </row>
    <row r="19" spans="1:9" x14ac:dyDescent="0.25">
      <c r="A19" s="121"/>
      <c r="B19" s="121"/>
      <c r="C19" s="126"/>
      <c r="D19" s="121"/>
      <c r="E19" s="122"/>
      <c r="F19" s="123"/>
      <c r="G19" s="124"/>
      <c r="H19" s="125"/>
      <c r="I19" s="119"/>
    </row>
    <row r="20" spans="1:9" ht="15.75" x14ac:dyDescent="0.25">
      <c r="A20" s="127"/>
      <c r="B20" s="127"/>
      <c r="C20" s="2"/>
      <c r="D20" s="28"/>
      <c r="E20" s="28"/>
      <c r="F20" s="28"/>
      <c r="G20" s="128"/>
      <c r="H20" s="125"/>
      <c r="I20" s="119"/>
    </row>
    <row r="21" spans="1:9" ht="15.75" x14ac:dyDescent="0.25">
      <c r="A21" s="129"/>
      <c r="B21" s="130"/>
      <c r="C21" s="58" t="s">
        <v>16</v>
      </c>
      <c r="D21" s="28"/>
      <c r="E21" s="28"/>
      <c r="F21" s="28"/>
      <c r="G21" s="128"/>
      <c r="H21" s="125"/>
      <c r="I21" s="119"/>
    </row>
    <row r="22" spans="1:9" x14ac:dyDescent="0.25">
      <c r="A22" s="120"/>
      <c r="B22" s="3"/>
      <c r="C22" s="2"/>
      <c r="D22" s="131"/>
      <c r="E22" s="131"/>
      <c r="F22" s="131"/>
      <c r="G22" s="117"/>
      <c r="H22" s="125"/>
      <c r="I22" s="119"/>
    </row>
    <row r="23" spans="1:9" x14ac:dyDescent="0.25">
      <c r="A23" s="132"/>
      <c r="B23" s="127"/>
      <c r="C23" s="2"/>
      <c r="D23" s="131"/>
      <c r="E23" s="131"/>
      <c r="F23" s="131"/>
      <c r="G23" s="117"/>
      <c r="H23" s="125"/>
      <c r="I23" s="119"/>
    </row>
    <row r="24" spans="1:9" x14ac:dyDescent="0.25">
      <c r="A24" s="132"/>
      <c r="B24" s="127"/>
      <c r="C24" s="2"/>
      <c r="D24" s="131"/>
      <c r="E24" s="131"/>
      <c r="F24" s="131"/>
      <c r="G24" s="117"/>
      <c r="H24" s="125"/>
      <c r="I24" s="119"/>
    </row>
    <row r="25" spans="1:9" ht="15.75" x14ac:dyDescent="0.25">
      <c r="A25" s="129"/>
      <c r="B25" s="130"/>
      <c r="C25" s="58"/>
      <c r="D25" s="133"/>
      <c r="E25" s="134"/>
      <c r="F25" s="135"/>
      <c r="G25" s="117"/>
      <c r="H25" s="125"/>
      <c r="I25" s="119"/>
    </row>
    <row r="26" spans="1:9" x14ac:dyDescent="0.25">
      <c r="A26" s="136"/>
      <c r="B26" s="137"/>
      <c r="C26" s="138"/>
      <c r="D26" s="139"/>
      <c r="E26" s="140"/>
      <c r="F26" s="141"/>
      <c r="G26" s="117"/>
      <c r="H26" s="125"/>
      <c r="I26" s="119"/>
    </row>
    <row r="27" spans="1:9" x14ac:dyDescent="0.25">
      <c r="A27" s="3"/>
      <c r="B27" s="3"/>
      <c r="C27" s="2"/>
      <c r="D27" s="142"/>
      <c r="E27" s="143"/>
      <c r="F27" s="144"/>
      <c r="G27" s="117"/>
      <c r="H27" s="125"/>
      <c r="I27" s="119"/>
    </row>
    <row r="28" spans="1:9" ht="15.75" x14ac:dyDescent="0.25">
      <c r="A28" s="145"/>
      <c r="B28" s="146"/>
      <c r="C28" s="70" t="s">
        <v>58</v>
      </c>
      <c r="D28" s="147"/>
      <c r="E28" s="148"/>
      <c r="F28" s="118"/>
      <c r="G28" s="117"/>
      <c r="H28" s="125"/>
      <c r="I28" s="119"/>
    </row>
    <row r="29" spans="1:9" x14ac:dyDescent="0.25">
      <c r="A29" s="149">
        <v>1950928</v>
      </c>
      <c r="B29" s="150" t="s">
        <v>93</v>
      </c>
      <c r="C29" s="151" t="s">
        <v>94</v>
      </c>
      <c r="D29" s="152" t="s">
        <v>95</v>
      </c>
      <c r="E29" s="153">
        <v>15.35</v>
      </c>
      <c r="F29" s="154" t="s">
        <v>5</v>
      </c>
      <c r="G29" s="155"/>
      <c r="H29" s="125"/>
      <c r="I29" s="119"/>
    </row>
    <row r="30" spans="1:9" x14ac:dyDescent="0.25">
      <c r="A30" s="149">
        <v>702007</v>
      </c>
      <c r="B30" s="150" t="s">
        <v>66</v>
      </c>
      <c r="C30" s="151" t="s">
        <v>67</v>
      </c>
      <c r="D30" s="152" t="s">
        <v>96</v>
      </c>
      <c r="E30" s="153">
        <v>15</v>
      </c>
      <c r="F30" s="154" t="s">
        <v>5</v>
      </c>
      <c r="G30" s="155"/>
      <c r="H30" s="125"/>
      <c r="I30" s="119"/>
    </row>
    <row r="31" spans="1:9" x14ac:dyDescent="0.25">
      <c r="A31" s="156" t="s">
        <v>97</v>
      </c>
      <c r="B31" s="157"/>
      <c r="C31" s="158" t="s">
        <v>98</v>
      </c>
      <c r="D31" s="152" t="s">
        <v>35</v>
      </c>
      <c r="E31" s="153">
        <v>2410</v>
      </c>
      <c r="F31" s="154" t="s">
        <v>2</v>
      </c>
      <c r="G31" s="155"/>
      <c r="H31" s="125"/>
      <c r="I31" s="119"/>
    </row>
    <row r="32" spans="1:9" x14ac:dyDescent="0.25">
      <c r="A32" s="159">
        <v>702123</v>
      </c>
      <c r="B32" s="159" t="s">
        <v>68</v>
      </c>
      <c r="C32" s="160" t="s">
        <v>69</v>
      </c>
      <c r="D32" s="152" t="s">
        <v>99</v>
      </c>
      <c r="E32" s="153">
        <v>15</v>
      </c>
      <c r="F32" s="154" t="s">
        <v>5</v>
      </c>
      <c r="G32" s="117"/>
      <c r="H32" s="125"/>
      <c r="I32" s="119"/>
    </row>
    <row r="33" spans="1:9" x14ac:dyDescent="0.25">
      <c r="A33" s="159"/>
      <c r="B33" s="159"/>
      <c r="C33" s="160"/>
      <c r="D33" s="152"/>
      <c r="E33" s="153"/>
      <c r="F33" s="154"/>
      <c r="G33" s="117"/>
      <c r="H33" s="125"/>
      <c r="I33" s="119"/>
    </row>
    <row r="34" spans="1:9" x14ac:dyDescent="0.25">
      <c r="A34" s="159"/>
      <c r="B34" s="159"/>
      <c r="C34" s="160"/>
      <c r="D34" s="152"/>
      <c r="E34" s="153"/>
      <c r="F34" s="154"/>
      <c r="G34" s="161"/>
      <c r="H34" s="125"/>
      <c r="I34" s="119"/>
    </row>
    <row r="35" spans="1:9" ht="15.75" x14ac:dyDescent="0.25">
      <c r="A35" s="159"/>
      <c r="B35" s="159"/>
      <c r="C35" s="160"/>
      <c r="D35" s="28"/>
      <c r="E35" s="153"/>
      <c r="F35" s="154"/>
      <c r="G35" s="162"/>
      <c r="H35" s="125"/>
      <c r="I35" s="119"/>
    </row>
    <row r="36" spans="1:9" x14ac:dyDescent="0.25">
      <c r="A36" s="163"/>
      <c r="B36" s="163"/>
      <c r="C36" s="164"/>
      <c r="D36" s="152"/>
      <c r="E36" s="144"/>
      <c r="F36" s="144"/>
      <c r="G36" s="162"/>
      <c r="H36" s="118"/>
      <c r="I36" s="119"/>
    </row>
    <row r="37" spans="1:9" ht="15.75" thickBot="1" x14ac:dyDescent="0.3">
      <c r="A37" s="165"/>
      <c r="B37" s="166"/>
      <c r="C37" s="167" t="s">
        <v>49</v>
      </c>
      <c r="D37" s="167"/>
      <c r="E37" s="168"/>
      <c r="F37" s="169"/>
      <c r="G37" s="167"/>
      <c r="H37" s="167"/>
      <c r="I37" s="170"/>
    </row>
    <row r="38" spans="1:9" ht="15.75" thickBot="1" x14ac:dyDescent="0.3">
      <c r="A38" s="171"/>
      <c r="B38" s="172"/>
      <c r="C38" s="173" t="s">
        <v>49</v>
      </c>
      <c r="D38" s="174" t="s">
        <v>15</v>
      </c>
      <c r="E38" s="175" t="s">
        <v>14</v>
      </c>
      <c r="F38" s="176"/>
      <c r="G38" s="173"/>
      <c r="H38" s="173"/>
      <c r="I38" s="177"/>
    </row>
    <row r="39" spans="1:9" x14ac:dyDescent="0.25">
      <c r="A39" s="799" t="s">
        <v>13</v>
      </c>
      <c r="B39" s="800"/>
      <c r="C39" s="801"/>
      <c r="D39" s="178">
        <v>38990</v>
      </c>
      <c r="E39" s="179" t="s">
        <v>2</v>
      </c>
      <c r="F39" s="802" t="s">
        <v>12</v>
      </c>
      <c r="G39" s="802"/>
      <c r="H39" s="803"/>
      <c r="I39" s="804"/>
    </row>
    <row r="40" spans="1:9" x14ac:dyDescent="0.25">
      <c r="A40" s="805" t="s">
        <v>11</v>
      </c>
      <c r="B40" s="806"/>
      <c r="C40" s="807"/>
      <c r="D40" s="128">
        <v>60</v>
      </c>
      <c r="E40" s="128" t="s">
        <v>10</v>
      </c>
      <c r="F40" s="808" t="s">
        <v>9</v>
      </c>
      <c r="G40" s="808"/>
      <c r="H40" s="809"/>
      <c r="I40" s="810"/>
    </row>
    <row r="41" spans="1:9" x14ac:dyDescent="0.25">
      <c r="A41" s="805" t="s">
        <v>8</v>
      </c>
      <c r="B41" s="806"/>
      <c r="C41" s="807"/>
      <c r="D41" s="143">
        <f>D39/D42</f>
        <v>324.91666666666669</v>
      </c>
      <c r="E41" s="128" t="s">
        <v>5</v>
      </c>
      <c r="F41" s="808" t="s">
        <v>7</v>
      </c>
      <c r="G41" s="808"/>
      <c r="H41" s="809"/>
      <c r="I41" s="810"/>
    </row>
    <row r="42" spans="1:9" x14ac:dyDescent="0.25">
      <c r="A42" s="805" t="s">
        <v>6</v>
      </c>
      <c r="B42" s="806"/>
      <c r="C42" s="807"/>
      <c r="D42" s="143">
        <v>120</v>
      </c>
      <c r="E42" s="128" t="s">
        <v>2</v>
      </c>
      <c r="F42" s="811" t="s">
        <v>4</v>
      </c>
      <c r="G42" s="812"/>
      <c r="H42" s="813"/>
      <c r="I42" s="814"/>
    </row>
    <row r="43" spans="1:9" ht="15.75" thickBot="1" x14ac:dyDescent="0.3">
      <c r="A43" s="819" t="s">
        <v>3</v>
      </c>
      <c r="B43" s="820"/>
      <c r="C43" s="821"/>
      <c r="D43" s="180">
        <v>100</v>
      </c>
      <c r="E43" s="181" t="s">
        <v>2</v>
      </c>
      <c r="F43" s="822"/>
      <c r="G43" s="822"/>
      <c r="H43" s="809"/>
      <c r="I43" s="810"/>
    </row>
    <row r="44" spans="1:9" ht="15.75" thickBot="1" x14ac:dyDescent="0.3">
      <c r="A44" s="823" t="s">
        <v>1</v>
      </c>
      <c r="B44" s="824"/>
      <c r="C44" s="824"/>
      <c r="D44" s="824"/>
      <c r="E44" s="824"/>
      <c r="F44" s="824"/>
      <c r="G44" s="824"/>
      <c r="H44" s="824"/>
      <c r="I44" s="825"/>
    </row>
    <row r="45" spans="1:9" ht="14.65" customHeight="1" x14ac:dyDescent="0.25">
      <c r="A45" s="815" t="s">
        <v>100</v>
      </c>
      <c r="B45" s="816"/>
      <c r="C45" s="817"/>
      <c r="D45" s="817"/>
      <c r="E45" s="817"/>
      <c r="F45" s="817"/>
      <c r="G45" s="817"/>
      <c r="H45" s="817"/>
      <c r="I45" s="818"/>
    </row>
    <row r="46" spans="1:9" ht="15.4" customHeight="1" x14ac:dyDescent="0.25">
      <c r="A46" s="815" t="s">
        <v>101</v>
      </c>
      <c r="B46" s="816"/>
      <c r="C46" s="817"/>
      <c r="D46" s="817"/>
      <c r="E46" s="817"/>
      <c r="F46" s="817"/>
      <c r="G46" s="817"/>
      <c r="H46" s="817"/>
      <c r="I46" s="818"/>
    </row>
    <row r="47" spans="1:9" ht="14.65" customHeight="1" x14ac:dyDescent="0.25">
      <c r="A47" s="826" t="s">
        <v>102</v>
      </c>
      <c r="B47" s="827"/>
      <c r="C47" s="827"/>
      <c r="D47" s="827"/>
      <c r="E47" s="827"/>
      <c r="F47" s="827"/>
      <c r="G47" s="827"/>
      <c r="H47" s="827"/>
      <c r="I47" s="828"/>
    </row>
    <row r="48" spans="1:9" x14ac:dyDescent="0.25">
      <c r="A48" s="826"/>
      <c r="B48" s="827"/>
      <c r="C48" s="827"/>
      <c r="D48" s="827"/>
      <c r="E48" s="827"/>
      <c r="F48" s="827"/>
      <c r="G48" s="827"/>
      <c r="H48" s="827"/>
      <c r="I48" s="828"/>
    </row>
    <row r="49" spans="1:9" x14ac:dyDescent="0.25">
      <c r="A49" s="829"/>
      <c r="B49" s="830"/>
      <c r="C49" s="830"/>
      <c r="D49" s="830"/>
      <c r="E49" s="830"/>
      <c r="F49" s="830"/>
      <c r="G49" s="830"/>
      <c r="H49" s="830"/>
      <c r="I49" s="831"/>
    </row>
    <row r="50" spans="1:9" ht="14.65" customHeight="1" x14ac:dyDescent="0.25">
      <c r="A50" s="815"/>
      <c r="B50" s="816"/>
      <c r="C50" s="817"/>
      <c r="D50" s="817"/>
      <c r="E50" s="817"/>
      <c r="F50" s="817"/>
      <c r="G50" s="817"/>
      <c r="H50" s="817"/>
      <c r="I50" s="818"/>
    </row>
    <row r="51" spans="1:9" ht="14.65" customHeight="1" x14ac:dyDescent="0.25">
      <c r="A51" s="832"/>
      <c r="B51" s="833"/>
      <c r="C51" s="834"/>
      <c r="D51" s="834"/>
      <c r="E51" s="834"/>
      <c r="F51" s="834"/>
      <c r="G51" s="834"/>
      <c r="H51" s="834"/>
      <c r="I51" s="835"/>
    </row>
    <row r="52" spans="1:9" ht="18" customHeight="1" x14ac:dyDescent="0.25">
      <c r="A52" s="815"/>
      <c r="B52" s="816"/>
      <c r="C52" s="817"/>
      <c r="D52" s="817"/>
      <c r="E52" s="817"/>
      <c r="F52" s="817"/>
      <c r="G52" s="817"/>
      <c r="H52" s="817"/>
      <c r="I52" s="818"/>
    </row>
    <row r="53" spans="1:9" ht="14.65" customHeight="1" thickBot="1" x14ac:dyDescent="0.3">
      <c r="A53" s="836"/>
      <c r="B53" s="837"/>
      <c r="C53" s="838"/>
      <c r="D53" s="838"/>
      <c r="E53" s="838"/>
      <c r="F53" s="838"/>
      <c r="G53" s="838"/>
      <c r="H53" s="838"/>
      <c r="I53" s="839"/>
    </row>
    <row r="54" spans="1:9" ht="14.65" customHeight="1" thickBot="1" x14ac:dyDescent="0.3">
      <c r="A54" s="840"/>
      <c r="B54" s="841"/>
      <c r="C54" s="841"/>
      <c r="D54" s="841"/>
      <c r="E54" s="841"/>
      <c r="F54" s="841"/>
      <c r="G54" s="841"/>
      <c r="H54" s="841"/>
      <c r="I54" s="842"/>
    </row>
    <row r="55" spans="1:9" ht="14.65" customHeight="1" x14ac:dyDescent="0.25">
      <c r="A55" s="614" t="s">
        <v>0</v>
      </c>
      <c r="B55" s="615"/>
      <c r="C55" s="615"/>
      <c r="D55" s="615"/>
      <c r="E55" s="615"/>
      <c r="F55" s="615"/>
      <c r="G55" s="615"/>
      <c r="H55" s="615"/>
      <c r="I55" s="615"/>
    </row>
    <row r="56" spans="1:9" x14ac:dyDescent="0.25">
      <c r="A56" s="772" t="s">
        <v>103</v>
      </c>
      <c r="B56" s="773"/>
      <c r="C56" s="773"/>
      <c r="D56" s="773"/>
      <c r="E56" s="773"/>
      <c r="F56" s="773"/>
      <c r="G56" s="773"/>
      <c r="H56" s="773"/>
      <c r="I56" s="774"/>
    </row>
    <row r="57" spans="1:9" x14ac:dyDescent="0.25">
      <c r="A57" s="616"/>
      <c r="B57" s="617"/>
      <c r="C57" s="617"/>
      <c r="D57" s="617"/>
      <c r="E57" s="617"/>
      <c r="F57" s="617"/>
      <c r="G57" s="617"/>
      <c r="H57" s="617"/>
      <c r="I57" s="617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8EA5-38B4-460B-BBB6-5A42C18B7CA5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75"/>
      <c r="B1" s="776"/>
      <c r="C1" s="674" t="s">
        <v>34</v>
      </c>
      <c r="D1" s="674"/>
      <c r="E1" s="674"/>
      <c r="F1" s="674"/>
      <c r="G1" s="674"/>
      <c r="H1" s="102" t="s">
        <v>33</v>
      </c>
      <c r="I1" s="103" t="s">
        <v>104</v>
      </c>
    </row>
    <row r="2" spans="1:9" ht="18" customHeight="1" thickBot="1" x14ac:dyDescent="0.3">
      <c r="A2" s="777"/>
      <c r="B2" s="778"/>
      <c r="C2" s="781" t="s">
        <v>32</v>
      </c>
      <c r="D2" s="782"/>
      <c r="E2" s="782"/>
      <c r="F2" s="782"/>
      <c r="G2" s="783"/>
      <c r="H2" s="104" t="s">
        <v>31</v>
      </c>
      <c r="I2" s="105" t="s">
        <v>105</v>
      </c>
    </row>
    <row r="3" spans="1:9" ht="31.5" customHeight="1" thickBot="1" x14ac:dyDescent="0.3">
      <c r="A3" s="777"/>
      <c r="B3" s="778"/>
      <c r="C3" s="843" t="s">
        <v>106</v>
      </c>
      <c r="D3" s="844"/>
      <c r="E3" s="844"/>
      <c r="F3" s="844"/>
      <c r="G3" s="845"/>
      <c r="H3" s="787" t="s">
        <v>30</v>
      </c>
      <c r="I3" s="766">
        <v>45619</v>
      </c>
    </row>
    <row r="4" spans="1:9" ht="18" customHeight="1" x14ac:dyDescent="0.25">
      <c r="A4" s="777"/>
      <c r="B4" s="778"/>
      <c r="C4" s="106" t="s">
        <v>29</v>
      </c>
      <c r="D4" s="769" t="s">
        <v>89</v>
      </c>
      <c r="E4" s="770"/>
      <c r="F4" s="770"/>
      <c r="G4" s="771"/>
      <c r="H4" s="788"/>
      <c r="I4" s="767"/>
    </row>
    <row r="5" spans="1:9" ht="15.75" thickBot="1" x14ac:dyDescent="0.3">
      <c r="A5" s="779"/>
      <c r="B5" s="780"/>
      <c r="C5" s="107" t="s">
        <v>28</v>
      </c>
      <c r="D5" s="772" t="s">
        <v>37</v>
      </c>
      <c r="E5" s="773"/>
      <c r="F5" s="773"/>
      <c r="G5" s="774"/>
      <c r="H5" s="789"/>
      <c r="I5" s="768"/>
    </row>
    <row r="6" spans="1:9" ht="18.75" thickBot="1" x14ac:dyDescent="0.3">
      <c r="A6" s="790" t="s">
        <v>27</v>
      </c>
      <c r="B6" s="790"/>
      <c r="C6" s="790"/>
      <c r="D6" s="791" t="s">
        <v>90</v>
      </c>
      <c r="E6" s="791"/>
      <c r="F6" s="791"/>
      <c r="G6" s="792" t="s">
        <v>26</v>
      </c>
      <c r="H6" s="792"/>
      <c r="I6" s="108" t="s">
        <v>90</v>
      </c>
    </row>
    <row r="7" spans="1:9" x14ac:dyDescent="0.25">
      <c r="A7" s="793" t="s">
        <v>25</v>
      </c>
      <c r="B7" s="795" t="s">
        <v>24</v>
      </c>
      <c r="C7" s="797" t="s">
        <v>23</v>
      </c>
      <c r="D7" s="797" t="s">
        <v>22</v>
      </c>
      <c r="E7" s="797" t="s">
        <v>21</v>
      </c>
      <c r="F7" s="797"/>
      <c r="G7" s="797" t="s">
        <v>20</v>
      </c>
      <c r="H7" s="797"/>
      <c r="I7" s="109" t="s">
        <v>19</v>
      </c>
    </row>
    <row r="8" spans="1:9" ht="27" thickBot="1" x14ac:dyDescent="0.3">
      <c r="A8" s="794"/>
      <c r="B8" s="796"/>
      <c r="C8" s="798"/>
      <c r="D8" s="798"/>
      <c r="E8" s="110" t="s">
        <v>15</v>
      </c>
      <c r="F8" s="111" t="s">
        <v>18</v>
      </c>
      <c r="G8" s="110" t="s">
        <v>15</v>
      </c>
      <c r="H8" s="111" t="s">
        <v>18</v>
      </c>
      <c r="I8" s="112" t="s">
        <v>17</v>
      </c>
    </row>
    <row r="9" spans="1:9" ht="18.600000000000001" customHeight="1" x14ac:dyDescent="0.25">
      <c r="A9" s="113"/>
      <c r="B9" s="114"/>
      <c r="C9" s="115" t="s">
        <v>39</v>
      </c>
      <c r="D9" s="116"/>
      <c r="E9" s="117"/>
      <c r="F9" s="118"/>
      <c r="G9" s="117"/>
      <c r="H9" s="118"/>
      <c r="I9" s="119"/>
    </row>
    <row r="10" spans="1:9" ht="18" customHeight="1" x14ac:dyDescent="0.25">
      <c r="A10" s="120">
        <v>906000130</v>
      </c>
      <c r="B10" s="3" t="s">
        <v>107</v>
      </c>
      <c r="C10" s="2" t="s">
        <v>108</v>
      </c>
      <c r="D10" s="121" t="s">
        <v>35</v>
      </c>
      <c r="E10" s="122">
        <v>21971</v>
      </c>
      <c r="F10" s="123" t="s">
        <v>2</v>
      </c>
      <c r="G10" s="124"/>
      <c r="H10" s="125"/>
      <c r="I10" s="119"/>
    </row>
    <row r="11" spans="1:9" x14ac:dyDescent="0.25">
      <c r="A11" s="121">
        <v>1210482</v>
      </c>
      <c r="B11" s="121" t="s">
        <v>109</v>
      </c>
      <c r="C11" s="126" t="s">
        <v>110</v>
      </c>
      <c r="D11" s="121" t="s">
        <v>111</v>
      </c>
      <c r="E11" s="122">
        <v>6687</v>
      </c>
      <c r="F11" s="123" t="s">
        <v>2</v>
      </c>
      <c r="G11" s="124"/>
      <c r="H11" s="125"/>
      <c r="I11" s="119"/>
    </row>
    <row r="12" spans="1:9" x14ac:dyDescent="0.25">
      <c r="A12" s="121">
        <v>10100050</v>
      </c>
      <c r="B12" s="121" t="s">
        <v>112</v>
      </c>
      <c r="C12" s="126" t="s">
        <v>113</v>
      </c>
      <c r="D12" s="121" t="s">
        <v>114</v>
      </c>
      <c r="E12" s="122">
        <v>5732</v>
      </c>
      <c r="F12" s="123" t="s">
        <v>2</v>
      </c>
      <c r="G12" s="124"/>
      <c r="H12" s="125"/>
      <c r="I12" s="119"/>
    </row>
    <row r="13" spans="1:9" x14ac:dyDescent="0.25">
      <c r="A13" s="121" t="s">
        <v>115</v>
      </c>
      <c r="B13" s="121"/>
      <c r="C13" s="126" t="s">
        <v>116</v>
      </c>
      <c r="D13" s="121" t="s">
        <v>35</v>
      </c>
      <c r="E13" s="122">
        <v>5350</v>
      </c>
      <c r="F13" s="123" t="s">
        <v>2</v>
      </c>
      <c r="G13" s="124"/>
      <c r="H13" s="125"/>
      <c r="I13" s="119"/>
    </row>
    <row r="14" spans="1:9" x14ac:dyDescent="0.25">
      <c r="A14" s="121"/>
      <c r="B14" s="121"/>
      <c r="C14" s="126"/>
      <c r="D14" s="121"/>
      <c r="E14" s="122"/>
      <c r="F14" s="123"/>
      <c r="G14" s="124"/>
      <c r="H14" s="125"/>
      <c r="I14" s="119"/>
    </row>
    <row r="15" spans="1:9" x14ac:dyDescent="0.25">
      <c r="A15" s="121"/>
      <c r="B15" s="121"/>
      <c r="C15" s="126"/>
      <c r="D15" s="121"/>
      <c r="E15" s="122"/>
      <c r="F15" s="123"/>
      <c r="G15" s="124"/>
      <c r="H15" s="125"/>
      <c r="I15" s="119"/>
    </row>
    <row r="16" spans="1:9" x14ac:dyDescent="0.25">
      <c r="A16" s="121"/>
      <c r="B16" s="121"/>
      <c r="C16" s="126"/>
      <c r="D16" s="121"/>
      <c r="E16" s="122"/>
      <c r="F16" s="123"/>
      <c r="G16" s="124"/>
      <c r="H16" s="125"/>
      <c r="I16" s="119"/>
    </row>
    <row r="17" spans="1:9" x14ac:dyDescent="0.25">
      <c r="A17" s="121"/>
      <c r="B17" s="121"/>
      <c r="C17" s="126"/>
      <c r="D17" s="121"/>
      <c r="E17" s="122"/>
      <c r="F17" s="123"/>
      <c r="G17" s="124"/>
      <c r="H17" s="125"/>
      <c r="I17" s="119"/>
    </row>
    <row r="18" spans="1:9" x14ac:dyDescent="0.25">
      <c r="A18" s="121"/>
      <c r="B18" s="121"/>
      <c r="C18" s="126"/>
      <c r="D18" s="121"/>
      <c r="E18" s="122"/>
      <c r="F18" s="123"/>
      <c r="G18" s="124"/>
      <c r="H18" s="125"/>
      <c r="I18" s="119"/>
    </row>
    <row r="19" spans="1:9" x14ac:dyDescent="0.25">
      <c r="A19" s="121"/>
      <c r="B19" s="121"/>
      <c r="C19" s="126"/>
      <c r="D19" s="121"/>
      <c r="E19" s="122"/>
      <c r="F19" s="123"/>
      <c r="G19" s="124"/>
      <c r="H19" s="125"/>
      <c r="I19" s="119"/>
    </row>
    <row r="20" spans="1:9" ht="15.75" x14ac:dyDescent="0.25">
      <c r="A20" s="127"/>
      <c r="B20" s="127"/>
      <c r="C20" s="2"/>
      <c r="D20" s="28"/>
      <c r="E20" s="28"/>
      <c r="F20" s="28"/>
      <c r="G20" s="128"/>
      <c r="H20" s="125"/>
      <c r="I20" s="119"/>
    </row>
    <row r="21" spans="1:9" ht="15.75" x14ac:dyDescent="0.25">
      <c r="A21" s="129"/>
      <c r="B21" s="130"/>
      <c r="C21" s="58" t="s">
        <v>16</v>
      </c>
      <c r="D21" s="28"/>
      <c r="E21" s="28"/>
      <c r="F21" s="28"/>
      <c r="G21" s="128"/>
      <c r="H21" s="125"/>
      <c r="I21" s="119"/>
    </row>
    <row r="22" spans="1:9" x14ac:dyDescent="0.25">
      <c r="A22" s="120"/>
      <c r="B22" s="3"/>
      <c r="C22" s="2"/>
      <c r="D22" s="131"/>
      <c r="E22" s="131"/>
      <c r="F22" s="131"/>
      <c r="G22" s="117"/>
      <c r="H22" s="125"/>
      <c r="I22" s="119"/>
    </row>
    <row r="23" spans="1:9" x14ac:dyDescent="0.25">
      <c r="A23" s="132"/>
      <c r="B23" s="127"/>
      <c r="C23" s="2"/>
      <c r="D23" s="131"/>
      <c r="E23" s="131"/>
      <c r="F23" s="131"/>
      <c r="G23" s="117"/>
      <c r="H23" s="125"/>
      <c r="I23" s="119"/>
    </row>
    <row r="24" spans="1:9" x14ac:dyDescent="0.25">
      <c r="A24" s="132"/>
      <c r="B24" s="127"/>
      <c r="C24" s="2"/>
      <c r="D24" s="131"/>
      <c r="E24" s="131"/>
      <c r="F24" s="131"/>
      <c r="G24" s="117"/>
      <c r="H24" s="125"/>
      <c r="I24" s="119"/>
    </row>
    <row r="25" spans="1:9" ht="15.75" x14ac:dyDescent="0.25">
      <c r="A25" s="129"/>
      <c r="B25" s="130"/>
      <c r="C25" s="58"/>
      <c r="D25" s="133"/>
      <c r="E25" s="134"/>
      <c r="F25" s="135"/>
      <c r="G25" s="117"/>
      <c r="H25" s="125"/>
      <c r="I25" s="119"/>
    </row>
    <row r="26" spans="1:9" x14ac:dyDescent="0.25">
      <c r="A26" s="136"/>
      <c r="B26" s="137"/>
      <c r="C26" s="138"/>
      <c r="D26" s="139"/>
      <c r="E26" s="140"/>
      <c r="F26" s="141"/>
      <c r="G26" s="117"/>
      <c r="H26" s="125"/>
      <c r="I26" s="119"/>
    </row>
    <row r="27" spans="1:9" x14ac:dyDescent="0.25">
      <c r="A27" s="3"/>
      <c r="B27" s="3"/>
      <c r="C27" s="2"/>
      <c r="D27" s="142"/>
      <c r="E27" s="143"/>
      <c r="F27" s="144"/>
      <c r="G27" s="117"/>
      <c r="H27" s="125"/>
      <c r="I27" s="119"/>
    </row>
    <row r="28" spans="1:9" ht="15.75" x14ac:dyDescent="0.25">
      <c r="A28" s="145"/>
      <c r="B28" s="146"/>
      <c r="C28" s="70" t="s">
        <v>58</v>
      </c>
      <c r="D28" s="147"/>
      <c r="E28" s="148"/>
      <c r="F28" s="118"/>
      <c r="G28" s="117"/>
      <c r="H28" s="125"/>
      <c r="I28" s="119"/>
    </row>
    <row r="29" spans="1:9" x14ac:dyDescent="0.25">
      <c r="A29" s="149"/>
      <c r="B29" s="150"/>
      <c r="C29" s="151"/>
      <c r="D29" s="152"/>
      <c r="E29" s="153"/>
      <c r="F29" s="154"/>
      <c r="G29" s="155"/>
      <c r="H29" s="125"/>
      <c r="I29" s="119"/>
    </row>
    <row r="30" spans="1:9" x14ac:dyDescent="0.25">
      <c r="A30" s="149"/>
      <c r="B30" s="150"/>
      <c r="C30" s="151"/>
      <c r="D30" s="152"/>
      <c r="E30" s="153"/>
      <c r="F30" s="154"/>
      <c r="G30" s="155"/>
      <c r="H30" s="125"/>
      <c r="I30" s="119"/>
    </row>
    <row r="31" spans="1:9" x14ac:dyDescent="0.25">
      <c r="A31" s="156"/>
      <c r="B31" s="157"/>
      <c r="C31" s="158"/>
      <c r="D31" s="152"/>
      <c r="E31" s="153"/>
      <c r="F31" s="154"/>
      <c r="G31" s="155"/>
      <c r="H31" s="125"/>
      <c r="I31" s="119"/>
    </row>
    <row r="32" spans="1:9" x14ac:dyDescent="0.25">
      <c r="A32" s="159"/>
      <c r="B32" s="159"/>
      <c r="C32" s="160"/>
      <c r="D32" s="152"/>
      <c r="E32" s="153"/>
      <c r="F32" s="154"/>
      <c r="G32" s="117"/>
      <c r="H32" s="125"/>
      <c r="I32" s="119"/>
    </row>
    <row r="33" spans="1:9" x14ac:dyDescent="0.25">
      <c r="A33" s="159"/>
      <c r="B33" s="159"/>
      <c r="C33" s="160"/>
      <c r="D33" s="152"/>
      <c r="E33" s="153"/>
      <c r="F33" s="154"/>
      <c r="G33" s="117"/>
      <c r="H33" s="125"/>
      <c r="I33" s="119"/>
    </row>
    <row r="34" spans="1:9" x14ac:dyDescent="0.25">
      <c r="A34" s="159"/>
      <c r="B34" s="159"/>
      <c r="C34" s="160"/>
      <c r="D34" s="152"/>
      <c r="E34" s="153"/>
      <c r="F34" s="154"/>
      <c r="G34" s="161"/>
      <c r="H34" s="125"/>
      <c r="I34" s="119"/>
    </row>
    <row r="35" spans="1:9" ht="15.75" x14ac:dyDescent="0.25">
      <c r="A35" s="159"/>
      <c r="B35" s="159"/>
      <c r="C35" s="160"/>
      <c r="D35" s="28"/>
      <c r="E35" s="153"/>
      <c r="F35" s="154"/>
      <c r="G35" s="162"/>
      <c r="H35" s="125"/>
      <c r="I35" s="119"/>
    </row>
    <row r="36" spans="1:9" x14ac:dyDescent="0.25">
      <c r="A36" s="163"/>
      <c r="B36" s="163"/>
      <c r="C36" s="164"/>
      <c r="D36" s="152"/>
      <c r="E36" s="144"/>
      <c r="F36" s="144"/>
      <c r="G36" s="162"/>
      <c r="H36" s="118"/>
      <c r="I36" s="119"/>
    </row>
    <row r="37" spans="1:9" ht="15.75" thickBot="1" x14ac:dyDescent="0.3">
      <c r="A37" s="165"/>
      <c r="B37" s="166"/>
      <c r="C37" s="167" t="s">
        <v>49</v>
      </c>
      <c r="D37" s="167"/>
      <c r="E37" s="168"/>
      <c r="F37" s="169"/>
      <c r="G37" s="167"/>
      <c r="H37" s="167"/>
      <c r="I37" s="170"/>
    </row>
    <row r="38" spans="1:9" ht="15.75" thickBot="1" x14ac:dyDescent="0.3">
      <c r="A38" s="171"/>
      <c r="B38" s="172"/>
      <c r="C38" s="173" t="s">
        <v>49</v>
      </c>
      <c r="D38" s="174" t="s">
        <v>15</v>
      </c>
      <c r="E38" s="175" t="s">
        <v>14</v>
      </c>
      <c r="F38" s="176"/>
      <c r="G38" s="173"/>
      <c r="H38" s="173"/>
      <c r="I38" s="177"/>
    </row>
    <row r="39" spans="1:9" x14ac:dyDescent="0.25">
      <c r="A39" s="799" t="s">
        <v>13</v>
      </c>
      <c r="B39" s="800"/>
      <c r="C39" s="801"/>
      <c r="D39" s="178">
        <v>39000</v>
      </c>
      <c r="E39" s="179" t="s">
        <v>2</v>
      </c>
      <c r="F39" s="802" t="s">
        <v>12</v>
      </c>
      <c r="G39" s="802"/>
      <c r="H39" s="803"/>
      <c r="I39" s="804"/>
    </row>
    <row r="40" spans="1:9" x14ac:dyDescent="0.25">
      <c r="A40" s="805" t="s">
        <v>11</v>
      </c>
      <c r="B40" s="806"/>
      <c r="C40" s="807"/>
      <c r="D40" s="128">
        <v>10</v>
      </c>
      <c r="E40" s="128" t="s">
        <v>10</v>
      </c>
      <c r="F40" s="808" t="s">
        <v>9</v>
      </c>
      <c r="G40" s="808"/>
      <c r="H40" s="809"/>
      <c r="I40" s="810"/>
    </row>
    <row r="41" spans="1:9" x14ac:dyDescent="0.25">
      <c r="A41" s="805" t="s">
        <v>8</v>
      </c>
      <c r="B41" s="806"/>
      <c r="C41" s="807"/>
      <c r="D41" s="143">
        <v>1</v>
      </c>
      <c r="E41" s="128" t="s">
        <v>117</v>
      </c>
      <c r="F41" s="808" t="s">
        <v>7</v>
      </c>
      <c r="G41" s="808"/>
      <c r="H41" s="809"/>
      <c r="I41" s="810"/>
    </row>
    <row r="42" spans="1:9" x14ac:dyDescent="0.25">
      <c r="A42" s="805" t="s">
        <v>6</v>
      </c>
      <c r="B42" s="806"/>
      <c r="C42" s="807"/>
      <c r="D42" s="143">
        <v>39000</v>
      </c>
      <c r="E42" s="128" t="s">
        <v>2</v>
      </c>
      <c r="F42" s="811" t="s">
        <v>4</v>
      </c>
      <c r="G42" s="812"/>
      <c r="H42" s="813"/>
      <c r="I42" s="814"/>
    </row>
    <row r="43" spans="1:9" ht="15.75" thickBot="1" x14ac:dyDescent="0.3">
      <c r="A43" s="819" t="s">
        <v>3</v>
      </c>
      <c r="B43" s="820"/>
      <c r="C43" s="821"/>
      <c r="D43" s="180">
        <v>740</v>
      </c>
      <c r="E43" s="181" t="s">
        <v>2</v>
      </c>
      <c r="F43" s="822"/>
      <c r="G43" s="822"/>
      <c r="H43" s="809"/>
      <c r="I43" s="810"/>
    </row>
    <row r="44" spans="1:9" ht="15.75" thickBot="1" x14ac:dyDescent="0.3">
      <c r="A44" s="823" t="s">
        <v>1</v>
      </c>
      <c r="B44" s="824"/>
      <c r="C44" s="824"/>
      <c r="D44" s="824"/>
      <c r="E44" s="824"/>
      <c r="F44" s="824"/>
      <c r="G44" s="824"/>
      <c r="H44" s="824"/>
      <c r="I44" s="825"/>
    </row>
    <row r="45" spans="1:9" ht="14.45" customHeight="1" x14ac:dyDescent="0.25">
      <c r="A45" s="829" t="s">
        <v>118</v>
      </c>
      <c r="B45" s="830"/>
      <c r="C45" s="830"/>
      <c r="D45" s="830"/>
      <c r="E45" s="830"/>
      <c r="F45" s="830"/>
      <c r="G45" s="830"/>
      <c r="H45" s="830"/>
      <c r="I45" s="831"/>
    </row>
    <row r="46" spans="1:9" ht="15.6" customHeight="1" x14ac:dyDescent="0.25">
      <c r="A46" s="829" t="s">
        <v>119</v>
      </c>
      <c r="B46" s="830"/>
      <c r="C46" s="830"/>
      <c r="D46" s="830"/>
      <c r="E46" s="830"/>
      <c r="F46" s="830"/>
      <c r="G46" s="830"/>
      <c r="H46" s="830"/>
      <c r="I46" s="831"/>
    </row>
    <row r="47" spans="1:9" ht="14.45" customHeight="1" x14ac:dyDescent="0.25">
      <c r="A47" s="829" t="s">
        <v>120</v>
      </c>
      <c r="B47" s="830"/>
      <c r="C47" s="830"/>
      <c r="D47" s="830"/>
      <c r="E47" s="830"/>
      <c r="F47" s="830"/>
      <c r="G47" s="830"/>
      <c r="H47" s="830"/>
      <c r="I47" s="831"/>
    </row>
    <row r="48" spans="1:9" x14ac:dyDescent="0.25">
      <c r="A48" s="829" t="s">
        <v>121</v>
      </c>
      <c r="B48" s="830"/>
      <c r="C48" s="830"/>
      <c r="D48" s="830"/>
      <c r="E48" s="830"/>
      <c r="F48" s="830"/>
      <c r="G48" s="830"/>
      <c r="H48" s="830"/>
      <c r="I48" s="831"/>
    </row>
    <row r="49" spans="1:9" x14ac:dyDescent="0.25">
      <c r="A49" s="829"/>
      <c r="B49" s="830"/>
      <c r="C49" s="830"/>
      <c r="D49" s="830"/>
      <c r="E49" s="830"/>
      <c r="F49" s="830"/>
      <c r="G49" s="830"/>
      <c r="H49" s="830"/>
      <c r="I49" s="831"/>
    </row>
    <row r="50" spans="1:9" ht="14.45" customHeight="1" x14ac:dyDescent="0.25">
      <c r="A50" s="815"/>
      <c r="B50" s="816"/>
      <c r="C50" s="817"/>
      <c r="D50" s="817"/>
      <c r="E50" s="817"/>
      <c r="F50" s="817"/>
      <c r="G50" s="817"/>
      <c r="H50" s="817"/>
      <c r="I50" s="818"/>
    </row>
    <row r="51" spans="1:9" ht="14.45" customHeight="1" x14ac:dyDescent="0.25">
      <c r="A51" s="832"/>
      <c r="B51" s="833"/>
      <c r="C51" s="834"/>
      <c r="D51" s="834"/>
      <c r="E51" s="834"/>
      <c r="F51" s="834"/>
      <c r="G51" s="834"/>
      <c r="H51" s="834"/>
      <c r="I51" s="835"/>
    </row>
    <row r="52" spans="1:9" ht="18" customHeight="1" x14ac:dyDescent="0.25">
      <c r="A52" s="815"/>
      <c r="B52" s="816"/>
      <c r="C52" s="817"/>
      <c r="D52" s="817"/>
      <c r="E52" s="817"/>
      <c r="F52" s="817"/>
      <c r="G52" s="817"/>
      <c r="H52" s="817"/>
      <c r="I52" s="818"/>
    </row>
    <row r="53" spans="1:9" ht="14.45" customHeight="1" thickBot="1" x14ac:dyDescent="0.3">
      <c r="A53" s="836"/>
      <c r="B53" s="837"/>
      <c r="C53" s="838"/>
      <c r="D53" s="838"/>
      <c r="E53" s="838"/>
      <c r="F53" s="838"/>
      <c r="G53" s="838"/>
      <c r="H53" s="838"/>
      <c r="I53" s="839"/>
    </row>
    <row r="54" spans="1:9" ht="14.45" customHeight="1" thickBot="1" x14ac:dyDescent="0.3">
      <c r="A54" s="840"/>
      <c r="B54" s="841"/>
      <c r="C54" s="841"/>
      <c r="D54" s="841"/>
      <c r="E54" s="841"/>
      <c r="F54" s="841"/>
      <c r="G54" s="841"/>
      <c r="H54" s="841"/>
      <c r="I54" s="842"/>
    </row>
    <row r="55" spans="1:9" ht="14.45" customHeight="1" x14ac:dyDescent="0.25">
      <c r="A55" s="614" t="s">
        <v>0</v>
      </c>
      <c r="B55" s="615"/>
      <c r="C55" s="615"/>
      <c r="D55" s="615"/>
      <c r="E55" s="615"/>
      <c r="F55" s="615"/>
      <c r="G55" s="615"/>
      <c r="H55" s="615"/>
      <c r="I55" s="615"/>
    </row>
    <row r="56" spans="1:9" x14ac:dyDescent="0.25">
      <c r="A56" s="616"/>
      <c r="B56" s="617"/>
      <c r="C56" s="617"/>
      <c r="D56" s="617"/>
      <c r="E56" s="617"/>
      <c r="F56" s="617"/>
      <c r="G56" s="617"/>
      <c r="H56" s="617"/>
      <c r="I56" s="617"/>
    </row>
    <row r="57" spans="1:9" x14ac:dyDescent="0.25">
      <c r="A57" s="616"/>
      <c r="B57" s="617"/>
      <c r="C57" s="617"/>
      <c r="D57" s="617"/>
      <c r="E57" s="617"/>
      <c r="F57" s="617"/>
      <c r="G57" s="617"/>
      <c r="H57" s="617"/>
      <c r="I57" s="617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EC28-8BF4-4A04-B4A4-6EB7F1B38873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75"/>
      <c r="B1" s="776"/>
      <c r="C1" s="674" t="s">
        <v>34</v>
      </c>
      <c r="D1" s="674"/>
      <c r="E1" s="674"/>
      <c r="F1" s="674"/>
      <c r="G1" s="674"/>
      <c r="H1" s="102" t="s">
        <v>33</v>
      </c>
      <c r="I1" s="103" t="s">
        <v>122</v>
      </c>
    </row>
    <row r="2" spans="1:9" ht="18" customHeight="1" thickBot="1" x14ac:dyDescent="0.3">
      <c r="A2" s="777"/>
      <c r="B2" s="778"/>
      <c r="C2" s="781" t="s">
        <v>32</v>
      </c>
      <c r="D2" s="782"/>
      <c r="E2" s="782"/>
      <c r="F2" s="782"/>
      <c r="G2" s="783"/>
      <c r="H2" s="104" t="s">
        <v>31</v>
      </c>
      <c r="I2" s="105" t="s">
        <v>105</v>
      </c>
    </row>
    <row r="3" spans="1:9" ht="31.5" customHeight="1" thickBot="1" x14ac:dyDescent="0.3">
      <c r="A3" s="777"/>
      <c r="B3" s="778"/>
      <c r="C3" s="843" t="s">
        <v>123</v>
      </c>
      <c r="D3" s="844"/>
      <c r="E3" s="844"/>
      <c r="F3" s="844"/>
      <c r="G3" s="845"/>
      <c r="H3" s="787" t="s">
        <v>30</v>
      </c>
      <c r="I3" s="766">
        <v>45663</v>
      </c>
    </row>
    <row r="4" spans="1:9" ht="18" customHeight="1" x14ac:dyDescent="0.25">
      <c r="A4" s="777"/>
      <c r="B4" s="778"/>
      <c r="C4" s="106" t="s">
        <v>29</v>
      </c>
      <c r="D4" s="769" t="s">
        <v>89</v>
      </c>
      <c r="E4" s="770"/>
      <c r="F4" s="770"/>
      <c r="G4" s="771"/>
      <c r="H4" s="788"/>
      <c r="I4" s="767"/>
    </row>
    <row r="5" spans="1:9" ht="15.75" thickBot="1" x14ac:dyDescent="0.3">
      <c r="A5" s="779"/>
      <c r="B5" s="780"/>
      <c r="C5" s="107" t="s">
        <v>28</v>
      </c>
      <c r="D5" s="772" t="s">
        <v>37</v>
      </c>
      <c r="E5" s="773"/>
      <c r="F5" s="773"/>
      <c r="G5" s="774"/>
      <c r="H5" s="789"/>
      <c r="I5" s="768"/>
    </row>
    <row r="6" spans="1:9" ht="18.75" thickBot="1" x14ac:dyDescent="0.3">
      <c r="A6" s="790" t="s">
        <v>27</v>
      </c>
      <c r="B6" s="790"/>
      <c r="C6" s="790"/>
      <c r="D6" s="791" t="s">
        <v>124</v>
      </c>
      <c r="E6" s="791"/>
      <c r="F6" s="791"/>
      <c r="G6" s="792" t="s">
        <v>26</v>
      </c>
      <c r="H6" s="792"/>
      <c r="I6" s="108" t="s">
        <v>124</v>
      </c>
    </row>
    <row r="7" spans="1:9" x14ac:dyDescent="0.25">
      <c r="A7" s="793" t="s">
        <v>25</v>
      </c>
      <c r="B7" s="795" t="s">
        <v>24</v>
      </c>
      <c r="C7" s="797" t="s">
        <v>23</v>
      </c>
      <c r="D7" s="797" t="s">
        <v>22</v>
      </c>
      <c r="E7" s="797" t="s">
        <v>21</v>
      </c>
      <c r="F7" s="797"/>
      <c r="G7" s="797" t="s">
        <v>20</v>
      </c>
      <c r="H7" s="797"/>
      <c r="I7" s="109" t="s">
        <v>19</v>
      </c>
    </row>
    <row r="8" spans="1:9" ht="27" thickBot="1" x14ac:dyDescent="0.3">
      <c r="A8" s="794"/>
      <c r="B8" s="796"/>
      <c r="C8" s="798"/>
      <c r="D8" s="798"/>
      <c r="E8" s="110" t="s">
        <v>15</v>
      </c>
      <c r="F8" s="111" t="s">
        <v>18</v>
      </c>
      <c r="G8" s="110" t="s">
        <v>15</v>
      </c>
      <c r="H8" s="111" t="s">
        <v>18</v>
      </c>
      <c r="I8" s="112" t="s">
        <v>17</v>
      </c>
    </row>
    <row r="9" spans="1:9" ht="18.399999999999999" customHeight="1" x14ac:dyDescent="0.25">
      <c r="A9" s="113"/>
      <c r="B9" s="114"/>
      <c r="C9" s="115" t="s">
        <v>39</v>
      </c>
      <c r="D9" s="116"/>
      <c r="E9" s="117"/>
      <c r="F9" s="118"/>
      <c r="G9" s="117"/>
      <c r="H9" s="118"/>
      <c r="I9" s="119"/>
    </row>
    <row r="10" spans="1:9" ht="18" customHeight="1" x14ac:dyDescent="0.25">
      <c r="A10" s="182">
        <v>510301</v>
      </c>
      <c r="B10" s="183" t="s">
        <v>125</v>
      </c>
      <c r="C10" s="184" t="s">
        <v>126</v>
      </c>
      <c r="D10" s="185" t="s">
        <v>127</v>
      </c>
      <c r="E10" s="186">
        <v>10028</v>
      </c>
      <c r="F10" s="187" t="s">
        <v>2</v>
      </c>
      <c r="G10" s="124"/>
      <c r="H10" s="125"/>
      <c r="I10" s="119"/>
    </row>
    <row r="11" spans="1:9" x14ac:dyDescent="0.25">
      <c r="A11" s="182">
        <v>11200072</v>
      </c>
      <c r="B11" s="3" t="s">
        <v>128</v>
      </c>
      <c r="C11" s="184" t="s">
        <v>129</v>
      </c>
      <c r="D11" s="185" t="s">
        <v>130</v>
      </c>
      <c r="E11" s="186">
        <v>3800</v>
      </c>
      <c r="F11" s="187" t="s">
        <v>2</v>
      </c>
      <c r="G11" s="124"/>
      <c r="H11" s="125"/>
      <c r="I11" s="119"/>
    </row>
    <row r="12" spans="1:9" x14ac:dyDescent="0.25">
      <c r="A12" s="188">
        <v>11200071</v>
      </c>
      <c r="B12" s="189" t="s">
        <v>131</v>
      </c>
      <c r="C12" s="190" t="s">
        <v>132</v>
      </c>
      <c r="D12" s="191" t="s">
        <v>130</v>
      </c>
      <c r="E12" s="186">
        <v>2012</v>
      </c>
      <c r="F12" s="187" t="s">
        <v>2</v>
      </c>
      <c r="G12" s="128"/>
      <c r="H12" s="125"/>
      <c r="I12" s="119"/>
    </row>
    <row r="13" spans="1:9" ht="15.75" x14ac:dyDescent="0.25">
      <c r="A13" s="3">
        <v>10100046</v>
      </c>
      <c r="B13" s="3" t="s">
        <v>133</v>
      </c>
      <c r="C13" s="190" t="s">
        <v>134</v>
      </c>
      <c r="D13" s="28" t="s">
        <v>135</v>
      </c>
      <c r="E13" s="28">
        <v>134</v>
      </c>
      <c r="F13" s="28" t="s">
        <v>2</v>
      </c>
      <c r="G13" s="128"/>
      <c r="H13" s="125"/>
      <c r="I13" s="119"/>
    </row>
    <row r="14" spans="1:9" ht="15.75" x14ac:dyDescent="0.25">
      <c r="A14" s="192">
        <v>1212410</v>
      </c>
      <c r="B14" s="192" t="s">
        <v>136</v>
      </c>
      <c r="C14" s="190" t="s">
        <v>137</v>
      </c>
      <c r="D14" s="28" t="s">
        <v>138</v>
      </c>
      <c r="E14" s="28">
        <v>80</v>
      </c>
      <c r="F14" s="28" t="s">
        <v>2</v>
      </c>
      <c r="G14" s="128"/>
      <c r="H14" s="125"/>
      <c r="I14" s="119"/>
    </row>
    <row r="15" spans="1:9" ht="15.75" x14ac:dyDescent="0.25">
      <c r="A15" s="192" t="s">
        <v>139</v>
      </c>
      <c r="B15" s="192" t="s">
        <v>140</v>
      </c>
      <c r="C15" s="190" t="s">
        <v>141</v>
      </c>
      <c r="D15" s="28" t="s">
        <v>142</v>
      </c>
      <c r="E15" s="28">
        <v>573</v>
      </c>
      <c r="F15" s="28" t="s">
        <v>2</v>
      </c>
      <c r="G15" s="128"/>
      <c r="H15" s="125"/>
      <c r="I15" s="119"/>
    </row>
    <row r="16" spans="1:9" ht="15.75" x14ac:dyDescent="0.25">
      <c r="A16" s="192">
        <v>1160001</v>
      </c>
      <c r="B16" s="192" t="s">
        <v>143</v>
      </c>
      <c r="C16" s="190" t="s">
        <v>144</v>
      </c>
      <c r="D16" s="28" t="s">
        <v>145</v>
      </c>
      <c r="E16" s="28">
        <v>92</v>
      </c>
      <c r="F16" s="28" t="s">
        <v>2</v>
      </c>
      <c r="G16" s="128"/>
      <c r="H16" s="125"/>
      <c r="I16" s="119"/>
    </row>
    <row r="17" spans="1:9" ht="15.75" x14ac:dyDescent="0.25">
      <c r="A17" s="3">
        <v>11200073</v>
      </c>
      <c r="B17" s="3" t="s">
        <v>146</v>
      </c>
      <c r="C17" s="190" t="s">
        <v>147</v>
      </c>
      <c r="D17" s="28" t="s">
        <v>148</v>
      </c>
      <c r="E17" s="28">
        <v>5278</v>
      </c>
      <c r="F17" s="28" t="s">
        <v>2</v>
      </c>
      <c r="G17" s="128"/>
      <c r="H17" s="125"/>
      <c r="I17" s="119"/>
    </row>
    <row r="18" spans="1:9" ht="15.75" x14ac:dyDescent="0.25">
      <c r="A18" s="3"/>
      <c r="B18" s="3" t="s">
        <v>149</v>
      </c>
      <c r="C18" s="190" t="s">
        <v>150</v>
      </c>
      <c r="D18" s="28" t="s">
        <v>151</v>
      </c>
      <c r="E18" s="28">
        <v>250</v>
      </c>
      <c r="F18" s="28" t="s">
        <v>2</v>
      </c>
      <c r="G18" s="128"/>
      <c r="H18" s="125"/>
      <c r="I18" s="119"/>
    </row>
    <row r="19" spans="1:9" ht="15.75" x14ac:dyDescent="0.25">
      <c r="A19" s="129"/>
      <c r="B19" s="130"/>
      <c r="C19" s="58" t="s">
        <v>16</v>
      </c>
      <c r="D19" s="28"/>
      <c r="E19" s="28"/>
      <c r="F19" s="28"/>
      <c r="G19" s="128"/>
      <c r="H19" s="125"/>
      <c r="I19" s="119"/>
    </row>
    <row r="20" spans="1:9" x14ac:dyDescent="0.25">
      <c r="A20" s="120"/>
      <c r="B20" s="3"/>
      <c r="C20" s="2"/>
      <c r="D20" s="131"/>
      <c r="E20" s="131"/>
      <c r="F20" s="131"/>
      <c r="G20" s="117"/>
      <c r="H20" s="125"/>
      <c r="I20" s="119"/>
    </row>
    <row r="21" spans="1:9" ht="15.75" x14ac:dyDescent="0.25">
      <c r="A21" s="129"/>
      <c r="B21" s="130"/>
      <c r="C21" s="58"/>
      <c r="D21" s="133"/>
      <c r="E21" s="134"/>
      <c r="F21" s="135"/>
      <c r="G21" s="117"/>
      <c r="H21" s="125"/>
      <c r="I21" s="119"/>
    </row>
    <row r="22" spans="1:9" x14ac:dyDescent="0.25">
      <c r="A22" s="136"/>
      <c r="B22" s="137"/>
      <c r="C22" s="138"/>
      <c r="D22" s="139"/>
      <c r="E22" s="140"/>
      <c r="F22" s="141"/>
      <c r="G22" s="117"/>
      <c r="H22" s="125"/>
      <c r="I22" s="119"/>
    </row>
    <row r="23" spans="1:9" x14ac:dyDescent="0.25">
      <c r="A23" s="136"/>
      <c r="B23" s="137"/>
      <c r="C23" s="138"/>
      <c r="D23" s="139"/>
      <c r="E23" s="193"/>
      <c r="F23" s="141"/>
      <c r="G23" s="117"/>
      <c r="H23" s="118"/>
      <c r="I23" s="119"/>
    </row>
    <row r="24" spans="1:9" x14ac:dyDescent="0.25">
      <c r="A24" s="136"/>
      <c r="B24" s="137"/>
      <c r="C24" s="138"/>
      <c r="D24" s="139"/>
      <c r="E24" s="140"/>
      <c r="F24" s="141"/>
      <c r="G24" s="117"/>
      <c r="H24" s="118"/>
      <c r="I24" s="119"/>
    </row>
    <row r="25" spans="1:9" x14ac:dyDescent="0.25">
      <c r="A25" s="136"/>
      <c r="B25" s="137"/>
      <c r="C25" s="138"/>
      <c r="D25" s="139"/>
      <c r="E25" s="194"/>
      <c r="F25" s="195"/>
      <c r="G25" s="117"/>
      <c r="H25" s="118"/>
      <c r="I25" s="119"/>
    </row>
    <row r="26" spans="1:9" x14ac:dyDescent="0.25">
      <c r="A26" s="3"/>
      <c r="B26" s="3"/>
      <c r="C26" s="2"/>
      <c r="D26" s="142"/>
      <c r="E26" s="143"/>
      <c r="F26" s="144"/>
      <c r="G26" s="117"/>
      <c r="H26" s="118"/>
      <c r="I26" s="119"/>
    </row>
    <row r="27" spans="1:9" ht="15.75" x14ac:dyDescent="0.25">
      <c r="A27" s="145"/>
      <c r="B27" s="146"/>
      <c r="C27" s="70" t="s">
        <v>58</v>
      </c>
      <c r="D27" s="147"/>
      <c r="E27" s="148"/>
      <c r="F27" s="118"/>
      <c r="G27" s="117"/>
      <c r="I27" s="119"/>
    </row>
    <row r="28" spans="1:9" x14ac:dyDescent="0.25">
      <c r="A28" s="149">
        <v>1950708</v>
      </c>
      <c r="B28" s="150" t="s">
        <v>152</v>
      </c>
      <c r="C28" s="151" t="s">
        <v>153</v>
      </c>
      <c r="D28" s="152"/>
      <c r="E28" s="153">
        <v>2</v>
      </c>
      <c r="F28" s="154" t="s">
        <v>5</v>
      </c>
      <c r="G28" s="155"/>
      <c r="H28" s="118"/>
      <c r="I28" s="119"/>
    </row>
    <row r="29" spans="1:9" x14ac:dyDescent="0.25">
      <c r="A29" s="149">
        <v>60100010</v>
      </c>
      <c r="B29" s="150" t="s">
        <v>154</v>
      </c>
      <c r="C29" s="151" t="s">
        <v>155</v>
      </c>
      <c r="D29" s="152"/>
      <c r="E29" s="153">
        <v>1</v>
      </c>
      <c r="F29" s="154" t="s">
        <v>5</v>
      </c>
      <c r="G29" s="155"/>
      <c r="H29" s="118"/>
      <c r="I29" s="119"/>
    </row>
    <row r="30" spans="1:9" x14ac:dyDescent="0.25">
      <c r="A30" s="156">
        <v>702123</v>
      </c>
      <c r="B30" s="157" t="s">
        <v>68</v>
      </c>
      <c r="C30" s="158" t="s">
        <v>69</v>
      </c>
      <c r="D30" s="152"/>
      <c r="E30" s="153">
        <v>2</v>
      </c>
      <c r="F30" s="154" t="s">
        <v>5</v>
      </c>
      <c r="G30" s="155"/>
      <c r="H30" s="118"/>
      <c r="I30" s="119"/>
    </row>
    <row r="31" spans="1:9" x14ac:dyDescent="0.25">
      <c r="A31" s="159">
        <v>1950705</v>
      </c>
      <c r="B31" s="159" t="s">
        <v>156</v>
      </c>
      <c r="C31" s="160" t="s">
        <v>157</v>
      </c>
      <c r="D31" s="152"/>
      <c r="E31" s="153">
        <v>1</v>
      </c>
      <c r="F31" s="154" t="s">
        <v>5</v>
      </c>
      <c r="G31" s="117"/>
      <c r="H31" s="118"/>
      <c r="I31" s="119"/>
    </row>
    <row r="32" spans="1:9" x14ac:dyDescent="0.25">
      <c r="A32" s="159"/>
      <c r="B32" s="159"/>
      <c r="C32" s="160"/>
      <c r="D32" s="152"/>
      <c r="E32" s="153"/>
      <c r="F32" s="154"/>
      <c r="G32" s="117"/>
      <c r="H32" s="118"/>
      <c r="I32" s="119"/>
    </row>
    <row r="33" spans="1:9" x14ac:dyDescent="0.25">
      <c r="A33" s="159"/>
      <c r="B33" s="159"/>
      <c r="C33" s="160"/>
      <c r="D33" s="152"/>
      <c r="E33" s="153"/>
      <c r="F33" s="154"/>
      <c r="G33" s="161"/>
      <c r="H33" s="118"/>
      <c r="I33" s="119"/>
    </row>
    <row r="34" spans="1:9" ht="15.75" x14ac:dyDescent="0.25">
      <c r="A34" s="159"/>
      <c r="B34" s="159"/>
      <c r="C34" s="160"/>
      <c r="D34" s="28"/>
      <c r="E34" s="153"/>
      <c r="F34" s="154"/>
      <c r="G34" s="162"/>
      <c r="H34" s="118"/>
      <c r="I34" s="119"/>
    </row>
    <row r="35" spans="1:9" x14ac:dyDescent="0.25">
      <c r="A35" s="163"/>
      <c r="B35" s="163"/>
      <c r="C35" s="164"/>
      <c r="D35" s="152"/>
      <c r="E35" s="144"/>
      <c r="F35" s="144"/>
      <c r="G35" s="162"/>
      <c r="H35" s="118"/>
      <c r="I35" s="119"/>
    </row>
    <row r="36" spans="1:9" x14ac:dyDescent="0.25">
      <c r="A36" s="196"/>
      <c r="B36" s="3"/>
      <c r="C36" s="197"/>
      <c r="D36" s="198"/>
      <c r="E36" s="143"/>
      <c r="F36" s="128"/>
      <c r="G36" s="162"/>
      <c r="H36" s="118"/>
      <c r="I36" s="119"/>
    </row>
    <row r="37" spans="1:9" ht="15.75" x14ac:dyDescent="0.25">
      <c r="A37" s="159"/>
      <c r="B37" s="159"/>
      <c r="C37" s="160"/>
      <c r="D37" s="152"/>
      <c r="E37" s="143"/>
      <c r="F37" s="128"/>
      <c r="G37" s="54"/>
      <c r="H37" s="118"/>
      <c r="I37" s="119"/>
    </row>
    <row r="38" spans="1:9" ht="15.75" x14ac:dyDescent="0.25">
      <c r="A38" s="129"/>
      <c r="B38" s="130"/>
      <c r="C38" s="199"/>
      <c r="D38" s="133"/>
      <c r="E38" s="133"/>
      <c r="F38" s="135"/>
      <c r="G38" s="59"/>
      <c r="H38" s="59"/>
      <c r="I38" s="119"/>
    </row>
    <row r="39" spans="1:9" ht="15.75" thickBot="1" x14ac:dyDescent="0.3">
      <c r="A39" s="165"/>
      <c r="B39" s="166"/>
      <c r="C39" s="167"/>
      <c r="D39" s="167"/>
      <c r="E39" s="168"/>
      <c r="F39" s="169"/>
      <c r="G39" s="167"/>
      <c r="H39" s="167"/>
      <c r="I39" s="170"/>
    </row>
    <row r="40" spans="1:9" ht="15.75" thickBot="1" x14ac:dyDescent="0.3">
      <c r="A40" s="171"/>
      <c r="B40" s="172"/>
      <c r="C40" s="173"/>
      <c r="D40" s="174" t="s">
        <v>15</v>
      </c>
      <c r="E40" s="175" t="s">
        <v>14</v>
      </c>
      <c r="F40" s="176"/>
      <c r="G40" s="173"/>
      <c r="H40" s="173"/>
      <c r="I40" s="177"/>
    </row>
    <row r="41" spans="1:9" x14ac:dyDescent="0.25">
      <c r="A41" s="799" t="s">
        <v>13</v>
      </c>
      <c r="B41" s="800"/>
      <c r="C41" s="801"/>
      <c r="D41" s="200">
        <v>21997</v>
      </c>
      <c r="E41" s="179" t="s">
        <v>2</v>
      </c>
      <c r="F41" s="802" t="s">
        <v>12</v>
      </c>
      <c r="G41" s="802"/>
      <c r="H41" s="803"/>
      <c r="I41" s="804"/>
    </row>
    <row r="42" spans="1:9" x14ac:dyDescent="0.25">
      <c r="A42" s="805" t="s">
        <v>11</v>
      </c>
      <c r="B42" s="806"/>
      <c r="C42" s="807"/>
      <c r="D42" s="143">
        <v>3</v>
      </c>
      <c r="E42" s="128" t="s">
        <v>10</v>
      </c>
      <c r="F42" s="808" t="s">
        <v>9</v>
      </c>
      <c r="G42" s="808"/>
      <c r="H42" s="809"/>
      <c r="I42" s="810"/>
    </row>
    <row r="43" spans="1:9" x14ac:dyDescent="0.25">
      <c r="A43" s="805" t="s">
        <v>8</v>
      </c>
      <c r="B43" s="806"/>
      <c r="C43" s="807"/>
      <c r="D43" s="143">
        <v>1</v>
      </c>
      <c r="E43" s="128" t="s">
        <v>5</v>
      </c>
      <c r="F43" s="808" t="s">
        <v>7</v>
      </c>
      <c r="G43" s="808"/>
      <c r="H43" s="809"/>
      <c r="I43" s="810"/>
    </row>
    <row r="44" spans="1:9" x14ac:dyDescent="0.25">
      <c r="A44" s="805" t="s">
        <v>6</v>
      </c>
      <c r="B44" s="806"/>
      <c r="C44" s="807"/>
      <c r="D44" s="143">
        <v>21997</v>
      </c>
      <c r="E44" s="128" t="s">
        <v>2</v>
      </c>
      <c r="F44" s="811" t="s">
        <v>4</v>
      </c>
      <c r="G44" s="812"/>
      <c r="H44" s="813"/>
      <c r="I44" s="814"/>
    </row>
    <row r="45" spans="1:9" ht="15.75" thickBot="1" x14ac:dyDescent="0.3">
      <c r="A45" s="819" t="s">
        <v>3</v>
      </c>
      <c r="B45" s="820"/>
      <c r="C45" s="821"/>
      <c r="D45" s="180">
        <v>0</v>
      </c>
      <c r="E45" s="181" t="s">
        <v>2</v>
      </c>
      <c r="F45" s="822"/>
      <c r="G45" s="822"/>
      <c r="H45" s="809"/>
      <c r="I45" s="810"/>
    </row>
    <row r="46" spans="1:9" ht="15.75" thickBot="1" x14ac:dyDescent="0.3">
      <c r="A46" s="823" t="s">
        <v>1</v>
      </c>
      <c r="B46" s="824"/>
      <c r="C46" s="824"/>
      <c r="D46" s="824"/>
      <c r="E46" s="824"/>
      <c r="F46" s="824"/>
      <c r="G46" s="824"/>
      <c r="H46" s="824"/>
      <c r="I46" s="825"/>
    </row>
    <row r="47" spans="1:9" ht="14.65" customHeight="1" x14ac:dyDescent="0.25">
      <c r="A47" s="829" t="s">
        <v>158</v>
      </c>
      <c r="B47" s="830"/>
      <c r="C47" s="830"/>
      <c r="D47" s="830"/>
      <c r="E47" s="830"/>
      <c r="F47" s="830"/>
      <c r="G47" s="830"/>
      <c r="H47" s="830"/>
      <c r="I47" s="831"/>
    </row>
    <row r="48" spans="1:9" ht="15.4" customHeight="1" x14ac:dyDescent="0.25">
      <c r="A48" s="829" t="s">
        <v>159</v>
      </c>
      <c r="B48" s="830"/>
      <c r="C48" s="830"/>
      <c r="D48" s="830"/>
      <c r="E48" s="830"/>
      <c r="F48" s="830"/>
      <c r="G48" s="830"/>
      <c r="H48" s="830"/>
      <c r="I48" s="831"/>
    </row>
    <row r="49" spans="1:9" ht="14.65" customHeight="1" x14ac:dyDescent="0.25">
      <c r="A49" s="829" t="s">
        <v>160</v>
      </c>
      <c r="B49" s="830"/>
      <c r="C49" s="830"/>
      <c r="D49" s="830"/>
      <c r="E49" s="830"/>
      <c r="F49" s="830"/>
      <c r="G49" s="830"/>
      <c r="H49" s="830"/>
      <c r="I49" s="831"/>
    </row>
    <row r="50" spans="1:9" ht="14.65" customHeight="1" x14ac:dyDescent="0.25">
      <c r="A50" s="829"/>
      <c r="B50" s="830"/>
      <c r="C50" s="830"/>
      <c r="D50" s="830"/>
      <c r="E50" s="830"/>
      <c r="F50" s="830"/>
      <c r="G50" s="830"/>
      <c r="H50" s="830"/>
      <c r="I50" s="831"/>
    </row>
    <row r="51" spans="1:9" ht="14.65" customHeight="1" x14ac:dyDescent="0.25">
      <c r="A51" s="829"/>
      <c r="B51" s="830"/>
      <c r="C51" s="830"/>
      <c r="D51" s="830"/>
      <c r="E51" s="830"/>
      <c r="F51" s="830"/>
      <c r="G51" s="830"/>
      <c r="H51" s="830"/>
      <c r="I51" s="831"/>
    </row>
    <row r="52" spans="1:9" ht="18" customHeight="1" thickBot="1" x14ac:dyDescent="0.3">
      <c r="A52" s="846"/>
      <c r="B52" s="847"/>
      <c r="C52" s="848"/>
      <c r="D52" s="848"/>
      <c r="E52" s="848"/>
      <c r="F52" s="848"/>
      <c r="G52" s="848"/>
      <c r="H52" s="848"/>
      <c r="I52" s="849"/>
    </row>
    <row r="53" spans="1:9" ht="15.75" x14ac:dyDescent="0.25">
      <c r="A53" s="850"/>
      <c r="B53" s="851"/>
      <c r="C53" s="851"/>
      <c r="D53" s="851"/>
      <c r="E53" s="851"/>
      <c r="F53" s="851"/>
      <c r="G53" s="851"/>
      <c r="H53" s="851"/>
      <c r="I53" s="852"/>
    </row>
    <row r="54" spans="1:9" ht="15.75" thickBot="1" x14ac:dyDescent="0.3">
      <c r="A54" s="853"/>
      <c r="B54" s="854"/>
      <c r="C54" s="854"/>
      <c r="D54" s="854"/>
      <c r="E54" s="854"/>
      <c r="F54" s="854"/>
      <c r="G54" s="854"/>
      <c r="H54" s="854"/>
      <c r="I54" s="855"/>
    </row>
    <row r="55" spans="1:9" x14ac:dyDescent="0.25">
      <c r="A55" s="614" t="s">
        <v>0</v>
      </c>
      <c r="B55" s="615"/>
      <c r="C55" s="615"/>
      <c r="D55" s="615"/>
      <c r="E55" s="615"/>
      <c r="F55" s="615"/>
      <c r="G55" s="615"/>
      <c r="H55" s="615"/>
      <c r="I55" s="615"/>
    </row>
    <row r="56" spans="1:9" x14ac:dyDescent="0.25">
      <c r="A56" s="616"/>
      <c r="B56" s="617"/>
      <c r="C56" s="617"/>
      <c r="D56" s="617"/>
      <c r="E56" s="617"/>
      <c r="F56" s="617"/>
      <c r="G56" s="617"/>
      <c r="H56" s="617"/>
      <c r="I56" s="617"/>
    </row>
    <row r="57" spans="1:9" x14ac:dyDescent="0.25">
      <c r="A57" s="616"/>
      <c r="B57" s="617"/>
      <c r="C57" s="617"/>
      <c r="D57" s="617"/>
      <c r="E57" s="617"/>
      <c r="F57" s="617"/>
      <c r="G57" s="617"/>
      <c r="H57" s="617"/>
      <c r="I57" s="617"/>
    </row>
  </sheetData>
  <mergeCells count="44">
    <mergeCell ref="A55:I55"/>
    <mergeCell ref="A56:I56"/>
    <mergeCell ref="A57:I57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4221-A151-48D7-A02E-63368BF6C5B8}">
  <dimension ref="A1:I64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775"/>
      <c r="B1" s="776"/>
      <c r="C1" s="674" t="s">
        <v>34</v>
      </c>
      <c r="D1" s="674"/>
      <c r="E1" s="674"/>
      <c r="F1" s="674"/>
      <c r="G1" s="674"/>
      <c r="H1" s="102" t="s">
        <v>33</v>
      </c>
      <c r="I1" s="103" t="s">
        <v>161</v>
      </c>
    </row>
    <row r="2" spans="1:9" ht="16.5" thickBot="1" x14ac:dyDescent="0.3">
      <c r="A2" s="777"/>
      <c r="B2" s="778"/>
      <c r="C2" s="675" t="s">
        <v>32</v>
      </c>
      <c r="D2" s="675"/>
      <c r="E2" s="675"/>
      <c r="F2" s="675"/>
      <c r="G2" s="675"/>
      <c r="H2" s="104" t="s">
        <v>31</v>
      </c>
      <c r="I2" s="105" t="s">
        <v>105</v>
      </c>
    </row>
    <row r="3" spans="1:9" ht="15.95" customHeight="1" thickBot="1" x14ac:dyDescent="0.3">
      <c r="A3" s="777"/>
      <c r="B3" s="778"/>
      <c r="C3" s="784" t="s">
        <v>162</v>
      </c>
      <c r="D3" s="785"/>
      <c r="E3" s="785"/>
      <c r="F3" s="785"/>
      <c r="G3" s="786"/>
      <c r="H3" s="787" t="s">
        <v>30</v>
      </c>
      <c r="I3" s="766">
        <v>45609</v>
      </c>
    </row>
    <row r="4" spans="1:9" x14ac:dyDescent="0.25">
      <c r="A4" s="777"/>
      <c r="B4" s="778"/>
      <c r="C4" s="106" t="s">
        <v>29</v>
      </c>
      <c r="D4" s="769" t="s">
        <v>89</v>
      </c>
      <c r="E4" s="770"/>
      <c r="F4" s="770"/>
      <c r="G4" s="771"/>
      <c r="H4" s="788"/>
      <c r="I4" s="767"/>
    </row>
    <row r="5" spans="1:9" ht="15.75" thickBot="1" x14ac:dyDescent="0.3">
      <c r="A5" s="779"/>
      <c r="B5" s="780"/>
      <c r="C5" s="107" t="s">
        <v>28</v>
      </c>
      <c r="D5" s="772" t="s">
        <v>37</v>
      </c>
      <c r="E5" s="773"/>
      <c r="F5" s="773"/>
      <c r="G5" s="774"/>
      <c r="H5" s="789"/>
      <c r="I5" s="768"/>
    </row>
    <row r="6" spans="1:9" ht="18.75" thickBot="1" x14ac:dyDescent="0.3">
      <c r="A6" s="790" t="s">
        <v>27</v>
      </c>
      <c r="B6" s="790"/>
      <c r="C6" s="790"/>
      <c r="D6" s="791" t="s">
        <v>163</v>
      </c>
      <c r="E6" s="791"/>
      <c r="F6" s="791"/>
      <c r="G6" s="792" t="s">
        <v>26</v>
      </c>
      <c r="H6" s="792"/>
      <c r="I6" s="108" t="s">
        <v>163</v>
      </c>
    </row>
    <row r="7" spans="1:9" x14ac:dyDescent="0.25">
      <c r="A7" s="793" t="s">
        <v>25</v>
      </c>
      <c r="B7" s="795" t="s">
        <v>24</v>
      </c>
      <c r="C7" s="797" t="s">
        <v>23</v>
      </c>
      <c r="D7" s="797" t="s">
        <v>22</v>
      </c>
      <c r="E7" s="797" t="s">
        <v>21</v>
      </c>
      <c r="F7" s="797"/>
      <c r="G7" s="797" t="s">
        <v>20</v>
      </c>
      <c r="H7" s="797"/>
      <c r="I7" s="109" t="s">
        <v>19</v>
      </c>
    </row>
    <row r="8" spans="1:9" ht="27" thickBot="1" x14ac:dyDescent="0.3">
      <c r="A8" s="794"/>
      <c r="B8" s="796"/>
      <c r="C8" s="798"/>
      <c r="D8" s="798"/>
      <c r="E8" s="110" t="s">
        <v>15</v>
      </c>
      <c r="F8" s="111" t="s">
        <v>18</v>
      </c>
      <c r="G8" s="110" t="s">
        <v>15</v>
      </c>
      <c r="H8" s="111" t="s">
        <v>18</v>
      </c>
      <c r="I8" s="112" t="s">
        <v>17</v>
      </c>
    </row>
    <row r="9" spans="1:9" x14ac:dyDescent="0.25">
      <c r="A9" s="113"/>
      <c r="B9" s="114"/>
      <c r="C9" s="115" t="s">
        <v>39</v>
      </c>
      <c r="D9" s="116"/>
      <c r="E9" s="117"/>
      <c r="F9" s="118"/>
      <c r="G9" s="117"/>
      <c r="H9" s="118"/>
      <c r="I9" s="119"/>
    </row>
    <row r="10" spans="1:9" ht="15.95" customHeight="1" x14ac:dyDescent="0.25">
      <c r="A10" s="201">
        <v>90100409</v>
      </c>
      <c r="B10" s="202" t="s">
        <v>164</v>
      </c>
      <c r="C10" s="203" t="s">
        <v>165</v>
      </c>
      <c r="D10" s="204" t="s">
        <v>35</v>
      </c>
      <c r="E10" s="205">
        <v>43</v>
      </c>
      <c r="F10" s="135" t="s">
        <v>166</v>
      </c>
      <c r="G10" s="205">
        <f>+E10*395</f>
        <v>16985</v>
      </c>
      <c r="H10" s="206" t="s">
        <v>167</v>
      </c>
      <c r="I10" s="119"/>
    </row>
    <row r="11" spans="1:9" x14ac:dyDescent="0.25">
      <c r="A11" s="207"/>
      <c r="B11" s="208"/>
      <c r="C11" s="209"/>
      <c r="D11" s="210"/>
      <c r="E11" s="211"/>
      <c r="F11" s="211"/>
      <c r="G11" s="212"/>
      <c r="H11" s="213"/>
      <c r="I11" s="119"/>
    </row>
    <row r="12" spans="1:9" x14ac:dyDescent="0.25">
      <c r="A12" s="207"/>
      <c r="B12" s="208"/>
      <c r="C12" s="209"/>
      <c r="D12" s="210"/>
      <c r="E12" s="211"/>
      <c r="F12" s="211"/>
      <c r="G12" s="212"/>
      <c r="H12" s="213"/>
      <c r="I12" s="119"/>
    </row>
    <row r="13" spans="1:9" x14ac:dyDescent="0.25">
      <c r="A13" s="207"/>
      <c r="B13" s="208"/>
      <c r="C13" s="209"/>
      <c r="D13" s="210"/>
      <c r="E13" s="211"/>
      <c r="F13" s="214"/>
      <c r="G13" s="212"/>
      <c r="H13" s="213"/>
      <c r="I13" s="119"/>
    </row>
    <row r="14" spans="1:9" x14ac:dyDescent="0.25">
      <c r="A14" s="207"/>
      <c r="B14" s="208"/>
      <c r="C14" s="209"/>
      <c r="D14" s="210"/>
      <c r="E14" s="215"/>
      <c r="F14" s="214"/>
      <c r="G14" s="212"/>
      <c r="H14" s="213"/>
      <c r="I14" s="119"/>
    </row>
    <row r="15" spans="1:9" x14ac:dyDescent="0.25">
      <c r="A15" s="207"/>
      <c r="B15" s="208"/>
      <c r="C15" s="209"/>
      <c r="D15" s="210"/>
      <c r="E15" s="215"/>
      <c r="F15" s="214"/>
      <c r="G15" s="212"/>
      <c r="H15" s="213"/>
      <c r="I15" s="119"/>
    </row>
    <row r="16" spans="1:9" x14ac:dyDescent="0.25">
      <c r="A16" s="207"/>
      <c r="B16" s="208"/>
      <c r="C16" s="209"/>
      <c r="D16" s="210"/>
      <c r="E16" s="211"/>
      <c r="F16" s="211"/>
      <c r="G16" s="212"/>
      <c r="H16" s="213"/>
      <c r="I16" s="119"/>
    </row>
    <row r="17" spans="1:9" x14ac:dyDescent="0.25">
      <c r="A17" s="207"/>
      <c r="B17" s="216"/>
      <c r="C17" s="217"/>
      <c r="D17" s="210"/>
      <c r="E17" s="211"/>
      <c r="F17" s="211"/>
      <c r="G17" s="212"/>
      <c r="H17" s="213"/>
      <c r="I17" s="119"/>
    </row>
    <row r="18" spans="1:9" x14ac:dyDescent="0.25">
      <c r="A18" s="218"/>
      <c r="B18" s="219"/>
      <c r="C18" s="220"/>
      <c r="D18" s="210"/>
      <c r="E18" s="215"/>
      <c r="F18" s="214"/>
      <c r="G18" s="212"/>
      <c r="H18" s="213"/>
      <c r="I18" s="119"/>
    </row>
    <row r="19" spans="1:9" x14ac:dyDescent="0.25">
      <c r="A19" s="218"/>
      <c r="B19" s="219"/>
      <c r="C19" s="221"/>
      <c r="D19" s="210"/>
      <c r="E19" s="215"/>
      <c r="F19" s="214"/>
      <c r="G19" s="212"/>
      <c r="H19" s="213"/>
      <c r="I19" s="119"/>
    </row>
    <row r="20" spans="1:9" x14ac:dyDescent="0.25">
      <c r="A20" s="218"/>
      <c r="B20" s="219"/>
      <c r="C20" s="221"/>
      <c r="D20" s="210"/>
      <c r="E20" s="215"/>
      <c r="F20" s="214"/>
      <c r="G20" s="212"/>
      <c r="H20" s="213"/>
      <c r="I20" s="119"/>
    </row>
    <row r="21" spans="1:9" x14ac:dyDescent="0.25">
      <c r="A21" s="218"/>
      <c r="B21" s="219"/>
      <c r="C21" s="220"/>
      <c r="D21" s="210"/>
      <c r="E21" s="222"/>
      <c r="F21" s="222"/>
      <c r="G21" s="212"/>
      <c r="H21" s="213"/>
      <c r="I21" s="119"/>
    </row>
    <row r="22" spans="1:9" x14ac:dyDescent="0.25">
      <c r="A22" s="223"/>
      <c r="B22" s="224"/>
      <c r="C22" s="225"/>
      <c r="D22" s="226"/>
      <c r="E22" s="227"/>
      <c r="F22" s="227"/>
      <c r="G22" s="228"/>
      <c r="H22" s="213"/>
      <c r="I22" s="119"/>
    </row>
    <row r="23" spans="1:9" x14ac:dyDescent="0.25">
      <c r="A23" s="223"/>
      <c r="B23" s="224"/>
      <c r="C23" s="225"/>
      <c r="D23" s="226"/>
      <c r="E23" s="227"/>
      <c r="F23" s="227"/>
      <c r="G23" s="228"/>
      <c r="H23" s="213"/>
      <c r="I23" s="119"/>
    </row>
    <row r="24" spans="1:9" x14ac:dyDescent="0.25">
      <c r="A24" s="223"/>
      <c r="B24" s="224"/>
      <c r="C24" s="225"/>
      <c r="D24" s="226"/>
      <c r="E24" s="227"/>
      <c r="F24" s="227"/>
      <c r="G24" s="228"/>
      <c r="H24" s="213"/>
      <c r="I24" s="119"/>
    </row>
    <row r="25" spans="1:9" ht="15.75" x14ac:dyDescent="0.25">
      <c r="A25" s="229"/>
      <c r="B25" s="229"/>
      <c r="D25" s="162"/>
      <c r="E25" s="99"/>
      <c r="F25" s="99"/>
      <c r="G25" s="117"/>
      <c r="H25" s="213"/>
      <c r="I25" s="119"/>
    </row>
    <row r="26" spans="1:9" x14ac:dyDescent="0.25">
      <c r="A26" s="3"/>
      <c r="B26" s="3"/>
      <c r="C26" s="230"/>
      <c r="D26" s="162"/>
      <c r="E26" s="162"/>
      <c r="F26" s="135"/>
      <c r="G26" s="117"/>
      <c r="H26" s="213"/>
      <c r="I26" s="119"/>
    </row>
    <row r="27" spans="1:9" ht="15.75" x14ac:dyDescent="0.25">
      <c r="A27" s="129"/>
      <c r="B27" s="130"/>
      <c r="C27" s="58" t="s">
        <v>16</v>
      </c>
      <c r="D27" s="133" t="s">
        <v>49</v>
      </c>
      <c r="E27" s="134"/>
      <c r="F27" s="135"/>
      <c r="G27" s="117"/>
      <c r="H27" s="213"/>
      <c r="I27" s="119"/>
    </row>
    <row r="28" spans="1:9" x14ac:dyDescent="0.25">
      <c r="A28" s="231"/>
      <c r="B28" s="232"/>
      <c r="C28" s="233"/>
      <c r="D28" s="234" t="s">
        <v>49</v>
      </c>
      <c r="E28" s="162"/>
      <c r="F28" s="135"/>
      <c r="G28" s="117"/>
      <c r="H28" s="213"/>
      <c r="I28" s="119"/>
    </row>
    <row r="29" spans="1:9" x14ac:dyDescent="0.25">
      <c r="A29" s="3"/>
      <c r="B29" s="3"/>
      <c r="C29" s="230"/>
      <c r="D29" s="234" t="s">
        <v>49</v>
      </c>
      <c r="E29" s="162"/>
      <c r="F29" s="135"/>
      <c r="G29" s="117"/>
      <c r="H29" s="213"/>
      <c r="I29" s="119"/>
    </row>
    <row r="30" spans="1:9" x14ac:dyDescent="0.25">
      <c r="A30" s="235"/>
      <c r="B30" s="235"/>
      <c r="C30" s="233"/>
      <c r="D30" s="234" t="s">
        <v>49</v>
      </c>
      <c r="E30" s="162"/>
      <c r="F30" s="135"/>
      <c r="G30" s="117"/>
      <c r="H30" s="213"/>
      <c r="I30" s="119"/>
    </row>
    <row r="31" spans="1:9" x14ac:dyDescent="0.25">
      <c r="A31" s="3"/>
      <c r="B31" s="3"/>
      <c r="C31" s="230"/>
      <c r="D31" s="162" t="s">
        <v>49</v>
      </c>
      <c r="E31" s="133"/>
      <c r="F31" s="135"/>
      <c r="G31" s="117"/>
      <c r="H31" s="213"/>
      <c r="I31" s="119"/>
    </row>
    <row r="32" spans="1:9" x14ac:dyDescent="0.25">
      <c r="A32" s="3"/>
      <c r="B32" s="3"/>
      <c r="C32" s="230"/>
      <c r="D32" s="198" t="s">
        <v>49</v>
      </c>
      <c r="E32" s="236"/>
      <c r="F32" s="237"/>
      <c r="G32" s="117"/>
      <c r="H32" s="213"/>
      <c r="I32" s="119"/>
    </row>
    <row r="33" spans="1:9" ht="15.75" x14ac:dyDescent="0.25">
      <c r="A33" s="145"/>
      <c r="B33" s="146"/>
      <c r="C33" s="70" t="s">
        <v>58</v>
      </c>
      <c r="D33" s="147" t="s">
        <v>49</v>
      </c>
      <c r="E33" s="117"/>
      <c r="F33" s="118"/>
      <c r="G33" s="117"/>
      <c r="H33" s="213"/>
      <c r="I33" s="119"/>
    </row>
    <row r="34" spans="1:9" ht="15.75" x14ac:dyDescent="0.25">
      <c r="A34" s="159">
        <v>702123</v>
      </c>
      <c r="B34" s="159" t="s">
        <v>68</v>
      </c>
      <c r="C34" s="159" t="s">
        <v>69</v>
      </c>
      <c r="D34" s="238" t="s">
        <v>96</v>
      </c>
      <c r="E34" s="54">
        <v>4</v>
      </c>
      <c r="F34" s="206" t="s">
        <v>5</v>
      </c>
      <c r="G34" s="212"/>
      <c r="H34" s="213"/>
      <c r="I34" s="119"/>
    </row>
    <row r="35" spans="1:9" x14ac:dyDescent="0.25">
      <c r="A35" s="159">
        <v>51600050</v>
      </c>
      <c r="B35" s="159" t="s">
        <v>168</v>
      </c>
      <c r="C35" s="159" t="s">
        <v>169</v>
      </c>
      <c r="D35" s="239"/>
      <c r="E35" s="200">
        <v>4</v>
      </c>
      <c r="F35" s="240" t="s">
        <v>5</v>
      </c>
      <c r="G35" s="241"/>
      <c r="H35" s="213"/>
      <c r="I35" s="119"/>
    </row>
    <row r="36" spans="1:9" x14ac:dyDescent="0.25">
      <c r="A36" s="207"/>
      <c r="B36" s="242"/>
      <c r="C36" s="209"/>
      <c r="D36" s="210"/>
      <c r="E36" s="153"/>
      <c r="F36" s="154"/>
      <c r="G36" s="117"/>
      <c r="H36" s="213"/>
      <c r="I36" s="119"/>
    </row>
    <row r="37" spans="1:9" x14ac:dyDescent="0.25">
      <c r="A37" s="243"/>
      <c r="B37" s="243"/>
      <c r="C37" s="230"/>
      <c r="D37" s="133"/>
      <c r="E37" s="162"/>
      <c r="F37" s="135"/>
      <c r="G37" s="117"/>
      <c r="H37" s="118"/>
      <c r="I37" s="119"/>
    </row>
    <row r="38" spans="1:9" x14ac:dyDescent="0.25">
      <c r="A38" s="244"/>
      <c r="B38" s="245"/>
      <c r="C38" s="246"/>
      <c r="D38" s="133"/>
      <c r="E38" s="162"/>
      <c r="F38" s="135"/>
      <c r="G38" s="117"/>
      <c r="H38" s="118"/>
      <c r="I38" s="119"/>
    </row>
    <row r="39" spans="1:9" ht="15.75" x14ac:dyDescent="0.25">
      <c r="A39" s="244"/>
      <c r="B39" s="245"/>
      <c r="C39" s="246"/>
      <c r="D39" s="59"/>
      <c r="E39" s="162"/>
      <c r="F39" s="135"/>
      <c r="G39" s="161"/>
      <c r="H39" s="133"/>
      <c r="I39" s="119"/>
    </row>
    <row r="40" spans="1:9" ht="15.75" x14ac:dyDescent="0.25">
      <c r="A40" s="129"/>
      <c r="B40" s="130"/>
      <c r="C40" s="199"/>
      <c r="D40" s="59"/>
      <c r="E40" s="162"/>
      <c r="F40" s="135"/>
      <c r="G40" s="162"/>
      <c r="H40" s="133"/>
      <c r="I40" s="119"/>
    </row>
    <row r="41" spans="1:9" ht="15.75" x14ac:dyDescent="0.25">
      <c r="A41" s="129"/>
      <c r="B41" s="130"/>
      <c r="C41" s="199"/>
      <c r="D41" s="59"/>
      <c r="E41" s="162"/>
      <c r="F41" s="135"/>
      <c r="G41" s="54"/>
      <c r="H41" s="135"/>
      <c r="I41" s="119"/>
    </row>
    <row r="42" spans="1:9" ht="15.75" x14ac:dyDescent="0.25">
      <c r="A42" s="129"/>
      <c r="B42" s="130"/>
      <c r="C42" s="199"/>
      <c r="D42" s="133"/>
      <c r="E42" s="133"/>
      <c r="F42" s="135"/>
      <c r="G42" s="59"/>
      <c r="H42" s="59"/>
      <c r="I42" s="119"/>
    </row>
    <row r="43" spans="1:9" ht="15.75" thickBot="1" x14ac:dyDescent="0.3">
      <c r="A43" s="165"/>
      <c r="B43" s="166"/>
      <c r="C43" s="167"/>
      <c r="D43" s="167"/>
      <c r="E43" s="168"/>
      <c r="F43" s="169"/>
      <c r="G43" s="167"/>
      <c r="H43" s="167"/>
      <c r="I43" s="170"/>
    </row>
    <row r="44" spans="1:9" ht="15.75" thickBot="1" x14ac:dyDescent="0.3">
      <c r="A44" s="171"/>
      <c r="B44" s="172"/>
      <c r="C44" s="173"/>
      <c r="D44" s="174" t="s">
        <v>15</v>
      </c>
      <c r="E44" s="175" t="s">
        <v>14</v>
      </c>
      <c r="F44" s="176"/>
      <c r="G44" s="173"/>
      <c r="H44" s="173"/>
      <c r="I44" s="177"/>
    </row>
    <row r="45" spans="1:9" x14ac:dyDescent="0.25">
      <c r="A45" s="799" t="s">
        <v>13</v>
      </c>
      <c r="B45" s="800"/>
      <c r="C45" s="801"/>
      <c r="D45" s="247">
        <v>16000</v>
      </c>
      <c r="E45" s="248" t="s">
        <v>2</v>
      </c>
      <c r="F45" s="802" t="s">
        <v>12</v>
      </c>
      <c r="G45" s="802"/>
      <c r="H45" s="803"/>
      <c r="I45" s="804"/>
    </row>
    <row r="46" spans="1:9" x14ac:dyDescent="0.25">
      <c r="A46" s="805" t="s">
        <v>11</v>
      </c>
      <c r="B46" s="806"/>
      <c r="C46" s="807"/>
      <c r="D46" s="249">
        <v>15</v>
      </c>
      <c r="E46" s="250" t="s">
        <v>10</v>
      </c>
      <c r="F46" s="808" t="s">
        <v>9</v>
      </c>
      <c r="G46" s="808"/>
      <c r="H46" s="809"/>
      <c r="I46" s="810"/>
    </row>
    <row r="47" spans="1:9" x14ac:dyDescent="0.25">
      <c r="A47" s="805" t="s">
        <v>8</v>
      </c>
      <c r="B47" s="806"/>
      <c r="C47" s="807"/>
      <c r="D47" s="250">
        <v>4</v>
      </c>
      <c r="E47" s="250" t="s">
        <v>170</v>
      </c>
      <c r="F47" s="808" t="s">
        <v>7</v>
      </c>
      <c r="G47" s="808"/>
      <c r="H47" s="809"/>
      <c r="I47" s="810"/>
    </row>
    <row r="48" spans="1:9" x14ac:dyDescent="0.25">
      <c r="A48" s="805" t="s">
        <v>6</v>
      </c>
      <c r="B48" s="806"/>
      <c r="C48" s="807"/>
      <c r="D48" s="250">
        <v>4000</v>
      </c>
      <c r="E48" s="250" t="s">
        <v>2</v>
      </c>
      <c r="F48" s="811" t="s">
        <v>4</v>
      </c>
      <c r="G48" s="812"/>
      <c r="H48" s="809"/>
      <c r="I48" s="810"/>
    </row>
    <row r="49" spans="1:9" ht="15.75" thickBot="1" x14ac:dyDescent="0.3">
      <c r="A49" s="819" t="s">
        <v>3</v>
      </c>
      <c r="B49" s="820"/>
      <c r="C49" s="821"/>
      <c r="D49" s="251">
        <v>985</v>
      </c>
      <c r="E49" s="252" t="s">
        <v>2</v>
      </c>
      <c r="F49" s="822"/>
      <c r="G49" s="822"/>
      <c r="H49" s="856"/>
      <c r="I49" s="857"/>
    </row>
    <row r="50" spans="1:9" ht="15.75" thickBot="1" x14ac:dyDescent="0.3">
      <c r="A50" s="823" t="s">
        <v>1</v>
      </c>
      <c r="B50" s="824"/>
      <c r="C50" s="824"/>
      <c r="D50" s="824"/>
      <c r="E50" s="824"/>
      <c r="F50" s="824"/>
      <c r="G50" s="824"/>
      <c r="H50" s="824"/>
      <c r="I50" s="825"/>
    </row>
    <row r="51" spans="1:9" x14ac:dyDescent="0.25">
      <c r="A51" s="858" t="s">
        <v>171</v>
      </c>
      <c r="B51" s="859"/>
      <c r="C51" s="860"/>
      <c r="D51" s="860"/>
      <c r="E51" s="860"/>
      <c r="F51" s="860"/>
      <c r="G51" s="860"/>
      <c r="H51" s="860"/>
      <c r="I51" s="861"/>
    </row>
    <row r="52" spans="1:9" x14ac:dyDescent="0.25">
      <c r="A52" s="858" t="s">
        <v>172</v>
      </c>
      <c r="B52" s="859"/>
      <c r="C52" s="860"/>
      <c r="D52" s="860"/>
      <c r="E52" s="860"/>
      <c r="F52" s="860"/>
      <c r="G52" s="860"/>
      <c r="H52" s="860"/>
      <c r="I52" s="861"/>
    </row>
    <row r="53" spans="1:9" x14ac:dyDescent="0.25">
      <c r="A53" s="862">
        <f>D46/D45</f>
        <v>9.3749999999999997E-4</v>
      </c>
      <c r="B53" s="863"/>
      <c r="C53" s="863"/>
      <c r="D53" s="863"/>
      <c r="E53" s="863"/>
      <c r="F53" s="863"/>
      <c r="G53" s="863"/>
      <c r="H53" s="863"/>
      <c r="I53" s="864"/>
    </row>
    <row r="54" spans="1:9" x14ac:dyDescent="0.25">
      <c r="A54" s="865"/>
      <c r="B54" s="866"/>
      <c r="C54" s="867"/>
      <c r="D54" s="867"/>
      <c r="E54" s="867"/>
      <c r="F54" s="867"/>
      <c r="G54" s="867"/>
      <c r="H54" s="867"/>
      <c r="I54" s="868"/>
    </row>
    <row r="55" spans="1:9" x14ac:dyDescent="0.25">
      <c r="A55" s="829"/>
      <c r="B55" s="830"/>
      <c r="C55" s="830"/>
      <c r="D55" s="830"/>
      <c r="E55" s="830"/>
      <c r="F55" s="830"/>
      <c r="G55" s="830"/>
      <c r="H55" s="830"/>
      <c r="I55" s="831"/>
    </row>
    <row r="56" spans="1:9" x14ac:dyDescent="0.25">
      <c r="A56" s="829"/>
      <c r="B56" s="830"/>
      <c r="C56" s="830"/>
      <c r="D56" s="830"/>
      <c r="E56" s="830"/>
      <c r="F56" s="830"/>
      <c r="G56" s="830"/>
      <c r="H56" s="830"/>
      <c r="I56" s="831"/>
    </row>
    <row r="57" spans="1:9" x14ac:dyDescent="0.25">
      <c r="A57" s="853"/>
      <c r="B57" s="854"/>
      <c r="C57" s="854"/>
      <c r="D57" s="854"/>
      <c r="E57" s="854"/>
      <c r="F57" s="854"/>
      <c r="G57" s="854"/>
      <c r="H57" s="854"/>
      <c r="I57" s="855"/>
    </row>
    <row r="58" spans="1:9" x14ac:dyDescent="0.25">
      <c r="A58" s="853"/>
      <c r="B58" s="854"/>
      <c r="C58" s="854"/>
      <c r="D58" s="854"/>
      <c r="E58" s="854"/>
      <c r="F58" s="854"/>
      <c r="G58" s="854"/>
      <c r="H58" s="854"/>
      <c r="I58" s="855"/>
    </row>
    <row r="59" spans="1:9" ht="18" customHeight="1" thickBot="1" x14ac:dyDescent="0.3">
      <c r="A59" s="869"/>
      <c r="B59" s="870"/>
      <c r="C59" s="870"/>
      <c r="D59" s="870"/>
      <c r="E59" s="870"/>
      <c r="F59" s="870"/>
      <c r="G59" s="870"/>
      <c r="H59" s="870"/>
      <c r="I59" s="871"/>
    </row>
    <row r="60" spans="1:9" x14ac:dyDescent="0.25">
      <c r="A60" s="253"/>
      <c r="B60" s="253"/>
      <c r="C60" s="253"/>
      <c r="D60" s="253"/>
      <c r="E60" s="253"/>
      <c r="F60" s="253"/>
      <c r="G60" s="253"/>
      <c r="H60" s="253"/>
      <c r="I60" s="253"/>
    </row>
    <row r="61" spans="1:9" ht="15.75" thickBot="1" x14ac:dyDescent="0.3">
      <c r="A61" s="872"/>
      <c r="B61" s="873"/>
      <c r="C61" s="873"/>
      <c r="D61" s="873"/>
      <c r="E61" s="873"/>
      <c r="F61" s="873"/>
      <c r="G61" s="873"/>
      <c r="H61" s="873"/>
      <c r="I61" s="874"/>
    </row>
    <row r="62" spans="1:9" x14ac:dyDescent="0.25">
      <c r="A62" s="614" t="s">
        <v>0</v>
      </c>
      <c r="B62" s="615"/>
      <c r="C62" s="615"/>
      <c r="D62" s="615"/>
      <c r="E62" s="615"/>
      <c r="F62" s="615"/>
      <c r="G62" s="615"/>
      <c r="H62" s="615"/>
      <c r="I62" s="615"/>
    </row>
    <row r="63" spans="1:9" x14ac:dyDescent="0.25">
      <c r="A63" s="616"/>
      <c r="B63" s="617"/>
      <c r="C63" s="617"/>
      <c r="D63" s="617"/>
      <c r="E63" s="617"/>
      <c r="F63" s="617"/>
      <c r="G63" s="617"/>
      <c r="H63" s="617"/>
      <c r="I63" s="617"/>
    </row>
    <row r="64" spans="1:9" x14ac:dyDescent="0.25">
      <c r="A64" s="616"/>
      <c r="B64" s="617"/>
      <c r="C64" s="617"/>
      <c r="D64" s="617"/>
      <c r="E64" s="617"/>
      <c r="F64" s="617"/>
      <c r="G64" s="617"/>
      <c r="H64" s="617"/>
      <c r="I64" s="617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16C4-951A-495E-AC4F-76DAD4141B6E}">
  <dimension ref="A1:I64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775"/>
      <c r="B1" s="776"/>
      <c r="C1" s="674" t="s">
        <v>34</v>
      </c>
      <c r="D1" s="674"/>
      <c r="E1" s="674"/>
      <c r="F1" s="674"/>
      <c r="G1" s="674"/>
      <c r="H1" s="102" t="s">
        <v>33</v>
      </c>
      <c r="I1" s="254" t="s">
        <v>173</v>
      </c>
    </row>
    <row r="2" spans="1:9" ht="15.75" x14ac:dyDescent="0.25">
      <c r="A2" s="777"/>
      <c r="B2" s="778"/>
      <c r="C2" s="675" t="s">
        <v>32</v>
      </c>
      <c r="D2" s="675"/>
      <c r="E2" s="675"/>
      <c r="F2" s="675"/>
      <c r="G2" s="675"/>
      <c r="H2" s="104" t="s">
        <v>31</v>
      </c>
      <c r="I2" s="105" t="s">
        <v>105</v>
      </c>
    </row>
    <row r="3" spans="1:9" ht="15.75" thickBot="1" x14ac:dyDescent="0.3">
      <c r="A3" s="777"/>
      <c r="B3" s="778"/>
      <c r="C3" s="843" t="s">
        <v>174</v>
      </c>
      <c r="D3" s="844"/>
      <c r="E3" s="844"/>
      <c r="F3" s="844"/>
      <c r="G3" s="845"/>
      <c r="H3" s="787" t="s">
        <v>30</v>
      </c>
      <c r="I3" s="766">
        <v>45609</v>
      </c>
    </row>
    <row r="4" spans="1:9" x14ac:dyDescent="0.25">
      <c r="A4" s="777"/>
      <c r="B4" s="778"/>
      <c r="C4" s="106" t="s">
        <v>29</v>
      </c>
      <c r="D4" s="769" t="s">
        <v>89</v>
      </c>
      <c r="E4" s="770"/>
      <c r="F4" s="770"/>
      <c r="G4" s="771"/>
      <c r="H4" s="788"/>
      <c r="I4" s="767"/>
    </row>
    <row r="5" spans="1:9" ht="15.75" thickBot="1" x14ac:dyDescent="0.3">
      <c r="A5" s="779"/>
      <c r="B5" s="780"/>
      <c r="C5" s="107" t="s">
        <v>28</v>
      </c>
      <c r="D5" s="772" t="s">
        <v>37</v>
      </c>
      <c r="E5" s="773"/>
      <c r="F5" s="773"/>
      <c r="G5" s="774"/>
      <c r="H5" s="789"/>
      <c r="I5" s="768"/>
    </row>
    <row r="6" spans="1:9" ht="18.75" thickBot="1" x14ac:dyDescent="0.3">
      <c r="A6" s="790" t="s">
        <v>27</v>
      </c>
      <c r="B6" s="790"/>
      <c r="C6" s="790"/>
      <c r="D6" s="791" t="s">
        <v>163</v>
      </c>
      <c r="E6" s="791"/>
      <c r="F6" s="791"/>
      <c r="G6" s="792" t="s">
        <v>26</v>
      </c>
      <c r="H6" s="792"/>
      <c r="I6" s="108" t="s">
        <v>58</v>
      </c>
    </row>
    <row r="7" spans="1:9" x14ac:dyDescent="0.25">
      <c r="A7" s="793" t="s">
        <v>25</v>
      </c>
      <c r="B7" s="795" t="s">
        <v>24</v>
      </c>
      <c r="C7" s="797" t="s">
        <v>23</v>
      </c>
      <c r="D7" s="797" t="s">
        <v>22</v>
      </c>
      <c r="E7" s="797" t="s">
        <v>21</v>
      </c>
      <c r="F7" s="797"/>
      <c r="G7" s="797" t="s">
        <v>20</v>
      </c>
      <c r="H7" s="797"/>
      <c r="I7" s="109" t="s">
        <v>19</v>
      </c>
    </row>
    <row r="8" spans="1:9" ht="27" thickBot="1" x14ac:dyDescent="0.3">
      <c r="A8" s="794"/>
      <c r="B8" s="796"/>
      <c r="C8" s="798"/>
      <c r="D8" s="798"/>
      <c r="E8" s="110" t="s">
        <v>15</v>
      </c>
      <c r="F8" s="111" t="s">
        <v>18</v>
      </c>
      <c r="G8" s="110" t="s">
        <v>15</v>
      </c>
      <c r="H8" s="111" t="s">
        <v>18</v>
      </c>
      <c r="I8" s="112" t="s">
        <v>17</v>
      </c>
    </row>
    <row r="9" spans="1:9" x14ac:dyDescent="0.25">
      <c r="A9" s="113"/>
      <c r="B9" s="114"/>
      <c r="C9" s="115" t="s">
        <v>39</v>
      </c>
      <c r="D9" s="116"/>
      <c r="E9" s="117"/>
      <c r="F9" s="118"/>
      <c r="G9" s="117"/>
      <c r="H9" s="118"/>
      <c r="I9" s="119"/>
    </row>
    <row r="10" spans="1:9" x14ac:dyDescent="0.25">
      <c r="A10" s="255">
        <v>505605</v>
      </c>
      <c r="B10" s="256" t="s">
        <v>175</v>
      </c>
      <c r="C10" s="257" t="s">
        <v>176</v>
      </c>
      <c r="D10" s="258" t="s">
        <v>177</v>
      </c>
      <c r="E10" s="259">
        <v>204</v>
      </c>
      <c r="F10" s="260" t="s">
        <v>5</v>
      </c>
      <c r="G10" s="205"/>
      <c r="H10" s="206"/>
      <c r="I10" s="119"/>
    </row>
    <row r="11" spans="1:9" x14ac:dyDescent="0.25">
      <c r="A11" s="250" t="s">
        <v>115</v>
      </c>
      <c r="B11" s="250"/>
      <c r="C11" s="261" t="s">
        <v>116</v>
      </c>
      <c r="D11" s="258" t="s">
        <v>35</v>
      </c>
      <c r="E11" s="259">
        <v>60000</v>
      </c>
      <c r="F11" s="260" t="s">
        <v>2</v>
      </c>
      <c r="G11" s="212"/>
      <c r="H11" s="206"/>
      <c r="I11" s="119"/>
    </row>
    <row r="12" spans="1:9" x14ac:dyDescent="0.25">
      <c r="A12" s="262"/>
      <c r="B12" s="262"/>
      <c r="C12" s="263"/>
      <c r="D12" s="258"/>
      <c r="E12" s="259"/>
      <c r="F12" s="260"/>
      <c r="G12" s="212"/>
      <c r="H12" s="206"/>
      <c r="I12" s="119"/>
    </row>
    <row r="13" spans="1:9" x14ac:dyDescent="0.25">
      <c r="A13" s="250"/>
      <c r="B13" s="250"/>
      <c r="C13" s="261"/>
      <c r="D13" s="258"/>
      <c r="E13" s="264"/>
      <c r="F13" s="265"/>
      <c r="G13" s="212"/>
      <c r="H13" s="206"/>
      <c r="I13" s="119"/>
    </row>
    <row r="14" spans="1:9" x14ac:dyDescent="0.25">
      <c r="A14" s="266"/>
      <c r="B14" s="266"/>
      <c r="C14" s="267"/>
      <c r="D14" s="258"/>
      <c r="E14" s="264"/>
      <c r="F14" s="265"/>
      <c r="G14" s="212"/>
      <c r="H14" s="206"/>
      <c r="I14" s="119"/>
    </row>
    <row r="15" spans="1:9" x14ac:dyDescent="0.25">
      <c r="A15" s="250"/>
      <c r="B15" s="250"/>
      <c r="C15" s="261"/>
      <c r="D15" s="258"/>
      <c r="E15" s="259"/>
      <c r="F15" s="260"/>
      <c r="G15" s="212"/>
      <c r="H15" s="206"/>
      <c r="I15" s="119"/>
    </row>
    <row r="16" spans="1:9" x14ac:dyDescent="0.25">
      <c r="A16" s="250"/>
      <c r="B16" s="250"/>
      <c r="C16" s="261"/>
      <c r="D16" s="258"/>
      <c r="E16" s="259"/>
      <c r="F16" s="260"/>
      <c r="G16" s="212"/>
      <c r="H16" s="206"/>
      <c r="I16" s="119"/>
    </row>
    <row r="17" spans="1:9" x14ac:dyDescent="0.25">
      <c r="A17" s="250"/>
      <c r="B17" s="250"/>
      <c r="C17" s="268"/>
      <c r="D17" s="258"/>
      <c r="E17" s="264"/>
      <c r="F17" s="265"/>
      <c r="G17" s="212"/>
      <c r="H17" s="206"/>
      <c r="I17" s="119"/>
    </row>
    <row r="18" spans="1:9" x14ac:dyDescent="0.25">
      <c r="A18" s="269"/>
      <c r="B18" s="270"/>
      <c r="C18" s="271"/>
      <c r="D18" s="272"/>
      <c r="E18" s="272"/>
      <c r="F18" s="213"/>
      <c r="G18" s="212"/>
      <c r="H18" s="206"/>
      <c r="I18" s="119"/>
    </row>
    <row r="19" spans="1:9" x14ac:dyDescent="0.25">
      <c r="A19" s="269"/>
      <c r="B19" s="270"/>
      <c r="C19" s="271"/>
      <c r="D19" s="273"/>
      <c r="E19" s="272"/>
      <c r="F19" s="213"/>
      <c r="G19" s="212"/>
      <c r="H19" s="206"/>
      <c r="I19" s="119"/>
    </row>
    <row r="20" spans="1:9" x14ac:dyDescent="0.25">
      <c r="A20" s="218"/>
      <c r="B20" s="219"/>
      <c r="C20" s="221"/>
      <c r="D20" s="210"/>
      <c r="E20" s="215"/>
      <c r="F20" s="214"/>
      <c r="G20" s="212"/>
      <c r="H20" s="213"/>
      <c r="I20" s="119"/>
    </row>
    <row r="21" spans="1:9" x14ac:dyDescent="0.25">
      <c r="A21" s="218"/>
      <c r="B21" s="219"/>
      <c r="C21" s="220"/>
      <c r="D21" s="210"/>
      <c r="E21" s="222"/>
      <c r="F21" s="222"/>
      <c r="G21" s="212"/>
      <c r="H21" s="213"/>
      <c r="I21" s="119"/>
    </row>
    <row r="22" spans="1:9" x14ac:dyDescent="0.25">
      <c r="A22" s="223"/>
      <c r="B22" s="224"/>
      <c r="C22" s="225"/>
      <c r="D22" s="226"/>
      <c r="E22" s="227"/>
      <c r="F22" s="227"/>
      <c r="G22" s="228"/>
      <c r="H22" s="213"/>
      <c r="I22" s="119"/>
    </row>
    <row r="23" spans="1:9" x14ac:dyDescent="0.25">
      <c r="A23" s="223"/>
      <c r="B23" s="224"/>
      <c r="C23" s="225"/>
      <c r="D23" s="226"/>
      <c r="E23" s="227"/>
      <c r="F23" s="227"/>
      <c r="G23" s="228"/>
      <c r="H23" s="213"/>
      <c r="I23" s="119"/>
    </row>
    <row r="24" spans="1:9" x14ac:dyDescent="0.25">
      <c r="A24" s="223"/>
      <c r="B24" s="224"/>
      <c r="C24" s="225"/>
      <c r="D24" s="226"/>
      <c r="E24" s="227"/>
      <c r="F24" s="227"/>
      <c r="G24" s="228"/>
      <c r="H24" s="213"/>
      <c r="I24" s="119"/>
    </row>
    <row r="25" spans="1:9" ht="15.75" x14ac:dyDescent="0.25">
      <c r="A25" s="229"/>
      <c r="B25" s="229"/>
      <c r="D25" s="162"/>
      <c r="E25" s="99"/>
      <c r="F25" s="99"/>
      <c r="G25" s="117"/>
      <c r="H25" s="213"/>
      <c r="I25" s="119"/>
    </row>
    <row r="26" spans="1:9" x14ac:dyDescent="0.25">
      <c r="A26" s="3"/>
      <c r="B26" s="3"/>
      <c r="C26" s="230"/>
      <c r="D26" s="162"/>
      <c r="E26" s="162"/>
      <c r="F26" s="135"/>
      <c r="G26" s="117"/>
      <c r="H26" s="213"/>
      <c r="I26" s="119"/>
    </row>
    <row r="27" spans="1:9" ht="15.75" x14ac:dyDescent="0.25">
      <c r="A27" s="129"/>
      <c r="B27" s="130"/>
      <c r="C27" s="58" t="s">
        <v>16</v>
      </c>
      <c r="D27" s="133" t="s">
        <v>49</v>
      </c>
      <c r="E27" s="134"/>
      <c r="F27" s="135"/>
      <c r="G27" s="117"/>
      <c r="H27" s="213"/>
      <c r="I27" s="119"/>
    </row>
    <row r="28" spans="1:9" x14ac:dyDescent="0.25">
      <c r="A28" s="231"/>
      <c r="B28" s="232"/>
      <c r="C28" s="233"/>
      <c r="D28" s="234" t="s">
        <v>49</v>
      </c>
      <c r="E28" s="162"/>
      <c r="F28" s="135"/>
      <c r="G28" s="117"/>
      <c r="H28" s="213"/>
      <c r="I28" s="119"/>
    </row>
    <row r="29" spans="1:9" x14ac:dyDescent="0.25">
      <c r="A29" s="3"/>
      <c r="B29" s="3"/>
      <c r="C29" s="230"/>
      <c r="D29" s="234" t="s">
        <v>49</v>
      </c>
      <c r="E29" s="162"/>
      <c r="F29" s="135"/>
      <c r="G29" s="117"/>
      <c r="H29" s="213"/>
      <c r="I29" s="119"/>
    </row>
    <row r="30" spans="1:9" x14ac:dyDescent="0.25">
      <c r="A30" s="235"/>
      <c r="B30" s="235"/>
      <c r="C30" s="233"/>
      <c r="D30" s="234" t="s">
        <v>49</v>
      </c>
      <c r="E30" s="162"/>
      <c r="F30" s="135"/>
      <c r="G30" s="117"/>
      <c r="H30" s="213"/>
      <c r="I30" s="119"/>
    </row>
    <row r="31" spans="1:9" x14ac:dyDescent="0.25">
      <c r="A31" s="3"/>
      <c r="B31" s="3"/>
      <c r="C31" s="230"/>
      <c r="D31" s="162" t="s">
        <v>49</v>
      </c>
      <c r="E31" s="133"/>
      <c r="F31" s="135"/>
      <c r="G31" s="117"/>
      <c r="H31" s="213"/>
      <c r="I31" s="119"/>
    </row>
    <row r="32" spans="1:9" x14ac:dyDescent="0.25">
      <c r="A32" s="3"/>
      <c r="B32" s="3"/>
      <c r="C32" s="230"/>
      <c r="D32" s="198" t="s">
        <v>49</v>
      </c>
      <c r="E32" s="236"/>
      <c r="F32" s="237"/>
      <c r="G32" s="117"/>
      <c r="H32" s="213"/>
      <c r="I32" s="119"/>
    </row>
    <row r="33" spans="1:9" ht="15.75" x14ac:dyDescent="0.25">
      <c r="A33" s="145"/>
      <c r="B33" s="146"/>
      <c r="C33" s="70" t="s">
        <v>58</v>
      </c>
      <c r="D33" s="147" t="s">
        <v>49</v>
      </c>
      <c r="E33" s="117"/>
      <c r="F33" s="118"/>
      <c r="G33" s="117"/>
      <c r="H33" s="213"/>
      <c r="I33" s="119"/>
    </row>
    <row r="34" spans="1:9" ht="15.75" x14ac:dyDescent="0.25">
      <c r="A34" s="274">
        <v>702069</v>
      </c>
      <c r="B34" s="275" t="s">
        <v>178</v>
      </c>
      <c r="C34" s="276" t="s">
        <v>179</v>
      </c>
      <c r="D34" s="277"/>
      <c r="E34" s="99">
        <v>208</v>
      </c>
      <c r="F34" s="99" t="s">
        <v>5</v>
      </c>
      <c r="G34" s="212"/>
      <c r="H34" s="213"/>
      <c r="I34" s="119"/>
    </row>
    <row r="35" spans="1:9" x14ac:dyDescent="0.25">
      <c r="A35" s="278"/>
      <c r="B35" s="279"/>
      <c r="C35" s="280"/>
      <c r="D35" s="281"/>
      <c r="E35" s="282"/>
      <c r="F35" s="283"/>
      <c r="G35" s="241"/>
      <c r="H35" s="213"/>
      <c r="I35" s="119"/>
    </row>
    <row r="36" spans="1:9" x14ac:dyDescent="0.25">
      <c r="A36" s="207"/>
      <c r="B36" s="242"/>
      <c r="C36" s="209"/>
      <c r="D36" s="210"/>
      <c r="E36" s="153"/>
      <c r="F36" s="154"/>
      <c r="G36" s="117"/>
      <c r="H36" s="213"/>
      <c r="I36" s="119"/>
    </row>
    <row r="37" spans="1:9" x14ac:dyDescent="0.25">
      <c r="A37" s="243"/>
      <c r="B37" s="243"/>
      <c r="C37" s="230"/>
      <c r="D37" s="133"/>
      <c r="E37" s="162"/>
      <c r="F37" s="135"/>
      <c r="G37" s="117"/>
      <c r="H37" s="118"/>
      <c r="I37" s="119"/>
    </row>
    <row r="38" spans="1:9" x14ac:dyDescent="0.25">
      <c r="A38" s="244"/>
      <c r="B38" s="245"/>
      <c r="C38" s="246"/>
      <c r="D38" s="133"/>
      <c r="E38" s="162"/>
      <c r="F38" s="135"/>
      <c r="G38" s="117"/>
      <c r="H38" s="118"/>
      <c r="I38" s="119"/>
    </row>
    <row r="39" spans="1:9" ht="15.75" x14ac:dyDescent="0.25">
      <c r="A39" s="244"/>
      <c r="B39" s="245"/>
      <c r="C39" s="246"/>
      <c r="D39" s="59"/>
      <c r="E39" s="162"/>
      <c r="F39" s="135"/>
      <c r="G39" s="161"/>
      <c r="H39" s="133"/>
      <c r="I39" s="119"/>
    </row>
    <row r="40" spans="1:9" ht="15.75" x14ac:dyDescent="0.25">
      <c r="A40" s="129"/>
      <c r="B40" s="130"/>
      <c r="C40" s="199"/>
      <c r="D40" s="59"/>
      <c r="E40" s="162"/>
      <c r="F40" s="135"/>
      <c r="G40" s="162"/>
      <c r="H40" s="133"/>
      <c r="I40" s="119"/>
    </row>
    <row r="41" spans="1:9" ht="15.75" x14ac:dyDescent="0.25">
      <c r="A41" s="129"/>
      <c r="B41" s="130"/>
      <c r="C41" s="199"/>
      <c r="D41" s="59"/>
      <c r="E41" s="162"/>
      <c r="F41" s="135"/>
      <c r="G41" s="54"/>
      <c r="H41" s="135"/>
      <c r="I41" s="119"/>
    </row>
    <row r="42" spans="1:9" ht="15.75" x14ac:dyDescent="0.25">
      <c r="A42" s="129"/>
      <c r="B42" s="130"/>
      <c r="C42" s="199"/>
      <c r="D42" s="133"/>
      <c r="E42" s="133"/>
      <c r="F42" s="135"/>
      <c r="G42" s="59"/>
      <c r="H42" s="59"/>
      <c r="I42" s="119"/>
    </row>
    <row r="43" spans="1:9" ht="15.75" thickBot="1" x14ac:dyDescent="0.3">
      <c r="A43" s="165"/>
      <c r="B43" s="166"/>
      <c r="C43" s="167"/>
      <c r="D43" s="167"/>
      <c r="E43" s="168"/>
      <c r="F43" s="169"/>
      <c r="G43" s="167"/>
      <c r="H43" s="167"/>
      <c r="I43" s="170"/>
    </row>
    <row r="44" spans="1:9" ht="15.75" thickBot="1" x14ac:dyDescent="0.3">
      <c r="A44" s="171"/>
      <c r="B44" s="172"/>
      <c r="C44" s="173"/>
      <c r="D44" s="174" t="s">
        <v>15</v>
      </c>
      <c r="E44" s="175" t="s">
        <v>14</v>
      </c>
      <c r="F44" s="176"/>
      <c r="G44" s="173"/>
      <c r="H44" s="173"/>
      <c r="I44" s="177"/>
    </row>
    <row r="45" spans="1:9" x14ac:dyDescent="0.25">
      <c r="A45" s="799" t="s">
        <v>13</v>
      </c>
      <c r="B45" s="800"/>
      <c r="C45" s="801"/>
      <c r="D45" s="247">
        <v>80580</v>
      </c>
      <c r="E45" s="248" t="s">
        <v>5</v>
      </c>
      <c r="F45" s="802" t="s">
        <v>12</v>
      </c>
      <c r="G45" s="802"/>
      <c r="H45" s="803"/>
      <c r="I45" s="804"/>
    </row>
    <row r="46" spans="1:9" x14ac:dyDescent="0.25">
      <c r="A46" s="805" t="s">
        <v>11</v>
      </c>
      <c r="B46" s="806"/>
      <c r="C46" s="807"/>
      <c r="D46" s="249">
        <v>75</v>
      </c>
      <c r="E46" s="250" t="s">
        <v>10</v>
      </c>
      <c r="F46" s="808" t="s">
        <v>9</v>
      </c>
      <c r="G46" s="808"/>
      <c r="H46" s="809"/>
      <c r="I46" s="810"/>
    </row>
    <row r="47" spans="1:9" x14ac:dyDescent="0.25">
      <c r="A47" s="805" t="s">
        <v>8</v>
      </c>
      <c r="B47" s="806"/>
      <c r="C47" s="807"/>
      <c r="D47" s="250">
        <v>4.25</v>
      </c>
      <c r="E47" s="250" t="s">
        <v>180</v>
      </c>
      <c r="F47" s="808" t="s">
        <v>7</v>
      </c>
      <c r="G47" s="808"/>
      <c r="H47" s="809"/>
      <c r="I47" s="810"/>
    </row>
    <row r="48" spans="1:9" x14ac:dyDescent="0.25">
      <c r="A48" s="805" t="s">
        <v>6</v>
      </c>
      <c r="B48" s="806"/>
      <c r="C48" s="807"/>
      <c r="D48" s="250">
        <v>18960</v>
      </c>
      <c r="E48" s="250" t="s">
        <v>2</v>
      </c>
      <c r="F48" s="811" t="s">
        <v>4</v>
      </c>
      <c r="G48" s="812"/>
      <c r="H48" s="809"/>
      <c r="I48" s="810"/>
    </row>
    <row r="49" spans="1:9" ht="15.75" thickBot="1" x14ac:dyDescent="0.3">
      <c r="A49" s="819" t="s">
        <v>3</v>
      </c>
      <c r="B49" s="820"/>
      <c r="C49" s="821"/>
      <c r="D49" s="251">
        <v>60000</v>
      </c>
      <c r="E49" s="252" t="s">
        <v>2</v>
      </c>
      <c r="F49" s="822"/>
      <c r="G49" s="822"/>
      <c r="H49" s="856"/>
      <c r="I49" s="857"/>
    </row>
    <row r="50" spans="1:9" ht="15.75" thickBot="1" x14ac:dyDescent="0.3">
      <c r="A50" s="823" t="s">
        <v>1</v>
      </c>
      <c r="B50" s="824"/>
      <c r="C50" s="824"/>
      <c r="D50" s="824"/>
      <c r="E50" s="824"/>
      <c r="F50" s="824"/>
      <c r="G50" s="824"/>
      <c r="H50" s="824"/>
      <c r="I50" s="825"/>
    </row>
    <row r="51" spans="1:9" x14ac:dyDescent="0.25">
      <c r="A51" s="829" t="s">
        <v>181</v>
      </c>
      <c r="B51" s="830"/>
      <c r="C51" s="830"/>
      <c r="D51" s="830"/>
      <c r="E51" s="830"/>
      <c r="F51" s="830"/>
      <c r="G51" s="830"/>
      <c r="H51" s="830"/>
      <c r="I51" s="831"/>
    </row>
    <row r="52" spans="1:9" x14ac:dyDescent="0.25">
      <c r="A52" s="829" t="s">
        <v>182</v>
      </c>
      <c r="B52" s="830"/>
      <c r="C52" s="830"/>
      <c r="D52" s="830"/>
      <c r="E52" s="830"/>
      <c r="F52" s="830"/>
      <c r="G52" s="830"/>
      <c r="H52" s="830"/>
      <c r="I52" s="831"/>
    </row>
    <row r="53" spans="1:9" x14ac:dyDescent="0.25">
      <c r="A53" s="829" t="s">
        <v>183</v>
      </c>
      <c r="B53" s="830"/>
      <c r="C53" s="830"/>
      <c r="D53" s="830"/>
      <c r="E53" s="830"/>
      <c r="F53" s="830"/>
      <c r="G53" s="830"/>
      <c r="H53" s="830"/>
      <c r="I53" s="831"/>
    </row>
    <row r="54" spans="1:9" x14ac:dyDescent="0.25">
      <c r="A54" s="829" t="s">
        <v>184</v>
      </c>
      <c r="B54" s="830"/>
      <c r="C54" s="830"/>
      <c r="D54" s="830"/>
      <c r="E54" s="830"/>
      <c r="F54" s="830"/>
      <c r="G54" s="830"/>
      <c r="H54" s="830"/>
      <c r="I54" s="831"/>
    </row>
    <row r="55" spans="1:9" x14ac:dyDescent="0.25">
      <c r="A55" s="829" t="s">
        <v>185</v>
      </c>
      <c r="B55" s="830"/>
      <c r="C55" s="830"/>
      <c r="D55" s="830"/>
      <c r="E55" s="830"/>
      <c r="F55" s="830"/>
      <c r="G55" s="830"/>
      <c r="H55" s="830"/>
      <c r="I55" s="831"/>
    </row>
    <row r="56" spans="1:9" x14ac:dyDescent="0.25">
      <c r="A56" s="829" t="s">
        <v>186</v>
      </c>
      <c r="B56" s="830"/>
      <c r="C56" s="830"/>
      <c r="D56" s="830"/>
      <c r="E56" s="830"/>
      <c r="F56" s="830"/>
      <c r="G56" s="830"/>
      <c r="H56" s="830"/>
      <c r="I56" s="831"/>
    </row>
    <row r="57" spans="1:9" x14ac:dyDescent="0.25">
      <c r="A57" s="853"/>
      <c r="B57" s="854"/>
      <c r="C57" s="854"/>
      <c r="D57" s="854"/>
      <c r="E57" s="854"/>
      <c r="F57" s="854"/>
      <c r="G57" s="854"/>
      <c r="H57" s="854"/>
      <c r="I57" s="855"/>
    </row>
    <row r="58" spans="1:9" x14ac:dyDescent="0.25">
      <c r="A58" s="853"/>
      <c r="B58" s="854"/>
      <c r="C58" s="854"/>
      <c r="D58" s="854"/>
      <c r="E58" s="854"/>
      <c r="F58" s="854"/>
      <c r="G58" s="854"/>
      <c r="H58" s="854"/>
      <c r="I58" s="855"/>
    </row>
    <row r="59" spans="1:9" ht="15.75" thickBot="1" x14ac:dyDescent="0.3">
      <c r="A59" s="869"/>
      <c r="B59" s="870"/>
      <c r="C59" s="870"/>
      <c r="D59" s="870"/>
      <c r="E59" s="870"/>
      <c r="F59" s="870"/>
      <c r="G59" s="870"/>
      <c r="H59" s="870"/>
      <c r="I59" s="871"/>
    </row>
    <row r="60" spans="1:9" x14ac:dyDescent="0.25">
      <c r="A60" s="253"/>
      <c r="B60" s="253"/>
      <c r="C60" s="253"/>
      <c r="D60" s="253"/>
      <c r="E60" s="253"/>
      <c r="F60" s="253"/>
      <c r="G60" s="253"/>
      <c r="H60" s="253"/>
      <c r="I60" s="253"/>
    </row>
    <row r="61" spans="1:9" ht="15.75" thickBot="1" x14ac:dyDescent="0.3">
      <c r="A61" s="872"/>
      <c r="B61" s="873"/>
      <c r="C61" s="873"/>
      <c r="D61" s="873"/>
      <c r="E61" s="873"/>
      <c r="F61" s="873"/>
      <c r="G61" s="873"/>
      <c r="H61" s="873"/>
      <c r="I61" s="874"/>
    </row>
    <row r="62" spans="1:9" x14ac:dyDescent="0.25">
      <c r="A62" s="614" t="s">
        <v>0</v>
      </c>
      <c r="B62" s="615"/>
      <c r="C62" s="615"/>
      <c r="D62" s="615"/>
      <c r="E62" s="615"/>
      <c r="F62" s="615"/>
      <c r="G62" s="615"/>
      <c r="H62" s="615"/>
      <c r="I62" s="615"/>
    </row>
    <row r="63" spans="1:9" x14ac:dyDescent="0.25">
      <c r="A63" s="616"/>
      <c r="B63" s="617"/>
      <c r="C63" s="617"/>
      <c r="D63" s="617"/>
      <c r="E63" s="617"/>
      <c r="F63" s="617"/>
      <c r="G63" s="617"/>
      <c r="H63" s="617"/>
      <c r="I63" s="617"/>
    </row>
    <row r="64" spans="1:9" x14ac:dyDescent="0.25">
      <c r="A64" s="616"/>
      <c r="B64" s="617"/>
      <c r="C64" s="617"/>
      <c r="D64" s="617"/>
      <c r="E64" s="617"/>
      <c r="F64" s="617"/>
      <c r="G64" s="617"/>
      <c r="H64" s="617"/>
      <c r="I64" s="617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34CE-5376-4FEB-B2E1-DDF1DB68027D}">
  <dimension ref="A1:I55"/>
  <sheetViews>
    <sheetView topLeftCell="A3" zoomScale="85" zoomScaleNormal="85" workbookViewId="0">
      <selection activeCell="D10" sqref="D10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49" customWidth="1"/>
    <col min="4" max="4" width="34.42578125" bestFit="1" customWidth="1"/>
    <col min="8" max="8" width="27" customWidth="1"/>
    <col min="9" max="9" width="21.140625" bestFit="1" customWidth="1"/>
  </cols>
  <sheetData>
    <row r="1" spans="1:9" ht="18" x14ac:dyDescent="0.25">
      <c r="A1" s="884"/>
      <c r="B1" s="885"/>
      <c r="C1" s="890" t="s">
        <v>34</v>
      </c>
      <c r="D1" s="890"/>
      <c r="E1" s="890"/>
      <c r="F1" s="890"/>
      <c r="G1" s="890"/>
      <c r="H1" s="284" t="s">
        <v>33</v>
      </c>
      <c r="I1" s="285" t="s">
        <v>187</v>
      </c>
    </row>
    <row r="2" spans="1:9" ht="18" customHeight="1" thickBot="1" x14ac:dyDescent="0.3">
      <c r="A2" s="886"/>
      <c r="B2" s="887"/>
      <c r="C2" s="891" t="s">
        <v>32</v>
      </c>
      <c r="D2" s="892"/>
      <c r="E2" s="892"/>
      <c r="F2" s="892"/>
      <c r="G2" s="893"/>
      <c r="H2" s="286" t="s">
        <v>31</v>
      </c>
      <c r="I2" s="287" t="s">
        <v>87</v>
      </c>
    </row>
    <row r="3" spans="1:9" ht="31.5" customHeight="1" thickBot="1" x14ac:dyDescent="0.3">
      <c r="A3" s="886"/>
      <c r="B3" s="887"/>
      <c r="C3" s="784" t="s">
        <v>188</v>
      </c>
      <c r="D3" s="785"/>
      <c r="E3" s="785"/>
      <c r="F3" s="785"/>
      <c r="G3" s="786"/>
      <c r="H3" s="894" t="s">
        <v>30</v>
      </c>
      <c r="I3" s="875">
        <v>45612</v>
      </c>
    </row>
    <row r="4" spans="1:9" ht="18" customHeight="1" x14ac:dyDescent="0.25">
      <c r="A4" s="886"/>
      <c r="B4" s="887"/>
      <c r="C4" s="288" t="s">
        <v>29</v>
      </c>
      <c r="D4" s="878" t="s">
        <v>89</v>
      </c>
      <c r="E4" s="879"/>
      <c r="F4" s="879"/>
      <c r="G4" s="880"/>
      <c r="H4" s="895"/>
      <c r="I4" s="876"/>
    </row>
    <row r="5" spans="1:9" ht="18.75" thickBot="1" x14ac:dyDescent="0.3">
      <c r="A5" s="888"/>
      <c r="B5" s="889"/>
      <c r="C5" s="289" t="s">
        <v>28</v>
      </c>
      <c r="D5" s="881" t="s">
        <v>37</v>
      </c>
      <c r="E5" s="882"/>
      <c r="F5" s="882"/>
      <c r="G5" s="883"/>
      <c r="H5" s="896"/>
      <c r="I5" s="877"/>
    </row>
    <row r="6" spans="1:9" ht="18.75" thickBot="1" x14ac:dyDescent="0.3">
      <c r="A6" s="790" t="s">
        <v>27</v>
      </c>
      <c r="B6" s="790"/>
      <c r="C6" s="790"/>
      <c r="D6" s="897" t="s">
        <v>16</v>
      </c>
      <c r="E6" s="897"/>
      <c r="F6" s="897"/>
      <c r="G6" s="792" t="s">
        <v>26</v>
      </c>
      <c r="H6" s="792"/>
      <c r="I6" s="290" t="s">
        <v>16</v>
      </c>
    </row>
    <row r="7" spans="1:9" ht="36" x14ac:dyDescent="0.25">
      <c r="A7" s="898" t="s">
        <v>25</v>
      </c>
      <c r="B7" s="900" t="s">
        <v>24</v>
      </c>
      <c r="C7" s="902" t="s">
        <v>23</v>
      </c>
      <c r="D7" s="902" t="s">
        <v>22</v>
      </c>
      <c r="E7" s="902" t="s">
        <v>21</v>
      </c>
      <c r="F7" s="902"/>
      <c r="G7" s="902" t="s">
        <v>20</v>
      </c>
      <c r="H7" s="902"/>
      <c r="I7" s="291" t="s">
        <v>19</v>
      </c>
    </row>
    <row r="8" spans="1:9" ht="54.75" thickBot="1" x14ac:dyDescent="0.3">
      <c r="A8" s="899"/>
      <c r="B8" s="901"/>
      <c r="C8" s="903"/>
      <c r="D8" s="903"/>
      <c r="E8" s="292" t="s">
        <v>15</v>
      </c>
      <c r="F8" s="293" t="s">
        <v>18</v>
      </c>
      <c r="G8" s="292" t="s">
        <v>15</v>
      </c>
      <c r="H8" s="293" t="s">
        <v>18</v>
      </c>
      <c r="I8" s="294" t="s">
        <v>17</v>
      </c>
    </row>
    <row r="9" spans="1:9" ht="18.75" x14ac:dyDescent="0.3">
      <c r="A9" s="295"/>
      <c r="B9" s="296"/>
      <c r="C9" s="297" t="s">
        <v>39</v>
      </c>
      <c r="D9" s="298"/>
      <c r="E9" s="299"/>
      <c r="F9" s="300"/>
      <c r="G9" s="299"/>
      <c r="H9" s="300"/>
      <c r="I9" s="301"/>
    </row>
    <row r="10" spans="1:9" ht="18" customHeight="1" x14ac:dyDescent="0.3">
      <c r="A10" s="302">
        <v>95717</v>
      </c>
      <c r="B10" s="302" t="s">
        <v>189</v>
      </c>
      <c r="C10" s="303" t="s">
        <v>190</v>
      </c>
      <c r="D10" s="304" t="s">
        <v>35</v>
      </c>
      <c r="E10" s="305">
        <v>1000</v>
      </c>
      <c r="F10" s="306" t="s">
        <v>2</v>
      </c>
      <c r="G10" s="307"/>
      <c r="H10" s="308"/>
      <c r="I10" s="301"/>
    </row>
    <row r="11" spans="1:9" ht="18.75" x14ac:dyDescent="0.3">
      <c r="A11" s="309">
        <v>10400002</v>
      </c>
      <c r="B11" s="309" t="s">
        <v>191</v>
      </c>
      <c r="C11" s="310" t="s">
        <v>192</v>
      </c>
      <c r="D11" s="304" t="s">
        <v>193</v>
      </c>
      <c r="E11" s="305">
        <v>4</v>
      </c>
      <c r="F11" s="306" t="s">
        <v>2</v>
      </c>
      <c r="G11" s="311"/>
      <c r="H11" s="308"/>
      <c r="I11" s="301"/>
    </row>
    <row r="12" spans="1:9" ht="18.75" x14ac:dyDescent="0.3">
      <c r="A12" s="312" t="s">
        <v>194</v>
      </c>
      <c r="B12" s="312" t="s">
        <v>195</v>
      </c>
      <c r="C12" s="313" t="s">
        <v>196</v>
      </c>
      <c r="D12" s="314" t="s">
        <v>197</v>
      </c>
      <c r="E12" s="315">
        <v>10</v>
      </c>
      <c r="F12" s="316" t="s">
        <v>2</v>
      </c>
      <c r="G12" s="317"/>
      <c r="H12" s="308"/>
      <c r="I12" s="301"/>
    </row>
    <row r="13" spans="1:9" ht="18.75" x14ac:dyDescent="0.3">
      <c r="A13" s="317"/>
      <c r="B13" s="309"/>
      <c r="C13" s="310"/>
      <c r="D13" s="318"/>
      <c r="E13" s="319"/>
      <c r="F13" s="320"/>
      <c r="G13" s="321"/>
      <c r="H13" s="308"/>
      <c r="I13" s="301"/>
    </row>
    <row r="14" spans="1:9" ht="18.75" x14ac:dyDescent="0.3">
      <c r="A14" s="309"/>
      <c r="B14" s="309"/>
      <c r="C14" s="310"/>
      <c r="D14" s="322"/>
      <c r="E14" s="323"/>
      <c r="F14" s="324"/>
      <c r="G14" s="321"/>
      <c r="H14" s="308"/>
      <c r="I14" s="301"/>
    </row>
    <row r="15" spans="1:9" ht="18.75" x14ac:dyDescent="0.3">
      <c r="A15" s="309"/>
      <c r="B15" s="309"/>
      <c r="C15" s="310"/>
      <c r="D15" s="322"/>
      <c r="E15" s="323"/>
      <c r="F15" s="324"/>
      <c r="G15" s="321"/>
      <c r="H15" s="308"/>
      <c r="I15" s="301"/>
    </row>
    <row r="16" spans="1:9" ht="18.75" x14ac:dyDescent="0.3">
      <c r="A16" s="309"/>
      <c r="B16" s="309"/>
      <c r="C16" s="310"/>
      <c r="D16" s="322"/>
      <c r="E16" s="323"/>
      <c r="F16" s="324"/>
      <c r="G16" s="299"/>
      <c r="H16" s="308"/>
      <c r="I16" s="301"/>
    </row>
    <row r="17" spans="1:9" ht="18.75" x14ac:dyDescent="0.3">
      <c r="A17" s="325"/>
      <c r="B17" s="326"/>
      <c r="C17" s="327" t="s">
        <v>16</v>
      </c>
      <c r="D17" s="328"/>
      <c r="E17" s="311"/>
      <c r="F17" s="329"/>
      <c r="G17" s="299"/>
      <c r="H17" s="300"/>
      <c r="I17" s="301"/>
    </row>
    <row r="18" spans="1:9" ht="18.75" x14ac:dyDescent="0.3">
      <c r="A18" s="309"/>
      <c r="B18" s="309"/>
      <c r="C18" s="310"/>
      <c r="D18" s="304"/>
      <c r="E18" s="305"/>
      <c r="F18" s="306"/>
      <c r="G18" s="299"/>
      <c r="H18" s="300"/>
      <c r="I18" s="301"/>
    </row>
    <row r="19" spans="1:9" ht="18.75" x14ac:dyDescent="0.3">
      <c r="A19" s="309"/>
      <c r="B19" s="309"/>
      <c r="C19" s="310"/>
      <c r="D19" s="304"/>
      <c r="E19" s="305"/>
      <c r="F19" s="306"/>
      <c r="G19" s="299"/>
      <c r="H19" s="300"/>
      <c r="I19" s="301"/>
    </row>
    <row r="20" spans="1:9" ht="18.75" x14ac:dyDescent="0.3">
      <c r="A20" s="309"/>
      <c r="B20" s="309"/>
      <c r="C20" s="310"/>
      <c r="D20" s="304"/>
      <c r="E20" s="305"/>
      <c r="F20" s="306"/>
      <c r="G20" s="299"/>
      <c r="H20" s="300"/>
      <c r="I20" s="301"/>
    </row>
    <row r="21" spans="1:9" ht="18.75" x14ac:dyDescent="0.3">
      <c r="A21" s="312"/>
      <c r="B21" s="312"/>
      <c r="C21" s="313"/>
      <c r="D21" s="314"/>
      <c r="E21" s="315"/>
      <c r="F21" s="316"/>
      <c r="G21" s="299"/>
      <c r="H21" s="300"/>
      <c r="I21" s="301"/>
    </row>
    <row r="22" spans="1:9" ht="18.75" x14ac:dyDescent="0.3">
      <c r="A22" s="317"/>
      <c r="B22" s="309"/>
      <c r="C22" s="310"/>
      <c r="D22" s="318"/>
      <c r="E22" s="319"/>
      <c r="F22" s="330"/>
      <c r="G22" s="299"/>
      <c r="H22" s="300"/>
      <c r="I22" s="301"/>
    </row>
    <row r="23" spans="1:9" ht="18.75" x14ac:dyDescent="0.3">
      <c r="A23" s="331"/>
      <c r="B23" s="331"/>
      <c r="C23" s="332"/>
      <c r="D23" s="333"/>
      <c r="E23" s="334"/>
      <c r="F23" s="335"/>
      <c r="G23" s="299"/>
      <c r="H23" s="300"/>
      <c r="I23" s="301"/>
    </row>
    <row r="24" spans="1:9" ht="18.75" x14ac:dyDescent="0.3">
      <c r="A24" s="309"/>
      <c r="B24" s="309"/>
      <c r="C24" s="310"/>
      <c r="D24" s="336"/>
      <c r="E24" s="337"/>
      <c r="F24" s="335"/>
      <c r="G24" s="299"/>
      <c r="H24" s="300"/>
      <c r="I24" s="301"/>
    </row>
    <row r="25" spans="1:9" ht="18.75" x14ac:dyDescent="0.3">
      <c r="A25" s="309"/>
      <c r="B25" s="309"/>
      <c r="C25" s="310"/>
      <c r="D25" s="336"/>
      <c r="E25" s="338"/>
      <c r="F25" s="306"/>
      <c r="G25" s="299"/>
      <c r="H25" s="300"/>
      <c r="I25" s="301"/>
    </row>
    <row r="26" spans="1:9" ht="18.75" x14ac:dyDescent="0.3">
      <c r="A26" s="339"/>
      <c r="B26" s="340"/>
      <c r="C26" s="341" t="s">
        <v>58</v>
      </c>
      <c r="D26" s="342"/>
      <c r="E26" s="343"/>
      <c r="F26" s="300"/>
      <c r="G26" s="299"/>
      <c r="H26" s="332"/>
      <c r="I26" s="301"/>
    </row>
    <row r="27" spans="1:9" ht="18.75" x14ac:dyDescent="0.3">
      <c r="A27" s="309" t="s">
        <v>198</v>
      </c>
      <c r="B27" s="309" t="s">
        <v>68</v>
      </c>
      <c r="C27" s="310" t="s">
        <v>69</v>
      </c>
      <c r="D27" s="344" t="s">
        <v>96</v>
      </c>
      <c r="E27" s="323">
        <v>1</v>
      </c>
      <c r="F27" s="324" t="s">
        <v>5</v>
      </c>
      <c r="G27" s="345"/>
      <c r="H27" s="300"/>
      <c r="I27" s="301"/>
    </row>
    <row r="28" spans="1:9" ht="18.75" x14ac:dyDescent="0.3">
      <c r="A28" s="346"/>
      <c r="B28" s="346"/>
      <c r="C28" s="347"/>
      <c r="D28" s="344"/>
      <c r="E28" s="323"/>
      <c r="F28" s="324"/>
      <c r="G28" s="345"/>
      <c r="H28" s="300"/>
      <c r="I28" s="301"/>
    </row>
    <row r="29" spans="1:9" ht="18.75" x14ac:dyDescent="0.3">
      <c r="A29" s="346"/>
      <c r="B29" s="346"/>
      <c r="C29" s="347"/>
      <c r="D29" s="314"/>
      <c r="E29" s="315"/>
      <c r="F29" s="315"/>
      <c r="G29" s="345"/>
      <c r="H29" s="300"/>
      <c r="I29" s="301"/>
    </row>
    <row r="30" spans="1:9" ht="18.75" x14ac:dyDescent="0.3">
      <c r="A30" s="346"/>
      <c r="B30" s="346"/>
      <c r="C30" s="347"/>
      <c r="D30" s="314"/>
      <c r="E30" s="315"/>
      <c r="F30" s="315"/>
      <c r="G30" s="299"/>
      <c r="H30" s="300"/>
      <c r="I30" s="301"/>
    </row>
    <row r="31" spans="1:9" ht="18.75" x14ac:dyDescent="0.3">
      <c r="A31" s="346"/>
      <c r="B31" s="346"/>
      <c r="C31" s="347"/>
      <c r="D31" s="314"/>
      <c r="E31" s="315"/>
      <c r="F31" s="315"/>
      <c r="G31" s="299"/>
      <c r="H31" s="300"/>
      <c r="I31" s="301"/>
    </row>
    <row r="32" spans="1:9" ht="18.75" x14ac:dyDescent="0.3">
      <c r="A32" s="348"/>
      <c r="B32" s="331"/>
      <c r="C32" s="332"/>
      <c r="D32" s="314"/>
      <c r="E32" s="315"/>
      <c r="F32" s="315"/>
      <c r="G32" s="349"/>
      <c r="H32" s="300"/>
      <c r="I32" s="301"/>
    </row>
    <row r="33" spans="1:9" ht="18.75" x14ac:dyDescent="0.3">
      <c r="A33" s="350"/>
      <c r="B33" s="351"/>
      <c r="C33" s="352"/>
      <c r="D33" s="353"/>
      <c r="E33" s="315"/>
      <c r="F33" s="316"/>
      <c r="G33" s="354"/>
      <c r="H33" s="300"/>
      <c r="I33" s="301"/>
    </row>
    <row r="34" spans="1:9" ht="18.75" x14ac:dyDescent="0.3">
      <c r="A34" s="325"/>
      <c r="B34" s="326"/>
      <c r="C34" s="355"/>
      <c r="D34" s="346"/>
      <c r="E34" s="354"/>
      <c r="F34" s="329"/>
      <c r="G34" s="354"/>
      <c r="H34" s="329"/>
      <c r="I34" s="301"/>
    </row>
    <row r="35" spans="1:9" ht="18.75" x14ac:dyDescent="0.3">
      <c r="A35" s="325"/>
      <c r="B35" s="326"/>
      <c r="C35" s="355"/>
      <c r="D35" s="328"/>
      <c r="E35" s="328"/>
      <c r="F35" s="329"/>
      <c r="G35" s="328"/>
      <c r="H35" s="328"/>
      <c r="I35" s="301"/>
    </row>
    <row r="36" spans="1:9" ht="18.75" thickBot="1" x14ac:dyDescent="0.3">
      <c r="A36" s="356"/>
      <c r="B36" s="357"/>
      <c r="C36" s="358"/>
      <c r="D36" s="358"/>
      <c r="E36" s="359"/>
      <c r="F36" s="360"/>
      <c r="G36" s="358"/>
      <c r="H36" s="358"/>
      <c r="I36" s="361"/>
    </row>
    <row r="37" spans="1:9" ht="18.75" thickBot="1" x14ac:dyDescent="0.3">
      <c r="A37" s="362"/>
      <c r="B37" s="363"/>
      <c r="C37" s="364"/>
      <c r="D37" s="365" t="s">
        <v>15</v>
      </c>
      <c r="E37" s="366" t="s">
        <v>14</v>
      </c>
      <c r="F37" s="367"/>
      <c r="G37" s="364"/>
      <c r="H37" s="364"/>
      <c r="I37" s="368"/>
    </row>
    <row r="38" spans="1:9" ht="18" x14ac:dyDescent="0.25">
      <c r="A38" s="904" t="s">
        <v>13</v>
      </c>
      <c r="B38" s="905"/>
      <c r="C38" s="906"/>
      <c r="D38" s="337">
        <v>1000</v>
      </c>
      <c r="E38" s="369" t="s">
        <v>2</v>
      </c>
      <c r="F38" s="907" t="s">
        <v>12</v>
      </c>
      <c r="G38" s="907"/>
      <c r="H38" s="908"/>
      <c r="I38" s="909"/>
    </row>
    <row r="39" spans="1:9" ht="18" x14ac:dyDescent="0.25">
      <c r="A39" s="910" t="s">
        <v>11</v>
      </c>
      <c r="B39" s="911"/>
      <c r="C39" s="912"/>
      <c r="D39" s="370">
        <v>3</v>
      </c>
      <c r="E39" s="305" t="s">
        <v>10</v>
      </c>
      <c r="F39" s="913" t="s">
        <v>9</v>
      </c>
      <c r="G39" s="913"/>
      <c r="H39" s="914"/>
      <c r="I39" s="915"/>
    </row>
    <row r="40" spans="1:9" ht="18" x14ac:dyDescent="0.25">
      <c r="A40" s="910" t="s">
        <v>8</v>
      </c>
      <c r="B40" s="911"/>
      <c r="C40" s="912"/>
      <c r="D40" s="305">
        <v>1</v>
      </c>
      <c r="E40" s="305" t="s">
        <v>117</v>
      </c>
      <c r="F40" s="913" t="s">
        <v>7</v>
      </c>
      <c r="G40" s="913"/>
      <c r="H40" s="914"/>
      <c r="I40" s="915"/>
    </row>
    <row r="41" spans="1:9" ht="18" x14ac:dyDescent="0.25">
      <c r="A41" s="910" t="s">
        <v>6</v>
      </c>
      <c r="B41" s="911"/>
      <c r="C41" s="912"/>
      <c r="D41" s="338">
        <v>1000</v>
      </c>
      <c r="E41" s="305" t="s">
        <v>2</v>
      </c>
      <c r="F41" s="919" t="s">
        <v>4</v>
      </c>
      <c r="G41" s="920"/>
      <c r="H41" s="921"/>
      <c r="I41" s="922"/>
    </row>
    <row r="42" spans="1:9" ht="18.75" thickBot="1" x14ac:dyDescent="0.3">
      <c r="A42" s="923" t="s">
        <v>3</v>
      </c>
      <c r="B42" s="924"/>
      <c r="C42" s="925"/>
      <c r="D42" s="371">
        <v>15</v>
      </c>
      <c r="E42" s="372" t="s">
        <v>2</v>
      </c>
      <c r="F42" s="926"/>
      <c r="G42" s="926"/>
      <c r="H42" s="914"/>
      <c r="I42" s="915"/>
    </row>
    <row r="43" spans="1:9" ht="18.75" thickBot="1" x14ac:dyDescent="0.3">
      <c r="A43" s="927" t="s">
        <v>1</v>
      </c>
      <c r="B43" s="928"/>
      <c r="C43" s="928"/>
      <c r="D43" s="928"/>
      <c r="E43" s="928"/>
      <c r="F43" s="928"/>
      <c r="G43" s="928"/>
      <c r="H43" s="928"/>
      <c r="I43" s="929"/>
    </row>
    <row r="44" spans="1:9" ht="18.399999999999999" customHeight="1" x14ac:dyDescent="0.3">
      <c r="A44" s="916" t="s">
        <v>199</v>
      </c>
      <c r="B44" s="917"/>
      <c r="C44" s="917"/>
      <c r="D44" s="917"/>
      <c r="E44" s="917"/>
      <c r="F44" s="917"/>
      <c r="G44" s="917"/>
      <c r="H44" s="917"/>
      <c r="I44" s="918"/>
    </row>
    <row r="45" spans="1:9" ht="14.65" customHeight="1" x14ac:dyDescent="0.3">
      <c r="A45" s="916" t="s">
        <v>200</v>
      </c>
      <c r="B45" s="917"/>
      <c r="C45" s="917"/>
      <c r="D45" s="917"/>
      <c r="E45" s="917"/>
      <c r="F45" s="917"/>
      <c r="G45" s="917"/>
      <c r="H45" s="917"/>
      <c r="I45" s="918"/>
    </row>
    <row r="46" spans="1:9" ht="14.65" customHeight="1" x14ac:dyDescent="0.3">
      <c r="A46" s="916" t="s">
        <v>201</v>
      </c>
      <c r="B46" s="917"/>
      <c r="C46" s="917"/>
      <c r="D46" s="917"/>
      <c r="E46" s="917"/>
      <c r="F46" s="917"/>
      <c r="G46" s="917"/>
      <c r="H46" s="917"/>
      <c r="I46" s="918"/>
    </row>
    <row r="47" spans="1:9" ht="14.65" customHeight="1" x14ac:dyDescent="0.3">
      <c r="A47" s="916" t="s">
        <v>202</v>
      </c>
      <c r="B47" s="917"/>
      <c r="C47" s="917"/>
      <c r="D47" s="917"/>
      <c r="E47" s="917"/>
      <c r="F47" s="917"/>
      <c r="G47" s="917"/>
      <c r="H47" s="917"/>
      <c r="I47" s="918"/>
    </row>
    <row r="48" spans="1:9" ht="14.65" customHeight="1" x14ac:dyDescent="0.3">
      <c r="A48" s="937"/>
      <c r="B48" s="938"/>
      <c r="C48" s="938"/>
      <c r="D48" s="938"/>
      <c r="E48" s="938"/>
      <c r="F48" s="938"/>
      <c r="G48" s="938"/>
      <c r="H48" s="938"/>
      <c r="I48" s="939"/>
    </row>
    <row r="49" spans="1:9" ht="14.65" customHeight="1" x14ac:dyDescent="0.25">
      <c r="A49" s="940"/>
      <c r="B49" s="941"/>
      <c r="C49" s="941"/>
      <c r="D49" s="941"/>
      <c r="E49" s="941"/>
      <c r="F49" s="941"/>
      <c r="G49" s="941"/>
      <c r="H49" s="941"/>
      <c r="I49" s="942"/>
    </row>
    <row r="50" spans="1:9" ht="18" customHeight="1" x14ac:dyDescent="0.25">
      <c r="A50" s="940"/>
      <c r="B50" s="941"/>
      <c r="C50" s="941"/>
      <c r="D50" s="941"/>
      <c r="E50" s="941"/>
      <c r="F50" s="941"/>
      <c r="G50" s="941"/>
      <c r="H50" s="941"/>
      <c r="I50" s="942"/>
    </row>
    <row r="51" spans="1:9" ht="18" x14ac:dyDescent="0.25">
      <c r="A51" s="940"/>
      <c r="B51" s="941"/>
      <c r="C51" s="941"/>
      <c r="D51" s="941"/>
      <c r="E51" s="941"/>
      <c r="F51" s="941"/>
      <c r="G51" s="941"/>
      <c r="H51" s="941"/>
      <c r="I51" s="942"/>
    </row>
    <row r="52" spans="1:9" ht="19.5" thickBot="1" x14ac:dyDescent="0.35">
      <c r="A52" s="930"/>
      <c r="B52" s="931"/>
      <c r="C52" s="931"/>
      <c r="D52" s="931"/>
      <c r="E52" s="931"/>
      <c r="F52" s="931"/>
      <c r="G52" s="931"/>
      <c r="H52" s="931"/>
      <c r="I52" s="932"/>
    </row>
    <row r="53" spans="1:9" ht="18" x14ac:dyDescent="0.25">
      <c r="A53" s="933" t="s">
        <v>0</v>
      </c>
      <c r="B53" s="934"/>
      <c r="C53" s="934"/>
      <c r="D53" s="934"/>
      <c r="E53" s="934"/>
      <c r="F53" s="934"/>
      <c r="G53" s="934"/>
      <c r="H53" s="934"/>
      <c r="I53" s="934"/>
    </row>
    <row r="54" spans="1:9" ht="18" x14ac:dyDescent="0.25">
      <c r="A54" s="881" t="s">
        <v>203</v>
      </c>
      <c r="B54" s="882"/>
      <c r="C54" s="882"/>
      <c r="D54" s="882"/>
      <c r="E54" s="882"/>
      <c r="F54" s="882"/>
      <c r="G54" s="882"/>
      <c r="H54" s="882"/>
      <c r="I54" s="883"/>
    </row>
    <row r="55" spans="1:9" ht="18" x14ac:dyDescent="0.25">
      <c r="A55" s="935"/>
      <c r="B55" s="936"/>
      <c r="C55" s="936"/>
      <c r="D55" s="936"/>
      <c r="E55" s="936"/>
      <c r="F55" s="936"/>
      <c r="G55" s="936"/>
      <c r="H55" s="936"/>
      <c r="I55" s="936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00F3-2682-4552-88D3-C9E78DF4CDC4}">
  <dimension ref="A1:I58"/>
  <sheetViews>
    <sheetView zoomScale="85" zoomScaleNormal="85" workbookViewId="0">
      <selection sqref="A1:XFD1048576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652"/>
      <c r="B1" s="653"/>
      <c r="C1" s="674" t="s">
        <v>34</v>
      </c>
      <c r="D1" s="674"/>
      <c r="E1" s="674"/>
      <c r="F1" s="674"/>
      <c r="G1" s="674"/>
      <c r="H1" s="4" t="s">
        <v>33</v>
      </c>
      <c r="I1" s="5" t="s">
        <v>204</v>
      </c>
    </row>
    <row r="2" spans="1:9" ht="18" customHeight="1" thickBot="1" x14ac:dyDescent="0.35">
      <c r="A2" s="654"/>
      <c r="B2" s="655"/>
      <c r="C2" s="781" t="s">
        <v>32</v>
      </c>
      <c r="D2" s="782"/>
      <c r="E2" s="782"/>
      <c r="F2" s="782"/>
      <c r="G2" s="783"/>
      <c r="H2" s="6" t="s">
        <v>31</v>
      </c>
      <c r="I2" s="7" t="s">
        <v>87</v>
      </c>
    </row>
    <row r="3" spans="1:9" ht="31.5" customHeight="1" thickBot="1" x14ac:dyDescent="0.3">
      <c r="A3" s="654"/>
      <c r="B3" s="655"/>
      <c r="C3" s="943" t="s">
        <v>205</v>
      </c>
      <c r="D3" s="676"/>
      <c r="E3" s="676"/>
      <c r="F3" s="676"/>
      <c r="G3" s="677"/>
      <c r="H3" s="678" t="s">
        <v>30</v>
      </c>
      <c r="I3" s="665">
        <v>45613</v>
      </c>
    </row>
    <row r="4" spans="1:9" ht="18" customHeight="1" x14ac:dyDescent="0.3">
      <c r="A4" s="654"/>
      <c r="B4" s="655"/>
      <c r="C4" s="8" t="s">
        <v>29</v>
      </c>
      <c r="D4" s="668" t="s">
        <v>89</v>
      </c>
      <c r="E4" s="669"/>
      <c r="F4" s="669"/>
      <c r="G4" s="670"/>
      <c r="H4" s="679"/>
      <c r="I4" s="666"/>
    </row>
    <row r="5" spans="1:9" ht="18" thickBot="1" x14ac:dyDescent="0.35">
      <c r="A5" s="656"/>
      <c r="B5" s="657"/>
      <c r="C5" s="9" t="s">
        <v>28</v>
      </c>
      <c r="D5" s="671" t="s">
        <v>37</v>
      </c>
      <c r="E5" s="672"/>
      <c r="F5" s="672"/>
      <c r="G5" s="673"/>
      <c r="H5" s="680"/>
      <c r="I5" s="667"/>
    </row>
    <row r="6" spans="1:9" ht="16.5" thickBot="1" x14ac:dyDescent="0.3">
      <c r="A6" s="681" t="s">
        <v>27</v>
      </c>
      <c r="B6" s="681"/>
      <c r="C6" s="681"/>
      <c r="D6" s="682" t="s">
        <v>16</v>
      </c>
      <c r="E6" s="682"/>
      <c r="F6" s="682"/>
      <c r="G6" s="683" t="s">
        <v>26</v>
      </c>
      <c r="H6" s="683"/>
      <c r="I6" s="10" t="s">
        <v>206</v>
      </c>
    </row>
    <row r="7" spans="1:9" x14ac:dyDescent="0.25">
      <c r="A7" s="684" t="s">
        <v>25</v>
      </c>
      <c r="B7" s="686" t="s">
        <v>24</v>
      </c>
      <c r="C7" s="664" t="s">
        <v>23</v>
      </c>
      <c r="D7" s="664" t="s">
        <v>22</v>
      </c>
      <c r="E7" s="664" t="s">
        <v>21</v>
      </c>
      <c r="F7" s="664"/>
      <c r="G7" s="664" t="s">
        <v>20</v>
      </c>
      <c r="H7" s="664"/>
      <c r="I7" s="11" t="s">
        <v>19</v>
      </c>
    </row>
    <row r="8" spans="1:9" ht="31.5" thickBot="1" x14ac:dyDescent="0.3">
      <c r="A8" s="685"/>
      <c r="B8" s="687"/>
      <c r="C8" s="688"/>
      <c r="D8" s="688"/>
      <c r="E8" s="12" t="s">
        <v>15</v>
      </c>
      <c r="F8" s="13" t="s">
        <v>18</v>
      </c>
      <c r="G8" s="12" t="s">
        <v>15</v>
      </c>
      <c r="H8" s="13" t="s">
        <v>18</v>
      </c>
      <c r="I8" s="14" t="s">
        <v>17</v>
      </c>
    </row>
    <row r="9" spans="1:9" ht="15.75" x14ac:dyDescent="0.25">
      <c r="A9" s="15"/>
      <c r="B9" s="16"/>
      <c r="C9" s="17" t="s">
        <v>39</v>
      </c>
      <c r="D9" s="18"/>
      <c r="E9" s="19"/>
      <c r="F9" s="20"/>
      <c r="G9" s="19"/>
      <c r="H9" s="20"/>
      <c r="I9" s="21"/>
    </row>
    <row r="10" spans="1:9" ht="18" customHeight="1" x14ac:dyDescent="0.3">
      <c r="A10" s="373">
        <v>310148</v>
      </c>
      <c r="B10" s="374" t="s">
        <v>207</v>
      </c>
      <c r="C10" s="375" t="s">
        <v>208</v>
      </c>
      <c r="D10" s="376" t="s">
        <v>209</v>
      </c>
      <c r="E10" s="377">
        <v>12800</v>
      </c>
      <c r="F10" s="378" t="s">
        <v>2</v>
      </c>
      <c r="G10" s="379"/>
      <c r="H10" s="380"/>
      <c r="I10" s="21"/>
    </row>
    <row r="11" spans="1:9" ht="17.25" x14ac:dyDescent="0.3">
      <c r="A11" s="373">
        <v>11400031</v>
      </c>
      <c r="B11" s="381" t="s">
        <v>210</v>
      </c>
      <c r="C11" s="382" t="s">
        <v>211</v>
      </c>
      <c r="D11" s="376" t="s">
        <v>209</v>
      </c>
      <c r="E11" s="383">
        <v>3200</v>
      </c>
      <c r="F11" s="384" t="s">
        <v>2</v>
      </c>
      <c r="G11" s="379"/>
      <c r="H11" s="380"/>
      <c r="I11" s="21"/>
    </row>
    <row r="12" spans="1:9" ht="17.25" x14ac:dyDescent="0.3">
      <c r="A12" s="373" t="s">
        <v>115</v>
      </c>
      <c r="B12" s="381"/>
      <c r="C12" s="382" t="s">
        <v>116</v>
      </c>
      <c r="D12" s="376" t="s">
        <v>212</v>
      </c>
      <c r="E12" s="383">
        <v>800</v>
      </c>
      <c r="F12" s="384" t="s">
        <v>2</v>
      </c>
      <c r="G12" s="385"/>
      <c r="H12" s="380"/>
      <c r="I12" s="21"/>
    </row>
    <row r="13" spans="1:9" ht="17.25" x14ac:dyDescent="0.3">
      <c r="A13" s="373">
        <v>1212410</v>
      </c>
      <c r="B13" s="381" t="s">
        <v>136</v>
      </c>
      <c r="C13" s="382" t="s">
        <v>137</v>
      </c>
      <c r="D13" s="376" t="s">
        <v>138</v>
      </c>
      <c r="E13" s="383">
        <v>12</v>
      </c>
      <c r="F13" s="384" t="s">
        <v>2</v>
      </c>
      <c r="G13" s="385"/>
      <c r="H13" s="380"/>
      <c r="I13" s="21"/>
    </row>
    <row r="14" spans="1:9" ht="17.25" x14ac:dyDescent="0.3">
      <c r="A14" s="386"/>
      <c r="B14" s="387"/>
      <c r="C14" s="388"/>
      <c r="D14" s="385"/>
      <c r="E14" s="385"/>
      <c r="F14" s="389"/>
      <c r="G14" s="385"/>
      <c r="H14" s="380"/>
      <c r="I14" s="21"/>
    </row>
    <row r="15" spans="1:9" ht="17.25" x14ac:dyDescent="0.3">
      <c r="A15" s="390"/>
      <c r="B15" s="387"/>
      <c r="C15" s="391"/>
      <c r="D15" s="385"/>
      <c r="E15" s="385"/>
      <c r="F15" s="389"/>
      <c r="G15" s="385"/>
      <c r="H15" s="380"/>
      <c r="I15" s="21"/>
    </row>
    <row r="16" spans="1:9" ht="17.25" x14ac:dyDescent="0.3">
      <c r="A16" s="385"/>
      <c r="B16" s="385"/>
      <c r="C16" s="392"/>
      <c r="D16" s="393"/>
      <c r="E16" s="393"/>
      <c r="F16" s="379"/>
      <c r="G16" s="385"/>
      <c r="H16" s="380"/>
      <c r="I16" s="21"/>
    </row>
    <row r="17" spans="1:9" ht="17.25" x14ac:dyDescent="0.3">
      <c r="A17" s="387"/>
      <c r="B17" s="387"/>
      <c r="C17" s="394"/>
      <c r="D17" s="385"/>
      <c r="E17" s="385"/>
      <c r="F17" s="389"/>
      <c r="G17" s="385"/>
      <c r="H17" s="380"/>
      <c r="I17" s="21"/>
    </row>
    <row r="18" spans="1:9" ht="17.25" x14ac:dyDescent="0.3">
      <c r="A18" s="386"/>
      <c r="B18" s="387"/>
      <c r="C18" s="388"/>
      <c r="D18" s="385"/>
      <c r="E18" s="385"/>
      <c r="F18" s="389"/>
      <c r="G18" s="385"/>
      <c r="H18" s="380"/>
      <c r="I18" s="21"/>
    </row>
    <row r="19" spans="1:9" ht="17.25" x14ac:dyDescent="0.3">
      <c r="A19" s="99"/>
      <c r="B19" s="99"/>
      <c r="C19" s="277"/>
      <c r="D19" s="395"/>
      <c r="E19" s="27"/>
      <c r="F19" s="1"/>
      <c r="G19" s="19"/>
      <c r="H19" s="380"/>
      <c r="I19" s="21"/>
    </row>
    <row r="20" spans="1:9" ht="15.75" x14ac:dyDescent="0.25">
      <c r="A20" s="80"/>
      <c r="B20" s="81"/>
      <c r="C20" s="58" t="s">
        <v>16</v>
      </c>
      <c r="D20" s="59"/>
      <c r="E20" s="60"/>
      <c r="F20" s="55"/>
      <c r="G20" s="19"/>
      <c r="H20" s="20"/>
      <c r="I20" s="21"/>
    </row>
    <row r="21" spans="1:9" ht="17.25" x14ac:dyDescent="0.3">
      <c r="A21" s="373"/>
      <c r="B21" s="396"/>
      <c r="C21" s="375"/>
      <c r="D21" s="376"/>
      <c r="E21" s="383"/>
      <c r="F21" s="384"/>
      <c r="G21" s="19"/>
      <c r="H21" s="20"/>
      <c r="I21" s="21"/>
    </row>
    <row r="22" spans="1:9" ht="17.25" x14ac:dyDescent="0.3">
      <c r="A22" s="373"/>
      <c r="B22" s="396"/>
      <c r="C22" s="375"/>
      <c r="D22" s="376"/>
      <c r="E22" s="36"/>
      <c r="F22" s="384"/>
      <c r="G22" s="19"/>
      <c r="H22" s="20"/>
      <c r="I22" s="21"/>
    </row>
    <row r="23" spans="1:9" ht="17.25" x14ac:dyDescent="0.3">
      <c r="A23" s="373"/>
      <c r="B23" s="396"/>
      <c r="C23" s="375"/>
      <c r="D23" s="376"/>
      <c r="E23" s="383"/>
      <c r="F23" s="384"/>
      <c r="G23" s="19"/>
      <c r="H23" s="20"/>
      <c r="I23" s="21"/>
    </row>
    <row r="24" spans="1:9" ht="17.25" x14ac:dyDescent="0.3">
      <c r="A24" s="373"/>
      <c r="B24" s="396"/>
      <c r="C24" s="375"/>
      <c r="D24" s="376"/>
      <c r="E24" s="397"/>
      <c r="F24" s="398"/>
      <c r="G24" s="19"/>
      <c r="H24" s="20"/>
      <c r="I24" s="21"/>
    </row>
    <row r="25" spans="1:9" ht="17.25" x14ac:dyDescent="0.3">
      <c r="A25" s="373"/>
      <c r="B25" s="396"/>
      <c r="C25" s="375"/>
      <c r="D25" s="376"/>
      <c r="E25" s="377"/>
      <c r="F25" s="398"/>
      <c r="G25" s="19"/>
      <c r="H25" s="20"/>
      <c r="I25" s="21"/>
    </row>
    <row r="26" spans="1:9" ht="17.25" x14ac:dyDescent="0.3">
      <c r="A26" s="399"/>
      <c r="B26" s="399"/>
      <c r="C26" s="400"/>
      <c r="D26" s="401"/>
      <c r="E26" s="402"/>
      <c r="F26" s="403"/>
      <c r="G26" s="19"/>
      <c r="H26" s="20"/>
      <c r="I26" s="21"/>
    </row>
    <row r="27" spans="1:9" ht="17.25" x14ac:dyDescent="0.3">
      <c r="A27" s="99"/>
      <c r="B27" s="99"/>
      <c r="C27" s="277"/>
      <c r="D27" s="404"/>
      <c r="E27" s="405"/>
      <c r="F27" s="403"/>
      <c r="G27" s="19"/>
      <c r="H27" s="20"/>
      <c r="I27" s="21"/>
    </row>
    <row r="28" spans="1:9" ht="17.25" x14ac:dyDescent="0.3">
      <c r="A28" s="99"/>
      <c r="B28" s="99"/>
      <c r="C28" s="277"/>
      <c r="D28" s="404"/>
      <c r="E28" s="36"/>
      <c r="F28" s="42"/>
      <c r="G28" s="19"/>
      <c r="H28" s="20"/>
      <c r="I28" s="21"/>
    </row>
    <row r="29" spans="1:9" ht="15.75" x14ac:dyDescent="0.25">
      <c r="A29" s="406"/>
      <c r="B29" s="407"/>
      <c r="C29" s="70" t="s">
        <v>58</v>
      </c>
      <c r="D29" s="408"/>
      <c r="E29" s="409"/>
      <c r="F29" s="20"/>
      <c r="G29" s="19"/>
      <c r="H29" s="400"/>
      <c r="I29" s="21"/>
    </row>
    <row r="30" spans="1:9" ht="17.25" x14ac:dyDescent="0.3">
      <c r="A30" s="57">
        <v>702123</v>
      </c>
      <c r="B30" s="57" t="s">
        <v>68</v>
      </c>
      <c r="C30" s="82" t="s">
        <v>69</v>
      </c>
      <c r="D30" s="204" t="s">
        <v>213</v>
      </c>
      <c r="E30" s="410">
        <v>1</v>
      </c>
      <c r="F30" s="411" t="s">
        <v>5</v>
      </c>
      <c r="G30" s="412"/>
      <c r="H30" s="20"/>
      <c r="I30" s="21"/>
    </row>
    <row r="31" spans="1:9" ht="17.25" x14ac:dyDescent="0.3">
      <c r="A31" s="57"/>
      <c r="B31" s="57"/>
      <c r="C31" s="82"/>
      <c r="D31" s="204"/>
      <c r="E31" s="410"/>
      <c r="F31" s="411"/>
      <c r="G31" s="412"/>
      <c r="H31" s="20"/>
      <c r="I31" s="21"/>
    </row>
    <row r="32" spans="1:9" ht="17.25" x14ac:dyDescent="0.3">
      <c r="A32" s="57"/>
      <c r="B32" s="57"/>
      <c r="C32" s="82"/>
      <c r="D32" s="204"/>
      <c r="E32" s="410"/>
      <c r="F32" s="411"/>
      <c r="G32" s="412"/>
      <c r="H32" s="20"/>
      <c r="I32" s="21"/>
    </row>
    <row r="33" spans="1:9" ht="15.75" x14ac:dyDescent="0.25">
      <c r="A33" s="413"/>
      <c r="B33" s="413"/>
      <c r="C33" s="414"/>
      <c r="D33" s="28"/>
      <c r="E33" s="415"/>
      <c r="F33" s="416"/>
      <c r="G33" s="19"/>
      <c r="H33" s="20"/>
      <c r="I33" s="21"/>
    </row>
    <row r="34" spans="1:9" ht="15.75" x14ac:dyDescent="0.25">
      <c r="A34" s="413"/>
      <c r="B34" s="413"/>
      <c r="C34" s="417"/>
      <c r="D34" s="28"/>
      <c r="E34" s="28"/>
      <c r="F34" s="416"/>
      <c r="G34" s="19"/>
      <c r="H34" s="20"/>
      <c r="I34" s="21"/>
    </row>
    <row r="35" spans="1:9" ht="15.75" x14ac:dyDescent="0.25">
      <c r="A35" s="413"/>
      <c r="B35" s="413"/>
      <c r="C35" s="417"/>
      <c r="D35" s="28"/>
      <c r="E35" s="28"/>
      <c r="F35" s="416"/>
      <c r="G35" s="75"/>
      <c r="H35" s="20"/>
      <c r="I35" s="21"/>
    </row>
    <row r="36" spans="1:9" ht="15.75" x14ac:dyDescent="0.25">
      <c r="A36" s="418"/>
      <c r="B36" s="419"/>
      <c r="C36" s="420"/>
      <c r="D36" s="34"/>
      <c r="E36" s="34"/>
      <c r="F36" s="421"/>
      <c r="G36" s="54"/>
      <c r="H36" s="20"/>
      <c r="I36" s="21"/>
    </row>
    <row r="37" spans="1:9" ht="15.75" x14ac:dyDescent="0.25">
      <c r="A37" s="80"/>
      <c r="B37" s="81"/>
      <c r="C37" s="82"/>
      <c r="D37" s="28"/>
      <c r="E37" s="54"/>
      <c r="F37" s="55"/>
      <c r="G37" s="54"/>
      <c r="H37" s="20"/>
      <c r="I37" s="21"/>
    </row>
    <row r="38" spans="1:9" ht="15.75" x14ac:dyDescent="0.25">
      <c r="A38" s="80"/>
      <c r="B38" s="81"/>
      <c r="C38" s="82"/>
      <c r="D38" s="59"/>
      <c r="E38" s="59"/>
      <c r="F38" s="55"/>
      <c r="G38" s="59"/>
      <c r="H38" s="59"/>
      <c r="I38" s="21"/>
    </row>
    <row r="39" spans="1:9" ht="18" thickBot="1" x14ac:dyDescent="0.35">
      <c r="A39" s="83"/>
      <c r="B39" s="84"/>
      <c r="C39" s="85"/>
      <c r="D39" s="85"/>
      <c r="E39" s="86"/>
      <c r="F39" s="87"/>
      <c r="G39" s="85"/>
      <c r="H39" s="85"/>
      <c r="I39" s="88"/>
    </row>
    <row r="40" spans="1:9" ht="18" thickBot="1" x14ac:dyDescent="0.35">
      <c r="A40" s="89"/>
      <c r="B40" s="90"/>
      <c r="C40" s="91"/>
      <c r="D40" s="92" t="s">
        <v>15</v>
      </c>
      <c r="E40" s="93" t="s">
        <v>14</v>
      </c>
      <c r="F40" s="94"/>
      <c r="G40" s="91"/>
      <c r="H40" s="91"/>
      <c r="I40" s="95"/>
    </row>
    <row r="41" spans="1:9" ht="17.25" x14ac:dyDescent="0.3">
      <c r="A41" s="638" t="s">
        <v>13</v>
      </c>
      <c r="B41" s="639"/>
      <c r="C41" s="640"/>
      <c r="D41" s="405">
        <v>16597</v>
      </c>
      <c r="E41" s="422" t="s">
        <v>2</v>
      </c>
      <c r="F41" s="641" t="s">
        <v>12</v>
      </c>
      <c r="G41" s="641"/>
      <c r="H41" s="642"/>
      <c r="I41" s="643"/>
    </row>
    <row r="42" spans="1:9" ht="17.25" x14ac:dyDescent="0.3">
      <c r="A42" s="644" t="s">
        <v>11</v>
      </c>
      <c r="B42" s="645"/>
      <c r="C42" s="646"/>
      <c r="D42" s="385">
        <v>17</v>
      </c>
      <c r="E42" s="385" t="s">
        <v>10</v>
      </c>
      <c r="F42" s="647" t="s">
        <v>9</v>
      </c>
      <c r="G42" s="647"/>
      <c r="H42" s="648"/>
      <c r="I42" s="649"/>
    </row>
    <row r="43" spans="1:9" ht="17.25" x14ac:dyDescent="0.3">
      <c r="A43" s="644" t="s">
        <v>8</v>
      </c>
      <c r="B43" s="645"/>
      <c r="C43" s="646"/>
      <c r="D43" s="385">
        <v>1</v>
      </c>
      <c r="E43" s="385" t="s">
        <v>117</v>
      </c>
      <c r="F43" s="647" t="s">
        <v>7</v>
      </c>
      <c r="G43" s="647"/>
      <c r="H43" s="648"/>
      <c r="I43" s="649"/>
    </row>
    <row r="44" spans="1:9" ht="17.25" x14ac:dyDescent="0.3">
      <c r="A44" s="644" t="s">
        <v>6</v>
      </c>
      <c r="B44" s="645"/>
      <c r="C44" s="646"/>
      <c r="D44" s="36">
        <v>16597</v>
      </c>
      <c r="E44" s="385" t="s">
        <v>2</v>
      </c>
      <c r="F44" s="650" t="s">
        <v>4</v>
      </c>
      <c r="G44" s="651"/>
      <c r="H44" s="947"/>
      <c r="I44" s="948"/>
    </row>
    <row r="45" spans="1:9" ht="18" thickBot="1" x14ac:dyDescent="0.35">
      <c r="A45" s="658" t="s">
        <v>3</v>
      </c>
      <c r="B45" s="659"/>
      <c r="C45" s="660"/>
      <c r="D45" s="423">
        <v>215</v>
      </c>
      <c r="E45" s="424" t="s">
        <v>2</v>
      </c>
      <c r="F45" s="661"/>
      <c r="G45" s="661"/>
      <c r="H45" s="648"/>
      <c r="I45" s="649"/>
    </row>
    <row r="46" spans="1:9" ht="16.5" thickBot="1" x14ac:dyDescent="0.3">
      <c r="A46" s="618" t="s">
        <v>1</v>
      </c>
      <c r="B46" s="619"/>
      <c r="C46" s="619"/>
      <c r="D46" s="619"/>
      <c r="E46" s="619"/>
      <c r="F46" s="619"/>
      <c r="G46" s="619"/>
      <c r="H46" s="619"/>
      <c r="I46" s="620"/>
    </row>
    <row r="47" spans="1:9" ht="18.399999999999999" customHeight="1" x14ac:dyDescent="0.25">
      <c r="A47" s="944" t="s">
        <v>214</v>
      </c>
      <c r="B47" s="945"/>
      <c r="C47" s="945"/>
      <c r="D47" s="945"/>
      <c r="E47" s="945"/>
      <c r="F47" s="945"/>
      <c r="G47" s="945"/>
      <c r="H47" s="945"/>
      <c r="I47" s="946"/>
    </row>
    <row r="48" spans="1:9" ht="14.65" customHeight="1" x14ac:dyDescent="0.25">
      <c r="A48" s="944" t="s">
        <v>215</v>
      </c>
      <c r="B48" s="945"/>
      <c r="C48" s="945"/>
      <c r="D48" s="945"/>
      <c r="E48" s="945"/>
      <c r="F48" s="945"/>
      <c r="G48" s="945"/>
      <c r="H48" s="945"/>
      <c r="I48" s="946"/>
    </row>
    <row r="49" spans="1:9" ht="14.65" customHeight="1" x14ac:dyDescent="0.25">
      <c r="A49" s="944" t="s">
        <v>216</v>
      </c>
      <c r="B49" s="945"/>
      <c r="C49" s="945"/>
      <c r="D49" s="945"/>
      <c r="E49" s="945"/>
      <c r="F49" s="945"/>
      <c r="G49" s="945"/>
      <c r="H49" s="945"/>
      <c r="I49" s="946"/>
    </row>
    <row r="50" spans="1:9" ht="14.65" customHeight="1" x14ac:dyDescent="0.25">
      <c r="A50" s="944" t="s">
        <v>217</v>
      </c>
      <c r="B50" s="945"/>
      <c r="C50" s="945"/>
      <c r="D50" s="945"/>
      <c r="E50" s="945"/>
      <c r="F50" s="945"/>
      <c r="G50" s="945"/>
      <c r="H50" s="945"/>
      <c r="I50" s="946"/>
    </row>
    <row r="51" spans="1:9" ht="14.65" customHeight="1" x14ac:dyDescent="0.25">
      <c r="A51" s="944" t="s">
        <v>218</v>
      </c>
      <c r="B51" s="945"/>
      <c r="C51" s="945"/>
      <c r="D51" s="945"/>
      <c r="E51" s="945"/>
      <c r="F51" s="945"/>
      <c r="G51" s="945"/>
      <c r="H51" s="945"/>
      <c r="I51" s="946"/>
    </row>
    <row r="52" spans="1:9" ht="14.65" customHeight="1" x14ac:dyDescent="0.3">
      <c r="A52" s="956"/>
      <c r="B52" s="957"/>
      <c r="C52" s="958"/>
      <c r="D52" s="958"/>
      <c r="E52" s="958"/>
      <c r="F52" s="958"/>
      <c r="G52" s="958"/>
      <c r="H52" s="958"/>
      <c r="I52" s="959"/>
    </row>
    <row r="53" spans="1:9" ht="18" customHeight="1" x14ac:dyDescent="0.3">
      <c r="A53" s="631"/>
      <c r="B53" s="632"/>
      <c r="C53" s="632"/>
      <c r="D53" s="632"/>
      <c r="E53" s="632"/>
      <c r="F53" s="632"/>
      <c r="G53" s="632"/>
      <c r="H53" s="632"/>
      <c r="I53" s="960"/>
    </row>
    <row r="54" spans="1:9" ht="18" thickBot="1" x14ac:dyDescent="0.35">
      <c r="A54" s="961"/>
      <c r="B54" s="962"/>
      <c r="C54" s="962"/>
      <c r="D54" s="962"/>
      <c r="E54" s="962"/>
      <c r="F54" s="962"/>
      <c r="G54" s="962"/>
      <c r="H54" s="962"/>
      <c r="I54" s="963"/>
    </row>
    <row r="55" spans="1:9" ht="16.5" thickBot="1" x14ac:dyDescent="0.3">
      <c r="A55" s="949"/>
      <c r="B55" s="950"/>
      <c r="C55" s="950"/>
      <c r="D55" s="950"/>
      <c r="E55" s="950"/>
      <c r="F55" s="950"/>
      <c r="G55" s="950"/>
      <c r="H55" s="950"/>
      <c r="I55" s="951"/>
    </row>
    <row r="56" spans="1:9" ht="15.75" x14ac:dyDescent="0.25">
      <c r="A56" s="952" t="s">
        <v>0</v>
      </c>
      <c r="B56" s="953"/>
      <c r="C56" s="953"/>
      <c r="D56" s="953"/>
      <c r="E56" s="953"/>
      <c r="F56" s="953"/>
      <c r="G56" s="953"/>
      <c r="H56" s="953"/>
      <c r="I56" s="953"/>
    </row>
    <row r="57" spans="1:9" ht="17.25" x14ac:dyDescent="0.3">
      <c r="A57" s="671" t="s">
        <v>219</v>
      </c>
      <c r="B57" s="672"/>
      <c r="C57" s="672"/>
      <c r="D57" s="672"/>
      <c r="E57" s="672"/>
      <c r="F57" s="672"/>
      <c r="G57" s="672"/>
      <c r="H57" s="672"/>
      <c r="I57" s="673"/>
    </row>
    <row r="58" spans="1:9" ht="17.25" x14ac:dyDescent="0.3">
      <c r="A58" s="954"/>
      <c r="B58" s="955"/>
      <c r="C58" s="955"/>
      <c r="D58" s="955"/>
      <c r="E58" s="955"/>
      <c r="F58" s="955"/>
      <c r="G58" s="955"/>
      <c r="H58" s="955"/>
      <c r="I58" s="955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7CA8-2153-4027-994F-E42F1C02389A}">
  <dimension ref="A1:M64"/>
  <sheetViews>
    <sheetView workbookViewId="0">
      <selection activeCell="C17" sqref="C17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775"/>
      <c r="B1" s="776"/>
      <c r="C1" s="674" t="s">
        <v>34</v>
      </c>
      <c r="D1" s="674"/>
      <c r="E1" s="674"/>
      <c r="F1" s="674"/>
      <c r="G1" s="674"/>
      <c r="H1" s="102" t="s">
        <v>33</v>
      </c>
      <c r="I1" s="103" t="s">
        <v>220</v>
      </c>
    </row>
    <row r="2" spans="1:9" ht="16.5" thickBot="1" x14ac:dyDescent="0.3">
      <c r="A2" s="777"/>
      <c r="B2" s="778"/>
      <c r="C2" s="675" t="s">
        <v>32</v>
      </c>
      <c r="D2" s="675"/>
      <c r="E2" s="675"/>
      <c r="F2" s="675"/>
      <c r="G2" s="675"/>
      <c r="H2" s="104" t="s">
        <v>31</v>
      </c>
      <c r="I2" s="105" t="s">
        <v>105</v>
      </c>
    </row>
    <row r="3" spans="1:9" ht="18.75" thickBot="1" x14ac:dyDescent="0.3">
      <c r="A3" s="777"/>
      <c r="B3" s="778"/>
      <c r="C3" s="784" t="s">
        <v>221</v>
      </c>
      <c r="D3" s="785"/>
      <c r="E3" s="785"/>
      <c r="F3" s="785"/>
      <c r="G3" s="786"/>
      <c r="H3" s="787" t="s">
        <v>30</v>
      </c>
      <c r="I3" s="766">
        <v>45608</v>
      </c>
    </row>
    <row r="4" spans="1:9" x14ac:dyDescent="0.25">
      <c r="A4" s="777"/>
      <c r="B4" s="778"/>
      <c r="C4" s="106" t="s">
        <v>29</v>
      </c>
      <c r="D4" s="769" t="s">
        <v>89</v>
      </c>
      <c r="E4" s="770"/>
      <c r="F4" s="770"/>
      <c r="G4" s="771"/>
      <c r="H4" s="788"/>
      <c r="I4" s="767"/>
    </row>
    <row r="5" spans="1:9" ht="15.75" thickBot="1" x14ac:dyDescent="0.3">
      <c r="A5" s="779"/>
      <c r="B5" s="780"/>
      <c r="C5" s="107" t="s">
        <v>28</v>
      </c>
      <c r="D5" s="772" t="s">
        <v>37</v>
      </c>
      <c r="E5" s="773"/>
      <c r="F5" s="773"/>
      <c r="G5" s="774"/>
      <c r="H5" s="789"/>
      <c r="I5" s="768"/>
    </row>
    <row r="6" spans="1:9" ht="18.75" thickBot="1" x14ac:dyDescent="0.3">
      <c r="A6" s="790" t="s">
        <v>27</v>
      </c>
      <c r="B6" s="790"/>
      <c r="C6" s="790"/>
      <c r="D6" s="791" t="s">
        <v>163</v>
      </c>
      <c r="E6" s="791"/>
      <c r="F6" s="791"/>
      <c r="G6" s="792" t="s">
        <v>26</v>
      </c>
      <c r="H6" s="792"/>
      <c r="I6" s="108" t="s">
        <v>163</v>
      </c>
    </row>
    <row r="7" spans="1:9" ht="25.5" x14ac:dyDescent="0.25">
      <c r="A7" s="793" t="s">
        <v>25</v>
      </c>
      <c r="B7" s="795" t="s">
        <v>24</v>
      </c>
      <c r="C7" s="797" t="s">
        <v>23</v>
      </c>
      <c r="D7" s="797" t="s">
        <v>22</v>
      </c>
      <c r="E7" s="797" t="s">
        <v>21</v>
      </c>
      <c r="F7" s="797"/>
      <c r="G7" s="797" t="s">
        <v>20</v>
      </c>
      <c r="H7" s="797"/>
      <c r="I7" s="109" t="s">
        <v>19</v>
      </c>
    </row>
    <row r="8" spans="1:9" ht="27" thickBot="1" x14ac:dyDescent="0.3">
      <c r="A8" s="794"/>
      <c r="B8" s="796"/>
      <c r="C8" s="798"/>
      <c r="D8" s="798"/>
      <c r="E8" s="110" t="s">
        <v>15</v>
      </c>
      <c r="F8" s="111" t="s">
        <v>18</v>
      </c>
      <c r="G8" s="110" t="s">
        <v>15</v>
      </c>
      <c r="H8" s="111" t="s">
        <v>18</v>
      </c>
      <c r="I8" s="112" t="s">
        <v>17</v>
      </c>
    </row>
    <row r="9" spans="1:9" x14ac:dyDescent="0.25">
      <c r="A9" s="113"/>
      <c r="B9" s="114"/>
      <c r="C9" s="115" t="s">
        <v>39</v>
      </c>
      <c r="D9" s="116"/>
      <c r="E9" s="117"/>
      <c r="F9" s="118"/>
      <c r="G9" s="117"/>
      <c r="H9" s="118"/>
      <c r="I9" s="119"/>
    </row>
    <row r="10" spans="1:9" x14ac:dyDescent="0.25">
      <c r="A10" s="425" t="s">
        <v>222</v>
      </c>
      <c r="B10" s="425" t="s">
        <v>223</v>
      </c>
      <c r="C10" s="426" t="s">
        <v>224</v>
      </c>
      <c r="D10" s="427" t="s">
        <v>225</v>
      </c>
      <c r="E10" s="428">
        <v>22000</v>
      </c>
      <c r="F10" s="429" t="s">
        <v>2</v>
      </c>
      <c r="G10" s="430"/>
      <c r="H10" s="118"/>
      <c r="I10" s="119"/>
    </row>
    <row r="11" spans="1:9" x14ac:dyDescent="0.25">
      <c r="A11" s="159" t="s">
        <v>226</v>
      </c>
      <c r="B11" s="159" t="s">
        <v>227</v>
      </c>
      <c r="C11" s="160" t="s">
        <v>228</v>
      </c>
      <c r="D11" s="431" t="s">
        <v>229</v>
      </c>
      <c r="E11" s="432">
        <v>20000</v>
      </c>
      <c r="F11" s="154" t="s">
        <v>2</v>
      </c>
      <c r="G11" s="430"/>
      <c r="H11" s="118"/>
      <c r="I11" s="119"/>
    </row>
    <row r="12" spans="1:9" x14ac:dyDescent="0.25">
      <c r="A12" s="159"/>
      <c r="B12" s="159"/>
      <c r="C12" s="160"/>
      <c r="D12" s="431"/>
      <c r="E12" s="432"/>
      <c r="F12" s="154"/>
      <c r="G12" s="430"/>
      <c r="H12" s="118"/>
      <c r="I12" s="119"/>
    </row>
    <row r="13" spans="1:9" x14ac:dyDescent="0.25">
      <c r="A13" s="159"/>
      <c r="B13" s="159"/>
      <c r="C13" s="160"/>
      <c r="D13" s="431"/>
      <c r="E13" s="432"/>
      <c r="F13" s="154"/>
      <c r="G13" s="430"/>
      <c r="H13" s="118"/>
      <c r="I13" s="119"/>
    </row>
    <row r="14" spans="1:9" x14ac:dyDescent="0.25">
      <c r="A14" s="159"/>
      <c r="B14" s="159"/>
      <c r="C14" s="160"/>
      <c r="D14" s="431"/>
      <c r="E14" s="432"/>
      <c r="F14" s="154"/>
      <c r="G14" s="430"/>
      <c r="H14" s="118"/>
      <c r="I14" s="119"/>
    </row>
    <row r="15" spans="1:9" x14ac:dyDescent="0.25">
      <c r="A15" s="159"/>
      <c r="B15" s="159"/>
      <c r="C15" s="160"/>
      <c r="D15" s="431"/>
      <c r="E15" s="432"/>
      <c r="F15" s="154"/>
      <c r="G15" s="430"/>
      <c r="H15" s="118"/>
      <c r="I15" s="119"/>
    </row>
    <row r="16" spans="1:9" x14ac:dyDescent="0.25">
      <c r="A16" s="159"/>
      <c r="B16" s="159"/>
      <c r="C16" s="160"/>
      <c r="D16" s="431"/>
      <c r="E16" s="432"/>
      <c r="F16" s="154"/>
      <c r="G16" s="430"/>
      <c r="H16" s="118"/>
      <c r="I16" s="119"/>
    </row>
    <row r="17" spans="1:9" x14ac:dyDescent="0.25">
      <c r="A17" s="3"/>
      <c r="B17" s="3"/>
      <c r="C17" s="2"/>
      <c r="D17" s="431"/>
      <c r="E17" s="432"/>
      <c r="F17" s="154"/>
      <c r="G17" s="430"/>
      <c r="H17" s="118"/>
      <c r="I17" s="119"/>
    </row>
    <row r="18" spans="1:9" x14ac:dyDescent="0.25">
      <c r="A18" s="3"/>
      <c r="B18" s="3"/>
      <c r="C18" s="2"/>
      <c r="D18" s="431"/>
      <c r="E18" s="432"/>
      <c r="F18" s="154"/>
      <c r="G18" s="430"/>
      <c r="H18" s="118"/>
      <c r="I18" s="119"/>
    </row>
    <row r="19" spans="1:9" x14ac:dyDescent="0.25">
      <c r="A19" s="3"/>
      <c r="B19" s="3"/>
      <c r="C19" s="2"/>
      <c r="D19" s="431"/>
      <c r="E19" s="432"/>
      <c r="F19" s="154"/>
      <c r="G19" s="430"/>
      <c r="H19" s="118"/>
      <c r="I19" s="119"/>
    </row>
    <row r="20" spans="1:9" x14ac:dyDescent="0.25">
      <c r="A20" s="3"/>
      <c r="B20" s="3"/>
      <c r="C20" s="2"/>
      <c r="D20" s="431"/>
      <c r="E20" s="432"/>
      <c r="F20" s="154"/>
      <c r="G20" s="430"/>
      <c r="H20" s="118"/>
      <c r="I20" s="119"/>
    </row>
    <row r="21" spans="1:9" x14ac:dyDescent="0.25">
      <c r="A21" s="3"/>
      <c r="B21" s="3"/>
      <c r="C21" s="2"/>
      <c r="D21" s="431"/>
      <c r="E21" s="432"/>
      <c r="F21" s="154"/>
      <c r="G21" s="430"/>
      <c r="H21" s="118"/>
      <c r="I21" s="119"/>
    </row>
    <row r="22" spans="1:9" x14ac:dyDescent="0.25">
      <c r="A22" s="3"/>
      <c r="B22" s="3"/>
      <c r="C22" s="2"/>
      <c r="D22" s="431"/>
      <c r="E22" s="432"/>
      <c r="F22" s="154"/>
      <c r="G22" s="430"/>
      <c r="H22" s="118"/>
      <c r="I22" s="119"/>
    </row>
    <row r="23" spans="1:9" x14ac:dyDescent="0.25">
      <c r="A23" s="159"/>
      <c r="B23" s="159"/>
      <c r="C23" s="160"/>
      <c r="D23" s="433"/>
      <c r="E23" s="432"/>
      <c r="F23" s="434"/>
      <c r="G23" s="430"/>
      <c r="H23" s="118"/>
      <c r="I23" s="119"/>
    </row>
    <row r="24" spans="1:9" x14ac:dyDescent="0.25">
      <c r="A24" s="159"/>
      <c r="B24" s="159"/>
      <c r="C24" s="160"/>
      <c r="D24" s="431"/>
      <c r="E24" s="432"/>
      <c r="F24" s="154"/>
      <c r="G24" s="117"/>
      <c r="H24" s="118"/>
      <c r="I24" s="119"/>
    </row>
    <row r="25" spans="1:9" x14ac:dyDescent="0.25">
      <c r="A25" s="163"/>
      <c r="B25" s="3"/>
      <c r="C25" s="164"/>
      <c r="D25" s="198"/>
      <c r="E25" s="153"/>
      <c r="F25" s="154"/>
      <c r="G25" s="117"/>
      <c r="H25" s="118"/>
      <c r="I25" s="119"/>
    </row>
    <row r="26" spans="1:9" x14ac:dyDescent="0.25">
      <c r="A26" s="163"/>
      <c r="B26" s="3"/>
      <c r="C26" s="164"/>
      <c r="D26" s="198"/>
      <c r="E26" s="153"/>
      <c r="F26" s="154"/>
      <c r="G26" s="117"/>
      <c r="H26" s="118"/>
      <c r="I26" s="119"/>
    </row>
    <row r="27" spans="1:9" x14ac:dyDescent="0.25">
      <c r="A27" s="163"/>
      <c r="B27" s="3"/>
      <c r="C27" s="164"/>
      <c r="D27" s="198"/>
      <c r="E27" s="153"/>
      <c r="F27" s="154"/>
      <c r="G27" s="117"/>
      <c r="H27" s="118"/>
      <c r="I27" s="119"/>
    </row>
    <row r="28" spans="1:9" x14ac:dyDescent="0.25">
      <c r="A28" s="3"/>
      <c r="B28" s="3"/>
      <c r="C28" s="230"/>
      <c r="D28" s="162"/>
      <c r="E28" s="162"/>
      <c r="F28" s="135"/>
      <c r="G28" s="117"/>
      <c r="H28" s="118"/>
      <c r="I28" s="119"/>
    </row>
    <row r="29" spans="1:9" ht="15.75" x14ac:dyDescent="0.25">
      <c r="A29" s="129"/>
      <c r="B29" s="130"/>
      <c r="C29" s="58" t="s">
        <v>16</v>
      </c>
      <c r="D29" s="133"/>
      <c r="E29" s="134"/>
      <c r="F29" s="135"/>
      <c r="G29" s="117"/>
      <c r="H29" s="118"/>
      <c r="I29" s="119"/>
    </row>
    <row r="30" spans="1:9" x14ac:dyDescent="0.25">
      <c r="A30" s="231"/>
      <c r="B30" s="232"/>
      <c r="C30" s="233"/>
      <c r="D30" s="234"/>
      <c r="E30" s="162"/>
      <c r="F30" s="135"/>
      <c r="G30" s="117"/>
      <c r="H30" s="118"/>
      <c r="I30" s="119"/>
    </row>
    <row r="31" spans="1:9" x14ac:dyDescent="0.25">
      <c r="A31" s="3"/>
      <c r="B31" s="3"/>
      <c r="C31" s="230"/>
      <c r="D31" s="234"/>
      <c r="E31" s="162"/>
      <c r="F31" s="135"/>
      <c r="G31" s="117"/>
      <c r="H31" s="118"/>
      <c r="I31" s="119"/>
    </row>
    <row r="32" spans="1:9" x14ac:dyDescent="0.25">
      <c r="A32" s="235"/>
      <c r="B32" s="235"/>
      <c r="C32" s="233"/>
      <c r="D32" s="234"/>
      <c r="E32" s="162"/>
      <c r="F32" s="135"/>
      <c r="G32" s="117"/>
      <c r="H32" s="118"/>
      <c r="I32" s="119"/>
    </row>
    <row r="33" spans="1:13" x14ac:dyDescent="0.25">
      <c r="A33" s="3"/>
      <c r="B33" s="3"/>
      <c r="C33" s="230"/>
      <c r="D33" s="162"/>
      <c r="E33" s="133"/>
      <c r="F33" s="135"/>
      <c r="G33" s="117"/>
      <c r="H33" s="118"/>
      <c r="I33" s="119"/>
    </row>
    <row r="34" spans="1:13" x14ac:dyDescent="0.25">
      <c r="A34" s="3"/>
      <c r="B34" s="3"/>
      <c r="C34" s="230"/>
      <c r="D34" s="198"/>
      <c r="E34" s="236"/>
      <c r="F34" s="237"/>
      <c r="G34" s="117"/>
      <c r="H34" s="118"/>
      <c r="I34" s="119"/>
    </row>
    <row r="35" spans="1:13" ht="15.75" x14ac:dyDescent="0.25">
      <c r="A35" s="145"/>
      <c r="B35" s="146"/>
      <c r="C35" s="70" t="s">
        <v>58</v>
      </c>
      <c r="D35" s="147"/>
      <c r="E35" s="117"/>
      <c r="F35" s="118"/>
      <c r="G35" s="117"/>
      <c r="H35" s="118"/>
      <c r="I35" s="119"/>
    </row>
    <row r="36" spans="1:13" x14ac:dyDescent="0.25">
      <c r="A36" s="435" t="s">
        <v>230</v>
      </c>
      <c r="B36" s="3" t="s">
        <v>178</v>
      </c>
      <c r="C36" s="2" t="s">
        <v>231</v>
      </c>
      <c r="D36" s="198" t="s">
        <v>232</v>
      </c>
      <c r="E36" s="196">
        <v>1</v>
      </c>
      <c r="F36" s="154" t="s">
        <v>5</v>
      </c>
      <c r="G36" s="430"/>
      <c r="H36" s="118"/>
      <c r="I36" s="119"/>
    </row>
    <row r="37" spans="1:13" x14ac:dyDescent="0.25">
      <c r="A37" s="3"/>
      <c r="B37" s="3"/>
      <c r="C37" s="2"/>
      <c r="D37" s="198"/>
      <c r="E37" s="153"/>
      <c r="F37" s="154"/>
      <c r="G37" s="117"/>
      <c r="H37" s="118"/>
      <c r="I37" s="119"/>
    </row>
    <row r="38" spans="1:13" x14ac:dyDescent="0.25">
      <c r="A38" s="244"/>
      <c r="B38" s="245"/>
      <c r="C38" s="246"/>
      <c r="D38" s="133"/>
      <c r="E38" s="162"/>
      <c r="F38" s="135"/>
      <c r="G38" s="117"/>
      <c r="H38" s="118"/>
      <c r="I38" s="119"/>
    </row>
    <row r="39" spans="1:13" x14ac:dyDescent="0.25">
      <c r="A39" s="243"/>
      <c r="B39" s="243"/>
      <c r="C39" s="230"/>
      <c r="D39" s="133"/>
      <c r="E39" s="162"/>
      <c r="F39" s="135"/>
      <c r="G39" s="117"/>
      <c r="H39" s="118"/>
      <c r="I39" s="119"/>
    </row>
    <row r="40" spans="1:13" x14ac:dyDescent="0.25">
      <c r="A40" s="244"/>
      <c r="B40" s="245"/>
      <c r="C40" s="246"/>
      <c r="D40" s="133"/>
      <c r="E40" s="162"/>
      <c r="F40" s="135"/>
      <c r="G40" s="117"/>
      <c r="H40" s="118"/>
      <c r="I40" s="119"/>
    </row>
    <row r="41" spans="1:13" ht="15.75" x14ac:dyDescent="0.25">
      <c r="A41" s="244"/>
      <c r="B41" s="245"/>
      <c r="C41" s="246"/>
      <c r="D41" s="59"/>
      <c r="E41" s="162"/>
      <c r="F41" s="135"/>
      <c r="G41" s="161"/>
      <c r="H41" s="133"/>
      <c r="I41" s="119"/>
    </row>
    <row r="42" spans="1:13" ht="15.75" x14ac:dyDescent="0.25">
      <c r="A42" s="129"/>
      <c r="B42" s="130"/>
      <c r="C42" s="199"/>
      <c r="D42" s="59"/>
      <c r="E42" s="162"/>
      <c r="F42" s="135"/>
      <c r="G42" s="162"/>
      <c r="H42" s="133"/>
      <c r="I42" s="119"/>
    </row>
    <row r="43" spans="1:13" ht="15.75" x14ac:dyDescent="0.25">
      <c r="A43" s="129"/>
      <c r="B43" s="130"/>
      <c r="C43" s="199"/>
      <c r="D43" s="59"/>
      <c r="E43" s="162"/>
      <c r="F43" s="135"/>
      <c r="G43" s="54"/>
      <c r="H43" s="135"/>
      <c r="I43" s="119"/>
    </row>
    <row r="44" spans="1:13" ht="15.75" x14ac:dyDescent="0.25">
      <c r="A44" s="129"/>
      <c r="B44" s="130"/>
      <c r="C44" s="199"/>
      <c r="D44" s="133"/>
      <c r="E44" s="133"/>
      <c r="F44" s="135"/>
      <c r="G44" s="59"/>
      <c r="H44" s="59"/>
      <c r="I44" s="119"/>
    </row>
    <row r="45" spans="1:13" ht="15.75" thickBot="1" x14ac:dyDescent="0.3">
      <c r="A45" s="165"/>
      <c r="B45" s="166"/>
      <c r="C45" s="167"/>
      <c r="D45" s="167"/>
      <c r="E45" s="168"/>
      <c r="F45" s="169"/>
      <c r="G45" s="167"/>
      <c r="H45" s="167"/>
      <c r="I45" s="170"/>
      <c r="J45" s="436"/>
      <c r="K45" s="436"/>
      <c r="L45" s="437"/>
      <c r="M45" s="436"/>
    </row>
    <row r="46" spans="1:13" ht="15.75" thickBot="1" x14ac:dyDescent="0.3">
      <c r="A46" s="171"/>
      <c r="B46" s="172"/>
      <c r="C46" s="173"/>
      <c r="D46" s="174" t="s">
        <v>15</v>
      </c>
      <c r="E46" s="175" t="s">
        <v>14</v>
      </c>
      <c r="F46" s="176"/>
      <c r="G46" s="173"/>
      <c r="H46" s="173"/>
      <c r="I46" s="177"/>
      <c r="J46" s="436"/>
      <c r="K46" s="436"/>
      <c r="L46" s="437"/>
      <c r="M46" s="436"/>
    </row>
    <row r="47" spans="1:13" x14ac:dyDescent="0.25">
      <c r="A47" s="799" t="s">
        <v>13</v>
      </c>
      <c r="B47" s="800"/>
      <c r="C47" s="801"/>
      <c r="D47" s="247">
        <v>40700</v>
      </c>
      <c r="E47" s="248" t="s">
        <v>2</v>
      </c>
      <c r="F47" s="802" t="s">
        <v>12</v>
      </c>
      <c r="G47" s="802"/>
      <c r="H47" s="803"/>
      <c r="I47" s="804"/>
      <c r="J47" s="436"/>
      <c r="K47" s="436"/>
      <c r="L47" s="437"/>
      <c r="M47" s="436"/>
    </row>
    <row r="48" spans="1:13" x14ac:dyDescent="0.25">
      <c r="A48" s="805" t="s">
        <v>11</v>
      </c>
      <c r="B48" s="806"/>
      <c r="C48" s="807"/>
      <c r="D48" s="249">
        <v>30</v>
      </c>
      <c r="E48" s="250" t="s">
        <v>233</v>
      </c>
      <c r="F48" s="808" t="s">
        <v>9</v>
      </c>
      <c r="G48" s="808"/>
      <c r="H48" s="809"/>
      <c r="I48" s="810"/>
      <c r="J48" s="436"/>
      <c r="K48" s="436"/>
      <c r="L48" s="437"/>
      <c r="M48" s="436"/>
    </row>
    <row r="49" spans="1:13" x14ac:dyDescent="0.25">
      <c r="A49" s="805" t="s">
        <v>8</v>
      </c>
      <c r="B49" s="806"/>
      <c r="C49" s="807"/>
      <c r="D49" s="250">
        <v>1</v>
      </c>
      <c r="E49" s="250" t="s">
        <v>117</v>
      </c>
      <c r="F49" s="808" t="s">
        <v>7</v>
      </c>
      <c r="G49" s="808"/>
      <c r="H49" s="809"/>
      <c r="I49" s="810"/>
      <c r="J49" s="436"/>
      <c r="K49" s="436"/>
      <c r="L49" s="437"/>
      <c r="M49" s="436"/>
    </row>
    <row r="50" spans="1:13" x14ac:dyDescent="0.25">
      <c r="A50" s="805" t="s">
        <v>6</v>
      </c>
      <c r="B50" s="806"/>
      <c r="C50" s="807"/>
      <c r="D50" s="247">
        <v>40700</v>
      </c>
      <c r="E50" s="250" t="s">
        <v>2</v>
      </c>
      <c r="F50" s="811" t="s">
        <v>4</v>
      </c>
      <c r="G50" s="812"/>
      <c r="H50" s="809"/>
      <c r="I50" s="810"/>
      <c r="J50" s="436"/>
      <c r="K50" s="436"/>
      <c r="L50" s="437"/>
      <c r="M50" s="438"/>
    </row>
    <row r="51" spans="1:13" ht="15.75" thickBot="1" x14ac:dyDescent="0.3">
      <c r="A51" s="819" t="s">
        <v>3</v>
      </c>
      <c r="B51" s="820"/>
      <c r="C51" s="821"/>
      <c r="D51" s="251">
        <v>1300</v>
      </c>
      <c r="E51" s="252" t="s">
        <v>2</v>
      </c>
      <c r="F51" s="822"/>
      <c r="G51" s="822"/>
      <c r="H51" s="856"/>
      <c r="I51" s="857"/>
      <c r="J51" s="167"/>
      <c r="K51" s="167"/>
      <c r="L51" s="437"/>
      <c r="M51" s="167"/>
    </row>
    <row r="52" spans="1:13" ht="15.75" thickBot="1" x14ac:dyDescent="0.3">
      <c r="A52" s="823" t="s">
        <v>1</v>
      </c>
      <c r="B52" s="824"/>
      <c r="C52" s="824"/>
      <c r="D52" s="824"/>
      <c r="E52" s="824"/>
      <c r="F52" s="824"/>
      <c r="G52" s="824"/>
      <c r="H52" s="824"/>
      <c r="I52" s="825"/>
      <c r="J52" s="436"/>
      <c r="K52" s="436"/>
      <c r="L52" s="436"/>
      <c r="M52" s="436"/>
    </row>
    <row r="53" spans="1:13" ht="18.399999999999999" customHeight="1" x14ac:dyDescent="0.25">
      <c r="A53" s="967" t="s">
        <v>234</v>
      </c>
      <c r="B53" s="968"/>
      <c r="C53" s="968"/>
      <c r="D53" s="968"/>
      <c r="E53" s="968"/>
      <c r="F53" s="968"/>
      <c r="G53" s="968"/>
      <c r="H53" s="968"/>
      <c r="I53" s="969"/>
      <c r="J53" s="436"/>
      <c r="K53" s="436"/>
      <c r="L53" s="436"/>
      <c r="M53" s="436"/>
    </row>
    <row r="54" spans="1:13" x14ac:dyDescent="0.25">
      <c r="A54" s="964" t="s">
        <v>235</v>
      </c>
      <c r="B54" s="965"/>
      <c r="C54" s="965"/>
      <c r="D54" s="965"/>
      <c r="E54" s="965"/>
      <c r="F54" s="965"/>
      <c r="G54" s="965"/>
      <c r="H54" s="965"/>
      <c r="I54" s="966"/>
      <c r="J54" s="436"/>
      <c r="K54" s="436"/>
      <c r="L54" s="436"/>
      <c r="M54" s="436"/>
    </row>
    <row r="55" spans="1:13" ht="15.75" x14ac:dyDescent="0.25">
      <c r="A55" s="970" t="s">
        <v>236</v>
      </c>
      <c r="B55" s="971"/>
      <c r="C55" s="971"/>
      <c r="D55" s="971"/>
      <c r="E55" s="971"/>
      <c r="F55" s="971"/>
      <c r="G55" s="971"/>
      <c r="H55" s="971"/>
      <c r="I55" s="972"/>
      <c r="J55" s="436"/>
      <c r="K55" s="436"/>
      <c r="L55" s="436"/>
      <c r="M55" s="436"/>
    </row>
    <row r="56" spans="1:13" ht="16.5" thickBot="1" x14ac:dyDescent="0.3">
      <c r="A56" s="973" t="s">
        <v>237</v>
      </c>
      <c r="B56" s="974"/>
      <c r="C56" s="974"/>
      <c r="D56" s="974"/>
      <c r="E56" s="974"/>
      <c r="F56" s="974"/>
      <c r="G56" s="974"/>
      <c r="H56" s="974"/>
      <c r="I56" s="975"/>
      <c r="J56" s="436"/>
      <c r="K56" s="436"/>
      <c r="L56" s="436"/>
      <c r="M56" s="436"/>
    </row>
    <row r="57" spans="1:13" x14ac:dyDescent="0.25">
      <c r="A57" s="976"/>
      <c r="B57" s="977"/>
      <c r="C57" s="978"/>
      <c r="D57" s="978"/>
      <c r="E57" s="978"/>
      <c r="F57" s="978"/>
      <c r="G57" s="978"/>
      <c r="H57" s="978"/>
      <c r="I57" s="979"/>
      <c r="J57" s="436"/>
      <c r="K57" s="436"/>
      <c r="L57" s="436"/>
      <c r="M57" s="436"/>
    </row>
    <row r="58" spans="1:13" x14ac:dyDescent="0.25">
      <c r="A58" s="980"/>
      <c r="B58" s="981"/>
      <c r="C58" s="981"/>
      <c r="D58" s="981"/>
      <c r="E58" s="981"/>
      <c r="F58" s="981"/>
      <c r="G58" s="981"/>
      <c r="H58" s="981"/>
      <c r="I58" s="982"/>
      <c r="J58" s="436"/>
      <c r="K58" s="436"/>
      <c r="L58" s="436"/>
      <c r="M58" s="436"/>
    </row>
    <row r="59" spans="1:13" ht="18" customHeight="1" x14ac:dyDescent="0.25">
      <c r="A59" s="980"/>
      <c r="B59" s="981"/>
      <c r="C59" s="981"/>
      <c r="D59" s="981"/>
      <c r="E59" s="981"/>
      <c r="F59" s="981"/>
      <c r="G59" s="981"/>
      <c r="H59" s="981"/>
      <c r="I59" s="982"/>
      <c r="J59" s="436"/>
      <c r="K59" s="436"/>
      <c r="L59" s="436"/>
      <c r="M59" s="436"/>
    </row>
    <row r="60" spans="1:13" x14ac:dyDescent="0.25">
      <c r="A60" s="862"/>
      <c r="B60" s="863"/>
      <c r="C60" s="863"/>
      <c r="D60" s="863"/>
      <c r="E60" s="863"/>
      <c r="F60" s="863"/>
      <c r="G60" s="863"/>
      <c r="H60" s="863"/>
      <c r="I60" s="864"/>
      <c r="J60" s="436"/>
      <c r="K60" s="436"/>
      <c r="L60" s="436"/>
      <c r="M60" s="436"/>
    </row>
    <row r="61" spans="1:13" ht="15.75" thickBot="1" x14ac:dyDescent="0.3">
      <c r="A61" s="872"/>
      <c r="B61" s="873"/>
      <c r="C61" s="873"/>
      <c r="D61" s="873"/>
      <c r="E61" s="873"/>
      <c r="F61" s="873"/>
      <c r="G61" s="873"/>
      <c r="H61" s="873"/>
      <c r="I61" s="874"/>
      <c r="J61" s="436"/>
      <c r="K61" s="436"/>
      <c r="L61" s="436"/>
      <c r="M61" s="436"/>
    </row>
    <row r="62" spans="1:13" x14ac:dyDescent="0.25">
      <c r="A62" s="614" t="s">
        <v>0</v>
      </c>
      <c r="B62" s="615"/>
      <c r="C62" s="615"/>
      <c r="D62" s="615"/>
      <c r="E62" s="615"/>
      <c r="F62" s="615"/>
      <c r="G62" s="615"/>
      <c r="H62" s="615"/>
      <c r="I62" s="615"/>
      <c r="J62" s="436"/>
      <c r="K62" s="436"/>
      <c r="L62" s="436"/>
      <c r="M62" s="436"/>
    </row>
    <row r="63" spans="1:13" x14ac:dyDescent="0.25">
      <c r="A63" s="616"/>
      <c r="B63" s="617"/>
      <c r="C63" s="617"/>
      <c r="D63" s="617"/>
      <c r="E63" s="617"/>
      <c r="F63" s="617"/>
      <c r="G63" s="617"/>
      <c r="H63" s="617"/>
      <c r="I63" s="617"/>
      <c r="J63" s="436"/>
      <c r="K63" s="436"/>
      <c r="L63" s="436"/>
      <c r="M63" s="436"/>
    </row>
    <row r="64" spans="1:13" x14ac:dyDescent="0.25">
      <c r="A64" s="616"/>
      <c r="B64" s="617"/>
      <c r="C64" s="617"/>
      <c r="D64" s="617"/>
      <c r="E64" s="617"/>
      <c r="F64" s="617"/>
      <c r="G64" s="617"/>
      <c r="H64" s="617"/>
      <c r="I64" s="617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68C68-7152-4CF3-8861-73005D2F5B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57AE4E6-5D75-4EE8-907A-4D0340DAF5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D68096-5468-4406-9027-18ED3C29B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Ensamble Industria </vt:lpstr>
      <vt:lpstr>COSTO INDUSTRIA </vt:lpstr>
      <vt:lpstr>Ensamble Local </vt:lpstr>
      <vt:lpstr>Ensamble local 2</vt:lpstr>
      <vt:lpstr>Hoja2</vt:lpstr>
      <vt:lpstr>Rosquete chocolate </vt:lpstr>
      <vt:lpstr>Batido</vt:lpstr>
      <vt:lpstr>Premezcla </vt:lpstr>
      <vt:lpstr>Travasado leche cond</vt:lpstr>
      <vt:lpstr>Leche cond cocinada dura</vt:lpstr>
      <vt:lpstr>Chantilly Morado </vt:lpstr>
      <vt:lpstr>Chantilly Blanca Spoon</vt:lpstr>
      <vt:lpstr>Ganache Chocolate Oscuro</vt:lpstr>
      <vt:lpstr>'Ensamble Industria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2025-08-18T15:34:16Z</cp:lastPrinted>
  <dcterms:created xsi:type="dcterms:W3CDTF">2024-02-13T19:26:55Z</dcterms:created>
  <dcterms:modified xsi:type="dcterms:W3CDTF">2025-08-18T15:34:19Z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
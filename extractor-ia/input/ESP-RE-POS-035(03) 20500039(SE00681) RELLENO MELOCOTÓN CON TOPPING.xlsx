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1" documentId="8_{79A7E0D3-2F0D-4C0B-91F1-9F30B1403C5E}" xr6:coauthVersionLast="47" xr6:coauthVersionMax="47" xr10:uidLastSave="{3DF1715D-62CE-4AC6-BBE7-3759E9FC253F}"/>
  <bookViews>
    <workbookView xWindow="20370" yWindow="-120" windowWidth="24240" windowHeight="13020" xr2:uid="{860C3308-EF5B-483E-BF91-44040170D284}"/>
  </bookViews>
  <sheets>
    <sheet name="Hoja1" sheetId="5" r:id="rId1"/>
    <sheet name="Hoja3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6" i="5" l="1"/>
</calcChain>
</file>

<file path=xl/sharedStrings.xml><?xml version="1.0" encoding="utf-8"?>
<sst xmlns="http://schemas.openxmlformats.org/spreadsheetml/2006/main" count="79" uniqueCount="68">
  <si>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</si>
  <si>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</si>
  <si>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</si>
  <si>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</si>
  <si>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</si>
  <si>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</si>
  <si>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</si>
  <si>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</si>
  <si>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</si>
  <si>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</si>
  <si>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</si>
  <si>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</si>
  <si>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</si>
  <si>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</si>
  <si>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</si>
  <si>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</si>
  <si>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</si>
  <si>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</si>
  <si>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ud</t>
  </si>
  <si>
    <t>CEMUSA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</si>
  <si>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</si>
  <si>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</si>
  <si>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</si>
  <si>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</si>
  <si>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</si>
  <si>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</si>
  <si>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</si>
  <si>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</si>
  <si>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</si>
  <si>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</si>
  <si>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</si>
  <si>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</si>
  <si>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AREA QUE PRODUCE:</t>
  </si>
  <si>
    <t xml:space="preserve">AREA QUE EMPACA: </t>
  </si>
  <si>
    <t>109000127</t>
  </si>
  <si>
    <t>MELOCOTON EN CUBOS COUNTREE (UND:3 K)</t>
  </si>
  <si>
    <t>COUNTREE</t>
  </si>
  <si>
    <t>TOOPING MELOCOTON 2000 g</t>
  </si>
  <si>
    <t>PRESERVANTE 1047S (PAQ=5 KILO)</t>
  </si>
  <si>
    <t>ASEAL</t>
  </si>
  <si>
    <t>ETIQUETA BLANCA 2 5/8X1 15/16</t>
  </si>
  <si>
    <t>Tanda</t>
  </si>
  <si>
    <t>10400008</t>
  </si>
  <si>
    <t>MP10039</t>
  </si>
  <si>
    <t>SE00012</t>
  </si>
  <si>
    <t>MP10008</t>
  </si>
  <si>
    <t>MP10150</t>
  </si>
  <si>
    <t>EM10011</t>
  </si>
  <si>
    <t>Javier Tong, Chef</t>
  </si>
  <si>
    <t>Esteban Cartin, Gte Manufactura</t>
  </si>
  <si>
    <t>Postres</t>
  </si>
  <si>
    <t># Código Netsuite</t>
  </si>
  <si>
    <t>Ensamble</t>
  </si>
  <si>
    <t xml:space="preserve">COLORANTE GEL EGG YELLOW </t>
  </si>
  <si>
    <t>Decoración</t>
  </si>
  <si>
    <t>Empaque</t>
  </si>
  <si>
    <t>CONTROL DE CAMBIOS</t>
  </si>
  <si>
    <t>ESP-RE-POS-035</t>
  </si>
  <si>
    <t>MP10089</t>
  </si>
  <si>
    <t>Brillo Glit</t>
  </si>
  <si>
    <t>1- Abrir las latas de melocotón, colocar en la centrifugadora 6 tarros por 5 minutos.</t>
  </si>
  <si>
    <t>2-  Colocar en una tina el melocoton drenado, agregar el preservante,  el topping de melocotón y el brillo</t>
  </si>
  <si>
    <t xml:space="preserve">3, Mezclar hasta que quede homogeneo </t>
  </si>
  <si>
    <t xml:space="preserve">4. Tapar y etiquetar y refigerar. </t>
  </si>
  <si>
    <t xml:space="preserve">2. se agrega brilllo a la receta </t>
  </si>
  <si>
    <t xml:space="preserve">3. Se actualiza cantidad de topping de melocoton y peso total obtenido </t>
  </si>
  <si>
    <t>03</t>
  </si>
  <si>
    <t>20500039(SE00681) RELLENO MELOCOTÓN CON TOPPING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</si>
</sst>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</cellStyleXfs>
  <cellXfs count="136">
    <xf numFmtId="0" fontId="0" fillId="0" borderId="0" xfId="0"/>
    <xf numFmtId="0" fontId="6" fillId="3" borderId="33" xfId="7" applyFont="1" applyFill="1" applyBorder="1" applyAlignment="1">
      <alignment horizontal="right"/>
    </xf>
    <xf numFmtId="0" fontId="5" fillId="3" borderId="34" xfId="7" applyFont="1" applyFill="1" applyBorder="1" applyAlignment="1">
      <alignment horizontal="center"/>
    </xf>
    <xf numFmtId="0" fontId="6" fillId="3" borderId="1" xfId="7" applyFont="1" applyFill="1" applyBorder="1" applyAlignment="1">
      <alignment horizontal="right"/>
    </xf>
    <xf numFmtId="49" fontId="5" fillId="3" borderId="35" xfId="7" applyNumberFormat="1" applyFont="1" applyFill="1" applyBorder="1" applyAlignment="1">
      <alignment horizontal="center"/>
    </xf>
    <xf numFmtId="0" fontId="5" fillId="3" borderId="6" xfId="7" applyFont="1" applyFill="1" applyBorder="1" applyAlignment="1">
      <alignment horizontal="right"/>
    </xf>
    <xf numFmtId="0" fontId="5" fillId="3" borderId="1" xfId="7" applyFont="1" applyFill="1" applyBorder="1" applyAlignment="1">
      <alignment horizontal="right"/>
    </xf>
    <xf numFmtId="0" fontId="6" fillId="4" borderId="34" xfId="3" applyFont="1" applyFill="1" applyBorder="1" applyAlignment="1">
      <alignment horizontal="center" vertical="center" wrapText="1"/>
    </xf>
    <xf numFmtId="1" fontId="6" fillId="4" borderId="40" xfId="3" applyNumberFormat="1" applyFont="1" applyFill="1" applyBorder="1" applyAlignment="1">
      <alignment horizontal="center"/>
    </xf>
    <xf numFmtId="1" fontId="6" fillId="4" borderId="40" xfId="3" applyNumberFormat="1" applyFont="1" applyFill="1" applyBorder="1" applyAlignment="1">
      <alignment horizontal="center" wrapText="1"/>
    </xf>
    <xf numFmtId="0" fontId="6" fillId="4" borderId="41" xfId="3" applyFont="1" applyFill="1" applyBorder="1" applyAlignment="1">
      <alignment horizontal="center"/>
    </xf>
    <xf numFmtId="0" fontId="3" fillId="3" borderId="0" xfId="8" applyFont="1" applyFill="1" applyAlignment="1">
      <alignment horizontal="right"/>
    </xf>
    <xf numFmtId="0" fontId="3" fillId="3" borderId="0" xfId="8" applyFont="1" applyFill="1"/>
    <xf numFmtId="0" fontId="6" fillId="4" borderId="38" xfId="3" applyFont="1" applyFill="1" applyBorder="1" applyAlignment="1">
      <alignment horizontal="center" vertical="center"/>
    </xf>
    <xf numFmtId="0" fontId="6" fillId="4" borderId="39" xfId="3" applyFont="1" applyFill="1" applyBorder="1" applyAlignment="1">
      <alignment horizontal="center" vertical="center"/>
    </xf>
    <xf numFmtId="0" fontId="6" fillId="4" borderId="38" xfId="3" applyFont="1" applyFill="1" applyBorder="1" applyAlignment="1">
      <alignment horizontal="center" vertical="center" wrapText="1"/>
    </xf>
    <xf numFmtId="0" fontId="6" fillId="4" borderId="39" xfId="3" applyFont="1" applyFill="1" applyBorder="1" applyAlignment="1">
      <alignment horizontal="center" vertical="center" wrapText="1"/>
    </xf>
    <xf numFmtId="0" fontId="6" fillId="4" borderId="33" xfId="3" applyFont="1" applyFill="1" applyBorder="1" applyAlignment="1">
      <alignment horizontal="center" vertical="center"/>
    </xf>
    <xf numFmtId="0" fontId="6" fillId="4" borderId="40" xfId="3" applyFont="1" applyFill="1" applyBorder="1" applyAlignment="1">
      <alignment horizontal="center" vertical="center"/>
    </xf>
    <xf numFmtId="14" fontId="5" fillId="3" borderId="3" xfId="7" applyNumberFormat="1" applyFont="1" applyFill="1" applyBorder="1" applyAlignment="1">
      <alignment horizontal="center" vertical="center" wrapText="1"/>
    </xf>
    <xf numFmtId="14" fontId="5" fillId="3" borderId="4" xfId="7" applyNumberFormat="1" applyFont="1" applyFill="1" applyBorder="1" applyAlignment="1">
      <alignment horizontal="center" vertical="center" wrapText="1"/>
    </xf>
    <xf numFmtId="14" fontId="5" fillId="3" borderId="37" xfId="7" applyNumberFormat="1" applyFont="1" applyFill="1" applyBorder="1" applyAlignment="1">
      <alignment horizontal="center" vertical="center" wrapText="1"/>
    </xf>
    <xf numFmtId="0" fontId="5" fillId="3" borderId="7" xfId="7" applyFont="1" applyFill="1" applyBorder="1" applyAlignment="1">
      <alignment horizontal="left"/>
    </xf>
    <xf numFmtId="0" fontId="5" fillId="3" borderId="20" xfId="7" applyFont="1" applyFill="1" applyBorder="1" applyAlignment="1">
      <alignment horizontal="left"/>
    </xf>
    <xf numFmtId="0" fontId="5" fillId="3" borderId="16" xfId="7" applyFont="1" applyFill="1" applyBorder="1" applyAlignment="1">
      <alignment horizontal="left"/>
    </xf>
    <xf numFmtId="0" fontId="5" fillId="3" borderId="9" xfId="7" applyFont="1" applyFill="1" applyBorder="1" applyAlignment="1">
      <alignment horizontal="left"/>
    </xf>
    <xf numFmtId="0" fontId="5" fillId="3" borderId="11" xfId="7" applyFont="1" applyFill="1" applyBorder="1" applyAlignment="1">
      <alignment horizontal="left"/>
    </xf>
    <xf numFmtId="0" fontId="5" fillId="3" borderId="10" xfId="7" applyFont="1" applyFill="1" applyBorder="1" applyAlignment="1">
      <alignment horizontal="left"/>
    </xf>
    <xf numFmtId="0" fontId="5" fillId="3" borderId="30" xfId="7" applyFont="1" applyFill="1" applyBorder="1" applyAlignment="1">
      <alignment horizontal="center"/>
    </xf>
    <xf numFmtId="0" fontId="5" fillId="3" borderId="32" xfId="7" applyFont="1" applyFill="1" applyBorder="1" applyAlignment="1">
      <alignment horizontal="center"/>
    </xf>
    <xf numFmtId="0" fontId="5" fillId="3" borderId="2" xfId="7" applyFont="1" applyFill="1" applyBorder="1" applyAlignment="1">
      <alignment horizontal="center"/>
    </xf>
    <xf numFmtId="0" fontId="5" fillId="3" borderId="0" xfId="7" applyFont="1" applyFill="1" applyAlignment="1">
      <alignment horizontal="center"/>
    </xf>
    <xf numFmtId="0" fontId="5" fillId="3" borderId="31" xfId="7" applyFont="1" applyFill="1" applyBorder="1" applyAlignment="1">
      <alignment horizontal="center"/>
    </xf>
    <xf numFmtId="0" fontId="5" fillId="3" borderId="28" xfId="7" applyFont="1" applyFill="1" applyBorder="1" applyAlignment="1">
      <alignment horizontal="center"/>
    </xf>
    <xf numFmtId="0" fontId="6" fillId="3" borderId="33" xfId="7" applyFont="1" applyFill="1" applyBorder="1" applyAlignment="1">
      <alignment horizontal="center"/>
    </xf>
    <xf numFmtId="0" fontId="6" fillId="3" borderId="15" xfId="7" applyFont="1" applyFill="1" applyBorder="1" applyAlignment="1">
      <alignment horizontal="center"/>
    </xf>
    <xf numFmtId="0" fontId="6" fillId="3" borderId="23" xfId="7" applyFont="1" applyFill="1" applyBorder="1" applyAlignment="1">
      <alignment horizontal="center"/>
    </xf>
    <xf numFmtId="0" fontId="6" fillId="3" borderId="24" xfId="7" applyFont="1" applyFill="1" applyBorder="1" applyAlignment="1">
      <alignment horizontal="center"/>
    </xf>
    <xf numFmtId="0" fontId="6" fillId="3" borderId="36" xfId="7" applyFont="1" applyFill="1" applyBorder="1" applyAlignment="1">
      <alignment horizontal="right" vertical="top" wrapText="1"/>
    </xf>
    <xf numFmtId="0" fontId="6" fillId="3" borderId="29" xfId="7" applyFont="1" applyFill="1" applyBorder="1" applyAlignment="1">
      <alignment horizontal="right" vertical="top" wrapText="1"/>
    </xf>
    <xf numFmtId="0" fontId="6" fillId="3" borderId="5" xfId="7" applyFont="1" applyFill="1" applyBorder="1" applyAlignment="1">
      <alignment horizontal="right" vertical="top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3" borderId="13" xfId="8" applyFont="1" applyFill="1" applyBorder="1" applyAlignment="1">
      <alignment horizontal="center"/>
    </xf>
    <xf numFmtId="14" fontId="8" fillId="3" borderId="0" xfId="8" applyNumberFormat="1" applyFont="1" applyFill="1" applyAlignment="1">
      <alignment horizontal="center" vertical="center" wrapText="1"/>
    </xf>
    <xf numFmtId="0" fontId="9" fillId="0" borderId="8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9" fillId="0" borderId="1" xfId="3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 wrapText="1"/>
    </xf>
    <xf numFmtId="0" fontId="11" fillId="0" borderId="35" xfId="3" applyFont="1" applyBorder="1" applyAlignment="1">
      <alignment horizontal="center"/>
    </xf>
    <xf numFmtId="0" fontId="12" fillId="0" borderId="0" xfId="0" applyFont="1"/>
    <xf numFmtId="0" fontId="11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12" fontId="11" fillId="0" borderId="6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9" fillId="0" borderId="1" xfId="0" applyFont="1" applyBorder="1"/>
    <xf numFmtId="0" fontId="11" fillId="0" borderId="1" xfId="0" applyFont="1" applyBorder="1"/>
    <xf numFmtId="0" fontId="11" fillId="0" borderId="1" xfId="3" applyFont="1" applyBorder="1" applyAlignment="1">
      <alignment horizontal="center"/>
    </xf>
    <xf numFmtId="1" fontId="11" fillId="0" borderId="1" xfId="3" applyNumberFormat="1" applyFont="1" applyBorder="1" applyAlignment="1">
      <alignment horizontal="center" wrapText="1"/>
    </xf>
    <xf numFmtId="1" fontId="12" fillId="0" borderId="1" xfId="0" applyNumberFormat="1" applyFont="1" applyBorder="1"/>
    <xf numFmtId="0" fontId="11" fillId="5" borderId="1" xfId="3" applyFont="1" applyFill="1" applyBorder="1" applyAlignment="1">
      <alignment horizontal="center"/>
    </xf>
    <xf numFmtId="49" fontId="11" fillId="0" borderId="8" xfId="3" applyNumberFormat="1" applyFont="1" applyBorder="1" applyAlignment="1">
      <alignment horizontal="center"/>
    </xf>
    <xf numFmtId="49" fontId="11" fillId="0" borderId="10" xfId="3" applyNumberFormat="1" applyFont="1" applyBorder="1" applyAlignment="1">
      <alignment horizontal="center"/>
    </xf>
    <xf numFmtId="0" fontId="9" fillId="5" borderId="1" xfId="3" applyFont="1" applyFill="1" applyBorder="1" applyAlignment="1">
      <alignment horizontal="left"/>
    </xf>
    <xf numFmtId="164" fontId="11" fillId="0" borderId="1" xfId="3" applyNumberFormat="1" applyFont="1" applyBorder="1" applyAlignment="1">
      <alignment horizontal="center"/>
    </xf>
    <xf numFmtId="16" fontId="11" fillId="0" borderId="1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49" fontId="9" fillId="0" borderId="14" xfId="3" applyNumberFormat="1" applyFont="1" applyBorder="1" applyAlignment="1">
      <alignment horizontal="center"/>
    </xf>
    <xf numFmtId="49" fontId="9" fillId="0" borderId="11" xfId="3" applyNumberFormat="1" applyFont="1" applyBorder="1" applyAlignment="1">
      <alignment horizontal="center"/>
    </xf>
    <xf numFmtId="0" fontId="10" fillId="5" borderId="1" xfId="3" applyFont="1" applyFill="1" applyBorder="1" applyAlignment="1">
      <alignment vertical="center"/>
    </xf>
    <xf numFmtId="0" fontId="9" fillId="0" borderId="10" xfId="3" applyFont="1" applyBorder="1" applyAlignment="1">
      <alignment horizontal="center"/>
    </xf>
    <xf numFmtId="164" fontId="9" fillId="0" borderId="1" xfId="3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166" fontId="9" fillId="5" borderId="1" xfId="6" applyNumberFormat="1" applyFont="1" applyFill="1" applyBorder="1" applyAlignment="1">
      <alignment horizontal="center"/>
    </xf>
    <xf numFmtId="49" fontId="13" fillId="3" borderId="2" xfId="3" applyNumberFormat="1" applyFont="1" applyFill="1" applyBorder="1" applyAlignment="1">
      <alignment horizontal="center" vertical="center"/>
    </xf>
    <xf numFmtId="49" fontId="13" fillId="3" borderId="0" xfId="3" applyNumberFormat="1" applyFont="1" applyFill="1" applyAlignment="1">
      <alignment horizontal="center" vertical="center"/>
    </xf>
    <xf numFmtId="0" fontId="11" fillId="3" borderId="0" xfId="3" applyFont="1" applyFill="1"/>
    <xf numFmtId="1" fontId="11" fillId="3" borderId="0" xfId="3" applyNumberFormat="1" applyFont="1" applyFill="1" applyAlignment="1">
      <alignment horizontal="center"/>
    </xf>
    <xf numFmtId="165" fontId="11" fillId="3" borderId="0" xfId="3" applyNumberFormat="1" applyFont="1" applyFill="1" applyAlignment="1">
      <alignment horizontal="center" wrapText="1"/>
    </xf>
    <xf numFmtId="0" fontId="11" fillId="3" borderId="17" xfId="3" applyFont="1" applyFill="1" applyBorder="1" applyAlignment="1">
      <alignment horizontal="center"/>
    </xf>
    <xf numFmtId="0" fontId="11" fillId="4" borderId="25" xfId="3" applyFont="1" applyFill="1" applyBorder="1" applyAlignment="1">
      <alignment horizontal="center"/>
    </xf>
    <xf numFmtId="0" fontId="11" fillId="4" borderId="26" xfId="3" applyFont="1" applyFill="1" applyBorder="1" applyAlignment="1">
      <alignment horizontal="center"/>
    </xf>
    <xf numFmtId="0" fontId="11" fillId="4" borderId="26" xfId="3" applyFont="1" applyFill="1" applyBorder="1"/>
    <xf numFmtId="0" fontId="9" fillId="4" borderId="26" xfId="3" applyFont="1" applyFill="1" applyBorder="1" applyAlignment="1">
      <alignment horizontal="center"/>
    </xf>
    <xf numFmtId="1" fontId="9" fillId="4" borderId="26" xfId="3" applyNumberFormat="1" applyFont="1" applyFill="1" applyBorder="1" applyAlignment="1">
      <alignment horizontal="center"/>
    </xf>
    <xf numFmtId="165" fontId="11" fillId="4" borderId="26" xfId="3" applyNumberFormat="1" applyFont="1" applyFill="1" applyBorder="1" applyAlignment="1">
      <alignment horizontal="center" wrapText="1"/>
    </xf>
    <xf numFmtId="0" fontId="11" fillId="4" borderId="27" xfId="3" applyFont="1" applyFill="1" applyBorder="1" applyAlignment="1">
      <alignment horizontal="center"/>
    </xf>
    <xf numFmtId="0" fontId="9" fillId="0" borderId="31" xfId="3" applyFont="1" applyBorder="1" applyAlignment="1">
      <alignment horizontal="right"/>
    </xf>
    <xf numFmtId="0" fontId="9" fillId="0" borderId="28" xfId="3" applyFont="1" applyBorder="1" applyAlignment="1">
      <alignment horizontal="right"/>
    </xf>
    <xf numFmtId="0" fontId="9" fillId="0" borderId="21" xfId="3" applyFont="1" applyBorder="1" applyAlignment="1">
      <alignment horizontal="right"/>
    </xf>
    <xf numFmtId="0" fontId="11" fillId="0" borderId="42" xfId="0" applyFont="1" applyBorder="1" applyAlignment="1">
      <alignment horizontal="center"/>
    </xf>
    <xf numFmtId="165" fontId="11" fillId="0" borderId="6" xfId="3" applyNumberFormat="1" applyFont="1" applyBorder="1" applyAlignment="1">
      <alignment horizontal="right"/>
    </xf>
    <xf numFmtId="0" fontId="11" fillId="3" borderId="42" xfId="3" applyFont="1" applyFill="1" applyBorder="1" applyAlignment="1">
      <alignment horizontal="center"/>
    </xf>
    <xf numFmtId="0" fontId="11" fillId="3" borderId="22" xfId="3" applyFont="1" applyFill="1" applyBorder="1" applyAlignment="1">
      <alignment horizontal="center"/>
    </xf>
    <xf numFmtId="0" fontId="9" fillId="0" borderId="14" xfId="3" applyFont="1" applyBorder="1" applyAlignment="1">
      <alignment horizontal="right"/>
    </xf>
    <xf numFmtId="0" fontId="9" fillId="0" borderId="11" xfId="3" applyFont="1" applyBorder="1" applyAlignment="1">
      <alignment horizontal="right"/>
    </xf>
    <xf numFmtId="0" fontId="9" fillId="0" borderId="10" xfId="3" applyFont="1" applyBorder="1" applyAlignment="1">
      <alignment horizontal="right"/>
    </xf>
    <xf numFmtId="0" fontId="11" fillId="0" borderId="1" xfId="3" applyFont="1" applyBorder="1" applyAlignment="1">
      <alignment horizontal="right"/>
    </xf>
    <xf numFmtId="165" fontId="11" fillId="0" borderId="9" xfId="3" applyNumberFormat="1" applyFont="1" applyBorder="1" applyAlignment="1">
      <alignment horizontal="center"/>
    </xf>
    <xf numFmtId="165" fontId="11" fillId="0" borderId="12" xfId="3" applyNumberFormat="1" applyFont="1" applyBorder="1" applyAlignment="1">
      <alignment horizontal="center"/>
    </xf>
    <xf numFmtId="165" fontId="11" fillId="0" borderId="9" xfId="3" applyNumberFormat="1" applyFont="1" applyBorder="1" applyAlignment="1">
      <alignment horizontal="right" wrapText="1"/>
    </xf>
    <xf numFmtId="165" fontId="11" fillId="0" borderId="10" xfId="3" applyNumberFormat="1" applyFont="1" applyBorder="1" applyAlignment="1">
      <alignment horizontal="right" wrapText="1"/>
    </xf>
    <xf numFmtId="165" fontId="11" fillId="0" borderId="9" xfId="0" applyNumberFormat="1" applyFont="1" applyBorder="1" applyAlignment="1">
      <alignment horizontal="center" wrapText="1"/>
    </xf>
    <xf numFmtId="165" fontId="11" fillId="0" borderId="12" xfId="0" applyNumberFormat="1" applyFont="1" applyBorder="1" applyAlignment="1">
      <alignment horizontal="center" wrapText="1"/>
    </xf>
    <xf numFmtId="0" fontId="9" fillId="0" borderId="39" xfId="3" applyFont="1" applyBorder="1" applyAlignment="1">
      <alignment horizontal="right"/>
    </xf>
    <xf numFmtId="0" fontId="9" fillId="0" borderId="24" xfId="3" applyFont="1" applyBorder="1" applyAlignment="1">
      <alignment horizontal="right"/>
    </xf>
    <xf numFmtId="0" fontId="9" fillId="0" borderId="40" xfId="3" applyFont="1" applyBorder="1" applyAlignment="1">
      <alignment horizontal="right"/>
    </xf>
    <xf numFmtId="1" fontId="11" fillId="0" borderId="40" xfId="0" applyNumberFormat="1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0" xfId="3" applyFont="1" applyBorder="1" applyAlignment="1">
      <alignment horizontal="right"/>
    </xf>
    <xf numFmtId="0" fontId="11" fillId="0" borderId="18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14" xfId="0" applyFont="1" applyBorder="1" applyAlignment="1">
      <alignment horizontal="left" wrapText="1"/>
    </xf>
    <xf numFmtId="0" fontId="11" fillId="0" borderId="11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14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9" fillId="4" borderId="25" xfId="3" applyFont="1" applyFill="1" applyBorder="1" applyAlignment="1">
      <alignment horizontal="center"/>
    </xf>
    <xf numFmtId="0" fontId="9" fillId="4" borderId="26" xfId="3" applyFont="1" applyFill="1" applyBorder="1" applyAlignment="1">
      <alignment horizontal="center"/>
    </xf>
    <xf numFmtId="0" fontId="9" fillId="4" borderId="27" xfId="3" applyFont="1" applyFill="1" applyBorder="1" applyAlignment="1">
      <alignment horizontal="center"/>
    </xf>
    <xf numFmtId="0" fontId="9" fillId="0" borderId="43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9" fillId="0" borderId="45" xfId="0" applyFont="1" applyBorder="1" applyAlignment="1">
      <alignment horizontal="left"/>
    </xf>
    <xf numFmtId="0" fontId="9" fillId="6" borderId="1" xfId="7" applyFont="1" applyFill="1" applyBorder="1" applyAlignment="1">
      <alignment horizontal="center"/>
    </xf>
    <xf numFmtId="0" fontId="11" fillId="3" borderId="1" xfId="7" applyFont="1" applyFill="1" applyBorder="1" applyAlignment="1">
      <alignment horizontal="left"/>
    </xf>
    <xf numFmtId="1" fontId="12" fillId="0" borderId="1" xfId="0" applyNumberFormat="1" applyFont="1" applyBorder="1" applyAlignment="1">
      <alignment horizontal="center"/>
    </xf>
  </cellXfs>
  <cellStyles count="9">
    <cellStyle name="Millares" xfId="6" builtinId="3"/>
    <cellStyle name="Normal" xfId="0" builtinId="0"/>
    <cellStyle name="Normal 2" xfId="3" xr:uid="{647673C7-A4C5-46E7-95BC-69F67EA65885}"/>
    <cellStyle name="Normal 3" xfId="1" xr:uid="{0C76DA84-3D64-4519-82CF-3C183AFA6A74}"/>
    <cellStyle name="Normal 5" xfId="5" xr:uid="{B80666FA-15F5-484E-BE59-A80270F81A7D}"/>
    <cellStyle name="Normal_CRITERIOS DE EVALUACION PT DE GB" xfId="7" xr:uid="{264DE9D3-30DE-46DB-804B-3A318DDC026A}"/>
    <cellStyle name="Normal_CRITERIOS DE EVALUACION PT DE GB 2" xfId="8" xr:uid="{C5B48CF0-1A37-40EB-A51D-FC7CE5799C39}"/>
    <cellStyle name="Porcentaje 2" xfId="2" xr:uid="{E1E03B56-8BF8-4E5C-89C7-5463601D6620}"/>
    <cellStyle name="Porcentaje 3 2" xfId="4" xr:uid="{45F6A772-1505-4E4C-8336-29062EC272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119857</xdr:colOff>
      <xdr:row>0</xdr:row>
      <xdr:rowOff>178594</xdr:rowOff>
    </xdr:from>
    <xdr:to>
      <xdr:col>1</xdr:col>
      <xdr:colOff>952499</xdr:colOff>
      <xdr:row>4</xdr:row>
      <xdr:rowOff>81297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41EF75D-CBFD-4FC3-99E0-1138B61F5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57" y="178594"/>
          <a:ext cx="1951830" cy="98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A3AC-0DE3-49E2-9DD3-D0AB692955EC}">
  <sheetPr>
    <pageSetUpPr fitToPage="1"/>
  </sheetPr>
  <dimension ref="A1:I35"/>
  <sheetViews>
    <sheetView tabSelected="1" zoomScale="80" zoomScaleNormal="80" zoomScaleSheetLayoutView="70" workbookViewId="0">
      <selection activeCell="C7" sqref="C7:C8"/>
    </sheetView>
  </sheetViews>
  <sheetFormatPr baseColWidth="10" defaultRowHeight="15" x14ac:dyDescent="0.25"/>
  <cols>
    <col min="1" max="1" width="16.85546875" bestFit="1" customWidth="1"/>
    <col min="2" max="2" width="16.28515625" customWidth="1"/>
    <col min="3" max="3" width="67.5703125" customWidth="1"/>
    <col min="4" max="4" width="27.85546875" customWidth="1"/>
    <col min="5" max="5" width="15.28515625" customWidth="1"/>
    <col min="6" max="6" width="17.5703125" customWidth="1"/>
    <col min="7" max="7" width="16" customWidth="1"/>
    <col min="8" max="8" width="21.140625" customWidth="1"/>
    <col min="9" max="9" width="22" bestFit="1" customWidth="1"/>
  </cols>
  <sheetData>
    <row r="1" spans="1:9" ht="18" x14ac:dyDescent="0.25">
      <c r="A1" s="28"/>
      <c r="B1" s="29"/>
      <c r="C1" s="34" t="s">
        <v>0</v>
      </c>
      <c r="D1" s="34"/>
      <c r="E1" s="34"/>
      <c r="F1" s="34"/>
      <c r="G1" s="34"/>
      <c r="H1" s="1" t="s">
        <v>1</v>
      </c>
      <c r="I1" s="2" t="s">
        <v>57</v>
      </c>
    </row>
    <row r="2" spans="1:9" ht="18" customHeight="1" thickBot="1" x14ac:dyDescent="0.3">
      <c r="A2" s="30"/>
      <c r="B2" s="31"/>
      <c r="C2" s="35" t="s">
        <v>2</v>
      </c>
      <c r="D2" s="36"/>
      <c r="E2" s="36"/>
      <c r="F2" s="36"/>
      <c r="G2" s="37"/>
      <c r="H2" s="3" t="s">
        <v>3</v>
      </c>
      <c r="I2" s="4" t="s">
        <v>66</v>
      </c>
    </row>
    <row r="3" spans="1:9" ht="31.5" customHeight="1" thickBot="1" x14ac:dyDescent="0.3">
      <c r="A3" s="30"/>
      <c r="B3" s="31"/>
      <c r="C3" s="41" t="s">
        <v>67</v>
      </c>
      <c r="D3" s="42"/>
      <c r="E3" s="42"/>
      <c r="F3" s="42"/>
      <c r="G3" s="43"/>
      <c r="H3" s="38" t="s">
        <v>4</v>
      </c>
      <c r="I3" s="19">
        <v>45615</v>
      </c>
    </row>
    <row r="4" spans="1:9" ht="18" customHeight="1" x14ac:dyDescent="0.25">
      <c r="A4" s="30"/>
      <c r="B4" s="31"/>
      <c r="C4" s="5" t="s">
        <v>5</v>
      </c>
      <c r="D4" s="22" t="s">
        <v>48</v>
      </c>
      <c r="E4" s="23"/>
      <c r="F4" s="23"/>
      <c r="G4" s="24"/>
      <c r="H4" s="39"/>
      <c r="I4" s="20"/>
    </row>
    <row r="5" spans="1:9" ht="18.75" thickBot="1" x14ac:dyDescent="0.3">
      <c r="A5" s="32"/>
      <c r="B5" s="33"/>
      <c r="C5" s="6" t="s">
        <v>6</v>
      </c>
      <c r="D5" s="25" t="s">
        <v>49</v>
      </c>
      <c r="E5" s="26"/>
      <c r="F5" s="26"/>
      <c r="G5" s="27"/>
      <c r="H5" s="40"/>
      <c r="I5" s="21"/>
    </row>
    <row r="6" spans="1:9" ht="18.75" thickBot="1" x14ac:dyDescent="0.3">
      <c r="A6" s="11" t="s">
        <v>32</v>
      </c>
      <c r="B6" s="11"/>
      <c r="C6" s="11"/>
      <c r="D6" s="44" t="s">
        <v>50</v>
      </c>
      <c r="E6" s="44"/>
      <c r="F6" s="44"/>
      <c r="G6" s="12" t="s">
        <v>33</v>
      </c>
      <c r="H6" s="12"/>
      <c r="I6" s="45" t="s">
        <v>50</v>
      </c>
    </row>
    <row r="7" spans="1:9" ht="27.75" customHeight="1" x14ac:dyDescent="0.25">
      <c r="A7" s="13" t="s">
        <v>7</v>
      </c>
      <c r="B7" s="15" t="s">
        <v>51</v>
      </c>
      <c r="C7" s="17" t="s">
        <v>8</v>
      </c>
      <c r="D7" s="17" t="s">
        <v>9</v>
      </c>
      <c r="E7" s="17" t="s">
        <v>10</v>
      </c>
      <c r="F7" s="17"/>
      <c r="G7" s="17" t="s">
        <v>11</v>
      </c>
      <c r="H7" s="17"/>
      <c r="I7" s="7" t="s">
        <v>12</v>
      </c>
    </row>
    <row r="8" spans="1:9" ht="40.5" customHeight="1" thickBot="1" x14ac:dyDescent="0.3">
      <c r="A8" s="14"/>
      <c r="B8" s="16"/>
      <c r="C8" s="18"/>
      <c r="D8" s="18"/>
      <c r="E8" s="8" t="s">
        <v>13</v>
      </c>
      <c r="F8" s="9" t="s">
        <v>14</v>
      </c>
      <c r="G8" s="8" t="s">
        <v>13</v>
      </c>
      <c r="H8" s="9" t="s">
        <v>14</v>
      </c>
      <c r="I8" s="10" t="s">
        <v>15</v>
      </c>
    </row>
    <row r="9" spans="1:9" ht="20.25" x14ac:dyDescent="0.3">
      <c r="A9" s="46"/>
      <c r="B9" s="47"/>
      <c r="C9" s="48" t="s">
        <v>52</v>
      </c>
      <c r="D9" s="49"/>
      <c r="E9" s="50"/>
      <c r="F9" s="51"/>
      <c r="G9" s="50"/>
      <c r="H9" s="51"/>
      <c r="I9" s="52"/>
    </row>
    <row r="10" spans="1:9" ht="20.25" x14ac:dyDescent="0.3">
      <c r="A10" s="135" t="s">
        <v>34</v>
      </c>
      <c r="B10" s="57" t="s">
        <v>43</v>
      </c>
      <c r="C10" s="53" t="s">
        <v>35</v>
      </c>
      <c r="D10" s="54" t="s">
        <v>36</v>
      </c>
      <c r="E10" s="54">
        <v>37800</v>
      </c>
      <c r="F10" s="54" t="s">
        <v>17</v>
      </c>
      <c r="G10" s="55"/>
      <c r="H10" s="56"/>
      <c r="I10" s="52"/>
    </row>
    <row r="11" spans="1:9" ht="20.25" x14ac:dyDescent="0.3">
      <c r="A11" s="57">
        <v>20100117</v>
      </c>
      <c r="B11" s="57" t="s">
        <v>44</v>
      </c>
      <c r="C11" s="58" t="s">
        <v>37</v>
      </c>
      <c r="D11" s="54" t="s">
        <v>16</v>
      </c>
      <c r="E11" s="54">
        <v>8000</v>
      </c>
      <c r="F11" s="54" t="s">
        <v>17</v>
      </c>
      <c r="G11" s="55"/>
      <c r="H11" s="56"/>
      <c r="I11" s="52"/>
    </row>
    <row r="12" spans="1:9" ht="20.25" x14ac:dyDescent="0.3">
      <c r="A12" s="59">
        <v>1212410</v>
      </c>
      <c r="B12" s="59" t="s">
        <v>45</v>
      </c>
      <c r="C12" s="60" t="s">
        <v>38</v>
      </c>
      <c r="D12" s="54" t="s">
        <v>39</v>
      </c>
      <c r="E12" s="54">
        <v>84</v>
      </c>
      <c r="F12" s="54" t="s">
        <v>17</v>
      </c>
      <c r="G12" s="54"/>
      <c r="H12" s="56"/>
      <c r="I12" s="52"/>
    </row>
    <row r="13" spans="1:9" ht="20.25" x14ac:dyDescent="0.3">
      <c r="A13" s="57" t="s">
        <v>42</v>
      </c>
      <c r="B13" s="57" t="s">
        <v>46</v>
      </c>
      <c r="C13" s="58" t="s">
        <v>53</v>
      </c>
      <c r="D13" s="54"/>
      <c r="E13" s="54">
        <v>25</v>
      </c>
      <c r="F13" s="54" t="s">
        <v>17</v>
      </c>
      <c r="G13" s="54"/>
      <c r="H13" s="56"/>
      <c r="I13" s="52"/>
    </row>
    <row r="14" spans="1:9" ht="20.25" x14ac:dyDescent="0.3">
      <c r="A14" s="59"/>
      <c r="B14" s="54" t="s">
        <v>58</v>
      </c>
      <c r="C14" s="61" t="s">
        <v>59</v>
      </c>
      <c r="D14" s="54"/>
      <c r="E14" s="54">
        <v>4710</v>
      </c>
      <c r="F14" s="54" t="s">
        <v>17</v>
      </c>
      <c r="G14" s="54"/>
      <c r="H14" s="56"/>
      <c r="I14" s="52"/>
    </row>
    <row r="15" spans="1:9" ht="20.25" x14ac:dyDescent="0.3">
      <c r="A15" s="64"/>
      <c r="B15" s="57"/>
      <c r="C15" s="58"/>
      <c r="D15" s="65"/>
      <c r="E15" s="65"/>
      <c r="F15" s="65"/>
      <c r="G15" s="50"/>
      <c r="H15" s="56"/>
      <c r="I15" s="52"/>
    </row>
    <row r="16" spans="1:9" ht="20.25" x14ac:dyDescent="0.3">
      <c r="A16" s="66"/>
      <c r="B16" s="67"/>
      <c r="C16" s="68" t="s">
        <v>54</v>
      </c>
      <c r="D16" s="62"/>
      <c r="E16" s="69"/>
      <c r="F16" s="63"/>
      <c r="G16" s="50"/>
      <c r="H16" s="51"/>
      <c r="I16" s="52"/>
    </row>
    <row r="17" spans="1:9" ht="20.25" x14ac:dyDescent="0.3">
      <c r="A17" s="57"/>
      <c r="B17" s="57"/>
      <c r="C17" s="58"/>
      <c r="D17" s="70"/>
      <c r="E17" s="72"/>
      <c r="F17" s="73"/>
      <c r="G17" s="50"/>
      <c r="H17" s="51"/>
      <c r="I17" s="52"/>
    </row>
    <row r="18" spans="1:9" ht="20.25" x14ac:dyDescent="0.3">
      <c r="A18" s="74"/>
      <c r="B18" s="75"/>
      <c r="C18" s="76" t="s">
        <v>55</v>
      </c>
      <c r="D18" s="77"/>
      <c r="E18" s="78"/>
      <c r="F18" s="51"/>
      <c r="G18" s="50"/>
      <c r="H18" s="53"/>
      <c r="I18" s="52"/>
    </row>
    <row r="19" spans="1:9" ht="20.25" x14ac:dyDescent="0.3">
      <c r="A19" s="79">
        <v>702123</v>
      </c>
      <c r="B19" s="79" t="s">
        <v>47</v>
      </c>
      <c r="C19" s="80" t="s">
        <v>40</v>
      </c>
      <c r="D19" s="54" t="s">
        <v>19</v>
      </c>
      <c r="E19" s="72">
        <v>1</v>
      </c>
      <c r="F19" s="73" t="s">
        <v>18</v>
      </c>
      <c r="G19" s="81"/>
      <c r="H19" s="51"/>
      <c r="I19" s="52"/>
    </row>
    <row r="20" spans="1:9" ht="21" thickBot="1" x14ac:dyDescent="0.35">
      <c r="A20" s="82"/>
      <c r="B20" s="83"/>
      <c r="C20" s="84"/>
      <c r="D20" s="84"/>
      <c r="E20" s="85"/>
      <c r="F20" s="86"/>
      <c r="G20" s="84"/>
      <c r="H20" s="84"/>
      <c r="I20" s="87"/>
    </row>
    <row r="21" spans="1:9" ht="21" thickBot="1" x14ac:dyDescent="0.35">
      <c r="A21" s="88"/>
      <c r="B21" s="89"/>
      <c r="C21" s="90"/>
      <c r="D21" s="91" t="s">
        <v>13</v>
      </c>
      <c r="E21" s="92" t="s">
        <v>20</v>
      </c>
      <c r="F21" s="93"/>
      <c r="G21" s="90"/>
      <c r="H21" s="90"/>
      <c r="I21" s="94"/>
    </row>
    <row r="22" spans="1:9" ht="20.25" x14ac:dyDescent="0.3">
      <c r="A22" s="95" t="s">
        <v>21</v>
      </c>
      <c r="B22" s="96"/>
      <c r="C22" s="97"/>
      <c r="D22" s="71">
        <v>49810</v>
      </c>
      <c r="E22" s="98" t="s">
        <v>17</v>
      </c>
      <c r="F22" s="99" t="s">
        <v>22</v>
      </c>
      <c r="G22" s="99"/>
      <c r="H22" s="100"/>
      <c r="I22" s="101"/>
    </row>
    <row r="23" spans="1:9" ht="20.25" x14ac:dyDescent="0.3">
      <c r="A23" s="102" t="s">
        <v>23</v>
      </c>
      <c r="B23" s="103"/>
      <c r="C23" s="104"/>
      <c r="D23" s="72">
        <v>30</v>
      </c>
      <c r="E23" s="54" t="s">
        <v>24</v>
      </c>
      <c r="F23" s="105" t="s">
        <v>25</v>
      </c>
      <c r="G23" s="105"/>
      <c r="H23" s="106"/>
      <c r="I23" s="107"/>
    </row>
    <row r="24" spans="1:9" ht="20.25" x14ac:dyDescent="0.3">
      <c r="A24" s="102" t="s">
        <v>26</v>
      </c>
      <c r="B24" s="103"/>
      <c r="C24" s="104"/>
      <c r="D24" s="72">
        <v>1</v>
      </c>
      <c r="E24" s="54" t="s">
        <v>41</v>
      </c>
      <c r="F24" s="105" t="s">
        <v>27</v>
      </c>
      <c r="G24" s="105"/>
      <c r="H24" s="106"/>
      <c r="I24" s="107"/>
    </row>
    <row r="25" spans="1:9" ht="20.25" x14ac:dyDescent="0.3">
      <c r="A25" s="102" t="s">
        <v>28</v>
      </c>
      <c r="B25" s="103"/>
      <c r="C25" s="104"/>
      <c r="D25" s="72">
        <v>49810</v>
      </c>
      <c r="E25" s="54" t="s">
        <v>17</v>
      </c>
      <c r="F25" s="108" t="s">
        <v>29</v>
      </c>
      <c r="G25" s="109"/>
      <c r="H25" s="110"/>
      <c r="I25" s="111"/>
    </row>
    <row r="26" spans="1:9" ht="21" thickBot="1" x14ac:dyDescent="0.35">
      <c r="A26" s="112" t="s">
        <v>30</v>
      </c>
      <c r="B26" s="113"/>
      <c r="C26" s="114"/>
      <c r="D26" s="115">
        <f>SUM(E10:E14)-D22</f>
        <v>809</v>
      </c>
      <c r="E26" s="116" t="s">
        <v>17</v>
      </c>
      <c r="F26" s="117"/>
      <c r="G26" s="117"/>
      <c r="H26" s="106"/>
      <c r="I26" s="107"/>
    </row>
    <row r="27" spans="1:9" ht="21" thickBot="1" x14ac:dyDescent="0.35">
      <c r="A27" s="127" t="s">
        <v>31</v>
      </c>
      <c r="B27" s="128"/>
      <c r="C27" s="128"/>
      <c r="D27" s="128"/>
      <c r="E27" s="128"/>
      <c r="F27" s="128"/>
      <c r="G27" s="128"/>
      <c r="H27" s="128"/>
      <c r="I27" s="129"/>
    </row>
    <row r="28" spans="1:9" ht="20.25" x14ac:dyDescent="0.3">
      <c r="A28" s="118" t="s">
        <v>60</v>
      </c>
      <c r="B28" s="119"/>
      <c r="C28" s="119"/>
      <c r="D28" s="119"/>
      <c r="E28" s="119"/>
      <c r="F28" s="119"/>
      <c r="G28" s="119"/>
      <c r="H28" s="119"/>
      <c r="I28" s="120"/>
    </row>
    <row r="29" spans="1:9" ht="20.25" x14ac:dyDescent="0.3">
      <c r="A29" s="121" t="s">
        <v>61</v>
      </c>
      <c r="B29" s="122"/>
      <c r="C29" s="122"/>
      <c r="D29" s="122"/>
      <c r="E29" s="122"/>
      <c r="F29" s="122"/>
      <c r="G29" s="122"/>
      <c r="H29" s="122"/>
      <c r="I29" s="123"/>
    </row>
    <row r="30" spans="1:9" ht="20.25" x14ac:dyDescent="0.3">
      <c r="A30" s="124" t="s">
        <v>62</v>
      </c>
      <c r="B30" s="125"/>
      <c r="C30" s="125"/>
      <c r="D30" s="125"/>
      <c r="E30" s="125"/>
      <c r="F30" s="125"/>
      <c r="G30" s="125"/>
      <c r="H30" s="125"/>
      <c r="I30" s="126"/>
    </row>
    <row r="31" spans="1:9" ht="20.25" x14ac:dyDescent="0.3">
      <c r="A31" s="124" t="s">
        <v>63</v>
      </c>
      <c r="B31" s="125"/>
      <c r="C31" s="125"/>
      <c r="D31" s="125"/>
      <c r="E31" s="125"/>
      <c r="F31" s="125"/>
      <c r="G31" s="125"/>
      <c r="H31" s="125"/>
      <c r="I31" s="126"/>
    </row>
    <row r="32" spans="1:9" ht="20.25" x14ac:dyDescent="0.3">
      <c r="A32" s="130"/>
      <c r="B32" s="131"/>
      <c r="C32" s="131"/>
      <c r="D32" s="131"/>
      <c r="E32" s="131"/>
      <c r="F32" s="131"/>
      <c r="G32" s="131"/>
      <c r="H32" s="131"/>
      <c r="I32" s="132"/>
    </row>
    <row r="33" spans="1:9" ht="20.25" x14ac:dyDescent="0.3">
      <c r="A33" s="133" t="s">
        <v>56</v>
      </c>
      <c r="B33" s="133"/>
      <c r="C33" s="133"/>
      <c r="D33" s="133"/>
      <c r="E33" s="133"/>
      <c r="F33" s="133"/>
      <c r="G33" s="133"/>
      <c r="H33" s="133"/>
      <c r="I33" s="133"/>
    </row>
    <row r="34" spans="1:9" ht="20.25" x14ac:dyDescent="0.3">
      <c r="A34" s="134" t="s">
        <v>64</v>
      </c>
      <c r="B34" s="134"/>
      <c r="C34" s="134"/>
      <c r="D34" s="134"/>
      <c r="E34" s="134"/>
      <c r="F34" s="134"/>
      <c r="G34" s="134"/>
      <c r="H34" s="134"/>
      <c r="I34" s="134"/>
    </row>
    <row r="35" spans="1:9" ht="20.25" x14ac:dyDescent="0.3">
      <c r="A35" s="134" t="s">
        <v>65</v>
      </c>
      <c r="B35" s="134"/>
      <c r="C35" s="134"/>
      <c r="D35" s="134"/>
      <c r="E35" s="134"/>
      <c r="F35" s="134"/>
      <c r="G35" s="134"/>
      <c r="H35" s="134"/>
      <c r="I35" s="134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2:C22"/>
    <mergeCell ref="F22:G22"/>
    <mergeCell ref="H22:I22"/>
    <mergeCell ref="A23:C23"/>
    <mergeCell ref="F23:G23"/>
    <mergeCell ref="H23:I23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33:I33"/>
    <mergeCell ref="A34:I34"/>
    <mergeCell ref="A35:I35"/>
    <mergeCell ref="A30:I30"/>
    <mergeCell ref="A31:I31"/>
    <mergeCell ref="A32:I32"/>
  </mergeCells>
  <pageMargins left="0.25" right="0.25" top="0.75" bottom="0.75" header="0.3" footer="0.3"/>
  <pageSetup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2851-8789-440E-BB8B-DB0B5E9EEEE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F77661-A435-47F0-A1FA-28483771FE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7CF66D-157B-4C4E-A9C4-0440A0E109B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DD3A374-A91E-4476-8B53-E846451EF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2026-03-02T22:24:52Z</cp:lastPrinted>
  <dcterms:created xsi:type="dcterms:W3CDTF">2021-06-10T19:00:17Z</dcterms:created>
  <dcterms:modified xsi:type="dcterms:W3CDTF">2026-03-02T22:26:01Z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759200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
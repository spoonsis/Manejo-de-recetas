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6C84E2C8-E73A-4462-8BC0-430B048DAE4A}" xr6:coauthVersionLast="47" xr6:coauthVersionMax="47" xr10:uidLastSave="{BE9EAC89-7141-4E7D-9A90-AD7842334D13}"/>
  <bookViews>
    <workbookView xWindow="-120" yWindow="-120" windowWidth="20730" windowHeight="11040" xr2:uid="{C08AB4AA-F1C2-40E6-8572-D08E2FCA4318}"/>
  </bookViews>
  <sheets>
    <sheet name="Salsa de condensada cocinada" sheetId="1" r:id="rId1"/>
  </sheets>
  <definedNames>
    <definedName name="_xlnm.Print_Area" localSheetId="0">'Salsa de condensada cocinada'!$A$1:$I$23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K9" i="1" s="1"/>
  <c r="J10" i="1"/>
  <c r="K10" i="1" s="1"/>
  <c r="I12" i="1"/>
  <c r="J14" i="1"/>
  <c r="D18" i="1"/>
</calcChain>
</file>

<file path=xl/sharedStrings.xml><?xml version="1.0" encoding="utf-8"?>
<sst xmlns="http://schemas.openxmlformats.org/spreadsheetml/2006/main" count="51" uniqueCount="42">
  <si>
    <t>CONTROL DE CAMBIOS</t>
  </si>
  <si>
    <t>1.- Agregar todo a la batidora y batir hasta incorporar.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</si>
  <si>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</si>
  <si>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</si>
  <si>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</si>
  <si>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</si>
  <si>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</si>
  <si>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</si>
  <si>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</si>
  <si>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</si>
  <si>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</si>
  <si>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</si>
  <si>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</si>
  <si>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Nestle</t>
  </si>
  <si>
    <t>Leche Evaporada</t>
  </si>
  <si>
    <t>MP10024</t>
  </si>
  <si>
    <t>FAS</t>
  </si>
  <si>
    <t>Trasvasado de leche condensada cocinada</t>
  </si>
  <si>
    <t>SE00386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</si>
  <si>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</si>
  <si>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</si>
  <si>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</si>
  <si>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</si>
  <si>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</si>
  <si>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</si>
  <si>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</si>
  <si>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</si>
  <si>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</si>
  <si>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</si>
  <si>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</si>
  <si>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Sebastian Diaz, Gte Manufactura</t>
  </si>
  <si>
    <t>Aprobado</t>
  </si>
  <si>
    <t>Juan Pablo Brenes-Chef</t>
  </si>
  <si>
    <t>Elaborado</t>
  </si>
  <si>
    <t>FECHA DE APROBACIÓN:</t>
  </si>
  <si>
    <t>SE00688 SALSA DE CONDENSADA COCINADA</t>
  </si>
  <si>
    <t>REVISIÓN:</t>
  </si>
  <si>
    <t>ESPECIFICACION DE RECETA</t>
  </si>
  <si>
    <t>CÓDIGO:</t>
  </si>
  <si>
    <t>SERVICIOS DE PASTELERIA S.A.</t>
  </si>
  <si>
    <t>01</t>
  </si>
  <si>
    <t>ESP-RE-POS-161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</si>
</sst>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4">
    <xf numFmtId="0" fontId="0" fillId="0" borderId="0" xfId="0"/>
    <xf numFmtId="0" fontId="2" fillId="3" borderId="27" xfId="1" applyFont="1" applyFill="1" applyBorder="1" applyAlignment="1">
      <alignment horizontal="center"/>
    </xf>
    <xf numFmtId="1" fontId="2" fillId="3" borderId="12" xfId="1" applyNumberFormat="1" applyFont="1" applyFill="1" applyBorder="1" applyAlignment="1">
      <alignment horizontal="center" wrapText="1"/>
    </xf>
    <xf numFmtId="1" fontId="2" fillId="3" borderId="12" xfId="1" applyNumberFormat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 wrapText="1"/>
    </xf>
    <xf numFmtId="0" fontId="2" fillId="3" borderId="31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5" fillId="4" borderId="0" xfId="2" applyFont="1" applyFill="1"/>
    <xf numFmtId="0" fontId="5" fillId="4" borderId="0" xfId="2" applyFont="1" applyFill="1" applyAlignment="1">
      <alignment horizontal="right"/>
    </xf>
    <xf numFmtId="14" fontId="3" fillId="4" borderId="26" xfId="2" applyNumberFormat="1" applyFont="1" applyFill="1" applyBorder="1" applyAlignment="1">
      <alignment horizontal="center" vertical="center" wrapText="1"/>
    </xf>
    <xf numFmtId="0" fontId="2" fillId="4" borderId="12" xfId="2" applyFont="1" applyFill="1" applyBorder="1" applyAlignment="1">
      <alignment horizontal="right" vertical="top" wrapText="1"/>
    </xf>
    <xf numFmtId="0" fontId="3" fillId="4" borderId="17" xfId="2" applyFont="1" applyFill="1" applyBorder="1" applyAlignment="1">
      <alignment horizontal="left"/>
    </xf>
    <xf numFmtId="0" fontId="3" fillId="4" borderId="19" xfId="2" applyFont="1" applyFill="1" applyBorder="1" applyAlignment="1">
      <alignment horizontal="left"/>
    </xf>
    <xf numFmtId="0" fontId="3" fillId="4" borderId="16" xfId="2" applyFont="1" applyFill="1" applyBorder="1" applyAlignment="1">
      <alignment horizontal="left"/>
    </xf>
    <xf numFmtId="0" fontId="1" fillId="4" borderId="12" xfId="2" applyFont="1" applyFill="1" applyBorder="1" applyAlignment="1">
      <alignment horizontal="right"/>
    </xf>
    <xf numFmtId="0" fontId="1" fillId="4" borderId="33" xfId="2" applyFont="1" applyFill="1" applyBorder="1" applyAlignment="1">
      <alignment horizontal="center"/>
    </xf>
    <xf numFmtId="0" fontId="1" fillId="4" borderId="3" xfId="2" applyFont="1" applyFill="1" applyBorder="1" applyAlignment="1">
      <alignment horizontal="center"/>
    </xf>
    <xf numFmtId="14" fontId="3" fillId="4" borderId="34" xfId="2" applyNumberFormat="1" applyFont="1" applyFill="1" applyBorder="1" applyAlignment="1">
      <alignment horizontal="center" vertical="center" wrapText="1"/>
    </xf>
    <xf numFmtId="0" fontId="2" fillId="4" borderId="18" xfId="2" applyFont="1" applyFill="1" applyBorder="1" applyAlignment="1">
      <alignment horizontal="right" vertical="top" wrapText="1"/>
    </xf>
    <xf numFmtId="0" fontId="1" fillId="4" borderId="18" xfId="2" applyFont="1" applyFill="1" applyBorder="1" applyAlignment="1">
      <alignment horizontal="left"/>
    </xf>
    <xf numFmtId="0" fontId="0" fillId="4" borderId="18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right"/>
    </xf>
    <xf numFmtId="0" fontId="1" fillId="4" borderId="35" xfId="2" applyFont="1" applyFill="1" applyBorder="1" applyAlignment="1">
      <alignment horizontal="center"/>
    </xf>
    <xf numFmtId="0" fontId="1" fillId="4" borderId="25" xfId="2" applyFont="1" applyFill="1" applyBorder="1" applyAlignment="1">
      <alignment horizontal="center"/>
    </xf>
    <xf numFmtId="14" fontId="3" fillId="4" borderId="36" xfId="2" applyNumberFormat="1" applyFont="1" applyFill="1" applyBorder="1" applyAlignment="1">
      <alignment horizontal="center" vertical="center" wrapText="1"/>
    </xf>
    <xf numFmtId="49" fontId="3" fillId="4" borderId="37" xfId="2" applyNumberFormat="1" applyFont="1" applyFill="1" applyBorder="1" applyAlignment="1">
      <alignment horizontal="center"/>
    </xf>
    <xf numFmtId="0" fontId="2" fillId="4" borderId="18" xfId="2" applyFont="1" applyFill="1" applyBorder="1" applyAlignment="1">
      <alignment horizontal="right"/>
    </xf>
    <xf numFmtId="0" fontId="5" fillId="4" borderId="18" xfId="2" applyFont="1" applyFill="1" applyBorder="1" applyAlignment="1">
      <alignment horizontal="center"/>
    </xf>
    <xf numFmtId="0" fontId="3" fillId="4" borderId="30" xfId="2" applyFont="1" applyFill="1" applyBorder="1" applyAlignment="1">
      <alignment horizontal="center"/>
    </xf>
    <xf numFmtId="0" fontId="2" fillId="4" borderId="31" xfId="2" applyFont="1" applyFill="1" applyBorder="1" applyAlignment="1">
      <alignment horizontal="right"/>
    </xf>
    <xf numFmtId="0" fontId="5" fillId="4" borderId="31" xfId="2" applyFont="1" applyFill="1" applyBorder="1" applyAlignment="1">
      <alignment horizontal="center"/>
    </xf>
    <xf numFmtId="0" fontId="1" fillId="4" borderId="38" xfId="2" applyFont="1" applyFill="1" applyBorder="1" applyAlignment="1">
      <alignment horizontal="center"/>
    </xf>
    <xf numFmtId="0" fontId="1" fillId="4" borderId="39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 vertical="center" wrapText="1"/>
    </xf>
    <xf numFmtId="0" fontId="8" fillId="6" borderId="18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/>
    </xf>
    <xf numFmtId="14" fontId="9" fillId="4" borderId="0" xfId="2" applyNumberFormat="1" applyFont="1" applyFill="1" applyAlignment="1">
      <alignment horizontal="center" vertical="center" wrapText="1"/>
    </xf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16" fontId="10" fillId="0" borderId="17" xfId="1" applyNumberFormat="1" applyFont="1" applyBorder="1" applyAlignment="1">
      <alignment horizontal="center"/>
    </xf>
    <xf numFmtId="1" fontId="10" fillId="0" borderId="18" xfId="1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 wrapText="1"/>
    </xf>
    <xf numFmtId="1" fontId="10" fillId="0" borderId="22" xfId="1" applyNumberFormat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6" fillId="5" borderId="26" xfId="1" applyFont="1" applyFill="1" applyBorder="1" applyAlignment="1">
      <alignment horizontal="center"/>
    </xf>
    <xf numFmtId="0" fontId="10" fillId="0" borderId="0" xfId="1" applyFont="1" applyAlignment="1">
      <alignment horizontal="center" vertical="center"/>
    </xf>
    <xf numFmtId="1" fontId="10" fillId="0" borderId="18" xfId="1" applyNumberFormat="1" applyFont="1" applyBorder="1" applyAlignment="1">
      <alignment horizontal="center" wrapText="1"/>
    </xf>
    <xf numFmtId="49" fontId="11" fillId="4" borderId="25" xfId="1" applyNumberFormat="1" applyFont="1" applyFill="1" applyBorder="1" applyAlignment="1">
      <alignment horizontal="center" vertical="center"/>
    </xf>
    <xf numFmtId="49" fontId="11" fillId="4" borderId="0" xfId="1" applyNumberFormat="1" applyFont="1" applyFill="1" applyAlignment="1">
      <alignment horizontal="center" vertical="center"/>
    </xf>
    <xf numFmtId="0" fontId="10" fillId="0" borderId="0" xfId="1" applyFont="1"/>
    <xf numFmtId="1" fontId="10" fillId="4" borderId="0" xfId="1" applyNumberFormat="1" applyFont="1" applyFill="1" applyAlignment="1">
      <alignment horizontal="center"/>
    </xf>
    <xf numFmtId="164" fontId="10" fillId="4" borderId="0" xfId="1" applyNumberFormat="1" applyFont="1" applyFill="1" applyAlignment="1">
      <alignment horizontal="center" wrapText="1"/>
    </xf>
    <xf numFmtId="0" fontId="10" fillId="4" borderId="24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0" fillId="3" borderId="8" xfId="1" applyFont="1" applyFill="1" applyBorder="1"/>
    <xf numFmtId="0" fontId="6" fillId="3" borderId="8" xfId="1" applyFont="1" applyFill="1" applyBorder="1" applyAlignment="1">
      <alignment horizontal="center"/>
    </xf>
    <xf numFmtId="1" fontId="6" fillId="3" borderId="8" xfId="1" applyNumberFormat="1" applyFont="1" applyFill="1" applyBorder="1" applyAlignment="1">
      <alignment horizontal="center"/>
    </xf>
    <xf numFmtId="164" fontId="10" fillId="3" borderId="8" xfId="1" applyNumberFormat="1" applyFont="1" applyFill="1" applyBorder="1" applyAlignment="1">
      <alignment horizontal="center" wrapText="1"/>
    </xf>
    <xf numFmtId="0" fontId="10" fillId="3" borderId="7" xfId="1" applyFont="1" applyFill="1" applyBorder="1" applyAlignment="1">
      <alignment horizontal="center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23" xfId="1" applyFont="1" applyBorder="1" applyAlignment="1">
      <alignment horizontal="right"/>
    </xf>
    <xf numFmtId="0" fontId="10" fillId="0" borderId="21" xfId="1" applyFont="1" applyBorder="1" applyAlignment="1">
      <alignment horizontal="center"/>
    </xf>
    <xf numFmtId="164" fontId="10" fillId="0" borderId="22" xfId="1" applyNumberFormat="1" applyFont="1" applyBorder="1" applyAlignment="1">
      <alignment horizontal="right"/>
    </xf>
    <xf numFmtId="0" fontId="10" fillId="4" borderId="21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/>
    </xf>
    <xf numFmtId="0" fontId="6" fillId="0" borderId="20" xfId="1" applyFont="1" applyBorder="1" applyAlignment="1">
      <alignment horizontal="right"/>
    </xf>
    <xf numFmtId="0" fontId="6" fillId="0" borderId="19" xfId="1" applyFont="1" applyBorder="1" applyAlignment="1">
      <alignment horizontal="right"/>
    </xf>
    <xf numFmtId="0" fontId="6" fillId="0" borderId="17" xfId="1" applyFont="1" applyBorder="1" applyAlignment="1">
      <alignment horizontal="right"/>
    </xf>
    <xf numFmtId="0" fontId="6" fillId="0" borderId="18" xfId="1" applyFont="1" applyBorder="1" applyAlignment="1">
      <alignment horizontal="center"/>
    </xf>
    <xf numFmtId="0" fontId="10" fillId="0" borderId="18" xfId="1" applyFont="1" applyBorder="1" applyAlignment="1">
      <alignment horizontal="center"/>
    </xf>
    <xf numFmtId="0" fontId="10" fillId="0" borderId="18" xfId="1" applyFont="1" applyBorder="1" applyAlignment="1">
      <alignment horizontal="right"/>
    </xf>
    <xf numFmtId="164" fontId="10" fillId="0" borderId="16" xfId="1" applyNumberFormat="1" applyFont="1" applyBorder="1" applyAlignment="1">
      <alignment horizontal="center"/>
    </xf>
    <xf numFmtId="164" fontId="10" fillId="0" borderId="15" xfId="1" applyNumberFormat="1" applyFont="1" applyBorder="1" applyAlignment="1">
      <alignment horizontal="center"/>
    </xf>
    <xf numFmtId="164" fontId="10" fillId="0" borderId="16" xfId="1" applyNumberFormat="1" applyFont="1" applyBorder="1" applyAlignment="1">
      <alignment horizontal="right" wrapText="1"/>
    </xf>
    <xf numFmtId="164" fontId="10" fillId="0" borderId="17" xfId="1" applyNumberFormat="1" applyFont="1" applyBorder="1" applyAlignment="1">
      <alignment horizontal="right" wrapText="1"/>
    </xf>
    <xf numFmtId="0" fontId="6" fillId="0" borderId="14" xfId="1" applyFont="1" applyBorder="1" applyAlignment="1">
      <alignment horizontal="right"/>
    </xf>
    <xf numFmtId="0" fontId="6" fillId="0" borderId="13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1" fontId="10" fillId="0" borderId="12" xfId="1" applyNumberFormat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center"/>
    </xf>
    <xf numFmtId="164" fontId="10" fillId="0" borderId="10" xfId="1" applyNumberFormat="1" applyFont="1" applyBorder="1" applyAlignment="1">
      <alignment horizontal="center"/>
    </xf>
    <xf numFmtId="0" fontId="10" fillId="0" borderId="6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  <xf numFmtId="0" fontId="6" fillId="0" borderId="5" xfId="1" applyFont="1" applyBorder="1" applyAlignment="1">
      <alignment horizontal="left" wrapText="1"/>
    </xf>
    <xf numFmtId="0" fontId="6" fillId="0" borderId="4" xfId="1" applyFont="1" applyBorder="1" applyAlignment="1">
      <alignment horizontal="left" wrapText="1"/>
    </xf>
    <xf numFmtId="0" fontId="10" fillId="0" borderId="6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10" fillId="0" borderId="3" xfId="1" applyFont="1" applyBorder="1" applyAlignment="1">
      <alignment horizontal="left"/>
    </xf>
    <xf numFmtId="0" fontId="10" fillId="0" borderId="2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6" fillId="3" borderId="9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3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</cellXfs>
  <cellStyles count="3">
    <cellStyle name="Normal" xfId="0" builtinId="0"/>
    <cellStyle name="Normal 2" xfId="1" xr:uid="{700B0043-525D-4987-B221-86E3259DD2F3}"/>
    <cellStyle name="Normal_CRITERIOS DE EVALUACION PT DE GB 2" xfId="2" xr:uid="{0E09112F-16F2-4DE9-BB73-9EDF6B410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0</xdr:row>
      <xdr:rowOff>169069</xdr:rowOff>
    </xdr:from>
    <xdr:ext cx="1681146" cy="759620"/>
    <xdr:pic>
      <xdr:nvPicPr>
        <xdr:cNvPr id="2" name="Imagen 1">
          <a:extLst>
            <a:ext uri="{FF2B5EF4-FFF2-40B4-BE49-F238E27FC236}">
              <a16:creationId xmlns:a16="http://schemas.microsoft.com/office/drawing/2014/main" id="{C7771E21-2656-4749-8881-548349AC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169069"/>
          <a:ext cx="1681146" cy="75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6A0D-C9F3-4B96-96E3-D3143B8F07D5}">
  <sheetPr>
    <pageSetUpPr fitToPage="1"/>
  </sheetPr>
  <dimension ref="A1:K2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5.42578125" customWidth="1"/>
    <col min="3" max="3" width="59.140625" customWidth="1"/>
    <col min="4" max="4" width="13.7109375" customWidth="1"/>
    <col min="5" max="5" width="13.28515625" customWidth="1"/>
    <col min="8" max="8" width="17.42578125" customWidth="1"/>
    <col min="9" max="9" width="17.5703125" customWidth="1"/>
  </cols>
  <sheetData>
    <row r="1" spans="1:11" ht="18" x14ac:dyDescent="0.25">
      <c r="A1" s="35"/>
      <c r="B1" s="34"/>
      <c r="C1" s="33" t="s">
        <v>39</v>
      </c>
      <c r="D1" s="33"/>
      <c r="E1" s="33"/>
      <c r="F1" s="33"/>
      <c r="G1" s="33"/>
      <c r="H1" s="32" t="s">
        <v>38</v>
      </c>
      <c r="I1" s="31" t="s">
        <v>41</v>
      </c>
    </row>
    <row r="2" spans="1:11" ht="18" x14ac:dyDescent="0.25">
      <c r="A2" s="26"/>
      <c r="B2" s="25"/>
      <c r="C2" s="30" t="s">
        <v>37</v>
      </c>
      <c r="D2" s="30"/>
      <c r="E2" s="30"/>
      <c r="F2" s="30"/>
      <c r="G2" s="30"/>
      <c r="H2" s="29" t="s">
        <v>36</v>
      </c>
      <c r="I2" s="28" t="s">
        <v>40</v>
      </c>
    </row>
    <row r="3" spans="1:11" ht="26.25" customHeight="1" x14ac:dyDescent="0.2">
      <c r="A3" s="26"/>
      <c r="B3" s="25"/>
      <c r="C3" s="36" t="s">
        <v>35</v>
      </c>
      <c r="D3" s="37"/>
      <c r="E3" s="37"/>
      <c r="F3" s="37"/>
      <c r="G3" s="37"/>
      <c r="H3" s="21" t="s">
        <v>34</v>
      </c>
      <c r="I3" s="27">
        <v>46141</v>
      </c>
    </row>
    <row r="4" spans="1:11" x14ac:dyDescent="0.2">
      <c r="A4" s="26"/>
      <c r="B4" s="25"/>
      <c r="C4" s="24" t="s">
        <v>33</v>
      </c>
      <c r="D4" s="23" t="s">
        <v>32</v>
      </c>
      <c r="E4" s="22"/>
      <c r="F4" s="22"/>
      <c r="G4" s="22"/>
      <c r="H4" s="21"/>
      <c r="I4" s="20"/>
    </row>
    <row r="5" spans="1:11" ht="14.25" thickBot="1" x14ac:dyDescent="0.3">
      <c r="A5" s="19"/>
      <c r="B5" s="18"/>
      <c r="C5" s="17" t="s">
        <v>31</v>
      </c>
      <c r="D5" s="16" t="s">
        <v>30</v>
      </c>
      <c r="E5" s="15"/>
      <c r="F5" s="15"/>
      <c r="G5" s="14"/>
      <c r="H5" s="13"/>
      <c r="I5" s="12"/>
    </row>
    <row r="6" spans="1:11" ht="18.75" thickBot="1" x14ac:dyDescent="0.3">
      <c r="A6" s="11" t="s">
        <v>29</v>
      </c>
      <c r="B6" s="11"/>
      <c r="C6" s="11"/>
      <c r="D6" s="38" t="s">
        <v>27</v>
      </c>
      <c r="E6" s="38"/>
      <c r="F6" s="38"/>
      <c r="G6" s="10" t="s">
        <v>28</v>
      </c>
      <c r="H6" s="10"/>
      <c r="I6" s="39" t="s">
        <v>27</v>
      </c>
    </row>
    <row r="7" spans="1:11" ht="25.5" x14ac:dyDescent="0.2">
      <c r="A7" s="9" t="s">
        <v>26</v>
      </c>
      <c r="B7" s="9" t="s">
        <v>26</v>
      </c>
      <c r="C7" s="8" t="s">
        <v>25</v>
      </c>
      <c r="D7" s="8" t="s">
        <v>24</v>
      </c>
      <c r="E7" s="8" t="s">
        <v>23</v>
      </c>
      <c r="F7" s="8"/>
      <c r="G7" s="8" t="s">
        <v>22</v>
      </c>
      <c r="H7" s="8"/>
      <c r="I7" s="7" t="s">
        <v>21</v>
      </c>
    </row>
    <row r="8" spans="1:11" ht="33" customHeight="1" thickBot="1" x14ac:dyDescent="0.25">
      <c r="A8" s="6"/>
      <c r="B8" s="6"/>
      <c r="C8" s="5"/>
      <c r="D8" s="4"/>
      <c r="E8" s="3" t="s">
        <v>12</v>
      </c>
      <c r="F8" s="2" t="s">
        <v>20</v>
      </c>
      <c r="G8" s="3" t="s">
        <v>12</v>
      </c>
      <c r="H8" s="2" t="s">
        <v>20</v>
      </c>
      <c r="I8" s="1" t="s">
        <v>19</v>
      </c>
    </row>
    <row r="9" spans="1:11" ht="20.25" x14ac:dyDescent="0.3">
      <c r="A9" s="40"/>
      <c r="B9" s="41" t="s">
        <v>18</v>
      </c>
      <c r="C9" s="40" t="s">
        <v>17</v>
      </c>
      <c r="D9" s="42" t="s">
        <v>16</v>
      </c>
      <c r="E9" s="43">
        <v>6000</v>
      </c>
      <c r="F9" s="44" t="s">
        <v>3</v>
      </c>
      <c r="G9" s="45"/>
      <c r="H9" s="46"/>
      <c r="I9" s="47"/>
      <c r="J9">
        <f>+E9/13.4</f>
        <v>447.76119402985074</v>
      </c>
      <c r="K9">
        <f>J9/2</f>
        <v>223.88059701492537</v>
      </c>
    </row>
    <row r="10" spans="1:11" ht="20.25" x14ac:dyDescent="0.3">
      <c r="A10" s="40"/>
      <c r="B10" s="41" t="s">
        <v>15</v>
      </c>
      <c r="C10" s="40" t="s">
        <v>14</v>
      </c>
      <c r="D10" s="42" t="s">
        <v>13</v>
      </c>
      <c r="E10" s="48">
        <v>800</v>
      </c>
      <c r="F10" s="49" t="s">
        <v>3</v>
      </c>
      <c r="G10" s="45"/>
      <c r="H10" s="46"/>
      <c r="I10" s="47"/>
      <c r="J10">
        <f>+E10/13.4</f>
        <v>59.701492537313435</v>
      </c>
      <c r="K10">
        <f>J10/2</f>
        <v>29.850746268656717</v>
      </c>
    </row>
    <row r="11" spans="1:11" ht="20.25" x14ac:dyDescent="0.3">
      <c r="A11" s="40"/>
      <c r="B11" s="40"/>
      <c r="C11" s="40"/>
      <c r="D11" s="42"/>
      <c r="E11" s="43"/>
      <c r="F11" s="49"/>
      <c r="G11" s="45"/>
      <c r="H11" s="46"/>
      <c r="I11" s="47"/>
    </row>
    <row r="12" spans="1:11" ht="21" thickBot="1" x14ac:dyDescent="0.35">
      <c r="A12" s="50"/>
      <c r="B12" s="51"/>
      <c r="C12" s="52"/>
      <c r="D12" s="52"/>
      <c r="E12" s="53"/>
      <c r="F12" s="54"/>
      <c r="G12" s="52"/>
      <c r="H12" s="52"/>
      <c r="I12" s="55">
        <f>+H12*2</f>
        <v>0</v>
      </c>
    </row>
    <row r="13" spans="1:11" ht="21" thickBot="1" x14ac:dyDescent="0.35">
      <c r="A13" s="56"/>
      <c r="B13" s="57"/>
      <c r="C13" s="58"/>
      <c r="D13" s="59" t="s">
        <v>12</v>
      </c>
      <c r="E13" s="60" t="s">
        <v>11</v>
      </c>
      <c r="F13" s="61"/>
      <c r="G13" s="58"/>
      <c r="H13" s="58"/>
      <c r="I13" s="62"/>
    </row>
    <row r="14" spans="1:11" ht="20.25" x14ac:dyDescent="0.3">
      <c r="A14" s="63" t="s">
        <v>10</v>
      </c>
      <c r="B14" s="64"/>
      <c r="C14" s="65"/>
      <c r="D14" s="45">
        <v>6700</v>
      </c>
      <c r="E14" s="66" t="s">
        <v>3</v>
      </c>
      <c r="F14" s="67"/>
      <c r="G14" s="67"/>
      <c r="H14" s="68"/>
      <c r="I14" s="69"/>
      <c r="J14">
        <f>D14/500</f>
        <v>13.4</v>
      </c>
    </row>
    <row r="15" spans="1:11" ht="20.25" x14ac:dyDescent="0.3">
      <c r="A15" s="70" t="s">
        <v>9</v>
      </c>
      <c r="B15" s="71"/>
      <c r="C15" s="72"/>
      <c r="D15" s="73">
        <v>15</v>
      </c>
      <c r="E15" s="74" t="s">
        <v>8</v>
      </c>
      <c r="F15" s="75"/>
      <c r="G15" s="75"/>
      <c r="H15" s="76"/>
      <c r="I15" s="77"/>
    </row>
    <row r="16" spans="1:11" ht="20.25" x14ac:dyDescent="0.3">
      <c r="A16" s="70" t="s">
        <v>7</v>
      </c>
      <c r="B16" s="71"/>
      <c r="C16" s="72"/>
      <c r="D16" s="43">
        <v>1</v>
      </c>
      <c r="E16" s="74" t="s">
        <v>6</v>
      </c>
      <c r="F16" s="75"/>
      <c r="G16" s="75"/>
      <c r="H16" s="76"/>
      <c r="I16" s="77"/>
    </row>
    <row r="17" spans="1:9" ht="20.25" x14ac:dyDescent="0.3">
      <c r="A17" s="70" t="s">
        <v>5</v>
      </c>
      <c r="B17" s="71"/>
      <c r="C17" s="72"/>
      <c r="D17" s="43">
        <v>6700</v>
      </c>
      <c r="E17" s="74" t="s">
        <v>3</v>
      </c>
      <c r="F17" s="78"/>
      <c r="G17" s="79"/>
      <c r="H17" s="76"/>
      <c r="I17" s="77"/>
    </row>
    <row r="18" spans="1:9" ht="21" thickBot="1" x14ac:dyDescent="0.35">
      <c r="A18" s="80" t="s">
        <v>4</v>
      </c>
      <c r="B18" s="81"/>
      <c r="C18" s="82"/>
      <c r="D18" s="83">
        <f>SUM(E9:E10)-D14</f>
        <v>100</v>
      </c>
      <c r="E18" s="84" t="s">
        <v>3</v>
      </c>
      <c r="F18" s="85"/>
      <c r="G18" s="85"/>
      <c r="H18" s="86"/>
      <c r="I18" s="87"/>
    </row>
    <row r="19" spans="1:9" ht="21" thickBot="1" x14ac:dyDescent="0.35">
      <c r="A19" s="98" t="s">
        <v>2</v>
      </c>
      <c r="B19" s="99"/>
      <c r="C19" s="99"/>
      <c r="D19" s="99"/>
      <c r="E19" s="99"/>
      <c r="F19" s="99"/>
      <c r="G19" s="99"/>
      <c r="H19" s="99"/>
      <c r="I19" s="100"/>
    </row>
    <row r="20" spans="1:9" ht="20.25" x14ac:dyDescent="0.3">
      <c r="A20" s="88" t="s">
        <v>1</v>
      </c>
      <c r="B20" s="89"/>
      <c r="C20" s="90"/>
      <c r="D20" s="90"/>
      <c r="E20" s="90"/>
      <c r="F20" s="90"/>
      <c r="G20" s="90"/>
      <c r="H20" s="90"/>
      <c r="I20" s="91"/>
    </row>
    <row r="21" spans="1:9" ht="20.25" x14ac:dyDescent="0.3">
      <c r="A21" s="92"/>
      <c r="B21" s="93"/>
      <c r="C21" s="93"/>
      <c r="D21" s="93"/>
      <c r="E21" s="93"/>
      <c r="F21" s="93"/>
      <c r="G21" s="93"/>
      <c r="H21" s="93"/>
      <c r="I21" s="94"/>
    </row>
    <row r="22" spans="1:9" ht="20.25" x14ac:dyDescent="0.3">
      <c r="A22" s="101" t="s">
        <v>0</v>
      </c>
      <c r="B22" s="102"/>
      <c r="C22" s="102"/>
      <c r="D22" s="102"/>
      <c r="E22" s="102"/>
      <c r="F22" s="102"/>
      <c r="G22" s="102"/>
      <c r="H22" s="102"/>
      <c r="I22" s="103"/>
    </row>
    <row r="23" spans="1:9" ht="21" thickBot="1" x14ac:dyDescent="0.35">
      <c r="A23" s="95"/>
      <c r="B23" s="96"/>
      <c r="C23" s="96"/>
      <c r="D23" s="96"/>
      <c r="E23" s="96"/>
      <c r="F23" s="96"/>
      <c r="G23" s="96"/>
      <c r="H23" s="96"/>
      <c r="I23" s="97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I19"/>
    <mergeCell ref="A20:I20"/>
    <mergeCell ref="A14:C14"/>
    <mergeCell ref="F14:G14"/>
    <mergeCell ref="H14:I14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23:I23"/>
    <mergeCell ref="A21:I21"/>
    <mergeCell ref="A22:I22"/>
  </mergeCells>
  <pageMargins left="0.25" right="0.25" top="0.75" bottom="0.75" header="0.3" footer="0.3"/>
  <pageSetup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D55B53F-40D6-4B6D-9DE1-ED5828682A80}"/>
</file>

<file path=customXml/itemProps2.xml><?xml version="1.0" encoding="utf-8"?>
<ds:datastoreItem xmlns:ds="http://schemas.openxmlformats.org/officeDocument/2006/customXml" ds:itemID="{9A83F97E-7A7A-4DFA-A6DA-1202FD15606E}"/>
</file>

<file path=customXml/itemProps3.xml><?xml version="1.0" encoding="utf-8"?>
<ds:datastoreItem xmlns:ds="http://schemas.openxmlformats.org/officeDocument/2006/customXml" ds:itemID="{FC6C56B9-1E57-4681-A326-D61060F42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de condensada cocinada</vt:lpstr>
      <vt:lpstr>'Salsa de condensada cocinada'!Área_de_impresión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2026-04-29T16:05:56Z</cp:lastPrinted>
  <dcterms:created xsi:type="dcterms:W3CDTF">2026-04-29T16:02:51Z</dcterms:created>
  <dcterms:modified xsi:type="dcterms:W3CDTF">2026-04-29T16:06:29Z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
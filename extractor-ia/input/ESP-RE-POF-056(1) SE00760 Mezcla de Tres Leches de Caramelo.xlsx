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4" documentId="8_{900805CD-2A62-4821-99E9-16B4F597FEB4}" xr6:coauthVersionLast="47" xr6:coauthVersionMax="47" xr10:uidLastSave="{3C41B671-9EBF-48EA-8744-1EB967EC195B}"/>
  <bookViews>
    <workbookView xWindow="-120" yWindow="-120" windowWidth="20730" windowHeight="11040" tabRatio="854" firstSheet="8" activeTab="8" xr2:uid="{DB727E5C-7261-4A15-B8A1-729D76EEA651}"/>
  </bookViews>
  <sheets>
    <sheet name="Tres Leches de Caramelo" sheetId="4" state="hidden" r:id="rId1"/>
    <sheet name="Tres leches Caramelo 2" sheetId="7" state="hidden" r:id="rId2"/>
    <sheet name="Rosquete 3 leches " sheetId="10" state="hidden" r:id="rId3"/>
    <sheet name="Batido " sheetId="11" state="hidden" r:id="rId4"/>
    <sheet name="Base Premezcla " sheetId="12" state="hidden" r:id="rId5"/>
    <sheet name="Mezcla engrase moldes" sheetId="13" state="hidden" r:id="rId6"/>
    <sheet name="Costo Tres leches Caramelo" sheetId="6" state="hidden" r:id="rId7"/>
    <sheet name="Mezcla 3 Leches de Caramelo " sheetId="1" state="hidden" r:id="rId8"/>
    <sheet name="Mezcla 3 lehces Caramelo" sheetId="17" r:id="rId9"/>
    <sheet name="Mezcla 3 lech pasteur" sheetId="14" state="hidden" r:id="rId10"/>
    <sheet name="Crema Chantilly" sheetId="15" state="hidden" r:id="rId11"/>
    <sheet name="Mezcla Sirope dulce leche" sheetId="16" state="hidden" r:id="rId12"/>
    <sheet name="Costo Mezcla 3 leches caramelo" sheetId="5" state="hidden" r:id="rId13"/>
  </sheets>
  <externalReferences>
    <externalReference r:id="rId14"/>
    <externalReference r:id="rId15"/>
  </externalReferences>
  <definedNames>
    <definedName name="_xlnm.Print_Area" localSheetId="7">'Mezcla 3 Leches de Caramelo '!$A$1:$I$30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7" l="1"/>
  <c r="L16" i="16"/>
  <c r="E11" i="16"/>
  <c r="E10" i="16"/>
  <c r="D45" i="16" s="1"/>
  <c r="D20" i="13"/>
  <c r="D19" i="13"/>
  <c r="G12" i="13"/>
  <c r="K10" i="13"/>
  <c r="J10" i="13"/>
  <c r="G10" i="13"/>
  <c r="K9" i="13"/>
  <c r="J9" i="13"/>
  <c r="D73" i="5"/>
  <c r="D74" i="5" s="1"/>
  <c r="D76" i="5" s="1"/>
  <c r="D71" i="5"/>
  <c r="D69" i="5"/>
  <c r="F65" i="5"/>
  <c r="E51" i="5" s="1"/>
  <c r="F51" i="5" s="1"/>
  <c r="D60" i="5"/>
  <c r="D85" i="5" s="1"/>
  <c r="D86" i="5" s="1"/>
  <c r="C51" i="5"/>
  <c r="E50" i="5"/>
  <c r="D50" i="5"/>
  <c r="B50" i="5"/>
  <c r="E49" i="5"/>
  <c r="D49" i="5"/>
  <c r="B49" i="5"/>
  <c r="E48" i="5"/>
  <c r="D48" i="5"/>
  <c r="B48" i="5"/>
  <c r="E47" i="5"/>
  <c r="D47" i="5"/>
  <c r="B47" i="5"/>
  <c r="E46" i="5"/>
  <c r="D46" i="5"/>
  <c r="B46" i="5"/>
  <c r="E45" i="5"/>
  <c r="D45" i="5"/>
  <c r="B45" i="5"/>
  <c r="E41" i="5"/>
  <c r="D41" i="5"/>
  <c r="B41" i="5"/>
  <c r="A41" i="5"/>
  <c r="C41" i="5" s="1"/>
  <c r="E40" i="5"/>
  <c r="F40" i="5" s="1"/>
  <c r="D40" i="5"/>
  <c r="B40" i="5"/>
  <c r="A40" i="5"/>
  <c r="C40" i="5" s="1"/>
  <c r="E39" i="5"/>
  <c r="F39" i="5" s="1"/>
  <c r="D39" i="5"/>
  <c r="B39" i="5"/>
  <c r="A39" i="5"/>
  <c r="C39" i="5" s="1"/>
  <c r="E38" i="5"/>
  <c r="D38" i="5"/>
  <c r="B38" i="5"/>
  <c r="A38" i="5"/>
  <c r="A47" i="5" s="1"/>
  <c r="C47" i="5" s="1"/>
  <c r="F47" i="5" s="1"/>
  <c r="E37" i="5"/>
  <c r="D37" i="5"/>
  <c r="B37" i="5"/>
  <c r="A37" i="5"/>
  <c r="A46" i="5" s="1"/>
  <c r="C46" i="5" s="1"/>
  <c r="E36" i="5"/>
  <c r="D36" i="5"/>
  <c r="B36" i="5"/>
  <c r="A36" i="5"/>
  <c r="C36" i="5" s="1"/>
  <c r="A35" i="5"/>
  <c r="C35" i="5" s="1"/>
  <c r="E32" i="5"/>
  <c r="D32" i="5"/>
  <c r="C32" i="5"/>
  <c r="B32" i="5"/>
  <c r="E31" i="5"/>
  <c r="F31" i="5" s="1"/>
  <c r="D31" i="5"/>
  <c r="C31" i="5"/>
  <c r="B31" i="5"/>
  <c r="E30" i="5"/>
  <c r="D30" i="5"/>
  <c r="C30" i="5"/>
  <c r="B30" i="5"/>
  <c r="E29" i="5"/>
  <c r="F29" i="5" s="1"/>
  <c r="D29" i="5"/>
  <c r="C29" i="5"/>
  <c r="B29" i="5"/>
  <c r="E28" i="5"/>
  <c r="D28" i="5"/>
  <c r="C28" i="5"/>
  <c r="B28" i="5"/>
  <c r="E27" i="5"/>
  <c r="F27" i="5" s="1"/>
  <c r="D27" i="5"/>
  <c r="C27" i="5"/>
  <c r="B27" i="5"/>
  <c r="E24" i="5"/>
  <c r="F24" i="5" s="1"/>
  <c r="D24" i="5"/>
  <c r="C24" i="5"/>
  <c r="B24" i="5"/>
  <c r="E23" i="5"/>
  <c r="F23" i="5" s="1"/>
  <c r="D23" i="5"/>
  <c r="C23" i="5"/>
  <c r="B23" i="5"/>
  <c r="E22" i="5"/>
  <c r="F22" i="5" s="1"/>
  <c r="D22" i="5"/>
  <c r="C22" i="5"/>
  <c r="B22" i="5"/>
  <c r="E21" i="5"/>
  <c r="F21" i="5" s="1"/>
  <c r="D21" i="5"/>
  <c r="C21" i="5"/>
  <c r="B21" i="5"/>
  <c r="E20" i="5"/>
  <c r="F20" i="5" s="1"/>
  <c r="D20" i="5"/>
  <c r="C20" i="5"/>
  <c r="B20" i="5"/>
  <c r="E19" i="5"/>
  <c r="F19" i="5" s="1"/>
  <c r="D19" i="5"/>
  <c r="C19" i="5"/>
  <c r="B19" i="5"/>
  <c r="E18" i="5"/>
  <c r="F18" i="5" s="1"/>
  <c r="D18" i="5"/>
  <c r="C18" i="5"/>
  <c r="B18" i="5"/>
  <c r="C17" i="5"/>
  <c r="B15" i="5"/>
  <c r="E14" i="5"/>
  <c r="F14" i="5" s="1"/>
  <c r="D14" i="5"/>
  <c r="C14" i="5"/>
  <c r="B14" i="5"/>
  <c r="E13" i="5"/>
  <c r="F13" i="5" s="1"/>
  <c r="D13" i="5"/>
  <c r="C13" i="5"/>
  <c r="B13" i="5"/>
  <c r="E12" i="5"/>
  <c r="F12" i="5" s="1"/>
  <c r="D12" i="5"/>
  <c r="C12" i="5"/>
  <c r="B12" i="5"/>
  <c r="E11" i="5"/>
  <c r="F11" i="5" s="1"/>
  <c r="D11" i="5"/>
  <c r="C11" i="5"/>
  <c r="B11" i="5"/>
  <c r="E10" i="5"/>
  <c r="F10" i="5" s="1"/>
  <c r="D10" i="5"/>
  <c r="C10" i="5"/>
  <c r="B10" i="5"/>
  <c r="C9" i="5"/>
  <c r="F9" i="5" s="1"/>
  <c r="F8" i="5"/>
  <c r="C8" i="5"/>
  <c r="H6" i="5"/>
  <c r="D73" i="6"/>
  <c r="D74" i="6" s="1"/>
  <c r="D76" i="6" s="1"/>
  <c r="D71" i="6"/>
  <c r="D69" i="6"/>
  <c r="F65" i="6"/>
  <c r="C73" i="6" s="1"/>
  <c r="C85" i="6" s="1"/>
  <c r="D60" i="6"/>
  <c r="D85" i="6" s="1"/>
  <c r="D86" i="6" s="1"/>
  <c r="C51" i="6"/>
  <c r="E50" i="6"/>
  <c r="D50" i="6"/>
  <c r="B50" i="6"/>
  <c r="E49" i="6"/>
  <c r="D49" i="6"/>
  <c r="B49" i="6"/>
  <c r="E48" i="6"/>
  <c r="D48" i="6"/>
  <c r="B48" i="6"/>
  <c r="A44" i="6"/>
  <c r="C44" i="6" s="1"/>
  <c r="E41" i="6"/>
  <c r="D41" i="6"/>
  <c r="B41" i="6"/>
  <c r="A41" i="6"/>
  <c r="A50" i="6" s="1"/>
  <c r="C50" i="6" s="1"/>
  <c r="E40" i="6"/>
  <c r="D40" i="6"/>
  <c r="C40" i="6"/>
  <c r="B40" i="6"/>
  <c r="A40" i="6"/>
  <c r="A49" i="6" s="1"/>
  <c r="C49" i="6" s="1"/>
  <c r="E39" i="6"/>
  <c r="D39" i="6"/>
  <c r="B39" i="6"/>
  <c r="A39" i="6"/>
  <c r="C39" i="6" s="1"/>
  <c r="A38" i="6"/>
  <c r="C38" i="6" s="1"/>
  <c r="A37" i="6"/>
  <c r="C37" i="6" s="1"/>
  <c r="A36" i="6"/>
  <c r="C36" i="6" s="1"/>
  <c r="A35" i="6"/>
  <c r="C35" i="6" s="1"/>
  <c r="F35" i="6" s="1"/>
  <c r="E32" i="6"/>
  <c r="D32" i="6"/>
  <c r="C32" i="6"/>
  <c r="B32" i="6"/>
  <c r="C31" i="6"/>
  <c r="C30" i="6"/>
  <c r="C29" i="6"/>
  <c r="C28" i="6"/>
  <c r="C27" i="6"/>
  <c r="E24" i="6"/>
  <c r="F24" i="6" s="1"/>
  <c r="D24" i="6"/>
  <c r="C24" i="6"/>
  <c r="B24" i="6"/>
  <c r="E23" i="6"/>
  <c r="F23" i="6" s="1"/>
  <c r="D23" i="6"/>
  <c r="C23" i="6"/>
  <c r="B23" i="6"/>
  <c r="E22" i="6"/>
  <c r="F22" i="6" s="1"/>
  <c r="D22" i="6"/>
  <c r="C22" i="6"/>
  <c r="B22" i="6"/>
  <c r="E21" i="6"/>
  <c r="F21" i="6" s="1"/>
  <c r="D21" i="6"/>
  <c r="C21" i="6"/>
  <c r="B21" i="6"/>
  <c r="C20" i="6"/>
  <c r="F19" i="6"/>
  <c r="C19" i="6"/>
  <c r="C18" i="6"/>
  <c r="F17" i="6"/>
  <c r="C17" i="6"/>
  <c r="B15" i="6"/>
  <c r="E14" i="6"/>
  <c r="F14" i="6" s="1"/>
  <c r="D14" i="6"/>
  <c r="C14" i="6"/>
  <c r="B14" i="6"/>
  <c r="E13" i="6"/>
  <c r="F13" i="6" s="1"/>
  <c r="D13" i="6"/>
  <c r="C13" i="6"/>
  <c r="B13" i="6"/>
  <c r="E12" i="6"/>
  <c r="F12" i="6" s="1"/>
  <c r="D12" i="6"/>
  <c r="C12" i="6"/>
  <c r="B12" i="6"/>
  <c r="E11" i="6"/>
  <c r="F11" i="6" s="1"/>
  <c r="D11" i="6"/>
  <c r="C11" i="6"/>
  <c r="B11" i="6"/>
  <c r="E10" i="6"/>
  <c r="F10" i="6" s="1"/>
  <c r="D10" i="6"/>
  <c r="C10" i="6"/>
  <c r="B10" i="6"/>
  <c r="E9" i="6"/>
  <c r="F9" i="6" s="1"/>
  <c r="D9" i="6"/>
  <c r="C9" i="6"/>
  <c r="B9" i="6"/>
  <c r="C8" i="6"/>
  <c r="F8" i="6" s="1"/>
  <c r="H6" i="6"/>
  <c r="E11" i="1"/>
  <c r="E10" i="1"/>
  <c r="E51" i="6" l="1"/>
  <c r="F51" i="6"/>
  <c r="F39" i="6"/>
  <c r="C41" i="6"/>
  <c r="F41" i="6" s="1"/>
  <c r="A48" i="6"/>
  <c r="C48" i="6" s="1"/>
  <c r="F48" i="6" s="1"/>
  <c r="F40" i="6"/>
  <c r="F50" i="6"/>
  <c r="F20" i="6"/>
  <c r="F38" i="6"/>
  <c r="A46" i="6"/>
  <c r="C46" i="6" s="1"/>
  <c r="F46" i="6" s="1"/>
  <c r="F37" i="6"/>
  <c r="F29" i="6"/>
  <c r="F30" i="6"/>
  <c r="F31" i="6"/>
  <c r="F32" i="6"/>
  <c r="D81" i="5"/>
  <c r="D83" i="5"/>
  <c r="A50" i="5"/>
  <c r="C50" i="5" s="1"/>
  <c r="C38" i="5"/>
  <c r="F38" i="5" s="1"/>
  <c r="F46" i="5"/>
  <c r="C37" i="5"/>
  <c r="F37" i="5" s="1"/>
  <c r="F41" i="5"/>
  <c r="F27" i="6"/>
  <c r="F28" i="6"/>
  <c r="F28" i="5"/>
  <c r="F30" i="5"/>
  <c r="F32" i="5"/>
  <c r="F17" i="5"/>
  <c r="F53" i="5" s="1"/>
  <c r="F48" i="5"/>
  <c r="F35" i="5"/>
  <c r="F36" i="5"/>
  <c r="F50" i="5"/>
  <c r="A45" i="5"/>
  <c r="C45" i="5" s="1"/>
  <c r="F45" i="5" s="1"/>
  <c r="A49" i="5"/>
  <c r="C49" i="5" s="1"/>
  <c r="F49" i="5" s="1"/>
  <c r="A44" i="5"/>
  <c r="C44" i="5" s="1"/>
  <c r="F44" i="5" s="1"/>
  <c r="A48" i="5"/>
  <c r="C48" i="5" s="1"/>
  <c r="C73" i="5"/>
  <c r="E85" i="6"/>
  <c r="F49" i="6"/>
  <c r="F44" i="6"/>
  <c r="A45" i="6"/>
  <c r="C45" i="6" s="1"/>
  <c r="E73" i="6"/>
  <c r="D83" i="6"/>
  <c r="D81" i="6"/>
  <c r="A47" i="6"/>
  <c r="C47" i="6" s="1"/>
  <c r="F47" i="6" s="1"/>
  <c r="C27" i="4"/>
  <c r="K16" i="4"/>
  <c r="C22" i="1"/>
  <c r="C85" i="5" l="1"/>
  <c r="E85" i="5" s="1"/>
  <c r="E73" i="5"/>
  <c r="F56" i="5"/>
  <c r="F64" i="5"/>
  <c r="C69" i="5"/>
  <c r="H53" i="5"/>
  <c r="F2" i="5" s="1"/>
  <c r="F54" i="5"/>
  <c r="H54" i="5" l="1"/>
  <c r="G2" i="5" s="1"/>
  <c r="C76" i="5"/>
  <c r="E76" i="5" s="1"/>
  <c r="E69" i="5"/>
  <c r="C81" i="5"/>
  <c r="E81" i="5" s="1"/>
  <c r="F55" i="5"/>
  <c r="H56" i="5"/>
  <c r="C74" i="5"/>
  <c r="E18" i="6" l="1"/>
  <c r="F18" i="6" s="1"/>
  <c r="F53" i="6" s="1"/>
  <c r="C69" i="6" s="1"/>
  <c r="E36" i="6"/>
  <c r="F36" i="6" s="1"/>
  <c r="F54" i="6" s="1"/>
  <c r="C76" i="6" s="1"/>
  <c r="E76" i="6" s="1"/>
  <c r="H2" i="5"/>
  <c r="H58" i="5"/>
  <c r="H59" i="5" s="1"/>
  <c r="O58" i="5" s="1"/>
  <c r="O55" i="5"/>
  <c r="H55" i="5"/>
  <c r="F63" i="5"/>
  <c r="O54" i="5"/>
  <c r="E74" i="5"/>
  <c r="C86" i="5"/>
  <c r="E86" i="5" s="1"/>
  <c r="F64" i="6" l="1"/>
  <c r="H53" i="6"/>
  <c r="F2" i="6" s="1"/>
  <c r="F55" i="6"/>
  <c r="O54" i="6" s="1"/>
  <c r="O56" i="6" s="1"/>
  <c r="H54" i="6"/>
  <c r="G2" i="6" s="1"/>
  <c r="E78" i="5"/>
  <c r="E45" i="6"/>
  <c r="F45" i="6" s="1"/>
  <c r="F56" i="6" s="1"/>
  <c r="E69" i="6"/>
  <c r="C81" i="6"/>
  <c r="E81" i="6" s="1"/>
  <c r="O56" i="5"/>
  <c r="O57" i="5" s="1"/>
  <c r="O59" i="5" s="1"/>
  <c r="C71" i="5"/>
  <c r="E63" i="5"/>
  <c r="F66" i="5"/>
  <c r="G63" i="5" s="1"/>
  <c r="F63" i="6" l="1"/>
  <c r="F66" i="6" s="1"/>
  <c r="H55" i="6"/>
  <c r="C74" i="6"/>
  <c r="H56" i="6"/>
  <c r="E63" i="6"/>
  <c r="C83" i="5"/>
  <c r="E83" i="5" s="1"/>
  <c r="E71" i="5"/>
  <c r="G66" i="5"/>
  <c r="G9" i="5"/>
  <c r="G11" i="5"/>
  <c r="G32" i="5"/>
  <c r="G47" i="5"/>
  <c r="G8" i="5"/>
  <c r="G20" i="5"/>
  <c r="G24" i="5"/>
  <c r="G31" i="5"/>
  <c r="G10" i="5"/>
  <c r="G12" i="5"/>
  <c r="G37" i="5"/>
  <c r="G38" i="5"/>
  <c r="G46" i="5"/>
  <c r="G17" i="5"/>
  <c r="G21" i="5"/>
  <c r="G41" i="5"/>
  <c r="G28" i="5"/>
  <c r="G13" i="5"/>
  <c r="G39" i="5"/>
  <c r="G51" i="5"/>
  <c r="G18" i="5"/>
  <c r="G22" i="5"/>
  <c r="G27" i="5"/>
  <c r="G65" i="5"/>
  <c r="G30" i="5"/>
  <c r="G14" i="5"/>
  <c r="G40" i="5"/>
  <c r="G19" i="5"/>
  <c r="G23" i="5"/>
  <c r="G29" i="5"/>
  <c r="G49" i="5"/>
  <c r="G36" i="5"/>
  <c r="G45" i="5"/>
  <c r="G44" i="5"/>
  <c r="G50" i="5"/>
  <c r="G53" i="5"/>
  <c r="G35" i="5"/>
  <c r="G48" i="5"/>
  <c r="G56" i="5"/>
  <c r="G54" i="5"/>
  <c r="G64" i="5"/>
  <c r="G55" i="5"/>
  <c r="O60" i="5"/>
  <c r="O61" i="5" s="1"/>
  <c r="O62" i="5" s="1"/>
  <c r="C71" i="6" l="1"/>
  <c r="C83" i="6" s="1"/>
  <c r="E83" i="6" s="1"/>
  <c r="G63" i="6"/>
  <c r="G65" i="6"/>
  <c r="G28" i="6"/>
  <c r="G38" i="6"/>
  <c r="G30" i="6"/>
  <c r="G14" i="6"/>
  <c r="G32" i="6"/>
  <c r="G29" i="6"/>
  <c r="G12" i="6"/>
  <c r="G36" i="6"/>
  <c r="G44" i="6"/>
  <c r="G56" i="6"/>
  <c r="G11" i="6"/>
  <c r="G10" i="6"/>
  <c r="G8" i="6"/>
  <c r="G13" i="6"/>
  <c r="G18" i="6"/>
  <c r="G39" i="6"/>
  <c r="G50" i="6"/>
  <c r="G37" i="6"/>
  <c r="G54" i="6"/>
  <c r="G47" i="6"/>
  <c r="G55" i="6"/>
  <c r="G31" i="6"/>
  <c r="G46" i="6"/>
  <c r="G22" i="6"/>
  <c r="G17" i="6"/>
  <c r="G23" i="6"/>
  <c r="G19" i="6"/>
  <c r="G20" i="6"/>
  <c r="G40" i="6"/>
  <c r="G45" i="6"/>
  <c r="G49" i="6"/>
  <c r="G66" i="6"/>
  <c r="G21" i="6"/>
  <c r="G27" i="6"/>
  <c r="G48" i="6"/>
  <c r="G35" i="6"/>
  <c r="G51" i="6"/>
  <c r="G41" i="6"/>
  <c r="G24" i="6"/>
  <c r="G9" i="6"/>
  <c r="G53" i="6"/>
  <c r="G64" i="6"/>
  <c r="O55" i="6"/>
  <c r="O57" i="6" s="1"/>
  <c r="H58" i="6"/>
  <c r="H59" i="6" s="1"/>
  <c r="O58" i="6" s="1"/>
  <c r="H2" i="6"/>
  <c r="E74" i="6"/>
  <c r="E78" i="6" s="1"/>
  <c r="C86" i="6"/>
  <c r="E86" i="6" s="1"/>
  <c r="E71" i="6"/>
  <c r="P62" i="5"/>
  <c r="E2" i="5"/>
  <c r="O59" i="6" l="1"/>
  <c r="O60" i="6" s="1"/>
  <c r="O61" i="6" l="1"/>
  <c r="O62" i="6" s="1"/>
  <c r="P62" i="6" s="1"/>
  <c r="E2" i="6" l="1"/>
</calcChain>
</file>

<file path=xl/sharedStrings.xml><?xml version="1.0" encoding="utf-8"?>
<sst xmlns="http://schemas.openxmlformats.org/spreadsheetml/2006/main" count="1053" uniqueCount="317">
  <si>
    <t>SERVICIOS DE PASTELERIA S.A.</t>
  </si>
  <si>
    <t>CÓDIGO:</t>
  </si>
  <si>
    <t>ESP-RE-DES-XXX</t>
  </si>
  <si>
    <t>ESPECIFICACION DE RECETA</t>
  </si>
  <si>
    <t>REVISIÓN:</t>
  </si>
  <si>
    <t>01</t>
  </si>
  <si>
    <t>FECHA DE APROBACIÓN:</t>
  </si>
  <si>
    <t>Elaborado</t>
  </si>
  <si>
    <t>Aprobado</t>
  </si>
  <si>
    <t>AREA QUE PRODUCE:</t>
  </si>
  <si>
    <t xml:space="preserve">AREA QUE EMPACA: </t>
  </si>
  <si>
    <t># Código Netsuite</t>
  </si>
  <si>
    <t>Descripción del ingrediente</t>
  </si>
  <si>
    <t xml:space="preserve">Marca </t>
  </si>
  <si>
    <t>ALERGENO</t>
  </si>
  <si>
    <t>OBSERVACIONES GENERALES</t>
  </si>
  <si>
    <t>Cantidad</t>
  </si>
  <si>
    <t xml:space="preserve">Unidad medida </t>
  </si>
  <si>
    <t>FAS</t>
  </si>
  <si>
    <t>g</t>
  </si>
  <si>
    <t>ud</t>
  </si>
  <si>
    <t>Unidad</t>
  </si>
  <si>
    <t xml:space="preserve">OTROS DATOS </t>
  </si>
  <si>
    <t>PESO TOTAL OBTENIDO</t>
  </si>
  <si>
    <t>TIEMPO TOTAL DE PREPARACION</t>
  </si>
  <si>
    <t>Minutos</t>
  </si>
  <si>
    <t>CANTIDAD DE PORCIONES OBTENIDAS</t>
  </si>
  <si>
    <t>PESO DE CADA PORCIÓN</t>
  </si>
  <si>
    <t>MERMA</t>
  </si>
  <si>
    <t>PROCEDIMIENTO DE PREPARACION DE LA  RECETA</t>
  </si>
  <si>
    <t>CONTROL DE CAMBIOS</t>
  </si>
  <si>
    <t>Unidad de Medida</t>
  </si>
  <si>
    <t># Revisión</t>
  </si>
  <si>
    <t>Detalle del Cambio</t>
  </si>
  <si>
    <t xml:space="preserve">Postres </t>
  </si>
  <si>
    <r>
      <rPr>
        <b/>
        <sz val="11"/>
        <color rgb="FFFF0000"/>
        <rFont val="Calibri"/>
        <family val="2"/>
        <scheme val="minor"/>
      </rPr>
      <t>Postres</t>
    </r>
    <r>
      <rPr>
        <sz val="11"/>
        <color theme="1"/>
        <rFont val="Calibri"/>
        <family val="2"/>
        <scheme val="minor"/>
      </rPr>
      <t xml:space="preserve"> </t>
    </r>
  </si>
  <si>
    <t xml:space="preserve">Esteban Cartin, Gerente Manofactura </t>
  </si>
  <si>
    <t>Mariela Barrantes Sánchez, Chef</t>
  </si>
  <si>
    <t>Tanda</t>
  </si>
  <si>
    <t>Nuevo</t>
  </si>
  <si>
    <t>Saborizante de Caramelo Salado</t>
  </si>
  <si>
    <t>SE00031</t>
  </si>
  <si>
    <t>Mezcla Tres Leches Pasteurizada</t>
  </si>
  <si>
    <t>1. Mezclar la leche pausterizada con la crema dulde de leche y el saborizante.</t>
  </si>
  <si>
    <t xml:space="preserve">2. Utilizar inmediatamente. </t>
  </si>
  <si>
    <t xml:space="preserve">Tres Leche de Caramelo </t>
  </si>
  <si>
    <t>SE00295</t>
  </si>
  <si>
    <t>ROSQUETE 3 LECHES BUCCA 250G</t>
  </si>
  <si>
    <t>NUEVO</t>
  </si>
  <si>
    <t>SE00010</t>
  </si>
  <si>
    <t>Crema Chantilly Blanca (Spoon-Ind)</t>
  </si>
  <si>
    <t>SE00033</t>
  </si>
  <si>
    <t>Chocolate Blanco Rallado</t>
  </si>
  <si>
    <t>MP10007</t>
  </si>
  <si>
    <t>Manjar Leche Condensada</t>
  </si>
  <si>
    <t>Nestle</t>
  </si>
  <si>
    <t>Hilos (Calentar un poco)</t>
  </si>
  <si>
    <t>EM10015</t>
  </si>
  <si>
    <t>TAPA BAND ALUM. DESE 4040)</t>
  </si>
  <si>
    <t>EM10002</t>
  </si>
  <si>
    <t>ETIQ.BLANCA 1 1/4 * 3/4 (UND)</t>
  </si>
  <si>
    <t>Etiplast</t>
  </si>
  <si>
    <t>EM10111</t>
  </si>
  <si>
    <t>ETIQ CIRCULO BUCCA DULCE (UND)</t>
  </si>
  <si>
    <t xml:space="preserve">2- Encremar con la crema blanca y realizar lineaas con el manjar de esquina a esquina y marmolear. </t>
  </si>
  <si>
    <t xml:space="preserve">3. Colocar el chocolate blanco rallado por todos los bordes. </t>
  </si>
  <si>
    <t>4. Colocar la tapa, cerrar y etiquetar.</t>
  </si>
  <si>
    <t>MP10165</t>
  </si>
  <si>
    <t>Crema Better Dulce Leche Rich</t>
  </si>
  <si>
    <t>Rich</t>
  </si>
  <si>
    <t>Astek</t>
  </si>
  <si>
    <t xml:space="preserve">Mezcla de Tres Leche de caramelo </t>
  </si>
  <si>
    <t xml:space="preserve">Mezcla de Tres Leche con Caramelo </t>
  </si>
  <si>
    <t>Lote</t>
  </si>
  <si>
    <t>EM10011</t>
  </si>
  <si>
    <t>Etiqueta Blanca 2 5/8X1 15/16</t>
  </si>
  <si>
    <t>EM10124</t>
  </si>
  <si>
    <t>Etiqueta Blanca R-153</t>
  </si>
  <si>
    <t>1- Bañar el rosquete con la mezcla de Tres Leches de caramelo y majar para que absorba.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</si>
  <si>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</si>
  <si>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</si>
  <si>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</si>
  <si>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</si>
  <si>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</si>
  <si>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</si>
  <si>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</si>
  <si>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</si>
  <si>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</si>
  <si>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</si>
  <si>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</si>
  <si>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</si>
  <si>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</si>
  <si>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</si>
  <si>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</si>
  <si>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</si>
  <si>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</si>
  <si>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</si>
  <si>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</si>
  <si>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</si>
  <si>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</si>
  <si>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</si>
  <si>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</si>
  <si>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</si>
  <si>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</si>
  <si>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</si>
  <si>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</si>
  <si>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</si>
  <si>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</si>
  <si>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</si>
  <si>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</si>
  <si>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</si>
  <si>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</si>
  <si>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</si>
  <si>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</si>
  <si>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</si>
  <si>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</si>
  <si>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</si>
  <si>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</si>
  <si>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</si>
  <si>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</si>
  <si>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</si>
  <si>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</si>
  <si>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</si>
  <si>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</si>
  <si>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</si>
  <si>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</si>
  <si>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</si>
  <si>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</si>
  <si>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</si>
  <si>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</si>
  <si>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</si>
  <si>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</si>
  <si>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 xml:space="preserve">UND </t>
  </si>
  <si>
    <t>UND</t>
  </si>
  <si>
    <t>3. Colocar la tapa, cerrar y etiquetar.</t>
  </si>
  <si>
    <t>Esteban Cartin, Gte Manufactura</t>
  </si>
  <si>
    <t>Postres</t>
  </si>
  <si>
    <t xml:space="preserve"># Código </t>
  </si>
  <si>
    <t>Unidad Internacional</t>
  </si>
  <si>
    <t>Medida alternativa</t>
  </si>
  <si>
    <t xml:space="preserve">Costo - Referencia </t>
  </si>
  <si>
    <t>Colones</t>
  </si>
  <si>
    <t>Ensamble</t>
  </si>
  <si>
    <t xml:space="preserve">DECORACIÓN </t>
  </si>
  <si>
    <t>ETIPLAST</t>
  </si>
  <si>
    <t>Tiempo de Horneo:</t>
  </si>
  <si>
    <t>min</t>
  </si>
  <si>
    <t>Horno:</t>
  </si>
  <si>
    <t>Temperatura de Horneo:</t>
  </si>
  <si>
    <t>Otros</t>
  </si>
  <si>
    <t>ESP-RE-BAF-004</t>
  </si>
  <si>
    <t>(SE00295) Rosquete tres leches bucca 280g</t>
  </si>
  <si>
    <t>Javier Tong, Chef</t>
  </si>
  <si>
    <t>Batidos</t>
  </si>
  <si>
    <t>SE00036</t>
  </si>
  <si>
    <t>BATIDO TRES LECHES SPOON KILO</t>
  </si>
  <si>
    <t>902000019</t>
  </si>
  <si>
    <t>MEZCLA P/ENGRASE MOLDES KILO</t>
  </si>
  <si>
    <t>Decoración</t>
  </si>
  <si>
    <t>Empaque</t>
  </si>
  <si>
    <t>1950756</t>
  </si>
  <si>
    <t>EM10014</t>
  </si>
  <si>
    <t>BANDEJA ALUM DESE 6 PORC #4040</t>
  </si>
  <si>
    <t>und</t>
  </si>
  <si>
    <t/>
  </si>
  <si>
    <t>1.- Dosificar 280g de mezcla en un molde aluminio familiar y hornear en el Argental a 175°C por 22 minutos, Marshall 175°C por 14 minutos y Dicte1 a 170°C por 15 minutos.</t>
  </si>
  <si>
    <t>2.- -Dejar enfriar y pasar a postres</t>
  </si>
  <si>
    <t>ESP-RE-BAS-012</t>
  </si>
  <si>
    <t>Batido  De Tres Leches 18300g 902000016(SE00036)</t>
  </si>
  <si>
    <t>95364</t>
  </si>
  <si>
    <t>SE00037</t>
  </si>
  <si>
    <t xml:space="preserve">BASE PREMEZCLA P/ROSQUETE TRES LECHES </t>
  </si>
  <si>
    <t>11400047</t>
  </si>
  <si>
    <t>MP10030</t>
  </si>
  <si>
    <t>LECHE 2% PASTEURIZADA (UND)</t>
  </si>
  <si>
    <t>DOS PINOS</t>
  </si>
  <si>
    <t>1210482</t>
  </si>
  <si>
    <t>MP10005</t>
  </si>
  <si>
    <t>HUEVO ENTERO PASTERI INNOVO (CAJA:10 K)</t>
  </si>
  <si>
    <t>INNOVO</t>
  </si>
  <si>
    <t>1212437</t>
  </si>
  <si>
    <t>MP10315</t>
  </si>
  <si>
    <t>PRESERVANTE MIXO</t>
  </si>
  <si>
    <t>PURATOS</t>
  </si>
  <si>
    <t>1.- Colocar en la batidora grande harina, azúcar, preservante, polvo de hornear y huevos.</t>
  </si>
  <si>
    <t>2.- Batir en velocidad 1 por 20 segundos, limpiando los bordes.</t>
  </si>
  <si>
    <t>3.- Subir a velocidad 4 y batir por 4 minutos. Bajar luego la velocidad a 2 y se adiciona la leche, batir por 1 minuto.</t>
  </si>
  <si>
    <t>4.- Pesar de inmediato según se requiera.</t>
  </si>
  <si>
    <t>ESP-RE-PRES-005</t>
  </si>
  <si>
    <t>Pre mezcla Rosquete tres leches SE00037</t>
  </si>
  <si>
    <t>Premezclas</t>
  </si>
  <si>
    <t>510301</t>
  </si>
  <si>
    <t>MP10074</t>
  </si>
  <si>
    <t>AZUCAR BLANCO INDUSTRIAL (SACO:50 K)</t>
  </si>
  <si>
    <t>LAICA</t>
  </si>
  <si>
    <t>MP10051</t>
  </si>
  <si>
    <t>HARINA TRIGO NACARINA (SACO: 25 K)</t>
  </si>
  <si>
    <t>NACARINA</t>
  </si>
  <si>
    <t>MP10478</t>
  </si>
  <si>
    <t>HARINA SILVER CAKE</t>
  </si>
  <si>
    <t>FHACASA</t>
  </si>
  <si>
    <t>MP10304</t>
  </si>
  <si>
    <t>POLVO HORNEAR FLEISHMAN (2.5 KG)</t>
  </si>
  <si>
    <t>FLEISHMAN</t>
  </si>
  <si>
    <t>MP10008</t>
  </si>
  <si>
    <t xml:space="preserve">PRESERVANTE 1047S KILO </t>
  </si>
  <si>
    <t>ASEAL</t>
  </si>
  <si>
    <t>0702123</t>
  </si>
  <si>
    <t>ETIQUETA BLANCA 2 5/8X1 15/16 (UND)</t>
  </si>
  <si>
    <t>1950708</t>
  </si>
  <si>
    <t>EM10013</t>
  </si>
  <si>
    <t>BOLSA 17x25 TRANSP (KILO)</t>
  </si>
  <si>
    <t>PLASTICOS P</t>
  </si>
  <si>
    <t>60100010</t>
  </si>
  <si>
    <t>EM10133</t>
  </si>
  <si>
    <t>ETIQUETA ROJA LETRA ALERJENO (UND)</t>
  </si>
  <si>
    <t>1.-Pesar en una bolsa 17*25 la harina, polvo de hornear y preservante.</t>
  </si>
  <si>
    <t>2.- Pesar en otra bolsa 17*25 el azúcar, introducir la bolsa anterior en esta.</t>
  </si>
  <si>
    <t>3.- Etiquetar con nombre y alerjeno</t>
  </si>
  <si>
    <t>ESP-RE-BAS-006</t>
  </si>
  <si>
    <t>06</t>
  </si>
  <si>
    <t>SE00701 Mezcla para engrase moldes 29800g 902000019</t>
  </si>
  <si>
    <t>Jeffry Rodriguez. Gte de Manufactura</t>
  </si>
  <si>
    <t xml:space="preserve">Codigo Netsuite </t>
  </si>
  <si>
    <t>Medida Costeo</t>
  </si>
  <si>
    <t>1210401</t>
  </si>
  <si>
    <t>MP10003</t>
  </si>
  <si>
    <t>MANTECA MAX PAN (CAJA:25 k)</t>
  </si>
  <si>
    <t>Max Pan</t>
  </si>
  <si>
    <t>Caja</t>
  </si>
  <si>
    <t>0510188</t>
  </si>
  <si>
    <t>MP10004</t>
  </si>
  <si>
    <t>HARINA ESTANDAR  (SACO: 25 KG )</t>
  </si>
  <si>
    <t>Harisol</t>
  </si>
  <si>
    <t>Saco</t>
  </si>
  <si>
    <t>512000002</t>
  </si>
  <si>
    <t>EM10259</t>
  </si>
  <si>
    <t>PLASTICO  AUTOAD (UND: 18 * 2000 M)</t>
  </si>
  <si>
    <t>Mayca</t>
  </si>
  <si>
    <t>cm</t>
  </si>
  <si>
    <t>Und</t>
  </si>
  <si>
    <t>1,- Colocar la manteca en la batidora y batir por 3 minutos hasta que se suavise.</t>
  </si>
  <si>
    <t>2,- Agregar el harina y batir 40 minutos mas hasta homogenizar en velocidad 1.</t>
  </si>
  <si>
    <t>3,- Colocar la mezcla en botes de plastico.Cubrir con papel autoadhesivo.</t>
  </si>
  <si>
    <t>Control de cambios</t>
  </si>
  <si>
    <t>5, Actualizacion de codigos</t>
  </si>
  <si>
    <t xml:space="preserve">Revisión #6: Actualización de procedimiento. </t>
  </si>
  <si>
    <t>ESP-RE-POS-020</t>
  </si>
  <si>
    <t>02</t>
  </si>
  <si>
    <t>Mezcla para Tres Leches Pasteurizada SE00031</t>
  </si>
  <si>
    <t xml:space="preserve">g </t>
  </si>
  <si>
    <t>1110414</t>
  </si>
  <si>
    <t>MP10024</t>
  </si>
  <si>
    <t>LECHE EVAPORADA (LITRO)</t>
  </si>
  <si>
    <t>NESTLE</t>
  </si>
  <si>
    <t>MP10050</t>
  </si>
  <si>
    <t>LECHE CONDENSADA</t>
  </si>
  <si>
    <t>MP10048</t>
  </si>
  <si>
    <t xml:space="preserve">CREMA PRESTIGE GRAND </t>
  </si>
  <si>
    <t>RICH</t>
  </si>
  <si>
    <t>SE00016</t>
  </si>
  <si>
    <t>AZUCAR BLANCO INDUSTRIAL KILO</t>
  </si>
  <si>
    <t>PRESERVANTE 1047S (PAQ=5 KILO)</t>
  </si>
  <si>
    <t>Min.</t>
  </si>
  <si>
    <t>tanda</t>
  </si>
  <si>
    <t xml:space="preserve">1. Disolver completamente  el preservante en un litro de leche estandar empleando el homogenizador manual. </t>
  </si>
  <si>
    <t>2. Colocar en un bolw con una paleta manual, la leche fluida, la leche evaporada, el litro de leche con el preservante ya disuelto, el azúcar, la crema prestige líquida y  la leche condensada.</t>
  </si>
  <si>
    <t xml:space="preserve">3. Dosificar la mezcla pasteurizada en recipientes de acero inoxidable previamente lavado de acuerdo a INS-LMP-019 Recipiente para el Almacenamiento de Leche Pasteurizada, tapar el recipiente hermeticamente y reservar hasta su uso. </t>
  </si>
  <si>
    <t xml:space="preserve">4. Identificar los recipientes con nombre del producto, fecha de producción y responsable. </t>
  </si>
  <si>
    <t xml:space="preserve">5. Esta mezcla tiene una vida útil de 2 días envasada en recipientes de acero inoxidable herméticamente cerrados y mantenida en refrigeración </t>
  </si>
  <si>
    <t xml:space="preserve">    0ºC y 5ªC.       Terminado el proceso proceder a la limpieza del equipo y a la sanitización.</t>
  </si>
  <si>
    <t xml:space="preserve">2Actualización procedimiento </t>
  </si>
  <si>
    <t>ESP-RE-DES-018</t>
  </si>
  <si>
    <t xml:space="preserve"> Crema Blanca Spoon (20800g)  SE00010</t>
  </si>
  <si>
    <t>Decoracion</t>
  </si>
  <si>
    <t>MP10047</t>
  </si>
  <si>
    <t>BETTERCREME SUPREMO (UND:4 K)</t>
  </si>
  <si>
    <t>RICHS</t>
  </si>
  <si>
    <t>CREMA PRESTIGE GRAND (UND:4 K)</t>
  </si>
  <si>
    <t>10415</t>
  </si>
  <si>
    <t>AGUA POTABLE (PLANTA)</t>
  </si>
  <si>
    <t>AYA</t>
  </si>
  <si>
    <t>Etiplas</t>
  </si>
  <si>
    <t>1.- Abrir los galones de crema y verter dentro de la top cream. (Temperatura 5° liquida )</t>
  </si>
  <si>
    <t>2.- Disolver el preservante en el agua. Agregar a la top cream.</t>
  </si>
  <si>
    <t>3.- Batir por 17 minutos. Una ves lista (Temperatura 18° batida) Colocar en una tina plastica, tapar.</t>
  </si>
  <si>
    <t>4.- Etiquetar con nombre y fecha de vencimiento.</t>
  </si>
  <si>
    <t xml:space="preserve">5.- Mantener en refrigeración hasta su uso. </t>
  </si>
  <si>
    <t>2, Actualización tiempo de preparación y procedimiento</t>
  </si>
  <si>
    <t>ESP-RE-DES-016</t>
  </si>
  <si>
    <t xml:space="preserve"> Mezcla Sirope de Dulce de Leche(5350g) 910000006(SE00034)</t>
  </si>
  <si>
    <t>11400066</t>
  </si>
  <si>
    <t xml:space="preserve">MANJAR DE LECHE CONDENSADA </t>
  </si>
  <si>
    <t>1950765</t>
  </si>
  <si>
    <t>PLAST. AUTOAD 18 * 2000</t>
  </si>
  <si>
    <t>MAYCA</t>
  </si>
  <si>
    <t>0702012</t>
  </si>
  <si>
    <t>EM10005</t>
  </si>
  <si>
    <t>ETIQ.FECHA VENCIMIENTO</t>
  </si>
  <si>
    <t>Unid</t>
  </si>
  <si>
    <t>1950705</t>
  </si>
  <si>
    <t>EM10037</t>
  </si>
  <si>
    <t xml:space="preserve">BOLSA 8x12 TRANSP </t>
  </si>
  <si>
    <t>1, Mezclar con ayuda de una espatula de goma, el manjar con el agua.</t>
  </si>
  <si>
    <t xml:space="preserve">2, Guardarlo en bolsa 8x12 y etiquetar. </t>
  </si>
  <si>
    <t>3, Usar inmediatamente o si no, guardar en camara de refigeración.</t>
  </si>
  <si>
    <t>Cuenta con 2 dias de vida util despues de su elaboración, guardar los sobrantes en bolsasa plasticas en refigeración.</t>
  </si>
  <si>
    <t xml:space="preserve">2, Actualización datos de receta, procedimiento y pesos finales. </t>
  </si>
  <si>
    <t>MP10758</t>
  </si>
  <si>
    <t>Sebastian Dias , Gte Manufactura</t>
  </si>
  <si>
    <t>SE00760 Mezcla de Tres Leches de Caramelo</t>
  </si>
  <si>
    <t>Mezcla Tres Leches Pausterizada</t>
  </si>
  <si>
    <t>Crema Bettercream Dulce de Leche Rich</t>
  </si>
  <si>
    <t xml:space="preserve">Saborizante de Caramelo </t>
  </si>
  <si>
    <t xml:space="preserve">Agua </t>
  </si>
  <si>
    <t>1. Mezclar la leche pausterizada con la crema dulde de leche, el agua  y el saborizante.</t>
  </si>
  <si>
    <t>ESP-RE-POF-056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</si>
</sst>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70" formatCode="0.0"/>
    <numFmt numFmtId="171" formatCode="_(* #,##0.000_);_(* \(#,##0.000\);_(* &quot;-&quot;??_);_(@_)"/>
  </numFmts>
  <fonts count="9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indexed="8"/>
      <name val="Century Gothic"/>
      <family val="2"/>
    </font>
    <font>
      <b/>
      <i/>
      <sz val="12"/>
      <name val="Century Gothic"/>
      <family val="2"/>
    </font>
    <font>
      <b/>
      <sz val="11"/>
      <color rgb="FF0070C0"/>
      <name val="Times New Roman"/>
      <family val="1"/>
    </font>
    <font>
      <sz val="11"/>
      <color rgb="FF0070C0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name val="Arial"/>
      <family val="2"/>
    </font>
    <font>
      <sz val="10"/>
      <name val="Calibri"/>
      <family val="2"/>
      <scheme val="minor"/>
    </font>
    <font>
      <sz val="11"/>
      <color theme="1"/>
      <name val="Arial"/>
      <family val="2"/>
    </font>
    <font>
      <sz val="10"/>
      <name val="Times New Roman"/>
      <family val="1"/>
    </font>
    <font>
      <sz val="12"/>
      <color theme="4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Century Gothic"/>
      <family val="2"/>
    </font>
    <font>
      <b/>
      <i/>
      <sz val="12"/>
      <name val="Arial"/>
      <family val="2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sz val="11"/>
      <color indexed="8"/>
      <name val="Times New Roman"/>
      <family val="1"/>
    </font>
    <font>
      <b/>
      <sz val="11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name val="Arial"/>
      <family val="2"/>
    </font>
    <font>
      <sz val="14"/>
      <color theme="1"/>
      <name val="Century Gothic"/>
      <family val="2"/>
    </font>
    <font>
      <sz val="14"/>
      <color indexed="8"/>
      <name val="Century Gothic"/>
      <family val="2"/>
    </font>
    <font>
      <sz val="9.85"/>
      <color indexed="8"/>
      <name val="Times New Roman"/>
      <family val="1"/>
    </font>
    <font>
      <sz val="15"/>
      <name val="Century Gothic"/>
      <family val="2"/>
    </font>
    <font>
      <b/>
      <sz val="15"/>
      <name val="Century Gothic"/>
      <family val="2"/>
    </font>
    <font>
      <b/>
      <sz val="15"/>
      <name val="Arial"/>
      <family val="2"/>
    </font>
    <font>
      <b/>
      <sz val="15"/>
      <color rgb="FFFF0000"/>
      <name val="Arial"/>
      <family val="2"/>
    </font>
    <font>
      <b/>
      <sz val="15"/>
      <name val="Times New Roman"/>
      <family val="1"/>
    </font>
    <font>
      <b/>
      <sz val="15"/>
      <color indexed="8"/>
      <name val="Times New Roman"/>
      <family val="1"/>
    </font>
    <font>
      <sz val="15"/>
      <name val="Times New Roman"/>
      <family val="1"/>
    </font>
    <font>
      <sz val="15"/>
      <color indexed="8"/>
      <name val="Times New Roman"/>
      <family val="1"/>
    </font>
    <font>
      <sz val="15"/>
      <name val="Arial"/>
      <family val="2"/>
    </font>
    <font>
      <sz val="15"/>
      <color theme="1"/>
      <name val="Century Gothic"/>
      <family val="2"/>
    </font>
    <font>
      <sz val="15"/>
      <color theme="1"/>
      <name val="Calibri"/>
      <family val="2"/>
      <scheme val="minor"/>
    </font>
    <font>
      <sz val="15"/>
      <color indexed="8"/>
      <name val="Century Gothic"/>
      <family val="2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Calibri"/>
      <family val="2"/>
      <scheme val="minor"/>
    </font>
    <font>
      <sz val="15"/>
      <color rgb="FF000000"/>
      <name val="Century Gothic"/>
      <family val="2"/>
    </font>
    <font>
      <sz val="15"/>
      <color rgb="FF000000"/>
      <name val="Calibri"/>
      <family val="2"/>
      <scheme val="minor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i/>
      <sz val="1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37">
    <xf numFmtId="0" fontId="0" fillId="0" borderId="0"/>
    <xf numFmtId="0" fontId="1" fillId="0" borderId="0"/>
    <xf numFmtId="0" fontId="1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17" fillId="0" borderId="0"/>
    <xf numFmtId="0" fontId="17" fillId="0" borderId="0"/>
    <xf numFmtId="0" fontId="7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</cellStyleXfs>
  <cellXfs count="1232">
    <xf numFmtId="0" fontId="0" fillId="0" borderId="0" xfId="0"/>
    <xf numFmtId="0" fontId="2" fillId="2" borderId="3" xfId="1" applyFont="1" applyFill="1" applyBorder="1" applyAlignment="1">
      <alignment horizontal="center"/>
    </xf>
    <xf numFmtId="49" fontId="2" fillId="2" borderId="6" xfId="1" applyNumberFormat="1" applyFont="1" applyFill="1" applyBorder="1" applyAlignment="1">
      <alignment horizontal="center"/>
    </xf>
    <xf numFmtId="14" fontId="6" fillId="2" borderId="0" xfId="2" applyNumberFormat="1" applyFont="1" applyFill="1" applyAlignment="1">
      <alignment horizontal="center" vertical="center" wrapText="1"/>
    </xf>
    <xf numFmtId="1" fontId="8" fillId="0" borderId="5" xfId="3" applyNumberFormat="1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4" borderId="5" xfId="0" applyFill="1" applyBorder="1"/>
    <xf numFmtId="49" fontId="10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4" fontId="2" fillId="2" borderId="0" xfId="3" applyNumberFormat="1" applyFont="1" applyFill="1" applyAlignment="1">
      <alignment horizontal="center" wrapText="1"/>
    </xf>
    <xf numFmtId="0" fontId="2" fillId="2" borderId="18" xfId="3" applyFont="1" applyFill="1" applyBorder="1" applyAlignment="1">
      <alignment horizontal="center"/>
    </xf>
    <xf numFmtId="0" fontId="7" fillId="0" borderId="0" xfId="3"/>
    <xf numFmtId="0" fontId="2" fillId="2" borderId="0" xfId="3" applyFont="1" applyFill="1" applyAlignment="1">
      <alignment horizontal="left" indent="1"/>
    </xf>
    <xf numFmtId="9" fontId="2" fillId="2" borderId="0" xfId="5" applyFont="1" applyFill="1"/>
    <xf numFmtId="0" fontId="5" fillId="2" borderId="0" xfId="2" applyFont="1" applyFill="1" applyAlignment="1">
      <alignment horizontal="right"/>
    </xf>
    <xf numFmtId="0" fontId="5" fillId="2" borderId="0" xfId="2" applyFont="1" applyFill="1"/>
    <xf numFmtId="0" fontId="6" fillId="2" borderId="0" xfId="2" applyFont="1" applyFill="1" applyAlignment="1">
      <alignment horizontal="center"/>
    </xf>
    <xf numFmtId="0" fontId="2" fillId="0" borderId="6" xfId="3" applyFont="1" applyBorder="1" applyAlignment="1">
      <alignment horizontal="center"/>
    </xf>
    <xf numFmtId="0" fontId="2" fillId="0" borderId="15" xfId="3" applyFont="1" applyBorder="1" applyAlignment="1">
      <alignment horizontal="center"/>
    </xf>
    <xf numFmtId="0" fontId="3" fillId="3" borderId="19" xfId="3" applyFont="1" applyFill="1" applyBorder="1" applyAlignment="1">
      <alignment horizontal="left"/>
    </xf>
    <xf numFmtId="0" fontId="3" fillId="3" borderId="20" xfId="3" applyFont="1" applyFill="1" applyBorder="1" applyAlignment="1">
      <alignment horizontal="left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right"/>
    </xf>
    <xf numFmtId="0" fontId="2" fillId="2" borderId="0" xfId="1" applyFont="1" applyFill="1" applyAlignment="1">
      <alignment horizontal="left"/>
    </xf>
    <xf numFmtId="0" fontId="3" fillId="2" borderId="0" xfId="1" applyFont="1" applyFill="1" applyAlignment="1">
      <alignment horizontal="right" vertical="top" wrapText="1"/>
    </xf>
    <xf numFmtId="14" fontId="2" fillId="2" borderId="0" xfId="1" applyNumberFormat="1" applyFont="1" applyFill="1" applyAlignment="1">
      <alignment horizontal="center" vertical="center" wrapText="1"/>
    </xf>
    <xf numFmtId="164" fontId="2" fillId="0" borderId="0" xfId="3" applyNumberFormat="1" applyFont="1" applyAlignment="1">
      <alignment horizontal="center"/>
    </xf>
    <xf numFmtId="0" fontId="3" fillId="2" borderId="6" xfId="1" applyFont="1" applyFill="1" applyBorder="1" applyAlignment="1">
      <alignment horizontal="right" vertical="top" wrapText="1"/>
    </xf>
    <xf numFmtId="0" fontId="3" fillId="2" borderId="14" xfId="1" applyFont="1" applyFill="1" applyBorder="1" applyAlignment="1">
      <alignment horizontal="right"/>
    </xf>
    <xf numFmtId="0" fontId="3" fillId="2" borderId="2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 vertical="top" wrapText="1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3" borderId="12" xfId="3" applyFont="1" applyFill="1" applyBorder="1" applyAlignment="1">
      <alignment horizontal="center"/>
    </xf>
    <xf numFmtId="0" fontId="2" fillId="3" borderId="2" xfId="3" applyFont="1" applyFill="1" applyBorder="1"/>
    <xf numFmtId="0" fontId="3" fillId="3" borderId="2" xfId="3" applyFont="1" applyFill="1" applyBorder="1" applyAlignment="1">
      <alignment horizontal="center"/>
    </xf>
    <xf numFmtId="1" fontId="3" fillId="3" borderId="3" xfId="3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2" fillId="0" borderId="0" xfId="3" applyFont="1" applyAlignment="1">
      <alignment horizontal="center"/>
    </xf>
    <xf numFmtId="0" fontId="3" fillId="3" borderId="21" xfId="3" applyFont="1" applyFill="1" applyBorder="1" applyAlignment="1">
      <alignment horizontal="left"/>
    </xf>
    <xf numFmtId="0" fontId="2" fillId="4" borderId="5" xfId="1" applyFont="1" applyFill="1" applyBorder="1" applyAlignment="1">
      <alignment horizontal="center"/>
    </xf>
    <xf numFmtId="0" fontId="3" fillId="4" borderId="5" xfId="1" applyFont="1" applyFill="1" applyBorder="1"/>
    <xf numFmtId="0" fontId="15" fillId="0" borderId="0" xfId="3" applyFont="1"/>
    <xf numFmtId="0" fontId="14" fillId="0" borderId="0" xfId="0" applyFont="1"/>
    <xf numFmtId="1" fontId="0" fillId="0" borderId="0" xfId="0" applyNumberFormat="1"/>
    <xf numFmtId="0" fontId="1" fillId="0" borderId="3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7" fillId="4" borderId="5" xfId="0" applyFont="1" applyFill="1" applyBorder="1"/>
    <xf numFmtId="0" fontId="18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1" fontId="3" fillId="0" borderId="14" xfId="0" applyNumberFormat="1" applyFont="1" applyBorder="1" applyAlignment="1">
      <alignment horizontal="right"/>
    </xf>
    <xf numFmtId="12" fontId="13" fillId="0" borderId="9" xfId="3" applyNumberFormat="1" applyFont="1" applyBorder="1" applyAlignment="1">
      <alignment horizontal="center"/>
    </xf>
    <xf numFmtId="1" fontId="12" fillId="0" borderId="34" xfId="3" applyNumberFormat="1" applyFont="1" applyBorder="1" applyAlignment="1">
      <alignment horizontal="center"/>
    </xf>
    <xf numFmtId="16" fontId="2" fillId="0" borderId="5" xfId="3" applyNumberFormat="1" applyFont="1" applyBorder="1" applyAlignment="1">
      <alignment horizontal="center"/>
    </xf>
    <xf numFmtId="0" fontId="20" fillId="4" borderId="5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19" fillId="4" borderId="5" xfId="0" applyFont="1" applyFill="1" applyBorder="1" applyAlignment="1">
      <alignment horizontal="center"/>
    </xf>
    <xf numFmtId="1" fontId="12" fillId="0" borderId="17" xfId="3" applyNumberFormat="1" applyFont="1" applyBorder="1" applyAlignment="1">
      <alignment horizontal="center"/>
    </xf>
    <xf numFmtId="1" fontId="12" fillId="0" borderId="9" xfId="3" applyNumberFormat="1" applyFont="1" applyBorder="1" applyAlignment="1">
      <alignment horizontal="center"/>
    </xf>
    <xf numFmtId="12" fontId="12" fillId="0" borderId="34" xfId="3" applyNumberFormat="1" applyFont="1" applyBorder="1" applyAlignment="1">
      <alignment horizontal="center"/>
    </xf>
    <xf numFmtId="12" fontId="12" fillId="0" borderId="9" xfId="3" applyNumberFormat="1" applyFont="1" applyBorder="1" applyAlignment="1">
      <alignment horizontal="center"/>
    </xf>
    <xf numFmtId="12" fontId="12" fillId="0" borderId="17" xfId="3" applyNumberFormat="1" applyFont="1" applyBorder="1" applyAlignment="1">
      <alignment horizontal="center"/>
    </xf>
    <xf numFmtId="0" fontId="0" fillId="0" borderId="5" xfId="0" applyBorder="1"/>
    <xf numFmtId="0" fontId="9" fillId="0" borderId="5" xfId="0" applyFont="1" applyBorder="1" applyAlignment="1">
      <alignment horizontal="center"/>
    </xf>
    <xf numFmtId="49" fontId="22" fillId="0" borderId="5" xfId="3" applyNumberFormat="1" applyFont="1" applyBorder="1"/>
    <xf numFmtId="0" fontId="9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49" fontId="22" fillId="4" borderId="10" xfId="0" applyNumberFormat="1" applyFont="1" applyFill="1" applyBorder="1" applyAlignment="1">
      <alignment horizontal="left" wrapText="1"/>
    </xf>
    <xf numFmtId="0" fontId="0" fillId="0" borderId="10" xfId="0" applyBorder="1"/>
    <xf numFmtId="1" fontId="9" fillId="0" borderId="5" xfId="0" applyNumberFormat="1" applyFont="1" applyBorder="1" applyAlignment="1">
      <alignment horizontal="center" wrapText="1"/>
    </xf>
    <xf numFmtId="0" fontId="18" fillId="0" borderId="38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12" fontId="12" fillId="0" borderId="44" xfId="3" applyNumberFormat="1" applyFont="1" applyBorder="1"/>
    <xf numFmtId="12" fontId="12" fillId="0" borderId="45" xfId="3" applyNumberFormat="1" applyFont="1" applyBorder="1"/>
    <xf numFmtId="12" fontId="12" fillId="0" borderId="42" xfId="3" applyNumberFormat="1" applyFont="1" applyBorder="1"/>
    <xf numFmtId="12" fontId="12" fillId="0" borderId="22" xfId="3" applyNumberFormat="1" applyFont="1" applyBorder="1"/>
    <xf numFmtId="12" fontId="12" fillId="0" borderId="8" xfId="3" applyNumberFormat="1" applyFont="1" applyBorder="1"/>
    <xf numFmtId="12" fontId="12" fillId="0" borderId="46" xfId="3" applyNumberFormat="1" applyFont="1" applyBorder="1"/>
    <xf numFmtId="164" fontId="0" fillId="0" borderId="0" xfId="0" applyNumberFormat="1"/>
    <xf numFmtId="0" fontId="22" fillId="4" borderId="0" xfId="0" applyFont="1" applyFill="1" applyAlignment="1">
      <alignment vertical="center"/>
    </xf>
    <xf numFmtId="0" fontId="24" fillId="6" borderId="5" xfId="0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43" fontId="24" fillId="0" borderId="5" xfId="71" applyFont="1" applyFill="1" applyBorder="1" applyAlignment="1">
      <alignment horizontal="center" vertical="center"/>
    </xf>
    <xf numFmtId="43" fontId="24" fillId="0" borderId="0" xfId="71" applyFont="1" applyFill="1" applyBorder="1" applyAlignment="1">
      <alignment horizontal="center" vertical="center"/>
    </xf>
    <xf numFmtId="43" fontId="26" fillId="0" borderId="0" xfId="7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166" fontId="29" fillId="0" borderId="0" xfId="0" applyNumberFormat="1" applyFont="1" applyAlignment="1">
      <alignment horizontal="center" vertical="center" wrapText="1"/>
    </xf>
    <xf numFmtId="0" fontId="24" fillId="7" borderId="47" xfId="0" applyFont="1" applyFill="1" applyBorder="1" applyAlignment="1">
      <alignment horizontal="center" vertical="center"/>
    </xf>
    <xf numFmtId="0" fontId="24" fillId="7" borderId="48" xfId="0" applyFont="1" applyFill="1" applyBorder="1" applyAlignment="1">
      <alignment horizontal="center" vertical="center"/>
    </xf>
    <xf numFmtId="0" fontId="24" fillId="7" borderId="48" xfId="0" applyFont="1" applyFill="1" applyBorder="1" applyAlignment="1">
      <alignment horizontal="center" vertical="center" wrapText="1"/>
    </xf>
    <xf numFmtId="0" fontId="24" fillId="7" borderId="4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2" fontId="30" fillId="0" borderId="0" xfId="0" applyNumberFormat="1" applyFont="1" applyAlignment="1">
      <alignment horizontal="center"/>
    </xf>
    <xf numFmtId="4" fontId="30" fillId="0" borderId="0" xfId="72" applyNumberFormat="1" applyFont="1" applyFill="1" applyAlignment="1">
      <alignment horizontal="center" vertical="center"/>
    </xf>
    <xf numFmtId="4" fontId="24" fillId="0" borderId="0" xfId="72" applyNumberFormat="1" applyFont="1" applyFill="1" applyAlignment="1">
      <alignment horizontal="center" vertical="center"/>
    </xf>
    <xf numFmtId="10" fontId="24" fillId="0" borderId="0" xfId="73" applyNumberFormat="1" applyFont="1" applyFill="1" applyAlignment="1">
      <alignment vertical="center"/>
    </xf>
    <xf numFmtId="49" fontId="24" fillId="0" borderId="0" xfId="0" applyNumberFormat="1" applyFont="1" applyAlignment="1">
      <alignment horizontal="center" vertical="center"/>
    </xf>
    <xf numFmtId="10" fontId="25" fillId="0" borderId="0" xfId="73" applyNumberFormat="1" applyFont="1" applyFill="1" applyAlignment="1">
      <alignment vertical="center"/>
    </xf>
    <xf numFmtId="0" fontId="22" fillId="0" borderId="0" xfId="0" applyFont="1"/>
    <xf numFmtId="49" fontId="24" fillId="0" borderId="0" xfId="0" applyNumberFormat="1" applyFont="1" applyAlignment="1">
      <alignment horizontal="center"/>
    </xf>
    <xf numFmtId="167" fontId="22" fillId="0" borderId="0" xfId="0" applyNumberFormat="1" applyFont="1" applyAlignment="1">
      <alignment vertical="center"/>
    </xf>
    <xf numFmtId="0" fontId="22" fillId="0" borderId="0" xfId="0" applyFont="1" applyAlignment="1">
      <alignment horizontal="left" vertical="center"/>
    </xf>
    <xf numFmtId="43" fontId="22" fillId="0" borderId="0" xfId="71" applyFont="1" applyFill="1" applyAlignment="1">
      <alignment vertical="center"/>
    </xf>
    <xf numFmtId="49" fontId="3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4" fontId="24" fillId="0" borderId="0" xfId="71" applyNumberFormat="1" applyFont="1" applyFill="1" applyAlignment="1">
      <alignment vertical="center"/>
    </xf>
    <xf numFmtId="43" fontId="32" fillId="0" borderId="0" xfId="71" applyFont="1" applyFill="1" applyAlignment="1">
      <alignment horizontal="center" vertical="center"/>
    </xf>
    <xf numFmtId="10" fontId="25" fillId="7" borderId="50" xfId="73" applyNumberFormat="1" applyFont="1" applyFill="1" applyBorder="1" applyAlignment="1">
      <alignment vertical="center"/>
    </xf>
    <xf numFmtId="0" fontId="22" fillId="7" borderId="20" xfId="0" applyFont="1" applyFill="1" applyBorder="1" applyAlignment="1">
      <alignment vertical="center"/>
    </xf>
    <xf numFmtId="0" fontId="22" fillId="7" borderId="50" xfId="0" applyFont="1" applyFill="1" applyBorder="1" applyAlignment="1">
      <alignment vertical="center"/>
    </xf>
    <xf numFmtId="43" fontId="32" fillId="7" borderId="51" xfId="71" applyFont="1" applyFill="1" applyBorder="1" applyAlignment="1">
      <alignment horizontal="center" vertical="center"/>
    </xf>
    <xf numFmtId="43" fontId="34" fillId="0" borderId="0" xfId="71" applyFont="1" applyFill="1" applyBorder="1" applyAlignment="1">
      <alignment horizontal="right"/>
    </xf>
    <xf numFmtId="0" fontId="22" fillId="7" borderId="51" xfId="0" applyFont="1" applyFill="1" applyBorder="1" applyAlignment="1">
      <alignment vertical="center"/>
    </xf>
    <xf numFmtId="10" fontId="25" fillId="7" borderId="51" xfId="73" applyNumberFormat="1" applyFont="1" applyFill="1" applyBorder="1" applyAlignment="1">
      <alignment vertical="center"/>
    </xf>
    <xf numFmtId="0" fontId="33" fillId="0" borderId="0" xfId="0" applyFont="1" applyAlignment="1">
      <alignment horizontal="right"/>
    </xf>
    <xf numFmtId="0" fontId="33" fillId="0" borderId="0" xfId="0" applyFont="1"/>
    <xf numFmtId="9" fontId="33" fillId="0" borderId="0" xfId="0" applyNumberFormat="1" applyFont="1"/>
    <xf numFmtId="9" fontId="35" fillId="0" borderId="0" xfId="73" applyFont="1" applyFill="1" applyAlignment="1">
      <alignment horizontal="center"/>
    </xf>
    <xf numFmtId="0" fontId="32" fillId="0" borderId="0" xfId="0" applyFont="1" applyAlignment="1">
      <alignment horizontal="right" vertical="center"/>
    </xf>
    <xf numFmtId="4" fontId="32" fillId="0" borderId="0" xfId="71" applyNumberFormat="1" applyFont="1" applyFill="1" applyAlignment="1">
      <alignment vertical="center"/>
    </xf>
    <xf numFmtId="4" fontId="32" fillId="0" borderId="0" xfId="72" applyNumberFormat="1" applyFont="1" applyAlignment="1">
      <alignment horizontal="center" vertical="center"/>
    </xf>
    <xf numFmtId="0" fontId="36" fillId="0" borderId="0" xfId="0" applyFont="1" applyAlignment="1">
      <alignment horizontal="right"/>
    </xf>
    <xf numFmtId="0" fontId="37" fillId="0" borderId="0" xfId="0" applyFont="1" applyAlignment="1">
      <alignment horizontal="right"/>
    </xf>
    <xf numFmtId="0" fontId="37" fillId="0" borderId="18" xfId="0" applyFont="1" applyBorder="1" applyAlignment="1">
      <alignment horizontal="right"/>
    </xf>
    <xf numFmtId="43" fontId="38" fillId="8" borderId="53" xfId="71" applyFont="1" applyFill="1" applyBorder="1" applyAlignment="1">
      <alignment horizontal="right"/>
    </xf>
    <xf numFmtId="43" fontId="38" fillId="0" borderId="0" xfId="71" applyFont="1" applyFill="1" applyBorder="1" applyAlignment="1">
      <alignment horizontal="right"/>
    </xf>
    <xf numFmtId="43" fontId="24" fillId="0" borderId="5" xfId="71" applyFont="1" applyFill="1" applyBorder="1" applyAlignment="1">
      <alignment vertical="center"/>
    </xf>
    <xf numFmtId="0" fontId="39" fillId="0" borderId="0" xfId="0" applyFont="1" applyAlignment="1">
      <alignment horizontal="left" vertical="center"/>
    </xf>
    <xf numFmtId="4" fontId="32" fillId="0" borderId="0" xfId="72" applyNumberFormat="1" applyFont="1" applyFill="1" applyAlignment="1">
      <alignment horizontal="center" vertical="center"/>
    </xf>
    <xf numFmtId="10" fontId="40" fillId="0" borderId="0" xfId="73" applyNumberFormat="1" applyFont="1" applyFill="1" applyAlignment="1">
      <alignment horizontal="right"/>
    </xf>
    <xf numFmtId="168" fontId="24" fillId="7" borderId="5" xfId="71" applyNumberFormat="1" applyFont="1" applyFill="1" applyBorder="1" applyAlignment="1">
      <alignment vertical="center"/>
    </xf>
    <xf numFmtId="4" fontId="22" fillId="0" borderId="0" xfId="0" applyNumberFormat="1" applyFont="1" applyAlignment="1">
      <alignment horizontal="center" vertical="center"/>
    </xf>
    <xf numFmtId="43" fontId="24" fillId="9" borderId="5" xfId="71" applyFont="1" applyFill="1" applyBorder="1" applyAlignment="1">
      <alignment vertical="center"/>
    </xf>
    <xf numFmtId="165" fontId="41" fillId="0" borderId="0" xfId="0" applyNumberFormat="1" applyFont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25" fillId="7" borderId="54" xfId="0" applyFont="1" applyFill="1" applyBorder="1" applyAlignment="1">
      <alignment vertical="center"/>
    </xf>
    <xf numFmtId="0" fontId="43" fillId="0" borderId="0" xfId="0" applyFont="1" applyAlignment="1">
      <alignment vertical="center"/>
    </xf>
    <xf numFmtId="2" fontId="40" fillId="0" borderId="0" xfId="71" applyNumberFormat="1" applyFont="1" applyFill="1" applyBorder="1" applyAlignment="1">
      <alignment horizontal="center"/>
    </xf>
    <xf numFmtId="2" fontId="37" fillId="0" borderId="0" xfId="71" applyNumberFormat="1" applyFont="1" applyFill="1" applyBorder="1" applyAlignment="1">
      <alignment horizontal="center"/>
    </xf>
    <xf numFmtId="0" fontId="22" fillId="7" borderId="54" xfId="0" applyFont="1" applyFill="1" applyBorder="1" applyAlignment="1">
      <alignment vertical="center"/>
    </xf>
    <xf numFmtId="10" fontId="22" fillId="0" borderId="0" xfId="73" applyNumberFormat="1" applyFont="1" applyFill="1" applyAlignment="1">
      <alignment vertical="center"/>
    </xf>
    <xf numFmtId="4" fontId="22" fillId="0" borderId="0" xfId="71" applyNumberFormat="1" applyFont="1" applyFill="1" applyAlignment="1">
      <alignment vertical="center"/>
    </xf>
    <xf numFmtId="43" fontId="38" fillId="7" borderId="20" xfId="71" applyFont="1" applyFill="1" applyBorder="1" applyAlignment="1">
      <alignment horizontal="right"/>
    </xf>
    <xf numFmtId="0" fontId="24" fillId="7" borderId="21" xfId="0" applyFont="1" applyFill="1" applyBorder="1" applyAlignment="1">
      <alignment horizontal="right" vertical="center"/>
    </xf>
    <xf numFmtId="10" fontId="44" fillId="0" borderId="0" xfId="71" applyNumberFormat="1" applyFont="1" applyFill="1" applyAlignment="1">
      <alignment vertical="center"/>
    </xf>
    <xf numFmtId="10" fontId="25" fillId="0" borderId="0" xfId="73" applyNumberFormat="1" applyFont="1" applyFill="1" applyBorder="1" applyAlignment="1">
      <alignment vertical="center"/>
    </xf>
    <xf numFmtId="165" fontId="45" fillId="0" borderId="0" xfId="0" applyNumberFormat="1" applyFont="1" applyAlignment="1">
      <alignment horizontal="center" vertical="center"/>
    </xf>
    <xf numFmtId="0" fontId="22" fillId="4" borderId="53" xfId="0" applyFont="1" applyFill="1" applyBorder="1" applyAlignment="1">
      <alignment horizontal="center" vertical="center"/>
    </xf>
    <xf numFmtId="43" fontId="46" fillId="0" borderId="0" xfId="71" applyFont="1" applyFill="1" applyAlignment="1">
      <alignment vertical="center"/>
    </xf>
    <xf numFmtId="4" fontId="47" fillId="0" borderId="0" xfId="72" applyNumberFormat="1" applyFont="1" applyFill="1" applyAlignment="1">
      <alignment horizontal="center" vertical="center" wrapText="1"/>
    </xf>
    <xf numFmtId="9" fontId="22" fillId="0" borderId="0" xfId="71" applyNumberFormat="1" applyFont="1" applyFill="1" applyAlignment="1">
      <alignment vertical="center"/>
    </xf>
    <xf numFmtId="0" fontId="3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31" fillId="0" borderId="0" xfId="0" applyFont="1" applyAlignment="1">
      <alignment horizontal="right" vertical="center"/>
    </xf>
    <xf numFmtId="4" fontId="31" fillId="0" borderId="0" xfId="71" applyNumberFormat="1" applyFont="1" applyFill="1" applyAlignment="1">
      <alignment vertical="center"/>
    </xf>
    <xf numFmtId="4" fontId="24" fillId="11" borderId="53" xfId="71" applyNumberFormat="1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43" fontId="48" fillId="0" borderId="0" xfId="71" applyFont="1" applyFill="1" applyAlignment="1">
      <alignment vertical="center"/>
    </xf>
    <xf numFmtId="9" fontId="48" fillId="0" borderId="0" xfId="71" applyNumberFormat="1" applyFont="1" applyFill="1" applyAlignment="1">
      <alignment vertical="center"/>
    </xf>
    <xf numFmtId="4" fontId="24" fillId="0" borderId="0" xfId="71" applyNumberFormat="1" applyFont="1" applyFill="1" applyAlignment="1">
      <alignment horizontal="center" vertical="center"/>
    </xf>
    <xf numFmtId="10" fontId="41" fillId="0" borderId="0" xfId="73" applyNumberFormat="1" applyFont="1" applyFill="1" applyAlignment="1">
      <alignment vertical="center"/>
    </xf>
    <xf numFmtId="43" fontId="41" fillId="0" borderId="0" xfId="71" applyFont="1" applyFill="1" applyBorder="1" applyAlignment="1">
      <alignment vertical="center"/>
    </xf>
    <xf numFmtId="4" fontId="22" fillId="0" borderId="0" xfId="0" applyNumberFormat="1" applyFont="1" applyAlignment="1">
      <alignment horizontal="center"/>
    </xf>
    <xf numFmtId="43" fontId="22" fillId="0" borderId="0" xfId="71" applyFont="1" applyFill="1" applyBorder="1"/>
    <xf numFmtId="10" fontId="41" fillId="0" borderId="0" xfId="73" applyNumberFormat="1" applyFont="1" applyFill="1" applyBorder="1" applyAlignment="1">
      <alignment vertical="center"/>
    </xf>
    <xf numFmtId="0" fontId="41" fillId="0" borderId="0" xfId="0" applyFont="1" applyAlignment="1">
      <alignment horizontal="right"/>
    </xf>
    <xf numFmtId="43" fontId="22" fillId="0" borderId="0" xfId="71" applyFont="1" applyFill="1" applyBorder="1" applyAlignment="1">
      <alignment horizontal="center"/>
    </xf>
    <xf numFmtId="9" fontId="51" fillId="0" borderId="0" xfId="0" applyNumberFormat="1" applyFont="1" applyAlignment="1">
      <alignment horizontal="left"/>
    </xf>
    <xf numFmtId="4" fontId="24" fillId="0" borderId="0" xfId="0" applyNumberFormat="1" applyFont="1" applyAlignment="1">
      <alignment horizontal="center"/>
    </xf>
    <xf numFmtId="165" fontId="24" fillId="0" borderId="0" xfId="0" applyNumberFormat="1" applyFont="1"/>
    <xf numFmtId="0" fontId="3" fillId="2" borderId="2" xfId="2" applyFont="1" applyFill="1" applyBorder="1" applyAlignment="1">
      <alignment horizontal="right"/>
    </xf>
    <xf numFmtId="0" fontId="7" fillId="2" borderId="3" xfId="2" applyFont="1" applyFill="1" applyBorder="1" applyAlignment="1">
      <alignment horizontal="center"/>
    </xf>
    <xf numFmtId="1" fontId="18" fillId="0" borderId="5" xfId="0" applyNumberFormat="1" applyFont="1" applyBorder="1" applyAlignment="1">
      <alignment horizontal="center" wrapText="1"/>
    </xf>
    <xf numFmtId="0" fontId="53" fillId="2" borderId="2" xfId="2" applyFont="1" applyFill="1" applyBorder="1" applyAlignment="1">
      <alignment horizontal="right"/>
    </xf>
    <xf numFmtId="0" fontId="52" fillId="2" borderId="3" xfId="2" applyFont="1" applyFill="1" applyBorder="1" applyAlignment="1">
      <alignment horizontal="center"/>
    </xf>
    <xf numFmtId="0" fontId="53" fillId="2" borderId="5" xfId="2" applyFont="1" applyFill="1" applyBorder="1" applyAlignment="1">
      <alignment horizontal="right"/>
    </xf>
    <xf numFmtId="49" fontId="52" fillId="2" borderId="6" xfId="2" applyNumberFormat="1" applyFont="1" applyFill="1" applyBorder="1" applyAlignment="1">
      <alignment horizontal="center"/>
    </xf>
    <xf numFmtId="0" fontId="52" fillId="2" borderId="38" xfId="2" applyFont="1" applyFill="1" applyBorder="1" applyAlignment="1">
      <alignment horizontal="right"/>
    </xf>
    <xf numFmtId="0" fontId="52" fillId="2" borderId="5" xfId="2" applyFont="1" applyFill="1" applyBorder="1" applyAlignment="1">
      <alignment horizontal="right"/>
    </xf>
    <xf numFmtId="14" fontId="55" fillId="2" borderId="0" xfId="2" applyNumberFormat="1" applyFont="1" applyFill="1" applyAlignment="1">
      <alignment horizontal="center" vertical="center" wrapText="1"/>
    </xf>
    <xf numFmtId="0" fontId="53" fillId="3" borderId="3" xfId="3" applyFont="1" applyFill="1" applyBorder="1" applyAlignment="1">
      <alignment horizontal="center" vertical="center" wrapText="1"/>
    </xf>
    <xf numFmtId="1" fontId="53" fillId="3" borderId="14" xfId="3" applyNumberFormat="1" applyFont="1" applyFill="1" applyBorder="1" applyAlignment="1">
      <alignment horizontal="center"/>
    </xf>
    <xf numFmtId="1" fontId="53" fillId="3" borderId="14" xfId="3" applyNumberFormat="1" applyFont="1" applyFill="1" applyBorder="1" applyAlignment="1">
      <alignment horizontal="center" wrapText="1"/>
    </xf>
    <xf numFmtId="0" fontId="53" fillId="3" borderId="15" xfId="3" applyFont="1" applyFill="1" applyBorder="1" applyAlignment="1">
      <alignment horizontal="center"/>
    </xf>
    <xf numFmtId="0" fontId="56" fillId="0" borderId="16" xfId="3" applyFont="1" applyBorder="1" applyAlignment="1">
      <alignment horizontal="center" vertical="center"/>
    </xf>
    <xf numFmtId="0" fontId="56" fillId="0" borderId="10" xfId="3" applyFont="1" applyBorder="1" applyAlignment="1">
      <alignment horizontal="center" vertical="center"/>
    </xf>
    <xf numFmtId="0" fontId="57" fillId="0" borderId="5" xfId="3" applyFont="1" applyBorder="1" applyAlignment="1">
      <alignment vertical="center"/>
    </xf>
    <xf numFmtId="0" fontId="56" fillId="0" borderId="5" xfId="3" applyFont="1" applyBorder="1" applyAlignment="1">
      <alignment horizontal="center" vertical="center"/>
    </xf>
    <xf numFmtId="1" fontId="56" fillId="0" borderId="5" xfId="3" applyNumberFormat="1" applyFont="1" applyBorder="1" applyAlignment="1">
      <alignment horizontal="center"/>
    </xf>
    <xf numFmtId="1" fontId="56" fillId="0" borderId="5" xfId="3" applyNumberFormat="1" applyFont="1" applyBorder="1" applyAlignment="1">
      <alignment horizontal="center" wrapText="1"/>
    </xf>
    <xf numFmtId="0" fontId="18" fillId="0" borderId="6" xfId="3" applyFont="1" applyBorder="1" applyAlignment="1">
      <alignment horizontal="center"/>
    </xf>
    <xf numFmtId="1" fontId="18" fillId="0" borderId="5" xfId="0" applyNumberFormat="1" applyFont="1" applyBorder="1" applyAlignment="1">
      <alignment horizontal="center"/>
    </xf>
    <xf numFmtId="1" fontId="52" fillId="0" borderId="5" xfId="0" applyNumberFormat="1" applyFont="1" applyBorder="1" applyAlignment="1">
      <alignment horizontal="center" wrapText="1"/>
    </xf>
    <xf numFmtId="1" fontId="18" fillId="0" borderId="5" xfId="3" applyNumberFormat="1" applyFont="1" applyBorder="1" applyAlignment="1">
      <alignment horizontal="center"/>
    </xf>
    <xf numFmtId="1" fontId="18" fillId="0" borderId="5" xfId="3" applyNumberFormat="1" applyFont="1" applyBorder="1" applyAlignment="1">
      <alignment horizontal="center" wrapText="1"/>
    </xf>
    <xf numFmtId="49" fontId="18" fillId="0" borderId="5" xfId="3" applyNumberFormat="1" applyFont="1" applyBorder="1" applyAlignment="1">
      <alignment horizontal="center"/>
    </xf>
    <xf numFmtId="0" fontId="18" fillId="0" borderId="5" xfId="3" applyFont="1" applyBorder="1" applyAlignment="1">
      <alignment horizontal="center"/>
    </xf>
    <xf numFmtId="49" fontId="18" fillId="0" borderId="16" xfId="3" applyNumberFormat="1" applyFont="1" applyBorder="1" applyAlignment="1">
      <alignment horizontal="center"/>
    </xf>
    <xf numFmtId="49" fontId="18" fillId="0" borderId="10" xfId="3" applyNumberFormat="1" applyFont="1" applyBorder="1" applyAlignment="1">
      <alignment horizontal="center"/>
    </xf>
    <xf numFmtId="49" fontId="18" fillId="0" borderId="5" xfId="3" applyNumberFormat="1" applyFont="1" applyBorder="1"/>
    <xf numFmtId="49" fontId="58" fillId="2" borderId="4" xfId="3" applyNumberFormat="1" applyFont="1" applyFill="1" applyBorder="1" applyAlignment="1">
      <alignment horizontal="center" vertical="center"/>
    </xf>
    <xf numFmtId="49" fontId="58" fillId="2" borderId="0" xfId="3" applyNumberFormat="1" applyFont="1" applyFill="1" applyAlignment="1">
      <alignment horizontal="center" vertical="center"/>
    </xf>
    <xf numFmtId="0" fontId="52" fillId="2" borderId="0" xfId="3" applyFont="1" applyFill="1"/>
    <xf numFmtId="1" fontId="52" fillId="2" borderId="0" xfId="3" applyNumberFormat="1" applyFont="1" applyFill="1" applyAlignment="1">
      <alignment horizontal="center"/>
    </xf>
    <xf numFmtId="164" fontId="52" fillId="2" borderId="0" xfId="3" applyNumberFormat="1" applyFont="1" applyFill="1" applyAlignment="1">
      <alignment horizontal="center" wrapText="1"/>
    </xf>
    <xf numFmtId="0" fontId="52" fillId="2" borderId="18" xfId="3" applyFont="1" applyFill="1" applyBorder="1" applyAlignment="1">
      <alignment horizontal="center"/>
    </xf>
    <xf numFmtId="0" fontId="52" fillId="3" borderId="19" xfId="3" applyFont="1" applyFill="1" applyBorder="1" applyAlignment="1">
      <alignment horizontal="center"/>
    </xf>
    <xf numFmtId="0" fontId="52" fillId="3" borderId="20" xfId="3" applyFont="1" applyFill="1" applyBorder="1" applyAlignment="1">
      <alignment horizontal="center"/>
    </xf>
    <xf numFmtId="0" fontId="52" fillId="3" borderId="20" xfId="3" applyFont="1" applyFill="1" applyBorder="1"/>
    <xf numFmtId="0" fontId="53" fillId="3" borderId="20" xfId="3" applyFont="1" applyFill="1" applyBorder="1" applyAlignment="1">
      <alignment horizontal="center"/>
    </xf>
    <xf numFmtId="1" fontId="53" fillId="3" borderId="20" xfId="3" applyNumberFormat="1" applyFont="1" applyFill="1" applyBorder="1" applyAlignment="1">
      <alignment horizontal="center"/>
    </xf>
    <xf numFmtId="164" fontId="52" fillId="3" borderId="20" xfId="3" applyNumberFormat="1" applyFont="1" applyFill="1" applyBorder="1" applyAlignment="1">
      <alignment horizontal="center" wrapText="1"/>
    </xf>
    <xf numFmtId="0" fontId="52" fillId="3" borderId="21" xfId="3" applyFont="1" applyFill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" fontId="8" fillId="0" borderId="5" xfId="3" applyNumberFormat="1" applyFont="1" applyBorder="1" applyAlignment="1">
      <alignment horizontal="center"/>
    </xf>
    <xf numFmtId="49" fontId="22" fillId="0" borderId="5" xfId="0" applyNumberFormat="1" applyFont="1" applyBorder="1"/>
    <xf numFmtId="0" fontId="3" fillId="2" borderId="5" xfId="2" applyFont="1" applyFill="1" applyBorder="1" applyAlignment="1">
      <alignment horizontal="right"/>
    </xf>
    <xf numFmtId="49" fontId="2" fillId="2" borderId="6" xfId="2" applyNumberFormat="1" applyFont="1" applyFill="1" applyBorder="1" applyAlignment="1">
      <alignment horizontal="center"/>
    </xf>
    <xf numFmtId="0" fontId="2" fillId="2" borderId="38" xfId="2" applyFont="1" applyFill="1" applyBorder="1" applyAlignment="1">
      <alignment horizontal="right"/>
    </xf>
    <xf numFmtId="0" fontId="2" fillId="2" borderId="5" xfId="2" applyFont="1" applyFill="1" applyBorder="1" applyAlignment="1">
      <alignment horizontal="right"/>
    </xf>
    <xf numFmtId="0" fontId="3" fillId="3" borderId="3" xfId="3" applyFont="1" applyFill="1" applyBorder="1" applyAlignment="1">
      <alignment horizontal="center" vertical="center" wrapText="1"/>
    </xf>
    <xf numFmtId="1" fontId="3" fillId="3" borderId="14" xfId="3" applyNumberFormat="1" applyFont="1" applyFill="1" applyBorder="1" applyAlignment="1">
      <alignment horizontal="center"/>
    </xf>
    <xf numFmtId="1" fontId="3" fillId="3" borderId="14" xfId="3" applyNumberFormat="1" applyFont="1" applyFill="1" applyBorder="1" applyAlignment="1">
      <alignment horizontal="center" wrapText="1"/>
    </xf>
    <xf numFmtId="0" fontId="3" fillId="3" borderId="15" xfId="3" applyFont="1" applyFill="1" applyBorder="1" applyAlignment="1">
      <alignment horizontal="center"/>
    </xf>
    <xf numFmtId="0" fontId="8" fillId="0" borderId="16" xfId="3" applyFont="1" applyBorder="1" applyAlignment="1">
      <alignment horizontal="center" vertical="center"/>
    </xf>
    <xf numFmtId="0" fontId="8" fillId="0" borderId="10" xfId="3" applyFont="1" applyBorder="1" applyAlignment="1">
      <alignment horizontal="center" vertical="center"/>
    </xf>
    <xf numFmtId="0" fontId="60" fillId="0" borderId="5" xfId="3" applyFont="1" applyBorder="1" applyAlignment="1">
      <alignment vertical="center"/>
    </xf>
    <xf numFmtId="0" fontId="8" fillId="0" borderId="5" xfId="3" applyFont="1" applyBorder="1" applyAlignment="1">
      <alignment horizontal="center" vertical="center"/>
    </xf>
    <xf numFmtId="0" fontId="9" fillId="0" borderId="6" xfId="3" applyFont="1" applyBorder="1" applyAlignment="1">
      <alignment horizontal="center"/>
    </xf>
    <xf numFmtId="1" fontId="0" fillId="0" borderId="5" xfId="0" applyNumberFormat="1" applyBorder="1"/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wrapText="1"/>
    </xf>
    <xf numFmtId="12" fontId="2" fillId="0" borderId="38" xfId="0" applyNumberFormat="1" applyFont="1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0" fillId="0" borderId="10" xfId="0" applyBorder="1" applyAlignment="1">
      <alignment horizontal="center"/>
    </xf>
    <xf numFmtId="49" fontId="9" fillId="0" borderId="16" xfId="3" applyNumberFormat="1" applyFont="1" applyBorder="1" applyAlignment="1">
      <alignment horizontal="center"/>
    </xf>
    <xf numFmtId="49" fontId="9" fillId="0" borderId="10" xfId="3" applyNumberFormat="1" applyFont="1" applyBorder="1" applyAlignment="1">
      <alignment horizontal="center"/>
    </xf>
    <xf numFmtId="0" fontId="56" fillId="4" borderId="5" xfId="3" applyFont="1" applyFill="1" applyBorder="1" applyAlignment="1">
      <alignment horizontal="left"/>
    </xf>
    <xf numFmtId="0" fontId="2" fillId="4" borderId="5" xfId="3" applyFont="1" applyFill="1" applyBorder="1" applyAlignment="1">
      <alignment horizontal="center"/>
    </xf>
    <xf numFmtId="1" fontId="0" fillId="0" borderId="10" xfId="0" applyNumberFormat="1" applyBorder="1"/>
    <xf numFmtId="0" fontId="9" fillId="0" borderId="5" xfId="3" applyFont="1" applyBorder="1" applyAlignment="1">
      <alignment horizontal="center"/>
    </xf>
    <xf numFmtId="170" fontId="9" fillId="0" borderId="5" xfId="3" applyNumberFormat="1" applyFont="1" applyBorder="1" applyAlignment="1">
      <alignment horizontal="center"/>
    </xf>
    <xf numFmtId="1" fontId="9" fillId="0" borderId="5" xfId="3" applyNumberFormat="1" applyFont="1" applyBorder="1" applyAlignment="1">
      <alignment horizontal="center" wrapText="1"/>
    </xf>
    <xf numFmtId="0" fontId="61" fillId="4" borderId="16" xfId="0" applyFont="1" applyFill="1" applyBorder="1" applyAlignment="1">
      <alignment horizontal="center"/>
    </xf>
    <xf numFmtId="0" fontId="61" fillId="4" borderId="46" xfId="0" applyFont="1" applyFill="1" applyBorder="1" applyAlignment="1">
      <alignment horizontal="center"/>
    </xf>
    <xf numFmtId="0" fontId="61" fillId="4" borderId="38" xfId="0" applyFont="1" applyFill="1" applyBorder="1"/>
    <xf numFmtId="0" fontId="2" fillId="4" borderId="10" xfId="0" applyFont="1" applyFill="1" applyBorder="1" applyAlignment="1">
      <alignment horizontal="center"/>
    </xf>
    <xf numFmtId="1" fontId="2" fillId="4" borderId="38" xfId="0" applyNumberFormat="1" applyFont="1" applyFill="1" applyBorder="1" applyAlignment="1">
      <alignment horizontal="center"/>
    </xf>
    <xf numFmtId="1" fontId="2" fillId="4" borderId="38" xfId="0" applyNumberFormat="1" applyFont="1" applyFill="1" applyBorder="1" applyAlignment="1">
      <alignment horizontal="center" wrapText="1"/>
    </xf>
    <xf numFmtId="16" fontId="2" fillId="0" borderId="5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 wrapText="1"/>
    </xf>
    <xf numFmtId="49" fontId="8" fillId="0" borderId="37" xfId="3" applyNumberFormat="1" applyFont="1" applyBorder="1" applyAlignment="1">
      <alignment horizontal="center"/>
    </xf>
    <xf numFmtId="49" fontId="8" fillId="0" borderId="9" xfId="3" applyNumberFormat="1" applyFont="1" applyBorder="1" applyAlignment="1">
      <alignment horizontal="center"/>
    </xf>
    <xf numFmtId="0" fontId="57" fillId="4" borderId="5" xfId="3" applyFont="1" applyFill="1" applyBorder="1" applyAlignment="1">
      <alignment vertical="center"/>
    </xf>
    <xf numFmtId="0" fontId="8" fillId="0" borderId="10" xfId="3" applyFont="1" applyBorder="1" applyAlignment="1">
      <alignment horizontal="center"/>
    </xf>
    <xf numFmtId="170" fontId="8" fillId="0" borderId="5" xfId="3" applyNumberFormat="1" applyFont="1" applyBorder="1" applyAlignment="1">
      <alignment horizontal="center"/>
    </xf>
    <xf numFmtId="49" fontId="9" fillId="0" borderId="16" xfId="0" applyNumberFormat="1" applyFont="1" applyBorder="1" applyAlignment="1">
      <alignment horizontal="center"/>
    </xf>
    <xf numFmtId="49" fontId="9" fillId="0" borderId="10" xfId="0" applyNumberFormat="1" applyFont="1" applyBorder="1" applyAlignment="1">
      <alignment horizontal="center"/>
    </xf>
    <xf numFmtId="49" fontId="24" fillId="0" borderId="5" xfId="0" applyNumberFormat="1" applyFont="1" applyBorder="1"/>
    <xf numFmtId="171" fontId="3" fillId="4" borderId="5" xfId="71" applyNumberFormat="1" applyFont="1" applyFill="1" applyBorder="1" applyAlignment="1">
      <alignment horizontal="center"/>
    </xf>
    <xf numFmtId="0" fontId="62" fillId="0" borderId="16" xfId="0" applyFont="1" applyBorder="1" applyAlignment="1">
      <alignment horizontal="center"/>
    </xf>
    <xf numFmtId="0" fontId="62" fillId="0" borderId="10" xfId="0" applyFont="1" applyBorder="1" applyAlignment="1">
      <alignment horizontal="center"/>
    </xf>
    <xf numFmtId="0" fontId="48" fillId="0" borderId="5" xfId="0" applyFont="1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2" fontId="9" fillId="0" borderId="5" xfId="3" applyNumberFormat="1" applyFont="1" applyBorder="1" applyAlignment="1">
      <alignment horizontal="center"/>
    </xf>
    <xf numFmtId="1" fontId="9" fillId="0" borderId="5" xfId="3" applyNumberFormat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5" xfId="0" quotePrefix="1" applyFont="1" applyBorder="1"/>
    <xf numFmtId="49" fontId="10" fillId="2" borderId="4" xfId="3" applyNumberFormat="1" applyFont="1" applyFill="1" applyBorder="1" applyAlignment="1">
      <alignment horizontal="center" vertical="center"/>
    </xf>
    <xf numFmtId="0" fontId="2" fillId="3" borderId="19" xfId="3" applyFont="1" applyFill="1" applyBorder="1" applyAlignment="1">
      <alignment horizontal="center"/>
    </xf>
    <xf numFmtId="0" fontId="2" fillId="3" borderId="20" xfId="3" applyFont="1" applyFill="1" applyBorder="1" applyAlignment="1">
      <alignment horizontal="center"/>
    </xf>
    <xf numFmtId="0" fontId="2" fillId="3" borderId="20" xfId="3" applyFont="1" applyFill="1" applyBorder="1"/>
    <xf numFmtId="0" fontId="3" fillId="3" borderId="20" xfId="3" applyFont="1" applyFill="1" applyBorder="1" applyAlignment="1">
      <alignment horizontal="center"/>
    </xf>
    <xf numFmtId="1" fontId="3" fillId="3" borderId="20" xfId="3" applyNumberFormat="1" applyFont="1" applyFill="1" applyBorder="1" applyAlignment="1">
      <alignment horizontal="center"/>
    </xf>
    <xf numFmtId="164" fontId="2" fillId="3" borderId="20" xfId="3" applyNumberFormat="1" applyFont="1" applyFill="1" applyBorder="1" applyAlignment="1">
      <alignment horizontal="center" wrapText="1"/>
    </xf>
    <xf numFmtId="0" fontId="2" fillId="3" borderId="21" xfId="3" applyFont="1" applyFill="1" applyBorder="1" applyAlignment="1">
      <alignment horizontal="center"/>
    </xf>
    <xf numFmtId="1" fontId="2" fillId="0" borderId="38" xfId="0" applyNumberFormat="1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right"/>
    </xf>
    <xf numFmtId="0" fontId="3" fillId="2" borderId="5" xfId="1" applyFont="1" applyFill="1" applyBorder="1" applyAlignment="1">
      <alignment horizontal="right"/>
    </xf>
    <xf numFmtId="0" fontId="2" fillId="2" borderId="38" xfId="1" applyFont="1" applyFill="1" applyBorder="1" applyAlignment="1">
      <alignment horizontal="right"/>
    </xf>
    <xf numFmtId="0" fontId="2" fillId="2" borderId="5" xfId="1" applyFont="1" applyFill="1" applyBorder="1" applyAlignment="1">
      <alignment horizontal="right"/>
    </xf>
    <xf numFmtId="171" fontId="3" fillId="4" borderId="5" xfId="10" applyNumberFormat="1" applyFont="1" applyFill="1" applyBorder="1" applyAlignment="1">
      <alignment horizontal="center"/>
    </xf>
    <xf numFmtId="1" fontId="3" fillId="0" borderId="38" xfId="0" applyNumberFormat="1" applyFont="1" applyBorder="1" applyAlignment="1">
      <alignment horizontal="center"/>
    </xf>
    <xf numFmtId="0" fontId="4" fillId="2" borderId="2" xfId="2" applyFont="1" applyFill="1" applyBorder="1" applyAlignment="1">
      <alignment horizontal="right"/>
    </xf>
    <xf numFmtId="0" fontId="64" fillId="2" borderId="3" xfId="2" applyFont="1" applyFill="1" applyBorder="1" applyAlignment="1">
      <alignment horizontal="center"/>
    </xf>
    <xf numFmtId="0" fontId="4" fillId="2" borderId="5" xfId="2" applyFont="1" applyFill="1" applyBorder="1" applyAlignment="1">
      <alignment horizontal="right"/>
    </xf>
    <xf numFmtId="49" fontId="64" fillId="2" borderId="6" xfId="2" applyNumberFormat="1" applyFont="1" applyFill="1" applyBorder="1" applyAlignment="1">
      <alignment horizontal="center"/>
    </xf>
    <xf numFmtId="0" fontId="64" fillId="2" borderId="38" xfId="2" applyFont="1" applyFill="1" applyBorder="1" applyAlignment="1">
      <alignment horizontal="right"/>
    </xf>
    <xf numFmtId="0" fontId="64" fillId="2" borderId="5" xfId="2" applyFont="1" applyFill="1" applyBorder="1" applyAlignment="1">
      <alignment horizontal="right"/>
    </xf>
    <xf numFmtId="14" fontId="65" fillId="2" borderId="0" xfId="2" applyNumberFormat="1" applyFont="1" applyFill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1" fontId="4" fillId="3" borderId="14" xfId="3" applyNumberFormat="1" applyFont="1" applyFill="1" applyBorder="1" applyAlignment="1">
      <alignment horizontal="center"/>
    </xf>
    <xf numFmtId="1" fontId="4" fillId="3" borderId="14" xfId="3" applyNumberFormat="1" applyFont="1" applyFill="1" applyBorder="1" applyAlignment="1">
      <alignment horizontal="center" wrapText="1"/>
    </xf>
    <xf numFmtId="0" fontId="4" fillId="3" borderId="15" xfId="3" applyFont="1" applyFill="1" applyBorder="1" applyAlignment="1">
      <alignment horizontal="center"/>
    </xf>
    <xf numFmtId="0" fontId="66" fillId="0" borderId="16" xfId="3" applyFont="1" applyBorder="1" applyAlignment="1">
      <alignment horizontal="center" vertical="center"/>
    </xf>
    <xf numFmtId="0" fontId="66" fillId="0" borderId="10" xfId="3" applyFont="1" applyBorder="1" applyAlignment="1">
      <alignment horizontal="center" vertical="center"/>
    </xf>
    <xf numFmtId="0" fontId="67" fillId="0" borderId="5" xfId="3" applyFont="1" applyBorder="1" applyAlignment="1">
      <alignment vertical="center"/>
    </xf>
    <xf numFmtId="0" fontId="66" fillId="0" borderId="5" xfId="3" applyFont="1" applyBorder="1" applyAlignment="1">
      <alignment horizontal="center" vertical="center"/>
    </xf>
    <xf numFmtId="1" fontId="66" fillId="0" borderId="5" xfId="3" applyNumberFormat="1" applyFont="1" applyBorder="1" applyAlignment="1">
      <alignment horizontal="center"/>
    </xf>
    <xf numFmtId="1" fontId="66" fillId="0" borderId="5" xfId="3" applyNumberFormat="1" applyFont="1" applyBorder="1" applyAlignment="1">
      <alignment horizontal="center" wrapText="1"/>
    </xf>
    <xf numFmtId="0" fontId="68" fillId="0" borderId="6" xfId="3" applyFont="1" applyBorder="1" applyAlignment="1">
      <alignment horizontal="center"/>
    </xf>
    <xf numFmtId="0" fontId="69" fillId="0" borderId="5" xfId="0" applyFont="1" applyBorder="1" applyAlignment="1">
      <alignment horizontal="center" vertical="center"/>
    </xf>
    <xf numFmtId="0" fontId="69" fillId="0" borderId="5" xfId="0" applyFont="1" applyBorder="1" applyAlignment="1">
      <alignment horizontal="left" vertical="center"/>
    </xf>
    <xf numFmtId="0" fontId="68" fillId="0" borderId="38" xfId="0" applyFont="1" applyBorder="1" applyAlignment="1">
      <alignment horizontal="center"/>
    </xf>
    <xf numFmtId="1" fontId="68" fillId="0" borderId="38" xfId="0" applyNumberFormat="1" applyFont="1" applyBorder="1" applyAlignment="1">
      <alignment horizontal="center"/>
    </xf>
    <xf numFmtId="1" fontId="68" fillId="0" borderId="38" xfId="0" applyNumberFormat="1" applyFont="1" applyBorder="1" applyAlignment="1">
      <alignment horizontal="center" wrapText="1"/>
    </xf>
    <xf numFmtId="0" fontId="64" fillId="0" borderId="38" xfId="0" applyFont="1" applyBorder="1" applyAlignment="1">
      <alignment horizontal="center" wrapText="1"/>
    </xf>
    <xf numFmtId="12" fontId="64" fillId="0" borderId="38" xfId="0" applyNumberFormat="1" applyFont="1" applyBorder="1" applyAlignment="1">
      <alignment horizontal="center"/>
    </xf>
    <xf numFmtId="0" fontId="68" fillId="0" borderId="5" xfId="0" applyFont="1" applyBorder="1" applyAlignment="1">
      <alignment horizontal="center"/>
    </xf>
    <xf numFmtId="1" fontId="68" fillId="0" borderId="5" xfId="0" applyNumberFormat="1" applyFont="1" applyBorder="1" applyAlignment="1">
      <alignment horizontal="center"/>
    </xf>
    <xf numFmtId="1" fontId="68" fillId="0" borderId="5" xfId="0" applyNumberFormat="1" applyFont="1" applyBorder="1" applyAlignment="1">
      <alignment horizontal="center" wrapText="1"/>
    </xf>
    <xf numFmtId="0" fontId="64" fillId="0" borderId="5" xfId="0" applyFont="1" applyBorder="1" applyAlignment="1">
      <alignment horizontal="center"/>
    </xf>
    <xf numFmtId="0" fontId="70" fillId="0" borderId="5" xfId="0" applyFont="1" applyBorder="1" applyAlignment="1">
      <alignment horizontal="center"/>
    </xf>
    <xf numFmtId="0" fontId="70" fillId="0" borderId="5" xfId="0" applyFont="1" applyBorder="1" applyAlignment="1">
      <alignment horizontal="left"/>
    </xf>
    <xf numFmtId="0" fontId="66" fillId="0" borderId="5" xfId="0" applyFont="1" applyBorder="1"/>
    <xf numFmtId="0" fontId="70" fillId="0" borderId="5" xfId="0" applyFont="1" applyBorder="1"/>
    <xf numFmtId="1" fontId="70" fillId="0" borderId="5" xfId="0" applyNumberFormat="1" applyFont="1" applyBorder="1"/>
    <xf numFmtId="0" fontId="64" fillId="4" borderId="5" xfId="3" applyFont="1" applyFill="1" applyBorder="1" applyAlignment="1">
      <alignment horizontal="center"/>
    </xf>
    <xf numFmtId="49" fontId="68" fillId="0" borderId="16" xfId="3" applyNumberFormat="1" applyFont="1" applyBorder="1" applyAlignment="1">
      <alignment horizontal="center"/>
    </xf>
    <xf numFmtId="49" fontId="68" fillId="0" borderId="10" xfId="3" applyNumberFormat="1" applyFont="1" applyBorder="1" applyAlignment="1">
      <alignment horizontal="center"/>
    </xf>
    <xf numFmtId="0" fontId="66" fillId="4" borderId="5" xfId="3" applyFont="1" applyFill="1" applyBorder="1" applyAlignment="1">
      <alignment horizontal="left"/>
    </xf>
    <xf numFmtId="0" fontId="68" fillId="0" borderId="5" xfId="3" applyFont="1" applyBorder="1" applyAlignment="1">
      <alignment horizontal="center"/>
    </xf>
    <xf numFmtId="170" fontId="68" fillId="0" borderId="5" xfId="3" applyNumberFormat="1" applyFont="1" applyBorder="1" applyAlignment="1">
      <alignment horizontal="center"/>
    </xf>
    <xf numFmtId="1" fontId="68" fillId="0" borderId="5" xfId="3" applyNumberFormat="1" applyFont="1" applyBorder="1" applyAlignment="1">
      <alignment horizontal="center" wrapText="1"/>
    </xf>
    <xf numFmtId="0" fontId="71" fillId="4" borderId="16" xfId="0" applyFont="1" applyFill="1" applyBorder="1" applyAlignment="1">
      <alignment horizontal="center"/>
    </xf>
    <xf numFmtId="0" fontId="71" fillId="4" borderId="46" xfId="0" applyFont="1" applyFill="1" applyBorder="1" applyAlignment="1">
      <alignment horizontal="center"/>
    </xf>
    <xf numFmtId="0" fontId="71" fillId="4" borderId="38" xfId="0" applyFont="1" applyFill="1" applyBorder="1"/>
    <xf numFmtId="0" fontId="64" fillId="4" borderId="10" xfId="0" applyFont="1" applyFill="1" applyBorder="1" applyAlignment="1">
      <alignment horizontal="center"/>
    </xf>
    <xf numFmtId="1" fontId="64" fillId="4" borderId="38" xfId="0" applyNumberFormat="1" applyFont="1" applyFill="1" applyBorder="1" applyAlignment="1">
      <alignment horizontal="center"/>
    </xf>
    <xf numFmtId="1" fontId="64" fillId="4" borderId="38" xfId="0" applyNumberFormat="1" applyFont="1" applyFill="1" applyBorder="1" applyAlignment="1">
      <alignment horizontal="center" wrapText="1"/>
    </xf>
    <xf numFmtId="49" fontId="64" fillId="4" borderId="38" xfId="0" applyNumberFormat="1" applyFont="1" applyFill="1" applyBorder="1" applyAlignment="1">
      <alignment horizontal="center"/>
    </xf>
    <xf numFmtId="1" fontId="64" fillId="4" borderId="5" xfId="3" applyNumberFormat="1" applyFont="1" applyFill="1" applyBorder="1" applyAlignment="1">
      <alignment horizontal="center"/>
    </xf>
    <xf numFmtId="1" fontId="64" fillId="4" borderId="5" xfId="3" applyNumberFormat="1" applyFont="1" applyFill="1" applyBorder="1" applyAlignment="1">
      <alignment horizontal="center" wrapText="1"/>
    </xf>
    <xf numFmtId="16" fontId="64" fillId="0" borderId="5" xfId="0" applyNumberFormat="1" applyFont="1" applyBorder="1" applyAlignment="1">
      <alignment horizontal="center"/>
    </xf>
    <xf numFmtId="1" fontId="64" fillId="0" borderId="5" xfId="0" applyNumberFormat="1" applyFont="1" applyBorder="1" applyAlignment="1">
      <alignment horizontal="center"/>
    </xf>
    <xf numFmtId="1" fontId="64" fillId="0" borderId="5" xfId="0" applyNumberFormat="1" applyFont="1" applyBorder="1" applyAlignment="1">
      <alignment horizontal="center" wrapText="1"/>
    </xf>
    <xf numFmtId="49" fontId="66" fillId="0" borderId="37" xfId="3" applyNumberFormat="1" applyFont="1" applyBorder="1" applyAlignment="1">
      <alignment horizontal="center"/>
    </xf>
    <xf numFmtId="49" fontId="66" fillId="0" borderId="9" xfId="3" applyNumberFormat="1" applyFont="1" applyBorder="1" applyAlignment="1">
      <alignment horizontal="center"/>
    </xf>
    <xf numFmtId="0" fontId="67" fillId="4" borderId="5" xfId="3" applyFont="1" applyFill="1" applyBorder="1" applyAlignment="1">
      <alignment vertical="center"/>
    </xf>
    <xf numFmtId="0" fontId="66" fillId="0" borderId="10" xfId="3" applyFont="1" applyBorder="1" applyAlignment="1">
      <alignment horizontal="center"/>
    </xf>
    <xf numFmtId="170" fontId="66" fillId="0" borderId="5" xfId="3" applyNumberFormat="1" applyFont="1" applyBorder="1" applyAlignment="1">
      <alignment horizontal="center"/>
    </xf>
    <xf numFmtId="0" fontId="70" fillId="0" borderId="0" xfId="0" applyFont="1"/>
    <xf numFmtId="49" fontId="68" fillId="0" borderId="16" xfId="0" applyNumberFormat="1" applyFont="1" applyBorder="1" applyAlignment="1">
      <alignment horizontal="center"/>
    </xf>
    <xf numFmtId="49" fontId="68" fillId="0" borderId="10" xfId="0" applyNumberFormat="1" applyFont="1" applyBorder="1" applyAlignment="1">
      <alignment horizontal="center"/>
    </xf>
    <xf numFmtId="49" fontId="66" fillId="0" borderId="5" xfId="0" applyNumberFormat="1" applyFont="1" applyBorder="1"/>
    <xf numFmtId="171" fontId="4" fillId="4" borderId="5" xfId="71" applyNumberFormat="1" applyFont="1" applyFill="1" applyBorder="1" applyAlignment="1">
      <alignment horizontal="center"/>
    </xf>
    <xf numFmtId="0" fontId="69" fillId="0" borderId="16" xfId="0" applyFont="1" applyBorder="1" applyAlignment="1">
      <alignment horizontal="center"/>
    </xf>
    <xf numFmtId="0" fontId="69" fillId="0" borderId="10" xfId="0" applyFont="1" applyBorder="1" applyAlignment="1">
      <alignment horizontal="center"/>
    </xf>
    <xf numFmtId="0" fontId="69" fillId="0" borderId="5" xfId="0" applyFont="1" applyBorder="1"/>
    <xf numFmtId="0" fontId="70" fillId="0" borderId="5" xfId="0" applyFont="1" applyBorder="1" applyAlignment="1">
      <alignment horizontal="center" vertical="center"/>
    </xf>
    <xf numFmtId="0" fontId="70" fillId="0" borderId="5" xfId="0" applyFont="1" applyBorder="1" applyAlignment="1">
      <alignment horizontal="left" vertical="center"/>
    </xf>
    <xf numFmtId="12" fontId="68" fillId="0" borderId="5" xfId="3" applyNumberFormat="1" applyFont="1" applyBorder="1" applyAlignment="1">
      <alignment horizontal="center"/>
    </xf>
    <xf numFmtId="1" fontId="68" fillId="0" borderId="5" xfId="3" applyNumberFormat="1" applyFont="1" applyBorder="1" applyAlignment="1">
      <alignment horizontal="center"/>
    </xf>
    <xf numFmtId="0" fontId="64" fillId="0" borderId="5" xfId="0" quotePrefix="1" applyFont="1" applyBorder="1" applyAlignment="1">
      <alignment horizontal="center"/>
    </xf>
    <xf numFmtId="0" fontId="64" fillId="0" borderId="5" xfId="0" quotePrefix="1" applyFont="1" applyBorder="1"/>
    <xf numFmtId="49" fontId="68" fillId="0" borderId="5" xfId="0" applyNumberFormat="1" applyFont="1" applyBorder="1" applyAlignment="1">
      <alignment horizontal="center"/>
    </xf>
    <xf numFmtId="49" fontId="68" fillId="0" borderId="5" xfId="0" applyNumberFormat="1" applyFont="1" applyBorder="1"/>
    <xf numFmtId="16" fontId="68" fillId="0" borderId="5" xfId="0" applyNumberFormat="1" applyFont="1" applyBorder="1" applyAlignment="1">
      <alignment horizontal="center"/>
    </xf>
    <xf numFmtId="49" fontId="68" fillId="0" borderId="5" xfId="3" applyNumberFormat="1" applyFont="1" applyBorder="1"/>
    <xf numFmtId="49" fontId="72" fillId="2" borderId="4" xfId="3" applyNumberFormat="1" applyFont="1" applyFill="1" applyBorder="1" applyAlignment="1">
      <alignment horizontal="center" vertical="center"/>
    </xf>
    <xf numFmtId="49" fontId="72" fillId="2" borderId="0" xfId="3" applyNumberFormat="1" applyFont="1" applyFill="1" applyAlignment="1">
      <alignment horizontal="center" vertical="center"/>
    </xf>
    <xf numFmtId="0" fontId="64" fillId="2" borderId="0" xfId="3" applyFont="1" applyFill="1"/>
    <xf numFmtId="1" fontId="64" fillId="2" borderId="0" xfId="3" applyNumberFormat="1" applyFont="1" applyFill="1" applyAlignment="1">
      <alignment horizontal="center"/>
    </xf>
    <xf numFmtId="164" fontId="64" fillId="2" borderId="0" xfId="3" applyNumberFormat="1" applyFont="1" applyFill="1" applyAlignment="1">
      <alignment horizontal="center" wrapText="1"/>
    </xf>
    <xf numFmtId="0" fontId="64" fillId="2" borderId="18" xfId="3" applyFont="1" applyFill="1" applyBorder="1" applyAlignment="1">
      <alignment horizontal="center"/>
    </xf>
    <xf numFmtId="0" fontId="64" fillId="3" borderId="19" xfId="3" applyFont="1" applyFill="1" applyBorder="1" applyAlignment="1">
      <alignment horizontal="center"/>
    </xf>
    <xf numFmtId="0" fontId="64" fillId="3" borderId="20" xfId="3" applyFont="1" applyFill="1" applyBorder="1" applyAlignment="1">
      <alignment horizontal="center"/>
    </xf>
    <xf numFmtId="0" fontId="64" fillId="3" borderId="20" xfId="3" applyFont="1" applyFill="1" applyBorder="1"/>
    <xf numFmtId="0" fontId="4" fillId="3" borderId="20" xfId="3" applyFont="1" applyFill="1" applyBorder="1" applyAlignment="1">
      <alignment horizontal="center"/>
    </xf>
    <xf numFmtId="1" fontId="4" fillId="3" borderId="20" xfId="3" applyNumberFormat="1" applyFont="1" applyFill="1" applyBorder="1" applyAlignment="1">
      <alignment horizontal="center"/>
    </xf>
    <xf numFmtId="164" fontId="64" fillId="3" borderId="20" xfId="3" applyNumberFormat="1" applyFont="1" applyFill="1" applyBorder="1" applyAlignment="1">
      <alignment horizontal="center" wrapText="1"/>
    </xf>
    <xf numFmtId="0" fontId="64" fillId="3" borderId="21" xfId="3" applyFont="1" applyFill="1" applyBorder="1" applyAlignment="1">
      <alignment horizontal="center"/>
    </xf>
    <xf numFmtId="1" fontId="64" fillId="0" borderId="38" xfId="0" applyNumberFormat="1" applyFont="1" applyBorder="1" applyAlignment="1">
      <alignment horizontal="center"/>
    </xf>
    <xf numFmtId="0" fontId="64" fillId="0" borderId="22" xfId="0" applyFont="1" applyBorder="1" applyAlignment="1">
      <alignment horizontal="center"/>
    </xf>
    <xf numFmtId="1" fontId="64" fillId="0" borderId="14" xfId="0" applyNumberFormat="1" applyFont="1" applyBorder="1" applyAlignment="1">
      <alignment horizontal="center"/>
    </xf>
    <xf numFmtId="0" fontId="64" fillId="0" borderId="14" xfId="0" applyFont="1" applyBorder="1" applyAlignment="1">
      <alignment horizontal="center"/>
    </xf>
    <xf numFmtId="0" fontId="2" fillId="2" borderId="0" xfId="0" applyFont="1" applyFill="1"/>
    <xf numFmtId="0" fontId="2" fillId="2" borderId="46" xfId="1" applyFont="1" applyFill="1" applyBorder="1" applyAlignment="1">
      <alignment horizontal="right"/>
    </xf>
    <xf numFmtId="0" fontId="2" fillId="2" borderId="10" xfId="1" applyFont="1" applyFill="1" applyBorder="1" applyAlignment="1">
      <alignment horizontal="right"/>
    </xf>
    <xf numFmtId="0" fontId="3" fillId="3" borderId="3" xfId="0" applyFont="1" applyFill="1" applyBorder="1" applyAlignment="1">
      <alignment horizontal="center" vertical="center" wrapText="1"/>
    </xf>
    <xf numFmtId="1" fontId="3" fillId="3" borderId="14" xfId="0" applyNumberFormat="1" applyFont="1" applyFill="1" applyBorder="1" applyAlignment="1">
      <alignment horizontal="center"/>
    </xf>
    <xf numFmtId="1" fontId="3" fillId="3" borderId="14" xfId="0" applyNumberFormat="1" applyFont="1" applyFill="1" applyBorder="1" applyAlignment="1">
      <alignment horizontal="center" wrapText="1"/>
    </xf>
    <xf numFmtId="0" fontId="3" fillId="3" borderId="67" xfId="0" applyFont="1" applyFill="1" applyBorder="1" applyAlignment="1">
      <alignment horizontal="center"/>
    </xf>
    <xf numFmtId="0" fontId="73" fillId="0" borderId="37" xfId="0" applyFont="1" applyBorder="1" applyAlignment="1">
      <alignment horizontal="center" vertical="center"/>
    </xf>
    <xf numFmtId="0" fontId="73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2" fontId="9" fillId="0" borderId="5" xfId="0" applyNumberFormat="1" applyFont="1" applyBorder="1" applyAlignment="1">
      <alignment horizontal="center"/>
    </xf>
    <xf numFmtId="170" fontId="9" fillId="0" borderId="5" xfId="0" applyNumberFormat="1" applyFont="1" applyBorder="1" applyAlignment="1">
      <alignment horizontal="center"/>
    </xf>
    <xf numFmtId="0" fontId="2" fillId="0" borderId="16" xfId="0" quotePrefix="1" applyFont="1" applyBorder="1" applyAlignment="1">
      <alignment horizontal="right"/>
    </xf>
    <xf numFmtId="0" fontId="2" fillId="0" borderId="10" xfId="0" quotePrefix="1" applyFont="1" applyBorder="1" applyAlignment="1">
      <alignment horizontal="right"/>
    </xf>
    <xf numFmtId="0" fontId="9" fillId="0" borderId="5" xfId="0" applyFont="1" applyBorder="1"/>
    <xf numFmtId="0" fontId="2" fillId="0" borderId="6" xfId="0" applyFont="1" applyBorder="1" applyAlignment="1">
      <alignment horizont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0" xfId="0" applyFont="1" applyFill="1" applyAlignment="1">
      <alignment horizontal="left" indent="1"/>
    </xf>
    <xf numFmtId="0" fontId="2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20" xfId="0" applyFont="1" applyFill="1" applyBorder="1"/>
    <xf numFmtId="0" fontId="3" fillId="3" borderId="20" xfId="0" applyFont="1" applyFill="1" applyBorder="1" applyAlignment="1">
      <alignment horizontal="center"/>
    </xf>
    <xf numFmtId="1" fontId="3" fillId="3" borderId="20" xfId="0" applyNumberFormat="1" applyFont="1" applyFill="1" applyBorder="1" applyAlignment="1">
      <alignment horizontal="center"/>
    </xf>
    <xf numFmtId="164" fontId="2" fillId="3" borderId="20" xfId="0" applyNumberFormat="1" applyFont="1" applyFill="1" applyBorder="1" applyAlignment="1">
      <alignment horizontal="center" wrapText="1"/>
    </xf>
    <xf numFmtId="0" fontId="2" fillId="3" borderId="21" xfId="0" applyFont="1" applyFill="1" applyBorder="1" applyAlignment="1">
      <alignment horizontal="center"/>
    </xf>
    <xf numFmtId="9" fontId="2" fillId="2" borderId="0" xfId="13" applyFont="1" applyFill="1"/>
    <xf numFmtId="0" fontId="10" fillId="2" borderId="0" xfId="0" applyFont="1" applyFill="1" applyAlignment="1">
      <alignment vertical="center"/>
    </xf>
    <xf numFmtId="0" fontId="75" fillId="2" borderId="2" xfId="1" applyFont="1" applyFill="1" applyBorder="1" applyAlignment="1">
      <alignment horizontal="right"/>
    </xf>
    <xf numFmtId="0" fontId="74" fillId="2" borderId="3" xfId="1" applyFont="1" applyFill="1" applyBorder="1" applyAlignment="1">
      <alignment horizontal="center"/>
    </xf>
    <xf numFmtId="0" fontId="75" fillId="2" borderId="5" xfId="1" applyFont="1" applyFill="1" applyBorder="1" applyAlignment="1">
      <alignment horizontal="right"/>
    </xf>
    <xf numFmtId="49" fontId="74" fillId="2" borderId="6" xfId="1" applyNumberFormat="1" applyFont="1" applyFill="1" applyBorder="1" applyAlignment="1">
      <alignment horizontal="center"/>
    </xf>
    <xf numFmtId="0" fontId="74" fillId="2" borderId="38" xfId="1" applyFont="1" applyFill="1" applyBorder="1" applyAlignment="1">
      <alignment horizontal="right"/>
    </xf>
    <xf numFmtId="0" fontId="74" fillId="2" borderId="5" xfId="1" applyFont="1" applyFill="1" applyBorder="1" applyAlignment="1">
      <alignment horizontal="right"/>
    </xf>
    <xf numFmtId="14" fontId="77" fillId="2" borderId="0" xfId="2" applyNumberFormat="1" applyFont="1" applyFill="1" applyAlignment="1">
      <alignment horizontal="center" vertical="center" wrapText="1"/>
    </xf>
    <xf numFmtId="0" fontId="75" fillId="3" borderId="3" xfId="3" applyFont="1" applyFill="1" applyBorder="1" applyAlignment="1">
      <alignment horizontal="center" vertical="center" wrapText="1"/>
    </xf>
    <xf numFmtId="1" fontId="75" fillId="3" borderId="14" xfId="3" applyNumberFormat="1" applyFont="1" applyFill="1" applyBorder="1" applyAlignment="1">
      <alignment horizontal="center"/>
    </xf>
    <xf numFmtId="1" fontId="75" fillId="3" borderId="14" xfId="3" applyNumberFormat="1" applyFont="1" applyFill="1" applyBorder="1" applyAlignment="1">
      <alignment horizontal="center" wrapText="1"/>
    </xf>
    <xf numFmtId="0" fontId="75" fillId="3" borderId="15" xfId="3" applyFont="1" applyFill="1" applyBorder="1" applyAlignment="1">
      <alignment horizontal="center"/>
    </xf>
    <xf numFmtId="0" fontId="78" fillId="0" borderId="16" xfId="3" applyFont="1" applyBorder="1" applyAlignment="1">
      <alignment horizontal="center" vertical="center"/>
    </xf>
    <xf numFmtId="0" fontId="78" fillId="0" borderId="10" xfId="3" applyFont="1" applyBorder="1" applyAlignment="1">
      <alignment horizontal="center" vertical="center"/>
    </xf>
    <xf numFmtId="0" fontId="79" fillId="0" borderId="5" xfId="3" applyFont="1" applyBorder="1" applyAlignment="1">
      <alignment vertical="center"/>
    </xf>
    <xf numFmtId="0" fontId="78" fillId="0" borderId="5" xfId="3" applyFont="1" applyBorder="1" applyAlignment="1">
      <alignment horizontal="center" vertical="center"/>
    </xf>
    <xf numFmtId="1" fontId="78" fillId="0" borderId="5" xfId="3" applyNumberFormat="1" applyFont="1" applyBorder="1" applyAlignment="1">
      <alignment horizontal="center"/>
    </xf>
    <xf numFmtId="1" fontId="78" fillId="0" borderId="5" xfId="3" applyNumberFormat="1" applyFont="1" applyBorder="1" applyAlignment="1">
      <alignment horizontal="center" wrapText="1"/>
    </xf>
    <xf numFmtId="0" fontId="80" fillId="0" borderId="6" xfId="3" applyFont="1" applyBorder="1" applyAlignment="1">
      <alignment horizontal="center"/>
    </xf>
    <xf numFmtId="49" fontId="81" fillId="4" borderId="5" xfId="3" applyNumberFormat="1" applyFont="1" applyFill="1" applyBorder="1" applyAlignment="1">
      <alignment horizontal="center"/>
    </xf>
    <xf numFmtId="0" fontId="81" fillId="0" borderId="5" xfId="3" applyFont="1" applyBorder="1" applyAlignment="1">
      <alignment horizontal="left" wrapText="1"/>
    </xf>
    <xf numFmtId="16" fontId="80" fillId="0" borderId="5" xfId="3" applyNumberFormat="1" applyFont="1" applyBorder="1" applyAlignment="1">
      <alignment horizontal="center"/>
    </xf>
    <xf numFmtId="1" fontId="80" fillId="0" borderId="5" xfId="3" applyNumberFormat="1" applyFont="1" applyBorder="1" applyAlignment="1">
      <alignment horizontal="center"/>
    </xf>
    <xf numFmtId="1" fontId="80" fillId="0" borderId="5" xfId="3" applyNumberFormat="1" applyFont="1" applyBorder="1" applyAlignment="1">
      <alignment horizontal="center" wrapText="1"/>
    </xf>
    <xf numFmtId="0" fontId="74" fillId="0" borderId="38" xfId="0" applyFont="1" applyBorder="1" applyAlignment="1">
      <alignment horizontal="center" wrapText="1"/>
    </xf>
    <xf numFmtId="12" fontId="74" fillId="0" borderId="38" xfId="0" applyNumberFormat="1" applyFont="1" applyBorder="1" applyAlignment="1">
      <alignment horizontal="center"/>
    </xf>
    <xf numFmtId="0" fontId="82" fillId="0" borderId="5" xfId="0" applyFont="1" applyBorder="1" applyAlignment="1">
      <alignment horizontal="center" vertical="top"/>
    </xf>
    <xf numFmtId="0" fontId="82" fillId="0" borderId="10" xfId="0" applyFont="1" applyBorder="1" applyAlignment="1">
      <alignment horizontal="center" vertical="top"/>
    </xf>
    <xf numFmtId="0" fontId="82" fillId="4" borderId="5" xfId="0" applyFont="1" applyFill="1" applyBorder="1"/>
    <xf numFmtId="16" fontId="80" fillId="2" borderId="5" xfId="0" applyNumberFormat="1" applyFont="1" applyFill="1" applyBorder="1" applyAlignment="1">
      <alignment horizontal="center"/>
    </xf>
    <xf numFmtId="1" fontId="80" fillId="2" borderId="5" xfId="0" applyNumberFormat="1" applyFont="1" applyFill="1" applyBorder="1" applyAlignment="1">
      <alignment horizontal="center"/>
    </xf>
    <xf numFmtId="1" fontId="80" fillId="2" borderId="5" xfId="0" applyNumberFormat="1" applyFont="1" applyFill="1" applyBorder="1" applyAlignment="1">
      <alignment horizontal="center" wrapText="1"/>
    </xf>
    <xf numFmtId="0" fontId="82" fillId="0" borderId="16" xfId="0" quotePrefix="1" applyFont="1" applyBorder="1" applyAlignment="1">
      <alignment horizontal="center"/>
    </xf>
    <xf numFmtId="0" fontId="82" fillId="0" borderId="10" xfId="0" quotePrefix="1" applyFont="1" applyBorder="1" applyAlignment="1">
      <alignment horizontal="center"/>
    </xf>
    <xf numFmtId="0" fontId="82" fillId="0" borderId="5" xfId="0" quotePrefix="1" applyFont="1" applyBorder="1"/>
    <xf numFmtId="0" fontId="80" fillId="0" borderId="5" xfId="0" applyFont="1" applyBorder="1" applyAlignment="1">
      <alignment horizontal="center"/>
    </xf>
    <xf numFmtId="0" fontId="74" fillId="0" borderId="5" xfId="0" applyFont="1" applyBorder="1" applyAlignment="1">
      <alignment horizontal="center"/>
    </xf>
    <xf numFmtId="0" fontId="82" fillId="0" borderId="5" xfId="0" applyFont="1" applyBorder="1" applyAlignment="1">
      <alignment horizontal="center"/>
    </xf>
    <xf numFmtId="0" fontId="80" fillId="0" borderId="5" xfId="3" applyFont="1" applyBorder="1" applyAlignment="1">
      <alignment horizontal="center"/>
    </xf>
    <xf numFmtId="1" fontId="82" fillId="0" borderId="5" xfId="0" applyNumberFormat="1" applyFont="1" applyBorder="1"/>
    <xf numFmtId="0" fontId="82" fillId="0" borderId="5" xfId="0" applyFont="1" applyBorder="1"/>
    <xf numFmtId="0" fontId="74" fillId="4" borderId="5" xfId="3" applyFont="1" applyFill="1" applyBorder="1" applyAlignment="1">
      <alignment horizontal="center"/>
    </xf>
    <xf numFmtId="49" fontId="80" fillId="0" borderId="16" xfId="3" applyNumberFormat="1" applyFont="1" applyBorder="1" applyAlignment="1">
      <alignment horizontal="center"/>
    </xf>
    <xf numFmtId="49" fontId="80" fillId="0" borderId="10" xfId="3" applyNumberFormat="1" applyFont="1" applyBorder="1" applyAlignment="1">
      <alignment horizontal="center"/>
    </xf>
    <xf numFmtId="0" fontId="78" fillId="4" borderId="5" xfId="3" applyFont="1" applyFill="1" applyBorder="1" applyAlignment="1">
      <alignment horizontal="left"/>
    </xf>
    <xf numFmtId="170" fontId="80" fillId="0" borderId="5" xfId="3" applyNumberFormat="1" applyFont="1" applyBorder="1" applyAlignment="1">
      <alignment horizontal="center"/>
    </xf>
    <xf numFmtId="0" fontId="83" fillId="4" borderId="16" xfId="0" applyFont="1" applyFill="1" applyBorder="1" applyAlignment="1">
      <alignment horizontal="center"/>
    </xf>
    <xf numFmtId="0" fontId="83" fillId="4" borderId="46" xfId="0" applyFont="1" applyFill="1" applyBorder="1" applyAlignment="1">
      <alignment horizontal="center"/>
    </xf>
    <xf numFmtId="0" fontId="83" fillId="4" borderId="38" xfId="0" applyFont="1" applyFill="1" applyBorder="1"/>
    <xf numFmtId="0" fontId="74" fillId="4" borderId="10" xfId="0" applyFont="1" applyFill="1" applyBorder="1" applyAlignment="1">
      <alignment horizontal="center"/>
    </xf>
    <xf numFmtId="1" fontId="74" fillId="4" borderId="38" xfId="0" applyNumberFormat="1" applyFont="1" applyFill="1" applyBorder="1" applyAlignment="1">
      <alignment horizontal="center"/>
    </xf>
    <xf numFmtId="1" fontId="74" fillId="4" borderId="38" xfId="0" applyNumberFormat="1" applyFont="1" applyFill="1" applyBorder="1" applyAlignment="1">
      <alignment horizontal="center" wrapText="1"/>
    </xf>
    <xf numFmtId="49" fontId="74" fillId="4" borderId="38" xfId="0" applyNumberFormat="1" applyFont="1" applyFill="1" applyBorder="1" applyAlignment="1">
      <alignment horizontal="center"/>
    </xf>
    <xf numFmtId="1" fontId="74" fillId="4" borderId="5" xfId="3" applyNumberFormat="1" applyFont="1" applyFill="1" applyBorder="1" applyAlignment="1">
      <alignment horizontal="center"/>
    </xf>
    <xf numFmtId="1" fontId="74" fillId="4" borderId="5" xfId="3" applyNumberFormat="1" applyFont="1" applyFill="1" applyBorder="1" applyAlignment="1">
      <alignment horizontal="center" wrapText="1"/>
    </xf>
    <xf numFmtId="1" fontId="74" fillId="4" borderId="5" xfId="0" applyNumberFormat="1" applyFont="1" applyFill="1" applyBorder="1" applyAlignment="1">
      <alignment horizontal="center"/>
    </xf>
    <xf numFmtId="0" fontId="82" fillId="0" borderId="0" xfId="0" applyFont="1" applyAlignment="1">
      <alignment horizontal="center"/>
    </xf>
    <xf numFmtId="0" fontId="82" fillId="0" borderId="0" xfId="0" applyFont="1"/>
    <xf numFmtId="16" fontId="74" fillId="4" borderId="5" xfId="0" applyNumberFormat="1" applyFont="1" applyFill="1" applyBorder="1" applyAlignment="1">
      <alignment horizontal="center"/>
    </xf>
    <xf numFmtId="0" fontId="74" fillId="2" borderId="5" xfId="0" applyFont="1" applyFill="1" applyBorder="1" applyAlignment="1">
      <alignment horizontal="center"/>
    </xf>
    <xf numFmtId="1" fontId="74" fillId="0" borderId="38" xfId="0" applyNumberFormat="1" applyFont="1" applyBorder="1" applyAlignment="1">
      <alignment horizontal="center" wrapText="1"/>
    </xf>
    <xf numFmtId="16" fontId="74" fillId="0" borderId="5" xfId="0" applyNumberFormat="1" applyFont="1" applyBorder="1" applyAlignment="1">
      <alignment horizontal="center"/>
    </xf>
    <xf numFmtId="1" fontId="74" fillId="0" borderId="38" xfId="0" applyNumberFormat="1" applyFont="1" applyBorder="1" applyAlignment="1">
      <alignment horizontal="center"/>
    </xf>
    <xf numFmtId="1" fontId="74" fillId="0" borderId="5" xfId="0" applyNumberFormat="1" applyFont="1" applyBorder="1" applyAlignment="1">
      <alignment horizontal="center"/>
    </xf>
    <xf numFmtId="1" fontId="74" fillId="0" borderId="5" xfId="0" applyNumberFormat="1" applyFont="1" applyBorder="1" applyAlignment="1">
      <alignment horizontal="center" wrapText="1"/>
    </xf>
    <xf numFmtId="49" fontId="78" fillId="0" borderId="37" xfId="3" applyNumberFormat="1" applyFont="1" applyBorder="1" applyAlignment="1">
      <alignment horizontal="center"/>
    </xf>
    <xf numFmtId="49" fontId="78" fillId="0" borderId="9" xfId="3" applyNumberFormat="1" applyFont="1" applyBorder="1" applyAlignment="1">
      <alignment horizontal="center"/>
    </xf>
    <xf numFmtId="0" fontId="79" fillId="4" borderId="5" xfId="3" applyFont="1" applyFill="1" applyBorder="1" applyAlignment="1">
      <alignment vertical="center"/>
    </xf>
    <xf numFmtId="0" fontId="78" fillId="0" borderId="10" xfId="3" applyFont="1" applyBorder="1" applyAlignment="1">
      <alignment horizontal="center"/>
    </xf>
    <xf numFmtId="170" fontId="78" fillId="0" borderId="5" xfId="3" applyNumberFormat="1" applyFont="1" applyBorder="1" applyAlignment="1">
      <alignment horizontal="center"/>
    </xf>
    <xf numFmtId="49" fontId="80" fillId="0" borderId="5" xfId="0" applyNumberFormat="1" applyFont="1" applyBorder="1" applyAlignment="1">
      <alignment horizontal="center"/>
    </xf>
    <xf numFmtId="49" fontId="80" fillId="0" borderId="5" xfId="0" applyNumberFormat="1" applyFont="1" applyBorder="1"/>
    <xf numFmtId="1" fontId="80" fillId="0" borderId="5" xfId="0" applyNumberFormat="1" applyFont="1" applyBorder="1" applyAlignment="1">
      <alignment horizontal="center"/>
    </xf>
    <xf numFmtId="1" fontId="80" fillId="0" borderId="5" xfId="0" applyNumberFormat="1" applyFont="1" applyBorder="1" applyAlignment="1">
      <alignment horizontal="center" wrapText="1"/>
    </xf>
    <xf numFmtId="171" fontId="75" fillId="4" borderId="5" xfId="71" applyNumberFormat="1" applyFont="1" applyFill="1" applyBorder="1" applyAlignment="1">
      <alignment horizontal="center"/>
    </xf>
    <xf numFmtId="0" fontId="84" fillId="0" borderId="5" xfId="136" applyFont="1" applyBorder="1" applyAlignment="1">
      <alignment horizontal="center"/>
    </xf>
    <xf numFmtId="0" fontId="84" fillId="0" borderId="5" xfId="136" applyFont="1" applyBorder="1" applyAlignment="1">
      <alignment horizontal="left"/>
    </xf>
    <xf numFmtId="16" fontId="80" fillId="0" borderId="5" xfId="0" applyNumberFormat="1" applyFont="1" applyBorder="1" applyAlignment="1">
      <alignment horizontal="center"/>
    </xf>
    <xf numFmtId="0" fontId="82" fillId="0" borderId="5" xfId="0" applyFont="1" applyBorder="1" applyAlignment="1">
      <alignment horizontal="center" vertical="center"/>
    </xf>
    <xf numFmtId="0" fontId="82" fillId="0" borderId="5" xfId="0" applyFont="1" applyBorder="1" applyAlignment="1">
      <alignment horizontal="left" vertical="center"/>
    </xf>
    <xf numFmtId="12" fontId="80" fillId="0" borderId="5" xfId="3" applyNumberFormat="1" applyFont="1" applyBorder="1" applyAlignment="1">
      <alignment horizontal="center"/>
    </xf>
    <xf numFmtId="0" fontId="74" fillId="0" borderId="5" xfId="0" quotePrefix="1" applyFont="1" applyBorder="1" applyAlignment="1">
      <alignment horizontal="center"/>
    </xf>
    <xf numFmtId="0" fontId="74" fillId="0" borderId="5" xfId="0" quotePrefix="1" applyFont="1" applyBorder="1"/>
    <xf numFmtId="49" fontId="80" fillId="0" borderId="5" xfId="3" applyNumberFormat="1" applyFont="1" applyBorder="1"/>
    <xf numFmtId="49" fontId="85" fillId="2" borderId="4" xfId="3" applyNumberFormat="1" applyFont="1" applyFill="1" applyBorder="1" applyAlignment="1">
      <alignment horizontal="center" vertical="center"/>
    </xf>
    <xf numFmtId="49" fontId="85" fillId="2" borderId="0" xfId="3" applyNumberFormat="1" applyFont="1" applyFill="1" applyAlignment="1">
      <alignment horizontal="center" vertical="center"/>
    </xf>
    <xf numFmtId="0" fontId="74" fillId="2" borderId="0" xfId="3" applyFont="1" applyFill="1"/>
    <xf numFmtId="1" fontId="74" fillId="2" borderId="0" xfId="3" applyNumberFormat="1" applyFont="1" applyFill="1" applyAlignment="1">
      <alignment horizontal="center"/>
    </xf>
    <xf numFmtId="164" fontId="74" fillId="2" borderId="0" xfId="3" applyNumberFormat="1" applyFont="1" applyFill="1" applyAlignment="1">
      <alignment horizontal="center" wrapText="1"/>
    </xf>
    <xf numFmtId="0" fontId="74" fillId="2" borderId="18" xfId="3" applyFont="1" applyFill="1" applyBorder="1" applyAlignment="1">
      <alignment horizontal="center"/>
    </xf>
    <xf numFmtId="0" fontId="74" fillId="3" borderId="19" xfId="3" applyFont="1" applyFill="1" applyBorder="1" applyAlignment="1">
      <alignment horizontal="center"/>
    </xf>
    <xf numFmtId="0" fontId="74" fillId="3" borderId="20" xfId="3" applyFont="1" applyFill="1" applyBorder="1" applyAlignment="1">
      <alignment horizontal="center"/>
    </xf>
    <xf numFmtId="0" fontId="74" fillId="3" borderId="20" xfId="3" applyFont="1" applyFill="1" applyBorder="1"/>
    <xf numFmtId="0" fontId="75" fillId="3" borderId="20" xfId="3" applyFont="1" applyFill="1" applyBorder="1" applyAlignment="1">
      <alignment horizontal="center"/>
    </xf>
    <xf numFmtId="1" fontId="75" fillId="3" borderId="20" xfId="3" applyNumberFormat="1" applyFont="1" applyFill="1" applyBorder="1" applyAlignment="1">
      <alignment horizontal="center"/>
    </xf>
    <xf numFmtId="164" fontId="74" fillId="3" borderId="20" xfId="3" applyNumberFormat="1" applyFont="1" applyFill="1" applyBorder="1" applyAlignment="1">
      <alignment horizontal="center" wrapText="1"/>
    </xf>
    <xf numFmtId="0" fontId="74" fillId="3" borderId="21" xfId="3" applyFont="1" applyFill="1" applyBorder="1" applyAlignment="1">
      <alignment horizontal="center"/>
    </xf>
    <xf numFmtId="0" fontId="74" fillId="0" borderId="22" xfId="0" applyFont="1" applyBorder="1" applyAlignment="1">
      <alignment horizontal="center"/>
    </xf>
    <xf numFmtId="1" fontId="74" fillId="0" borderId="14" xfId="0" applyNumberFormat="1" applyFont="1" applyBorder="1" applyAlignment="1">
      <alignment horizontal="center"/>
    </xf>
    <xf numFmtId="0" fontId="74" fillId="0" borderId="14" xfId="0" applyFont="1" applyBorder="1" applyAlignment="1">
      <alignment horizontal="center"/>
    </xf>
    <xf numFmtId="0" fontId="53" fillId="2" borderId="2" xfId="1" applyFont="1" applyFill="1" applyBorder="1" applyAlignment="1">
      <alignment horizontal="right"/>
    </xf>
    <xf numFmtId="0" fontId="52" fillId="2" borderId="3" xfId="1" applyFont="1" applyFill="1" applyBorder="1" applyAlignment="1">
      <alignment horizontal="center"/>
    </xf>
    <xf numFmtId="0" fontId="53" fillId="2" borderId="5" xfId="1" applyFont="1" applyFill="1" applyBorder="1" applyAlignment="1">
      <alignment horizontal="right"/>
    </xf>
    <xf numFmtId="49" fontId="52" fillId="2" borderId="6" xfId="1" applyNumberFormat="1" applyFont="1" applyFill="1" applyBorder="1" applyAlignment="1">
      <alignment horizontal="center"/>
    </xf>
    <xf numFmtId="0" fontId="52" fillId="2" borderId="38" xfId="1" applyFont="1" applyFill="1" applyBorder="1" applyAlignment="1">
      <alignment horizontal="right"/>
    </xf>
    <xf numFmtId="0" fontId="52" fillId="2" borderId="5" xfId="1" applyFont="1" applyFill="1" applyBorder="1" applyAlignment="1">
      <alignment horizontal="right"/>
    </xf>
    <xf numFmtId="0" fontId="86" fillId="4" borderId="16" xfId="0" applyFont="1" applyFill="1" applyBorder="1" applyAlignment="1">
      <alignment horizontal="center"/>
    </xf>
    <xf numFmtId="0" fontId="86" fillId="4" borderId="5" xfId="0" applyFont="1" applyFill="1" applyBorder="1" applyAlignment="1">
      <alignment horizontal="center"/>
    </xf>
    <xf numFmtId="0" fontId="86" fillId="4" borderId="38" xfId="0" applyFont="1" applyFill="1" applyBorder="1"/>
    <xf numFmtId="0" fontId="52" fillId="4" borderId="10" xfId="0" applyFont="1" applyFill="1" applyBorder="1" applyAlignment="1">
      <alignment horizontal="center"/>
    </xf>
    <xf numFmtId="1" fontId="52" fillId="4" borderId="5" xfId="0" applyNumberFormat="1" applyFont="1" applyFill="1" applyBorder="1" applyAlignment="1">
      <alignment horizontal="center"/>
    </xf>
    <xf numFmtId="1" fontId="52" fillId="4" borderId="5" xfId="0" applyNumberFormat="1" applyFont="1" applyFill="1" applyBorder="1" applyAlignment="1">
      <alignment horizontal="center" wrapText="1"/>
    </xf>
    <xf numFmtId="0" fontId="52" fillId="0" borderId="38" xfId="0" applyFont="1" applyBorder="1" applyAlignment="1">
      <alignment horizontal="center" wrapText="1"/>
    </xf>
    <xf numFmtId="12" fontId="52" fillId="0" borderId="38" xfId="0" applyNumberFormat="1" applyFont="1" applyBorder="1" applyAlignment="1">
      <alignment horizontal="center"/>
    </xf>
    <xf numFmtId="0" fontId="86" fillId="4" borderId="10" xfId="0" applyFont="1" applyFill="1" applyBorder="1" applyAlignment="1">
      <alignment horizontal="center"/>
    </xf>
    <xf numFmtId="0" fontId="86" fillId="4" borderId="5" xfId="0" applyFont="1" applyFill="1" applyBorder="1"/>
    <xf numFmtId="1" fontId="52" fillId="4" borderId="38" xfId="0" applyNumberFormat="1" applyFont="1" applyFill="1" applyBorder="1" applyAlignment="1">
      <alignment horizontal="center"/>
    </xf>
    <xf numFmtId="1" fontId="52" fillId="4" borderId="38" xfId="0" applyNumberFormat="1" applyFont="1" applyFill="1" applyBorder="1" applyAlignment="1">
      <alignment horizontal="center" wrapText="1"/>
    </xf>
    <xf numFmtId="0" fontId="52" fillId="0" borderId="5" xfId="0" applyFont="1" applyBorder="1" applyAlignment="1">
      <alignment horizontal="center"/>
    </xf>
    <xf numFmtId="0" fontId="87" fillId="0" borderId="5" xfId="0" applyFont="1" applyBorder="1" applyAlignment="1">
      <alignment horizontal="center"/>
    </xf>
    <xf numFmtId="0" fontId="87" fillId="0" borderId="5" xfId="0" applyFont="1" applyBorder="1" applyAlignment="1">
      <alignment horizontal="center" vertical="center"/>
    </xf>
    <xf numFmtId="0" fontId="87" fillId="13" borderId="5" xfId="0" applyFont="1" applyFill="1" applyBorder="1"/>
    <xf numFmtId="0" fontId="52" fillId="0" borderId="5" xfId="0" applyFont="1" applyBorder="1" applyAlignment="1">
      <alignment horizontal="center" wrapText="1"/>
    </xf>
    <xf numFmtId="0" fontId="87" fillId="13" borderId="0" xfId="0" applyFont="1" applyFill="1" applyAlignment="1">
      <alignment horizontal="center"/>
    </xf>
    <xf numFmtId="0" fontId="87" fillId="13" borderId="0" xfId="0" applyFont="1" applyFill="1"/>
    <xf numFmtId="0" fontId="53" fillId="13" borderId="5" xfId="0" applyFont="1" applyFill="1" applyBorder="1" applyAlignment="1">
      <alignment horizontal="left"/>
    </xf>
    <xf numFmtId="0" fontId="52" fillId="0" borderId="38" xfId="0" applyFont="1" applyBorder="1" applyAlignment="1">
      <alignment horizontal="center"/>
    </xf>
    <xf numFmtId="0" fontId="87" fillId="13" borderId="5" xfId="0" applyFont="1" applyFill="1" applyBorder="1" applyAlignment="1">
      <alignment horizontal="left" vertical="center"/>
    </xf>
    <xf numFmtId="0" fontId="1" fillId="0" borderId="5" xfId="0" applyFont="1" applyBorder="1"/>
    <xf numFmtId="16" fontId="18" fillId="0" borderId="10" xfId="0" applyNumberFormat="1" applyFont="1" applyBorder="1" applyAlignment="1">
      <alignment horizontal="center"/>
    </xf>
    <xf numFmtId="170" fontId="18" fillId="0" borderId="5" xfId="3" applyNumberFormat="1" applyFont="1" applyBorder="1" applyAlignment="1">
      <alignment horizontal="center"/>
    </xf>
    <xf numFmtId="0" fontId="86" fillId="4" borderId="46" xfId="0" applyFont="1" applyFill="1" applyBorder="1" applyAlignment="1">
      <alignment horizontal="center"/>
    </xf>
    <xf numFmtId="1" fontId="52" fillId="0" borderId="5" xfId="0" applyNumberFormat="1" applyFont="1" applyBorder="1" applyAlignment="1">
      <alignment horizontal="center"/>
    </xf>
    <xf numFmtId="1" fontId="52" fillId="4" borderId="5" xfId="3" applyNumberFormat="1" applyFont="1" applyFill="1" applyBorder="1" applyAlignment="1">
      <alignment horizontal="center"/>
    </xf>
    <xf numFmtId="1" fontId="52" fillId="4" borderId="5" xfId="3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16" fontId="52" fillId="4" borderId="5" xfId="0" applyNumberFormat="1" applyFont="1" applyFill="1" applyBorder="1" applyAlignment="1">
      <alignment horizontal="center"/>
    </xf>
    <xf numFmtId="0" fontId="52" fillId="2" borderId="5" xfId="0" applyFont="1" applyFill="1" applyBorder="1" applyAlignment="1">
      <alignment horizontal="center"/>
    </xf>
    <xf numFmtId="1" fontId="52" fillId="0" borderId="38" xfId="0" applyNumberFormat="1" applyFont="1" applyBorder="1" applyAlignment="1">
      <alignment horizontal="center" wrapText="1"/>
    </xf>
    <xf numFmtId="16" fontId="52" fillId="0" borderId="5" xfId="0" applyNumberFormat="1" applyFont="1" applyBorder="1" applyAlignment="1">
      <alignment horizontal="center"/>
    </xf>
    <xf numFmtId="1" fontId="52" fillId="0" borderId="38" xfId="0" applyNumberFormat="1" applyFont="1" applyBorder="1" applyAlignment="1">
      <alignment horizontal="center"/>
    </xf>
    <xf numFmtId="49" fontId="56" fillId="0" borderId="37" xfId="3" applyNumberFormat="1" applyFont="1" applyBorder="1" applyAlignment="1">
      <alignment horizontal="center"/>
    </xf>
    <xf numFmtId="49" fontId="56" fillId="0" borderId="9" xfId="3" applyNumberFormat="1" applyFont="1" applyBorder="1" applyAlignment="1">
      <alignment horizontal="center"/>
    </xf>
    <xf numFmtId="0" fontId="56" fillId="0" borderId="10" xfId="3" applyFont="1" applyBorder="1" applyAlignment="1">
      <alignment horizontal="center"/>
    </xf>
    <xf numFmtId="170" fontId="56" fillId="0" borderId="5" xfId="3" applyNumberFormat="1" applyFont="1" applyBorder="1" applyAlignment="1">
      <alignment horizontal="center"/>
    </xf>
    <xf numFmtId="16" fontId="18" fillId="0" borderId="5" xfId="3" applyNumberFormat="1" applyFont="1" applyBorder="1" applyAlignment="1">
      <alignment horizontal="center"/>
    </xf>
    <xf numFmtId="1" fontId="52" fillId="0" borderId="38" xfId="3" applyNumberFormat="1" applyFont="1" applyBorder="1" applyAlignment="1">
      <alignment horizontal="center"/>
    </xf>
    <xf numFmtId="0" fontId="52" fillId="0" borderId="38" xfId="3" applyFont="1" applyBorder="1" applyAlignment="1">
      <alignment horizontal="center"/>
    </xf>
    <xf numFmtId="171" fontId="53" fillId="4" borderId="5" xfId="71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8" fillId="0" borderId="39" xfId="0" applyFont="1" applyBorder="1" applyAlignment="1">
      <alignment horizontal="center"/>
    </xf>
    <xf numFmtId="0" fontId="18" fillId="0" borderId="5" xfId="0" applyFont="1" applyBorder="1" applyAlignment="1">
      <alignment horizontal="center" wrapText="1"/>
    </xf>
    <xf numFmtId="1" fontId="1" fillId="0" borderId="5" xfId="0" applyNumberFormat="1" applyFont="1" applyBorder="1" applyAlignment="1">
      <alignment horizontal="left" vertical="center"/>
    </xf>
    <xf numFmtId="12" fontId="18" fillId="0" borderId="5" xfId="3" applyNumberFormat="1" applyFont="1" applyBorder="1" applyAlignment="1">
      <alignment horizontal="center"/>
    </xf>
    <xf numFmtId="0" fontId="18" fillId="4" borderId="16" xfId="0" applyFont="1" applyFill="1" applyBorder="1" applyAlignment="1">
      <alignment horizontal="center"/>
    </xf>
    <xf numFmtId="0" fontId="88" fillId="4" borderId="0" xfId="0" applyFont="1" applyFill="1" applyAlignment="1">
      <alignment horizontal="center"/>
    </xf>
    <xf numFmtId="1" fontId="18" fillId="4" borderId="5" xfId="0" applyNumberFormat="1" applyFont="1" applyFill="1" applyBorder="1"/>
    <xf numFmtId="0" fontId="18" fillId="4" borderId="5" xfId="0" applyFont="1" applyFill="1" applyBorder="1" applyAlignment="1">
      <alignment horizontal="center" wrapText="1"/>
    </xf>
    <xf numFmtId="0" fontId="52" fillId="0" borderId="22" xfId="0" applyFont="1" applyBorder="1" applyAlignment="1">
      <alignment horizontal="center"/>
    </xf>
    <xf numFmtId="1" fontId="52" fillId="0" borderId="14" xfId="0" applyNumberFormat="1" applyFont="1" applyBorder="1" applyAlignment="1">
      <alignment horizontal="center"/>
    </xf>
    <xf numFmtId="0" fontId="52" fillId="0" borderId="14" xfId="0" applyFont="1" applyBorder="1" applyAlignment="1">
      <alignment horizontal="center"/>
    </xf>
    <xf numFmtId="0" fontId="83" fillId="4" borderId="5" xfId="0" applyFont="1" applyFill="1" applyBorder="1" applyAlignment="1">
      <alignment horizontal="center"/>
    </xf>
    <xf numFmtId="1" fontId="74" fillId="4" borderId="5" xfId="0" applyNumberFormat="1" applyFont="1" applyFill="1" applyBorder="1" applyAlignment="1">
      <alignment horizontal="center" wrapText="1"/>
    </xf>
    <xf numFmtId="0" fontId="83" fillId="4" borderId="10" xfId="0" applyFont="1" applyFill="1" applyBorder="1" applyAlignment="1">
      <alignment horizontal="center"/>
    </xf>
    <xf numFmtId="0" fontId="83" fillId="4" borderId="5" xfId="0" applyFont="1" applyFill="1" applyBorder="1"/>
    <xf numFmtId="0" fontId="89" fillId="0" borderId="5" xfId="0" applyFont="1" applyBorder="1" applyAlignment="1">
      <alignment horizontal="center"/>
    </xf>
    <xf numFmtId="0" fontId="89" fillId="0" borderId="5" xfId="0" applyFont="1" applyBorder="1" applyAlignment="1">
      <alignment horizontal="center" vertical="center"/>
    </xf>
    <xf numFmtId="0" fontId="89" fillId="13" borderId="5" xfId="0" applyFont="1" applyFill="1" applyBorder="1"/>
    <xf numFmtId="0" fontId="74" fillId="0" borderId="5" xfId="0" applyFont="1" applyBorder="1" applyAlignment="1">
      <alignment horizontal="center" wrapText="1"/>
    </xf>
    <xf numFmtId="0" fontId="89" fillId="13" borderId="0" xfId="0" applyFont="1" applyFill="1" applyAlignment="1">
      <alignment horizontal="center"/>
    </xf>
    <xf numFmtId="0" fontId="89" fillId="13" borderId="0" xfId="0" applyFont="1" applyFill="1"/>
    <xf numFmtId="0" fontId="75" fillId="13" borderId="5" xfId="0" applyFont="1" applyFill="1" applyBorder="1" applyAlignment="1">
      <alignment horizontal="left"/>
    </xf>
    <xf numFmtId="0" fontId="74" fillId="0" borderId="38" xfId="0" applyFont="1" applyBorder="1" applyAlignment="1">
      <alignment horizontal="center"/>
    </xf>
    <xf numFmtId="0" fontId="89" fillId="13" borderId="5" xfId="0" applyFont="1" applyFill="1" applyBorder="1" applyAlignment="1">
      <alignment horizontal="left" vertical="center"/>
    </xf>
    <xf numFmtId="16" fontId="80" fillId="0" borderId="10" xfId="0" applyNumberFormat="1" applyFont="1" applyBorder="1" applyAlignment="1">
      <alignment horizontal="center"/>
    </xf>
    <xf numFmtId="49" fontId="80" fillId="0" borderId="5" xfId="3" applyNumberFormat="1" applyFont="1" applyBorder="1" applyAlignment="1">
      <alignment horizontal="center"/>
    </xf>
    <xf numFmtId="1" fontId="74" fillId="0" borderId="38" xfId="3" applyNumberFormat="1" applyFont="1" applyBorder="1" applyAlignment="1">
      <alignment horizontal="center"/>
    </xf>
    <xf numFmtId="0" fontId="74" fillId="0" borderId="38" xfId="3" applyFont="1" applyBorder="1" applyAlignment="1">
      <alignment horizontal="center"/>
    </xf>
    <xf numFmtId="0" fontId="80" fillId="0" borderId="39" xfId="0" applyFont="1" applyBorder="1" applyAlignment="1">
      <alignment horizontal="center"/>
    </xf>
    <xf numFmtId="0" fontId="80" fillId="0" borderId="5" xfId="0" applyFont="1" applyBorder="1" applyAlignment="1">
      <alignment horizontal="center" wrapText="1"/>
    </xf>
    <xf numFmtId="1" fontId="82" fillId="0" borderId="5" xfId="0" applyNumberFormat="1" applyFont="1" applyBorder="1" applyAlignment="1">
      <alignment horizontal="left" vertical="center"/>
    </xf>
    <xf numFmtId="0" fontId="80" fillId="4" borderId="16" xfId="0" applyFont="1" applyFill="1" applyBorder="1" applyAlignment="1">
      <alignment horizontal="center"/>
    </xf>
    <xf numFmtId="0" fontId="90" fillId="4" borderId="0" xfId="0" applyFont="1" applyFill="1" applyAlignment="1">
      <alignment horizontal="center"/>
    </xf>
    <xf numFmtId="1" fontId="80" fillId="4" borderId="5" xfId="0" applyNumberFormat="1" applyFont="1" applyFill="1" applyBorder="1"/>
    <xf numFmtId="0" fontId="80" fillId="4" borderId="5" xfId="0" applyFont="1" applyFill="1" applyBorder="1" applyAlignment="1">
      <alignment horizontal="center"/>
    </xf>
    <xf numFmtId="0" fontId="80" fillId="4" borderId="5" xfId="0" applyFont="1" applyFill="1" applyBorder="1" applyAlignment="1">
      <alignment horizontal="center" wrapText="1"/>
    </xf>
    <xf numFmtId="1" fontId="18" fillId="0" borderId="34" xfId="0" applyNumberFormat="1" applyFont="1" applyBorder="1" applyAlignment="1">
      <alignment horizontal="center"/>
    </xf>
    <xf numFmtId="1" fontId="18" fillId="0" borderId="9" xfId="0" applyNumberFormat="1" applyFont="1" applyBorder="1" applyAlignment="1">
      <alignment horizontal="center"/>
    </xf>
    <xf numFmtId="1" fontId="18" fillId="0" borderId="17" xfId="0" applyNumberFormat="1" applyFont="1" applyBorder="1" applyAlignment="1">
      <alignment horizontal="center"/>
    </xf>
    <xf numFmtId="0" fontId="3" fillId="4" borderId="34" xfId="1" applyFont="1" applyFill="1" applyBorder="1" applyAlignment="1">
      <alignment horizontal="center"/>
    </xf>
    <xf numFmtId="0" fontId="3" fillId="4" borderId="9" xfId="1" applyFont="1" applyFill="1" applyBorder="1" applyAlignment="1">
      <alignment horizontal="center"/>
    </xf>
    <xf numFmtId="0" fontId="3" fillId="4" borderId="10" xfId="1" applyFont="1" applyFill="1" applyBorder="1" applyAlignment="1">
      <alignment horizontal="center"/>
    </xf>
    <xf numFmtId="1" fontId="12" fillId="0" borderId="34" xfId="3" applyNumberFormat="1" applyFont="1" applyBorder="1" applyAlignment="1">
      <alignment horizontal="center"/>
    </xf>
    <xf numFmtId="1" fontId="12" fillId="0" borderId="9" xfId="3" applyNumberFormat="1" applyFont="1" applyBorder="1" applyAlignment="1">
      <alignment horizontal="center"/>
    </xf>
    <xf numFmtId="1" fontId="12" fillId="0" borderId="17" xfId="3" applyNumberFormat="1" applyFont="1" applyBorder="1" applyAlignment="1">
      <alignment horizontal="center"/>
    </xf>
    <xf numFmtId="1" fontId="23" fillId="0" borderId="34" xfId="0" applyNumberFormat="1" applyFont="1" applyBorder="1" applyAlignment="1">
      <alignment horizontal="center"/>
    </xf>
    <xf numFmtId="0" fontId="3" fillId="3" borderId="1" xfId="3" applyFont="1" applyFill="1" applyBorder="1" applyAlignment="1">
      <alignment horizontal="left"/>
    </xf>
    <xf numFmtId="0" fontId="3" fillId="3" borderId="27" xfId="3" applyFont="1" applyFill="1" applyBorder="1" applyAlignment="1">
      <alignment horizontal="left"/>
    </xf>
    <xf numFmtId="0" fontId="9" fillId="0" borderId="41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9" fillId="0" borderId="23" xfId="0" applyFont="1" applyBorder="1" applyAlignment="1">
      <alignment horizontal="left" wrapText="1"/>
    </xf>
    <xf numFmtId="0" fontId="9" fillId="0" borderId="37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0" fontId="9" fillId="0" borderId="16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22" fillId="0" borderId="35" xfId="3" applyFont="1" applyBorder="1" applyAlignment="1">
      <alignment horizontal="left" vertical="center" wrapText="1"/>
    </xf>
    <xf numFmtId="0" fontId="22" fillId="0" borderId="7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" fillId="0" borderId="35" xfId="3" applyFont="1" applyBorder="1" applyAlignment="1">
      <alignment horizontal="left" vertical="center" wrapText="1"/>
    </xf>
    <xf numFmtId="0" fontId="2" fillId="0" borderId="7" xfId="3" applyFont="1" applyBorder="1" applyAlignment="1">
      <alignment horizontal="left" vertical="center" wrapText="1"/>
    </xf>
    <xf numFmtId="0" fontId="2" fillId="0" borderId="36" xfId="3" applyFont="1" applyBorder="1" applyAlignment="1">
      <alignment horizontal="left" vertical="center" wrapText="1"/>
    </xf>
    <xf numFmtId="0" fontId="2" fillId="0" borderId="24" xfId="3" applyFont="1" applyBorder="1" applyAlignment="1">
      <alignment horizontal="left"/>
    </xf>
    <xf numFmtId="0" fontId="2" fillId="0" borderId="14" xfId="3" applyFont="1" applyBorder="1" applyAlignment="1">
      <alignment horizontal="left"/>
    </xf>
    <xf numFmtId="0" fontId="2" fillId="0" borderId="15" xfId="3" applyFont="1" applyBorder="1" applyAlignment="1">
      <alignment horizontal="left"/>
    </xf>
    <xf numFmtId="164" fontId="3" fillId="3" borderId="19" xfId="3" applyNumberFormat="1" applyFont="1" applyFill="1" applyBorder="1" applyAlignment="1">
      <alignment horizontal="center" wrapText="1"/>
    </xf>
    <xf numFmtId="164" fontId="3" fillId="3" borderId="20" xfId="3" applyNumberFormat="1" applyFont="1" applyFill="1" applyBorder="1" applyAlignment="1">
      <alignment horizontal="center" wrapText="1"/>
    </xf>
    <xf numFmtId="164" fontId="3" fillId="3" borderId="21" xfId="3" applyNumberFormat="1" applyFont="1" applyFill="1" applyBorder="1" applyAlignment="1">
      <alignment horizontal="center" wrapText="1"/>
    </xf>
    <xf numFmtId="0" fontId="3" fillId="0" borderId="37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164" fontId="2" fillId="0" borderId="30" xfId="3" applyNumberFormat="1" applyFont="1" applyBorder="1" applyAlignment="1">
      <alignment horizontal="center"/>
    </xf>
    <xf numFmtId="164" fontId="2" fillId="0" borderId="0" xfId="3" applyNumberFormat="1" applyFont="1" applyAlignment="1">
      <alignment horizontal="center"/>
    </xf>
    <xf numFmtId="164" fontId="2" fillId="0" borderId="31" xfId="3" applyNumberFormat="1" applyFont="1" applyBorder="1" applyAlignment="1">
      <alignment horizontal="center"/>
    </xf>
    <xf numFmtId="164" fontId="2" fillId="0" borderId="32" xfId="3" applyNumberFormat="1" applyFont="1" applyBorder="1" applyAlignment="1">
      <alignment horizontal="center"/>
    </xf>
    <xf numFmtId="164" fontId="2" fillId="0" borderId="28" xfId="3" applyNumberFormat="1" applyFont="1" applyBorder="1" applyAlignment="1">
      <alignment horizontal="center"/>
    </xf>
    <xf numFmtId="164" fontId="2" fillId="0" borderId="33" xfId="3" applyNumberFormat="1" applyFont="1" applyBorder="1" applyAlignment="1">
      <alignment horizontal="center"/>
    </xf>
    <xf numFmtId="0" fontId="3" fillId="0" borderId="16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5" fillId="2" borderId="0" xfId="2" applyFont="1" applyFill="1" applyAlignment="1">
      <alignment horizontal="center"/>
    </xf>
    <xf numFmtId="0" fontId="6" fillId="2" borderId="11" xfId="2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3" borderId="12" xfId="3" applyFont="1" applyFill="1" applyBorder="1" applyAlignment="1">
      <alignment horizontal="center" vertical="center" wrapText="1"/>
    </xf>
    <xf numFmtId="0" fontId="3" fillId="3" borderId="40" xfId="3" applyFont="1" applyFill="1" applyBorder="1" applyAlignment="1">
      <alignment horizontal="center" vertical="center" wrapText="1"/>
    </xf>
    <xf numFmtId="0" fontId="3" fillId="3" borderId="2" xfId="3" applyFont="1" applyFill="1" applyBorder="1" applyAlignment="1">
      <alignment horizontal="center" vertical="center"/>
    </xf>
    <xf numFmtId="0" fontId="3" fillId="3" borderId="39" xfId="3" applyFont="1" applyFill="1" applyBorder="1" applyAlignment="1">
      <alignment horizontal="center" vertical="center"/>
    </xf>
    <xf numFmtId="0" fontId="3" fillId="3" borderId="14" xfId="3" applyFont="1" applyFill="1" applyBorder="1" applyAlignment="1">
      <alignment horizontal="center" vertical="center"/>
    </xf>
    <xf numFmtId="0" fontId="3" fillId="5" borderId="25" xfId="3" applyFont="1" applyFill="1" applyBorder="1" applyAlignment="1">
      <alignment horizontal="center" vertical="center"/>
    </xf>
    <xf numFmtId="0" fontId="3" fillId="5" borderId="43" xfId="3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 wrapText="1"/>
    </xf>
    <xf numFmtId="0" fontId="3" fillId="3" borderId="14" xfId="3" applyFont="1" applyFill="1" applyBorder="1" applyAlignment="1">
      <alignment horizontal="center" vertical="center" wrapText="1"/>
    </xf>
    <xf numFmtId="0" fontId="3" fillId="3" borderId="29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3" borderId="27" xfId="3" applyFont="1" applyFill="1" applyBorder="1" applyAlignment="1">
      <alignment horizontal="center" vertical="center"/>
    </xf>
    <xf numFmtId="0" fontId="3" fillId="3" borderId="22" xfId="3" applyFont="1" applyFill="1" applyBorder="1" applyAlignment="1">
      <alignment horizontal="center" vertical="center"/>
    </xf>
    <xf numFmtId="0" fontId="3" fillId="3" borderId="8" xfId="3" applyFont="1" applyFill="1" applyBorder="1" applyAlignment="1">
      <alignment horizontal="center" vertical="center"/>
    </xf>
    <xf numFmtId="0" fontId="3" fillId="3" borderId="23" xfId="3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/>
    </xf>
    <xf numFmtId="0" fontId="2" fillId="2" borderId="16" xfId="1" applyFont="1" applyFill="1" applyBorder="1" applyAlignment="1">
      <alignment horizontal="center"/>
    </xf>
    <xf numFmtId="0" fontId="2" fillId="2" borderId="13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 wrapText="1"/>
    </xf>
    <xf numFmtId="0" fontId="2" fillId="2" borderId="14" xfId="1" applyFont="1" applyFill="1" applyBorder="1" applyAlignment="1">
      <alignment horizontal="center"/>
    </xf>
    <xf numFmtId="0" fontId="3" fillId="2" borderId="14" xfId="1" applyFont="1" applyFill="1" applyBorder="1" applyAlignment="1">
      <alignment horizontal="center"/>
    </xf>
    <xf numFmtId="0" fontId="2" fillId="2" borderId="15" xfId="1" applyFont="1" applyFill="1" applyBorder="1" applyAlignment="1">
      <alignment horizontal="center"/>
    </xf>
    <xf numFmtId="14" fontId="52" fillId="2" borderId="67" xfId="2" applyNumberFormat="1" applyFont="1" applyFill="1" applyBorder="1" applyAlignment="1">
      <alignment horizontal="center" vertical="center" wrapText="1"/>
    </xf>
    <xf numFmtId="14" fontId="52" fillId="2" borderId="65" xfId="2" applyNumberFormat="1" applyFont="1" applyFill="1" applyBorder="1" applyAlignment="1">
      <alignment horizontal="center" vertical="center" wrapText="1"/>
    </xf>
    <xf numFmtId="14" fontId="52" fillId="2" borderId="56" xfId="2" applyNumberFormat="1" applyFont="1" applyFill="1" applyBorder="1" applyAlignment="1">
      <alignment horizontal="center" vertical="center" wrapText="1"/>
    </xf>
    <xf numFmtId="0" fontId="52" fillId="2" borderId="63" xfId="2" applyFont="1" applyFill="1" applyBorder="1" applyAlignment="1">
      <alignment horizontal="left"/>
    </xf>
    <xf numFmtId="0" fontId="52" fillId="2" borderId="7" xfId="2" applyFont="1" applyFill="1" applyBorder="1" applyAlignment="1">
      <alignment horizontal="left"/>
    </xf>
    <xf numFmtId="0" fontId="52" fillId="2" borderId="58" xfId="2" applyFont="1" applyFill="1" applyBorder="1" applyAlignment="1">
      <alignment horizontal="left"/>
    </xf>
    <xf numFmtId="0" fontId="52" fillId="2" borderId="34" xfId="2" applyFont="1" applyFill="1" applyBorder="1" applyAlignment="1">
      <alignment horizontal="left"/>
    </xf>
    <xf numFmtId="0" fontId="52" fillId="2" borderId="9" xfId="2" applyFont="1" applyFill="1" applyBorder="1" applyAlignment="1">
      <alignment horizontal="left"/>
    </xf>
    <xf numFmtId="0" fontId="52" fillId="2" borderId="10" xfId="2" applyFont="1" applyFill="1" applyBorder="1" applyAlignment="1">
      <alignment horizontal="left"/>
    </xf>
    <xf numFmtId="0" fontId="52" fillId="2" borderId="52" xfId="2" applyFont="1" applyFill="1" applyBorder="1" applyAlignment="1">
      <alignment horizontal="center"/>
    </xf>
    <xf numFmtId="0" fontId="52" fillId="2" borderId="1" xfId="2" applyFont="1" applyFill="1" applyBorder="1" applyAlignment="1">
      <alignment horizontal="center"/>
    </xf>
    <xf numFmtId="0" fontId="52" fillId="2" borderId="4" xfId="2" applyFont="1" applyFill="1" applyBorder="1" applyAlignment="1">
      <alignment horizontal="center"/>
    </xf>
    <xf numFmtId="0" fontId="52" fillId="2" borderId="0" xfId="2" applyFont="1" applyFill="1" applyAlignment="1">
      <alignment horizontal="center"/>
    </xf>
    <xf numFmtId="0" fontId="52" fillId="2" borderId="41" xfId="2" applyFont="1" applyFill="1" applyBorder="1" applyAlignment="1">
      <alignment horizontal="center"/>
    </xf>
    <xf numFmtId="0" fontId="52" fillId="2" borderId="8" xfId="2" applyFont="1" applyFill="1" applyBorder="1" applyAlignment="1">
      <alignment horizontal="center"/>
    </xf>
    <xf numFmtId="0" fontId="53" fillId="2" borderId="2" xfId="2" applyFont="1" applyFill="1" applyBorder="1" applyAlignment="1">
      <alignment horizontal="center"/>
    </xf>
    <xf numFmtId="0" fontId="53" fillId="2" borderId="39" xfId="2" applyFont="1" applyFill="1" applyBorder="1" applyAlignment="1">
      <alignment horizontal="center"/>
    </xf>
    <xf numFmtId="0" fontId="59" fillId="8" borderId="5" xfId="2" applyFont="1" applyFill="1" applyBorder="1" applyAlignment="1">
      <alignment horizontal="center" vertical="center" wrapText="1"/>
    </xf>
    <xf numFmtId="0" fontId="53" fillId="2" borderId="42" xfId="2" applyFont="1" applyFill="1" applyBorder="1" applyAlignment="1">
      <alignment horizontal="right" vertical="top" wrapText="1"/>
    </xf>
    <xf numFmtId="0" fontId="53" fillId="2" borderId="66" xfId="2" applyFont="1" applyFill="1" applyBorder="1" applyAlignment="1">
      <alignment horizontal="right" vertical="top" wrapText="1"/>
    </xf>
    <xf numFmtId="0" fontId="53" fillId="2" borderId="64" xfId="2" applyFont="1" applyFill="1" applyBorder="1" applyAlignment="1">
      <alignment horizontal="right" vertical="top" wrapText="1"/>
    </xf>
    <xf numFmtId="0" fontId="54" fillId="2" borderId="0" xfId="2" applyFont="1" applyFill="1" applyAlignment="1">
      <alignment horizontal="right"/>
    </xf>
    <xf numFmtId="0" fontId="55" fillId="2" borderId="11" xfId="2" applyFont="1" applyFill="1" applyBorder="1" applyAlignment="1">
      <alignment horizontal="center"/>
    </xf>
    <xf numFmtId="0" fontId="54" fillId="2" borderId="0" xfId="2" applyFont="1" applyFill="1"/>
    <xf numFmtId="0" fontId="53" fillId="3" borderId="12" xfId="3" applyFont="1" applyFill="1" applyBorder="1" applyAlignment="1">
      <alignment horizontal="center" vertical="center"/>
    </xf>
    <xf numFmtId="0" fontId="53" fillId="3" borderId="13" xfId="3" applyFont="1" applyFill="1" applyBorder="1" applyAlignment="1">
      <alignment horizontal="center" vertical="center"/>
    </xf>
    <xf numFmtId="0" fontId="53" fillId="3" borderId="12" xfId="3" applyFont="1" applyFill="1" applyBorder="1" applyAlignment="1">
      <alignment horizontal="center" vertical="center" wrapText="1"/>
    </xf>
    <xf numFmtId="0" fontId="53" fillId="3" borderId="13" xfId="3" applyFont="1" applyFill="1" applyBorder="1" applyAlignment="1">
      <alignment horizontal="center" vertical="center" wrapText="1"/>
    </xf>
    <xf numFmtId="0" fontId="53" fillId="3" borderId="2" xfId="3" applyFont="1" applyFill="1" applyBorder="1" applyAlignment="1">
      <alignment horizontal="center" vertical="center"/>
    </xf>
    <xf numFmtId="0" fontId="53" fillId="3" borderId="14" xfId="3" applyFont="1" applyFill="1" applyBorder="1" applyAlignment="1">
      <alignment horizontal="center" vertical="center"/>
    </xf>
    <xf numFmtId="0" fontId="53" fillId="0" borderId="41" xfId="3" applyFont="1" applyBorder="1" applyAlignment="1">
      <alignment horizontal="right"/>
    </xf>
    <xf numFmtId="0" fontId="53" fillId="0" borderId="8" xfId="3" applyFont="1" applyBorder="1" applyAlignment="1">
      <alignment horizontal="right"/>
    </xf>
    <xf numFmtId="0" fontId="53" fillId="0" borderId="46" xfId="3" applyFont="1" applyBorder="1" applyAlignment="1">
      <alignment horizontal="right"/>
    </xf>
    <xf numFmtId="164" fontId="52" fillId="0" borderId="38" xfId="3" applyNumberFormat="1" applyFont="1" applyBorder="1" applyAlignment="1">
      <alignment horizontal="right"/>
    </xf>
    <xf numFmtId="0" fontId="52" fillId="2" borderId="22" xfId="3" applyFont="1" applyFill="1" applyBorder="1" applyAlignment="1">
      <alignment horizontal="center"/>
    </xf>
    <xf numFmtId="0" fontId="52" fillId="2" borderId="23" xfId="3" applyFont="1" applyFill="1" applyBorder="1" applyAlignment="1">
      <alignment horizontal="center"/>
    </xf>
    <xf numFmtId="0" fontId="53" fillId="0" borderId="37" xfId="3" applyFont="1" applyBorder="1" applyAlignment="1">
      <alignment horizontal="right"/>
    </xf>
    <xf numFmtId="0" fontId="53" fillId="0" borderId="9" xfId="3" applyFont="1" applyBorder="1" applyAlignment="1">
      <alignment horizontal="right"/>
    </xf>
    <xf numFmtId="0" fontId="53" fillId="0" borderId="10" xfId="3" applyFont="1" applyBorder="1" applyAlignment="1">
      <alignment horizontal="right"/>
    </xf>
    <xf numFmtId="164" fontId="52" fillId="0" borderId="34" xfId="3" applyNumberFormat="1" applyFont="1" applyBorder="1" applyAlignment="1">
      <alignment horizontal="right" wrapText="1"/>
    </xf>
    <xf numFmtId="164" fontId="52" fillId="0" borderId="10" xfId="3" applyNumberFormat="1" applyFont="1" applyBorder="1" applyAlignment="1">
      <alignment horizontal="right" wrapText="1"/>
    </xf>
    <xf numFmtId="164" fontId="52" fillId="0" borderId="34" xfId="3" applyNumberFormat="1" applyFont="1" applyBorder="1" applyAlignment="1">
      <alignment horizontal="center"/>
    </xf>
    <xf numFmtId="164" fontId="52" fillId="0" borderId="17" xfId="3" applyNumberFormat="1" applyFont="1" applyBorder="1" applyAlignment="1">
      <alignment horizontal="center"/>
    </xf>
    <xf numFmtId="0" fontId="52" fillId="0" borderId="5" xfId="3" applyFont="1" applyBorder="1" applyAlignment="1">
      <alignment horizontal="right"/>
    </xf>
    <xf numFmtId="0" fontId="53" fillId="0" borderId="13" xfId="3" applyFont="1" applyBorder="1" applyAlignment="1">
      <alignment horizontal="right"/>
    </xf>
    <xf numFmtId="0" fontId="53" fillId="0" borderId="24" xfId="3" applyFont="1" applyBorder="1" applyAlignment="1">
      <alignment horizontal="right"/>
    </xf>
    <xf numFmtId="0" fontId="53" fillId="0" borderId="14" xfId="3" applyFont="1" applyBorder="1" applyAlignment="1">
      <alignment horizontal="right"/>
    </xf>
    <xf numFmtId="0" fontId="52" fillId="0" borderId="14" xfId="3" applyFont="1" applyBorder="1" applyAlignment="1">
      <alignment horizontal="right"/>
    </xf>
    <xf numFmtId="0" fontId="53" fillId="3" borderId="19" xfId="3" applyFont="1" applyFill="1" applyBorder="1" applyAlignment="1">
      <alignment horizontal="left"/>
    </xf>
    <xf numFmtId="0" fontId="53" fillId="3" borderId="20" xfId="3" applyFont="1" applyFill="1" applyBorder="1" applyAlignment="1">
      <alignment horizontal="left"/>
    </xf>
    <xf numFmtId="0" fontId="53" fillId="3" borderId="21" xfId="3" applyFont="1" applyFill="1" applyBorder="1" applyAlignment="1">
      <alignment horizontal="left"/>
    </xf>
    <xf numFmtId="0" fontId="2" fillId="2" borderId="68" xfId="2" applyFont="1" applyFill="1" applyBorder="1" applyAlignment="1">
      <alignment horizontal="left"/>
    </xf>
    <xf numFmtId="0" fontId="2" fillId="2" borderId="0" xfId="2" applyFont="1" applyFill="1" applyAlignment="1">
      <alignment horizontal="left"/>
    </xf>
    <xf numFmtId="0" fontId="3" fillId="12" borderId="29" xfId="2" applyFont="1" applyFill="1" applyBorder="1" applyAlignment="1">
      <alignment horizontal="center"/>
    </xf>
    <xf numFmtId="0" fontId="3" fillId="12" borderId="1" xfId="2" applyFont="1" applyFill="1" applyBorder="1" applyAlignment="1">
      <alignment horizontal="center"/>
    </xf>
    <xf numFmtId="14" fontId="2" fillId="2" borderId="67" xfId="2" applyNumberFormat="1" applyFont="1" applyFill="1" applyBorder="1" applyAlignment="1">
      <alignment horizontal="center" vertical="center" wrapText="1"/>
    </xf>
    <xf numFmtId="14" fontId="2" fillId="2" borderId="65" xfId="2" applyNumberFormat="1" applyFont="1" applyFill="1" applyBorder="1" applyAlignment="1">
      <alignment horizontal="center" vertical="center" wrapText="1"/>
    </xf>
    <xf numFmtId="14" fontId="2" fillId="2" borderId="56" xfId="2" applyNumberFormat="1" applyFont="1" applyFill="1" applyBorder="1" applyAlignment="1">
      <alignment horizontal="center" vertical="center" wrapText="1"/>
    </xf>
    <xf numFmtId="0" fontId="2" fillId="2" borderId="63" xfId="2" applyFont="1" applyFill="1" applyBorder="1" applyAlignment="1">
      <alignment horizontal="left"/>
    </xf>
    <xf numFmtId="0" fontId="2" fillId="2" borderId="7" xfId="2" applyFont="1" applyFill="1" applyBorder="1" applyAlignment="1">
      <alignment horizontal="left"/>
    </xf>
    <xf numFmtId="0" fontId="2" fillId="2" borderId="58" xfId="2" applyFont="1" applyFill="1" applyBorder="1" applyAlignment="1">
      <alignment horizontal="left"/>
    </xf>
    <xf numFmtId="0" fontId="2" fillId="2" borderId="34" xfId="2" applyFont="1" applyFill="1" applyBorder="1" applyAlignment="1">
      <alignment horizontal="left"/>
    </xf>
    <xf numFmtId="0" fontId="2" fillId="2" borderId="9" xfId="2" applyFont="1" applyFill="1" applyBorder="1" applyAlignment="1">
      <alignment horizontal="left"/>
    </xf>
    <xf numFmtId="0" fontId="2" fillId="2" borderId="10" xfId="2" applyFont="1" applyFill="1" applyBorder="1" applyAlignment="1">
      <alignment horizontal="left"/>
    </xf>
    <xf numFmtId="0" fontId="2" fillId="2" borderId="52" xfId="2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2" fillId="2" borderId="4" xfId="2" applyFont="1" applyFill="1" applyBorder="1" applyAlignment="1">
      <alignment horizontal="center"/>
    </xf>
    <xf numFmtId="0" fontId="2" fillId="2" borderId="0" xfId="2" applyFont="1" applyFill="1" applyAlignment="1">
      <alignment horizontal="center"/>
    </xf>
    <xf numFmtId="0" fontId="2" fillId="2" borderId="41" xfId="2" applyFont="1" applyFill="1" applyBorder="1" applyAlignment="1">
      <alignment horizontal="center"/>
    </xf>
    <xf numFmtId="0" fontId="2" fillId="2" borderId="8" xfId="2" applyFont="1" applyFill="1" applyBorder="1" applyAlignment="1">
      <alignment horizontal="center"/>
    </xf>
    <xf numFmtId="0" fontId="53" fillId="2" borderId="60" xfId="2" applyFont="1" applyFill="1" applyBorder="1" applyAlignment="1">
      <alignment horizontal="center"/>
    </xf>
    <xf numFmtId="0" fontId="53" fillId="2" borderId="61" xfId="2" applyFont="1" applyFill="1" applyBorder="1" applyAlignment="1">
      <alignment horizontal="center"/>
    </xf>
    <xf numFmtId="0" fontId="53" fillId="2" borderId="24" xfId="2" applyFont="1" applyFill="1" applyBorder="1" applyAlignment="1">
      <alignment horizontal="center"/>
    </xf>
    <xf numFmtId="0" fontId="3" fillId="2" borderId="42" xfId="2" applyFont="1" applyFill="1" applyBorder="1" applyAlignment="1">
      <alignment horizontal="right" vertical="top" wrapText="1"/>
    </xf>
    <xf numFmtId="0" fontId="3" fillId="2" borderId="66" xfId="2" applyFont="1" applyFill="1" applyBorder="1" applyAlignment="1">
      <alignment horizontal="right" vertical="top" wrapText="1"/>
    </xf>
    <xf numFmtId="0" fontId="3" fillId="2" borderId="64" xfId="2" applyFont="1" applyFill="1" applyBorder="1" applyAlignment="1">
      <alignment horizontal="right" vertical="top" wrapText="1"/>
    </xf>
    <xf numFmtId="0" fontId="5" fillId="2" borderId="0" xfId="2" applyFont="1" applyFill="1" applyAlignment="1">
      <alignment horizontal="right"/>
    </xf>
    <xf numFmtId="0" fontId="5" fillId="2" borderId="0" xfId="2" applyFont="1" applyFill="1"/>
    <xf numFmtId="0" fontId="3" fillId="3" borderId="12" xfId="3" applyFont="1" applyFill="1" applyBorder="1" applyAlignment="1">
      <alignment horizontal="center" vertical="center"/>
    </xf>
    <xf numFmtId="0" fontId="3" fillId="3" borderId="13" xfId="3" applyFont="1" applyFill="1" applyBorder="1" applyAlignment="1">
      <alignment horizontal="center" vertical="center"/>
    </xf>
    <xf numFmtId="0" fontId="3" fillId="3" borderId="13" xfId="3" applyFont="1" applyFill="1" applyBorder="1" applyAlignment="1">
      <alignment horizontal="center" vertical="center" wrapText="1"/>
    </xf>
    <xf numFmtId="0" fontId="3" fillId="0" borderId="41" xfId="3" applyFont="1" applyBorder="1" applyAlignment="1">
      <alignment horizontal="right"/>
    </xf>
    <xf numFmtId="0" fontId="3" fillId="0" borderId="8" xfId="3" applyFont="1" applyBorder="1" applyAlignment="1">
      <alignment horizontal="right"/>
    </xf>
    <xf numFmtId="0" fontId="3" fillId="0" borderId="46" xfId="3" applyFont="1" applyBorder="1" applyAlignment="1">
      <alignment horizontal="right"/>
    </xf>
    <xf numFmtId="164" fontId="2" fillId="0" borderId="38" xfId="3" applyNumberFormat="1" applyFont="1" applyBorder="1" applyAlignment="1">
      <alignment horizontal="right"/>
    </xf>
    <xf numFmtId="0" fontId="2" fillId="2" borderId="22" xfId="3" applyFont="1" applyFill="1" applyBorder="1" applyAlignment="1">
      <alignment horizontal="center"/>
    </xf>
    <xf numFmtId="0" fontId="2" fillId="2" borderId="23" xfId="3" applyFont="1" applyFill="1" applyBorder="1" applyAlignment="1">
      <alignment horizontal="center"/>
    </xf>
    <xf numFmtId="0" fontId="3" fillId="0" borderId="37" xfId="3" applyFont="1" applyBorder="1" applyAlignment="1">
      <alignment horizontal="right"/>
    </xf>
    <xf numFmtId="0" fontId="3" fillId="0" borderId="9" xfId="3" applyFont="1" applyBorder="1" applyAlignment="1">
      <alignment horizontal="right"/>
    </xf>
    <xf numFmtId="0" fontId="3" fillId="0" borderId="10" xfId="3" applyFont="1" applyBorder="1" applyAlignment="1">
      <alignment horizontal="right"/>
    </xf>
    <xf numFmtId="0" fontId="2" fillId="0" borderId="5" xfId="3" applyFont="1" applyBorder="1" applyAlignment="1">
      <alignment horizontal="right"/>
    </xf>
    <xf numFmtId="164" fontId="2" fillId="0" borderId="34" xfId="3" applyNumberFormat="1" applyFont="1" applyBorder="1" applyAlignment="1">
      <alignment horizontal="center"/>
    </xf>
    <xf numFmtId="164" fontId="2" fillId="0" borderId="17" xfId="3" applyNumberFormat="1" applyFont="1" applyBorder="1" applyAlignment="1">
      <alignment horizontal="center"/>
    </xf>
    <xf numFmtId="164" fontId="2" fillId="0" borderId="34" xfId="3" applyNumberFormat="1" applyFont="1" applyBorder="1" applyAlignment="1">
      <alignment horizontal="right" wrapText="1"/>
    </xf>
    <xf numFmtId="164" fontId="2" fillId="0" borderId="10" xfId="3" applyNumberFormat="1" applyFont="1" applyBorder="1" applyAlignment="1">
      <alignment horizontal="right" wrapText="1"/>
    </xf>
    <xf numFmtId="164" fontId="2" fillId="0" borderId="34" xfId="0" applyNumberFormat="1" applyFont="1" applyBorder="1" applyAlignment="1">
      <alignment horizontal="center" wrapText="1"/>
    </xf>
    <xf numFmtId="164" fontId="2" fillId="0" borderId="17" xfId="0" applyNumberFormat="1" applyFont="1" applyBorder="1" applyAlignment="1">
      <alignment horizontal="center" wrapText="1"/>
    </xf>
    <xf numFmtId="0" fontId="3" fillId="0" borderId="13" xfId="3" applyFont="1" applyBorder="1" applyAlignment="1">
      <alignment horizontal="right"/>
    </xf>
    <xf numFmtId="0" fontId="3" fillId="0" borderId="24" xfId="3" applyFont="1" applyBorder="1" applyAlignment="1">
      <alignment horizontal="right"/>
    </xf>
    <xf numFmtId="0" fontId="3" fillId="0" borderId="14" xfId="3" applyFont="1" applyBorder="1" applyAlignment="1">
      <alignment horizontal="right"/>
    </xf>
    <xf numFmtId="0" fontId="2" fillId="0" borderId="14" xfId="3" applyFont="1" applyBorder="1" applyAlignment="1">
      <alignment horizontal="right"/>
    </xf>
    <xf numFmtId="0" fontId="3" fillId="3" borderId="19" xfId="3" applyFont="1" applyFill="1" applyBorder="1" applyAlignment="1">
      <alignment horizontal="left"/>
    </xf>
    <xf numFmtId="0" fontId="3" fillId="3" borderId="20" xfId="3" applyFont="1" applyFill="1" applyBorder="1" applyAlignment="1">
      <alignment horizontal="left"/>
    </xf>
    <xf numFmtId="0" fontId="3" fillId="3" borderId="21" xfId="3" applyFont="1" applyFill="1" applyBorder="1" applyAlignment="1">
      <alignment horizontal="left"/>
    </xf>
    <xf numFmtId="0" fontId="9" fillId="0" borderId="52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0" borderId="27" xfId="0" applyFont="1" applyBorder="1" applyAlignment="1">
      <alignment horizontal="left" wrapText="1"/>
    </xf>
    <xf numFmtId="0" fontId="2" fillId="0" borderId="34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63" fillId="0" borderId="5" xfId="3" applyFont="1" applyBorder="1" applyAlignment="1">
      <alignment horizontal="left" wrapText="1"/>
    </xf>
    <xf numFmtId="0" fontId="2" fillId="0" borderId="37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14" fontId="2" fillId="2" borderId="67" xfId="1" applyNumberFormat="1" applyFont="1" applyFill="1" applyBorder="1" applyAlignment="1">
      <alignment horizontal="center" vertical="center" wrapText="1"/>
    </xf>
    <xf numFmtId="14" fontId="2" fillId="2" borderId="65" xfId="1" applyNumberFormat="1" applyFont="1" applyFill="1" applyBorder="1" applyAlignment="1">
      <alignment horizontal="center" vertical="center" wrapText="1"/>
    </xf>
    <xf numFmtId="14" fontId="2" fillId="2" borderId="56" xfId="1" applyNumberFormat="1" applyFont="1" applyFill="1" applyBorder="1" applyAlignment="1">
      <alignment horizontal="center" vertical="center" wrapText="1"/>
    </xf>
    <xf numFmtId="0" fontId="2" fillId="2" borderId="63" xfId="1" applyFont="1" applyFill="1" applyBorder="1" applyAlignment="1">
      <alignment horizontal="left"/>
    </xf>
    <xf numFmtId="0" fontId="2" fillId="2" borderId="7" xfId="1" applyFont="1" applyFill="1" applyBorder="1" applyAlignment="1">
      <alignment horizontal="left"/>
    </xf>
    <xf numFmtId="0" fontId="2" fillId="2" borderId="58" xfId="1" applyFont="1" applyFill="1" applyBorder="1" applyAlignment="1">
      <alignment horizontal="left"/>
    </xf>
    <xf numFmtId="0" fontId="2" fillId="2" borderId="34" xfId="1" applyFont="1" applyFill="1" applyBorder="1" applyAlignment="1">
      <alignment horizontal="left"/>
    </xf>
    <xf numFmtId="0" fontId="2" fillId="2" borderId="9" xfId="1" applyFont="1" applyFill="1" applyBorder="1" applyAlignment="1">
      <alignment horizontal="left"/>
    </xf>
    <xf numFmtId="0" fontId="2" fillId="2" borderId="10" xfId="1" applyFont="1" applyFill="1" applyBorder="1" applyAlignment="1">
      <alignment horizontal="left"/>
    </xf>
    <xf numFmtId="0" fontId="2" fillId="2" borderId="52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41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53" fillId="2" borderId="2" xfId="1" applyFont="1" applyFill="1" applyBorder="1" applyAlignment="1">
      <alignment horizontal="center"/>
    </xf>
    <xf numFmtId="0" fontId="53" fillId="2" borderId="60" xfId="1" applyFont="1" applyFill="1" applyBorder="1" applyAlignment="1">
      <alignment horizontal="center"/>
    </xf>
    <xf numFmtId="0" fontId="53" fillId="2" borderId="61" xfId="1" applyFont="1" applyFill="1" applyBorder="1" applyAlignment="1">
      <alignment horizontal="center"/>
    </xf>
    <xf numFmtId="0" fontId="53" fillId="2" borderId="24" xfId="1" applyFont="1" applyFill="1" applyBorder="1" applyAlignment="1">
      <alignment horizontal="center"/>
    </xf>
    <xf numFmtId="0" fontId="4" fillId="8" borderId="19" xfId="1" applyFont="1" applyFill="1" applyBorder="1" applyAlignment="1">
      <alignment horizontal="center" vertical="center" wrapText="1"/>
    </xf>
    <xf numFmtId="0" fontId="4" fillId="8" borderId="20" xfId="1" applyFont="1" applyFill="1" applyBorder="1" applyAlignment="1">
      <alignment horizontal="center" vertical="center" wrapText="1"/>
    </xf>
    <xf numFmtId="0" fontId="4" fillId="8" borderId="21" xfId="1" applyFont="1" applyFill="1" applyBorder="1" applyAlignment="1">
      <alignment horizontal="center" vertical="center" wrapText="1"/>
    </xf>
    <xf numFmtId="0" fontId="3" fillId="2" borderId="42" xfId="1" applyFont="1" applyFill="1" applyBorder="1" applyAlignment="1">
      <alignment horizontal="right" vertical="top" wrapText="1"/>
    </xf>
    <xf numFmtId="0" fontId="3" fillId="2" borderId="66" xfId="1" applyFont="1" applyFill="1" applyBorder="1" applyAlignment="1">
      <alignment horizontal="right" vertical="top" wrapText="1"/>
    </xf>
    <xf numFmtId="0" fontId="3" fillId="2" borderId="64" xfId="1" applyFont="1" applyFill="1" applyBorder="1" applyAlignment="1">
      <alignment horizontal="right" vertical="top" wrapText="1"/>
    </xf>
    <xf numFmtId="0" fontId="2" fillId="0" borderId="57" xfId="3" applyFont="1" applyBorder="1" applyAlignment="1">
      <alignment horizontal="left"/>
    </xf>
    <xf numFmtId="0" fontId="2" fillId="0" borderId="46" xfId="3" applyFont="1" applyBorder="1" applyAlignment="1">
      <alignment horizontal="left"/>
    </xf>
    <xf numFmtId="0" fontId="2" fillId="0" borderId="38" xfId="3" applyFont="1" applyBorder="1" applyAlignment="1">
      <alignment horizontal="left"/>
    </xf>
    <xf numFmtId="0" fontId="2" fillId="0" borderId="56" xfId="3" applyFont="1" applyBorder="1" applyAlignment="1">
      <alignment horizontal="left"/>
    </xf>
    <xf numFmtId="0" fontId="9" fillId="0" borderId="41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8" fillId="0" borderId="37" xfId="0" applyFont="1" applyBorder="1" applyAlignment="1">
      <alignment horizontal="left" wrapText="1"/>
    </xf>
    <xf numFmtId="0" fontId="8" fillId="0" borderId="9" xfId="0" applyFont="1" applyBorder="1" applyAlignment="1">
      <alignment horizontal="left" wrapText="1"/>
    </xf>
    <xf numFmtId="0" fontId="8" fillId="0" borderId="17" xfId="0" applyFont="1" applyBorder="1" applyAlignment="1">
      <alignment horizontal="left" wrapText="1"/>
    </xf>
    <xf numFmtId="0" fontId="8" fillId="0" borderId="41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23" xfId="0" applyFont="1" applyBorder="1" applyAlignment="1">
      <alignment horizontal="left"/>
    </xf>
    <xf numFmtId="0" fontId="18" fillId="0" borderId="16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8" fillId="0" borderId="5" xfId="0" applyFont="1" applyBorder="1" applyAlignment="1">
      <alignment horizontal="left"/>
    </xf>
    <xf numFmtId="0" fontId="18" fillId="0" borderId="6" xfId="0" applyFont="1" applyBorder="1" applyAlignment="1">
      <alignment horizontal="left"/>
    </xf>
    <xf numFmtId="0" fontId="2" fillId="0" borderId="57" xfId="3" applyFont="1" applyBorder="1" applyAlignment="1">
      <alignment horizontal="left" wrapText="1"/>
    </xf>
    <xf numFmtId="0" fontId="2" fillId="0" borderId="46" xfId="3" applyFont="1" applyBorder="1" applyAlignment="1">
      <alignment horizontal="left" wrapText="1"/>
    </xf>
    <xf numFmtId="0" fontId="2" fillId="0" borderId="38" xfId="3" applyFont="1" applyBorder="1" applyAlignment="1">
      <alignment horizontal="left" wrapText="1"/>
    </xf>
    <xf numFmtId="0" fontId="2" fillId="0" borderId="56" xfId="3" applyFont="1" applyBorder="1" applyAlignment="1">
      <alignment horizontal="left" wrapText="1"/>
    </xf>
    <xf numFmtId="0" fontId="2" fillId="0" borderId="13" xfId="3" applyFont="1" applyBorder="1" applyAlignment="1">
      <alignment horizontal="left"/>
    </xf>
    <xf numFmtId="0" fontId="3" fillId="12" borderId="29" xfId="1" applyFont="1" applyFill="1" applyBorder="1" applyAlignment="1">
      <alignment horizontal="center"/>
    </xf>
    <xf numFmtId="0" fontId="3" fillId="12" borderId="1" xfId="1" applyFont="1" applyFill="1" applyBorder="1" applyAlignment="1">
      <alignment horizontal="center"/>
    </xf>
    <xf numFmtId="0" fontId="2" fillId="2" borderId="68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14" fontId="64" fillId="2" borderId="67" xfId="2" applyNumberFormat="1" applyFont="1" applyFill="1" applyBorder="1" applyAlignment="1">
      <alignment horizontal="center" vertical="center" wrapText="1"/>
    </xf>
    <xf numFmtId="14" fontId="64" fillId="2" borderId="65" xfId="2" applyNumberFormat="1" applyFont="1" applyFill="1" applyBorder="1" applyAlignment="1">
      <alignment horizontal="center" vertical="center" wrapText="1"/>
    </xf>
    <xf numFmtId="14" fontId="64" fillId="2" borderId="56" xfId="2" applyNumberFormat="1" applyFont="1" applyFill="1" applyBorder="1" applyAlignment="1">
      <alignment horizontal="center" vertical="center" wrapText="1"/>
    </xf>
    <xf numFmtId="0" fontId="64" fillId="2" borderId="63" xfId="2" applyFont="1" applyFill="1" applyBorder="1" applyAlignment="1">
      <alignment horizontal="left"/>
    </xf>
    <xf numFmtId="0" fontId="64" fillId="2" borderId="7" xfId="2" applyFont="1" applyFill="1" applyBorder="1" applyAlignment="1">
      <alignment horizontal="left"/>
    </xf>
    <xf numFmtId="0" fontId="64" fillId="2" borderId="58" xfId="2" applyFont="1" applyFill="1" applyBorder="1" applyAlignment="1">
      <alignment horizontal="left"/>
    </xf>
    <xf numFmtId="0" fontId="64" fillId="2" borderId="34" xfId="2" applyFont="1" applyFill="1" applyBorder="1" applyAlignment="1">
      <alignment horizontal="left"/>
    </xf>
    <xf numFmtId="0" fontId="64" fillId="2" borderId="9" xfId="2" applyFont="1" applyFill="1" applyBorder="1" applyAlignment="1">
      <alignment horizontal="left"/>
    </xf>
    <xf numFmtId="0" fontId="64" fillId="2" borderId="10" xfId="2" applyFont="1" applyFill="1" applyBorder="1" applyAlignment="1">
      <alignment horizontal="left"/>
    </xf>
    <xf numFmtId="0" fontId="64" fillId="2" borderId="52" xfId="2" applyFont="1" applyFill="1" applyBorder="1" applyAlignment="1">
      <alignment horizontal="center"/>
    </xf>
    <xf numFmtId="0" fontId="64" fillId="2" borderId="1" xfId="2" applyFont="1" applyFill="1" applyBorder="1" applyAlignment="1">
      <alignment horizontal="center"/>
    </xf>
    <xf numFmtId="0" fontId="64" fillId="2" borderId="4" xfId="2" applyFont="1" applyFill="1" applyBorder="1" applyAlignment="1">
      <alignment horizontal="center"/>
    </xf>
    <xf numFmtId="0" fontId="64" fillId="2" borderId="0" xfId="2" applyFont="1" applyFill="1" applyAlignment="1">
      <alignment horizontal="center"/>
    </xf>
    <xf numFmtId="0" fontId="64" fillId="2" borderId="41" xfId="2" applyFont="1" applyFill="1" applyBorder="1" applyAlignment="1">
      <alignment horizontal="center"/>
    </xf>
    <xf numFmtId="0" fontId="64" fillId="2" borderId="8" xfId="2" applyFont="1" applyFill="1" applyBorder="1" applyAlignment="1">
      <alignment horizontal="center"/>
    </xf>
    <xf numFmtId="0" fontId="4" fillId="2" borderId="2" xfId="2" applyFont="1" applyFill="1" applyBorder="1" applyAlignment="1">
      <alignment horizontal="center"/>
    </xf>
    <xf numFmtId="0" fontId="4" fillId="2" borderId="60" xfId="2" applyFont="1" applyFill="1" applyBorder="1" applyAlignment="1">
      <alignment horizontal="center"/>
    </xf>
    <xf numFmtId="0" fontId="4" fillId="2" borderId="61" xfId="2" applyFont="1" applyFill="1" applyBorder="1" applyAlignment="1">
      <alignment horizontal="center"/>
    </xf>
    <xf numFmtId="0" fontId="4" fillId="2" borderId="24" xfId="2" applyFont="1" applyFill="1" applyBorder="1" applyAlignment="1">
      <alignment horizontal="center"/>
    </xf>
    <xf numFmtId="0" fontId="4" fillId="8" borderId="20" xfId="2" applyFont="1" applyFill="1" applyBorder="1" applyAlignment="1">
      <alignment horizontal="center" vertical="center" wrapText="1"/>
    </xf>
    <xf numFmtId="0" fontId="4" fillId="8" borderId="21" xfId="2" applyFont="1" applyFill="1" applyBorder="1" applyAlignment="1">
      <alignment horizontal="center" vertical="center" wrapText="1"/>
    </xf>
    <xf numFmtId="0" fontId="4" fillId="2" borderId="42" xfId="2" applyFont="1" applyFill="1" applyBorder="1" applyAlignment="1">
      <alignment horizontal="right" vertical="top" wrapText="1"/>
    </xf>
    <xf numFmtId="0" fontId="4" fillId="2" borderId="66" xfId="2" applyFont="1" applyFill="1" applyBorder="1" applyAlignment="1">
      <alignment horizontal="right" vertical="top" wrapText="1"/>
    </xf>
    <xf numFmtId="0" fontId="4" fillId="2" borderId="64" xfId="2" applyFont="1" applyFill="1" applyBorder="1" applyAlignment="1">
      <alignment horizontal="right" vertical="top" wrapText="1"/>
    </xf>
    <xf numFmtId="0" fontId="65" fillId="2" borderId="11" xfId="2" applyFont="1" applyFill="1" applyBorder="1" applyAlignment="1">
      <alignment horizontal="center"/>
    </xf>
    <xf numFmtId="0" fontId="4" fillId="3" borderId="12" xfId="3" applyFont="1" applyFill="1" applyBorder="1" applyAlignment="1">
      <alignment horizontal="center" vertical="center"/>
    </xf>
    <xf numFmtId="0" fontId="4" fillId="3" borderId="13" xfId="3" applyFont="1" applyFill="1" applyBorder="1" applyAlignment="1">
      <alignment horizontal="center" vertical="center"/>
    </xf>
    <xf numFmtId="0" fontId="4" fillId="3" borderId="12" xfId="3" applyFont="1" applyFill="1" applyBorder="1" applyAlignment="1">
      <alignment horizontal="center" vertical="center" wrapText="1"/>
    </xf>
    <xf numFmtId="0" fontId="4" fillId="3" borderId="13" xfId="3" applyFont="1" applyFill="1" applyBorder="1" applyAlignment="1">
      <alignment horizontal="center" vertical="center" wrapText="1"/>
    </xf>
    <xf numFmtId="0" fontId="4" fillId="3" borderId="2" xfId="3" applyFont="1" applyFill="1" applyBorder="1" applyAlignment="1">
      <alignment horizontal="center" vertical="center"/>
    </xf>
    <xf numFmtId="0" fontId="4" fillId="3" borderId="14" xfId="3" applyFont="1" applyFill="1" applyBorder="1" applyAlignment="1">
      <alignment horizontal="center" vertical="center"/>
    </xf>
    <xf numFmtId="0" fontId="4" fillId="0" borderId="41" xfId="3" applyFont="1" applyBorder="1" applyAlignment="1">
      <alignment horizontal="right"/>
    </xf>
    <xf numFmtId="0" fontId="4" fillId="0" borderId="8" xfId="3" applyFont="1" applyBorder="1" applyAlignment="1">
      <alignment horizontal="right"/>
    </xf>
    <xf numFmtId="0" fontId="4" fillId="0" borderId="46" xfId="3" applyFont="1" applyBorder="1" applyAlignment="1">
      <alignment horizontal="right"/>
    </xf>
    <xf numFmtId="164" fontId="64" fillId="0" borderId="38" xfId="3" applyNumberFormat="1" applyFont="1" applyBorder="1" applyAlignment="1">
      <alignment horizontal="right"/>
    </xf>
    <xf numFmtId="0" fontId="64" fillId="2" borderId="22" xfId="3" applyFont="1" applyFill="1" applyBorder="1" applyAlignment="1">
      <alignment horizontal="center"/>
    </xf>
    <xf numFmtId="0" fontId="64" fillId="2" borderId="23" xfId="3" applyFont="1" applyFill="1" applyBorder="1" applyAlignment="1">
      <alignment horizontal="center"/>
    </xf>
    <xf numFmtId="0" fontId="4" fillId="0" borderId="37" xfId="3" applyFont="1" applyBorder="1" applyAlignment="1">
      <alignment horizontal="right"/>
    </xf>
    <xf numFmtId="0" fontId="4" fillId="0" borderId="9" xfId="3" applyFont="1" applyBorder="1" applyAlignment="1">
      <alignment horizontal="right"/>
    </xf>
    <xf numFmtId="0" fontId="4" fillId="0" borderId="10" xfId="3" applyFont="1" applyBorder="1" applyAlignment="1">
      <alignment horizontal="right"/>
    </xf>
    <xf numFmtId="0" fontId="64" fillId="0" borderId="5" xfId="3" applyFont="1" applyBorder="1" applyAlignment="1">
      <alignment horizontal="right"/>
    </xf>
    <xf numFmtId="164" fontId="64" fillId="0" borderId="34" xfId="3" applyNumberFormat="1" applyFont="1" applyBorder="1" applyAlignment="1">
      <alignment horizontal="center"/>
    </xf>
    <xf numFmtId="164" fontId="64" fillId="0" borderId="17" xfId="3" applyNumberFormat="1" applyFont="1" applyBorder="1" applyAlignment="1">
      <alignment horizontal="center"/>
    </xf>
    <xf numFmtId="0" fontId="68" fillId="0" borderId="37" xfId="0" applyFont="1" applyBorder="1" applyAlignment="1">
      <alignment horizontal="left"/>
    </xf>
    <xf numFmtId="0" fontId="68" fillId="0" borderId="9" xfId="0" applyFont="1" applyBorder="1" applyAlignment="1">
      <alignment horizontal="left"/>
    </xf>
    <xf numFmtId="0" fontId="68" fillId="0" borderId="17" xfId="0" applyFont="1" applyBorder="1" applyAlignment="1">
      <alignment horizontal="left"/>
    </xf>
    <xf numFmtId="164" fontId="64" fillId="0" borderId="34" xfId="3" applyNumberFormat="1" applyFont="1" applyBorder="1" applyAlignment="1">
      <alignment horizontal="right" wrapText="1"/>
    </xf>
    <xf numFmtId="164" fontId="64" fillId="0" borderId="10" xfId="3" applyNumberFormat="1" applyFont="1" applyBorder="1" applyAlignment="1">
      <alignment horizontal="right" wrapText="1"/>
    </xf>
    <xf numFmtId="164" fontId="64" fillId="0" borderId="34" xfId="0" applyNumberFormat="1" applyFont="1" applyBorder="1" applyAlignment="1">
      <alignment horizontal="center" wrapText="1"/>
    </xf>
    <xf numFmtId="164" fontId="64" fillId="0" borderId="17" xfId="0" applyNumberFormat="1" applyFont="1" applyBorder="1" applyAlignment="1">
      <alignment horizontal="center" wrapText="1"/>
    </xf>
    <xf numFmtId="0" fontId="4" fillId="0" borderId="13" xfId="3" applyFont="1" applyBorder="1" applyAlignment="1">
      <alignment horizontal="right"/>
    </xf>
    <xf numFmtId="0" fontId="4" fillId="0" borderId="24" xfId="3" applyFont="1" applyBorder="1" applyAlignment="1">
      <alignment horizontal="right"/>
    </xf>
    <xf numFmtId="0" fontId="4" fillId="0" borderId="14" xfId="3" applyFont="1" applyBorder="1" applyAlignment="1">
      <alignment horizontal="right"/>
    </xf>
    <xf numFmtId="0" fontId="64" fillId="0" borderId="14" xfId="3" applyFont="1" applyBorder="1" applyAlignment="1">
      <alignment horizontal="right"/>
    </xf>
    <xf numFmtId="0" fontId="4" fillId="3" borderId="19" xfId="3" applyFont="1" applyFill="1" applyBorder="1" applyAlignment="1">
      <alignment horizontal="left"/>
    </xf>
    <xf numFmtId="0" fontId="4" fillId="3" borderId="20" xfId="3" applyFont="1" applyFill="1" applyBorder="1" applyAlignment="1">
      <alignment horizontal="left"/>
    </xf>
    <xf numFmtId="0" fontId="4" fillId="3" borderId="21" xfId="3" applyFont="1" applyFill="1" applyBorder="1" applyAlignment="1">
      <alignment horizontal="left"/>
    </xf>
    <xf numFmtId="0" fontId="4" fillId="12" borderId="29" xfId="2" applyFont="1" applyFill="1" applyBorder="1" applyAlignment="1">
      <alignment horizontal="center"/>
    </xf>
    <xf numFmtId="0" fontId="4" fillId="12" borderId="1" xfId="2" applyFont="1" applyFill="1" applyBorder="1" applyAlignment="1">
      <alignment horizontal="center"/>
    </xf>
    <xf numFmtId="0" fontId="64" fillId="0" borderId="13" xfId="0" applyFont="1" applyBorder="1" applyAlignment="1">
      <alignment horizontal="left"/>
    </xf>
    <xf numFmtId="0" fontId="64" fillId="0" borderId="24" xfId="0" applyFont="1" applyBorder="1" applyAlignment="1">
      <alignment horizontal="left"/>
    </xf>
    <xf numFmtId="0" fontId="64" fillId="0" borderId="14" xfId="0" applyFont="1" applyBorder="1" applyAlignment="1">
      <alignment horizontal="left"/>
    </xf>
    <xf numFmtId="0" fontId="64" fillId="0" borderId="15" xfId="0" applyFont="1" applyBorder="1" applyAlignment="1">
      <alignment horizontal="left"/>
    </xf>
    <xf numFmtId="0" fontId="64" fillId="0" borderId="37" xfId="0" applyFont="1" applyBorder="1" applyAlignment="1">
      <alignment horizontal="left" vertical="center" wrapText="1"/>
    </xf>
    <xf numFmtId="0" fontId="64" fillId="0" borderId="9" xfId="0" applyFont="1" applyBorder="1" applyAlignment="1">
      <alignment horizontal="left" vertical="center" wrapText="1"/>
    </xf>
    <xf numFmtId="0" fontId="64" fillId="0" borderId="17" xfId="0" applyFont="1" applyBorder="1" applyAlignment="1">
      <alignment horizontal="left" vertical="center" wrapText="1"/>
    </xf>
    <xf numFmtId="0" fontId="64" fillId="0" borderId="57" xfId="0" applyFont="1" applyBorder="1" applyAlignment="1">
      <alignment horizontal="left" wrapText="1"/>
    </xf>
    <xf numFmtId="0" fontId="64" fillId="0" borderId="46" xfId="0" applyFont="1" applyBorder="1" applyAlignment="1">
      <alignment horizontal="left" wrapText="1"/>
    </xf>
    <xf numFmtId="0" fontId="64" fillId="0" borderId="38" xfId="0" applyFont="1" applyBorder="1" applyAlignment="1">
      <alignment horizontal="left" wrapText="1"/>
    </xf>
    <xf numFmtId="0" fontId="64" fillId="0" borderId="56" xfId="0" applyFont="1" applyBorder="1" applyAlignment="1">
      <alignment horizontal="left" wrapText="1"/>
    </xf>
    <xf numFmtId="0" fontId="68" fillId="0" borderId="37" xfId="3" applyFont="1" applyBorder="1" applyAlignment="1">
      <alignment horizontal="left" wrapText="1"/>
    </xf>
    <xf numFmtId="0" fontId="68" fillId="0" borderId="9" xfId="3" applyFont="1" applyBorder="1" applyAlignment="1">
      <alignment horizontal="left" wrapText="1"/>
    </xf>
    <xf numFmtId="0" fontId="68" fillId="0" borderId="17" xfId="3" applyFont="1" applyBorder="1" applyAlignment="1">
      <alignment horizontal="left" wrapText="1"/>
    </xf>
    <xf numFmtId="0" fontId="70" fillId="0" borderId="41" xfId="3" applyFont="1" applyBorder="1" applyAlignment="1">
      <alignment horizontal="left"/>
    </xf>
    <xf numFmtId="0" fontId="70" fillId="0" borderId="8" xfId="3" applyFont="1" applyBorder="1" applyAlignment="1">
      <alignment horizontal="left"/>
    </xf>
    <xf numFmtId="0" fontId="70" fillId="0" borderId="23" xfId="3" applyFont="1" applyBorder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2" fillId="2" borderId="50" xfId="1" applyFont="1" applyFill="1" applyBorder="1" applyAlignment="1">
      <alignment horizontal="center"/>
    </xf>
    <xf numFmtId="0" fontId="2" fillId="2" borderId="51" xfId="1" applyFont="1" applyFill="1" applyBorder="1" applyAlignment="1">
      <alignment horizontal="center"/>
    </xf>
    <xf numFmtId="0" fontId="2" fillId="2" borderId="54" xfId="1" applyFont="1" applyFill="1" applyBorder="1" applyAlignment="1">
      <alignment horizontal="center"/>
    </xf>
    <xf numFmtId="0" fontId="53" fillId="2" borderId="58" xfId="1" applyFont="1" applyFill="1" applyBorder="1" applyAlignment="1">
      <alignment horizontal="center"/>
    </xf>
    <xf numFmtId="0" fontId="53" fillId="2" borderId="42" xfId="1" applyFont="1" applyFill="1" applyBorder="1" applyAlignment="1">
      <alignment horizontal="center"/>
    </xf>
    <xf numFmtId="0" fontId="53" fillId="2" borderId="39" xfId="1" applyFont="1" applyFill="1" applyBorder="1" applyAlignment="1">
      <alignment horizontal="center"/>
    </xf>
    <xf numFmtId="0" fontId="4" fillId="8" borderId="69" xfId="1" applyFont="1" applyFill="1" applyBorder="1" applyAlignment="1">
      <alignment horizontal="center"/>
    </xf>
    <xf numFmtId="0" fontId="4" fillId="8" borderId="48" xfId="1" applyFont="1" applyFill="1" applyBorder="1" applyAlignment="1">
      <alignment horizontal="center"/>
    </xf>
    <xf numFmtId="0" fontId="4" fillId="8" borderId="49" xfId="1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0" borderId="41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46" xfId="0" applyFont="1" applyBorder="1" applyAlignment="1">
      <alignment horizontal="right"/>
    </xf>
    <xf numFmtId="164" fontId="2" fillId="0" borderId="38" xfId="0" applyNumberFormat="1" applyFont="1" applyBorder="1" applyAlignment="1">
      <alignment horizontal="right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3" fillId="0" borderId="9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164" fontId="2" fillId="0" borderId="34" xfId="0" applyNumberFormat="1" applyFont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164" fontId="2" fillId="0" borderId="34" xfId="0" applyNumberFormat="1" applyFont="1" applyBorder="1" applyAlignment="1">
      <alignment horizontal="right" wrapText="1"/>
    </xf>
    <xf numFmtId="164" fontId="2" fillId="0" borderId="10" xfId="0" applyNumberFormat="1" applyFont="1" applyBorder="1" applyAlignment="1">
      <alignment horizontal="right" wrapText="1"/>
    </xf>
    <xf numFmtId="0" fontId="9" fillId="0" borderId="37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3" fillId="3" borderId="19" xfId="0" applyFont="1" applyFill="1" applyBorder="1" applyAlignment="1">
      <alignment horizontal="left"/>
    </xf>
    <xf numFmtId="0" fontId="3" fillId="3" borderId="20" xfId="0" applyFont="1" applyFill="1" applyBorder="1" applyAlignment="1">
      <alignment horizontal="left"/>
    </xf>
    <xf numFmtId="0" fontId="3" fillId="3" borderId="21" xfId="0" applyFont="1" applyFill="1" applyBorder="1" applyAlignment="1">
      <alignment horizontal="left"/>
    </xf>
    <xf numFmtId="0" fontId="3" fillId="0" borderId="24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164" fontId="2" fillId="0" borderId="60" xfId="0" applyNumberFormat="1" applyFont="1" applyBorder="1" applyAlignment="1">
      <alignment horizontal="center"/>
    </xf>
    <xf numFmtId="164" fontId="2" fillId="0" borderId="59" xfId="0" applyNumberFormat="1" applyFont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right" vertical="center" wrapText="1"/>
    </xf>
    <xf numFmtId="0" fontId="41" fillId="0" borderId="5" xfId="0" applyFont="1" applyBorder="1" applyAlignment="1">
      <alignment horizontal="right" vertical="center"/>
    </xf>
    <xf numFmtId="0" fontId="42" fillId="0" borderId="4" xfId="0" applyFont="1" applyBorder="1" applyAlignment="1">
      <alignment horizontal="right"/>
    </xf>
    <xf numFmtId="0" fontId="42" fillId="0" borderId="0" xfId="0" applyFont="1" applyAlignment="1">
      <alignment horizontal="right"/>
    </xf>
    <xf numFmtId="0" fontId="42" fillId="0" borderId="18" xfId="0" applyFont="1" applyBorder="1" applyAlignment="1">
      <alignment horizontal="right"/>
    </xf>
    <xf numFmtId="0" fontId="24" fillId="0" borderId="0" xfId="0" applyFont="1" applyAlignment="1">
      <alignment horizontal="right" vertical="center"/>
    </xf>
    <xf numFmtId="0" fontId="33" fillId="0" borderId="52" xfId="0" applyFont="1" applyBorder="1" applyAlignment="1">
      <alignment horizontal="right"/>
    </xf>
    <xf numFmtId="0" fontId="33" fillId="0" borderId="1" xfId="0" applyFont="1" applyBorder="1" applyAlignment="1">
      <alignment horizontal="right"/>
    </xf>
    <xf numFmtId="0" fontId="22" fillId="0" borderId="5" xfId="0" applyFont="1" applyBorder="1" applyAlignment="1">
      <alignment horizontal="right" vertical="center"/>
    </xf>
    <xf numFmtId="0" fontId="33" fillId="0" borderId="0" xfId="0" applyFont="1" applyAlignment="1">
      <alignment horizontal="right"/>
    </xf>
    <xf numFmtId="0" fontId="32" fillId="0" borderId="0" xfId="0" applyFont="1" applyAlignment="1">
      <alignment horizontal="center" vertical="center"/>
    </xf>
    <xf numFmtId="0" fontId="49" fillId="0" borderId="19" xfId="0" applyFont="1" applyBorder="1" applyAlignment="1">
      <alignment horizontal="right" vertical="center"/>
    </xf>
    <xf numFmtId="0" fontId="49" fillId="0" borderId="20" xfId="0" applyFont="1" applyBorder="1" applyAlignment="1">
      <alignment horizontal="right" vertical="center"/>
    </xf>
    <xf numFmtId="0" fontId="49" fillId="0" borderId="21" xfId="0" applyFont="1" applyBorder="1" applyAlignment="1">
      <alignment horizontal="right" vertical="center"/>
    </xf>
    <xf numFmtId="0" fontId="50" fillId="0" borderId="0" xfId="0" applyFont="1" applyAlignment="1">
      <alignment horizontal="right"/>
    </xf>
    <xf numFmtId="0" fontId="40" fillId="0" borderId="11" xfId="0" applyFont="1" applyBorder="1" applyAlignment="1">
      <alignment horizontal="right"/>
    </xf>
    <xf numFmtId="0" fontId="32" fillId="0" borderId="0" xfId="0" applyFont="1" applyAlignment="1">
      <alignment horizontal="right" vertical="center"/>
    </xf>
    <xf numFmtId="0" fontId="38" fillId="7" borderId="19" xfId="0" applyFont="1" applyFill="1" applyBorder="1" applyAlignment="1">
      <alignment horizontal="right"/>
    </xf>
    <xf numFmtId="0" fontId="38" fillId="7" borderId="20" xfId="0" applyFont="1" applyFill="1" applyBorder="1" applyAlignment="1">
      <alignment horizontal="right"/>
    </xf>
    <xf numFmtId="0" fontId="22" fillId="0" borderId="0" xfId="0" applyFont="1" applyAlignment="1">
      <alignment horizontal="right" vertical="center"/>
    </xf>
    <xf numFmtId="0" fontId="24" fillId="0" borderId="11" xfId="0" applyFont="1" applyBorder="1" applyAlignment="1">
      <alignment horizontal="right" vertical="center"/>
    </xf>
    <xf numFmtId="0" fontId="24" fillId="0" borderId="55" xfId="0" applyFont="1" applyBorder="1" applyAlignment="1">
      <alignment horizontal="right" vertical="center"/>
    </xf>
    <xf numFmtId="0" fontId="24" fillId="10" borderId="19" xfId="0" applyFont="1" applyFill="1" applyBorder="1" applyAlignment="1">
      <alignment horizontal="right" vertical="center"/>
    </xf>
    <xf numFmtId="0" fontId="24" fillId="10" borderId="20" xfId="0" applyFont="1" applyFill="1" applyBorder="1" applyAlignment="1">
      <alignment horizontal="right" vertical="center"/>
    </xf>
    <xf numFmtId="0" fontId="24" fillId="10" borderId="21" xfId="0" applyFont="1" applyFill="1" applyBorder="1" applyAlignment="1">
      <alignment horizontal="right" vertical="center"/>
    </xf>
    <xf numFmtId="4" fontId="47" fillId="0" borderId="0" xfId="72" applyNumberFormat="1" applyFont="1" applyFill="1" applyAlignment="1">
      <alignment horizontal="center" vertical="center" wrapText="1"/>
    </xf>
    <xf numFmtId="0" fontId="3" fillId="5" borderId="26" xfId="3" applyFont="1" applyFill="1" applyBorder="1" applyAlignment="1">
      <alignment horizontal="center" vertical="center"/>
    </xf>
    <xf numFmtId="14" fontId="74" fillId="2" borderId="67" xfId="1" applyNumberFormat="1" applyFont="1" applyFill="1" applyBorder="1" applyAlignment="1">
      <alignment horizontal="center" vertical="center" wrapText="1"/>
    </xf>
    <xf numFmtId="14" fontId="74" fillId="2" borderId="65" xfId="1" applyNumberFormat="1" applyFont="1" applyFill="1" applyBorder="1" applyAlignment="1">
      <alignment horizontal="center" vertical="center" wrapText="1"/>
    </xf>
    <xf numFmtId="14" fontId="74" fillId="2" borderId="56" xfId="1" applyNumberFormat="1" applyFont="1" applyFill="1" applyBorder="1" applyAlignment="1">
      <alignment horizontal="center" vertical="center" wrapText="1"/>
    </xf>
    <xf numFmtId="0" fontId="74" fillId="2" borderId="63" xfId="1" applyFont="1" applyFill="1" applyBorder="1" applyAlignment="1">
      <alignment horizontal="left"/>
    </xf>
    <xf numFmtId="0" fontId="74" fillId="2" borderId="7" xfId="1" applyFont="1" applyFill="1" applyBorder="1" applyAlignment="1">
      <alignment horizontal="left"/>
    </xf>
    <xf numFmtId="0" fontId="74" fillId="2" borderId="58" xfId="1" applyFont="1" applyFill="1" applyBorder="1" applyAlignment="1">
      <alignment horizontal="left"/>
    </xf>
    <xf numFmtId="0" fontId="74" fillId="2" borderId="34" xfId="1" applyFont="1" applyFill="1" applyBorder="1" applyAlignment="1">
      <alignment horizontal="left"/>
    </xf>
    <xf numFmtId="0" fontId="74" fillId="2" borderId="9" xfId="1" applyFont="1" applyFill="1" applyBorder="1" applyAlignment="1">
      <alignment horizontal="left"/>
    </xf>
    <xf numFmtId="0" fontId="74" fillId="2" borderId="10" xfId="1" applyFont="1" applyFill="1" applyBorder="1" applyAlignment="1">
      <alignment horizontal="left"/>
    </xf>
    <xf numFmtId="0" fontId="74" fillId="2" borderId="52" xfId="1" applyFont="1" applyFill="1" applyBorder="1" applyAlignment="1">
      <alignment horizontal="center"/>
    </xf>
    <xf numFmtId="0" fontId="74" fillId="2" borderId="1" xfId="1" applyFont="1" applyFill="1" applyBorder="1" applyAlignment="1">
      <alignment horizontal="center"/>
    </xf>
    <xf numFmtId="0" fontId="74" fillId="2" borderId="4" xfId="1" applyFont="1" applyFill="1" applyBorder="1" applyAlignment="1">
      <alignment horizontal="center"/>
    </xf>
    <xf numFmtId="0" fontId="74" fillId="2" borderId="0" xfId="1" applyFont="1" applyFill="1" applyAlignment="1">
      <alignment horizontal="center"/>
    </xf>
    <xf numFmtId="0" fontId="74" fillId="2" borderId="41" xfId="1" applyFont="1" applyFill="1" applyBorder="1" applyAlignment="1">
      <alignment horizontal="center"/>
    </xf>
    <xf numFmtId="0" fontId="74" fillId="2" borderId="8" xfId="1" applyFont="1" applyFill="1" applyBorder="1" applyAlignment="1">
      <alignment horizontal="center"/>
    </xf>
    <xf numFmtId="0" fontId="75" fillId="2" borderId="2" xfId="1" applyFont="1" applyFill="1" applyBorder="1" applyAlignment="1">
      <alignment horizontal="center"/>
    </xf>
    <xf numFmtId="0" fontId="75" fillId="2" borderId="60" xfId="1" applyFont="1" applyFill="1" applyBorder="1" applyAlignment="1">
      <alignment horizontal="center"/>
    </xf>
    <xf numFmtId="0" fontId="75" fillId="2" borderId="61" xfId="1" applyFont="1" applyFill="1" applyBorder="1" applyAlignment="1">
      <alignment horizontal="center"/>
    </xf>
    <xf numFmtId="0" fontId="75" fillId="2" borderId="24" xfId="1" applyFont="1" applyFill="1" applyBorder="1" applyAlignment="1">
      <alignment horizontal="center"/>
    </xf>
    <xf numFmtId="0" fontId="75" fillId="8" borderId="19" xfId="1" applyFont="1" applyFill="1" applyBorder="1" applyAlignment="1">
      <alignment horizontal="center" vertical="center" wrapText="1"/>
    </xf>
    <xf numFmtId="0" fontId="75" fillId="8" borderId="20" xfId="1" applyFont="1" applyFill="1" applyBorder="1" applyAlignment="1">
      <alignment horizontal="center" vertical="center" wrapText="1"/>
    </xf>
    <xf numFmtId="0" fontId="75" fillId="8" borderId="21" xfId="1" applyFont="1" applyFill="1" applyBorder="1" applyAlignment="1">
      <alignment horizontal="center" vertical="center" wrapText="1"/>
    </xf>
    <xf numFmtId="0" fontId="75" fillId="2" borderId="42" xfId="1" applyFont="1" applyFill="1" applyBorder="1" applyAlignment="1">
      <alignment horizontal="right" vertical="top" wrapText="1"/>
    </xf>
    <xf numFmtId="0" fontId="75" fillId="2" borderId="66" xfId="1" applyFont="1" applyFill="1" applyBorder="1" applyAlignment="1">
      <alignment horizontal="right" vertical="top" wrapText="1"/>
    </xf>
    <xf numFmtId="0" fontId="75" fillId="2" borderId="64" xfId="1" applyFont="1" applyFill="1" applyBorder="1" applyAlignment="1">
      <alignment horizontal="right" vertical="top" wrapText="1"/>
    </xf>
    <xf numFmtId="0" fontId="76" fillId="2" borderId="0" xfId="2" applyFont="1" applyFill="1" applyAlignment="1">
      <alignment horizontal="right"/>
    </xf>
    <xf numFmtId="0" fontId="77" fillId="2" borderId="11" xfId="2" applyFont="1" applyFill="1" applyBorder="1" applyAlignment="1">
      <alignment horizontal="center"/>
    </xf>
    <xf numFmtId="0" fontId="76" fillId="2" borderId="0" xfId="2" applyFont="1" applyFill="1"/>
    <xf numFmtId="0" fontId="75" fillId="3" borderId="12" xfId="3" applyFont="1" applyFill="1" applyBorder="1" applyAlignment="1">
      <alignment horizontal="center" vertical="center"/>
    </xf>
    <xf numFmtId="0" fontId="75" fillId="3" borderId="13" xfId="3" applyFont="1" applyFill="1" applyBorder="1" applyAlignment="1">
      <alignment horizontal="center" vertical="center"/>
    </xf>
    <xf numFmtId="0" fontId="75" fillId="3" borderId="12" xfId="3" applyFont="1" applyFill="1" applyBorder="1" applyAlignment="1">
      <alignment horizontal="center" vertical="center" wrapText="1"/>
    </xf>
    <xf numFmtId="0" fontId="75" fillId="3" borderId="13" xfId="3" applyFont="1" applyFill="1" applyBorder="1" applyAlignment="1">
      <alignment horizontal="center" vertical="center" wrapText="1"/>
    </xf>
    <xf numFmtId="0" fontId="75" fillId="3" borderId="2" xfId="3" applyFont="1" applyFill="1" applyBorder="1" applyAlignment="1">
      <alignment horizontal="center" vertical="center"/>
    </xf>
    <xf numFmtId="0" fontId="75" fillId="3" borderId="14" xfId="3" applyFont="1" applyFill="1" applyBorder="1" applyAlignment="1">
      <alignment horizontal="center" vertical="center"/>
    </xf>
    <xf numFmtId="0" fontId="75" fillId="0" borderId="41" xfId="3" applyFont="1" applyBorder="1" applyAlignment="1">
      <alignment horizontal="right"/>
    </xf>
    <xf numFmtId="0" fontId="75" fillId="0" borderId="8" xfId="3" applyFont="1" applyBorder="1" applyAlignment="1">
      <alignment horizontal="right"/>
    </xf>
    <xf numFmtId="0" fontId="75" fillId="0" borderId="46" xfId="3" applyFont="1" applyBorder="1" applyAlignment="1">
      <alignment horizontal="right"/>
    </xf>
    <xf numFmtId="164" fontId="74" fillId="0" borderId="38" xfId="3" applyNumberFormat="1" applyFont="1" applyBorder="1" applyAlignment="1">
      <alignment horizontal="right"/>
    </xf>
    <xf numFmtId="0" fontId="74" fillId="2" borderId="22" xfId="3" applyFont="1" applyFill="1" applyBorder="1" applyAlignment="1">
      <alignment horizontal="center"/>
    </xf>
    <xf numFmtId="0" fontId="74" fillId="2" borderId="23" xfId="3" applyFont="1" applyFill="1" applyBorder="1" applyAlignment="1">
      <alignment horizontal="center"/>
    </xf>
    <xf numFmtId="0" fontId="75" fillId="0" borderId="37" xfId="3" applyFont="1" applyBorder="1" applyAlignment="1">
      <alignment horizontal="right"/>
    </xf>
    <xf numFmtId="0" fontId="75" fillId="0" borderId="9" xfId="3" applyFont="1" applyBorder="1" applyAlignment="1">
      <alignment horizontal="right"/>
    </xf>
    <xf numFmtId="0" fontId="75" fillId="0" borderId="10" xfId="3" applyFont="1" applyBorder="1" applyAlignment="1">
      <alignment horizontal="right"/>
    </xf>
    <xf numFmtId="0" fontId="74" fillId="0" borderId="5" xfId="3" applyFont="1" applyBorder="1" applyAlignment="1">
      <alignment horizontal="right"/>
    </xf>
    <xf numFmtId="164" fontId="74" fillId="0" borderId="34" xfId="3" applyNumberFormat="1" applyFont="1" applyBorder="1" applyAlignment="1">
      <alignment horizontal="center"/>
    </xf>
    <xf numFmtId="164" fontId="74" fillId="0" borderId="17" xfId="3" applyNumberFormat="1" applyFont="1" applyBorder="1" applyAlignment="1">
      <alignment horizontal="center"/>
    </xf>
    <xf numFmtId="0" fontId="80" fillId="0" borderId="5" xfId="0" applyFont="1" applyBorder="1" applyAlignment="1">
      <alignment horizontal="left" wrapText="1"/>
    </xf>
    <xf numFmtId="164" fontId="74" fillId="0" borderId="34" xfId="3" applyNumberFormat="1" applyFont="1" applyBorder="1" applyAlignment="1">
      <alignment horizontal="right" wrapText="1"/>
    </xf>
    <xf numFmtId="164" fontId="74" fillId="0" borderId="10" xfId="3" applyNumberFormat="1" applyFont="1" applyBorder="1" applyAlignment="1">
      <alignment horizontal="right" wrapText="1"/>
    </xf>
    <xf numFmtId="164" fontId="74" fillId="0" borderId="34" xfId="0" applyNumberFormat="1" applyFont="1" applyBorder="1" applyAlignment="1">
      <alignment horizontal="center" wrapText="1"/>
    </xf>
    <xf numFmtId="164" fontId="74" fillId="0" borderId="17" xfId="0" applyNumberFormat="1" applyFont="1" applyBorder="1" applyAlignment="1">
      <alignment horizontal="center" wrapText="1"/>
    </xf>
    <xf numFmtId="0" fontId="75" fillId="0" borderId="13" xfId="3" applyFont="1" applyBorder="1" applyAlignment="1">
      <alignment horizontal="right"/>
    </xf>
    <xf numFmtId="0" fontId="75" fillId="0" borderId="24" xfId="3" applyFont="1" applyBorder="1" applyAlignment="1">
      <alignment horizontal="right"/>
    </xf>
    <xf numFmtId="0" fontId="75" fillId="0" borderId="14" xfId="3" applyFont="1" applyBorder="1" applyAlignment="1">
      <alignment horizontal="right"/>
    </xf>
    <xf numFmtId="0" fontId="74" fillId="0" borderId="14" xfId="3" applyFont="1" applyBorder="1" applyAlignment="1">
      <alignment horizontal="right"/>
    </xf>
    <xf numFmtId="0" fontId="75" fillId="3" borderId="19" xfId="3" applyFont="1" applyFill="1" applyBorder="1" applyAlignment="1">
      <alignment horizontal="left"/>
    </xf>
    <xf numFmtId="0" fontId="75" fillId="3" borderId="20" xfId="3" applyFont="1" applyFill="1" applyBorder="1" applyAlignment="1">
      <alignment horizontal="left"/>
    </xf>
    <xf numFmtId="0" fontId="75" fillId="3" borderId="21" xfId="3" applyFont="1" applyFill="1" applyBorder="1" applyAlignment="1">
      <alignment horizontal="left"/>
    </xf>
    <xf numFmtId="0" fontId="80" fillId="0" borderId="5" xfId="0" applyFont="1" applyBorder="1" applyAlignment="1">
      <alignment horizontal="left"/>
    </xf>
    <xf numFmtId="0" fontId="75" fillId="12" borderId="29" xfId="1" applyFont="1" applyFill="1" applyBorder="1" applyAlignment="1">
      <alignment horizontal="center"/>
    </xf>
    <xf numFmtId="0" fontId="75" fillId="12" borderId="1" xfId="1" applyFont="1" applyFill="1" applyBorder="1" applyAlignment="1">
      <alignment horizontal="center"/>
    </xf>
    <xf numFmtId="0" fontId="74" fillId="2" borderId="68" xfId="1" applyFont="1" applyFill="1" applyBorder="1" applyAlignment="1">
      <alignment horizontal="left"/>
    </xf>
    <xf numFmtId="0" fontId="74" fillId="2" borderId="0" xfId="1" applyFont="1" applyFill="1" applyAlignment="1">
      <alignment horizontal="left"/>
    </xf>
    <xf numFmtId="0" fontId="75" fillId="0" borderId="41" xfId="3" applyFont="1" applyBorder="1" applyAlignment="1">
      <alignment horizontal="left" wrapText="1"/>
    </xf>
    <xf numFmtId="0" fontId="75" fillId="0" borderId="8" xfId="3" applyFont="1" applyBorder="1" applyAlignment="1">
      <alignment horizontal="left" wrapText="1"/>
    </xf>
    <xf numFmtId="0" fontId="75" fillId="0" borderId="23" xfId="3" applyFont="1" applyBorder="1" applyAlignment="1">
      <alignment horizontal="left" wrapText="1"/>
    </xf>
    <xf numFmtId="0" fontId="78" fillId="0" borderId="37" xfId="0" applyFont="1" applyBorder="1" applyAlignment="1">
      <alignment horizontal="left"/>
    </xf>
    <xf numFmtId="0" fontId="78" fillId="0" borderId="9" xfId="0" applyFont="1" applyBorder="1" applyAlignment="1">
      <alignment horizontal="left"/>
    </xf>
    <xf numFmtId="0" fontId="78" fillId="0" borderId="17" xfId="0" applyFont="1" applyBorder="1" applyAlignment="1">
      <alignment horizontal="left"/>
    </xf>
    <xf numFmtId="14" fontId="52" fillId="2" borderId="67" xfId="1" applyNumberFormat="1" applyFont="1" applyFill="1" applyBorder="1" applyAlignment="1">
      <alignment horizontal="center" vertical="center" wrapText="1"/>
    </xf>
    <xf numFmtId="14" fontId="52" fillId="2" borderId="65" xfId="1" applyNumberFormat="1" applyFont="1" applyFill="1" applyBorder="1" applyAlignment="1">
      <alignment horizontal="center" vertical="center" wrapText="1"/>
    </xf>
    <xf numFmtId="14" fontId="52" fillId="2" borderId="56" xfId="1" applyNumberFormat="1" applyFont="1" applyFill="1" applyBorder="1" applyAlignment="1">
      <alignment horizontal="center" vertical="center" wrapText="1"/>
    </xf>
    <xf numFmtId="0" fontId="52" fillId="2" borderId="63" xfId="1" applyFont="1" applyFill="1" applyBorder="1" applyAlignment="1">
      <alignment horizontal="left"/>
    </xf>
    <xf numFmtId="0" fontId="52" fillId="2" borderId="7" xfId="1" applyFont="1" applyFill="1" applyBorder="1" applyAlignment="1">
      <alignment horizontal="left"/>
    </xf>
    <xf numFmtId="0" fontId="52" fillId="2" borderId="58" xfId="1" applyFont="1" applyFill="1" applyBorder="1" applyAlignment="1">
      <alignment horizontal="left"/>
    </xf>
    <xf numFmtId="0" fontId="52" fillId="2" borderId="34" xfId="1" applyFont="1" applyFill="1" applyBorder="1" applyAlignment="1">
      <alignment horizontal="left"/>
    </xf>
    <xf numFmtId="0" fontId="52" fillId="2" borderId="9" xfId="1" applyFont="1" applyFill="1" applyBorder="1" applyAlignment="1">
      <alignment horizontal="left"/>
    </xf>
    <xf numFmtId="0" fontId="52" fillId="2" borderId="10" xfId="1" applyFont="1" applyFill="1" applyBorder="1" applyAlignment="1">
      <alignment horizontal="left"/>
    </xf>
    <xf numFmtId="0" fontId="52" fillId="2" borderId="52" xfId="1" applyFont="1" applyFill="1" applyBorder="1" applyAlignment="1">
      <alignment horizontal="center"/>
    </xf>
    <xf numFmtId="0" fontId="52" fillId="2" borderId="1" xfId="1" applyFont="1" applyFill="1" applyBorder="1" applyAlignment="1">
      <alignment horizontal="center"/>
    </xf>
    <xf numFmtId="0" fontId="52" fillId="2" borderId="4" xfId="1" applyFont="1" applyFill="1" applyBorder="1" applyAlignment="1">
      <alignment horizontal="center"/>
    </xf>
    <xf numFmtId="0" fontId="52" fillId="2" borderId="0" xfId="1" applyFont="1" applyFill="1" applyAlignment="1">
      <alignment horizontal="center"/>
    </xf>
    <xf numFmtId="0" fontId="52" fillId="2" borderId="41" xfId="1" applyFont="1" applyFill="1" applyBorder="1" applyAlignment="1">
      <alignment horizontal="center"/>
    </xf>
    <xf numFmtId="0" fontId="52" fillId="2" borderId="8" xfId="1" applyFont="1" applyFill="1" applyBorder="1" applyAlignment="1">
      <alignment horizontal="center"/>
    </xf>
    <xf numFmtId="0" fontId="53" fillId="8" borderId="19" xfId="1" applyFont="1" applyFill="1" applyBorder="1" applyAlignment="1">
      <alignment horizontal="center" vertical="center" wrapText="1"/>
    </xf>
    <xf numFmtId="0" fontId="53" fillId="8" borderId="20" xfId="1" applyFont="1" applyFill="1" applyBorder="1" applyAlignment="1">
      <alignment horizontal="center" vertical="center" wrapText="1"/>
    </xf>
    <xf numFmtId="0" fontId="53" fillId="8" borderId="21" xfId="1" applyFont="1" applyFill="1" applyBorder="1" applyAlignment="1">
      <alignment horizontal="center" vertical="center" wrapText="1"/>
    </xf>
    <xf numFmtId="0" fontId="53" fillId="2" borderId="42" xfId="1" applyFont="1" applyFill="1" applyBorder="1" applyAlignment="1">
      <alignment horizontal="right" vertical="top" wrapText="1"/>
    </xf>
    <xf numFmtId="0" fontId="53" fillId="2" borderId="66" xfId="1" applyFont="1" applyFill="1" applyBorder="1" applyAlignment="1">
      <alignment horizontal="right" vertical="top" wrapText="1"/>
    </xf>
    <xf numFmtId="0" fontId="53" fillId="2" borderId="64" xfId="1" applyFont="1" applyFill="1" applyBorder="1" applyAlignment="1">
      <alignment horizontal="right" vertical="top" wrapText="1"/>
    </xf>
    <xf numFmtId="0" fontId="18" fillId="0" borderId="41" xfId="0" applyFont="1" applyBorder="1" applyAlignment="1">
      <alignment horizontal="left"/>
    </xf>
    <xf numFmtId="0" fontId="18" fillId="0" borderId="8" xfId="0" applyFont="1" applyBorder="1" applyAlignment="1">
      <alignment horizontal="left"/>
    </xf>
    <xf numFmtId="0" fontId="18" fillId="0" borderId="23" xfId="0" applyFont="1" applyBorder="1" applyAlignment="1">
      <alignment horizontal="left"/>
    </xf>
    <xf numFmtId="164" fontId="52" fillId="0" borderId="34" xfId="0" applyNumberFormat="1" applyFont="1" applyBorder="1" applyAlignment="1">
      <alignment horizontal="center" wrapText="1"/>
    </xf>
    <xf numFmtId="164" fontId="52" fillId="0" borderId="17" xfId="0" applyNumberFormat="1" applyFont="1" applyBorder="1" applyAlignment="1">
      <alignment horizontal="center" wrapText="1"/>
    </xf>
    <xf numFmtId="0" fontId="56" fillId="0" borderId="37" xfId="0" applyFont="1" applyBorder="1" applyAlignment="1">
      <alignment horizontal="left"/>
    </xf>
    <xf numFmtId="0" fontId="56" fillId="0" borderId="9" xfId="0" applyFont="1" applyBorder="1" applyAlignment="1">
      <alignment horizontal="left"/>
    </xf>
    <xf numFmtId="0" fontId="56" fillId="0" borderId="17" xfId="0" applyFont="1" applyBorder="1" applyAlignment="1">
      <alignment horizontal="left"/>
    </xf>
    <xf numFmtId="0" fontId="53" fillId="12" borderId="29" xfId="1" applyFont="1" applyFill="1" applyBorder="1" applyAlignment="1">
      <alignment horizontal="center"/>
    </xf>
    <xf numFmtId="0" fontId="53" fillId="12" borderId="1" xfId="1" applyFont="1" applyFill="1" applyBorder="1" applyAlignment="1">
      <alignment horizontal="center"/>
    </xf>
    <xf numFmtId="0" fontId="52" fillId="2" borderId="68" xfId="1" applyFont="1" applyFill="1" applyBorder="1" applyAlignment="1">
      <alignment horizontal="left"/>
    </xf>
    <xf numFmtId="0" fontId="52" fillId="2" borderId="0" xfId="1" applyFont="1" applyFill="1" applyAlignment="1">
      <alignment horizontal="left"/>
    </xf>
    <xf numFmtId="0" fontId="52" fillId="0" borderId="16" xfId="0" applyFont="1" applyBorder="1" applyAlignment="1">
      <alignment horizontal="left"/>
    </xf>
    <xf numFmtId="0" fontId="52" fillId="0" borderId="10" xfId="0" applyFont="1" applyBorder="1" applyAlignment="1">
      <alignment horizontal="left"/>
    </xf>
    <xf numFmtId="0" fontId="52" fillId="0" borderId="5" xfId="0" applyFont="1" applyBorder="1" applyAlignment="1">
      <alignment horizontal="left"/>
    </xf>
    <xf numFmtId="0" fontId="52" fillId="0" borderId="6" xfId="0" applyFont="1" applyBorder="1" applyAlignment="1">
      <alignment horizontal="left"/>
    </xf>
    <xf numFmtId="0" fontId="52" fillId="0" borderId="37" xfId="0" applyFont="1" applyBorder="1" applyAlignment="1">
      <alignment horizontal="left" wrapText="1"/>
    </xf>
    <xf numFmtId="0" fontId="52" fillId="0" borderId="9" xfId="0" applyFont="1" applyBorder="1" applyAlignment="1">
      <alignment horizontal="left" wrapText="1"/>
    </xf>
    <xf numFmtId="0" fontId="52" fillId="0" borderId="10" xfId="0" applyFont="1" applyBorder="1" applyAlignment="1">
      <alignment horizontal="left" wrapText="1"/>
    </xf>
    <xf numFmtId="0" fontId="52" fillId="0" borderId="62" xfId="0" applyFont="1" applyBorder="1" applyAlignment="1">
      <alignment horizontal="left"/>
    </xf>
    <xf numFmtId="0" fontId="52" fillId="0" borderId="61" xfId="0" applyFont="1" applyBorder="1" applyAlignment="1">
      <alignment horizontal="left"/>
    </xf>
    <xf numFmtId="0" fontId="52" fillId="0" borderId="59" xfId="0" applyFont="1" applyBorder="1" applyAlignment="1">
      <alignment horizontal="left"/>
    </xf>
    <xf numFmtId="0" fontId="74" fillId="0" borderId="57" xfId="3" applyFont="1" applyBorder="1" applyAlignment="1">
      <alignment horizontal="left"/>
    </xf>
    <xf numFmtId="0" fontId="74" fillId="0" borderId="46" xfId="3" applyFont="1" applyBorder="1" applyAlignment="1">
      <alignment horizontal="left"/>
    </xf>
    <xf numFmtId="0" fontId="74" fillId="0" borderId="38" xfId="3" applyFont="1" applyBorder="1" applyAlignment="1">
      <alignment horizontal="left"/>
    </xf>
    <xf numFmtId="0" fontId="74" fillId="0" borderId="56" xfId="3" applyFont="1" applyBorder="1" applyAlignment="1">
      <alignment horizontal="left"/>
    </xf>
    <xf numFmtId="0" fontId="75" fillId="0" borderId="57" xfId="3" applyFont="1" applyBorder="1" applyAlignment="1">
      <alignment horizontal="center"/>
    </xf>
    <xf numFmtId="0" fontId="75" fillId="0" borderId="46" xfId="3" applyFont="1" applyBorder="1" applyAlignment="1">
      <alignment horizontal="center"/>
    </xf>
    <xf numFmtId="0" fontId="75" fillId="0" borderId="38" xfId="3" applyFont="1" applyBorder="1" applyAlignment="1">
      <alignment horizontal="center"/>
    </xf>
    <xf numFmtId="0" fontId="75" fillId="0" borderId="56" xfId="3" applyFont="1" applyBorder="1" applyAlignment="1">
      <alignment horizontal="center"/>
    </xf>
    <xf numFmtId="0" fontId="74" fillId="0" borderId="40" xfId="3" applyFont="1" applyBorder="1" applyAlignment="1">
      <alignment horizontal="left" wrapText="1"/>
    </xf>
    <xf numFmtId="0" fontId="74" fillId="0" borderId="42" xfId="3" applyFont="1" applyBorder="1" applyAlignment="1">
      <alignment horizontal="left" wrapText="1"/>
    </xf>
    <xf numFmtId="0" fontId="74" fillId="0" borderId="39" xfId="3" applyFont="1" applyBorder="1" applyAlignment="1">
      <alignment horizontal="left" wrapText="1"/>
    </xf>
    <xf numFmtId="0" fontId="74" fillId="0" borderId="67" xfId="3" applyFont="1" applyBorder="1" applyAlignment="1">
      <alignment horizontal="left" wrapText="1"/>
    </xf>
    <xf numFmtId="0" fontId="74" fillId="0" borderId="16" xfId="0" applyFont="1" applyBorder="1" applyAlignment="1">
      <alignment horizontal="left"/>
    </xf>
    <xf numFmtId="0" fontId="74" fillId="0" borderId="10" xfId="0" applyFont="1" applyBorder="1" applyAlignment="1">
      <alignment horizontal="left"/>
    </xf>
    <xf numFmtId="0" fontId="74" fillId="0" borderId="5" xfId="0" applyFont="1" applyBorder="1" applyAlignment="1">
      <alignment horizontal="left"/>
    </xf>
    <xf numFmtId="0" fontId="74" fillId="0" borderId="6" xfId="0" applyFont="1" applyBorder="1" applyAlignment="1">
      <alignment horizontal="left"/>
    </xf>
    <xf numFmtId="0" fontId="74" fillId="0" borderId="37" xfId="0" applyFont="1" applyBorder="1" applyAlignment="1">
      <alignment horizontal="left" wrapText="1"/>
    </xf>
    <xf numFmtId="0" fontId="74" fillId="0" borderId="9" xfId="0" applyFont="1" applyBorder="1" applyAlignment="1">
      <alignment horizontal="left" wrapText="1"/>
    </xf>
    <xf numFmtId="0" fontId="74" fillId="0" borderId="10" xfId="0" applyFont="1" applyBorder="1" applyAlignment="1">
      <alignment horizontal="left" wrapText="1"/>
    </xf>
    <xf numFmtId="0" fontId="74" fillId="0" borderId="62" xfId="0" applyFont="1" applyBorder="1" applyAlignment="1">
      <alignment horizontal="left"/>
    </xf>
    <xf numFmtId="0" fontId="74" fillId="0" borderId="61" xfId="0" applyFont="1" applyBorder="1" applyAlignment="1">
      <alignment horizontal="left"/>
    </xf>
    <xf numFmtId="0" fontId="74" fillId="0" borderId="59" xfId="0" applyFont="1" applyBorder="1" applyAlignment="1">
      <alignment horizontal="left"/>
    </xf>
    <xf numFmtId="0" fontId="91" fillId="0" borderId="16" xfId="3" applyFont="1" applyBorder="1" applyAlignment="1">
      <alignment horizontal="center" vertical="center"/>
    </xf>
    <xf numFmtId="0" fontId="91" fillId="0" borderId="10" xfId="3" applyFont="1" applyBorder="1" applyAlignment="1">
      <alignment horizontal="center" vertical="center"/>
    </xf>
    <xf numFmtId="0" fontId="92" fillId="0" borderId="5" xfId="3" applyFont="1" applyBorder="1" applyAlignment="1">
      <alignment vertical="center"/>
    </xf>
    <xf numFmtId="0" fontId="91" fillId="0" borderId="5" xfId="3" applyFont="1" applyBorder="1" applyAlignment="1">
      <alignment horizontal="center" vertical="center"/>
    </xf>
    <xf numFmtId="1" fontId="91" fillId="0" borderId="5" xfId="3" applyNumberFormat="1" applyFont="1" applyBorder="1" applyAlignment="1">
      <alignment horizontal="center"/>
    </xf>
    <xf numFmtId="1" fontId="91" fillId="0" borderId="5" xfId="3" applyNumberFormat="1" applyFont="1" applyBorder="1" applyAlignment="1">
      <alignment horizontal="center" wrapText="1"/>
    </xf>
    <xf numFmtId="0" fontId="93" fillId="0" borderId="6" xfId="3" applyFont="1" applyBorder="1" applyAlignment="1">
      <alignment horizontal="center"/>
    </xf>
    <xf numFmtId="0" fontId="94" fillId="0" borderId="5" xfId="0" applyFont="1" applyBorder="1"/>
    <xf numFmtId="0" fontId="94" fillId="0" borderId="5" xfId="0" applyFont="1" applyBorder="1" applyAlignment="1">
      <alignment horizontal="center"/>
    </xf>
    <xf numFmtId="49" fontId="93" fillId="4" borderId="10" xfId="0" applyNumberFormat="1" applyFont="1" applyFill="1" applyBorder="1" applyAlignment="1">
      <alignment horizontal="left" wrapText="1"/>
    </xf>
    <xf numFmtId="0" fontId="93" fillId="0" borderId="5" xfId="0" applyFont="1" applyBorder="1" applyAlignment="1">
      <alignment horizontal="center" vertical="center"/>
    </xf>
    <xf numFmtId="0" fontId="93" fillId="0" borderId="5" xfId="0" applyFont="1" applyBorder="1" applyAlignment="1">
      <alignment horizontal="center"/>
    </xf>
    <xf numFmtId="1" fontId="93" fillId="0" borderId="5" xfId="3" applyNumberFormat="1" applyFont="1" applyBorder="1" applyAlignment="1">
      <alignment horizontal="center" wrapText="1"/>
    </xf>
    <xf numFmtId="0" fontId="94" fillId="0" borderId="10" xfId="0" applyFont="1" applyBorder="1"/>
    <xf numFmtId="0" fontId="93" fillId="0" borderId="38" xfId="0" applyFont="1" applyBorder="1" applyAlignment="1">
      <alignment horizontal="center"/>
    </xf>
    <xf numFmtId="0" fontId="94" fillId="0" borderId="0" xfId="0" applyFont="1"/>
    <xf numFmtId="1" fontId="93" fillId="0" borderId="5" xfId="0" applyNumberFormat="1" applyFont="1" applyBorder="1" applyAlignment="1">
      <alignment horizontal="center"/>
    </xf>
    <xf numFmtId="0" fontId="94" fillId="0" borderId="34" xfId="0" applyFont="1" applyBorder="1"/>
    <xf numFmtId="49" fontId="93" fillId="4" borderId="5" xfId="0" applyNumberFormat="1" applyFont="1" applyFill="1" applyBorder="1"/>
    <xf numFmtId="1" fontId="93" fillId="4" borderId="5" xfId="0" applyNumberFormat="1" applyFont="1" applyFill="1" applyBorder="1" applyAlignment="1">
      <alignment horizontal="center" vertical="center" wrapText="1"/>
    </xf>
    <xf numFmtId="0" fontId="93" fillId="4" borderId="5" xfId="0" applyFont="1" applyFill="1" applyBorder="1" applyAlignment="1">
      <alignment horizontal="center"/>
    </xf>
    <xf numFmtId="1" fontId="93" fillId="0" borderId="5" xfId="0" applyNumberFormat="1" applyFont="1" applyBorder="1" applyAlignment="1">
      <alignment horizontal="center" wrapText="1"/>
    </xf>
    <xf numFmtId="49" fontId="93" fillId="4" borderId="5" xfId="0" applyNumberFormat="1" applyFont="1" applyFill="1" applyBorder="1" applyAlignment="1">
      <alignment horizontal="center"/>
    </xf>
    <xf numFmtId="49" fontId="93" fillId="4" borderId="34" xfId="0" applyNumberFormat="1" applyFont="1" applyFill="1" applyBorder="1" applyAlignment="1">
      <alignment horizontal="center"/>
    </xf>
    <xf numFmtId="49" fontId="91" fillId="4" borderId="5" xfId="0" applyNumberFormat="1" applyFont="1" applyFill="1" applyBorder="1"/>
    <xf numFmtId="16" fontId="93" fillId="4" borderId="5" xfId="0" applyNumberFormat="1" applyFont="1" applyFill="1" applyBorder="1" applyAlignment="1">
      <alignment horizontal="center"/>
    </xf>
    <xf numFmtId="16" fontId="93" fillId="0" borderId="5" xfId="3" applyNumberFormat="1" applyFont="1" applyBorder="1" applyAlignment="1">
      <alignment horizontal="center"/>
    </xf>
    <xf numFmtId="0" fontId="94" fillId="4" borderId="5" xfId="0" applyFont="1" applyFill="1" applyBorder="1"/>
    <xf numFmtId="12" fontId="93" fillId="0" borderId="5" xfId="0" applyNumberFormat="1" applyFont="1" applyBorder="1"/>
    <xf numFmtId="0" fontId="94" fillId="0" borderId="5" xfId="0" quotePrefix="1" applyFont="1" applyBorder="1"/>
    <xf numFmtId="12" fontId="93" fillId="0" borderId="5" xfId="0" applyNumberFormat="1" applyFont="1" applyBorder="1" applyAlignment="1">
      <alignment horizontal="center"/>
    </xf>
    <xf numFmtId="49" fontId="93" fillId="0" borderId="5" xfId="0" applyNumberFormat="1" applyFont="1" applyBorder="1" applyAlignment="1">
      <alignment horizontal="center"/>
    </xf>
    <xf numFmtId="49" fontId="93" fillId="0" borderId="5" xfId="0" applyNumberFormat="1" applyFont="1" applyBorder="1"/>
    <xf numFmtId="16" fontId="93" fillId="0" borderId="5" xfId="0" applyNumberFormat="1" applyFont="1" applyBorder="1" applyAlignment="1">
      <alignment horizontal="center"/>
    </xf>
    <xf numFmtId="49" fontId="91" fillId="0" borderId="5" xfId="0" applyNumberFormat="1" applyFont="1" applyBorder="1" applyAlignment="1">
      <alignment horizontal="left"/>
    </xf>
    <xf numFmtId="0" fontId="94" fillId="0" borderId="5" xfId="136" applyFont="1" applyBorder="1" applyAlignment="1">
      <alignment horizontal="center"/>
    </xf>
    <xf numFmtId="0" fontId="94" fillId="0" borderId="5" xfId="136" applyFont="1" applyBorder="1" applyAlignment="1">
      <alignment horizontal="left"/>
    </xf>
    <xf numFmtId="49" fontId="93" fillId="0" borderId="5" xfId="3" applyNumberFormat="1" applyFont="1" applyBorder="1"/>
    <xf numFmtId="0" fontId="93" fillId="0" borderId="5" xfId="3" applyFont="1" applyBorder="1" applyAlignment="1">
      <alignment horizontal="center"/>
    </xf>
    <xf numFmtId="1" fontId="93" fillId="0" borderId="5" xfId="3" applyNumberFormat="1" applyFont="1" applyBorder="1" applyAlignment="1">
      <alignment horizontal="center"/>
    </xf>
    <xf numFmtId="0" fontId="94" fillId="0" borderId="0" xfId="0" applyFont="1" applyAlignment="1">
      <alignment horizontal="center"/>
    </xf>
    <xf numFmtId="49" fontId="93" fillId="0" borderId="16" xfId="3" applyNumberFormat="1" applyFont="1" applyBorder="1" applyAlignment="1">
      <alignment horizontal="center"/>
    </xf>
    <xf numFmtId="49" fontId="93" fillId="0" borderId="10" xfId="3" applyNumberFormat="1" applyFont="1" applyBorder="1" applyAlignment="1">
      <alignment horizontal="center"/>
    </xf>
    <xf numFmtId="49" fontId="95" fillId="2" borderId="4" xfId="3" applyNumberFormat="1" applyFont="1" applyFill="1" applyBorder="1" applyAlignment="1">
      <alignment horizontal="center" vertical="center"/>
    </xf>
    <xf numFmtId="49" fontId="95" fillId="2" borderId="0" xfId="3" applyNumberFormat="1" applyFont="1" applyFill="1" applyAlignment="1">
      <alignment horizontal="center" vertical="center"/>
    </xf>
    <xf numFmtId="0" fontId="93" fillId="2" borderId="0" xfId="3" applyFont="1" applyFill="1"/>
    <xf numFmtId="1" fontId="93" fillId="2" borderId="0" xfId="3" applyNumberFormat="1" applyFont="1" applyFill="1" applyAlignment="1">
      <alignment horizontal="center"/>
    </xf>
    <xf numFmtId="164" fontId="93" fillId="2" borderId="0" xfId="3" applyNumberFormat="1" applyFont="1" applyFill="1" applyAlignment="1">
      <alignment horizontal="center" wrapText="1"/>
    </xf>
    <xf numFmtId="0" fontId="93" fillId="2" borderId="18" xfId="3" applyFont="1" applyFill="1" applyBorder="1" applyAlignment="1">
      <alignment horizontal="center"/>
    </xf>
    <xf numFmtId="0" fontId="93" fillId="3" borderId="19" xfId="3" applyFont="1" applyFill="1" applyBorder="1" applyAlignment="1">
      <alignment horizontal="center"/>
    </xf>
    <xf numFmtId="0" fontId="93" fillId="3" borderId="20" xfId="3" applyFont="1" applyFill="1" applyBorder="1" applyAlignment="1">
      <alignment horizontal="center"/>
    </xf>
    <xf numFmtId="0" fontId="93" fillId="3" borderId="20" xfId="3" applyFont="1" applyFill="1" applyBorder="1"/>
    <xf numFmtId="0" fontId="91" fillId="3" borderId="20" xfId="3" applyFont="1" applyFill="1" applyBorder="1" applyAlignment="1">
      <alignment horizontal="center"/>
    </xf>
    <xf numFmtId="1" fontId="91" fillId="3" borderId="20" xfId="3" applyNumberFormat="1" applyFont="1" applyFill="1" applyBorder="1" applyAlignment="1">
      <alignment horizontal="center"/>
    </xf>
    <xf numFmtId="164" fontId="93" fillId="3" borderId="20" xfId="3" applyNumberFormat="1" applyFont="1" applyFill="1" applyBorder="1" applyAlignment="1">
      <alignment horizontal="center" wrapText="1"/>
    </xf>
    <xf numFmtId="0" fontId="93" fillId="3" borderId="21" xfId="3" applyFont="1" applyFill="1" applyBorder="1" applyAlignment="1">
      <alignment horizontal="center"/>
    </xf>
    <xf numFmtId="0" fontId="91" fillId="0" borderId="41" xfId="3" applyFont="1" applyBorder="1" applyAlignment="1">
      <alignment horizontal="right"/>
    </xf>
    <xf numFmtId="0" fontId="91" fillId="0" borderId="8" xfId="3" applyFont="1" applyBorder="1" applyAlignment="1">
      <alignment horizontal="right"/>
    </xf>
    <xf numFmtId="0" fontId="91" fillId="0" borderId="46" xfId="3" applyFont="1" applyBorder="1" applyAlignment="1">
      <alignment horizontal="right"/>
    </xf>
    <xf numFmtId="0" fontId="91" fillId="0" borderId="5" xfId="0" applyFont="1" applyBorder="1" applyAlignment="1">
      <alignment horizontal="right"/>
    </xf>
    <xf numFmtId="0" fontId="93" fillId="0" borderId="22" xfId="0" applyFont="1" applyBorder="1" applyAlignment="1">
      <alignment horizontal="center"/>
    </xf>
    <xf numFmtId="164" fontId="93" fillId="0" borderId="38" xfId="3" applyNumberFormat="1" applyFont="1" applyBorder="1" applyAlignment="1">
      <alignment horizontal="right"/>
    </xf>
    <xf numFmtId="0" fontId="93" fillId="2" borderId="22" xfId="3" applyFont="1" applyFill="1" applyBorder="1" applyAlignment="1">
      <alignment horizontal="center"/>
    </xf>
    <xf numFmtId="0" fontId="93" fillId="2" borderId="23" xfId="3" applyFont="1" applyFill="1" applyBorder="1" applyAlignment="1">
      <alignment horizontal="center"/>
    </xf>
    <xf numFmtId="0" fontId="91" fillId="0" borderId="37" xfId="3" applyFont="1" applyBorder="1" applyAlignment="1">
      <alignment horizontal="right"/>
    </xf>
    <xf numFmtId="0" fontId="91" fillId="0" borderId="9" xfId="3" applyFont="1" applyBorder="1" applyAlignment="1">
      <alignment horizontal="right"/>
    </xf>
    <xf numFmtId="0" fontId="91" fillId="0" borderId="10" xfId="3" applyFont="1" applyBorder="1" applyAlignment="1">
      <alignment horizontal="right"/>
    </xf>
    <xf numFmtId="0" fontId="93" fillId="0" borderId="5" xfId="3" applyFont="1" applyBorder="1" applyAlignment="1">
      <alignment horizontal="right"/>
    </xf>
    <xf numFmtId="164" fontId="93" fillId="0" borderId="34" xfId="3" applyNumberFormat="1" applyFont="1" applyBorder="1" applyAlignment="1">
      <alignment horizontal="center"/>
    </xf>
    <xf numFmtId="164" fontId="93" fillId="0" borderId="17" xfId="3" applyNumberFormat="1" applyFont="1" applyBorder="1" applyAlignment="1">
      <alignment horizontal="center"/>
    </xf>
    <xf numFmtId="164" fontId="93" fillId="0" borderId="34" xfId="3" applyNumberFormat="1" applyFont="1" applyBorder="1" applyAlignment="1">
      <alignment horizontal="right" wrapText="1"/>
    </xf>
    <xf numFmtId="164" fontId="93" fillId="0" borderId="10" xfId="3" applyNumberFormat="1" applyFont="1" applyBorder="1" applyAlignment="1">
      <alignment horizontal="right" wrapText="1"/>
    </xf>
    <xf numFmtId="0" fontId="91" fillId="0" borderId="13" xfId="3" applyFont="1" applyBorder="1" applyAlignment="1">
      <alignment horizontal="right"/>
    </xf>
    <xf numFmtId="0" fontId="91" fillId="0" borderId="24" xfId="3" applyFont="1" applyBorder="1" applyAlignment="1">
      <alignment horizontal="right"/>
    </xf>
    <xf numFmtId="0" fontId="91" fillId="0" borderId="14" xfId="3" applyFont="1" applyBorder="1" applyAlignment="1">
      <alignment horizontal="right"/>
    </xf>
    <xf numFmtId="1" fontId="91" fillId="0" borderId="14" xfId="0" applyNumberFormat="1" applyFont="1" applyBorder="1" applyAlignment="1">
      <alignment horizontal="right"/>
    </xf>
    <xf numFmtId="0" fontId="93" fillId="0" borderId="14" xfId="0" applyFont="1" applyBorder="1" applyAlignment="1">
      <alignment horizontal="center"/>
    </xf>
    <xf numFmtId="0" fontId="93" fillId="0" borderId="14" xfId="3" applyFont="1" applyBorder="1" applyAlignment="1">
      <alignment horizontal="right"/>
    </xf>
    <xf numFmtId="164" fontId="93" fillId="0" borderId="60" xfId="3" applyNumberFormat="1" applyFont="1" applyBorder="1" applyAlignment="1">
      <alignment horizontal="center"/>
    </xf>
    <xf numFmtId="164" fontId="93" fillId="0" borderId="59" xfId="3" applyNumberFormat="1" applyFont="1" applyBorder="1" applyAlignment="1">
      <alignment horizontal="center"/>
    </xf>
    <xf numFmtId="0" fontId="93" fillId="0" borderId="35" xfId="3" applyFont="1" applyBorder="1" applyAlignment="1">
      <alignment horizontal="left" vertical="center" wrapText="1"/>
    </xf>
    <xf numFmtId="0" fontId="93" fillId="0" borderId="7" xfId="3" applyFont="1" applyBorder="1" applyAlignment="1">
      <alignment horizontal="left" vertical="center" wrapText="1"/>
    </xf>
    <xf numFmtId="0" fontId="93" fillId="0" borderId="36" xfId="3" applyFont="1" applyBorder="1" applyAlignment="1">
      <alignment horizontal="left" vertical="center" wrapText="1"/>
    </xf>
    <xf numFmtId="0" fontId="93" fillId="0" borderId="57" xfId="0" applyFont="1" applyBorder="1" applyAlignment="1">
      <alignment horizontal="left"/>
    </xf>
    <xf numFmtId="0" fontId="93" fillId="0" borderId="46" xfId="0" applyFont="1" applyBorder="1" applyAlignment="1">
      <alignment horizontal="left"/>
    </xf>
    <xf numFmtId="0" fontId="93" fillId="0" borderId="38" xfId="0" applyFont="1" applyBorder="1" applyAlignment="1">
      <alignment horizontal="left"/>
    </xf>
    <xf numFmtId="0" fontId="93" fillId="0" borderId="56" xfId="0" applyFont="1" applyBorder="1" applyAlignment="1">
      <alignment horizontal="left"/>
    </xf>
    <xf numFmtId="0" fontId="96" fillId="8" borderId="5" xfId="2" applyFont="1" applyFill="1" applyBorder="1" applyAlignment="1">
      <alignment horizontal="center" vertical="center" wrapText="1"/>
    </xf>
    <xf numFmtId="0" fontId="91" fillId="3" borderId="19" xfId="3" applyFont="1" applyFill="1" applyBorder="1" applyAlignment="1">
      <alignment horizontal="center"/>
    </xf>
    <xf numFmtId="0" fontId="91" fillId="3" borderId="20" xfId="3" applyFont="1" applyFill="1" applyBorder="1" applyAlignment="1">
      <alignment horizontal="center"/>
    </xf>
    <xf numFmtId="0" fontId="91" fillId="3" borderId="21" xfId="3" applyFont="1" applyFill="1" applyBorder="1" applyAlignment="1">
      <alignment horizontal="center"/>
    </xf>
    <xf numFmtId="0" fontId="93" fillId="0" borderId="70" xfId="3" applyFont="1" applyBorder="1" applyAlignment="1">
      <alignment horizontal="left"/>
    </xf>
    <xf numFmtId="0" fontId="93" fillId="0" borderId="45" xfId="3" applyFont="1" applyBorder="1" applyAlignment="1">
      <alignment horizontal="left"/>
    </xf>
    <xf numFmtId="0" fontId="93" fillId="0" borderId="71" xfId="3" applyFont="1" applyBorder="1" applyAlignment="1">
      <alignment horizontal="left"/>
    </xf>
    <xf numFmtId="0" fontId="91" fillId="12" borderId="5" xfId="2" applyFont="1" applyFill="1" applyBorder="1" applyAlignment="1">
      <alignment horizontal="center"/>
    </xf>
  </cellXfs>
  <cellStyles count="137">
    <cellStyle name="Millares" xfId="71" builtinId="3"/>
    <cellStyle name="Millares [0]" xfId="72" builtinId="6"/>
    <cellStyle name="Millares [0] 2" xfId="9" xr:uid="{73371371-F543-43D7-8908-AAAA364952D6}"/>
    <cellStyle name="Millares [0] 2 2" xfId="17" xr:uid="{5277948D-D0DA-47EF-A01C-89E7DD5772D1}"/>
    <cellStyle name="Millares [0] 2 2 2" xfId="32" xr:uid="{A10EA61B-A1DE-4C04-8969-B341FF8DBF7A}"/>
    <cellStyle name="Millares [0] 2 2 2 2" xfId="60" xr:uid="{65B73CE9-C885-4964-B4AC-030341EA336D}"/>
    <cellStyle name="Millares [0] 2 2 2 2 2" xfId="122" xr:uid="{BAEE409A-5E3C-4B53-B369-C41602895D1C}"/>
    <cellStyle name="Millares [0] 2 2 2 3" xfId="94" xr:uid="{ACC8FC0F-2F0E-4D07-A41F-D494C778E686}"/>
    <cellStyle name="Millares [0] 2 2 3" xfId="45" xr:uid="{469BEC87-1765-4AFB-AB45-EEDEF9464AB2}"/>
    <cellStyle name="Millares [0] 2 2 3 2" xfId="107" xr:uid="{BDEBA7D4-BC43-492E-B582-6C7F6A6B2EBA}"/>
    <cellStyle name="Millares [0] 2 2 4" xfId="79" xr:uid="{35FBB9C6-3CD2-48F6-AC4D-2E66840608E7}"/>
    <cellStyle name="Millares [0] 2 3" xfId="22" xr:uid="{A495B227-D87E-49A6-8158-8CE2B9B5CF41}"/>
    <cellStyle name="Millares [0] 2 3 2" xfId="37" xr:uid="{8FB77EAC-42B5-4E99-956D-902941DF2BAF}"/>
    <cellStyle name="Millares [0] 2 3 2 2" xfId="65" xr:uid="{256906C5-42F5-4B88-B914-7EFAB1E204BD}"/>
    <cellStyle name="Millares [0] 2 3 2 2 2" xfId="127" xr:uid="{FFAA40FC-8626-41D0-B36C-F6F79F817DD7}"/>
    <cellStyle name="Millares [0] 2 3 2 3" xfId="99" xr:uid="{D264A467-B743-425C-867C-672F661E05E3}"/>
    <cellStyle name="Millares [0] 2 3 3" xfId="50" xr:uid="{268F2503-F3C9-4BF3-A383-6EBC8D660435}"/>
    <cellStyle name="Millares [0] 2 3 3 2" xfId="112" xr:uid="{706CDA20-4335-4A92-ADEA-F25D04138CB0}"/>
    <cellStyle name="Millares [0] 2 3 4" xfId="84" xr:uid="{93A99A1B-66FB-4E29-87BB-6B631719E341}"/>
    <cellStyle name="Millares [0] 2 4" xfId="27" xr:uid="{63666CEC-B3E6-44D4-A07C-8F7D335F5A4D}"/>
    <cellStyle name="Millares [0] 2 4 2" xfId="55" xr:uid="{FB0B6EB2-A9D0-4A15-B8CD-9FBC7DD5CDD4}"/>
    <cellStyle name="Millares [0] 2 4 2 2" xfId="117" xr:uid="{33446001-0D3A-4CBB-8BD0-99DCDEAF129E}"/>
    <cellStyle name="Millares [0] 2 4 3" xfId="89" xr:uid="{C46E4670-04B2-45E0-95AB-6913943DCDD4}"/>
    <cellStyle name="Millares [0] 2 5" xfId="40" xr:uid="{AE6E017E-E83D-4398-B3C6-97CFA78B27F8}"/>
    <cellStyle name="Millares [0] 2 5 2" xfId="102" xr:uid="{86BF5665-24F1-4322-99DD-4959B1C4300E}"/>
    <cellStyle name="Millares [0] 2 6" xfId="74" xr:uid="{F4B2F83A-0430-46CF-B5AE-1F82417A2E82}"/>
    <cellStyle name="Millares [0] 3" xfId="20" xr:uid="{A3F8510E-070D-46DB-8709-AB0F99B978FE}"/>
    <cellStyle name="Millares [0] 3 2" xfId="35" xr:uid="{2E641034-42E8-4774-B99F-D50BA197A729}"/>
    <cellStyle name="Millares [0] 3 2 2" xfId="63" xr:uid="{570FB30A-1EF1-40AA-AD89-2D7F43C6AA0F}"/>
    <cellStyle name="Millares [0] 3 2 2 2" xfId="125" xr:uid="{67C9B6B3-1D3C-49EA-ACAE-15A4AB3576CB}"/>
    <cellStyle name="Millares [0] 3 2 3" xfId="97" xr:uid="{237798B3-E9FD-4345-B64A-917D521D43DC}"/>
    <cellStyle name="Millares [0] 3 2 3 2 3" xfId="15" xr:uid="{D58F9C74-DFF5-48AD-BCD1-37507D3EECF4}"/>
    <cellStyle name="Millares [0] 3 2 3 2 3 2" xfId="30" xr:uid="{22AE7D9C-FAF2-4573-9BD3-DDCE1B3A9B3B}"/>
    <cellStyle name="Millares [0] 3 2 3 2 3 2 2" xfId="58" xr:uid="{1B53BB0E-7F49-4EA5-823C-444EA6AE60C2}"/>
    <cellStyle name="Millares [0] 3 2 3 2 3 2 2 2" xfId="120" xr:uid="{64056148-46F0-4F27-A775-910A21FA18F9}"/>
    <cellStyle name="Millares [0] 3 2 3 2 3 2 3" xfId="92" xr:uid="{1CCA277B-D5D3-428C-B404-1241EAB39455}"/>
    <cellStyle name="Millares [0] 3 2 3 2 3 3" xfId="43" xr:uid="{ACD56387-5520-4169-B030-E19108E1BA04}"/>
    <cellStyle name="Millares [0] 3 2 3 2 3 3 2" xfId="105" xr:uid="{B93C32BF-80FC-42BD-8FA9-E4AE8F236FC6}"/>
    <cellStyle name="Millares [0] 3 2 3 2 3 4" xfId="77" xr:uid="{4C30645B-818C-4A30-93A4-AF469D411068}"/>
    <cellStyle name="Millares [0] 3 3" xfId="48" xr:uid="{29B768F0-20E9-4FCF-8EEA-86AD5AB99A7A}"/>
    <cellStyle name="Millares [0] 3 3 2" xfId="110" xr:uid="{32F4D718-90CB-495F-96CA-1A24B5A21046}"/>
    <cellStyle name="Millares [0] 3 4" xfId="82" xr:uid="{32C133EC-1FB1-4A0D-849D-64853BD6D970}"/>
    <cellStyle name="Millares [0] 4" xfId="54" xr:uid="{619DD870-EC87-4D13-9BF8-05BE82BBE00B}"/>
    <cellStyle name="Millares [0] 4 2" xfId="116" xr:uid="{B0569EEF-8654-4EB1-9AE6-1D5B82203831}"/>
    <cellStyle name="Millares [0] 5" xfId="26" xr:uid="{3C482C00-AD41-4CE8-865C-CE14A3BB77DD}"/>
    <cellStyle name="Millares [0] 5 2" xfId="88" xr:uid="{68199D46-F497-4B61-8084-7734DE3BE91D}"/>
    <cellStyle name="Millares [0] 6" xfId="134" xr:uid="{B29E32BD-0BDE-4345-9630-A190C422A750}"/>
    <cellStyle name="Millares 10" xfId="70" xr:uid="{691ECCAC-B647-4642-BC41-B79F1DF26175}"/>
    <cellStyle name="Millares 10 2" xfId="132" xr:uid="{4FE5C02A-3D17-4461-8D00-F7CF3527FBA1}"/>
    <cellStyle name="Millares 11" xfId="133" xr:uid="{AF2217C5-F766-40A1-9C49-FA590AF08B7C}"/>
    <cellStyle name="Millares 12" xfId="135" xr:uid="{0E4ADE20-4F30-43B2-AAE9-B43584218815}"/>
    <cellStyle name="Millares 2" xfId="10" xr:uid="{CB209AE9-0F7D-40CD-B31D-E36C85322FC3}"/>
    <cellStyle name="Millares 2 2" xfId="16" xr:uid="{1B2B6E5C-4F16-42C7-8F1E-5691CBB2DA91}"/>
    <cellStyle name="Millares 2 2 2" xfId="31" xr:uid="{B8C3243D-F73E-4818-9F14-660087274224}"/>
    <cellStyle name="Millares 2 2 2 2" xfId="59" xr:uid="{EB384E68-3DE1-4B1C-9507-DFB6BEAD4E2C}"/>
    <cellStyle name="Millares 2 2 2 2 2" xfId="121" xr:uid="{CB447B7F-F79F-48E2-811C-CF2ECDB61D5C}"/>
    <cellStyle name="Millares 2 2 2 3" xfId="93" xr:uid="{CD912937-D97E-4C2A-9843-A7F51DAAFB4D}"/>
    <cellStyle name="Millares 2 2 3" xfId="44" xr:uid="{5FD04799-F745-4FA9-8C70-85E5B813CCE8}"/>
    <cellStyle name="Millares 2 2 3 2" xfId="106" xr:uid="{1B0C1A63-E7D4-4E0B-84F3-4457D430B0C1}"/>
    <cellStyle name="Millares 2 2 4" xfId="78" xr:uid="{9C9F4F22-0AB3-487B-BFE6-BB29D1C32F19}"/>
    <cellStyle name="Millares 2 3" xfId="21" xr:uid="{5F89DB67-3549-4F47-8680-CF2D8DD916C1}"/>
    <cellStyle name="Millares 2 3 2" xfId="36" xr:uid="{6F83A733-95D5-47B9-A933-C125F20F3F22}"/>
    <cellStyle name="Millares 2 3 2 2" xfId="64" xr:uid="{3EF771B7-56D1-47EB-B88A-E535998B3AB1}"/>
    <cellStyle name="Millares 2 3 2 2 2" xfId="126" xr:uid="{FEC7CF84-364F-4FD4-BCCD-2AD4E39A12E7}"/>
    <cellStyle name="Millares 2 3 2 3" xfId="98" xr:uid="{B8795612-94E1-4577-AF7E-2C88F220D1E5}"/>
    <cellStyle name="Millares 2 3 3" xfId="49" xr:uid="{7AEFF9ED-F6F3-467E-97F9-13D8F5F633D0}"/>
    <cellStyle name="Millares 2 3 3 2" xfId="111" xr:uid="{EC58F0C8-F95C-4F67-BED6-B733CCD9E923}"/>
    <cellStyle name="Millares 2 3 4" xfId="83" xr:uid="{DA10D611-4D2E-4184-A2FA-2F7396320F22}"/>
    <cellStyle name="Millares 2 4" xfId="28" xr:uid="{BDCD1706-A482-4E57-9AA5-6B2F638C05BB}"/>
    <cellStyle name="Millares 2 4 2" xfId="56" xr:uid="{0936025D-B91A-4774-A30C-7CFE20B11457}"/>
    <cellStyle name="Millares 2 4 2 2" xfId="118" xr:uid="{2CC595B3-264A-4E8B-9230-23BF28297EB2}"/>
    <cellStyle name="Millares 2 4 3" xfId="90" xr:uid="{BFC34261-3B16-4F57-B7FC-9D44BC98F446}"/>
    <cellStyle name="Millares 2 5" xfId="41" xr:uid="{2558DE7B-1271-45B4-9EF0-1938B1F2B4D0}"/>
    <cellStyle name="Millares 2 5 2" xfId="103" xr:uid="{765F4619-5733-49EF-8EAF-E4C00B3E933E}"/>
    <cellStyle name="Millares 2 6" xfId="75" xr:uid="{2F06E2AC-9EE7-4337-B625-4223C996F8C2}"/>
    <cellStyle name="Millares 3" xfId="11" xr:uid="{74317C1B-7E10-4473-A3B6-1491E72D5C5D}"/>
    <cellStyle name="Millares 3 2" xfId="18" xr:uid="{6C6C5968-D214-48CD-9995-3C58DC5BDE8D}"/>
    <cellStyle name="Millares 3 2 2" xfId="33" xr:uid="{C29950BD-AEDB-40CD-993F-E73A9EF069C6}"/>
    <cellStyle name="Millares 3 2 2 2" xfId="61" xr:uid="{43DEAB43-9E95-425D-98BD-AA6E2F75EE40}"/>
    <cellStyle name="Millares 3 2 2 2 2" xfId="123" xr:uid="{8EA7E065-8874-4FD7-97B2-DA2315DF903B}"/>
    <cellStyle name="Millares 3 2 2 3" xfId="95" xr:uid="{68CF6C2C-D29C-45AE-9684-D2FBFCB9CD07}"/>
    <cellStyle name="Millares 3 2 3" xfId="46" xr:uid="{8B3529EE-B5B9-4C44-AA80-96D636B8D6DF}"/>
    <cellStyle name="Millares 3 2 3 2" xfId="108" xr:uid="{F8A63306-BC1D-46D5-A49F-B49B09935CA0}"/>
    <cellStyle name="Millares 3 2 4" xfId="80" xr:uid="{D822296A-F113-4D06-A6C6-644E6665A07E}"/>
    <cellStyle name="Millares 3 3" xfId="23" xr:uid="{8AC9163B-932D-42B8-A13D-18D28DAB1789}"/>
    <cellStyle name="Millares 3 3 2" xfId="38" xr:uid="{223FBFFA-F0BA-49CF-8C5F-08281D89F37D}"/>
    <cellStyle name="Millares 3 3 2 2" xfId="66" xr:uid="{25D0088F-FA45-42D2-B5F6-6588F5E95875}"/>
    <cellStyle name="Millares 3 3 2 2 2" xfId="128" xr:uid="{FCD5443D-7A90-488B-B312-A1E5BEC689A1}"/>
    <cellStyle name="Millares 3 3 2 3" xfId="100" xr:uid="{601124C6-911D-4A05-8389-DC71DA71F637}"/>
    <cellStyle name="Millares 3 3 3" xfId="51" xr:uid="{B8237972-87DC-4B8E-B49D-D3103DB9A66B}"/>
    <cellStyle name="Millares 3 3 3 2" xfId="113" xr:uid="{5CE83067-CF41-4ACA-A695-5F038CDE7F41}"/>
    <cellStyle name="Millares 3 3 4" xfId="85" xr:uid="{4FEDA43C-FC94-4820-884D-CD8A2EBB173E}"/>
    <cellStyle name="Millares 3 4" xfId="29" xr:uid="{1F4C9C52-D452-4590-AEF8-138030CA2F80}"/>
    <cellStyle name="Millares 3 4 2" xfId="57" xr:uid="{8E54619C-D0B3-42BF-AAB2-1989CF2FCA9A}"/>
    <cellStyle name="Millares 3 4 2 2" xfId="119" xr:uid="{3BE261C4-0548-4DAB-A0F5-86E5B4D60853}"/>
    <cellStyle name="Millares 3 4 3" xfId="91" xr:uid="{39DAD614-8ED4-47FE-8AFC-A81C13DD67DA}"/>
    <cellStyle name="Millares 3 5" xfId="42" xr:uid="{397DF4F4-976B-460C-87B5-FAF1685EB799}"/>
    <cellStyle name="Millares 3 5 2" xfId="104" xr:uid="{15C395F2-2E13-4CD7-B97D-65531231C2B7}"/>
    <cellStyle name="Millares 3 6" xfId="76" xr:uid="{BFF7A283-EDC4-4EFD-9EBA-07BFE3F1E2AB}"/>
    <cellStyle name="Millares 4" xfId="24" xr:uid="{AC1881BA-FEEF-4F08-917D-C47CD1E010FC}"/>
    <cellStyle name="Millares 4 2" xfId="39" xr:uid="{1DC30700-382F-4F5D-AC6A-5412799A734C}"/>
    <cellStyle name="Millares 4 2 2" xfId="67" xr:uid="{E15499B6-91F3-46F8-98C7-8E522281690C}"/>
    <cellStyle name="Millares 4 2 2 2" xfId="129" xr:uid="{815938A3-8415-44A5-8606-6BC00657F107}"/>
    <cellStyle name="Millares 4 2 3" xfId="101" xr:uid="{101CDA3D-6B6E-4B0A-A3E3-9416619F682F}"/>
    <cellStyle name="Millares 4 3" xfId="52" xr:uid="{B7A8BE5E-E226-4549-A61B-8F7640652317}"/>
    <cellStyle name="Millares 4 3 2" xfId="114" xr:uid="{3C99AA7A-1A98-43B3-AB44-16F5A76D6BBB}"/>
    <cellStyle name="Millares 4 4" xfId="86" xr:uid="{E062DFFD-154C-4056-814A-706A9DC0007B}"/>
    <cellStyle name="Millares 5" xfId="19" xr:uid="{6C7D7FDF-E192-4B96-831E-7C5770295392}"/>
    <cellStyle name="Millares 5 2" xfId="34" xr:uid="{27DEBC3D-F1B0-4397-B281-3EDC9E7BA295}"/>
    <cellStyle name="Millares 5 2 2" xfId="62" xr:uid="{3E5AF9FE-D540-433D-A13F-2423133816A5}"/>
    <cellStyle name="Millares 5 2 2 2" xfId="124" xr:uid="{C60384B3-C161-489D-A92A-240D879D7CD4}"/>
    <cellStyle name="Millares 5 2 3" xfId="96" xr:uid="{B9AAE768-414A-4B53-B885-A4828F8C48A4}"/>
    <cellStyle name="Millares 5 3" xfId="47" xr:uid="{778075B3-A380-458C-8877-EF30A677F68D}"/>
    <cellStyle name="Millares 5 3 2" xfId="109" xr:uid="{557D93F1-7A4B-4F6A-B13B-2FC52687D308}"/>
    <cellStyle name="Millares 5 4" xfId="81" xr:uid="{CFE3CF55-DF05-4ECB-AA8F-6F75A34C5E62}"/>
    <cellStyle name="Millares 6" xfId="53" xr:uid="{B34DDADE-A3AF-479F-B6A5-B4CD70237C77}"/>
    <cellStyle name="Millares 6 2" xfId="115" xr:uid="{2E271AD3-3F28-4DC0-9ADD-62228A75D488}"/>
    <cellStyle name="Millares 7" xfId="68" xr:uid="{B43D82E9-E068-4C6D-AD42-C612AD594C92}"/>
    <cellStyle name="Millares 7 2" xfId="130" xr:uid="{E6366C15-BD60-4599-BB15-BB79D8EDC723}"/>
    <cellStyle name="Millares 8" xfId="25" xr:uid="{64A117E6-D40B-4655-B8FF-0DC99158D86F}"/>
    <cellStyle name="Millares 8 2" xfId="87" xr:uid="{A9C6D36B-75E9-4694-A930-0235E9306AD5}"/>
    <cellStyle name="Millares 9" xfId="69" xr:uid="{31628C00-7F7B-4935-BB11-BE6D2C29E2F2}"/>
    <cellStyle name="Millares 9 2" xfId="131" xr:uid="{5438C7B7-10C7-495F-8A14-FE3732810CAC}"/>
    <cellStyle name="Normal" xfId="0" builtinId="0"/>
    <cellStyle name="Normal 2" xfId="3" xr:uid="{F0E50ADB-0AEC-4629-B918-110FA540EAD9}"/>
    <cellStyle name="Normal 2 2" xfId="12" xr:uid="{35D0BA6E-ECA9-40C1-AE0E-10FBEEFDA79D}"/>
    <cellStyle name="Normal 3" xfId="8" xr:uid="{B29AC443-944F-4CD5-8988-527E431CA1FE}"/>
    <cellStyle name="Normal 3 2" xfId="4" xr:uid="{4F9DCEA8-106E-4C47-8641-B18BB36960E3}"/>
    <cellStyle name="Normal 3 3" xfId="136" xr:uid="{BA732206-9202-4B22-9D65-09AF60C1B95D}"/>
    <cellStyle name="Normal 5" xfId="6" xr:uid="{8493BE70-73E2-4C76-BFAB-704DB73307F9}"/>
    <cellStyle name="Normal 5 3" xfId="7" xr:uid="{CAE30A43-F476-4516-ACB4-01A3B2642E73}"/>
    <cellStyle name="Normal_CRITERIOS DE EVALUACION PT DE GB" xfId="1" xr:uid="{F1C3C13D-1FBD-4651-A6AF-24395CA9BBF4}"/>
    <cellStyle name="Normal_CRITERIOS DE EVALUACION PT DE GB 2" xfId="2" xr:uid="{50DD5210-3A81-4EF1-8AE2-BA67ACD57489}"/>
    <cellStyle name="Porcentaje" xfId="73" builtinId="5"/>
    <cellStyle name="Porcentaje 2" xfId="13" xr:uid="{2F8340D0-EA57-41C0-B13B-9220575E5C3D}"/>
    <cellStyle name="Porcentaje 2 2" xfId="5" xr:uid="{7356EC4B-EC1A-4B43-9769-1C0998AFE9FA}"/>
    <cellStyle name="Porcentaje 3 2" xfId="14" xr:uid="{2B51B02B-CC62-4E43-ACBA-7ADF5E0E1E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129541</xdr:colOff>
      <xdr:row>0</xdr:row>
      <xdr:rowOff>22860</xdr:rowOff>
    </xdr:from>
    <xdr:to>
      <xdr:col>0</xdr:col>
      <xdr:colOff>982981</xdr:colOff>
      <xdr:row>3</xdr:row>
      <xdr:rowOff>2363</xdr:rowOff>
    </xdr:to>
    <xdr:pic>
      <xdr:nvPicPr>
        <xdr:cNvPr id="3" name="Imagen 91">
          <a:extLst>
            <a:ext uri="{FF2B5EF4-FFF2-40B4-BE49-F238E27FC236}">
              <a16:creationId xmlns:a16="http://schemas.microsoft.com/office/drawing/2014/main" id="{BFEF9B50-001C-453A-A231-F4ABC0C4A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1" y="22860"/>
          <a:ext cx="853440" cy="886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91440</xdr:rowOff>
    </xdr:from>
    <xdr:to>
      <xdr:col>0</xdr:col>
      <xdr:colOff>832829</xdr:colOff>
      <xdr:row>4</xdr:row>
      <xdr:rowOff>45720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412B3563-C0D8-4B33-A3E3-B216E5914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91440"/>
          <a:ext cx="893789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</xdr:colOff>
      <xdr:row>0</xdr:row>
      <xdr:rowOff>68581</xdr:rowOff>
    </xdr:from>
    <xdr:ext cx="1093076" cy="914400"/>
    <xdr:pic>
      <xdr:nvPicPr>
        <xdr:cNvPr id="2" name="Imagen 2">
          <a:extLst>
            <a:ext uri="{FF2B5EF4-FFF2-40B4-BE49-F238E27FC236}">
              <a16:creationId xmlns:a16="http://schemas.microsoft.com/office/drawing/2014/main" id="{E4FA8AEE-AAF3-400F-9806-E48595B27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68581"/>
          <a:ext cx="1093076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</xdr:colOff>
      <xdr:row>1</xdr:row>
      <xdr:rowOff>5715</xdr:rowOff>
    </xdr:from>
    <xdr:to>
      <xdr:col>1</xdr:col>
      <xdr:colOff>993256</xdr:colOff>
      <xdr:row>3</xdr:row>
      <xdr:rowOff>166688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ADCF57FC-FB07-4E44-8B55-522FC7219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" y="220028"/>
          <a:ext cx="1743350" cy="7681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B307-8EAE-4153-92B1-17ADFE6A13DC}">
  <dimension ref="A1:M42"/>
  <sheetViews>
    <sheetView workbookViewId="0">
      <selection activeCell="B14" sqref="B14"/>
    </sheetView>
  </sheetViews>
  <sheetFormatPr baseColWidth="10" defaultColWidth="11.42578125" defaultRowHeight="15" x14ac:dyDescent="0.25"/>
  <cols>
    <col min="1" max="1" width="17.140625" customWidth="1"/>
    <col min="2" max="2" width="40.85546875" customWidth="1"/>
    <col min="3" max="3" width="18" customWidth="1"/>
    <col min="4" max="4" width="18.42578125" customWidth="1"/>
    <col min="5" max="5" width="11.85546875" customWidth="1"/>
    <col min="7" max="7" width="12.28515625" customWidth="1"/>
    <col min="8" max="8" width="14.42578125" customWidth="1"/>
    <col min="9" max="9" width="14.7109375" customWidth="1"/>
  </cols>
  <sheetData>
    <row r="1" spans="1:11" ht="21" customHeight="1" x14ac:dyDescent="0.25">
      <c r="A1" s="680"/>
      <c r="B1" s="683" t="s">
        <v>0</v>
      </c>
      <c r="C1" s="683"/>
      <c r="D1" s="683"/>
      <c r="E1" s="683"/>
      <c r="F1" s="683"/>
      <c r="G1" s="683"/>
      <c r="H1" s="30" t="s">
        <v>1</v>
      </c>
      <c r="I1" s="1" t="s">
        <v>2</v>
      </c>
    </row>
    <row r="2" spans="1:11" ht="21" customHeight="1" x14ac:dyDescent="0.25">
      <c r="A2" s="681"/>
      <c r="B2" s="684" t="s">
        <v>3</v>
      </c>
      <c r="C2" s="684"/>
      <c r="D2" s="684"/>
      <c r="E2" s="684"/>
      <c r="F2" s="684"/>
      <c r="G2" s="684"/>
      <c r="H2" s="31" t="s">
        <v>4</v>
      </c>
      <c r="I2" s="2" t="s">
        <v>5</v>
      </c>
    </row>
    <row r="3" spans="1:11" ht="29.45" customHeight="1" x14ac:dyDescent="0.25">
      <c r="A3" s="681"/>
      <c r="B3" s="685" t="s">
        <v>45</v>
      </c>
      <c r="C3" s="685"/>
      <c r="D3" s="685"/>
      <c r="E3" s="685"/>
      <c r="F3" s="685"/>
      <c r="G3" s="685"/>
      <c r="H3" s="32" t="s">
        <v>6</v>
      </c>
      <c r="I3" s="28"/>
    </row>
    <row r="4" spans="1:11" ht="18" customHeight="1" thickBot="1" x14ac:dyDescent="0.3">
      <c r="A4" s="682"/>
      <c r="B4" s="29" t="s">
        <v>7</v>
      </c>
      <c r="C4" s="686" t="s">
        <v>37</v>
      </c>
      <c r="D4" s="686"/>
      <c r="E4" s="687" t="s">
        <v>8</v>
      </c>
      <c r="F4" s="687"/>
      <c r="G4" s="686" t="s">
        <v>36</v>
      </c>
      <c r="H4" s="686"/>
      <c r="I4" s="688"/>
    </row>
    <row r="5" spans="1:11" x14ac:dyDescent="0.25">
      <c r="A5" s="22"/>
      <c r="B5" s="23"/>
      <c r="C5" s="24"/>
      <c r="D5" s="24"/>
      <c r="E5" s="24"/>
      <c r="F5" s="24"/>
      <c r="G5" s="24"/>
      <c r="H5" s="25"/>
      <c r="I5" s="26"/>
    </row>
    <row r="6" spans="1:11" ht="18.75" thickBot="1" x14ac:dyDescent="0.3">
      <c r="A6" s="662" t="s">
        <v>9</v>
      </c>
      <c r="B6" s="662"/>
      <c r="C6" s="663" t="s">
        <v>34</v>
      </c>
      <c r="D6" s="663"/>
      <c r="E6" s="662" t="s">
        <v>10</v>
      </c>
      <c r="F6" s="662"/>
      <c r="G6" s="662"/>
      <c r="H6" s="664" t="s">
        <v>35</v>
      </c>
      <c r="I6" s="664"/>
    </row>
    <row r="7" spans="1:11" ht="18.75" thickBot="1" x14ac:dyDescent="0.3">
      <c r="A7" s="15"/>
      <c r="B7" s="15"/>
      <c r="C7" s="17"/>
      <c r="D7" s="17"/>
      <c r="E7" s="17"/>
      <c r="F7" s="17"/>
      <c r="G7" s="16"/>
      <c r="H7" s="16"/>
      <c r="I7" s="3"/>
    </row>
    <row r="8" spans="1:11" x14ac:dyDescent="0.25">
      <c r="A8" s="665" t="s">
        <v>11</v>
      </c>
      <c r="B8" s="667" t="s">
        <v>12</v>
      </c>
      <c r="C8" s="667" t="s">
        <v>13</v>
      </c>
      <c r="D8" s="670" t="s">
        <v>14</v>
      </c>
      <c r="E8" s="667" t="s">
        <v>16</v>
      </c>
      <c r="F8" s="672" t="s">
        <v>31</v>
      </c>
      <c r="G8" s="674" t="s">
        <v>15</v>
      </c>
      <c r="H8" s="675"/>
      <c r="I8" s="676"/>
    </row>
    <row r="9" spans="1:11" ht="15.75" thickBot="1" x14ac:dyDescent="0.3">
      <c r="A9" s="666"/>
      <c r="B9" s="668"/>
      <c r="C9" s="669"/>
      <c r="D9" s="671"/>
      <c r="E9" s="669"/>
      <c r="F9" s="673" t="s">
        <v>17</v>
      </c>
      <c r="G9" s="677"/>
      <c r="H9" s="678"/>
      <c r="I9" s="679"/>
    </row>
    <row r="10" spans="1:11" x14ac:dyDescent="0.25">
      <c r="A10" s="5" t="s">
        <v>46</v>
      </c>
      <c r="B10" s="70" t="s">
        <v>47</v>
      </c>
      <c r="C10" s="68" t="s">
        <v>18</v>
      </c>
      <c r="D10" s="65"/>
      <c r="E10" s="66">
        <v>210</v>
      </c>
      <c r="F10" s="4" t="s">
        <v>19</v>
      </c>
      <c r="G10" s="54"/>
      <c r="H10" s="61"/>
      <c r="I10" s="60"/>
    </row>
    <row r="11" spans="1:11" ht="15.75" x14ac:dyDescent="0.25">
      <c r="A11" s="5" t="s">
        <v>48</v>
      </c>
      <c r="B11" s="71" t="s">
        <v>72</v>
      </c>
      <c r="C11" s="55" t="s">
        <v>18</v>
      </c>
      <c r="D11" s="48"/>
      <c r="E11" s="47">
        <v>630</v>
      </c>
      <c r="F11" s="4" t="s">
        <v>19</v>
      </c>
      <c r="G11" s="54"/>
      <c r="H11" s="61"/>
      <c r="I11" s="60"/>
    </row>
    <row r="12" spans="1:11" ht="15.75" x14ac:dyDescent="0.25">
      <c r="A12" s="5" t="s">
        <v>49</v>
      </c>
      <c r="B12" s="71" t="s">
        <v>50</v>
      </c>
      <c r="C12" s="69" t="s">
        <v>18</v>
      </c>
      <c r="D12" s="47"/>
      <c r="E12" s="47">
        <v>150</v>
      </c>
      <c r="F12" s="4" t="s">
        <v>19</v>
      </c>
      <c r="G12" s="54"/>
      <c r="H12" s="61"/>
      <c r="I12" s="60"/>
    </row>
    <row r="13" spans="1:11" ht="15.75" x14ac:dyDescent="0.25">
      <c r="A13" s="5" t="s">
        <v>51</v>
      </c>
      <c r="B13" s="71" t="s">
        <v>52</v>
      </c>
      <c r="C13" s="55" t="s">
        <v>18</v>
      </c>
      <c r="D13" s="47"/>
      <c r="E13" s="47">
        <v>15</v>
      </c>
      <c r="F13" s="4" t="s">
        <v>19</v>
      </c>
      <c r="G13" s="54"/>
      <c r="H13" s="61"/>
      <c r="I13" s="60"/>
    </row>
    <row r="14" spans="1:11" ht="15.75" x14ac:dyDescent="0.25">
      <c r="A14" s="5" t="s">
        <v>53</v>
      </c>
      <c r="B14" t="s">
        <v>54</v>
      </c>
      <c r="C14" s="55" t="s">
        <v>55</v>
      </c>
      <c r="D14" s="47"/>
      <c r="E14" s="47">
        <v>15</v>
      </c>
      <c r="F14" s="4" t="s">
        <v>19</v>
      </c>
      <c r="G14" s="622" t="s">
        <v>56</v>
      </c>
      <c r="H14" s="623"/>
      <c r="I14" s="624"/>
    </row>
    <row r="15" spans="1:11" ht="15.75" x14ac:dyDescent="0.25">
      <c r="A15" s="5"/>
      <c r="B15" s="65"/>
      <c r="C15" s="55"/>
      <c r="D15" s="47"/>
      <c r="E15" s="47"/>
      <c r="F15" s="4"/>
      <c r="G15" s="54"/>
      <c r="H15" s="61"/>
      <c r="I15" s="60"/>
    </row>
    <row r="16" spans="1:11" ht="15.75" x14ac:dyDescent="0.25">
      <c r="A16" s="5" t="s">
        <v>57</v>
      </c>
      <c r="B16" s="67" t="s">
        <v>58</v>
      </c>
      <c r="C16" s="55"/>
      <c r="D16" s="50"/>
      <c r="E16" s="66">
        <v>1</v>
      </c>
      <c r="F16" s="72" t="s">
        <v>20</v>
      </c>
      <c r="G16" s="616"/>
      <c r="H16" s="617"/>
      <c r="I16" s="618"/>
      <c r="K16" s="46">
        <f>SUM(E10:E18)</f>
        <v>1023</v>
      </c>
    </row>
    <row r="17" spans="1:13" ht="15.75" x14ac:dyDescent="0.25">
      <c r="A17" s="5" t="s">
        <v>59</v>
      </c>
      <c r="B17" s="65" t="s">
        <v>60</v>
      </c>
      <c r="C17" s="55"/>
      <c r="D17" s="50" t="s">
        <v>61</v>
      </c>
      <c r="E17" s="74">
        <v>1</v>
      </c>
      <c r="F17" s="73" t="s">
        <v>20</v>
      </c>
      <c r="G17" s="625" t="s">
        <v>73</v>
      </c>
      <c r="H17" s="617"/>
      <c r="I17" s="618"/>
      <c r="K17" s="46"/>
    </row>
    <row r="18" spans="1:13" ht="15.75" x14ac:dyDescent="0.25">
      <c r="A18" s="5" t="s">
        <v>62</v>
      </c>
      <c r="B18" s="65" t="s">
        <v>63</v>
      </c>
      <c r="C18" s="55"/>
      <c r="D18" s="49"/>
      <c r="E18" s="73">
        <v>1</v>
      </c>
      <c r="F18" s="73" t="s">
        <v>20</v>
      </c>
      <c r="G18" s="62"/>
      <c r="H18" s="53"/>
      <c r="I18" s="64"/>
      <c r="K18" s="46"/>
    </row>
    <row r="19" spans="1:13" ht="15.75" x14ac:dyDescent="0.25">
      <c r="A19" s="5" t="s">
        <v>74</v>
      </c>
      <c r="B19" s="65" t="s">
        <v>75</v>
      </c>
      <c r="C19" s="55"/>
      <c r="D19" s="49"/>
      <c r="E19" s="74">
        <v>1</v>
      </c>
      <c r="F19" s="74" t="s">
        <v>20</v>
      </c>
      <c r="G19" s="75"/>
      <c r="H19" s="76"/>
      <c r="I19" s="77"/>
      <c r="K19" s="46"/>
    </row>
    <row r="20" spans="1:13" ht="15.75" x14ac:dyDescent="0.25">
      <c r="A20" s="5" t="s">
        <v>76</v>
      </c>
      <c r="B20" s="65" t="s">
        <v>77</v>
      </c>
      <c r="C20" s="55"/>
      <c r="D20" s="49"/>
      <c r="E20" s="74">
        <v>1</v>
      </c>
      <c r="F20" s="74" t="s">
        <v>20</v>
      </c>
      <c r="G20" s="78"/>
      <c r="H20" s="79"/>
      <c r="I20" s="80"/>
      <c r="K20" s="46"/>
    </row>
    <row r="21" spans="1:13" ht="15.75" thickBot="1" x14ac:dyDescent="0.3">
      <c r="A21" s="7"/>
      <c r="B21" s="8"/>
      <c r="C21" s="8"/>
      <c r="D21" s="8"/>
      <c r="E21" s="9"/>
      <c r="F21" s="10"/>
      <c r="G21" s="8"/>
      <c r="H21" s="8"/>
      <c r="I21" s="11"/>
      <c r="J21" s="12"/>
      <c r="K21" s="12"/>
      <c r="L21" s="13"/>
      <c r="M21" s="12"/>
    </row>
    <row r="22" spans="1:13" ht="15.75" thickBot="1" x14ac:dyDescent="0.3">
      <c r="A22" s="35"/>
      <c r="B22" s="36"/>
      <c r="C22" s="37" t="s">
        <v>16</v>
      </c>
      <c r="D22" s="38" t="s">
        <v>21</v>
      </c>
      <c r="F22" s="647" t="s">
        <v>22</v>
      </c>
      <c r="G22" s="648"/>
      <c r="H22" s="648"/>
      <c r="I22" s="649"/>
      <c r="J22" s="12"/>
      <c r="K22" s="12"/>
      <c r="L22" s="13"/>
      <c r="M22" s="12"/>
    </row>
    <row r="23" spans="1:13" x14ac:dyDescent="0.25">
      <c r="A23" s="650" t="s">
        <v>23</v>
      </c>
      <c r="B23" s="651"/>
      <c r="C23" s="34">
        <v>1014</v>
      </c>
      <c r="D23" s="18" t="s">
        <v>19</v>
      </c>
      <c r="F23" s="652"/>
      <c r="G23" s="653"/>
      <c r="H23" s="653"/>
      <c r="I23" s="654"/>
      <c r="J23" s="12"/>
      <c r="K23" s="12"/>
      <c r="L23" s="13"/>
      <c r="M23" s="12"/>
    </row>
    <row r="24" spans="1:13" x14ac:dyDescent="0.25">
      <c r="A24" s="650" t="s">
        <v>24</v>
      </c>
      <c r="B24" s="651"/>
      <c r="C24" s="34">
        <v>5</v>
      </c>
      <c r="D24" s="18" t="s">
        <v>25</v>
      </c>
      <c r="F24" s="652"/>
      <c r="G24" s="653"/>
      <c r="H24" s="653"/>
      <c r="I24" s="654"/>
      <c r="J24" s="12"/>
      <c r="K24" s="12"/>
      <c r="L24" s="13"/>
      <c r="M24" s="12"/>
    </row>
    <row r="25" spans="1:13" x14ac:dyDescent="0.25">
      <c r="A25" s="658" t="s">
        <v>26</v>
      </c>
      <c r="B25" s="659"/>
      <c r="C25" s="34">
        <v>1</v>
      </c>
      <c r="D25" s="18" t="s">
        <v>20</v>
      </c>
      <c r="F25" s="652"/>
      <c r="G25" s="653"/>
      <c r="H25" s="653"/>
      <c r="I25" s="654"/>
      <c r="J25" s="12"/>
      <c r="K25" s="12"/>
      <c r="L25" s="13"/>
      <c r="M25" s="12"/>
    </row>
    <row r="26" spans="1:13" x14ac:dyDescent="0.25">
      <c r="A26" s="658" t="s">
        <v>27</v>
      </c>
      <c r="B26" s="659"/>
      <c r="C26" s="34">
        <v>1014</v>
      </c>
      <c r="D26" s="18" t="s">
        <v>19</v>
      </c>
      <c r="F26" s="652"/>
      <c r="G26" s="653"/>
      <c r="H26" s="653"/>
      <c r="I26" s="654"/>
      <c r="J26" s="12"/>
      <c r="K26" s="12"/>
      <c r="L26" s="13"/>
      <c r="M26" s="14"/>
    </row>
    <row r="27" spans="1:13" ht="15.75" thickBot="1" x14ac:dyDescent="0.3">
      <c r="A27" s="660" t="s">
        <v>28</v>
      </c>
      <c r="B27" s="661"/>
      <c r="C27" s="52">
        <f>SUM(E10:E14)-C23</f>
        <v>6</v>
      </c>
      <c r="D27" s="19" t="s">
        <v>19</v>
      </c>
      <c r="F27" s="655"/>
      <c r="G27" s="656"/>
      <c r="H27" s="656"/>
      <c r="I27" s="657"/>
      <c r="J27" s="8"/>
      <c r="K27" s="8"/>
      <c r="L27" s="13"/>
      <c r="M27" s="8"/>
    </row>
    <row r="28" spans="1:13" ht="15.75" thickBot="1" x14ac:dyDescent="0.3">
      <c r="A28" s="39"/>
      <c r="B28" s="33"/>
      <c r="C28" s="33"/>
      <c r="D28" s="40"/>
      <c r="F28" s="27"/>
      <c r="G28" s="27"/>
      <c r="H28" s="27"/>
      <c r="I28" s="27"/>
      <c r="J28" s="8"/>
      <c r="K28" s="8"/>
      <c r="L28" s="13"/>
      <c r="M28" s="8"/>
    </row>
    <row r="29" spans="1:13" ht="15.75" thickBot="1" x14ac:dyDescent="0.3">
      <c r="A29" s="20" t="s">
        <v>29</v>
      </c>
      <c r="B29" s="21"/>
      <c r="C29" s="21"/>
      <c r="D29" s="21"/>
      <c r="E29" s="21"/>
      <c r="F29" s="21"/>
      <c r="G29" s="21"/>
      <c r="H29" s="21"/>
      <c r="I29" s="41"/>
      <c r="J29" s="12"/>
      <c r="K29" s="12"/>
      <c r="L29" s="12"/>
      <c r="M29" s="12"/>
    </row>
    <row r="30" spans="1:13" ht="27.6" customHeight="1" x14ac:dyDescent="0.25">
      <c r="A30" s="628" t="s">
        <v>78</v>
      </c>
      <c r="B30" s="629"/>
      <c r="C30" s="629"/>
      <c r="D30" s="629"/>
      <c r="E30" s="629"/>
      <c r="F30" s="629"/>
      <c r="G30" s="629"/>
      <c r="H30" s="629"/>
      <c r="I30" s="630"/>
      <c r="J30" s="12"/>
      <c r="K30" s="12"/>
      <c r="L30" s="12"/>
      <c r="M30" s="12"/>
    </row>
    <row r="31" spans="1:13" ht="27.6" customHeight="1" x14ac:dyDescent="0.25">
      <c r="A31" s="631" t="s">
        <v>64</v>
      </c>
      <c r="B31" s="632"/>
      <c r="C31" s="632"/>
      <c r="D31" s="632"/>
      <c r="E31" s="632"/>
      <c r="F31" s="632"/>
      <c r="G31" s="632"/>
      <c r="H31" s="632"/>
      <c r="I31" s="633"/>
      <c r="J31" s="12"/>
      <c r="K31" s="12"/>
      <c r="L31" s="12"/>
      <c r="M31" s="12"/>
    </row>
    <row r="32" spans="1:13" ht="27.6" customHeight="1" thickBot="1" x14ac:dyDescent="0.3">
      <c r="A32" s="634" t="s">
        <v>65</v>
      </c>
      <c r="B32" s="635"/>
      <c r="C32" s="636"/>
      <c r="D32" s="636"/>
      <c r="E32" s="636"/>
      <c r="F32" s="636"/>
      <c r="G32" s="636"/>
      <c r="H32" s="636"/>
      <c r="I32" s="637"/>
      <c r="J32" s="12"/>
      <c r="K32" s="12"/>
      <c r="L32" s="12"/>
      <c r="M32" s="12"/>
    </row>
    <row r="33" spans="1:13" ht="27.6" customHeight="1" thickBot="1" x14ac:dyDescent="0.3">
      <c r="A33" s="638" t="s">
        <v>66</v>
      </c>
      <c r="B33" s="639"/>
      <c r="C33" s="639"/>
      <c r="D33" s="639"/>
      <c r="E33" s="639"/>
      <c r="F33" s="639"/>
      <c r="G33" s="639"/>
      <c r="H33" s="639"/>
      <c r="I33" s="640"/>
      <c r="J33" s="12"/>
      <c r="K33" s="12"/>
      <c r="L33" s="12"/>
      <c r="M33" s="12"/>
    </row>
    <row r="34" spans="1:13" ht="27.6" customHeight="1" x14ac:dyDescent="0.25">
      <c r="A34" s="641"/>
      <c r="B34" s="642"/>
      <c r="C34" s="642"/>
      <c r="D34" s="642"/>
      <c r="E34" s="642"/>
      <c r="F34" s="642"/>
      <c r="G34" s="642"/>
      <c r="H34" s="642"/>
      <c r="I34" s="643"/>
      <c r="J34" s="12"/>
      <c r="K34" s="12"/>
      <c r="L34" s="12"/>
      <c r="M34" s="12"/>
    </row>
    <row r="35" spans="1:13" ht="24" customHeight="1" thickBot="1" x14ac:dyDescent="0.3">
      <c r="A35" s="644"/>
      <c r="B35" s="645"/>
      <c r="C35" s="645"/>
      <c r="D35" s="645"/>
      <c r="E35" s="645"/>
      <c r="F35" s="645"/>
      <c r="G35" s="645"/>
      <c r="H35" s="645"/>
      <c r="I35" s="646"/>
      <c r="J35" s="12"/>
      <c r="K35" s="12"/>
      <c r="L35" s="12"/>
      <c r="M35" s="12"/>
    </row>
    <row r="36" spans="1:13" x14ac:dyDescent="0.25">
      <c r="A36" s="626" t="s">
        <v>30</v>
      </c>
      <c r="B36" s="626"/>
      <c r="C36" s="626"/>
      <c r="D36" s="626"/>
      <c r="E36" s="626"/>
      <c r="F36" s="626"/>
      <c r="G36" s="626"/>
      <c r="H36" s="626"/>
      <c r="I36" s="627"/>
      <c r="J36" s="12"/>
      <c r="K36" s="12"/>
      <c r="L36" s="12"/>
      <c r="M36" s="12"/>
    </row>
    <row r="37" spans="1:13" s="45" customFormat="1" x14ac:dyDescent="0.25">
      <c r="A37" s="43" t="s">
        <v>32</v>
      </c>
      <c r="B37" s="619" t="s">
        <v>33</v>
      </c>
      <c r="C37" s="620"/>
      <c r="D37" s="620"/>
      <c r="E37" s="620"/>
      <c r="F37" s="620"/>
      <c r="G37" s="620"/>
      <c r="H37" s="620"/>
      <c r="I37" s="621"/>
      <c r="J37" s="44"/>
      <c r="K37" s="44"/>
      <c r="L37" s="44"/>
      <c r="M37" s="44"/>
    </row>
    <row r="38" spans="1:13" s="45" customFormat="1" x14ac:dyDescent="0.25">
      <c r="A38" s="42">
        <v>1</v>
      </c>
      <c r="B38" s="619"/>
      <c r="C38" s="620"/>
      <c r="D38" s="620"/>
      <c r="E38" s="620"/>
      <c r="F38" s="620"/>
      <c r="G38" s="620"/>
      <c r="H38" s="620"/>
      <c r="I38" s="621"/>
      <c r="J38" s="44"/>
      <c r="K38" s="44"/>
      <c r="L38" s="44"/>
      <c r="M38" s="44"/>
    </row>
    <row r="39" spans="1:13" s="45" customFormat="1" x14ac:dyDescent="0.25">
      <c r="A39" s="42">
        <v>2</v>
      </c>
      <c r="B39" s="619"/>
      <c r="C39" s="620"/>
      <c r="D39" s="620"/>
      <c r="E39" s="620"/>
      <c r="F39" s="620"/>
      <c r="G39" s="620"/>
      <c r="H39" s="620"/>
      <c r="I39" s="621"/>
      <c r="J39" s="44"/>
      <c r="K39" s="44"/>
      <c r="L39" s="44"/>
      <c r="M39" s="44"/>
    </row>
    <row r="40" spans="1:13" s="45" customFormat="1" x14ac:dyDescent="0.25">
      <c r="A40" s="42">
        <v>3</v>
      </c>
      <c r="B40" s="619"/>
      <c r="C40" s="620"/>
      <c r="D40" s="620"/>
      <c r="E40" s="620"/>
      <c r="F40" s="620"/>
      <c r="G40" s="620"/>
      <c r="H40" s="620"/>
      <c r="I40" s="621"/>
      <c r="J40" s="44"/>
      <c r="K40" s="44"/>
      <c r="L40" s="44"/>
      <c r="M40" s="44"/>
    </row>
    <row r="41" spans="1:13" s="45" customFormat="1" x14ac:dyDescent="0.25">
      <c r="A41" s="42">
        <v>4</v>
      </c>
      <c r="B41" s="619"/>
      <c r="C41" s="620"/>
      <c r="D41" s="620"/>
      <c r="E41" s="620"/>
      <c r="F41" s="620"/>
      <c r="G41" s="620"/>
      <c r="H41" s="620"/>
      <c r="I41" s="621"/>
      <c r="J41" s="44"/>
      <c r="K41" s="44"/>
      <c r="L41" s="44"/>
      <c r="M41" s="44"/>
    </row>
    <row r="42" spans="1:13" s="45" customFormat="1" x14ac:dyDescent="0.25">
      <c r="A42" s="42">
        <v>5</v>
      </c>
      <c r="B42" s="619"/>
      <c r="C42" s="620"/>
      <c r="D42" s="620"/>
      <c r="E42" s="620"/>
      <c r="F42" s="620"/>
      <c r="G42" s="620"/>
      <c r="H42" s="620"/>
      <c r="I42" s="621"/>
      <c r="J42" s="44"/>
      <c r="K42" s="44"/>
      <c r="L42" s="44"/>
      <c r="M42" s="44"/>
    </row>
  </sheetData>
  <mergeCells count="41">
    <mergeCell ref="A1:A4"/>
    <mergeCell ref="B1:G1"/>
    <mergeCell ref="B2:G2"/>
    <mergeCell ref="B3:G3"/>
    <mergeCell ref="C4:D4"/>
    <mergeCell ref="E4:F4"/>
    <mergeCell ref="G4:I4"/>
    <mergeCell ref="A6:B6"/>
    <mergeCell ref="C6:D6"/>
    <mergeCell ref="E6:G6"/>
    <mergeCell ref="H6:I6"/>
    <mergeCell ref="A8:A9"/>
    <mergeCell ref="B8:B9"/>
    <mergeCell ref="C8:C9"/>
    <mergeCell ref="D8:D9"/>
    <mergeCell ref="E8:E9"/>
    <mergeCell ref="F8:F9"/>
    <mergeCell ref="G8:I9"/>
    <mergeCell ref="F22:I22"/>
    <mergeCell ref="A23:B23"/>
    <mergeCell ref="F23:I27"/>
    <mergeCell ref="A24:B24"/>
    <mergeCell ref="A25:B25"/>
    <mergeCell ref="A26:B26"/>
    <mergeCell ref="A27:B27"/>
    <mergeCell ref="G16:I16"/>
    <mergeCell ref="B42:I42"/>
    <mergeCell ref="G14:I14"/>
    <mergeCell ref="G17:I17"/>
    <mergeCell ref="A36:I36"/>
    <mergeCell ref="B37:I37"/>
    <mergeCell ref="B38:I38"/>
    <mergeCell ref="B39:I39"/>
    <mergeCell ref="B40:I40"/>
    <mergeCell ref="B41:I41"/>
    <mergeCell ref="A30:I30"/>
    <mergeCell ref="A31:I31"/>
    <mergeCell ref="A32:I32"/>
    <mergeCell ref="A33:I33"/>
    <mergeCell ref="A34:I34"/>
    <mergeCell ref="A35:I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592A-5331-4383-84D8-323B659CB54B}">
  <dimension ref="A1:M42"/>
  <sheetViews>
    <sheetView topLeftCell="A10" workbookViewId="0">
      <selection activeCell="B14" sqref="B14"/>
    </sheetView>
  </sheetViews>
  <sheetFormatPr baseColWidth="10" defaultRowHeight="15" x14ac:dyDescent="0.25"/>
  <cols>
    <col min="2" max="2" width="38.28515625" customWidth="1"/>
  </cols>
  <sheetData>
    <row r="1" spans="1:11" ht="18" x14ac:dyDescent="0.25">
      <c r="A1" s="680"/>
      <c r="B1" s="683" t="s">
        <v>0</v>
      </c>
      <c r="C1" s="683"/>
      <c r="D1" s="683"/>
      <c r="E1" s="683"/>
      <c r="F1" s="683"/>
      <c r="G1" s="683"/>
      <c r="H1" s="30" t="s">
        <v>1</v>
      </c>
      <c r="I1" s="1" t="s">
        <v>2</v>
      </c>
    </row>
    <row r="2" spans="1:11" ht="18" x14ac:dyDescent="0.25">
      <c r="A2" s="681"/>
      <c r="B2" s="684" t="s">
        <v>3</v>
      </c>
      <c r="C2" s="684"/>
      <c r="D2" s="684"/>
      <c r="E2" s="684"/>
      <c r="F2" s="684"/>
      <c r="G2" s="684"/>
      <c r="H2" s="31" t="s">
        <v>4</v>
      </c>
      <c r="I2" s="2" t="s">
        <v>5</v>
      </c>
    </row>
    <row r="3" spans="1:11" ht="38.25" x14ac:dyDescent="0.25">
      <c r="A3" s="681"/>
      <c r="B3" s="685" t="s">
        <v>45</v>
      </c>
      <c r="C3" s="685"/>
      <c r="D3" s="685"/>
      <c r="E3" s="685"/>
      <c r="F3" s="685"/>
      <c r="G3" s="685"/>
      <c r="H3" s="32" t="s">
        <v>6</v>
      </c>
      <c r="I3" s="28"/>
    </row>
    <row r="4" spans="1:11" ht="15.75" thickBot="1" x14ac:dyDescent="0.3">
      <c r="A4" s="682"/>
      <c r="B4" s="29" t="s">
        <v>7</v>
      </c>
      <c r="C4" s="686" t="s">
        <v>37</v>
      </c>
      <c r="D4" s="686"/>
      <c r="E4" s="687" t="s">
        <v>8</v>
      </c>
      <c r="F4" s="687"/>
      <c r="G4" s="686" t="s">
        <v>36</v>
      </c>
      <c r="H4" s="686"/>
      <c r="I4" s="688"/>
    </row>
    <row r="5" spans="1:11" x14ac:dyDescent="0.25">
      <c r="A5" s="22"/>
      <c r="B5" s="23"/>
      <c r="C5" s="24"/>
      <c r="D5" s="24"/>
      <c r="E5" s="24"/>
      <c r="F5" s="24"/>
      <c r="G5" s="24"/>
      <c r="H5" s="25"/>
      <c r="I5" s="26"/>
    </row>
    <row r="6" spans="1:11" ht="18.75" thickBot="1" x14ac:dyDescent="0.3">
      <c r="A6" s="662" t="s">
        <v>9</v>
      </c>
      <c r="B6" s="662"/>
      <c r="C6" s="663" t="s">
        <v>34</v>
      </c>
      <c r="D6" s="663"/>
      <c r="E6" s="662" t="s">
        <v>10</v>
      </c>
      <c r="F6" s="662"/>
      <c r="G6" s="662"/>
      <c r="H6" s="664" t="s">
        <v>35</v>
      </c>
      <c r="I6" s="664"/>
    </row>
    <row r="7" spans="1:11" ht="18.75" thickBot="1" x14ac:dyDescent="0.3">
      <c r="A7" s="15"/>
      <c r="B7" s="15"/>
      <c r="C7" s="17"/>
      <c r="D7" s="17"/>
      <c r="E7" s="17"/>
      <c r="F7" s="17"/>
      <c r="G7" s="16"/>
      <c r="H7" s="16"/>
      <c r="I7" s="3"/>
    </row>
    <row r="8" spans="1:11" x14ac:dyDescent="0.25">
      <c r="A8" s="665" t="s">
        <v>11</v>
      </c>
      <c r="B8" s="667" t="s">
        <v>12</v>
      </c>
      <c r="C8" s="667" t="s">
        <v>13</v>
      </c>
      <c r="D8" s="670" t="s">
        <v>14</v>
      </c>
      <c r="E8" s="667" t="s">
        <v>16</v>
      </c>
      <c r="F8" s="672" t="s">
        <v>31</v>
      </c>
      <c r="G8" s="674" t="s">
        <v>15</v>
      </c>
      <c r="H8" s="675"/>
      <c r="I8" s="676"/>
    </row>
    <row r="9" spans="1:11" ht="15.75" thickBot="1" x14ac:dyDescent="0.3">
      <c r="A9" s="666"/>
      <c r="B9" s="668"/>
      <c r="C9" s="669"/>
      <c r="D9" s="671"/>
      <c r="E9" s="669"/>
      <c r="F9" s="673" t="s">
        <v>17</v>
      </c>
      <c r="G9" s="677"/>
      <c r="H9" s="678"/>
      <c r="I9" s="679"/>
    </row>
    <row r="10" spans="1:11" x14ac:dyDescent="0.25">
      <c r="A10" s="5" t="s">
        <v>46</v>
      </c>
      <c r="B10" s="70" t="s">
        <v>47</v>
      </c>
      <c r="C10" s="68" t="s">
        <v>18</v>
      </c>
      <c r="D10" s="65"/>
      <c r="E10" s="66">
        <v>210</v>
      </c>
      <c r="F10" s="4" t="s">
        <v>19</v>
      </c>
      <c r="G10" s="54"/>
      <c r="H10" s="61"/>
      <c r="I10" s="60"/>
    </row>
    <row r="11" spans="1:11" ht="15.75" x14ac:dyDescent="0.25">
      <c r="A11" s="5" t="s">
        <v>48</v>
      </c>
      <c r="B11" s="71" t="s">
        <v>72</v>
      </c>
      <c r="C11" s="55" t="s">
        <v>18</v>
      </c>
      <c r="D11" s="48"/>
      <c r="E11" s="47">
        <v>600</v>
      </c>
      <c r="F11" s="4" t="s">
        <v>19</v>
      </c>
      <c r="G11" s="54"/>
      <c r="H11" s="61"/>
      <c r="I11" s="60"/>
    </row>
    <row r="12" spans="1:11" ht="15.75" x14ac:dyDescent="0.25">
      <c r="A12" s="5" t="s">
        <v>49</v>
      </c>
      <c r="B12" s="71" t="s">
        <v>50</v>
      </c>
      <c r="C12" s="69" t="s">
        <v>18</v>
      </c>
      <c r="D12" s="47"/>
      <c r="E12" s="47">
        <v>150</v>
      </c>
      <c r="F12" s="4" t="s">
        <v>19</v>
      </c>
      <c r="G12" s="54"/>
      <c r="H12" s="61"/>
      <c r="I12" s="60"/>
    </row>
    <row r="13" spans="1:11" ht="15.75" x14ac:dyDescent="0.25">
      <c r="A13" s="5"/>
      <c r="B13" s="71"/>
      <c r="C13" s="55"/>
      <c r="D13" s="47"/>
      <c r="E13" s="47"/>
      <c r="F13" s="4"/>
      <c r="G13" s="54"/>
      <c r="H13" s="61"/>
      <c r="I13" s="60"/>
    </row>
    <row r="14" spans="1:11" ht="15.75" x14ac:dyDescent="0.25">
      <c r="A14" s="5" t="s">
        <v>53</v>
      </c>
      <c r="B14" t="s">
        <v>54</v>
      </c>
      <c r="C14" s="55" t="s">
        <v>55</v>
      </c>
      <c r="D14" s="47"/>
      <c r="E14" s="47">
        <v>15</v>
      </c>
      <c r="F14" s="4" t="s">
        <v>19</v>
      </c>
      <c r="G14" s="622" t="s">
        <v>56</v>
      </c>
      <c r="H14" s="623"/>
      <c r="I14" s="624"/>
    </row>
    <row r="15" spans="1:11" ht="15.75" x14ac:dyDescent="0.25">
      <c r="A15" s="5"/>
      <c r="B15" s="65"/>
      <c r="C15" s="55"/>
      <c r="D15" s="47"/>
      <c r="E15" s="47"/>
      <c r="F15" s="4"/>
      <c r="G15" s="54"/>
      <c r="H15" s="61"/>
      <c r="I15" s="60"/>
    </row>
    <row r="16" spans="1:11" ht="15.75" x14ac:dyDescent="0.25">
      <c r="A16" s="5" t="s">
        <v>57</v>
      </c>
      <c r="B16" s="67" t="s">
        <v>58</v>
      </c>
      <c r="C16" s="55"/>
      <c r="D16" s="50"/>
      <c r="E16" s="66">
        <v>1</v>
      </c>
      <c r="F16" s="72" t="s">
        <v>20</v>
      </c>
      <c r="G16" s="616"/>
      <c r="H16" s="617"/>
      <c r="I16" s="618"/>
      <c r="K16" s="46">
        <v>978</v>
      </c>
    </row>
    <row r="17" spans="1:13" ht="15.75" x14ac:dyDescent="0.25">
      <c r="A17" s="5" t="s">
        <v>59</v>
      </c>
      <c r="B17" s="65" t="s">
        <v>60</v>
      </c>
      <c r="C17" s="55"/>
      <c r="D17" s="50" t="s">
        <v>61</v>
      </c>
      <c r="E17" s="74">
        <v>1</v>
      </c>
      <c r="F17" s="73" t="s">
        <v>20</v>
      </c>
      <c r="G17" s="625" t="s">
        <v>73</v>
      </c>
      <c r="H17" s="617"/>
      <c r="I17" s="618"/>
      <c r="K17" s="46"/>
    </row>
    <row r="18" spans="1:13" ht="15.75" x14ac:dyDescent="0.25">
      <c r="A18" s="5" t="s">
        <v>62</v>
      </c>
      <c r="B18" s="65" t="s">
        <v>63</v>
      </c>
      <c r="C18" s="55"/>
      <c r="D18" s="49"/>
      <c r="E18" s="73">
        <v>1</v>
      </c>
      <c r="F18" s="73" t="s">
        <v>20</v>
      </c>
      <c r="G18" s="62"/>
      <c r="H18" s="53"/>
      <c r="I18" s="64"/>
      <c r="K18" s="46"/>
    </row>
    <row r="19" spans="1:13" ht="15.75" x14ac:dyDescent="0.25">
      <c r="A19" s="5" t="s">
        <v>74</v>
      </c>
      <c r="B19" s="65" t="s">
        <v>75</v>
      </c>
      <c r="C19" s="55"/>
      <c r="D19" s="49"/>
      <c r="E19" s="74">
        <v>1</v>
      </c>
      <c r="F19" s="74" t="s">
        <v>20</v>
      </c>
      <c r="G19" s="75"/>
      <c r="H19" s="76"/>
      <c r="I19" s="77"/>
      <c r="K19" s="46"/>
    </row>
    <row r="20" spans="1:13" ht="15.75" x14ac:dyDescent="0.25">
      <c r="A20" s="5" t="s">
        <v>76</v>
      </c>
      <c r="B20" s="65" t="s">
        <v>77</v>
      </c>
      <c r="C20" s="55"/>
      <c r="D20" s="49"/>
      <c r="E20" s="74">
        <v>1</v>
      </c>
      <c r="F20" s="74" t="s">
        <v>20</v>
      </c>
      <c r="G20" s="78"/>
      <c r="H20" s="79"/>
      <c r="I20" s="80"/>
      <c r="K20" s="46"/>
    </row>
    <row r="21" spans="1:13" ht="15.75" thickBot="1" x14ac:dyDescent="0.3">
      <c r="A21" s="7"/>
      <c r="B21" s="8"/>
      <c r="C21" s="8"/>
      <c r="D21" s="8"/>
      <c r="E21" s="9"/>
      <c r="F21" s="10"/>
      <c r="G21" s="8"/>
      <c r="H21" s="8"/>
      <c r="I21" s="11"/>
      <c r="J21" s="12"/>
      <c r="K21" s="12"/>
      <c r="L21" s="13"/>
      <c r="M21" s="12"/>
    </row>
    <row r="22" spans="1:13" ht="15.75" thickBot="1" x14ac:dyDescent="0.3">
      <c r="A22" s="35"/>
      <c r="B22" s="36"/>
      <c r="C22" s="37" t="s">
        <v>16</v>
      </c>
      <c r="D22" s="38" t="s">
        <v>21</v>
      </c>
      <c r="F22" s="647" t="s">
        <v>22</v>
      </c>
      <c r="G22" s="648"/>
      <c r="H22" s="648"/>
      <c r="I22" s="649"/>
      <c r="J22" s="12"/>
      <c r="K22" s="12"/>
      <c r="L22" s="13"/>
      <c r="M22" s="12"/>
    </row>
    <row r="23" spans="1:13" x14ac:dyDescent="0.25">
      <c r="A23" s="650" t="s">
        <v>23</v>
      </c>
      <c r="B23" s="651"/>
      <c r="C23" s="34">
        <v>950</v>
      </c>
      <c r="D23" s="18" t="s">
        <v>19</v>
      </c>
      <c r="F23" s="652"/>
      <c r="G23" s="653"/>
      <c r="H23" s="653"/>
      <c r="I23" s="654"/>
      <c r="J23" s="12"/>
      <c r="K23" s="12"/>
      <c r="L23" s="13"/>
      <c r="M23" s="12"/>
    </row>
    <row r="24" spans="1:13" x14ac:dyDescent="0.25">
      <c r="A24" s="650" t="s">
        <v>24</v>
      </c>
      <c r="B24" s="651"/>
      <c r="C24" s="34">
        <v>4</v>
      </c>
      <c r="D24" s="18" t="s">
        <v>25</v>
      </c>
      <c r="F24" s="652"/>
      <c r="G24" s="653"/>
      <c r="H24" s="653"/>
      <c r="I24" s="654"/>
      <c r="J24" s="12"/>
      <c r="K24" s="12"/>
      <c r="L24" s="13"/>
      <c r="M24" s="12"/>
    </row>
    <row r="25" spans="1:13" x14ac:dyDescent="0.25">
      <c r="A25" s="658" t="s">
        <v>26</v>
      </c>
      <c r="B25" s="659"/>
      <c r="C25" s="34">
        <v>1</v>
      </c>
      <c r="D25" s="18" t="s">
        <v>20</v>
      </c>
      <c r="F25" s="652"/>
      <c r="G25" s="653"/>
      <c r="H25" s="653"/>
      <c r="I25" s="654"/>
      <c r="J25" s="12"/>
      <c r="K25" s="12"/>
      <c r="L25" s="13"/>
      <c r="M25" s="12"/>
    </row>
    <row r="26" spans="1:13" x14ac:dyDescent="0.25">
      <c r="A26" s="658" t="s">
        <v>27</v>
      </c>
      <c r="B26" s="659"/>
      <c r="C26" s="34">
        <v>950</v>
      </c>
      <c r="D26" s="18" t="s">
        <v>19</v>
      </c>
      <c r="F26" s="652"/>
      <c r="G26" s="653"/>
      <c r="H26" s="653"/>
      <c r="I26" s="654"/>
      <c r="J26" s="12"/>
      <c r="K26" s="12"/>
      <c r="L26" s="13"/>
      <c r="M26" s="14"/>
    </row>
    <row r="27" spans="1:13" ht="15.75" thickBot="1" x14ac:dyDescent="0.3">
      <c r="A27" s="660" t="s">
        <v>28</v>
      </c>
      <c r="B27" s="661"/>
      <c r="C27" s="52">
        <v>25</v>
      </c>
      <c r="D27" s="19" t="s">
        <v>19</v>
      </c>
      <c r="F27" s="655"/>
      <c r="G27" s="656"/>
      <c r="H27" s="656"/>
      <c r="I27" s="657"/>
      <c r="J27" s="8"/>
      <c r="K27" s="8"/>
      <c r="L27" s="13"/>
      <c r="M27" s="8"/>
    </row>
    <row r="28" spans="1:13" ht="15.75" thickBot="1" x14ac:dyDescent="0.3">
      <c r="A28" s="39"/>
      <c r="B28" s="33"/>
      <c r="C28" s="33"/>
      <c r="D28" s="40"/>
      <c r="F28" s="27"/>
      <c r="G28" s="27"/>
      <c r="H28" s="27"/>
      <c r="I28" s="27"/>
      <c r="J28" s="8"/>
      <c r="K28" s="8"/>
      <c r="L28" s="13"/>
      <c r="M28" s="8"/>
    </row>
    <row r="29" spans="1:13" ht="15.75" thickBot="1" x14ac:dyDescent="0.3">
      <c r="A29" s="20" t="s">
        <v>29</v>
      </c>
      <c r="B29" s="21"/>
      <c r="C29" s="21"/>
      <c r="D29" s="21"/>
      <c r="E29" s="21"/>
      <c r="F29" s="21"/>
      <c r="G29" s="21"/>
      <c r="H29" s="21"/>
      <c r="I29" s="41"/>
      <c r="J29" s="12"/>
      <c r="K29" s="12"/>
      <c r="L29" s="12"/>
      <c r="M29" s="12"/>
    </row>
    <row r="30" spans="1:13" x14ac:dyDescent="0.25">
      <c r="A30" s="628" t="s">
        <v>78</v>
      </c>
      <c r="B30" s="629"/>
      <c r="C30" s="629"/>
      <c r="D30" s="629"/>
      <c r="E30" s="629"/>
      <c r="F30" s="629"/>
      <c r="G30" s="629"/>
      <c r="H30" s="629"/>
      <c r="I30" s="630"/>
      <c r="J30" s="12"/>
      <c r="K30" s="12"/>
      <c r="L30" s="12"/>
      <c r="M30" s="12"/>
    </row>
    <row r="31" spans="1:13" x14ac:dyDescent="0.25">
      <c r="A31" s="631" t="s">
        <v>64</v>
      </c>
      <c r="B31" s="632"/>
      <c r="C31" s="632"/>
      <c r="D31" s="632"/>
      <c r="E31" s="632"/>
      <c r="F31" s="632"/>
      <c r="G31" s="632"/>
      <c r="H31" s="632"/>
      <c r="I31" s="633"/>
      <c r="J31" s="12"/>
      <c r="K31" s="12"/>
      <c r="L31" s="12"/>
      <c r="M31" s="12"/>
    </row>
    <row r="32" spans="1:13" ht="15.75" thickBot="1" x14ac:dyDescent="0.3">
      <c r="A32" s="634" t="s">
        <v>134</v>
      </c>
      <c r="B32" s="635"/>
      <c r="C32" s="636"/>
      <c r="D32" s="636"/>
      <c r="E32" s="636"/>
      <c r="F32" s="636"/>
      <c r="G32" s="636"/>
      <c r="H32" s="636"/>
      <c r="I32" s="637"/>
      <c r="J32" s="12"/>
      <c r="K32" s="12"/>
      <c r="L32" s="12"/>
      <c r="M32" s="12"/>
    </row>
    <row r="33" spans="1:13" ht="15.75" thickBot="1" x14ac:dyDescent="0.3">
      <c r="A33" s="638"/>
      <c r="B33" s="639"/>
      <c r="C33" s="639"/>
      <c r="D33" s="639"/>
      <c r="E33" s="639"/>
      <c r="F33" s="639"/>
      <c r="G33" s="639"/>
      <c r="H33" s="639"/>
      <c r="I33" s="640"/>
      <c r="J33" s="12"/>
      <c r="K33" s="12"/>
      <c r="L33" s="12"/>
      <c r="M33" s="12"/>
    </row>
    <row r="34" spans="1:13" x14ac:dyDescent="0.25">
      <c r="A34" s="641"/>
      <c r="B34" s="642"/>
      <c r="C34" s="642"/>
      <c r="D34" s="642"/>
      <c r="E34" s="642"/>
      <c r="F34" s="642"/>
      <c r="G34" s="642"/>
      <c r="H34" s="642"/>
      <c r="I34" s="643"/>
      <c r="J34" s="12"/>
      <c r="K34" s="12"/>
      <c r="L34" s="12"/>
      <c r="M34" s="12"/>
    </row>
    <row r="35" spans="1:13" ht="15.75" thickBot="1" x14ac:dyDescent="0.3">
      <c r="A35" s="644"/>
      <c r="B35" s="645"/>
      <c r="C35" s="645"/>
      <c r="D35" s="645"/>
      <c r="E35" s="645"/>
      <c r="F35" s="645"/>
      <c r="G35" s="645"/>
      <c r="H35" s="645"/>
      <c r="I35" s="646"/>
      <c r="J35" s="12"/>
      <c r="K35" s="12"/>
      <c r="L35" s="12"/>
      <c r="M35" s="12"/>
    </row>
    <row r="36" spans="1:13" x14ac:dyDescent="0.25">
      <c r="A36" s="626" t="s">
        <v>30</v>
      </c>
      <c r="B36" s="626"/>
      <c r="C36" s="626"/>
      <c r="D36" s="626"/>
      <c r="E36" s="626"/>
      <c r="F36" s="626"/>
      <c r="G36" s="626"/>
      <c r="H36" s="626"/>
      <c r="I36" s="627"/>
      <c r="J36" s="12"/>
      <c r="K36" s="12"/>
      <c r="L36" s="12"/>
      <c r="M36" s="12"/>
    </row>
    <row r="37" spans="1:13" x14ac:dyDescent="0.25">
      <c r="A37" s="43" t="s">
        <v>32</v>
      </c>
      <c r="B37" s="619" t="s">
        <v>33</v>
      </c>
      <c r="C37" s="620"/>
      <c r="D37" s="620"/>
      <c r="E37" s="620"/>
      <c r="F37" s="620"/>
      <c r="G37" s="620"/>
      <c r="H37" s="620"/>
      <c r="I37" s="621"/>
      <c r="J37" s="44"/>
      <c r="K37" s="44"/>
      <c r="L37" s="44"/>
      <c r="M37" s="44"/>
    </row>
    <row r="38" spans="1:13" x14ac:dyDescent="0.25">
      <c r="A38" s="42">
        <v>1</v>
      </c>
      <c r="B38" s="619"/>
      <c r="C38" s="620"/>
      <c r="D38" s="620"/>
      <c r="E38" s="620"/>
      <c r="F38" s="620"/>
      <c r="G38" s="620"/>
      <c r="H38" s="620"/>
      <c r="I38" s="621"/>
      <c r="J38" s="44"/>
      <c r="K38" s="44"/>
      <c r="L38" s="44"/>
      <c r="M38" s="44"/>
    </row>
    <row r="39" spans="1:13" x14ac:dyDescent="0.25">
      <c r="A39" s="42">
        <v>2</v>
      </c>
      <c r="B39" s="619"/>
      <c r="C39" s="620"/>
      <c r="D39" s="620"/>
      <c r="E39" s="620"/>
      <c r="F39" s="620"/>
      <c r="G39" s="620"/>
      <c r="H39" s="620"/>
      <c r="I39" s="621"/>
      <c r="J39" s="44"/>
      <c r="K39" s="44"/>
      <c r="L39" s="44"/>
      <c r="M39" s="44"/>
    </row>
    <row r="40" spans="1:13" x14ac:dyDescent="0.25">
      <c r="A40" s="42">
        <v>3</v>
      </c>
      <c r="B40" s="619"/>
      <c r="C40" s="620"/>
      <c r="D40" s="620"/>
      <c r="E40" s="620"/>
      <c r="F40" s="620"/>
      <c r="G40" s="620"/>
      <c r="H40" s="620"/>
      <c r="I40" s="621"/>
      <c r="J40" s="44"/>
      <c r="K40" s="44"/>
      <c r="L40" s="44"/>
      <c r="M40" s="44"/>
    </row>
    <row r="41" spans="1:13" x14ac:dyDescent="0.25">
      <c r="A41" s="42">
        <v>4</v>
      </c>
      <c r="B41" s="619"/>
      <c r="C41" s="620"/>
      <c r="D41" s="620"/>
      <c r="E41" s="620"/>
      <c r="F41" s="620"/>
      <c r="G41" s="620"/>
      <c r="H41" s="620"/>
      <c r="I41" s="621"/>
      <c r="J41" s="44"/>
      <c r="K41" s="44"/>
      <c r="L41" s="44"/>
      <c r="M41" s="44"/>
    </row>
    <row r="42" spans="1:13" x14ac:dyDescent="0.25">
      <c r="A42" s="42">
        <v>5</v>
      </c>
      <c r="B42" s="619"/>
      <c r="C42" s="620"/>
      <c r="D42" s="620"/>
      <c r="E42" s="620"/>
      <c r="F42" s="620"/>
      <c r="G42" s="620"/>
      <c r="H42" s="620"/>
      <c r="I42" s="621"/>
      <c r="J42" s="44"/>
      <c r="K42" s="44"/>
      <c r="L42" s="44"/>
      <c r="M42" s="44"/>
    </row>
  </sheetData>
  <mergeCells count="41">
    <mergeCell ref="A1:A4"/>
    <mergeCell ref="B1:G1"/>
    <mergeCell ref="B2:G2"/>
    <mergeCell ref="B3:G3"/>
    <mergeCell ref="C4:D4"/>
    <mergeCell ref="E4:F4"/>
    <mergeCell ref="G4:I4"/>
    <mergeCell ref="A6:B6"/>
    <mergeCell ref="C6:D6"/>
    <mergeCell ref="E6:G6"/>
    <mergeCell ref="H6:I6"/>
    <mergeCell ref="A8:A9"/>
    <mergeCell ref="B8:B9"/>
    <mergeCell ref="C8:C9"/>
    <mergeCell ref="D8:D9"/>
    <mergeCell ref="E8:E9"/>
    <mergeCell ref="F8:F9"/>
    <mergeCell ref="G8:I9"/>
    <mergeCell ref="F22:I22"/>
    <mergeCell ref="A23:B23"/>
    <mergeCell ref="F23:I27"/>
    <mergeCell ref="A24:B24"/>
    <mergeCell ref="A25:B25"/>
    <mergeCell ref="A26:B26"/>
    <mergeCell ref="A27:B27"/>
    <mergeCell ref="G16:I16"/>
    <mergeCell ref="B42:I42"/>
    <mergeCell ref="G14:I14"/>
    <mergeCell ref="G17:I17"/>
    <mergeCell ref="A36:I36"/>
    <mergeCell ref="B37:I37"/>
    <mergeCell ref="B38:I38"/>
    <mergeCell ref="B39:I39"/>
    <mergeCell ref="B40:I40"/>
    <mergeCell ref="B41:I41"/>
    <mergeCell ref="A30:I30"/>
    <mergeCell ref="A31:I31"/>
    <mergeCell ref="A32:I32"/>
    <mergeCell ref="A33:I33"/>
    <mergeCell ref="A34:I34"/>
    <mergeCell ref="A35:I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35842-5046-4173-8F31-7361496DD5EB}">
  <dimension ref="A1:I57"/>
  <sheetViews>
    <sheetView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19.42578125" customWidth="1"/>
    <col min="9" max="9" width="18.140625" bestFit="1" customWidth="1"/>
  </cols>
  <sheetData>
    <row r="1" spans="1:9" ht="15.75" x14ac:dyDescent="0.25">
      <c r="A1" s="753"/>
      <c r="B1" s="754"/>
      <c r="C1" s="704" t="s">
        <v>0</v>
      </c>
      <c r="D1" s="704"/>
      <c r="E1" s="704"/>
      <c r="F1" s="704"/>
      <c r="G1" s="704"/>
      <c r="H1" s="179" t="s">
        <v>1</v>
      </c>
      <c r="I1" s="180" t="s">
        <v>150</v>
      </c>
    </row>
    <row r="2" spans="1:9" ht="18" customHeight="1" thickBot="1" x14ac:dyDescent="0.3">
      <c r="A2" s="755"/>
      <c r="B2" s="756"/>
      <c r="C2" s="759" t="s">
        <v>3</v>
      </c>
      <c r="D2" s="760"/>
      <c r="E2" s="760"/>
      <c r="F2" s="760"/>
      <c r="G2" s="761"/>
      <c r="H2" s="227" t="s">
        <v>4</v>
      </c>
      <c r="I2" s="228" t="s">
        <v>5</v>
      </c>
    </row>
    <row r="3" spans="1:9" ht="31.5" customHeight="1" thickBot="1" x14ac:dyDescent="0.3">
      <c r="A3" s="755"/>
      <c r="B3" s="756"/>
      <c r="C3" s="706" t="s">
        <v>151</v>
      </c>
      <c r="D3" s="706"/>
      <c r="E3" s="706"/>
      <c r="F3" s="706"/>
      <c r="G3" s="706"/>
      <c r="H3" s="762" t="s">
        <v>6</v>
      </c>
      <c r="I3" s="744">
        <v>45618</v>
      </c>
    </row>
    <row r="4" spans="1:9" ht="18" customHeight="1" x14ac:dyDescent="0.25">
      <c r="A4" s="755"/>
      <c r="B4" s="756"/>
      <c r="C4" s="229" t="s">
        <v>7</v>
      </c>
      <c r="D4" s="747" t="s">
        <v>152</v>
      </c>
      <c r="E4" s="748"/>
      <c r="F4" s="748"/>
      <c r="G4" s="749"/>
      <c r="H4" s="763"/>
      <c r="I4" s="745"/>
    </row>
    <row r="5" spans="1:9" ht="15.75" thickBot="1" x14ac:dyDescent="0.3">
      <c r="A5" s="757"/>
      <c r="B5" s="758"/>
      <c r="C5" s="230" t="s">
        <v>8</v>
      </c>
      <c r="D5" s="750" t="s">
        <v>135</v>
      </c>
      <c r="E5" s="751"/>
      <c r="F5" s="751"/>
      <c r="G5" s="752"/>
      <c r="H5" s="764"/>
      <c r="I5" s="746"/>
    </row>
    <row r="6" spans="1:9" ht="18.75" thickBot="1" x14ac:dyDescent="0.3">
      <c r="A6" s="765" t="s">
        <v>9</v>
      </c>
      <c r="B6" s="765"/>
      <c r="C6" s="765"/>
      <c r="D6" s="663" t="s">
        <v>153</v>
      </c>
      <c r="E6" s="663"/>
      <c r="F6" s="663"/>
      <c r="G6" s="766" t="s">
        <v>10</v>
      </c>
      <c r="H6" s="766"/>
      <c r="I6" s="3" t="s">
        <v>153</v>
      </c>
    </row>
    <row r="7" spans="1:9" x14ac:dyDescent="0.25">
      <c r="A7" s="767" t="s">
        <v>137</v>
      </c>
      <c r="B7" s="665" t="s">
        <v>11</v>
      </c>
      <c r="C7" s="667" t="s">
        <v>12</v>
      </c>
      <c r="D7" s="667" t="s">
        <v>13</v>
      </c>
      <c r="E7" s="667" t="s">
        <v>138</v>
      </c>
      <c r="F7" s="667"/>
      <c r="G7" s="667" t="s">
        <v>139</v>
      </c>
      <c r="H7" s="667"/>
      <c r="I7" s="231" t="s">
        <v>140</v>
      </c>
    </row>
    <row r="8" spans="1:9" ht="27" thickBot="1" x14ac:dyDescent="0.3">
      <c r="A8" s="768"/>
      <c r="B8" s="769"/>
      <c r="C8" s="669"/>
      <c r="D8" s="669"/>
      <c r="E8" s="232" t="s">
        <v>16</v>
      </c>
      <c r="F8" s="233" t="s">
        <v>17</v>
      </c>
      <c r="G8" s="232" t="s">
        <v>16</v>
      </c>
      <c r="H8" s="233" t="s">
        <v>17</v>
      </c>
      <c r="I8" s="234" t="s">
        <v>141</v>
      </c>
    </row>
    <row r="9" spans="1:9" ht="18.600000000000001" customHeight="1" x14ac:dyDescent="0.25">
      <c r="A9" s="235"/>
      <c r="B9" s="236"/>
      <c r="C9" s="237" t="s">
        <v>142</v>
      </c>
      <c r="D9" s="238"/>
      <c r="E9" s="225"/>
      <c r="F9" s="4"/>
      <c r="G9" s="225"/>
      <c r="H9" s="4"/>
      <c r="I9" s="239"/>
    </row>
    <row r="10" spans="1:9" ht="18" customHeight="1" x14ac:dyDescent="0.25">
      <c r="A10" s="240">
        <v>902000016</v>
      </c>
      <c r="B10" s="5" t="s">
        <v>154</v>
      </c>
      <c r="C10" s="65" t="s">
        <v>155</v>
      </c>
      <c r="D10" s="241" t="s">
        <v>18</v>
      </c>
      <c r="E10" s="242">
        <v>18300</v>
      </c>
      <c r="F10" s="243" t="s">
        <v>19</v>
      </c>
      <c r="G10" s="244"/>
      <c r="H10" s="245"/>
      <c r="I10" s="239"/>
    </row>
    <row r="11" spans="1:9" x14ac:dyDescent="0.25">
      <c r="A11" s="241" t="s">
        <v>156</v>
      </c>
      <c r="B11" s="241"/>
      <c r="C11" s="246" t="s">
        <v>157</v>
      </c>
      <c r="D11" s="241" t="s">
        <v>18</v>
      </c>
      <c r="E11" s="242">
        <v>1800</v>
      </c>
      <c r="F11" s="243" t="s">
        <v>20</v>
      </c>
      <c r="G11" s="244"/>
      <c r="H11" s="245"/>
      <c r="I11" s="239"/>
    </row>
    <row r="12" spans="1:9" x14ac:dyDescent="0.25">
      <c r="A12" s="241"/>
      <c r="B12" s="241"/>
      <c r="C12" s="246"/>
      <c r="D12" s="241"/>
      <c r="E12" s="242"/>
      <c r="F12" s="243"/>
      <c r="G12" s="244"/>
      <c r="H12" s="245"/>
      <c r="I12" s="239"/>
    </row>
    <row r="13" spans="1:9" x14ac:dyDescent="0.25">
      <c r="A13" s="241"/>
      <c r="B13" s="241"/>
      <c r="C13" s="246"/>
      <c r="D13" s="241"/>
      <c r="E13" s="242"/>
      <c r="F13" s="243"/>
      <c r="G13" s="244"/>
      <c r="H13" s="245"/>
      <c r="I13" s="239"/>
    </row>
    <row r="14" spans="1:9" x14ac:dyDescent="0.25">
      <c r="A14" s="241"/>
      <c r="B14" s="241"/>
      <c r="C14" s="246"/>
      <c r="D14" s="241"/>
      <c r="E14" s="242"/>
      <c r="F14" s="243"/>
      <c r="G14" s="244"/>
      <c r="H14" s="245"/>
      <c r="I14" s="239"/>
    </row>
    <row r="15" spans="1:9" x14ac:dyDescent="0.25">
      <c r="A15" s="241"/>
      <c r="B15" s="241"/>
      <c r="C15" s="246"/>
      <c r="D15" s="241"/>
      <c r="E15" s="242"/>
      <c r="F15" s="243"/>
      <c r="G15" s="244"/>
      <c r="H15" s="245"/>
      <c r="I15" s="239"/>
    </row>
    <row r="16" spans="1:9" x14ac:dyDescent="0.25">
      <c r="A16" s="241"/>
      <c r="B16" s="241"/>
      <c r="C16" s="246"/>
      <c r="D16" s="241"/>
      <c r="E16" s="242"/>
      <c r="F16" s="243"/>
      <c r="G16" s="244"/>
      <c r="H16" s="245"/>
      <c r="I16" s="239"/>
    </row>
    <row r="17" spans="1:9" x14ac:dyDescent="0.25">
      <c r="A17" s="241"/>
      <c r="B17" s="241"/>
      <c r="C17" s="246"/>
      <c r="D17" s="241"/>
      <c r="E17" s="242"/>
      <c r="F17" s="243"/>
      <c r="G17" s="244"/>
      <c r="H17" s="245"/>
      <c r="I17" s="239"/>
    </row>
    <row r="18" spans="1:9" x14ac:dyDescent="0.25">
      <c r="A18" s="241"/>
      <c r="B18" s="241"/>
      <c r="C18" s="246"/>
      <c r="D18" s="241"/>
      <c r="E18" s="242"/>
      <c r="F18" s="243"/>
      <c r="G18" s="244"/>
      <c r="H18" s="245"/>
      <c r="I18" s="239"/>
    </row>
    <row r="19" spans="1:9" x14ac:dyDescent="0.25">
      <c r="A19" s="241"/>
      <c r="B19" s="241"/>
      <c r="C19" s="246"/>
      <c r="D19" s="241"/>
      <c r="E19" s="242"/>
      <c r="F19" s="243"/>
      <c r="G19" s="244"/>
      <c r="H19" s="245"/>
      <c r="I19" s="239"/>
    </row>
    <row r="20" spans="1:9" ht="15.75" x14ac:dyDescent="0.25">
      <c r="A20" s="247"/>
      <c r="B20" s="247"/>
      <c r="C20" s="65"/>
      <c r="D20" s="74"/>
      <c r="E20" s="74"/>
      <c r="F20" s="74"/>
      <c r="G20" s="223"/>
      <c r="H20" s="245"/>
      <c r="I20" s="239"/>
    </row>
    <row r="21" spans="1:9" ht="15.75" x14ac:dyDescent="0.25">
      <c r="A21" s="248"/>
      <c r="B21" s="249"/>
      <c r="C21" s="250" t="s">
        <v>158</v>
      </c>
      <c r="D21" s="74"/>
      <c r="E21" s="74"/>
      <c r="F21" s="74"/>
      <c r="G21" s="223"/>
      <c r="H21" s="245"/>
      <c r="I21" s="239"/>
    </row>
    <row r="22" spans="1:9" x14ac:dyDescent="0.25">
      <c r="A22" s="240"/>
      <c r="B22" s="5"/>
      <c r="C22" s="65"/>
      <c r="D22" s="251"/>
      <c r="E22" s="251"/>
      <c r="F22" s="251"/>
      <c r="G22" s="225"/>
      <c r="H22" s="245"/>
      <c r="I22" s="239"/>
    </row>
    <row r="23" spans="1:9" x14ac:dyDescent="0.25">
      <c r="A23" s="252"/>
      <c r="B23" s="247"/>
      <c r="C23" s="65"/>
      <c r="D23" s="251"/>
      <c r="E23" s="251"/>
      <c r="F23" s="251"/>
      <c r="G23" s="225"/>
      <c r="H23" s="245"/>
      <c r="I23" s="239"/>
    </row>
    <row r="24" spans="1:9" x14ac:dyDescent="0.25">
      <c r="A24" s="252"/>
      <c r="B24" s="247"/>
      <c r="C24" s="65"/>
      <c r="D24" s="251"/>
      <c r="E24" s="251"/>
      <c r="F24" s="251"/>
      <c r="G24" s="225"/>
      <c r="H24" s="245"/>
      <c r="I24" s="239"/>
    </row>
    <row r="25" spans="1:9" ht="15.75" x14ac:dyDescent="0.25">
      <c r="A25" s="248"/>
      <c r="B25" s="249"/>
      <c r="C25" s="250"/>
      <c r="D25" s="253"/>
      <c r="E25" s="254"/>
      <c r="F25" s="255"/>
      <c r="G25" s="225"/>
      <c r="H25" s="245"/>
      <c r="I25" s="239"/>
    </row>
    <row r="26" spans="1:9" x14ac:dyDescent="0.25">
      <c r="A26" s="256"/>
      <c r="B26" s="257"/>
      <c r="C26" s="258"/>
      <c r="D26" s="259"/>
      <c r="E26" s="260"/>
      <c r="F26" s="261"/>
      <c r="G26" s="225"/>
      <c r="H26" s="245"/>
      <c r="I26" s="239"/>
    </row>
    <row r="27" spans="1:9" x14ac:dyDescent="0.25">
      <c r="A27" s="5"/>
      <c r="B27" s="5"/>
      <c r="C27" s="65"/>
      <c r="D27" s="262"/>
      <c r="E27" s="222"/>
      <c r="F27" s="263"/>
      <c r="G27" s="225"/>
      <c r="H27" s="245"/>
      <c r="I27" s="239"/>
    </row>
    <row r="28" spans="1:9" ht="15.75" x14ac:dyDescent="0.25">
      <c r="A28" s="264"/>
      <c r="B28" s="265"/>
      <c r="C28" s="266" t="s">
        <v>159</v>
      </c>
      <c r="D28" s="267"/>
      <c r="E28" s="268"/>
      <c r="F28" s="4"/>
      <c r="G28" s="225"/>
      <c r="H28" s="245"/>
      <c r="I28" s="239"/>
    </row>
    <row r="29" spans="1:9" x14ac:dyDescent="0.25">
      <c r="A29" s="269" t="s">
        <v>160</v>
      </c>
      <c r="B29" s="270" t="s">
        <v>161</v>
      </c>
      <c r="C29" s="271" t="s">
        <v>162</v>
      </c>
      <c r="D29" s="66"/>
      <c r="E29" s="224">
        <v>64</v>
      </c>
      <c r="F29" s="72" t="s">
        <v>163</v>
      </c>
      <c r="G29" s="272"/>
      <c r="H29" s="245"/>
      <c r="I29" s="239"/>
    </row>
    <row r="30" spans="1:9" x14ac:dyDescent="0.25">
      <c r="A30" s="269"/>
      <c r="B30" s="270"/>
      <c r="C30" s="271"/>
      <c r="D30" s="66"/>
      <c r="E30" s="224"/>
      <c r="F30" s="72"/>
      <c r="G30" s="272"/>
      <c r="H30" s="245"/>
      <c r="I30" s="239"/>
    </row>
    <row r="31" spans="1:9" x14ac:dyDescent="0.25">
      <c r="A31" s="273"/>
      <c r="B31" s="274"/>
      <c r="C31" s="275"/>
      <c r="D31" s="66"/>
      <c r="E31" s="224"/>
      <c r="F31" s="72"/>
      <c r="G31" s="272"/>
      <c r="H31" s="245"/>
      <c r="I31" s="239"/>
    </row>
    <row r="32" spans="1:9" x14ac:dyDescent="0.25">
      <c r="A32" s="276"/>
      <c r="B32" s="276"/>
      <c r="C32" s="277"/>
      <c r="D32" s="66"/>
      <c r="E32" s="224"/>
      <c r="F32" s="72"/>
      <c r="G32" s="225"/>
      <c r="H32" s="245"/>
      <c r="I32" s="239"/>
    </row>
    <row r="33" spans="1:9" x14ac:dyDescent="0.25">
      <c r="A33" s="276"/>
      <c r="B33" s="276"/>
      <c r="C33" s="277"/>
      <c r="D33" s="66"/>
      <c r="E33" s="224"/>
      <c r="F33" s="72"/>
      <c r="G33" s="225"/>
      <c r="H33" s="245"/>
      <c r="I33" s="239"/>
    </row>
    <row r="34" spans="1:9" x14ac:dyDescent="0.25">
      <c r="A34" s="276"/>
      <c r="B34" s="276"/>
      <c r="C34" s="277"/>
      <c r="D34" s="66"/>
      <c r="E34" s="224"/>
      <c r="F34" s="72"/>
      <c r="G34" s="278"/>
      <c r="H34" s="245"/>
      <c r="I34" s="239"/>
    </row>
    <row r="35" spans="1:9" ht="15.75" x14ac:dyDescent="0.25">
      <c r="A35" s="276"/>
      <c r="B35" s="276"/>
      <c r="C35" s="277"/>
      <c r="D35" s="74"/>
      <c r="E35" s="224"/>
      <c r="F35" s="72"/>
      <c r="G35" s="279"/>
      <c r="H35" s="245"/>
      <c r="I35" s="239"/>
    </row>
    <row r="36" spans="1:9" x14ac:dyDescent="0.25">
      <c r="A36" s="280"/>
      <c r="B36" s="280"/>
      <c r="C36" s="281"/>
      <c r="D36" s="66"/>
      <c r="E36" s="263"/>
      <c r="F36" s="263"/>
      <c r="G36" s="279"/>
      <c r="H36" s="4"/>
      <c r="I36" s="239"/>
    </row>
    <row r="37" spans="1:9" ht="15.75" thickBot="1" x14ac:dyDescent="0.3">
      <c r="A37" s="282"/>
      <c r="B37" s="7"/>
      <c r="C37" s="8" t="s">
        <v>164</v>
      </c>
      <c r="D37" s="8"/>
      <c r="E37" s="9"/>
      <c r="F37" s="10"/>
      <c r="G37" s="8"/>
      <c r="H37" s="8"/>
      <c r="I37" s="11"/>
    </row>
    <row r="38" spans="1:9" ht="15.75" thickBot="1" x14ac:dyDescent="0.3">
      <c r="A38" s="283"/>
      <c r="B38" s="284"/>
      <c r="C38" s="285" t="s">
        <v>164</v>
      </c>
      <c r="D38" s="286" t="s">
        <v>16</v>
      </c>
      <c r="E38" s="287" t="s">
        <v>21</v>
      </c>
      <c r="F38" s="288"/>
      <c r="G38" s="285"/>
      <c r="H38" s="285"/>
      <c r="I38" s="289"/>
    </row>
    <row r="39" spans="1:9" x14ac:dyDescent="0.25">
      <c r="A39" s="770" t="s">
        <v>23</v>
      </c>
      <c r="B39" s="771"/>
      <c r="C39" s="772"/>
      <c r="D39" s="290">
        <v>18000</v>
      </c>
      <c r="E39" s="291" t="s">
        <v>19</v>
      </c>
      <c r="F39" s="773" t="s">
        <v>145</v>
      </c>
      <c r="G39" s="773"/>
      <c r="H39" s="774"/>
      <c r="I39" s="775"/>
    </row>
    <row r="40" spans="1:9" x14ac:dyDescent="0.25">
      <c r="A40" s="776" t="s">
        <v>24</v>
      </c>
      <c r="B40" s="777"/>
      <c r="C40" s="778"/>
      <c r="D40" s="222">
        <v>25</v>
      </c>
      <c r="E40" s="223" t="s">
        <v>146</v>
      </c>
      <c r="F40" s="779" t="s">
        <v>147</v>
      </c>
      <c r="G40" s="779"/>
      <c r="H40" s="780"/>
      <c r="I40" s="781"/>
    </row>
    <row r="41" spans="1:9" x14ac:dyDescent="0.25">
      <c r="A41" s="776" t="s">
        <v>26</v>
      </c>
      <c r="B41" s="777"/>
      <c r="C41" s="778"/>
      <c r="D41" s="222">
        <v>64.285714285714292</v>
      </c>
      <c r="E41" s="223" t="s">
        <v>20</v>
      </c>
      <c r="F41" s="779" t="s">
        <v>148</v>
      </c>
      <c r="G41" s="779"/>
      <c r="H41" s="780"/>
      <c r="I41" s="781"/>
    </row>
    <row r="42" spans="1:9" x14ac:dyDescent="0.25">
      <c r="A42" s="776" t="s">
        <v>27</v>
      </c>
      <c r="B42" s="777"/>
      <c r="C42" s="778"/>
      <c r="D42" s="222">
        <v>280</v>
      </c>
      <c r="E42" s="223" t="s">
        <v>19</v>
      </c>
      <c r="F42" s="782" t="s">
        <v>149</v>
      </c>
      <c r="G42" s="783"/>
      <c r="H42" s="784"/>
      <c r="I42" s="785"/>
    </row>
    <row r="43" spans="1:9" ht="15.75" thickBot="1" x14ac:dyDescent="0.3">
      <c r="A43" s="786" t="s">
        <v>28</v>
      </c>
      <c r="B43" s="787"/>
      <c r="C43" s="788"/>
      <c r="D43" s="292">
        <v>300</v>
      </c>
      <c r="E43" s="293" t="s">
        <v>19</v>
      </c>
      <c r="F43" s="789"/>
      <c r="G43" s="789"/>
      <c r="H43" s="780"/>
      <c r="I43" s="781"/>
    </row>
    <row r="44" spans="1:9" ht="15.75" thickBot="1" x14ac:dyDescent="0.3">
      <c r="A44" s="790" t="s">
        <v>29</v>
      </c>
      <c r="B44" s="791"/>
      <c r="C44" s="791"/>
      <c r="D44" s="791"/>
      <c r="E44" s="791"/>
      <c r="F44" s="791"/>
      <c r="G44" s="791"/>
      <c r="H44" s="791"/>
      <c r="I44" s="792"/>
    </row>
    <row r="45" spans="1:9" ht="14.45" customHeight="1" x14ac:dyDescent="0.25">
      <c r="A45" s="793" t="s">
        <v>165</v>
      </c>
      <c r="B45" s="794"/>
      <c r="C45" s="794"/>
      <c r="D45" s="794"/>
      <c r="E45" s="794"/>
      <c r="F45" s="794"/>
      <c r="G45" s="794"/>
      <c r="H45" s="794"/>
      <c r="I45" s="795"/>
    </row>
    <row r="46" spans="1:9" ht="15.6" customHeight="1" x14ac:dyDescent="0.25">
      <c r="A46" s="628"/>
      <c r="B46" s="629"/>
      <c r="C46" s="629"/>
      <c r="D46" s="629"/>
      <c r="E46" s="629"/>
      <c r="F46" s="629"/>
      <c r="G46" s="629"/>
      <c r="H46" s="629"/>
      <c r="I46" s="630"/>
    </row>
    <row r="47" spans="1:9" ht="14.45" customHeight="1" x14ac:dyDescent="0.25">
      <c r="A47" s="636" t="s">
        <v>166</v>
      </c>
      <c r="B47" s="636"/>
      <c r="C47" s="636"/>
      <c r="D47" s="636"/>
      <c r="E47" s="636"/>
      <c r="F47" s="636"/>
      <c r="G47" s="636"/>
      <c r="H47" s="636"/>
      <c r="I47" s="636"/>
    </row>
    <row r="48" spans="1:9" x14ac:dyDescent="0.25">
      <c r="A48" s="799"/>
      <c r="B48" s="799"/>
      <c r="C48" s="799"/>
      <c r="D48" s="799"/>
      <c r="E48" s="799"/>
      <c r="F48" s="799"/>
      <c r="G48" s="799"/>
      <c r="H48" s="799"/>
      <c r="I48" s="799"/>
    </row>
    <row r="49" spans="1:9" x14ac:dyDescent="0.25">
      <c r="A49" s="800"/>
      <c r="B49" s="801"/>
      <c r="C49" s="801"/>
      <c r="D49" s="801"/>
      <c r="E49" s="801"/>
      <c r="F49" s="801"/>
      <c r="G49" s="801"/>
      <c r="H49" s="801"/>
      <c r="I49" s="802"/>
    </row>
    <row r="50" spans="1:9" ht="14.45" customHeight="1" x14ac:dyDescent="0.25">
      <c r="A50" s="803"/>
      <c r="B50" s="797"/>
      <c r="C50" s="797"/>
      <c r="D50" s="797"/>
      <c r="E50" s="797"/>
      <c r="F50" s="797"/>
      <c r="G50" s="797"/>
      <c r="H50" s="797"/>
      <c r="I50" s="804"/>
    </row>
    <row r="51" spans="1:9" ht="14.45" customHeight="1" x14ac:dyDescent="0.25">
      <c r="A51" s="796"/>
      <c r="B51" s="797"/>
      <c r="C51" s="797"/>
      <c r="D51" s="797"/>
      <c r="E51" s="797"/>
      <c r="F51" s="797"/>
      <c r="G51" s="797"/>
      <c r="H51" s="797"/>
      <c r="I51" s="798"/>
    </row>
    <row r="52" spans="1:9" ht="18" customHeight="1" x14ac:dyDescent="0.25">
      <c r="A52" s="796"/>
      <c r="B52" s="797"/>
      <c r="C52" s="797"/>
      <c r="D52" s="797"/>
      <c r="E52" s="797"/>
      <c r="F52" s="797"/>
      <c r="G52" s="797"/>
      <c r="H52" s="797"/>
      <c r="I52" s="798"/>
    </row>
    <row r="53" spans="1:9" ht="14.45" customHeight="1" x14ac:dyDescent="0.25">
      <c r="A53" s="796"/>
      <c r="B53" s="797"/>
      <c r="C53" s="797"/>
      <c r="D53" s="797"/>
      <c r="E53" s="797"/>
      <c r="F53" s="797"/>
      <c r="G53" s="797"/>
      <c r="H53" s="797"/>
      <c r="I53" s="798"/>
    </row>
    <row r="54" spans="1:9" ht="14.45" customHeight="1" thickBot="1" x14ac:dyDescent="0.3">
      <c r="A54" s="796"/>
      <c r="B54" s="797"/>
      <c r="C54" s="797"/>
      <c r="D54" s="797"/>
      <c r="E54" s="797"/>
      <c r="F54" s="797"/>
      <c r="G54" s="797"/>
      <c r="H54" s="797"/>
      <c r="I54" s="798"/>
    </row>
    <row r="55" spans="1:9" ht="14.45" customHeight="1" x14ac:dyDescent="0.25">
      <c r="A55" s="742" t="s">
        <v>30</v>
      </c>
      <c r="B55" s="743"/>
      <c r="C55" s="743"/>
      <c r="D55" s="743"/>
      <c r="E55" s="743"/>
      <c r="F55" s="743"/>
      <c r="G55" s="743"/>
      <c r="H55" s="743"/>
      <c r="I55" s="743"/>
    </row>
    <row r="56" spans="1:9" x14ac:dyDescent="0.25">
      <c r="A56" s="740"/>
      <c r="B56" s="741"/>
      <c r="C56" s="741"/>
      <c r="D56" s="741"/>
      <c r="E56" s="741"/>
      <c r="F56" s="741"/>
      <c r="G56" s="741"/>
      <c r="H56" s="741"/>
      <c r="I56" s="741"/>
    </row>
    <row r="57" spans="1:9" x14ac:dyDescent="0.25">
      <c r="A57" s="740"/>
      <c r="B57" s="741"/>
      <c r="C57" s="741"/>
      <c r="D57" s="741"/>
      <c r="E57" s="741"/>
      <c r="F57" s="741"/>
      <c r="G57" s="741"/>
      <c r="H57" s="741"/>
      <c r="I57" s="741"/>
    </row>
  </sheetData>
  <mergeCells count="45">
    <mergeCell ref="A54:I54"/>
    <mergeCell ref="A55:I55"/>
    <mergeCell ref="A56:I56"/>
    <mergeCell ref="A57:I57"/>
    <mergeCell ref="A48:I48"/>
    <mergeCell ref="A49:I49"/>
    <mergeCell ref="A50:I50"/>
    <mergeCell ref="A51:I51"/>
    <mergeCell ref="A52:I52"/>
    <mergeCell ref="A53:I53"/>
    <mergeCell ref="A47:I47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6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EDC59-A4D8-409F-B6F1-5D82E3B4D378}">
  <dimension ref="A1:I57"/>
  <sheetViews>
    <sheetView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814"/>
      <c r="B1" s="815"/>
      <c r="C1" s="820" t="s">
        <v>0</v>
      </c>
      <c r="D1" s="820"/>
      <c r="E1" s="820"/>
      <c r="F1" s="820"/>
      <c r="G1" s="820"/>
      <c r="H1" s="295" t="s">
        <v>1</v>
      </c>
      <c r="I1" s="1" t="s">
        <v>167</v>
      </c>
    </row>
    <row r="2" spans="1:9" ht="18" customHeight="1" thickBot="1" x14ac:dyDescent="0.3">
      <c r="A2" s="816"/>
      <c r="B2" s="817"/>
      <c r="C2" s="821" t="s">
        <v>3</v>
      </c>
      <c r="D2" s="822"/>
      <c r="E2" s="822"/>
      <c r="F2" s="822"/>
      <c r="G2" s="823"/>
      <c r="H2" s="296" t="s">
        <v>4</v>
      </c>
      <c r="I2" s="2" t="s">
        <v>5</v>
      </c>
    </row>
    <row r="3" spans="1:9" ht="31.5" customHeight="1" thickBot="1" x14ac:dyDescent="0.3">
      <c r="A3" s="816"/>
      <c r="B3" s="817"/>
      <c r="C3" s="824" t="s">
        <v>168</v>
      </c>
      <c r="D3" s="825"/>
      <c r="E3" s="825"/>
      <c r="F3" s="825"/>
      <c r="G3" s="826"/>
      <c r="H3" s="827" t="s">
        <v>6</v>
      </c>
      <c r="I3" s="805">
        <v>45619</v>
      </c>
    </row>
    <row r="4" spans="1:9" ht="18" customHeight="1" x14ac:dyDescent="0.25">
      <c r="A4" s="816"/>
      <c r="B4" s="817"/>
      <c r="C4" s="297" t="s">
        <v>7</v>
      </c>
      <c r="D4" s="808" t="s">
        <v>152</v>
      </c>
      <c r="E4" s="809"/>
      <c r="F4" s="809"/>
      <c r="G4" s="810"/>
      <c r="H4" s="828"/>
      <c r="I4" s="806"/>
    </row>
    <row r="5" spans="1:9" ht="15.75" thickBot="1" x14ac:dyDescent="0.3">
      <c r="A5" s="818"/>
      <c r="B5" s="819"/>
      <c r="C5" s="298" t="s">
        <v>8</v>
      </c>
      <c r="D5" s="811" t="s">
        <v>135</v>
      </c>
      <c r="E5" s="812"/>
      <c r="F5" s="812"/>
      <c r="G5" s="813"/>
      <c r="H5" s="829"/>
      <c r="I5" s="807"/>
    </row>
    <row r="6" spans="1:9" ht="18.75" thickBot="1" x14ac:dyDescent="0.3">
      <c r="A6" s="765" t="s">
        <v>9</v>
      </c>
      <c r="B6" s="765"/>
      <c r="C6" s="765"/>
      <c r="D6" s="663" t="s">
        <v>153</v>
      </c>
      <c r="E6" s="663"/>
      <c r="F6" s="663"/>
      <c r="G6" s="766" t="s">
        <v>10</v>
      </c>
      <c r="H6" s="766"/>
      <c r="I6" s="3" t="s">
        <v>153</v>
      </c>
    </row>
    <row r="7" spans="1:9" x14ac:dyDescent="0.25">
      <c r="A7" s="767" t="s">
        <v>137</v>
      </c>
      <c r="B7" s="665" t="s">
        <v>11</v>
      </c>
      <c r="C7" s="667" t="s">
        <v>12</v>
      </c>
      <c r="D7" s="667" t="s">
        <v>13</v>
      </c>
      <c r="E7" s="667" t="s">
        <v>138</v>
      </c>
      <c r="F7" s="667"/>
      <c r="G7" s="667" t="s">
        <v>139</v>
      </c>
      <c r="H7" s="667"/>
      <c r="I7" s="231" t="s">
        <v>140</v>
      </c>
    </row>
    <row r="8" spans="1:9" ht="27" thickBot="1" x14ac:dyDescent="0.3">
      <c r="A8" s="768"/>
      <c r="B8" s="769"/>
      <c r="C8" s="669"/>
      <c r="D8" s="669"/>
      <c r="E8" s="232" t="s">
        <v>16</v>
      </c>
      <c r="F8" s="233" t="s">
        <v>17</v>
      </c>
      <c r="G8" s="232" t="s">
        <v>16</v>
      </c>
      <c r="H8" s="233" t="s">
        <v>17</v>
      </c>
      <c r="I8" s="234" t="s">
        <v>141</v>
      </c>
    </row>
    <row r="9" spans="1:9" ht="18.399999999999999" customHeight="1" x14ac:dyDescent="0.25">
      <c r="A9" s="235"/>
      <c r="B9" s="236"/>
      <c r="C9" s="237" t="s">
        <v>142</v>
      </c>
      <c r="D9" s="238"/>
      <c r="E9" s="225"/>
      <c r="F9" s="4"/>
      <c r="G9" s="225"/>
      <c r="H9" s="4"/>
      <c r="I9" s="239"/>
    </row>
    <row r="10" spans="1:9" ht="18" customHeight="1" x14ac:dyDescent="0.25">
      <c r="A10" s="240" t="s">
        <v>169</v>
      </c>
      <c r="B10" s="5" t="s">
        <v>170</v>
      </c>
      <c r="C10" s="65" t="s">
        <v>171</v>
      </c>
      <c r="D10" s="241" t="s">
        <v>18</v>
      </c>
      <c r="E10" s="242">
        <v>9636</v>
      </c>
      <c r="F10" s="243" t="s">
        <v>19</v>
      </c>
      <c r="G10" s="244"/>
      <c r="H10" s="245"/>
      <c r="I10" s="239"/>
    </row>
    <row r="11" spans="1:9" x14ac:dyDescent="0.25">
      <c r="A11" s="241" t="s">
        <v>172</v>
      </c>
      <c r="B11" s="241" t="s">
        <v>173</v>
      </c>
      <c r="C11" s="246" t="s">
        <v>174</v>
      </c>
      <c r="D11" s="241" t="s">
        <v>175</v>
      </c>
      <c r="E11" s="242">
        <v>1500</v>
      </c>
      <c r="F11" s="243" t="s">
        <v>19</v>
      </c>
      <c r="G11" s="244"/>
      <c r="H11" s="245"/>
      <c r="I11" s="239"/>
    </row>
    <row r="12" spans="1:9" x14ac:dyDescent="0.25">
      <c r="A12" s="241" t="s">
        <v>176</v>
      </c>
      <c r="B12" s="241" t="s">
        <v>177</v>
      </c>
      <c r="C12" s="246" t="s">
        <v>178</v>
      </c>
      <c r="D12" s="241" t="s">
        <v>179</v>
      </c>
      <c r="E12" s="242">
        <v>6800</v>
      </c>
      <c r="F12" s="243" t="s">
        <v>19</v>
      </c>
      <c r="G12" s="244"/>
      <c r="H12" s="245"/>
      <c r="I12" s="239"/>
    </row>
    <row r="13" spans="1:9" x14ac:dyDescent="0.25">
      <c r="A13" s="241" t="s">
        <v>180</v>
      </c>
      <c r="B13" s="241" t="s">
        <v>181</v>
      </c>
      <c r="C13" s="246" t="s">
        <v>182</v>
      </c>
      <c r="D13" s="241" t="s">
        <v>183</v>
      </c>
      <c r="E13" s="242">
        <v>400</v>
      </c>
      <c r="F13" s="243" t="s">
        <v>19</v>
      </c>
      <c r="G13" s="244"/>
      <c r="H13" s="245"/>
      <c r="I13" s="239"/>
    </row>
    <row r="14" spans="1:9" x14ac:dyDescent="0.25">
      <c r="A14" s="241"/>
      <c r="B14" s="241"/>
      <c r="C14" s="246"/>
      <c r="D14" s="241"/>
      <c r="E14" s="242"/>
      <c r="F14" s="243"/>
      <c r="G14" s="244"/>
      <c r="H14" s="245"/>
      <c r="I14" s="239"/>
    </row>
    <row r="15" spans="1:9" x14ac:dyDescent="0.25">
      <c r="A15" s="241"/>
      <c r="B15" s="241"/>
      <c r="C15" s="246"/>
      <c r="D15" s="241"/>
      <c r="E15" s="242"/>
      <c r="F15" s="243"/>
      <c r="G15" s="244"/>
      <c r="H15" s="245"/>
      <c r="I15" s="239"/>
    </row>
    <row r="16" spans="1:9" x14ac:dyDescent="0.25">
      <c r="A16" s="241"/>
      <c r="B16" s="241"/>
      <c r="C16" s="246"/>
      <c r="D16" s="241"/>
      <c r="E16" s="242"/>
      <c r="F16" s="243"/>
      <c r="G16" s="244"/>
      <c r="H16" s="245"/>
      <c r="I16" s="239"/>
    </row>
    <row r="17" spans="1:9" x14ac:dyDescent="0.25">
      <c r="A17" s="241"/>
      <c r="B17" s="241"/>
      <c r="C17" s="246"/>
      <c r="D17" s="241"/>
      <c r="E17" s="242"/>
      <c r="F17" s="243"/>
      <c r="G17" s="244"/>
      <c r="H17" s="245"/>
      <c r="I17" s="239"/>
    </row>
    <row r="18" spans="1:9" x14ac:dyDescent="0.25">
      <c r="A18" s="241"/>
      <c r="B18" s="241"/>
      <c r="C18" s="246"/>
      <c r="D18" s="241"/>
      <c r="E18" s="242"/>
      <c r="F18" s="243"/>
      <c r="G18" s="244"/>
      <c r="H18" s="245"/>
      <c r="I18" s="239"/>
    </row>
    <row r="19" spans="1:9" x14ac:dyDescent="0.25">
      <c r="A19" s="241"/>
      <c r="B19" s="241"/>
      <c r="C19" s="246"/>
      <c r="D19" s="241"/>
      <c r="E19" s="242"/>
      <c r="F19" s="243"/>
      <c r="G19" s="244"/>
      <c r="H19" s="245"/>
      <c r="I19" s="239"/>
    </row>
    <row r="20" spans="1:9" ht="15.75" x14ac:dyDescent="0.25">
      <c r="A20" s="247"/>
      <c r="B20" s="247"/>
      <c r="C20" s="65"/>
      <c r="D20" s="74"/>
      <c r="E20" s="74"/>
      <c r="F20" s="74"/>
      <c r="G20" s="223"/>
      <c r="H20" s="245"/>
      <c r="I20" s="239"/>
    </row>
    <row r="21" spans="1:9" ht="15.75" x14ac:dyDescent="0.25">
      <c r="A21" s="248"/>
      <c r="B21" s="249"/>
      <c r="C21" s="250" t="s">
        <v>158</v>
      </c>
      <c r="D21" s="74"/>
      <c r="E21" s="74"/>
      <c r="F21" s="74"/>
      <c r="G21" s="223"/>
      <c r="H21" s="245"/>
      <c r="I21" s="239"/>
    </row>
    <row r="22" spans="1:9" x14ac:dyDescent="0.25">
      <c r="A22" s="240"/>
      <c r="B22" s="5"/>
      <c r="C22" s="65"/>
      <c r="D22" s="251"/>
      <c r="E22" s="251"/>
      <c r="F22" s="251"/>
      <c r="G22" s="225"/>
      <c r="H22" s="245"/>
      <c r="I22" s="239"/>
    </row>
    <row r="23" spans="1:9" x14ac:dyDescent="0.25">
      <c r="A23" s="252"/>
      <c r="B23" s="247"/>
      <c r="C23" s="65"/>
      <c r="D23" s="251"/>
      <c r="E23" s="251"/>
      <c r="F23" s="251"/>
      <c r="G23" s="225"/>
      <c r="H23" s="245"/>
      <c r="I23" s="239"/>
    </row>
    <row r="24" spans="1:9" x14ac:dyDescent="0.25">
      <c r="A24" s="252"/>
      <c r="B24" s="247"/>
      <c r="C24" s="65"/>
      <c r="D24" s="251"/>
      <c r="E24" s="251"/>
      <c r="F24" s="251"/>
      <c r="G24" s="225"/>
      <c r="H24" s="245"/>
      <c r="I24" s="239"/>
    </row>
    <row r="25" spans="1:9" ht="15.75" x14ac:dyDescent="0.25">
      <c r="A25" s="248"/>
      <c r="B25" s="249"/>
      <c r="C25" s="250"/>
      <c r="D25" s="253"/>
      <c r="E25" s="254"/>
      <c r="F25" s="255"/>
      <c r="G25" s="225"/>
      <c r="H25" s="245"/>
      <c r="I25" s="239"/>
    </row>
    <row r="26" spans="1:9" x14ac:dyDescent="0.25">
      <c r="A26" s="256"/>
      <c r="B26" s="257"/>
      <c r="C26" s="258"/>
      <c r="D26" s="259"/>
      <c r="E26" s="260"/>
      <c r="F26" s="261"/>
      <c r="G26" s="225"/>
      <c r="H26" s="245"/>
      <c r="I26" s="239"/>
    </row>
    <row r="27" spans="1:9" x14ac:dyDescent="0.25">
      <c r="A27" s="5"/>
      <c r="B27" s="5"/>
      <c r="C27" s="65"/>
      <c r="D27" s="262"/>
      <c r="E27" s="222"/>
      <c r="F27" s="263"/>
      <c r="G27" s="225"/>
      <c r="H27" s="245"/>
      <c r="I27" s="239"/>
    </row>
    <row r="28" spans="1:9" ht="15.75" x14ac:dyDescent="0.25">
      <c r="A28" s="264"/>
      <c r="B28" s="265"/>
      <c r="C28" s="266" t="s">
        <v>159</v>
      </c>
      <c r="D28" s="267"/>
      <c r="E28" s="268"/>
      <c r="F28" s="4"/>
      <c r="G28" s="225"/>
      <c r="H28" s="245"/>
      <c r="I28" s="239"/>
    </row>
    <row r="29" spans="1:9" x14ac:dyDescent="0.25">
      <c r="A29" s="269"/>
      <c r="B29" s="270"/>
      <c r="C29" s="271"/>
      <c r="D29" s="66"/>
      <c r="E29" s="224"/>
      <c r="F29" s="72"/>
      <c r="G29" s="299"/>
      <c r="H29" s="245"/>
      <c r="I29" s="239"/>
    </row>
    <row r="30" spans="1:9" x14ac:dyDescent="0.25">
      <c r="A30" s="269"/>
      <c r="B30" s="270"/>
      <c r="C30" s="271"/>
      <c r="D30" s="66"/>
      <c r="E30" s="224"/>
      <c r="F30" s="72"/>
      <c r="G30" s="299"/>
      <c r="H30" s="245"/>
      <c r="I30" s="239"/>
    </row>
    <row r="31" spans="1:9" x14ac:dyDescent="0.25">
      <c r="A31" s="273"/>
      <c r="B31" s="274"/>
      <c r="C31" s="275"/>
      <c r="D31" s="66"/>
      <c r="E31" s="224"/>
      <c r="F31" s="72"/>
      <c r="G31" s="299"/>
      <c r="H31" s="245"/>
      <c r="I31" s="239"/>
    </row>
    <row r="32" spans="1:9" x14ac:dyDescent="0.25">
      <c r="A32" s="276"/>
      <c r="B32" s="276"/>
      <c r="C32" s="277"/>
      <c r="D32" s="66"/>
      <c r="E32" s="224"/>
      <c r="F32" s="72"/>
      <c r="G32" s="225"/>
      <c r="H32" s="245"/>
      <c r="I32" s="239"/>
    </row>
    <row r="33" spans="1:9" x14ac:dyDescent="0.25">
      <c r="A33" s="276"/>
      <c r="B33" s="276"/>
      <c r="C33" s="277"/>
      <c r="D33" s="66"/>
      <c r="E33" s="224"/>
      <c r="F33" s="72"/>
      <c r="G33" s="225"/>
      <c r="H33" s="245"/>
      <c r="I33" s="239"/>
    </row>
    <row r="34" spans="1:9" x14ac:dyDescent="0.25">
      <c r="A34" s="276"/>
      <c r="B34" s="276"/>
      <c r="C34" s="277"/>
      <c r="D34" s="66"/>
      <c r="E34" s="224"/>
      <c r="F34" s="72"/>
      <c r="G34" s="278"/>
      <c r="H34" s="245"/>
      <c r="I34" s="239"/>
    </row>
    <row r="35" spans="1:9" ht="15.75" x14ac:dyDescent="0.25">
      <c r="A35" s="276"/>
      <c r="B35" s="276"/>
      <c r="C35" s="277"/>
      <c r="D35" s="74"/>
      <c r="E35" s="224"/>
      <c r="F35" s="72"/>
      <c r="G35" s="279"/>
      <c r="H35" s="245"/>
      <c r="I35" s="239"/>
    </row>
    <row r="36" spans="1:9" x14ac:dyDescent="0.25">
      <c r="A36" s="280"/>
      <c r="B36" s="280"/>
      <c r="C36" s="281"/>
      <c r="D36" s="66"/>
      <c r="E36" s="263"/>
      <c r="F36" s="263"/>
      <c r="G36" s="279"/>
      <c r="H36" s="4"/>
      <c r="I36" s="239"/>
    </row>
    <row r="37" spans="1:9" ht="15.75" thickBot="1" x14ac:dyDescent="0.3">
      <c r="A37" s="282"/>
      <c r="B37" s="7"/>
      <c r="C37" s="8" t="s">
        <v>164</v>
      </c>
      <c r="D37" s="8"/>
      <c r="E37" s="9"/>
      <c r="F37" s="10"/>
      <c r="G37" s="8"/>
      <c r="H37" s="8"/>
      <c r="I37" s="11"/>
    </row>
    <row r="38" spans="1:9" ht="15.75" thickBot="1" x14ac:dyDescent="0.3">
      <c r="A38" s="283"/>
      <c r="B38" s="284"/>
      <c r="C38" s="285" t="s">
        <v>164</v>
      </c>
      <c r="D38" s="286" t="s">
        <v>16</v>
      </c>
      <c r="E38" s="287" t="s">
        <v>21</v>
      </c>
      <c r="F38" s="288"/>
      <c r="G38" s="285"/>
      <c r="H38" s="285"/>
      <c r="I38" s="289"/>
    </row>
    <row r="39" spans="1:9" x14ac:dyDescent="0.25">
      <c r="A39" s="770" t="s">
        <v>23</v>
      </c>
      <c r="B39" s="771"/>
      <c r="C39" s="772"/>
      <c r="D39" s="300">
        <v>18300</v>
      </c>
      <c r="E39" s="291" t="s">
        <v>19</v>
      </c>
      <c r="F39" s="773" t="s">
        <v>145</v>
      </c>
      <c r="G39" s="773"/>
      <c r="H39" s="774"/>
      <c r="I39" s="775"/>
    </row>
    <row r="40" spans="1:9" x14ac:dyDescent="0.25">
      <c r="A40" s="776" t="s">
        <v>24</v>
      </c>
      <c r="B40" s="777"/>
      <c r="C40" s="778"/>
      <c r="D40" s="223">
        <v>6</v>
      </c>
      <c r="E40" s="223" t="s">
        <v>25</v>
      </c>
      <c r="F40" s="779" t="s">
        <v>147</v>
      </c>
      <c r="G40" s="779"/>
      <c r="H40" s="780"/>
      <c r="I40" s="781"/>
    </row>
    <row r="41" spans="1:9" x14ac:dyDescent="0.25">
      <c r="A41" s="776" t="s">
        <v>26</v>
      </c>
      <c r="B41" s="777"/>
      <c r="C41" s="778"/>
      <c r="D41" s="222">
        <v>1</v>
      </c>
      <c r="E41" s="223" t="s">
        <v>38</v>
      </c>
      <c r="F41" s="779" t="s">
        <v>148</v>
      </c>
      <c r="G41" s="779"/>
      <c r="H41" s="780"/>
      <c r="I41" s="781"/>
    </row>
    <row r="42" spans="1:9" x14ac:dyDescent="0.25">
      <c r="A42" s="776" t="s">
        <v>27</v>
      </c>
      <c r="B42" s="777"/>
      <c r="C42" s="778"/>
      <c r="D42" s="222">
        <v>18300</v>
      </c>
      <c r="E42" s="223" t="s">
        <v>19</v>
      </c>
      <c r="F42" s="782" t="s">
        <v>149</v>
      </c>
      <c r="G42" s="783"/>
      <c r="H42" s="784"/>
      <c r="I42" s="785"/>
    </row>
    <row r="43" spans="1:9" ht="15.75" thickBot="1" x14ac:dyDescent="0.3">
      <c r="A43" s="786" t="s">
        <v>28</v>
      </c>
      <c r="B43" s="787"/>
      <c r="C43" s="788"/>
      <c r="D43" s="292">
        <v>36</v>
      </c>
      <c r="E43" s="293" t="s">
        <v>19</v>
      </c>
      <c r="F43" s="789"/>
      <c r="G43" s="789"/>
      <c r="H43" s="780"/>
      <c r="I43" s="781"/>
    </row>
    <row r="44" spans="1:9" ht="15.75" thickBot="1" x14ac:dyDescent="0.3">
      <c r="A44" s="790" t="s">
        <v>29</v>
      </c>
      <c r="B44" s="791"/>
      <c r="C44" s="791"/>
      <c r="D44" s="791"/>
      <c r="E44" s="791"/>
      <c r="F44" s="791"/>
      <c r="G44" s="791"/>
      <c r="H44" s="791"/>
      <c r="I44" s="792"/>
    </row>
    <row r="45" spans="1:9" ht="14.65" customHeight="1" x14ac:dyDescent="0.25">
      <c r="A45" s="834" t="s">
        <v>184</v>
      </c>
      <c r="B45" s="835"/>
      <c r="C45" s="835"/>
      <c r="D45" s="835"/>
      <c r="E45" s="835"/>
      <c r="F45" s="835"/>
      <c r="G45" s="835"/>
      <c r="H45" s="835"/>
      <c r="I45" s="836"/>
    </row>
    <row r="46" spans="1:9" ht="15.4" customHeight="1" x14ac:dyDescent="0.25">
      <c r="A46" s="837" t="s">
        <v>185</v>
      </c>
      <c r="B46" s="838"/>
      <c r="C46" s="838"/>
      <c r="D46" s="838"/>
      <c r="E46" s="838"/>
      <c r="F46" s="838"/>
      <c r="G46" s="838"/>
      <c r="H46" s="838"/>
      <c r="I46" s="839"/>
    </row>
    <row r="47" spans="1:9" ht="14.65" customHeight="1" x14ac:dyDescent="0.25">
      <c r="A47" s="840" t="s">
        <v>186</v>
      </c>
      <c r="B47" s="841"/>
      <c r="C47" s="841"/>
      <c r="D47" s="841"/>
      <c r="E47" s="841"/>
      <c r="F47" s="841"/>
      <c r="G47" s="841"/>
      <c r="H47" s="841"/>
      <c r="I47" s="842"/>
    </row>
    <row r="48" spans="1:9" ht="14.65" customHeight="1" x14ac:dyDescent="0.25">
      <c r="A48" s="834" t="s">
        <v>187</v>
      </c>
      <c r="B48" s="835"/>
      <c r="C48" s="835"/>
      <c r="D48" s="835"/>
      <c r="E48" s="835"/>
      <c r="F48" s="835"/>
      <c r="G48" s="835"/>
      <c r="H48" s="835"/>
      <c r="I48" s="836"/>
    </row>
    <row r="49" spans="1:9" ht="15.75" x14ac:dyDescent="0.25">
      <c r="A49" s="843"/>
      <c r="B49" s="844"/>
      <c r="C49" s="845"/>
      <c r="D49" s="845"/>
      <c r="E49" s="845"/>
      <c r="F49" s="845"/>
      <c r="G49" s="845"/>
      <c r="H49" s="845"/>
      <c r="I49" s="846"/>
    </row>
    <row r="50" spans="1:9" ht="14.65" customHeight="1" x14ac:dyDescent="0.25">
      <c r="A50" s="830"/>
      <c r="B50" s="831"/>
      <c r="C50" s="832"/>
      <c r="D50" s="832"/>
      <c r="E50" s="832"/>
      <c r="F50" s="832"/>
      <c r="G50" s="832"/>
      <c r="H50" s="832"/>
      <c r="I50" s="833"/>
    </row>
    <row r="51" spans="1:9" ht="14.65" customHeight="1" x14ac:dyDescent="0.25">
      <c r="A51" s="847"/>
      <c r="B51" s="848"/>
      <c r="C51" s="849"/>
      <c r="D51" s="849"/>
      <c r="E51" s="849"/>
      <c r="F51" s="849"/>
      <c r="G51" s="849"/>
      <c r="H51" s="849"/>
      <c r="I51" s="850"/>
    </row>
    <row r="52" spans="1:9" ht="18" customHeight="1" x14ac:dyDescent="0.25">
      <c r="A52" s="830"/>
      <c r="B52" s="831"/>
      <c r="C52" s="832"/>
      <c r="D52" s="832"/>
      <c r="E52" s="832"/>
      <c r="F52" s="832"/>
      <c r="G52" s="832"/>
      <c r="H52" s="832"/>
      <c r="I52" s="833"/>
    </row>
    <row r="53" spans="1:9" ht="14.65" customHeight="1" thickBot="1" x14ac:dyDescent="0.3">
      <c r="A53" s="851"/>
      <c r="B53" s="644"/>
      <c r="C53" s="645"/>
      <c r="D53" s="645"/>
      <c r="E53" s="645"/>
      <c r="F53" s="645"/>
      <c r="G53" s="645"/>
      <c r="H53" s="645"/>
      <c r="I53" s="646"/>
    </row>
    <row r="54" spans="1:9" ht="14.65" customHeight="1" thickBot="1" x14ac:dyDescent="0.3">
      <c r="A54" s="796"/>
      <c r="B54" s="797"/>
      <c r="C54" s="797"/>
      <c r="D54" s="797"/>
      <c r="E54" s="797"/>
      <c r="F54" s="797"/>
      <c r="G54" s="797"/>
      <c r="H54" s="797"/>
      <c r="I54" s="798"/>
    </row>
    <row r="55" spans="1:9" ht="14.65" customHeight="1" x14ac:dyDescent="0.25">
      <c r="A55" s="852" t="s">
        <v>30</v>
      </c>
      <c r="B55" s="853"/>
      <c r="C55" s="853"/>
      <c r="D55" s="853"/>
      <c r="E55" s="853"/>
      <c r="F55" s="853"/>
      <c r="G55" s="853"/>
      <c r="H55" s="853"/>
      <c r="I55" s="853"/>
    </row>
    <row r="56" spans="1:9" x14ac:dyDescent="0.25">
      <c r="A56" s="854"/>
      <c r="B56" s="855"/>
      <c r="C56" s="855"/>
      <c r="D56" s="855"/>
      <c r="E56" s="855"/>
      <c r="F56" s="855"/>
      <c r="G56" s="855"/>
      <c r="H56" s="855"/>
      <c r="I56" s="855"/>
    </row>
    <row r="57" spans="1:9" x14ac:dyDescent="0.25">
      <c r="A57" s="854"/>
      <c r="B57" s="855"/>
      <c r="C57" s="855"/>
      <c r="D57" s="855"/>
      <c r="E57" s="855"/>
      <c r="F57" s="855"/>
      <c r="G57" s="855"/>
      <c r="H57" s="855"/>
      <c r="I57" s="855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15A0-AD8F-49EE-A6AC-F7C8A615FF11}">
  <dimension ref="A1:I55"/>
  <sheetViews>
    <sheetView zoomScale="85" zoomScaleNormal="85" workbookViewId="0">
      <selection sqref="A1:XFD1048576"/>
    </sheetView>
  </sheetViews>
  <sheetFormatPr baseColWidth="10" defaultRowHeight="15" x14ac:dyDescent="0.25"/>
  <cols>
    <col min="1" max="1" width="13.85546875" bestFit="1" customWidth="1"/>
    <col min="2" max="2" width="13.5703125" bestFit="1" customWidth="1"/>
    <col min="3" max="3" width="49" customWidth="1"/>
    <col min="4" max="4" width="34.42578125" bestFit="1" customWidth="1"/>
    <col min="8" max="8" width="47.5703125" bestFit="1" customWidth="1"/>
    <col min="9" max="9" width="22.28515625" bestFit="1" customWidth="1"/>
  </cols>
  <sheetData>
    <row r="1" spans="1:9" ht="18" x14ac:dyDescent="0.25">
      <c r="A1" s="865"/>
      <c r="B1" s="866"/>
      <c r="C1" s="871" t="s">
        <v>0</v>
      </c>
      <c r="D1" s="871"/>
      <c r="E1" s="871"/>
      <c r="F1" s="871"/>
      <c r="G1" s="871"/>
      <c r="H1" s="301" t="s">
        <v>1</v>
      </c>
      <c r="I1" s="302" t="s">
        <v>188</v>
      </c>
    </row>
    <row r="2" spans="1:9" ht="18" customHeight="1" thickBot="1" x14ac:dyDescent="0.3">
      <c r="A2" s="867"/>
      <c r="B2" s="868"/>
      <c r="C2" s="872" t="s">
        <v>3</v>
      </c>
      <c r="D2" s="873"/>
      <c r="E2" s="873"/>
      <c r="F2" s="873"/>
      <c r="G2" s="874"/>
      <c r="H2" s="303" t="s">
        <v>4</v>
      </c>
      <c r="I2" s="304" t="s">
        <v>5</v>
      </c>
    </row>
    <row r="3" spans="1:9" ht="31.5" customHeight="1" thickBot="1" x14ac:dyDescent="0.3">
      <c r="A3" s="867"/>
      <c r="B3" s="868"/>
      <c r="C3" s="875" t="s">
        <v>189</v>
      </c>
      <c r="D3" s="875"/>
      <c r="E3" s="875"/>
      <c r="F3" s="875"/>
      <c r="G3" s="876"/>
      <c r="H3" s="877" t="s">
        <v>6</v>
      </c>
      <c r="I3" s="856">
        <v>45616</v>
      </c>
    </row>
    <row r="4" spans="1:9" ht="18" customHeight="1" x14ac:dyDescent="0.25">
      <c r="A4" s="867"/>
      <c r="B4" s="868"/>
      <c r="C4" s="305" t="s">
        <v>7</v>
      </c>
      <c r="D4" s="859" t="s">
        <v>152</v>
      </c>
      <c r="E4" s="860"/>
      <c r="F4" s="860"/>
      <c r="G4" s="861"/>
      <c r="H4" s="878"/>
      <c r="I4" s="857"/>
    </row>
    <row r="5" spans="1:9" ht="18.75" thickBot="1" x14ac:dyDescent="0.3">
      <c r="A5" s="869"/>
      <c r="B5" s="870"/>
      <c r="C5" s="306" t="s">
        <v>8</v>
      </c>
      <c r="D5" s="862" t="s">
        <v>135</v>
      </c>
      <c r="E5" s="863"/>
      <c r="F5" s="863"/>
      <c r="G5" s="864"/>
      <c r="H5" s="879"/>
      <c r="I5" s="858"/>
    </row>
    <row r="6" spans="1:9" ht="18.75" thickBot="1" x14ac:dyDescent="0.3">
      <c r="A6" s="765" t="s">
        <v>9</v>
      </c>
      <c r="B6" s="765"/>
      <c r="C6" s="765"/>
      <c r="D6" s="880" t="s">
        <v>190</v>
      </c>
      <c r="E6" s="880"/>
      <c r="F6" s="880"/>
      <c r="G6" s="766" t="s">
        <v>10</v>
      </c>
      <c r="H6" s="766"/>
      <c r="I6" s="307" t="s">
        <v>190</v>
      </c>
    </row>
    <row r="7" spans="1:9" ht="36" x14ac:dyDescent="0.25">
      <c r="A7" s="881" t="s">
        <v>137</v>
      </c>
      <c r="B7" s="883" t="s">
        <v>11</v>
      </c>
      <c r="C7" s="885" t="s">
        <v>12</v>
      </c>
      <c r="D7" s="885" t="s">
        <v>13</v>
      </c>
      <c r="E7" s="885" t="s">
        <v>138</v>
      </c>
      <c r="F7" s="885"/>
      <c r="G7" s="885" t="s">
        <v>139</v>
      </c>
      <c r="H7" s="885"/>
      <c r="I7" s="308" t="s">
        <v>140</v>
      </c>
    </row>
    <row r="8" spans="1:9" ht="54.75" thickBot="1" x14ac:dyDescent="0.3">
      <c r="A8" s="882"/>
      <c r="B8" s="884"/>
      <c r="C8" s="886"/>
      <c r="D8" s="886"/>
      <c r="E8" s="309" t="s">
        <v>16</v>
      </c>
      <c r="F8" s="310" t="s">
        <v>17</v>
      </c>
      <c r="G8" s="309" t="s">
        <v>16</v>
      </c>
      <c r="H8" s="310" t="s">
        <v>17</v>
      </c>
      <c r="I8" s="311" t="s">
        <v>141</v>
      </c>
    </row>
    <row r="9" spans="1:9" ht="18.399999999999999" customHeight="1" x14ac:dyDescent="0.3">
      <c r="A9" s="312"/>
      <c r="B9" s="313"/>
      <c r="C9" s="314" t="s">
        <v>142</v>
      </c>
      <c r="D9" s="315"/>
      <c r="E9" s="316"/>
      <c r="F9" s="317"/>
      <c r="G9" s="316"/>
      <c r="H9" s="317"/>
      <c r="I9" s="318"/>
    </row>
    <row r="10" spans="1:9" ht="18" customHeight="1" x14ac:dyDescent="0.3">
      <c r="A10" s="319" t="s">
        <v>191</v>
      </c>
      <c r="B10" s="319" t="s">
        <v>192</v>
      </c>
      <c r="C10" s="320" t="s">
        <v>193</v>
      </c>
      <c r="D10" s="321" t="s">
        <v>194</v>
      </c>
      <c r="E10" s="322">
        <v>4500</v>
      </c>
      <c r="F10" s="323" t="s">
        <v>19</v>
      </c>
      <c r="G10" s="324"/>
      <c r="H10" s="325"/>
      <c r="I10" s="318"/>
    </row>
    <row r="11" spans="1:9" ht="18.75" x14ac:dyDescent="0.3">
      <c r="A11" s="319">
        <v>11200064</v>
      </c>
      <c r="B11" s="319" t="s">
        <v>195</v>
      </c>
      <c r="C11" s="320" t="s">
        <v>196</v>
      </c>
      <c r="D11" s="326" t="s">
        <v>197</v>
      </c>
      <c r="E11" s="327">
        <v>2475</v>
      </c>
      <c r="F11" s="328" t="s">
        <v>19</v>
      </c>
      <c r="G11" s="324"/>
      <c r="H11" s="325"/>
      <c r="I11" s="318"/>
    </row>
    <row r="12" spans="1:9" ht="18.75" x14ac:dyDescent="0.3">
      <c r="A12" s="319">
        <v>11200072</v>
      </c>
      <c r="B12" s="319" t="s">
        <v>198</v>
      </c>
      <c r="C12" s="320" t="s">
        <v>199</v>
      </c>
      <c r="D12" s="326" t="s">
        <v>200</v>
      </c>
      <c r="E12" s="326">
        <v>2475</v>
      </c>
      <c r="F12" s="326" t="s">
        <v>19</v>
      </c>
      <c r="G12" s="329"/>
      <c r="H12" s="325"/>
      <c r="I12" s="318"/>
    </row>
    <row r="13" spans="1:9" ht="18.75" x14ac:dyDescent="0.3">
      <c r="A13" s="330">
        <v>10100046</v>
      </c>
      <c r="B13" s="330" t="s">
        <v>201</v>
      </c>
      <c r="C13" s="331" t="s">
        <v>202</v>
      </c>
      <c r="D13" s="326" t="s">
        <v>203</v>
      </c>
      <c r="E13" s="326">
        <v>150</v>
      </c>
      <c r="F13" s="326" t="s">
        <v>19</v>
      </c>
      <c r="G13" s="329"/>
      <c r="H13" s="325"/>
      <c r="I13" s="318"/>
    </row>
    <row r="14" spans="1:9" ht="18.75" x14ac:dyDescent="0.3">
      <c r="A14" s="319">
        <v>1212410</v>
      </c>
      <c r="B14" s="319" t="s">
        <v>204</v>
      </c>
      <c r="C14" s="332" t="s">
        <v>205</v>
      </c>
      <c r="D14" s="326" t="s">
        <v>206</v>
      </c>
      <c r="E14" s="326">
        <v>36</v>
      </c>
      <c r="F14" s="326" t="s">
        <v>19</v>
      </c>
      <c r="G14" s="329"/>
      <c r="H14" s="325"/>
      <c r="I14" s="318"/>
    </row>
    <row r="15" spans="1:9" ht="18.75" x14ac:dyDescent="0.3">
      <c r="A15" s="330"/>
      <c r="B15" s="330"/>
      <c r="C15" s="333"/>
      <c r="D15" s="326"/>
      <c r="E15" s="326"/>
      <c r="F15" s="326"/>
      <c r="G15" s="329"/>
      <c r="H15" s="325"/>
      <c r="I15" s="318"/>
    </row>
    <row r="16" spans="1:9" ht="18.75" x14ac:dyDescent="0.3">
      <c r="A16" s="330"/>
      <c r="B16" s="330"/>
      <c r="C16" s="333"/>
      <c r="D16" s="326"/>
      <c r="E16" s="326"/>
      <c r="F16" s="326"/>
      <c r="G16" s="329"/>
      <c r="H16" s="325"/>
      <c r="I16" s="318"/>
    </row>
    <row r="17" spans="1:9" ht="18.75" x14ac:dyDescent="0.3">
      <c r="A17" s="330"/>
      <c r="B17" s="330"/>
      <c r="C17" s="333"/>
      <c r="D17" s="326"/>
      <c r="E17" s="326"/>
      <c r="F17" s="326"/>
      <c r="G17" s="329"/>
      <c r="H17" s="325"/>
      <c r="I17" s="318"/>
    </row>
    <row r="18" spans="1:9" ht="18.75" x14ac:dyDescent="0.3">
      <c r="A18" s="334"/>
      <c r="B18" s="330"/>
      <c r="C18" s="333"/>
      <c r="D18" s="335"/>
      <c r="E18" s="335"/>
      <c r="F18" s="335"/>
      <c r="G18" s="316"/>
      <c r="H18" s="325"/>
      <c r="I18" s="318"/>
    </row>
    <row r="19" spans="1:9" ht="18.75" x14ac:dyDescent="0.3">
      <c r="A19" s="336"/>
      <c r="B19" s="337"/>
      <c r="C19" s="338" t="s">
        <v>158</v>
      </c>
      <c r="D19" s="339"/>
      <c r="E19" s="340"/>
      <c r="F19" s="341"/>
      <c r="G19" s="316"/>
      <c r="H19" s="317"/>
      <c r="I19" s="318"/>
    </row>
    <row r="20" spans="1:9" ht="18.75" x14ac:dyDescent="0.3">
      <c r="A20" s="342"/>
      <c r="B20" s="343"/>
      <c r="C20" s="344"/>
      <c r="D20" s="345"/>
      <c r="E20" s="346"/>
      <c r="F20" s="347"/>
      <c r="G20" s="316"/>
      <c r="H20" s="317"/>
      <c r="I20" s="318"/>
    </row>
    <row r="21" spans="1:9" ht="18.75" x14ac:dyDescent="0.3">
      <c r="A21" s="342"/>
      <c r="B21" s="343"/>
      <c r="C21" s="344"/>
      <c r="D21" s="345"/>
      <c r="E21" s="348"/>
      <c r="F21" s="347"/>
      <c r="G21" s="316"/>
      <c r="H21" s="317"/>
      <c r="I21" s="318"/>
    </row>
    <row r="22" spans="1:9" ht="18.75" x14ac:dyDescent="0.3">
      <c r="A22" s="342"/>
      <c r="B22" s="343"/>
      <c r="C22" s="344"/>
      <c r="D22" s="345"/>
      <c r="E22" s="346"/>
      <c r="F22" s="347"/>
      <c r="G22" s="316"/>
      <c r="H22" s="317"/>
      <c r="I22" s="318"/>
    </row>
    <row r="23" spans="1:9" ht="18.75" x14ac:dyDescent="0.3">
      <c r="A23" s="342"/>
      <c r="B23" s="343"/>
      <c r="C23" s="344"/>
      <c r="D23" s="345"/>
      <c r="E23" s="349"/>
      <c r="F23" s="350"/>
      <c r="G23" s="316"/>
      <c r="H23" s="317"/>
      <c r="I23" s="318"/>
    </row>
    <row r="24" spans="1:9" ht="18.75" x14ac:dyDescent="0.3">
      <c r="A24" s="330"/>
      <c r="B24" s="330"/>
      <c r="C24" s="333"/>
      <c r="D24" s="351"/>
      <c r="E24" s="352"/>
      <c r="F24" s="353"/>
      <c r="G24" s="316"/>
      <c r="H24" s="317"/>
      <c r="I24" s="318"/>
    </row>
    <row r="25" spans="1:9" ht="18.75" x14ac:dyDescent="0.3">
      <c r="A25" s="354"/>
      <c r="B25" s="355"/>
      <c r="C25" s="356" t="s">
        <v>159</v>
      </c>
      <c r="D25" s="357"/>
      <c r="E25" s="358"/>
      <c r="F25" s="317"/>
      <c r="G25" s="316"/>
      <c r="H25" s="359"/>
      <c r="I25" s="318"/>
    </row>
    <row r="26" spans="1:9" ht="18.75" x14ac:dyDescent="0.3">
      <c r="A26" s="360" t="s">
        <v>207</v>
      </c>
      <c r="B26" s="361" t="s">
        <v>74</v>
      </c>
      <c r="C26" s="362" t="s">
        <v>208</v>
      </c>
      <c r="D26" s="326" t="s">
        <v>144</v>
      </c>
      <c r="E26" s="327">
        <v>2</v>
      </c>
      <c r="F26" s="328" t="s">
        <v>20</v>
      </c>
      <c r="G26" s="363"/>
      <c r="H26" s="317"/>
      <c r="I26" s="318"/>
    </row>
    <row r="27" spans="1:9" ht="18.75" x14ac:dyDescent="0.3">
      <c r="A27" s="360" t="s">
        <v>209</v>
      </c>
      <c r="B27" s="361" t="s">
        <v>210</v>
      </c>
      <c r="C27" s="362" t="s">
        <v>211</v>
      </c>
      <c r="D27" s="326" t="s">
        <v>212</v>
      </c>
      <c r="E27" s="327">
        <v>2</v>
      </c>
      <c r="F27" s="328" t="s">
        <v>20</v>
      </c>
      <c r="G27" s="363"/>
      <c r="H27" s="317"/>
      <c r="I27" s="318"/>
    </row>
    <row r="28" spans="1:9" ht="18.75" x14ac:dyDescent="0.3">
      <c r="A28" s="364" t="s">
        <v>213</v>
      </c>
      <c r="B28" s="365" t="s">
        <v>214</v>
      </c>
      <c r="C28" s="366" t="s">
        <v>215</v>
      </c>
      <c r="D28" s="326" t="s">
        <v>144</v>
      </c>
      <c r="E28" s="327">
        <v>1</v>
      </c>
      <c r="F28" s="328" t="s">
        <v>20</v>
      </c>
      <c r="G28" s="363"/>
      <c r="H28" s="317"/>
      <c r="I28" s="318"/>
    </row>
    <row r="29" spans="1:9" ht="18.75" x14ac:dyDescent="0.3">
      <c r="A29" s="367"/>
      <c r="B29" s="367"/>
      <c r="C29" s="368"/>
      <c r="D29" s="326"/>
      <c r="E29" s="327"/>
      <c r="F29" s="328"/>
      <c r="G29" s="316"/>
      <c r="H29" s="317"/>
      <c r="I29" s="318"/>
    </row>
    <row r="30" spans="1:9" ht="18.75" x14ac:dyDescent="0.3">
      <c r="A30" s="367"/>
      <c r="B30" s="367"/>
      <c r="C30" s="368"/>
      <c r="D30" s="326"/>
      <c r="E30" s="327"/>
      <c r="F30" s="328"/>
      <c r="G30" s="316"/>
      <c r="H30" s="317"/>
      <c r="I30" s="318"/>
    </row>
    <row r="31" spans="1:9" ht="18.75" x14ac:dyDescent="0.3">
      <c r="A31" s="367"/>
      <c r="B31" s="367"/>
      <c r="C31" s="368"/>
      <c r="D31" s="326"/>
      <c r="E31" s="327"/>
      <c r="F31" s="328"/>
      <c r="G31" s="369"/>
      <c r="H31" s="317"/>
      <c r="I31" s="318"/>
    </row>
    <row r="32" spans="1:9" ht="18.75" x14ac:dyDescent="0.3">
      <c r="A32" s="367"/>
      <c r="B32" s="367"/>
      <c r="C32" s="368"/>
      <c r="D32" s="326"/>
      <c r="E32" s="327"/>
      <c r="F32" s="328"/>
      <c r="G32" s="370"/>
      <c r="H32" s="317"/>
      <c r="I32" s="318"/>
    </row>
    <row r="33" spans="1:9" ht="18.75" x14ac:dyDescent="0.3">
      <c r="A33" s="371"/>
      <c r="B33" s="371"/>
      <c r="C33" s="372"/>
      <c r="D33" s="326"/>
      <c r="E33" s="353"/>
      <c r="F33" s="353"/>
      <c r="G33" s="370"/>
      <c r="H33" s="317"/>
      <c r="I33" s="318"/>
    </row>
    <row r="34" spans="1:9" ht="18.75" x14ac:dyDescent="0.3">
      <c r="A34" s="373"/>
      <c r="B34" s="330"/>
      <c r="C34" s="374"/>
      <c r="D34" s="375"/>
      <c r="E34" s="352"/>
      <c r="F34" s="329"/>
      <c r="G34" s="370"/>
      <c r="H34" s="317"/>
      <c r="I34" s="318"/>
    </row>
    <row r="35" spans="1:9" ht="18.75" x14ac:dyDescent="0.3">
      <c r="A35" s="367"/>
      <c r="B35" s="367"/>
      <c r="C35" s="368"/>
      <c r="D35" s="326"/>
      <c r="E35" s="352"/>
      <c r="F35" s="329"/>
      <c r="G35" s="370"/>
      <c r="H35" s="317"/>
      <c r="I35" s="318"/>
    </row>
    <row r="36" spans="1:9" ht="18.75" x14ac:dyDescent="0.3">
      <c r="A36" s="336"/>
      <c r="B36" s="337"/>
      <c r="C36" s="376"/>
      <c r="D36" s="339"/>
      <c r="E36" s="339"/>
      <c r="F36" s="341"/>
      <c r="G36" s="339"/>
      <c r="H36" s="339"/>
      <c r="I36" s="318"/>
    </row>
    <row r="37" spans="1:9" ht="18.75" thickBot="1" x14ac:dyDescent="0.3">
      <c r="A37" s="377"/>
      <c r="B37" s="378"/>
      <c r="C37" s="379"/>
      <c r="D37" s="379"/>
      <c r="E37" s="380"/>
      <c r="F37" s="381"/>
      <c r="G37" s="379"/>
      <c r="H37" s="379"/>
      <c r="I37" s="382"/>
    </row>
    <row r="38" spans="1:9" ht="18.75" thickBot="1" x14ac:dyDescent="0.3">
      <c r="A38" s="383"/>
      <c r="B38" s="384"/>
      <c r="C38" s="385"/>
      <c r="D38" s="386" t="s">
        <v>16</v>
      </c>
      <c r="E38" s="387" t="s">
        <v>21</v>
      </c>
      <c r="F38" s="388"/>
      <c r="G38" s="385"/>
      <c r="H38" s="385"/>
      <c r="I38" s="389"/>
    </row>
    <row r="39" spans="1:9" ht="18" x14ac:dyDescent="0.25">
      <c r="A39" s="887" t="s">
        <v>23</v>
      </c>
      <c r="B39" s="888"/>
      <c r="C39" s="889"/>
      <c r="D39" s="390">
        <v>9636</v>
      </c>
      <c r="E39" s="391" t="s">
        <v>19</v>
      </c>
      <c r="F39" s="890" t="s">
        <v>145</v>
      </c>
      <c r="G39" s="890"/>
      <c r="H39" s="891"/>
      <c r="I39" s="892"/>
    </row>
    <row r="40" spans="1:9" ht="18" x14ac:dyDescent="0.25">
      <c r="A40" s="893" t="s">
        <v>24</v>
      </c>
      <c r="B40" s="894"/>
      <c r="C40" s="895"/>
      <c r="D40" s="352">
        <v>2</v>
      </c>
      <c r="E40" s="329" t="s">
        <v>25</v>
      </c>
      <c r="F40" s="896" t="s">
        <v>147</v>
      </c>
      <c r="G40" s="896"/>
      <c r="H40" s="897"/>
      <c r="I40" s="898"/>
    </row>
    <row r="41" spans="1:9" ht="18" x14ac:dyDescent="0.25">
      <c r="A41" s="893" t="s">
        <v>26</v>
      </c>
      <c r="B41" s="894"/>
      <c r="C41" s="895"/>
      <c r="D41" s="352">
        <v>1</v>
      </c>
      <c r="E41" s="329" t="s">
        <v>38</v>
      </c>
      <c r="F41" s="896" t="s">
        <v>148</v>
      </c>
      <c r="G41" s="896"/>
      <c r="H41" s="897"/>
      <c r="I41" s="898"/>
    </row>
    <row r="42" spans="1:9" ht="18" x14ac:dyDescent="0.25">
      <c r="A42" s="893" t="s">
        <v>27</v>
      </c>
      <c r="B42" s="894"/>
      <c r="C42" s="895"/>
      <c r="D42" s="352">
        <v>9636</v>
      </c>
      <c r="E42" s="329" t="s">
        <v>19</v>
      </c>
      <c r="F42" s="902" t="s">
        <v>149</v>
      </c>
      <c r="G42" s="903"/>
      <c r="H42" s="904"/>
      <c r="I42" s="905"/>
    </row>
    <row r="43" spans="1:9" ht="18.75" thickBot="1" x14ac:dyDescent="0.3">
      <c r="A43" s="906" t="s">
        <v>28</v>
      </c>
      <c r="B43" s="907"/>
      <c r="C43" s="908"/>
      <c r="D43" s="392">
        <v>0</v>
      </c>
      <c r="E43" s="393" t="s">
        <v>19</v>
      </c>
      <c r="F43" s="909"/>
      <c r="G43" s="909"/>
      <c r="H43" s="897"/>
      <c r="I43" s="898"/>
    </row>
    <row r="44" spans="1:9" ht="18.75" thickBot="1" x14ac:dyDescent="0.3">
      <c r="A44" s="910" t="s">
        <v>29</v>
      </c>
      <c r="B44" s="911"/>
      <c r="C44" s="911"/>
      <c r="D44" s="911"/>
      <c r="E44" s="911"/>
      <c r="F44" s="911"/>
      <c r="G44" s="911"/>
      <c r="H44" s="911"/>
      <c r="I44" s="912"/>
    </row>
    <row r="45" spans="1:9" ht="14.65" customHeight="1" x14ac:dyDescent="0.3">
      <c r="A45" s="899" t="s">
        <v>216</v>
      </c>
      <c r="B45" s="900"/>
      <c r="C45" s="900"/>
      <c r="D45" s="900"/>
      <c r="E45" s="900"/>
      <c r="F45" s="900"/>
      <c r="G45" s="900"/>
      <c r="H45" s="900"/>
      <c r="I45" s="901"/>
    </row>
    <row r="46" spans="1:9" ht="15.4" customHeight="1" x14ac:dyDescent="0.3">
      <c r="A46" s="899" t="s">
        <v>217</v>
      </c>
      <c r="B46" s="900"/>
      <c r="C46" s="900"/>
      <c r="D46" s="900"/>
      <c r="E46" s="900"/>
      <c r="F46" s="900"/>
      <c r="G46" s="900"/>
      <c r="H46" s="900"/>
      <c r="I46" s="901"/>
    </row>
    <row r="47" spans="1:9" ht="14.65" customHeight="1" thickBot="1" x14ac:dyDescent="0.3">
      <c r="A47" s="915" t="s">
        <v>218</v>
      </c>
      <c r="B47" s="916"/>
      <c r="C47" s="917"/>
      <c r="D47" s="917"/>
      <c r="E47" s="917"/>
      <c r="F47" s="917"/>
      <c r="G47" s="917"/>
      <c r="H47" s="917"/>
      <c r="I47" s="918"/>
    </row>
    <row r="48" spans="1:9" ht="14.65" customHeight="1" x14ac:dyDescent="0.25">
      <c r="A48" s="919"/>
      <c r="B48" s="920"/>
      <c r="C48" s="920"/>
      <c r="D48" s="920"/>
      <c r="E48" s="920"/>
      <c r="F48" s="920"/>
      <c r="G48" s="920"/>
      <c r="H48" s="920"/>
      <c r="I48" s="921"/>
    </row>
    <row r="49" spans="1:9" ht="14.65" customHeight="1" x14ac:dyDescent="0.25">
      <c r="A49" s="922"/>
      <c r="B49" s="923"/>
      <c r="C49" s="924"/>
      <c r="D49" s="924"/>
      <c r="E49" s="924"/>
      <c r="F49" s="924"/>
      <c r="G49" s="924"/>
      <c r="H49" s="924"/>
      <c r="I49" s="925"/>
    </row>
    <row r="50" spans="1:9" ht="18" customHeight="1" thickBot="1" x14ac:dyDescent="0.3">
      <c r="A50" s="915"/>
      <c r="B50" s="916"/>
      <c r="C50" s="917"/>
      <c r="D50" s="917"/>
      <c r="E50" s="917"/>
      <c r="F50" s="917"/>
      <c r="G50" s="917"/>
      <c r="H50" s="917"/>
      <c r="I50" s="918"/>
    </row>
    <row r="51" spans="1:9" ht="18.75" x14ac:dyDescent="0.3">
      <c r="A51" s="926"/>
      <c r="B51" s="927"/>
      <c r="C51" s="927"/>
      <c r="D51" s="927"/>
      <c r="E51" s="927"/>
      <c r="F51" s="927"/>
      <c r="G51" s="927"/>
      <c r="H51" s="927"/>
      <c r="I51" s="928"/>
    </row>
    <row r="52" spans="1:9" ht="18.75" thickBot="1" x14ac:dyDescent="0.3">
      <c r="A52" s="929"/>
      <c r="B52" s="930"/>
      <c r="C52" s="930"/>
      <c r="D52" s="930"/>
      <c r="E52" s="930"/>
      <c r="F52" s="930"/>
      <c r="G52" s="930"/>
      <c r="H52" s="930"/>
      <c r="I52" s="931"/>
    </row>
    <row r="53" spans="1:9" ht="18" x14ac:dyDescent="0.25">
      <c r="A53" s="913" t="s">
        <v>30</v>
      </c>
      <c r="B53" s="914"/>
      <c r="C53" s="914"/>
      <c r="D53" s="914"/>
      <c r="E53" s="914"/>
      <c r="F53" s="914"/>
      <c r="G53" s="914"/>
      <c r="H53" s="914"/>
      <c r="I53" s="914"/>
    </row>
    <row r="54" spans="1:9" x14ac:dyDescent="0.25">
      <c r="A54" s="740"/>
      <c r="B54" s="741"/>
      <c r="C54" s="741"/>
      <c r="D54" s="741"/>
      <c r="E54" s="741"/>
      <c r="F54" s="741"/>
      <c r="G54" s="741"/>
      <c r="H54" s="741"/>
      <c r="I54" s="741"/>
    </row>
    <row r="55" spans="1:9" x14ac:dyDescent="0.25">
      <c r="A55" s="740"/>
      <c r="B55" s="741"/>
      <c r="C55" s="741"/>
      <c r="D55" s="741"/>
      <c r="E55" s="741"/>
      <c r="F55" s="741"/>
      <c r="G55" s="741"/>
      <c r="H55" s="741"/>
      <c r="I55" s="741"/>
    </row>
  </sheetData>
  <mergeCells count="44"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973BD-3BF4-45CC-86B6-BB7E16EF5B2D}">
  <dimension ref="A1:M29"/>
  <sheetViews>
    <sheetView zoomScale="85" zoomScaleNormal="85" workbookViewId="0">
      <selection activeCell="F19" sqref="F19:G19"/>
    </sheetView>
  </sheetViews>
  <sheetFormatPr baseColWidth="10" defaultColWidth="9.140625" defaultRowHeight="13.5" x14ac:dyDescent="0.25"/>
  <cols>
    <col min="1" max="2" width="16.140625" style="394" customWidth="1"/>
    <col min="3" max="3" width="40.5703125" style="394" customWidth="1"/>
    <col min="4" max="4" width="15.5703125" style="394" customWidth="1"/>
    <col min="5" max="5" width="9.140625" style="394"/>
    <col min="6" max="6" width="13.140625" style="394" customWidth="1"/>
    <col min="7" max="7" width="12.5703125" style="394" customWidth="1"/>
    <col min="8" max="8" width="15.5703125" style="394" customWidth="1"/>
    <col min="9" max="9" width="16" style="394" customWidth="1"/>
    <col min="10" max="257" width="9.140625" style="394"/>
    <col min="258" max="258" width="16.140625" style="394" customWidth="1"/>
    <col min="259" max="259" width="40.5703125" style="394" customWidth="1"/>
    <col min="260" max="260" width="15.5703125" style="394" customWidth="1"/>
    <col min="261" max="261" width="9.140625" style="394"/>
    <col min="262" max="262" width="13.140625" style="394" customWidth="1"/>
    <col min="263" max="263" width="12.5703125" style="394" customWidth="1"/>
    <col min="264" max="264" width="15.5703125" style="394" customWidth="1"/>
    <col min="265" max="265" width="16" style="394" customWidth="1"/>
    <col min="266" max="513" width="9.140625" style="394"/>
    <col min="514" max="514" width="16.140625" style="394" customWidth="1"/>
    <col min="515" max="515" width="40.5703125" style="394" customWidth="1"/>
    <col min="516" max="516" width="15.5703125" style="394" customWidth="1"/>
    <col min="517" max="517" width="9.140625" style="394"/>
    <col min="518" max="518" width="13.140625" style="394" customWidth="1"/>
    <col min="519" max="519" width="12.5703125" style="394" customWidth="1"/>
    <col min="520" max="520" width="15.5703125" style="394" customWidth="1"/>
    <col min="521" max="521" width="16" style="394" customWidth="1"/>
    <col min="522" max="769" width="9.140625" style="394"/>
    <col min="770" max="770" width="16.140625" style="394" customWidth="1"/>
    <col min="771" max="771" width="40.5703125" style="394" customWidth="1"/>
    <col min="772" max="772" width="15.5703125" style="394" customWidth="1"/>
    <col min="773" max="773" width="9.140625" style="394"/>
    <col min="774" max="774" width="13.140625" style="394" customWidth="1"/>
    <col min="775" max="775" width="12.5703125" style="394" customWidth="1"/>
    <col min="776" max="776" width="15.5703125" style="394" customWidth="1"/>
    <col min="777" max="777" width="16" style="394" customWidth="1"/>
    <col min="778" max="1025" width="9.140625" style="394"/>
    <col min="1026" max="1026" width="16.140625" style="394" customWidth="1"/>
    <col min="1027" max="1027" width="40.5703125" style="394" customWidth="1"/>
    <col min="1028" max="1028" width="15.5703125" style="394" customWidth="1"/>
    <col min="1029" max="1029" width="9.140625" style="394"/>
    <col min="1030" max="1030" width="13.140625" style="394" customWidth="1"/>
    <col min="1031" max="1031" width="12.5703125" style="394" customWidth="1"/>
    <col min="1032" max="1032" width="15.5703125" style="394" customWidth="1"/>
    <col min="1033" max="1033" width="16" style="394" customWidth="1"/>
    <col min="1034" max="1281" width="9.140625" style="394"/>
    <col min="1282" max="1282" width="16.140625" style="394" customWidth="1"/>
    <col min="1283" max="1283" width="40.5703125" style="394" customWidth="1"/>
    <col min="1284" max="1284" width="15.5703125" style="394" customWidth="1"/>
    <col min="1285" max="1285" width="9.140625" style="394"/>
    <col min="1286" max="1286" width="13.140625" style="394" customWidth="1"/>
    <col min="1287" max="1287" width="12.5703125" style="394" customWidth="1"/>
    <col min="1288" max="1288" width="15.5703125" style="394" customWidth="1"/>
    <col min="1289" max="1289" width="16" style="394" customWidth="1"/>
    <col min="1290" max="1537" width="9.140625" style="394"/>
    <col min="1538" max="1538" width="16.140625" style="394" customWidth="1"/>
    <col min="1539" max="1539" width="40.5703125" style="394" customWidth="1"/>
    <col min="1540" max="1540" width="15.5703125" style="394" customWidth="1"/>
    <col min="1541" max="1541" width="9.140625" style="394"/>
    <col min="1542" max="1542" width="13.140625" style="394" customWidth="1"/>
    <col min="1543" max="1543" width="12.5703125" style="394" customWidth="1"/>
    <col min="1544" max="1544" width="15.5703125" style="394" customWidth="1"/>
    <col min="1545" max="1545" width="16" style="394" customWidth="1"/>
    <col min="1546" max="1793" width="9.140625" style="394"/>
    <col min="1794" max="1794" width="16.140625" style="394" customWidth="1"/>
    <col min="1795" max="1795" width="40.5703125" style="394" customWidth="1"/>
    <col min="1796" max="1796" width="15.5703125" style="394" customWidth="1"/>
    <col min="1797" max="1797" width="9.140625" style="394"/>
    <col min="1798" max="1798" width="13.140625" style="394" customWidth="1"/>
    <col min="1799" max="1799" width="12.5703125" style="394" customWidth="1"/>
    <col min="1800" max="1800" width="15.5703125" style="394" customWidth="1"/>
    <col min="1801" max="1801" width="16" style="394" customWidth="1"/>
    <col min="1802" max="2049" width="9.140625" style="394"/>
    <col min="2050" max="2050" width="16.140625" style="394" customWidth="1"/>
    <col min="2051" max="2051" width="40.5703125" style="394" customWidth="1"/>
    <col min="2052" max="2052" width="15.5703125" style="394" customWidth="1"/>
    <col min="2053" max="2053" width="9.140625" style="394"/>
    <col min="2054" max="2054" width="13.140625" style="394" customWidth="1"/>
    <col min="2055" max="2055" width="12.5703125" style="394" customWidth="1"/>
    <col min="2056" max="2056" width="15.5703125" style="394" customWidth="1"/>
    <col min="2057" max="2057" width="16" style="394" customWidth="1"/>
    <col min="2058" max="2305" width="9.140625" style="394"/>
    <col min="2306" max="2306" width="16.140625" style="394" customWidth="1"/>
    <col min="2307" max="2307" width="40.5703125" style="394" customWidth="1"/>
    <col min="2308" max="2308" width="15.5703125" style="394" customWidth="1"/>
    <col min="2309" max="2309" width="9.140625" style="394"/>
    <col min="2310" max="2310" width="13.140625" style="394" customWidth="1"/>
    <col min="2311" max="2311" width="12.5703125" style="394" customWidth="1"/>
    <col min="2312" max="2312" width="15.5703125" style="394" customWidth="1"/>
    <col min="2313" max="2313" width="16" style="394" customWidth="1"/>
    <col min="2314" max="2561" width="9.140625" style="394"/>
    <col min="2562" max="2562" width="16.140625" style="394" customWidth="1"/>
    <col min="2563" max="2563" width="40.5703125" style="394" customWidth="1"/>
    <col min="2564" max="2564" width="15.5703125" style="394" customWidth="1"/>
    <col min="2565" max="2565" width="9.140625" style="394"/>
    <col min="2566" max="2566" width="13.140625" style="394" customWidth="1"/>
    <col min="2567" max="2567" width="12.5703125" style="394" customWidth="1"/>
    <col min="2568" max="2568" width="15.5703125" style="394" customWidth="1"/>
    <col min="2569" max="2569" width="16" style="394" customWidth="1"/>
    <col min="2570" max="2817" width="9.140625" style="394"/>
    <col min="2818" max="2818" width="16.140625" style="394" customWidth="1"/>
    <col min="2819" max="2819" width="40.5703125" style="394" customWidth="1"/>
    <col min="2820" max="2820" width="15.5703125" style="394" customWidth="1"/>
    <col min="2821" max="2821" width="9.140625" style="394"/>
    <col min="2822" max="2822" width="13.140625" style="394" customWidth="1"/>
    <col min="2823" max="2823" width="12.5703125" style="394" customWidth="1"/>
    <col min="2824" max="2824" width="15.5703125" style="394" customWidth="1"/>
    <col min="2825" max="2825" width="16" style="394" customWidth="1"/>
    <col min="2826" max="3073" width="9.140625" style="394"/>
    <col min="3074" max="3074" width="16.140625" style="394" customWidth="1"/>
    <col min="3075" max="3075" width="40.5703125" style="394" customWidth="1"/>
    <col min="3076" max="3076" width="15.5703125" style="394" customWidth="1"/>
    <col min="3077" max="3077" width="9.140625" style="394"/>
    <col min="3078" max="3078" width="13.140625" style="394" customWidth="1"/>
    <col min="3079" max="3079" width="12.5703125" style="394" customWidth="1"/>
    <col min="3080" max="3080" width="15.5703125" style="394" customWidth="1"/>
    <col min="3081" max="3081" width="16" style="394" customWidth="1"/>
    <col min="3082" max="3329" width="9.140625" style="394"/>
    <col min="3330" max="3330" width="16.140625" style="394" customWidth="1"/>
    <col min="3331" max="3331" width="40.5703125" style="394" customWidth="1"/>
    <col min="3332" max="3332" width="15.5703125" style="394" customWidth="1"/>
    <col min="3333" max="3333" width="9.140625" style="394"/>
    <col min="3334" max="3334" width="13.140625" style="394" customWidth="1"/>
    <col min="3335" max="3335" width="12.5703125" style="394" customWidth="1"/>
    <col min="3336" max="3336" width="15.5703125" style="394" customWidth="1"/>
    <col min="3337" max="3337" width="16" style="394" customWidth="1"/>
    <col min="3338" max="3585" width="9.140625" style="394"/>
    <col min="3586" max="3586" width="16.140625" style="394" customWidth="1"/>
    <col min="3587" max="3587" width="40.5703125" style="394" customWidth="1"/>
    <col min="3588" max="3588" width="15.5703125" style="394" customWidth="1"/>
    <col min="3589" max="3589" width="9.140625" style="394"/>
    <col min="3590" max="3590" width="13.140625" style="394" customWidth="1"/>
    <col min="3591" max="3591" width="12.5703125" style="394" customWidth="1"/>
    <col min="3592" max="3592" width="15.5703125" style="394" customWidth="1"/>
    <col min="3593" max="3593" width="16" style="394" customWidth="1"/>
    <col min="3594" max="3841" width="9.140625" style="394"/>
    <col min="3842" max="3842" width="16.140625" style="394" customWidth="1"/>
    <col min="3843" max="3843" width="40.5703125" style="394" customWidth="1"/>
    <col min="3844" max="3844" width="15.5703125" style="394" customWidth="1"/>
    <col min="3845" max="3845" width="9.140625" style="394"/>
    <col min="3846" max="3846" width="13.140625" style="394" customWidth="1"/>
    <col min="3847" max="3847" width="12.5703125" style="394" customWidth="1"/>
    <col min="3848" max="3848" width="15.5703125" style="394" customWidth="1"/>
    <col min="3849" max="3849" width="16" style="394" customWidth="1"/>
    <col min="3850" max="4097" width="9.140625" style="394"/>
    <col min="4098" max="4098" width="16.140625" style="394" customWidth="1"/>
    <col min="4099" max="4099" width="40.5703125" style="394" customWidth="1"/>
    <col min="4100" max="4100" width="15.5703125" style="394" customWidth="1"/>
    <col min="4101" max="4101" width="9.140625" style="394"/>
    <col min="4102" max="4102" width="13.140625" style="394" customWidth="1"/>
    <col min="4103" max="4103" width="12.5703125" style="394" customWidth="1"/>
    <col min="4104" max="4104" width="15.5703125" style="394" customWidth="1"/>
    <col min="4105" max="4105" width="16" style="394" customWidth="1"/>
    <col min="4106" max="4353" width="9.140625" style="394"/>
    <col min="4354" max="4354" width="16.140625" style="394" customWidth="1"/>
    <col min="4355" max="4355" width="40.5703125" style="394" customWidth="1"/>
    <col min="4356" max="4356" width="15.5703125" style="394" customWidth="1"/>
    <col min="4357" max="4357" width="9.140625" style="394"/>
    <col min="4358" max="4358" width="13.140625" style="394" customWidth="1"/>
    <col min="4359" max="4359" width="12.5703125" style="394" customWidth="1"/>
    <col min="4360" max="4360" width="15.5703125" style="394" customWidth="1"/>
    <col min="4361" max="4361" width="16" style="394" customWidth="1"/>
    <col min="4362" max="4609" width="9.140625" style="394"/>
    <col min="4610" max="4610" width="16.140625" style="394" customWidth="1"/>
    <col min="4611" max="4611" width="40.5703125" style="394" customWidth="1"/>
    <col min="4612" max="4612" width="15.5703125" style="394" customWidth="1"/>
    <col min="4613" max="4613" width="9.140625" style="394"/>
    <col min="4614" max="4614" width="13.140625" style="394" customWidth="1"/>
    <col min="4615" max="4615" width="12.5703125" style="394" customWidth="1"/>
    <col min="4616" max="4616" width="15.5703125" style="394" customWidth="1"/>
    <col min="4617" max="4617" width="16" style="394" customWidth="1"/>
    <col min="4618" max="4865" width="9.140625" style="394"/>
    <col min="4866" max="4866" width="16.140625" style="394" customWidth="1"/>
    <col min="4867" max="4867" width="40.5703125" style="394" customWidth="1"/>
    <col min="4868" max="4868" width="15.5703125" style="394" customWidth="1"/>
    <col min="4869" max="4869" width="9.140625" style="394"/>
    <col min="4870" max="4870" width="13.140625" style="394" customWidth="1"/>
    <col min="4871" max="4871" width="12.5703125" style="394" customWidth="1"/>
    <col min="4872" max="4872" width="15.5703125" style="394" customWidth="1"/>
    <col min="4873" max="4873" width="16" style="394" customWidth="1"/>
    <col min="4874" max="5121" width="9.140625" style="394"/>
    <col min="5122" max="5122" width="16.140625" style="394" customWidth="1"/>
    <col min="5123" max="5123" width="40.5703125" style="394" customWidth="1"/>
    <col min="5124" max="5124" width="15.5703125" style="394" customWidth="1"/>
    <col min="5125" max="5125" width="9.140625" style="394"/>
    <col min="5126" max="5126" width="13.140625" style="394" customWidth="1"/>
    <col min="5127" max="5127" width="12.5703125" style="394" customWidth="1"/>
    <col min="5128" max="5128" width="15.5703125" style="394" customWidth="1"/>
    <col min="5129" max="5129" width="16" style="394" customWidth="1"/>
    <col min="5130" max="5377" width="9.140625" style="394"/>
    <col min="5378" max="5378" width="16.140625" style="394" customWidth="1"/>
    <col min="5379" max="5379" width="40.5703125" style="394" customWidth="1"/>
    <col min="5380" max="5380" width="15.5703125" style="394" customWidth="1"/>
    <col min="5381" max="5381" width="9.140625" style="394"/>
    <col min="5382" max="5382" width="13.140625" style="394" customWidth="1"/>
    <col min="5383" max="5383" width="12.5703125" style="394" customWidth="1"/>
    <col min="5384" max="5384" width="15.5703125" style="394" customWidth="1"/>
    <col min="5385" max="5385" width="16" style="394" customWidth="1"/>
    <col min="5386" max="5633" width="9.140625" style="394"/>
    <col min="5634" max="5634" width="16.140625" style="394" customWidth="1"/>
    <col min="5635" max="5635" width="40.5703125" style="394" customWidth="1"/>
    <col min="5636" max="5636" width="15.5703125" style="394" customWidth="1"/>
    <col min="5637" max="5637" width="9.140625" style="394"/>
    <col min="5638" max="5638" width="13.140625" style="394" customWidth="1"/>
    <col min="5639" max="5639" width="12.5703125" style="394" customWidth="1"/>
    <col min="5640" max="5640" width="15.5703125" style="394" customWidth="1"/>
    <col min="5641" max="5641" width="16" style="394" customWidth="1"/>
    <col min="5642" max="5889" width="9.140625" style="394"/>
    <col min="5890" max="5890" width="16.140625" style="394" customWidth="1"/>
    <col min="5891" max="5891" width="40.5703125" style="394" customWidth="1"/>
    <col min="5892" max="5892" width="15.5703125" style="394" customWidth="1"/>
    <col min="5893" max="5893" width="9.140625" style="394"/>
    <col min="5894" max="5894" width="13.140625" style="394" customWidth="1"/>
    <col min="5895" max="5895" width="12.5703125" style="394" customWidth="1"/>
    <col min="5896" max="5896" width="15.5703125" style="394" customWidth="1"/>
    <col min="5897" max="5897" width="16" style="394" customWidth="1"/>
    <col min="5898" max="6145" width="9.140625" style="394"/>
    <col min="6146" max="6146" width="16.140625" style="394" customWidth="1"/>
    <col min="6147" max="6147" width="40.5703125" style="394" customWidth="1"/>
    <col min="6148" max="6148" width="15.5703125" style="394" customWidth="1"/>
    <col min="6149" max="6149" width="9.140625" style="394"/>
    <col min="6150" max="6150" width="13.140625" style="394" customWidth="1"/>
    <col min="6151" max="6151" width="12.5703125" style="394" customWidth="1"/>
    <col min="6152" max="6152" width="15.5703125" style="394" customWidth="1"/>
    <col min="6153" max="6153" width="16" style="394" customWidth="1"/>
    <col min="6154" max="6401" width="9.140625" style="394"/>
    <col min="6402" max="6402" width="16.140625" style="394" customWidth="1"/>
    <col min="6403" max="6403" width="40.5703125" style="394" customWidth="1"/>
    <col min="6404" max="6404" width="15.5703125" style="394" customWidth="1"/>
    <col min="6405" max="6405" width="9.140625" style="394"/>
    <col min="6406" max="6406" width="13.140625" style="394" customWidth="1"/>
    <col min="6407" max="6407" width="12.5703125" style="394" customWidth="1"/>
    <col min="6408" max="6408" width="15.5703125" style="394" customWidth="1"/>
    <col min="6409" max="6409" width="16" style="394" customWidth="1"/>
    <col min="6410" max="6657" width="9.140625" style="394"/>
    <col min="6658" max="6658" width="16.140625" style="394" customWidth="1"/>
    <col min="6659" max="6659" width="40.5703125" style="394" customWidth="1"/>
    <col min="6660" max="6660" width="15.5703125" style="394" customWidth="1"/>
    <col min="6661" max="6661" width="9.140625" style="394"/>
    <col min="6662" max="6662" width="13.140625" style="394" customWidth="1"/>
    <col min="6663" max="6663" width="12.5703125" style="394" customWidth="1"/>
    <col min="6664" max="6664" width="15.5703125" style="394" customWidth="1"/>
    <col min="6665" max="6665" width="16" style="394" customWidth="1"/>
    <col min="6666" max="6913" width="9.140625" style="394"/>
    <col min="6914" max="6914" width="16.140625" style="394" customWidth="1"/>
    <col min="6915" max="6915" width="40.5703125" style="394" customWidth="1"/>
    <col min="6916" max="6916" width="15.5703125" style="394" customWidth="1"/>
    <col min="6917" max="6917" width="9.140625" style="394"/>
    <col min="6918" max="6918" width="13.140625" style="394" customWidth="1"/>
    <col min="6919" max="6919" width="12.5703125" style="394" customWidth="1"/>
    <col min="6920" max="6920" width="15.5703125" style="394" customWidth="1"/>
    <col min="6921" max="6921" width="16" style="394" customWidth="1"/>
    <col min="6922" max="7169" width="9.140625" style="394"/>
    <col min="7170" max="7170" width="16.140625" style="394" customWidth="1"/>
    <col min="7171" max="7171" width="40.5703125" style="394" customWidth="1"/>
    <col min="7172" max="7172" width="15.5703125" style="394" customWidth="1"/>
    <col min="7173" max="7173" width="9.140625" style="394"/>
    <col min="7174" max="7174" width="13.140625" style="394" customWidth="1"/>
    <col min="7175" max="7175" width="12.5703125" style="394" customWidth="1"/>
    <col min="7176" max="7176" width="15.5703125" style="394" customWidth="1"/>
    <col min="7177" max="7177" width="16" style="394" customWidth="1"/>
    <col min="7178" max="7425" width="9.140625" style="394"/>
    <col min="7426" max="7426" width="16.140625" style="394" customWidth="1"/>
    <col min="7427" max="7427" width="40.5703125" style="394" customWidth="1"/>
    <col min="7428" max="7428" width="15.5703125" style="394" customWidth="1"/>
    <col min="7429" max="7429" width="9.140625" style="394"/>
    <col min="7430" max="7430" width="13.140625" style="394" customWidth="1"/>
    <col min="7431" max="7431" width="12.5703125" style="394" customWidth="1"/>
    <col min="7432" max="7432" width="15.5703125" style="394" customWidth="1"/>
    <col min="7433" max="7433" width="16" style="394" customWidth="1"/>
    <col min="7434" max="7681" width="9.140625" style="394"/>
    <col min="7682" max="7682" width="16.140625" style="394" customWidth="1"/>
    <col min="7683" max="7683" width="40.5703125" style="394" customWidth="1"/>
    <col min="7684" max="7684" width="15.5703125" style="394" customWidth="1"/>
    <col min="7685" max="7685" width="9.140625" style="394"/>
    <col min="7686" max="7686" width="13.140625" style="394" customWidth="1"/>
    <col min="7687" max="7687" width="12.5703125" style="394" customWidth="1"/>
    <col min="7688" max="7688" width="15.5703125" style="394" customWidth="1"/>
    <col min="7689" max="7689" width="16" style="394" customWidth="1"/>
    <col min="7690" max="7937" width="9.140625" style="394"/>
    <col min="7938" max="7938" width="16.140625" style="394" customWidth="1"/>
    <col min="7939" max="7939" width="40.5703125" style="394" customWidth="1"/>
    <col min="7940" max="7940" width="15.5703125" style="394" customWidth="1"/>
    <col min="7941" max="7941" width="9.140625" style="394"/>
    <col min="7942" max="7942" width="13.140625" style="394" customWidth="1"/>
    <col min="7943" max="7943" width="12.5703125" style="394" customWidth="1"/>
    <col min="7944" max="7944" width="15.5703125" style="394" customWidth="1"/>
    <col min="7945" max="7945" width="16" style="394" customWidth="1"/>
    <col min="7946" max="8193" width="9.140625" style="394"/>
    <col min="8194" max="8194" width="16.140625" style="394" customWidth="1"/>
    <col min="8195" max="8195" width="40.5703125" style="394" customWidth="1"/>
    <col min="8196" max="8196" width="15.5703125" style="394" customWidth="1"/>
    <col min="8197" max="8197" width="9.140625" style="394"/>
    <col min="8198" max="8198" width="13.140625" style="394" customWidth="1"/>
    <col min="8199" max="8199" width="12.5703125" style="394" customWidth="1"/>
    <col min="8200" max="8200" width="15.5703125" style="394" customWidth="1"/>
    <col min="8201" max="8201" width="16" style="394" customWidth="1"/>
    <col min="8202" max="8449" width="9.140625" style="394"/>
    <col min="8450" max="8450" width="16.140625" style="394" customWidth="1"/>
    <col min="8451" max="8451" width="40.5703125" style="394" customWidth="1"/>
    <col min="8452" max="8452" width="15.5703125" style="394" customWidth="1"/>
    <col min="8453" max="8453" width="9.140625" style="394"/>
    <col min="8454" max="8454" width="13.140625" style="394" customWidth="1"/>
    <col min="8455" max="8455" width="12.5703125" style="394" customWidth="1"/>
    <col min="8456" max="8456" width="15.5703125" style="394" customWidth="1"/>
    <col min="8457" max="8457" width="16" style="394" customWidth="1"/>
    <col min="8458" max="8705" width="9.140625" style="394"/>
    <col min="8706" max="8706" width="16.140625" style="394" customWidth="1"/>
    <col min="8707" max="8707" width="40.5703125" style="394" customWidth="1"/>
    <col min="8708" max="8708" width="15.5703125" style="394" customWidth="1"/>
    <col min="8709" max="8709" width="9.140625" style="394"/>
    <col min="8710" max="8710" width="13.140625" style="394" customWidth="1"/>
    <col min="8711" max="8711" width="12.5703125" style="394" customWidth="1"/>
    <col min="8712" max="8712" width="15.5703125" style="394" customWidth="1"/>
    <col min="8713" max="8713" width="16" style="394" customWidth="1"/>
    <col min="8714" max="8961" width="9.140625" style="394"/>
    <col min="8962" max="8962" width="16.140625" style="394" customWidth="1"/>
    <col min="8963" max="8963" width="40.5703125" style="394" customWidth="1"/>
    <col min="8964" max="8964" width="15.5703125" style="394" customWidth="1"/>
    <col min="8965" max="8965" width="9.140625" style="394"/>
    <col min="8966" max="8966" width="13.140625" style="394" customWidth="1"/>
    <col min="8967" max="8967" width="12.5703125" style="394" customWidth="1"/>
    <col min="8968" max="8968" width="15.5703125" style="394" customWidth="1"/>
    <col min="8969" max="8969" width="16" style="394" customWidth="1"/>
    <col min="8970" max="9217" width="9.140625" style="394"/>
    <col min="9218" max="9218" width="16.140625" style="394" customWidth="1"/>
    <col min="9219" max="9219" width="40.5703125" style="394" customWidth="1"/>
    <col min="9220" max="9220" width="15.5703125" style="394" customWidth="1"/>
    <col min="9221" max="9221" width="9.140625" style="394"/>
    <col min="9222" max="9222" width="13.140625" style="394" customWidth="1"/>
    <col min="9223" max="9223" width="12.5703125" style="394" customWidth="1"/>
    <col min="9224" max="9224" width="15.5703125" style="394" customWidth="1"/>
    <col min="9225" max="9225" width="16" style="394" customWidth="1"/>
    <col min="9226" max="9473" width="9.140625" style="394"/>
    <col min="9474" max="9474" width="16.140625" style="394" customWidth="1"/>
    <col min="9475" max="9475" width="40.5703125" style="394" customWidth="1"/>
    <col min="9476" max="9476" width="15.5703125" style="394" customWidth="1"/>
    <col min="9477" max="9477" width="9.140625" style="394"/>
    <col min="9478" max="9478" width="13.140625" style="394" customWidth="1"/>
    <col min="9479" max="9479" width="12.5703125" style="394" customWidth="1"/>
    <col min="9480" max="9480" width="15.5703125" style="394" customWidth="1"/>
    <col min="9481" max="9481" width="16" style="394" customWidth="1"/>
    <col min="9482" max="9729" width="9.140625" style="394"/>
    <col min="9730" max="9730" width="16.140625" style="394" customWidth="1"/>
    <col min="9731" max="9731" width="40.5703125" style="394" customWidth="1"/>
    <col min="9732" max="9732" width="15.5703125" style="394" customWidth="1"/>
    <col min="9733" max="9733" width="9.140625" style="394"/>
    <col min="9734" max="9734" width="13.140625" style="394" customWidth="1"/>
    <col min="9735" max="9735" width="12.5703125" style="394" customWidth="1"/>
    <col min="9736" max="9736" width="15.5703125" style="394" customWidth="1"/>
    <col min="9737" max="9737" width="16" style="394" customWidth="1"/>
    <col min="9738" max="9985" width="9.140625" style="394"/>
    <col min="9986" max="9986" width="16.140625" style="394" customWidth="1"/>
    <col min="9987" max="9987" width="40.5703125" style="394" customWidth="1"/>
    <col min="9988" max="9988" width="15.5703125" style="394" customWidth="1"/>
    <col min="9989" max="9989" width="9.140625" style="394"/>
    <col min="9990" max="9990" width="13.140625" style="394" customWidth="1"/>
    <col min="9991" max="9991" width="12.5703125" style="394" customWidth="1"/>
    <col min="9992" max="9992" width="15.5703125" style="394" customWidth="1"/>
    <col min="9993" max="9993" width="16" style="394" customWidth="1"/>
    <col min="9994" max="10241" width="9.140625" style="394"/>
    <col min="10242" max="10242" width="16.140625" style="394" customWidth="1"/>
    <col min="10243" max="10243" width="40.5703125" style="394" customWidth="1"/>
    <col min="10244" max="10244" width="15.5703125" style="394" customWidth="1"/>
    <col min="10245" max="10245" width="9.140625" style="394"/>
    <col min="10246" max="10246" width="13.140625" style="394" customWidth="1"/>
    <col min="10247" max="10247" width="12.5703125" style="394" customWidth="1"/>
    <col min="10248" max="10248" width="15.5703125" style="394" customWidth="1"/>
    <col min="10249" max="10249" width="16" style="394" customWidth="1"/>
    <col min="10250" max="10497" width="9.140625" style="394"/>
    <col min="10498" max="10498" width="16.140625" style="394" customWidth="1"/>
    <col min="10499" max="10499" width="40.5703125" style="394" customWidth="1"/>
    <col min="10500" max="10500" width="15.5703125" style="394" customWidth="1"/>
    <col min="10501" max="10501" width="9.140625" style="394"/>
    <col min="10502" max="10502" width="13.140625" style="394" customWidth="1"/>
    <col min="10503" max="10503" width="12.5703125" style="394" customWidth="1"/>
    <col min="10504" max="10504" width="15.5703125" style="394" customWidth="1"/>
    <col min="10505" max="10505" width="16" style="394" customWidth="1"/>
    <col min="10506" max="10753" width="9.140625" style="394"/>
    <col min="10754" max="10754" width="16.140625" style="394" customWidth="1"/>
    <col min="10755" max="10755" width="40.5703125" style="394" customWidth="1"/>
    <col min="10756" max="10756" width="15.5703125" style="394" customWidth="1"/>
    <col min="10757" max="10757" width="9.140625" style="394"/>
    <col min="10758" max="10758" width="13.140625" style="394" customWidth="1"/>
    <col min="10759" max="10759" width="12.5703125" style="394" customWidth="1"/>
    <col min="10760" max="10760" width="15.5703125" style="394" customWidth="1"/>
    <col min="10761" max="10761" width="16" style="394" customWidth="1"/>
    <col min="10762" max="11009" width="9.140625" style="394"/>
    <col min="11010" max="11010" width="16.140625" style="394" customWidth="1"/>
    <col min="11011" max="11011" width="40.5703125" style="394" customWidth="1"/>
    <col min="11012" max="11012" width="15.5703125" style="394" customWidth="1"/>
    <col min="11013" max="11013" width="9.140625" style="394"/>
    <col min="11014" max="11014" width="13.140625" style="394" customWidth="1"/>
    <col min="11015" max="11015" width="12.5703125" style="394" customWidth="1"/>
    <col min="11016" max="11016" width="15.5703125" style="394" customWidth="1"/>
    <col min="11017" max="11017" width="16" style="394" customWidth="1"/>
    <col min="11018" max="11265" width="9.140625" style="394"/>
    <col min="11266" max="11266" width="16.140625" style="394" customWidth="1"/>
    <col min="11267" max="11267" width="40.5703125" style="394" customWidth="1"/>
    <col min="11268" max="11268" width="15.5703125" style="394" customWidth="1"/>
    <col min="11269" max="11269" width="9.140625" style="394"/>
    <col min="11270" max="11270" width="13.140625" style="394" customWidth="1"/>
    <col min="11271" max="11271" width="12.5703125" style="394" customWidth="1"/>
    <col min="11272" max="11272" width="15.5703125" style="394" customWidth="1"/>
    <col min="11273" max="11273" width="16" style="394" customWidth="1"/>
    <col min="11274" max="11521" width="9.140625" style="394"/>
    <col min="11522" max="11522" width="16.140625" style="394" customWidth="1"/>
    <col min="11523" max="11523" width="40.5703125" style="394" customWidth="1"/>
    <col min="11524" max="11524" width="15.5703125" style="394" customWidth="1"/>
    <col min="11525" max="11525" width="9.140625" style="394"/>
    <col min="11526" max="11526" width="13.140625" style="394" customWidth="1"/>
    <col min="11527" max="11527" width="12.5703125" style="394" customWidth="1"/>
    <col min="11528" max="11528" width="15.5703125" style="394" customWidth="1"/>
    <col min="11529" max="11529" width="16" style="394" customWidth="1"/>
    <col min="11530" max="11777" width="9.140625" style="394"/>
    <col min="11778" max="11778" width="16.140625" style="394" customWidth="1"/>
    <col min="11779" max="11779" width="40.5703125" style="394" customWidth="1"/>
    <col min="11780" max="11780" width="15.5703125" style="394" customWidth="1"/>
    <col min="11781" max="11781" width="9.140625" style="394"/>
    <col min="11782" max="11782" width="13.140625" style="394" customWidth="1"/>
    <col min="11783" max="11783" width="12.5703125" style="394" customWidth="1"/>
    <col min="11784" max="11784" width="15.5703125" style="394" customWidth="1"/>
    <col min="11785" max="11785" width="16" style="394" customWidth="1"/>
    <col min="11786" max="12033" width="9.140625" style="394"/>
    <col min="12034" max="12034" width="16.140625" style="394" customWidth="1"/>
    <col min="12035" max="12035" width="40.5703125" style="394" customWidth="1"/>
    <col min="12036" max="12036" width="15.5703125" style="394" customWidth="1"/>
    <col min="12037" max="12037" width="9.140625" style="394"/>
    <col min="12038" max="12038" width="13.140625" style="394" customWidth="1"/>
    <col min="12039" max="12039" width="12.5703125" style="394" customWidth="1"/>
    <col min="12040" max="12040" width="15.5703125" style="394" customWidth="1"/>
    <col min="12041" max="12041" width="16" style="394" customWidth="1"/>
    <col min="12042" max="12289" width="9.140625" style="394"/>
    <col min="12290" max="12290" width="16.140625" style="394" customWidth="1"/>
    <col min="12291" max="12291" width="40.5703125" style="394" customWidth="1"/>
    <col min="12292" max="12292" width="15.5703125" style="394" customWidth="1"/>
    <col min="12293" max="12293" width="9.140625" style="394"/>
    <col min="12294" max="12294" width="13.140625" style="394" customWidth="1"/>
    <col min="12295" max="12295" width="12.5703125" style="394" customWidth="1"/>
    <col min="12296" max="12296" width="15.5703125" style="394" customWidth="1"/>
    <col min="12297" max="12297" width="16" style="394" customWidth="1"/>
    <col min="12298" max="12545" width="9.140625" style="394"/>
    <col min="12546" max="12546" width="16.140625" style="394" customWidth="1"/>
    <col min="12547" max="12547" width="40.5703125" style="394" customWidth="1"/>
    <col min="12548" max="12548" width="15.5703125" style="394" customWidth="1"/>
    <col min="12549" max="12549" width="9.140625" style="394"/>
    <col min="12550" max="12550" width="13.140625" style="394" customWidth="1"/>
    <col min="12551" max="12551" width="12.5703125" style="394" customWidth="1"/>
    <col min="12552" max="12552" width="15.5703125" style="394" customWidth="1"/>
    <col min="12553" max="12553" width="16" style="394" customWidth="1"/>
    <col min="12554" max="12801" width="9.140625" style="394"/>
    <col min="12802" max="12802" width="16.140625" style="394" customWidth="1"/>
    <col min="12803" max="12803" width="40.5703125" style="394" customWidth="1"/>
    <col min="12804" max="12804" width="15.5703125" style="394" customWidth="1"/>
    <col min="12805" max="12805" width="9.140625" style="394"/>
    <col min="12806" max="12806" width="13.140625" style="394" customWidth="1"/>
    <col min="12807" max="12807" width="12.5703125" style="394" customWidth="1"/>
    <col min="12808" max="12808" width="15.5703125" style="394" customWidth="1"/>
    <col min="12809" max="12809" width="16" style="394" customWidth="1"/>
    <col min="12810" max="13057" width="9.140625" style="394"/>
    <col min="13058" max="13058" width="16.140625" style="394" customWidth="1"/>
    <col min="13059" max="13059" width="40.5703125" style="394" customWidth="1"/>
    <col min="13060" max="13060" width="15.5703125" style="394" customWidth="1"/>
    <col min="13061" max="13061" width="9.140625" style="394"/>
    <col min="13062" max="13062" width="13.140625" style="394" customWidth="1"/>
    <col min="13063" max="13063" width="12.5703125" style="394" customWidth="1"/>
    <col min="13064" max="13064" width="15.5703125" style="394" customWidth="1"/>
    <col min="13065" max="13065" width="16" style="394" customWidth="1"/>
    <col min="13066" max="13313" width="9.140625" style="394"/>
    <col min="13314" max="13314" width="16.140625" style="394" customWidth="1"/>
    <col min="13315" max="13315" width="40.5703125" style="394" customWidth="1"/>
    <col min="13316" max="13316" width="15.5703125" style="394" customWidth="1"/>
    <col min="13317" max="13317" width="9.140625" style="394"/>
    <col min="13318" max="13318" width="13.140625" style="394" customWidth="1"/>
    <col min="13319" max="13319" width="12.5703125" style="394" customWidth="1"/>
    <col min="13320" max="13320" width="15.5703125" style="394" customWidth="1"/>
    <col min="13321" max="13321" width="16" style="394" customWidth="1"/>
    <col min="13322" max="13569" width="9.140625" style="394"/>
    <col min="13570" max="13570" width="16.140625" style="394" customWidth="1"/>
    <col min="13571" max="13571" width="40.5703125" style="394" customWidth="1"/>
    <col min="13572" max="13572" width="15.5703125" style="394" customWidth="1"/>
    <col min="13573" max="13573" width="9.140625" style="394"/>
    <col min="13574" max="13574" width="13.140625" style="394" customWidth="1"/>
    <col min="13575" max="13575" width="12.5703125" style="394" customWidth="1"/>
    <col min="13576" max="13576" width="15.5703125" style="394" customWidth="1"/>
    <col min="13577" max="13577" width="16" style="394" customWidth="1"/>
    <col min="13578" max="13825" width="9.140625" style="394"/>
    <col min="13826" max="13826" width="16.140625" style="394" customWidth="1"/>
    <col min="13827" max="13827" width="40.5703125" style="394" customWidth="1"/>
    <col min="13828" max="13828" width="15.5703125" style="394" customWidth="1"/>
    <col min="13829" max="13829" width="9.140625" style="394"/>
    <col min="13830" max="13830" width="13.140625" style="394" customWidth="1"/>
    <col min="13831" max="13831" width="12.5703125" style="394" customWidth="1"/>
    <col min="13832" max="13832" width="15.5703125" style="394" customWidth="1"/>
    <col min="13833" max="13833" width="16" style="394" customWidth="1"/>
    <col min="13834" max="14081" width="9.140625" style="394"/>
    <col min="14082" max="14082" width="16.140625" style="394" customWidth="1"/>
    <col min="14083" max="14083" width="40.5703125" style="394" customWidth="1"/>
    <col min="14084" max="14084" width="15.5703125" style="394" customWidth="1"/>
    <col min="14085" max="14085" width="9.140625" style="394"/>
    <col min="14086" max="14086" width="13.140625" style="394" customWidth="1"/>
    <col min="14087" max="14087" width="12.5703125" style="394" customWidth="1"/>
    <col min="14088" max="14088" width="15.5703125" style="394" customWidth="1"/>
    <col min="14089" max="14089" width="16" style="394" customWidth="1"/>
    <col min="14090" max="14337" width="9.140625" style="394"/>
    <col min="14338" max="14338" width="16.140625" style="394" customWidth="1"/>
    <col min="14339" max="14339" width="40.5703125" style="394" customWidth="1"/>
    <col min="14340" max="14340" width="15.5703125" style="394" customWidth="1"/>
    <col min="14341" max="14341" width="9.140625" style="394"/>
    <col min="14342" max="14342" width="13.140625" style="394" customWidth="1"/>
    <col min="14343" max="14343" width="12.5703125" style="394" customWidth="1"/>
    <col min="14344" max="14344" width="15.5703125" style="394" customWidth="1"/>
    <col min="14345" max="14345" width="16" style="394" customWidth="1"/>
    <col min="14346" max="14593" width="9.140625" style="394"/>
    <col min="14594" max="14594" width="16.140625" style="394" customWidth="1"/>
    <col min="14595" max="14595" width="40.5703125" style="394" customWidth="1"/>
    <col min="14596" max="14596" width="15.5703125" style="394" customWidth="1"/>
    <col min="14597" max="14597" width="9.140625" style="394"/>
    <col min="14598" max="14598" width="13.140625" style="394" customWidth="1"/>
    <col min="14599" max="14599" width="12.5703125" style="394" customWidth="1"/>
    <col min="14600" max="14600" width="15.5703125" style="394" customWidth="1"/>
    <col min="14601" max="14601" width="16" style="394" customWidth="1"/>
    <col min="14602" max="14849" width="9.140625" style="394"/>
    <col min="14850" max="14850" width="16.140625" style="394" customWidth="1"/>
    <col min="14851" max="14851" width="40.5703125" style="394" customWidth="1"/>
    <col min="14852" max="14852" width="15.5703125" style="394" customWidth="1"/>
    <col min="14853" max="14853" width="9.140625" style="394"/>
    <col min="14854" max="14854" width="13.140625" style="394" customWidth="1"/>
    <col min="14855" max="14855" width="12.5703125" style="394" customWidth="1"/>
    <col min="14856" max="14856" width="15.5703125" style="394" customWidth="1"/>
    <col min="14857" max="14857" width="16" style="394" customWidth="1"/>
    <col min="14858" max="15105" width="9.140625" style="394"/>
    <col min="15106" max="15106" width="16.140625" style="394" customWidth="1"/>
    <col min="15107" max="15107" width="40.5703125" style="394" customWidth="1"/>
    <col min="15108" max="15108" width="15.5703125" style="394" customWidth="1"/>
    <col min="15109" max="15109" width="9.140625" style="394"/>
    <col min="15110" max="15110" width="13.140625" style="394" customWidth="1"/>
    <col min="15111" max="15111" width="12.5703125" style="394" customWidth="1"/>
    <col min="15112" max="15112" width="15.5703125" style="394" customWidth="1"/>
    <col min="15113" max="15113" width="16" style="394" customWidth="1"/>
    <col min="15114" max="15361" width="9.140625" style="394"/>
    <col min="15362" max="15362" width="16.140625" style="394" customWidth="1"/>
    <col min="15363" max="15363" width="40.5703125" style="394" customWidth="1"/>
    <col min="15364" max="15364" width="15.5703125" style="394" customWidth="1"/>
    <col min="15365" max="15365" width="9.140625" style="394"/>
    <col min="15366" max="15366" width="13.140625" style="394" customWidth="1"/>
    <col min="15367" max="15367" width="12.5703125" style="394" customWidth="1"/>
    <col min="15368" max="15368" width="15.5703125" style="394" customWidth="1"/>
    <col min="15369" max="15369" width="16" style="394" customWidth="1"/>
    <col min="15370" max="15617" width="9.140625" style="394"/>
    <col min="15618" max="15618" width="16.140625" style="394" customWidth="1"/>
    <col min="15619" max="15619" width="40.5703125" style="394" customWidth="1"/>
    <col min="15620" max="15620" width="15.5703125" style="394" customWidth="1"/>
    <col min="15621" max="15621" width="9.140625" style="394"/>
    <col min="15622" max="15622" width="13.140625" style="394" customWidth="1"/>
    <col min="15623" max="15623" width="12.5703125" style="394" customWidth="1"/>
    <col min="15624" max="15624" width="15.5703125" style="394" customWidth="1"/>
    <col min="15625" max="15625" width="16" style="394" customWidth="1"/>
    <col min="15626" max="15873" width="9.140625" style="394"/>
    <col min="15874" max="15874" width="16.140625" style="394" customWidth="1"/>
    <col min="15875" max="15875" width="40.5703125" style="394" customWidth="1"/>
    <col min="15876" max="15876" width="15.5703125" style="394" customWidth="1"/>
    <col min="15877" max="15877" width="9.140625" style="394"/>
    <col min="15878" max="15878" width="13.140625" style="394" customWidth="1"/>
    <col min="15879" max="15879" width="12.5703125" style="394" customWidth="1"/>
    <col min="15880" max="15880" width="15.5703125" style="394" customWidth="1"/>
    <col min="15881" max="15881" width="16" style="394" customWidth="1"/>
    <col min="15882" max="16129" width="9.140625" style="394"/>
    <col min="16130" max="16130" width="16.140625" style="394" customWidth="1"/>
    <col min="16131" max="16131" width="40.5703125" style="394" customWidth="1"/>
    <col min="16132" max="16132" width="15.5703125" style="394" customWidth="1"/>
    <col min="16133" max="16133" width="9.140625" style="394"/>
    <col min="16134" max="16134" width="13.140625" style="394" customWidth="1"/>
    <col min="16135" max="16135" width="12.5703125" style="394" customWidth="1"/>
    <col min="16136" max="16136" width="15.5703125" style="394" customWidth="1"/>
    <col min="16137" max="16137" width="16" style="394" customWidth="1"/>
    <col min="16138" max="16384" width="9.140625" style="394"/>
  </cols>
  <sheetData>
    <row r="1" spans="1:12" ht="15.75" x14ac:dyDescent="0.25">
      <c r="A1" s="933"/>
      <c r="B1" s="294"/>
      <c r="C1" s="936" t="s">
        <v>0</v>
      </c>
      <c r="D1" s="820"/>
      <c r="E1" s="820"/>
      <c r="F1" s="820"/>
      <c r="G1" s="820"/>
      <c r="H1" s="295" t="s">
        <v>1</v>
      </c>
      <c r="I1" s="1" t="s">
        <v>219</v>
      </c>
    </row>
    <row r="2" spans="1:12" ht="16.5" thickBot="1" x14ac:dyDescent="0.3">
      <c r="A2" s="934"/>
      <c r="B2" s="22"/>
      <c r="C2" s="937" t="s">
        <v>3</v>
      </c>
      <c r="D2" s="938"/>
      <c r="E2" s="938"/>
      <c r="F2" s="938"/>
      <c r="G2" s="938"/>
      <c r="H2" s="296" t="s">
        <v>4</v>
      </c>
      <c r="I2" s="2" t="s">
        <v>220</v>
      </c>
    </row>
    <row r="3" spans="1:12" ht="18.75" thickBot="1" x14ac:dyDescent="0.3">
      <c r="A3" s="934"/>
      <c r="B3" s="22"/>
      <c r="C3" s="939" t="s">
        <v>221</v>
      </c>
      <c r="D3" s="940"/>
      <c r="E3" s="940"/>
      <c r="F3" s="940"/>
      <c r="G3" s="941"/>
      <c r="H3" s="827" t="s">
        <v>6</v>
      </c>
      <c r="I3" s="805">
        <v>44202</v>
      </c>
    </row>
    <row r="4" spans="1:12" x14ac:dyDescent="0.25">
      <c r="A4" s="934"/>
      <c r="B4" s="22"/>
      <c r="C4" s="395" t="s">
        <v>7</v>
      </c>
      <c r="D4" s="808" t="s">
        <v>152</v>
      </c>
      <c r="E4" s="809"/>
      <c r="F4" s="809"/>
      <c r="G4" s="810"/>
      <c r="H4" s="828"/>
      <c r="I4" s="806"/>
    </row>
    <row r="5" spans="1:12" ht="14.25" thickBot="1" x14ac:dyDescent="0.3">
      <c r="A5" s="935"/>
      <c r="B5" s="22"/>
      <c r="C5" s="396" t="s">
        <v>8</v>
      </c>
      <c r="D5" s="811" t="s">
        <v>222</v>
      </c>
      <c r="E5" s="812"/>
      <c r="F5" s="812"/>
      <c r="G5" s="813"/>
      <c r="H5" s="829"/>
      <c r="I5" s="806"/>
    </row>
    <row r="6" spans="1:12" ht="25.5" x14ac:dyDescent="0.25">
      <c r="A6" s="942" t="s">
        <v>137</v>
      </c>
      <c r="B6" s="942" t="s">
        <v>223</v>
      </c>
      <c r="C6" s="932" t="s">
        <v>12</v>
      </c>
      <c r="D6" s="932" t="s">
        <v>13</v>
      </c>
      <c r="E6" s="932" t="s">
        <v>138</v>
      </c>
      <c r="F6" s="932"/>
      <c r="G6" s="932" t="s">
        <v>224</v>
      </c>
      <c r="H6" s="932"/>
      <c r="I6" s="397" t="s">
        <v>140</v>
      </c>
    </row>
    <row r="7" spans="1:12" ht="27" thickBot="1" x14ac:dyDescent="0.3">
      <c r="A7" s="943"/>
      <c r="B7" s="943"/>
      <c r="C7" s="944"/>
      <c r="D7" s="944"/>
      <c r="E7" s="398" t="s">
        <v>16</v>
      </c>
      <c r="F7" s="399" t="s">
        <v>17</v>
      </c>
      <c r="G7" s="398" t="s">
        <v>16</v>
      </c>
      <c r="H7" s="399" t="s">
        <v>17</v>
      </c>
      <c r="I7" s="400" t="s">
        <v>141</v>
      </c>
    </row>
    <row r="8" spans="1:12" ht="15.75" x14ac:dyDescent="0.25">
      <c r="A8" s="401"/>
      <c r="B8" s="402"/>
      <c r="C8" s="226"/>
      <c r="D8" s="403"/>
      <c r="E8" s="74"/>
      <c r="F8" s="74"/>
      <c r="G8" s="222"/>
      <c r="H8" s="223"/>
      <c r="I8" s="404"/>
    </row>
    <row r="9" spans="1:12" ht="15" x14ac:dyDescent="0.25">
      <c r="A9" s="405" t="s">
        <v>225</v>
      </c>
      <c r="B9" s="406" t="s">
        <v>226</v>
      </c>
      <c r="C9" s="65" t="s">
        <v>227</v>
      </c>
      <c r="D9" s="66" t="s">
        <v>228</v>
      </c>
      <c r="E9" s="224">
        <v>25000</v>
      </c>
      <c r="F9" s="72" t="s">
        <v>19</v>
      </c>
      <c r="G9" s="407">
        <v>1</v>
      </c>
      <c r="H9" s="223" t="s">
        <v>229</v>
      </c>
      <c r="I9" s="404"/>
      <c r="J9" s="394">
        <f>+E9/$D$16</f>
        <v>0.83892617449664431</v>
      </c>
      <c r="K9" s="394">
        <f>+J9*1000</f>
        <v>838.92617449664431</v>
      </c>
    </row>
    <row r="10" spans="1:12" ht="15" x14ac:dyDescent="0.25">
      <c r="A10" s="405" t="s">
        <v>230</v>
      </c>
      <c r="B10" s="406" t="s">
        <v>231</v>
      </c>
      <c r="C10" s="65" t="s">
        <v>232</v>
      </c>
      <c r="D10" s="66" t="s">
        <v>233</v>
      </c>
      <c r="E10" s="224">
        <v>5000</v>
      </c>
      <c r="F10" s="72" t="s">
        <v>19</v>
      </c>
      <c r="G10" s="407">
        <f>+E10/25000</f>
        <v>0.2</v>
      </c>
      <c r="H10" s="223" t="s">
        <v>234</v>
      </c>
      <c r="I10" s="404"/>
      <c r="J10" s="394">
        <f t="shared" ref="J10" si="0">+E10/$D$16</f>
        <v>0.16778523489932887</v>
      </c>
      <c r="K10" s="394">
        <f>+J10*1000</f>
        <v>167.78523489932886</v>
      </c>
    </row>
    <row r="11" spans="1:12" ht="15" x14ac:dyDescent="0.25">
      <c r="A11" s="408"/>
      <c r="B11" s="408"/>
      <c r="C11" s="226"/>
      <c r="D11" s="66"/>
      <c r="E11" s="409"/>
      <c r="F11" s="72"/>
      <c r="G11" s="407"/>
      <c r="H11" s="223"/>
      <c r="I11" s="404"/>
    </row>
    <row r="12" spans="1:12" ht="15" x14ac:dyDescent="0.25">
      <c r="A12" s="405" t="s">
        <v>235</v>
      </c>
      <c r="B12" s="406" t="s">
        <v>236</v>
      </c>
      <c r="C12" s="65" t="s">
        <v>237</v>
      </c>
      <c r="D12" s="66" t="s">
        <v>238</v>
      </c>
      <c r="E12" s="224">
        <v>800</v>
      </c>
      <c r="F12" s="72" t="s">
        <v>239</v>
      </c>
      <c r="G12" s="407">
        <f>+E12/20000</f>
        <v>0.04</v>
      </c>
      <c r="H12" s="223" t="s">
        <v>240</v>
      </c>
      <c r="I12" s="404"/>
    </row>
    <row r="13" spans="1:12" ht="15" x14ac:dyDescent="0.25">
      <c r="A13" s="410"/>
      <c r="B13" s="411"/>
      <c r="C13" s="281"/>
      <c r="D13" s="412"/>
      <c r="E13" s="263"/>
      <c r="F13" s="263"/>
      <c r="G13" s="263"/>
      <c r="H13" s="263"/>
      <c r="I13" s="413"/>
    </row>
    <row r="14" spans="1:12" ht="14.25" thickBot="1" x14ac:dyDescent="0.3">
      <c r="A14" s="414"/>
      <c r="B14" s="415"/>
      <c r="E14" s="416"/>
      <c r="F14" s="417"/>
      <c r="I14" s="418"/>
      <c r="L14" s="419"/>
    </row>
    <row r="15" spans="1:12" ht="14.25" thickBot="1" x14ac:dyDescent="0.3">
      <c r="A15" s="420"/>
      <c r="B15" s="421"/>
      <c r="C15" s="422"/>
      <c r="D15" s="423" t="s">
        <v>16</v>
      </c>
      <c r="E15" s="424" t="s">
        <v>21</v>
      </c>
      <c r="F15" s="425"/>
      <c r="G15" s="422"/>
      <c r="H15" s="422"/>
      <c r="I15" s="426"/>
      <c r="L15" s="419"/>
    </row>
    <row r="16" spans="1:12" x14ac:dyDescent="0.25">
      <c r="A16" s="945" t="s">
        <v>23</v>
      </c>
      <c r="B16" s="946"/>
      <c r="C16" s="947"/>
      <c r="D16" s="290">
        <v>29800</v>
      </c>
      <c r="E16" s="291" t="s">
        <v>19</v>
      </c>
      <c r="F16" s="948" t="s">
        <v>145</v>
      </c>
      <c r="G16" s="948"/>
      <c r="H16" s="949"/>
      <c r="I16" s="950"/>
      <c r="L16" s="419"/>
    </row>
    <row r="17" spans="1:13" x14ac:dyDescent="0.25">
      <c r="A17" s="650" t="s">
        <v>24</v>
      </c>
      <c r="B17" s="951"/>
      <c r="C17" s="651"/>
      <c r="D17" s="223">
        <v>30</v>
      </c>
      <c r="E17" s="223" t="s">
        <v>146</v>
      </c>
      <c r="F17" s="952" t="s">
        <v>147</v>
      </c>
      <c r="G17" s="952"/>
      <c r="H17" s="953"/>
      <c r="I17" s="954"/>
      <c r="L17" s="419"/>
    </row>
    <row r="18" spans="1:13" x14ac:dyDescent="0.25">
      <c r="A18" s="650" t="s">
        <v>26</v>
      </c>
      <c r="B18" s="951"/>
      <c r="C18" s="651"/>
      <c r="D18" s="223">
        <v>1</v>
      </c>
      <c r="E18" s="223" t="s">
        <v>38</v>
      </c>
      <c r="F18" s="952" t="s">
        <v>148</v>
      </c>
      <c r="G18" s="952"/>
      <c r="H18" s="953"/>
      <c r="I18" s="954"/>
      <c r="L18" s="419"/>
    </row>
    <row r="19" spans="1:13" x14ac:dyDescent="0.25">
      <c r="A19" s="650" t="s">
        <v>27</v>
      </c>
      <c r="B19" s="951"/>
      <c r="C19" s="651"/>
      <c r="D19" s="222">
        <f>D16</f>
        <v>29800</v>
      </c>
      <c r="E19" s="223" t="s">
        <v>19</v>
      </c>
      <c r="F19" s="955" t="s">
        <v>149</v>
      </c>
      <c r="G19" s="956"/>
      <c r="H19" s="953"/>
      <c r="I19" s="954"/>
      <c r="L19" s="419"/>
      <c r="M19" s="427"/>
    </row>
    <row r="20" spans="1:13" ht="14.25" thickBot="1" x14ac:dyDescent="0.3">
      <c r="A20" s="660" t="s">
        <v>28</v>
      </c>
      <c r="B20" s="967"/>
      <c r="C20" s="661"/>
      <c r="D20" s="292">
        <f>SUM(E9:E10)-D16</f>
        <v>200</v>
      </c>
      <c r="E20" s="293" t="s">
        <v>19</v>
      </c>
      <c r="F20" s="968"/>
      <c r="G20" s="968"/>
      <c r="H20" s="969"/>
      <c r="I20" s="970"/>
      <c r="L20" s="419"/>
    </row>
    <row r="21" spans="1:13" ht="14.25" thickBot="1" x14ac:dyDescent="0.3">
      <c r="A21" s="964" t="s">
        <v>29</v>
      </c>
      <c r="B21" s="965"/>
      <c r="C21" s="965"/>
      <c r="D21" s="965"/>
      <c r="E21" s="965"/>
      <c r="F21" s="965"/>
      <c r="G21" s="965"/>
      <c r="H21" s="965"/>
      <c r="I21" s="966"/>
    </row>
    <row r="22" spans="1:13" ht="15" x14ac:dyDescent="0.25">
      <c r="A22" s="834" t="s">
        <v>241</v>
      </c>
      <c r="B22" s="835"/>
      <c r="C22" s="835"/>
      <c r="D22" s="835"/>
      <c r="E22" s="835"/>
      <c r="F22" s="835"/>
      <c r="G22" s="835"/>
      <c r="H22" s="835"/>
      <c r="I22" s="836"/>
    </row>
    <row r="23" spans="1:13" ht="15" x14ac:dyDescent="0.25">
      <c r="A23" s="957" t="s">
        <v>242</v>
      </c>
      <c r="B23" s="958"/>
      <c r="C23" s="958"/>
      <c r="D23" s="958"/>
      <c r="E23" s="958"/>
      <c r="F23" s="958"/>
      <c r="G23" s="958"/>
      <c r="H23" s="958"/>
      <c r="I23" s="959"/>
    </row>
    <row r="24" spans="1:13" ht="15" x14ac:dyDescent="0.25">
      <c r="A24" s="957" t="s">
        <v>243</v>
      </c>
      <c r="B24" s="958"/>
      <c r="C24" s="958"/>
      <c r="D24" s="958"/>
      <c r="E24" s="958"/>
      <c r="F24" s="958"/>
      <c r="G24" s="958"/>
      <c r="H24" s="958"/>
      <c r="I24" s="959"/>
    </row>
    <row r="25" spans="1:13" ht="15.75" x14ac:dyDescent="0.25">
      <c r="A25" s="843"/>
      <c r="B25" s="844"/>
      <c r="C25" s="845"/>
      <c r="D25" s="845"/>
      <c r="E25" s="845"/>
      <c r="F25" s="845"/>
      <c r="G25" s="845"/>
      <c r="H25" s="845"/>
      <c r="I25" s="846"/>
    </row>
    <row r="26" spans="1:13" ht="14.25" thickBot="1" x14ac:dyDescent="0.3">
      <c r="A26" s="960"/>
      <c r="B26" s="961"/>
      <c r="C26" s="962"/>
      <c r="D26" s="962"/>
      <c r="E26" s="962"/>
      <c r="F26" s="962"/>
      <c r="G26" s="962"/>
      <c r="H26" s="962"/>
      <c r="I26" s="963"/>
    </row>
    <row r="27" spans="1:13" ht="14.25" thickBot="1" x14ac:dyDescent="0.3">
      <c r="A27" s="964" t="s">
        <v>244</v>
      </c>
      <c r="B27" s="965"/>
      <c r="C27" s="965"/>
      <c r="D27" s="965"/>
      <c r="E27" s="965"/>
      <c r="F27" s="965"/>
      <c r="G27" s="965"/>
      <c r="H27" s="965"/>
      <c r="I27" s="966"/>
    </row>
    <row r="28" spans="1:13" x14ac:dyDescent="0.25">
      <c r="A28" s="428" t="s">
        <v>245</v>
      </c>
      <c r="B28" s="428"/>
      <c r="C28" s="428"/>
    </row>
    <row r="29" spans="1:13" x14ac:dyDescent="0.25">
      <c r="A29" s="394" t="s">
        <v>246</v>
      </c>
    </row>
  </sheetData>
  <mergeCells count="36">
    <mergeCell ref="A24:I24"/>
    <mergeCell ref="A25:I25"/>
    <mergeCell ref="A26:I26"/>
    <mergeCell ref="A27:I27"/>
    <mergeCell ref="A20:C20"/>
    <mergeCell ref="F20:G20"/>
    <mergeCell ref="H20:I20"/>
    <mergeCell ref="A21:I21"/>
    <mergeCell ref="A22:I22"/>
    <mergeCell ref="A23:I23"/>
    <mergeCell ref="A18:C18"/>
    <mergeCell ref="F18:G18"/>
    <mergeCell ref="H18:I18"/>
    <mergeCell ref="A19:C19"/>
    <mergeCell ref="F19:G19"/>
    <mergeCell ref="H19:I19"/>
    <mergeCell ref="A16:C16"/>
    <mergeCell ref="F16:G16"/>
    <mergeCell ref="H16:I16"/>
    <mergeCell ref="A17:C17"/>
    <mergeCell ref="F17:G17"/>
    <mergeCell ref="H17:I17"/>
    <mergeCell ref="I3:I5"/>
    <mergeCell ref="D4:G4"/>
    <mergeCell ref="D5:G5"/>
    <mergeCell ref="G6:H6"/>
    <mergeCell ref="A1:A5"/>
    <mergeCell ref="C1:G1"/>
    <mergeCell ref="C2:G2"/>
    <mergeCell ref="C3:G3"/>
    <mergeCell ref="H3:H5"/>
    <mergeCell ref="A6:A7"/>
    <mergeCell ref="B6:B7"/>
    <mergeCell ref="C6:C7"/>
    <mergeCell ref="D6:D7"/>
    <mergeCell ref="E6:F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77E5C-3D8A-4047-8859-94F2710190DD}">
  <dimension ref="A1:Q91"/>
  <sheetViews>
    <sheetView topLeftCell="A19" workbookViewId="0">
      <selection activeCell="B29" sqref="B29"/>
    </sheetView>
  </sheetViews>
  <sheetFormatPr baseColWidth="10" defaultColWidth="8.42578125" defaultRowHeight="12.75" x14ac:dyDescent="0.25"/>
  <cols>
    <col min="1" max="1" width="10" style="87" bestFit="1" customWidth="1"/>
    <col min="2" max="2" width="44.28515625" style="87" bestFit="1" customWidth="1"/>
    <col min="3" max="3" width="10.42578125" style="87" bestFit="1" customWidth="1"/>
    <col min="4" max="4" width="10.42578125" style="87" customWidth="1"/>
    <col min="5" max="5" width="9.7109375" style="87" bestFit="1" customWidth="1"/>
    <col min="6" max="6" width="9.5703125" style="87" bestFit="1" customWidth="1"/>
    <col min="7" max="7" width="9.5703125" style="169" bestFit="1" customWidth="1"/>
    <col min="8" max="8" width="10.42578125" style="160" bestFit="1" customWidth="1"/>
    <col min="9" max="9" width="4.5703125" style="160" customWidth="1"/>
    <col min="10" max="10" width="1.85546875" style="86" customWidth="1"/>
    <col min="11" max="11" width="7" style="87" bestFit="1" customWidth="1"/>
    <col min="12" max="12" width="6.28515625" style="87" customWidth="1"/>
    <col min="13" max="13" width="20.42578125" style="87" customWidth="1"/>
    <col min="14" max="14" width="6.42578125" style="87" bestFit="1" customWidth="1"/>
    <col min="15" max="15" width="9.28515625" style="87" bestFit="1" customWidth="1"/>
    <col min="16" max="16" width="8.42578125" style="87"/>
    <col min="17" max="17" width="3.28515625" style="87" customWidth="1"/>
    <col min="18" max="256" width="8.42578125" style="87"/>
    <col min="257" max="257" width="10" style="87" bestFit="1" customWidth="1"/>
    <col min="258" max="258" width="44.28515625" style="87" bestFit="1" customWidth="1"/>
    <col min="259" max="259" width="10.42578125" style="87" bestFit="1" customWidth="1"/>
    <col min="260" max="260" width="10.42578125" style="87" customWidth="1"/>
    <col min="261" max="261" width="9.7109375" style="87" bestFit="1" customWidth="1"/>
    <col min="262" max="263" width="9.5703125" style="87" bestFit="1" customWidth="1"/>
    <col min="264" max="264" width="10.42578125" style="87" bestFit="1" customWidth="1"/>
    <col min="265" max="265" width="4.5703125" style="87" customWidth="1"/>
    <col min="266" max="266" width="1.85546875" style="87" customWidth="1"/>
    <col min="267" max="267" width="7" style="87" bestFit="1" customWidth="1"/>
    <col min="268" max="268" width="6.28515625" style="87" customWidth="1"/>
    <col min="269" max="269" width="20.42578125" style="87" customWidth="1"/>
    <col min="270" max="270" width="6.42578125" style="87" bestFit="1" customWidth="1"/>
    <col min="271" max="272" width="8.42578125" style="87"/>
    <col min="273" max="273" width="3.28515625" style="87" customWidth="1"/>
    <col min="274" max="512" width="8.42578125" style="87"/>
    <col min="513" max="513" width="10" style="87" bestFit="1" customWidth="1"/>
    <col min="514" max="514" width="44.28515625" style="87" bestFit="1" customWidth="1"/>
    <col min="515" max="515" width="10.42578125" style="87" bestFit="1" customWidth="1"/>
    <col min="516" max="516" width="10.42578125" style="87" customWidth="1"/>
    <col min="517" max="517" width="9.7109375" style="87" bestFit="1" customWidth="1"/>
    <col min="518" max="519" width="9.5703125" style="87" bestFit="1" customWidth="1"/>
    <col min="520" max="520" width="10.42578125" style="87" bestFit="1" customWidth="1"/>
    <col min="521" max="521" width="4.5703125" style="87" customWidth="1"/>
    <col min="522" max="522" width="1.85546875" style="87" customWidth="1"/>
    <col min="523" max="523" width="7" style="87" bestFit="1" customWidth="1"/>
    <col min="524" max="524" width="6.28515625" style="87" customWidth="1"/>
    <col min="525" max="525" width="20.42578125" style="87" customWidth="1"/>
    <col min="526" max="526" width="6.42578125" style="87" bestFit="1" customWidth="1"/>
    <col min="527" max="528" width="8.42578125" style="87"/>
    <col min="529" max="529" width="3.28515625" style="87" customWidth="1"/>
    <col min="530" max="768" width="8.42578125" style="87"/>
    <col min="769" max="769" width="10" style="87" bestFit="1" customWidth="1"/>
    <col min="770" max="770" width="44.28515625" style="87" bestFit="1" customWidth="1"/>
    <col min="771" max="771" width="10.42578125" style="87" bestFit="1" customWidth="1"/>
    <col min="772" max="772" width="10.42578125" style="87" customWidth="1"/>
    <col min="773" max="773" width="9.7109375" style="87" bestFit="1" customWidth="1"/>
    <col min="774" max="775" width="9.5703125" style="87" bestFit="1" customWidth="1"/>
    <col min="776" max="776" width="10.42578125" style="87" bestFit="1" customWidth="1"/>
    <col min="777" max="777" width="4.5703125" style="87" customWidth="1"/>
    <col min="778" max="778" width="1.85546875" style="87" customWidth="1"/>
    <col min="779" max="779" width="7" style="87" bestFit="1" customWidth="1"/>
    <col min="780" max="780" width="6.28515625" style="87" customWidth="1"/>
    <col min="781" max="781" width="20.42578125" style="87" customWidth="1"/>
    <col min="782" max="782" width="6.42578125" style="87" bestFit="1" customWidth="1"/>
    <col min="783" max="784" width="8.42578125" style="87"/>
    <col min="785" max="785" width="3.28515625" style="87" customWidth="1"/>
    <col min="786" max="1024" width="8.42578125" style="87"/>
    <col min="1025" max="1025" width="10" style="87" bestFit="1" customWidth="1"/>
    <col min="1026" max="1026" width="44.28515625" style="87" bestFit="1" customWidth="1"/>
    <col min="1027" max="1027" width="10.42578125" style="87" bestFit="1" customWidth="1"/>
    <col min="1028" max="1028" width="10.42578125" style="87" customWidth="1"/>
    <col min="1029" max="1029" width="9.7109375" style="87" bestFit="1" customWidth="1"/>
    <col min="1030" max="1031" width="9.5703125" style="87" bestFit="1" customWidth="1"/>
    <col min="1032" max="1032" width="10.42578125" style="87" bestFit="1" customWidth="1"/>
    <col min="1033" max="1033" width="4.5703125" style="87" customWidth="1"/>
    <col min="1034" max="1034" width="1.85546875" style="87" customWidth="1"/>
    <col min="1035" max="1035" width="7" style="87" bestFit="1" customWidth="1"/>
    <col min="1036" max="1036" width="6.28515625" style="87" customWidth="1"/>
    <col min="1037" max="1037" width="20.42578125" style="87" customWidth="1"/>
    <col min="1038" max="1038" width="6.42578125" style="87" bestFit="1" customWidth="1"/>
    <col min="1039" max="1040" width="8.42578125" style="87"/>
    <col min="1041" max="1041" width="3.28515625" style="87" customWidth="1"/>
    <col min="1042" max="1280" width="8.42578125" style="87"/>
    <col min="1281" max="1281" width="10" style="87" bestFit="1" customWidth="1"/>
    <col min="1282" max="1282" width="44.28515625" style="87" bestFit="1" customWidth="1"/>
    <col min="1283" max="1283" width="10.42578125" style="87" bestFit="1" customWidth="1"/>
    <col min="1284" max="1284" width="10.42578125" style="87" customWidth="1"/>
    <col min="1285" max="1285" width="9.7109375" style="87" bestFit="1" customWidth="1"/>
    <col min="1286" max="1287" width="9.5703125" style="87" bestFit="1" customWidth="1"/>
    <col min="1288" max="1288" width="10.42578125" style="87" bestFit="1" customWidth="1"/>
    <col min="1289" max="1289" width="4.5703125" style="87" customWidth="1"/>
    <col min="1290" max="1290" width="1.85546875" style="87" customWidth="1"/>
    <col min="1291" max="1291" width="7" style="87" bestFit="1" customWidth="1"/>
    <col min="1292" max="1292" width="6.28515625" style="87" customWidth="1"/>
    <col min="1293" max="1293" width="20.42578125" style="87" customWidth="1"/>
    <col min="1294" max="1294" width="6.42578125" style="87" bestFit="1" customWidth="1"/>
    <col min="1295" max="1296" width="8.42578125" style="87"/>
    <col min="1297" max="1297" width="3.28515625" style="87" customWidth="1"/>
    <col min="1298" max="1536" width="8.42578125" style="87"/>
    <col min="1537" max="1537" width="10" style="87" bestFit="1" customWidth="1"/>
    <col min="1538" max="1538" width="44.28515625" style="87" bestFit="1" customWidth="1"/>
    <col min="1539" max="1539" width="10.42578125" style="87" bestFit="1" customWidth="1"/>
    <col min="1540" max="1540" width="10.42578125" style="87" customWidth="1"/>
    <col min="1541" max="1541" width="9.7109375" style="87" bestFit="1" customWidth="1"/>
    <col min="1542" max="1543" width="9.5703125" style="87" bestFit="1" customWidth="1"/>
    <col min="1544" max="1544" width="10.42578125" style="87" bestFit="1" customWidth="1"/>
    <col min="1545" max="1545" width="4.5703125" style="87" customWidth="1"/>
    <col min="1546" max="1546" width="1.85546875" style="87" customWidth="1"/>
    <col min="1547" max="1547" width="7" style="87" bestFit="1" customWidth="1"/>
    <col min="1548" max="1548" width="6.28515625" style="87" customWidth="1"/>
    <col min="1549" max="1549" width="20.42578125" style="87" customWidth="1"/>
    <col min="1550" max="1550" width="6.42578125" style="87" bestFit="1" customWidth="1"/>
    <col min="1551" max="1552" width="8.42578125" style="87"/>
    <col min="1553" max="1553" width="3.28515625" style="87" customWidth="1"/>
    <col min="1554" max="1792" width="8.42578125" style="87"/>
    <col min="1793" max="1793" width="10" style="87" bestFit="1" customWidth="1"/>
    <col min="1794" max="1794" width="44.28515625" style="87" bestFit="1" customWidth="1"/>
    <col min="1795" max="1795" width="10.42578125" style="87" bestFit="1" customWidth="1"/>
    <col min="1796" max="1796" width="10.42578125" style="87" customWidth="1"/>
    <col min="1797" max="1797" width="9.7109375" style="87" bestFit="1" customWidth="1"/>
    <col min="1798" max="1799" width="9.5703125" style="87" bestFit="1" customWidth="1"/>
    <col min="1800" max="1800" width="10.42578125" style="87" bestFit="1" customWidth="1"/>
    <col min="1801" max="1801" width="4.5703125" style="87" customWidth="1"/>
    <col min="1802" max="1802" width="1.85546875" style="87" customWidth="1"/>
    <col min="1803" max="1803" width="7" style="87" bestFit="1" customWidth="1"/>
    <col min="1804" max="1804" width="6.28515625" style="87" customWidth="1"/>
    <col min="1805" max="1805" width="20.42578125" style="87" customWidth="1"/>
    <col min="1806" max="1806" width="6.42578125" style="87" bestFit="1" customWidth="1"/>
    <col min="1807" max="1808" width="8.42578125" style="87"/>
    <col min="1809" max="1809" width="3.28515625" style="87" customWidth="1"/>
    <col min="1810" max="2048" width="8.42578125" style="87"/>
    <col min="2049" max="2049" width="10" style="87" bestFit="1" customWidth="1"/>
    <col min="2050" max="2050" width="44.28515625" style="87" bestFit="1" customWidth="1"/>
    <col min="2051" max="2051" width="10.42578125" style="87" bestFit="1" customWidth="1"/>
    <col min="2052" max="2052" width="10.42578125" style="87" customWidth="1"/>
    <col min="2053" max="2053" width="9.7109375" style="87" bestFit="1" customWidth="1"/>
    <col min="2054" max="2055" width="9.5703125" style="87" bestFit="1" customWidth="1"/>
    <col min="2056" max="2056" width="10.42578125" style="87" bestFit="1" customWidth="1"/>
    <col min="2057" max="2057" width="4.5703125" style="87" customWidth="1"/>
    <col min="2058" max="2058" width="1.85546875" style="87" customWidth="1"/>
    <col min="2059" max="2059" width="7" style="87" bestFit="1" customWidth="1"/>
    <col min="2060" max="2060" width="6.28515625" style="87" customWidth="1"/>
    <col min="2061" max="2061" width="20.42578125" style="87" customWidth="1"/>
    <col min="2062" max="2062" width="6.42578125" style="87" bestFit="1" customWidth="1"/>
    <col min="2063" max="2064" width="8.42578125" style="87"/>
    <col min="2065" max="2065" width="3.28515625" style="87" customWidth="1"/>
    <col min="2066" max="2304" width="8.42578125" style="87"/>
    <col min="2305" max="2305" width="10" style="87" bestFit="1" customWidth="1"/>
    <col min="2306" max="2306" width="44.28515625" style="87" bestFit="1" customWidth="1"/>
    <col min="2307" max="2307" width="10.42578125" style="87" bestFit="1" customWidth="1"/>
    <col min="2308" max="2308" width="10.42578125" style="87" customWidth="1"/>
    <col min="2309" max="2309" width="9.7109375" style="87" bestFit="1" customWidth="1"/>
    <col min="2310" max="2311" width="9.5703125" style="87" bestFit="1" customWidth="1"/>
    <col min="2312" max="2312" width="10.42578125" style="87" bestFit="1" customWidth="1"/>
    <col min="2313" max="2313" width="4.5703125" style="87" customWidth="1"/>
    <col min="2314" max="2314" width="1.85546875" style="87" customWidth="1"/>
    <col min="2315" max="2315" width="7" style="87" bestFit="1" customWidth="1"/>
    <col min="2316" max="2316" width="6.28515625" style="87" customWidth="1"/>
    <col min="2317" max="2317" width="20.42578125" style="87" customWidth="1"/>
    <col min="2318" max="2318" width="6.42578125" style="87" bestFit="1" customWidth="1"/>
    <col min="2319" max="2320" width="8.42578125" style="87"/>
    <col min="2321" max="2321" width="3.28515625" style="87" customWidth="1"/>
    <col min="2322" max="2560" width="8.42578125" style="87"/>
    <col min="2561" max="2561" width="10" style="87" bestFit="1" customWidth="1"/>
    <col min="2562" max="2562" width="44.28515625" style="87" bestFit="1" customWidth="1"/>
    <col min="2563" max="2563" width="10.42578125" style="87" bestFit="1" customWidth="1"/>
    <col min="2564" max="2564" width="10.42578125" style="87" customWidth="1"/>
    <col min="2565" max="2565" width="9.7109375" style="87" bestFit="1" customWidth="1"/>
    <col min="2566" max="2567" width="9.5703125" style="87" bestFit="1" customWidth="1"/>
    <col min="2568" max="2568" width="10.42578125" style="87" bestFit="1" customWidth="1"/>
    <col min="2569" max="2569" width="4.5703125" style="87" customWidth="1"/>
    <col min="2570" max="2570" width="1.85546875" style="87" customWidth="1"/>
    <col min="2571" max="2571" width="7" style="87" bestFit="1" customWidth="1"/>
    <col min="2572" max="2572" width="6.28515625" style="87" customWidth="1"/>
    <col min="2573" max="2573" width="20.42578125" style="87" customWidth="1"/>
    <col min="2574" max="2574" width="6.42578125" style="87" bestFit="1" customWidth="1"/>
    <col min="2575" max="2576" width="8.42578125" style="87"/>
    <col min="2577" max="2577" width="3.28515625" style="87" customWidth="1"/>
    <col min="2578" max="2816" width="8.42578125" style="87"/>
    <col min="2817" max="2817" width="10" style="87" bestFit="1" customWidth="1"/>
    <col min="2818" max="2818" width="44.28515625" style="87" bestFit="1" customWidth="1"/>
    <col min="2819" max="2819" width="10.42578125" style="87" bestFit="1" customWidth="1"/>
    <col min="2820" max="2820" width="10.42578125" style="87" customWidth="1"/>
    <col min="2821" max="2821" width="9.7109375" style="87" bestFit="1" customWidth="1"/>
    <col min="2822" max="2823" width="9.5703125" style="87" bestFit="1" customWidth="1"/>
    <col min="2824" max="2824" width="10.42578125" style="87" bestFit="1" customWidth="1"/>
    <col min="2825" max="2825" width="4.5703125" style="87" customWidth="1"/>
    <col min="2826" max="2826" width="1.85546875" style="87" customWidth="1"/>
    <col min="2827" max="2827" width="7" style="87" bestFit="1" customWidth="1"/>
    <col min="2828" max="2828" width="6.28515625" style="87" customWidth="1"/>
    <col min="2829" max="2829" width="20.42578125" style="87" customWidth="1"/>
    <col min="2830" max="2830" width="6.42578125" style="87" bestFit="1" customWidth="1"/>
    <col min="2831" max="2832" width="8.42578125" style="87"/>
    <col min="2833" max="2833" width="3.28515625" style="87" customWidth="1"/>
    <col min="2834" max="3072" width="8.42578125" style="87"/>
    <col min="3073" max="3073" width="10" style="87" bestFit="1" customWidth="1"/>
    <col min="3074" max="3074" width="44.28515625" style="87" bestFit="1" customWidth="1"/>
    <col min="3075" max="3075" width="10.42578125" style="87" bestFit="1" customWidth="1"/>
    <col min="3076" max="3076" width="10.42578125" style="87" customWidth="1"/>
    <col min="3077" max="3077" width="9.7109375" style="87" bestFit="1" customWidth="1"/>
    <col min="3078" max="3079" width="9.5703125" style="87" bestFit="1" customWidth="1"/>
    <col min="3080" max="3080" width="10.42578125" style="87" bestFit="1" customWidth="1"/>
    <col min="3081" max="3081" width="4.5703125" style="87" customWidth="1"/>
    <col min="3082" max="3082" width="1.85546875" style="87" customWidth="1"/>
    <col min="3083" max="3083" width="7" style="87" bestFit="1" customWidth="1"/>
    <col min="3084" max="3084" width="6.28515625" style="87" customWidth="1"/>
    <col min="3085" max="3085" width="20.42578125" style="87" customWidth="1"/>
    <col min="3086" max="3086" width="6.42578125" style="87" bestFit="1" customWidth="1"/>
    <col min="3087" max="3088" width="8.42578125" style="87"/>
    <col min="3089" max="3089" width="3.28515625" style="87" customWidth="1"/>
    <col min="3090" max="3328" width="8.42578125" style="87"/>
    <col min="3329" max="3329" width="10" style="87" bestFit="1" customWidth="1"/>
    <col min="3330" max="3330" width="44.28515625" style="87" bestFit="1" customWidth="1"/>
    <col min="3331" max="3331" width="10.42578125" style="87" bestFit="1" customWidth="1"/>
    <col min="3332" max="3332" width="10.42578125" style="87" customWidth="1"/>
    <col min="3333" max="3333" width="9.7109375" style="87" bestFit="1" customWidth="1"/>
    <col min="3334" max="3335" width="9.5703125" style="87" bestFit="1" customWidth="1"/>
    <col min="3336" max="3336" width="10.42578125" style="87" bestFit="1" customWidth="1"/>
    <col min="3337" max="3337" width="4.5703125" style="87" customWidth="1"/>
    <col min="3338" max="3338" width="1.85546875" style="87" customWidth="1"/>
    <col min="3339" max="3339" width="7" style="87" bestFit="1" customWidth="1"/>
    <col min="3340" max="3340" width="6.28515625" style="87" customWidth="1"/>
    <col min="3341" max="3341" width="20.42578125" style="87" customWidth="1"/>
    <col min="3342" max="3342" width="6.42578125" style="87" bestFit="1" customWidth="1"/>
    <col min="3343" max="3344" width="8.42578125" style="87"/>
    <col min="3345" max="3345" width="3.28515625" style="87" customWidth="1"/>
    <col min="3346" max="3584" width="8.42578125" style="87"/>
    <col min="3585" max="3585" width="10" style="87" bestFit="1" customWidth="1"/>
    <col min="3586" max="3586" width="44.28515625" style="87" bestFit="1" customWidth="1"/>
    <col min="3587" max="3587" width="10.42578125" style="87" bestFit="1" customWidth="1"/>
    <col min="3588" max="3588" width="10.42578125" style="87" customWidth="1"/>
    <col min="3589" max="3589" width="9.7109375" style="87" bestFit="1" customWidth="1"/>
    <col min="3590" max="3591" width="9.5703125" style="87" bestFit="1" customWidth="1"/>
    <col min="3592" max="3592" width="10.42578125" style="87" bestFit="1" customWidth="1"/>
    <col min="3593" max="3593" width="4.5703125" style="87" customWidth="1"/>
    <col min="3594" max="3594" width="1.85546875" style="87" customWidth="1"/>
    <col min="3595" max="3595" width="7" style="87" bestFit="1" customWidth="1"/>
    <col min="3596" max="3596" width="6.28515625" style="87" customWidth="1"/>
    <col min="3597" max="3597" width="20.42578125" style="87" customWidth="1"/>
    <col min="3598" max="3598" width="6.42578125" style="87" bestFit="1" customWidth="1"/>
    <col min="3599" max="3600" width="8.42578125" style="87"/>
    <col min="3601" max="3601" width="3.28515625" style="87" customWidth="1"/>
    <col min="3602" max="3840" width="8.42578125" style="87"/>
    <col min="3841" max="3841" width="10" style="87" bestFit="1" customWidth="1"/>
    <col min="3842" max="3842" width="44.28515625" style="87" bestFit="1" customWidth="1"/>
    <col min="3843" max="3843" width="10.42578125" style="87" bestFit="1" customWidth="1"/>
    <col min="3844" max="3844" width="10.42578125" style="87" customWidth="1"/>
    <col min="3845" max="3845" width="9.7109375" style="87" bestFit="1" customWidth="1"/>
    <col min="3846" max="3847" width="9.5703125" style="87" bestFit="1" customWidth="1"/>
    <col min="3848" max="3848" width="10.42578125" style="87" bestFit="1" customWidth="1"/>
    <col min="3849" max="3849" width="4.5703125" style="87" customWidth="1"/>
    <col min="3850" max="3850" width="1.85546875" style="87" customWidth="1"/>
    <col min="3851" max="3851" width="7" style="87" bestFit="1" customWidth="1"/>
    <col min="3852" max="3852" width="6.28515625" style="87" customWidth="1"/>
    <col min="3853" max="3853" width="20.42578125" style="87" customWidth="1"/>
    <col min="3854" max="3854" width="6.42578125" style="87" bestFit="1" customWidth="1"/>
    <col min="3855" max="3856" width="8.42578125" style="87"/>
    <col min="3857" max="3857" width="3.28515625" style="87" customWidth="1"/>
    <col min="3858" max="4096" width="8.42578125" style="87"/>
    <col min="4097" max="4097" width="10" style="87" bestFit="1" customWidth="1"/>
    <col min="4098" max="4098" width="44.28515625" style="87" bestFit="1" customWidth="1"/>
    <col min="4099" max="4099" width="10.42578125" style="87" bestFit="1" customWidth="1"/>
    <col min="4100" max="4100" width="10.42578125" style="87" customWidth="1"/>
    <col min="4101" max="4101" width="9.7109375" style="87" bestFit="1" customWidth="1"/>
    <col min="4102" max="4103" width="9.5703125" style="87" bestFit="1" customWidth="1"/>
    <col min="4104" max="4104" width="10.42578125" style="87" bestFit="1" customWidth="1"/>
    <col min="4105" max="4105" width="4.5703125" style="87" customWidth="1"/>
    <col min="4106" max="4106" width="1.85546875" style="87" customWidth="1"/>
    <col min="4107" max="4107" width="7" style="87" bestFit="1" customWidth="1"/>
    <col min="4108" max="4108" width="6.28515625" style="87" customWidth="1"/>
    <col min="4109" max="4109" width="20.42578125" style="87" customWidth="1"/>
    <col min="4110" max="4110" width="6.42578125" style="87" bestFit="1" customWidth="1"/>
    <col min="4111" max="4112" width="8.42578125" style="87"/>
    <col min="4113" max="4113" width="3.28515625" style="87" customWidth="1"/>
    <col min="4114" max="4352" width="8.42578125" style="87"/>
    <col min="4353" max="4353" width="10" style="87" bestFit="1" customWidth="1"/>
    <col min="4354" max="4354" width="44.28515625" style="87" bestFit="1" customWidth="1"/>
    <col min="4355" max="4355" width="10.42578125" style="87" bestFit="1" customWidth="1"/>
    <col min="4356" max="4356" width="10.42578125" style="87" customWidth="1"/>
    <col min="4357" max="4357" width="9.7109375" style="87" bestFit="1" customWidth="1"/>
    <col min="4358" max="4359" width="9.5703125" style="87" bestFit="1" customWidth="1"/>
    <col min="4360" max="4360" width="10.42578125" style="87" bestFit="1" customWidth="1"/>
    <col min="4361" max="4361" width="4.5703125" style="87" customWidth="1"/>
    <col min="4362" max="4362" width="1.85546875" style="87" customWidth="1"/>
    <col min="4363" max="4363" width="7" style="87" bestFit="1" customWidth="1"/>
    <col min="4364" max="4364" width="6.28515625" style="87" customWidth="1"/>
    <col min="4365" max="4365" width="20.42578125" style="87" customWidth="1"/>
    <col min="4366" max="4366" width="6.42578125" style="87" bestFit="1" customWidth="1"/>
    <col min="4367" max="4368" width="8.42578125" style="87"/>
    <col min="4369" max="4369" width="3.28515625" style="87" customWidth="1"/>
    <col min="4370" max="4608" width="8.42578125" style="87"/>
    <col min="4609" max="4609" width="10" style="87" bestFit="1" customWidth="1"/>
    <col min="4610" max="4610" width="44.28515625" style="87" bestFit="1" customWidth="1"/>
    <col min="4611" max="4611" width="10.42578125" style="87" bestFit="1" customWidth="1"/>
    <col min="4612" max="4612" width="10.42578125" style="87" customWidth="1"/>
    <col min="4613" max="4613" width="9.7109375" style="87" bestFit="1" customWidth="1"/>
    <col min="4614" max="4615" width="9.5703125" style="87" bestFit="1" customWidth="1"/>
    <col min="4616" max="4616" width="10.42578125" style="87" bestFit="1" customWidth="1"/>
    <col min="4617" max="4617" width="4.5703125" style="87" customWidth="1"/>
    <col min="4618" max="4618" width="1.85546875" style="87" customWidth="1"/>
    <col min="4619" max="4619" width="7" style="87" bestFit="1" customWidth="1"/>
    <col min="4620" max="4620" width="6.28515625" style="87" customWidth="1"/>
    <col min="4621" max="4621" width="20.42578125" style="87" customWidth="1"/>
    <col min="4622" max="4622" width="6.42578125" style="87" bestFit="1" customWidth="1"/>
    <col min="4623" max="4624" width="8.42578125" style="87"/>
    <col min="4625" max="4625" width="3.28515625" style="87" customWidth="1"/>
    <col min="4626" max="4864" width="8.42578125" style="87"/>
    <col min="4865" max="4865" width="10" style="87" bestFit="1" customWidth="1"/>
    <col min="4866" max="4866" width="44.28515625" style="87" bestFit="1" customWidth="1"/>
    <col min="4867" max="4867" width="10.42578125" style="87" bestFit="1" customWidth="1"/>
    <col min="4868" max="4868" width="10.42578125" style="87" customWidth="1"/>
    <col min="4869" max="4869" width="9.7109375" style="87" bestFit="1" customWidth="1"/>
    <col min="4870" max="4871" width="9.5703125" style="87" bestFit="1" customWidth="1"/>
    <col min="4872" max="4872" width="10.42578125" style="87" bestFit="1" customWidth="1"/>
    <col min="4873" max="4873" width="4.5703125" style="87" customWidth="1"/>
    <col min="4874" max="4874" width="1.85546875" style="87" customWidth="1"/>
    <col min="4875" max="4875" width="7" style="87" bestFit="1" customWidth="1"/>
    <col min="4876" max="4876" width="6.28515625" style="87" customWidth="1"/>
    <col min="4877" max="4877" width="20.42578125" style="87" customWidth="1"/>
    <col min="4878" max="4878" width="6.42578125" style="87" bestFit="1" customWidth="1"/>
    <col min="4879" max="4880" width="8.42578125" style="87"/>
    <col min="4881" max="4881" width="3.28515625" style="87" customWidth="1"/>
    <col min="4882" max="5120" width="8.42578125" style="87"/>
    <col min="5121" max="5121" width="10" style="87" bestFit="1" customWidth="1"/>
    <col min="5122" max="5122" width="44.28515625" style="87" bestFit="1" customWidth="1"/>
    <col min="5123" max="5123" width="10.42578125" style="87" bestFit="1" customWidth="1"/>
    <col min="5124" max="5124" width="10.42578125" style="87" customWidth="1"/>
    <col min="5125" max="5125" width="9.7109375" style="87" bestFit="1" customWidth="1"/>
    <col min="5126" max="5127" width="9.5703125" style="87" bestFit="1" customWidth="1"/>
    <col min="5128" max="5128" width="10.42578125" style="87" bestFit="1" customWidth="1"/>
    <col min="5129" max="5129" width="4.5703125" style="87" customWidth="1"/>
    <col min="5130" max="5130" width="1.85546875" style="87" customWidth="1"/>
    <col min="5131" max="5131" width="7" style="87" bestFit="1" customWidth="1"/>
    <col min="5132" max="5132" width="6.28515625" style="87" customWidth="1"/>
    <col min="5133" max="5133" width="20.42578125" style="87" customWidth="1"/>
    <col min="5134" max="5134" width="6.42578125" style="87" bestFit="1" customWidth="1"/>
    <col min="5135" max="5136" width="8.42578125" style="87"/>
    <col min="5137" max="5137" width="3.28515625" style="87" customWidth="1"/>
    <col min="5138" max="5376" width="8.42578125" style="87"/>
    <col min="5377" max="5377" width="10" style="87" bestFit="1" customWidth="1"/>
    <col min="5378" max="5378" width="44.28515625" style="87" bestFit="1" customWidth="1"/>
    <col min="5379" max="5379" width="10.42578125" style="87" bestFit="1" customWidth="1"/>
    <col min="5380" max="5380" width="10.42578125" style="87" customWidth="1"/>
    <col min="5381" max="5381" width="9.7109375" style="87" bestFit="1" customWidth="1"/>
    <col min="5382" max="5383" width="9.5703125" style="87" bestFit="1" customWidth="1"/>
    <col min="5384" max="5384" width="10.42578125" style="87" bestFit="1" customWidth="1"/>
    <col min="5385" max="5385" width="4.5703125" style="87" customWidth="1"/>
    <col min="5386" max="5386" width="1.85546875" style="87" customWidth="1"/>
    <col min="5387" max="5387" width="7" style="87" bestFit="1" customWidth="1"/>
    <col min="5388" max="5388" width="6.28515625" style="87" customWidth="1"/>
    <col min="5389" max="5389" width="20.42578125" style="87" customWidth="1"/>
    <col min="5390" max="5390" width="6.42578125" style="87" bestFit="1" customWidth="1"/>
    <col min="5391" max="5392" width="8.42578125" style="87"/>
    <col min="5393" max="5393" width="3.28515625" style="87" customWidth="1"/>
    <col min="5394" max="5632" width="8.42578125" style="87"/>
    <col min="5633" max="5633" width="10" style="87" bestFit="1" customWidth="1"/>
    <col min="5634" max="5634" width="44.28515625" style="87" bestFit="1" customWidth="1"/>
    <col min="5635" max="5635" width="10.42578125" style="87" bestFit="1" customWidth="1"/>
    <col min="5636" max="5636" width="10.42578125" style="87" customWidth="1"/>
    <col min="5637" max="5637" width="9.7109375" style="87" bestFit="1" customWidth="1"/>
    <col min="5638" max="5639" width="9.5703125" style="87" bestFit="1" customWidth="1"/>
    <col min="5640" max="5640" width="10.42578125" style="87" bestFit="1" customWidth="1"/>
    <col min="5641" max="5641" width="4.5703125" style="87" customWidth="1"/>
    <col min="5642" max="5642" width="1.85546875" style="87" customWidth="1"/>
    <col min="5643" max="5643" width="7" style="87" bestFit="1" customWidth="1"/>
    <col min="5644" max="5644" width="6.28515625" style="87" customWidth="1"/>
    <col min="5645" max="5645" width="20.42578125" style="87" customWidth="1"/>
    <col min="5646" max="5646" width="6.42578125" style="87" bestFit="1" customWidth="1"/>
    <col min="5647" max="5648" width="8.42578125" style="87"/>
    <col min="5649" max="5649" width="3.28515625" style="87" customWidth="1"/>
    <col min="5650" max="5888" width="8.42578125" style="87"/>
    <col min="5889" max="5889" width="10" style="87" bestFit="1" customWidth="1"/>
    <col min="5890" max="5890" width="44.28515625" style="87" bestFit="1" customWidth="1"/>
    <col min="5891" max="5891" width="10.42578125" style="87" bestFit="1" customWidth="1"/>
    <col min="5892" max="5892" width="10.42578125" style="87" customWidth="1"/>
    <col min="5893" max="5893" width="9.7109375" style="87" bestFit="1" customWidth="1"/>
    <col min="5894" max="5895" width="9.5703125" style="87" bestFit="1" customWidth="1"/>
    <col min="5896" max="5896" width="10.42578125" style="87" bestFit="1" customWidth="1"/>
    <col min="5897" max="5897" width="4.5703125" style="87" customWidth="1"/>
    <col min="5898" max="5898" width="1.85546875" style="87" customWidth="1"/>
    <col min="5899" max="5899" width="7" style="87" bestFit="1" customWidth="1"/>
    <col min="5900" max="5900" width="6.28515625" style="87" customWidth="1"/>
    <col min="5901" max="5901" width="20.42578125" style="87" customWidth="1"/>
    <col min="5902" max="5902" width="6.42578125" style="87" bestFit="1" customWidth="1"/>
    <col min="5903" max="5904" width="8.42578125" style="87"/>
    <col min="5905" max="5905" width="3.28515625" style="87" customWidth="1"/>
    <col min="5906" max="6144" width="8.42578125" style="87"/>
    <col min="6145" max="6145" width="10" style="87" bestFit="1" customWidth="1"/>
    <col min="6146" max="6146" width="44.28515625" style="87" bestFit="1" customWidth="1"/>
    <col min="6147" max="6147" width="10.42578125" style="87" bestFit="1" customWidth="1"/>
    <col min="6148" max="6148" width="10.42578125" style="87" customWidth="1"/>
    <col min="6149" max="6149" width="9.7109375" style="87" bestFit="1" customWidth="1"/>
    <col min="6150" max="6151" width="9.5703125" style="87" bestFit="1" customWidth="1"/>
    <col min="6152" max="6152" width="10.42578125" style="87" bestFit="1" customWidth="1"/>
    <col min="6153" max="6153" width="4.5703125" style="87" customWidth="1"/>
    <col min="6154" max="6154" width="1.85546875" style="87" customWidth="1"/>
    <col min="6155" max="6155" width="7" style="87" bestFit="1" customWidth="1"/>
    <col min="6156" max="6156" width="6.28515625" style="87" customWidth="1"/>
    <col min="6157" max="6157" width="20.42578125" style="87" customWidth="1"/>
    <col min="6158" max="6158" width="6.42578125" style="87" bestFit="1" customWidth="1"/>
    <col min="6159" max="6160" width="8.42578125" style="87"/>
    <col min="6161" max="6161" width="3.28515625" style="87" customWidth="1"/>
    <col min="6162" max="6400" width="8.42578125" style="87"/>
    <col min="6401" max="6401" width="10" style="87" bestFit="1" customWidth="1"/>
    <col min="6402" max="6402" width="44.28515625" style="87" bestFit="1" customWidth="1"/>
    <col min="6403" max="6403" width="10.42578125" style="87" bestFit="1" customWidth="1"/>
    <col min="6404" max="6404" width="10.42578125" style="87" customWidth="1"/>
    <col min="6405" max="6405" width="9.7109375" style="87" bestFit="1" customWidth="1"/>
    <col min="6406" max="6407" width="9.5703125" style="87" bestFit="1" customWidth="1"/>
    <col min="6408" max="6408" width="10.42578125" style="87" bestFit="1" customWidth="1"/>
    <col min="6409" max="6409" width="4.5703125" style="87" customWidth="1"/>
    <col min="6410" max="6410" width="1.85546875" style="87" customWidth="1"/>
    <col min="6411" max="6411" width="7" style="87" bestFit="1" customWidth="1"/>
    <col min="6412" max="6412" width="6.28515625" style="87" customWidth="1"/>
    <col min="6413" max="6413" width="20.42578125" style="87" customWidth="1"/>
    <col min="6414" max="6414" width="6.42578125" style="87" bestFit="1" customWidth="1"/>
    <col min="6415" max="6416" width="8.42578125" style="87"/>
    <col min="6417" max="6417" width="3.28515625" style="87" customWidth="1"/>
    <col min="6418" max="6656" width="8.42578125" style="87"/>
    <col min="6657" max="6657" width="10" style="87" bestFit="1" customWidth="1"/>
    <col min="6658" max="6658" width="44.28515625" style="87" bestFit="1" customWidth="1"/>
    <col min="6659" max="6659" width="10.42578125" style="87" bestFit="1" customWidth="1"/>
    <col min="6660" max="6660" width="10.42578125" style="87" customWidth="1"/>
    <col min="6661" max="6661" width="9.7109375" style="87" bestFit="1" customWidth="1"/>
    <col min="6662" max="6663" width="9.5703125" style="87" bestFit="1" customWidth="1"/>
    <col min="6664" max="6664" width="10.42578125" style="87" bestFit="1" customWidth="1"/>
    <col min="6665" max="6665" width="4.5703125" style="87" customWidth="1"/>
    <col min="6666" max="6666" width="1.85546875" style="87" customWidth="1"/>
    <col min="6667" max="6667" width="7" style="87" bestFit="1" customWidth="1"/>
    <col min="6668" max="6668" width="6.28515625" style="87" customWidth="1"/>
    <col min="6669" max="6669" width="20.42578125" style="87" customWidth="1"/>
    <col min="6670" max="6670" width="6.42578125" style="87" bestFit="1" customWidth="1"/>
    <col min="6671" max="6672" width="8.42578125" style="87"/>
    <col min="6673" max="6673" width="3.28515625" style="87" customWidth="1"/>
    <col min="6674" max="6912" width="8.42578125" style="87"/>
    <col min="6913" max="6913" width="10" style="87" bestFit="1" customWidth="1"/>
    <col min="6914" max="6914" width="44.28515625" style="87" bestFit="1" customWidth="1"/>
    <col min="6915" max="6915" width="10.42578125" style="87" bestFit="1" customWidth="1"/>
    <col min="6916" max="6916" width="10.42578125" style="87" customWidth="1"/>
    <col min="6917" max="6917" width="9.7109375" style="87" bestFit="1" customWidth="1"/>
    <col min="6918" max="6919" width="9.5703125" style="87" bestFit="1" customWidth="1"/>
    <col min="6920" max="6920" width="10.42578125" style="87" bestFit="1" customWidth="1"/>
    <col min="6921" max="6921" width="4.5703125" style="87" customWidth="1"/>
    <col min="6922" max="6922" width="1.85546875" style="87" customWidth="1"/>
    <col min="6923" max="6923" width="7" style="87" bestFit="1" customWidth="1"/>
    <col min="6924" max="6924" width="6.28515625" style="87" customWidth="1"/>
    <col min="6925" max="6925" width="20.42578125" style="87" customWidth="1"/>
    <col min="6926" max="6926" width="6.42578125" style="87" bestFit="1" customWidth="1"/>
    <col min="6927" max="6928" width="8.42578125" style="87"/>
    <col min="6929" max="6929" width="3.28515625" style="87" customWidth="1"/>
    <col min="6930" max="7168" width="8.42578125" style="87"/>
    <col min="7169" max="7169" width="10" style="87" bestFit="1" customWidth="1"/>
    <col min="7170" max="7170" width="44.28515625" style="87" bestFit="1" customWidth="1"/>
    <col min="7171" max="7171" width="10.42578125" style="87" bestFit="1" customWidth="1"/>
    <col min="7172" max="7172" width="10.42578125" style="87" customWidth="1"/>
    <col min="7173" max="7173" width="9.7109375" style="87" bestFit="1" customWidth="1"/>
    <col min="7174" max="7175" width="9.5703125" style="87" bestFit="1" customWidth="1"/>
    <col min="7176" max="7176" width="10.42578125" style="87" bestFit="1" customWidth="1"/>
    <col min="7177" max="7177" width="4.5703125" style="87" customWidth="1"/>
    <col min="7178" max="7178" width="1.85546875" style="87" customWidth="1"/>
    <col min="7179" max="7179" width="7" style="87" bestFit="1" customWidth="1"/>
    <col min="7180" max="7180" width="6.28515625" style="87" customWidth="1"/>
    <col min="7181" max="7181" width="20.42578125" style="87" customWidth="1"/>
    <col min="7182" max="7182" width="6.42578125" style="87" bestFit="1" customWidth="1"/>
    <col min="7183" max="7184" width="8.42578125" style="87"/>
    <col min="7185" max="7185" width="3.28515625" style="87" customWidth="1"/>
    <col min="7186" max="7424" width="8.42578125" style="87"/>
    <col min="7425" max="7425" width="10" style="87" bestFit="1" customWidth="1"/>
    <col min="7426" max="7426" width="44.28515625" style="87" bestFit="1" customWidth="1"/>
    <col min="7427" max="7427" width="10.42578125" style="87" bestFit="1" customWidth="1"/>
    <col min="7428" max="7428" width="10.42578125" style="87" customWidth="1"/>
    <col min="7429" max="7429" width="9.7109375" style="87" bestFit="1" customWidth="1"/>
    <col min="7430" max="7431" width="9.5703125" style="87" bestFit="1" customWidth="1"/>
    <col min="7432" max="7432" width="10.42578125" style="87" bestFit="1" customWidth="1"/>
    <col min="7433" max="7433" width="4.5703125" style="87" customWidth="1"/>
    <col min="7434" max="7434" width="1.85546875" style="87" customWidth="1"/>
    <col min="7435" max="7435" width="7" style="87" bestFit="1" customWidth="1"/>
    <col min="7436" max="7436" width="6.28515625" style="87" customWidth="1"/>
    <col min="7437" max="7437" width="20.42578125" style="87" customWidth="1"/>
    <col min="7438" max="7438" width="6.42578125" style="87" bestFit="1" customWidth="1"/>
    <col min="7439" max="7440" width="8.42578125" style="87"/>
    <col min="7441" max="7441" width="3.28515625" style="87" customWidth="1"/>
    <col min="7442" max="7680" width="8.42578125" style="87"/>
    <col min="7681" max="7681" width="10" style="87" bestFit="1" customWidth="1"/>
    <col min="7682" max="7682" width="44.28515625" style="87" bestFit="1" customWidth="1"/>
    <col min="7683" max="7683" width="10.42578125" style="87" bestFit="1" customWidth="1"/>
    <col min="7684" max="7684" width="10.42578125" style="87" customWidth="1"/>
    <col min="7685" max="7685" width="9.7109375" style="87" bestFit="1" customWidth="1"/>
    <col min="7686" max="7687" width="9.5703125" style="87" bestFit="1" customWidth="1"/>
    <col min="7688" max="7688" width="10.42578125" style="87" bestFit="1" customWidth="1"/>
    <col min="7689" max="7689" width="4.5703125" style="87" customWidth="1"/>
    <col min="7690" max="7690" width="1.85546875" style="87" customWidth="1"/>
    <col min="7691" max="7691" width="7" style="87" bestFit="1" customWidth="1"/>
    <col min="7692" max="7692" width="6.28515625" style="87" customWidth="1"/>
    <col min="7693" max="7693" width="20.42578125" style="87" customWidth="1"/>
    <col min="7694" max="7694" width="6.42578125" style="87" bestFit="1" customWidth="1"/>
    <col min="7695" max="7696" width="8.42578125" style="87"/>
    <col min="7697" max="7697" width="3.28515625" style="87" customWidth="1"/>
    <col min="7698" max="7936" width="8.42578125" style="87"/>
    <col min="7937" max="7937" width="10" style="87" bestFit="1" customWidth="1"/>
    <col min="7938" max="7938" width="44.28515625" style="87" bestFit="1" customWidth="1"/>
    <col min="7939" max="7939" width="10.42578125" style="87" bestFit="1" customWidth="1"/>
    <col min="7940" max="7940" width="10.42578125" style="87" customWidth="1"/>
    <col min="7941" max="7941" width="9.7109375" style="87" bestFit="1" customWidth="1"/>
    <col min="7942" max="7943" width="9.5703125" style="87" bestFit="1" customWidth="1"/>
    <col min="7944" max="7944" width="10.42578125" style="87" bestFit="1" customWidth="1"/>
    <col min="7945" max="7945" width="4.5703125" style="87" customWidth="1"/>
    <col min="7946" max="7946" width="1.85546875" style="87" customWidth="1"/>
    <col min="7947" max="7947" width="7" style="87" bestFit="1" customWidth="1"/>
    <col min="7948" max="7948" width="6.28515625" style="87" customWidth="1"/>
    <col min="7949" max="7949" width="20.42578125" style="87" customWidth="1"/>
    <col min="7950" max="7950" width="6.42578125" style="87" bestFit="1" customWidth="1"/>
    <col min="7951" max="7952" width="8.42578125" style="87"/>
    <col min="7953" max="7953" width="3.28515625" style="87" customWidth="1"/>
    <col min="7954" max="8192" width="8.42578125" style="87"/>
    <col min="8193" max="8193" width="10" style="87" bestFit="1" customWidth="1"/>
    <col min="8194" max="8194" width="44.28515625" style="87" bestFit="1" customWidth="1"/>
    <col min="8195" max="8195" width="10.42578125" style="87" bestFit="1" customWidth="1"/>
    <col min="8196" max="8196" width="10.42578125" style="87" customWidth="1"/>
    <col min="8197" max="8197" width="9.7109375" style="87" bestFit="1" customWidth="1"/>
    <col min="8198" max="8199" width="9.5703125" style="87" bestFit="1" customWidth="1"/>
    <col min="8200" max="8200" width="10.42578125" style="87" bestFit="1" customWidth="1"/>
    <col min="8201" max="8201" width="4.5703125" style="87" customWidth="1"/>
    <col min="8202" max="8202" width="1.85546875" style="87" customWidth="1"/>
    <col min="8203" max="8203" width="7" style="87" bestFit="1" customWidth="1"/>
    <col min="8204" max="8204" width="6.28515625" style="87" customWidth="1"/>
    <col min="8205" max="8205" width="20.42578125" style="87" customWidth="1"/>
    <col min="8206" max="8206" width="6.42578125" style="87" bestFit="1" customWidth="1"/>
    <col min="8207" max="8208" width="8.42578125" style="87"/>
    <col min="8209" max="8209" width="3.28515625" style="87" customWidth="1"/>
    <col min="8210" max="8448" width="8.42578125" style="87"/>
    <col min="8449" max="8449" width="10" style="87" bestFit="1" customWidth="1"/>
    <col min="8450" max="8450" width="44.28515625" style="87" bestFit="1" customWidth="1"/>
    <col min="8451" max="8451" width="10.42578125" style="87" bestFit="1" customWidth="1"/>
    <col min="8452" max="8452" width="10.42578125" style="87" customWidth="1"/>
    <col min="8453" max="8453" width="9.7109375" style="87" bestFit="1" customWidth="1"/>
    <col min="8454" max="8455" width="9.5703125" style="87" bestFit="1" customWidth="1"/>
    <col min="8456" max="8456" width="10.42578125" style="87" bestFit="1" customWidth="1"/>
    <col min="8457" max="8457" width="4.5703125" style="87" customWidth="1"/>
    <col min="8458" max="8458" width="1.85546875" style="87" customWidth="1"/>
    <col min="8459" max="8459" width="7" style="87" bestFit="1" customWidth="1"/>
    <col min="8460" max="8460" width="6.28515625" style="87" customWidth="1"/>
    <col min="8461" max="8461" width="20.42578125" style="87" customWidth="1"/>
    <col min="8462" max="8462" width="6.42578125" style="87" bestFit="1" customWidth="1"/>
    <col min="8463" max="8464" width="8.42578125" style="87"/>
    <col min="8465" max="8465" width="3.28515625" style="87" customWidth="1"/>
    <col min="8466" max="8704" width="8.42578125" style="87"/>
    <col min="8705" max="8705" width="10" style="87" bestFit="1" customWidth="1"/>
    <col min="8706" max="8706" width="44.28515625" style="87" bestFit="1" customWidth="1"/>
    <col min="8707" max="8707" width="10.42578125" style="87" bestFit="1" customWidth="1"/>
    <col min="8708" max="8708" width="10.42578125" style="87" customWidth="1"/>
    <col min="8709" max="8709" width="9.7109375" style="87" bestFit="1" customWidth="1"/>
    <col min="8710" max="8711" width="9.5703125" style="87" bestFit="1" customWidth="1"/>
    <col min="8712" max="8712" width="10.42578125" style="87" bestFit="1" customWidth="1"/>
    <col min="8713" max="8713" width="4.5703125" style="87" customWidth="1"/>
    <col min="8714" max="8714" width="1.85546875" style="87" customWidth="1"/>
    <col min="8715" max="8715" width="7" style="87" bestFit="1" customWidth="1"/>
    <col min="8716" max="8716" width="6.28515625" style="87" customWidth="1"/>
    <col min="8717" max="8717" width="20.42578125" style="87" customWidth="1"/>
    <col min="8718" max="8718" width="6.42578125" style="87" bestFit="1" customWidth="1"/>
    <col min="8719" max="8720" width="8.42578125" style="87"/>
    <col min="8721" max="8721" width="3.28515625" style="87" customWidth="1"/>
    <col min="8722" max="8960" width="8.42578125" style="87"/>
    <col min="8961" max="8961" width="10" style="87" bestFit="1" customWidth="1"/>
    <col min="8962" max="8962" width="44.28515625" style="87" bestFit="1" customWidth="1"/>
    <col min="8963" max="8963" width="10.42578125" style="87" bestFit="1" customWidth="1"/>
    <col min="8964" max="8964" width="10.42578125" style="87" customWidth="1"/>
    <col min="8965" max="8965" width="9.7109375" style="87" bestFit="1" customWidth="1"/>
    <col min="8966" max="8967" width="9.5703125" style="87" bestFit="1" customWidth="1"/>
    <col min="8968" max="8968" width="10.42578125" style="87" bestFit="1" customWidth="1"/>
    <col min="8969" max="8969" width="4.5703125" style="87" customWidth="1"/>
    <col min="8970" max="8970" width="1.85546875" style="87" customWidth="1"/>
    <col min="8971" max="8971" width="7" style="87" bestFit="1" customWidth="1"/>
    <col min="8972" max="8972" width="6.28515625" style="87" customWidth="1"/>
    <col min="8973" max="8973" width="20.42578125" style="87" customWidth="1"/>
    <col min="8974" max="8974" width="6.42578125" style="87" bestFit="1" customWidth="1"/>
    <col min="8975" max="8976" width="8.42578125" style="87"/>
    <col min="8977" max="8977" width="3.28515625" style="87" customWidth="1"/>
    <col min="8978" max="9216" width="8.42578125" style="87"/>
    <col min="9217" max="9217" width="10" style="87" bestFit="1" customWidth="1"/>
    <col min="9218" max="9218" width="44.28515625" style="87" bestFit="1" customWidth="1"/>
    <col min="9219" max="9219" width="10.42578125" style="87" bestFit="1" customWidth="1"/>
    <col min="9220" max="9220" width="10.42578125" style="87" customWidth="1"/>
    <col min="9221" max="9221" width="9.7109375" style="87" bestFit="1" customWidth="1"/>
    <col min="9222" max="9223" width="9.5703125" style="87" bestFit="1" customWidth="1"/>
    <col min="9224" max="9224" width="10.42578125" style="87" bestFit="1" customWidth="1"/>
    <col min="9225" max="9225" width="4.5703125" style="87" customWidth="1"/>
    <col min="9226" max="9226" width="1.85546875" style="87" customWidth="1"/>
    <col min="9227" max="9227" width="7" style="87" bestFit="1" customWidth="1"/>
    <col min="9228" max="9228" width="6.28515625" style="87" customWidth="1"/>
    <col min="9229" max="9229" width="20.42578125" style="87" customWidth="1"/>
    <col min="9230" max="9230" width="6.42578125" style="87" bestFit="1" customWidth="1"/>
    <col min="9231" max="9232" width="8.42578125" style="87"/>
    <col min="9233" max="9233" width="3.28515625" style="87" customWidth="1"/>
    <col min="9234" max="9472" width="8.42578125" style="87"/>
    <col min="9473" max="9473" width="10" style="87" bestFit="1" customWidth="1"/>
    <col min="9474" max="9474" width="44.28515625" style="87" bestFit="1" customWidth="1"/>
    <col min="9475" max="9475" width="10.42578125" style="87" bestFit="1" customWidth="1"/>
    <col min="9476" max="9476" width="10.42578125" style="87" customWidth="1"/>
    <col min="9477" max="9477" width="9.7109375" style="87" bestFit="1" customWidth="1"/>
    <col min="9478" max="9479" width="9.5703125" style="87" bestFit="1" customWidth="1"/>
    <col min="9480" max="9480" width="10.42578125" style="87" bestFit="1" customWidth="1"/>
    <col min="9481" max="9481" width="4.5703125" style="87" customWidth="1"/>
    <col min="9482" max="9482" width="1.85546875" style="87" customWidth="1"/>
    <col min="9483" max="9483" width="7" style="87" bestFit="1" customWidth="1"/>
    <col min="9484" max="9484" width="6.28515625" style="87" customWidth="1"/>
    <col min="9485" max="9485" width="20.42578125" style="87" customWidth="1"/>
    <col min="9486" max="9486" width="6.42578125" style="87" bestFit="1" customWidth="1"/>
    <col min="9487" max="9488" width="8.42578125" style="87"/>
    <col min="9489" max="9489" width="3.28515625" style="87" customWidth="1"/>
    <col min="9490" max="9728" width="8.42578125" style="87"/>
    <col min="9729" max="9729" width="10" style="87" bestFit="1" customWidth="1"/>
    <col min="9730" max="9730" width="44.28515625" style="87" bestFit="1" customWidth="1"/>
    <col min="9731" max="9731" width="10.42578125" style="87" bestFit="1" customWidth="1"/>
    <col min="9732" max="9732" width="10.42578125" style="87" customWidth="1"/>
    <col min="9733" max="9733" width="9.7109375" style="87" bestFit="1" customWidth="1"/>
    <col min="9734" max="9735" width="9.5703125" style="87" bestFit="1" customWidth="1"/>
    <col min="9736" max="9736" width="10.42578125" style="87" bestFit="1" customWidth="1"/>
    <col min="9737" max="9737" width="4.5703125" style="87" customWidth="1"/>
    <col min="9738" max="9738" width="1.85546875" style="87" customWidth="1"/>
    <col min="9739" max="9739" width="7" style="87" bestFit="1" customWidth="1"/>
    <col min="9740" max="9740" width="6.28515625" style="87" customWidth="1"/>
    <col min="9741" max="9741" width="20.42578125" style="87" customWidth="1"/>
    <col min="9742" max="9742" width="6.42578125" style="87" bestFit="1" customWidth="1"/>
    <col min="9743" max="9744" width="8.42578125" style="87"/>
    <col min="9745" max="9745" width="3.28515625" style="87" customWidth="1"/>
    <col min="9746" max="9984" width="8.42578125" style="87"/>
    <col min="9985" max="9985" width="10" style="87" bestFit="1" customWidth="1"/>
    <col min="9986" max="9986" width="44.28515625" style="87" bestFit="1" customWidth="1"/>
    <col min="9987" max="9987" width="10.42578125" style="87" bestFit="1" customWidth="1"/>
    <col min="9988" max="9988" width="10.42578125" style="87" customWidth="1"/>
    <col min="9989" max="9989" width="9.7109375" style="87" bestFit="1" customWidth="1"/>
    <col min="9990" max="9991" width="9.5703125" style="87" bestFit="1" customWidth="1"/>
    <col min="9992" max="9992" width="10.42578125" style="87" bestFit="1" customWidth="1"/>
    <col min="9993" max="9993" width="4.5703125" style="87" customWidth="1"/>
    <col min="9994" max="9994" width="1.85546875" style="87" customWidth="1"/>
    <col min="9995" max="9995" width="7" style="87" bestFit="1" customWidth="1"/>
    <col min="9996" max="9996" width="6.28515625" style="87" customWidth="1"/>
    <col min="9997" max="9997" width="20.42578125" style="87" customWidth="1"/>
    <col min="9998" max="9998" width="6.42578125" style="87" bestFit="1" customWidth="1"/>
    <col min="9999" max="10000" width="8.42578125" style="87"/>
    <col min="10001" max="10001" width="3.28515625" style="87" customWidth="1"/>
    <col min="10002" max="10240" width="8.42578125" style="87"/>
    <col min="10241" max="10241" width="10" style="87" bestFit="1" customWidth="1"/>
    <col min="10242" max="10242" width="44.28515625" style="87" bestFit="1" customWidth="1"/>
    <col min="10243" max="10243" width="10.42578125" style="87" bestFit="1" customWidth="1"/>
    <col min="10244" max="10244" width="10.42578125" style="87" customWidth="1"/>
    <col min="10245" max="10245" width="9.7109375" style="87" bestFit="1" customWidth="1"/>
    <col min="10246" max="10247" width="9.5703125" style="87" bestFit="1" customWidth="1"/>
    <col min="10248" max="10248" width="10.42578125" style="87" bestFit="1" customWidth="1"/>
    <col min="10249" max="10249" width="4.5703125" style="87" customWidth="1"/>
    <col min="10250" max="10250" width="1.85546875" style="87" customWidth="1"/>
    <col min="10251" max="10251" width="7" style="87" bestFit="1" customWidth="1"/>
    <col min="10252" max="10252" width="6.28515625" style="87" customWidth="1"/>
    <col min="10253" max="10253" width="20.42578125" style="87" customWidth="1"/>
    <col min="10254" max="10254" width="6.42578125" style="87" bestFit="1" customWidth="1"/>
    <col min="10255" max="10256" width="8.42578125" style="87"/>
    <col min="10257" max="10257" width="3.28515625" style="87" customWidth="1"/>
    <col min="10258" max="10496" width="8.42578125" style="87"/>
    <col min="10497" max="10497" width="10" style="87" bestFit="1" customWidth="1"/>
    <col min="10498" max="10498" width="44.28515625" style="87" bestFit="1" customWidth="1"/>
    <col min="10499" max="10499" width="10.42578125" style="87" bestFit="1" customWidth="1"/>
    <col min="10500" max="10500" width="10.42578125" style="87" customWidth="1"/>
    <col min="10501" max="10501" width="9.7109375" style="87" bestFit="1" customWidth="1"/>
    <col min="10502" max="10503" width="9.5703125" style="87" bestFit="1" customWidth="1"/>
    <col min="10504" max="10504" width="10.42578125" style="87" bestFit="1" customWidth="1"/>
    <col min="10505" max="10505" width="4.5703125" style="87" customWidth="1"/>
    <col min="10506" max="10506" width="1.85546875" style="87" customWidth="1"/>
    <col min="10507" max="10507" width="7" style="87" bestFit="1" customWidth="1"/>
    <col min="10508" max="10508" width="6.28515625" style="87" customWidth="1"/>
    <col min="10509" max="10509" width="20.42578125" style="87" customWidth="1"/>
    <col min="10510" max="10510" width="6.42578125" style="87" bestFit="1" customWidth="1"/>
    <col min="10511" max="10512" width="8.42578125" style="87"/>
    <col min="10513" max="10513" width="3.28515625" style="87" customWidth="1"/>
    <col min="10514" max="10752" width="8.42578125" style="87"/>
    <col min="10753" max="10753" width="10" style="87" bestFit="1" customWidth="1"/>
    <col min="10754" max="10754" width="44.28515625" style="87" bestFit="1" customWidth="1"/>
    <col min="10755" max="10755" width="10.42578125" style="87" bestFit="1" customWidth="1"/>
    <col min="10756" max="10756" width="10.42578125" style="87" customWidth="1"/>
    <col min="10757" max="10757" width="9.7109375" style="87" bestFit="1" customWidth="1"/>
    <col min="10758" max="10759" width="9.5703125" style="87" bestFit="1" customWidth="1"/>
    <col min="10760" max="10760" width="10.42578125" style="87" bestFit="1" customWidth="1"/>
    <col min="10761" max="10761" width="4.5703125" style="87" customWidth="1"/>
    <col min="10762" max="10762" width="1.85546875" style="87" customWidth="1"/>
    <col min="10763" max="10763" width="7" style="87" bestFit="1" customWidth="1"/>
    <col min="10764" max="10764" width="6.28515625" style="87" customWidth="1"/>
    <col min="10765" max="10765" width="20.42578125" style="87" customWidth="1"/>
    <col min="10766" max="10766" width="6.42578125" style="87" bestFit="1" customWidth="1"/>
    <col min="10767" max="10768" width="8.42578125" style="87"/>
    <col min="10769" max="10769" width="3.28515625" style="87" customWidth="1"/>
    <col min="10770" max="11008" width="8.42578125" style="87"/>
    <col min="11009" max="11009" width="10" style="87" bestFit="1" customWidth="1"/>
    <col min="11010" max="11010" width="44.28515625" style="87" bestFit="1" customWidth="1"/>
    <col min="11011" max="11011" width="10.42578125" style="87" bestFit="1" customWidth="1"/>
    <col min="11012" max="11012" width="10.42578125" style="87" customWidth="1"/>
    <col min="11013" max="11013" width="9.7109375" style="87" bestFit="1" customWidth="1"/>
    <col min="11014" max="11015" width="9.5703125" style="87" bestFit="1" customWidth="1"/>
    <col min="11016" max="11016" width="10.42578125" style="87" bestFit="1" customWidth="1"/>
    <col min="11017" max="11017" width="4.5703125" style="87" customWidth="1"/>
    <col min="11018" max="11018" width="1.85546875" style="87" customWidth="1"/>
    <col min="11019" max="11019" width="7" style="87" bestFit="1" customWidth="1"/>
    <col min="11020" max="11020" width="6.28515625" style="87" customWidth="1"/>
    <col min="11021" max="11021" width="20.42578125" style="87" customWidth="1"/>
    <col min="11022" max="11022" width="6.42578125" style="87" bestFit="1" customWidth="1"/>
    <col min="11023" max="11024" width="8.42578125" style="87"/>
    <col min="11025" max="11025" width="3.28515625" style="87" customWidth="1"/>
    <col min="11026" max="11264" width="8.42578125" style="87"/>
    <col min="11265" max="11265" width="10" style="87" bestFit="1" customWidth="1"/>
    <col min="11266" max="11266" width="44.28515625" style="87" bestFit="1" customWidth="1"/>
    <col min="11267" max="11267" width="10.42578125" style="87" bestFit="1" customWidth="1"/>
    <col min="11268" max="11268" width="10.42578125" style="87" customWidth="1"/>
    <col min="11269" max="11269" width="9.7109375" style="87" bestFit="1" customWidth="1"/>
    <col min="11270" max="11271" width="9.5703125" style="87" bestFit="1" customWidth="1"/>
    <col min="11272" max="11272" width="10.42578125" style="87" bestFit="1" customWidth="1"/>
    <col min="11273" max="11273" width="4.5703125" style="87" customWidth="1"/>
    <col min="11274" max="11274" width="1.85546875" style="87" customWidth="1"/>
    <col min="11275" max="11275" width="7" style="87" bestFit="1" customWidth="1"/>
    <col min="11276" max="11276" width="6.28515625" style="87" customWidth="1"/>
    <col min="11277" max="11277" width="20.42578125" style="87" customWidth="1"/>
    <col min="11278" max="11278" width="6.42578125" style="87" bestFit="1" customWidth="1"/>
    <col min="11279" max="11280" width="8.42578125" style="87"/>
    <col min="11281" max="11281" width="3.28515625" style="87" customWidth="1"/>
    <col min="11282" max="11520" width="8.42578125" style="87"/>
    <col min="11521" max="11521" width="10" style="87" bestFit="1" customWidth="1"/>
    <col min="11522" max="11522" width="44.28515625" style="87" bestFit="1" customWidth="1"/>
    <col min="11523" max="11523" width="10.42578125" style="87" bestFit="1" customWidth="1"/>
    <col min="11524" max="11524" width="10.42578125" style="87" customWidth="1"/>
    <col min="11525" max="11525" width="9.7109375" style="87" bestFit="1" customWidth="1"/>
    <col min="11526" max="11527" width="9.5703125" style="87" bestFit="1" customWidth="1"/>
    <col min="11528" max="11528" width="10.42578125" style="87" bestFit="1" customWidth="1"/>
    <col min="11529" max="11529" width="4.5703125" style="87" customWidth="1"/>
    <col min="11530" max="11530" width="1.85546875" style="87" customWidth="1"/>
    <col min="11531" max="11531" width="7" style="87" bestFit="1" customWidth="1"/>
    <col min="11532" max="11532" width="6.28515625" style="87" customWidth="1"/>
    <col min="11533" max="11533" width="20.42578125" style="87" customWidth="1"/>
    <col min="11534" max="11534" width="6.42578125" style="87" bestFit="1" customWidth="1"/>
    <col min="11535" max="11536" width="8.42578125" style="87"/>
    <col min="11537" max="11537" width="3.28515625" style="87" customWidth="1"/>
    <col min="11538" max="11776" width="8.42578125" style="87"/>
    <col min="11777" max="11777" width="10" style="87" bestFit="1" customWidth="1"/>
    <col min="11778" max="11778" width="44.28515625" style="87" bestFit="1" customWidth="1"/>
    <col min="11779" max="11779" width="10.42578125" style="87" bestFit="1" customWidth="1"/>
    <col min="11780" max="11780" width="10.42578125" style="87" customWidth="1"/>
    <col min="11781" max="11781" width="9.7109375" style="87" bestFit="1" customWidth="1"/>
    <col min="11782" max="11783" width="9.5703125" style="87" bestFit="1" customWidth="1"/>
    <col min="11784" max="11784" width="10.42578125" style="87" bestFit="1" customWidth="1"/>
    <col min="11785" max="11785" width="4.5703125" style="87" customWidth="1"/>
    <col min="11786" max="11786" width="1.85546875" style="87" customWidth="1"/>
    <col min="11787" max="11787" width="7" style="87" bestFit="1" customWidth="1"/>
    <col min="11788" max="11788" width="6.28515625" style="87" customWidth="1"/>
    <col min="11789" max="11789" width="20.42578125" style="87" customWidth="1"/>
    <col min="11790" max="11790" width="6.42578125" style="87" bestFit="1" customWidth="1"/>
    <col min="11791" max="11792" width="8.42578125" style="87"/>
    <col min="11793" max="11793" width="3.28515625" style="87" customWidth="1"/>
    <col min="11794" max="12032" width="8.42578125" style="87"/>
    <col min="12033" max="12033" width="10" style="87" bestFit="1" customWidth="1"/>
    <col min="12034" max="12034" width="44.28515625" style="87" bestFit="1" customWidth="1"/>
    <col min="12035" max="12035" width="10.42578125" style="87" bestFit="1" customWidth="1"/>
    <col min="12036" max="12036" width="10.42578125" style="87" customWidth="1"/>
    <col min="12037" max="12037" width="9.7109375" style="87" bestFit="1" customWidth="1"/>
    <col min="12038" max="12039" width="9.5703125" style="87" bestFit="1" customWidth="1"/>
    <col min="12040" max="12040" width="10.42578125" style="87" bestFit="1" customWidth="1"/>
    <col min="12041" max="12041" width="4.5703125" style="87" customWidth="1"/>
    <col min="12042" max="12042" width="1.85546875" style="87" customWidth="1"/>
    <col min="12043" max="12043" width="7" style="87" bestFit="1" customWidth="1"/>
    <col min="12044" max="12044" width="6.28515625" style="87" customWidth="1"/>
    <col min="12045" max="12045" width="20.42578125" style="87" customWidth="1"/>
    <col min="12046" max="12046" width="6.42578125" style="87" bestFit="1" customWidth="1"/>
    <col min="12047" max="12048" width="8.42578125" style="87"/>
    <col min="12049" max="12049" width="3.28515625" style="87" customWidth="1"/>
    <col min="12050" max="12288" width="8.42578125" style="87"/>
    <col min="12289" max="12289" width="10" style="87" bestFit="1" customWidth="1"/>
    <col min="12290" max="12290" width="44.28515625" style="87" bestFit="1" customWidth="1"/>
    <col min="12291" max="12291" width="10.42578125" style="87" bestFit="1" customWidth="1"/>
    <col min="12292" max="12292" width="10.42578125" style="87" customWidth="1"/>
    <col min="12293" max="12293" width="9.7109375" style="87" bestFit="1" customWidth="1"/>
    <col min="12294" max="12295" width="9.5703125" style="87" bestFit="1" customWidth="1"/>
    <col min="12296" max="12296" width="10.42578125" style="87" bestFit="1" customWidth="1"/>
    <col min="12297" max="12297" width="4.5703125" style="87" customWidth="1"/>
    <col min="12298" max="12298" width="1.85546875" style="87" customWidth="1"/>
    <col min="12299" max="12299" width="7" style="87" bestFit="1" customWidth="1"/>
    <col min="12300" max="12300" width="6.28515625" style="87" customWidth="1"/>
    <col min="12301" max="12301" width="20.42578125" style="87" customWidth="1"/>
    <col min="12302" max="12302" width="6.42578125" style="87" bestFit="1" customWidth="1"/>
    <col min="12303" max="12304" width="8.42578125" style="87"/>
    <col min="12305" max="12305" width="3.28515625" style="87" customWidth="1"/>
    <col min="12306" max="12544" width="8.42578125" style="87"/>
    <col min="12545" max="12545" width="10" style="87" bestFit="1" customWidth="1"/>
    <col min="12546" max="12546" width="44.28515625" style="87" bestFit="1" customWidth="1"/>
    <col min="12547" max="12547" width="10.42578125" style="87" bestFit="1" customWidth="1"/>
    <col min="12548" max="12548" width="10.42578125" style="87" customWidth="1"/>
    <col min="12549" max="12549" width="9.7109375" style="87" bestFit="1" customWidth="1"/>
    <col min="12550" max="12551" width="9.5703125" style="87" bestFit="1" customWidth="1"/>
    <col min="12552" max="12552" width="10.42578125" style="87" bestFit="1" customWidth="1"/>
    <col min="12553" max="12553" width="4.5703125" style="87" customWidth="1"/>
    <col min="12554" max="12554" width="1.85546875" style="87" customWidth="1"/>
    <col min="12555" max="12555" width="7" style="87" bestFit="1" customWidth="1"/>
    <col min="12556" max="12556" width="6.28515625" style="87" customWidth="1"/>
    <col min="12557" max="12557" width="20.42578125" style="87" customWidth="1"/>
    <col min="12558" max="12558" width="6.42578125" style="87" bestFit="1" customWidth="1"/>
    <col min="12559" max="12560" width="8.42578125" style="87"/>
    <col min="12561" max="12561" width="3.28515625" style="87" customWidth="1"/>
    <col min="12562" max="12800" width="8.42578125" style="87"/>
    <col min="12801" max="12801" width="10" style="87" bestFit="1" customWidth="1"/>
    <col min="12802" max="12802" width="44.28515625" style="87" bestFit="1" customWidth="1"/>
    <col min="12803" max="12803" width="10.42578125" style="87" bestFit="1" customWidth="1"/>
    <col min="12804" max="12804" width="10.42578125" style="87" customWidth="1"/>
    <col min="12805" max="12805" width="9.7109375" style="87" bestFit="1" customWidth="1"/>
    <col min="12806" max="12807" width="9.5703125" style="87" bestFit="1" customWidth="1"/>
    <col min="12808" max="12808" width="10.42578125" style="87" bestFit="1" customWidth="1"/>
    <col min="12809" max="12809" width="4.5703125" style="87" customWidth="1"/>
    <col min="12810" max="12810" width="1.85546875" style="87" customWidth="1"/>
    <col min="12811" max="12811" width="7" style="87" bestFit="1" customWidth="1"/>
    <col min="12812" max="12812" width="6.28515625" style="87" customWidth="1"/>
    <col min="12813" max="12813" width="20.42578125" style="87" customWidth="1"/>
    <col min="12814" max="12814" width="6.42578125" style="87" bestFit="1" customWidth="1"/>
    <col min="12815" max="12816" width="8.42578125" style="87"/>
    <col min="12817" max="12817" width="3.28515625" style="87" customWidth="1"/>
    <col min="12818" max="13056" width="8.42578125" style="87"/>
    <col min="13057" max="13057" width="10" style="87" bestFit="1" customWidth="1"/>
    <col min="13058" max="13058" width="44.28515625" style="87" bestFit="1" customWidth="1"/>
    <col min="13059" max="13059" width="10.42578125" style="87" bestFit="1" customWidth="1"/>
    <col min="13060" max="13060" width="10.42578125" style="87" customWidth="1"/>
    <col min="13061" max="13061" width="9.7109375" style="87" bestFit="1" customWidth="1"/>
    <col min="13062" max="13063" width="9.5703125" style="87" bestFit="1" customWidth="1"/>
    <col min="13064" max="13064" width="10.42578125" style="87" bestFit="1" customWidth="1"/>
    <col min="13065" max="13065" width="4.5703125" style="87" customWidth="1"/>
    <col min="13066" max="13066" width="1.85546875" style="87" customWidth="1"/>
    <col min="13067" max="13067" width="7" style="87" bestFit="1" customWidth="1"/>
    <col min="13068" max="13068" width="6.28515625" style="87" customWidth="1"/>
    <col min="13069" max="13069" width="20.42578125" style="87" customWidth="1"/>
    <col min="13070" max="13070" width="6.42578125" style="87" bestFit="1" customWidth="1"/>
    <col min="13071" max="13072" width="8.42578125" style="87"/>
    <col min="13073" max="13073" width="3.28515625" style="87" customWidth="1"/>
    <col min="13074" max="13312" width="8.42578125" style="87"/>
    <col min="13313" max="13313" width="10" style="87" bestFit="1" customWidth="1"/>
    <col min="13314" max="13314" width="44.28515625" style="87" bestFit="1" customWidth="1"/>
    <col min="13315" max="13315" width="10.42578125" style="87" bestFit="1" customWidth="1"/>
    <col min="13316" max="13316" width="10.42578125" style="87" customWidth="1"/>
    <col min="13317" max="13317" width="9.7109375" style="87" bestFit="1" customWidth="1"/>
    <col min="13318" max="13319" width="9.5703125" style="87" bestFit="1" customWidth="1"/>
    <col min="13320" max="13320" width="10.42578125" style="87" bestFit="1" customWidth="1"/>
    <col min="13321" max="13321" width="4.5703125" style="87" customWidth="1"/>
    <col min="13322" max="13322" width="1.85546875" style="87" customWidth="1"/>
    <col min="13323" max="13323" width="7" style="87" bestFit="1" customWidth="1"/>
    <col min="13324" max="13324" width="6.28515625" style="87" customWidth="1"/>
    <col min="13325" max="13325" width="20.42578125" style="87" customWidth="1"/>
    <col min="13326" max="13326" width="6.42578125" style="87" bestFit="1" customWidth="1"/>
    <col min="13327" max="13328" width="8.42578125" style="87"/>
    <col min="13329" max="13329" width="3.28515625" style="87" customWidth="1"/>
    <col min="13330" max="13568" width="8.42578125" style="87"/>
    <col min="13569" max="13569" width="10" style="87" bestFit="1" customWidth="1"/>
    <col min="13570" max="13570" width="44.28515625" style="87" bestFit="1" customWidth="1"/>
    <col min="13571" max="13571" width="10.42578125" style="87" bestFit="1" customWidth="1"/>
    <col min="13572" max="13572" width="10.42578125" style="87" customWidth="1"/>
    <col min="13573" max="13573" width="9.7109375" style="87" bestFit="1" customWidth="1"/>
    <col min="13574" max="13575" width="9.5703125" style="87" bestFit="1" customWidth="1"/>
    <col min="13576" max="13576" width="10.42578125" style="87" bestFit="1" customWidth="1"/>
    <col min="13577" max="13577" width="4.5703125" style="87" customWidth="1"/>
    <col min="13578" max="13578" width="1.85546875" style="87" customWidth="1"/>
    <col min="13579" max="13579" width="7" style="87" bestFit="1" customWidth="1"/>
    <col min="13580" max="13580" width="6.28515625" style="87" customWidth="1"/>
    <col min="13581" max="13581" width="20.42578125" style="87" customWidth="1"/>
    <col min="13582" max="13582" width="6.42578125" style="87" bestFit="1" customWidth="1"/>
    <col min="13583" max="13584" width="8.42578125" style="87"/>
    <col min="13585" max="13585" width="3.28515625" style="87" customWidth="1"/>
    <col min="13586" max="13824" width="8.42578125" style="87"/>
    <col min="13825" max="13825" width="10" style="87" bestFit="1" customWidth="1"/>
    <col min="13826" max="13826" width="44.28515625" style="87" bestFit="1" customWidth="1"/>
    <col min="13827" max="13827" width="10.42578125" style="87" bestFit="1" customWidth="1"/>
    <col min="13828" max="13828" width="10.42578125" style="87" customWidth="1"/>
    <col min="13829" max="13829" width="9.7109375" style="87" bestFit="1" customWidth="1"/>
    <col min="13830" max="13831" width="9.5703125" style="87" bestFit="1" customWidth="1"/>
    <col min="13832" max="13832" width="10.42578125" style="87" bestFit="1" customWidth="1"/>
    <col min="13833" max="13833" width="4.5703125" style="87" customWidth="1"/>
    <col min="13834" max="13834" width="1.85546875" style="87" customWidth="1"/>
    <col min="13835" max="13835" width="7" style="87" bestFit="1" customWidth="1"/>
    <col min="13836" max="13836" width="6.28515625" style="87" customWidth="1"/>
    <col min="13837" max="13837" width="20.42578125" style="87" customWidth="1"/>
    <col min="13838" max="13838" width="6.42578125" style="87" bestFit="1" customWidth="1"/>
    <col min="13839" max="13840" width="8.42578125" style="87"/>
    <col min="13841" max="13841" width="3.28515625" style="87" customWidth="1"/>
    <col min="13842" max="14080" width="8.42578125" style="87"/>
    <col min="14081" max="14081" width="10" style="87" bestFit="1" customWidth="1"/>
    <col min="14082" max="14082" width="44.28515625" style="87" bestFit="1" customWidth="1"/>
    <col min="14083" max="14083" width="10.42578125" style="87" bestFit="1" customWidth="1"/>
    <col min="14084" max="14084" width="10.42578125" style="87" customWidth="1"/>
    <col min="14085" max="14085" width="9.7109375" style="87" bestFit="1" customWidth="1"/>
    <col min="14086" max="14087" width="9.5703125" style="87" bestFit="1" customWidth="1"/>
    <col min="14088" max="14088" width="10.42578125" style="87" bestFit="1" customWidth="1"/>
    <col min="14089" max="14089" width="4.5703125" style="87" customWidth="1"/>
    <col min="14090" max="14090" width="1.85546875" style="87" customWidth="1"/>
    <col min="14091" max="14091" width="7" style="87" bestFit="1" customWidth="1"/>
    <col min="14092" max="14092" width="6.28515625" style="87" customWidth="1"/>
    <col min="14093" max="14093" width="20.42578125" style="87" customWidth="1"/>
    <col min="14094" max="14094" width="6.42578125" style="87" bestFit="1" customWidth="1"/>
    <col min="14095" max="14096" width="8.42578125" style="87"/>
    <col min="14097" max="14097" width="3.28515625" style="87" customWidth="1"/>
    <col min="14098" max="14336" width="8.42578125" style="87"/>
    <col min="14337" max="14337" width="10" style="87" bestFit="1" customWidth="1"/>
    <col min="14338" max="14338" width="44.28515625" style="87" bestFit="1" customWidth="1"/>
    <col min="14339" max="14339" width="10.42578125" style="87" bestFit="1" customWidth="1"/>
    <col min="14340" max="14340" width="10.42578125" style="87" customWidth="1"/>
    <col min="14341" max="14341" width="9.7109375" style="87" bestFit="1" customWidth="1"/>
    <col min="14342" max="14343" width="9.5703125" style="87" bestFit="1" customWidth="1"/>
    <col min="14344" max="14344" width="10.42578125" style="87" bestFit="1" customWidth="1"/>
    <col min="14345" max="14345" width="4.5703125" style="87" customWidth="1"/>
    <col min="14346" max="14346" width="1.85546875" style="87" customWidth="1"/>
    <col min="14347" max="14347" width="7" style="87" bestFit="1" customWidth="1"/>
    <col min="14348" max="14348" width="6.28515625" style="87" customWidth="1"/>
    <col min="14349" max="14349" width="20.42578125" style="87" customWidth="1"/>
    <col min="14350" max="14350" width="6.42578125" style="87" bestFit="1" customWidth="1"/>
    <col min="14351" max="14352" width="8.42578125" style="87"/>
    <col min="14353" max="14353" width="3.28515625" style="87" customWidth="1"/>
    <col min="14354" max="14592" width="8.42578125" style="87"/>
    <col min="14593" max="14593" width="10" style="87" bestFit="1" customWidth="1"/>
    <col min="14594" max="14594" width="44.28515625" style="87" bestFit="1" customWidth="1"/>
    <col min="14595" max="14595" width="10.42578125" style="87" bestFit="1" customWidth="1"/>
    <col min="14596" max="14596" width="10.42578125" style="87" customWidth="1"/>
    <col min="14597" max="14597" width="9.7109375" style="87" bestFit="1" customWidth="1"/>
    <col min="14598" max="14599" width="9.5703125" style="87" bestFit="1" customWidth="1"/>
    <col min="14600" max="14600" width="10.42578125" style="87" bestFit="1" customWidth="1"/>
    <col min="14601" max="14601" width="4.5703125" style="87" customWidth="1"/>
    <col min="14602" max="14602" width="1.85546875" style="87" customWidth="1"/>
    <col min="14603" max="14603" width="7" style="87" bestFit="1" customWidth="1"/>
    <col min="14604" max="14604" width="6.28515625" style="87" customWidth="1"/>
    <col min="14605" max="14605" width="20.42578125" style="87" customWidth="1"/>
    <col min="14606" max="14606" width="6.42578125" style="87" bestFit="1" customWidth="1"/>
    <col min="14607" max="14608" width="8.42578125" style="87"/>
    <col min="14609" max="14609" width="3.28515625" style="87" customWidth="1"/>
    <col min="14610" max="14848" width="8.42578125" style="87"/>
    <col min="14849" max="14849" width="10" style="87" bestFit="1" customWidth="1"/>
    <col min="14850" max="14850" width="44.28515625" style="87" bestFit="1" customWidth="1"/>
    <col min="14851" max="14851" width="10.42578125" style="87" bestFit="1" customWidth="1"/>
    <col min="14852" max="14852" width="10.42578125" style="87" customWidth="1"/>
    <col min="14853" max="14853" width="9.7109375" style="87" bestFit="1" customWidth="1"/>
    <col min="14854" max="14855" width="9.5703125" style="87" bestFit="1" customWidth="1"/>
    <col min="14856" max="14856" width="10.42578125" style="87" bestFit="1" customWidth="1"/>
    <col min="14857" max="14857" width="4.5703125" style="87" customWidth="1"/>
    <col min="14858" max="14858" width="1.85546875" style="87" customWidth="1"/>
    <col min="14859" max="14859" width="7" style="87" bestFit="1" customWidth="1"/>
    <col min="14860" max="14860" width="6.28515625" style="87" customWidth="1"/>
    <col min="14861" max="14861" width="20.42578125" style="87" customWidth="1"/>
    <col min="14862" max="14862" width="6.42578125" style="87" bestFit="1" customWidth="1"/>
    <col min="14863" max="14864" width="8.42578125" style="87"/>
    <col min="14865" max="14865" width="3.28515625" style="87" customWidth="1"/>
    <col min="14866" max="15104" width="8.42578125" style="87"/>
    <col min="15105" max="15105" width="10" style="87" bestFit="1" customWidth="1"/>
    <col min="15106" max="15106" width="44.28515625" style="87" bestFit="1" customWidth="1"/>
    <col min="15107" max="15107" width="10.42578125" style="87" bestFit="1" customWidth="1"/>
    <col min="15108" max="15108" width="10.42578125" style="87" customWidth="1"/>
    <col min="15109" max="15109" width="9.7109375" style="87" bestFit="1" customWidth="1"/>
    <col min="15110" max="15111" width="9.5703125" style="87" bestFit="1" customWidth="1"/>
    <col min="15112" max="15112" width="10.42578125" style="87" bestFit="1" customWidth="1"/>
    <col min="15113" max="15113" width="4.5703125" style="87" customWidth="1"/>
    <col min="15114" max="15114" width="1.85546875" style="87" customWidth="1"/>
    <col min="15115" max="15115" width="7" style="87" bestFit="1" customWidth="1"/>
    <col min="15116" max="15116" width="6.28515625" style="87" customWidth="1"/>
    <col min="15117" max="15117" width="20.42578125" style="87" customWidth="1"/>
    <col min="15118" max="15118" width="6.42578125" style="87" bestFit="1" customWidth="1"/>
    <col min="15119" max="15120" width="8.42578125" style="87"/>
    <col min="15121" max="15121" width="3.28515625" style="87" customWidth="1"/>
    <col min="15122" max="15360" width="8.42578125" style="87"/>
    <col min="15361" max="15361" width="10" style="87" bestFit="1" customWidth="1"/>
    <col min="15362" max="15362" width="44.28515625" style="87" bestFit="1" customWidth="1"/>
    <col min="15363" max="15363" width="10.42578125" style="87" bestFit="1" customWidth="1"/>
    <col min="15364" max="15364" width="10.42578125" style="87" customWidth="1"/>
    <col min="15365" max="15365" width="9.7109375" style="87" bestFit="1" customWidth="1"/>
    <col min="15366" max="15367" width="9.5703125" style="87" bestFit="1" customWidth="1"/>
    <col min="15368" max="15368" width="10.42578125" style="87" bestFit="1" customWidth="1"/>
    <col min="15369" max="15369" width="4.5703125" style="87" customWidth="1"/>
    <col min="15370" max="15370" width="1.85546875" style="87" customWidth="1"/>
    <col min="15371" max="15371" width="7" style="87" bestFit="1" customWidth="1"/>
    <col min="15372" max="15372" width="6.28515625" style="87" customWidth="1"/>
    <col min="15373" max="15373" width="20.42578125" style="87" customWidth="1"/>
    <col min="15374" max="15374" width="6.42578125" style="87" bestFit="1" customWidth="1"/>
    <col min="15375" max="15376" width="8.42578125" style="87"/>
    <col min="15377" max="15377" width="3.28515625" style="87" customWidth="1"/>
    <col min="15378" max="15616" width="8.42578125" style="87"/>
    <col min="15617" max="15617" width="10" style="87" bestFit="1" customWidth="1"/>
    <col min="15618" max="15618" width="44.28515625" style="87" bestFit="1" customWidth="1"/>
    <col min="15619" max="15619" width="10.42578125" style="87" bestFit="1" customWidth="1"/>
    <col min="15620" max="15620" width="10.42578125" style="87" customWidth="1"/>
    <col min="15621" max="15621" width="9.7109375" style="87" bestFit="1" customWidth="1"/>
    <col min="15622" max="15623" width="9.5703125" style="87" bestFit="1" customWidth="1"/>
    <col min="15624" max="15624" width="10.42578125" style="87" bestFit="1" customWidth="1"/>
    <col min="15625" max="15625" width="4.5703125" style="87" customWidth="1"/>
    <col min="15626" max="15626" width="1.85546875" style="87" customWidth="1"/>
    <col min="15627" max="15627" width="7" style="87" bestFit="1" customWidth="1"/>
    <col min="15628" max="15628" width="6.28515625" style="87" customWidth="1"/>
    <col min="15629" max="15629" width="20.42578125" style="87" customWidth="1"/>
    <col min="15630" max="15630" width="6.42578125" style="87" bestFit="1" customWidth="1"/>
    <col min="15631" max="15632" width="8.42578125" style="87"/>
    <col min="15633" max="15633" width="3.28515625" style="87" customWidth="1"/>
    <col min="15634" max="15872" width="8.42578125" style="87"/>
    <col min="15873" max="15873" width="10" style="87" bestFit="1" customWidth="1"/>
    <col min="15874" max="15874" width="44.28515625" style="87" bestFit="1" customWidth="1"/>
    <col min="15875" max="15875" width="10.42578125" style="87" bestFit="1" customWidth="1"/>
    <col min="15876" max="15876" width="10.42578125" style="87" customWidth="1"/>
    <col min="15877" max="15877" width="9.7109375" style="87" bestFit="1" customWidth="1"/>
    <col min="15878" max="15879" width="9.5703125" style="87" bestFit="1" customWidth="1"/>
    <col min="15880" max="15880" width="10.42578125" style="87" bestFit="1" customWidth="1"/>
    <col min="15881" max="15881" width="4.5703125" style="87" customWidth="1"/>
    <col min="15882" max="15882" width="1.85546875" style="87" customWidth="1"/>
    <col min="15883" max="15883" width="7" style="87" bestFit="1" customWidth="1"/>
    <col min="15884" max="15884" width="6.28515625" style="87" customWidth="1"/>
    <col min="15885" max="15885" width="20.42578125" style="87" customWidth="1"/>
    <col min="15886" max="15886" width="6.42578125" style="87" bestFit="1" customWidth="1"/>
    <col min="15887" max="15888" width="8.42578125" style="87"/>
    <col min="15889" max="15889" width="3.28515625" style="87" customWidth="1"/>
    <col min="15890" max="16128" width="8.42578125" style="87"/>
    <col min="16129" max="16129" width="10" style="87" bestFit="1" customWidth="1"/>
    <col min="16130" max="16130" width="44.28515625" style="87" bestFit="1" customWidth="1"/>
    <col min="16131" max="16131" width="10.42578125" style="87" bestFit="1" customWidth="1"/>
    <col min="16132" max="16132" width="10.42578125" style="87" customWidth="1"/>
    <col min="16133" max="16133" width="9.7109375" style="87" bestFit="1" customWidth="1"/>
    <col min="16134" max="16135" width="9.5703125" style="87" bestFit="1" customWidth="1"/>
    <col min="16136" max="16136" width="10.42578125" style="87" bestFit="1" customWidth="1"/>
    <col min="16137" max="16137" width="4.5703125" style="87" customWidth="1"/>
    <col min="16138" max="16138" width="1.85546875" style="87" customWidth="1"/>
    <col min="16139" max="16139" width="7" style="87" bestFit="1" customWidth="1"/>
    <col min="16140" max="16140" width="6.28515625" style="87" customWidth="1"/>
    <col min="16141" max="16141" width="20.42578125" style="87" customWidth="1"/>
    <col min="16142" max="16142" width="6.42578125" style="87" bestFit="1" customWidth="1"/>
    <col min="16143" max="16144" width="8.42578125" style="87"/>
    <col min="16145" max="16145" width="3.28515625" style="87" customWidth="1"/>
    <col min="16146" max="16384" width="8.42578125" style="87"/>
  </cols>
  <sheetData>
    <row r="1" spans="1:10" ht="27.75" customHeight="1" x14ac:dyDescent="0.25">
      <c r="A1" s="82"/>
      <c r="B1" s="82"/>
      <c r="C1" s="82"/>
      <c r="D1" s="82"/>
      <c r="E1" s="83" t="s">
        <v>79</v>
      </c>
      <c r="F1" s="84" t="s">
        <v>80</v>
      </c>
      <c r="G1" s="84" t="s">
        <v>81</v>
      </c>
      <c r="H1" s="84" t="s">
        <v>82</v>
      </c>
      <c r="I1" s="85"/>
    </row>
    <row r="2" spans="1:10" ht="30.75" customHeight="1" x14ac:dyDescent="0.25">
      <c r="A2" s="82"/>
      <c r="B2" s="82"/>
      <c r="C2" s="82"/>
      <c r="D2" s="82"/>
      <c r="E2" s="88">
        <f>IFERROR(O62,"")</f>
        <v>2719.3171480519477</v>
      </c>
      <c r="F2" s="88">
        <f>IFERROR(H53,"")</f>
        <v>1935.5947999999999</v>
      </c>
      <c r="G2" s="88">
        <f>IFERROR(H54,"")</f>
        <v>129.1</v>
      </c>
      <c r="H2" s="88">
        <f>IFERROR(H56,"")</f>
        <v>357.48879999999997</v>
      </c>
      <c r="I2" s="89"/>
    </row>
    <row r="3" spans="1:10" ht="15" customHeight="1" x14ac:dyDescent="0.25">
      <c r="A3" s="82"/>
      <c r="B3" s="82"/>
      <c r="C3" s="82"/>
      <c r="D3" s="82"/>
      <c r="E3" s="82"/>
      <c r="F3" s="90"/>
      <c r="G3" s="90"/>
      <c r="H3" s="90"/>
      <c r="I3" s="90"/>
    </row>
    <row r="4" spans="1:10" ht="24.75" customHeight="1" thickBot="1" x14ac:dyDescent="0.3">
      <c r="A4" s="972"/>
      <c r="B4" s="972"/>
      <c r="C4" s="972"/>
      <c r="D4" s="972"/>
      <c r="E4" s="972"/>
      <c r="F4" s="972"/>
      <c r="G4" s="972"/>
      <c r="H4" s="972"/>
      <c r="I4" s="91"/>
    </row>
    <row r="5" spans="1:10" ht="19.5" customHeight="1" thickBot="1" x14ac:dyDescent="0.3">
      <c r="A5" s="973" t="s">
        <v>83</v>
      </c>
      <c r="B5" s="974"/>
      <c r="C5" s="974"/>
      <c r="D5" s="974"/>
      <c r="E5" s="974"/>
      <c r="F5" s="974"/>
      <c r="G5" s="974"/>
      <c r="H5" s="975"/>
      <c r="I5" s="92"/>
    </row>
    <row r="6" spans="1:10" ht="19.5" thickBot="1" x14ac:dyDescent="0.3">
      <c r="A6" s="92"/>
      <c r="B6" s="92"/>
      <c r="C6" s="92"/>
      <c r="D6" s="92"/>
      <c r="E6" s="92"/>
      <c r="F6" s="976" t="s">
        <v>84</v>
      </c>
      <c r="G6" s="976"/>
      <c r="H6" s="93">
        <f ca="1">TODAY()</f>
        <v>45953</v>
      </c>
      <c r="I6" s="93"/>
    </row>
    <row r="7" spans="1:10" ht="26.25" thickBot="1" x14ac:dyDescent="0.3">
      <c r="A7" s="94" t="s">
        <v>85</v>
      </c>
      <c r="B7" s="95" t="s">
        <v>86</v>
      </c>
      <c r="C7" s="95" t="s">
        <v>85</v>
      </c>
      <c r="D7" s="96" t="s">
        <v>87</v>
      </c>
      <c r="E7" s="96" t="s">
        <v>88</v>
      </c>
      <c r="F7" s="96" t="s">
        <v>89</v>
      </c>
      <c r="G7" s="96" t="s">
        <v>90</v>
      </c>
      <c r="H7" s="97" t="s">
        <v>91</v>
      </c>
      <c r="I7" s="98"/>
    </row>
    <row r="8" spans="1:10" ht="13.5" x14ac:dyDescent="0.25">
      <c r="A8" s="99">
        <v>0</v>
      </c>
      <c r="B8" s="87" t="s">
        <v>54</v>
      </c>
      <c r="C8" s="100">
        <f>+A8</f>
        <v>0</v>
      </c>
      <c r="D8" s="101" t="s">
        <v>131</v>
      </c>
      <c r="E8" s="101">
        <v>2.56</v>
      </c>
      <c r="F8" s="101">
        <f>IFERROR(C8*E8,"")</f>
        <v>0</v>
      </c>
      <c r="G8" s="102">
        <f t="shared" ref="G8:G14" si="0">IFERROR(F8/$F$66,"")</f>
        <v>0</v>
      </c>
      <c r="H8" s="103" t="s">
        <v>53</v>
      </c>
      <c r="I8" s="103"/>
      <c r="J8" s="104"/>
    </row>
    <row r="9" spans="1:10" ht="13.5" hidden="1" x14ac:dyDescent="0.25">
      <c r="A9" s="99"/>
      <c r="B9" s="87" t="str">
        <f>IFERROR(VLOOKUP(H9,'[1]Consolidado MP Planta'!$A$2:$M$823,3,0),"")</f>
        <v/>
      </c>
      <c r="C9" s="100">
        <f t="shared" ref="C9:C14" si="1">+A9</f>
        <v>0</v>
      </c>
      <c r="D9" s="101" t="str">
        <f>IFERROR(VLOOKUP(H9,'[1]Consolidado MP Planta'!$A$2:$M$823,13,0),"")</f>
        <v/>
      </c>
      <c r="E9" s="101" t="str">
        <f>IFERROR(VLOOKUP(H9,'[1]Consolidado MP Planta'!$A$2:$M$823,12,0),"")</f>
        <v/>
      </c>
      <c r="F9" s="101" t="str">
        <f t="shared" ref="F9:F14" si="2">IFERROR(C9*E9,"")</f>
        <v/>
      </c>
      <c r="G9" s="102" t="str">
        <f t="shared" si="0"/>
        <v/>
      </c>
      <c r="H9" s="103"/>
      <c r="I9" s="103"/>
      <c r="J9" s="104"/>
    </row>
    <row r="10" spans="1:10" ht="13.5" hidden="1" x14ac:dyDescent="0.25">
      <c r="A10" s="99"/>
      <c r="B10" s="87" t="str">
        <f>IFERROR(VLOOKUP(H10,'[1]Consolidado MP Planta'!$A$2:$M$823,3,0),"")</f>
        <v/>
      </c>
      <c r="C10" s="100">
        <f t="shared" si="1"/>
        <v>0</v>
      </c>
      <c r="D10" s="101" t="str">
        <f>IFERROR(VLOOKUP(H10,'[1]Consolidado MP Planta'!$A$2:$M$823,13,0),"")</f>
        <v/>
      </c>
      <c r="E10" s="101" t="str">
        <f>IFERROR(VLOOKUP(H10,'[1]Consolidado MP Planta'!$A$2:$M$823,12,0),"")</f>
        <v/>
      </c>
      <c r="F10" s="101" t="str">
        <f t="shared" si="2"/>
        <v/>
      </c>
      <c r="G10" s="102" t="str">
        <f t="shared" si="0"/>
        <v/>
      </c>
      <c r="H10" s="103"/>
      <c r="I10" s="103"/>
      <c r="J10" s="104"/>
    </row>
    <row r="11" spans="1:10" ht="13.5" hidden="1" x14ac:dyDescent="0.25">
      <c r="A11" s="99"/>
      <c r="B11" s="87" t="str">
        <f>IFERROR(VLOOKUP(H11,'[1]Consolidado MP Planta'!$A$2:$M$823,3,0),"")</f>
        <v/>
      </c>
      <c r="C11" s="100">
        <f t="shared" si="1"/>
        <v>0</v>
      </c>
      <c r="D11" s="101" t="str">
        <f>IFERROR(VLOOKUP(H11,'[1]Consolidado MP Planta'!$A$2:$M$823,13,0),"")</f>
        <v/>
      </c>
      <c r="E11" s="101" t="str">
        <f>IFERROR(VLOOKUP(H11,'[1]Consolidado MP Planta'!$A$2:$M$823,12,0),"")</f>
        <v/>
      </c>
      <c r="F11" s="101" t="str">
        <f t="shared" si="2"/>
        <v/>
      </c>
      <c r="G11" s="102" t="str">
        <f t="shared" si="0"/>
        <v/>
      </c>
      <c r="H11" s="103"/>
      <c r="I11" s="103"/>
      <c r="J11" s="104"/>
    </row>
    <row r="12" spans="1:10" ht="13.5" hidden="1" x14ac:dyDescent="0.25">
      <c r="A12" s="99"/>
      <c r="B12" s="87" t="str">
        <f>IFERROR(VLOOKUP(H12,'[1]Consolidado MP Planta'!$A$2:$M$823,3,0),"")</f>
        <v/>
      </c>
      <c r="C12" s="100">
        <f t="shared" si="1"/>
        <v>0</v>
      </c>
      <c r="D12" s="101" t="str">
        <f>IFERROR(VLOOKUP(H12,'[1]Consolidado MP Planta'!$A$2:$M$823,13,0),"")</f>
        <v/>
      </c>
      <c r="E12" s="101" t="str">
        <f>IFERROR(VLOOKUP(H12,'[1]Consolidado MP Planta'!$A$2:$M$823,12,0),"")</f>
        <v/>
      </c>
      <c r="F12" s="101" t="str">
        <f t="shared" si="2"/>
        <v/>
      </c>
      <c r="G12" s="102" t="str">
        <f t="shared" si="0"/>
        <v/>
      </c>
      <c r="H12" s="103"/>
      <c r="I12" s="103"/>
      <c r="J12" s="104"/>
    </row>
    <row r="13" spans="1:10" ht="13.5" hidden="1" x14ac:dyDescent="0.25">
      <c r="A13" s="99"/>
      <c r="B13" s="87" t="str">
        <f>IFERROR(VLOOKUP(H13,'[1]Consolidado MP Planta'!$A$2:$M$823,3,0),"")</f>
        <v/>
      </c>
      <c r="C13" s="100">
        <f t="shared" si="1"/>
        <v>0</v>
      </c>
      <c r="D13" s="101" t="str">
        <f>IFERROR(VLOOKUP(H13,'[1]Consolidado MP Planta'!$A$2:$M$823,13,0),"")</f>
        <v/>
      </c>
      <c r="E13" s="101" t="str">
        <f>IFERROR(VLOOKUP(H13,'[1]Consolidado MP Planta'!$A$2:$M$823,12,0),"")</f>
        <v/>
      </c>
      <c r="F13" s="101" t="str">
        <f t="shared" si="2"/>
        <v/>
      </c>
      <c r="G13" s="102" t="str">
        <f t="shared" si="0"/>
        <v/>
      </c>
      <c r="H13" s="103"/>
      <c r="I13" s="103"/>
      <c r="J13" s="104"/>
    </row>
    <row r="14" spans="1:10" ht="13.5" hidden="1" x14ac:dyDescent="0.25">
      <c r="A14" s="99"/>
      <c r="B14" s="87" t="str">
        <f>IFERROR(VLOOKUP(H14,'[1]Consolidado MP Planta'!$A$2:$M$823,3,0),"")</f>
        <v/>
      </c>
      <c r="C14" s="100">
        <f t="shared" si="1"/>
        <v>0</v>
      </c>
      <c r="D14" s="101" t="str">
        <f>IFERROR(VLOOKUP(H14,'[1]Consolidado MP Planta'!$A$2:$M$823,13,0),"")</f>
        <v/>
      </c>
      <c r="E14" s="101" t="str">
        <f>IFERROR(VLOOKUP(H14,'[1]Consolidado MP Planta'!$A$2:$M$823,12,0),"")</f>
        <v/>
      </c>
      <c r="F14" s="101" t="str">
        <f t="shared" si="2"/>
        <v/>
      </c>
      <c r="G14" s="102" t="str">
        <f t="shared" si="0"/>
        <v/>
      </c>
      <c r="H14" s="103"/>
      <c r="I14" s="103"/>
      <c r="J14" s="104"/>
    </row>
    <row r="15" spans="1:10" ht="14.25" thickBot="1" x14ac:dyDescent="0.3">
      <c r="A15" s="99"/>
      <c r="B15" s="87" t="str">
        <f>IFERROR(VLOOKUP(H15,'[2]ARTICULOS MP PLANTA'!$A$2:$G$589,2,0),"")</f>
        <v/>
      </c>
      <c r="C15" s="100"/>
      <c r="D15" s="101"/>
      <c r="E15" s="101"/>
      <c r="F15" s="101"/>
      <c r="G15" s="102"/>
      <c r="H15" s="103"/>
      <c r="I15" s="103"/>
      <c r="J15" s="104"/>
    </row>
    <row r="16" spans="1:10" ht="26.25" thickBot="1" x14ac:dyDescent="0.3">
      <c r="A16" s="94" t="s">
        <v>85</v>
      </c>
      <c r="B16" s="95" t="s">
        <v>92</v>
      </c>
      <c r="C16" s="95" t="s">
        <v>85</v>
      </c>
      <c r="D16" s="96" t="s">
        <v>87</v>
      </c>
      <c r="E16" s="96" t="s">
        <v>88</v>
      </c>
      <c r="F16" s="96" t="s">
        <v>89</v>
      </c>
      <c r="G16" s="96" t="s">
        <v>90</v>
      </c>
      <c r="H16" s="97" t="s">
        <v>91</v>
      </c>
      <c r="I16" s="98"/>
      <c r="J16" s="104"/>
    </row>
    <row r="17" spans="1:12" ht="13.5" x14ac:dyDescent="0.25">
      <c r="A17" s="99">
        <v>1</v>
      </c>
      <c r="B17" s="87" t="s">
        <v>47</v>
      </c>
      <c r="C17" s="100">
        <f>+A17</f>
        <v>1</v>
      </c>
      <c r="D17" s="100" t="s">
        <v>132</v>
      </c>
      <c r="E17" s="101">
        <v>679.85</v>
      </c>
      <c r="F17" s="101">
        <f>IFERROR(E17*C17,"")</f>
        <v>679.85</v>
      </c>
      <c r="G17" s="102">
        <f t="shared" ref="G17:G24" si="3">IFERROR(F17/$F$66,"")</f>
        <v>0.2819308750895167</v>
      </c>
      <c r="H17" s="103" t="s">
        <v>46</v>
      </c>
      <c r="I17" s="103"/>
      <c r="J17" s="104"/>
    </row>
    <row r="18" spans="1:12" ht="13.5" x14ac:dyDescent="0.25">
      <c r="A18" s="99">
        <v>600</v>
      </c>
      <c r="B18" s="87" t="s">
        <v>72</v>
      </c>
      <c r="C18" s="100">
        <f t="shared" ref="C18:C24" si="4">+A18</f>
        <v>600</v>
      </c>
      <c r="D18" s="100" t="s">
        <v>131</v>
      </c>
      <c r="E18" s="101">
        <f>+'Costo Mezcla 3 leches caramelo'!E69</f>
        <v>1.5379079999999998</v>
      </c>
      <c r="F18" s="101">
        <f t="shared" ref="F18:F24" si="5">IFERROR(E18*C18,"")</f>
        <v>922.74479999999994</v>
      </c>
      <c r="G18" s="102">
        <f t="shared" si="3"/>
        <v>0.38265830543252338</v>
      </c>
      <c r="H18" s="103" t="s">
        <v>48</v>
      </c>
      <c r="I18" s="103"/>
      <c r="J18" s="104"/>
    </row>
    <row r="19" spans="1:12" ht="13.5" x14ac:dyDescent="0.25">
      <c r="A19" s="99">
        <v>150</v>
      </c>
      <c r="B19" s="87" t="s">
        <v>50</v>
      </c>
      <c r="C19" s="100">
        <f>+A19</f>
        <v>150</v>
      </c>
      <c r="D19" s="100" t="s">
        <v>131</v>
      </c>
      <c r="E19" s="101">
        <v>2.2200000000000002</v>
      </c>
      <c r="F19" s="101">
        <f>IFERROR(E19*C19,"")</f>
        <v>333.00000000000006</v>
      </c>
      <c r="G19" s="102">
        <f t="shared" si="3"/>
        <v>0.13809366978717227</v>
      </c>
      <c r="H19" s="103" t="s">
        <v>49</v>
      </c>
      <c r="I19" s="103"/>
      <c r="J19" s="104"/>
    </row>
    <row r="20" spans="1:12" ht="13.5" x14ac:dyDescent="0.25">
      <c r="A20" s="99">
        <v>0</v>
      </c>
      <c r="B20" s="87" t="s">
        <v>52</v>
      </c>
      <c r="C20" s="100">
        <f>+A20</f>
        <v>0</v>
      </c>
      <c r="D20" s="100" t="s">
        <v>131</v>
      </c>
      <c r="E20" s="101">
        <v>3.93</v>
      </c>
      <c r="F20" s="101">
        <f>IFERROR(E20*C20,"")</f>
        <v>0</v>
      </c>
      <c r="G20" s="102">
        <f t="shared" si="3"/>
        <v>0</v>
      </c>
      <c r="H20" s="103" t="s">
        <v>51</v>
      </c>
      <c r="I20" s="103"/>
      <c r="J20" s="104"/>
    </row>
    <row r="21" spans="1:12" ht="13.5" hidden="1" x14ac:dyDescent="0.25">
      <c r="A21" s="99"/>
      <c r="B21" s="87" t="str">
        <f>IFERROR(VLOOKUP(H21,[1]SEMIELABORADOS!$A$2:$M$6000,2,0),"")</f>
        <v/>
      </c>
      <c r="C21" s="100">
        <f>+A21</f>
        <v>0</v>
      </c>
      <c r="D21" s="100" t="str">
        <f>IFERROR(VLOOKUP(H21,[1]SEMIELABORADOS!$A$2:$M$6000,6,0),"")</f>
        <v/>
      </c>
      <c r="E21" s="101" t="str">
        <f>IFERROR(VLOOKUP(H21,[1]SEMIELABORADOS!$A$2:$H$65536,8,0),"")</f>
        <v/>
      </c>
      <c r="F21" s="101" t="str">
        <f>IFERROR(E21*C21,"")</f>
        <v/>
      </c>
      <c r="G21" s="102" t="str">
        <f t="shared" si="3"/>
        <v/>
      </c>
      <c r="H21" s="103"/>
      <c r="I21" s="103"/>
      <c r="J21" s="104"/>
    </row>
    <row r="22" spans="1:12" ht="13.5" hidden="1" x14ac:dyDescent="0.25">
      <c r="A22" s="99"/>
      <c r="B22" s="87" t="str">
        <f>IFERROR(VLOOKUP(H22,[1]SEMIELABORADOS!$A$2:$M$6000,2,0),"")</f>
        <v/>
      </c>
      <c r="C22" s="100">
        <f t="shared" si="4"/>
        <v>0</v>
      </c>
      <c r="D22" s="100" t="str">
        <f>IFERROR(VLOOKUP(H22,[1]SEMIELABORADOS!$A$2:$M$6000,6,0),"")</f>
        <v/>
      </c>
      <c r="E22" s="101" t="str">
        <f>IFERROR(VLOOKUP(H22,[1]SEMIELABORADOS!$A$2:$H$65536,8,0),"")</f>
        <v/>
      </c>
      <c r="F22" s="101" t="str">
        <f t="shared" si="5"/>
        <v/>
      </c>
      <c r="G22" s="102" t="str">
        <f t="shared" si="3"/>
        <v/>
      </c>
      <c r="H22" s="103"/>
      <c r="I22" s="103"/>
      <c r="J22" s="104"/>
    </row>
    <row r="23" spans="1:12" ht="13.5" hidden="1" x14ac:dyDescent="0.25">
      <c r="A23" s="99"/>
      <c r="B23" s="87" t="str">
        <f>IFERROR(VLOOKUP(H23,[1]SEMIELABORADOS!$A$2:$M$6000,2,0),"")</f>
        <v/>
      </c>
      <c r="C23" s="100">
        <f t="shared" si="4"/>
        <v>0</v>
      </c>
      <c r="D23" s="100" t="str">
        <f>IFERROR(VLOOKUP(H23,[1]SEMIELABORADOS!$A$2:$M$6000,6,0),"")</f>
        <v/>
      </c>
      <c r="E23" s="101" t="str">
        <f>IFERROR(VLOOKUP(H23,[1]SEMIELABORADOS!$A$2:$H$65536,8,0),"")</f>
        <v/>
      </c>
      <c r="F23" s="101" t="str">
        <f t="shared" si="5"/>
        <v/>
      </c>
      <c r="G23" s="102" t="str">
        <f t="shared" si="3"/>
        <v/>
      </c>
      <c r="H23" s="103"/>
      <c r="I23" s="103"/>
      <c r="J23" s="104"/>
    </row>
    <row r="24" spans="1:12" ht="13.5" hidden="1" x14ac:dyDescent="0.25">
      <c r="A24" s="99"/>
      <c r="B24" s="87" t="str">
        <f>IFERROR(VLOOKUP(H24,[1]SEMIELABORADOS!$A$2:$M$6000,2,0),"")</f>
        <v/>
      </c>
      <c r="C24" s="100">
        <f t="shared" si="4"/>
        <v>0</v>
      </c>
      <c r="D24" s="100" t="str">
        <f>IFERROR(VLOOKUP(H24,[1]SEMIELABORADOS!$A$2:$M$6000,6,0),"")</f>
        <v/>
      </c>
      <c r="E24" s="101" t="str">
        <f>IFERROR(VLOOKUP(H24,[1]SEMIELABORADOS!$A$2:$H$65536,8,0),"")</f>
        <v/>
      </c>
      <c r="F24" s="101" t="str">
        <f t="shared" si="5"/>
        <v/>
      </c>
      <c r="G24" s="102" t="str">
        <f t="shared" si="3"/>
        <v/>
      </c>
      <c r="H24" s="103"/>
      <c r="I24" s="103"/>
      <c r="J24" s="104"/>
    </row>
    <row r="25" spans="1:12" ht="14.25" thickBot="1" x14ac:dyDescent="0.3">
      <c r="A25" s="99"/>
      <c r="C25" s="100"/>
      <c r="D25" s="100"/>
      <c r="E25" s="101"/>
      <c r="F25" s="101"/>
      <c r="G25" s="102"/>
      <c r="H25" s="103"/>
      <c r="I25" s="103"/>
      <c r="J25" s="104"/>
    </row>
    <row r="26" spans="1:12" ht="26.25" thickBot="1" x14ac:dyDescent="0.3">
      <c r="A26" s="94" t="s">
        <v>85</v>
      </c>
      <c r="B26" s="95" t="s">
        <v>93</v>
      </c>
      <c r="C26" s="95" t="s">
        <v>85</v>
      </c>
      <c r="D26" s="96" t="s">
        <v>87</v>
      </c>
      <c r="E26" s="96" t="s">
        <v>88</v>
      </c>
      <c r="F26" s="96" t="s">
        <v>89</v>
      </c>
      <c r="G26" s="96" t="s">
        <v>90</v>
      </c>
      <c r="H26" s="97" t="s">
        <v>91</v>
      </c>
      <c r="I26" s="98"/>
    </row>
    <row r="27" spans="1:12" ht="13.5" x14ac:dyDescent="0.25">
      <c r="A27" s="99">
        <v>1</v>
      </c>
      <c r="B27" s="105" t="s">
        <v>58</v>
      </c>
      <c r="C27" s="100">
        <f t="shared" ref="C27:C32" si="6">+A27</f>
        <v>1</v>
      </c>
      <c r="D27" s="101" t="s">
        <v>133</v>
      </c>
      <c r="E27" s="101">
        <v>116</v>
      </c>
      <c r="F27" s="101">
        <f t="shared" ref="F27:F32" si="7">IFERROR(C27*E27,"")</f>
        <v>116</v>
      </c>
      <c r="G27" s="102">
        <f t="shared" ref="G27:G32" si="8">IFERROR(F27/$F$66,"")</f>
        <v>4.8104701787723664E-2</v>
      </c>
      <c r="H27" s="106" t="s">
        <v>57</v>
      </c>
      <c r="I27" s="106"/>
      <c r="J27" s="104"/>
      <c r="K27" s="971"/>
      <c r="L27" s="971"/>
    </row>
    <row r="28" spans="1:12" ht="13.5" x14ac:dyDescent="0.25">
      <c r="A28" s="99">
        <v>1</v>
      </c>
      <c r="B28" s="105" t="s">
        <v>60</v>
      </c>
      <c r="C28" s="100">
        <f t="shared" si="6"/>
        <v>1</v>
      </c>
      <c r="D28" s="101" t="s">
        <v>133</v>
      </c>
      <c r="E28" s="101">
        <v>0.57999999999999996</v>
      </c>
      <c r="F28" s="101">
        <f t="shared" si="7"/>
        <v>0.57999999999999996</v>
      </c>
      <c r="G28" s="102">
        <f t="shared" si="8"/>
        <v>2.4052350893861833E-4</v>
      </c>
      <c r="H28" s="106" t="s">
        <v>59</v>
      </c>
      <c r="I28" s="106"/>
      <c r="J28" s="104"/>
      <c r="K28" s="971"/>
      <c r="L28" s="971"/>
    </row>
    <row r="29" spans="1:12" ht="13.5" x14ac:dyDescent="0.25">
      <c r="A29" s="99">
        <v>1</v>
      </c>
      <c r="B29" s="105" t="s">
        <v>63</v>
      </c>
      <c r="C29" s="100">
        <f t="shared" si="6"/>
        <v>1</v>
      </c>
      <c r="D29" s="101" t="s">
        <v>133</v>
      </c>
      <c r="E29" s="101">
        <v>10</v>
      </c>
      <c r="F29" s="101">
        <f t="shared" si="7"/>
        <v>10</v>
      </c>
      <c r="G29" s="102">
        <f t="shared" si="8"/>
        <v>4.1469570506658332E-3</v>
      </c>
      <c r="H29" s="106" t="s">
        <v>62</v>
      </c>
      <c r="I29" s="106"/>
      <c r="J29" s="104"/>
      <c r="K29" s="971"/>
      <c r="L29" s="971"/>
    </row>
    <row r="30" spans="1:12" ht="13.5" x14ac:dyDescent="0.25">
      <c r="A30" s="99">
        <v>1</v>
      </c>
      <c r="B30" s="105" t="s">
        <v>75</v>
      </c>
      <c r="C30" s="100">
        <f t="shared" si="6"/>
        <v>1</v>
      </c>
      <c r="D30" s="101" t="s">
        <v>133</v>
      </c>
      <c r="E30" s="101">
        <v>2.13</v>
      </c>
      <c r="F30" s="101">
        <f t="shared" si="7"/>
        <v>2.13</v>
      </c>
      <c r="G30" s="102">
        <f t="shared" si="8"/>
        <v>8.8330185179182248E-4</v>
      </c>
      <c r="H30" s="106" t="s">
        <v>74</v>
      </c>
      <c r="I30" s="106"/>
      <c r="J30" s="104"/>
      <c r="K30" s="971"/>
      <c r="L30" s="971"/>
    </row>
    <row r="31" spans="1:12" ht="13.5" x14ac:dyDescent="0.25">
      <c r="A31" s="99">
        <v>1</v>
      </c>
      <c r="B31" s="105" t="s">
        <v>77</v>
      </c>
      <c r="C31" s="100">
        <f t="shared" si="6"/>
        <v>1</v>
      </c>
      <c r="D31" s="101" t="s">
        <v>133</v>
      </c>
      <c r="E31" s="101">
        <v>0.39</v>
      </c>
      <c r="F31" s="101">
        <f t="shared" si="7"/>
        <v>0.39</v>
      </c>
      <c r="G31" s="102">
        <f t="shared" si="8"/>
        <v>1.617313249759675E-4</v>
      </c>
      <c r="H31" s="106" t="s">
        <v>76</v>
      </c>
      <c r="I31" s="106"/>
      <c r="J31" s="104"/>
      <c r="K31" s="107"/>
      <c r="L31" s="108"/>
    </row>
    <row r="32" spans="1:12" ht="13.5" x14ac:dyDescent="0.25">
      <c r="A32" s="99"/>
      <c r="B32" s="105" t="str">
        <f>IFERROR(VLOOKUP(H32,'[1]Consolidado MP Planta'!$A$2:$M$823,3,0),"")</f>
        <v/>
      </c>
      <c r="C32" s="100">
        <f t="shared" si="6"/>
        <v>0</v>
      </c>
      <c r="D32" s="101" t="str">
        <f>IFERROR(VLOOKUP(H32,'[1]Consolidado MP Planta'!$A$2:$M$823,13,0),"")</f>
        <v/>
      </c>
      <c r="E32" s="101" t="str">
        <f>IFERROR(VLOOKUP(H32,'[1]Consolidado MP Planta'!$A$2:$M$823,12,0),"")</f>
        <v/>
      </c>
      <c r="F32" s="101" t="str">
        <f t="shared" si="7"/>
        <v/>
      </c>
      <c r="G32" s="102" t="str">
        <f t="shared" si="8"/>
        <v/>
      </c>
      <c r="H32" s="106"/>
      <c r="I32" s="106"/>
      <c r="J32" s="104"/>
    </row>
    <row r="33" spans="1:13" ht="14.25" thickBot="1" x14ac:dyDescent="0.3">
      <c r="A33" s="99"/>
      <c r="B33" s="105"/>
      <c r="C33" s="100"/>
      <c r="D33" s="101"/>
      <c r="E33" s="101"/>
      <c r="F33" s="101"/>
      <c r="G33" s="102"/>
      <c r="H33" s="106"/>
      <c r="I33" s="106"/>
      <c r="J33" s="104"/>
    </row>
    <row r="34" spans="1:13" ht="26.25" thickBot="1" x14ac:dyDescent="0.25">
      <c r="A34" s="94" t="s">
        <v>85</v>
      </c>
      <c r="B34" s="95" t="s">
        <v>94</v>
      </c>
      <c r="C34" s="95" t="s">
        <v>85</v>
      </c>
      <c r="D34" s="96" t="s">
        <v>87</v>
      </c>
      <c r="E34" s="96" t="s">
        <v>88</v>
      </c>
      <c r="F34" s="96" t="s">
        <v>89</v>
      </c>
      <c r="G34" s="96" t="s">
        <v>90</v>
      </c>
      <c r="H34" s="97" t="s">
        <v>91</v>
      </c>
      <c r="I34" s="106"/>
      <c r="J34" s="104"/>
    </row>
    <row r="35" spans="1:13" ht="13.5" x14ac:dyDescent="0.25">
      <c r="A35" s="99">
        <f>+A17</f>
        <v>1</v>
      </c>
      <c r="B35" s="105" t="s">
        <v>47</v>
      </c>
      <c r="C35" s="100">
        <f>+A35</f>
        <v>1</v>
      </c>
      <c r="D35" s="101" t="s">
        <v>133</v>
      </c>
      <c r="E35" s="101">
        <v>0</v>
      </c>
      <c r="F35" s="101">
        <f>IFERROR(E35*C35,"")</f>
        <v>0</v>
      </c>
      <c r="G35" s="102">
        <f t="shared" ref="G35:G41" si="9">IFERROR(F35/$F$66,"")</f>
        <v>0</v>
      </c>
      <c r="H35" s="103" t="s">
        <v>46</v>
      </c>
      <c r="I35" s="106"/>
      <c r="J35" s="104"/>
    </row>
    <row r="36" spans="1:13" ht="13.5" x14ac:dyDescent="0.25">
      <c r="A36" s="99">
        <f t="shared" ref="A36:A41" si="10">+A18</f>
        <v>600</v>
      </c>
      <c r="B36" s="87" t="s">
        <v>72</v>
      </c>
      <c r="C36" s="100">
        <f t="shared" ref="C36:C41" si="11">+A36</f>
        <v>600</v>
      </c>
      <c r="D36" s="101" t="s">
        <v>131</v>
      </c>
      <c r="E36" s="101">
        <f>+'Costo Mezcla 3 leches caramelo'!E76</f>
        <v>0</v>
      </c>
      <c r="F36" s="101">
        <f t="shared" ref="F36:F41" si="12">IFERROR(E36*C36,"")</f>
        <v>0</v>
      </c>
      <c r="G36" s="102">
        <f t="shared" si="9"/>
        <v>0</v>
      </c>
      <c r="H36" s="106" t="s">
        <v>48</v>
      </c>
      <c r="I36" s="106"/>
      <c r="J36" s="104"/>
    </row>
    <row r="37" spans="1:13" ht="13.5" x14ac:dyDescent="0.25">
      <c r="A37" s="99">
        <f t="shared" si="10"/>
        <v>150</v>
      </c>
      <c r="B37" s="105" t="s">
        <v>50</v>
      </c>
      <c r="C37" s="100">
        <f t="shared" si="11"/>
        <v>150</v>
      </c>
      <c r="D37" s="101" t="s">
        <v>131</v>
      </c>
      <c r="E37" s="101">
        <v>0</v>
      </c>
      <c r="F37" s="101">
        <f t="shared" si="12"/>
        <v>0</v>
      </c>
      <c r="G37" s="102">
        <f t="shared" si="9"/>
        <v>0</v>
      </c>
      <c r="H37" s="106" t="s">
        <v>49</v>
      </c>
      <c r="I37" s="106"/>
      <c r="J37" s="104"/>
    </row>
    <row r="38" spans="1:13" ht="13.5" x14ac:dyDescent="0.25">
      <c r="A38" s="99">
        <f t="shared" si="10"/>
        <v>0</v>
      </c>
      <c r="B38" s="105" t="s">
        <v>52</v>
      </c>
      <c r="C38" s="100">
        <f>+A38</f>
        <v>0</v>
      </c>
      <c r="D38" s="100" t="s">
        <v>131</v>
      </c>
      <c r="E38" s="101">
        <v>0</v>
      </c>
      <c r="F38" s="101">
        <f>IFERROR(E38*C38,"")</f>
        <v>0</v>
      </c>
      <c r="G38" s="102">
        <f t="shared" si="9"/>
        <v>0</v>
      </c>
      <c r="H38" s="106" t="s">
        <v>51</v>
      </c>
      <c r="I38" s="106"/>
      <c r="J38" s="104"/>
    </row>
    <row r="39" spans="1:13" ht="13.5" hidden="1" x14ac:dyDescent="0.25">
      <c r="A39" s="99">
        <f t="shared" si="10"/>
        <v>0</v>
      </c>
      <c r="B39" s="105" t="str">
        <f>IFERROR(VLOOKUP(H39,[1]SEMIELABORADOS!$A$2:$M$6000,2,0),"")</f>
        <v/>
      </c>
      <c r="C39" s="100">
        <f>+A39</f>
        <v>0</v>
      </c>
      <c r="D39" s="101" t="str">
        <f>IFERROR(VLOOKUP(H39,[1]SEMIELABORADOS!$A$2:$M$6000,6,0),"")</f>
        <v/>
      </c>
      <c r="E39" s="101" t="str">
        <f>IFERROR(VLOOKUP(H39,[1]SEMIELABORADOS!$A$2:$M$65536,10,0),"")</f>
        <v/>
      </c>
      <c r="F39" s="101" t="str">
        <f>IFERROR(E39*C39,"")</f>
        <v/>
      </c>
      <c r="G39" s="102" t="str">
        <f t="shared" si="9"/>
        <v/>
      </c>
      <c r="H39" s="106"/>
      <c r="I39" s="106"/>
      <c r="J39" s="104"/>
    </row>
    <row r="40" spans="1:13" ht="13.5" hidden="1" x14ac:dyDescent="0.25">
      <c r="A40" s="99">
        <f t="shared" si="10"/>
        <v>0</v>
      </c>
      <c r="B40" s="105" t="str">
        <f>IFERROR(VLOOKUP(H40,[1]SEMIELABORADOS!$A$2:$M$6000,2,0),"")</f>
        <v/>
      </c>
      <c r="C40" s="100">
        <f t="shared" si="11"/>
        <v>0</v>
      </c>
      <c r="D40" s="101" t="str">
        <f>IFERROR(VLOOKUP(H40,[1]SEMIELABORADOS!$A$2:$M$6000,6,0),"")</f>
        <v/>
      </c>
      <c r="E40" s="101" t="str">
        <f>IFERROR(VLOOKUP(H40,[1]SEMIELABORADOS!$A$2:$M$65536,10,0),"")</f>
        <v/>
      </c>
      <c r="F40" s="101" t="str">
        <f t="shared" si="12"/>
        <v/>
      </c>
      <c r="G40" s="102" t="str">
        <f t="shared" si="9"/>
        <v/>
      </c>
      <c r="H40" s="106"/>
      <c r="I40" s="106"/>
      <c r="J40" s="104"/>
    </row>
    <row r="41" spans="1:13" ht="13.5" hidden="1" x14ac:dyDescent="0.25">
      <c r="A41" s="99">
        <f t="shared" si="10"/>
        <v>0</v>
      </c>
      <c r="B41" s="105" t="str">
        <f>IFERROR(VLOOKUP(H41,[1]SEMIELABORADOS!$A$2:$M$6000,2,0),"")</f>
        <v/>
      </c>
      <c r="C41" s="100">
        <f t="shared" si="11"/>
        <v>0</v>
      </c>
      <c r="D41" s="101" t="str">
        <f>IFERROR(VLOOKUP(H41,[1]SEMIELABORADOS!$A$2:$M$6000,6,0),"")</f>
        <v/>
      </c>
      <c r="E41" s="101" t="str">
        <f>IFERROR(VLOOKUP(H41,[1]SEMIELABORADOS!$A$2:$M$65536,10,0),"")</f>
        <v/>
      </c>
      <c r="F41" s="101" t="str">
        <f t="shared" si="12"/>
        <v/>
      </c>
      <c r="G41" s="102" t="str">
        <f t="shared" si="9"/>
        <v/>
      </c>
      <c r="H41" s="106"/>
      <c r="I41" s="106"/>
      <c r="J41" s="104"/>
    </row>
    <row r="42" spans="1:13" ht="14.25" thickBot="1" x14ac:dyDescent="0.3">
      <c r="A42" s="99"/>
      <c r="B42" s="105"/>
      <c r="C42" s="100"/>
      <c r="D42" s="101"/>
      <c r="E42" s="101"/>
      <c r="F42" s="101"/>
      <c r="G42" s="102"/>
      <c r="H42" s="106"/>
      <c r="I42" s="106"/>
      <c r="J42" s="104"/>
    </row>
    <row r="43" spans="1:13" ht="26.25" thickBot="1" x14ac:dyDescent="0.3">
      <c r="A43" s="94" t="s">
        <v>85</v>
      </c>
      <c r="B43" s="95" t="s">
        <v>95</v>
      </c>
      <c r="C43" s="95" t="s">
        <v>85</v>
      </c>
      <c r="D43" s="96" t="s">
        <v>87</v>
      </c>
      <c r="E43" s="96" t="s">
        <v>88</v>
      </c>
      <c r="F43" s="96" t="s">
        <v>89</v>
      </c>
      <c r="G43" s="96" t="s">
        <v>90</v>
      </c>
      <c r="H43" s="97" t="s">
        <v>91</v>
      </c>
      <c r="I43" s="98"/>
      <c r="J43" s="104"/>
    </row>
    <row r="44" spans="1:13" ht="13.5" x14ac:dyDescent="0.25">
      <c r="A44" s="99">
        <f>+A35</f>
        <v>1</v>
      </c>
      <c r="B44" s="105" t="s">
        <v>47</v>
      </c>
      <c r="C44" s="100">
        <f>+A44</f>
        <v>1</v>
      </c>
      <c r="D44" s="101" t="s">
        <v>133</v>
      </c>
      <c r="E44" s="101">
        <v>31.64</v>
      </c>
      <c r="F44" s="101">
        <f>IFERROR(E44*C44,"")</f>
        <v>31.64</v>
      </c>
      <c r="G44" s="102">
        <f>IFERROR(F44/$F$66,"")</f>
        <v>1.3120972108306697E-2</v>
      </c>
      <c r="H44" s="103" t="s">
        <v>46</v>
      </c>
      <c r="I44" s="98"/>
      <c r="J44" s="104"/>
    </row>
    <row r="45" spans="1:13" ht="13.5" x14ac:dyDescent="0.25">
      <c r="A45" s="99">
        <f t="shared" ref="A45:A50" si="13">+A36</f>
        <v>600</v>
      </c>
      <c r="B45" s="87" t="s">
        <v>72</v>
      </c>
      <c r="C45" s="100">
        <f t="shared" ref="C45:C50" si="14">+A45</f>
        <v>600</v>
      </c>
      <c r="D45" s="101" t="s">
        <v>131</v>
      </c>
      <c r="E45" s="101">
        <f>+'Costo Mezcla 3 leches caramelo'!E74</f>
        <v>2.2248E-2</v>
      </c>
      <c r="F45" s="101">
        <f t="shared" ref="F45:F50" si="15">IFERROR(E45*C45,"")</f>
        <v>13.348800000000001</v>
      </c>
      <c r="G45" s="102">
        <f t="shared" ref="G45:G50" si="16">IFERROR(F45/$F$66,"")</f>
        <v>5.5356900277928082E-3</v>
      </c>
      <c r="H45" s="106" t="s">
        <v>48</v>
      </c>
      <c r="I45" s="98"/>
      <c r="J45" s="104"/>
      <c r="M45" s="109"/>
    </row>
    <row r="46" spans="1:13" ht="13.5" x14ac:dyDescent="0.25">
      <c r="A46" s="99">
        <f t="shared" si="13"/>
        <v>150</v>
      </c>
      <c r="B46" s="105" t="s">
        <v>50</v>
      </c>
      <c r="C46" s="100">
        <f t="shared" si="14"/>
        <v>150</v>
      </c>
      <c r="D46" s="101" t="s">
        <v>131</v>
      </c>
      <c r="E46" s="101">
        <v>0.03</v>
      </c>
      <c r="F46" s="101">
        <f t="shared" si="15"/>
        <v>4.5</v>
      </c>
      <c r="G46" s="102">
        <f t="shared" si="16"/>
        <v>1.866130672799625E-3</v>
      </c>
      <c r="H46" s="106" t="s">
        <v>49</v>
      </c>
      <c r="I46" s="98"/>
      <c r="J46" s="104"/>
    </row>
    <row r="47" spans="1:13" ht="13.5" x14ac:dyDescent="0.25">
      <c r="A47" s="99">
        <f t="shared" si="13"/>
        <v>0</v>
      </c>
      <c r="B47" s="105" t="s">
        <v>52</v>
      </c>
      <c r="C47" s="100">
        <f t="shared" si="14"/>
        <v>0</v>
      </c>
      <c r="D47" s="100" t="s">
        <v>131</v>
      </c>
      <c r="E47" s="101">
        <v>0.09</v>
      </c>
      <c r="F47" s="101">
        <f t="shared" si="15"/>
        <v>0</v>
      </c>
      <c r="G47" s="102">
        <f t="shared" si="16"/>
        <v>0</v>
      </c>
      <c r="H47" s="106" t="s">
        <v>51</v>
      </c>
      <c r="I47" s="98"/>
      <c r="J47" s="104"/>
    </row>
    <row r="48" spans="1:13" ht="13.5" hidden="1" x14ac:dyDescent="0.25">
      <c r="A48" s="99">
        <f t="shared" si="13"/>
        <v>0</v>
      </c>
      <c r="B48" s="105" t="str">
        <f>IFERROR(VLOOKUP(H48,[1]SEMIELABORADOS!$A$2:$M$6000,2,0),"")</f>
        <v/>
      </c>
      <c r="C48" s="100">
        <f t="shared" si="14"/>
        <v>0</v>
      </c>
      <c r="D48" s="101" t="str">
        <f>IFERROR(VLOOKUP(H48,[1]SEMIELABORADOS!$A$2:$M$6000,6,0),"")</f>
        <v/>
      </c>
      <c r="E48" s="101" t="str">
        <f>IFERROR(VLOOKUP(H48,[1]SEMIELABORADOS!$A$2:$M$65536,12,0),"")</f>
        <v/>
      </c>
      <c r="F48" s="101" t="str">
        <f t="shared" si="15"/>
        <v/>
      </c>
      <c r="G48" s="102" t="str">
        <f t="shared" si="16"/>
        <v/>
      </c>
      <c r="H48" s="106"/>
      <c r="I48" s="98"/>
      <c r="J48" s="104"/>
    </row>
    <row r="49" spans="1:17" ht="13.5" hidden="1" x14ac:dyDescent="0.25">
      <c r="A49" s="99">
        <f t="shared" si="13"/>
        <v>0</v>
      </c>
      <c r="B49" s="105" t="str">
        <f>IFERROR(VLOOKUP(H49,[1]SEMIELABORADOS!$A$2:$M$6000,2,0),"")</f>
        <v/>
      </c>
      <c r="C49" s="100">
        <f t="shared" si="14"/>
        <v>0</v>
      </c>
      <c r="D49" s="101" t="str">
        <f>IFERROR(VLOOKUP(H49,[1]SEMIELABORADOS!$A$2:$M$6000,6,0),"")</f>
        <v/>
      </c>
      <c r="E49" s="101" t="str">
        <f>IFERROR(VLOOKUP(H49,[1]SEMIELABORADOS!$A$2:$M$65536,12,0),"")</f>
        <v/>
      </c>
      <c r="F49" s="101" t="str">
        <f t="shared" si="15"/>
        <v/>
      </c>
      <c r="G49" s="102" t="str">
        <f t="shared" si="16"/>
        <v/>
      </c>
      <c r="H49" s="106"/>
      <c r="I49" s="98"/>
      <c r="J49" s="104"/>
    </row>
    <row r="50" spans="1:17" ht="13.5" hidden="1" x14ac:dyDescent="0.25">
      <c r="A50" s="99">
        <f t="shared" si="13"/>
        <v>0</v>
      </c>
      <c r="B50" s="105" t="str">
        <f>IFERROR(VLOOKUP(H50,[1]SEMIELABORADOS!$A$2:$M$6000,2,0),"")</f>
        <v/>
      </c>
      <c r="C50" s="100">
        <f t="shared" si="14"/>
        <v>0</v>
      </c>
      <c r="D50" s="101" t="str">
        <f>IFERROR(VLOOKUP(H50,[1]SEMIELABORADOS!$A$2:$M$6000,6,0),"")</f>
        <v/>
      </c>
      <c r="E50" s="101" t="str">
        <f>IFERROR(VLOOKUP(H50,[1]SEMIELABORADOS!$A$2:$M$65536,12,0),"")</f>
        <v/>
      </c>
      <c r="F50" s="101" t="str">
        <f t="shared" si="15"/>
        <v/>
      </c>
      <c r="G50" s="102" t="str">
        <f t="shared" si="16"/>
        <v/>
      </c>
      <c r="H50" s="105"/>
      <c r="I50" s="98"/>
      <c r="J50" s="104"/>
    </row>
    <row r="51" spans="1:17" ht="13.5" x14ac:dyDescent="0.25">
      <c r="A51" s="99">
        <v>1</v>
      </c>
      <c r="B51" s="105" t="s">
        <v>96</v>
      </c>
      <c r="C51" s="100">
        <f>+A51</f>
        <v>1</v>
      </c>
      <c r="D51" s="100" t="s">
        <v>97</v>
      </c>
      <c r="E51" s="101">
        <f>+F65</f>
        <v>308</v>
      </c>
      <c r="F51" s="101">
        <f>IFERROR(C51*E51,"")</f>
        <v>308</v>
      </c>
      <c r="G51" s="102">
        <f>IFERROR(F51/$F$66,"")</f>
        <v>0.12772627716050766</v>
      </c>
      <c r="H51" s="110"/>
      <c r="I51" s="110"/>
      <c r="J51" s="104"/>
    </row>
    <row r="52" spans="1:17" ht="14.25" thickBot="1" x14ac:dyDescent="0.3">
      <c r="A52" s="99"/>
      <c r="B52" s="105"/>
      <c r="C52" s="100"/>
      <c r="D52" s="100"/>
      <c r="E52" s="101"/>
      <c r="F52" s="101"/>
      <c r="G52" s="102"/>
      <c r="H52" s="110"/>
      <c r="I52" s="110"/>
      <c r="J52" s="104"/>
    </row>
    <row r="53" spans="1:17" ht="13.5" thickBot="1" x14ac:dyDescent="0.3">
      <c r="A53" s="111"/>
      <c r="B53" s="981" t="s">
        <v>98</v>
      </c>
      <c r="C53" s="981"/>
      <c r="D53" s="981"/>
      <c r="E53" s="981"/>
      <c r="F53" s="113">
        <f>SUM(F8:F14,F17:F24)</f>
        <v>1935.5947999999999</v>
      </c>
      <c r="G53" s="102">
        <f>+F53/$F$66</f>
        <v>0.80268285030921227</v>
      </c>
      <c r="H53" s="114">
        <f>+F53/$D$60</f>
        <v>1935.5947999999999</v>
      </c>
      <c r="I53" s="114"/>
      <c r="J53" s="115"/>
      <c r="K53" s="116"/>
      <c r="L53" s="116"/>
      <c r="M53" s="116"/>
      <c r="N53" s="116"/>
      <c r="O53" s="116"/>
      <c r="P53" s="116"/>
      <c r="Q53" s="117"/>
    </row>
    <row r="54" spans="1:17" x14ac:dyDescent="0.2">
      <c r="A54" s="111"/>
      <c r="B54" s="981" t="s">
        <v>99</v>
      </c>
      <c r="C54" s="981"/>
      <c r="D54" s="981"/>
      <c r="E54" s="981"/>
      <c r="F54" s="113">
        <f>SUM(F27:F32,F35:F41)</f>
        <v>129.1</v>
      </c>
      <c r="G54" s="102">
        <f>+F54/$F$66</f>
        <v>5.3537215524095905E-2</v>
      </c>
      <c r="H54" s="114">
        <f>+F54/$D$60</f>
        <v>129.1</v>
      </c>
      <c r="I54" s="114"/>
      <c r="J54" s="118"/>
      <c r="K54" s="982" t="s">
        <v>100</v>
      </c>
      <c r="L54" s="983"/>
      <c r="M54" s="983"/>
      <c r="N54" s="983"/>
      <c r="O54" s="119">
        <f>+F55</f>
        <v>2064.6947999999998</v>
      </c>
      <c r="P54" s="119"/>
      <c r="Q54" s="120"/>
    </row>
    <row r="55" spans="1:17" x14ac:dyDescent="0.2">
      <c r="A55" s="111"/>
      <c r="B55" s="981" t="s">
        <v>101</v>
      </c>
      <c r="C55" s="981"/>
      <c r="D55" s="981"/>
      <c r="E55" s="981"/>
      <c r="F55" s="113">
        <f>+F53+F54</f>
        <v>2064.6947999999998</v>
      </c>
      <c r="G55" s="102">
        <f>+F55/$F$66</f>
        <v>0.85622006583330812</v>
      </c>
      <c r="H55" s="114">
        <f>+F55/$D$60</f>
        <v>2064.6947999999998</v>
      </c>
      <c r="I55" s="114"/>
      <c r="J55" s="121"/>
      <c r="K55" s="122"/>
      <c r="M55" s="123" t="s">
        <v>102</v>
      </c>
      <c r="N55" s="124"/>
      <c r="O55" s="119">
        <f>+H56</f>
        <v>357.48879999999997</v>
      </c>
      <c r="P55" s="119"/>
      <c r="Q55" s="120"/>
    </row>
    <row r="56" spans="1:17" ht="13.5" thickBot="1" x14ac:dyDescent="0.25">
      <c r="A56" s="111"/>
      <c r="B56" s="112"/>
      <c r="C56" s="981" t="s">
        <v>103</v>
      </c>
      <c r="D56" s="981"/>
      <c r="E56" s="981"/>
      <c r="F56" s="113">
        <f>SUM(F44:F51)</f>
        <v>357.48879999999997</v>
      </c>
      <c r="G56" s="102">
        <f>+F56/$F$66</f>
        <v>0.14824906996940679</v>
      </c>
      <c r="H56" s="114">
        <f>+F56/$D$60</f>
        <v>357.48879999999997</v>
      </c>
      <c r="I56" s="114"/>
      <c r="J56" s="121"/>
      <c r="K56" s="122"/>
      <c r="L56" s="122"/>
      <c r="M56" s="122" t="s">
        <v>104</v>
      </c>
      <c r="N56" s="125"/>
      <c r="O56" s="119">
        <f>O54*N56</f>
        <v>0</v>
      </c>
      <c r="P56" s="119"/>
      <c r="Q56" s="120"/>
    </row>
    <row r="57" spans="1:17" ht="13.5" thickBot="1" x14ac:dyDescent="0.25">
      <c r="A57" s="111"/>
      <c r="B57" s="126"/>
      <c r="C57" s="126"/>
      <c r="D57" s="126"/>
      <c r="E57" s="126"/>
      <c r="F57" s="127"/>
      <c r="G57" s="102"/>
      <c r="H57" s="128"/>
      <c r="I57" s="114"/>
      <c r="J57" s="121"/>
      <c r="K57" s="129"/>
      <c r="M57" s="130" t="s">
        <v>105</v>
      </c>
      <c r="N57" s="131"/>
      <c r="O57" s="132">
        <f>SUM(O54:O56)</f>
        <v>2422.1835999999998</v>
      </c>
      <c r="P57" s="133"/>
      <c r="Q57" s="120"/>
    </row>
    <row r="58" spans="1:17" x14ac:dyDescent="0.2">
      <c r="B58" s="984" t="s">
        <v>106</v>
      </c>
      <c r="C58" s="984"/>
      <c r="D58" s="134">
        <v>1014</v>
      </c>
      <c r="E58" s="135"/>
      <c r="G58" s="102"/>
      <c r="H58" s="128">
        <f>+H56/77</f>
        <v>4.6427116883116879</v>
      </c>
      <c r="I58" s="136"/>
      <c r="J58" s="121"/>
      <c r="K58" s="129"/>
      <c r="L58" s="122"/>
      <c r="M58" s="122" t="s">
        <v>107</v>
      </c>
      <c r="N58" s="137"/>
      <c r="O58" s="119">
        <f>+H59</f>
        <v>297.13354805194803</v>
      </c>
      <c r="P58" s="119"/>
      <c r="Q58" s="120"/>
    </row>
    <row r="59" spans="1:17" x14ac:dyDescent="0.2">
      <c r="B59" s="984" t="s">
        <v>108</v>
      </c>
      <c r="C59" s="984"/>
      <c r="D59" s="138">
        <v>1014</v>
      </c>
      <c r="E59" s="135"/>
      <c r="G59" s="102"/>
      <c r="H59" s="128">
        <f>+H58*64</f>
        <v>297.13354805194803</v>
      </c>
      <c r="I59" s="136"/>
      <c r="J59" s="121"/>
      <c r="K59" s="129"/>
      <c r="L59" s="122"/>
      <c r="M59" s="985" t="s">
        <v>105</v>
      </c>
      <c r="N59" s="985"/>
      <c r="O59" s="119">
        <f>SUM(O57:O58)</f>
        <v>2719.3171480519477</v>
      </c>
      <c r="P59" s="119"/>
      <c r="Q59" s="120"/>
    </row>
    <row r="60" spans="1:17" ht="13.5" thickBot="1" x14ac:dyDescent="0.25">
      <c r="B60" s="977" t="s">
        <v>109</v>
      </c>
      <c r="C60" s="977"/>
      <c r="D60" s="134">
        <f>+D58/D59</f>
        <v>1</v>
      </c>
      <c r="E60" s="135"/>
      <c r="F60" s="139"/>
      <c r="G60" s="102"/>
      <c r="H60" s="128"/>
      <c r="I60" s="136"/>
      <c r="J60" s="121"/>
      <c r="K60" s="129"/>
      <c r="L60" s="985"/>
      <c r="M60" s="985"/>
      <c r="N60" s="137"/>
      <c r="O60" s="119">
        <f>+O59*N60</f>
        <v>0</v>
      </c>
      <c r="P60" s="119"/>
      <c r="Q60" s="120"/>
    </row>
    <row r="61" spans="1:17" ht="13.5" thickBot="1" x14ac:dyDescent="0.25">
      <c r="B61" s="977" t="s">
        <v>110</v>
      </c>
      <c r="C61" s="977"/>
      <c r="D61" s="140"/>
      <c r="E61" s="135"/>
      <c r="F61" s="139"/>
      <c r="G61" s="102"/>
      <c r="H61" s="128"/>
      <c r="I61" s="136"/>
      <c r="J61" s="121"/>
      <c r="K61" s="978" t="s">
        <v>111</v>
      </c>
      <c r="L61" s="979"/>
      <c r="M61" s="979"/>
      <c r="N61" s="980"/>
      <c r="O61" s="132">
        <f>SUM(O59:O60)</f>
        <v>2719.3171480519477</v>
      </c>
      <c r="P61" s="141" t="s">
        <v>112</v>
      </c>
      <c r="Q61" s="120"/>
    </row>
    <row r="62" spans="1:17" ht="13.5" thickBot="1" x14ac:dyDescent="0.25">
      <c r="C62" s="111" t="s">
        <v>113</v>
      </c>
      <c r="D62" s="142"/>
      <c r="E62" s="85" t="s">
        <v>114</v>
      </c>
      <c r="F62" s="143" t="s">
        <v>115</v>
      </c>
      <c r="G62" s="102"/>
      <c r="H62" s="128"/>
      <c r="I62" s="136"/>
      <c r="J62" s="144"/>
      <c r="K62" s="145"/>
      <c r="L62" s="991" t="s">
        <v>116</v>
      </c>
      <c r="M62" s="991"/>
      <c r="N62" s="991"/>
      <c r="O62" s="146">
        <f>+O61/D60</f>
        <v>2719.3171480519477</v>
      </c>
      <c r="P62" s="147">
        <f>+O62/D59</f>
        <v>2.6817723353569503</v>
      </c>
      <c r="Q62" s="148"/>
    </row>
    <row r="63" spans="1:17" ht="13.5" thickBot="1" x14ac:dyDescent="0.25">
      <c r="B63" s="992" t="s">
        <v>101</v>
      </c>
      <c r="C63" s="992"/>
      <c r="D63" s="992"/>
      <c r="E63" s="149">
        <f>+F63/F63</f>
        <v>1</v>
      </c>
      <c r="F63" s="150">
        <f>SUM(F55)</f>
        <v>2064.6947999999998</v>
      </c>
      <c r="G63" s="102">
        <f>+F63/$F$66</f>
        <v>0.85622006583330812</v>
      </c>
      <c r="H63" s="128"/>
      <c r="I63" s="136"/>
      <c r="K63" s="993"/>
      <c r="L63" s="994"/>
      <c r="M63" s="994"/>
      <c r="N63" s="994"/>
      <c r="O63" s="151"/>
      <c r="P63" s="152"/>
    </row>
    <row r="64" spans="1:17" ht="13.5" thickBot="1" x14ac:dyDescent="0.3">
      <c r="B64" s="995" t="s">
        <v>117</v>
      </c>
      <c r="C64" s="995"/>
      <c r="D64" s="995"/>
      <c r="E64" s="153">
        <v>0.02</v>
      </c>
      <c r="F64" s="150">
        <f>+F53*E64</f>
        <v>38.711895999999996</v>
      </c>
      <c r="G64" s="102">
        <f>+F64/$F$66</f>
        <v>1.6053657006184247E-2</v>
      </c>
      <c r="H64" s="114"/>
      <c r="I64" s="136"/>
      <c r="J64" s="154"/>
      <c r="O64" s="155">
        <v>3278.34</v>
      </c>
      <c r="P64" s="112"/>
    </row>
    <row r="65" spans="2:13" ht="13.5" thickBot="1" x14ac:dyDescent="0.3">
      <c r="B65" s="996" t="s">
        <v>118</v>
      </c>
      <c r="C65" s="997"/>
      <c r="D65" s="156">
        <v>4</v>
      </c>
      <c r="E65" s="157">
        <v>77</v>
      </c>
      <c r="F65" s="150">
        <f>+E65*D65</f>
        <v>308</v>
      </c>
      <c r="G65" s="102">
        <f>+F65/$F$66</f>
        <v>0.12772627716050766</v>
      </c>
      <c r="H65" s="114"/>
      <c r="I65" s="114"/>
      <c r="J65" s="104"/>
    </row>
    <row r="66" spans="2:13" ht="13.5" thickBot="1" x14ac:dyDescent="0.3">
      <c r="B66" s="998" t="s">
        <v>119</v>
      </c>
      <c r="C66" s="999"/>
      <c r="D66" s="999"/>
      <c r="E66" s="1000"/>
      <c r="F66" s="127">
        <f>SUM(F63:F65)</f>
        <v>2411.4066959999996</v>
      </c>
      <c r="G66" s="102">
        <f>+F66/$F$66</f>
        <v>1</v>
      </c>
      <c r="H66" s="1001"/>
      <c r="I66" s="114"/>
      <c r="J66" s="104"/>
      <c r="M66" s="87" t="s">
        <v>120</v>
      </c>
    </row>
    <row r="67" spans="2:13" x14ac:dyDescent="0.25">
      <c r="C67" s="109"/>
      <c r="D67" s="109"/>
      <c r="E67" s="159"/>
      <c r="F67" s="150"/>
      <c r="G67" s="102"/>
      <c r="H67" s="1001"/>
      <c r="I67" s="158"/>
      <c r="J67" s="87"/>
      <c r="M67" s="87" t="s">
        <v>121</v>
      </c>
    </row>
    <row r="68" spans="2:13" ht="13.5" thickBot="1" x14ac:dyDescent="0.3">
      <c r="B68" s="986" t="s">
        <v>122</v>
      </c>
      <c r="C68" s="986"/>
      <c r="D68" s="986"/>
      <c r="E68" s="986"/>
      <c r="F68" s="986"/>
      <c r="G68" s="102"/>
      <c r="H68" s="161"/>
      <c r="I68" s="158"/>
      <c r="J68" s="87"/>
      <c r="M68" s="87" t="s">
        <v>123</v>
      </c>
    </row>
    <row r="69" spans="2:13" ht="13.5" thickBot="1" x14ac:dyDescent="0.3">
      <c r="B69" s="162" t="s">
        <v>124</v>
      </c>
      <c r="C69" s="163">
        <f>+F53</f>
        <v>1935.5947999999999</v>
      </c>
      <c r="D69" s="163">
        <f>+D58</f>
        <v>1014</v>
      </c>
      <c r="E69" s="164">
        <f>+C69/D69</f>
        <v>1.9088706114398422</v>
      </c>
      <c r="F69" s="102"/>
      <c r="G69" s="161"/>
      <c r="H69" s="104"/>
      <c r="I69" s="161"/>
      <c r="J69" s="87"/>
    </row>
    <row r="70" spans="2:13" x14ac:dyDescent="0.25">
      <c r="B70" s="165"/>
      <c r="C70" s="166"/>
      <c r="D70" s="167"/>
      <c r="E70" s="150"/>
      <c r="F70" s="102"/>
      <c r="G70" s="161"/>
      <c r="H70" s="104"/>
      <c r="I70" s="104"/>
      <c r="J70" s="87"/>
    </row>
    <row r="71" spans="2:13" x14ac:dyDescent="0.25">
      <c r="B71" s="162" t="s">
        <v>125</v>
      </c>
      <c r="C71" s="163">
        <f>SUM(F63:F64)</f>
        <v>2103.4066959999996</v>
      </c>
      <c r="D71" s="163">
        <f>+D58</f>
        <v>1014</v>
      </c>
      <c r="E71" s="168">
        <f>+C71/D71</f>
        <v>2.0743655779092696</v>
      </c>
      <c r="F71" s="102"/>
      <c r="G71" s="161"/>
      <c r="H71" s="104"/>
      <c r="I71" s="104"/>
      <c r="J71" s="87"/>
    </row>
    <row r="72" spans="2:13" x14ac:dyDescent="0.25">
      <c r="B72" s="162"/>
      <c r="C72" s="163"/>
      <c r="D72" s="163"/>
      <c r="E72" s="168"/>
      <c r="F72" s="102"/>
      <c r="G72" s="161"/>
      <c r="H72" s="104"/>
      <c r="I72" s="104"/>
      <c r="J72" s="87"/>
    </row>
    <row r="73" spans="2:13" ht="13.5" thickBot="1" x14ac:dyDescent="0.3">
      <c r="B73" s="162" t="s">
        <v>126</v>
      </c>
      <c r="C73" s="163">
        <f>+F65</f>
        <v>308</v>
      </c>
      <c r="D73" s="163">
        <f>+D58</f>
        <v>1014</v>
      </c>
      <c r="E73" s="168">
        <f>+C73/D73</f>
        <v>0.30374753451676528</v>
      </c>
      <c r="F73" s="102"/>
      <c r="G73" s="161"/>
      <c r="H73" s="104"/>
      <c r="I73" s="104"/>
      <c r="J73" s="87"/>
    </row>
    <row r="74" spans="2:13" ht="13.5" thickBot="1" x14ac:dyDescent="0.3">
      <c r="B74" s="162" t="s">
        <v>127</v>
      </c>
      <c r="C74" s="163">
        <f>+F56</f>
        <v>357.48879999999997</v>
      </c>
      <c r="D74" s="163">
        <f>+D73</f>
        <v>1014</v>
      </c>
      <c r="E74" s="164">
        <f>+C74/D74</f>
        <v>0.35255305719921104</v>
      </c>
      <c r="F74" s="102"/>
      <c r="G74" s="161"/>
      <c r="H74" s="104"/>
      <c r="I74" s="104"/>
      <c r="J74" s="87"/>
    </row>
    <row r="75" spans="2:13" ht="13.5" thickBot="1" x14ac:dyDescent="0.3">
      <c r="B75" s="126"/>
      <c r="C75" s="127"/>
      <c r="D75" s="127"/>
      <c r="E75" s="168"/>
      <c r="F75" s="102"/>
      <c r="G75" s="161"/>
      <c r="H75" s="104"/>
      <c r="I75" s="104"/>
      <c r="J75" s="87"/>
    </row>
    <row r="76" spans="2:13" ht="13.5" thickBot="1" x14ac:dyDescent="0.3">
      <c r="B76" s="162" t="s">
        <v>128</v>
      </c>
      <c r="C76" s="163">
        <f>+F54</f>
        <v>129.1</v>
      </c>
      <c r="D76" s="163">
        <f>+D74</f>
        <v>1014</v>
      </c>
      <c r="E76" s="164">
        <f>+C76/D76</f>
        <v>0.12731755424063115</v>
      </c>
      <c r="F76" s="102"/>
      <c r="G76" s="161"/>
      <c r="H76" s="104"/>
      <c r="I76" s="104"/>
      <c r="J76" s="104"/>
    </row>
    <row r="77" spans="2:13" ht="13.5" thickBot="1" x14ac:dyDescent="0.3">
      <c r="B77" s="126"/>
      <c r="C77" s="127"/>
      <c r="D77" s="127"/>
      <c r="E77" s="168"/>
      <c r="F77" s="102"/>
      <c r="G77" s="161"/>
      <c r="H77" s="104"/>
      <c r="I77" s="104"/>
    </row>
    <row r="78" spans="2:13" ht="13.5" thickBot="1" x14ac:dyDescent="0.3">
      <c r="B78" s="987" t="s">
        <v>129</v>
      </c>
      <c r="C78" s="988"/>
      <c r="D78" s="989"/>
      <c r="E78" s="164">
        <f>+E69+E74</f>
        <v>2.2614236686390532</v>
      </c>
      <c r="G78" s="102"/>
      <c r="H78" s="161"/>
      <c r="I78" s="104"/>
      <c r="J78" s="168"/>
    </row>
    <row r="79" spans="2:13" x14ac:dyDescent="0.25">
      <c r="I79" s="161"/>
      <c r="J79" s="87"/>
    </row>
    <row r="80" spans="2:13" ht="13.5" thickBot="1" x14ac:dyDescent="0.3">
      <c r="B80" s="986" t="s">
        <v>130</v>
      </c>
      <c r="C80" s="986"/>
      <c r="D80" s="986"/>
      <c r="E80" s="986"/>
      <c r="F80" s="986"/>
      <c r="G80" s="102"/>
      <c r="H80" s="161"/>
      <c r="J80" s="87"/>
    </row>
    <row r="81" spans="1:10" ht="13.5" thickBot="1" x14ac:dyDescent="0.3">
      <c r="B81" s="162" t="s">
        <v>124</v>
      </c>
      <c r="C81" s="163">
        <f>+C69</f>
        <v>1935.5947999999999</v>
      </c>
      <c r="D81" s="163">
        <f>+D60</f>
        <v>1</v>
      </c>
      <c r="E81" s="164">
        <f>+C81/D81</f>
        <v>1935.5947999999999</v>
      </c>
      <c r="F81" s="102"/>
      <c r="G81" s="161"/>
      <c r="H81" s="104"/>
      <c r="I81" s="161"/>
      <c r="J81" s="87"/>
    </row>
    <row r="82" spans="1:10" x14ac:dyDescent="0.25">
      <c r="B82" s="165"/>
      <c r="C82" s="166"/>
      <c r="D82" s="167"/>
      <c r="E82" s="150"/>
      <c r="F82" s="102"/>
      <c r="G82" s="161"/>
      <c r="H82" s="104"/>
      <c r="I82" s="104"/>
      <c r="J82" s="87"/>
    </row>
    <row r="83" spans="1:10" x14ac:dyDescent="0.25">
      <c r="B83" s="162" t="s">
        <v>125</v>
      </c>
      <c r="C83" s="163">
        <f>+C71</f>
        <v>2103.4066959999996</v>
      </c>
      <c r="D83" s="163">
        <f>+D60</f>
        <v>1</v>
      </c>
      <c r="E83" s="168">
        <f>+C83/D83</f>
        <v>2103.4066959999996</v>
      </c>
      <c r="F83" s="102"/>
      <c r="G83" s="161"/>
      <c r="H83" s="104"/>
      <c r="I83" s="104"/>
      <c r="J83" s="87"/>
    </row>
    <row r="84" spans="1:10" x14ac:dyDescent="0.25">
      <c r="B84" s="162"/>
      <c r="C84" s="163"/>
      <c r="D84" s="163"/>
      <c r="E84" s="168"/>
      <c r="F84" s="102"/>
      <c r="G84" s="161"/>
      <c r="H84" s="104"/>
      <c r="I84" s="104"/>
      <c r="J84" s="87"/>
    </row>
    <row r="85" spans="1:10" ht="13.5" thickBot="1" x14ac:dyDescent="0.3">
      <c r="B85" s="162" t="s">
        <v>127</v>
      </c>
      <c r="C85" s="163">
        <f>+C73</f>
        <v>308</v>
      </c>
      <c r="D85" s="163">
        <f>+D60</f>
        <v>1</v>
      </c>
      <c r="E85" s="168">
        <f>+C85/D85</f>
        <v>308</v>
      </c>
      <c r="F85" s="170"/>
      <c r="G85" s="160"/>
      <c r="H85" s="86"/>
      <c r="I85" s="104"/>
    </row>
    <row r="86" spans="1:10" ht="13.5" thickBot="1" x14ac:dyDescent="0.3">
      <c r="B86" s="162" t="s">
        <v>127</v>
      </c>
      <c r="C86" s="163">
        <f>+C74</f>
        <v>357.48879999999997</v>
      </c>
      <c r="D86" s="163">
        <f>+D85</f>
        <v>1</v>
      </c>
      <c r="E86" s="164">
        <f>+C86/D86</f>
        <v>357.48879999999997</v>
      </c>
      <c r="F86" s="169"/>
      <c r="G86" s="160"/>
      <c r="H86" s="86"/>
      <c r="I86" s="86"/>
    </row>
    <row r="87" spans="1:10" x14ac:dyDescent="0.25">
      <c r="I87" s="86"/>
    </row>
    <row r="88" spans="1:10" x14ac:dyDescent="0.2">
      <c r="A88" s="990"/>
      <c r="B88" s="990"/>
      <c r="C88" s="171"/>
      <c r="D88" s="171"/>
      <c r="E88" s="172"/>
      <c r="G88" s="173"/>
    </row>
    <row r="89" spans="1:10" x14ac:dyDescent="0.2">
      <c r="A89" s="105"/>
      <c r="B89" s="174"/>
      <c r="C89" s="175"/>
      <c r="D89" s="175"/>
      <c r="E89" s="176"/>
      <c r="G89" s="173"/>
    </row>
    <row r="90" spans="1:10" x14ac:dyDescent="0.2">
      <c r="A90" s="105"/>
      <c r="B90" s="174"/>
      <c r="C90" s="177"/>
      <c r="D90" s="177"/>
      <c r="E90" s="105"/>
      <c r="G90" s="173"/>
    </row>
    <row r="91" spans="1:10" x14ac:dyDescent="0.2">
      <c r="A91" s="105"/>
      <c r="B91" s="174"/>
      <c r="C91" s="178"/>
      <c r="D91" s="178"/>
      <c r="E91" s="105"/>
      <c r="G91" s="173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FF73E-F56F-42F5-A720-A86AA5D292E6}">
  <dimension ref="A1:M37"/>
  <sheetViews>
    <sheetView showGridLines="0" zoomScaleNormal="100" zoomScaleSheetLayoutView="80" workbookViewId="0">
      <selection activeCell="C18" sqref="C18"/>
    </sheetView>
  </sheetViews>
  <sheetFormatPr baseColWidth="10" defaultColWidth="11.42578125" defaultRowHeight="15" x14ac:dyDescent="0.25"/>
  <cols>
    <col min="1" max="1" width="17.140625" customWidth="1"/>
    <col min="2" max="2" width="40.85546875" customWidth="1"/>
    <col min="3" max="3" width="18" customWidth="1"/>
    <col min="4" max="4" width="18.42578125" customWidth="1"/>
    <col min="5" max="5" width="11.85546875" customWidth="1"/>
    <col min="6" max="6" width="11.42578125" customWidth="1"/>
    <col min="7" max="7" width="12.28515625" customWidth="1"/>
    <col min="8" max="8" width="14.42578125" customWidth="1"/>
    <col min="9" max="9" width="14.7109375" customWidth="1"/>
  </cols>
  <sheetData>
    <row r="1" spans="1:13" ht="21" customHeight="1" x14ac:dyDescent="0.25">
      <c r="A1" s="680"/>
      <c r="B1" s="683" t="s">
        <v>0</v>
      </c>
      <c r="C1" s="683"/>
      <c r="D1" s="683"/>
      <c r="E1" s="683"/>
      <c r="F1" s="683"/>
      <c r="G1" s="683"/>
      <c r="H1" s="30" t="s">
        <v>1</v>
      </c>
      <c r="I1" s="1" t="s">
        <v>2</v>
      </c>
    </row>
    <row r="2" spans="1:13" ht="21" customHeight="1" x14ac:dyDescent="0.25">
      <c r="A2" s="681"/>
      <c r="B2" s="684" t="s">
        <v>3</v>
      </c>
      <c r="C2" s="684"/>
      <c r="D2" s="684"/>
      <c r="E2" s="684"/>
      <c r="F2" s="684"/>
      <c r="G2" s="684"/>
      <c r="H2" s="31" t="s">
        <v>4</v>
      </c>
      <c r="I2" s="2" t="s">
        <v>5</v>
      </c>
    </row>
    <row r="3" spans="1:13" ht="29.45" customHeight="1" x14ac:dyDescent="0.25">
      <c r="A3" s="681"/>
      <c r="B3" s="685" t="s">
        <v>71</v>
      </c>
      <c r="C3" s="685"/>
      <c r="D3" s="685"/>
      <c r="E3" s="685"/>
      <c r="F3" s="685"/>
      <c r="G3" s="685"/>
      <c r="H3" s="32" t="s">
        <v>6</v>
      </c>
      <c r="I3" s="28"/>
    </row>
    <row r="4" spans="1:13" ht="18" customHeight="1" thickBot="1" x14ac:dyDescent="0.3">
      <c r="A4" s="682"/>
      <c r="B4" s="29" t="s">
        <v>7</v>
      </c>
      <c r="C4" s="686" t="s">
        <v>37</v>
      </c>
      <c r="D4" s="686"/>
      <c r="E4" s="687" t="s">
        <v>8</v>
      </c>
      <c r="F4" s="687"/>
      <c r="G4" s="686" t="s">
        <v>36</v>
      </c>
      <c r="H4" s="686"/>
      <c r="I4" s="688"/>
    </row>
    <row r="5" spans="1:13" x14ac:dyDescent="0.25">
      <c r="A5" s="22"/>
      <c r="B5" s="23"/>
      <c r="C5" s="24"/>
      <c r="D5" s="24"/>
      <c r="E5" s="24"/>
      <c r="F5" s="24"/>
      <c r="G5" s="24"/>
      <c r="H5" s="25"/>
      <c r="I5" s="26"/>
    </row>
    <row r="6" spans="1:13" ht="18.75" thickBot="1" x14ac:dyDescent="0.3">
      <c r="A6" s="662" t="s">
        <v>9</v>
      </c>
      <c r="B6" s="662"/>
      <c r="C6" s="663" t="s">
        <v>34</v>
      </c>
      <c r="D6" s="663"/>
      <c r="E6" s="662" t="s">
        <v>10</v>
      </c>
      <c r="F6" s="662"/>
      <c r="G6" s="662"/>
      <c r="H6" s="664" t="s">
        <v>35</v>
      </c>
      <c r="I6" s="664"/>
    </row>
    <row r="7" spans="1:13" ht="18.75" thickBot="1" x14ac:dyDescent="0.3">
      <c r="A7" s="15"/>
      <c r="B7" s="15"/>
      <c r="C7" s="17"/>
      <c r="D7" s="17"/>
      <c r="E7" s="17"/>
      <c r="F7" s="17"/>
      <c r="G7" s="16"/>
      <c r="H7" s="16"/>
      <c r="I7" s="3"/>
    </row>
    <row r="8" spans="1:13" x14ac:dyDescent="0.25">
      <c r="A8" s="665" t="s">
        <v>11</v>
      </c>
      <c r="B8" s="667" t="s">
        <v>12</v>
      </c>
      <c r="C8" s="667" t="s">
        <v>13</v>
      </c>
      <c r="D8" s="670" t="s">
        <v>14</v>
      </c>
      <c r="E8" s="667" t="s">
        <v>16</v>
      </c>
      <c r="F8" s="672" t="s">
        <v>31</v>
      </c>
      <c r="G8" s="674" t="s">
        <v>15</v>
      </c>
      <c r="H8" s="675"/>
      <c r="I8" s="676"/>
    </row>
    <row r="9" spans="1:13" ht="15.75" thickBot="1" x14ac:dyDescent="0.3">
      <c r="A9" s="666"/>
      <c r="B9" s="668"/>
      <c r="C9" s="669"/>
      <c r="D9" s="1002"/>
      <c r="E9" s="669"/>
      <c r="F9" s="673" t="s">
        <v>17</v>
      </c>
      <c r="G9" s="677"/>
      <c r="H9" s="678"/>
      <c r="I9" s="679"/>
    </row>
    <row r="10" spans="1:13" ht="15.75" x14ac:dyDescent="0.25">
      <c r="A10" s="5" t="s">
        <v>41</v>
      </c>
      <c r="B10" s="71" t="s">
        <v>42</v>
      </c>
      <c r="C10" s="55" t="s">
        <v>18</v>
      </c>
      <c r="D10" s="47"/>
      <c r="E10" s="47">
        <f>16000*1.07</f>
        <v>17120</v>
      </c>
      <c r="F10" s="4" t="s">
        <v>19</v>
      </c>
      <c r="G10" s="54"/>
      <c r="H10" s="61"/>
      <c r="I10" s="60"/>
    </row>
    <row r="11" spans="1:13" ht="15.75" x14ac:dyDescent="0.25">
      <c r="A11" s="5" t="s">
        <v>67</v>
      </c>
      <c r="B11" t="s">
        <v>68</v>
      </c>
      <c r="C11" s="55" t="s">
        <v>69</v>
      </c>
      <c r="D11" s="50"/>
      <c r="E11" s="51">
        <f>3000*1.07</f>
        <v>3210</v>
      </c>
      <c r="F11" s="4" t="s">
        <v>19</v>
      </c>
      <c r="G11" s="62"/>
      <c r="H11" s="63"/>
      <c r="I11" s="64"/>
      <c r="K11" s="46"/>
    </row>
    <row r="12" spans="1:13" ht="15.75" x14ac:dyDescent="0.25">
      <c r="A12" s="57" t="s">
        <v>39</v>
      </c>
      <c r="B12" s="6" t="s">
        <v>40</v>
      </c>
      <c r="C12" s="55" t="s">
        <v>70</v>
      </c>
      <c r="D12" s="50"/>
      <c r="E12" s="51">
        <v>42</v>
      </c>
      <c r="F12" s="4" t="s">
        <v>19</v>
      </c>
      <c r="G12" s="62"/>
      <c r="H12" s="53"/>
      <c r="I12" s="64"/>
      <c r="K12" s="81"/>
    </row>
    <row r="13" spans="1:13" ht="15.75" x14ac:dyDescent="0.25">
      <c r="A13" s="57"/>
      <c r="B13" s="6"/>
      <c r="C13" s="55"/>
      <c r="D13" s="50"/>
      <c r="E13" s="51"/>
      <c r="F13" s="4"/>
      <c r="G13" s="62"/>
      <c r="H13" s="53"/>
      <c r="I13" s="64"/>
      <c r="K13" s="46"/>
    </row>
    <row r="14" spans="1:13" ht="15.75" x14ac:dyDescent="0.25">
      <c r="A14" s="57"/>
      <c r="B14" s="6"/>
      <c r="C14" s="55"/>
      <c r="D14" s="50"/>
      <c r="E14" s="51"/>
      <c r="F14" s="4"/>
      <c r="G14" s="62"/>
      <c r="H14" s="53"/>
      <c r="I14" s="64"/>
      <c r="K14" s="46"/>
    </row>
    <row r="15" spans="1:13" x14ac:dyDescent="0.25">
      <c r="A15" s="58"/>
      <c r="B15" s="56"/>
      <c r="C15" s="55"/>
      <c r="D15" s="49"/>
      <c r="E15" s="59"/>
      <c r="F15" s="4"/>
      <c r="G15" s="62"/>
      <c r="H15" s="53"/>
      <c r="I15" s="64"/>
      <c r="K15" s="46"/>
    </row>
    <row r="16" spans="1:13" ht="15.75" thickBot="1" x14ac:dyDescent="0.3">
      <c r="A16" s="7"/>
      <c r="B16" s="8"/>
      <c r="C16" s="8"/>
      <c r="D16" s="8"/>
      <c r="E16" s="9"/>
      <c r="F16" s="10"/>
      <c r="G16" s="8"/>
      <c r="H16" s="8"/>
      <c r="I16" s="11"/>
      <c r="J16" s="12"/>
      <c r="K16" s="12"/>
      <c r="L16" s="13"/>
      <c r="M16" s="12"/>
    </row>
    <row r="17" spans="1:13" ht="15.75" thickBot="1" x14ac:dyDescent="0.3">
      <c r="A17" s="35"/>
      <c r="B17" s="36"/>
      <c r="C17" s="37" t="s">
        <v>16</v>
      </c>
      <c r="D17" s="38" t="s">
        <v>21</v>
      </c>
      <c r="F17" s="647" t="s">
        <v>22</v>
      </c>
      <c r="G17" s="648"/>
      <c r="H17" s="648"/>
      <c r="I17" s="649"/>
      <c r="J17" s="12"/>
      <c r="K17" s="12"/>
      <c r="L17" s="13"/>
      <c r="M17" s="12"/>
    </row>
    <row r="18" spans="1:13" x14ac:dyDescent="0.25">
      <c r="A18" s="650" t="s">
        <v>23</v>
      </c>
      <c r="B18" s="651"/>
      <c r="C18" s="34">
        <v>20000</v>
      </c>
      <c r="D18" s="18" t="s">
        <v>19</v>
      </c>
      <c r="F18" s="652"/>
      <c r="G18" s="653"/>
      <c r="H18" s="653"/>
      <c r="I18" s="654"/>
      <c r="J18" s="12"/>
      <c r="K18" s="12"/>
      <c r="L18" s="13"/>
      <c r="M18" s="12"/>
    </row>
    <row r="19" spans="1:13" x14ac:dyDescent="0.25">
      <c r="A19" s="650" t="s">
        <v>24</v>
      </c>
      <c r="B19" s="651"/>
      <c r="C19" s="34">
        <v>10</v>
      </c>
      <c r="D19" s="18" t="s">
        <v>25</v>
      </c>
      <c r="F19" s="652"/>
      <c r="G19" s="653"/>
      <c r="H19" s="653"/>
      <c r="I19" s="654"/>
      <c r="J19" s="12"/>
      <c r="K19" s="12"/>
      <c r="L19" s="13"/>
      <c r="M19" s="12"/>
    </row>
    <row r="20" spans="1:13" x14ac:dyDescent="0.25">
      <c r="A20" s="658" t="s">
        <v>26</v>
      </c>
      <c r="B20" s="659"/>
      <c r="C20" s="34">
        <v>1</v>
      </c>
      <c r="D20" s="18" t="s">
        <v>38</v>
      </c>
      <c r="F20" s="652"/>
      <c r="G20" s="653"/>
      <c r="H20" s="653"/>
      <c r="I20" s="654"/>
      <c r="J20" s="12"/>
      <c r="K20" s="12"/>
      <c r="L20" s="13"/>
      <c r="M20" s="12"/>
    </row>
    <row r="21" spans="1:13" x14ac:dyDescent="0.25">
      <c r="A21" s="658" t="s">
        <v>27</v>
      </c>
      <c r="B21" s="659"/>
      <c r="C21" s="34">
        <v>20000</v>
      </c>
      <c r="D21" s="18" t="s">
        <v>19</v>
      </c>
      <c r="F21" s="652"/>
      <c r="G21" s="653"/>
      <c r="H21" s="653"/>
      <c r="I21" s="654"/>
      <c r="J21" s="12"/>
      <c r="K21" s="12"/>
      <c r="L21" s="13"/>
      <c r="M21" s="14"/>
    </row>
    <row r="22" spans="1:13" ht="15.75" thickBot="1" x14ac:dyDescent="0.3">
      <c r="A22" s="660" t="s">
        <v>28</v>
      </c>
      <c r="B22" s="661"/>
      <c r="C22" s="52">
        <f>SUM(E10:E12)-C18</f>
        <v>372</v>
      </c>
      <c r="D22" s="19" t="s">
        <v>19</v>
      </c>
      <c r="F22" s="655"/>
      <c r="G22" s="656"/>
      <c r="H22" s="656"/>
      <c r="I22" s="657"/>
      <c r="J22" s="8"/>
      <c r="K22" s="8"/>
      <c r="L22" s="13"/>
      <c r="M22" s="8"/>
    </row>
    <row r="23" spans="1:13" ht="15.75" thickBot="1" x14ac:dyDescent="0.3">
      <c r="A23" s="39"/>
      <c r="B23" s="33"/>
      <c r="C23" s="33"/>
      <c r="D23" s="40"/>
      <c r="F23" s="27"/>
      <c r="G23" s="27"/>
      <c r="H23" s="27"/>
      <c r="I23" s="27"/>
      <c r="J23" s="8"/>
      <c r="K23" s="8"/>
      <c r="L23" s="13"/>
      <c r="M23" s="8"/>
    </row>
    <row r="24" spans="1:13" ht="15.75" thickBot="1" x14ac:dyDescent="0.3">
      <c r="A24" s="20" t="s">
        <v>29</v>
      </c>
      <c r="B24" s="21"/>
      <c r="C24" s="21"/>
      <c r="D24" s="21"/>
      <c r="E24" s="21"/>
      <c r="F24" s="21"/>
      <c r="G24" s="21"/>
      <c r="H24" s="21"/>
      <c r="I24" s="41"/>
      <c r="J24" s="12"/>
      <c r="K24" s="12"/>
      <c r="L24" s="12"/>
      <c r="M24" s="12"/>
    </row>
    <row r="25" spans="1:13" ht="27.6" customHeight="1" thickBot="1" x14ac:dyDescent="0.3">
      <c r="A25" s="641" t="s">
        <v>43</v>
      </c>
      <c r="B25" s="642"/>
      <c r="C25" s="642"/>
      <c r="D25" s="642"/>
      <c r="E25" s="642"/>
      <c r="F25" s="642"/>
      <c r="G25" s="642"/>
      <c r="H25" s="642"/>
      <c r="I25" s="643"/>
      <c r="J25" s="12"/>
      <c r="K25" s="12"/>
      <c r="L25" s="12"/>
      <c r="M25" s="12"/>
    </row>
    <row r="26" spans="1:13" ht="27.6" customHeight="1" thickBot="1" x14ac:dyDescent="0.3">
      <c r="A26" s="641" t="s">
        <v>44</v>
      </c>
      <c r="B26" s="642"/>
      <c r="C26" s="642"/>
      <c r="D26" s="642"/>
      <c r="E26" s="642"/>
      <c r="F26" s="642"/>
      <c r="G26" s="642"/>
      <c r="H26" s="642"/>
      <c r="I26" s="643"/>
      <c r="J26" s="12"/>
      <c r="K26" s="12"/>
      <c r="L26" s="12"/>
      <c r="M26" s="12"/>
    </row>
    <row r="27" spans="1:13" ht="27.6" customHeight="1" thickBot="1" x14ac:dyDescent="0.3">
      <c r="A27" s="641"/>
      <c r="B27" s="642"/>
      <c r="C27" s="642"/>
      <c r="D27" s="642"/>
      <c r="E27" s="642"/>
      <c r="F27" s="642"/>
      <c r="G27" s="642"/>
      <c r="H27" s="642"/>
      <c r="I27" s="643"/>
      <c r="J27" s="12"/>
      <c r="K27" s="12"/>
      <c r="L27" s="12"/>
      <c r="M27" s="12"/>
    </row>
    <row r="28" spans="1:13" ht="27.6" customHeight="1" thickBot="1" x14ac:dyDescent="0.3">
      <c r="A28" s="641"/>
      <c r="B28" s="642"/>
      <c r="C28" s="642"/>
      <c r="D28" s="642"/>
      <c r="E28" s="642"/>
      <c r="F28" s="642"/>
      <c r="G28" s="642"/>
      <c r="H28" s="642"/>
      <c r="I28" s="643"/>
      <c r="J28" s="12"/>
      <c r="K28" s="12"/>
      <c r="L28" s="12"/>
      <c r="M28" s="12"/>
    </row>
    <row r="29" spans="1:13" ht="27.6" customHeight="1" x14ac:dyDescent="0.25">
      <c r="A29" s="641"/>
      <c r="B29" s="642"/>
      <c r="C29" s="642"/>
      <c r="D29" s="642"/>
      <c r="E29" s="642"/>
      <c r="F29" s="642"/>
      <c r="G29" s="642"/>
      <c r="H29" s="642"/>
      <c r="I29" s="643"/>
      <c r="J29" s="12"/>
      <c r="K29" s="12"/>
      <c r="L29" s="12"/>
      <c r="M29" s="12"/>
    </row>
    <row r="30" spans="1:13" ht="24" customHeight="1" thickBot="1" x14ac:dyDescent="0.3">
      <c r="A30" s="644"/>
      <c r="B30" s="645"/>
      <c r="C30" s="645"/>
      <c r="D30" s="645"/>
      <c r="E30" s="645"/>
      <c r="F30" s="645"/>
      <c r="G30" s="645"/>
      <c r="H30" s="645"/>
      <c r="I30" s="646"/>
      <c r="J30" s="12"/>
      <c r="K30" s="12"/>
      <c r="L30" s="12"/>
      <c r="M30" s="12"/>
    </row>
    <row r="31" spans="1:13" x14ac:dyDescent="0.25">
      <c r="A31" s="626" t="s">
        <v>30</v>
      </c>
      <c r="B31" s="626"/>
      <c r="C31" s="626"/>
      <c r="D31" s="626"/>
      <c r="E31" s="626"/>
      <c r="F31" s="626"/>
      <c r="G31" s="626"/>
      <c r="H31" s="626"/>
      <c r="I31" s="627"/>
      <c r="J31" s="12"/>
      <c r="K31" s="12"/>
      <c r="L31" s="12"/>
      <c r="M31" s="12"/>
    </row>
    <row r="32" spans="1:13" s="45" customFormat="1" x14ac:dyDescent="0.25">
      <c r="A32" s="43" t="s">
        <v>32</v>
      </c>
      <c r="B32" s="619" t="s">
        <v>33</v>
      </c>
      <c r="C32" s="620"/>
      <c r="D32" s="620"/>
      <c r="E32" s="620"/>
      <c r="F32" s="620"/>
      <c r="G32" s="620"/>
      <c r="H32" s="620"/>
      <c r="I32" s="621"/>
      <c r="J32" s="44"/>
      <c r="K32" s="44"/>
      <c r="L32" s="44"/>
      <c r="M32" s="44"/>
    </row>
    <row r="33" spans="1:13" s="45" customFormat="1" x14ac:dyDescent="0.25">
      <c r="A33" s="42">
        <v>1</v>
      </c>
      <c r="B33" s="619"/>
      <c r="C33" s="620"/>
      <c r="D33" s="620"/>
      <c r="E33" s="620"/>
      <c r="F33" s="620"/>
      <c r="G33" s="620"/>
      <c r="H33" s="620"/>
      <c r="I33" s="621"/>
      <c r="J33" s="44"/>
      <c r="K33" s="44"/>
      <c r="L33" s="44"/>
      <c r="M33" s="44"/>
    </row>
    <row r="34" spans="1:13" s="45" customFormat="1" x14ac:dyDescent="0.25">
      <c r="A34" s="42">
        <v>2</v>
      </c>
      <c r="B34" s="619"/>
      <c r="C34" s="620"/>
      <c r="D34" s="620"/>
      <c r="E34" s="620"/>
      <c r="F34" s="620"/>
      <c r="G34" s="620"/>
      <c r="H34" s="620"/>
      <c r="I34" s="621"/>
      <c r="J34" s="44"/>
      <c r="K34" s="44"/>
      <c r="L34" s="44"/>
      <c r="M34" s="44"/>
    </row>
    <row r="35" spans="1:13" s="45" customFormat="1" x14ac:dyDescent="0.25">
      <c r="A35" s="42">
        <v>3</v>
      </c>
      <c r="B35" s="619"/>
      <c r="C35" s="620"/>
      <c r="D35" s="620"/>
      <c r="E35" s="620"/>
      <c r="F35" s="620"/>
      <c r="G35" s="620"/>
      <c r="H35" s="620"/>
      <c r="I35" s="621"/>
      <c r="J35" s="44"/>
      <c r="K35" s="44"/>
      <c r="L35" s="44"/>
      <c r="M35" s="44"/>
    </row>
    <row r="36" spans="1:13" s="45" customFormat="1" x14ac:dyDescent="0.25">
      <c r="A36" s="42">
        <v>4</v>
      </c>
      <c r="B36" s="619"/>
      <c r="C36" s="620"/>
      <c r="D36" s="620"/>
      <c r="E36" s="620"/>
      <c r="F36" s="620"/>
      <c r="G36" s="620"/>
      <c r="H36" s="620"/>
      <c r="I36" s="621"/>
      <c r="J36" s="44"/>
      <c r="K36" s="44"/>
      <c r="L36" s="44"/>
      <c r="M36" s="44"/>
    </row>
    <row r="37" spans="1:13" s="45" customFormat="1" x14ac:dyDescent="0.25">
      <c r="A37" s="42">
        <v>5</v>
      </c>
      <c r="B37" s="619"/>
      <c r="C37" s="620"/>
      <c r="D37" s="620"/>
      <c r="E37" s="620"/>
      <c r="F37" s="620"/>
      <c r="G37" s="620"/>
      <c r="H37" s="620"/>
      <c r="I37" s="621"/>
      <c r="J37" s="44"/>
      <c r="K37" s="44"/>
      <c r="L37" s="44"/>
      <c r="M37" s="44"/>
    </row>
  </sheetData>
  <mergeCells count="38">
    <mergeCell ref="A1:A4"/>
    <mergeCell ref="B1:G1"/>
    <mergeCell ref="B2:G2"/>
    <mergeCell ref="B3:G3"/>
    <mergeCell ref="A18:B18"/>
    <mergeCell ref="F17:I17"/>
    <mergeCell ref="A6:B6"/>
    <mergeCell ref="A8:A9"/>
    <mergeCell ref="B8:B9"/>
    <mergeCell ref="C8:C9"/>
    <mergeCell ref="D8:D9"/>
    <mergeCell ref="G8:I9"/>
    <mergeCell ref="F18:I22"/>
    <mergeCell ref="A19:B19"/>
    <mergeCell ref="A20:B20"/>
    <mergeCell ref="E8:E9"/>
    <mergeCell ref="F8:F9"/>
    <mergeCell ref="B35:I35"/>
    <mergeCell ref="B36:I36"/>
    <mergeCell ref="B37:I37"/>
    <mergeCell ref="A21:B21"/>
    <mergeCell ref="A22:B22"/>
    <mergeCell ref="A25:I25"/>
    <mergeCell ref="A26:I26"/>
    <mergeCell ref="A27:I27"/>
    <mergeCell ref="A28:I28"/>
    <mergeCell ref="A29:I29"/>
    <mergeCell ref="A30:I30"/>
    <mergeCell ref="A31:I31"/>
    <mergeCell ref="B32:I32"/>
    <mergeCell ref="B33:I33"/>
    <mergeCell ref="B34:I34"/>
    <mergeCell ref="C4:D4"/>
    <mergeCell ref="E4:F4"/>
    <mergeCell ref="G4:I4"/>
    <mergeCell ref="H6:I6"/>
    <mergeCell ref="C6:D6"/>
    <mergeCell ref="E6:G6"/>
  </mergeCells>
  <pageMargins left="0.7" right="0.7" top="0.75" bottom="0.75" header="0.3" footer="0.3"/>
  <pageSetup paperSize="9" scale="59" orientation="portrait" r:id="rId1"/>
  <colBreaks count="1" manualBreakCount="1">
    <brk id="9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A54C-AE3A-4FF0-B870-098898E8C21C}">
  <sheetPr>
    <pageSetUpPr fitToPage="1"/>
  </sheetPr>
  <dimension ref="A1:I44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5.28515625" customWidth="1"/>
    <col min="3" max="3" width="57" customWidth="1"/>
    <col min="4" max="4" width="16.140625" customWidth="1"/>
    <col min="5" max="5" width="17.28515625" customWidth="1"/>
    <col min="6" max="6" width="15" customWidth="1"/>
    <col min="7" max="7" width="18.5703125" customWidth="1"/>
    <col min="8" max="8" width="20" customWidth="1"/>
    <col min="9" max="9" width="19" customWidth="1"/>
  </cols>
  <sheetData>
    <row r="1" spans="1:9" ht="17.25" x14ac:dyDescent="0.3">
      <c r="A1" s="698"/>
      <c r="B1" s="699"/>
      <c r="C1" s="704" t="s">
        <v>0</v>
      </c>
      <c r="D1" s="704"/>
      <c r="E1" s="704"/>
      <c r="F1" s="704"/>
      <c r="G1" s="704"/>
      <c r="H1" s="182" t="s">
        <v>1</v>
      </c>
      <c r="I1" s="183" t="s">
        <v>316</v>
      </c>
    </row>
    <row r="2" spans="1:9" ht="17.25" x14ac:dyDescent="0.3">
      <c r="A2" s="700"/>
      <c r="B2" s="701"/>
      <c r="C2" s="705" t="s">
        <v>3</v>
      </c>
      <c r="D2" s="705"/>
      <c r="E2" s="705"/>
      <c r="F2" s="705"/>
      <c r="G2" s="705"/>
      <c r="H2" s="184" t="s">
        <v>4</v>
      </c>
      <c r="I2" s="185" t="s">
        <v>5</v>
      </c>
    </row>
    <row r="3" spans="1:9" ht="30.75" customHeight="1" thickBot="1" x14ac:dyDescent="0.3">
      <c r="A3" s="700"/>
      <c r="B3" s="701"/>
      <c r="C3" s="1224" t="s">
        <v>310</v>
      </c>
      <c r="D3" s="1224"/>
      <c r="E3" s="1224"/>
      <c r="F3" s="1224"/>
      <c r="G3" s="1224"/>
      <c r="H3" s="707" t="s">
        <v>6</v>
      </c>
      <c r="I3" s="689">
        <v>45953</v>
      </c>
    </row>
    <row r="4" spans="1:9" ht="17.25" x14ac:dyDescent="0.3">
      <c r="A4" s="700"/>
      <c r="B4" s="701"/>
      <c r="C4" s="186" t="s">
        <v>7</v>
      </c>
      <c r="D4" s="692" t="s">
        <v>37</v>
      </c>
      <c r="E4" s="693"/>
      <c r="F4" s="693"/>
      <c r="G4" s="694"/>
      <c r="H4" s="708"/>
      <c r="I4" s="690"/>
    </row>
    <row r="5" spans="1:9" ht="18" thickBot="1" x14ac:dyDescent="0.35">
      <c r="A5" s="702"/>
      <c r="B5" s="703"/>
      <c r="C5" s="187" t="s">
        <v>8</v>
      </c>
      <c r="D5" s="695" t="s">
        <v>309</v>
      </c>
      <c r="E5" s="696"/>
      <c r="F5" s="696"/>
      <c r="G5" s="697"/>
      <c r="H5" s="709"/>
      <c r="I5" s="691"/>
    </row>
    <row r="6" spans="1:9" ht="18.75" thickBot="1" x14ac:dyDescent="0.3">
      <c r="A6" s="710" t="s">
        <v>9</v>
      </c>
      <c r="B6" s="710"/>
      <c r="C6" s="710"/>
      <c r="D6" s="880" t="s">
        <v>34</v>
      </c>
      <c r="E6" s="880"/>
      <c r="F6" s="880"/>
      <c r="G6" s="712" t="s">
        <v>10</v>
      </c>
      <c r="H6" s="712"/>
      <c r="I6" s="307" t="s">
        <v>136</v>
      </c>
    </row>
    <row r="7" spans="1:9" ht="30" x14ac:dyDescent="0.25">
      <c r="A7" s="713" t="s">
        <v>137</v>
      </c>
      <c r="B7" s="715" t="s">
        <v>11</v>
      </c>
      <c r="C7" s="717" t="s">
        <v>12</v>
      </c>
      <c r="D7" s="717" t="s">
        <v>13</v>
      </c>
      <c r="E7" s="717" t="s">
        <v>138</v>
      </c>
      <c r="F7" s="717"/>
      <c r="G7" s="717" t="s">
        <v>139</v>
      </c>
      <c r="H7" s="717"/>
      <c r="I7" s="189" t="s">
        <v>140</v>
      </c>
    </row>
    <row r="8" spans="1:9" ht="31.5" thickBot="1" x14ac:dyDescent="0.3">
      <c r="A8" s="714"/>
      <c r="B8" s="716"/>
      <c r="C8" s="718"/>
      <c r="D8" s="718"/>
      <c r="E8" s="190" t="s">
        <v>16</v>
      </c>
      <c r="F8" s="191" t="s">
        <v>17</v>
      </c>
      <c r="G8" s="190" t="s">
        <v>16</v>
      </c>
      <c r="H8" s="191" t="s">
        <v>17</v>
      </c>
      <c r="I8" s="192" t="s">
        <v>141</v>
      </c>
    </row>
    <row r="9" spans="1:9" ht="20.25" x14ac:dyDescent="0.3">
      <c r="A9" s="1137"/>
      <c r="B9" s="1138"/>
      <c r="C9" s="1139" t="s">
        <v>142</v>
      </c>
      <c r="D9" s="1140"/>
      <c r="E9" s="1141"/>
      <c r="F9" s="1142"/>
      <c r="G9" s="1141"/>
      <c r="H9" s="1142"/>
      <c r="I9" s="1143"/>
    </row>
    <row r="10" spans="1:9" ht="20.25" x14ac:dyDescent="0.3">
      <c r="A10" s="1144"/>
      <c r="B10" s="1145" t="s">
        <v>41</v>
      </c>
      <c r="C10" s="1146" t="s">
        <v>311</v>
      </c>
      <c r="D10" s="1147" t="s">
        <v>18</v>
      </c>
      <c r="E10" s="1148">
        <v>17120</v>
      </c>
      <c r="F10" s="1149" t="s">
        <v>19</v>
      </c>
      <c r="G10" s="1144"/>
      <c r="H10" s="1148"/>
      <c r="I10" s="1143"/>
    </row>
    <row r="11" spans="1:9" ht="20.25" x14ac:dyDescent="0.3">
      <c r="A11" s="1144"/>
      <c r="B11" s="1145" t="s">
        <v>67</v>
      </c>
      <c r="C11" s="1150" t="s">
        <v>312</v>
      </c>
      <c r="D11" s="1147" t="s">
        <v>18</v>
      </c>
      <c r="E11" s="1151">
        <v>3210</v>
      </c>
      <c r="F11" s="1149" t="s">
        <v>19</v>
      </c>
      <c r="G11" s="1144"/>
      <c r="H11" s="1148"/>
      <c r="I11" s="1143"/>
    </row>
    <row r="12" spans="1:9" ht="20.25" x14ac:dyDescent="0.3">
      <c r="A12" s="1144"/>
      <c r="B12" s="1145" t="s">
        <v>308</v>
      </c>
      <c r="C12" s="1150" t="s">
        <v>313</v>
      </c>
      <c r="D12" s="1147" t="s">
        <v>18</v>
      </c>
      <c r="E12" s="1151">
        <v>42</v>
      </c>
      <c r="F12" s="1149" t="s">
        <v>19</v>
      </c>
      <c r="G12" s="1144"/>
      <c r="H12" s="1148"/>
      <c r="I12" s="1143"/>
    </row>
    <row r="13" spans="1:9" ht="20.25" x14ac:dyDescent="0.3">
      <c r="A13" s="1144"/>
      <c r="B13" s="1152"/>
      <c r="C13" s="1144" t="s">
        <v>314</v>
      </c>
      <c r="D13" s="1147" t="s">
        <v>18</v>
      </c>
      <c r="E13" s="1145">
        <v>5000</v>
      </c>
      <c r="F13" s="1149" t="s">
        <v>19</v>
      </c>
      <c r="G13" s="1145"/>
      <c r="H13" s="1153"/>
      <c r="I13" s="1143"/>
    </row>
    <row r="14" spans="1:9" ht="20.25" x14ac:dyDescent="0.3">
      <c r="A14" s="1144"/>
      <c r="B14" s="1154"/>
      <c r="C14" s="1155"/>
      <c r="D14" s="1156"/>
      <c r="E14" s="1157"/>
      <c r="F14" s="1158"/>
      <c r="G14" s="1144"/>
      <c r="H14" s="1153"/>
      <c r="I14" s="1143"/>
    </row>
    <row r="15" spans="1:9" ht="20.25" x14ac:dyDescent="0.3">
      <c r="A15" s="1144"/>
      <c r="B15" s="1154"/>
      <c r="C15" s="1155"/>
      <c r="D15" s="1156"/>
      <c r="E15" s="1157"/>
      <c r="F15" s="1158"/>
      <c r="G15" s="1144"/>
      <c r="H15" s="1153"/>
      <c r="I15" s="1143"/>
    </row>
    <row r="16" spans="1:9" ht="20.25" x14ac:dyDescent="0.3">
      <c r="A16" s="1159"/>
      <c r="B16" s="1160"/>
      <c r="C16" s="1161" t="s">
        <v>143</v>
      </c>
      <c r="D16" s="1162"/>
      <c r="E16" s="1157"/>
      <c r="F16" s="1158"/>
      <c r="G16" s="1144"/>
      <c r="H16" s="1153"/>
      <c r="I16" s="1143"/>
    </row>
    <row r="17" spans="1:9" ht="20.25" x14ac:dyDescent="0.3">
      <c r="A17" s="1144"/>
      <c r="B17" s="1152"/>
      <c r="C17" s="1152"/>
      <c r="D17" s="1163"/>
      <c r="E17" s="1148"/>
      <c r="F17" s="1142"/>
      <c r="G17" s="1144"/>
      <c r="H17" s="1153"/>
      <c r="I17" s="1143"/>
    </row>
    <row r="18" spans="1:9" ht="20.25" x14ac:dyDescent="0.3">
      <c r="A18" s="1144"/>
      <c r="B18" s="1154"/>
      <c r="C18" s="1144"/>
      <c r="D18" s="1162"/>
      <c r="E18" s="1157"/>
      <c r="F18" s="1158"/>
      <c r="G18" s="1144"/>
      <c r="H18" s="1153"/>
      <c r="I18" s="1143"/>
    </row>
    <row r="19" spans="1:9" ht="20.25" x14ac:dyDescent="0.3">
      <c r="A19" s="1144"/>
      <c r="B19" s="1164"/>
      <c r="C19" s="1155"/>
      <c r="D19" s="1156"/>
      <c r="E19" s="1157"/>
      <c r="F19" s="1158"/>
      <c r="G19" s="1144"/>
      <c r="H19" s="1153"/>
      <c r="I19" s="1143"/>
    </row>
    <row r="20" spans="1:9" ht="20.25" x14ac:dyDescent="0.3">
      <c r="A20" s="1144"/>
      <c r="B20" s="1144"/>
      <c r="C20" s="1144"/>
      <c r="D20" s="1147"/>
      <c r="E20" s="1153"/>
      <c r="F20" s="1158"/>
      <c r="G20" s="1165"/>
      <c r="H20" s="1165"/>
      <c r="I20" s="1143"/>
    </row>
    <row r="21" spans="1:9" ht="20.25" x14ac:dyDescent="0.3">
      <c r="A21" s="1144"/>
      <c r="B21" s="1144"/>
      <c r="C21" s="1166"/>
      <c r="D21" s="1147"/>
      <c r="E21" s="1153"/>
      <c r="F21" s="1158"/>
      <c r="G21" s="1167"/>
      <c r="H21" s="1167"/>
      <c r="I21" s="1143"/>
    </row>
    <row r="22" spans="1:9" ht="20.25" x14ac:dyDescent="0.3">
      <c r="A22" s="1168"/>
      <c r="B22" s="1168"/>
      <c r="C22" s="1169"/>
      <c r="D22" s="1170"/>
      <c r="E22" s="1153"/>
      <c r="F22" s="1158"/>
      <c r="G22" s="1153"/>
      <c r="H22" s="1148"/>
      <c r="I22" s="1143"/>
    </row>
    <row r="23" spans="1:9" ht="20.25" x14ac:dyDescent="0.3">
      <c r="A23" s="1168"/>
      <c r="B23" s="1168"/>
      <c r="C23" s="1171" t="s">
        <v>93</v>
      </c>
      <c r="D23" s="1170"/>
      <c r="E23" s="1153"/>
      <c r="F23" s="1148"/>
      <c r="G23" s="1153"/>
      <c r="H23" s="1148"/>
      <c r="I23" s="1143"/>
    </row>
    <row r="24" spans="1:9" ht="20.25" x14ac:dyDescent="0.3">
      <c r="A24" s="1168"/>
      <c r="B24" s="1168"/>
      <c r="C24" s="1169"/>
      <c r="D24" s="1148"/>
      <c r="E24" s="1153"/>
      <c r="F24" s="1158"/>
      <c r="G24" s="1144"/>
      <c r="H24" s="1148"/>
      <c r="I24" s="1143"/>
    </row>
    <row r="25" spans="1:9" ht="20.25" x14ac:dyDescent="0.3">
      <c r="A25" s="1172"/>
      <c r="B25" s="1172"/>
      <c r="C25" s="1173"/>
      <c r="D25" s="1148"/>
      <c r="E25" s="1153"/>
      <c r="F25" s="1158"/>
      <c r="G25" s="1144"/>
      <c r="H25" s="1148"/>
      <c r="I25" s="1143"/>
    </row>
    <row r="26" spans="1:9" ht="20.25" x14ac:dyDescent="0.3">
      <c r="A26" s="1145"/>
      <c r="B26" s="1177"/>
      <c r="C26" s="1144"/>
      <c r="D26" s="1148"/>
      <c r="E26" s="1153"/>
      <c r="F26" s="1158"/>
      <c r="G26" s="1176"/>
      <c r="H26" s="1175"/>
      <c r="I26" s="1143"/>
    </row>
    <row r="27" spans="1:9" ht="20.25" x14ac:dyDescent="0.3">
      <c r="A27" s="1178"/>
      <c r="B27" s="1179"/>
      <c r="C27" s="1174"/>
      <c r="D27" s="1175"/>
      <c r="E27" s="1175"/>
      <c r="F27" s="1149"/>
      <c r="G27" s="1175"/>
      <c r="H27" s="1175"/>
      <c r="I27" s="1143"/>
    </row>
    <row r="28" spans="1:9" ht="21" thickBot="1" x14ac:dyDescent="0.35">
      <c r="A28" s="1180"/>
      <c r="B28" s="1181"/>
      <c r="C28" s="1182"/>
      <c r="D28" s="1182"/>
      <c r="E28" s="1183"/>
      <c r="F28" s="1184"/>
      <c r="G28" s="1182"/>
      <c r="H28" s="1182"/>
      <c r="I28" s="1185"/>
    </row>
    <row r="29" spans="1:9" ht="21" thickBot="1" x14ac:dyDescent="0.35">
      <c r="A29" s="1186"/>
      <c r="B29" s="1187"/>
      <c r="C29" s="1188"/>
      <c r="D29" s="1189" t="s">
        <v>16</v>
      </c>
      <c r="E29" s="1190" t="s">
        <v>21</v>
      </c>
      <c r="F29" s="1191"/>
      <c r="G29" s="1188"/>
      <c r="H29" s="1188"/>
      <c r="I29" s="1192"/>
    </row>
    <row r="30" spans="1:9" ht="20.25" x14ac:dyDescent="0.3">
      <c r="A30" s="1193" t="s">
        <v>23</v>
      </c>
      <c r="B30" s="1194"/>
      <c r="C30" s="1195"/>
      <c r="D30" s="1196">
        <v>25000</v>
      </c>
      <c r="E30" s="1197" t="s">
        <v>19</v>
      </c>
      <c r="F30" s="1198" t="s">
        <v>145</v>
      </c>
      <c r="G30" s="1198"/>
      <c r="H30" s="1199"/>
      <c r="I30" s="1200"/>
    </row>
    <row r="31" spans="1:9" ht="20.25" x14ac:dyDescent="0.3">
      <c r="A31" s="1201" t="s">
        <v>24</v>
      </c>
      <c r="B31" s="1202"/>
      <c r="C31" s="1203"/>
      <c r="D31" s="1196">
        <v>5</v>
      </c>
      <c r="E31" s="1148" t="s">
        <v>146</v>
      </c>
      <c r="F31" s="1204" t="s">
        <v>147</v>
      </c>
      <c r="G31" s="1204"/>
      <c r="H31" s="1205"/>
      <c r="I31" s="1206"/>
    </row>
    <row r="32" spans="1:9" ht="20.25" x14ac:dyDescent="0.3">
      <c r="A32" s="1201" t="s">
        <v>26</v>
      </c>
      <c r="B32" s="1202"/>
      <c r="C32" s="1203"/>
      <c r="D32" s="1196">
        <v>25000</v>
      </c>
      <c r="E32" s="1148" t="s">
        <v>20</v>
      </c>
      <c r="F32" s="1204" t="s">
        <v>148</v>
      </c>
      <c r="G32" s="1204"/>
      <c r="H32" s="1205"/>
      <c r="I32" s="1206"/>
    </row>
    <row r="33" spans="1:9" ht="20.25" x14ac:dyDescent="0.3">
      <c r="A33" s="1201" t="s">
        <v>27</v>
      </c>
      <c r="B33" s="1202"/>
      <c r="C33" s="1203"/>
      <c r="D33" s="1196">
        <v>1</v>
      </c>
      <c r="E33" s="1148" t="s">
        <v>38</v>
      </c>
      <c r="F33" s="1207" t="s">
        <v>149</v>
      </c>
      <c r="G33" s="1208"/>
      <c r="H33" s="1205"/>
      <c r="I33" s="1206"/>
    </row>
    <row r="34" spans="1:9" ht="21" thickBot="1" x14ac:dyDescent="0.35">
      <c r="A34" s="1209" t="s">
        <v>28</v>
      </c>
      <c r="B34" s="1210"/>
      <c r="C34" s="1211"/>
      <c r="D34" s="1212">
        <f>SUM(E10:E13)-D30</f>
        <v>372</v>
      </c>
      <c r="E34" s="1213" t="s">
        <v>19</v>
      </c>
      <c r="F34" s="1214"/>
      <c r="G34" s="1214"/>
      <c r="H34" s="1215"/>
      <c r="I34" s="1216"/>
    </row>
    <row r="35" spans="1:9" ht="21" thickBot="1" x14ac:dyDescent="0.35">
      <c r="A35" s="1225" t="s">
        <v>29</v>
      </c>
      <c r="B35" s="1226"/>
      <c r="C35" s="1226"/>
      <c r="D35" s="1226"/>
      <c r="E35" s="1226"/>
      <c r="F35" s="1226"/>
      <c r="G35" s="1226"/>
      <c r="H35" s="1226"/>
      <c r="I35" s="1227"/>
    </row>
    <row r="36" spans="1:9" ht="24" customHeight="1" thickBot="1" x14ac:dyDescent="0.3">
      <c r="A36" s="1217" t="s">
        <v>315</v>
      </c>
      <c r="B36" s="1218"/>
      <c r="C36" s="1218"/>
      <c r="D36" s="1218"/>
      <c r="E36" s="1218"/>
      <c r="F36" s="1218"/>
      <c r="G36" s="1218"/>
      <c r="H36" s="1218"/>
      <c r="I36" s="1219"/>
    </row>
    <row r="37" spans="1:9" ht="25.5" customHeight="1" thickBot="1" x14ac:dyDescent="0.3">
      <c r="A37" s="1217" t="s">
        <v>44</v>
      </c>
      <c r="B37" s="1218"/>
      <c r="C37" s="1218"/>
      <c r="D37" s="1218"/>
      <c r="E37" s="1218"/>
      <c r="F37" s="1218"/>
      <c r="G37" s="1218"/>
      <c r="H37" s="1218"/>
      <c r="I37" s="1219"/>
    </row>
    <row r="38" spans="1:9" ht="21" thickBot="1" x14ac:dyDescent="0.3">
      <c r="A38" s="1217"/>
      <c r="B38" s="1218"/>
      <c r="C38" s="1218"/>
      <c r="D38" s="1218"/>
      <c r="E38" s="1218"/>
      <c r="F38" s="1218"/>
      <c r="G38" s="1218"/>
      <c r="H38" s="1218"/>
      <c r="I38" s="1219"/>
    </row>
    <row r="39" spans="1:9" ht="20.25" x14ac:dyDescent="0.25">
      <c r="A39" s="1217"/>
      <c r="B39" s="1218"/>
      <c r="C39" s="1218"/>
      <c r="D39" s="1218"/>
      <c r="E39" s="1218"/>
      <c r="F39" s="1218"/>
      <c r="G39" s="1218"/>
      <c r="H39" s="1218"/>
      <c r="I39" s="1219"/>
    </row>
    <row r="40" spans="1:9" ht="20.25" x14ac:dyDescent="0.3">
      <c r="A40" s="1220"/>
      <c r="B40" s="1221"/>
      <c r="C40" s="1222"/>
      <c r="D40" s="1222"/>
      <c r="E40" s="1222"/>
      <c r="F40" s="1222"/>
      <c r="G40" s="1222"/>
      <c r="H40" s="1222"/>
      <c r="I40" s="1223"/>
    </row>
    <row r="41" spans="1:9" ht="20.25" x14ac:dyDescent="0.3">
      <c r="A41" s="1228"/>
      <c r="B41" s="1229"/>
      <c r="C41" s="1229"/>
      <c r="D41" s="1229"/>
      <c r="E41" s="1229"/>
      <c r="F41" s="1229"/>
      <c r="G41" s="1229"/>
      <c r="H41" s="1229"/>
      <c r="I41" s="1230"/>
    </row>
    <row r="42" spans="1:9" ht="20.25" x14ac:dyDescent="0.3">
      <c r="A42" s="1231" t="s">
        <v>30</v>
      </c>
      <c r="B42" s="1231"/>
      <c r="C42" s="1231"/>
      <c r="D42" s="1231"/>
      <c r="E42" s="1231"/>
      <c r="F42" s="1231"/>
      <c r="G42" s="1231"/>
      <c r="H42" s="1231"/>
      <c r="I42" s="1231"/>
    </row>
    <row r="43" spans="1:9" ht="20.25" x14ac:dyDescent="0.3">
      <c r="A43" s="1220"/>
      <c r="B43" s="1221"/>
      <c r="C43" s="1222"/>
      <c r="D43" s="1222"/>
      <c r="E43" s="1222"/>
      <c r="F43" s="1222"/>
      <c r="G43" s="1222"/>
      <c r="H43" s="1222"/>
      <c r="I43" s="1223"/>
    </row>
    <row r="44" spans="1:9" ht="20.25" x14ac:dyDescent="0.3">
      <c r="A44" s="1220"/>
      <c r="B44" s="1221"/>
      <c r="C44" s="1222"/>
      <c r="D44" s="1222"/>
      <c r="E44" s="1222"/>
      <c r="F44" s="1222"/>
      <c r="G44" s="1222"/>
      <c r="H44" s="1222"/>
      <c r="I44" s="1223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0:C30"/>
    <mergeCell ref="F30:G30"/>
    <mergeCell ref="H30:I30"/>
    <mergeCell ref="A31:C31"/>
    <mergeCell ref="F31:G31"/>
    <mergeCell ref="H31:I31"/>
    <mergeCell ref="A37:I37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I35"/>
    <mergeCell ref="A36:I36"/>
    <mergeCell ref="A44:I44"/>
    <mergeCell ref="A38:I38"/>
    <mergeCell ref="A39:I39"/>
    <mergeCell ref="A40:I40"/>
    <mergeCell ref="A43:I43"/>
    <mergeCell ref="A41:I41"/>
    <mergeCell ref="A42:I42"/>
  </mergeCells>
  <pageMargins left="0.7" right="0.7" top="0.75" bottom="0.75" header="0.3" footer="0.3"/>
  <pageSetup scale="4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8BB1-B65A-4ECD-97CC-F62BD769D4D0}">
  <dimension ref="A1:I60"/>
  <sheetViews>
    <sheetView zoomScale="70" zoomScaleNormal="70" workbookViewId="0">
      <selection sqref="A1:XFD1048576"/>
    </sheetView>
  </sheetViews>
  <sheetFormatPr baseColWidth="10" defaultRowHeight="15" x14ac:dyDescent="0.25"/>
  <cols>
    <col min="1" max="1" width="13.85546875" bestFit="1" customWidth="1"/>
    <col min="2" max="2" width="14.42578125" bestFit="1" customWidth="1"/>
    <col min="3" max="3" width="49" customWidth="1"/>
    <col min="4" max="4" width="34.42578125" bestFit="1" customWidth="1"/>
    <col min="8" max="8" width="47.5703125" bestFit="1" customWidth="1"/>
    <col min="9" max="9" width="23.28515625" bestFit="1" customWidth="1"/>
  </cols>
  <sheetData>
    <row r="1" spans="1:9" ht="18.75" x14ac:dyDescent="0.25">
      <c r="A1" s="1012"/>
      <c r="B1" s="1013"/>
      <c r="C1" s="1018" t="s">
        <v>0</v>
      </c>
      <c r="D1" s="1018"/>
      <c r="E1" s="1018"/>
      <c r="F1" s="1018"/>
      <c r="G1" s="1018"/>
      <c r="H1" s="429" t="s">
        <v>1</v>
      </c>
      <c r="I1" s="430" t="s">
        <v>247</v>
      </c>
    </row>
    <row r="2" spans="1:9" ht="18" customHeight="1" thickBot="1" x14ac:dyDescent="0.3">
      <c r="A2" s="1014"/>
      <c r="B2" s="1015"/>
      <c r="C2" s="1019" t="s">
        <v>3</v>
      </c>
      <c r="D2" s="1020"/>
      <c r="E2" s="1020"/>
      <c r="F2" s="1020"/>
      <c r="G2" s="1021"/>
      <c r="H2" s="431" t="s">
        <v>4</v>
      </c>
      <c r="I2" s="432" t="s">
        <v>248</v>
      </c>
    </row>
    <row r="3" spans="1:9" ht="31.5" customHeight="1" thickBot="1" x14ac:dyDescent="0.3">
      <c r="A3" s="1014"/>
      <c r="B3" s="1015"/>
      <c r="C3" s="1022" t="s">
        <v>249</v>
      </c>
      <c r="D3" s="1023"/>
      <c r="E3" s="1023"/>
      <c r="F3" s="1023"/>
      <c r="G3" s="1024"/>
      <c r="H3" s="1025" t="s">
        <v>6</v>
      </c>
      <c r="I3" s="1003">
        <v>45615</v>
      </c>
    </row>
    <row r="4" spans="1:9" ht="18" customHeight="1" x14ac:dyDescent="0.25">
      <c r="A4" s="1014"/>
      <c r="B4" s="1015"/>
      <c r="C4" s="433" t="s">
        <v>7</v>
      </c>
      <c r="D4" s="1006" t="s">
        <v>152</v>
      </c>
      <c r="E4" s="1007"/>
      <c r="F4" s="1007"/>
      <c r="G4" s="1008"/>
      <c r="H4" s="1026"/>
      <c r="I4" s="1004"/>
    </row>
    <row r="5" spans="1:9" ht="19.5" thickBot="1" x14ac:dyDescent="0.3">
      <c r="A5" s="1016"/>
      <c r="B5" s="1017"/>
      <c r="C5" s="434" t="s">
        <v>8</v>
      </c>
      <c r="D5" s="1009" t="s">
        <v>135</v>
      </c>
      <c r="E5" s="1010"/>
      <c r="F5" s="1010"/>
      <c r="G5" s="1011"/>
      <c r="H5" s="1027"/>
      <c r="I5" s="1005"/>
    </row>
    <row r="6" spans="1:9" ht="20.25" thickBot="1" x14ac:dyDescent="0.35">
      <c r="A6" s="1028" t="s">
        <v>9</v>
      </c>
      <c r="B6" s="1028"/>
      <c r="C6" s="1028"/>
      <c r="D6" s="1029" t="s">
        <v>136</v>
      </c>
      <c r="E6" s="1029"/>
      <c r="F6" s="1029"/>
      <c r="G6" s="1030" t="s">
        <v>10</v>
      </c>
      <c r="H6" s="1030"/>
      <c r="I6" s="435" t="s">
        <v>136</v>
      </c>
    </row>
    <row r="7" spans="1:9" ht="37.5" x14ac:dyDescent="0.25">
      <c r="A7" s="1031" t="s">
        <v>137</v>
      </c>
      <c r="B7" s="1033" t="s">
        <v>11</v>
      </c>
      <c r="C7" s="1035" t="s">
        <v>12</v>
      </c>
      <c r="D7" s="1035" t="s">
        <v>13</v>
      </c>
      <c r="E7" s="1035" t="s">
        <v>138</v>
      </c>
      <c r="F7" s="1035"/>
      <c r="G7" s="1035" t="s">
        <v>139</v>
      </c>
      <c r="H7" s="1035"/>
      <c r="I7" s="436" t="s">
        <v>140</v>
      </c>
    </row>
    <row r="8" spans="1:9" ht="57" thickBot="1" x14ac:dyDescent="0.3">
      <c r="A8" s="1032"/>
      <c r="B8" s="1034"/>
      <c r="C8" s="1036"/>
      <c r="D8" s="1036"/>
      <c r="E8" s="437" t="s">
        <v>16</v>
      </c>
      <c r="F8" s="438" t="s">
        <v>17</v>
      </c>
      <c r="G8" s="437" t="s">
        <v>16</v>
      </c>
      <c r="H8" s="438" t="s">
        <v>17</v>
      </c>
      <c r="I8" s="439" t="s">
        <v>141</v>
      </c>
    </row>
    <row r="9" spans="1:9" ht="18.399999999999999" customHeight="1" x14ac:dyDescent="0.3">
      <c r="A9" s="440"/>
      <c r="B9" s="441"/>
      <c r="C9" s="442" t="s">
        <v>142</v>
      </c>
      <c r="D9" s="443"/>
      <c r="E9" s="444"/>
      <c r="F9" s="445"/>
      <c r="G9" s="444"/>
      <c r="H9" s="445"/>
      <c r="I9" s="446"/>
    </row>
    <row r="10" spans="1:9" ht="18" customHeight="1" x14ac:dyDescent="0.3">
      <c r="A10" s="447">
        <v>11400047</v>
      </c>
      <c r="B10" s="447" t="s">
        <v>173</v>
      </c>
      <c r="C10" s="448" t="s">
        <v>174</v>
      </c>
      <c r="D10" s="449" t="s">
        <v>175</v>
      </c>
      <c r="E10" s="450">
        <v>12230</v>
      </c>
      <c r="F10" s="451" t="s">
        <v>250</v>
      </c>
      <c r="G10" s="452"/>
      <c r="H10" s="453"/>
      <c r="I10" s="446"/>
    </row>
    <row r="11" spans="1:9" ht="19.5" x14ac:dyDescent="0.3">
      <c r="A11" s="454" t="s">
        <v>251</v>
      </c>
      <c r="B11" s="455" t="s">
        <v>252</v>
      </c>
      <c r="C11" s="456" t="s">
        <v>253</v>
      </c>
      <c r="D11" s="457" t="s">
        <v>254</v>
      </c>
      <c r="E11" s="458">
        <v>17430</v>
      </c>
      <c r="F11" s="459" t="s">
        <v>19</v>
      </c>
      <c r="G11" s="452"/>
      <c r="H11" s="453"/>
      <c r="I11" s="446"/>
    </row>
    <row r="12" spans="1:9" ht="19.5" x14ac:dyDescent="0.3">
      <c r="A12" s="460">
        <v>11400046</v>
      </c>
      <c r="B12" s="461" t="s">
        <v>255</v>
      </c>
      <c r="C12" s="462" t="s">
        <v>256</v>
      </c>
      <c r="D12" s="463" t="s">
        <v>254</v>
      </c>
      <c r="E12" s="463">
        <v>17430</v>
      </c>
      <c r="F12" s="463" t="s">
        <v>19</v>
      </c>
      <c r="G12" s="464"/>
      <c r="H12" s="453"/>
      <c r="I12" s="446"/>
    </row>
    <row r="13" spans="1:9" ht="19.5" x14ac:dyDescent="0.3">
      <c r="A13" s="460">
        <v>11400031</v>
      </c>
      <c r="B13" s="461" t="s">
        <v>257</v>
      </c>
      <c r="C13" s="462" t="s">
        <v>258</v>
      </c>
      <c r="D13" s="463" t="s">
        <v>259</v>
      </c>
      <c r="E13" s="463">
        <v>14000</v>
      </c>
      <c r="F13" s="463" t="s">
        <v>19</v>
      </c>
      <c r="G13" s="464"/>
      <c r="H13" s="453"/>
      <c r="I13" s="446"/>
    </row>
    <row r="14" spans="1:9" ht="19.5" x14ac:dyDescent="0.3">
      <c r="A14" s="465">
        <v>90100131</v>
      </c>
      <c r="B14" s="465" t="s">
        <v>260</v>
      </c>
      <c r="C14" s="456" t="s">
        <v>261</v>
      </c>
      <c r="D14" s="450" t="s">
        <v>18</v>
      </c>
      <c r="E14" s="466">
        <v>1475</v>
      </c>
      <c r="F14" s="451" t="s">
        <v>19</v>
      </c>
      <c r="G14" s="464"/>
      <c r="H14" s="453"/>
      <c r="I14" s="446"/>
    </row>
    <row r="15" spans="1:9" ht="19.5" x14ac:dyDescent="0.3">
      <c r="A15" s="465">
        <v>1212410</v>
      </c>
      <c r="B15" s="465" t="s">
        <v>204</v>
      </c>
      <c r="C15" s="456" t="s">
        <v>262</v>
      </c>
      <c r="D15" s="450" t="s">
        <v>206</v>
      </c>
      <c r="E15" s="466">
        <v>140</v>
      </c>
      <c r="F15" s="451" t="s">
        <v>19</v>
      </c>
      <c r="G15" s="464"/>
      <c r="H15" s="453"/>
      <c r="I15" s="446"/>
    </row>
    <row r="16" spans="1:9" ht="19.5" x14ac:dyDescent="0.3">
      <c r="A16" s="465"/>
      <c r="B16" s="465"/>
      <c r="C16" s="456"/>
      <c r="D16" s="450"/>
      <c r="E16" s="466"/>
      <c r="F16" s="451"/>
      <c r="G16" s="464"/>
      <c r="H16" s="453"/>
      <c r="I16" s="446"/>
    </row>
    <row r="17" spans="1:9" ht="19.5" x14ac:dyDescent="0.3">
      <c r="A17" s="465"/>
      <c r="B17" s="465"/>
      <c r="C17" s="456"/>
      <c r="D17" s="450"/>
      <c r="E17" s="466"/>
      <c r="F17" s="451"/>
      <c r="G17" s="464"/>
      <c r="H17" s="453"/>
      <c r="I17" s="446"/>
    </row>
    <row r="18" spans="1:9" ht="19.5" x14ac:dyDescent="0.3">
      <c r="A18" s="465"/>
      <c r="B18" s="465"/>
      <c r="C18" s="456"/>
      <c r="D18" s="450"/>
      <c r="E18" s="466"/>
      <c r="F18" s="451"/>
      <c r="G18" s="464"/>
      <c r="H18" s="453"/>
      <c r="I18" s="446"/>
    </row>
    <row r="19" spans="1:9" ht="19.5" x14ac:dyDescent="0.3">
      <c r="A19" s="465"/>
      <c r="B19" s="465"/>
      <c r="C19" s="456"/>
      <c r="D19" s="450"/>
      <c r="E19" s="466"/>
      <c r="F19" s="451"/>
      <c r="G19" s="464"/>
      <c r="H19" s="453"/>
      <c r="I19" s="446"/>
    </row>
    <row r="20" spans="1:9" ht="19.5" x14ac:dyDescent="0.3">
      <c r="A20" s="467"/>
      <c r="B20" s="465"/>
      <c r="C20" s="468"/>
      <c r="D20" s="469"/>
      <c r="E20" s="469"/>
      <c r="F20" s="469"/>
      <c r="G20" s="444"/>
      <c r="H20" s="453"/>
      <c r="I20" s="446"/>
    </row>
    <row r="21" spans="1:9" ht="19.5" x14ac:dyDescent="0.3">
      <c r="A21" s="470"/>
      <c r="B21" s="471"/>
      <c r="C21" s="472" t="s">
        <v>158</v>
      </c>
      <c r="D21" s="466"/>
      <c r="E21" s="473"/>
      <c r="F21" s="451"/>
      <c r="G21" s="444"/>
      <c r="H21" s="445"/>
      <c r="I21" s="446"/>
    </row>
    <row r="22" spans="1:9" ht="19.5" x14ac:dyDescent="0.3">
      <c r="A22" s="474"/>
      <c r="B22" s="475"/>
      <c r="C22" s="476"/>
      <c r="D22" s="477"/>
      <c r="E22" s="478"/>
      <c r="F22" s="479"/>
      <c r="G22" s="444"/>
      <c r="H22" s="445"/>
      <c r="I22" s="446"/>
    </row>
    <row r="23" spans="1:9" ht="19.5" x14ac:dyDescent="0.3">
      <c r="A23" s="474"/>
      <c r="B23" s="475"/>
      <c r="C23" s="476"/>
      <c r="D23" s="477"/>
      <c r="E23" s="480"/>
      <c r="F23" s="479"/>
      <c r="G23" s="444"/>
      <c r="H23" s="445"/>
      <c r="I23" s="446"/>
    </row>
    <row r="24" spans="1:9" ht="19.5" x14ac:dyDescent="0.3">
      <c r="A24" s="474"/>
      <c r="B24" s="475"/>
      <c r="C24" s="476"/>
      <c r="D24" s="477"/>
      <c r="E24" s="478"/>
      <c r="F24" s="479"/>
      <c r="G24" s="444"/>
      <c r="H24" s="445"/>
      <c r="I24" s="446"/>
    </row>
    <row r="25" spans="1:9" ht="19.5" x14ac:dyDescent="0.3">
      <c r="A25" s="474"/>
      <c r="B25" s="475"/>
      <c r="C25" s="476"/>
      <c r="D25" s="477"/>
      <c r="E25" s="481"/>
      <c r="F25" s="482"/>
      <c r="G25" s="444"/>
      <c r="H25" s="445"/>
      <c r="I25" s="446"/>
    </row>
    <row r="26" spans="1:9" ht="19.5" x14ac:dyDescent="0.3">
      <c r="A26" s="474"/>
      <c r="B26" s="475"/>
      <c r="C26" s="476"/>
      <c r="D26" s="477"/>
      <c r="E26" s="483"/>
      <c r="F26" s="482"/>
      <c r="G26" s="444"/>
      <c r="H26" s="445"/>
      <c r="I26" s="446"/>
    </row>
    <row r="27" spans="1:9" ht="19.5" x14ac:dyDescent="0.3">
      <c r="A27" s="484"/>
      <c r="B27" s="484"/>
      <c r="C27" s="485"/>
      <c r="D27" s="486"/>
      <c r="E27" s="487"/>
      <c r="F27" s="488"/>
      <c r="G27" s="444"/>
      <c r="H27" s="445"/>
      <c r="I27" s="446"/>
    </row>
    <row r="28" spans="1:9" ht="19.5" x14ac:dyDescent="0.3">
      <c r="A28" s="465"/>
      <c r="B28" s="465"/>
      <c r="C28" s="468"/>
      <c r="D28" s="489"/>
      <c r="E28" s="490"/>
      <c r="F28" s="488"/>
      <c r="G28" s="444"/>
      <c r="H28" s="445"/>
      <c r="I28" s="446"/>
    </row>
    <row r="29" spans="1:9" ht="19.5" x14ac:dyDescent="0.3">
      <c r="A29" s="465"/>
      <c r="B29" s="465"/>
      <c r="C29" s="468"/>
      <c r="D29" s="489"/>
      <c r="E29" s="491"/>
      <c r="F29" s="492"/>
      <c r="G29" s="444"/>
      <c r="H29" s="445"/>
      <c r="I29" s="446"/>
    </row>
    <row r="30" spans="1:9" ht="19.5" x14ac:dyDescent="0.3">
      <c r="A30" s="493"/>
      <c r="B30" s="494"/>
      <c r="C30" s="495" t="s">
        <v>159</v>
      </c>
      <c r="D30" s="496"/>
      <c r="E30" s="497"/>
      <c r="F30" s="445"/>
      <c r="G30" s="444"/>
      <c r="H30" s="485"/>
      <c r="I30" s="446"/>
    </row>
    <row r="31" spans="1:9" ht="19.5" x14ac:dyDescent="0.3">
      <c r="A31" s="498"/>
      <c r="B31" s="498"/>
      <c r="C31" s="499"/>
      <c r="D31" s="463"/>
      <c r="E31" s="500"/>
      <c r="F31" s="501"/>
      <c r="G31" s="502"/>
      <c r="H31" s="445"/>
      <c r="I31" s="446"/>
    </row>
    <row r="32" spans="1:9" ht="19.5" x14ac:dyDescent="0.3">
      <c r="A32" s="503"/>
      <c r="B32" s="503"/>
      <c r="C32" s="504"/>
      <c r="D32" s="463"/>
      <c r="E32" s="500"/>
      <c r="F32" s="501"/>
      <c r="G32" s="502"/>
      <c r="H32" s="445"/>
      <c r="I32" s="446"/>
    </row>
    <row r="33" spans="1:9" ht="19.5" x14ac:dyDescent="0.3">
      <c r="A33" s="465"/>
      <c r="B33" s="465"/>
      <c r="C33" s="468"/>
      <c r="D33" s="505"/>
      <c r="E33" s="491"/>
      <c r="F33" s="464"/>
      <c r="G33" s="502"/>
      <c r="H33" s="445"/>
      <c r="I33" s="446"/>
    </row>
    <row r="34" spans="1:9" ht="19.5" x14ac:dyDescent="0.3">
      <c r="A34" s="506"/>
      <c r="B34" s="506"/>
      <c r="C34" s="507"/>
      <c r="D34" s="463"/>
      <c r="E34" s="500"/>
      <c r="F34" s="501"/>
      <c r="G34" s="444"/>
      <c r="H34" s="445"/>
      <c r="I34" s="446"/>
    </row>
    <row r="35" spans="1:9" ht="19.5" x14ac:dyDescent="0.3">
      <c r="A35" s="506"/>
      <c r="B35" s="506"/>
      <c r="C35" s="507"/>
      <c r="D35" s="463"/>
      <c r="E35" s="500"/>
      <c r="F35" s="501"/>
      <c r="G35" s="444"/>
      <c r="H35" s="445"/>
      <c r="I35" s="446"/>
    </row>
    <row r="36" spans="1:9" ht="19.5" x14ac:dyDescent="0.3">
      <c r="A36" s="506"/>
      <c r="B36" s="506"/>
      <c r="C36" s="507"/>
      <c r="D36" s="463"/>
      <c r="E36" s="500"/>
      <c r="F36" s="501"/>
      <c r="G36" s="508"/>
      <c r="H36" s="445"/>
      <c r="I36" s="446"/>
    </row>
    <row r="37" spans="1:9" ht="19.5" x14ac:dyDescent="0.3">
      <c r="A37" s="506"/>
      <c r="B37" s="506"/>
      <c r="C37" s="507" t="s">
        <v>164</v>
      </c>
      <c r="D37" s="463"/>
      <c r="E37" s="500"/>
      <c r="F37" s="501"/>
      <c r="G37" s="450"/>
      <c r="H37" s="445"/>
      <c r="I37" s="446"/>
    </row>
    <row r="38" spans="1:9" ht="19.5" x14ac:dyDescent="0.3">
      <c r="A38" s="509"/>
      <c r="B38" s="509"/>
      <c r="C38" s="510"/>
      <c r="D38" s="463"/>
      <c r="E38" s="492"/>
      <c r="F38" s="492"/>
      <c r="G38" s="450"/>
      <c r="H38" s="445"/>
      <c r="I38" s="446"/>
    </row>
    <row r="39" spans="1:9" ht="19.5" x14ac:dyDescent="0.3">
      <c r="A39" s="498"/>
      <c r="B39" s="465"/>
      <c r="C39" s="499"/>
      <c r="D39" s="505"/>
      <c r="E39" s="491"/>
      <c r="F39" s="464"/>
      <c r="G39" s="450"/>
      <c r="H39" s="445"/>
      <c r="I39" s="446"/>
    </row>
    <row r="40" spans="1:9" ht="19.5" x14ac:dyDescent="0.3">
      <c r="A40" s="506"/>
      <c r="B40" s="506"/>
      <c r="C40" s="507"/>
      <c r="D40" s="463"/>
      <c r="E40" s="491"/>
      <c r="F40" s="464"/>
      <c r="G40" s="450"/>
      <c r="H40" s="445"/>
      <c r="I40" s="446"/>
    </row>
    <row r="41" spans="1:9" ht="19.5" x14ac:dyDescent="0.3">
      <c r="A41" s="470"/>
      <c r="B41" s="471"/>
      <c r="C41" s="511"/>
      <c r="D41" s="466"/>
      <c r="E41" s="466"/>
      <c r="F41" s="451"/>
      <c r="G41" s="466"/>
      <c r="H41" s="466"/>
      <c r="I41" s="446"/>
    </row>
    <row r="42" spans="1:9" ht="19.5" thickBot="1" x14ac:dyDescent="0.3">
      <c r="A42" s="512"/>
      <c r="B42" s="513"/>
      <c r="C42" s="514"/>
      <c r="D42" s="514"/>
      <c r="E42" s="515"/>
      <c r="F42" s="516"/>
      <c r="G42" s="514"/>
      <c r="H42" s="514"/>
      <c r="I42" s="517"/>
    </row>
    <row r="43" spans="1:9" ht="19.5" thickBot="1" x14ac:dyDescent="0.3">
      <c r="A43" s="518"/>
      <c r="B43" s="519"/>
      <c r="C43" s="520"/>
      <c r="D43" s="521" t="s">
        <v>16</v>
      </c>
      <c r="E43" s="522" t="s">
        <v>21</v>
      </c>
      <c r="F43" s="523"/>
      <c r="G43" s="520"/>
      <c r="H43" s="520"/>
      <c r="I43" s="524"/>
    </row>
    <row r="44" spans="1:9" ht="18.75" x14ac:dyDescent="0.25">
      <c r="A44" s="1037" t="s">
        <v>23</v>
      </c>
      <c r="B44" s="1038"/>
      <c r="C44" s="1039"/>
      <c r="D44" s="490">
        <v>62500</v>
      </c>
      <c r="E44" s="525" t="s">
        <v>19</v>
      </c>
      <c r="F44" s="1040" t="s">
        <v>145</v>
      </c>
      <c r="G44" s="1040"/>
      <c r="H44" s="1041"/>
      <c r="I44" s="1042"/>
    </row>
    <row r="45" spans="1:9" ht="18.75" x14ac:dyDescent="0.25">
      <c r="A45" s="1043" t="s">
        <v>24</v>
      </c>
      <c r="B45" s="1044"/>
      <c r="C45" s="1045"/>
      <c r="D45" s="491">
        <v>11</v>
      </c>
      <c r="E45" s="464" t="s">
        <v>263</v>
      </c>
      <c r="F45" s="1046" t="s">
        <v>147</v>
      </c>
      <c r="G45" s="1046"/>
      <c r="H45" s="1047"/>
      <c r="I45" s="1048"/>
    </row>
    <row r="46" spans="1:9" ht="18.75" x14ac:dyDescent="0.25">
      <c r="A46" s="1043" t="s">
        <v>26</v>
      </c>
      <c r="B46" s="1044"/>
      <c r="C46" s="1045"/>
      <c r="D46" s="491">
        <v>1</v>
      </c>
      <c r="E46" s="464" t="s">
        <v>264</v>
      </c>
      <c r="F46" s="1046" t="s">
        <v>148</v>
      </c>
      <c r="G46" s="1046"/>
      <c r="H46" s="1047"/>
      <c r="I46" s="1048"/>
    </row>
    <row r="47" spans="1:9" ht="18.75" x14ac:dyDescent="0.25">
      <c r="A47" s="1043" t="s">
        <v>27</v>
      </c>
      <c r="B47" s="1044"/>
      <c r="C47" s="1045"/>
      <c r="D47" s="491">
        <v>62500</v>
      </c>
      <c r="E47" s="464" t="s">
        <v>19</v>
      </c>
      <c r="F47" s="1050" t="s">
        <v>149</v>
      </c>
      <c r="G47" s="1051"/>
      <c r="H47" s="1052"/>
      <c r="I47" s="1053"/>
    </row>
    <row r="48" spans="1:9" ht="19.5" thickBot="1" x14ac:dyDescent="0.3">
      <c r="A48" s="1054" t="s">
        <v>28</v>
      </c>
      <c r="B48" s="1055"/>
      <c r="C48" s="1056"/>
      <c r="D48" s="526">
        <v>205</v>
      </c>
      <c r="E48" s="527" t="s">
        <v>19</v>
      </c>
      <c r="F48" s="1057"/>
      <c r="G48" s="1057"/>
      <c r="H48" s="1047"/>
      <c r="I48" s="1048"/>
    </row>
    <row r="49" spans="1:9" ht="19.5" thickBot="1" x14ac:dyDescent="0.3">
      <c r="A49" s="1058" t="s">
        <v>29</v>
      </c>
      <c r="B49" s="1059"/>
      <c r="C49" s="1059"/>
      <c r="D49" s="1059"/>
      <c r="E49" s="1059"/>
      <c r="F49" s="1059"/>
      <c r="G49" s="1059"/>
      <c r="H49" s="1059"/>
      <c r="I49" s="1060"/>
    </row>
    <row r="50" spans="1:9" ht="18.399999999999999" customHeight="1" x14ac:dyDescent="0.3">
      <c r="A50" s="1061" t="s">
        <v>265</v>
      </c>
      <c r="B50" s="1061"/>
      <c r="C50" s="1061"/>
      <c r="D50" s="1061"/>
      <c r="E50" s="1061"/>
      <c r="F50" s="1061"/>
      <c r="G50" s="1061"/>
      <c r="H50" s="1061"/>
      <c r="I50" s="1061"/>
    </row>
    <row r="51" spans="1:9" ht="19.5" x14ac:dyDescent="0.3">
      <c r="A51" s="1049" t="s">
        <v>266</v>
      </c>
      <c r="B51" s="1049"/>
      <c r="C51" s="1049"/>
      <c r="D51" s="1049"/>
      <c r="E51" s="1049"/>
      <c r="F51" s="1049"/>
      <c r="G51" s="1049"/>
      <c r="H51" s="1049"/>
      <c r="I51" s="1049"/>
    </row>
    <row r="52" spans="1:9" ht="19.5" x14ac:dyDescent="0.3">
      <c r="A52" s="1049" t="s">
        <v>267</v>
      </c>
      <c r="B52" s="1049"/>
      <c r="C52" s="1061"/>
      <c r="D52" s="1061"/>
      <c r="E52" s="1061"/>
      <c r="F52" s="1061"/>
      <c r="G52" s="1061"/>
      <c r="H52" s="1061"/>
      <c r="I52" s="1061"/>
    </row>
    <row r="53" spans="1:9" ht="19.5" x14ac:dyDescent="0.3">
      <c r="A53" s="1061" t="s">
        <v>268</v>
      </c>
      <c r="B53" s="1061"/>
      <c r="C53" s="1061"/>
      <c r="D53" s="1061"/>
      <c r="E53" s="1061"/>
      <c r="F53" s="1061"/>
      <c r="G53" s="1061"/>
      <c r="H53" s="1061"/>
      <c r="I53" s="1061"/>
    </row>
    <row r="54" spans="1:9" ht="19.5" x14ac:dyDescent="0.3">
      <c r="A54" s="1061" t="s">
        <v>269</v>
      </c>
      <c r="B54" s="1061"/>
      <c r="C54" s="1061"/>
      <c r="D54" s="1061"/>
      <c r="E54" s="1061"/>
      <c r="F54" s="1061"/>
      <c r="G54" s="1061"/>
      <c r="H54" s="1061"/>
      <c r="I54" s="1061"/>
    </row>
    <row r="55" spans="1:9" ht="18" customHeight="1" x14ac:dyDescent="0.3">
      <c r="A55" s="1061" t="s">
        <v>270</v>
      </c>
      <c r="B55" s="1061"/>
      <c r="C55" s="1061"/>
      <c r="D55" s="1061"/>
      <c r="E55" s="1061"/>
      <c r="F55" s="1061"/>
      <c r="G55" s="1061"/>
      <c r="H55" s="1061"/>
      <c r="I55" s="1061"/>
    </row>
    <row r="56" spans="1:9" ht="18.75" x14ac:dyDescent="0.25">
      <c r="A56" s="1066"/>
      <c r="B56" s="1067"/>
      <c r="C56" s="1067"/>
      <c r="D56" s="1067"/>
      <c r="E56" s="1067"/>
      <c r="F56" s="1067"/>
      <c r="G56" s="1067"/>
      <c r="H56" s="1067"/>
      <c r="I56" s="1068"/>
    </row>
    <row r="57" spans="1:9" ht="20.25" thickBot="1" x14ac:dyDescent="0.35">
      <c r="A57" s="1069"/>
      <c r="B57" s="1070"/>
      <c r="C57" s="1070"/>
      <c r="D57" s="1070"/>
      <c r="E57" s="1070"/>
      <c r="F57" s="1070"/>
      <c r="G57" s="1070"/>
      <c r="H57" s="1070"/>
      <c r="I57" s="1071"/>
    </row>
    <row r="58" spans="1:9" ht="18.75" x14ac:dyDescent="0.25">
      <c r="A58" s="1062" t="s">
        <v>30</v>
      </c>
      <c r="B58" s="1063"/>
      <c r="C58" s="1063"/>
      <c r="D58" s="1063"/>
      <c r="E58" s="1063"/>
      <c r="F58" s="1063"/>
      <c r="G58" s="1063"/>
      <c r="H58" s="1063"/>
      <c r="I58" s="1063"/>
    </row>
    <row r="59" spans="1:9" ht="18.75" x14ac:dyDescent="0.25">
      <c r="A59" s="1009" t="s">
        <v>271</v>
      </c>
      <c r="B59" s="1010"/>
      <c r="C59" s="1010"/>
      <c r="D59" s="1010"/>
      <c r="E59" s="1010"/>
      <c r="F59" s="1010"/>
      <c r="G59" s="1010"/>
      <c r="H59" s="1010"/>
      <c r="I59" s="1011"/>
    </row>
    <row r="60" spans="1:9" ht="18.75" x14ac:dyDescent="0.25">
      <c r="A60" s="1064"/>
      <c r="B60" s="1065"/>
      <c r="C60" s="1065"/>
      <c r="D60" s="1065"/>
      <c r="E60" s="1065"/>
      <c r="F60" s="1065"/>
      <c r="G60" s="1065"/>
      <c r="H60" s="1065"/>
      <c r="I60" s="1065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6379F-EE45-4BCD-8A9D-1C5E7BDF18DD}">
  <dimension ref="A1:I58"/>
  <sheetViews>
    <sheetView zoomScale="85" zoomScaleNormal="85" workbookViewId="0">
      <selection activeCell="F16" sqref="F16"/>
    </sheetView>
  </sheetViews>
  <sheetFormatPr baseColWidth="10" defaultRowHeight="15" x14ac:dyDescent="0.25"/>
  <cols>
    <col min="2" max="2" width="13.42578125" bestFit="1" customWidth="1"/>
    <col min="3" max="3" width="49" customWidth="1"/>
    <col min="4" max="4" width="34.28515625" bestFit="1" customWidth="1"/>
    <col min="8" max="8" width="33.7109375" bestFit="1" customWidth="1"/>
    <col min="9" max="9" width="21.85546875" bestFit="1" customWidth="1"/>
  </cols>
  <sheetData>
    <row r="1" spans="1:9" ht="17.25" x14ac:dyDescent="0.3">
      <c r="A1" s="1081"/>
      <c r="B1" s="1082"/>
      <c r="C1" s="820" t="s">
        <v>0</v>
      </c>
      <c r="D1" s="820"/>
      <c r="E1" s="820"/>
      <c r="F1" s="820"/>
      <c r="G1" s="820"/>
      <c r="H1" s="528" t="s">
        <v>1</v>
      </c>
      <c r="I1" s="529" t="s">
        <v>272</v>
      </c>
    </row>
    <row r="2" spans="1:9" ht="18" customHeight="1" thickBot="1" x14ac:dyDescent="0.35">
      <c r="A2" s="1083"/>
      <c r="B2" s="1084"/>
      <c r="C2" s="821" t="s">
        <v>3</v>
      </c>
      <c r="D2" s="822"/>
      <c r="E2" s="822"/>
      <c r="F2" s="822"/>
      <c r="G2" s="823"/>
      <c r="H2" s="530" t="s">
        <v>4</v>
      </c>
      <c r="I2" s="531" t="s">
        <v>5</v>
      </c>
    </row>
    <row r="3" spans="1:9" ht="31.5" customHeight="1" thickBot="1" x14ac:dyDescent="0.3">
      <c r="A3" s="1083"/>
      <c r="B3" s="1084"/>
      <c r="C3" s="1087" t="s">
        <v>273</v>
      </c>
      <c r="D3" s="1088"/>
      <c r="E3" s="1088"/>
      <c r="F3" s="1088"/>
      <c r="G3" s="1089"/>
      <c r="H3" s="1090" t="s">
        <v>6</v>
      </c>
      <c r="I3" s="1072">
        <v>45613</v>
      </c>
    </row>
    <row r="4" spans="1:9" ht="18" customHeight="1" x14ac:dyDescent="0.3">
      <c r="A4" s="1083"/>
      <c r="B4" s="1084"/>
      <c r="C4" s="532" t="s">
        <v>7</v>
      </c>
      <c r="D4" s="1075" t="s">
        <v>152</v>
      </c>
      <c r="E4" s="1076"/>
      <c r="F4" s="1076"/>
      <c r="G4" s="1077"/>
      <c r="H4" s="1091"/>
      <c r="I4" s="1073"/>
    </row>
    <row r="5" spans="1:9" ht="18" thickBot="1" x14ac:dyDescent="0.35">
      <c r="A5" s="1085"/>
      <c r="B5" s="1086"/>
      <c r="C5" s="533" t="s">
        <v>8</v>
      </c>
      <c r="D5" s="1078" t="s">
        <v>135</v>
      </c>
      <c r="E5" s="1079"/>
      <c r="F5" s="1079"/>
      <c r="G5" s="1080"/>
      <c r="H5" s="1092"/>
      <c r="I5" s="1074"/>
    </row>
    <row r="6" spans="1:9" ht="16.5" thickBot="1" x14ac:dyDescent="0.3">
      <c r="A6" s="710" t="s">
        <v>9</v>
      </c>
      <c r="B6" s="710"/>
      <c r="C6" s="710"/>
      <c r="D6" s="711" t="s">
        <v>158</v>
      </c>
      <c r="E6" s="711"/>
      <c r="F6" s="711"/>
      <c r="G6" s="712" t="s">
        <v>10</v>
      </c>
      <c r="H6" s="712"/>
      <c r="I6" s="188" t="s">
        <v>274</v>
      </c>
    </row>
    <row r="7" spans="1:9" x14ac:dyDescent="0.25">
      <c r="A7" s="713" t="s">
        <v>137</v>
      </c>
      <c r="B7" s="715" t="s">
        <v>11</v>
      </c>
      <c r="C7" s="717" t="s">
        <v>12</v>
      </c>
      <c r="D7" s="717" t="s">
        <v>13</v>
      </c>
      <c r="E7" s="717" t="s">
        <v>138</v>
      </c>
      <c r="F7" s="717"/>
      <c r="G7" s="717" t="s">
        <v>139</v>
      </c>
      <c r="H7" s="717"/>
      <c r="I7" s="189" t="s">
        <v>140</v>
      </c>
    </row>
    <row r="8" spans="1:9" ht="31.5" thickBot="1" x14ac:dyDescent="0.3">
      <c r="A8" s="714"/>
      <c r="B8" s="716"/>
      <c r="C8" s="718"/>
      <c r="D8" s="718"/>
      <c r="E8" s="190" t="s">
        <v>16</v>
      </c>
      <c r="F8" s="191" t="s">
        <v>17</v>
      </c>
      <c r="G8" s="190" t="s">
        <v>16</v>
      </c>
      <c r="H8" s="191" t="s">
        <v>17</v>
      </c>
      <c r="I8" s="192" t="s">
        <v>141</v>
      </c>
    </row>
    <row r="9" spans="1:9" ht="15.75" x14ac:dyDescent="0.25">
      <c r="A9" s="193"/>
      <c r="B9" s="194"/>
      <c r="C9" s="195" t="s">
        <v>142</v>
      </c>
      <c r="D9" s="196"/>
      <c r="E9" s="197"/>
      <c r="F9" s="198"/>
      <c r="G9" s="197"/>
      <c r="H9" s="198"/>
      <c r="I9" s="199"/>
    </row>
    <row r="10" spans="1:9" ht="18" customHeight="1" x14ac:dyDescent="0.3">
      <c r="A10" s="534">
        <v>310148</v>
      </c>
      <c r="B10" s="535" t="s">
        <v>275</v>
      </c>
      <c r="C10" s="536" t="s">
        <v>276</v>
      </c>
      <c r="D10" s="537" t="s">
        <v>277</v>
      </c>
      <c r="E10" s="538">
        <v>12800</v>
      </c>
      <c r="F10" s="539" t="s">
        <v>19</v>
      </c>
      <c r="G10" s="540"/>
      <c r="H10" s="541"/>
      <c r="I10" s="199"/>
    </row>
    <row r="11" spans="1:9" ht="17.25" x14ac:dyDescent="0.3">
      <c r="A11" s="534">
        <v>11400031</v>
      </c>
      <c r="B11" s="542" t="s">
        <v>257</v>
      </c>
      <c r="C11" s="543" t="s">
        <v>278</v>
      </c>
      <c r="D11" s="537" t="s">
        <v>277</v>
      </c>
      <c r="E11" s="544">
        <v>3200</v>
      </c>
      <c r="F11" s="545" t="s">
        <v>19</v>
      </c>
      <c r="G11" s="540"/>
      <c r="H11" s="541"/>
      <c r="I11" s="199"/>
    </row>
    <row r="12" spans="1:9" ht="17.25" x14ac:dyDescent="0.3">
      <c r="A12" s="534" t="s">
        <v>279</v>
      </c>
      <c r="B12" s="542"/>
      <c r="C12" s="543" t="s">
        <v>280</v>
      </c>
      <c r="D12" s="537" t="s">
        <v>281</v>
      </c>
      <c r="E12" s="544">
        <v>800</v>
      </c>
      <c r="F12" s="545" t="s">
        <v>19</v>
      </c>
      <c r="G12" s="546"/>
      <c r="H12" s="541"/>
      <c r="I12" s="199"/>
    </row>
    <row r="13" spans="1:9" ht="17.25" x14ac:dyDescent="0.3">
      <c r="A13" s="534">
        <v>1212410</v>
      </c>
      <c r="B13" s="542" t="s">
        <v>204</v>
      </c>
      <c r="C13" s="543" t="s">
        <v>262</v>
      </c>
      <c r="D13" s="537" t="s">
        <v>206</v>
      </c>
      <c r="E13" s="544">
        <v>12</v>
      </c>
      <c r="F13" s="545" t="s">
        <v>19</v>
      </c>
      <c r="G13" s="546"/>
      <c r="H13" s="541"/>
      <c r="I13" s="199"/>
    </row>
    <row r="14" spans="1:9" ht="17.25" x14ac:dyDescent="0.3">
      <c r="A14" s="547"/>
      <c r="B14" s="548"/>
      <c r="C14" s="549"/>
      <c r="D14" s="546"/>
      <c r="E14" s="546"/>
      <c r="F14" s="550"/>
      <c r="G14" s="546"/>
      <c r="H14" s="541"/>
      <c r="I14" s="199"/>
    </row>
    <row r="15" spans="1:9" ht="17.25" x14ac:dyDescent="0.3">
      <c r="A15" s="551"/>
      <c r="B15" s="548"/>
      <c r="C15" s="552"/>
      <c r="D15" s="546"/>
      <c r="E15" s="546"/>
      <c r="F15" s="550"/>
      <c r="G15" s="546"/>
      <c r="H15" s="541"/>
      <c r="I15" s="199"/>
    </row>
    <row r="16" spans="1:9" ht="17.25" x14ac:dyDescent="0.3">
      <c r="A16" s="546"/>
      <c r="B16" s="546"/>
      <c r="C16" s="553"/>
      <c r="D16" s="554"/>
      <c r="E16" s="554"/>
      <c r="F16" s="540"/>
      <c r="G16" s="546"/>
      <c r="H16" s="541"/>
      <c r="I16" s="199"/>
    </row>
    <row r="17" spans="1:9" ht="17.25" x14ac:dyDescent="0.3">
      <c r="A17" s="548"/>
      <c r="B17" s="548"/>
      <c r="C17" s="555"/>
      <c r="D17" s="546"/>
      <c r="E17" s="546"/>
      <c r="F17" s="550"/>
      <c r="G17" s="546"/>
      <c r="H17" s="541"/>
      <c r="I17" s="199"/>
    </row>
    <row r="18" spans="1:9" ht="17.25" x14ac:dyDescent="0.3">
      <c r="A18" s="547"/>
      <c r="B18" s="548"/>
      <c r="C18" s="549"/>
      <c r="D18" s="546"/>
      <c r="E18" s="546"/>
      <c r="F18" s="550"/>
      <c r="G18" s="546"/>
      <c r="H18" s="541"/>
      <c r="I18" s="199"/>
    </row>
    <row r="19" spans="1:9" ht="17.25" x14ac:dyDescent="0.3">
      <c r="A19" s="48"/>
      <c r="B19" s="48"/>
      <c r="C19" s="556"/>
      <c r="D19" s="557"/>
      <c r="E19" s="200"/>
      <c r="F19" s="181"/>
      <c r="G19" s="197"/>
      <c r="H19" s="541"/>
      <c r="I19" s="199"/>
    </row>
    <row r="20" spans="1:9" ht="15.75" x14ac:dyDescent="0.25">
      <c r="A20" s="206"/>
      <c r="B20" s="207"/>
      <c r="C20" s="250" t="s">
        <v>158</v>
      </c>
      <c r="D20" s="205"/>
      <c r="E20" s="558"/>
      <c r="F20" s="203"/>
      <c r="G20" s="197"/>
      <c r="H20" s="198"/>
      <c r="I20" s="199"/>
    </row>
    <row r="21" spans="1:9" ht="17.25" x14ac:dyDescent="0.3">
      <c r="A21" s="534"/>
      <c r="B21" s="559"/>
      <c r="C21" s="536"/>
      <c r="D21" s="537"/>
      <c r="E21" s="544"/>
      <c r="F21" s="545"/>
      <c r="G21" s="197"/>
      <c r="H21" s="198"/>
      <c r="I21" s="199"/>
    </row>
    <row r="22" spans="1:9" ht="17.25" x14ac:dyDescent="0.3">
      <c r="A22" s="534"/>
      <c r="B22" s="559"/>
      <c r="C22" s="536"/>
      <c r="D22" s="537"/>
      <c r="E22" s="560"/>
      <c r="F22" s="545"/>
      <c r="G22" s="197"/>
      <c r="H22" s="198"/>
      <c r="I22" s="199"/>
    </row>
    <row r="23" spans="1:9" ht="17.25" x14ac:dyDescent="0.3">
      <c r="A23" s="534"/>
      <c r="B23" s="559"/>
      <c r="C23" s="536"/>
      <c r="D23" s="537"/>
      <c r="E23" s="544"/>
      <c r="F23" s="545"/>
      <c r="G23" s="197"/>
      <c r="H23" s="198"/>
      <c r="I23" s="199"/>
    </row>
    <row r="24" spans="1:9" ht="17.25" x14ac:dyDescent="0.3">
      <c r="A24" s="534"/>
      <c r="B24" s="559"/>
      <c r="C24" s="536"/>
      <c r="D24" s="537"/>
      <c r="E24" s="561"/>
      <c r="F24" s="562"/>
      <c r="G24" s="197"/>
      <c r="H24" s="198"/>
      <c r="I24" s="199"/>
    </row>
    <row r="25" spans="1:9" ht="17.25" x14ac:dyDescent="0.3">
      <c r="A25" s="534"/>
      <c r="B25" s="559"/>
      <c r="C25" s="536"/>
      <c r="D25" s="537"/>
      <c r="E25" s="538"/>
      <c r="F25" s="562"/>
      <c r="G25" s="197"/>
      <c r="H25" s="198"/>
      <c r="I25" s="199"/>
    </row>
    <row r="26" spans="1:9" ht="17.25" x14ac:dyDescent="0.3">
      <c r="A26" s="563"/>
      <c r="B26" s="563"/>
      <c r="C26" s="564"/>
      <c r="D26" s="565"/>
      <c r="E26" s="566"/>
      <c r="F26" s="567"/>
      <c r="G26" s="197"/>
      <c r="H26" s="198"/>
      <c r="I26" s="199"/>
    </row>
    <row r="27" spans="1:9" ht="17.25" x14ac:dyDescent="0.3">
      <c r="A27" s="48"/>
      <c r="B27" s="48"/>
      <c r="C27" s="556"/>
      <c r="D27" s="568"/>
      <c r="E27" s="569"/>
      <c r="F27" s="567"/>
      <c r="G27" s="197"/>
      <c r="H27" s="198"/>
      <c r="I27" s="199"/>
    </row>
    <row r="28" spans="1:9" ht="17.25" x14ac:dyDescent="0.3">
      <c r="A28" s="48"/>
      <c r="B28" s="48"/>
      <c r="C28" s="556"/>
      <c r="D28" s="568"/>
      <c r="E28" s="560"/>
      <c r="F28" s="201"/>
      <c r="G28" s="197"/>
      <c r="H28" s="198"/>
      <c r="I28" s="199"/>
    </row>
    <row r="29" spans="1:9" ht="15.75" x14ac:dyDescent="0.25">
      <c r="A29" s="570"/>
      <c r="B29" s="571"/>
      <c r="C29" s="266" t="s">
        <v>159</v>
      </c>
      <c r="D29" s="572"/>
      <c r="E29" s="573"/>
      <c r="F29" s="198"/>
      <c r="G29" s="197"/>
      <c r="H29" s="564"/>
      <c r="I29" s="199"/>
    </row>
    <row r="30" spans="1:9" ht="17.25" x14ac:dyDescent="0.3">
      <c r="A30" s="204">
        <v>702123</v>
      </c>
      <c r="B30" s="204" t="s">
        <v>74</v>
      </c>
      <c r="C30" s="208" t="s">
        <v>208</v>
      </c>
      <c r="D30" s="574" t="s">
        <v>282</v>
      </c>
      <c r="E30" s="575">
        <v>1</v>
      </c>
      <c r="F30" s="576" t="s">
        <v>20</v>
      </c>
      <c r="G30" s="577"/>
      <c r="H30" s="198"/>
      <c r="I30" s="199"/>
    </row>
    <row r="31" spans="1:9" ht="17.25" x14ac:dyDescent="0.3">
      <c r="A31" s="204"/>
      <c r="B31" s="204"/>
      <c r="C31" s="208"/>
      <c r="D31" s="574"/>
      <c r="E31" s="575"/>
      <c r="F31" s="576"/>
      <c r="G31" s="577"/>
      <c r="H31" s="198"/>
      <c r="I31" s="199"/>
    </row>
    <row r="32" spans="1:9" ht="17.25" x14ac:dyDescent="0.3">
      <c r="A32" s="204"/>
      <c r="B32" s="204"/>
      <c r="C32" s="208"/>
      <c r="D32" s="574"/>
      <c r="E32" s="575"/>
      <c r="F32" s="576"/>
      <c r="G32" s="577"/>
      <c r="H32" s="198"/>
      <c r="I32" s="199"/>
    </row>
    <row r="33" spans="1:9" ht="15.75" x14ac:dyDescent="0.25">
      <c r="A33" s="578"/>
      <c r="B33" s="578"/>
      <c r="C33" s="579"/>
      <c r="D33" s="74"/>
      <c r="E33" s="580"/>
      <c r="F33" s="581"/>
      <c r="G33" s="197"/>
      <c r="H33" s="198"/>
      <c r="I33" s="199"/>
    </row>
    <row r="34" spans="1:9" ht="15.75" x14ac:dyDescent="0.25">
      <c r="A34" s="578"/>
      <c r="B34" s="578"/>
      <c r="C34" s="582"/>
      <c r="D34" s="74"/>
      <c r="E34" s="74"/>
      <c r="F34" s="581"/>
      <c r="G34" s="197"/>
      <c r="H34" s="198"/>
      <c r="I34" s="199"/>
    </row>
    <row r="35" spans="1:9" ht="15.75" x14ac:dyDescent="0.25">
      <c r="A35" s="578"/>
      <c r="B35" s="578"/>
      <c r="C35" s="582"/>
      <c r="D35" s="74"/>
      <c r="E35" s="74"/>
      <c r="F35" s="581"/>
      <c r="G35" s="583"/>
      <c r="H35" s="198"/>
      <c r="I35" s="199"/>
    </row>
    <row r="36" spans="1:9" ht="15.75" x14ac:dyDescent="0.25">
      <c r="A36" s="584"/>
      <c r="B36" s="585"/>
      <c r="C36" s="586"/>
      <c r="D36" s="50"/>
      <c r="E36" s="50"/>
      <c r="F36" s="587"/>
      <c r="G36" s="202"/>
      <c r="H36" s="198"/>
      <c r="I36" s="199"/>
    </row>
    <row r="37" spans="1:9" ht="15.75" x14ac:dyDescent="0.25">
      <c r="A37" s="206"/>
      <c r="B37" s="207"/>
      <c r="C37" s="208"/>
      <c r="D37" s="74"/>
      <c r="E37" s="202"/>
      <c r="F37" s="203"/>
      <c r="G37" s="202"/>
      <c r="H37" s="198"/>
      <c r="I37" s="199"/>
    </row>
    <row r="38" spans="1:9" ht="15.75" x14ac:dyDescent="0.25">
      <c r="A38" s="206"/>
      <c r="B38" s="207"/>
      <c r="C38" s="208"/>
      <c r="D38" s="205"/>
      <c r="E38" s="205"/>
      <c r="F38" s="203"/>
      <c r="G38" s="205"/>
      <c r="H38" s="205"/>
      <c r="I38" s="199"/>
    </row>
    <row r="39" spans="1:9" ht="18" thickBot="1" x14ac:dyDescent="0.35">
      <c r="A39" s="209"/>
      <c r="B39" s="210"/>
      <c r="C39" s="211"/>
      <c r="D39" s="211"/>
      <c r="E39" s="212"/>
      <c r="F39" s="213"/>
      <c r="G39" s="211"/>
      <c r="H39" s="211"/>
      <c r="I39" s="214"/>
    </row>
    <row r="40" spans="1:9" ht="18" thickBot="1" x14ac:dyDescent="0.35">
      <c r="A40" s="215"/>
      <c r="B40" s="216"/>
      <c r="C40" s="217"/>
      <c r="D40" s="218" t="s">
        <v>16</v>
      </c>
      <c r="E40" s="219" t="s">
        <v>21</v>
      </c>
      <c r="F40" s="220"/>
      <c r="G40" s="217"/>
      <c r="H40" s="217"/>
      <c r="I40" s="221"/>
    </row>
    <row r="41" spans="1:9" ht="17.25" x14ac:dyDescent="0.3">
      <c r="A41" s="719" t="s">
        <v>23</v>
      </c>
      <c r="B41" s="720"/>
      <c r="C41" s="721"/>
      <c r="D41" s="569">
        <v>16597</v>
      </c>
      <c r="E41" s="588" t="s">
        <v>19</v>
      </c>
      <c r="F41" s="722" t="s">
        <v>145</v>
      </c>
      <c r="G41" s="722"/>
      <c r="H41" s="723"/>
      <c r="I41" s="724"/>
    </row>
    <row r="42" spans="1:9" ht="17.25" x14ac:dyDescent="0.3">
      <c r="A42" s="725" t="s">
        <v>24</v>
      </c>
      <c r="B42" s="726"/>
      <c r="C42" s="727"/>
      <c r="D42" s="546">
        <v>17</v>
      </c>
      <c r="E42" s="546" t="s">
        <v>146</v>
      </c>
      <c r="F42" s="732" t="s">
        <v>147</v>
      </c>
      <c r="G42" s="732"/>
      <c r="H42" s="730"/>
      <c r="I42" s="731"/>
    </row>
    <row r="43" spans="1:9" ht="17.25" x14ac:dyDescent="0.3">
      <c r="A43" s="725" t="s">
        <v>26</v>
      </c>
      <c r="B43" s="726"/>
      <c r="C43" s="727"/>
      <c r="D43" s="546">
        <v>1</v>
      </c>
      <c r="E43" s="546" t="s">
        <v>38</v>
      </c>
      <c r="F43" s="732" t="s">
        <v>148</v>
      </c>
      <c r="G43" s="732"/>
      <c r="H43" s="730"/>
      <c r="I43" s="731"/>
    </row>
    <row r="44" spans="1:9" ht="17.25" x14ac:dyDescent="0.3">
      <c r="A44" s="725" t="s">
        <v>27</v>
      </c>
      <c r="B44" s="726"/>
      <c r="C44" s="727"/>
      <c r="D44" s="560">
        <v>16597</v>
      </c>
      <c r="E44" s="546" t="s">
        <v>19</v>
      </c>
      <c r="F44" s="728" t="s">
        <v>149</v>
      </c>
      <c r="G44" s="729"/>
      <c r="H44" s="1096"/>
      <c r="I44" s="1097"/>
    </row>
    <row r="45" spans="1:9" ht="18" thickBot="1" x14ac:dyDescent="0.35">
      <c r="A45" s="733" t="s">
        <v>28</v>
      </c>
      <c r="B45" s="734"/>
      <c r="C45" s="735"/>
      <c r="D45" s="589">
        <v>215</v>
      </c>
      <c r="E45" s="590" t="s">
        <v>19</v>
      </c>
      <c r="F45" s="736"/>
      <c r="G45" s="736"/>
      <c r="H45" s="730"/>
      <c r="I45" s="731"/>
    </row>
    <row r="46" spans="1:9" ht="16.5" thickBot="1" x14ac:dyDescent="0.3">
      <c r="A46" s="737" t="s">
        <v>29</v>
      </c>
      <c r="B46" s="738"/>
      <c r="C46" s="738"/>
      <c r="D46" s="738"/>
      <c r="E46" s="738"/>
      <c r="F46" s="738"/>
      <c r="G46" s="738"/>
      <c r="H46" s="738"/>
      <c r="I46" s="739"/>
    </row>
    <row r="47" spans="1:9" ht="18.399999999999999" customHeight="1" x14ac:dyDescent="0.25">
      <c r="A47" s="1093" t="s">
        <v>283</v>
      </c>
      <c r="B47" s="1094"/>
      <c r="C47" s="1094"/>
      <c r="D47" s="1094"/>
      <c r="E47" s="1094"/>
      <c r="F47" s="1094"/>
      <c r="G47" s="1094"/>
      <c r="H47" s="1094"/>
      <c r="I47" s="1095"/>
    </row>
    <row r="48" spans="1:9" ht="14.65" customHeight="1" x14ac:dyDescent="0.25">
      <c r="A48" s="1093" t="s">
        <v>284</v>
      </c>
      <c r="B48" s="1094"/>
      <c r="C48" s="1094"/>
      <c r="D48" s="1094"/>
      <c r="E48" s="1094"/>
      <c r="F48" s="1094"/>
      <c r="G48" s="1094"/>
      <c r="H48" s="1094"/>
      <c r="I48" s="1095"/>
    </row>
    <row r="49" spans="1:9" ht="14.65" customHeight="1" x14ac:dyDescent="0.25">
      <c r="A49" s="1093" t="s">
        <v>285</v>
      </c>
      <c r="B49" s="1094"/>
      <c r="C49" s="1094"/>
      <c r="D49" s="1094"/>
      <c r="E49" s="1094"/>
      <c r="F49" s="1094"/>
      <c r="G49" s="1094"/>
      <c r="H49" s="1094"/>
      <c r="I49" s="1095"/>
    </row>
    <row r="50" spans="1:9" ht="14.65" customHeight="1" x14ac:dyDescent="0.25">
      <c r="A50" s="1093" t="s">
        <v>286</v>
      </c>
      <c r="B50" s="1094"/>
      <c r="C50" s="1094"/>
      <c r="D50" s="1094"/>
      <c r="E50" s="1094"/>
      <c r="F50" s="1094"/>
      <c r="G50" s="1094"/>
      <c r="H50" s="1094"/>
      <c r="I50" s="1095"/>
    </row>
    <row r="51" spans="1:9" ht="14.65" customHeight="1" x14ac:dyDescent="0.25">
      <c r="A51" s="1093" t="s">
        <v>287</v>
      </c>
      <c r="B51" s="1094"/>
      <c r="C51" s="1094"/>
      <c r="D51" s="1094"/>
      <c r="E51" s="1094"/>
      <c r="F51" s="1094"/>
      <c r="G51" s="1094"/>
      <c r="H51" s="1094"/>
      <c r="I51" s="1095"/>
    </row>
    <row r="52" spans="1:9" ht="14.65" customHeight="1" x14ac:dyDescent="0.3">
      <c r="A52" s="1105"/>
      <c r="B52" s="1106"/>
      <c r="C52" s="1107"/>
      <c r="D52" s="1107"/>
      <c r="E52" s="1107"/>
      <c r="F52" s="1107"/>
      <c r="G52" s="1107"/>
      <c r="H52" s="1107"/>
      <c r="I52" s="1108"/>
    </row>
    <row r="53" spans="1:9" ht="18" customHeight="1" x14ac:dyDescent="0.3">
      <c r="A53" s="1109"/>
      <c r="B53" s="1110"/>
      <c r="C53" s="1110"/>
      <c r="D53" s="1110"/>
      <c r="E53" s="1110"/>
      <c r="F53" s="1110"/>
      <c r="G53" s="1110"/>
      <c r="H53" s="1110"/>
      <c r="I53" s="1111"/>
    </row>
    <row r="54" spans="1:9" ht="18" thickBot="1" x14ac:dyDescent="0.35">
      <c r="A54" s="1112"/>
      <c r="B54" s="1113"/>
      <c r="C54" s="1113"/>
      <c r="D54" s="1113"/>
      <c r="E54" s="1113"/>
      <c r="F54" s="1113"/>
      <c r="G54" s="1113"/>
      <c r="H54" s="1113"/>
      <c r="I54" s="1114"/>
    </row>
    <row r="55" spans="1:9" ht="16.5" thickBot="1" x14ac:dyDescent="0.3">
      <c r="A55" s="1098"/>
      <c r="B55" s="1099"/>
      <c r="C55" s="1099"/>
      <c r="D55" s="1099"/>
      <c r="E55" s="1099"/>
      <c r="F55" s="1099"/>
      <c r="G55" s="1099"/>
      <c r="H55" s="1099"/>
      <c r="I55" s="1100"/>
    </row>
    <row r="56" spans="1:9" ht="15.75" x14ac:dyDescent="0.25">
      <c r="A56" s="1101" t="s">
        <v>30</v>
      </c>
      <c r="B56" s="1102"/>
      <c r="C56" s="1102"/>
      <c r="D56" s="1102"/>
      <c r="E56" s="1102"/>
      <c r="F56" s="1102"/>
      <c r="G56" s="1102"/>
      <c r="H56" s="1102"/>
      <c r="I56" s="1102"/>
    </row>
    <row r="57" spans="1:9" ht="17.25" x14ac:dyDescent="0.3">
      <c r="A57" s="1078" t="s">
        <v>288</v>
      </c>
      <c r="B57" s="1079"/>
      <c r="C57" s="1079"/>
      <c r="D57" s="1079"/>
      <c r="E57" s="1079"/>
      <c r="F57" s="1079"/>
      <c r="G57" s="1079"/>
      <c r="H57" s="1079"/>
      <c r="I57" s="1080"/>
    </row>
    <row r="58" spans="1:9" ht="17.25" x14ac:dyDescent="0.3">
      <c r="A58" s="1103"/>
      <c r="B58" s="1104"/>
      <c r="C58" s="1104"/>
      <c r="D58" s="1104"/>
      <c r="E58" s="1104"/>
      <c r="F58" s="1104"/>
      <c r="G58" s="1104"/>
      <c r="H58" s="1104"/>
      <c r="I58" s="1104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EE94-3B7E-477D-B077-A75C85BA0BE9}">
  <dimension ref="A1:L58"/>
  <sheetViews>
    <sheetView zoomScale="70" zoomScaleNormal="70" workbookViewId="0">
      <selection activeCell="H19" sqref="H19"/>
    </sheetView>
  </sheetViews>
  <sheetFormatPr baseColWidth="10" defaultRowHeight="15" x14ac:dyDescent="0.25"/>
  <cols>
    <col min="1" max="1" width="15.140625" bestFit="1" customWidth="1"/>
    <col min="2" max="2" width="14.42578125" bestFit="1" customWidth="1"/>
    <col min="3" max="3" width="49" customWidth="1"/>
    <col min="4" max="4" width="34.28515625" bestFit="1" customWidth="1"/>
    <col min="5" max="5" width="14.42578125" bestFit="1" customWidth="1"/>
    <col min="8" max="8" width="33.7109375" bestFit="1" customWidth="1"/>
    <col min="9" max="9" width="22.7109375" bestFit="1" customWidth="1"/>
  </cols>
  <sheetData>
    <row r="1" spans="1:12" ht="18.75" x14ac:dyDescent="0.25">
      <c r="A1" s="1012"/>
      <c r="B1" s="1013"/>
      <c r="C1" s="1018" t="s">
        <v>0</v>
      </c>
      <c r="D1" s="1018"/>
      <c r="E1" s="1018"/>
      <c r="F1" s="1018"/>
      <c r="G1" s="1018"/>
      <c r="H1" s="429" t="s">
        <v>1</v>
      </c>
      <c r="I1" s="430" t="s">
        <v>289</v>
      </c>
    </row>
    <row r="2" spans="1:12" ht="18" customHeight="1" thickBot="1" x14ac:dyDescent="0.3">
      <c r="A2" s="1014"/>
      <c r="B2" s="1015"/>
      <c r="C2" s="1019" t="s">
        <v>3</v>
      </c>
      <c r="D2" s="1020"/>
      <c r="E2" s="1020"/>
      <c r="F2" s="1020"/>
      <c r="G2" s="1021"/>
      <c r="H2" s="431" t="s">
        <v>4</v>
      </c>
      <c r="I2" s="432" t="s">
        <v>248</v>
      </c>
    </row>
    <row r="3" spans="1:12" ht="31.5" customHeight="1" thickBot="1" x14ac:dyDescent="0.3">
      <c r="A3" s="1014"/>
      <c r="B3" s="1015"/>
      <c r="C3" s="1022" t="s">
        <v>290</v>
      </c>
      <c r="D3" s="1023"/>
      <c r="E3" s="1023"/>
      <c r="F3" s="1023"/>
      <c r="G3" s="1024"/>
      <c r="H3" s="1025" t="s">
        <v>6</v>
      </c>
      <c r="I3" s="1003">
        <v>45613</v>
      </c>
    </row>
    <row r="4" spans="1:12" ht="18" customHeight="1" x14ac:dyDescent="0.25">
      <c r="A4" s="1014"/>
      <c r="B4" s="1015"/>
      <c r="C4" s="433" t="s">
        <v>7</v>
      </c>
      <c r="D4" s="1006" t="s">
        <v>152</v>
      </c>
      <c r="E4" s="1007"/>
      <c r="F4" s="1007"/>
      <c r="G4" s="1008"/>
      <c r="H4" s="1026"/>
      <c r="I4" s="1004"/>
    </row>
    <row r="5" spans="1:12" ht="19.5" thickBot="1" x14ac:dyDescent="0.3">
      <c r="A5" s="1016"/>
      <c r="B5" s="1017"/>
      <c r="C5" s="434" t="s">
        <v>8</v>
      </c>
      <c r="D5" s="1009" t="s">
        <v>135</v>
      </c>
      <c r="E5" s="1010"/>
      <c r="F5" s="1010"/>
      <c r="G5" s="1011"/>
      <c r="H5" s="1027"/>
      <c r="I5" s="1005"/>
    </row>
    <row r="6" spans="1:12" ht="20.25" thickBot="1" x14ac:dyDescent="0.35">
      <c r="A6" s="1028" t="s">
        <v>9</v>
      </c>
      <c r="B6" s="1028"/>
      <c r="C6" s="1028"/>
      <c r="D6" s="1029" t="s">
        <v>136</v>
      </c>
      <c r="E6" s="1029"/>
      <c r="F6" s="1029"/>
      <c r="G6" s="1030" t="s">
        <v>10</v>
      </c>
      <c r="H6" s="1030"/>
      <c r="I6" s="435" t="s">
        <v>136</v>
      </c>
    </row>
    <row r="7" spans="1:12" ht="37.5" x14ac:dyDescent="0.25">
      <c r="A7" s="1031" t="s">
        <v>137</v>
      </c>
      <c r="B7" s="1033" t="s">
        <v>11</v>
      </c>
      <c r="C7" s="1035" t="s">
        <v>12</v>
      </c>
      <c r="D7" s="1035" t="s">
        <v>13</v>
      </c>
      <c r="E7" s="1035" t="s">
        <v>138</v>
      </c>
      <c r="F7" s="1035"/>
      <c r="G7" s="1035" t="s">
        <v>139</v>
      </c>
      <c r="H7" s="1035"/>
      <c r="I7" s="436" t="s">
        <v>140</v>
      </c>
    </row>
    <row r="8" spans="1:12" ht="57" thickBot="1" x14ac:dyDescent="0.3">
      <c r="A8" s="1032"/>
      <c r="B8" s="1034"/>
      <c r="C8" s="1036"/>
      <c r="D8" s="1036"/>
      <c r="E8" s="437" t="s">
        <v>16</v>
      </c>
      <c r="F8" s="438" t="s">
        <v>17</v>
      </c>
      <c r="G8" s="437" t="s">
        <v>16</v>
      </c>
      <c r="H8" s="438" t="s">
        <v>17</v>
      </c>
      <c r="I8" s="439" t="s">
        <v>141</v>
      </c>
    </row>
    <row r="9" spans="1:12" ht="19.5" x14ac:dyDescent="0.3">
      <c r="A9" s="440"/>
      <c r="B9" s="441"/>
      <c r="C9" s="442" t="s">
        <v>142</v>
      </c>
      <c r="D9" s="443"/>
      <c r="E9" s="444"/>
      <c r="F9" s="445"/>
      <c r="G9" s="444"/>
      <c r="H9" s="445"/>
      <c r="I9" s="446"/>
    </row>
    <row r="10" spans="1:12" ht="18" customHeight="1" x14ac:dyDescent="0.3">
      <c r="A10" s="474" t="s">
        <v>291</v>
      </c>
      <c r="B10" s="591" t="s">
        <v>53</v>
      </c>
      <c r="C10" s="476" t="s">
        <v>292</v>
      </c>
      <c r="D10" s="477" t="s">
        <v>254</v>
      </c>
      <c r="E10" s="483">
        <f>5000/5.35</f>
        <v>934.57943925233656</v>
      </c>
      <c r="F10" s="592" t="s">
        <v>19</v>
      </c>
      <c r="G10" s="452"/>
      <c r="H10" s="453"/>
      <c r="I10" s="446"/>
    </row>
    <row r="11" spans="1:12" ht="19.5" x14ac:dyDescent="0.3">
      <c r="A11" s="474" t="s">
        <v>279</v>
      </c>
      <c r="B11" s="593"/>
      <c r="C11" s="594" t="s">
        <v>280</v>
      </c>
      <c r="D11" s="477" t="s">
        <v>18</v>
      </c>
      <c r="E11" s="478">
        <f>400/5.35</f>
        <v>74.766355140186917</v>
      </c>
      <c r="F11" s="479" t="s">
        <v>19</v>
      </c>
      <c r="G11" s="452"/>
      <c r="H11" s="453"/>
      <c r="I11" s="446"/>
    </row>
    <row r="12" spans="1:12" ht="19.5" x14ac:dyDescent="0.3">
      <c r="A12" s="474"/>
      <c r="B12" s="593"/>
      <c r="C12" s="594"/>
      <c r="D12" s="477"/>
      <c r="E12" s="478"/>
      <c r="F12" s="479"/>
      <c r="G12" s="464"/>
      <c r="H12" s="453"/>
      <c r="I12" s="446"/>
    </row>
    <row r="13" spans="1:12" ht="19.5" x14ac:dyDescent="0.3">
      <c r="A13" s="474"/>
      <c r="B13" s="593"/>
      <c r="C13" s="594"/>
      <c r="D13" s="477"/>
      <c r="E13" s="478"/>
      <c r="F13" s="479"/>
      <c r="G13" s="464"/>
      <c r="H13" s="453"/>
      <c r="I13" s="446"/>
    </row>
    <row r="14" spans="1:12" ht="19.5" x14ac:dyDescent="0.3">
      <c r="A14" s="595"/>
      <c r="B14" s="596"/>
      <c r="C14" s="597"/>
      <c r="D14" s="464"/>
      <c r="E14" s="464"/>
      <c r="F14" s="598"/>
      <c r="G14" s="464"/>
      <c r="H14" s="453"/>
      <c r="I14" s="446"/>
    </row>
    <row r="15" spans="1:12" ht="19.5" x14ac:dyDescent="0.3">
      <c r="A15" s="599"/>
      <c r="B15" s="596"/>
      <c r="C15" s="600"/>
      <c r="D15" s="464"/>
      <c r="E15" s="464"/>
      <c r="F15" s="598"/>
      <c r="G15" s="464"/>
      <c r="H15" s="453"/>
      <c r="I15" s="446"/>
    </row>
    <row r="16" spans="1:12" ht="19.5" x14ac:dyDescent="0.3">
      <c r="A16" s="464"/>
      <c r="B16" s="464"/>
      <c r="C16" s="601"/>
      <c r="D16" s="602"/>
      <c r="E16" s="602"/>
      <c r="F16" s="452"/>
      <c r="G16" s="464"/>
      <c r="H16" s="453"/>
      <c r="I16" s="446"/>
      <c r="L16">
        <f>D41/1000</f>
        <v>1</v>
      </c>
    </row>
    <row r="17" spans="1:9" ht="19.5" x14ac:dyDescent="0.3">
      <c r="A17" s="596"/>
      <c r="B17" s="596"/>
      <c r="C17" s="603"/>
      <c r="D17" s="464"/>
      <c r="E17" s="464"/>
      <c r="F17" s="598"/>
      <c r="G17" s="464"/>
      <c r="H17" s="453"/>
      <c r="I17" s="446"/>
    </row>
    <row r="18" spans="1:9" ht="19.5" x14ac:dyDescent="0.3">
      <c r="A18" s="595"/>
      <c r="B18" s="596"/>
      <c r="C18" s="597"/>
      <c r="D18" s="464"/>
      <c r="E18" s="464"/>
      <c r="F18" s="598"/>
      <c r="G18" s="464"/>
      <c r="H18" s="453"/>
      <c r="I18" s="446"/>
    </row>
    <row r="19" spans="1:9" ht="19.5" x14ac:dyDescent="0.3">
      <c r="A19" s="465"/>
      <c r="B19" s="465"/>
      <c r="C19" s="468"/>
      <c r="D19" s="604"/>
      <c r="E19" s="500"/>
      <c r="F19" s="501"/>
      <c r="G19" s="444"/>
      <c r="H19" s="453"/>
      <c r="I19" s="446"/>
    </row>
    <row r="20" spans="1:9" ht="19.5" x14ac:dyDescent="0.3">
      <c r="A20" s="470"/>
      <c r="B20" s="471"/>
      <c r="C20" s="472" t="s">
        <v>158</v>
      </c>
      <c r="D20" s="466"/>
      <c r="E20" s="473"/>
      <c r="F20" s="451"/>
      <c r="G20" s="444"/>
      <c r="H20" s="445"/>
      <c r="I20" s="446"/>
    </row>
    <row r="21" spans="1:9" ht="19.5" x14ac:dyDescent="0.3">
      <c r="A21" s="474"/>
      <c r="B21" s="475"/>
      <c r="C21" s="476"/>
      <c r="D21" s="477"/>
      <c r="E21" s="478"/>
      <c r="F21" s="479"/>
      <c r="G21" s="444"/>
      <c r="H21" s="445"/>
      <c r="I21" s="446"/>
    </row>
    <row r="22" spans="1:9" ht="19.5" x14ac:dyDescent="0.3">
      <c r="A22" s="474"/>
      <c r="B22" s="475"/>
      <c r="C22" s="476"/>
      <c r="D22" s="477"/>
      <c r="E22" s="491"/>
      <c r="F22" s="479"/>
      <c r="G22" s="444"/>
      <c r="H22" s="445"/>
      <c r="I22" s="446"/>
    </row>
    <row r="23" spans="1:9" ht="19.5" x14ac:dyDescent="0.3">
      <c r="A23" s="474"/>
      <c r="B23" s="475"/>
      <c r="C23" s="476"/>
      <c r="D23" s="477"/>
      <c r="E23" s="478"/>
      <c r="F23" s="479"/>
      <c r="G23" s="444"/>
      <c r="H23" s="445"/>
      <c r="I23" s="446"/>
    </row>
    <row r="24" spans="1:9" ht="19.5" x14ac:dyDescent="0.3">
      <c r="A24" s="474"/>
      <c r="B24" s="475"/>
      <c r="C24" s="476"/>
      <c r="D24" s="477"/>
      <c r="E24" s="481"/>
      <c r="F24" s="482"/>
      <c r="G24" s="444"/>
      <c r="H24" s="445"/>
      <c r="I24" s="446"/>
    </row>
    <row r="25" spans="1:9" ht="19.5" x14ac:dyDescent="0.3">
      <c r="A25" s="474"/>
      <c r="B25" s="475"/>
      <c r="C25" s="476"/>
      <c r="D25" s="477"/>
      <c r="E25" s="483"/>
      <c r="F25" s="482"/>
      <c r="G25" s="444"/>
      <c r="H25" s="445"/>
      <c r="I25" s="446"/>
    </row>
    <row r="26" spans="1:9" ht="19.5" x14ac:dyDescent="0.3">
      <c r="A26" s="484"/>
      <c r="B26" s="484"/>
      <c r="C26" s="485"/>
      <c r="D26" s="486"/>
      <c r="E26" s="487"/>
      <c r="F26" s="488"/>
      <c r="G26" s="444"/>
      <c r="H26" s="445"/>
      <c r="I26" s="446"/>
    </row>
    <row r="27" spans="1:9" ht="19.5" x14ac:dyDescent="0.3">
      <c r="A27" s="465"/>
      <c r="B27" s="465"/>
      <c r="C27" s="468"/>
      <c r="D27" s="489"/>
      <c r="E27" s="490"/>
      <c r="F27" s="488"/>
      <c r="G27" s="444"/>
      <c r="H27" s="445"/>
      <c r="I27" s="446"/>
    </row>
    <row r="28" spans="1:9" ht="19.5" x14ac:dyDescent="0.3">
      <c r="A28" s="465"/>
      <c r="B28" s="465"/>
      <c r="C28" s="468"/>
      <c r="D28" s="489"/>
      <c r="E28" s="491"/>
      <c r="F28" s="492"/>
      <c r="G28" s="444"/>
      <c r="H28" s="445"/>
      <c r="I28" s="446"/>
    </row>
    <row r="29" spans="1:9" ht="19.5" x14ac:dyDescent="0.3">
      <c r="A29" s="493"/>
      <c r="B29" s="494"/>
      <c r="C29" s="495" t="s">
        <v>159</v>
      </c>
      <c r="D29" s="496"/>
      <c r="E29" s="497"/>
      <c r="F29" s="445"/>
      <c r="G29" s="444"/>
      <c r="H29" s="485"/>
      <c r="I29" s="446"/>
    </row>
    <row r="30" spans="1:9" ht="19.5" x14ac:dyDescent="0.3">
      <c r="A30" s="605" t="s">
        <v>293</v>
      </c>
      <c r="B30" s="605" t="s">
        <v>236</v>
      </c>
      <c r="C30" s="511" t="s">
        <v>294</v>
      </c>
      <c r="D30" s="449" t="s">
        <v>295</v>
      </c>
      <c r="E30" s="606">
        <v>20</v>
      </c>
      <c r="F30" s="607" t="s">
        <v>239</v>
      </c>
      <c r="G30" s="502"/>
      <c r="H30" s="445"/>
      <c r="I30" s="446"/>
    </row>
    <row r="31" spans="1:9" ht="19.5" x14ac:dyDescent="0.3">
      <c r="A31" s="605" t="s">
        <v>296</v>
      </c>
      <c r="B31" s="605" t="s">
        <v>297</v>
      </c>
      <c r="C31" s="511" t="s">
        <v>298</v>
      </c>
      <c r="D31" s="449" t="s">
        <v>144</v>
      </c>
      <c r="E31" s="606">
        <v>1</v>
      </c>
      <c r="F31" s="607" t="s">
        <v>299</v>
      </c>
      <c r="G31" s="502"/>
      <c r="H31" s="445"/>
      <c r="I31" s="446"/>
    </row>
    <row r="32" spans="1:9" ht="19.5" x14ac:dyDescent="0.3">
      <c r="A32" s="605" t="s">
        <v>300</v>
      </c>
      <c r="B32" s="605" t="s">
        <v>301</v>
      </c>
      <c r="C32" s="511" t="s">
        <v>302</v>
      </c>
      <c r="D32" s="449" t="s">
        <v>212</v>
      </c>
      <c r="E32" s="606">
        <v>1</v>
      </c>
      <c r="F32" s="607" t="s">
        <v>299</v>
      </c>
      <c r="G32" s="502"/>
      <c r="H32" s="445"/>
      <c r="I32" s="446"/>
    </row>
    <row r="33" spans="1:9" ht="19.5" x14ac:dyDescent="0.3">
      <c r="A33" s="506"/>
      <c r="B33" s="506"/>
      <c r="C33" s="507"/>
      <c r="D33" s="463"/>
      <c r="E33" s="608"/>
      <c r="F33" s="609"/>
      <c r="G33" s="444"/>
      <c r="H33" s="445"/>
      <c r="I33" s="446"/>
    </row>
    <row r="34" spans="1:9" ht="19.5" x14ac:dyDescent="0.3">
      <c r="A34" s="506"/>
      <c r="B34" s="506"/>
      <c r="C34" s="610"/>
      <c r="D34" s="463"/>
      <c r="E34" s="463"/>
      <c r="F34" s="609"/>
      <c r="G34" s="444"/>
      <c r="H34" s="445"/>
      <c r="I34" s="446"/>
    </row>
    <row r="35" spans="1:9" ht="19.5" x14ac:dyDescent="0.3">
      <c r="A35" s="506"/>
      <c r="B35" s="506"/>
      <c r="C35" s="610"/>
      <c r="D35" s="463"/>
      <c r="E35" s="463"/>
      <c r="F35" s="609"/>
      <c r="G35" s="508"/>
      <c r="H35" s="445"/>
      <c r="I35" s="446"/>
    </row>
    <row r="36" spans="1:9" ht="19.5" x14ac:dyDescent="0.3">
      <c r="A36" s="611"/>
      <c r="B36" s="612"/>
      <c r="C36" s="613"/>
      <c r="D36" s="614"/>
      <c r="E36" s="614"/>
      <c r="F36" s="615"/>
      <c r="G36" s="450"/>
      <c r="H36" s="445"/>
      <c r="I36" s="446"/>
    </row>
    <row r="37" spans="1:9" ht="19.5" x14ac:dyDescent="0.3">
      <c r="A37" s="470"/>
      <c r="B37" s="471"/>
      <c r="C37" s="511"/>
      <c r="D37" s="463"/>
      <c r="E37" s="450"/>
      <c r="F37" s="451"/>
      <c r="G37" s="450"/>
      <c r="H37" s="445"/>
      <c r="I37" s="446"/>
    </row>
    <row r="38" spans="1:9" ht="19.5" x14ac:dyDescent="0.3">
      <c r="A38" s="470"/>
      <c r="B38" s="471"/>
      <c r="C38" s="511"/>
      <c r="D38" s="466"/>
      <c r="E38" s="466"/>
      <c r="F38" s="451"/>
      <c r="G38" s="466"/>
      <c r="H38" s="466"/>
      <c r="I38" s="446"/>
    </row>
    <row r="39" spans="1:9" ht="19.5" thickBot="1" x14ac:dyDescent="0.3">
      <c r="A39" s="512"/>
      <c r="B39" s="513"/>
      <c r="C39" s="514"/>
      <c r="D39" s="514"/>
      <c r="E39" s="515"/>
      <c r="F39" s="516"/>
      <c r="G39" s="514"/>
      <c r="H39" s="514"/>
      <c r="I39" s="517"/>
    </row>
    <row r="40" spans="1:9" ht="19.5" thickBot="1" x14ac:dyDescent="0.3">
      <c r="A40" s="518"/>
      <c r="B40" s="519"/>
      <c r="C40" s="520"/>
      <c r="D40" s="521" t="s">
        <v>16</v>
      </c>
      <c r="E40" s="522" t="s">
        <v>21</v>
      </c>
      <c r="F40" s="523"/>
      <c r="G40" s="520"/>
      <c r="H40" s="520"/>
      <c r="I40" s="524"/>
    </row>
    <row r="41" spans="1:9" ht="18.75" x14ac:dyDescent="0.25">
      <c r="A41" s="1037" t="s">
        <v>23</v>
      </c>
      <c r="B41" s="1038"/>
      <c r="C41" s="1039"/>
      <c r="D41" s="490">
        <v>1000</v>
      </c>
      <c r="E41" s="525" t="s">
        <v>19</v>
      </c>
      <c r="F41" s="1040" t="s">
        <v>145</v>
      </c>
      <c r="G41" s="1040"/>
      <c r="H41" s="1041"/>
      <c r="I41" s="1042"/>
    </row>
    <row r="42" spans="1:9" ht="18.75" x14ac:dyDescent="0.25">
      <c r="A42" s="1043" t="s">
        <v>24</v>
      </c>
      <c r="B42" s="1044"/>
      <c r="C42" s="1045"/>
      <c r="D42" s="464">
        <v>3</v>
      </c>
      <c r="E42" s="464" t="s">
        <v>263</v>
      </c>
      <c r="F42" s="1046" t="s">
        <v>147</v>
      </c>
      <c r="G42" s="1046"/>
      <c r="H42" s="1047"/>
      <c r="I42" s="1048"/>
    </row>
    <row r="43" spans="1:9" ht="18.75" x14ac:dyDescent="0.25">
      <c r="A43" s="1043" t="s">
        <v>26</v>
      </c>
      <c r="B43" s="1044"/>
      <c r="C43" s="1045"/>
      <c r="D43" s="464">
        <v>1</v>
      </c>
      <c r="E43" s="464" t="s">
        <v>38</v>
      </c>
      <c r="F43" s="1046" t="s">
        <v>148</v>
      </c>
      <c r="G43" s="1046"/>
      <c r="H43" s="1047"/>
      <c r="I43" s="1048"/>
    </row>
    <row r="44" spans="1:9" ht="18.75" x14ac:dyDescent="0.25">
      <c r="A44" s="1043" t="s">
        <v>27</v>
      </c>
      <c r="B44" s="1044"/>
      <c r="C44" s="1045"/>
      <c r="D44" s="491">
        <v>1000</v>
      </c>
      <c r="E44" s="464" t="s">
        <v>19</v>
      </c>
      <c r="F44" s="1050" t="s">
        <v>149</v>
      </c>
      <c r="G44" s="1051"/>
      <c r="H44" s="1052"/>
      <c r="I44" s="1053"/>
    </row>
    <row r="45" spans="1:9" ht="19.5" thickBot="1" x14ac:dyDescent="0.3">
      <c r="A45" s="1054" t="s">
        <v>28</v>
      </c>
      <c r="B45" s="1055"/>
      <c r="C45" s="1056"/>
      <c r="D45" s="526">
        <f>SUM(E10:E11)-D41</f>
        <v>9.3457943925234304</v>
      </c>
      <c r="E45" s="527" t="s">
        <v>19</v>
      </c>
      <c r="F45" s="1057"/>
      <c r="G45" s="1057"/>
      <c r="H45" s="1047"/>
      <c r="I45" s="1048"/>
    </row>
    <row r="46" spans="1:9" ht="19.5" thickBot="1" x14ac:dyDescent="0.3">
      <c r="A46" s="1058" t="s">
        <v>29</v>
      </c>
      <c r="B46" s="1059"/>
      <c r="C46" s="1059"/>
      <c r="D46" s="1059"/>
      <c r="E46" s="1059"/>
      <c r="F46" s="1059"/>
      <c r="G46" s="1059"/>
      <c r="H46" s="1059"/>
      <c r="I46" s="1060"/>
    </row>
    <row r="47" spans="1:9" ht="18.399999999999999" customHeight="1" x14ac:dyDescent="0.25">
      <c r="A47" s="1115" t="s">
        <v>303</v>
      </c>
      <c r="B47" s="1116"/>
      <c r="C47" s="1117"/>
      <c r="D47" s="1117"/>
      <c r="E47" s="1117"/>
      <c r="F47" s="1117"/>
      <c r="G47" s="1117"/>
      <c r="H47" s="1117"/>
      <c r="I47" s="1118"/>
    </row>
    <row r="48" spans="1:9" ht="14.65" customHeight="1" x14ac:dyDescent="0.25">
      <c r="A48" s="1115" t="s">
        <v>304</v>
      </c>
      <c r="B48" s="1116"/>
      <c r="C48" s="1117"/>
      <c r="D48" s="1117"/>
      <c r="E48" s="1117"/>
      <c r="F48" s="1117"/>
      <c r="G48" s="1117"/>
      <c r="H48" s="1117"/>
      <c r="I48" s="1118"/>
    </row>
    <row r="49" spans="1:9" ht="14.65" customHeight="1" x14ac:dyDescent="0.25">
      <c r="A49" s="1115" t="s">
        <v>305</v>
      </c>
      <c r="B49" s="1116"/>
      <c r="C49" s="1117"/>
      <c r="D49" s="1117"/>
      <c r="E49" s="1117"/>
      <c r="F49" s="1117"/>
      <c r="G49" s="1117"/>
      <c r="H49" s="1117"/>
      <c r="I49" s="1118"/>
    </row>
    <row r="50" spans="1:9" ht="14.65" customHeight="1" x14ac:dyDescent="0.25">
      <c r="A50" s="1119" t="s">
        <v>306</v>
      </c>
      <c r="B50" s="1120"/>
      <c r="C50" s="1121"/>
      <c r="D50" s="1121"/>
      <c r="E50" s="1121"/>
      <c r="F50" s="1121"/>
      <c r="G50" s="1121"/>
      <c r="H50" s="1121"/>
      <c r="I50" s="1122"/>
    </row>
    <row r="51" spans="1:9" ht="14.65" customHeight="1" x14ac:dyDescent="0.25">
      <c r="A51" s="1123"/>
      <c r="B51" s="1124"/>
      <c r="C51" s="1125"/>
      <c r="D51" s="1125"/>
      <c r="E51" s="1125"/>
      <c r="F51" s="1125"/>
      <c r="G51" s="1125"/>
      <c r="H51" s="1125"/>
      <c r="I51" s="1126"/>
    </row>
    <row r="52" spans="1:9" ht="14.65" customHeight="1" x14ac:dyDescent="0.25">
      <c r="A52" s="1127"/>
      <c r="B52" s="1128"/>
      <c r="C52" s="1129"/>
      <c r="D52" s="1129"/>
      <c r="E52" s="1129"/>
      <c r="F52" s="1129"/>
      <c r="G52" s="1129"/>
      <c r="H52" s="1129"/>
      <c r="I52" s="1130"/>
    </row>
    <row r="53" spans="1:9" ht="18" customHeight="1" x14ac:dyDescent="0.25">
      <c r="A53" s="1131"/>
      <c r="B53" s="1132"/>
      <c r="C53" s="1132"/>
      <c r="D53" s="1132"/>
      <c r="E53" s="1132"/>
      <c r="F53" s="1132"/>
      <c r="G53" s="1132"/>
      <c r="H53" s="1132"/>
      <c r="I53" s="1133"/>
    </row>
    <row r="54" spans="1:9" ht="19.5" thickBot="1" x14ac:dyDescent="0.3">
      <c r="A54" s="1134"/>
      <c r="B54" s="1135"/>
      <c r="C54" s="1135"/>
      <c r="D54" s="1135"/>
      <c r="E54" s="1135"/>
      <c r="F54" s="1135"/>
      <c r="G54" s="1135"/>
      <c r="H54" s="1135"/>
      <c r="I54" s="1136"/>
    </row>
    <row r="55" spans="1:9" ht="20.25" thickBot="1" x14ac:dyDescent="0.35">
      <c r="A55" s="1069"/>
      <c r="B55" s="1070"/>
      <c r="C55" s="1070"/>
      <c r="D55" s="1070"/>
      <c r="E55" s="1070"/>
      <c r="F55" s="1070"/>
      <c r="G55" s="1070"/>
      <c r="H55" s="1070"/>
      <c r="I55" s="1071"/>
    </row>
    <row r="56" spans="1:9" ht="18.75" x14ac:dyDescent="0.25">
      <c r="A56" s="1062" t="s">
        <v>30</v>
      </c>
      <c r="B56" s="1063"/>
      <c r="C56" s="1063"/>
      <c r="D56" s="1063"/>
      <c r="E56" s="1063"/>
      <c r="F56" s="1063"/>
      <c r="G56" s="1063"/>
      <c r="H56" s="1063"/>
      <c r="I56" s="1063"/>
    </row>
    <row r="57" spans="1:9" ht="18.75" x14ac:dyDescent="0.25">
      <c r="A57" s="1009" t="s">
        <v>307</v>
      </c>
      <c r="B57" s="1010"/>
      <c r="C57" s="1010"/>
      <c r="D57" s="1010"/>
      <c r="E57" s="1010"/>
      <c r="F57" s="1010"/>
      <c r="G57" s="1010"/>
      <c r="H57" s="1010"/>
      <c r="I57" s="1011"/>
    </row>
    <row r="58" spans="1:9" ht="18.75" x14ac:dyDescent="0.25">
      <c r="A58" s="1064"/>
      <c r="B58" s="1065"/>
      <c r="C58" s="1065"/>
      <c r="D58" s="1065"/>
      <c r="E58" s="1065"/>
      <c r="F58" s="1065"/>
      <c r="G58" s="1065"/>
      <c r="H58" s="1065"/>
      <c r="I58" s="1065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343D-1548-4AE3-BFF9-DC1AEF024C4B}">
  <dimension ref="A1:Q91"/>
  <sheetViews>
    <sheetView topLeftCell="A53" workbookViewId="0">
      <selection activeCell="B66" sqref="B66:E66"/>
    </sheetView>
  </sheetViews>
  <sheetFormatPr baseColWidth="10" defaultColWidth="8.42578125" defaultRowHeight="12.75" x14ac:dyDescent="0.25"/>
  <cols>
    <col min="1" max="1" width="10" style="87" bestFit="1" customWidth="1"/>
    <col min="2" max="2" width="44.28515625" style="87" bestFit="1" customWidth="1"/>
    <col min="3" max="3" width="10.42578125" style="87" bestFit="1" customWidth="1"/>
    <col min="4" max="4" width="10.42578125" style="87" customWidth="1"/>
    <col min="5" max="5" width="9.7109375" style="87" bestFit="1" customWidth="1"/>
    <col min="6" max="6" width="9.5703125" style="87" bestFit="1" customWidth="1"/>
    <col min="7" max="7" width="9.5703125" style="169" bestFit="1" customWidth="1"/>
    <col min="8" max="8" width="10.42578125" style="160" bestFit="1" customWidth="1"/>
    <col min="9" max="9" width="4.5703125" style="160" customWidth="1"/>
    <col min="10" max="10" width="1.85546875" style="86" customWidth="1"/>
    <col min="11" max="11" width="7" style="87" bestFit="1" customWidth="1"/>
    <col min="12" max="12" width="6.28515625" style="87" customWidth="1"/>
    <col min="13" max="13" width="20.42578125" style="87" customWidth="1"/>
    <col min="14" max="14" width="6.42578125" style="87" bestFit="1" customWidth="1"/>
    <col min="15" max="16" width="8.42578125" style="87"/>
    <col min="17" max="17" width="3.28515625" style="87" customWidth="1"/>
    <col min="18" max="256" width="8.42578125" style="87"/>
    <col min="257" max="257" width="10" style="87" bestFit="1" customWidth="1"/>
    <col min="258" max="258" width="44.28515625" style="87" bestFit="1" customWidth="1"/>
    <col min="259" max="259" width="10.42578125" style="87" bestFit="1" customWidth="1"/>
    <col min="260" max="260" width="10.42578125" style="87" customWidth="1"/>
    <col min="261" max="261" width="9.7109375" style="87" bestFit="1" customWidth="1"/>
    <col min="262" max="263" width="9.5703125" style="87" bestFit="1" customWidth="1"/>
    <col min="264" max="264" width="10.42578125" style="87" bestFit="1" customWidth="1"/>
    <col min="265" max="265" width="4.5703125" style="87" customWidth="1"/>
    <col min="266" max="266" width="1.85546875" style="87" customWidth="1"/>
    <col min="267" max="267" width="7" style="87" bestFit="1" customWidth="1"/>
    <col min="268" max="268" width="6.28515625" style="87" customWidth="1"/>
    <col min="269" max="269" width="20.42578125" style="87" customWidth="1"/>
    <col min="270" max="270" width="6.42578125" style="87" bestFit="1" customWidth="1"/>
    <col min="271" max="272" width="8.42578125" style="87"/>
    <col min="273" max="273" width="3.28515625" style="87" customWidth="1"/>
    <col min="274" max="512" width="8.42578125" style="87"/>
    <col min="513" max="513" width="10" style="87" bestFit="1" customWidth="1"/>
    <col min="514" max="514" width="44.28515625" style="87" bestFit="1" customWidth="1"/>
    <col min="515" max="515" width="10.42578125" style="87" bestFit="1" customWidth="1"/>
    <col min="516" max="516" width="10.42578125" style="87" customWidth="1"/>
    <col min="517" max="517" width="9.7109375" style="87" bestFit="1" customWidth="1"/>
    <col min="518" max="519" width="9.5703125" style="87" bestFit="1" customWidth="1"/>
    <col min="520" max="520" width="10.42578125" style="87" bestFit="1" customWidth="1"/>
    <col min="521" max="521" width="4.5703125" style="87" customWidth="1"/>
    <col min="522" max="522" width="1.85546875" style="87" customWidth="1"/>
    <col min="523" max="523" width="7" style="87" bestFit="1" customWidth="1"/>
    <col min="524" max="524" width="6.28515625" style="87" customWidth="1"/>
    <col min="525" max="525" width="20.42578125" style="87" customWidth="1"/>
    <col min="526" max="526" width="6.42578125" style="87" bestFit="1" customWidth="1"/>
    <col min="527" max="528" width="8.42578125" style="87"/>
    <col min="529" max="529" width="3.28515625" style="87" customWidth="1"/>
    <col min="530" max="768" width="8.42578125" style="87"/>
    <col min="769" max="769" width="10" style="87" bestFit="1" customWidth="1"/>
    <col min="770" max="770" width="44.28515625" style="87" bestFit="1" customWidth="1"/>
    <col min="771" max="771" width="10.42578125" style="87" bestFit="1" customWidth="1"/>
    <col min="772" max="772" width="10.42578125" style="87" customWidth="1"/>
    <col min="773" max="773" width="9.7109375" style="87" bestFit="1" customWidth="1"/>
    <col min="774" max="775" width="9.5703125" style="87" bestFit="1" customWidth="1"/>
    <col min="776" max="776" width="10.42578125" style="87" bestFit="1" customWidth="1"/>
    <col min="777" max="777" width="4.5703125" style="87" customWidth="1"/>
    <col min="778" max="778" width="1.85546875" style="87" customWidth="1"/>
    <col min="779" max="779" width="7" style="87" bestFit="1" customWidth="1"/>
    <col min="780" max="780" width="6.28515625" style="87" customWidth="1"/>
    <col min="781" max="781" width="20.42578125" style="87" customWidth="1"/>
    <col min="782" max="782" width="6.42578125" style="87" bestFit="1" customWidth="1"/>
    <col min="783" max="784" width="8.42578125" style="87"/>
    <col min="785" max="785" width="3.28515625" style="87" customWidth="1"/>
    <col min="786" max="1024" width="8.42578125" style="87"/>
    <col min="1025" max="1025" width="10" style="87" bestFit="1" customWidth="1"/>
    <col min="1026" max="1026" width="44.28515625" style="87" bestFit="1" customWidth="1"/>
    <col min="1027" max="1027" width="10.42578125" style="87" bestFit="1" customWidth="1"/>
    <col min="1028" max="1028" width="10.42578125" style="87" customWidth="1"/>
    <col min="1029" max="1029" width="9.7109375" style="87" bestFit="1" customWidth="1"/>
    <col min="1030" max="1031" width="9.5703125" style="87" bestFit="1" customWidth="1"/>
    <col min="1032" max="1032" width="10.42578125" style="87" bestFit="1" customWidth="1"/>
    <col min="1033" max="1033" width="4.5703125" style="87" customWidth="1"/>
    <col min="1034" max="1034" width="1.85546875" style="87" customWidth="1"/>
    <col min="1035" max="1035" width="7" style="87" bestFit="1" customWidth="1"/>
    <col min="1036" max="1036" width="6.28515625" style="87" customWidth="1"/>
    <col min="1037" max="1037" width="20.42578125" style="87" customWidth="1"/>
    <col min="1038" max="1038" width="6.42578125" style="87" bestFit="1" customWidth="1"/>
    <col min="1039" max="1040" width="8.42578125" style="87"/>
    <col min="1041" max="1041" width="3.28515625" style="87" customWidth="1"/>
    <col min="1042" max="1280" width="8.42578125" style="87"/>
    <col min="1281" max="1281" width="10" style="87" bestFit="1" customWidth="1"/>
    <col min="1282" max="1282" width="44.28515625" style="87" bestFit="1" customWidth="1"/>
    <col min="1283" max="1283" width="10.42578125" style="87" bestFit="1" customWidth="1"/>
    <col min="1284" max="1284" width="10.42578125" style="87" customWidth="1"/>
    <col min="1285" max="1285" width="9.7109375" style="87" bestFit="1" customWidth="1"/>
    <col min="1286" max="1287" width="9.5703125" style="87" bestFit="1" customWidth="1"/>
    <col min="1288" max="1288" width="10.42578125" style="87" bestFit="1" customWidth="1"/>
    <col min="1289" max="1289" width="4.5703125" style="87" customWidth="1"/>
    <col min="1290" max="1290" width="1.85546875" style="87" customWidth="1"/>
    <col min="1291" max="1291" width="7" style="87" bestFit="1" customWidth="1"/>
    <col min="1292" max="1292" width="6.28515625" style="87" customWidth="1"/>
    <col min="1293" max="1293" width="20.42578125" style="87" customWidth="1"/>
    <col min="1294" max="1294" width="6.42578125" style="87" bestFit="1" customWidth="1"/>
    <col min="1295" max="1296" width="8.42578125" style="87"/>
    <col min="1297" max="1297" width="3.28515625" style="87" customWidth="1"/>
    <col min="1298" max="1536" width="8.42578125" style="87"/>
    <col min="1537" max="1537" width="10" style="87" bestFit="1" customWidth="1"/>
    <col min="1538" max="1538" width="44.28515625" style="87" bestFit="1" customWidth="1"/>
    <col min="1539" max="1539" width="10.42578125" style="87" bestFit="1" customWidth="1"/>
    <col min="1540" max="1540" width="10.42578125" style="87" customWidth="1"/>
    <col min="1541" max="1541" width="9.7109375" style="87" bestFit="1" customWidth="1"/>
    <col min="1542" max="1543" width="9.5703125" style="87" bestFit="1" customWidth="1"/>
    <col min="1544" max="1544" width="10.42578125" style="87" bestFit="1" customWidth="1"/>
    <col min="1545" max="1545" width="4.5703125" style="87" customWidth="1"/>
    <col min="1546" max="1546" width="1.85546875" style="87" customWidth="1"/>
    <col min="1547" max="1547" width="7" style="87" bestFit="1" customWidth="1"/>
    <col min="1548" max="1548" width="6.28515625" style="87" customWidth="1"/>
    <col min="1549" max="1549" width="20.42578125" style="87" customWidth="1"/>
    <col min="1550" max="1550" width="6.42578125" style="87" bestFit="1" customWidth="1"/>
    <col min="1551" max="1552" width="8.42578125" style="87"/>
    <col min="1553" max="1553" width="3.28515625" style="87" customWidth="1"/>
    <col min="1554" max="1792" width="8.42578125" style="87"/>
    <col min="1793" max="1793" width="10" style="87" bestFit="1" customWidth="1"/>
    <col min="1794" max="1794" width="44.28515625" style="87" bestFit="1" customWidth="1"/>
    <col min="1795" max="1795" width="10.42578125" style="87" bestFit="1" customWidth="1"/>
    <col min="1796" max="1796" width="10.42578125" style="87" customWidth="1"/>
    <col min="1797" max="1797" width="9.7109375" style="87" bestFit="1" customWidth="1"/>
    <col min="1798" max="1799" width="9.5703125" style="87" bestFit="1" customWidth="1"/>
    <col min="1800" max="1800" width="10.42578125" style="87" bestFit="1" customWidth="1"/>
    <col min="1801" max="1801" width="4.5703125" style="87" customWidth="1"/>
    <col min="1802" max="1802" width="1.85546875" style="87" customWidth="1"/>
    <col min="1803" max="1803" width="7" style="87" bestFit="1" customWidth="1"/>
    <col min="1804" max="1804" width="6.28515625" style="87" customWidth="1"/>
    <col min="1805" max="1805" width="20.42578125" style="87" customWidth="1"/>
    <col min="1806" max="1806" width="6.42578125" style="87" bestFit="1" customWidth="1"/>
    <col min="1807" max="1808" width="8.42578125" style="87"/>
    <col min="1809" max="1809" width="3.28515625" style="87" customWidth="1"/>
    <col min="1810" max="2048" width="8.42578125" style="87"/>
    <col min="2049" max="2049" width="10" style="87" bestFit="1" customWidth="1"/>
    <col min="2050" max="2050" width="44.28515625" style="87" bestFit="1" customWidth="1"/>
    <col min="2051" max="2051" width="10.42578125" style="87" bestFit="1" customWidth="1"/>
    <col min="2052" max="2052" width="10.42578125" style="87" customWidth="1"/>
    <col min="2053" max="2053" width="9.7109375" style="87" bestFit="1" customWidth="1"/>
    <col min="2054" max="2055" width="9.5703125" style="87" bestFit="1" customWidth="1"/>
    <col min="2056" max="2056" width="10.42578125" style="87" bestFit="1" customWidth="1"/>
    <col min="2057" max="2057" width="4.5703125" style="87" customWidth="1"/>
    <col min="2058" max="2058" width="1.85546875" style="87" customWidth="1"/>
    <col min="2059" max="2059" width="7" style="87" bestFit="1" customWidth="1"/>
    <col min="2060" max="2060" width="6.28515625" style="87" customWidth="1"/>
    <col min="2061" max="2061" width="20.42578125" style="87" customWidth="1"/>
    <col min="2062" max="2062" width="6.42578125" style="87" bestFit="1" customWidth="1"/>
    <col min="2063" max="2064" width="8.42578125" style="87"/>
    <col min="2065" max="2065" width="3.28515625" style="87" customWidth="1"/>
    <col min="2066" max="2304" width="8.42578125" style="87"/>
    <col min="2305" max="2305" width="10" style="87" bestFit="1" customWidth="1"/>
    <col min="2306" max="2306" width="44.28515625" style="87" bestFit="1" customWidth="1"/>
    <col min="2307" max="2307" width="10.42578125" style="87" bestFit="1" customWidth="1"/>
    <col min="2308" max="2308" width="10.42578125" style="87" customWidth="1"/>
    <col min="2309" max="2309" width="9.7109375" style="87" bestFit="1" customWidth="1"/>
    <col min="2310" max="2311" width="9.5703125" style="87" bestFit="1" customWidth="1"/>
    <col min="2312" max="2312" width="10.42578125" style="87" bestFit="1" customWidth="1"/>
    <col min="2313" max="2313" width="4.5703125" style="87" customWidth="1"/>
    <col min="2314" max="2314" width="1.85546875" style="87" customWidth="1"/>
    <col min="2315" max="2315" width="7" style="87" bestFit="1" customWidth="1"/>
    <col min="2316" max="2316" width="6.28515625" style="87" customWidth="1"/>
    <col min="2317" max="2317" width="20.42578125" style="87" customWidth="1"/>
    <col min="2318" max="2318" width="6.42578125" style="87" bestFit="1" customWidth="1"/>
    <col min="2319" max="2320" width="8.42578125" style="87"/>
    <col min="2321" max="2321" width="3.28515625" style="87" customWidth="1"/>
    <col min="2322" max="2560" width="8.42578125" style="87"/>
    <col min="2561" max="2561" width="10" style="87" bestFit="1" customWidth="1"/>
    <col min="2562" max="2562" width="44.28515625" style="87" bestFit="1" customWidth="1"/>
    <col min="2563" max="2563" width="10.42578125" style="87" bestFit="1" customWidth="1"/>
    <col min="2564" max="2564" width="10.42578125" style="87" customWidth="1"/>
    <col min="2565" max="2565" width="9.7109375" style="87" bestFit="1" customWidth="1"/>
    <col min="2566" max="2567" width="9.5703125" style="87" bestFit="1" customWidth="1"/>
    <col min="2568" max="2568" width="10.42578125" style="87" bestFit="1" customWidth="1"/>
    <col min="2569" max="2569" width="4.5703125" style="87" customWidth="1"/>
    <col min="2570" max="2570" width="1.85546875" style="87" customWidth="1"/>
    <col min="2571" max="2571" width="7" style="87" bestFit="1" customWidth="1"/>
    <col min="2572" max="2572" width="6.28515625" style="87" customWidth="1"/>
    <col min="2573" max="2573" width="20.42578125" style="87" customWidth="1"/>
    <col min="2574" max="2574" width="6.42578125" style="87" bestFit="1" customWidth="1"/>
    <col min="2575" max="2576" width="8.42578125" style="87"/>
    <col min="2577" max="2577" width="3.28515625" style="87" customWidth="1"/>
    <col min="2578" max="2816" width="8.42578125" style="87"/>
    <col min="2817" max="2817" width="10" style="87" bestFit="1" customWidth="1"/>
    <col min="2818" max="2818" width="44.28515625" style="87" bestFit="1" customWidth="1"/>
    <col min="2819" max="2819" width="10.42578125" style="87" bestFit="1" customWidth="1"/>
    <col min="2820" max="2820" width="10.42578125" style="87" customWidth="1"/>
    <col min="2821" max="2821" width="9.7109375" style="87" bestFit="1" customWidth="1"/>
    <col min="2822" max="2823" width="9.5703125" style="87" bestFit="1" customWidth="1"/>
    <col min="2824" max="2824" width="10.42578125" style="87" bestFit="1" customWidth="1"/>
    <col min="2825" max="2825" width="4.5703125" style="87" customWidth="1"/>
    <col min="2826" max="2826" width="1.85546875" style="87" customWidth="1"/>
    <col min="2827" max="2827" width="7" style="87" bestFit="1" customWidth="1"/>
    <col min="2828" max="2828" width="6.28515625" style="87" customWidth="1"/>
    <col min="2829" max="2829" width="20.42578125" style="87" customWidth="1"/>
    <col min="2830" max="2830" width="6.42578125" style="87" bestFit="1" customWidth="1"/>
    <col min="2831" max="2832" width="8.42578125" style="87"/>
    <col min="2833" max="2833" width="3.28515625" style="87" customWidth="1"/>
    <col min="2834" max="3072" width="8.42578125" style="87"/>
    <col min="3073" max="3073" width="10" style="87" bestFit="1" customWidth="1"/>
    <col min="3074" max="3074" width="44.28515625" style="87" bestFit="1" customWidth="1"/>
    <col min="3075" max="3075" width="10.42578125" style="87" bestFit="1" customWidth="1"/>
    <col min="3076" max="3076" width="10.42578125" style="87" customWidth="1"/>
    <col min="3077" max="3077" width="9.7109375" style="87" bestFit="1" customWidth="1"/>
    <col min="3078" max="3079" width="9.5703125" style="87" bestFit="1" customWidth="1"/>
    <col min="3080" max="3080" width="10.42578125" style="87" bestFit="1" customWidth="1"/>
    <col min="3081" max="3081" width="4.5703125" style="87" customWidth="1"/>
    <col min="3082" max="3082" width="1.85546875" style="87" customWidth="1"/>
    <col min="3083" max="3083" width="7" style="87" bestFit="1" customWidth="1"/>
    <col min="3084" max="3084" width="6.28515625" style="87" customWidth="1"/>
    <col min="3085" max="3085" width="20.42578125" style="87" customWidth="1"/>
    <col min="3086" max="3086" width="6.42578125" style="87" bestFit="1" customWidth="1"/>
    <col min="3087" max="3088" width="8.42578125" style="87"/>
    <col min="3089" max="3089" width="3.28515625" style="87" customWidth="1"/>
    <col min="3090" max="3328" width="8.42578125" style="87"/>
    <col min="3329" max="3329" width="10" style="87" bestFit="1" customWidth="1"/>
    <col min="3330" max="3330" width="44.28515625" style="87" bestFit="1" customWidth="1"/>
    <col min="3331" max="3331" width="10.42578125" style="87" bestFit="1" customWidth="1"/>
    <col min="3332" max="3332" width="10.42578125" style="87" customWidth="1"/>
    <col min="3333" max="3333" width="9.7109375" style="87" bestFit="1" customWidth="1"/>
    <col min="3334" max="3335" width="9.5703125" style="87" bestFit="1" customWidth="1"/>
    <col min="3336" max="3336" width="10.42578125" style="87" bestFit="1" customWidth="1"/>
    <col min="3337" max="3337" width="4.5703125" style="87" customWidth="1"/>
    <col min="3338" max="3338" width="1.85546875" style="87" customWidth="1"/>
    <col min="3339" max="3339" width="7" style="87" bestFit="1" customWidth="1"/>
    <col min="3340" max="3340" width="6.28515625" style="87" customWidth="1"/>
    <col min="3341" max="3341" width="20.42578125" style="87" customWidth="1"/>
    <col min="3342" max="3342" width="6.42578125" style="87" bestFit="1" customWidth="1"/>
    <col min="3343" max="3344" width="8.42578125" style="87"/>
    <col min="3345" max="3345" width="3.28515625" style="87" customWidth="1"/>
    <col min="3346" max="3584" width="8.42578125" style="87"/>
    <col min="3585" max="3585" width="10" style="87" bestFit="1" customWidth="1"/>
    <col min="3586" max="3586" width="44.28515625" style="87" bestFit="1" customWidth="1"/>
    <col min="3587" max="3587" width="10.42578125" style="87" bestFit="1" customWidth="1"/>
    <col min="3588" max="3588" width="10.42578125" style="87" customWidth="1"/>
    <col min="3589" max="3589" width="9.7109375" style="87" bestFit="1" customWidth="1"/>
    <col min="3590" max="3591" width="9.5703125" style="87" bestFit="1" customWidth="1"/>
    <col min="3592" max="3592" width="10.42578125" style="87" bestFit="1" customWidth="1"/>
    <col min="3593" max="3593" width="4.5703125" style="87" customWidth="1"/>
    <col min="3594" max="3594" width="1.85546875" style="87" customWidth="1"/>
    <col min="3595" max="3595" width="7" style="87" bestFit="1" customWidth="1"/>
    <col min="3596" max="3596" width="6.28515625" style="87" customWidth="1"/>
    <col min="3597" max="3597" width="20.42578125" style="87" customWidth="1"/>
    <col min="3598" max="3598" width="6.42578125" style="87" bestFit="1" customWidth="1"/>
    <col min="3599" max="3600" width="8.42578125" style="87"/>
    <col min="3601" max="3601" width="3.28515625" style="87" customWidth="1"/>
    <col min="3602" max="3840" width="8.42578125" style="87"/>
    <col min="3841" max="3841" width="10" style="87" bestFit="1" customWidth="1"/>
    <col min="3842" max="3842" width="44.28515625" style="87" bestFit="1" customWidth="1"/>
    <col min="3843" max="3843" width="10.42578125" style="87" bestFit="1" customWidth="1"/>
    <col min="3844" max="3844" width="10.42578125" style="87" customWidth="1"/>
    <col min="3845" max="3845" width="9.7109375" style="87" bestFit="1" customWidth="1"/>
    <col min="3846" max="3847" width="9.5703125" style="87" bestFit="1" customWidth="1"/>
    <col min="3848" max="3848" width="10.42578125" style="87" bestFit="1" customWidth="1"/>
    <col min="3849" max="3849" width="4.5703125" style="87" customWidth="1"/>
    <col min="3850" max="3850" width="1.85546875" style="87" customWidth="1"/>
    <col min="3851" max="3851" width="7" style="87" bestFit="1" customWidth="1"/>
    <col min="3852" max="3852" width="6.28515625" style="87" customWidth="1"/>
    <col min="3853" max="3853" width="20.42578125" style="87" customWidth="1"/>
    <col min="3854" max="3854" width="6.42578125" style="87" bestFit="1" customWidth="1"/>
    <col min="3855" max="3856" width="8.42578125" style="87"/>
    <col min="3857" max="3857" width="3.28515625" style="87" customWidth="1"/>
    <col min="3858" max="4096" width="8.42578125" style="87"/>
    <col min="4097" max="4097" width="10" style="87" bestFit="1" customWidth="1"/>
    <col min="4098" max="4098" width="44.28515625" style="87" bestFit="1" customWidth="1"/>
    <col min="4099" max="4099" width="10.42578125" style="87" bestFit="1" customWidth="1"/>
    <col min="4100" max="4100" width="10.42578125" style="87" customWidth="1"/>
    <col min="4101" max="4101" width="9.7109375" style="87" bestFit="1" customWidth="1"/>
    <col min="4102" max="4103" width="9.5703125" style="87" bestFit="1" customWidth="1"/>
    <col min="4104" max="4104" width="10.42578125" style="87" bestFit="1" customWidth="1"/>
    <col min="4105" max="4105" width="4.5703125" style="87" customWidth="1"/>
    <col min="4106" max="4106" width="1.85546875" style="87" customWidth="1"/>
    <col min="4107" max="4107" width="7" style="87" bestFit="1" customWidth="1"/>
    <col min="4108" max="4108" width="6.28515625" style="87" customWidth="1"/>
    <col min="4109" max="4109" width="20.42578125" style="87" customWidth="1"/>
    <col min="4110" max="4110" width="6.42578125" style="87" bestFit="1" customWidth="1"/>
    <col min="4111" max="4112" width="8.42578125" style="87"/>
    <col min="4113" max="4113" width="3.28515625" style="87" customWidth="1"/>
    <col min="4114" max="4352" width="8.42578125" style="87"/>
    <col min="4353" max="4353" width="10" style="87" bestFit="1" customWidth="1"/>
    <col min="4354" max="4354" width="44.28515625" style="87" bestFit="1" customWidth="1"/>
    <col min="4355" max="4355" width="10.42578125" style="87" bestFit="1" customWidth="1"/>
    <col min="4356" max="4356" width="10.42578125" style="87" customWidth="1"/>
    <col min="4357" max="4357" width="9.7109375" style="87" bestFit="1" customWidth="1"/>
    <col min="4358" max="4359" width="9.5703125" style="87" bestFit="1" customWidth="1"/>
    <col min="4360" max="4360" width="10.42578125" style="87" bestFit="1" customWidth="1"/>
    <col min="4361" max="4361" width="4.5703125" style="87" customWidth="1"/>
    <col min="4362" max="4362" width="1.85546875" style="87" customWidth="1"/>
    <col min="4363" max="4363" width="7" style="87" bestFit="1" customWidth="1"/>
    <col min="4364" max="4364" width="6.28515625" style="87" customWidth="1"/>
    <col min="4365" max="4365" width="20.42578125" style="87" customWidth="1"/>
    <col min="4366" max="4366" width="6.42578125" style="87" bestFit="1" customWidth="1"/>
    <col min="4367" max="4368" width="8.42578125" style="87"/>
    <col min="4369" max="4369" width="3.28515625" style="87" customWidth="1"/>
    <col min="4370" max="4608" width="8.42578125" style="87"/>
    <col min="4609" max="4609" width="10" style="87" bestFit="1" customWidth="1"/>
    <col min="4610" max="4610" width="44.28515625" style="87" bestFit="1" customWidth="1"/>
    <col min="4611" max="4611" width="10.42578125" style="87" bestFit="1" customWidth="1"/>
    <col min="4612" max="4612" width="10.42578125" style="87" customWidth="1"/>
    <col min="4613" max="4613" width="9.7109375" style="87" bestFit="1" customWidth="1"/>
    <col min="4614" max="4615" width="9.5703125" style="87" bestFit="1" customWidth="1"/>
    <col min="4616" max="4616" width="10.42578125" style="87" bestFit="1" customWidth="1"/>
    <col min="4617" max="4617" width="4.5703125" style="87" customWidth="1"/>
    <col min="4618" max="4618" width="1.85546875" style="87" customWidth="1"/>
    <col min="4619" max="4619" width="7" style="87" bestFit="1" customWidth="1"/>
    <col min="4620" max="4620" width="6.28515625" style="87" customWidth="1"/>
    <col min="4621" max="4621" width="20.42578125" style="87" customWidth="1"/>
    <col min="4622" max="4622" width="6.42578125" style="87" bestFit="1" customWidth="1"/>
    <col min="4623" max="4624" width="8.42578125" style="87"/>
    <col min="4625" max="4625" width="3.28515625" style="87" customWidth="1"/>
    <col min="4626" max="4864" width="8.42578125" style="87"/>
    <col min="4865" max="4865" width="10" style="87" bestFit="1" customWidth="1"/>
    <col min="4866" max="4866" width="44.28515625" style="87" bestFit="1" customWidth="1"/>
    <col min="4867" max="4867" width="10.42578125" style="87" bestFit="1" customWidth="1"/>
    <col min="4868" max="4868" width="10.42578125" style="87" customWidth="1"/>
    <col min="4869" max="4869" width="9.7109375" style="87" bestFit="1" customWidth="1"/>
    <col min="4870" max="4871" width="9.5703125" style="87" bestFit="1" customWidth="1"/>
    <col min="4872" max="4872" width="10.42578125" style="87" bestFit="1" customWidth="1"/>
    <col min="4873" max="4873" width="4.5703125" style="87" customWidth="1"/>
    <col min="4874" max="4874" width="1.85546875" style="87" customWidth="1"/>
    <col min="4875" max="4875" width="7" style="87" bestFit="1" customWidth="1"/>
    <col min="4876" max="4876" width="6.28515625" style="87" customWidth="1"/>
    <col min="4877" max="4877" width="20.42578125" style="87" customWidth="1"/>
    <col min="4878" max="4878" width="6.42578125" style="87" bestFit="1" customWidth="1"/>
    <col min="4879" max="4880" width="8.42578125" style="87"/>
    <col min="4881" max="4881" width="3.28515625" style="87" customWidth="1"/>
    <col min="4882" max="5120" width="8.42578125" style="87"/>
    <col min="5121" max="5121" width="10" style="87" bestFit="1" customWidth="1"/>
    <col min="5122" max="5122" width="44.28515625" style="87" bestFit="1" customWidth="1"/>
    <col min="5123" max="5123" width="10.42578125" style="87" bestFit="1" customWidth="1"/>
    <col min="5124" max="5124" width="10.42578125" style="87" customWidth="1"/>
    <col min="5125" max="5125" width="9.7109375" style="87" bestFit="1" customWidth="1"/>
    <col min="5126" max="5127" width="9.5703125" style="87" bestFit="1" customWidth="1"/>
    <col min="5128" max="5128" width="10.42578125" style="87" bestFit="1" customWidth="1"/>
    <col min="5129" max="5129" width="4.5703125" style="87" customWidth="1"/>
    <col min="5130" max="5130" width="1.85546875" style="87" customWidth="1"/>
    <col min="5131" max="5131" width="7" style="87" bestFit="1" customWidth="1"/>
    <col min="5132" max="5132" width="6.28515625" style="87" customWidth="1"/>
    <col min="5133" max="5133" width="20.42578125" style="87" customWidth="1"/>
    <col min="5134" max="5134" width="6.42578125" style="87" bestFit="1" customWidth="1"/>
    <col min="5135" max="5136" width="8.42578125" style="87"/>
    <col min="5137" max="5137" width="3.28515625" style="87" customWidth="1"/>
    <col min="5138" max="5376" width="8.42578125" style="87"/>
    <col min="5377" max="5377" width="10" style="87" bestFit="1" customWidth="1"/>
    <col min="5378" max="5378" width="44.28515625" style="87" bestFit="1" customWidth="1"/>
    <col min="5379" max="5379" width="10.42578125" style="87" bestFit="1" customWidth="1"/>
    <col min="5380" max="5380" width="10.42578125" style="87" customWidth="1"/>
    <col min="5381" max="5381" width="9.7109375" style="87" bestFit="1" customWidth="1"/>
    <col min="5382" max="5383" width="9.5703125" style="87" bestFit="1" customWidth="1"/>
    <col min="5384" max="5384" width="10.42578125" style="87" bestFit="1" customWidth="1"/>
    <col min="5385" max="5385" width="4.5703125" style="87" customWidth="1"/>
    <col min="5386" max="5386" width="1.85546875" style="87" customWidth="1"/>
    <col min="5387" max="5387" width="7" style="87" bestFit="1" customWidth="1"/>
    <col min="5388" max="5388" width="6.28515625" style="87" customWidth="1"/>
    <col min="5389" max="5389" width="20.42578125" style="87" customWidth="1"/>
    <col min="5390" max="5390" width="6.42578125" style="87" bestFit="1" customWidth="1"/>
    <col min="5391" max="5392" width="8.42578125" style="87"/>
    <col min="5393" max="5393" width="3.28515625" style="87" customWidth="1"/>
    <col min="5394" max="5632" width="8.42578125" style="87"/>
    <col min="5633" max="5633" width="10" style="87" bestFit="1" customWidth="1"/>
    <col min="5634" max="5634" width="44.28515625" style="87" bestFit="1" customWidth="1"/>
    <col min="5635" max="5635" width="10.42578125" style="87" bestFit="1" customWidth="1"/>
    <col min="5636" max="5636" width="10.42578125" style="87" customWidth="1"/>
    <col min="5637" max="5637" width="9.7109375" style="87" bestFit="1" customWidth="1"/>
    <col min="5638" max="5639" width="9.5703125" style="87" bestFit="1" customWidth="1"/>
    <col min="5640" max="5640" width="10.42578125" style="87" bestFit="1" customWidth="1"/>
    <col min="5641" max="5641" width="4.5703125" style="87" customWidth="1"/>
    <col min="5642" max="5642" width="1.85546875" style="87" customWidth="1"/>
    <col min="5643" max="5643" width="7" style="87" bestFit="1" customWidth="1"/>
    <col min="5644" max="5644" width="6.28515625" style="87" customWidth="1"/>
    <col min="5645" max="5645" width="20.42578125" style="87" customWidth="1"/>
    <col min="5646" max="5646" width="6.42578125" style="87" bestFit="1" customWidth="1"/>
    <col min="5647" max="5648" width="8.42578125" style="87"/>
    <col min="5649" max="5649" width="3.28515625" style="87" customWidth="1"/>
    <col min="5650" max="5888" width="8.42578125" style="87"/>
    <col min="5889" max="5889" width="10" style="87" bestFit="1" customWidth="1"/>
    <col min="5890" max="5890" width="44.28515625" style="87" bestFit="1" customWidth="1"/>
    <col min="5891" max="5891" width="10.42578125" style="87" bestFit="1" customWidth="1"/>
    <col min="5892" max="5892" width="10.42578125" style="87" customWidth="1"/>
    <col min="5893" max="5893" width="9.7109375" style="87" bestFit="1" customWidth="1"/>
    <col min="5894" max="5895" width="9.5703125" style="87" bestFit="1" customWidth="1"/>
    <col min="5896" max="5896" width="10.42578125" style="87" bestFit="1" customWidth="1"/>
    <col min="5897" max="5897" width="4.5703125" style="87" customWidth="1"/>
    <col min="5898" max="5898" width="1.85546875" style="87" customWidth="1"/>
    <col min="5899" max="5899" width="7" style="87" bestFit="1" customWidth="1"/>
    <col min="5900" max="5900" width="6.28515625" style="87" customWidth="1"/>
    <col min="5901" max="5901" width="20.42578125" style="87" customWidth="1"/>
    <col min="5902" max="5902" width="6.42578125" style="87" bestFit="1" customWidth="1"/>
    <col min="5903" max="5904" width="8.42578125" style="87"/>
    <col min="5905" max="5905" width="3.28515625" style="87" customWidth="1"/>
    <col min="5906" max="6144" width="8.42578125" style="87"/>
    <col min="6145" max="6145" width="10" style="87" bestFit="1" customWidth="1"/>
    <col min="6146" max="6146" width="44.28515625" style="87" bestFit="1" customWidth="1"/>
    <col min="6147" max="6147" width="10.42578125" style="87" bestFit="1" customWidth="1"/>
    <col min="6148" max="6148" width="10.42578125" style="87" customWidth="1"/>
    <col min="6149" max="6149" width="9.7109375" style="87" bestFit="1" customWidth="1"/>
    <col min="6150" max="6151" width="9.5703125" style="87" bestFit="1" customWidth="1"/>
    <col min="6152" max="6152" width="10.42578125" style="87" bestFit="1" customWidth="1"/>
    <col min="6153" max="6153" width="4.5703125" style="87" customWidth="1"/>
    <col min="6154" max="6154" width="1.85546875" style="87" customWidth="1"/>
    <col min="6155" max="6155" width="7" style="87" bestFit="1" customWidth="1"/>
    <col min="6156" max="6156" width="6.28515625" style="87" customWidth="1"/>
    <col min="6157" max="6157" width="20.42578125" style="87" customWidth="1"/>
    <col min="6158" max="6158" width="6.42578125" style="87" bestFit="1" customWidth="1"/>
    <col min="6159" max="6160" width="8.42578125" style="87"/>
    <col min="6161" max="6161" width="3.28515625" style="87" customWidth="1"/>
    <col min="6162" max="6400" width="8.42578125" style="87"/>
    <col min="6401" max="6401" width="10" style="87" bestFit="1" customWidth="1"/>
    <col min="6402" max="6402" width="44.28515625" style="87" bestFit="1" customWidth="1"/>
    <col min="6403" max="6403" width="10.42578125" style="87" bestFit="1" customWidth="1"/>
    <col min="6404" max="6404" width="10.42578125" style="87" customWidth="1"/>
    <col min="6405" max="6405" width="9.7109375" style="87" bestFit="1" customWidth="1"/>
    <col min="6406" max="6407" width="9.5703125" style="87" bestFit="1" customWidth="1"/>
    <col min="6408" max="6408" width="10.42578125" style="87" bestFit="1" customWidth="1"/>
    <col min="6409" max="6409" width="4.5703125" style="87" customWidth="1"/>
    <col min="6410" max="6410" width="1.85546875" style="87" customWidth="1"/>
    <col min="6411" max="6411" width="7" style="87" bestFit="1" customWidth="1"/>
    <col min="6412" max="6412" width="6.28515625" style="87" customWidth="1"/>
    <col min="6413" max="6413" width="20.42578125" style="87" customWidth="1"/>
    <col min="6414" max="6414" width="6.42578125" style="87" bestFit="1" customWidth="1"/>
    <col min="6415" max="6416" width="8.42578125" style="87"/>
    <col min="6417" max="6417" width="3.28515625" style="87" customWidth="1"/>
    <col min="6418" max="6656" width="8.42578125" style="87"/>
    <col min="6657" max="6657" width="10" style="87" bestFit="1" customWidth="1"/>
    <col min="6658" max="6658" width="44.28515625" style="87" bestFit="1" customWidth="1"/>
    <col min="6659" max="6659" width="10.42578125" style="87" bestFit="1" customWidth="1"/>
    <col min="6660" max="6660" width="10.42578125" style="87" customWidth="1"/>
    <col min="6661" max="6661" width="9.7109375" style="87" bestFit="1" customWidth="1"/>
    <col min="6662" max="6663" width="9.5703125" style="87" bestFit="1" customWidth="1"/>
    <col min="6664" max="6664" width="10.42578125" style="87" bestFit="1" customWidth="1"/>
    <col min="6665" max="6665" width="4.5703125" style="87" customWidth="1"/>
    <col min="6666" max="6666" width="1.85546875" style="87" customWidth="1"/>
    <col min="6667" max="6667" width="7" style="87" bestFit="1" customWidth="1"/>
    <col min="6668" max="6668" width="6.28515625" style="87" customWidth="1"/>
    <col min="6669" max="6669" width="20.42578125" style="87" customWidth="1"/>
    <col min="6670" max="6670" width="6.42578125" style="87" bestFit="1" customWidth="1"/>
    <col min="6671" max="6672" width="8.42578125" style="87"/>
    <col min="6673" max="6673" width="3.28515625" style="87" customWidth="1"/>
    <col min="6674" max="6912" width="8.42578125" style="87"/>
    <col min="6913" max="6913" width="10" style="87" bestFit="1" customWidth="1"/>
    <col min="6914" max="6914" width="44.28515625" style="87" bestFit="1" customWidth="1"/>
    <col min="6915" max="6915" width="10.42578125" style="87" bestFit="1" customWidth="1"/>
    <col min="6916" max="6916" width="10.42578125" style="87" customWidth="1"/>
    <col min="6917" max="6917" width="9.7109375" style="87" bestFit="1" customWidth="1"/>
    <col min="6918" max="6919" width="9.5703125" style="87" bestFit="1" customWidth="1"/>
    <col min="6920" max="6920" width="10.42578125" style="87" bestFit="1" customWidth="1"/>
    <col min="6921" max="6921" width="4.5703125" style="87" customWidth="1"/>
    <col min="6922" max="6922" width="1.85546875" style="87" customWidth="1"/>
    <col min="6923" max="6923" width="7" style="87" bestFit="1" customWidth="1"/>
    <col min="6924" max="6924" width="6.28515625" style="87" customWidth="1"/>
    <col min="6925" max="6925" width="20.42578125" style="87" customWidth="1"/>
    <col min="6926" max="6926" width="6.42578125" style="87" bestFit="1" customWidth="1"/>
    <col min="6927" max="6928" width="8.42578125" style="87"/>
    <col min="6929" max="6929" width="3.28515625" style="87" customWidth="1"/>
    <col min="6930" max="7168" width="8.42578125" style="87"/>
    <col min="7169" max="7169" width="10" style="87" bestFit="1" customWidth="1"/>
    <col min="7170" max="7170" width="44.28515625" style="87" bestFit="1" customWidth="1"/>
    <col min="7171" max="7171" width="10.42578125" style="87" bestFit="1" customWidth="1"/>
    <col min="7172" max="7172" width="10.42578125" style="87" customWidth="1"/>
    <col min="7173" max="7173" width="9.7109375" style="87" bestFit="1" customWidth="1"/>
    <col min="7174" max="7175" width="9.5703125" style="87" bestFit="1" customWidth="1"/>
    <col min="7176" max="7176" width="10.42578125" style="87" bestFit="1" customWidth="1"/>
    <col min="7177" max="7177" width="4.5703125" style="87" customWidth="1"/>
    <col min="7178" max="7178" width="1.85546875" style="87" customWidth="1"/>
    <col min="7179" max="7179" width="7" style="87" bestFit="1" customWidth="1"/>
    <col min="7180" max="7180" width="6.28515625" style="87" customWidth="1"/>
    <col min="7181" max="7181" width="20.42578125" style="87" customWidth="1"/>
    <col min="7182" max="7182" width="6.42578125" style="87" bestFit="1" customWidth="1"/>
    <col min="7183" max="7184" width="8.42578125" style="87"/>
    <col min="7185" max="7185" width="3.28515625" style="87" customWidth="1"/>
    <col min="7186" max="7424" width="8.42578125" style="87"/>
    <col min="7425" max="7425" width="10" style="87" bestFit="1" customWidth="1"/>
    <col min="7426" max="7426" width="44.28515625" style="87" bestFit="1" customWidth="1"/>
    <col min="7427" max="7427" width="10.42578125" style="87" bestFit="1" customWidth="1"/>
    <col min="7428" max="7428" width="10.42578125" style="87" customWidth="1"/>
    <col min="7429" max="7429" width="9.7109375" style="87" bestFit="1" customWidth="1"/>
    <col min="7430" max="7431" width="9.5703125" style="87" bestFit="1" customWidth="1"/>
    <col min="7432" max="7432" width="10.42578125" style="87" bestFit="1" customWidth="1"/>
    <col min="7433" max="7433" width="4.5703125" style="87" customWidth="1"/>
    <col min="7434" max="7434" width="1.85546875" style="87" customWidth="1"/>
    <col min="7435" max="7435" width="7" style="87" bestFit="1" customWidth="1"/>
    <col min="7436" max="7436" width="6.28515625" style="87" customWidth="1"/>
    <col min="7437" max="7437" width="20.42578125" style="87" customWidth="1"/>
    <col min="7438" max="7438" width="6.42578125" style="87" bestFit="1" customWidth="1"/>
    <col min="7439" max="7440" width="8.42578125" style="87"/>
    <col min="7441" max="7441" width="3.28515625" style="87" customWidth="1"/>
    <col min="7442" max="7680" width="8.42578125" style="87"/>
    <col min="7681" max="7681" width="10" style="87" bestFit="1" customWidth="1"/>
    <col min="7682" max="7682" width="44.28515625" style="87" bestFit="1" customWidth="1"/>
    <col min="7683" max="7683" width="10.42578125" style="87" bestFit="1" customWidth="1"/>
    <col min="7684" max="7684" width="10.42578125" style="87" customWidth="1"/>
    <col min="7685" max="7685" width="9.7109375" style="87" bestFit="1" customWidth="1"/>
    <col min="7686" max="7687" width="9.5703125" style="87" bestFit="1" customWidth="1"/>
    <col min="7688" max="7688" width="10.42578125" style="87" bestFit="1" customWidth="1"/>
    <col min="7689" max="7689" width="4.5703125" style="87" customWidth="1"/>
    <col min="7690" max="7690" width="1.85546875" style="87" customWidth="1"/>
    <col min="7691" max="7691" width="7" style="87" bestFit="1" customWidth="1"/>
    <col min="7692" max="7692" width="6.28515625" style="87" customWidth="1"/>
    <col min="7693" max="7693" width="20.42578125" style="87" customWidth="1"/>
    <col min="7694" max="7694" width="6.42578125" style="87" bestFit="1" customWidth="1"/>
    <col min="7695" max="7696" width="8.42578125" style="87"/>
    <col min="7697" max="7697" width="3.28515625" style="87" customWidth="1"/>
    <col min="7698" max="7936" width="8.42578125" style="87"/>
    <col min="7937" max="7937" width="10" style="87" bestFit="1" customWidth="1"/>
    <col min="7938" max="7938" width="44.28515625" style="87" bestFit="1" customWidth="1"/>
    <col min="7939" max="7939" width="10.42578125" style="87" bestFit="1" customWidth="1"/>
    <col min="7940" max="7940" width="10.42578125" style="87" customWidth="1"/>
    <col min="7941" max="7941" width="9.7109375" style="87" bestFit="1" customWidth="1"/>
    <col min="7942" max="7943" width="9.5703125" style="87" bestFit="1" customWidth="1"/>
    <col min="7944" max="7944" width="10.42578125" style="87" bestFit="1" customWidth="1"/>
    <col min="7945" max="7945" width="4.5703125" style="87" customWidth="1"/>
    <col min="7946" max="7946" width="1.85546875" style="87" customWidth="1"/>
    <col min="7947" max="7947" width="7" style="87" bestFit="1" customWidth="1"/>
    <col min="7948" max="7948" width="6.28515625" style="87" customWidth="1"/>
    <col min="7949" max="7949" width="20.42578125" style="87" customWidth="1"/>
    <col min="7950" max="7950" width="6.42578125" style="87" bestFit="1" customWidth="1"/>
    <col min="7951" max="7952" width="8.42578125" style="87"/>
    <col min="7953" max="7953" width="3.28515625" style="87" customWidth="1"/>
    <col min="7954" max="8192" width="8.42578125" style="87"/>
    <col min="8193" max="8193" width="10" style="87" bestFit="1" customWidth="1"/>
    <col min="8194" max="8194" width="44.28515625" style="87" bestFit="1" customWidth="1"/>
    <col min="8195" max="8195" width="10.42578125" style="87" bestFit="1" customWidth="1"/>
    <col min="8196" max="8196" width="10.42578125" style="87" customWidth="1"/>
    <col min="8197" max="8197" width="9.7109375" style="87" bestFit="1" customWidth="1"/>
    <col min="8198" max="8199" width="9.5703125" style="87" bestFit="1" customWidth="1"/>
    <col min="8200" max="8200" width="10.42578125" style="87" bestFit="1" customWidth="1"/>
    <col min="8201" max="8201" width="4.5703125" style="87" customWidth="1"/>
    <col min="8202" max="8202" width="1.85546875" style="87" customWidth="1"/>
    <col min="8203" max="8203" width="7" style="87" bestFit="1" customWidth="1"/>
    <col min="8204" max="8204" width="6.28515625" style="87" customWidth="1"/>
    <col min="8205" max="8205" width="20.42578125" style="87" customWidth="1"/>
    <col min="8206" max="8206" width="6.42578125" style="87" bestFit="1" customWidth="1"/>
    <col min="8207" max="8208" width="8.42578125" style="87"/>
    <col min="8209" max="8209" width="3.28515625" style="87" customWidth="1"/>
    <col min="8210" max="8448" width="8.42578125" style="87"/>
    <col min="8449" max="8449" width="10" style="87" bestFit="1" customWidth="1"/>
    <col min="8450" max="8450" width="44.28515625" style="87" bestFit="1" customWidth="1"/>
    <col min="8451" max="8451" width="10.42578125" style="87" bestFit="1" customWidth="1"/>
    <col min="8452" max="8452" width="10.42578125" style="87" customWidth="1"/>
    <col min="8453" max="8453" width="9.7109375" style="87" bestFit="1" customWidth="1"/>
    <col min="8454" max="8455" width="9.5703125" style="87" bestFit="1" customWidth="1"/>
    <col min="8456" max="8456" width="10.42578125" style="87" bestFit="1" customWidth="1"/>
    <col min="8457" max="8457" width="4.5703125" style="87" customWidth="1"/>
    <col min="8458" max="8458" width="1.85546875" style="87" customWidth="1"/>
    <col min="8459" max="8459" width="7" style="87" bestFit="1" customWidth="1"/>
    <col min="8460" max="8460" width="6.28515625" style="87" customWidth="1"/>
    <col min="8461" max="8461" width="20.42578125" style="87" customWidth="1"/>
    <col min="8462" max="8462" width="6.42578125" style="87" bestFit="1" customWidth="1"/>
    <col min="8463" max="8464" width="8.42578125" style="87"/>
    <col min="8465" max="8465" width="3.28515625" style="87" customWidth="1"/>
    <col min="8466" max="8704" width="8.42578125" style="87"/>
    <col min="8705" max="8705" width="10" style="87" bestFit="1" customWidth="1"/>
    <col min="8706" max="8706" width="44.28515625" style="87" bestFit="1" customWidth="1"/>
    <col min="8707" max="8707" width="10.42578125" style="87" bestFit="1" customWidth="1"/>
    <col min="8708" max="8708" width="10.42578125" style="87" customWidth="1"/>
    <col min="8709" max="8709" width="9.7109375" style="87" bestFit="1" customWidth="1"/>
    <col min="8710" max="8711" width="9.5703125" style="87" bestFit="1" customWidth="1"/>
    <col min="8712" max="8712" width="10.42578125" style="87" bestFit="1" customWidth="1"/>
    <col min="8713" max="8713" width="4.5703125" style="87" customWidth="1"/>
    <col min="8714" max="8714" width="1.85546875" style="87" customWidth="1"/>
    <col min="8715" max="8715" width="7" style="87" bestFit="1" customWidth="1"/>
    <col min="8716" max="8716" width="6.28515625" style="87" customWidth="1"/>
    <col min="8717" max="8717" width="20.42578125" style="87" customWidth="1"/>
    <col min="8718" max="8718" width="6.42578125" style="87" bestFit="1" customWidth="1"/>
    <col min="8719" max="8720" width="8.42578125" style="87"/>
    <col min="8721" max="8721" width="3.28515625" style="87" customWidth="1"/>
    <col min="8722" max="8960" width="8.42578125" style="87"/>
    <col min="8961" max="8961" width="10" style="87" bestFit="1" customWidth="1"/>
    <col min="8962" max="8962" width="44.28515625" style="87" bestFit="1" customWidth="1"/>
    <col min="8963" max="8963" width="10.42578125" style="87" bestFit="1" customWidth="1"/>
    <col min="8964" max="8964" width="10.42578125" style="87" customWidth="1"/>
    <col min="8965" max="8965" width="9.7109375" style="87" bestFit="1" customWidth="1"/>
    <col min="8966" max="8967" width="9.5703125" style="87" bestFit="1" customWidth="1"/>
    <col min="8968" max="8968" width="10.42578125" style="87" bestFit="1" customWidth="1"/>
    <col min="8969" max="8969" width="4.5703125" style="87" customWidth="1"/>
    <col min="8970" max="8970" width="1.85546875" style="87" customWidth="1"/>
    <col min="8971" max="8971" width="7" style="87" bestFit="1" customWidth="1"/>
    <col min="8972" max="8972" width="6.28515625" style="87" customWidth="1"/>
    <col min="8973" max="8973" width="20.42578125" style="87" customWidth="1"/>
    <col min="8974" max="8974" width="6.42578125" style="87" bestFit="1" customWidth="1"/>
    <col min="8975" max="8976" width="8.42578125" style="87"/>
    <col min="8977" max="8977" width="3.28515625" style="87" customWidth="1"/>
    <col min="8978" max="9216" width="8.42578125" style="87"/>
    <col min="9217" max="9217" width="10" style="87" bestFit="1" customWidth="1"/>
    <col min="9218" max="9218" width="44.28515625" style="87" bestFit="1" customWidth="1"/>
    <col min="9219" max="9219" width="10.42578125" style="87" bestFit="1" customWidth="1"/>
    <col min="9220" max="9220" width="10.42578125" style="87" customWidth="1"/>
    <col min="9221" max="9221" width="9.7109375" style="87" bestFit="1" customWidth="1"/>
    <col min="9222" max="9223" width="9.5703125" style="87" bestFit="1" customWidth="1"/>
    <col min="9224" max="9224" width="10.42578125" style="87" bestFit="1" customWidth="1"/>
    <col min="9225" max="9225" width="4.5703125" style="87" customWidth="1"/>
    <col min="9226" max="9226" width="1.85546875" style="87" customWidth="1"/>
    <col min="9227" max="9227" width="7" style="87" bestFit="1" customWidth="1"/>
    <col min="9228" max="9228" width="6.28515625" style="87" customWidth="1"/>
    <col min="9229" max="9229" width="20.42578125" style="87" customWidth="1"/>
    <col min="9230" max="9230" width="6.42578125" style="87" bestFit="1" customWidth="1"/>
    <col min="9231" max="9232" width="8.42578125" style="87"/>
    <col min="9233" max="9233" width="3.28515625" style="87" customWidth="1"/>
    <col min="9234" max="9472" width="8.42578125" style="87"/>
    <col min="9473" max="9473" width="10" style="87" bestFit="1" customWidth="1"/>
    <col min="9474" max="9474" width="44.28515625" style="87" bestFit="1" customWidth="1"/>
    <col min="9475" max="9475" width="10.42578125" style="87" bestFit="1" customWidth="1"/>
    <col min="9476" max="9476" width="10.42578125" style="87" customWidth="1"/>
    <col min="9477" max="9477" width="9.7109375" style="87" bestFit="1" customWidth="1"/>
    <col min="9478" max="9479" width="9.5703125" style="87" bestFit="1" customWidth="1"/>
    <col min="9480" max="9480" width="10.42578125" style="87" bestFit="1" customWidth="1"/>
    <col min="9481" max="9481" width="4.5703125" style="87" customWidth="1"/>
    <col min="9482" max="9482" width="1.85546875" style="87" customWidth="1"/>
    <col min="9483" max="9483" width="7" style="87" bestFit="1" customWidth="1"/>
    <col min="9484" max="9484" width="6.28515625" style="87" customWidth="1"/>
    <col min="9485" max="9485" width="20.42578125" style="87" customWidth="1"/>
    <col min="9486" max="9486" width="6.42578125" style="87" bestFit="1" customWidth="1"/>
    <col min="9487" max="9488" width="8.42578125" style="87"/>
    <col min="9489" max="9489" width="3.28515625" style="87" customWidth="1"/>
    <col min="9490" max="9728" width="8.42578125" style="87"/>
    <col min="9729" max="9729" width="10" style="87" bestFit="1" customWidth="1"/>
    <col min="9730" max="9730" width="44.28515625" style="87" bestFit="1" customWidth="1"/>
    <col min="9731" max="9731" width="10.42578125" style="87" bestFit="1" customWidth="1"/>
    <col min="9732" max="9732" width="10.42578125" style="87" customWidth="1"/>
    <col min="9733" max="9733" width="9.7109375" style="87" bestFit="1" customWidth="1"/>
    <col min="9734" max="9735" width="9.5703125" style="87" bestFit="1" customWidth="1"/>
    <col min="9736" max="9736" width="10.42578125" style="87" bestFit="1" customWidth="1"/>
    <col min="9737" max="9737" width="4.5703125" style="87" customWidth="1"/>
    <col min="9738" max="9738" width="1.85546875" style="87" customWidth="1"/>
    <col min="9739" max="9739" width="7" style="87" bestFit="1" customWidth="1"/>
    <col min="9740" max="9740" width="6.28515625" style="87" customWidth="1"/>
    <col min="9741" max="9741" width="20.42578125" style="87" customWidth="1"/>
    <col min="9742" max="9742" width="6.42578125" style="87" bestFit="1" customWidth="1"/>
    <col min="9743" max="9744" width="8.42578125" style="87"/>
    <col min="9745" max="9745" width="3.28515625" style="87" customWidth="1"/>
    <col min="9746" max="9984" width="8.42578125" style="87"/>
    <col min="9985" max="9985" width="10" style="87" bestFit="1" customWidth="1"/>
    <col min="9986" max="9986" width="44.28515625" style="87" bestFit="1" customWidth="1"/>
    <col min="9987" max="9987" width="10.42578125" style="87" bestFit="1" customWidth="1"/>
    <col min="9988" max="9988" width="10.42578125" style="87" customWidth="1"/>
    <col min="9989" max="9989" width="9.7109375" style="87" bestFit="1" customWidth="1"/>
    <col min="9990" max="9991" width="9.5703125" style="87" bestFit="1" customWidth="1"/>
    <col min="9992" max="9992" width="10.42578125" style="87" bestFit="1" customWidth="1"/>
    <col min="9993" max="9993" width="4.5703125" style="87" customWidth="1"/>
    <col min="9994" max="9994" width="1.85546875" style="87" customWidth="1"/>
    <col min="9995" max="9995" width="7" style="87" bestFit="1" customWidth="1"/>
    <col min="9996" max="9996" width="6.28515625" style="87" customWidth="1"/>
    <col min="9997" max="9997" width="20.42578125" style="87" customWidth="1"/>
    <col min="9998" max="9998" width="6.42578125" style="87" bestFit="1" customWidth="1"/>
    <col min="9999" max="10000" width="8.42578125" style="87"/>
    <col min="10001" max="10001" width="3.28515625" style="87" customWidth="1"/>
    <col min="10002" max="10240" width="8.42578125" style="87"/>
    <col min="10241" max="10241" width="10" style="87" bestFit="1" customWidth="1"/>
    <col min="10242" max="10242" width="44.28515625" style="87" bestFit="1" customWidth="1"/>
    <col min="10243" max="10243" width="10.42578125" style="87" bestFit="1" customWidth="1"/>
    <col min="10244" max="10244" width="10.42578125" style="87" customWidth="1"/>
    <col min="10245" max="10245" width="9.7109375" style="87" bestFit="1" customWidth="1"/>
    <col min="10246" max="10247" width="9.5703125" style="87" bestFit="1" customWidth="1"/>
    <col min="10248" max="10248" width="10.42578125" style="87" bestFit="1" customWidth="1"/>
    <col min="10249" max="10249" width="4.5703125" style="87" customWidth="1"/>
    <col min="10250" max="10250" width="1.85546875" style="87" customWidth="1"/>
    <col min="10251" max="10251" width="7" style="87" bestFit="1" customWidth="1"/>
    <col min="10252" max="10252" width="6.28515625" style="87" customWidth="1"/>
    <col min="10253" max="10253" width="20.42578125" style="87" customWidth="1"/>
    <col min="10254" max="10254" width="6.42578125" style="87" bestFit="1" customWidth="1"/>
    <col min="10255" max="10256" width="8.42578125" style="87"/>
    <col min="10257" max="10257" width="3.28515625" style="87" customWidth="1"/>
    <col min="10258" max="10496" width="8.42578125" style="87"/>
    <col min="10497" max="10497" width="10" style="87" bestFit="1" customWidth="1"/>
    <col min="10498" max="10498" width="44.28515625" style="87" bestFit="1" customWidth="1"/>
    <col min="10499" max="10499" width="10.42578125" style="87" bestFit="1" customWidth="1"/>
    <col min="10500" max="10500" width="10.42578125" style="87" customWidth="1"/>
    <col min="10501" max="10501" width="9.7109375" style="87" bestFit="1" customWidth="1"/>
    <col min="10502" max="10503" width="9.5703125" style="87" bestFit="1" customWidth="1"/>
    <col min="10504" max="10504" width="10.42578125" style="87" bestFit="1" customWidth="1"/>
    <col min="10505" max="10505" width="4.5703125" style="87" customWidth="1"/>
    <col min="10506" max="10506" width="1.85546875" style="87" customWidth="1"/>
    <col min="10507" max="10507" width="7" style="87" bestFit="1" customWidth="1"/>
    <col min="10508" max="10508" width="6.28515625" style="87" customWidth="1"/>
    <col min="10509" max="10509" width="20.42578125" style="87" customWidth="1"/>
    <col min="10510" max="10510" width="6.42578125" style="87" bestFit="1" customWidth="1"/>
    <col min="10511" max="10512" width="8.42578125" style="87"/>
    <col min="10513" max="10513" width="3.28515625" style="87" customWidth="1"/>
    <col min="10514" max="10752" width="8.42578125" style="87"/>
    <col min="10753" max="10753" width="10" style="87" bestFit="1" customWidth="1"/>
    <col min="10754" max="10754" width="44.28515625" style="87" bestFit="1" customWidth="1"/>
    <col min="10755" max="10755" width="10.42578125" style="87" bestFit="1" customWidth="1"/>
    <col min="10756" max="10756" width="10.42578125" style="87" customWidth="1"/>
    <col min="10757" max="10757" width="9.7109375" style="87" bestFit="1" customWidth="1"/>
    <col min="10758" max="10759" width="9.5703125" style="87" bestFit="1" customWidth="1"/>
    <col min="10760" max="10760" width="10.42578125" style="87" bestFit="1" customWidth="1"/>
    <col min="10761" max="10761" width="4.5703125" style="87" customWidth="1"/>
    <col min="10762" max="10762" width="1.85546875" style="87" customWidth="1"/>
    <col min="10763" max="10763" width="7" style="87" bestFit="1" customWidth="1"/>
    <col min="10764" max="10764" width="6.28515625" style="87" customWidth="1"/>
    <col min="10765" max="10765" width="20.42578125" style="87" customWidth="1"/>
    <col min="10766" max="10766" width="6.42578125" style="87" bestFit="1" customWidth="1"/>
    <col min="10767" max="10768" width="8.42578125" style="87"/>
    <col min="10769" max="10769" width="3.28515625" style="87" customWidth="1"/>
    <col min="10770" max="11008" width="8.42578125" style="87"/>
    <col min="11009" max="11009" width="10" style="87" bestFit="1" customWidth="1"/>
    <col min="11010" max="11010" width="44.28515625" style="87" bestFit="1" customWidth="1"/>
    <col min="11011" max="11011" width="10.42578125" style="87" bestFit="1" customWidth="1"/>
    <col min="11012" max="11012" width="10.42578125" style="87" customWidth="1"/>
    <col min="11013" max="11013" width="9.7109375" style="87" bestFit="1" customWidth="1"/>
    <col min="11014" max="11015" width="9.5703125" style="87" bestFit="1" customWidth="1"/>
    <col min="11016" max="11016" width="10.42578125" style="87" bestFit="1" customWidth="1"/>
    <col min="11017" max="11017" width="4.5703125" style="87" customWidth="1"/>
    <col min="11018" max="11018" width="1.85546875" style="87" customWidth="1"/>
    <col min="11019" max="11019" width="7" style="87" bestFit="1" customWidth="1"/>
    <col min="11020" max="11020" width="6.28515625" style="87" customWidth="1"/>
    <col min="11021" max="11021" width="20.42578125" style="87" customWidth="1"/>
    <col min="11022" max="11022" width="6.42578125" style="87" bestFit="1" customWidth="1"/>
    <col min="11023" max="11024" width="8.42578125" style="87"/>
    <col min="11025" max="11025" width="3.28515625" style="87" customWidth="1"/>
    <col min="11026" max="11264" width="8.42578125" style="87"/>
    <col min="11265" max="11265" width="10" style="87" bestFit="1" customWidth="1"/>
    <col min="11266" max="11266" width="44.28515625" style="87" bestFit="1" customWidth="1"/>
    <col min="11267" max="11267" width="10.42578125" style="87" bestFit="1" customWidth="1"/>
    <col min="11268" max="11268" width="10.42578125" style="87" customWidth="1"/>
    <col min="11269" max="11269" width="9.7109375" style="87" bestFit="1" customWidth="1"/>
    <col min="11270" max="11271" width="9.5703125" style="87" bestFit="1" customWidth="1"/>
    <col min="11272" max="11272" width="10.42578125" style="87" bestFit="1" customWidth="1"/>
    <col min="11273" max="11273" width="4.5703125" style="87" customWidth="1"/>
    <col min="11274" max="11274" width="1.85546875" style="87" customWidth="1"/>
    <col min="11275" max="11275" width="7" style="87" bestFit="1" customWidth="1"/>
    <col min="11276" max="11276" width="6.28515625" style="87" customWidth="1"/>
    <col min="11277" max="11277" width="20.42578125" style="87" customWidth="1"/>
    <col min="11278" max="11278" width="6.42578125" style="87" bestFit="1" customWidth="1"/>
    <col min="11279" max="11280" width="8.42578125" style="87"/>
    <col min="11281" max="11281" width="3.28515625" style="87" customWidth="1"/>
    <col min="11282" max="11520" width="8.42578125" style="87"/>
    <col min="11521" max="11521" width="10" style="87" bestFit="1" customWidth="1"/>
    <col min="11522" max="11522" width="44.28515625" style="87" bestFit="1" customWidth="1"/>
    <col min="11523" max="11523" width="10.42578125" style="87" bestFit="1" customWidth="1"/>
    <col min="11524" max="11524" width="10.42578125" style="87" customWidth="1"/>
    <col min="11525" max="11525" width="9.7109375" style="87" bestFit="1" customWidth="1"/>
    <col min="11526" max="11527" width="9.5703125" style="87" bestFit="1" customWidth="1"/>
    <col min="11528" max="11528" width="10.42578125" style="87" bestFit="1" customWidth="1"/>
    <col min="11529" max="11529" width="4.5703125" style="87" customWidth="1"/>
    <col min="11530" max="11530" width="1.85546875" style="87" customWidth="1"/>
    <col min="11531" max="11531" width="7" style="87" bestFit="1" customWidth="1"/>
    <col min="11532" max="11532" width="6.28515625" style="87" customWidth="1"/>
    <col min="11533" max="11533" width="20.42578125" style="87" customWidth="1"/>
    <col min="11534" max="11534" width="6.42578125" style="87" bestFit="1" customWidth="1"/>
    <col min="11535" max="11536" width="8.42578125" style="87"/>
    <col min="11537" max="11537" width="3.28515625" style="87" customWidth="1"/>
    <col min="11538" max="11776" width="8.42578125" style="87"/>
    <col min="11777" max="11777" width="10" style="87" bestFit="1" customWidth="1"/>
    <col min="11778" max="11778" width="44.28515625" style="87" bestFit="1" customWidth="1"/>
    <col min="11779" max="11779" width="10.42578125" style="87" bestFit="1" customWidth="1"/>
    <col min="11780" max="11780" width="10.42578125" style="87" customWidth="1"/>
    <col min="11781" max="11781" width="9.7109375" style="87" bestFit="1" customWidth="1"/>
    <col min="11782" max="11783" width="9.5703125" style="87" bestFit="1" customWidth="1"/>
    <col min="11784" max="11784" width="10.42578125" style="87" bestFit="1" customWidth="1"/>
    <col min="11785" max="11785" width="4.5703125" style="87" customWidth="1"/>
    <col min="11786" max="11786" width="1.85546875" style="87" customWidth="1"/>
    <col min="11787" max="11787" width="7" style="87" bestFit="1" customWidth="1"/>
    <col min="11788" max="11788" width="6.28515625" style="87" customWidth="1"/>
    <col min="11789" max="11789" width="20.42578125" style="87" customWidth="1"/>
    <col min="11790" max="11790" width="6.42578125" style="87" bestFit="1" customWidth="1"/>
    <col min="11791" max="11792" width="8.42578125" style="87"/>
    <col min="11793" max="11793" width="3.28515625" style="87" customWidth="1"/>
    <col min="11794" max="12032" width="8.42578125" style="87"/>
    <col min="12033" max="12033" width="10" style="87" bestFit="1" customWidth="1"/>
    <col min="12034" max="12034" width="44.28515625" style="87" bestFit="1" customWidth="1"/>
    <col min="12035" max="12035" width="10.42578125" style="87" bestFit="1" customWidth="1"/>
    <col min="12036" max="12036" width="10.42578125" style="87" customWidth="1"/>
    <col min="12037" max="12037" width="9.7109375" style="87" bestFit="1" customWidth="1"/>
    <col min="12038" max="12039" width="9.5703125" style="87" bestFit="1" customWidth="1"/>
    <col min="12040" max="12040" width="10.42578125" style="87" bestFit="1" customWidth="1"/>
    <col min="12041" max="12041" width="4.5703125" style="87" customWidth="1"/>
    <col min="12042" max="12042" width="1.85546875" style="87" customWidth="1"/>
    <col min="12043" max="12043" width="7" style="87" bestFit="1" customWidth="1"/>
    <col min="12044" max="12044" width="6.28515625" style="87" customWidth="1"/>
    <col min="12045" max="12045" width="20.42578125" style="87" customWidth="1"/>
    <col min="12046" max="12046" width="6.42578125" style="87" bestFit="1" customWidth="1"/>
    <col min="12047" max="12048" width="8.42578125" style="87"/>
    <col min="12049" max="12049" width="3.28515625" style="87" customWidth="1"/>
    <col min="12050" max="12288" width="8.42578125" style="87"/>
    <col min="12289" max="12289" width="10" style="87" bestFit="1" customWidth="1"/>
    <col min="12290" max="12290" width="44.28515625" style="87" bestFit="1" customWidth="1"/>
    <col min="12291" max="12291" width="10.42578125" style="87" bestFit="1" customWidth="1"/>
    <col min="12292" max="12292" width="10.42578125" style="87" customWidth="1"/>
    <col min="12293" max="12293" width="9.7109375" style="87" bestFit="1" customWidth="1"/>
    <col min="12294" max="12295" width="9.5703125" style="87" bestFit="1" customWidth="1"/>
    <col min="12296" max="12296" width="10.42578125" style="87" bestFit="1" customWidth="1"/>
    <col min="12297" max="12297" width="4.5703125" style="87" customWidth="1"/>
    <col min="12298" max="12298" width="1.85546875" style="87" customWidth="1"/>
    <col min="12299" max="12299" width="7" style="87" bestFit="1" customWidth="1"/>
    <col min="12300" max="12300" width="6.28515625" style="87" customWidth="1"/>
    <col min="12301" max="12301" width="20.42578125" style="87" customWidth="1"/>
    <col min="12302" max="12302" width="6.42578125" style="87" bestFit="1" customWidth="1"/>
    <col min="12303" max="12304" width="8.42578125" style="87"/>
    <col min="12305" max="12305" width="3.28515625" style="87" customWidth="1"/>
    <col min="12306" max="12544" width="8.42578125" style="87"/>
    <col min="12545" max="12545" width="10" style="87" bestFit="1" customWidth="1"/>
    <col min="12546" max="12546" width="44.28515625" style="87" bestFit="1" customWidth="1"/>
    <col min="12547" max="12547" width="10.42578125" style="87" bestFit="1" customWidth="1"/>
    <col min="12548" max="12548" width="10.42578125" style="87" customWidth="1"/>
    <col min="12549" max="12549" width="9.7109375" style="87" bestFit="1" customWidth="1"/>
    <col min="12550" max="12551" width="9.5703125" style="87" bestFit="1" customWidth="1"/>
    <col min="12552" max="12552" width="10.42578125" style="87" bestFit="1" customWidth="1"/>
    <col min="12553" max="12553" width="4.5703125" style="87" customWidth="1"/>
    <col min="12554" max="12554" width="1.85546875" style="87" customWidth="1"/>
    <col min="12555" max="12555" width="7" style="87" bestFit="1" customWidth="1"/>
    <col min="12556" max="12556" width="6.28515625" style="87" customWidth="1"/>
    <col min="12557" max="12557" width="20.42578125" style="87" customWidth="1"/>
    <col min="12558" max="12558" width="6.42578125" style="87" bestFit="1" customWidth="1"/>
    <col min="12559" max="12560" width="8.42578125" style="87"/>
    <col min="12561" max="12561" width="3.28515625" style="87" customWidth="1"/>
    <col min="12562" max="12800" width="8.42578125" style="87"/>
    <col min="12801" max="12801" width="10" style="87" bestFit="1" customWidth="1"/>
    <col min="12802" max="12802" width="44.28515625" style="87" bestFit="1" customWidth="1"/>
    <col min="12803" max="12803" width="10.42578125" style="87" bestFit="1" customWidth="1"/>
    <col min="12804" max="12804" width="10.42578125" style="87" customWidth="1"/>
    <col min="12805" max="12805" width="9.7109375" style="87" bestFit="1" customWidth="1"/>
    <col min="12806" max="12807" width="9.5703125" style="87" bestFit="1" customWidth="1"/>
    <col min="12808" max="12808" width="10.42578125" style="87" bestFit="1" customWidth="1"/>
    <col min="12809" max="12809" width="4.5703125" style="87" customWidth="1"/>
    <col min="12810" max="12810" width="1.85546875" style="87" customWidth="1"/>
    <col min="12811" max="12811" width="7" style="87" bestFit="1" customWidth="1"/>
    <col min="12812" max="12812" width="6.28515625" style="87" customWidth="1"/>
    <col min="12813" max="12813" width="20.42578125" style="87" customWidth="1"/>
    <col min="12814" max="12814" width="6.42578125" style="87" bestFit="1" customWidth="1"/>
    <col min="12815" max="12816" width="8.42578125" style="87"/>
    <col min="12817" max="12817" width="3.28515625" style="87" customWidth="1"/>
    <col min="12818" max="13056" width="8.42578125" style="87"/>
    <col min="13057" max="13057" width="10" style="87" bestFit="1" customWidth="1"/>
    <col min="13058" max="13058" width="44.28515625" style="87" bestFit="1" customWidth="1"/>
    <col min="13059" max="13059" width="10.42578125" style="87" bestFit="1" customWidth="1"/>
    <col min="13060" max="13060" width="10.42578125" style="87" customWidth="1"/>
    <col min="13061" max="13061" width="9.7109375" style="87" bestFit="1" customWidth="1"/>
    <col min="13062" max="13063" width="9.5703125" style="87" bestFit="1" customWidth="1"/>
    <col min="13064" max="13064" width="10.42578125" style="87" bestFit="1" customWidth="1"/>
    <col min="13065" max="13065" width="4.5703125" style="87" customWidth="1"/>
    <col min="13066" max="13066" width="1.85546875" style="87" customWidth="1"/>
    <col min="13067" max="13067" width="7" style="87" bestFit="1" customWidth="1"/>
    <col min="13068" max="13068" width="6.28515625" style="87" customWidth="1"/>
    <col min="13069" max="13069" width="20.42578125" style="87" customWidth="1"/>
    <col min="13070" max="13070" width="6.42578125" style="87" bestFit="1" customWidth="1"/>
    <col min="13071" max="13072" width="8.42578125" style="87"/>
    <col min="13073" max="13073" width="3.28515625" style="87" customWidth="1"/>
    <col min="13074" max="13312" width="8.42578125" style="87"/>
    <col min="13313" max="13313" width="10" style="87" bestFit="1" customWidth="1"/>
    <col min="13314" max="13314" width="44.28515625" style="87" bestFit="1" customWidth="1"/>
    <col min="13315" max="13315" width="10.42578125" style="87" bestFit="1" customWidth="1"/>
    <col min="13316" max="13316" width="10.42578125" style="87" customWidth="1"/>
    <col min="13317" max="13317" width="9.7109375" style="87" bestFit="1" customWidth="1"/>
    <col min="13318" max="13319" width="9.5703125" style="87" bestFit="1" customWidth="1"/>
    <col min="13320" max="13320" width="10.42578125" style="87" bestFit="1" customWidth="1"/>
    <col min="13321" max="13321" width="4.5703125" style="87" customWidth="1"/>
    <col min="13322" max="13322" width="1.85546875" style="87" customWidth="1"/>
    <col min="13323" max="13323" width="7" style="87" bestFit="1" customWidth="1"/>
    <col min="13324" max="13324" width="6.28515625" style="87" customWidth="1"/>
    <col min="13325" max="13325" width="20.42578125" style="87" customWidth="1"/>
    <col min="13326" max="13326" width="6.42578125" style="87" bestFit="1" customWidth="1"/>
    <col min="13327" max="13328" width="8.42578125" style="87"/>
    <col min="13329" max="13329" width="3.28515625" style="87" customWidth="1"/>
    <col min="13330" max="13568" width="8.42578125" style="87"/>
    <col min="13569" max="13569" width="10" style="87" bestFit="1" customWidth="1"/>
    <col min="13570" max="13570" width="44.28515625" style="87" bestFit="1" customWidth="1"/>
    <col min="13571" max="13571" width="10.42578125" style="87" bestFit="1" customWidth="1"/>
    <col min="13572" max="13572" width="10.42578125" style="87" customWidth="1"/>
    <col min="13573" max="13573" width="9.7109375" style="87" bestFit="1" customWidth="1"/>
    <col min="13574" max="13575" width="9.5703125" style="87" bestFit="1" customWidth="1"/>
    <col min="13576" max="13576" width="10.42578125" style="87" bestFit="1" customWidth="1"/>
    <col min="13577" max="13577" width="4.5703125" style="87" customWidth="1"/>
    <col min="13578" max="13578" width="1.85546875" style="87" customWidth="1"/>
    <col min="13579" max="13579" width="7" style="87" bestFit="1" customWidth="1"/>
    <col min="13580" max="13580" width="6.28515625" style="87" customWidth="1"/>
    <col min="13581" max="13581" width="20.42578125" style="87" customWidth="1"/>
    <col min="13582" max="13582" width="6.42578125" style="87" bestFit="1" customWidth="1"/>
    <col min="13583" max="13584" width="8.42578125" style="87"/>
    <col min="13585" max="13585" width="3.28515625" style="87" customWidth="1"/>
    <col min="13586" max="13824" width="8.42578125" style="87"/>
    <col min="13825" max="13825" width="10" style="87" bestFit="1" customWidth="1"/>
    <col min="13826" max="13826" width="44.28515625" style="87" bestFit="1" customWidth="1"/>
    <col min="13827" max="13827" width="10.42578125" style="87" bestFit="1" customWidth="1"/>
    <col min="13828" max="13828" width="10.42578125" style="87" customWidth="1"/>
    <col min="13829" max="13829" width="9.7109375" style="87" bestFit="1" customWidth="1"/>
    <col min="13830" max="13831" width="9.5703125" style="87" bestFit="1" customWidth="1"/>
    <col min="13832" max="13832" width="10.42578125" style="87" bestFit="1" customWidth="1"/>
    <col min="13833" max="13833" width="4.5703125" style="87" customWidth="1"/>
    <col min="13834" max="13834" width="1.85546875" style="87" customWidth="1"/>
    <col min="13835" max="13835" width="7" style="87" bestFit="1" customWidth="1"/>
    <col min="13836" max="13836" width="6.28515625" style="87" customWidth="1"/>
    <col min="13837" max="13837" width="20.42578125" style="87" customWidth="1"/>
    <col min="13838" max="13838" width="6.42578125" style="87" bestFit="1" customWidth="1"/>
    <col min="13839" max="13840" width="8.42578125" style="87"/>
    <col min="13841" max="13841" width="3.28515625" style="87" customWidth="1"/>
    <col min="13842" max="14080" width="8.42578125" style="87"/>
    <col min="14081" max="14081" width="10" style="87" bestFit="1" customWidth="1"/>
    <col min="14082" max="14082" width="44.28515625" style="87" bestFit="1" customWidth="1"/>
    <col min="14083" max="14083" width="10.42578125" style="87" bestFit="1" customWidth="1"/>
    <col min="14084" max="14084" width="10.42578125" style="87" customWidth="1"/>
    <col min="14085" max="14085" width="9.7109375" style="87" bestFit="1" customWidth="1"/>
    <col min="14086" max="14087" width="9.5703125" style="87" bestFit="1" customWidth="1"/>
    <col min="14088" max="14088" width="10.42578125" style="87" bestFit="1" customWidth="1"/>
    <col min="14089" max="14089" width="4.5703125" style="87" customWidth="1"/>
    <col min="14090" max="14090" width="1.85546875" style="87" customWidth="1"/>
    <col min="14091" max="14091" width="7" style="87" bestFit="1" customWidth="1"/>
    <col min="14092" max="14092" width="6.28515625" style="87" customWidth="1"/>
    <col min="14093" max="14093" width="20.42578125" style="87" customWidth="1"/>
    <col min="14094" max="14094" width="6.42578125" style="87" bestFit="1" customWidth="1"/>
    <col min="14095" max="14096" width="8.42578125" style="87"/>
    <col min="14097" max="14097" width="3.28515625" style="87" customWidth="1"/>
    <col min="14098" max="14336" width="8.42578125" style="87"/>
    <col min="14337" max="14337" width="10" style="87" bestFit="1" customWidth="1"/>
    <col min="14338" max="14338" width="44.28515625" style="87" bestFit="1" customWidth="1"/>
    <col min="14339" max="14339" width="10.42578125" style="87" bestFit="1" customWidth="1"/>
    <col min="14340" max="14340" width="10.42578125" style="87" customWidth="1"/>
    <col min="14341" max="14341" width="9.7109375" style="87" bestFit="1" customWidth="1"/>
    <col min="14342" max="14343" width="9.5703125" style="87" bestFit="1" customWidth="1"/>
    <col min="14344" max="14344" width="10.42578125" style="87" bestFit="1" customWidth="1"/>
    <col min="14345" max="14345" width="4.5703125" style="87" customWidth="1"/>
    <col min="14346" max="14346" width="1.85546875" style="87" customWidth="1"/>
    <col min="14347" max="14347" width="7" style="87" bestFit="1" customWidth="1"/>
    <col min="14348" max="14348" width="6.28515625" style="87" customWidth="1"/>
    <col min="14349" max="14349" width="20.42578125" style="87" customWidth="1"/>
    <col min="14350" max="14350" width="6.42578125" style="87" bestFit="1" customWidth="1"/>
    <col min="14351" max="14352" width="8.42578125" style="87"/>
    <col min="14353" max="14353" width="3.28515625" style="87" customWidth="1"/>
    <col min="14354" max="14592" width="8.42578125" style="87"/>
    <col min="14593" max="14593" width="10" style="87" bestFit="1" customWidth="1"/>
    <col min="14594" max="14594" width="44.28515625" style="87" bestFit="1" customWidth="1"/>
    <col min="14595" max="14595" width="10.42578125" style="87" bestFit="1" customWidth="1"/>
    <col min="14596" max="14596" width="10.42578125" style="87" customWidth="1"/>
    <col min="14597" max="14597" width="9.7109375" style="87" bestFit="1" customWidth="1"/>
    <col min="14598" max="14599" width="9.5703125" style="87" bestFit="1" customWidth="1"/>
    <col min="14600" max="14600" width="10.42578125" style="87" bestFit="1" customWidth="1"/>
    <col min="14601" max="14601" width="4.5703125" style="87" customWidth="1"/>
    <col min="14602" max="14602" width="1.85546875" style="87" customWidth="1"/>
    <col min="14603" max="14603" width="7" style="87" bestFit="1" customWidth="1"/>
    <col min="14604" max="14604" width="6.28515625" style="87" customWidth="1"/>
    <col min="14605" max="14605" width="20.42578125" style="87" customWidth="1"/>
    <col min="14606" max="14606" width="6.42578125" style="87" bestFit="1" customWidth="1"/>
    <col min="14607" max="14608" width="8.42578125" style="87"/>
    <col min="14609" max="14609" width="3.28515625" style="87" customWidth="1"/>
    <col min="14610" max="14848" width="8.42578125" style="87"/>
    <col min="14849" max="14849" width="10" style="87" bestFit="1" customWidth="1"/>
    <col min="14850" max="14850" width="44.28515625" style="87" bestFit="1" customWidth="1"/>
    <col min="14851" max="14851" width="10.42578125" style="87" bestFit="1" customWidth="1"/>
    <col min="14852" max="14852" width="10.42578125" style="87" customWidth="1"/>
    <col min="14853" max="14853" width="9.7109375" style="87" bestFit="1" customWidth="1"/>
    <col min="14854" max="14855" width="9.5703125" style="87" bestFit="1" customWidth="1"/>
    <col min="14856" max="14856" width="10.42578125" style="87" bestFit="1" customWidth="1"/>
    <col min="14857" max="14857" width="4.5703125" style="87" customWidth="1"/>
    <col min="14858" max="14858" width="1.85546875" style="87" customWidth="1"/>
    <col min="14859" max="14859" width="7" style="87" bestFit="1" customWidth="1"/>
    <col min="14860" max="14860" width="6.28515625" style="87" customWidth="1"/>
    <col min="14861" max="14861" width="20.42578125" style="87" customWidth="1"/>
    <col min="14862" max="14862" width="6.42578125" style="87" bestFit="1" customWidth="1"/>
    <col min="14863" max="14864" width="8.42578125" style="87"/>
    <col min="14865" max="14865" width="3.28515625" style="87" customWidth="1"/>
    <col min="14866" max="15104" width="8.42578125" style="87"/>
    <col min="15105" max="15105" width="10" style="87" bestFit="1" customWidth="1"/>
    <col min="15106" max="15106" width="44.28515625" style="87" bestFit="1" customWidth="1"/>
    <col min="15107" max="15107" width="10.42578125" style="87" bestFit="1" customWidth="1"/>
    <col min="15108" max="15108" width="10.42578125" style="87" customWidth="1"/>
    <col min="15109" max="15109" width="9.7109375" style="87" bestFit="1" customWidth="1"/>
    <col min="15110" max="15111" width="9.5703125" style="87" bestFit="1" customWidth="1"/>
    <col min="15112" max="15112" width="10.42578125" style="87" bestFit="1" customWidth="1"/>
    <col min="15113" max="15113" width="4.5703125" style="87" customWidth="1"/>
    <col min="15114" max="15114" width="1.85546875" style="87" customWidth="1"/>
    <col min="15115" max="15115" width="7" style="87" bestFit="1" customWidth="1"/>
    <col min="15116" max="15116" width="6.28515625" style="87" customWidth="1"/>
    <col min="15117" max="15117" width="20.42578125" style="87" customWidth="1"/>
    <col min="15118" max="15118" width="6.42578125" style="87" bestFit="1" customWidth="1"/>
    <col min="15119" max="15120" width="8.42578125" style="87"/>
    <col min="15121" max="15121" width="3.28515625" style="87" customWidth="1"/>
    <col min="15122" max="15360" width="8.42578125" style="87"/>
    <col min="15361" max="15361" width="10" style="87" bestFit="1" customWidth="1"/>
    <col min="15362" max="15362" width="44.28515625" style="87" bestFit="1" customWidth="1"/>
    <col min="15363" max="15363" width="10.42578125" style="87" bestFit="1" customWidth="1"/>
    <col min="15364" max="15364" width="10.42578125" style="87" customWidth="1"/>
    <col min="15365" max="15365" width="9.7109375" style="87" bestFit="1" customWidth="1"/>
    <col min="15366" max="15367" width="9.5703125" style="87" bestFit="1" customWidth="1"/>
    <col min="15368" max="15368" width="10.42578125" style="87" bestFit="1" customWidth="1"/>
    <col min="15369" max="15369" width="4.5703125" style="87" customWidth="1"/>
    <col min="15370" max="15370" width="1.85546875" style="87" customWidth="1"/>
    <col min="15371" max="15371" width="7" style="87" bestFit="1" customWidth="1"/>
    <col min="15372" max="15372" width="6.28515625" style="87" customWidth="1"/>
    <col min="15373" max="15373" width="20.42578125" style="87" customWidth="1"/>
    <col min="15374" max="15374" width="6.42578125" style="87" bestFit="1" customWidth="1"/>
    <col min="15375" max="15376" width="8.42578125" style="87"/>
    <col min="15377" max="15377" width="3.28515625" style="87" customWidth="1"/>
    <col min="15378" max="15616" width="8.42578125" style="87"/>
    <col min="15617" max="15617" width="10" style="87" bestFit="1" customWidth="1"/>
    <col min="15618" max="15618" width="44.28515625" style="87" bestFit="1" customWidth="1"/>
    <col min="15619" max="15619" width="10.42578125" style="87" bestFit="1" customWidth="1"/>
    <col min="15620" max="15620" width="10.42578125" style="87" customWidth="1"/>
    <col min="15621" max="15621" width="9.7109375" style="87" bestFit="1" customWidth="1"/>
    <col min="15622" max="15623" width="9.5703125" style="87" bestFit="1" customWidth="1"/>
    <col min="15624" max="15624" width="10.42578125" style="87" bestFit="1" customWidth="1"/>
    <col min="15625" max="15625" width="4.5703125" style="87" customWidth="1"/>
    <col min="15626" max="15626" width="1.85546875" style="87" customWidth="1"/>
    <col min="15627" max="15627" width="7" style="87" bestFit="1" customWidth="1"/>
    <col min="15628" max="15628" width="6.28515625" style="87" customWidth="1"/>
    <col min="15629" max="15629" width="20.42578125" style="87" customWidth="1"/>
    <col min="15630" max="15630" width="6.42578125" style="87" bestFit="1" customWidth="1"/>
    <col min="15631" max="15632" width="8.42578125" style="87"/>
    <col min="15633" max="15633" width="3.28515625" style="87" customWidth="1"/>
    <col min="15634" max="15872" width="8.42578125" style="87"/>
    <col min="15873" max="15873" width="10" style="87" bestFit="1" customWidth="1"/>
    <col min="15874" max="15874" width="44.28515625" style="87" bestFit="1" customWidth="1"/>
    <col min="15875" max="15875" width="10.42578125" style="87" bestFit="1" customWidth="1"/>
    <col min="15876" max="15876" width="10.42578125" style="87" customWidth="1"/>
    <col min="15877" max="15877" width="9.7109375" style="87" bestFit="1" customWidth="1"/>
    <col min="15878" max="15879" width="9.5703125" style="87" bestFit="1" customWidth="1"/>
    <col min="15880" max="15880" width="10.42578125" style="87" bestFit="1" customWidth="1"/>
    <col min="15881" max="15881" width="4.5703125" style="87" customWidth="1"/>
    <col min="15882" max="15882" width="1.85546875" style="87" customWidth="1"/>
    <col min="15883" max="15883" width="7" style="87" bestFit="1" customWidth="1"/>
    <col min="15884" max="15884" width="6.28515625" style="87" customWidth="1"/>
    <col min="15885" max="15885" width="20.42578125" style="87" customWidth="1"/>
    <col min="15886" max="15886" width="6.42578125" style="87" bestFit="1" customWidth="1"/>
    <col min="15887" max="15888" width="8.42578125" style="87"/>
    <col min="15889" max="15889" width="3.28515625" style="87" customWidth="1"/>
    <col min="15890" max="16128" width="8.42578125" style="87"/>
    <col min="16129" max="16129" width="10" style="87" bestFit="1" customWidth="1"/>
    <col min="16130" max="16130" width="44.28515625" style="87" bestFit="1" customWidth="1"/>
    <col min="16131" max="16131" width="10.42578125" style="87" bestFit="1" customWidth="1"/>
    <col min="16132" max="16132" width="10.42578125" style="87" customWidth="1"/>
    <col min="16133" max="16133" width="9.7109375" style="87" bestFit="1" customWidth="1"/>
    <col min="16134" max="16135" width="9.5703125" style="87" bestFit="1" customWidth="1"/>
    <col min="16136" max="16136" width="10.42578125" style="87" bestFit="1" customWidth="1"/>
    <col min="16137" max="16137" width="4.5703125" style="87" customWidth="1"/>
    <col min="16138" max="16138" width="1.85546875" style="87" customWidth="1"/>
    <col min="16139" max="16139" width="7" style="87" bestFit="1" customWidth="1"/>
    <col min="16140" max="16140" width="6.28515625" style="87" customWidth="1"/>
    <col min="16141" max="16141" width="20.42578125" style="87" customWidth="1"/>
    <col min="16142" max="16142" width="6.42578125" style="87" bestFit="1" customWidth="1"/>
    <col min="16143" max="16144" width="8.42578125" style="87"/>
    <col min="16145" max="16145" width="3.28515625" style="87" customWidth="1"/>
    <col min="16146" max="16384" width="8.42578125" style="87"/>
  </cols>
  <sheetData>
    <row r="1" spans="1:10" ht="27.75" customHeight="1" x14ac:dyDescent="0.25">
      <c r="A1" s="82"/>
      <c r="B1" s="82"/>
      <c r="C1" s="82"/>
      <c r="D1" s="82"/>
      <c r="E1" s="83" t="s">
        <v>79</v>
      </c>
      <c r="F1" s="84" t="s">
        <v>80</v>
      </c>
      <c r="G1" s="84" t="s">
        <v>81</v>
      </c>
      <c r="H1" s="84" t="s">
        <v>82</v>
      </c>
      <c r="I1" s="85"/>
    </row>
    <row r="2" spans="1:10" ht="30.75" customHeight="1" x14ac:dyDescent="0.25">
      <c r="A2" s="82"/>
      <c r="B2" s="82"/>
      <c r="C2" s="82"/>
      <c r="D2" s="82"/>
      <c r="E2" s="88">
        <f>IFERROR(O62,"")</f>
        <v>39466.196103896102</v>
      </c>
      <c r="F2" s="88">
        <f>IFERROR(H53,"")</f>
        <v>38447.699999999997</v>
      </c>
      <c r="G2" s="88">
        <f>IFERROR(H54,"")</f>
        <v>0</v>
      </c>
      <c r="H2" s="88">
        <f>IFERROR(H56,"")</f>
        <v>556.20000000000005</v>
      </c>
      <c r="I2" s="89"/>
    </row>
    <row r="3" spans="1:10" ht="15" customHeight="1" x14ac:dyDescent="0.25">
      <c r="A3" s="82"/>
      <c r="B3" s="82"/>
      <c r="C3" s="82"/>
      <c r="D3" s="82"/>
      <c r="E3" s="82"/>
      <c r="F3" s="90"/>
      <c r="G3" s="90"/>
      <c r="H3" s="90"/>
      <c r="I3" s="90"/>
    </row>
    <row r="4" spans="1:10" ht="24.75" customHeight="1" thickBot="1" x14ac:dyDescent="0.3">
      <c r="A4" s="972"/>
      <c r="B4" s="972"/>
      <c r="C4" s="972"/>
      <c r="D4" s="972"/>
      <c r="E4" s="972"/>
      <c r="F4" s="972"/>
      <c r="G4" s="972"/>
      <c r="H4" s="972"/>
      <c r="I4" s="91"/>
    </row>
    <row r="5" spans="1:10" ht="19.5" customHeight="1" thickBot="1" x14ac:dyDescent="0.3">
      <c r="A5" s="973" t="s">
        <v>83</v>
      </c>
      <c r="B5" s="974"/>
      <c r="C5" s="974"/>
      <c r="D5" s="974"/>
      <c r="E5" s="974"/>
      <c r="F5" s="974"/>
      <c r="G5" s="974"/>
      <c r="H5" s="975"/>
      <c r="I5" s="92"/>
    </row>
    <row r="6" spans="1:10" ht="19.5" thickBot="1" x14ac:dyDescent="0.3">
      <c r="A6" s="92"/>
      <c r="B6" s="92"/>
      <c r="C6" s="92"/>
      <c r="D6" s="92"/>
      <c r="E6" s="92"/>
      <c r="F6" s="976" t="s">
        <v>84</v>
      </c>
      <c r="G6" s="976"/>
      <c r="H6" s="93">
        <f ca="1">TODAY()</f>
        <v>45953</v>
      </c>
      <c r="I6" s="93"/>
    </row>
    <row r="7" spans="1:10" ht="26.25" thickBot="1" x14ac:dyDescent="0.3">
      <c r="A7" s="94" t="s">
        <v>85</v>
      </c>
      <c r="B7" s="95" t="s">
        <v>86</v>
      </c>
      <c r="C7" s="95" t="s">
        <v>85</v>
      </c>
      <c r="D7" s="96" t="s">
        <v>87</v>
      </c>
      <c r="E7" s="96" t="s">
        <v>88</v>
      </c>
      <c r="F7" s="96" t="s">
        <v>89</v>
      </c>
      <c r="G7" s="96" t="s">
        <v>90</v>
      </c>
      <c r="H7" s="97" t="s">
        <v>91</v>
      </c>
      <c r="I7" s="98"/>
    </row>
    <row r="8" spans="1:10" ht="13.5" x14ac:dyDescent="0.25">
      <c r="A8" s="99">
        <v>3210</v>
      </c>
      <c r="B8" s="87" t="s">
        <v>68</v>
      </c>
      <c r="C8" s="100">
        <f>+A8</f>
        <v>3210</v>
      </c>
      <c r="D8" s="101" t="s">
        <v>131</v>
      </c>
      <c r="E8" s="101">
        <v>2.44</v>
      </c>
      <c r="F8" s="101">
        <f>IFERROR(C8*E8,"")</f>
        <v>7832.4</v>
      </c>
      <c r="G8" s="102">
        <f t="shared" ref="G8:G14" si="0">IFERROR(F8/$F$66,"")</f>
        <v>0.19777961799272326</v>
      </c>
      <c r="H8" s="103" t="s">
        <v>67</v>
      </c>
      <c r="I8" s="103"/>
      <c r="J8" s="104"/>
    </row>
    <row r="9" spans="1:10" ht="13.5" x14ac:dyDescent="0.25">
      <c r="A9" s="99">
        <v>42</v>
      </c>
      <c r="B9" s="87" t="s">
        <v>40</v>
      </c>
      <c r="C9" s="100">
        <f t="shared" ref="C9:C14" si="1">+A9</f>
        <v>42</v>
      </c>
      <c r="D9" s="101" t="s">
        <v>131</v>
      </c>
      <c r="E9" s="101">
        <v>7.45</v>
      </c>
      <c r="F9" s="101">
        <f t="shared" ref="F9:F14" si="2">IFERROR(C9*E9,"")</f>
        <v>312.90000000000003</v>
      </c>
      <c r="G9" s="102">
        <f t="shared" si="0"/>
        <v>7.9011851373682537E-3</v>
      </c>
      <c r="H9" s="103" t="s">
        <v>48</v>
      </c>
      <c r="I9" s="103"/>
      <c r="J9" s="104"/>
    </row>
    <row r="10" spans="1:10" ht="13.5" hidden="1" x14ac:dyDescent="0.25">
      <c r="A10" s="99"/>
      <c r="B10" s="87" t="str">
        <f>IFERROR(VLOOKUP(H10,'[1]Consolidado MP Planta'!$A$2:$M$823,3,0),"")</f>
        <v/>
      </c>
      <c r="C10" s="100">
        <f t="shared" si="1"/>
        <v>0</v>
      </c>
      <c r="D10" s="101" t="str">
        <f>IFERROR(VLOOKUP(H10,'[1]Consolidado MP Planta'!$A$2:$M$823,13,0),"")</f>
        <v/>
      </c>
      <c r="E10" s="101" t="str">
        <f>IFERROR(VLOOKUP(H10,'[1]Consolidado MP Planta'!$A$2:$M$823,12,0),"")</f>
        <v/>
      </c>
      <c r="F10" s="101" t="str">
        <f t="shared" si="2"/>
        <v/>
      </c>
      <c r="G10" s="102" t="str">
        <f t="shared" si="0"/>
        <v/>
      </c>
      <c r="H10" s="103"/>
      <c r="I10" s="103"/>
      <c r="J10" s="104"/>
    </row>
    <row r="11" spans="1:10" ht="13.5" hidden="1" x14ac:dyDescent="0.25">
      <c r="A11" s="99"/>
      <c r="B11" s="87" t="str">
        <f>IFERROR(VLOOKUP(H11,'[1]Consolidado MP Planta'!$A$2:$M$823,3,0),"")</f>
        <v/>
      </c>
      <c r="C11" s="100">
        <f t="shared" si="1"/>
        <v>0</v>
      </c>
      <c r="D11" s="101" t="str">
        <f>IFERROR(VLOOKUP(H11,'[1]Consolidado MP Planta'!$A$2:$M$823,13,0),"")</f>
        <v/>
      </c>
      <c r="E11" s="101" t="str">
        <f>IFERROR(VLOOKUP(H11,'[1]Consolidado MP Planta'!$A$2:$M$823,12,0),"")</f>
        <v/>
      </c>
      <c r="F11" s="101" t="str">
        <f t="shared" si="2"/>
        <v/>
      </c>
      <c r="G11" s="102" t="str">
        <f t="shared" si="0"/>
        <v/>
      </c>
      <c r="H11" s="103"/>
      <c r="I11" s="103"/>
      <c r="J11" s="104"/>
    </row>
    <row r="12" spans="1:10" ht="13.5" hidden="1" x14ac:dyDescent="0.25">
      <c r="A12" s="99"/>
      <c r="B12" s="87" t="str">
        <f>IFERROR(VLOOKUP(H12,'[1]Consolidado MP Planta'!$A$2:$M$823,3,0),"")</f>
        <v/>
      </c>
      <c r="C12" s="100">
        <f t="shared" si="1"/>
        <v>0</v>
      </c>
      <c r="D12" s="101" t="str">
        <f>IFERROR(VLOOKUP(H12,'[1]Consolidado MP Planta'!$A$2:$M$823,13,0),"")</f>
        <v/>
      </c>
      <c r="E12" s="101" t="str">
        <f>IFERROR(VLOOKUP(H12,'[1]Consolidado MP Planta'!$A$2:$M$823,12,0),"")</f>
        <v/>
      </c>
      <c r="F12" s="101" t="str">
        <f t="shared" si="2"/>
        <v/>
      </c>
      <c r="G12" s="102" t="str">
        <f t="shared" si="0"/>
        <v/>
      </c>
      <c r="H12" s="103"/>
      <c r="I12" s="103"/>
      <c r="J12" s="104"/>
    </row>
    <row r="13" spans="1:10" ht="13.5" hidden="1" x14ac:dyDescent="0.25">
      <c r="A13" s="99"/>
      <c r="B13" s="87" t="str">
        <f>IFERROR(VLOOKUP(H13,'[1]Consolidado MP Planta'!$A$2:$M$823,3,0),"")</f>
        <v/>
      </c>
      <c r="C13" s="100">
        <f t="shared" si="1"/>
        <v>0</v>
      </c>
      <c r="D13" s="101" t="str">
        <f>IFERROR(VLOOKUP(H13,'[1]Consolidado MP Planta'!$A$2:$M$823,13,0),"")</f>
        <v/>
      </c>
      <c r="E13" s="101" t="str">
        <f>IFERROR(VLOOKUP(H13,'[1]Consolidado MP Planta'!$A$2:$M$823,12,0),"")</f>
        <v/>
      </c>
      <c r="F13" s="101" t="str">
        <f t="shared" si="2"/>
        <v/>
      </c>
      <c r="G13" s="102" t="str">
        <f t="shared" si="0"/>
        <v/>
      </c>
      <c r="H13" s="103"/>
      <c r="I13" s="103"/>
      <c r="J13" s="104"/>
    </row>
    <row r="14" spans="1:10" ht="13.5" hidden="1" x14ac:dyDescent="0.25">
      <c r="A14" s="99"/>
      <c r="B14" s="87" t="str">
        <f>IFERROR(VLOOKUP(H14,'[1]Consolidado MP Planta'!$A$2:$M$823,3,0),"")</f>
        <v/>
      </c>
      <c r="C14" s="100">
        <f t="shared" si="1"/>
        <v>0</v>
      </c>
      <c r="D14" s="101" t="str">
        <f>IFERROR(VLOOKUP(H14,'[1]Consolidado MP Planta'!$A$2:$M$823,13,0),"")</f>
        <v/>
      </c>
      <c r="E14" s="101" t="str">
        <f>IFERROR(VLOOKUP(H14,'[1]Consolidado MP Planta'!$A$2:$M$823,12,0),"")</f>
        <v/>
      </c>
      <c r="F14" s="101" t="str">
        <f t="shared" si="2"/>
        <v/>
      </c>
      <c r="G14" s="102" t="str">
        <f t="shared" si="0"/>
        <v/>
      </c>
      <c r="H14" s="103"/>
      <c r="I14" s="103"/>
      <c r="J14" s="104"/>
    </row>
    <row r="15" spans="1:10" ht="14.25" thickBot="1" x14ac:dyDescent="0.3">
      <c r="A15" s="99"/>
      <c r="B15" s="87" t="str">
        <f>IFERROR(VLOOKUP(H15,'[2]ARTICULOS MP PLANTA'!$A$2:$G$589,2,0),"")</f>
        <v/>
      </c>
      <c r="C15" s="100"/>
      <c r="D15" s="101"/>
      <c r="E15" s="101"/>
      <c r="F15" s="101"/>
      <c r="G15" s="102"/>
      <c r="H15" s="103"/>
      <c r="I15" s="103"/>
      <c r="J15" s="104"/>
    </row>
    <row r="16" spans="1:10" ht="26.25" thickBot="1" x14ac:dyDescent="0.3">
      <c r="A16" s="94" t="s">
        <v>85</v>
      </c>
      <c r="B16" s="95" t="s">
        <v>92</v>
      </c>
      <c r="C16" s="95" t="s">
        <v>85</v>
      </c>
      <c r="D16" s="96" t="s">
        <v>87</v>
      </c>
      <c r="E16" s="96" t="s">
        <v>88</v>
      </c>
      <c r="F16" s="96" t="s">
        <v>89</v>
      </c>
      <c r="G16" s="96" t="s">
        <v>90</v>
      </c>
      <c r="H16" s="97" t="s">
        <v>91</v>
      </c>
      <c r="I16" s="98"/>
      <c r="J16" s="104"/>
    </row>
    <row r="17" spans="1:12" ht="13.5" x14ac:dyDescent="0.25">
      <c r="A17" s="99">
        <v>17120</v>
      </c>
      <c r="B17" s="87" t="s">
        <v>42</v>
      </c>
      <c r="C17" s="100">
        <f>+A17</f>
        <v>17120</v>
      </c>
      <c r="D17" s="100" t="s">
        <v>131</v>
      </c>
      <c r="E17" s="101">
        <v>1.77</v>
      </c>
      <c r="F17" s="101">
        <f>IFERROR(E17*C17,"")</f>
        <v>30302.400000000001</v>
      </c>
      <c r="G17" s="102">
        <f t="shared" ref="G17:G24" si="3">IFERROR(F17/$F$66,"")</f>
        <v>0.76518016141447032</v>
      </c>
      <c r="H17" s="103" t="s">
        <v>41</v>
      </c>
      <c r="I17" s="103"/>
      <c r="J17" s="104"/>
    </row>
    <row r="18" spans="1:12" ht="13.5" hidden="1" x14ac:dyDescent="0.25">
      <c r="A18" s="99"/>
      <c r="B18" s="87" t="str">
        <f>IFERROR(VLOOKUP(H18,[1]SEMIELABORADOS!$A$2:$M$6000,2,0),"")</f>
        <v/>
      </c>
      <c r="C18" s="100">
        <f t="shared" ref="C18:C24" si="4">+A18</f>
        <v>0</v>
      </c>
      <c r="D18" s="100" t="str">
        <f>IFERROR(VLOOKUP(H18,[1]SEMIELABORADOS!$A$2:$M$6000,6,0),"")</f>
        <v/>
      </c>
      <c r="E18" s="101" t="str">
        <f>IFERROR(VLOOKUP(H18,[1]SEMIELABORADOS!$A$2:$H$65536,8,0),"")</f>
        <v/>
      </c>
      <c r="F18" s="101" t="str">
        <f t="shared" ref="F18:F24" si="5">IFERROR(E18*C18,"")</f>
        <v/>
      </c>
      <c r="G18" s="102" t="str">
        <f t="shared" si="3"/>
        <v/>
      </c>
      <c r="H18" s="103"/>
      <c r="I18" s="103"/>
      <c r="J18" s="104"/>
    </row>
    <row r="19" spans="1:12" ht="13.5" hidden="1" x14ac:dyDescent="0.25">
      <c r="A19" s="99"/>
      <c r="B19" s="87" t="str">
        <f>IFERROR(VLOOKUP(H19,[1]SEMIELABORADOS!$A$2:$M$6000,2,0),"")</f>
        <v/>
      </c>
      <c r="C19" s="100">
        <f>+A19</f>
        <v>0</v>
      </c>
      <c r="D19" s="100" t="str">
        <f>IFERROR(VLOOKUP(H19,[1]SEMIELABORADOS!$A$2:$M$6000,6,0),"")</f>
        <v/>
      </c>
      <c r="E19" s="101" t="str">
        <f>IFERROR(VLOOKUP(H19,[1]SEMIELABORADOS!$A$2:$H$65536,8,0),"")</f>
        <v/>
      </c>
      <c r="F19" s="101" t="str">
        <f>IFERROR(E19*C19,"")</f>
        <v/>
      </c>
      <c r="G19" s="102" t="str">
        <f t="shared" si="3"/>
        <v/>
      </c>
      <c r="H19" s="103"/>
      <c r="I19" s="103"/>
      <c r="J19" s="104"/>
    </row>
    <row r="20" spans="1:12" ht="13.5" hidden="1" x14ac:dyDescent="0.25">
      <c r="A20" s="99"/>
      <c r="B20" s="87" t="str">
        <f>IFERROR(VLOOKUP(H20,[1]SEMIELABORADOS!$A$2:$M$6000,2,0),"")</f>
        <v/>
      </c>
      <c r="C20" s="100">
        <f>+A20</f>
        <v>0</v>
      </c>
      <c r="D20" s="100" t="str">
        <f>IFERROR(VLOOKUP(H20,[1]SEMIELABORADOS!$A$2:$M$6000,6,0),"")</f>
        <v/>
      </c>
      <c r="E20" s="101" t="str">
        <f>IFERROR(VLOOKUP(H20,[1]SEMIELABORADOS!$A$2:$H$65536,8,0),"")</f>
        <v/>
      </c>
      <c r="F20" s="101" t="str">
        <f>IFERROR(E20*C20,"")</f>
        <v/>
      </c>
      <c r="G20" s="102" t="str">
        <f t="shared" si="3"/>
        <v/>
      </c>
      <c r="H20" s="103"/>
      <c r="I20" s="103"/>
      <c r="J20" s="104"/>
    </row>
    <row r="21" spans="1:12" ht="13.5" hidden="1" x14ac:dyDescent="0.25">
      <c r="A21" s="99"/>
      <c r="B21" s="87" t="str">
        <f>IFERROR(VLOOKUP(H21,[1]SEMIELABORADOS!$A$2:$M$6000,2,0),"")</f>
        <v/>
      </c>
      <c r="C21" s="100">
        <f>+A21</f>
        <v>0</v>
      </c>
      <c r="D21" s="100" t="str">
        <f>IFERROR(VLOOKUP(H21,[1]SEMIELABORADOS!$A$2:$M$6000,6,0),"")</f>
        <v/>
      </c>
      <c r="E21" s="101" t="str">
        <f>IFERROR(VLOOKUP(H21,[1]SEMIELABORADOS!$A$2:$H$65536,8,0),"")</f>
        <v/>
      </c>
      <c r="F21" s="101" t="str">
        <f>IFERROR(E21*C21,"")</f>
        <v/>
      </c>
      <c r="G21" s="102" t="str">
        <f t="shared" si="3"/>
        <v/>
      </c>
      <c r="H21" s="103"/>
      <c r="I21" s="103"/>
      <c r="J21" s="104"/>
    </row>
    <row r="22" spans="1:12" ht="13.5" hidden="1" x14ac:dyDescent="0.25">
      <c r="A22" s="99"/>
      <c r="B22" s="87" t="str">
        <f>IFERROR(VLOOKUP(H22,[1]SEMIELABORADOS!$A$2:$M$6000,2,0),"")</f>
        <v/>
      </c>
      <c r="C22" s="100">
        <f t="shared" si="4"/>
        <v>0</v>
      </c>
      <c r="D22" s="100" t="str">
        <f>IFERROR(VLOOKUP(H22,[1]SEMIELABORADOS!$A$2:$M$6000,6,0),"")</f>
        <v/>
      </c>
      <c r="E22" s="101" t="str">
        <f>IFERROR(VLOOKUP(H22,[1]SEMIELABORADOS!$A$2:$H$65536,8,0),"")</f>
        <v/>
      </c>
      <c r="F22" s="101" t="str">
        <f t="shared" si="5"/>
        <v/>
      </c>
      <c r="G22" s="102" t="str">
        <f t="shared" si="3"/>
        <v/>
      </c>
      <c r="H22" s="103"/>
      <c r="I22" s="103"/>
      <c r="J22" s="104"/>
    </row>
    <row r="23" spans="1:12" ht="13.5" hidden="1" x14ac:dyDescent="0.25">
      <c r="A23" s="99"/>
      <c r="B23" s="87" t="str">
        <f>IFERROR(VLOOKUP(H23,[1]SEMIELABORADOS!$A$2:$M$6000,2,0),"")</f>
        <v/>
      </c>
      <c r="C23" s="100">
        <f t="shared" si="4"/>
        <v>0</v>
      </c>
      <c r="D23" s="100" t="str">
        <f>IFERROR(VLOOKUP(H23,[1]SEMIELABORADOS!$A$2:$M$6000,6,0),"")</f>
        <v/>
      </c>
      <c r="E23" s="101" t="str">
        <f>IFERROR(VLOOKUP(H23,[1]SEMIELABORADOS!$A$2:$H$65536,8,0),"")</f>
        <v/>
      </c>
      <c r="F23" s="101" t="str">
        <f t="shared" si="5"/>
        <v/>
      </c>
      <c r="G23" s="102" t="str">
        <f t="shared" si="3"/>
        <v/>
      </c>
      <c r="H23" s="103"/>
      <c r="I23" s="103"/>
      <c r="J23" s="104"/>
    </row>
    <row r="24" spans="1:12" ht="13.5" hidden="1" x14ac:dyDescent="0.25">
      <c r="A24" s="99"/>
      <c r="B24" s="87" t="str">
        <f>IFERROR(VLOOKUP(H24,[1]SEMIELABORADOS!$A$2:$M$6000,2,0),"")</f>
        <v/>
      </c>
      <c r="C24" s="100">
        <f t="shared" si="4"/>
        <v>0</v>
      </c>
      <c r="D24" s="100" t="str">
        <f>IFERROR(VLOOKUP(H24,[1]SEMIELABORADOS!$A$2:$M$6000,6,0),"")</f>
        <v/>
      </c>
      <c r="E24" s="101" t="str">
        <f>IFERROR(VLOOKUP(H24,[1]SEMIELABORADOS!$A$2:$H$65536,8,0),"")</f>
        <v/>
      </c>
      <c r="F24" s="101" t="str">
        <f t="shared" si="5"/>
        <v/>
      </c>
      <c r="G24" s="102" t="str">
        <f t="shared" si="3"/>
        <v/>
      </c>
      <c r="H24" s="103"/>
      <c r="I24" s="103"/>
      <c r="J24" s="104"/>
    </row>
    <row r="25" spans="1:12" ht="14.25" thickBot="1" x14ac:dyDescent="0.3">
      <c r="A25" s="99"/>
      <c r="C25" s="100"/>
      <c r="D25" s="100"/>
      <c r="E25" s="101"/>
      <c r="F25" s="101"/>
      <c r="G25" s="102"/>
      <c r="H25" s="103"/>
      <c r="I25" s="103"/>
      <c r="J25" s="104"/>
    </row>
    <row r="26" spans="1:12" ht="26.25" hidden="1" thickBot="1" x14ac:dyDescent="0.3">
      <c r="A26" s="94" t="s">
        <v>85</v>
      </c>
      <c r="B26" s="95" t="s">
        <v>93</v>
      </c>
      <c r="C26" s="95" t="s">
        <v>85</v>
      </c>
      <c r="D26" s="96" t="s">
        <v>87</v>
      </c>
      <c r="E26" s="96" t="s">
        <v>88</v>
      </c>
      <c r="F26" s="96" t="s">
        <v>89</v>
      </c>
      <c r="G26" s="96" t="s">
        <v>90</v>
      </c>
      <c r="H26" s="97" t="s">
        <v>91</v>
      </c>
      <c r="I26" s="98"/>
    </row>
    <row r="27" spans="1:12" ht="13.5" hidden="1" x14ac:dyDescent="0.25">
      <c r="A27" s="99">
        <v>0</v>
      </c>
      <c r="B27" s="105" t="str">
        <f>IFERROR(VLOOKUP(H27,'[1]Consolidado MP Planta'!$A$2:$M$823,3,0),"")</f>
        <v/>
      </c>
      <c r="C27" s="100">
        <f t="shared" ref="C27:C32" si="6">+A27</f>
        <v>0</v>
      </c>
      <c r="D27" s="101" t="str">
        <f>IFERROR(VLOOKUP(H27,'[1]Consolidado MP Planta'!$A$2:$M$823,13,0),"")</f>
        <v/>
      </c>
      <c r="E27" s="101" t="str">
        <f>IFERROR(VLOOKUP(H27,'[1]Consolidado MP Planta'!$A$2:$M$823,12,0),"")</f>
        <v/>
      </c>
      <c r="F27" s="101" t="str">
        <f t="shared" ref="F27:F32" si="7">IFERROR(C27*E27,"")</f>
        <v/>
      </c>
      <c r="G27" s="102" t="str">
        <f t="shared" ref="G27:G32" si="8">IFERROR(F27/$F$66,"")</f>
        <v/>
      </c>
      <c r="H27" s="106"/>
      <c r="I27" s="106"/>
      <c r="J27" s="104"/>
      <c r="K27" s="971"/>
      <c r="L27" s="971"/>
    </row>
    <row r="28" spans="1:12" ht="13.5" hidden="1" x14ac:dyDescent="0.25">
      <c r="A28" s="99"/>
      <c r="B28" s="105" t="str">
        <f>IFERROR(VLOOKUP(H28,'[1]Consolidado MP Planta'!$A$2:$M$823,3,0),"")</f>
        <v/>
      </c>
      <c r="C28" s="100">
        <f t="shared" si="6"/>
        <v>0</v>
      </c>
      <c r="D28" s="101" t="str">
        <f>IFERROR(VLOOKUP(H28,'[1]Consolidado MP Planta'!$A$2:$M$823,13,0),"")</f>
        <v/>
      </c>
      <c r="E28" s="101" t="str">
        <f>IFERROR(VLOOKUP(H28,'[1]Consolidado MP Planta'!$A$2:$M$823,12,0),"")</f>
        <v/>
      </c>
      <c r="F28" s="101" t="str">
        <f t="shared" si="7"/>
        <v/>
      </c>
      <c r="G28" s="102" t="str">
        <f t="shared" si="8"/>
        <v/>
      </c>
      <c r="H28" s="106"/>
      <c r="I28" s="106"/>
      <c r="J28" s="104"/>
      <c r="K28" s="971"/>
      <c r="L28" s="971"/>
    </row>
    <row r="29" spans="1:12" ht="13.5" hidden="1" x14ac:dyDescent="0.25">
      <c r="A29" s="99"/>
      <c r="B29" s="105" t="str">
        <f>IFERROR(VLOOKUP(H29,'[1]Consolidado MP Planta'!$A$2:$M$823,3,0),"")</f>
        <v/>
      </c>
      <c r="C29" s="100">
        <f t="shared" si="6"/>
        <v>0</v>
      </c>
      <c r="D29" s="101" t="str">
        <f>IFERROR(VLOOKUP(H29,'[1]Consolidado MP Planta'!$A$2:$M$823,13,0),"")</f>
        <v/>
      </c>
      <c r="E29" s="101" t="str">
        <f>IFERROR(VLOOKUP(H29,'[1]Consolidado MP Planta'!$A$2:$M$823,12,0),"")</f>
        <v/>
      </c>
      <c r="F29" s="101" t="str">
        <f t="shared" si="7"/>
        <v/>
      </c>
      <c r="G29" s="102" t="str">
        <f t="shared" si="8"/>
        <v/>
      </c>
      <c r="H29" s="106"/>
      <c r="I29" s="106"/>
      <c r="J29" s="104"/>
      <c r="K29" s="971"/>
      <c r="L29" s="971"/>
    </row>
    <row r="30" spans="1:12" ht="13.5" hidden="1" x14ac:dyDescent="0.25">
      <c r="A30" s="99"/>
      <c r="B30" s="105" t="str">
        <f>IFERROR(VLOOKUP(H30,'[1]Consolidado MP Planta'!$A$2:$M$823,3,0),"")</f>
        <v/>
      </c>
      <c r="C30" s="100">
        <f t="shared" si="6"/>
        <v>0</v>
      </c>
      <c r="D30" s="101" t="str">
        <f>IFERROR(VLOOKUP(H30,'[1]Consolidado MP Planta'!$A$2:$M$823,13,0),"")</f>
        <v/>
      </c>
      <c r="E30" s="101" t="str">
        <f>IFERROR(VLOOKUP(H30,'[1]Consolidado MP Planta'!$A$2:$M$823,12,0),"")</f>
        <v/>
      </c>
      <c r="F30" s="101" t="str">
        <f t="shared" si="7"/>
        <v/>
      </c>
      <c r="G30" s="102" t="str">
        <f t="shared" si="8"/>
        <v/>
      </c>
      <c r="H30" s="106"/>
      <c r="I30" s="106"/>
      <c r="J30" s="104"/>
      <c r="K30" s="971"/>
      <c r="L30" s="971"/>
    </row>
    <row r="31" spans="1:12" ht="13.5" hidden="1" x14ac:dyDescent="0.25">
      <c r="A31" s="99"/>
      <c r="B31" s="105" t="str">
        <f>IFERROR(VLOOKUP(H31,'[1]Consolidado MP Planta'!$A$2:$M$823,3,0),"")</f>
        <v/>
      </c>
      <c r="C31" s="100">
        <f t="shared" si="6"/>
        <v>0</v>
      </c>
      <c r="D31" s="101" t="str">
        <f>IFERROR(VLOOKUP(H31,'[1]Consolidado MP Planta'!$A$2:$M$823,13,0),"")</f>
        <v/>
      </c>
      <c r="E31" s="101" t="str">
        <f>IFERROR(VLOOKUP(H31,'[1]Consolidado MP Planta'!$A$2:$M$823,12,0),"")</f>
        <v/>
      </c>
      <c r="F31" s="101" t="str">
        <f t="shared" si="7"/>
        <v/>
      </c>
      <c r="G31" s="102" t="str">
        <f t="shared" si="8"/>
        <v/>
      </c>
      <c r="H31" s="106"/>
      <c r="I31" s="106"/>
      <c r="J31" s="104"/>
      <c r="K31" s="107"/>
      <c r="L31" s="108"/>
    </row>
    <row r="32" spans="1:12" ht="13.5" hidden="1" x14ac:dyDescent="0.25">
      <c r="A32" s="99"/>
      <c r="B32" s="105" t="str">
        <f>IFERROR(VLOOKUP(H32,'[1]Consolidado MP Planta'!$A$2:$M$823,3,0),"")</f>
        <v/>
      </c>
      <c r="C32" s="100">
        <f t="shared" si="6"/>
        <v>0</v>
      </c>
      <c r="D32" s="101" t="str">
        <f>IFERROR(VLOOKUP(H32,'[1]Consolidado MP Planta'!$A$2:$M$823,13,0),"")</f>
        <v/>
      </c>
      <c r="E32" s="101" t="str">
        <f>IFERROR(VLOOKUP(H32,'[1]Consolidado MP Planta'!$A$2:$M$823,12,0),"")</f>
        <v/>
      </c>
      <c r="F32" s="101" t="str">
        <f t="shared" si="7"/>
        <v/>
      </c>
      <c r="G32" s="102" t="str">
        <f t="shared" si="8"/>
        <v/>
      </c>
      <c r="H32" s="106"/>
      <c r="I32" s="106"/>
      <c r="J32" s="104"/>
    </row>
    <row r="33" spans="1:13" ht="14.25" hidden="1" thickBot="1" x14ac:dyDescent="0.3">
      <c r="A33" s="99"/>
      <c r="B33" s="105"/>
      <c r="C33" s="100"/>
      <c r="D33" s="101"/>
      <c r="E33" s="101"/>
      <c r="F33" s="101"/>
      <c r="G33" s="102"/>
      <c r="H33" s="106"/>
      <c r="I33" s="106"/>
      <c r="J33" s="104"/>
    </row>
    <row r="34" spans="1:13" ht="26.25" thickBot="1" x14ac:dyDescent="0.25">
      <c r="A34" s="94" t="s">
        <v>85</v>
      </c>
      <c r="B34" s="95" t="s">
        <v>94</v>
      </c>
      <c r="C34" s="95" t="s">
        <v>85</v>
      </c>
      <c r="D34" s="96" t="s">
        <v>87</v>
      </c>
      <c r="E34" s="96" t="s">
        <v>88</v>
      </c>
      <c r="F34" s="96" t="s">
        <v>89</v>
      </c>
      <c r="G34" s="96" t="s">
        <v>90</v>
      </c>
      <c r="H34" s="97" t="s">
        <v>91</v>
      </c>
      <c r="I34" s="106"/>
      <c r="J34" s="104"/>
    </row>
    <row r="35" spans="1:13" ht="13.5" x14ac:dyDescent="0.25">
      <c r="A35" s="99">
        <f>+A17</f>
        <v>17120</v>
      </c>
      <c r="B35" s="87" t="s">
        <v>42</v>
      </c>
      <c r="C35" s="100">
        <f>+A35</f>
        <v>17120</v>
      </c>
      <c r="D35" s="101" t="s">
        <v>131</v>
      </c>
      <c r="E35" s="101">
        <v>0</v>
      </c>
      <c r="F35" s="101">
        <f>IFERROR(E35*C35,"")</f>
        <v>0</v>
      </c>
      <c r="G35" s="102">
        <f t="shared" ref="G35:G41" si="9">IFERROR(F35/$F$66,"")</f>
        <v>0</v>
      </c>
      <c r="H35" s="103" t="s">
        <v>41</v>
      </c>
      <c r="I35" s="106"/>
      <c r="J35" s="104"/>
    </row>
    <row r="36" spans="1:13" ht="13.5" hidden="1" x14ac:dyDescent="0.25">
      <c r="A36" s="99">
        <f t="shared" ref="A36:A41" si="10">+A18</f>
        <v>0</v>
      </c>
      <c r="B36" s="105" t="str">
        <f>IFERROR(VLOOKUP(H36,[1]SEMIELABORADOS!$A$2:$M$6000,2,0),"")</f>
        <v/>
      </c>
      <c r="C36" s="100">
        <f t="shared" ref="C36:C41" si="11">+A36</f>
        <v>0</v>
      </c>
      <c r="D36" s="101" t="str">
        <f>IFERROR(VLOOKUP(H36,[1]SEMIELABORADOS!$A$2:$M$6000,6,0),"")</f>
        <v/>
      </c>
      <c r="E36" s="101" t="str">
        <f>IFERROR(VLOOKUP(H36,[1]SEMIELABORADOS!$A$2:$M$65536,10,0),"")</f>
        <v/>
      </c>
      <c r="F36" s="101" t="str">
        <f t="shared" ref="F36:F41" si="12">IFERROR(E36*C36,"")</f>
        <v/>
      </c>
      <c r="G36" s="102" t="str">
        <f t="shared" si="9"/>
        <v/>
      </c>
      <c r="H36" s="106"/>
      <c r="I36" s="106"/>
      <c r="J36" s="104"/>
    </row>
    <row r="37" spans="1:13" ht="13.5" hidden="1" x14ac:dyDescent="0.25">
      <c r="A37" s="99">
        <f t="shared" si="10"/>
        <v>0</v>
      </c>
      <c r="B37" s="105" t="str">
        <f>IFERROR(VLOOKUP(H37,[1]SEMIELABORADOS!$A$2:$M$6000,2,0),"")</f>
        <v/>
      </c>
      <c r="C37" s="100">
        <f t="shared" si="11"/>
        <v>0</v>
      </c>
      <c r="D37" s="101" t="str">
        <f>IFERROR(VLOOKUP(H37,[1]SEMIELABORADOS!$A$2:$M$6000,6,0),"")</f>
        <v/>
      </c>
      <c r="E37" s="101" t="str">
        <f>IFERROR(VLOOKUP(H37,[1]SEMIELABORADOS!$A$2:$M$65536,10,0),"")</f>
        <v/>
      </c>
      <c r="F37" s="101" t="str">
        <f t="shared" si="12"/>
        <v/>
      </c>
      <c r="G37" s="102" t="str">
        <f t="shared" si="9"/>
        <v/>
      </c>
      <c r="H37" s="106"/>
      <c r="I37" s="106"/>
      <c r="J37" s="104"/>
    </row>
    <row r="38" spans="1:13" ht="13.5" hidden="1" x14ac:dyDescent="0.25">
      <c r="A38" s="99">
        <f t="shared" si="10"/>
        <v>0</v>
      </c>
      <c r="B38" s="105" t="str">
        <f>IFERROR(VLOOKUP(H38,[1]SEMIELABORADOS!$A$2:$M$6000,2,0),"")</f>
        <v/>
      </c>
      <c r="C38" s="100">
        <f>+A38</f>
        <v>0</v>
      </c>
      <c r="D38" s="101" t="str">
        <f>IFERROR(VLOOKUP(H38,[1]SEMIELABORADOS!$A$2:$M$6000,6,0),"")</f>
        <v/>
      </c>
      <c r="E38" s="101" t="str">
        <f>IFERROR(VLOOKUP(H38,[1]SEMIELABORADOS!$A$2:$M$65536,10,0),"")</f>
        <v/>
      </c>
      <c r="F38" s="101" t="str">
        <f>IFERROR(E38*C38,"")</f>
        <v/>
      </c>
      <c r="G38" s="102" t="str">
        <f t="shared" si="9"/>
        <v/>
      </c>
      <c r="H38" s="106"/>
      <c r="I38" s="106"/>
      <c r="J38" s="104"/>
    </row>
    <row r="39" spans="1:13" ht="13.5" hidden="1" x14ac:dyDescent="0.25">
      <c r="A39" s="99">
        <f t="shared" si="10"/>
        <v>0</v>
      </c>
      <c r="B39" s="105" t="str">
        <f>IFERROR(VLOOKUP(H39,[1]SEMIELABORADOS!$A$2:$M$6000,2,0),"")</f>
        <v/>
      </c>
      <c r="C39" s="100">
        <f>+A39</f>
        <v>0</v>
      </c>
      <c r="D39" s="101" t="str">
        <f>IFERROR(VLOOKUP(H39,[1]SEMIELABORADOS!$A$2:$M$6000,6,0),"")</f>
        <v/>
      </c>
      <c r="E39" s="101" t="str">
        <f>IFERROR(VLOOKUP(H39,[1]SEMIELABORADOS!$A$2:$M$65536,10,0),"")</f>
        <v/>
      </c>
      <c r="F39" s="101" t="str">
        <f>IFERROR(E39*C39,"")</f>
        <v/>
      </c>
      <c r="G39" s="102" t="str">
        <f t="shared" si="9"/>
        <v/>
      </c>
      <c r="H39" s="106"/>
      <c r="I39" s="106"/>
      <c r="J39" s="104"/>
    </row>
    <row r="40" spans="1:13" ht="13.5" hidden="1" x14ac:dyDescent="0.25">
      <c r="A40" s="99">
        <f t="shared" si="10"/>
        <v>0</v>
      </c>
      <c r="B40" s="105" t="str">
        <f>IFERROR(VLOOKUP(H40,[1]SEMIELABORADOS!$A$2:$M$6000,2,0),"")</f>
        <v/>
      </c>
      <c r="C40" s="100">
        <f t="shared" si="11"/>
        <v>0</v>
      </c>
      <c r="D40" s="101" t="str">
        <f>IFERROR(VLOOKUP(H40,[1]SEMIELABORADOS!$A$2:$M$6000,6,0),"")</f>
        <v/>
      </c>
      <c r="E40" s="101" t="str">
        <f>IFERROR(VLOOKUP(H40,[1]SEMIELABORADOS!$A$2:$M$65536,10,0),"")</f>
        <v/>
      </c>
      <c r="F40" s="101" t="str">
        <f t="shared" si="12"/>
        <v/>
      </c>
      <c r="G40" s="102" t="str">
        <f t="shared" si="9"/>
        <v/>
      </c>
      <c r="H40" s="106"/>
      <c r="I40" s="106"/>
      <c r="J40" s="104"/>
    </row>
    <row r="41" spans="1:13" ht="13.5" hidden="1" x14ac:dyDescent="0.25">
      <c r="A41" s="99">
        <f t="shared" si="10"/>
        <v>0</v>
      </c>
      <c r="B41" s="105" t="str">
        <f>IFERROR(VLOOKUP(H41,[1]SEMIELABORADOS!$A$2:$M$6000,2,0),"")</f>
        <v/>
      </c>
      <c r="C41" s="100">
        <f t="shared" si="11"/>
        <v>0</v>
      </c>
      <c r="D41" s="101" t="str">
        <f>IFERROR(VLOOKUP(H41,[1]SEMIELABORADOS!$A$2:$M$6000,6,0),"")</f>
        <v/>
      </c>
      <c r="E41" s="101" t="str">
        <f>IFERROR(VLOOKUP(H41,[1]SEMIELABORADOS!$A$2:$M$65536,10,0),"")</f>
        <v/>
      </c>
      <c r="F41" s="101" t="str">
        <f t="shared" si="12"/>
        <v/>
      </c>
      <c r="G41" s="102" t="str">
        <f t="shared" si="9"/>
        <v/>
      </c>
      <c r="H41" s="106"/>
      <c r="I41" s="106"/>
      <c r="J41" s="104"/>
    </row>
    <row r="42" spans="1:13" ht="14.25" thickBot="1" x14ac:dyDescent="0.3">
      <c r="A42" s="99"/>
      <c r="B42" s="105"/>
      <c r="C42" s="100"/>
      <c r="D42" s="101"/>
      <c r="E42" s="101"/>
      <c r="F42" s="101"/>
      <c r="G42" s="102"/>
      <c r="H42" s="106"/>
      <c r="I42" s="106"/>
      <c r="J42" s="104"/>
    </row>
    <row r="43" spans="1:13" ht="26.25" thickBot="1" x14ac:dyDescent="0.3">
      <c r="A43" s="94" t="s">
        <v>85</v>
      </c>
      <c r="B43" s="95" t="s">
        <v>95</v>
      </c>
      <c r="C43" s="95" t="s">
        <v>85</v>
      </c>
      <c r="D43" s="96" t="s">
        <v>87</v>
      </c>
      <c r="E43" s="96" t="s">
        <v>88</v>
      </c>
      <c r="F43" s="96" t="s">
        <v>89</v>
      </c>
      <c r="G43" s="96" t="s">
        <v>90</v>
      </c>
      <c r="H43" s="97" t="s">
        <v>91</v>
      </c>
      <c r="I43" s="98"/>
      <c r="J43" s="104"/>
    </row>
    <row r="44" spans="1:13" ht="13.5" x14ac:dyDescent="0.25">
      <c r="A44" s="99">
        <f>+A35</f>
        <v>17120</v>
      </c>
      <c r="B44" s="87" t="s">
        <v>42</v>
      </c>
      <c r="C44" s="100">
        <f>+A44</f>
        <v>17120</v>
      </c>
      <c r="D44" s="101" t="s">
        <v>131</v>
      </c>
      <c r="E44" s="101">
        <v>0.01</v>
      </c>
      <c r="F44" s="101">
        <f>IFERROR(E44*C44,"")</f>
        <v>171.20000000000002</v>
      </c>
      <c r="G44" s="102">
        <f>IFERROR(F44/$F$66,"")</f>
        <v>4.3230517594037877E-3</v>
      </c>
      <c r="H44" s="103" t="s">
        <v>41</v>
      </c>
      <c r="I44" s="98"/>
      <c r="J44" s="104"/>
    </row>
    <row r="45" spans="1:13" ht="13.5" hidden="1" x14ac:dyDescent="0.25">
      <c r="A45" s="99">
        <f t="shared" ref="A45:A50" si="13">+A36</f>
        <v>0</v>
      </c>
      <c r="B45" s="105" t="str">
        <f>IFERROR(VLOOKUP(H45,[1]SEMIELABORADOS!$A$2:$M$6000,2,0),"")</f>
        <v/>
      </c>
      <c r="C45" s="100">
        <f t="shared" ref="C45:C50" si="14">+A45</f>
        <v>0</v>
      </c>
      <c r="D45" s="101" t="str">
        <f>IFERROR(VLOOKUP(H45,[1]SEMIELABORADOS!$A$2:$M$6000,6,0),"")</f>
        <v/>
      </c>
      <c r="E45" s="101" t="str">
        <f>IFERROR(VLOOKUP(H45,[1]SEMIELABORADOS!$A$2:$M$65536,12,0),"")</f>
        <v/>
      </c>
      <c r="F45" s="101" t="str">
        <f t="shared" ref="F45:F50" si="15">IFERROR(E45*C45,"")</f>
        <v/>
      </c>
      <c r="G45" s="102" t="str">
        <f t="shared" ref="G45:G50" si="16">IFERROR(F45/$F$66,"")</f>
        <v/>
      </c>
      <c r="H45" s="106"/>
      <c r="I45" s="98"/>
      <c r="J45" s="104"/>
      <c r="M45" s="109"/>
    </row>
    <row r="46" spans="1:13" ht="13.5" hidden="1" x14ac:dyDescent="0.25">
      <c r="A46" s="99">
        <f t="shared" si="13"/>
        <v>0</v>
      </c>
      <c r="B46" s="105" t="str">
        <f>IFERROR(VLOOKUP(H46,[1]SEMIELABORADOS!$A$2:$M$6000,2,0),"")</f>
        <v/>
      </c>
      <c r="C46" s="100">
        <f t="shared" si="14"/>
        <v>0</v>
      </c>
      <c r="D46" s="101" t="str">
        <f>IFERROR(VLOOKUP(H46,[1]SEMIELABORADOS!$A$2:$M$6000,6,0),"")</f>
        <v/>
      </c>
      <c r="E46" s="101" t="str">
        <f>IFERROR(VLOOKUP(H46,[1]SEMIELABORADOS!$A$2:$M$65536,12,0),"")</f>
        <v/>
      </c>
      <c r="F46" s="101" t="str">
        <f t="shared" si="15"/>
        <v/>
      </c>
      <c r="G46" s="102" t="str">
        <f t="shared" si="16"/>
        <v/>
      </c>
      <c r="H46" s="106"/>
      <c r="I46" s="98"/>
      <c r="J46" s="104"/>
    </row>
    <row r="47" spans="1:13" ht="13.5" hidden="1" x14ac:dyDescent="0.25">
      <c r="A47" s="99">
        <f t="shared" si="13"/>
        <v>0</v>
      </c>
      <c r="B47" s="105" t="str">
        <f>IFERROR(VLOOKUP(H47,[1]SEMIELABORADOS!$A$2:$M$6000,2,0),"")</f>
        <v/>
      </c>
      <c r="C47" s="100">
        <f t="shared" si="14"/>
        <v>0</v>
      </c>
      <c r="D47" s="101" t="str">
        <f>IFERROR(VLOOKUP(H47,[1]SEMIELABORADOS!$A$2:$M$6000,6,0),"")</f>
        <v/>
      </c>
      <c r="E47" s="101" t="str">
        <f>IFERROR(VLOOKUP(H47,[1]SEMIELABORADOS!$A$2:$M$65536,12,0),"")</f>
        <v/>
      </c>
      <c r="F47" s="101" t="str">
        <f t="shared" si="15"/>
        <v/>
      </c>
      <c r="G47" s="102" t="str">
        <f t="shared" si="16"/>
        <v/>
      </c>
      <c r="H47" s="106"/>
      <c r="I47" s="98"/>
      <c r="J47" s="104"/>
    </row>
    <row r="48" spans="1:13" ht="13.5" hidden="1" x14ac:dyDescent="0.25">
      <c r="A48" s="99">
        <f t="shared" si="13"/>
        <v>0</v>
      </c>
      <c r="B48" s="105" t="str">
        <f>IFERROR(VLOOKUP(H48,[1]SEMIELABORADOS!$A$2:$M$6000,2,0),"")</f>
        <v/>
      </c>
      <c r="C48" s="100">
        <f t="shared" si="14"/>
        <v>0</v>
      </c>
      <c r="D48" s="101" t="str">
        <f>IFERROR(VLOOKUP(H48,[1]SEMIELABORADOS!$A$2:$M$6000,6,0),"")</f>
        <v/>
      </c>
      <c r="E48" s="101" t="str">
        <f>IFERROR(VLOOKUP(H48,[1]SEMIELABORADOS!$A$2:$M$65536,12,0),"")</f>
        <v/>
      </c>
      <c r="F48" s="101" t="str">
        <f t="shared" si="15"/>
        <v/>
      </c>
      <c r="G48" s="102" t="str">
        <f t="shared" si="16"/>
        <v/>
      </c>
      <c r="H48" s="106"/>
      <c r="I48" s="98"/>
      <c r="J48" s="104"/>
    </row>
    <row r="49" spans="1:17" ht="13.5" hidden="1" x14ac:dyDescent="0.25">
      <c r="A49" s="99">
        <f t="shared" si="13"/>
        <v>0</v>
      </c>
      <c r="B49" s="105" t="str">
        <f>IFERROR(VLOOKUP(H49,[1]SEMIELABORADOS!$A$2:$M$6000,2,0),"")</f>
        <v/>
      </c>
      <c r="C49" s="100">
        <f t="shared" si="14"/>
        <v>0</v>
      </c>
      <c r="D49" s="101" t="str">
        <f>IFERROR(VLOOKUP(H49,[1]SEMIELABORADOS!$A$2:$M$6000,6,0),"")</f>
        <v/>
      </c>
      <c r="E49" s="101" t="str">
        <f>IFERROR(VLOOKUP(H49,[1]SEMIELABORADOS!$A$2:$M$65536,12,0),"")</f>
        <v/>
      </c>
      <c r="F49" s="101" t="str">
        <f t="shared" si="15"/>
        <v/>
      </c>
      <c r="G49" s="102" t="str">
        <f t="shared" si="16"/>
        <v/>
      </c>
      <c r="H49" s="106"/>
      <c r="I49" s="98"/>
      <c r="J49" s="104"/>
    </row>
    <row r="50" spans="1:17" ht="13.5" hidden="1" x14ac:dyDescent="0.25">
      <c r="A50" s="99">
        <f t="shared" si="13"/>
        <v>0</v>
      </c>
      <c r="B50" s="105" t="str">
        <f>IFERROR(VLOOKUP(H50,[1]SEMIELABORADOS!$A$2:$M$6000,2,0),"")</f>
        <v/>
      </c>
      <c r="C50" s="100">
        <f t="shared" si="14"/>
        <v>0</v>
      </c>
      <c r="D50" s="101" t="str">
        <f>IFERROR(VLOOKUP(H50,[1]SEMIELABORADOS!$A$2:$M$6000,6,0),"")</f>
        <v/>
      </c>
      <c r="E50" s="101" t="str">
        <f>IFERROR(VLOOKUP(H50,[1]SEMIELABORADOS!$A$2:$M$65536,12,0),"")</f>
        <v/>
      </c>
      <c r="F50" s="101" t="str">
        <f t="shared" si="15"/>
        <v/>
      </c>
      <c r="G50" s="102" t="str">
        <f t="shared" si="16"/>
        <v/>
      </c>
      <c r="H50" s="105"/>
      <c r="I50" s="98"/>
      <c r="J50" s="104"/>
    </row>
    <row r="51" spans="1:17" ht="13.5" x14ac:dyDescent="0.25">
      <c r="A51" s="99">
        <v>1</v>
      </c>
      <c r="B51" s="105" t="s">
        <v>96</v>
      </c>
      <c r="C51" s="100">
        <f>+A51</f>
        <v>1</v>
      </c>
      <c r="D51" s="100" t="s">
        <v>97</v>
      </c>
      <c r="E51" s="101">
        <f>+F65</f>
        <v>385</v>
      </c>
      <c r="F51" s="101">
        <f>IFERROR(C51*E51,"")</f>
        <v>385</v>
      </c>
      <c r="G51" s="102">
        <f>IFERROR(F51/$F$66,"")</f>
        <v>9.7218161645470681E-3</v>
      </c>
      <c r="H51" s="110"/>
      <c r="I51" s="110"/>
      <c r="J51" s="104"/>
    </row>
    <row r="52" spans="1:17" ht="14.25" thickBot="1" x14ac:dyDescent="0.3">
      <c r="A52" s="99"/>
      <c r="B52" s="105"/>
      <c r="C52" s="100"/>
      <c r="D52" s="100"/>
      <c r="E52" s="101"/>
      <c r="F52" s="101"/>
      <c r="G52" s="102"/>
      <c r="H52" s="110"/>
      <c r="I52" s="110"/>
      <c r="J52" s="104"/>
    </row>
    <row r="53" spans="1:17" ht="13.5" thickBot="1" x14ac:dyDescent="0.3">
      <c r="A53" s="111"/>
      <c r="B53" s="981" t="s">
        <v>98</v>
      </c>
      <c r="C53" s="981"/>
      <c r="D53" s="981"/>
      <c r="E53" s="981"/>
      <c r="F53" s="113">
        <f>SUM(F8:F14,F17:F24)</f>
        <v>38447.699999999997</v>
      </c>
      <c r="G53" s="102">
        <f>+F53/$F$66</f>
        <v>0.97086096454456172</v>
      </c>
      <c r="H53" s="114">
        <f>+F53/$D$60</f>
        <v>38447.699999999997</v>
      </c>
      <c r="I53" s="114"/>
      <c r="J53" s="115"/>
      <c r="K53" s="116"/>
      <c r="L53" s="116"/>
      <c r="M53" s="116"/>
      <c r="N53" s="116"/>
      <c r="O53" s="116"/>
      <c r="P53" s="116"/>
      <c r="Q53" s="117"/>
    </row>
    <row r="54" spans="1:17" x14ac:dyDescent="0.2">
      <c r="A54" s="111"/>
      <c r="B54" s="981" t="s">
        <v>99</v>
      </c>
      <c r="C54" s="981"/>
      <c r="D54" s="981"/>
      <c r="E54" s="981"/>
      <c r="F54" s="113">
        <f>SUM(F27:F32,F35:F41)</f>
        <v>0</v>
      </c>
      <c r="G54" s="102">
        <f>+F54/$F$66</f>
        <v>0</v>
      </c>
      <c r="H54" s="114">
        <f>+F54/$D$60</f>
        <v>0</v>
      </c>
      <c r="I54" s="114"/>
      <c r="J54" s="118"/>
      <c r="K54" s="982" t="s">
        <v>100</v>
      </c>
      <c r="L54" s="983"/>
      <c r="M54" s="983"/>
      <c r="N54" s="983"/>
      <c r="O54" s="119">
        <f>+F55</f>
        <v>38447.699999999997</v>
      </c>
      <c r="P54" s="119"/>
      <c r="Q54" s="120"/>
    </row>
    <row r="55" spans="1:17" x14ac:dyDescent="0.2">
      <c r="A55" s="111"/>
      <c r="B55" s="981" t="s">
        <v>101</v>
      </c>
      <c r="C55" s="981"/>
      <c r="D55" s="981"/>
      <c r="E55" s="981"/>
      <c r="F55" s="113">
        <f>+F53+F54</f>
        <v>38447.699999999997</v>
      </c>
      <c r="G55" s="102">
        <f>+F55/$F$66</f>
        <v>0.97086096454456172</v>
      </c>
      <c r="H55" s="114">
        <f>+F55/$D$60</f>
        <v>38447.699999999997</v>
      </c>
      <c r="I55" s="114"/>
      <c r="J55" s="121"/>
      <c r="K55" s="122"/>
      <c r="M55" s="123" t="s">
        <v>102</v>
      </c>
      <c r="N55" s="124"/>
      <c r="O55" s="119">
        <f>+H56</f>
        <v>556.20000000000005</v>
      </c>
      <c r="P55" s="119"/>
      <c r="Q55" s="120"/>
    </row>
    <row r="56" spans="1:17" ht="13.5" thickBot="1" x14ac:dyDescent="0.25">
      <c r="A56" s="111"/>
      <c r="B56" s="112"/>
      <c r="C56" s="981" t="s">
        <v>103</v>
      </c>
      <c r="D56" s="981"/>
      <c r="E56" s="981"/>
      <c r="F56" s="113">
        <f>SUM(F44:F51)</f>
        <v>556.20000000000005</v>
      </c>
      <c r="G56" s="102">
        <f>+F56/$F$66</f>
        <v>1.4044867923950856E-2</v>
      </c>
      <c r="H56" s="114">
        <f>+F56/$D$60</f>
        <v>556.20000000000005</v>
      </c>
      <c r="I56" s="114"/>
      <c r="J56" s="121"/>
      <c r="K56" s="122"/>
      <c r="L56" s="122"/>
      <c r="M56" s="122" t="s">
        <v>104</v>
      </c>
      <c r="N56" s="125"/>
      <c r="O56" s="119">
        <f>O54*N56</f>
        <v>0</v>
      </c>
      <c r="P56" s="119"/>
      <c r="Q56" s="120"/>
    </row>
    <row r="57" spans="1:17" ht="13.5" thickBot="1" x14ac:dyDescent="0.25">
      <c r="A57" s="111"/>
      <c r="B57" s="126"/>
      <c r="C57" s="126"/>
      <c r="D57" s="126"/>
      <c r="E57" s="126"/>
      <c r="F57" s="127"/>
      <c r="G57" s="102"/>
      <c r="H57" s="128"/>
      <c r="I57" s="114"/>
      <c r="J57" s="121"/>
      <c r="K57" s="129"/>
      <c r="M57" s="130" t="s">
        <v>105</v>
      </c>
      <c r="N57" s="131"/>
      <c r="O57" s="132">
        <f>SUM(O54:O56)</f>
        <v>39003.899999999994</v>
      </c>
      <c r="P57" s="133"/>
      <c r="Q57" s="120"/>
    </row>
    <row r="58" spans="1:17" x14ac:dyDescent="0.2">
      <c r="B58" s="984" t="s">
        <v>106</v>
      </c>
      <c r="C58" s="984"/>
      <c r="D58" s="134">
        <v>25000</v>
      </c>
      <c r="E58" s="135"/>
      <c r="G58" s="102"/>
      <c r="H58" s="128">
        <f>+H56/77</f>
        <v>7.2233766233766241</v>
      </c>
      <c r="I58" s="136"/>
      <c r="J58" s="121"/>
      <c r="K58" s="129"/>
      <c r="L58" s="122"/>
      <c r="M58" s="122" t="s">
        <v>107</v>
      </c>
      <c r="N58" s="137"/>
      <c r="O58" s="119">
        <f>+H59</f>
        <v>462.29610389610394</v>
      </c>
      <c r="P58" s="119"/>
      <c r="Q58" s="120"/>
    </row>
    <row r="59" spans="1:17" x14ac:dyDescent="0.2">
      <c r="B59" s="984" t="s">
        <v>108</v>
      </c>
      <c r="C59" s="984"/>
      <c r="D59" s="138">
        <v>25000</v>
      </c>
      <c r="E59" s="135"/>
      <c r="G59" s="102"/>
      <c r="H59" s="128">
        <f>+H58*64</f>
        <v>462.29610389610394</v>
      </c>
      <c r="I59" s="136"/>
      <c r="J59" s="121"/>
      <c r="K59" s="129"/>
      <c r="L59" s="122"/>
      <c r="M59" s="985" t="s">
        <v>105</v>
      </c>
      <c r="N59" s="985"/>
      <c r="O59" s="119">
        <f>SUM(O57:O58)</f>
        <v>39466.196103896102</v>
      </c>
      <c r="P59" s="119"/>
      <c r="Q59" s="120"/>
    </row>
    <row r="60" spans="1:17" ht="13.5" thickBot="1" x14ac:dyDescent="0.25">
      <c r="B60" s="977" t="s">
        <v>109</v>
      </c>
      <c r="C60" s="977"/>
      <c r="D60" s="134">
        <f>+D58/D59</f>
        <v>1</v>
      </c>
      <c r="E60" s="135"/>
      <c r="F60" s="139"/>
      <c r="G60" s="102"/>
      <c r="H60" s="128"/>
      <c r="I60" s="136"/>
      <c r="J60" s="121"/>
      <c r="K60" s="129"/>
      <c r="L60" s="985"/>
      <c r="M60" s="985"/>
      <c r="N60" s="137"/>
      <c r="O60" s="119">
        <f>+O59*N60</f>
        <v>0</v>
      </c>
      <c r="P60" s="119"/>
      <c r="Q60" s="120"/>
    </row>
    <row r="61" spans="1:17" ht="13.5" thickBot="1" x14ac:dyDescent="0.25">
      <c r="B61" s="977" t="s">
        <v>110</v>
      </c>
      <c r="C61" s="977"/>
      <c r="D61" s="140"/>
      <c r="E61" s="135"/>
      <c r="F61" s="139"/>
      <c r="G61" s="102"/>
      <c r="H61" s="128"/>
      <c r="I61" s="136"/>
      <c r="J61" s="121"/>
      <c r="K61" s="978" t="s">
        <v>111</v>
      </c>
      <c r="L61" s="979"/>
      <c r="M61" s="979"/>
      <c r="N61" s="980"/>
      <c r="O61" s="132">
        <f>SUM(O59:O60)</f>
        <v>39466.196103896102</v>
      </c>
      <c r="P61" s="141" t="s">
        <v>112</v>
      </c>
      <c r="Q61" s="120"/>
    </row>
    <row r="62" spans="1:17" ht="13.5" thickBot="1" x14ac:dyDescent="0.25">
      <c r="C62" s="111" t="s">
        <v>113</v>
      </c>
      <c r="D62" s="142"/>
      <c r="E62" s="85" t="s">
        <v>114</v>
      </c>
      <c r="F62" s="143" t="s">
        <v>115</v>
      </c>
      <c r="G62" s="102"/>
      <c r="H62" s="128"/>
      <c r="I62" s="136"/>
      <c r="J62" s="144"/>
      <c r="K62" s="145"/>
      <c r="L62" s="991" t="s">
        <v>116</v>
      </c>
      <c r="M62" s="991"/>
      <c r="N62" s="991"/>
      <c r="O62" s="146">
        <f>+O61/D60</f>
        <v>39466.196103896102</v>
      </c>
      <c r="P62" s="147">
        <f>+O62/D59</f>
        <v>1.578647844155844</v>
      </c>
      <c r="Q62" s="148"/>
    </row>
    <row r="63" spans="1:17" ht="13.5" thickBot="1" x14ac:dyDescent="0.25">
      <c r="B63" s="992" t="s">
        <v>101</v>
      </c>
      <c r="C63" s="992"/>
      <c r="D63" s="992"/>
      <c r="E63" s="149">
        <f>+F63/F63</f>
        <v>1</v>
      </c>
      <c r="F63" s="150">
        <f>SUM(F55)</f>
        <v>38447.699999999997</v>
      </c>
      <c r="G63" s="102">
        <f>+F63/$F$66</f>
        <v>0.97086096454456172</v>
      </c>
      <c r="H63" s="128"/>
      <c r="I63" s="136"/>
      <c r="K63" s="993"/>
      <c r="L63" s="994"/>
      <c r="M63" s="994"/>
      <c r="N63" s="994"/>
      <c r="O63" s="151"/>
      <c r="P63" s="152"/>
    </row>
    <row r="64" spans="1:17" ht="13.5" thickBot="1" x14ac:dyDescent="0.3">
      <c r="B64" s="995" t="s">
        <v>117</v>
      </c>
      <c r="C64" s="995"/>
      <c r="D64" s="995"/>
      <c r="E64" s="153">
        <v>0.02</v>
      </c>
      <c r="F64" s="150">
        <f>+F53*E64</f>
        <v>768.95399999999995</v>
      </c>
      <c r="G64" s="102">
        <f>+F64/$F$66</f>
        <v>1.9417219290891234E-2</v>
      </c>
      <c r="H64" s="114"/>
      <c r="I64" s="136"/>
      <c r="J64" s="154"/>
      <c r="O64" s="155"/>
      <c r="P64" s="112"/>
    </row>
    <row r="65" spans="2:13" ht="13.5" thickBot="1" x14ac:dyDescent="0.3">
      <c r="B65" s="996" t="s">
        <v>118</v>
      </c>
      <c r="C65" s="997"/>
      <c r="D65" s="156">
        <v>5</v>
      </c>
      <c r="E65" s="157">
        <v>77</v>
      </c>
      <c r="F65" s="150">
        <f>+E65*D65</f>
        <v>385</v>
      </c>
      <c r="G65" s="102">
        <f>+F65/$F$66</f>
        <v>9.7218161645470681E-3</v>
      </c>
      <c r="H65" s="114"/>
      <c r="I65" s="114"/>
      <c r="J65" s="104"/>
    </row>
    <row r="66" spans="2:13" ht="13.5" thickBot="1" x14ac:dyDescent="0.3">
      <c r="B66" s="998" t="s">
        <v>119</v>
      </c>
      <c r="C66" s="999"/>
      <c r="D66" s="999"/>
      <c r="E66" s="1000"/>
      <c r="F66" s="127">
        <f>SUM(F63:F65)</f>
        <v>39601.653999999995</v>
      </c>
      <c r="G66" s="102">
        <f>+F66/$F$66</f>
        <v>1</v>
      </c>
      <c r="H66" s="1001"/>
      <c r="I66" s="114"/>
      <c r="J66" s="104"/>
      <c r="M66" s="87" t="s">
        <v>120</v>
      </c>
    </row>
    <row r="67" spans="2:13" x14ac:dyDescent="0.25">
      <c r="C67" s="109"/>
      <c r="D67" s="109"/>
      <c r="E67" s="159"/>
      <c r="F67" s="150"/>
      <c r="G67" s="102"/>
      <c r="H67" s="1001"/>
      <c r="I67" s="158"/>
      <c r="J67" s="87"/>
      <c r="M67" s="87" t="s">
        <v>121</v>
      </c>
    </row>
    <row r="68" spans="2:13" ht="13.5" thickBot="1" x14ac:dyDescent="0.3">
      <c r="B68" s="986" t="s">
        <v>122</v>
      </c>
      <c r="C68" s="986"/>
      <c r="D68" s="986"/>
      <c r="E68" s="986"/>
      <c r="F68" s="986"/>
      <c r="G68" s="102"/>
      <c r="H68" s="161"/>
      <c r="I68" s="158"/>
      <c r="J68" s="87"/>
      <c r="M68" s="87" t="s">
        <v>123</v>
      </c>
    </row>
    <row r="69" spans="2:13" ht="13.5" thickBot="1" x14ac:dyDescent="0.3">
      <c r="B69" s="162" t="s">
        <v>124</v>
      </c>
      <c r="C69" s="163">
        <f>+F53</f>
        <v>38447.699999999997</v>
      </c>
      <c r="D69" s="163">
        <f>+D58</f>
        <v>25000</v>
      </c>
      <c r="E69" s="164">
        <f>+C69/D69</f>
        <v>1.5379079999999998</v>
      </c>
      <c r="F69" s="102"/>
      <c r="G69" s="161"/>
      <c r="H69" s="104"/>
      <c r="I69" s="161"/>
      <c r="J69" s="87"/>
    </row>
    <row r="70" spans="2:13" x14ac:dyDescent="0.25">
      <c r="B70" s="165"/>
      <c r="C70" s="166"/>
      <c r="D70" s="167"/>
      <c r="E70" s="150"/>
      <c r="F70" s="102"/>
      <c r="G70" s="161"/>
      <c r="H70" s="104"/>
      <c r="I70" s="104"/>
      <c r="J70" s="87"/>
    </row>
    <row r="71" spans="2:13" x14ac:dyDescent="0.25">
      <c r="B71" s="162" t="s">
        <v>125</v>
      </c>
      <c r="C71" s="163">
        <f>SUM(F63:F64)</f>
        <v>39216.653999999995</v>
      </c>
      <c r="D71" s="163">
        <f>+D58</f>
        <v>25000</v>
      </c>
      <c r="E71" s="168">
        <f>+C71/D71</f>
        <v>1.5686661599999998</v>
      </c>
      <c r="F71" s="102"/>
      <c r="G71" s="161"/>
      <c r="H71" s="104"/>
      <c r="I71" s="104"/>
      <c r="J71" s="87"/>
    </row>
    <row r="72" spans="2:13" x14ac:dyDescent="0.25">
      <c r="B72" s="162"/>
      <c r="C72" s="163"/>
      <c r="D72" s="163"/>
      <c r="E72" s="168"/>
      <c r="F72" s="102"/>
      <c r="G72" s="161"/>
      <c r="H72" s="104"/>
      <c r="I72" s="104"/>
      <c r="J72" s="87"/>
    </row>
    <row r="73" spans="2:13" ht="13.5" thickBot="1" x14ac:dyDescent="0.3">
      <c r="B73" s="162" t="s">
        <v>126</v>
      </c>
      <c r="C73" s="163">
        <f>+F65</f>
        <v>385</v>
      </c>
      <c r="D73" s="163">
        <f>+D58</f>
        <v>25000</v>
      </c>
      <c r="E73" s="168">
        <f>+C73/D73</f>
        <v>1.54E-2</v>
      </c>
      <c r="F73" s="102"/>
      <c r="G73" s="161"/>
      <c r="H73" s="104"/>
      <c r="I73" s="104"/>
      <c r="J73" s="87"/>
    </row>
    <row r="74" spans="2:13" ht="13.5" thickBot="1" x14ac:dyDescent="0.3">
      <c r="B74" s="162" t="s">
        <v>127</v>
      </c>
      <c r="C74" s="163">
        <f>+F56</f>
        <v>556.20000000000005</v>
      </c>
      <c r="D74" s="163">
        <f>+D73</f>
        <v>25000</v>
      </c>
      <c r="E74" s="164">
        <f>+C74/D74</f>
        <v>2.2248E-2</v>
      </c>
      <c r="F74" s="102"/>
      <c r="G74" s="161"/>
      <c r="H74" s="104"/>
      <c r="I74" s="104"/>
      <c r="J74" s="87"/>
    </row>
    <row r="75" spans="2:13" ht="13.5" thickBot="1" x14ac:dyDescent="0.3">
      <c r="B75" s="126"/>
      <c r="C75" s="127"/>
      <c r="D75" s="127"/>
      <c r="E75" s="168"/>
      <c r="F75" s="102"/>
      <c r="G75" s="161"/>
      <c r="H75" s="104"/>
      <c r="I75" s="104"/>
      <c r="J75" s="87"/>
    </row>
    <row r="76" spans="2:13" ht="13.5" thickBot="1" x14ac:dyDescent="0.3">
      <c r="B76" s="162" t="s">
        <v>128</v>
      </c>
      <c r="C76" s="163">
        <f>+F54</f>
        <v>0</v>
      </c>
      <c r="D76" s="163">
        <f>+D74</f>
        <v>25000</v>
      </c>
      <c r="E76" s="164">
        <f>+C76/D76</f>
        <v>0</v>
      </c>
      <c r="F76" s="102"/>
      <c r="G76" s="161"/>
      <c r="H76" s="104"/>
      <c r="I76" s="104"/>
      <c r="J76" s="104"/>
    </row>
    <row r="77" spans="2:13" ht="13.5" thickBot="1" x14ac:dyDescent="0.3">
      <c r="B77" s="126"/>
      <c r="C77" s="127"/>
      <c r="D77" s="127"/>
      <c r="E77" s="168"/>
      <c r="F77" s="102"/>
      <c r="G77" s="161"/>
      <c r="H77" s="104"/>
      <c r="I77" s="104"/>
    </row>
    <row r="78" spans="2:13" ht="13.5" thickBot="1" x14ac:dyDescent="0.3">
      <c r="B78" s="987" t="s">
        <v>129</v>
      </c>
      <c r="C78" s="988"/>
      <c r="D78" s="989"/>
      <c r="E78" s="164">
        <f>+E69+E74</f>
        <v>1.5601559999999999</v>
      </c>
      <c r="G78" s="102"/>
      <c r="H78" s="161"/>
      <c r="I78" s="104"/>
      <c r="J78" s="168"/>
    </row>
    <row r="79" spans="2:13" x14ac:dyDescent="0.25">
      <c r="I79" s="161"/>
      <c r="J79" s="87"/>
    </row>
    <row r="80" spans="2:13" ht="13.5" thickBot="1" x14ac:dyDescent="0.3">
      <c r="B80" s="986" t="s">
        <v>130</v>
      </c>
      <c r="C80" s="986"/>
      <c r="D80" s="986"/>
      <c r="E80" s="986"/>
      <c r="F80" s="986"/>
      <c r="G80" s="102"/>
      <c r="H80" s="161"/>
      <c r="J80" s="87"/>
    </row>
    <row r="81" spans="1:10" ht="13.5" thickBot="1" x14ac:dyDescent="0.3">
      <c r="B81" s="162" t="s">
        <v>124</v>
      </c>
      <c r="C81" s="163">
        <f>+C69</f>
        <v>38447.699999999997</v>
      </c>
      <c r="D81" s="163">
        <f>+D60</f>
        <v>1</v>
      </c>
      <c r="E81" s="164">
        <f>+C81/D81</f>
        <v>38447.699999999997</v>
      </c>
      <c r="F81" s="102"/>
      <c r="G81" s="161"/>
      <c r="H81" s="104"/>
      <c r="I81" s="161"/>
      <c r="J81" s="87"/>
    </row>
    <row r="82" spans="1:10" x14ac:dyDescent="0.25">
      <c r="B82" s="165"/>
      <c r="C82" s="166"/>
      <c r="D82" s="167"/>
      <c r="E82" s="150"/>
      <c r="F82" s="102"/>
      <c r="G82" s="161"/>
      <c r="H82" s="104"/>
      <c r="I82" s="104"/>
      <c r="J82" s="87"/>
    </row>
    <row r="83" spans="1:10" x14ac:dyDescent="0.25">
      <c r="B83" s="162" t="s">
        <v>125</v>
      </c>
      <c r="C83" s="163">
        <f>+C71</f>
        <v>39216.653999999995</v>
      </c>
      <c r="D83" s="163">
        <f>+D60</f>
        <v>1</v>
      </c>
      <c r="E83" s="168">
        <f>+C83/D83</f>
        <v>39216.653999999995</v>
      </c>
      <c r="F83" s="102"/>
      <c r="G83" s="161"/>
      <c r="H83" s="104"/>
      <c r="I83" s="104"/>
      <c r="J83" s="87"/>
    </row>
    <row r="84" spans="1:10" x14ac:dyDescent="0.25">
      <c r="B84" s="162"/>
      <c r="C84" s="163"/>
      <c r="D84" s="163"/>
      <c r="E84" s="168"/>
      <c r="F84" s="102"/>
      <c r="G84" s="161"/>
      <c r="H84" s="104"/>
      <c r="I84" s="104"/>
      <c r="J84" s="87"/>
    </row>
    <row r="85" spans="1:10" ht="13.5" thickBot="1" x14ac:dyDescent="0.3">
      <c r="B85" s="162" t="s">
        <v>127</v>
      </c>
      <c r="C85" s="163">
        <f>+C73</f>
        <v>385</v>
      </c>
      <c r="D85" s="163">
        <f>+D60</f>
        <v>1</v>
      </c>
      <c r="E85" s="168">
        <f>+C85/D85</f>
        <v>385</v>
      </c>
      <c r="F85" s="170"/>
      <c r="G85" s="160"/>
      <c r="H85" s="86"/>
      <c r="I85" s="104"/>
    </row>
    <row r="86" spans="1:10" ht="13.5" thickBot="1" x14ac:dyDescent="0.3">
      <c r="B86" s="162" t="s">
        <v>127</v>
      </c>
      <c r="C86" s="163">
        <f>+C74</f>
        <v>556.20000000000005</v>
      </c>
      <c r="D86" s="163">
        <f>+D85</f>
        <v>1</v>
      </c>
      <c r="E86" s="164">
        <f>+C86/D86</f>
        <v>556.20000000000005</v>
      </c>
      <c r="F86" s="169"/>
      <c r="G86" s="160"/>
      <c r="H86" s="86"/>
      <c r="I86" s="86"/>
    </row>
    <row r="87" spans="1:10" x14ac:dyDescent="0.25">
      <c r="I87" s="86"/>
    </row>
    <row r="88" spans="1:10" x14ac:dyDescent="0.2">
      <c r="A88" s="990"/>
      <c r="B88" s="990"/>
      <c r="C88" s="171"/>
      <c r="D88" s="171"/>
      <c r="E88" s="172"/>
      <c r="G88" s="173"/>
    </row>
    <row r="89" spans="1:10" x14ac:dyDescent="0.2">
      <c r="A89" s="105"/>
      <c r="B89" s="174"/>
      <c r="C89" s="175"/>
      <c r="D89" s="175"/>
      <c r="E89" s="176"/>
      <c r="G89" s="173"/>
    </row>
    <row r="90" spans="1:10" x14ac:dyDescent="0.2">
      <c r="A90" s="105"/>
      <c r="B90" s="174"/>
      <c r="C90" s="177"/>
      <c r="D90" s="177"/>
      <c r="E90" s="105"/>
      <c r="G90" s="173"/>
    </row>
    <row r="91" spans="1:10" x14ac:dyDescent="0.2">
      <c r="A91" s="105"/>
      <c r="B91" s="174"/>
      <c r="C91" s="178"/>
      <c r="D91" s="178"/>
      <c r="E91" s="105"/>
      <c r="G91" s="173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31201E-7311-4F72-BDBE-90FE38DB6F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9E9084-DF8D-41FE-A4D1-132D603F4F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DD9E87DA-A13D-4A9A-B649-AFFA409060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Tres Leches de Caramelo</vt:lpstr>
      <vt:lpstr>Tres leches Caramelo 2</vt:lpstr>
      <vt:lpstr>Rosquete 3 leches </vt:lpstr>
      <vt:lpstr>Batido </vt:lpstr>
      <vt:lpstr>Base Premezcla </vt:lpstr>
      <vt:lpstr>Mezcla engrase moldes</vt:lpstr>
      <vt:lpstr>Costo Tres leches Caramelo</vt:lpstr>
      <vt:lpstr>Mezcla 3 Leches de Caramelo </vt:lpstr>
      <vt:lpstr>Mezcla 3 lehces Caramelo</vt:lpstr>
      <vt:lpstr>Mezcla 3 lech pasteur</vt:lpstr>
      <vt:lpstr>Crema Chantilly</vt:lpstr>
      <vt:lpstr>Mezcla Sirope dulce leche</vt:lpstr>
      <vt:lpstr>Costo Mezcla 3 leches caramelo</vt:lpstr>
      <vt:lpstr>'Mezcla 3 Leches de Caramelo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Ramirez</dc:creator>
  <cp:keywords/>
  <dc:description/>
  <cp:lastModifiedBy>Allan Brenes</cp:lastModifiedBy>
  <cp:revision/>
  <cp:lastPrinted>2025-10-23T15:19:50Z</cp:lastPrinted>
  <dcterms:created xsi:type="dcterms:W3CDTF">2023-12-19T21:30:11Z</dcterms:created>
  <dcterms:modified xsi:type="dcterms:W3CDTF">2025-10-23T15:21:48Z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
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0" documentId="8_{4A942CA0-9638-4B98-8820-7964AF12C89F}" xr6:coauthVersionLast="47" xr6:coauthVersionMax="47" xr10:uidLastSave="{00000000-0000-0000-0000-000000000000}"/>
  <bookViews>
    <workbookView xWindow="-120" yWindow="-120" windowWidth="29040" windowHeight="15840" xr2:uid="{DB727E5C-7261-4A15-B8A1-729D76EEA651}"/>
  </bookViews>
  <sheets>
    <sheet name="Ensable Industria" sheetId="1" r:id="rId1"/>
  </sheets>
  <definedNames>
    <definedName name="_xlnm.Print_Area" localSheetId="0">'Ensable Industria'!$A$1:$I$49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38" i="1" l="1"/>
</calcChain>
</file>

<file path=xl/sharedStrings.xml><?xml version="1.0" encoding="utf-8"?>
<sst xmlns="http://schemas.openxmlformats.org/spreadsheetml/2006/main" count="126" uniqueCount="92">
  <si>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</si>
  <si>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</si>
  <si>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</si>
  <si>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</si>
  <si>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</si>
  <si>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</si>
  <si>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</si>
  <si>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</si>
  <si>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</si>
  <si>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># Código Netsuite</t>
  </si>
  <si>
    <t>Descripción del ingrediente</t>
  </si>
  <si>
    <t xml:space="preserve">Marca </t>
  </si>
  <si>
    <t>ALERGENO</t>
  </si>
  <si>
    <t>OBSERVACIONES GENERALES</t>
  </si>
  <si>
    <t>Cantidad</t>
  </si>
  <si>
    <t xml:space="preserve">Unidad medida </t>
  </si>
  <si>
    <t>FAS</t>
  </si>
  <si>
    <t>g</t>
  </si>
  <si>
    <t>ud</t>
  </si>
  <si>
    <t>EM10011</t>
  </si>
  <si>
    <t>Unidad</t>
  </si>
  <si>
    <t xml:space="preserve">OTROS DATOS </t>
  </si>
  <si>
    <t>PESO TOTAL OBTENIDO</t>
  </si>
  <si>
    <t>TIEMPO TOTAL DE PREPARACION</t>
  </si>
  <si>
    <t>Minutos</t>
  </si>
  <si>
    <t>CANTIDAD DE PORCIONES OBTENIDAS</t>
  </si>
  <si>
    <t>PESO DE CADA PORCIÓN</t>
  </si>
  <si>
    <t>MERMA</t>
  </si>
  <si>
    <t>PROCEDIMIENTO DE PREPARACION DE LA  RECETA</t>
  </si>
  <si>
    <t>Unidad de Medida</t>
  </si>
  <si>
    <t># Revisión</t>
  </si>
  <si>
    <t>Detalle del Cambio</t>
  </si>
  <si>
    <t>Etiqueta Blanca 2 5/8X1 15/16</t>
  </si>
  <si>
    <t>SE00017</t>
  </si>
  <si>
    <t>Rosquete Chocolate Dawn 300g</t>
  </si>
  <si>
    <t xml:space="preserve">ENSAMBLE </t>
  </si>
  <si>
    <t>SE00254</t>
  </si>
  <si>
    <t>Leches Pasteurizada Con Agua</t>
  </si>
  <si>
    <t>30g x tapa</t>
  </si>
  <si>
    <t>RELLENO</t>
  </si>
  <si>
    <t>SE00001</t>
  </si>
  <si>
    <t>Ganache Chocolate Oscuro</t>
  </si>
  <si>
    <t>1/4 de taza</t>
  </si>
  <si>
    <t>SE00468</t>
  </si>
  <si>
    <t>Mousse Chocolate de Leche</t>
  </si>
  <si>
    <t>1/2 taza</t>
  </si>
  <si>
    <t>1/4 taza</t>
  </si>
  <si>
    <t xml:space="preserve">Rosquete Brownie Redondo 400 gramos </t>
  </si>
  <si>
    <t>Semi Sweet Chocolate Chips</t>
  </si>
  <si>
    <t>Hershey"s</t>
  </si>
  <si>
    <t xml:space="preserve">DECORACIÓN </t>
  </si>
  <si>
    <t>SE00069</t>
  </si>
  <si>
    <t>Crema Beidge</t>
  </si>
  <si>
    <t>EM10079</t>
  </si>
  <si>
    <t>CONTENEDOR TRIANGU ALTO (CAJA:200 UND)</t>
  </si>
  <si>
    <t>EM10124</t>
  </si>
  <si>
    <t>Etiqueta Blanca R-153</t>
  </si>
  <si>
    <t>Cemusa</t>
  </si>
  <si>
    <t>ETIPLAST</t>
  </si>
  <si>
    <t>EM10002</t>
  </si>
  <si>
    <t>ETIQ.BLANCA 1 1/4 * 3/4</t>
  </si>
  <si>
    <t>CEMUSA</t>
  </si>
  <si>
    <t>EM10135</t>
  </si>
  <si>
    <t>ETIQUETA SELLO SEGURIDAD (ROLLO:1000)</t>
  </si>
  <si>
    <t>Ud</t>
  </si>
  <si>
    <t>1 unidad</t>
  </si>
  <si>
    <t>Pelado y Empaque de Chocolate Kisses Hersheys</t>
  </si>
  <si>
    <t xml:space="preserve">1- Cortar y colocar por la mitad y humedecer con la mezcla de leche y agua, cada tapa de rosquete </t>
  </si>
  <si>
    <t>6ud, 1 x por porción</t>
  </si>
  <si>
    <t>MP10007</t>
  </si>
  <si>
    <t>Manjar Leche Condensada</t>
  </si>
  <si>
    <t>Hilos</t>
  </si>
  <si>
    <t>ETIQUETA PORCIÓN TORTA BROWNIE HERSHEY´S</t>
  </si>
  <si>
    <t xml:space="preserve">2-Colocar el Ganache sobre una mitad del rosquete, y exparcir uniformemente . Colocar la mousse de chocolate y volver a exparcir uniformemente. </t>
  </si>
  <si>
    <t>Figuras</t>
  </si>
  <si>
    <t>Esteban Cartin, Gerente de Manofactura</t>
  </si>
  <si>
    <t>Mariela Barrantes, Chef</t>
  </si>
  <si>
    <t>SE00668</t>
  </si>
  <si>
    <t>MP10674</t>
  </si>
  <si>
    <t>SE00669</t>
  </si>
  <si>
    <t>ESP-RE-FIS-027</t>
  </si>
  <si>
    <t xml:space="preserve">4. Guardar, tapar, etiquetar. </t>
  </si>
  <si>
    <t>Se actualizan datos de receta, procedimiento y merma.</t>
  </si>
  <si>
    <t>5g x unidad (Para pegar )</t>
  </si>
  <si>
    <t xml:space="preserve"> PTI00236 PORCIÓN TORTA HERSHEY´S</t>
  </si>
  <si>
    <t>EM10432</t>
  </si>
  <si>
    <t xml:space="preserve">1/4 de Rosquete </t>
  </si>
  <si>
    <t>1/2 rosquete</t>
  </si>
  <si>
    <t xml:space="preserve">3- Con ayuda de un disco, colocar 1/4 de rosquete de brownie y colocar los trozos, despues los Semi Sweet Chocolate Chips y se tapa con la otra mitad del rosquete. </t>
  </si>
  <si>
    <t xml:space="preserve">4-Encremar solamente la parte superior, colocar el ganache en forma de hilos, colocar los trozos de brownie y en los costados los Hershey"s Kisses. </t>
  </si>
  <si>
    <t>Se quitan taza de medir de rosquete de brownie y se actualiza procedimeinto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</si>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</sst>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indexed="8"/>
      <name val="Century Gothic"/>
      <family val="2"/>
    </font>
    <font>
      <b/>
      <i/>
      <sz val="12"/>
      <name val="Century Gothic"/>
      <family val="2"/>
    </font>
    <font>
      <sz val="11"/>
      <color rgb="FF0070C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1">
    <xf numFmtId="0" fontId="0" fillId="0" borderId="0"/>
    <xf numFmtId="0" fontId="1" fillId="0" borderId="0"/>
    <xf numFmtId="0" fontId="1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17" fillId="0" borderId="0"/>
    <xf numFmtId="0" fontId="17" fillId="0" borderId="0"/>
    <xf numFmtId="0" fontId="7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63">
    <xf numFmtId="0" fontId="0" fillId="0" borderId="0" xfId="0"/>
    <xf numFmtId="0" fontId="2" fillId="2" borderId="3" xfId="1" applyFont="1" applyFill="1" applyBorder="1" applyAlignment="1">
      <alignment horizontal="center"/>
    </xf>
    <xf numFmtId="49" fontId="2" fillId="2" borderId="6" xfId="1" applyNumberFormat="1" applyFont="1" applyFill="1" applyBorder="1" applyAlignment="1">
      <alignment horizontal="center"/>
    </xf>
    <xf numFmtId="14" fontId="6" fillId="2" borderId="0" xfId="2" applyNumberFormat="1" applyFont="1" applyFill="1" applyAlignment="1">
      <alignment horizontal="center" vertical="center" wrapText="1"/>
    </xf>
    <xf numFmtId="0" fontId="8" fillId="0" borderId="5" xfId="3" applyFont="1" applyBorder="1" applyAlignment="1">
      <alignment horizontal="center" vertical="center"/>
    </xf>
    <xf numFmtId="1" fontId="8" fillId="0" borderId="5" xfId="3" applyNumberFormat="1" applyFont="1" applyBorder="1" applyAlignment="1">
      <alignment horizontal="center"/>
    </xf>
    <xf numFmtId="1" fontId="8" fillId="0" borderId="5" xfId="3" applyNumberFormat="1" applyFont="1" applyBorder="1" applyAlignment="1">
      <alignment horizontal="center" wrapText="1"/>
    </xf>
    <xf numFmtId="0" fontId="9" fillId="0" borderId="5" xfId="3" applyFont="1" applyBorder="1" applyAlignment="1">
      <alignment horizontal="center"/>
    </xf>
    <xf numFmtId="1" fontId="9" fillId="0" borderId="5" xfId="3" applyNumberFormat="1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4" borderId="5" xfId="0" applyFill="1" applyBorder="1"/>
    <xf numFmtId="1" fontId="9" fillId="0" borderId="5" xfId="3" applyNumberFormat="1" applyFont="1" applyBorder="1" applyAlignment="1">
      <alignment horizontal="center"/>
    </xf>
    <xf numFmtId="49" fontId="10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4" fontId="2" fillId="2" borderId="0" xfId="3" applyNumberFormat="1" applyFont="1" applyFill="1" applyAlignment="1">
      <alignment horizontal="center" wrapText="1"/>
    </xf>
    <xf numFmtId="0" fontId="2" fillId="2" borderId="17" xfId="3" applyFont="1" applyFill="1" applyBorder="1" applyAlignment="1">
      <alignment horizontal="center"/>
    </xf>
    <xf numFmtId="0" fontId="7" fillId="0" borderId="0" xfId="3"/>
    <xf numFmtId="0" fontId="2" fillId="2" borderId="0" xfId="3" applyFont="1" applyFill="1" applyAlignment="1">
      <alignment horizontal="left" indent="1"/>
    </xf>
    <xf numFmtId="9" fontId="2" fillId="2" borderId="0" xfId="5" applyFont="1" applyFill="1"/>
    <xf numFmtId="0" fontId="5" fillId="2" borderId="0" xfId="2" applyFont="1" applyFill="1" applyAlignment="1">
      <alignment horizontal="right"/>
    </xf>
    <xf numFmtId="0" fontId="5" fillId="2" borderId="0" xfId="2" applyFont="1" applyFill="1"/>
    <xf numFmtId="0" fontId="6" fillId="2" borderId="0" xfId="2" applyFont="1" applyFill="1" applyAlignment="1">
      <alignment horizontal="center"/>
    </xf>
    <xf numFmtId="1" fontId="9" fillId="4" borderId="5" xfId="3" applyNumberFormat="1" applyFont="1" applyFill="1" applyBorder="1" applyAlignment="1">
      <alignment horizontal="center"/>
    </xf>
    <xf numFmtId="0" fontId="2" fillId="0" borderId="6" xfId="3" applyFont="1" applyBorder="1" applyAlignment="1">
      <alignment horizontal="center"/>
    </xf>
    <xf numFmtId="0" fontId="2" fillId="0" borderId="14" xfId="3" applyFont="1" applyBorder="1" applyAlignment="1">
      <alignment horizontal="center"/>
    </xf>
    <xf numFmtId="0" fontId="3" fillId="3" borderId="18" xfId="3" applyFont="1" applyFill="1" applyBorder="1" applyAlignment="1">
      <alignment horizontal="left"/>
    </xf>
    <xf numFmtId="0" fontId="3" fillId="3" borderId="19" xfId="3" applyFont="1" applyFill="1" applyBorder="1" applyAlignment="1">
      <alignment horizontal="left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right"/>
    </xf>
    <xf numFmtId="0" fontId="2" fillId="2" borderId="0" xfId="1" applyFont="1" applyFill="1" applyAlignment="1">
      <alignment horizontal="left"/>
    </xf>
    <xf numFmtId="0" fontId="3" fillId="2" borderId="0" xfId="1" applyFont="1" applyFill="1" applyAlignment="1">
      <alignment horizontal="right" vertical="top" wrapText="1"/>
    </xf>
    <xf numFmtId="14" fontId="2" fillId="2" borderId="0" xfId="1" applyNumberFormat="1" applyFont="1" applyFill="1" applyAlignment="1">
      <alignment horizontal="center" vertical="center" wrapText="1"/>
    </xf>
    <xf numFmtId="164" fontId="2" fillId="0" borderId="0" xfId="3" applyNumberFormat="1" applyFont="1" applyAlignment="1">
      <alignment horizontal="center"/>
    </xf>
    <xf numFmtId="0" fontId="3" fillId="2" borderId="13" xfId="1" applyFont="1" applyFill="1" applyBorder="1" applyAlignment="1">
      <alignment horizontal="right"/>
    </xf>
    <xf numFmtId="0" fontId="3" fillId="2" borderId="2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 vertical="top" wrapText="1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3" borderId="11" xfId="3" applyFont="1" applyFill="1" applyBorder="1" applyAlignment="1">
      <alignment horizontal="center"/>
    </xf>
    <xf numFmtId="0" fontId="2" fillId="3" borderId="2" xfId="3" applyFont="1" applyFill="1" applyBorder="1"/>
    <xf numFmtId="0" fontId="3" fillId="3" borderId="2" xfId="3" applyFont="1" applyFill="1" applyBorder="1" applyAlignment="1">
      <alignment horizontal="center"/>
    </xf>
    <xf numFmtId="1" fontId="3" fillId="3" borderId="3" xfId="3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2" fillId="0" borderId="0" xfId="3" applyFont="1" applyAlignment="1">
      <alignment horizontal="center"/>
    </xf>
    <xf numFmtId="0" fontId="3" fillId="3" borderId="20" xfId="3" applyFont="1" applyFill="1" applyBorder="1" applyAlignment="1">
      <alignment horizontal="left"/>
    </xf>
    <xf numFmtId="0" fontId="2" fillId="4" borderId="5" xfId="1" applyFont="1" applyFill="1" applyBorder="1" applyAlignment="1">
      <alignment horizontal="center"/>
    </xf>
    <xf numFmtId="0" fontId="3" fillId="4" borderId="5" xfId="1" applyFont="1" applyFill="1" applyBorder="1"/>
    <xf numFmtId="0" fontId="14" fillId="0" borderId="0" xfId="3" applyFont="1"/>
    <xf numFmtId="0" fontId="13" fillId="0" borderId="0" xfId="0" applyFont="1"/>
    <xf numFmtId="12" fontId="12" fillId="0" borderId="33" xfId="3" applyNumberFormat="1" applyFont="1" applyBorder="1" applyAlignment="1">
      <alignment horizontal="left"/>
    </xf>
    <xf numFmtId="12" fontId="12" fillId="0" borderId="8" xfId="3" applyNumberFormat="1" applyFont="1" applyBorder="1" applyAlignment="1">
      <alignment horizontal="left"/>
    </xf>
    <xf numFmtId="12" fontId="12" fillId="0" borderId="16" xfId="3" applyNumberFormat="1" applyFont="1" applyBorder="1" applyAlignment="1">
      <alignment horizontal="left"/>
    </xf>
    <xf numFmtId="0" fontId="0" fillId="0" borderId="5" xfId="0" applyBorder="1"/>
    <xf numFmtId="1" fontId="0" fillId="0" borderId="0" xfId="0" applyNumberFormat="1"/>
    <xf numFmtId="0" fontId="3" fillId="4" borderId="38" xfId="3" applyFont="1" applyFill="1" applyBorder="1" applyAlignment="1">
      <alignment horizontal="center" vertical="center" wrapText="1"/>
    </xf>
    <xf numFmtId="0" fontId="3" fillId="4" borderId="34" xfId="3" applyFont="1" applyFill="1" applyBorder="1" applyAlignment="1">
      <alignment horizontal="center" vertical="center"/>
    </xf>
    <xf numFmtId="0" fontId="3" fillId="4" borderId="35" xfId="3" applyFont="1" applyFill="1" applyBorder="1" applyAlignment="1">
      <alignment horizontal="center" vertical="center"/>
    </xf>
    <xf numFmtId="0" fontId="3" fillId="4" borderId="34" xfId="3" applyFont="1" applyFill="1" applyBorder="1" applyAlignment="1">
      <alignment horizontal="center" vertical="center" wrapText="1"/>
    </xf>
    <xf numFmtId="0" fontId="3" fillId="4" borderId="21" xfId="3" applyFont="1" applyFill="1" applyBorder="1" applyAlignment="1">
      <alignment horizontal="center" vertical="center"/>
    </xf>
    <xf numFmtId="0" fontId="3" fillId="4" borderId="7" xfId="3" applyFont="1" applyFill="1" applyBorder="1" applyAlignment="1">
      <alignment horizontal="center" vertical="center"/>
    </xf>
    <xf numFmtId="0" fontId="3" fillId="4" borderId="22" xfId="3" applyFont="1" applyFill="1" applyBorder="1" applyAlignment="1">
      <alignment horizontal="center" vertical="center"/>
    </xf>
    <xf numFmtId="0" fontId="3" fillId="4" borderId="34" xfId="3" applyFont="1" applyFill="1" applyBorder="1" applyAlignment="1">
      <alignment horizontal="left" vertical="center"/>
    </xf>
    <xf numFmtId="0" fontId="13" fillId="0" borderId="5" xfId="0" applyFont="1" applyBorder="1"/>
    <xf numFmtId="0" fontId="7" fillId="4" borderId="5" xfId="3" applyFill="1" applyBorder="1" applyAlignment="1">
      <alignment horizontal="left" vertical="center"/>
    </xf>
    <xf numFmtId="0" fontId="7" fillId="4" borderId="5" xfId="3" applyFill="1" applyBorder="1" applyAlignment="1">
      <alignment horizontal="center" vertical="center"/>
    </xf>
    <xf numFmtId="0" fontId="0" fillId="4" borderId="5" xfId="0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7" fillId="4" borderId="5" xfId="3" applyFill="1" applyBorder="1" applyAlignment="1">
      <alignment vertical="center" wrapText="1"/>
    </xf>
    <xf numFmtId="49" fontId="2" fillId="4" borderId="5" xfId="3" applyNumberFormat="1" applyFont="1" applyFill="1" applyBorder="1" applyAlignment="1">
      <alignment horizontal="center"/>
    </xf>
    <xf numFmtId="49" fontId="2" fillId="4" borderId="9" xfId="3" applyNumberFormat="1" applyFont="1" applyFill="1" applyBorder="1" applyAlignment="1">
      <alignment horizontal="left"/>
    </xf>
    <xf numFmtId="0" fontId="2" fillId="4" borderId="5" xfId="3" applyFont="1" applyFill="1" applyBorder="1" applyAlignment="1">
      <alignment horizontal="center"/>
    </xf>
    <xf numFmtId="1" fontId="2" fillId="4" borderId="5" xfId="3" applyNumberFormat="1" applyFont="1" applyFill="1" applyBorder="1" applyAlignment="1">
      <alignment horizontal="center"/>
    </xf>
    <xf numFmtId="1" fontId="2" fillId="0" borderId="5" xfId="3" applyNumberFormat="1" applyFont="1" applyBorder="1" applyAlignment="1">
      <alignment horizontal="center" wrapText="1"/>
    </xf>
    <xf numFmtId="0" fontId="7" fillId="4" borderId="5" xfId="4" applyFill="1" applyBorder="1" applyAlignment="1">
      <alignment horizontal="center"/>
    </xf>
    <xf numFmtId="0" fontId="7" fillId="4" borderId="0" xfId="4" applyFill="1" applyAlignment="1">
      <alignment horizontal="left"/>
    </xf>
    <xf numFmtId="0" fontId="7" fillId="4" borderId="5" xfId="6" applyFont="1" applyFill="1" applyBorder="1" applyAlignment="1">
      <alignment horizontal="center"/>
    </xf>
    <xf numFmtId="0" fontId="7" fillId="4" borderId="0" xfId="4" applyFill="1" applyAlignment="1">
      <alignment horizontal="center"/>
    </xf>
    <xf numFmtId="0" fontId="7" fillId="4" borderId="5" xfId="4" applyFill="1" applyBorder="1" applyAlignment="1">
      <alignment horizontal="left"/>
    </xf>
    <xf numFmtId="0" fontId="16" fillId="4" borderId="9" xfId="4" applyFont="1" applyFill="1" applyBorder="1" applyAlignment="1">
      <alignment horizontal="center" vertical="center"/>
    </xf>
    <xf numFmtId="0" fontId="16" fillId="4" borderId="5" xfId="4" applyFont="1" applyFill="1" applyBorder="1" applyAlignment="1">
      <alignment horizontal="left" vertical="center"/>
    </xf>
    <xf numFmtId="0" fontId="2" fillId="4" borderId="5" xfId="4" applyFont="1" applyFill="1" applyBorder="1" applyAlignment="1">
      <alignment horizontal="center"/>
    </xf>
    <xf numFmtId="1" fontId="2" fillId="4" borderId="5" xfId="4" applyNumberFormat="1" applyFont="1" applyFill="1" applyBorder="1" applyAlignment="1">
      <alignment horizontal="center"/>
    </xf>
    <xf numFmtId="1" fontId="2" fillId="0" borderId="5" xfId="4" applyNumberFormat="1" applyFont="1" applyBorder="1" applyAlignment="1">
      <alignment horizontal="center" wrapText="1"/>
    </xf>
    <xf numFmtId="0" fontId="2" fillId="4" borderId="23" xfId="3" applyFont="1" applyFill="1" applyBorder="1" applyAlignment="1">
      <alignment horizontal="center"/>
    </xf>
    <xf numFmtId="0" fontId="2" fillId="4" borderId="13" xfId="3" applyFont="1" applyFill="1" applyBorder="1"/>
    <xf numFmtId="0" fontId="2" fillId="4" borderId="13" xfId="3" applyFont="1" applyFill="1" applyBorder="1" applyAlignment="1">
      <alignment horizontal="center"/>
    </xf>
    <xf numFmtId="1" fontId="2" fillId="4" borderId="13" xfId="3" applyNumberFormat="1" applyFont="1" applyFill="1" applyBorder="1" applyAlignment="1">
      <alignment horizontal="center"/>
    </xf>
    <xf numFmtId="1" fontId="2" fillId="0" borderId="13" xfId="3" applyNumberFormat="1" applyFont="1" applyBorder="1" applyAlignment="1">
      <alignment horizontal="center" wrapText="1"/>
    </xf>
    <xf numFmtId="1" fontId="3" fillId="0" borderId="13" xfId="0" applyNumberFormat="1" applyFont="1" applyBorder="1" applyAlignment="1">
      <alignment horizontal="right"/>
    </xf>
    <xf numFmtId="0" fontId="0" fillId="0" borderId="5" xfId="0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6" fillId="0" borderId="5" xfId="0" applyFont="1" applyBorder="1" applyAlignment="1">
      <alignment horizontal="left"/>
    </xf>
    <xf numFmtId="14" fontId="3" fillId="2" borderId="6" xfId="1" applyNumberFormat="1" applyFont="1" applyFill="1" applyBorder="1" applyAlignment="1">
      <alignment horizontal="center" vertical="center" wrapText="1"/>
    </xf>
    <xf numFmtId="12" fontId="12" fillId="0" borderId="33" xfId="3" applyNumberFormat="1" applyFont="1" applyBorder="1" applyAlignment="1">
      <alignment horizontal="left"/>
    </xf>
    <xf numFmtId="12" fontId="12" fillId="0" borderId="8" xfId="3" applyNumberFormat="1" applyFont="1" applyBorder="1" applyAlignment="1">
      <alignment horizontal="left"/>
    </xf>
    <xf numFmtId="12" fontId="12" fillId="0" borderId="16" xfId="3" applyNumberFormat="1" applyFont="1" applyBorder="1" applyAlignment="1">
      <alignment horizontal="left"/>
    </xf>
    <xf numFmtId="0" fontId="2" fillId="2" borderId="13" xfId="1" applyFont="1" applyFill="1" applyBorder="1" applyAlignment="1">
      <alignment horizontal="center"/>
    </xf>
    <xf numFmtId="0" fontId="3" fillId="2" borderId="13" xfId="1" applyFont="1" applyFill="1" applyBorder="1" applyAlignment="1">
      <alignment horizontal="center"/>
    </xf>
    <xf numFmtId="0" fontId="2" fillId="2" borderId="14" xfId="1" applyFont="1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6" fillId="2" borderId="10" xfId="2" applyFont="1" applyFill="1" applyBorder="1" applyAlignment="1">
      <alignment horizontal="center"/>
    </xf>
    <xf numFmtId="0" fontId="5" fillId="2" borderId="0" xfId="2" applyFont="1" applyFill="1" applyAlignment="1">
      <alignment horizontal="center"/>
    </xf>
    <xf numFmtId="0" fontId="3" fillId="3" borderId="2" xfId="3" applyFont="1" applyFill="1" applyBorder="1" applyAlignment="1">
      <alignment horizontal="center" vertical="center" wrapText="1"/>
    </xf>
    <xf numFmtId="0" fontId="3" fillId="3" borderId="13" xfId="3" applyFont="1" applyFill="1" applyBorder="1" applyAlignment="1">
      <alignment horizontal="center" vertical="center" wrapText="1"/>
    </xf>
    <xf numFmtId="1" fontId="12" fillId="0" borderId="33" xfId="3" applyNumberFormat="1" applyFont="1" applyBorder="1" applyAlignment="1">
      <alignment horizontal="left"/>
    </xf>
    <xf numFmtId="1" fontId="12" fillId="0" borderId="8" xfId="3" applyNumberFormat="1" applyFont="1" applyBorder="1" applyAlignment="1">
      <alignment horizontal="left"/>
    </xf>
    <xf numFmtId="1" fontId="12" fillId="0" borderId="16" xfId="3" applyNumberFormat="1" applyFont="1" applyBorder="1" applyAlignment="1">
      <alignment horizontal="left"/>
    </xf>
    <xf numFmtId="0" fontId="2" fillId="4" borderId="33" xfId="1" applyFont="1" applyFill="1" applyBorder="1" applyAlignment="1">
      <alignment horizontal="left"/>
    </xf>
    <xf numFmtId="0" fontId="2" fillId="4" borderId="8" xfId="1" applyFont="1" applyFill="1" applyBorder="1" applyAlignment="1">
      <alignment horizontal="left"/>
    </xf>
    <xf numFmtId="0" fontId="2" fillId="4" borderId="9" xfId="1" applyFont="1" applyFill="1" applyBorder="1" applyAlignment="1">
      <alignment horizontal="left"/>
    </xf>
    <xf numFmtId="0" fontId="3" fillId="4" borderId="33" xfId="1" applyFont="1" applyFill="1" applyBorder="1" applyAlignment="1">
      <alignment horizontal="center"/>
    </xf>
    <xf numFmtId="0" fontId="3" fillId="4" borderId="8" xfId="1" applyFont="1" applyFill="1" applyBorder="1" applyAlignment="1">
      <alignment horizontal="center"/>
    </xf>
    <xf numFmtId="0" fontId="3" fillId="4" borderId="9" xfId="1" applyFont="1" applyFill="1" applyBorder="1" applyAlignment="1">
      <alignment horizontal="center"/>
    </xf>
    <xf numFmtId="0" fontId="3" fillId="0" borderId="1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2" fillId="0" borderId="11" xfId="0" applyFont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5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18" fillId="0" borderId="33" xfId="0" applyFont="1" applyBorder="1" applyAlignment="1">
      <alignment wrapText="1"/>
    </xf>
    <xf numFmtId="0" fontId="18" fillId="0" borderId="8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2" fillId="0" borderId="33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2" borderId="11" xfId="1" applyFont="1" applyFill="1" applyBorder="1" applyAlignment="1">
      <alignment horizontal="center"/>
    </xf>
    <xf numFmtId="0" fontId="2" fillId="2" borderId="15" xfId="1" applyFont="1" applyFill="1" applyBorder="1" applyAlignment="1">
      <alignment horizontal="center"/>
    </xf>
    <xf numFmtId="0" fontId="2" fillId="2" borderId="12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 wrapText="1"/>
    </xf>
    <xf numFmtId="164" fontId="3" fillId="3" borderId="18" xfId="3" applyNumberFormat="1" applyFont="1" applyFill="1" applyBorder="1" applyAlignment="1">
      <alignment horizontal="center" wrapText="1"/>
    </xf>
    <xf numFmtId="164" fontId="3" fillId="3" borderId="19" xfId="3" applyNumberFormat="1" applyFont="1" applyFill="1" applyBorder="1" applyAlignment="1">
      <alignment horizontal="center" wrapText="1"/>
    </xf>
    <xf numFmtId="164" fontId="3" fillId="3" borderId="20" xfId="3" applyNumberFormat="1" applyFont="1" applyFill="1" applyBorder="1" applyAlignment="1">
      <alignment horizontal="center" wrapText="1"/>
    </xf>
    <xf numFmtId="0" fontId="3" fillId="3" borderId="11" xfId="3" applyFont="1" applyFill="1" applyBorder="1" applyAlignment="1">
      <alignment horizontal="center" vertical="center" wrapText="1"/>
    </xf>
    <xf numFmtId="0" fontId="3" fillId="3" borderId="12" xfId="3" applyFont="1" applyFill="1" applyBorder="1" applyAlignment="1">
      <alignment horizontal="center" vertical="center" wrapText="1"/>
    </xf>
    <xf numFmtId="0" fontId="3" fillId="3" borderId="2" xfId="3" applyFont="1" applyFill="1" applyBorder="1" applyAlignment="1">
      <alignment horizontal="center" vertical="center"/>
    </xf>
    <xf numFmtId="0" fontId="3" fillId="3" borderId="13" xfId="3" applyFont="1" applyFill="1" applyBorder="1" applyAlignment="1">
      <alignment horizontal="center" vertical="center"/>
    </xf>
    <xf numFmtId="0" fontId="3" fillId="5" borderId="24" xfId="3" applyFont="1" applyFill="1" applyBorder="1" applyAlignment="1">
      <alignment horizontal="center" vertical="center"/>
    </xf>
    <xf numFmtId="0" fontId="3" fillId="5" borderId="25" xfId="3" applyFont="1" applyFill="1" applyBorder="1" applyAlignment="1">
      <alignment horizontal="center" vertical="center"/>
    </xf>
    <xf numFmtId="0" fontId="3" fillId="3" borderId="28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3" borderId="26" xfId="3" applyFont="1" applyFill="1" applyBorder="1" applyAlignment="1">
      <alignment horizontal="center" vertical="center"/>
    </xf>
    <xf numFmtId="0" fontId="3" fillId="3" borderId="21" xfId="3" applyFont="1" applyFill="1" applyBorder="1" applyAlignment="1">
      <alignment horizontal="center" vertical="center"/>
    </xf>
    <xf numFmtId="0" fontId="3" fillId="3" borderId="7" xfId="3" applyFont="1" applyFill="1" applyBorder="1" applyAlignment="1">
      <alignment horizontal="center" vertical="center"/>
    </xf>
    <xf numFmtId="0" fontId="3" fillId="3" borderId="22" xfId="3" applyFont="1" applyFill="1" applyBorder="1" applyAlignment="1">
      <alignment horizontal="center" vertical="center"/>
    </xf>
    <xf numFmtId="164" fontId="2" fillId="0" borderId="29" xfId="3" applyNumberFormat="1" applyFont="1" applyBorder="1" applyAlignment="1">
      <alignment horizontal="center"/>
    </xf>
    <xf numFmtId="164" fontId="2" fillId="0" borderId="0" xfId="3" applyNumberFormat="1" applyFont="1" applyAlignment="1">
      <alignment horizontal="center"/>
    </xf>
    <xf numFmtId="164" fontId="2" fillId="0" borderId="30" xfId="3" applyNumberFormat="1" applyFont="1" applyBorder="1" applyAlignment="1">
      <alignment horizontal="center"/>
    </xf>
    <xf numFmtId="164" fontId="2" fillId="0" borderId="31" xfId="3" applyNumberFormat="1" applyFont="1" applyBorder="1" applyAlignment="1">
      <alignment horizontal="center"/>
    </xf>
    <xf numFmtId="164" fontId="2" fillId="0" borderId="27" xfId="3" applyNumberFormat="1" applyFont="1" applyBorder="1" applyAlignment="1">
      <alignment horizontal="center"/>
    </xf>
    <xf numFmtId="164" fontId="2" fillId="0" borderId="32" xfId="3" applyNumberFormat="1" applyFont="1" applyBorder="1" applyAlignment="1">
      <alignment horizontal="center"/>
    </xf>
  </cellXfs>
  <cellStyles count="71">
    <cellStyle name="Millares [0] 2" xfId="9" xr:uid="{B04F9404-D4D8-4566-8E6B-4A5D71042561}"/>
    <cellStyle name="Millares [0] 2 2" xfId="17" xr:uid="{C4C5F9BE-FA4D-4C2F-9DB3-9CD55B9533F8}"/>
    <cellStyle name="Millares [0] 2 2 2" xfId="32" xr:uid="{ADED7574-8E05-488E-9A12-0AE74A8172C7}"/>
    <cellStyle name="Millares [0] 2 2 2 2" xfId="60" xr:uid="{775CBEE7-B801-43B7-A5C7-93B2039FD284}"/>
    <cellStyle name="Millares [0] 2 2 3" xfId="45" xr:uid="{EA7B2389-24B9-497A-91C7-6608CAE23D27}"/>
    <cellStyle name="Millares [0] 2 3" xfId="22" xr:uid="{AC124BC2-957F-4AE9-BC7F-BDA3A82995C6}"/>
    <cellStyle name="Millares [0] 2 3 2" xfId="37" xr:uid="{E98707C9-AC76-4369-9B00-1525251FA238}"/>
    <cellStyle name="Millares [0] 2 3 2 2" xfId="65" xr:uid="{D7835983-88FF-47F6-8331-FD10EB2304A8}"/>
    <cellStyle name="Millares [0] 2 3 3" xfId="50" xr:uid="{82649B3C-F95E-4D3C-B858-ECA5ACE9EF58}"/>
    <cellStyle name="Millares [0] 2 4" xfId="27" xr:uid="{3E8EE51B-026B-4CE7-9976-F80BBD2F698A}"/>
    <cellStyle name="Millares [0] 2 4 2" xfId="55" xr:uid="{5A4241D6-6652-47EA-B790-72F9619E81C3}"/>
    <cellStyle name="Millares [0] 2 5" xfId="40" xr:uid="{5DEB9689-0167-41B3-8890-9AD15725A6D6}"/>
    <cellStyle name="Millares [0] 3" xfId="20" xr:uid="{F7C4E3DC-29A5-4326-AC47-2E2B25CF0582}"/>
    <cellStyle name="Millares [0] 3 2" xfId="35" xr:uid="{C6181CC2-37B8-4B16-B379-CF49A641B886}"/>
    <cellStyle name="Millares [0] 3 2 2" xfId="63" xr:uid="{E5E6F710-AABE-493F-A8B2-AA842B6185FE}"/>
    <cellStyle name="Millares [0] 3 2 3 2 3" xfId="15" xr:uid="{0CB86105-B50D-45A2-9C6D-4B34E77648A2}"/>
    <cellStyle name="Millares [0] 3 2 3 2 3 2" xfId="30" xr:uid="{C4555284-4442-44FF-8179-AA73B4E85104}"/>
    <cellStyle name="Millares [0] 3 2 3 2 3 2 2" xfId="58" xr:uid="{7EC193AE-D354-4FB2-AA28-204065316EC7}"/>
    <cellStyle name="Millares [0] 3 2 3 2 3 3" xfId="43" xr:uid="{C26674A4-3AD2-48D7-BD4A-9098715AFF99}"/>
    <cellStyle name="Millares [0] 3 3" xfId="48" xr:uid="{A4E6D636-2835-4E62-A4B3-6B2A824C17CC}"/>
    <cellStyle name="Millares [0] 4" xfId="54" xr:uid="{87368D4C-6603-497D-B816-8BB9341031B2}"/>
    <cellStyle name="Millares [0] 5" xfId="26" xr:uid="{8B09D3FF-DFFB-433C-96A4-09946F4FD72C}"/>
    <cellStyle name="Millares 10" xfId="70" xr:uid="{0C090CEE-C5E8-4BDA-AE79-B68F66E6A3F0}"/>
    <cellStyle name="Millares 2" xfId="10" xr:uid="{2DA3F878-CF9C-4293-9F96-41E37A3BFB3B}"/>
    <cellStyle name="Millares 2 2" xfId="16" xr:uid="{07E726AC-7B03-4AB0-8B4B-E296C8C0B0B4}"/>
    <cellStyle name="Millares 2 2 2" xfId="31" xr:uid="{20C70D44-0267-4C97-BB40-F6AC2B897C4B}"/>
    <cellStyle name="Millares 2 2 2 2" xfId="59" xr:uid="{AEB5B245-86BC-4012-A01A-4DD5D79D33FF}"/>
    <cellStyle name="Millares 2 2 3" xfId="44" xr:uid="{B4B6EF60-3845-4954-A89D-E60C2EE86551}"/>
    <cellStyle name="Millares 2 3" xfId="21" xr:uid="{1C243199-AA3D-41DE-ABF8-0494C045DC99}"/>
    <cellStyle name="Millares 2 3 2" xfId="36" xr:uid="{8DDF44CA-52CE-42AD-9E2E-81AF07B5813A}"/>
    <cellStyle name="Millares 2 3 2 2" xfId="64" xr:uid="{328099CC-6F1D-45A3-9DF1-B943B4F338ED}"/>
    <cellStyle name="Millares 2 3 3" xfId="49" xr:uid="{2E7C9118-3459-4B39-ADF4-BA3D60BAE839}"/>
    <cellStyle name="Millares 2 4" xfId="28" xr:uid="{6D7522C1-F629-47D8-B6E2-D9EC26472A01}"/>
    <cellStyle name="Millares 2 4 2" xfId="56" xr:uid="{5EFB227B-7192-4D19-A1F4-C28BE2CCB504}"/>
    <cellStyle name="Millares 2 5" xfId="41" xr:uid="{0B9FDFAF-2449-48A7-A660-2267DADF74CF}"/>
    <cellStyle name="Millares 3" xfId="11" xr:uid="{6D651B65-E79E-44C6-A189-87134EA13D0D}"/>
    <cellStyle name="Millares 3 2" xfId="18" xr:uid="{D2399311-A45E-4263-90CE-F8ADA99704EF}"/>
    <cellStyle name="Millares 3 2 2" xfId="33" xr:uid="{8904A82D-88CA-48BF-B74C-2B462D8B1FA7}"/>
    <cellStyle name="Millares 3 2 2 2" xfId="61" xr:uid="{124226E6-0D6B-40B8-8AE6-5159B2E35E82}"/>
    <cellStyle name="Millares 3 2 3" xfId="46" xr:uid="{3EAFFD1C-C8C6-4EF1-A5B2-4DD4D250E1F5}"/>
    <cellStyle name="Millares 3 3" xfId="23" xr:uid="{0F054889-27E0-47E6-AB05-5708E715C244}"/>
    <cellStyle name="Millares 3 3 2" xfId="38" xr:uid="{4CD40A97-5FEC-4E0E-A378-10C98136FACF}"/>
    <cellStyle name="Millares 3 3 2 2" xfId="66" xr:uid="{30CC7C2E-EB90-4599-A093-D8CFAEA41121}"/>
    <cellStyle name="Millares 3 3 3" xfId="51" xr:uid="{190721B3-97DC-409C-AC83-6E20FC5558A0}"/>
    <cellStyle name="Millares 3 4" xfId="29" xr:uid="{CD27CE1E-F9BB-48A2-ADCA-A8EBA2384059}"/>
    <cellStyle name="Millares 3 4 2" xfId="57" xr:uid="{1806CC28-BE25-4A72-B2A4-9C0732D8E926}"/>
    <cellStyle name="Millares 3 5" xfId="42" xr:uid="{2719254C-E1E7-48C5-9F5B-F5A45EBCD5E2}"/>
    <cellStyle name="Millares 4" xfId="24" xr:uid="{D414A054-309C-45F8-AB82-9B2BABC13BDE}"/>
    <cellStyle name="Millares 4 2" xfId="39" xr:uid="{8030E96B-84A5-4E6E-A276-8D50ADE28C36}"/>
    <cellStyle name="Millares 4 2 2" xfId="67" xr:uid="{88F124E5-D8C0-4D07-AB60-50633464EEB1}"/>
    <cellStyle name="Millares 4 3" xfId="52" xr:uid="{814378BA-098B-46F8-9E6A-DCA222582C93}"/>
    <cellStyle name="Millares 5" xfId="19" xr:uid="{A920330E-9530-476B-96F7-627AABD8BB12}"/>
    <cellStyle name="Millares 5 2" xfId="34" xr:uid="{A8D1A81A-8B19-4AF1-8D58-2289CC763F46}"/>
    <cellStyle name="Millares 5 2 2" xfId="62" xr:uid="{F68E7148-4DE7-4585-986C-DD815926F83F}"/>
    <cellStyle name="Millares 5 3" xfId="47" xr:uid="{EFDEBC8F-8A89-4180-B424-19D56DF92CE4}"/>
    <cellStyle name="Millares 6" xfId="53" xr:uid="{C8AB2DDF-2893-4D0D-A960-531D2BB03A5F}"/>
    <cellStyle name="Millares 7" xfId="68" xr:uid="{D60543AD-9ABD-44B5-8423-28836EF9A78F}"/>
    <cellStyle name="Millares 8" xfId="25" xr:uid="{B1E122BF-84B8-4AF2-9BAC-E15B28BECAA6}"/>
    <cellStyle name="Millares 9" xfId="69" xr:uid="{5FF62F59-0C38-4743-A304-4F1A8836799D}"/>
    <cellStyle name="Normal" xfId="0" builtinId="0"/>
    <cellStyle name="Normal 2" xfId="3" xr:uid="{F0E50ADB-0AEC-4629-B918-110FA540EAD9}"/>
    <cellStyle name="Normal 2 2" xfId="12" xr:uid="{5E79C56B-2F99-4EC1-8EE4-42384A11AC38}"/>
    <cellStyle name="Normal 3" xfId="8" xr:uid="{1F25607E-6FFF-4275-B8DE-9D87071E4068}"/>
    <cellStyle name="Normal 3 2" xfId="4" xr:uid="{4F9DCEA8-106E-4C47-8641-B18BB36960E3}"/>
    <cellStyle name="Normal 5" xfId="6" xr:uid="{0A0BA6D9-6844-4A3D-93BC-FCA8D1AEFB56}"/>
    <cellStyle name="Normal 5 3" xfId="7" xr:uid="{9AE2DE6F-2A4D-489B-9AEF-DC60A927EC06}"/>
    <cellStyle name="Normal_CRITERIOS DE EVALUACION PT DE GB" xfId="1" xr:uid="{F1C3C13D-1FBD-4651-A6AF-24395CA9BBF4}"/>
    <cellStyle name="Normal_CRITERIOS DE EVALUACION PT DE GB 2" xfId="2" xr:uid="{50DD5210-3A81-4EF1-8AE2-BA67ACD57489}"/>
    <cellStyle name="Porcentaje 2" xfId="13" xr:uid="{074A4310-27A1-48F6-95C0-2898B7306B03}"/>
    <cellStyle name="Porcentaje 2 2" xfId="5" xr:uid="{7356EC4B-EC1A-4B43-9769-1C0998AFE9FA}"/>
    <cellStyle name="Porcentaje 3 2" xfId="14" xr:uid="{FA00AF4E-42BC-4FAA-A77C-62E7D27F9A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48714</xdr:colOff>
      <xdr:row>0</xdr:row>
      <xdr:rowOff>234589</xdr:rowOff>
    </xdr:from>
    <xdr:to>
      <xdr:col>0</xdr:col>
      <xdr:colOff>837046</xdr:colOff>
      <xdr:row>2</xdr:row>
      <xdr:rowOff>182880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217E1B-FBDE-4FE5-914D-EDE21943E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14" y="234589"/>
          <a:ext cx="788332" cy="4816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FF73E-F56F-42F5-A720-A86AA5D292E6}">
  <dimension ref="A1:M51"/>
  <sheetViews>
    <sheetView showGridLines="0" tabSelected="1" view="pageBreakPreview" zoomScale="80" zoomScaleNormal="100" zoomScaleSheetLayoutView="80" workbookViewId="0">
      <selection activeCell="J16" sqref="J16"/>
    </sheetView>
  </sheetViews>
  <sheetFormatPr baseColWidth="10" defaultColWidth="11.42578125" defaultRowHeight="15" x14ac:dyDescent="0.25"/>
  <cols>
    <col min="1" max="1" width="13.5703125" customWidth="1"/>
    <col min="2" max="2" width="42.5703125" customWidth="1"/>
    <col min="4" max="4" width="12.28515625" customWidth="1"/>
    <col min="5" max="5" width="11.85546875" customWidth="1"/>
    <col min="6" max="6" width="11.42578125" customWidth="1"/>
    <col min="7" max="7" width="12.28515625" customWidth="1"/>
    <col min="8" max="8" width="14.42578125" customWidth="1"/>
    <col min="9" max="9" width="18.28515625" customWidth="1"/>
  </cols>
  <sheetData>
    <row r="1" spans="1:12" ht="21" customHeight="1" x14ac:dyDescent="0.25">
      <c r="A1" s="136"/>
      <c r="B1" s="139" t="s">
        <v>0</v>
      </c>
      <c r="C1" s="139"/>
      <c r="D1" s="139"/>
      <c r="E1" s="139"/>
      <c r="F1" s="139"/>
      <c r="G1" s="139"/>
      <c r="H1" s="35" t="s">
        <v>1</v>
      </c>
      <c r="I1" s="1" t="s">
        <v>80</v>
      </c>
    </row>
    <row r="2" spans="1:12" ht="21" customHeight="1" x14ac:dyDescent="0.25">
      <c r="A2" s="137"/>
      <c r="B2" s="140" t="s">
        <v>2</v>
      </c>
      <c r="C2" s="140"/>
      <c r="D2" s="140"/>
      <c r="E2" s="140"/>
      <c r="F2" s="140"/>
      <c r="G2" s="140"/>
      <c r="H2" s="36" t="s">
        <v>3</v>
      </c>
      <c r="I2" s="2" t="s">
        <v>91</v>
      </c>
    </row>
    <row r="3" spans="1:12" ht="29.45" customHeight="1" x14ac:dyDescent="0.25">
      <c r="A3" s="137"/>
      <c r="B3" s="141" t="s">
        <v>84</v>
      </c>
      <c r="C3" s="141"/>
      <c r="D3" s="141"/>
      <c r="E3" s="141"/>
      <c r="F3" s="141"/>
      <c r="G3" s="141"/>
      <c r="H3" s="37" t="s">
        <v>4</v>
      </c>
      <c r="I3" s="94">
        <v>45663</v>
      </c>
    </row>
    <row r="4" spans="1:12" ht="18" customHeight="1" thickBot="1" x14ac:dyDescent="0.3">
      <c r="A4" s="138"/>
      <c r="B4" s="34" t="s">
        <v>5</v>
      </c>
      <c r="C4" s="98" t="s">
        <v>76</v>
      </c>
      <c r="D4" s="98"/>
      <c r="E4" s="99" t="s">
        <v>6</v>
      </c>
      <c r="F4" s="99"/>
      <c r="G4" s="98" t="s">
        <v>75</v>
      </c>
      <c r="H4" s="98"/>
      <c r="I4" s="100"/>
    </row>
    <row r="5" spans="1:12" x14ac:dyDescent="0.25">
      <c r="A5" s="28"/>
      <c r="B5" s="29"/>
      <c r="C5" s="30"/>
      <c r="D5" s="30"/>
      <c r="E5" s="30"/>
      <c r="F5" s="30"/>
      <c r="G5" s="30"/>
      <c r="H5" s="31"/>
      <c r="I5" s="32"/>
    </row>
    <row r="6" spans="1:12" ht="18.75" thickBot="1" x14ac:dyDescent="0.3">
      <c r="A6" s="104" t="s">
        <v>7</v>
      </c>
      <c r="B6" s="104"/>
      <c r="C6" s="103" t="s">
        <v>74</v>
      </c>
      <c r="D6" s="103"/>
      <c r="E6" s="104" t="s">
        <v>8</v>
      </c>
      <c r="F6" s="104"/>
      <c r="G6" s="104"/>
      <c r="H6" s="101" t="s">
        <v>74</v>
      </c>
      <c r="I6" s="102"/>
    </row>
    <row r="7" spans="1:12" ht="18.75" thickBot="1" x14ac:dyDescent="0.3">
      <c r="A7" s="20"/>
      <c r="B7" s="20"/>
      <c r="C7" s="22"/>
      <c r="D7" s="22"/>
      <c r="E7" s="22"/>
      <c r="F7" s="22"/>
      <c r="G7" s="21"/>
      <c r="H7" s="21"/>
      <c r="I7" s="3"/>
    </row>
    <row r="8" spans="1:12" x14ac:dyDescent="0.25">
      <c r="A8" s="145" t="s">
        <v>9</v>
      </c>
      <c r="B8" s="147" t="s">
        <v>10</v>
      </c>
      <c r="C8" s="147" t="s">
        <v>11</v>
      </c>
      <c r="D8" s="149" t="s">
        <v>12</v>
      </c>
      <c r="E8" s="147" t="s">
        <v>14</v>
      </c>
      <c r="F8" s="105" t="s">
        <v>29</v>
      </c>
      <c r="G8" s="151" t="s">
        <v>13</v>
      </c>
      <c r="H8" s="152"/>
      <c r="I8" s="153"/>
    </row>
    <row r="9" spans="1:12" ht="15.75" thickBot="1" x14ac:dyDescent="0.3">
      <c r="A9" s="146"/>
      <c r="B9" s="148"/>
      <c r="C9" s="148"/>
      <c r="D9" s="150"/>
      <c r="E9" s="148"/>
      <c r="F9" s="106" t="s">
        <v>15</v>
      </c>
      <c r="G9" s="154"/>
      <c r="H9" s="155"/>
      <c r="I9" s="156"/>
    </row>
    <row r="10" spans="1:12" x14ac:dyDescent="0.25">
      <c r="A10" s="56"/>
      <c r="B10" s="63" t="s">
        <v>35</v>
      </c>
      <c r="C10" s="57"/>
      <c r="D10" s="58"/>
      <c r="E10" s="57"/>
      <c r="F10" s="59"/>
      <c r="G10" s="60"/>
      <c r="H10" s="61"/>
      <c r="I10" s="62"/>
    </row>
    <row r="11" spans="1:12" x14ac:dyDescent="0.25">
      <c r="A11" s="54" t="s">
        <v>33</v>
      </c>
      <c r="B11" s="54" t="s">
        <v>34</v>
      </c>
      <c r="C11" s="4" t="s">
        <v>16</v>
      </c>
      <c r="D11" s="4"/>
      <c r="E11" s="5">
        <v>265</v>
      </c>
      <c r="F11" s="6" t="s">
        <v>17</v>
      </c>
      <c r="G11" s="107" t="s">
        <v>65</v>
      </c>
      <c r="H11" s="108"/>
      <c r="I11" s="109"/>
    </row>
    <row r="12" spans="1:12" x14ac:dyDescent="0.25">
      <c r="A12" s="54" t="s">
        <v>36</v>
      </c>
      <c r="B12" s="54" t="s">
        <v>37</v>
      </c>
      <c r="C12" s="7" t="s">
        <v>16</v>
      </c>
      <c r="D12" s="7"/>
      <c r="E12" s="23">
        <v>60</v>
      </c>
      <c r="F12" s="8" t="s">
        <v>17</v>
      </c>
      <c r="G12" s="95" t="s">
        <v>38</v>
      </c>
      <c r="H12" s="96"/>
      <c r="I12" s="97"/>
      <c r="K12" s="55"/>
    </row>
    <row r="13" spans="1:12" x14ac:dyDescent="0.25">
      <c r="A13" s="54"/>
      <c r="B13" s="54"/>
      <c r="C13" s="7"/>
      <c r="D13" s="7"/>
      <c r="E13" s="11"/>
      <c r="F13" s="8"/>
      <c r="G13" s="95"/>
      <c r="H13" s="96"/>
      <c r="I13" s="97"/>
    </row>
    <row r="14" spans="1:12" x14ac:dyDescent="0.25">
      <c r="A14" s="54"/>
      <c r="B14" s="64" t="s">
        <v>39</v>
      </c>
      <c r="C14" s="7"/>
      <c r="D14" s="7"/>
      <c r="E14" s="11"/>
      <c r="F14" s="8"/>
      <c r="G14" s="51"/>
      <c r="H14" s="52"/>
      <c r="I14" s="53"/>
      <c r="L14" s="55"/>
    </row>
    <row r="15" spans="1:12" x14ac:dyDescent="0.25">
      <c r="A15" s="54" t="s">
        <v>40</v>
      </c>
      <c r="B15" s="54" t="s">
        <v>41</v>
      </c>
      <c r="C15" s="7" t="s">
        <v>16</v>
      </c>
      <c r="D15" s="7"/>
      <c r="E15" s="11">
        <v>60</v>
      </c>
      <c r="F15" s="8" t="s">
        <v>17</v>
      </c>
      <c r="G15" s="51" t="s">
        <v>46</v>
      </c>
      <c r="H15" s="52"/>
      <c r="I15" s="53"/>
    </row>
    <row r="16" spans="1:12" x14ac:dyDescent="0.25">
      <c r="A16" s="54" t="s">
        <v>43</v>
      </c>
      <c r="B16" s="54" t="s">
        <v>44</v>
      </c>
      <c r="C16" s="7" t="s">
        <v>16</v>
      </c>
      <c r="D16" s="7"/>
      <c r="E16" s="11">
        <v>80</v>
      </c>
      <c r="F16" s="8" t="s">
        <v>17</v>
      </c>
      <c r="G16" s="51" t="s">
        <v>45</v>
      </c>
      <c r="H16" s="52"/>
      <c r="I16" s="53"/>
    </row>
    <row r="17" spans="1:9" x14ac:dyDescent="0.25">
      <c r="A17" s="91" t="s">
        <v>77</v>
      </c>
      <c r="B17" s="54" t="s">
        <v>47</v>
      </c>
      <c r="C17" s="7" t="s">
        <v>16</v>
      </c>
      <c r="D17" s="7"/>
      <c r="E17" s="11">
        <v>80</v>
      </c>
      <c r="F17" s="8" t="s">
        <v>17</v>
      </c>
      <c r="G17" s="51" t="s">
        <v>86</v>
      </c>
      <c r="H17" s="52"/>
      <c r="I17" s="53"/>
    </row>
    <row r="18" spans="1:9" x14ac:dyDescent="0.25">
      <c r="A18" s="92" t="s">
        <v>78</v>
      </c>
      <c r="B18" s="65" t="s">
        <v>48</v>
      </c>
      <c r="C18" s="66" t="s">
        <v>49</v>
      </c>
      <c r="D18" s="66"/>
      <c r="E18" s="11">
        <v>40</v>
      </c>
      <c r="F18" s="8" t="s">
        <v>17</v>
      </c>
      <c r="G18" s="51" t="s">
        <v>42</v>
      </c>
      <c r="H18" s="52"/>
      <c r="I18" s="53"/>
    </row>
    <row r="19" spans="1:9" x14ac:dyDescent="0.25">
      <c r="A19" s="54"/>
      <c r="B19" s="54"/>
      <c r="C19" s="7"/>
      <c r="D19" s="7"/>
      <c r="E19" s="11"/>
      <c r="F19" s="8"/>
      <c r="G19" s="51"/>
      <c r="H19" s="52"/>
      <c r="I19" s="53"/>
    </row>
    <row r="20" spans="1:9" x14ac:dyDescent="0.25">
      <c r="A20" s="54"/>
      <c r="B20" s="64" t="s">
        <v>50</v>
      </c>
      <c r="C20" s="7"/>
      <c r="D20" s="7"/>
      <c r="E20" s="11"/>
      <c r="F20" s="8"/>
      <c r="G20" s="51"/>
      <c r="H20" s="52"/>
      <c r="I20" s="53"/>
    </row>
    <row r="21" spans="1:9" x14ac:dyDescent="0.25">
      <c r="A21" s="67" t="s">
        <v>51</v>
      </c>
      <c r="B21" s="67" t="s">
        <v>52</v>
      </c>
      <c r="C21" s="68" t="s">
        <v>16</v>
      </c>
      <c r="D21" s="7"/>
      <c r="E21" s="11">
        <v>60</v>
      </c>
      <c r="F21" s="8" t="s">
        <v>17</v>
      </c>
      <c r="G21" s="51"/>
      <c r="H21" s="52"/>
      <c r="I21" s="53"/>
    </row>
    <row r="22" spans="1:9" x14ac:dyDescent="0.25">
      <c r="A22" s="91" t="s">
        <v>77</v>
      </c>
      <c r="B22" s="54" t="s">
        <v>47</v>
      </c>
      <c r="C22" s="7" t="s">
        <v>16</v>
      </c>
      <c r="D22" s="7"/>
      <c r="E22" s="11">
        <v>160</v>
      </c>
      <c r="F22" s="8" t="s">
        <v>17</v>
      </c>
      <c r="G22" s="51" t="s">
        <v>87</v>
      </c>
      <c r="H22" s="52"/>
      <c r="I22" s="53"/>
    </row>
    <row r="23" spans="1:9" x14ac:dyDescent="0.25">
      <c r="A23" s="54" t="s">
        <v>40</v>
      </c>
      <c r="B23" s="54" t="s">
        <v>41</v>
      </c>
      <c r="C23" s="7" t="s">
        <v>16</v>
      </c>
      <c r="D23" s="7"/>
      <c r="E23" s="11">
        <v>30</v>
      </c>
      <c r="F23" s="8" t="s">
        <v>17</v>
      </c>
      <c r="G23" s="51" t="s">
        <v>71</v>
      </c>
      <c r="H23" s="52"/>
      <c r="I23" s="53"/>
    </row>
    <row r="24" spans="1:9" ht="25.5" x14ac:dyDescent="0.25">
      <c r="A24" s="93" t="s">
        <v>79</v>
      </c>
      <c r="B24" s="69" t="s">
        <v>66</v>
      </c>
      <c r="C24" s="66" t="s">
        <v>16</v>
      </c>
      <c r="D24" s="7"/>
      <c r="E24" s="11">
        <v>30</v>
      </c>
      <c r="F24" s="8" t="s">
        <v>17</v>
      </c>
      <c r="G24" s="51" t="s">
        <v>68</v>
      </c>
      <c r="H24" s="52"/>
      <c r="I24" s="53"/>
    </row>
    <row r="25" spans="1:9" x14ac:dyDescent="0.25">
      <c r="A25" s="54" t="s">
        <v>69</v>
      </c>
      <c r="B25" s="54" t="s">
        <v>70</v>
      </c>
      <c r="C25" s="7" t="s">
        <v>16</v>
      </c>
      <c r="D25" s="7"/>
      <c r="E25" s="11">
        <v>30</v>
      </c>
      <c r="F25" s="8" t="s">
        <v>17</v>
      </c>
      <c r="G25" s="95" t="s">
        <v>83</v>
      </c>
      <c r="H25" s="96"/>
      <c r="I25" s="97"/>
    </row>
    <row r="26" spans="1:9" x14ac:dyDescent="0.25">
      <c r="A26" s="54"/>
      <c r="B26" s="54"/>
      <c r="C26" s="7"/>
      <c r="D26" s="7"/>
      <c r="E26" s="11"/>
      <c r="F26" s="8"/>
      <c r="G26" s="51"/>
      <c r="H26" s="52"/>
      <c r="I26" s="53"/>
    </row>
    <row r="27" spans="1:9" x14ac:dyDescent="0.25">
      <c r="A27" s="70" t="s">
        <v>53</v>
      </c>
      <c r="B27" s="71" t="s">
        <v>54</v>
      </c>
      <c r="C27" s="72"/>
      <c r="D27" s="73">
        <v>6</v>
      </c>
      <c r="E27" s="74" t="s">
        <v>18</v>
      </c>
      <c r="F27" s="8"/>
      <c r="G27" s="51"/>
      <c r="H27" s="52"/>
      <c r="I27" s="53"/>
    </row>
    <row r="28" spans="1:9" x14ac:dyDescent="0.25">
      <c r="A28" s="75" t="s">
        <v>55</v>
      </c>
      <c r="B28" s="76" t="s">
        <v>56</v>
      </c>
      <c r="C28" s="77" t="s">
        <v>57</v>
      </c>
      <c r="D28" s="73">
        <v>6</v>
      </c>
      <c r="E28" s="74" t="s">
        <v>18</v>
      </c>
      <c r="F28" s="8"/>
      <c r="G28" s="51"/>
      <c r="H28" s="52"/>
      <c r="I28" s="53"/>
    </row>
    <row r="29" spans="1:9" x14ac:dyDescent="0.25">
      <c r="A29" s="78" t="s">
        <v>19</v>
      </c>
      <c r="B29" s="79" t="s">
        <v>32</v>
      </c>
      <c r="C29" s="72" t="s">
        <v>58</v>
      </c>
      <c r="D29" s="73">
        <v>6</v>
      </c>
      <c r="E29" s="74" t="s">
        <v>18</v>
      </c>
      <c r="F29" s="8"/>
      <c r="G29" s="51"/>
      <c r="H29" s="52"/>
      <c r="I29" s="53"/>
    </row>
    <row r="30" spans="1:9" x14ac:dyDescent="0.25">
      <c r="A30" s="80" t="s">
        <v>59</v>
      </c>
      <c r="B30" s="81" t="s">
        <v>60</v>
      </c>
      <c r="C30" s="82" t="s">
        <v>61</v>
      </c>
      <c r="D30" s="83">
        <v>6</v>
      </c>
      <c r="E30" s="84" t="s">
        <v>18</v>
      </c>
      <c r="F30" s="8"/>
      <c r="G30" s="51"/>
      <c r="H30" s="52"/>
      <c r="I30" s="53"/>
    </row>
    <row r="31" spans="1:9" ht="15.75" thickBot="1" x14ac:dyDescent="0.3">
      <c r="A31" s="85" t="s">
        <v>62</v>
      </c>
      <c r="B31" s="86" t="s">
        <v>63</v>
      </c>
      <c r="C31" s="87" t="s">
        <v>58</v>
      </c>
      <c r="D31" s="88">
        <v>6</v>
      </c>
      <c r="E31" s="89" t="s">
        <v>64</v>
      </c>
      <c r="F31" s="8"/>
      <c r="G31" s="95"/>
      <c r="H31" s="96"/>
      <c r="I31" s="97"/>
    </row>
    <row r="32" spans="1:9" x14ac:dyDescent="0.25">
      <c r="A32" s="9" t="s">
        <v>85</v>
      </c>
      <c r="B32" s="10" t="s">
        <v>72</v>
      </c>
      <c r="C32" s="11"/>
      <c r="D32" s="11">
        <v>6</v>
      </c>
      <c r="E32" s="7" t="s">
        <v>18</v>
      </c>
      <c r="F32" s="8"/>
      <c r="G32" s="95"/>
      <c r="H32" s="96"/>
      <c r="I32" s="97"/>
    </row>
    <row r="33" spans="1:13" ht="15.75" thickBot="1" x14ac:dyDescent="0.3">
      <c r="A33" s="12"/>
      <c r="B33" s="13"/>
      <c r="C33" s="13"/>
      <c r="D33" s="13"/>
      <c r="E33" s="14"/>
      <c r="F33" s="15"/>
      <c r="G33" s="13"/>
      <c r="H33" s="13"/>
      <c r="I33" s="16"/>
      <c r="J33" s="17"/>
      <c r="K33" s="17"/>
      <c r="L33" s="18"/>
      <c r="M33" s="17"/>
    </row>
    <row r="34" spans="1:13" ht="15.75" thickBot="1" x14ac:dyDescent="0.3">
      <c r="A34" s="40"/>
      <c r="B34" s="41"/>
      <c r="C34" s="42" t="s">
        <v>14</v>
      </c>
      <c r="D34" s="43" t="s">
        <v>20</v>
      </c>
      <c r="F34" s="142" t="s">
        <v>21</v>
      </c>
      <c r="G34" s="143"/>
      <c r="H34" s="143"/>
      <c r="I34" s="144"/>
      <c r="J34" s="17"/>
      <c r="K34" s="17"/>
      <c r="L34" s="18"/>
      <c r="M34" s="17"/>
    </row>
    <row r="35" spans="1:13" x14ac:dyDescent="0.25">
      <c r="A35" s="116" t="s">
        <v>22</v>
      </c>
      <c r="B35" s="117"/>
      <c r="C35" s="39">
        <v>840</v>
      </c>
      <c r="D35" s="24" t="s">
        <v>17</v>
      </c>
      <c r="F35" s="157"/>
      <c r="G35" s="158"/>
      <c r="H35" s="158"/>
      <c r="I35" s="159"/>
      <c r="J35" s="17"/>
      <c r="K35" s="17"/>
      <c r="L35" s="18"/>
      <c r="M35" s="17"/>
    </row>
    <row r="36" spans="1:13" x14ac:dyDescent="0.25">
      <c r="A36" s="116" t="s">
        <v>23</v>
      </c>
      <c r="B36" s="117"/>
      <c r="C36" s="39">
        <v>10</v>
      </c>
      <c r="D36" s="24" t="s">
        <v>24</v>
      </c>
      <c r="F36" s="157"/>
      <c r="G36" s="158"/>
      <c r="H36" s="158"/>
      <c r="I36" s="159"/>
      <c r="J36" s="17"/>
      <c r="K36" s="17"/>
      <c r="L36" s="18"/>
      <c r="M36" s="17"/>
    </row>
    <row r="37" spans="1:13" x14ac:dyDescent="0.25">
      <c r="A37" s="116" t="s">
        <v>25</v>
      </c>
      <c r="B37" s="117"/>
      <c r="C37" s="39">
        <v>6</v>
      </c>
      <c r="D37" s="24" t="s">
        <v>18</v>
      </c>
      <c r="F37" s="157"/>
      <c r="G37" s="158"/>
      <c r="H37" s="158"/>
      <c r="I37" s="159"/>
      <c r="J37" s="17"/>
      <c r="K37" s="17"/>
      <c r="L37" s="18"/>
      <c r="M37" s="17"/>
    </row>
    <row r="38" spans="1:13" x14ac:dyDescent="0.25">
      <c r="A38" s="116" t="s">
        <v>26</v>
      </c>
      <c r="B38" s="117"/>
      <c r="C38" s="39">
        <f>C35/C37</f>
        <v>140</v>
      </c>
      <c r="D38" s="24" t="s">
        <v>17</v>
      </c>
      <c r="F38" s="157"/>
      <c r="G38" s="158"/>
      <c r="H38" s="158"/>
      <c r="I38" s="159"/>
      <c r="J38" s="17"/>
      <c r="K38" s="17"/>
      <c r="L38" s="18"/>
      <c r="M38" s="19"/>
    </row>
    <row r="39" spans="1:13" ht="15.75" thickBot="1" x14ac:dyDescent="0.3">
      <c r="A39" s="118" t="s">
        <v>27</v>
      </c>
      <c r="B39" s="119"/>
      <c r="C39" s="90">
        <f>SUM(E11:E25)-C35</f>
        <v>55</v>
      </c>
      <c r="D39" s="25" t="s">
        <v>17</v>
      </c>
      <c r="F39" s="160"/>
      <c r="G39" s="161"/>
      <c r="H39" s="161"/>
      <c r="I39" s="162"/>
      <c r="J39" s="13"/>
      <c r="K39" s="13"/>
      <c r="L39" s="18"/>
      <c r="M39" s="13"/>
    </row>
    <row r="40" spans="1:13" ht="15.75" thickBot="1" x14ac:dyDescent="0.3">
      <c r="A40" s="44"/>
      <c r="B40" s="38"/>
      <c r="C40" s="38"/>
      <c r="D40" s="45"/>
      <c r="F40" s="33"/>
      <c r="G40" s="33"/>
      <c r="H40" s="33"/>
      <c r="I40" s="33"/>
      <c r="J40" s="13"/>
      <c r="K40" s="13"/>
      <c r="L40" s="18"/>
      <c r="M40" s="13"/>
    </row>
    <row r="41" spans="1:13" ht="15.75" thickBot="1" x14ac:dyDescent="0.3">
      <c r="A41" s="26" t="s">
        <v>28</v>
      </c>
      <c r="B41" s="27"/>
      <c r="C41" s="27"/>
      <c r="D41" s="27"/>
      <c r="E41" s="27"/>
      <c r="F41" s="27"/>
      <c r="G41" s="27"/>
      <c r="H41" s="27"/>
      <c r="I41" s="46"/>
      <c r="J41" s="17"/>
      <c r="K41" s="17"/>
      <c r="L41" s="17"/>
      <c r="M41" s="17"/>
    </row>
    <row r="42" spans="1:13" ht="27.6" customHeight="1" x14ac:dyDescent="0.25">
      <c r="A42" s="120" t="s">
        <v>67</v>
      </c>
      <c r="B42" s="121"/>
      <c r="C42" s="122"/>
      <c r="D42" s="122"/>
      <c r="E42" s="122"/>
      <c r="F42" s="122"/>
      <c r="G42" s="122"/>
      <c r="H42" s="122"/>
      <c r="I42" s="123"/>
      <c r="J42" s="17"/>
      <c r="K42" s="17"/>
      <c r="L42" s="17"/>
      <c r="M42" s="17"/>
    </row>
    <row r="43" spans="1:13" ht="27.6" customHeight="1" x14ac:dyDescent="0.25">
      <c r="A43" s="124" t="s">
        <v>73</v>
      </c>
      <c r="B43" s="125"/>
      <c r="C43" s="125"/>
      <c r="D43" s="125"/>
      <c r="E43" s="125"/>
      <c r="F43" s="125"/>
      <c r="G43" s="125"/>
      <c r="H43" s="125"/>
      <c r="I43" s="126"/>
      <c r="J43" s="17"/>
      <c r="K43" s="17"/>
      <c r="L43" s="17"/>
      <c r="M43" s="17"/>
    </row>
    <row r="44" spans="1:13" ht="33.6" customHeight="1" x14ac:dyDescent="0.25">
      <c r="A44" s="127" t="s">
        <v>88</v>
      </c>
      <c r="B44" s="128"/>
      <c r="C44" s="129"/>
      <c r="D44" s="129"/>
      <c r="E44" s="129"/>
      <c r="F44" s="129"/>
      <c r="G44" s="129"/>
      <c r="H44" s="129"/>
      <c r="I44" s="130"/>
      <c r="J44" s="17"/>
      <c r="K44" s="17"/>
      <c r="L44" s="17"/>
      <c r="M44" s="17"/>
    </row>
    <row r="45" spans="1:13" ht="27.6" customHeight="1" x14ac:dyDescent="0.3">
      <c r="A45" s="131" t="s">
        <v>89</v>
      </c>
      <c r="B45" s="132"/>
      <c r="C45" s="132"/>
      <c r="D45" s="132"/>
      <c r="E45" s="132"/>
      <c r="F45" s="132"/>
      <c r="G45" s="132"/>
      <c r="H45" s="132"/>
      <c r="I45" s="133"/>
      <c r="J45" s="17"/>
      <c r="K45" s="17"/>
      <c r="L45" s="17"/>
      <c r="M45" s="17"/>
    </row>
    <row r="46" spans="1:13" ht="27.6" customHeight="1" x14ac:dyDescent="0.25">
      <c r="A46" s="134" t="s">
        <v>81</v>
      </c>
      <c r="B46" s="135"/>
      <c r="C46" s="135"/>
      <c r="D46" s="135"/>
      <c r="E46" s="135"/>
      <c r="F46" s="135"/>
      <c r="G46" s="135"/>
      <c r="H46" s="135"/>
      <c r="I46" s="128"/>
      <c r="J46" s="17"/>
      <c r="K46" s="17"/>
      <c r="L46" s="17"/>
      <c r="M46" s="17"/>
    </row>
    <row r="47" spans="1:13" s="50" customFormat="1" x14ac:dyDescent="0.25">
      <c r="A47" s="48" t="s">
        <v>30</v>
      </c>
      <c r="B47" s="113" t="s">
        <v>31</v>
      </c>
      <c r="C47" s="114"/>
      <c r="D47" s="114"/>
      <c r="E47" s="114"/>
      <c r="F47" s="114"/>
      <c r="G47" s="114"/>
      <c r="H47" s="114"/>
      <c r="I47" s="115"/>
      <c r="J47" s="49"/>
      <c r="K47" s="49"/>
      <c r="L47" s="49"/>
      <c r="M47" s="49"/>
    </row>
    <row r="48" spans="1:13" s="50" customFormat="1" x14ac:dyDescent="0.25">
      <c r="A48" s="47">
        <v>2</v>
      </c>
      <c r="B48" s="110" t="s">
        <v>82</v>
      </c>
      <c r="C48" s="111"/>
      <c r="D48" s="111"/>
      <c r="E48" s="111"/>
      <c r="F48" s="111"/>
      <c r="G48" s="111"/>
      <c r="H48" s="111"/>
      <c r="I48" s="112"/>
      <c r="J48" s="49"/>
      <c r="K48" s="49"/>
      <c r="L48" s="49"/>
      <c r="M48" s="49"/>
    </row>
    <row r="49" spans="1:13" s="50" customFormat="1" x14ac:dyDescent="0.25">
      <c r="A49" s="47">
        <v>3</v>
      </c>
      <c r="B49" s="110" t="s">
        <v>90</v>
      </c>
      <c r="C49" s="111"/>
      <c r="D49" s="111"/>
      <c r="E49" s="111"/>
      <c r="F49" s="111"/>
      <c r="G49" s="111"/>
      <c r="H49" s="111"/>
      <c r="I49" s="112"/>
      <c r="J49" s="49"/>
      <c r="K49" s="49"/>
      <c r="L49" s="49"/>
      <c r="M49" s="49"/>
    </row>
    <row r="50" spans="1:13" s="50" customFormat="1" x14ac:dyDescent="0.25">
      <c r="A50" s="47">
        <v>4</v>
      </c>
      <c r="B50" s="113"/>
      <c r="C50" s="114"/>
      <c r="D50" s="114"/>
      <c r="E50" s="114"/>
      <c r="F50" s="114"/>
      <c r="G50" s="114"/>
      <c r="H50" s="114"/>
      <c r="I50" s="115"/>
      <c r="J50" s="49"/>
      <c r="K50" s="49"/>
      <c r="L50" s="49"/>
      <c r="M50" s="49"/>
    </row>
    <row r="51" spans="1:13" s="50" customFormat="1" x14ac:dyDescent="0.25">
      <c r="A51" s="47">
        <v>5</v>
      </c>
      <c r="B51" s="113"/>
      <c r="C51" s="114"/>
      <c r="D51" s="114"/>
      <c r="E51" s="114"/>
      <c r="F51" s="114"/>
      <c r="G51" s="114"/>
      <c r="H51" s="114"/>
      <c r="I51" s="115"/>
      <c r="J51" s="49"/>
      <c r="K51" s="49"/>
      <c r="L51" s="49"/>
      <c r="M51" s="49"/>
    </row>
  </sheetData>
  <mergeCells count="41">
    <mergeCell ref="A1:A4"/>
    <mergeCell ref="B1:G1"/>
    <mergeCell ref="B2:G2"/>
    <mergeCell ref="B3:G3"/>
    <mergeCell ref="A35:B35"/>
    <mergeCell ref="F34:I34"/>
    <mergeCell ref="A6:B6"/>
    <mergeCell ref="A8:A9"/>
    <mergeCell ref="B8:B9"/>
    <mergeCell ref="C8:C9"/>
    <mergeCell ref="D8:D9"/>
    <mergeCell ref="G8:I9"/>
    <mergeCell ref="F35:I39"/>
    <mergeCell ref="A36:B36"/>
    <mergeCell ref="A37:B37"/>
    <mergeCell ref="E8:E9"/>
    <mergeCell ref="B49:I49"/>
    <mergeCell ref="B50:I50"/>
    <mergeCell ref="B51:I51"/>
    <mergeCell ref="A38:B38"/>
    <mergeCell ref="A39:B39"/>
    <mergeCell ref="A42:I42"/>
    <mergeCell ref="A43:I43"/>
    <mergeCell ref="A44:I44"/>
    <mergeCell ref="A45:I45"/>
    <mergeCell ref="A46:I46"/>
    <mergeCell ref="B47:I47"/>
    <mergeCell ref="B48:I48"/>
    <mergeCell ref="G32:I32"/>
    <mergeCell ref="C4:D4"/>
    <mergeCell ref="E4:F4"/>
    <mergeCell ref="G4:I4"/>
    <mergeCell ref="H6:I6"/>
    <mergeCell ref="C6:D6"/>
    <mergeCell ref="E6:G6"/>
    <mergeCell ref="G25:I25"/>
    <mergeCell ref="F8:F9"/>
    <mergeCell ref="G11:I11"/>
    <mergeCell ref="G12:I12"/>
    <mergeCell ref="G13:I13"/>
    <mergeCell ref="G31:I31"/>
  </mergeCells>
  <pageMargins left="0.7" right="0.7" top="0.75" bottom="0.75" header="0.3" footer="0.3"/>
  <pageSetup paperSize="9" scale="59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6B7E4BEC-3E76-4373-8F4F-007D15C0E0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31201E-7311-4F72-BDBE-90FE38DB6F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9E9084-DF8D-41FE-A4D1-132D603F4F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Ensable Industria</vt:lpstr>
      <vt:lpstr>'Ensable Industria'!Área_de_impresión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Miguel Coto Consultor</cp:lastModifiedBy>
  <cp:revision/>
  <cp:lastPrinted>2025-02-06T18:02:30Z</cp:lastPrinted>
  <dcterms:created xsi:type="dcterms:W3CDTF">2023-12-19T21:30:11Z</dcterms:created>
  <dcterms:modified xsi:type="dcterms:W3CDTF">2025-05-12T20:49:26Z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
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B837141D-3073-4994-8D3A-0ACC290421A5}" xr6:coauthVersionLast="47" xr6:coauthVersionMax="47" xr10:uidLastSave="{07C38BCA-4AD1-4A57-98F4-5F1EE938EB89}"/>
  <bookViews>
    <workbookView xWindow="-108" yWindow="-108" windowWidth="23256" windowHeight="12456" xr2:uid="{7ECA0AC4-2E42-4B78-B0B3-9E2BC4931067}"/>
  </bookViews>
  <sheets>
    <sheet name="Empaque Mufin mixto 4 und" sheetId="1" r:id="rId1"/>
    <sheet name="Inyectado Muffin Chocolate" sheetId="2" state="hidden" r:id="rId2"/>
    <sheet name="Inyectado Muffin Pastelero " sheetId="3" state="hidden" r:id="rId3"/>
  </sheets>
  <definedNames>
    <definedName name="_xlnm.Print_Area" localSheetId="0">'Empaque Mufin mixto 4 und'!$A$1:$I$47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" l="1"/>
  <c r="D44" i="3"/>
  <c r="D37" i="1"/>
  <c r="D36" i="2"/>
</calcChain>
</file>

<file path=xl/sharedStrings.xml><?xml version="1.0" encoding="utf-8"?>
<sst xmlns="http://schemas.openxmlformats.org/spreadsheetml/2006/main" count="235" uniqueCount="98">
  <si>
    <t>CONTROL DE CAMBIOS</t>
  </si>
  <si>
    <t xml:space="preserve">4-Cerrar y etiquetar </t>
  </si>
  <si>
    <t>2-Colocar el Ganache Blanco en el muffing de chocolate en forma de Hilo y colocar la confitura</t>
  </si>
  <si>
    <t>2-Colocar el Ganache Oscuro en el muffing de vainilla en forma de Hilo y colocar la confitura</t>
  </si>
  <si>
    <t>1,- Incorporar en el empaque los muffings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</si>
  <si>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</si>
  <si>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</si>
  <si>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</si>
  <si>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</si>
  <si>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</si>
  <si>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</si>
  <si>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</si>
  <si>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</si>
  <si>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</si>
  <si>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</si>
  <si>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</si>
  <si>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</si>
  <si>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</si>
  <si>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</si>
  <si>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</si>
  <si>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</si>
  <si>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ETIQ.BLANCA 1 13/16 * 1 7/8</t>
  </si>
  <si>
    <t>EM10120</t>
  </si>
  <si>
    <t xml:space="preserve">ETIQ.FECHA VENCIMIENTO BLANCO </t>
  </si>
  <si>
    <t>EM10004</t>
  </si>
  <si>
    <t>EM10341</t>
  </si>
  <si>
    <t>Empaque</t>
  </si>
  <si>
    <t>Decoración</t>
  </si>
  <si>
    <t>3g x ud</t>
  </si>
  <si>
    <t>Chispas de Chocolate Tutto</t>
  </si>
  <si>
    <t>MP10920</t>
  </si>
  <si>
    <t>1g x ud</t>
  </si>
  <si>
    <t>Confitura Perlas Azules</t>
  </si>
  <si>
    <t>MP10918</t>
  </si>
  <si>
    <t>0,5g x ud</t>
  </si>
  <si>
    <t xml:space="preserve">Confitura Palitos Azules </t>
  </si>
  <si>
    <t>MP10919</t>
  </si>
  <si>
    <t>FAS</t>
  </si>
  <si>
    <t xml:space="preserve">Ganache Blanco Duro </t>
  </si>
  <si>
    <t>SE00799</t>
  </si>
  <si>
    <t>NESTLE</t>
  </si>
  <si>
    <t>Trasvasado de Leche Condensada Cocinada</t>
  </si>
  <si>
    <t>SE00386</t>
  </si>
  <si>
    <t>2 UND</t>
  </si>
  <si>
    <t>MUFFIN DE CHOCOLATE</t>
  </si>
  <si>
    <t>SE00798</t>
  </si>
  <si>
    <t>Ensamble Chocolate</t>
  </si>
  <si>
    <t>10 g x ud</t>
  </si>
  <si>
    <t>GANACHE CHOCOLATE OSCURO</t>
  </si>
  <si>
    <t>SE00001</t>
  </si>
  <si>
    <t>Muffin Vainilla SP</t>
  </si>
  <si>
    <t>SE00797</t>
  </si>
  <si>
    <t>Ensamble Vainilla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</si>
  <si>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</si>
  <si>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</si>
  <si>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</si>
  <si>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</si>
  <si>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</si>
  <si>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</si>
  <si>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</si>
  <si>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</si>
  <si>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</si>
  <si>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</si>
  <si>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</si>
  <si>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Postres</t>
  </si>
  <si>
    <t>AREA QUE PRODUCE:</t>
  </si>
  <si>
    <t>Sebastian Días,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</si>
  <si>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</si>
  <si>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</si>
  <si>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</si>
  <si>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</si>
  <si>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</si>
  <si>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</si>
  <si>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</si>
  <si>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</si>
  <si>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BIOFUSION BURBUJA P/ CUPCAKE 
4 ESPACIOS 100 UND</t>
  </si>
  <si>
    <t>ESP-RE-POS-129</t>
  </si>
  <si>
    <t xml:space="preserve">Batidos </t>
  </si>
  <si>
    <t>Batidos</t>
  </si>
  <si>
    <t xml:space="preserve">Inyectado Muffin Pastelero </t>
  </si>
  <si>
    <t xml:space="preserve">Inyectado Muffin Chocolate </t>
  </si>
  <si>
    <t xml:space="preserve">1, En cada muffin con ayuda del inyector, introducir y aplastar, creando un hueco en el centro hondo. </t>
  </si>
  <si>
    <t xml:space="preserve">2, Agregar la leche condensada cocinada en el centro. </t>
  </si>
  <si>
    <t xml:space="preserve">2, Se actualiza a semi elaborado intectado Muffin de Chocolate y Muffin de Pastelero </t>
  </si>
  <si>
    <t>UND</t>
  </si>
  <si>
    <t>und</t>
  </si>
  <si>
    <t>SE00828 Inyectado Muffin Pastelero</t>
  </si>
  <si>
    <t>SE00828</t>
  </si>
  <si>
    <t xml:space="preserve">SE00829 Inyectado Muffin Chocolate </t>
  </si>
  <si>
    <t>SE00829</t>
  </si>
  <si>
    <t>EM10515</t>
  </si>
  <si>
    <t xml:space="preserve"> Etiqueta Muffin Tutto 4 pack</t>
  </si>
  <si>
    <t>3, se agrega codigo de etiqueta</t>
  </si>
  <si>
    <t>PTI00287 EMPAQUE Y DECORACION MUFFIN MIXTO DE CHOCOLATE TUTTO(4 unidades) Papá 2026</t>
  </si>
  <si>
    <t>12g x ud</t>
  </si>
  <si>
    <t>Revision #4: Actualizacion del peso del ganache blanco</t>
  </si>
  <si>
    <t>Juan Pablo Brenes, Chef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</si>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</sst>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b/>
      <sz val="16"/>
      <color rgb="FF00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165">
    <xf numFmtId="0" fontId="0" fillId="0" borderId="0" xfId="0"/>
    <xf numFmtId="0" fontId="4" fillId="4" borderId="10" xfId="3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" fontId="4" fillId="0" borderId="19" xfId="0" applyNumberFormat="1" applyFont="1" applyBorder="1" applyAlignment="1">
      <alignment horizontal="center"/>
    </xf>
    <xf numFmtId="0" fontId="3" fillId="4" borderId="9" xfId="3" applyFont="1" applyFill="1" applyBorder="1" applyAlignment="1">
      <alignment horizontal="center"/>
    </xf>
    <xf numFmtId="0" fontId="3" fillId="4" borderId="10" xfId="3" applyFont="1" applyFill="1" applyBorder="1"/>
    <xf numFmtId="164" fontId="3" fillId="4" borderId="10" xfId="3" applyNumberFormat="1" applyFont="1" applyFill="1" applyBorder="1" applyAlignment="1">
      <alignment horizontal="center" wrapText="1"/>
    </xf>
    <xf numFmtId="1" fontId="4" fillId="4" borderId="10" xfId="3" applyNumberFormat="1" applyFont="1" applyFill="1" applyBorder="1" applyAlignment="1">
      <alignment horizontal="center"/>
    </xf>
    <xf numFmtId="0" fontId="3" fillId="4" borderId="10" xfId="3" applyFont="1" applyFill="1" applyBorder="1" applyAlignment="1">
      <alignment horizontal="center"/>
    </xf>
    <xf numFmtId="0" fontId="3" fillId="4" borderId="11" xfId="3" applyFont="1" applyFill="1" applyBorder="1" applyAlignment="1">
      <alignment horizontal="center"/>
    </xf>
    <xf numFmtId="0" fontId="3" fillId="2" borderId="23" xfId="3" applyFont="1" applyFill="1" applyBorder="1" applyAlignment="1">
      <alignment horizontal="center"/>
    </xf>
    <xf numFmtId="0" fontId="3" fillId="2" borderId="0" xfId="3" applyFont="1" applyFill="1"/>
    <xf numFmtId="164" fontId="3" fillId="2" borderId="0" xfId="3" applyNumberFormat="1" applyFont="1" applyFill="1" applyAlignment="1">
      <alignment horizontal="center" wrapText="1"/>
    </xf>
    <xf numFmtId="1" fontId="3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4" xfId="3" applyNumberFormat="1" applyFont="1" applyFill="1" applyBorder="1" applyAlignment="1">
      <alignment horizontal="center" vertical="center"/>
    </xf>
    <xf numFmtId="0" fontId="3" fillId="0" borderId="25" xfId="3" applyFont="1" applyBorder="1" applyAlignment="1">
      <alignment horizontal="center"/>
    </xf>
    <xf numFmtId="12" fontId="3" fillId="0" borderId="19" xfId="0" applyNumberFormat="1" applyFont="1" applyBorder="1" applyAlignment="1">
      <alignment horizontal="center"/>
    </xf>
    <xf numFmtId="1" fontId="3" fillId="0" borderId="1" xfId="3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3" fillId="0" borderId="1" xfId="0" quotePrefix="1" applyFont="1" applyBorder="1"/>
    <xf numFmtId="0" fontId="3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2" fontId="3" fillId="0" borderId="1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165" fontId="4" fillId="5" borderId="1" xfId="1" applyNumberFormat="1" applyFont="1" applyFill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49" fontId="4" fillId="0" borderId="1" xfId="0" applyNumberFormat="1" applyFont="1" applyBorder="1"/>
    <xf numFmtId="49" fontId="3" fillId="0" borderId="3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66" fontId="4" fillId="0" borderId="1" xfId="3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8" fillId="5" borderId="1" xfId="3" applyFont="1" applyFill="1" applyBorder="1" applyAlignment="1">
      <alignment vertical="center"/>
    </xf>
    <xf numFmtId="49" fontId="4" fillId="0" borderId="4" xfId="3" applyNumberFormat="1" applyFont="1" applyBorder="1" applyAlignment="1">
      <alignment horizontal="center"/>
    </xf>
    <xf numFmtId="49" fontId="4" fillId="0" borderId="5" xfId="3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3" fillId="5" borderId="19" xfId="0" applyNumberFormat="1" applyFont="1" applyFill="1" applyBorder="1" applyAlignment="1">
      <alignment horizontal="center" wrapText="1"/>
    </xf>
    <xf numFmtId="1" fontId="3" fillId="5" borderId="19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7" fillId="5" borderId="19" xfId="0" applyFont="1" applyFill="1" applyBorder="1"/>
    <xf numFmtId="0" fontId="7" fillId="5" borderId="20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166" fontId="3" fillId="0" borderId="1" xfId="3" applyNumberFormat="1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4" fillId="5" borderId="1" xfId="3" applyFont="1" applyFill="1" applyBorder="1" applyAlignment="1">
      <alignment horizontal="left"/>
    </xf>
    <xf numFmtId="49" fontId="3" fillId="0" borderId="3" xfId="3" applyNumberFormat="1" applyFont="1" applyBorder="1" applyAlignment="1">
      <alignment horizontal="center"/>
    </xf>
    <xf numFmtId="49" fontId="3" fillId="0" borderId="26" xfId="3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1" xfId="0" applyNumberFormat="1" applyFont="1" applyBorder="1"/>
    <xf numFmtId="0" fontId="3" fillId="0" borderId="19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2" fontId="3" fillId="0" borderId="1" xfId="0" applyNumberFormat="1" applyFont="1" applyBorder="1" applyAlignment="1">
      <alignment horizontal="center"/>
    </xf>
    <xf numFmtId="0" fontId="4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4" fillId="0" borderId="3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9" fillId="4" borderId="27" xfId="3" applyFont="1" applyFill="1" applyBorder="1" applyAlignment="1">
      <alignment horizontal="center"/>
    </xf>
    <xf numFmtId="1" fontId="9" fillId="4" borderId="14" xfId="3" applyNumberFormat="1" applyFont="1" applyFill="1" applyBorder="1" applyAlignment="1">
      <alignment horizontal="center" wrapText="1"/>
    </xf>
    <xf numFmtId="1" fontId="9" fillId="4" borderId="14" xfId="3" applyNumberFormat="1" applyFont="1" applyFill="1" applyBorder="1" applyAlignment="1">
      <alignment horizontal="center"/>
    </xf>
    <xf numFmtId="0" fontId="9" fillId="4" borderId="28" xfId="3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right"/>
    </xf>
    <xf numFmtId="0" fontId="11" fillId="2" borderId="19" xfId="2" applyFont="1" applyFill="1" applyBorder="1" applyAlignment="1">
      <alignment horizontal="right"/>
    </xf>
    <xf numFmtId="49" fontId="11" fillId="2" borderId="25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0" fontId="11" fillId="2" borderId="28" xfId="2" applyFont="1" applyFill="1" applyBorder="1" applyAlignment="1">
      <alignment horizontal="center"/>
    </xf>
    <xf numFmtId="0" fontId="9" fillId="2" borderId="29" xfId="2" applyFont="1" applyFill="1" applyBorder="1" applyAlignment="1">
      <alignment horizontal="right"/>
    </xf>
    <xf numFmtId="14" fontId="14" fillId="2" borderId="0" xfId="2" applyNumberFormat="1" applyFont="1" applyFill="1" applyAlignment="1">
      <alignment horizontal="center" vertical="center" wrapText="1"/>
    </xf>
    <xf numFmtId="49" fontId="4" fillId="0" borderId="1" xfId="0" applyNumberFormat="1" applyFont="1" applyBorder="1" applyAlignment="1">
      <alignment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7" fillId="5" borderId="0" xfId="0" applyFont="1" applyFill="1"/>
    <xf numFmtId="0" fontId="0" fillId="0" borderId="1" xfId="0" applyBorder="1"/>
    <xf numFmtId="0" fontId="3" fillId="0" borderId="1" xfId="0" applyFont="1" applyBorder="1" applyAlignment="1">
      <alignment horizontal="center" wrapText="1"/>
    </xf>
    <xf numFmtId="0" fontId="7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7" fillId="0" borderId="19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49" fontId="4" fillId="0" borderId="1" xfId="3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left"/>
    </xf>
    <xf numFmtId="0" fontId="4" fillId="0" borderId="16" xfId="3" applyFont="1" applyBorder="1" applyAlignment="1">
      <alignment horizontal="right"/>
    </xf>
    <xf numFmtId="0" fontId="4" fillId="0" borderId="15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164" fontId="3" fillId="0" borderId="13" xfId="3" applyNumberFormat="1" applyFont="1" applyBorder="1" applyAlignment="1">
      <alignment horizontal="center"/>
    </xf>
    <xf numFmtId="164" fontId="3" fillId="0" borderId="12" xfId="3" applyNumberFormat="1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4" borderId="11" xfId="3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4" fillId="4" borderId="9" xfId="3" applyFont="1" applyFill="1" applyBorder="1" applyAlignment="1">
      <alignment horizontal="center"/>
    </xf>
    <xf numFmtId="0" fontId="3" fillId="0" borderId="2" xfId="3" applyFont="1" applyBorder="1" applyAlignment="1">
      <alignment horizontal="left"/>
    </xf>
    <xf numFmtId="0" fontId="4" fillId="0" borderId="8" xfId="3" applyFont="1" applyBorder="1" applyAlignment="1">
      <alignment horizontal="left" wrapText="1"/>
    </xf>
    <xf numFmtId="0" fontId="4" fillId="0" borderId="7" xfId="3" applyFont="1" applyBorder="1" applyAlignment="1">
      <alignment horizontal="left" wrapText="1"/>
    </xf>
    <xf numFmtId="0" fontId="4" fillId="0" borderId="6" xfId="3" applyFont="1" applyBorder="1" applyAlignment="1">
      <alignment horizontal="left" wrapText="1"/>
    </xf>
    <xf numFmtId="0" fontId="4" fillId="0" borderId="5" xfId="3" applyFont="1" applyBorder="1" applyAlignment="1">
      <alignment horizontal="left" wrapText="1"/>
    </xf>
    <xf numFmtId="0" fontId="4" fillId="0" borderId="4" xfId="3" applyFont="1" applyBorder="1" applyAlignment="1">
      <alignment horizontal="left" wrapText="1"/>
    </xf>
    <xf numFmtId="0" fontId="4" fillId="0" borderId="3" xfId="3" applyFont="1" applyBorder="1" applyAlignment="1">
      <alignment horizontal="left" wrapText="1"/>
    </xf>
    <xf numFmtId="0" fontId="4" fillId="0" borderId="5" xfId="3" applyFont="1" applyBorder="1" applyAlignment="1">
      <alignment horizontal="right"/>
    </xf>
    <xf numFmtId="0" fontId="4" fillId="0" borderId="4" xfId="3" applyFont="1" applyBorder="1" applyAlignment="1">
      <alignment horizontal="right"/>
    </xf>
    <xf numFmtId="0" fontId="4" fillId="0" borderId="3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164" fontId="3" fillId="0" borderId="13" xfId="3" applyNumberFormat="1" applyFont="1" applyBorder="1" applyAlignment="1">
      <alignment horizontal="right" wrapText="1"/>
    </xf>
    <xf numFmtId="164" fontId="3" fillId="0" borderId="3" xfId="3" applyNumberFormat="1" applyFont="1" applyBorder="1" applyAlignment="1">
      <alignment horizontal="right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 wrapText="1"/>
    </xf>
    <xf numFmtId="0" fontId="4" fillId="0" borderId="22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164" fontId="3" fillId="0" borderId="19" xfId="3" applyNumberFormat="1" applyFont="1" applyBorder="1" applyAlignment="1">
      <alignment horizontal="right"/>
    </xf>
    <xf numFmtId="0" fontId="3" fillId="2" borderId="18" xfId="3" applyFont="1" applyFill="1" applyBorder="1" applyAlignment="1">
      <alignment horizontal="center"/>
    </xf>
    <xf numFmtId="0" fontId="3" fillId="2" borderId="17" xfId="3" applyFont="1" applyFill="1" applyBorder="1" applyAlignment="1">
      <alignment horizontal="center"/>
    </xf>
    <xf numFmtId="14" fontId="11" fillId="2" borderId="37" xfId="2" applyNumberFormat="1" applyFont="1" applyFill="1" applyBorder="1" applyAlignment="1">
      <alignment horizontal="center" vertical="center" wrapText="1"/>
    </xf>
    <xf numFmtId="14" fontId="11" fillId="2" borderId="34" xfId="2" applyNumberFormat="1" applyFont="1" applyFill="1" applyBorder="1" applyAlignment="1">
      <alignment horizontal="center" vertical="center" wrapText="1"/>
    </xf>
    <xf numFmtId="14" fontId="11" fillId="2" borderId="32" xfId="2" applyNumberFormat="1" applyFont="1" applyFill="1" applyBorder="1" applyAlignment="1">
      <alignment horizontal="center" vertical="center" wrapText="1"/>
    </xf>
    <xf numFmtId="0" fontId="11" fillId="2" borderId="36" xfId="2" applyFont="1" applyFill="1" applyBorder="1" applyAlignment="1">
      <alignment horizontal="left"/>
    </xf>
    <xf numFmtId="0" fontId="11" fillId="2" borderId="7" xfId="2" applyFont="1" applyFill="1" applyBorder="1" applyAlignment="1">
      <alignment horizontal="left"/>
    </xf>
    <xf numFmtId="0" fontId="11" fillId="2" borderId="6" xfId="2" applyFont="1" applyFill="1" applyBorder="1" applyAlignment="1">
      <alignment horizontal="left"/>
    </xf>
    <xf numFmtId="0" fontId="11" fillId="2" borderId="13" xfId="2" applyFont="1" applyFill="1" applyBorder="1" applyAlignment="1">
      <alignment horizontal="left"/>
    </xf>
    <xf numFmtId="0" fontId="11" fillId="2" borderId="4" xfId="2" applyFont="1" applyFill="1" applyBorder="1" applyAlignment="1">
      <alignment horizontal="left"/>
    </xf>
    <xf numFmtId="0" fontId="11" fillId="2" borderId="3" xfId="2" applyFont="1" applyFill="1" applyBorder="1" applyAlignment="1">
      <alignment horizontal="left"/>
    </xf>
    <xf numFmtId="0" fontId="11" fillId="2" borderId="42" xfId="2" applyFont="1" applyFill="1" applyBorder="1" applyAlignment="1">
      <alignment horizontal="center"/>
    </xf>
    <xf numFmtId="0" fontId="11" fillId="2" borderId="41" xfId="2" applyFont="1" applyFill="1" applyBorder="1" applyAlignment="1">
      <alignment horizontal="center"/>
    </xf>
    <xf numFmtId="0" fontId="11" fillId="2" borderId="24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2" xfId="2" applyFont="1" applyFill="1" applyBorder="1" applyAlignment="1">
      <alignment horizontal="center"/>
    </xf>
    <xf numFmtId="0" fontId="11" fillId="2" borderId="21" xfId="2" applyFont="1" applyFill="1" applyBorder="1" applyAlignment="1">
      <alignment horizontal="center"/>
    </xf>
    <xf numFmtId="0" fontId="12" fillId="2" borderId="29" xfId="2" applyFont="1" applyFill="1" applyBorder="1" applyAlignment="1">
      <alignment horizontal="center"/>
    </xf>
    <xf numFmtId="0" fontId="12" fillId="2" borderId="40" xfId="2" applyFont="1" applyFill="1" applyBorder="1" applyAlignment="1">
      <alignment horizontal="center"/>
    </xf>
    <xf numFmtId="0" fontId="12" fillId="2" borderId="39" xfId="2" applyFont="1" applyFill="1" applyBorder="1" applyAlignment="1">
      <alignment horizontal="center"/>
    </xf>
    <xf numFmtId="0" fontId="12" fillId="2" borderId="15" xfId="2" applyFont="1" applyFill="1" applyBorder="1" applyAlignment="1">
      <alignment horizontal="center"/>
    </xf>
    <xf numFmtId="0" fontId="13" fillId="7" borderId="1" xfId="2" applyFont="1" applyFill="1" applyBorder="1" applyAlignment="1">
      <alignment horizontal="center" vertical="center" wrapText="1"/>
    </xf>
    <xf numFmtId="0" fontId="9" fillId="2" borderId="38" xfId="2" applyFont="1" applyFill="1" applyBorder="1" applyAlignment="1">
      <alignment horizontal="right" vertical="top" wrapText="1"/>
    </xf>
    <xf numFmtId="0" fontId="9" fillId="2" borderId="35" xfId="2" applyFont="1" applyFill="1" applyBorder="1" applyAlignment="1">
      <alignment horizontal="right" vertical="top" wrapText="1"/>
    </xf>
    <xf numFmtId="0" fontId="9" fillId="2" borderId="33" xfId="2" applyFont="1" applyFill="1" applyBorder="1" applyAlignment="1">
      <alignment horizontal="right" vertical="top" wrapText="1"/>
    </xf>
    <xf numFmtId="0" fontId="10" fillId="2" borderId="0" xfId="2" applyFont="1" applyFill="1" applyAlignment="1">
      <alignment horizontal="right"/>
    </xf>
    <xf numFmtId="0" fontId="14" fillId="2" borderId="31" xfId="2" applyFont="1" applyFill="1" applyBorder="1" applyAlignment="1">
      <alignment horizontal="center"/>
    </xf>
    <xf numFmtId="0" fontId="10" fillId="2" borderId="0" xfId="2" applyFont="1" applyFill="1"/>
    <xf numFmtId="0" fontId="9" fillId="4" borderId="30" xfId="3" applyFont="1" applyFill="1" applyBorder="1" applyAlignment="1">
      <alignment horizontal="center" vertical="center"/>
    </xf>
    <xf numFmtId="0" fontId="9" fillId="4" borderId="16" xfId="3" applyFont="1" applyFill="1" applyBorder="1" applyAlignment="1">
      <alignment horizontal="center" vertical="center"/>
    </xf>
    <xf numFmtId="0" fontId="9" fillId="4" borderId="30" xfId="3" applyFont="1" applyFill="1" applyBorder="1" applyAlignment="1">
      <alignment horizontal="center" vertical="center" wrapText="1"/>
    </xf>
    <xf numFmtId="0" fontId="9" fillId="4" borderId="16" xfId="3" applyFont="1" applyFill="1" applyBorder="1" applyAlignment="1">
      <alignment horizontal="center" vertical="center" wrapText="1"/>
    </xf>
    <xf numFmtId="0" fontId="9" fillId="4" borderId="29" xfId="3" applyFont="1" applyFill="1" applyBorder="1" applyAlignment="1">
      <alignment horizontal="center" vertical="center"/>
    </xf>
    <xf numFmtId="0" fontId="9" fillId="4" borderId="14" xfId="3" applyFont="1" applyFill="1" applyBorder="1" applyAlignment="1">
      <alignment horizontal="center" vertical="center"/>
    </xf>
    <xf numFmtId="0" fontId="15" fillId="6" borderId="1" xfId="2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left"/>
    </xf>
  </cellXfs>
  <cellStyles count="4">
    <cellStyle name="Millares" xfId="1" builtinId="3"/>
    <cellStyle name="Normal" xfId="0" builtinId="0"/>
    <cellStyle name="Normal 2" xfId="3" xr:uid="{0C17712B-5A72-42DB-BD3E-78792A2C7207}"/>
    <cellStyle name="Normal_CRITERIOS DE EVALUACION PT DE GB 2" xfId="2" xr:uid="{1ED524DC-E46B-4977-90C1-9C83B390EC8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39460</xdr:colOff>
      <xdr:row>1</xdr:row>
      <xdr:rowOff>126888</xdr:rowOff>
    </xdr:from>
    <xdr:ext cx="1863087" cy="885144"/>
    <xdr:pic>
      <xdr:nvPicPr>
        <xdr:cNvPr id="2" name="Imagen 1">
          <a:extLst>
            <a:ext uri="{FF2B5EF4-FFF2-40B4-BE49-F238E27FC236}">
              <a16:creationId xmlns:a16="http://schemas.microsoft.com/office/drawing/2014/main" id="{AF04FBFF-D953-483B-813D-537A64B2C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" y="329294"/>
          <a:ext cx="1863087" cy="885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39460</xdr:colOff>
      <xdr:row>1</xdr:row>
      <xdr:rowOff>126888</xdr:rowOff>
    </xdr:from>
    <xdr:ext cx="1863087" cy="885144"/>
    <xdr:pic>
      <xdr:nvPicPr>
        <xdr:cNvPr id="2" name="Imagen 1">
          <a:extLst>
            <a:ext uri="{FF2B5EF4-FFF2-40B4-BE49-F238E27FC236}">
              <a16:creationId xmlns:a16="http://schemas.microsoft.com/office/drawing/2014/main" id="{4AF554F3-E736-40C6-8B6D-981F51668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" y="325008"/>
          <a:ext cx="1863087" cy="885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39460</xdr:colOff>
      <xdr:row>1</xdr:row>
      <xdr:rowOff>126888</xdr:rowOff>
    </xdr:from>
    <xdr:ext cx="1863087" cy="885144"/>
    <xdr:pic>
      <xdr:nvPicPr>
        <xdr:cNvPr id="2" name="Imagen 1">
          <a:extLst>
            <a:ext uri="{FF2B5EF4-FFF2-40B4-BE49-F238E27FC236}">
              <a16:creationId xmlns:a16="http://schemas.microsoft.com/office/drawing/2014/main" id="{C8618D8B-AA4D-435A-94DA-83305CBA3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" y="325008"/>
          <a:ext cx="1863087" cy="885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2BAB-7053-4845-A044-B0BDFC5A070B}">
  <sheetPr>
    <pageSetUpPr fitToPage="1"/>
  </sheetPr>
  <dimension ref="A1:I47"/>
  <sheetViews>
    <sheetView tabSelected="1" topLeftCell="A15" zoomScale="80" zoomScaleNormal="80" workbookViewId="0">
      <selection activeCell="B29" sqref="B29"/>
    </sheetView>
  </sheetViews>
  <sheetFormatPr baseColWidth="10" defaultRowHeight="14.4" x14ac:dyDescent="0.3"/>
  <cols>
    <col min="2" max="2" width="18.5546875" bestFit="1" customWidth="1"/>
    <col min="3" max="3" width="55.88671875" bestFit="1" customWidth="1"/>
    <col min="4" max="4" width="15.5546875" customWidth="1"/>
    <col min="5" max="5" width="14.44140625" customWidth="1"/>
    <col min="6" max="6" width="13.33203125" customWidth="1"/>
    <col min="7" max="7" width="20.44140625" customWidth="1"/>
    <col min="8" max="8" width="16.33203125" customWidth="1"/>
    <col min="9" max="9" width="19.33203125" bestFit="1" customWidth="1"/>
    <col min="10" max="10" width="11.44140625" customWidth="1"/>
  </cols>
  <sheetData>
    <row r="1" spans="1:9" ht="15.6" x14ac:dyDescent="0.3">
      <c r="A1" s="140"/>
      <c r="B1" s="141"/>
      <c r="C1" s="146" t="s">
        <v>74</v>
      </c>
      <c r="D1" s="146"/>
      <c r="E1" s="146"/>
      <c r="F1" s="146"/>
      <c r="G1" s="146"/>
      <c r="H1" s="81" t="s">
        <v>73</v>
      </c>
      <c r="I1" s="80" t="s">
        <v>76</v>
      </c>
    </row>
    <row r="2" spans="1:9" ht="18" customHeight="1" thickBot="1" x14ac:dyDescent="0.35">
      <c r="A2" s="142"/>
      <c r="B2" s="143"/>
      <c r="C2" s="147" t="s">
        <v>72</v>
      </c>
      <c r="D2" s="148"/>
      <c r="E2" s="148"/>
      <c r="F2" s="148"/>
      <c r="G2" s="149"/>
      <c r="H2" s="79" t="s">
        <v>71</v>
      </c>
      <c r="I2" s="78" t="s">
        <v>97</v>
      </c>
    </row>
    <row r="3" spans="1:9" ht="54.75" customHeight="1" thickBot="1" x14ac:dyDescent="0.35">
      <c r="A3" s="142"/>
      <c r="B3" s="143"/>
      <c r="C3" s="150" t="s">
        <v>93</v>
      </c>
      <c r="D3" s="150"/>
      <c r="E3" s="150"/>
      <c r="F3" s="150"/>
      <c r="G3" s="150"/>
      <c r="H3" s="151" t="s">
        <v>70</v>
      </c>
      <c r="I3" s="131">
        <v>46057</v>
      </c>
    </row>
    <row r="4" spans="1:9" ht="18" customHeight="1" x14ac:dyDescent="0.3">
      <c r="A4" s="142"/>
      <c r="B4" s="143"/>
      <c r="C4" s="77" t="s">
        <v>69</v>
      </c>
      <c r="D4" s="134" t="s">
        <v>96</v>
      </c>
      <c r="E4" s="135"/>
      <c r="F4" s="135"/>
      <c r="G4" s="136"/>
      <c r="H4" s="152"/>
      <c r="I4" s="132"/>
    </row>
    <row r="5" spans="1:9" ht="15" thickBot="1" x14ac:dyDescent="0.35">
      <c r="A5" s="144"/>
      <c r="B5" s="145"/>
      <c r="C5" s="76" t="s">
        <v>67</v>
      </c>
      <c r="D5" s="137" t="s">
        <v>66</v>
      </c>
      <c r="E5" s="138"/>
      <c r="F5" s="138"/>
      <c r="G5" s="139"/>
      <c r="H5" s="153"/>
      <c r="I5" s="133"/>
    </row>
    <row r="6" spans="1:9" ht="18" thickBot="1" x14ac:dyDescent="0.35">
      <c r="A6" s="154" t="s">
        <v>65</v>
      </c>
      <c r="B6" s="154"/>
      <c r="C6" s="154"/>
      <c r="D6" s="155" t="s">
        <v>64</v>
      </c>
      <c r="E6" s="155"/>
      <c r="F6" s="155"/>
      <c r="G6" s="156" t="s">
        <v>63</v>
      </c>
      <c r="H6" s="156"/>
      <c r="I6" s="82" t="s">
        <v>62</v>
      </c>
    </row>
    <row r="7" spans="1:9" ht="26.25" customHeight="1" x14ac:dyDescent="0.3">
      <c r="A7" s="157" t="s">
        <v>61</v>
      </c>
      <c r="B7" s="159" t="s">
        <v>60</v>
      </c>
      <c r="C7" s="161" t="s">
        <v>59</v>
      </c>
      <c r="D7" s="161" t="s">
        <v>58</v>
      </c>
      <c r="E7" s="161" t="s">
        <v>57</v>
      </c>
      <c r="F7" s="161"/>
      <c r="G7" s="161" t="s">
        <v>56</v>
      </c>
      <c r="H7" s="161"/>
      <c r="I7" s="75" t="s">
        <v>55</v>
      </c>
    </row>
    <row r="8" spans="1:9" ht="34.5" customHeight="1" thickBot="1" x14ac:dyDescent="0.35">
      <c r="A8" s="158"/>
      <c r="B8" s="160"/>
      <c r="C8" s="162"/>
      <c r="D8" s="162"/>
      <c r="E8" s="74" t="s">
        <v>19</v>
      </c>
      <c r="F8" s="73" t="s">
        <v>54</v>
      </c>
      <c r="G8" s="74" t="s">
        <v>19</v>
      </c>
      <c r="H8" s="73" t="s">
        <v>54</v>
      </c>
      <c r="I8" s="72" t="s">
        <v>53</v>
      </c>
    </row>
    <row r="9" spans="1:9" ht="21" x14ac:dyDescent="0.4">
      <c r="A9" s="71"/>
      <c r="B9" s="70"/>
      <c r="C9" s="69" t="s">
        <v>52</v>
      </c>
      <c r="D9" s="68"/>
      <c r="E9" s="29"/>
      <c r="F9" s="37"/>
      <c r="G9" s="29"/>
      <c r="H9" s="37"/>
      <c r="I9" s="20"/>
    </row>
    <row r="10" spans="1:9" ht="20.399999999999999" x14ac:dyDescent="0.35">
      <c r="A10" s="59"/>
      <c r="B10" s="45" t="s">
        <v>87</v>
      </c>
      <c r="C10" s="44" t="s">
        <v>79</v>
      </c>
      <c r="D10" s="63" t="s">
        <v>37</v>
      </c>
      <c r="E10" s="62">
        <v>152</v>
      </c>
      <c r="F10" s="61" t="s">
        <v>6</v>
      </c>
      <c r="G10" s="21" t="s">
        <v>43</v>
      </c>
      <c r="I10" s="20"/>
    </row>
    <row r="11" spans="1:9" ht="20.399999999999999" x14ac:dyDescent="0.35">
      <c r="A11" s="63"/>
      <c r="B11" s="63" t="s">
        <v>49</v>
      </c>
      <c r="C11" s="64" t="s">
        <v>48</v>
      </c>
      <c r="D11" s="63" t="s">
        <v>37</v>
      </c>
      <c r="E11" s="62">
        <v>20</v>
      </c>
      <c r="F11" s="61" t="s">
        <v>6</v>
      </c>
      <c r="G11" s="21" t="s">
        <v>47</v>
      </c>
      <c r="H11" s="44"/>
      <c r="I11" s="20"/>
    </row>
    <row r="12" spans="1:9" ht="22.5" customHeight="1" x14ac:dyDescent="0.35">
      <c r="A12" s="63"/>
      <c r="B12" s="63" t="s">
        <v>36</v>
      </c>
      <c r="C12" s="64" t="s">
        <v>35</v>
      </c>
      <c r="D12" s="63"/>
      <c r="E12" s="62">
        <v>1</v>
      </c>
      <c r="F12" s="61" t="s">
        <v>6</v>
      </c>
      <c r="G12" s="60" t="s">
        <v>34</v>
      </c>
      <c r="H12" s="67"/>
      <c r="I12" s="20"/>
    </row>
    <row r="13" spans="1:9" ht="20.399999999999999" x14ac:dyDescent="0.35">
      <c r="A13" s="63"/>
      <c r="B13" s="63" t="s">
        <v>33</v>
      </c>
      <c r="C13" s="64" t="s">
        <v>32</v>
      </c>
      <c r="D13" s="63"/>
      <c r="E13" s="62">
        <v>2</v>
      </c>
      <c r="F13" s="61" t="s">
        <v>6</v>
      </c>
      <c r="G13" s="60" t="s">
        <v>31</v>
      </c>
      <c r="H13" s="21"/>
      <c r="I13" s="20"/>
    </row>
    <row r="14" spans="1:9" ht="20.399999999999999" x14ac:dyDescent="0.35">
      <c r="A14" s="63"/>
      <c r="B14" s="65" t="s">
        <v>30</v>
      </c>
      <c r="C14" s="64" t="s">
        <v>29</v>
      </c>
      <c r="D14" s="63"/>
      <c r="E14" s="62">
        <v>6</v>
      </c>
      <c r="F14" s="61" t="s">
        <v>6</v>
      </c>
      <c r="G14" s="60" t="s">
        <v>28</v>
      </c>
      <c r="H14" s="21"/>
      <c r="I14" s="20"/>
    </row>
    <row r="15" spans="1:9" ht="20.399999999999999" x14ac:dyDescent="0.35">
      <c r="A15" s="63"/>
      <c r="B15" s="63"/>
      <c r="C15" s="64"/>
      <c r="D15" s="63"/>
      <c r="E15" s="62"/>
      <c r="F15" s="61"/>
      <c r="G15" s="60"/>
      <c r="H15" s="21"/>
      <c r="I15" s="20"/>
    </row>
    <row r="16" spans="1:9" ht="21" x14ac:dyDescent="0.35">
      <c r="A16" s="63"/>
      <c r="B16" s="63"/>
      <c r="C16" s="66" t="s">
        <v>46</v>
      </c>
      <c r="D16" s="63"/>
      <c r="E16" s="62"/>
      <c r="F16" s="61"/>
      <c r="G16" s="60"/>
      <c r="H16" s="21"/>
      <c r="I16" s="20"/>
    </row>
    <row r="17" spans="1:9" ht="20.399999999999999" x14ac:dyDescent="0.35">
      <c r="A17" s="63"/>
      <c r="B17" s="45" t="s">
        <v>89</v>
      </c>
      <c r="C17" s="44" t="s">
        <v>80</v>
      </c>
      <c r="D17" s="63" t="s">
        <v>37</v>
      </c>
      <c r="E17" s="62">
        <v>146</v>
      </c>
      <c r="F17" s="61" t="s">
        <v>6</v>
      </c>
      <c r="G17" s="21" t="s">
        <v>43</v>
      </c>
      <c r="I17" s="20"/>
    </row>
    <row r="18" spans="1:9" ht="20.399999999999999" x14ac:dyDescent="0.35">
      <c r="A18" s="63"/>
      <c r="B18" s="63" t="s">
        <v>39</v>
      </c>
      <c r="C18" s="64" t="s">
        <v>38</v>
      </c>
      <c r="D18" s="63" t="s">
        <v>37</v>
      </c>
      <c r="E18" s="62">
        <v>24</v>
      </c>
      <c r="F18" s="61" t="s">
        <v>6</v>
      </c>
      <c r="G18" s="60" t="s">
        <v>94</v>
      </c>
      <c r="H18" s="21"/>
      <c r="I18" s="20"/>
    </row>
    <row r="19" spans="1:9" ht="20.399999999999999" x14ac:dyDescent="0.35">
      <c r="A19" s="63"/>
      <c r="B19" s="63" t="s">
        <v>36</v>
      </c>
      <c r="C19" s="64" t="s">
        <v>35</v>
      </c>
      <c r="D19" s="63"/>
      <c r="E19" s="62">
        <v>1</v>
      </c>
      <c r="F19" s="61" t="s">
        <v>6</v>
      </c>
      <c r="G19" s="60" t="s">
        <v>34</v>
      </c>
      <c r="H19" s="21"/>
      <c r="I19" s="20"/>
    </row>
    <row r="20" spans="1:9" ht="20.399999999999999" x14ac:dyDescent="0.35">
      <c r="A20" s="63"/>
      <c r="B20" s="63" t="s">
        <v>33</v>
      </c>
      <c r="C20" s="64" t="s">
        <v>32</v>
      </c>
      <c r="D20" s="63"/>
      <c r="E20" s="62">
        <v>2</v>
      </c>
      <c r="F20" s="61" t="s">
        <v>6</v>
      </c>
      <c r="G20" s="60" t="s">
        <v>31</v>
      </c>
      <c r="H20" s="21"/>
      <c r="I20" s="20"/>
    </row>
    <row r="21" spans="1:9" ht="20.399999999999999" x14ac:dyDescent="0.35">
      <c r="A21" s="65"/>
      <c r="B21" s="65" t="s">
        <v>30</v>
      </c>
      <c r="C21" s="64" t="s">
        <v>29</v>
      </c>
      <c r="D21" s="63"/>
      <c r="E21" s="62">
        <v>6</v>
      </c>
      <c r="F21" s="61" t="s">
        <v>6</v>
      </c>
      <c r="G21" s="60" t="s">
        <v>28</v>
      </c>
      <c r="H21" s="21"/>
      <c r="I21" s="20"/>
    </row>
    <row r="22" spans="1:9" ht="20.399999999999999" x14ac:dyDescent="0.35">
      <c r="A22" s="58"/>
      <c r="B22" s="58"/>
      <c r="C22" s="44"/>
      <c r="D22" s="4"/>
      <c r="E22" s="4"/>
      <c r="F22" s="4"/>
      <c r="G22" s="4"/>
      <c r="H22" s="21"/>
      <c r="I22" s="20"/>
    </row>
    <row r="23" spans="1:9" ht="21" x14ac:dyDescent="0.4">
      <c r="A23" s="57"/>
      <c r="B23" s="56"/>
      <c r="C23" s="55" t="s">
        <v>27</v>
      </c>
      <c r="D23" s="4"/>
      <c r="E23" s="4"/>
      <c r="F23" s="4"/>
      <c r="G23" s="4"/>
      <c r="H23" s="21"/>
      <c r="I23" s="20"/>
    </row>
    <row r="24" spans="1:9" ht="21" x14ac:dyDescent="0.4">
      <c r="A24" s="45"/>
      <c r="B24" s="45"/>
      <c r="C24" s="44"/>
      <c r="D24" s="43"/>
      <c r="E24" s="5"/>
      <c r="F24" s="23"/>
      <c r="G24" s="29"/>
      <c r="H24" s="21"/>
      <c r="I24" s="20"/>
    </row>
    <row r="25" spans="1:9" ht="21" x14ac:dyDescent="0.4">
      <c r="A25" s="98"/>
      <c r="B25" s="98"/>
      <c r="C25" s="40" t="s">
        <v>26</v>
      </c>
      <c r="D25" s="39"/>
      <c r="E25" s="38"/>
      <c r="F25" s="37"/>
      <c r="G25" s="29"/>
      <c r="H25" s="21"/>
      <c r="I25" s="20"/>
    </row>
    <row r="26" spans="1:9" ht="42" x14ac:dyDescent="0.4">
      <c r="A26" s="36"/>
      <c r="B26" s="35" t="s">
        <v>25</v>
      </c>
      <c r="C26" s="83" t="s">
        <v>75</v>
      </c>
      <c r="D26" s="4"/>
      <c r="E26" s="5">
        <v>1</v>
      </c>
      <c r="F26" s="23" t="s">
        <v>11</v>
      </c>
      <c r="G26" s="30"/>
      <c r="H26" s="21"/>
      <c r="I26" s="20"/>
    </row>
    <row r="27" spans="1:9" ht="21" x14ac:dyDescent="0.4">
      <c r="A27" s="36"/>
      <c r="B27" s="35" t="s">
        <v>24</v>
      </c>
      <c r="C27" s="34" t="s">
        <v>23</v>
      </c>
      <c r="D27" s="4"/>
      <c r="E27" s="5">
        <v>1</v>
      </c>
      <c r="F27" s="23" t="s">
        <v>11</v>
      </c>
      <c r="G27" s="30"/>
      <c r="H27" s="21"/>
      <c r="I27" s="20"/>
    </row>
    <row r="28" spans="1:9" ht="21" x14ac:dyDescent="0.4">
      <c r="A28" s="33"/>
      <c r="B28" s="32" t="s">
        <v>22</v>
      </c>
      <c r="C28" s="31" t="s">
        <v>21</v>
      </c>
      <c r="D28" s="4"/>
      <c r="E28" s="5">
        <v>1</v>
      </c>
      <c r="F28" s="23" t="s">
        <v>11</v>
      </c>
      <c r="G28" s="30"/>
      <c r="H28" s="21"/>
      <c r="I28" s="20"/>
    </row>
    <row r="29" spans="1:9" ht="21" x14ac:dyDescent="0.4">
      <c r="A29" s="27"/>
      <c r="B29" s="94" t="s">
        <v>90</v>
      </c>
      <c r="C29" s="97" t="s">
        <v>91</v>
      </c>
      <c r="D29" s="95"/>
      <c r="E29" s="5">
        <v>1</v>
      </c>
      <c r="F29" s="23" t="s">
        <v>11</v>
      </c>
      <c r="G29" s="29"/>
      <c r="H29" s="21"/>
      <c r="I29" s="20"/>
    </row>
    <row r="30" spans="1:9" ht="21" x14ac:dyDescent="0.4">
      <c r="A30" s="27"/>
      <c r="B30" s="27"/>
      <c r="C30" s="96"/>
      <c r="D30" s="4"/>
      <c r="E30" s="5"/>
      <c r="F30" s="23"/>
      <c r="G30" s="29"/>
      <c r="H30" s="21"/>
      <c r="I30" s="20"/>
    </row>
    <row r="31" spans="1:9" ht="21" thickBot="1" x14ac:dyDescent="0.4">
      <c r="A31" s="19"/>
      <c r="B31" s="18"/>
      <c r="C31" s="15" t="s">
        <v>20</v>
      </c>
      <c r="D31" s="15"/>
      <c r="E31" s="17"/>
      <c r="F31" s="16"/>
      <c r="G31" s="15"/>
      <c r="H31" s="15"/>
      <c r="I31" s="14"/>
    </row>
    <row r="32" spans="1:9" ht="21.6" thickBot="1" x14ac:dyDescent="0.45">
      <c r="A32" s="13"/>
      <c r="B32" s="12"/>
      <c r="C32" s="9" t="s">
        <v>20</v>
      </c>
      <c r="D32" s="1" t="s">
        <v>19</v>
      </c>
      <c r="E32" s="11" t="s">
        <v>18</v>
      </c>
      <c r="F32" s="10"/>
      <c r="G32" s="9"/>
      <c r="H32" s="9"/>
      <c r="I32" s="8"/>
    </row>
    <row r="33" spans="1:9" ht="21" x14ac:dyDescent="0.4">
      <c r="A33" s="125" t="s">
        <v>17</v>
      </c>
      <c r="B33" s="126"/>
      <c r="C33" s="127"/>
      <c r="D33" s="7">
        <v>346</v>
      </c>
      <c r="E33" s="6" t="s">
        <v>6</v>
      </c>
      <c r="F33" s="128" t="s">
        <v>16</v>
      </c>
      <c r="G33" s="128"/>
      <c r="H33" s="129"/>
      <c r="I33" s="130"/>
    </row>
    <row r="34" spans="1:9" ht="21" x14ac:dyDescent="0.4">
      <c r="A34" s="117" t="s">
        <v>15</v>
      </c>
      <c r="B34" s="118"/>
      <c r="C34" s="119"/>
      <c r="D34" s="4">
        <v>4</v>
      </c>
      <c r="E34" s="4" t="s">
        <v>14</v>
      </c>
      <c r="F34" s="120" t="s">
        <v>13</v>
      </c>
      <c r="G34" s="120"/>
      <c r="H34" s="104"/>
      <c r="I34" s="105"/>
    </row>
    <row r="35" spans="1:9" ht="21" x14ac:dyDescent="0.4">
      <c r="A35" s="117" t="s">
        <v>12</v>
      </c>
      <c r="B35" s="118"/>
      <c r="C35" s="119"/>
      <c r="D35" s="5">
        <v>4</v>
      </c>
      <c r="E35" s="4" t="s">
        <v>11</v>
      </c>
      <c r="F35" s="120" t="s">
        <v>10</v>
      </c>
      <c r="G35" s="120"/>
      <c r="H35" s="104"/>
      <c r="I35" s="105"/>
    </row>
    <row r="36" spans="1:9" ht="21" x14ac:dyDescent="0.4">
      <c r="A36" s="117" t="s">
        <v>9</v>
      </c>
      <c r="B36" s="118"/>
      <c r="C36" s="119"/>
      <c r="D36" s="5">
        <v>346</v>
      </c>
      <c r="E36" s="4" t="s">
        <v>6</v>
      </c>
      <c r="F36" s="121" t="s">
        <v>8</v>
      </c>
      <c r="G36" s="122"/>
      <c r="H36" s="123"/>
      <c r="I36" s="124"/>
    </row>
    <row r="37" spans="1:9" ht="21.6" thickBot="1" x14ac:dyDescent="0.45">
      <c r="A37" s="100" t="s">
        <v>7</v>
      </c>
      <c r="B37" s="101"/>
      <c r="C37" s="102"/>
      <c r="D37" s="3">
        <f>SUM(E10:E21)-D33</f>
        <v>14</v>
      </c>
      <c r="E37" s="2" t="s">
        <v>6</v>
      </c>
      <c r="F37" s="103"/>
      <c r="G37" s="103"/>
      <c r="H37" s="104"/>
      <c r="I37" s="105"/>
    </row>
    <row r="38" spans="1:9" ht="21.6" thickBot="1" x14ac:dyDescent="0.45">
      <c r="A38" s="107" t="s">
        <v>5</v>
      </c>
      <c r="B38" s="108"/>
      <c r="C38" s="108"/>
      <c r="D38" s="108"/>
      <c r="E38" s="108"/>
      <c r="F38" s="108"/>
      <c r="G38" s="108"/>
      <c r="H38" s="108"/>
      <c r="I38" s="109"/>
    </row>
    <row r="39" spans="1:9" ht="20.25" customHeight="1" x14ac:dyDescent="0.4">
      <c r="A39" s="111" t="s">
        <v>4</v>
      </c>
      <c r="B39" s="112"/>
      <c r="C39" s="112"/>
      <c r="D39" s="112"/>
      <c r="E39" s="112"/>
      <c r="F39" s="112"/>
      <c r="G39" s="112"/>
      <c r="H39" s="112"/>
      <c r="I39" s="113"/>
    </row>
    <row r="40" spans="1:9" ht="20.25" customHeight="1" x14ac:dyDescent="0.4">
      <c r="A40" s="114" t="s">
        <v>3</v>
      </c>
      <c r="B40" s="115"/>
      <c r="C40" s="115"/>
      <c r="D40" s="115"/>
      <c r="E40" s="115"/>
      <c r="F40" s="115"/>
      <c r="G40" s="115"/>
      <c r="H40" s="115"/>
      <c r="I40" s="116"/>
    </row>
    <row r="41" spans="1:9" ht="20.25" customHeight="1" x14ac:dyDescent="0.4">
      <c r="A41" s="114" t="s">
        <v>2</v>
      </c>
      <c r="B41" s="115"/>
      <c r="C41" s="115"/>
      <c r="D41" s="115"/>
      <c r="E41" s="115"/>
      <c r="F41" s="115"/>
      <c r="G41" s="115"/>
      <c r="H41" s="115"/>
      <c r="I41" s="116"/>
    </row>
    <row r="42" spans="1:9" ht="20.25" customHeight="1" x14ac:dyDescent="0.4">
      <c r="A42" s="114" t="s">
        <v>1</v>
      </c>
      <c r="B42" s="115"/>
      <c r="C42" s="115"/>
      <c r="D42" s="115"/>
      <c r="E42" s="115"/>
      <c r="F42" s="115"/>
      <c r="G42" s="115"/>
      <c r="H42" s="115"/>
      <c r="I42" s="116"/>
    </row>
    <row r="43" spans="1:9" ht="20.399999999999999" x14ac:dyDescent="0.35">
      <c r="A43" s="110"/>
      <c r="B43" s="110"/>
      <c r="C43" s="110"/>
      <c r="D43" s="110"/>
      <c r="E43" s="110"/>
      <c r="F43" s="110"/>
      <c r="G43" s="110"/>
      <c r="H43" s="110"/>
      <c r="I43" s="110"/>
    </row>
    <row r="44" spans="1:9" ht="21" x14ac:dyDescent="0.4">
      <c r="A44" s="106" t="s">
        <v>0</v>
      </c>
      <c r="B44" s="106"/>
      <c r="C44" s="106"/>
      <c r="D44" s="106"/>
      <c r="E44" s="106"/>
      <c r="F44" s="106"/>
      <c r="G44" s="106"/>
      <c r="H44" s="106"/>
      <c r="I44" s="106"/>
    </row>
    <row r="45" spans="1:9" ht="20.399999999999999" x14ac:dyDescent="0.35">
      <c r="A45" s="99" t="s">
        <v>83</v>
      </c>
      <c r="B45" s="99"/>
      <c r="C45" s="99"/>
      <c r="D45" s="99"/>
      <c r="E45" s="99"/>
      <c r="F45" s="99"/>
      <c r="G45" s="99"/>
      <c r="H45" s="99"/>
      <c r="I45" s="99"/>
    </row>
    <row r="46" spans="1:9" ht="20.399999999999999" x14ac:dyDescent="0.35">
      <c r="A46" s="99" t="s">
        <v>92</v>
      </c>
      <c r="B46" s="99"/>
      <c r="C46" s="99"/>
      <c r="D46" s="99"/>
      <c r="E46" s="99"/>
      <c r="F46" s="99"/>
      <c r="G46" s="99"/>
      <c r="H46" s="99"/>
      <c r="I46" s="99"/>
    </row>
    <row r="47" spans="1:9" ht="20.399999999999999" x14ac:dyDescent="0.35">
      <c r="A47" s="99" t="s">
        <v>95</v>
      </c>
      <c r="B47" s="99"/>
      <c r="C47" s="99"/>
      <c r="D47" s="99"/>
      <c r="E47" s="99"/>
      <c r="F47" s="99"/>
      <c r="G47" s="99"/>
      <c r="H47" s="99"/>
      <c r="I47" s="99"/>
    </row>
  </sheetData>
  <mergeCells count="42"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47:I47"/>
    <mergeCell ref="A37:C37"/>
    <mergeCell ref="F37:G37"/>
    <mergeCell ref="H37:I37"/>
    <mergeCell ref="A44:I44"/>
    <mergeCell ref="A45:I45"/>
    <mergeCell ref="A46:I46"/>
    <mergeCell ref="A38:I38"/>
    <mergeCell ref="A43:I43"/>
    <mergeCell ref="A39:I39"/>
    <mergeCell ref="A40:I40"/>
    <mergeCell ref="A41:I41"/>
    <mergeCell ref="A42:I42"/>
  </mergeCells>
  <pageMargins left="0.25" right="0.25" top="0.75" bottom="0.75" header="0.3" footer="0.3"/>
  <pageSetup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3B40-6098-4977-AAB0-B8E293D33574}">
  <dimension ref="A1:I47"/>
  <sheetViews>
    <sheetView zoomScale="58" workbookViewId="0">
      <selection sqref="A1:XFD1048576"/>
    </sheetView>
  </sheetViews>
  <sheetFormatPr baseColWidth="10" defaultRowHeight="14.4" x14ac:dyDescent="0.3"/>
  <cols>
    <col min="2" max="2" width="18.5546875" bestFit="1" customWidth="1"/>
    <col min="3" max="3" width="62.33203125" customWidth="1"/>
    <col min="4" max="4" width="15.5546875" customWidth="1"/>
    <col min="5" max="5" width="14.44140625" customWidth="1"/>
    <col min="6" max="6" width="13.33203125" customWidth="1"/>
    <col min="7" max="7" width="20.44140625" customWidth="1"/>
    <col min="8" max="8" width="16.33203125" customWidth="1"/>
    <col min="9" max="9" width="19.33203125" bestFit="1" customWidth="1"/>
    <col min="10" max="10" width="11.44140625" customWidth="1"/>
  </cols>
  <sheetData>
    <row r="1" spans="1:9" ht="15.6" x14ac:dyDescent="0.3">
      <c r="A1" s="140"/>
      <c r="B1" s="141"/>
      <c r="C1" s="146" t="s">
        <v>74</v>
      </c>
      <c r="D1" s="146"/>
      <c r="E1" s="146"/>
      <c r="F1" s="146"/>
      <c r="G1" s="146"/>
      <c r="H1" s="81" t="s">
        <v>73</v>
      </c>
      <c r="I1" s="80"/>
    </row>
    <row r="2" spans="1:9" ht="18" customHeight="1" thickBot="1" x14ac:dyDescent="0.35">
      <c r="A2" s="142"/>
      <c r="B2" s="143"/>
      <c r="C2" s="147" t="s">
        <v>72</v>
      </c>
      <c r="D2" s="148"/>
      <c r="E2" s="148"/>
      <c r="F2" s="148"/>
      <c r="G2" s="149"/>
      <c r="H2" s="79" t="s">
        <v>71</v>
      </c>
      <c r="I2" s="78"/>
    </row>
    <row r="3" spans="1:9" ht="54.75" customHeight="1" thickBot="1" x14ac:dyDescent="0.35">
      <c r="A3" s="142"/>
      <c r="B3" s="143"/>
      <c r="C3" s="163" t="s">
        <v>88</v>
      </c>
      <c r="D3" s="163"/>
      <c r="E3" s="163"/>
      <c r="F3" s="163"/>
      <c r="G3" s="163"/>
      <c r="H3" s="151" t="s">
        <v>70</v>
      </c>
      <c r="I3" s="131"/>
    </row>
    <row r="4" spans="1:9" ht="18" customHeight="1" x14ac:dyDescent="0.3">
      <c r="A4" s="142"/>
      <c r="B4" s="143"/>
      <c r="C4" s="77" t="s">
        <v>69</v>
      </c>
      <c r="D4" s="134" t="s">
        <v>68</v>
      </c>
      <c r="E4" s="135"/>
      <c r="F4" s="135"/>
      <c r="G4" s="136"/>
      <c r="H4" s="152"/>
      <c r="I4" s="132"/>
    </row>
    <row r="5" spans="1:9" ht="15" thickBot="1" x14ac:dyDescent="0.35">
      <c r="A5" s="144"/>
      <c r="B5" s="145"/>
      <c r="C5" s="76" t="s">
        <v>67</v>
      </c>
      <c r="D5" s="137" t="s">
        <v>66</v>
      </c>
      <c r="E5" s="138"/>
      <c r="F5" s="138"/>
      <c r="G5" s="139"/>
      <c r="H5" s="153"/>
      <c r="I5" s="133"/>
    </row>
    <row r="6" spans="1:9" ht="18" thickBot="1" x14ac:dyDescent="0.35">
      <c r="A6" s="154" t="s">
        <v>65</v>
      </c>
      <c r="B6" s="154"/>
      <c r="C6" s="154"/>
      <c r="D6" s="155" t="s">
        <v>77</v>
      </c>
      <c r="E6" s="155"/>
      <c r="F6" s="155"/>
      <c r="G6" s="156" t="s">
        <v>63</v>
      </c>
      <c r="H6" s="156"/>
      <c r="I6" s="82" t="s">
        <v>78</v>
      </c>
    </row>
    <row r="7" spans="1:9" ht="26.25" customHeight="1" x14ac:dyDescent="0.3">
      <c r="A7" s="157" t="s">
        <v>61</v>
      </c>
      <c r="B7" s="159" t="s">
        <v>60</v>
      </c>
      <c r="C7" s="161" t="s">
        <v>59</v>
      </c>
      <c r="D7" s="161" t="s">
        <v>58</v>
      </c>
      <c r="E7" s="161" t="s">
        <v>57</v>
      </c>
      <c r="F7" s="161"/>
      <c r="G7" s="161" t="s">
        <v>56</v>
      </c>
      <c r="H7" s="161"/>
      <c r="I7" s="75" t="s">
        <v>55</v>
      </c>
    </row>
    <row r="8" spans="1:9" ht="34.5" customHeight="1" thickBot="1" x14ac:dyDescent="0.35">
      <c r="A8" s="158"/>
      <c r="B8" s="160"/>
      <c r="C8" s="162"/>
      <c r="D8" s="162"/>
      <c r="E8" s="74" t="s">
        <v>19</v>
      </c>
      <c r="F8" s="73" t="s">
        <v>54</v>
      </c>
      <c r="G8" s="74" t="s">
        <v>19</v>
      </c>
      <c r="H8" s="73" t="s">
        <v>54</v>
      </c>
      <c r="I8" s="72" t="s">
        <v>53</v>
      </c>
    </row>
    <row r="9" spans="1:9" ht="21" x14ac:dyDescent="0.35">
      <c r="A9" s="63"/>
      <c r="B9" s="63"/>
      <c r="C9" s="66" t="s">
        <v>46</v>
      </c>
      <c r="D9" s="63"/>
      <c r="E9" s="62"/>
      <c r="F9" s="61"/>
      <c r="G9" s="60"/>
      <c r="H9" s="21"/>
      <c r="I9" s="20"/>
    </row>
    <row r="10" spans="1:9" ht="20.399999999999999" x14ac:dyDescent="0.35">
      <c r="A10" s="63"/>
      <c r="B10" s="45" t="s">
        <v>45</v>
      </c>
      <c r="C10" s="44" t="s">
        <v>44</v>
      </c>
      <c r="D10" s="63" t="s">
        <v>37</v>
      </c>
      <c r="E10" s="62">
        <v>60</v>
      </c>
      <c r="F10" s="61" t="s">
        <v>6</v>
      </c>
      <c r="G10" s="60">
        <v>1</v>
      </c>
      <c r="H10" s="21" t="s">
        <v>84</v>
      </c>
      <c r="I10" s="20"/>
    </row>
    <row r="11" spans="1:9" ht="20.399999999999999" x14ac:dyDescent="0.35">
      <c r="A11" s="63"/>
      <c r="B11" s="90" t="s">
        <v>42</v>
      </c>
      <c r="C11" s="91" t="s">
        <v>41</v>
      </c>
      <c r="D11" s="84" t="s">
        <v>40</v>
      </c>
      <c r="E11" s="86">
        <v>15</v>
      </c>
      <c r="F11" s="61" t="s">
        <v>6</v>
      </c>
      <c r="G11" s="60"/>
      <c r="H11" s="21"/>
      <c r="I11" s="20"/>
    </row>
    <row r="12" spans="1:9" ht="20.399999999999999" x14ac:dyDescent="0.35">
      <c r="A12" s="63"/>
      <c r="B12" s="84"/>
      <c r="C12" s="85"/>
      <c r="D12" s="84"/>
      <c r="E12" s="86"/>
      <c r="F12" s="87"/>
      <c r="G12" s="89"/>
      <c r="H12" s="21"/>
      <c r="I12" s="20"/>
    </row>
    <row r="13" spans="1:9" ht="20.399999999999999" x14ac:dyDescent="0.35">
      <c r="A13" s="63"/>
      <c r="B13" s="84"/>
      <c r="C13" s="85"/>
      <c r="D13" s="84"/>
      <c r="E13" s="86"/>
      <c r="F13" s="87"/>
      <c r="G13" s="89"/>
      <c r="H13" s="21"/>
      <c r="I13" s="20"/>
    </row>
    <row r="14" spans="1:9" ht="20.399999999999999" x14ac:dyDescent="0.35">
      <c r="A14" s="63"/>
      <c r="B14" s="84"/>
      <c r="C14" s="85"/>
      <c r="D14" s="84"/>
      <c r="E14" s="86"/>
      <c r="F14" s="87"/>
      <c r="G14" s="89"/>
      <c r="H14" s="21"/>
      <c r="I14" s="20"/>
    </row>
    <row r="15" spans="1:9" ht="20.399999999999999" x14ac:dyDescent="0.35">
      <c r="A15" s="65"/>
      <c r="B15" s="88"/>
      <c r="C15" s="85"/>
      <c r="D15" s="84"/>
      <c r="E15" s="86"/>
      <c r="F15" s="87"/>
      <c r="G15" s="89"/>
      <c r="H15" s="21"/>
      <c r="I15" s="20"/>
    </row>
    <row r="16" spans="1:9" ht="20.399999999999999" x14ac:dyDescent="0.35">
      <c r="A16" s="65"/>
      <c r="B16" s="65"/>
      <c r="C16" s="64"/>
      <c r="D16" s="63"/>
      <c r="E16" s="62"/>
      <c r="F16" s="61"/>
      <c r="G16" s="60"/>
      <c r="H16" s="21"/>
      <c r="I16" s="20"/>
    </row>
    <row r="17" spans="1:9" ht="20.399999999999999" x14ac:dyDescent="0.35">
      <c r="A17" s="58"/>
      <c r="B17" s="58"/>
      <c r="C17" s="44"/>
      <c r="D17" s="4"/>
      <c r="E17" s="4"/>
      <c r="F17" s="4"/>
      <c r="G17" s="4"/>
      <c r="H17" s="21"/>
      <c r="I17" s="20"/>
    </row>
    <row r="18" spans="1:9" ht="21" x14ac:dyDescent="0.4">
      <c r="A18" s="57"/>
      <c r="B18" s="56"/>
      <c r="C18" s="55" t="s">
        <v>27</v>
      </c>
      <c r="D18" s="4"/>
      <c r="E18" s="4"/>
      <c r="F18" s="4"/>
      <c r="G18" s="4"/>
      <c r="H18" s="21"/>
      <c r="I18" s="20"/>
    </row>
    <row r="19" spans="1:9" ht="21" x14ac:dyDescent="0.4">
      <c r="A19" s="57"/>
      <c r="B19" s="56"/>
      <c r="C19" s="55"/>
      <c r="D19" s="54"/>
      <c r="E19" s="53"/>
      <c r="F19" s="52"/>
      <c r="G19" s="29"/>
      <c r="H19" s="21"/>
      <c r="I19" s="20"/>
    </row>
    <row r="20" spans="1:9" ht="21" x14ac:dyDescent="0.4">
      <c r="A20" s="51"/>
      <c r="B20" s="50"/>
      <c r="C20" s="49"/>
      <c r="D20" s="48"/>
      <c r="E20" s="47"/>
      <c r="F20" s="46"/>
      <c r="G20" s="29"/>
      <c r="H20" s="21"/>
      <c r="I20" s="20"/>
    </row>
    <row r="21" spans="1:9" ht="21" x14ac:dyDescent="0.4">
      <c r="A21" s="45"/>
      <c r="B21" s="45"/>
      <c r="C21" s="44"/>
      <c r="D21" s="43"/>
      <c r="E21" s="5"/>
      <c r="F21" s="23"/>
      <c r="G21" s="29"/>
      <c r="H21" s="21"/>
      <c r="I21" s="20"/>
    </row>
    <row r="22" spans="1:9" ht="21" x14ac:dyDescent="0.4">
      <c r="A22" s="42"/>
      <c r="B22" s="41"/>
      <c r="C22" s="40" t="s">
        <v>26</v>
      </c>
      <c r="D22" s="39"/>
      <c r="E22" s="38"/>
      <c r="F22" s="37"/>
      <c r="G22" s="29"/>
      <c r="H22" s="21"/>
      <c r="I22" s="20"/>
    </row>
    <row r="23" spans="1:9" ht="21" x14ac:dyDescent="0.4">
      <c r="A23" s="36"/>
      <c r="B23" s="35"/>
      <c r="C23" s="83"/>
      <c r="D23" s="4"/>
      <c r="E23" s="5"/>
      <c r="F23" s="23"/>
      <c r="G23" s="30"/>
      <c r="H23" s="21"/>
      <c r="I23" s="20"/>
    </row>
    <row r="24" spans="1:9" ht="21" x14ac:dyDescent="0.4">
      <c r="A24" s="36"/>
      <c r="B24" s="35"/>
      <c r="C24" s="34"/>
      <c r="D24" s="4"/>
      <c r="E24" s="5"/>
      <c r="F24" s="23"/>
      <c r="G24" s="30"/>
      <c r="H24" s="21"/>
      <c r="I24" s="20"/>
    </row>
    <row r="25" spans="1:9" ht="21" x14ac:dyDescent="0.4">
      <c r="A25" s="33"/>
      <c r="B25" s="32"/>
      <c r="C25" s="31"/>
      <c r="D25" s="4"/>
      <c r="E25" s="5"/>
      <c r="F25" s="23"/>
      <c r="G25" s="30"/>
      <c r="H25" s="21"/>
      <c r="I25" s="20"/>
    </row>
    <row r="26" spans="1:9" ht="21" x14ac:dyDescent="0.4">
      <c r="A26" s="27"/>
      <c r="B26" s="27"/>
      <c r="C26" s="26"/>
      <c r="D26" s="4"/>
      <c r="E26" s="5"/>
      <c r="F26" s="23"/>
      <c r="G26" s="29"/>
      <c r="H26" s="21"/>
      <c r="I26" s="20"/>
    </row>
    <row r="27" spans="1:9" ht="21" x14ac:dyDescent="0.4">
      <c r="A27" s="27"/>
      <c r="B27" s="27"/>
      <c r="C27" s="26"/>
      <c r="D27" s="4"/>
      <c r="E27" s="5"/>
      <c r="F27" s="23"/>
      <c r="G27" s="29"/>
      <c r="H27" s="21"/>
      <c r="I27" s="20"/>
    </row>
    <row r="28" spans="1:9" ht="20.399999999999999" x14ac:dyDescent="0.35">
      <c r="A28" s="27"/>
      <c r="B28" s="27"/>
      <c r="C28" s="26"/>
      <c r="D28" s="4"/>
      <c r="E28" s="5"/>
      <c r="F28" s="23"/>
      <c r="G28" s="28"/>
      <c r="H28" s="21"/>
      <c r="I28" s="20"/>
    </row>
    <row r="29" spans="1:9" ht="20.399999999999999" x14ac:dyDescent="0.35">
      <c r="A29" s="25"/>
      <c r="B29" s="25"/>
      <c r="C29" s="24"/>
      <c r="D29" s="4"/>
      <c r="E29" s="23"/>
      <c r="F29" s="23"/>
      <c r="G29" s="22"/>
      <c r="H29" s="21"/>
      <c r="I29" s="20"/>
    </row>
    <row r="30" spans="1:9" ht="21" thickBot="1" x14ac:dyDescent="0.4">
      <c r="A30" s="19"/>
      <c r="B30" s="18"/>
      <c r="C30" s="15" t="s">
        <v>20</v>
      </c>
      <c r="D30" s="15"/>
      <c r="E30" s="17"/>
      <c r="F30" s="16"/>
      <c r="G30" s="15"/>
      <c r="H30" s="15"/>
      <c r="I30" s="14"/>
    </row>
    <row r="31" spans="1:9" ht="21.6" thickBot="1" x14ac:dyDescent="0.45">
      <c r="A31" s="13"/>
      <c r="B31" s="12"/>
      <c r="C31" s="9" t="s">
        <v>20</v>
      </c>
      <c r="D31" s="1" t="s">
        <v>19</v>
      </c>
      <c r="E31" s="11" t="s">
        <v>18</v>
      </c>
      <c r="F31" s="10"/>
      <c r="G31" s="9"/>
      <c r="H31" s="9"/>
      <c r="I31" s="8"/>
    </row>
    <row r="32" spans="1:9" ht="21" x14ac:dyDescent="0.4">
      <c r="A32" s="125" t="s">
        <v>17</v>
      </c>
      <c r="B32" s="126"/>
      <c r="C32" s="127"/>
      <c r="D32" s="7">
        <v>73</v>
      </c>
      <c r="E32" s="6" t="s">
        <v>6</v>
      </c>
      <c r="F32" s="128" t="s">
        <v>16</v>
      </c>
      <c r="G32" s="128"/>
      <c r="H32" s="129"/>
      <c r="I32" s="130"/>
    </row>
    <row r="33" spans="1:9" ht="21" x14ac:dyDescent="0.4">
      <c r="A33" s="117" t="s">
        <v>15</v>
      </c>
      <c r="B33" s="118"/>
      <c r="C33" s="119"/>
      <c r="D33" s="4">
        <v>2</v>
      </c>
      <c r="E33" s="4" t="s">
        <v>14</v>
      </c>
      <c r="F33" s="120" t="s">
        <v>13</v>
      </c>
      <c r="G33" s="120"/>
      <c r="H33" s="104"/>
      <c r="I33" s="105"/>
    </row>
    <row r="34" spans="1:9" ht="21" x14ac:dyDescent="0.4">
      <c r="A34" s="117" t="s">
        <v>12</v>
      </c>
      <c r="B34" s="118"/>
      <c r="C34" s="119"/>
      <c r="D34" s="5">
        <v>1</v>
      </c>
      <c r="E34" s="4" t="s">
        <v>11</v>
      </c>
      <c r="F34" s="120" t="s">
        <v>10</v>
      </c>
      <c r="G34" s="120"/>
      <c r="H34" s="104"/>
      <c r="I34" s="105"/>
    </row>
    <row r="35" spans="1:9" ht="21" x14ac:dyDescent="0.4">
      <c r="A35" s="117" t="s">
        <v>9</v>
      </c>
      <c r="B35" s="118"/>
      <c r="C35" s="119"/>
      <c r="D35" s="5">
        <v>73</v>
      </c>
      <c r="E35" s="4" t="s">
        <v>6</v>
      </c>
      <c r="F35" s="121" t="s">
        <v>8</v>
      </c>
      <c r="G35" s="122"/>
      <c r="H35" s="123"/>
      <c r="I35" s="124"/>
    </row>
    <row r="36" spans="1:9" ht="21.6" thickBot="1" x14ac:dyDescent="0.45">
      <c r="A36" s="100" t="s">
        <v>7</v>
      </c>
      <c r="B36" s="101"/>
      <c r="C36" s="102"/>
      <c r="D36" s="3">
        <f>SUM(E9:E15)-D32</f>
        <v>2</v>
      </c>
      <c r="E36" s="2" t="s">
        <v>6</v>
      </c>
      <c r="F36" s="103"/>
      <c r="G36" s="103"/>
      <c r="H36" s="104"/>
      <c r="I36" s="105"/>
    </row>
    <row r="37" spans="1:9" ht="21.6" thickBot="1" x14ac:dyDescent="0.45">
      <c r="A37" s="107" t="s">
        <v>5</v>
      </c>
      <c r="B37" s="108"/>
      <c r="C37" s="108"/>
      <c r="D37" s="108"/>
      <c r="E37" s="108"/>
      <c r="F37" s="108"/>
      <c r="G37" s="108"/>
      <c r="H37" s="108"/>
      <c r="I37" s="109"/>
    </row>
    <row r="38" spans="1:9" ht="28.2" customHeight="1" x14ac:dyDescent="0.4">
      <c r="A38" s="111" t="s">
        <v>81</v>
      </c>
      <c r="B38" s="112"/>
      <c r="C38" s="112"/>
      <c r="D38" s="112"/>
      <c r="E38" s="112"/>
      <c r="F38" s="112"/>
      <c r="G38" s="112"/>
      <c r="H38" s="112"/>
      <c r="I38" s="113"/>
    </row>
    <row r="39" spans="1:9" ht="28.2" customHeight="1" x14ac:dyDescent="0.4">
      <c r="A39" s="114" t="s">
        <v>82</v>
      </c>
      <c r="B39" s="115"/>
      <c r="C39" s="115"/>
      <c r="D39" s="115"/>
      <c r="E39" s="115"/>
      <c r="F39" s="115"/>
      <c r="G39" s="115"/>
      <c r="H39" s="115"/>
      <c r="I39" s="116"/>
    </row>
    <row r="40" spans="1:9" ht="20.25" customHeight="1" x14ac:dyDescent="0.4">
      <c r="A40" s="114"/>
      <c r="B40" s="115"/>
      <c r="C40" s="115"/>
      <c r="D40" s="115"/>
      <c r="E40" s="115"/>
      <c r="F40" s="115"/>
      <c r="G40" s="115"/>
      <c r="H40" s="115"/>
      <c r="I40" s="116"/>
    </row>
    <row r="41" spans="1:9" ht="20.25" customHeight="1" x14ac:dyDescent="0.4">
      <c r="A41" s="114"/>
      <c r="B41" s="115"/>
      <c r="C41" s="115"/>
      <c r="D41" s="115"/>
      <c r="E41" s="115"/>
      <c r="F41" s="115"/>
      <c r="G41" s="115"/>
      <c r="H41" s="115"/>
      <c r="I41" s="116"/>
    </row>
    <row r="42" spans="1:9" ht="21" x14ac:dyDescent="0.4">
      <c r="A42" s="114"/>
      <c r="B42" s="115"/>
      <c r="C42" s="115"/>
      <c r="D42" s="115"/>
      <c r="E42" s="115"/>
      <c r="F42" s="115"/>
      <c r="G42" s="115"/>
      <c r="H42" s="115"/>
      <c r="I42" s="116"/>
    </row>
    <row r="43" spans="1:9" ht="20.399999999999999" x14ac:dyDescent="0.35">
      <c r="A43" s="164"/>
      <c r="B43" s="164"/>
      <c r="C43" s="164"/>
      <c r="D43" s="164"/>
      <c r="E43" s="164"/>
      <c r="F43" s="164"/>
      <c r="G43" s="164"/>
      <c r="H43" s="164"/>
      <c r="I43" s="164"/>
    </row>
    <row r="44" spans="1:9" ht="20.399999999999999" x14ac:dyDescent="0.35">
      <c r="A44" s="110"/>
      <c r="B44" s="110"/>
      <c r="C44" s="110"/>
      <c r="D44" s="110"/>
      <c r="E44" s="110"/>
      <c r="F44" s="110"/>
      <c r="G44" s="110"/>
      <c r="H44" s="110"/>
      <c r="I44" s="110"/>
    </row>
    <row r="45" spans="1:9" ht="21" x14ac:dyDescent="0.4">
      <c r="A45" s="106" t="s">
        <v>0</v>
      </c>
      <c r="B45" s="106"/>
      <c r="C45" s="106"/>
      <c r="D45" s="106"/>
      <c r="E45" s="106"/>
      <c r="F45" s="106"/>
      <c r="G45" s="106"/>
      <c r="H45" s="106"/>
      <c r="I45" s="106"/>
    </row>
    <row r="46" spans="1:9" ht="20.399999999999999" x14ac:dyDescent="0.35">
      <c r="A46" s="99"/>
      <c r="B46" s="99"/>
      <c r="C46" s="99"/>
      <c r="D46" s="99"/>
      <c r="E46" s="99"/>
      <c r="F46" s="99"/>
      <c r="G46" s="99"/>
      <c r="H46" s="99"/>
      <c r="I46" s="99"/>
    </row>
    <row r="47" spans="1:9" ht="20.399999999999999" x14ac:dyDescent="0.35">
      <c r="A47" s="99"/>
      <c r="B47" s="99"/>
      <c r="C47" s="99"/>
      <c r="D47" s="99"/>
      <c r="E47" s="99"/>
      <c r="F47" s="99"/>
      <c r="G47" s="99"/>
      <c r="H47" s="99"/>
      <c r="I47" s="99"/>
    </row>
  </sheetData>
  <mergeCells count="43">
    <mergeCell ref="A46:I46"/>
    <mergeCell ref="A47:I47"/>
    <mergeCell ref="A40:I40"/>
    <mergeCell ref="A41:I41"/>
    <mergeCell ref="A42:I42"/>
    <mergeCell ref="A43:I43"/>
    <mergeCell ref="A44:I44"/>
    <mergeCell ref="A45:I45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32:C32"/>
    <mergeCell ref="F32:G32"/>
    <mergeCell ref="H32:I32"/>
    <mergeCell ref="A33:C33"/>
    <mergeCell ref="F33:G33"/>
    <mergeCell ref="H33:I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86A-4C62-4058-AC56-18F6C5BFF04E}">
  <dimension ref="A1:J55"/>
  <sheetViews>
    <sheetView zoomScale="70" workbookViewId="0">
      <selection activeCell="C13" sqref="C13"/>
    </sheetView>
  </sheetViews>
  <sheetFormatPr baseColWidth="10" defaultRowHeight="14.4" x14ac:dyDescent="0.3"/>
  <cols>
    <col min="2" max="2" width="18.5546875" bestFit="1" customWidth="1"/>
    <col min="3" max="3" width="62.33203125" customWidth="1"/>
    <col min="4" max="4" width="15.5546875" customWidth="1"/>
    <col min="5" max="5" width="14.44140625" customWidth="1"/>
    <col min="6" max="6" width="13.33203125" customWidth="1"/>
    <col min="7" max="7" width="20.44140625" customWidth="1"/>
    <col min="8" max="8" width="16.33203125" customWidth="1"/>
    <col min="9" max="9" width="19.33203125" bestFit="1" customWidth="1"/>
    <col min="10" max="10" width="11.44140625" customWidth="1"/>
  </cols>
  <sheetData>
    <row r="1" spans="1:9" ht="15.6" x14ac:dyDescent="0.3">
      <c r="A1" s="140"/>
      <c r="B1" s="141"/>
      <c r="C1" s="146" t="s">
        <v>74</v>
      </c>
      <c r="D1" s="146"/>
      <c r="E1" s="146"/>
      <c r="F1" s="146"/>
      <c r="G1" s="146"/>
      <c r="H1" s="81" t="s">
        <v>73</v>
      </c>
      <c r="I1" s="80"/>
    </row>
    <row r="2" spans="1:9" ht="18" customHeight="1" thickBot="1" x14ac:dyDescent="0.35">
      <c r="A2" s="142"/>
      <c r="B2" s="143"/>
      <c r="C2" s="147" t="s">
        <v>72</v>
      </c>
      <c r="D2" s="148"/>
      <c r="E2" s="148"/>
      <c r="F2" s="148"/>
      <c r="G2" s="149"/>
      <c r="H2" s="79" t="s">
        <v>71</v>
      </c>
      <c r="I2" s="78"/>
    </row>
    <row r="3" spans="1:9" ht="54.75" customHeight="1" thickBot="1" x14ac:dyDescent="0.35">
      <c r="A3" s="142"/>
      <c r="B3" s="143"/>
      <c r="C3" s="163" t="s">
        <v>86</v>
      </c>
      <c r="D3" s="163"/>
      <c r="E3" s="163"/>
      <c r="F3" s="163"/>
      <c r="G3" s="163"/>
      <c r="H3" s="151" t="s">
        <v>70</v>
      </c>
      <c r="I3" s="131"/>
    </row>
    <row r="4" spans="1:9" ht="18" customHeight="1" x14ac:dyDescent="0.3">
      <c r="A4" s="142"/>
      <c r="B4" s="143"/>
      <c r="C4" s="77" t="s">
        <v>69</v>
      </c>
      <c r="D4" s="134" t="s">
        <v>68</v>
      </c>
      <c r="E4" s="135"/>
      <c r="F4" s="135"/>
      <c r="G4" s="136"/>
      <c r="H4" s="152"/>
      <c r="I4" s="132"/>
    </row>
    <row r="5" spans="1:9" ht="15" thickBot="1" x14ac:dyDescent="0.35">
      <c r="A5" s="144"/>
      <c r="B5" s="145"/>
      <c r="C5" s="76" t="s">
        <v>67</v>
      </c>
      <c r="D5" s="137" t="s">
        <v>66</v>
      </c>
      <c r="E5" s="138"/>
      <c r="F5" s="138"/>
      <c r="G5" s="139"/>
      <c r="H5" s="153"/>
      <c r="I5" s="133"/>
    </row>
    <row r="6" spans="1:9" ht="18" thickBot="1" x14ac:dyDescent="0.35">
      <c r="A6" s="154" t="s">
        <v>65</v>
      </c>
      <c r="B6" s="154"/>
      <c r="C6" s="154"/>
      <c r="D6" s="155" t="s">
        <v>77</v>
      </c>
      <c r="E6" s="155"/>
      <c r="F6" s="155"/>
      <c r="G6" s="156" t="s">
        <v>63</v>
      </c>
      <c r="H6" s="156"/>
      <c r="I6" s="82" t="s">
        <v>78</v>
      </c>
    </row>
    <row r="7" spans="1:9" ht="26.25" customHeight="1" x14ac:dyDescent="0.3">
      <c r="A7" s="157" t="s">
        <v>61</v>
      </c>
      <c r="B7" s="159" t="s">
        <v>60</v>
      </c>
      <c r="C7" s="161" t="s">
        <v>59</v>
      </c>
      <c r="D7" s="161" t="s">
        <v>58</v>
      </c>
      <c r="E7" s="161" t="s">
        <v>57</v>
      </c>
      <c r="F7" s="161"/>
      <c r="G7" s="161" t="s">
        <v>56</v>
      </c>
      <c r="H7" s="161"/>
      <c r="I7" s="75" t="s">
        <v>55</v>
      </c>
    </row>
    <row r="8" spans="1:9" ht="34.5" customHeight="1" thickBot="1" x14ac:dyDescent="0.35">
      <c r="A8" s="158"/>
      <c r="B8" s="160"/>
      <c r="C8" s="162"/>
      <c r="D8" s="162"/>
      <c r="E8" s="74" t="s">
        <v>19</v>
      </c>
      <c r="F8" s="73" t="s">
        <v>54</v>
      </c>
      <c r="G8" s="74" t="s">
        <v>19</v>
      </c>
      <c r="H8" s="73" t="s">
        <v>54</v>
      </c>
      <c r="I8" s="72" t="s">
        <v>53</v>
      </c>
    </row>
    <row r="9" spans="1:9" ht="18.45" customHeight="1" x14ac:dyDescent="0.4">
      <c r="A9" s="71"/>
      <c r="B9" s="70"/>
      <c r="C9" s="69" t="s">
        <v>52</v>
      </c>
      <c r="D9" s="68"/>
      <c r="E9" s="29"/>
      <c r="F9" s="37"/>
      <c r="G9" s="29"/>
      <c r="H9" s="37"/>
      <c r="I9" s="20"/>
    </row>
    <row r="10" spans="1:9" ht="20.399999999999999" x14ac:dyDescent="0.35">
      <c r="A10" s="59"/>
      <c r="B10" s="45" t="s">
        <v>51</v>
      </c>
      <c r="C10" s="44" t="s">
        <v>50</v>
      </c>
      <c r="D10" s="63" t="s">
        <v>37</v>
      </c>
      <c r="E10" s="62">
        <v>65</v>
      </c>
      <c r="F10" s="61" t="s">
        <v>6</v>
      </c>
      <c r="G10" s="60">
        <v>1</v>
      </c>
      <c r="H10" s="21" t="s">
        <v>85</v>
      </c>
      <c r="I10" s="20"/>
    </row>
    <row r="11" spans="1:9" ht="20.399999999999999" x14ac:dyDescent="0.35">
      <c r="A11" s="59"/>
      <c r="B11" s="90" t="s">
        <v>42</v>
      </c>
      <c r="C11" s="91" t="s">
        <v>41</v>
      </c>
      <c r="D11" s="84" t="s">
        <v>40</v>
      </c>
      <c r="E11" s="60">
        <v>15</v>
      </c>
      <c r="F11" s="61" t="s">
        <v>6</v>
      </c>
      <c r="G11" s="92"/>
      <c r="H11" s="21"/>
      <c r="I11" s="20"/>
    </row>
    <row r="12" spans="1:9" ht="22.5" customHeight="1" x14ac:dyDescent="0.35">
      <c r="A12" s="63"/>
      <c r="B12" s="92"/>
      <c r="C12" s="92"/>
      <c r="D12" s="92"/>
      <c r="E12" s="92"/>
      <c r="F12" s="61"/>
      <c r="G12" s="93"/>
      <c r="H12" s="67"/>
      <c r="I12" s="20"/>
    </row>
    <row r="13" spans="1:9" ht="22.5" customHeight="1" x14ac:dyDescent="0.35">
      <c r="A13" s="63"/>
      <c r="B13" s="84"/>
      <c r="C13" s="85"/>
      <c r="D13" s="84"/>
      <c r="E13" s="86"/>
      <c r="F13" s="87"/>
      <c r="G13" s="60"/>
      <c r="H13" s="67"/>
      <c r="I13" s="20"/>
    </row>
    <row r="14" spans="1:9" ht="20.399999999999999" x14ac:dyDescent="0.35">
      <c r="A14" s="63"/>
      <c r="B14" s="84"/>
      <c r="C14" s="85"/>
      <c r="D14" s="84"/>
      <c r="E14" s="86"/>
      <c r="F14" s="87"/>
      <c r="G14" s="60"/>
      <c r="H14" s="21"/>
      <c r="I14" s="20"/>
    </row>
    <row r="15" spans="1:9" ht="20.399999999999999" x14ac:dyDescent="0.35">
      <c r="A15" s="63"/>
      <c r="B15" s="84"/>
      <c r="C15" s="85"/>
      <c r="D15" s="84"/>
      <c r="E15" s="86"/>
      <c r="F15" s="87"/>
      <c r="G15" s="60"/>
      <c r="H15" s="21"/>
      <c r="I15" s="20"/>
    </row>
    <row r="16" spans="1:9" ht="20.399999999999999" x14ac:dyDescent="0.35">
      <c r="A16" s="63"/>
      <c r="B16" s="63"/>
      <c r="C16" s="64"/>
      <c r="D16" s="63"/>
      <c r="E16" s="62"/>
      <c r="F16" s="61"/>
      <c r="G16" s="60"/>
      <c r="H16" s="21"/>
      <c r="I16" s="20"/>
    </row>
    <row r="17" spans="1:10" ht="21" x14ac:dyDescent="0.35">
      <c r="A17" s="63"/>
      <c r="B17" s="63"/>
      <c r="C17" s="66"/>
      <c r="D17" s="63"/>
      <c r="E17" s="62"/>
      <c r="F17" s="61"/>
      <c r="G17" s="60"/>
      <c r="H17" s="21"/>
      <c r="I17" s="20"/>
      <c r="J17">
        <f>67+13</f>
        <v>80</v>
      </c>
    </row>
    <row r="18" spans="1:10" ht="20.399999999999999" x14ac:dyDescent="0.35">
      <c r="A18" s="63"/>
      <c r="B18" s="45"/>
      <c r="C18" s="44"/>
      <c r="D18" s="63"/>
      <c r="E18" s="62"/>
      <c r="F18" s="61"/>
      <c r="G18" s="60"/>
      <c r="H18" s="21"/>
      <c r="I18" s="20"/>
    </row>
    <row r="19" spans="1:10" ht="20.399999999999999" x14ac:dyDescent="0.35">
      <c r="A19" s="63"/>
      <c r="B19" s="90"/>
      <c r="C19" s="91"/>
      <c r="D19" s="84"/>
      <c r="E19" s="86"/>
      <c r="F19" s="61"/>
      <c r="G19" s="60"/>
      <c r="H19" s="21"/>
      <c r="I19" s="20"/>
    </row>
    <row r="20" spans="1:10" ht="20.399999999999999" x14ac:dyDescent="0.35">
      <c r="A20" s="63"/>
      <c r="B20" s="84"/>
      <c r="C20" s="85"/>
      <c r="D20" s="84"/>
      <c r="E20" s="86"/>
      <c r="F20" s="87"/>
      <c r="G20" s="89"/>
      <c r="H20" s="21"/>
      <c r="I20" s="20"/>
    </row>
    <row r="21" spans="1:10" ht="20.399999999999999" x14ac:dyDescent="0.35">
      <c r="A21" s="63"/>
      <c r="B21" s="84"/>
      <c r="C21" s="85"/>
      <c r="D21" s="84"/>
      <c r="E21" s="86"/>
      <c r="F21" s="87"/>
      <c r="G21" s="89"/>
      <c r="H21" s="21"/>
      <c r="I21" s="20"/>
    </row>
    <row r="22" spans="1:10" ht="20.399999999999999" x14ac:dyDescent="0.35">
      <c r="A22" s="63"/>
      <c r="B22" s="84"/>
      <c r="C22" s="85"/>
      <c r="D22" s="84"/>
      <c r="E22" s="86"/>
      <c r="F22" s="87"/>
      <c r="G22" s="89"/>
      <c r="H22" s="21"/>
      <c r="I22" s="20"/>
    </row>
    <row r="23" spans="1:10" ht="20.399999999999999" x14ac:dyDescent="0.35">
      <c r="A23" s="65"/>
      <c r="B23" s="88"/>
      <c r="C23" s="85"/>
      <c r="D23" s="84"/>
      <c r="E23" s="86"/>
      <c r="F23" s="87"/>
      <c r="G23" s="89"/>
      <c r="H23" s="21"/>
      <c r="I23" s="20"/>
    </row>
    <row r="24" spans="1:10" ht="20.399999999999999" x14ac:dyDescent="0.35">
      <c r="A24" s="65"/>
      <c r="B24" s="65"/>
      <c r="C24" s="64"/>
      <c r="D24" s="63"/>
      <c r="E24" s="62"/>
      <c r="F24" s="61"/>
      <c r="G24" s="60"/>
      <c r="H24" s="21"/>
      <c r="I24" s="20"/>
    </row>
    <row r="25" spans="1:10" ht="20.399999999999999" x14ac:dyDescent="0.35">
      <c r="A25" s="58"/>
      <c r="B25" s="58"/>
      <c r="C25" s="44"/>
      <c r="D25" s="4"/>
      <c r="E25" s="4"/>
      <c r="F25" s="4"/>
      <c r="G25" s="4"/>
      <c r="H25" s="21"/>
      <c r="I25" s="20"/>
    </row>
    <row r="26" spans="1:10" ht="21" x14ac:dyDescent="0.4">
      <c r="A26" s="57"/>
      <c r="B26" s="56"/>
      <c r="C26" s="55" t="s">
        <v>27</v>
      </c>
      <c r="D26" s="4"/>
      <c r="E26" s="4"/>
      <c r="F26" s="4"/>
      <c r="G26" s="4"/>
      <c r="H26" s="21"/>
      <c r="I26" s="20"/>
    </row>
    <row r="27" spans="1:10" ht="21" x14ac:dyDescent="0.4">
      <c r="A27" s="57"/>
      <c r="B27" s="56"/>
      <c r="C27" s="55"/>
      <c r="D27" s="54"/>
      <c r="E27" s="53"/>
      <c r="F27" s="52"/>
      <c r="G27" s="29"/>
      <c r="H27" s="21"/>
      <c r="I27" s="20"/>
    </row>
    <row r="28" spans="1:10" ht="21" x14ac:dyDescent="0.4">
      <c r="A28" s="51"/>
      <c r="B28" s="50"/>
      <c r="C28" s="49"/>
      <c r="D28" s="48"/>
      <c r="E28" s="47"/>
      <c r="F28" s="46"/>
      <c r="G28" s="29"/>
      <c r="H28" s="21"/>
      <c r="I28" s="20"/>
    </row>
    <row r="29" spans="1:10" ht="21" x14ac:dyDescent="0.4">
      <c r="A29" s="45"/>
      <c r="B29" s="45"/>
      <c r="C29" s="44"/>
      <c r="D29" s="43"/>
      <c r="E29" s="5"/>
      <c r="F29" s="23"/>
      <c r="G29" s="29"/>
      <c r="H29" s="21"/>
      <c r="I29" s="20"/>
    </row>
    <row r="30" spans="1:10" ht="21" x14ac:dyDescent="0.4">
      <c r="A30" s="42"/>
      <c r="B30" s="41"/>
      <c r="C30" s="40" t="s">
        <v>26</v>
      </c>
      <c r="D30" s="39"/>
      <c r="E30" s="38"/>
      <c r="F30" s="37"/>
      <c r="G30" s="29"/>
      <c r="H30" s="21"/>
      <c r="I30" s="20"/>
    </row>
    <row r="31" spans="1:10" ht="21" x14ac:dyDescent="0.4">
      <c r="A31" s="36"/>
      <c r="B31" s="35"/>
      <c r="C31" s="83"/>
      <c r="D31" s="4"/>
      <c r="E31" s="5"/>
      <c r="F31" s="23"/>
      <c r="G31" s="30"/>
      <c r="H31" s="21"/>
      <c r="I31" s="20"/>
    </row>
    <row r="32" spans="1:10" ht="21" x14ac:dyDescent="0.4">
      <c r="A32" s="36"/>
      <c r="B32" s="35"/>
      <c r="C32" s="34"/>
      <c r="D32" s="4"/>
      <c r="E32" s="5"/>
      <c r="F32" s="23"/>
      <c r="G32" s="30"/>
      <c r="H32" s="21"/>
      <c r="I32" s="20"/>
    </row>
    <row r="33" spans="1:9" ht="21" x14ac:dyDescent="0.4">
      <c r="A33" s="33"/>
      <c r="B33" s="32"/>
      <c r="C33" s="31"/>
      <c r="D33" s="4"/>
      <c r="E33" s="5"/>
      <c r="F33" s="23"/>
      <c r="G33" s="30"/>
      <c r="H33" s="21"/>
      <c r="I33" s="20"/>
    </row>
    <row r="34" spans="1:9" ht="21" x14ac:dyDescent="0.4">
      <c r="A34" s="27"/>
      <c r="B34" s="27"/>
      <c r="C34" s="26"/>
      <c r="D34" s="4"/>
      <c r="E34" s="5"/>
      <c r="F34" s="23"/>
      <c r="G34" s="29"/>
      <c r="H34" s="21"/>
      <c r="I34" s="20"/>
    </row>
    <row r="35" spans="1:9" ht="21" x14ac:dyDescent="0.4">
      <c r="A35" s="27"/>
      <c r="B35" s="27"/>
      <c r="C35" s="26"/>
      <c r="D35" s="4"/>
      <c r="E35" s="5"/>
      <c r="F35" s="23"/>
      <c r="G35" s="29"/>
      <c r="H35" s="21"/>
      <c r="I35" s="20"/>
    </row>
    <row r="36" spans="1:9" ht="20.399999999999999" x14ac:dyDescent="0.35">
      <c r="A36" s="27"/>
      <c r="B36" s="27"/>
      <c r="C36" s="26"/>
      <c r="D36" s="4"/>
      <c r="E36" s="5"/>
      <c r="F36" s="23"/>
      <c r="G36" s="28"/>
      <c r="H36" s="21"/>
      <c r="I36" s="20"/>
    </row>
    <row r="37" spans="1:9" ht="20.399999999999999" x14ac:dyDescent="0.35">
      <c r="A37" s="25"/>
      <c r="B37" s="25"/>
      <c r="C37" s="24"/>
      <c r="D37" s="4"/>
      <c r="E37" s="23"/>
      <c r="F37" s="23"/>
      <c r="G37" s="22"/>
      <c r="H37" s="21"/>
      <c r="I37" s="20"/>
    </row>
    <row r="38" spans="1:9" ht="21" thickBot="1" x14ac:dyDescent="0.4">
      <c r="A38" s="19"/>
      <c r="B38" s="18"/>
      <c r="C38" s="15" t="s">
        <v>20</v>
      </c>
      <c r="D38" s="15"/>
      <c r="E38" s="17"/>
      <c r="F38" s="16"/>
      <c r="G38" s="15"/>
      <c r="H38" s="15"/>
      <c r="I38" s="14"/>
    </row>
    <row r="39" spans="1:9" ht="21.6" thickBot="1" x14ac:dyDescent="0.45">
      <c r="A39" s="13"/>
      <c r="B39" s="12"/>
      <c r="C39" s="9" t="s">
        <v>20</v>
      </c>
      <c r="D39" s="1" t="s">
        <v>19</v>
      </c>
      <c r="E39" s="11" t="s">
        <v>18</v>
      </c>
      <c r="F39" s="10"/>
      <c r="G39" s="9"/>
      <c r="H39" s="9"/>
      <c r="I39" s="8"/>
    </row>
    <row r="40" spans="1:9" ht="21" x14ac:dyDescent="0.4">
      <c r="A40" s="125" t="s">
        <v>17</v>
      </c>
      <c r="B40" s="126"/>
      <c r="C40" s="127"/>
      <c r="D40" s="7">
        <v>76</v>
      </c>
      <c r="E40" s="6" t="s">
        <v>6</v>
      </c>
      <c r="F40" s="128" t="s">
        <v>16</v>
      </c>
      <c r="G40" s="128"/>
      <c r="H40" s="129"/>
      <c r="I40" s="130"/>
    </row>
    <row r="41" spans="1:9" ht="21" x14ac:dyDescent="0.4">
      <c r="A41" s="117" t="s">
        <v>15</v>
      </c>
      <c r="B41" s="118"/>
      <c r="C41" s="119"/>
      <c r="D41" s="4">
        <v>2</v>
      </c>
      <c r="E41" s="4" t="s">
        <v>14</v>
      </c>
      <c r="F41" s="120" t="s">
        <v>13</v>
      </c>
      <c r="G41" s="120"/>
      <c r="H41" s="104"/>
      <c r="I41" s="105"/>
    </row>
    <row r="42" spans="1:9" ht="21" x14ac:dyDescent="0.4">
      <c r="A42" s="117" t="s">
        <v>12</v>
      </c>
      <c r="B42" s="118"/>
      <c r="C42" s="119"/>
      <c r="D42" s="5">
        <v>1</v>
      </c>
      <c r="E42" s="4" t="s">
        <v>11</v>
      </c>
      <c r="F42" s="120" t="s">
        <v>10</v>
      </c>
      <c r="G42" s="120"/>
      <c r="H42" s="104"/>
      <c r="I42" s="105"/>
    </row>
    <row r="43" spans="1:9" ht="21" x14ac:dyDescent="0.4">
      <c r="A43" s="117" t="s">
        <v>9</v>
      </c>
      <c r="B43" s="118"/>
      <c r="C43" s="119"/>
      <c r="D43" s="5">
        <v>76</v>
      </c>
      <c r="E43" s="4" t="s">
        <v>6</v>
      </c>
      <c r="F43" s="121" t="s">
        <v>8</v>
      </c>
      <c r="G43" s="122"/>
      <c r="H43" s="123"/>
      <c r="I43" s="124"/>
    </row>
    <row r="44" spans="1:9" ht="21.6" thickBot="1" x14ac:dyDescent="0.45">
      <c r="A44" s="100" t="s">
        <v>7</v>
      </c>
      <c r="B44" s="101"/>
      <c r="C44" s="102"/>
      <c r="D44" s="3">
        <f>SUM(E10:E23)-D40</f>
        <v>4</v>
      </c>
      <c r="E44" s="2" t="s">
        <v>6</v>
      </c>
      <c r="F44" s="103"/>
      <c r="G44" s="103"/>
      <c r="H44" s="104"/>
      <c r="I44" s="105"/>
    </row>
    <row r="45" spans="1:9" ht="21.6" thickBot="1" x14ac:dyDescent="0.45">
      <c r="A45" s="107" t="s">
        <v>5</v>
      </c>
      <c r="B45" s="108"/>
      <c r="C45" s="108"/>
      <c r="D45" s="108"/>
      <c r="E45" s="108"/>
      <c r="F45" s="108"/>
      <c r="G45" s="108"/>
      <c r="H45" s="108"/>
      <c r="I45" s="109"/>
    </row>
    <row r="46" spans="1:9" ht="28.2" customHeight="1" x14ac:dyDescent="0.4">
      <c r="A46" s="111" t="s">
        <v>81</v>
      </c>
      <c r="B46" s="112"/>
      <c r="C46" s="112"/>
      <c r="D46" s="112"/>
      <c r="E46" s="112"/>
      <c r="F46" s="112"/>
      <c r="G46" s="112"/>
      <c r="H46" s="112"/>
      <c r="I46" s="113"/>
    </row>
    <row r="47" spans="1:9" ht="28.2" customHeight="1" x14ac:dyDescent="0.4">
      <c r="A47" s="114" t="s">
        <v>82</v>
      </c>
      <c r="B47" s="115"/>
      <c r="C47" s="115"/>
      <c r="D47" s="115"/>
      <c r="E47" s="115"/>
      <c r="F47" s="115"/>
      <c r="G47" s="115"/>
      <c r="H47" s="115"/>
      <c r="I47" s="116"/>
    </row>
    <row r="48" spans="1:9" ht="20.25" customHeight="1" x14ac:dyDescent="0.4">
      <c r="A48" s="114"/>
      <c r="B48" s="115"/>
      <c r="C48" s="115"/>
      <c r="D48" s="115"/>
      <c r="E48" s="115"/>
      <c r="F48" s="115"/>
      <c r="G48" s="115"/>
      <c r="H48" s="115"/>
      <c r="I48" s="116"/>
    </row>
    <row r="49" spans="1:9" ht="20.25" customHeight="1" x14ac:dyDescent="0.4">
      <c r="A49" s="114"/>
      <c r="B49" s="115"/>
      <c r="C49" s="115"/>
      <c r="D49" s="115"/>
      <c r="E49" s="115"/>
      <c r="F49" s="115"/>
      <c r="G49" s="115"/>
      <c r="H49" s="115"/>
      <c r="I49" s="116"/>
    </row>
    <row r="50" spans="1:9" ht="21" x14ac:dyDescent="0.4">
      <c r="A50" s="114"/>
      <c r="B50" s="115"/>
      <c r="C50" s="115"/>
      <c r="D50" s="115"/>
      <c r="E50" s="115"/>
      <c r="F50" s="115"/>
      <c r="G50" s="115"/>
      <c r="H50" s="115"/>
      <c r="I50" s="116"/>
    </row>
    <row r="51" spans="1:9" ht="20.399999999999999" x14ac:dyDescent="0.35">
      <c r="A51" s="164"/>
      <c r="B51" s="164"/>
      <c r="C51" s="164"/>
      <c r="D51" s="164"/>
      <c r="E51" s="164"/>
      <c r="F51" s="164"/>
      <c r="G51" s="164"/>
      <c r="H51" s="164"/>
      <c r="I51" s="164"/>
    </row>
    <row r="52" spans="1:9" ht="20.399999999999999" x14ac:dyDescent="0.35">
      <c r="A52" s="110"/>
      <c r="B52" s="110"/>
      <c r="C52" s="110"/>
      <c r="D52" s="110"/>
      <c r="E52" s="110"/>
      <c r="F52" s="110"/>
      <c r="G52" s="110"/>
      <c r="H52" s="110"/>
      <c r="I52" s="110"/>
    </row>
    <row r="53" spans="1:9" ht="21" x14ac:dyDescent="0.4">
      <c r="A53" s="106" t="s">
        <v>0</v>
      </c>
      <c r="B53" s="106"/>
      <c r="C53" s="106"/>
      <c r="D53" s="106"/>
      <c r="E53" s="106"/>
      <c r="F53" s="106"/>
      <c r="G53" s="106"/>
      <c r="H53" s="106"/>
      <c r="I53" s="106"/>
    </row>
    <row r="54" spans="1:9" ht="20.399999999999999" x14ac:dyDescent="0.35">
      <c r="A54" s="99"/>
      <c r="B54" s="99"/>
      <c r="C54" s="99"/>
      <c r="D54" s="99"/>
      <c r="E54" s="99"/>
      <c r="F54" s="99"/>
      <c r="G54" s="99"/>
      <c r="H54" s="99"/>
      <c r="I54" s="99"/>
    </row>
    <row r="55" spans="1:9" ht="20.399999999999999" x14ac:dyDescent="0.35">
      <c r="A55" s="99"/>
      <c r="B55" s="99"/>
      <c r="C55" s="99"/>
      <c r="D55" s="99"/>
      <c r="E55" s="99"/>
      <c r="F55" s="99"/>
      <c r="G55" s="99"/>
      <c r="H55" s="99"/>
      <c r="I55" s="99"/>
    </row>
  </sheetData>
  <mergeCells count="43">
    <mergeCell ref="A54:I54"/>
    <mergeCell ref="A55:I55"/>
    <mergeCell ref="A48:I48"/>
    <mergeCell ref="A49:I49"/>
    <mergeCell ref="A50:I50"/>
    <mergeCell ref="A51:I51"/>
    <mergeCell ref="A52:I52"/>
    <mergeCell ref="A53:I53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F383D-3CD2-476F-91D5-0E5D5EB9F05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5232A9A-9EA8-422A-8E73-AC3DEA05B2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D26CE3-C2A9-4E1B-9D0E-30992C4F6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Empaque Mufin mixto 4 und</vt:lpstr>
      <vt:lpstr>Inyectado Muffin Chocolate</vt:lpstr>
      <vt:lpstr>Inyectado Muffin Pastelero </vt:lpstr>
      <vt:lpstr>'Empaque Mufin mixto 4 und'!Área_de_impresión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Valery Cerdas</cp:lastModifiedBy>
  <cp:lastPrinted>2026-04-27T16:12:07Z</cp:lastPrinted>
  <dcterms:created xsi:type="dcterms:W3CDTF">2026-02-04T16:46:42Z</dcterms:created>
  <dcterms:modified xsi:type="dcterms:W3CDTF">2026-05-13T17:34:59Z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
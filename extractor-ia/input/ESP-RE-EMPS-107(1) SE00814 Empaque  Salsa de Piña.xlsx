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768FB727-F3CE-40C4-9200-0E8A310FBC46}" xr6:coauthVersionLast="47" xr6:coauthVersionMax="47" xr10:uidLastSave="{46903645-F8DD-4FB9-9D56-436EB0CD7C21}"/>
  <bookViews>
    <workbookView xWindow="-120" yWindow="-120" windowWidth="20730" windowHeight="11040" tabRatio="799" firstSheet="15" activeTab="15" xr2:uid="{86A95AF8-34C1-4DB7-AE30-E3F9DEB6557E}"/>
  </bookViews>
  <sheets>
    <sheet name="Cake Box Piña Colada" sheetId="7" state="hidden" r:id="rId1"/>
    <sheet name="Cake Box Piña Colada 2" sheetId="23" state="hidden" r:id="rId2"/>
    <sheet name="Costo Cake Box" sheetId="22" state="hidden" r:id="rId3"/>
    <sheet name="Rosquete Arrollado" sheetId="29" state="hidden" r:id="rId4"/>
    <sheet name="Batido Arrollado" sheetId="30" state="hidden" r:id="rId5"/>
    <sheet name="Premezcla Batido Arrollado" sheetId="31" state="hidden" r:id="rId6"/>
    <sheet name="Almibar" sheetId="32" state="hidden" r:id="rId7"/>
    <sheet name="Costo coco Tostado" sheetId="21" state="hidden" r:id="rId8"/>
    <sheet name="COSTO cOCO TOSTADO CON CHOCO" sheetId="20" state="hidden" r:id="rId9"/>
    <sheet name="Crema Passionata de Coco " sheetId="14" state="hidden" r:id="rId10"/>
    <sheet name="Costo Crema Passionata Coco " sheetId="19" state="hidden" r:id="rId11"/>
    <sheet name="Topping de Piña y Coco" sheetId="16" state="hidden" r:id="rId12"/>
    <sheet name="Costo Topping Piña " sheetId="18" state="hidden" r:id="rId13"/>
    <sheet name="Costo Relleno Piña y coco" sheetId="17" state="hidden" r:id="rId14"/>
    <sheet name="Costo Salsa Piña " sheetId="25" state="hidden" r:id="rId15"/>
    <sheet name="Empaque Salsa de Piña " sheetId="26" r:id="rId16"/>
    <sheet name="Costo Empaq salsa Piña" sheetId="27" state="hidden" r:id="rId17"/>
  </sheets>
  <externalReferences>
    <externalReference r:id="rId18"/>
    <externalReference r:id="rId19"/>
  </externalReferences>
  <definedNames>
    <definedName name="_xlnm.Print_Area" localSheetId="15">'Empaque Salsa de Piña 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7" l="1"/>
  <c r="D74" i="27" s="1"/>
  <c r="D76" i="27" s="1"/>
  <c r="D71" i="27"/>
  <c r="D69" i="27"/>
  <c r="F65" i="27"/>
  <c r="E51" i="27" s="1"/>
  <c r="D60" i="27"/>
  <c r="D85" i="27" s="1"/>
  <c r="D86" i="27" s="1"/>
  <c r="C51" i="27"/>
  <c r="E50" i="27"/>
  <c r="D50" i="27"/>
  <c r="B50" i="27"/>
  <c r="E49" i="27"/>
  <c r="D49" i="27"/>
  <c r="B49" i="27"/>
  <c r="E48" i="27"/>
  <c r="D48" i="27"/>
  <c r="B48" i="27"/>
  <c r="A48" i="27"/>
  <c r="C48" i="27" s="1"/>
  <c r="E47" i="27"/>
  <c r="D47" i="27"/>
  <c r="B47" i="27"/>
  <c r="E46" i="27"/>
  <c r="D46" i="27"/>
  <c r="B46" i="27"/>
  <c r="E45" i="27"/>
  <c r="D45" i="27"/>
  <c r="B45" i="27"/>
  <c r="E41" i="27"/>
  <c r="D41" i="27"/>
  <c r="C41" i="27"/>
  <c r="B41" i="27"/>
  <c r="A41" i="27"/>
  <c r="A50" i="27" s="1"/>
  <c r="C50" i="27" s="1"/>
  <c r="E40" i="27"/>
  <c r="D40" i="27"/>
  <c r="B40" i="27"/>
  <c r="A40" i="27"/>
  <c r="C40" i="27" s="1"/>
  <c r="E39" i="27"/>
  <c r="D39" i="27"/>
  <c r="B39" i="27"/>
  <c r="A39" i="27"/>
  <c r="C39" i="27" s="1"/>
  <c r="E38" i="27"/>
  <c r="D38" i="27"/>
  <c r="B38" i="27"/>
  <c r="A38" i="27"/>
  <c r="A47" i="27" s="1"/>
  <c r="C47" i="27" s="1"/>
  <c r="E37" i="27"/>
  <c r="D37" i="27"/>
  <c r="B37" i="27"/>
  <c r="A37" i="27"/>
  <c r="C37" i="27" s="1"/>
  <c r="E36" i="27"/>
  <c r="D36" i="27"/>
  <c r="B36" i="27"/>
  <c r="A36" i="27"/>
  <c r="A45" i="27" s="1"/>
  <c r="C45" i="27" s="1"/>
  <c r="A35" i="27"/>
  <c r="A44" i="27" s="1"/>
  <c r="C44" i="27" s="1"/>
  <c r="E32" i="27"/>
  <c r="D32" i="27"/>
  <c r="C32" i="27"/>
  <c r="B32" i="27"/>
  <c r="E31" i="27"/>
  <c r="D31" i="27"/>
  <c r="C31" i="27"/>
  <c r="B31" i="27"/>
  <c r="E30" i="27"/>
  <c r="D30" i="27"/>
  <c r="C30" i="27"/>
  <c r="B30" i="27"/>
  <c r="E29" i="27"/>
  <c r="D29" i="27"/>
  <c r="C29" i="27"/>
  <c r="B29" i="27"/>
  <c r="E28" i="27"/>
  <c r="F28" i="27" s="1"/>
  <c r="D28" i="27"/>
  <c r="C28" i="27"/>
  <c r="B28" i="27"/>
  <c r="E27" i="27"/>
  <c r="D27" i="27"/>
  <c r="C27" i="27"/>
  <c r="B27" i="27"/>
  <c r="E24" i="27"/>
  <c r="F24" i="27" s="1"/>
  <c r="D24" i="27"/>
  <c r="C24" i="27"/>
  <c r="B24" i="27"/>
  <c r="E23" i="27"/>
  <c r="F23" i="27" s="1"/>
  <c r="D23" i="27"/>
  <c r="C23" i="27"/>
  <c r="B23" i="27"/>
  <c r="E22" i="27"/>
  <c r="F22" i="27" s="1"/>
  <c r="D22" i="27"/>
  <c r="C22" i="27"/>
  <c r="B22" i="27"/>
  <c r="E21" i="27"/>
  <c r="F21" i="27" s="1"/>
  <c r="D21" i="27"/>
  <c r="C21" i="27"/>
  <c r="B21" i="27"/>
  <c r="E20" i="27"/>
  <c r="F20" i="27" s="1"/>
  <c r="D20" i="27"/>
  <c r="C20" i="27"/>
  <c r="B20" i="27"/>
  <c r="E19" i="27"/>
  <c r="F19" i="27" s="1"/>
  <c r="D19" i="27"/>
  <c r="C19" i="27"/>
  <c r="B19" i="27"/>
  <c r="E18" i="27"/>
  <c r="F18" i="27" s="1"/>
  <c r="D18" i="27"/>
  <c r="C18" i="27"/>
  <c r="B18" i="27"/>
  <c r="C17" i="27"/>
  <c r="B15" i="27"/>
  <c r="E14" i="27"/>
  <c r="D14" i="27"/>
  <c r="C14" i="27"/>
  <c r="B14" i="27"/>
  <c r="E13" i="27"/>
  <c r="D13" i="27"/>
  <c r="C13" i="27"/>
  <c r="B13" i="27"/>
  <c r="E12" i="27"/>
  <c r="F12" i="27" s="1"/>
  <c r="D12" i="27"/>
  <c r="C12" i="27"/>
  <c r="B12" i="27"/>
  <c r="E11" i="27"/>
  <c r="D11" i="27"/>
  <c r="C11" i="27"/>
  <c r="B11" i="27"/>
  <c r="E10" i="27"/>
  <c r="F10" i="27" s="1"/>
  <c r="D10" i="27"/>
  <c r="C10" i="27"/>
  <c r="B10" i="27"/>
  <c r="E9" i="27"/>
  <c r="D9" i="27"/>
  <c r="C9" i="27"/>
  <c r="B9" i="27"/>
  <c r="E8" i="27"/>
  <c r="D8" i="27"/>
  <c r="C8" i="27"/>
  <c r="B8" i="27"/>
  <c r="H6" i="27"/>
  <c r="D73" i="25"/>
  <c r="D74" i="25" s="1"/>
  <c r="D76" i="25" s="1"/>
  <c r="D71" i="25"/>
  <c r="D69" i="25"/>
  <c r="F65" i="25"/>
  <c r="E51" i="25" s="1"/>
  <c r="F51" i="25" s="1"/>
  <c r="D60" i="25"/>
  <c r="D85" i="25" s="1"/>
  <c r="D86" i="25" s="1"/>
  <c r="C51" i="25"/>
  <c r="E50" i="25"/>
  <c r="D50" i="25"/>
  <c r="B50" i="25"/>
  <c r="E49" i="25"/>
  <c r="D49" i="25"/>
  <c r="B49" i="25"/>
  <c r="E48" i="25"/>
  <c r="D48" i="25"/>
  <c r="B48" i="25"/>
  <c r="E47" i="25"/>
  <c r="D47" i="25"/>
  <c r="B47" i="25"/>
  <c r="E46" i="25"/>
  <c r="D46" i="25"/>
  <c r="B46" i="25"/>
  <c r="E45" i="25"/>
  <c r="D45" i="25"/>
  <c r="B45" i="25"/>
  <c r="E41" i="25"/>
  <c r="D41" i="25"/>
  <c r="B41" i="25"/>
  <c r="A41" i="25"/>
  <c r="A50" i="25" s="1"/>
  <c r="C50" i="25" s="1"/>
  <c r="E40" i="25"/>
  <c r="D40" i="25"/>
  <c r="B40" i="25"/>
  <c r="A40" i="25"/>
  <c r="A49" i="25" s="1"/>
  <c r="C49" i="25" s="1"/>
  <c r="E39" i="25"/>
  <c r="D39" i="25"/>
  <c r="B39" i="25"/>
  <c r="A39" i="25"/>
  <c r="C39" i="25" s="1"/>
  <c r="E38" i="25"/>
  <c r="D38" i="25"/>
  <c r="B38" i="25"/>
  <c r="A38" i="25"/>
  <c r="C38" i="25" s="1"/>
  <c r="E37" i="25"/>
  <c r="D37" i="25"/>
  <c r="B37" i="25"/>
  <c r="A37" i="25"/>
  <c r="A46" i="25" s="1"/>
  <c r="C46" i="25" s="1"/>
  <c r="E36" i="25"/>
  <c r="D36" i="25"/>
  <c r="B36" i="25"/>
  <c r="A36" i="25"/>
  <c r="C36" i="25" s="1"/>
  <c r="A35" i="25"/>
  <c r="C35" i="25" s="1"/>
  <c r="E32" i="25"/>
  <c r="D32" i="25"/>
  <c r="C32" i="25"/>
  <c r="B32" i="25"/>
  <c r="E31" i="25"/>
  <c r="D31" i="25"/>
  <c r="C31" i="25"/>
  <c r="B31" i="25"/>
  <c r="E30" i="25"/>
  <c r="F30" i="25" s="1"/>
  <c r="D30" i="25"/>
  <c r="C30" i="25"/>
  <c r="B30" i="25"/>
  <c r="E29" i="25"/>
  <c r="D29" i="25"/>
  <c r="C29" i="25"/>
  <c r="B29" i="25"/>
  <c r="E28" i="25"/>
  <c r="F28" i="25" s="1"/>
  <c r="D28" i="25"/>
  <c r="C28" i="25"/>
  <c r="B28" i="25"/>
  <c r="E27" i="25"/>
  <c r="D27" i="25"/>
  <c r="C27" i="25"/>
  <c r="B27" i="25"/>
  <c r="E24" i="25"/>
  <c r="F24" i="25" s="1"/>
  <c r="D24" i="25"/>
  <c r="C24" i="25"/>
  <c r="B24" i="25"/>
  <c r="E23" i="25"/>
  <c r="F23" i="25" s="1"/>
  <c r="D23" i="25"/>
  <c r="C23" i="25"/>
  <c r="B23" i="25"/>
  <c r="E22" i="25"/>
  <c r="F22" i="25" s="1"/>
  <c r="D22" i="25"/>
  <c r="C22" i="25"/>
  <c r="B22" i="25"/>
  <c r="E21" i="25"/>
  <c r="F21" i="25" s="1"/>
  <c r="D21" i="25"/>
  <c r="C21" i="25"/>
  <c r="B21" i="25"/>
  <c r="E20" i="25"/>
  <c r="F20" i="25" s="1"/>
  <c r="D20" i="25"/>
  <c r="C20" i="25"/>
  <c r="B20" i="25"/>
  <c r="E19" i="25"/>
  <c r="F19" i="25" s="1"/>
  <c r="D19" i="25"/>
  <c r="C19" i="25"/>
  <c r="B19" i="25"/>
  <c r="E18" i="25"/>
  <c r="F18" i="25" s="1"/>
  <c r="D18" i="25"/>
  <c r="C18" i="25"/>
  <c r="B18" i="25"/>
  <c r="C17" i="25"/>
  <c r="B15" i="25"/>
  <c r="E14" i="25"/>
  <c r="F14" i="25" s="1"/>
  <c r="D14" i="25"/>
  <c r="C14" i="25"/>
  <c r="B14" i="25"/>
  <c r="E13" i="25"/>
  <c r="D13" i="25"/>
  <c r="C13" i="25"/>
  <c r="B13" i="25"/>
  <c r="E12" i="25"/>
  <c r="D12" i="25"/>
  <c r="C12" i="25"/>
  <c r="B12" i="25"/>
  <c r="E11" i="25"/>
  <c r="D11" i="25"/>
  <c r="C11" i="25"/>
  <c r="B11" i="25"/>
  <c r="E10" i="25"/>
  <c r="D10" i="25"/>
  <c r="C10" i="25"/>
  <c r="B10" i="25"/>
  <c r="C9" i="25"/>
  <c r="C8" i="25"/>
  <c r="H6" i="25"/>
  <c r="D29" i="32"/>
  <c r="C18" i="31"/>
  <c r="F11" i="25" l="1"/>
  <c r="F13" i="25"/>
  <c r="F11" i="27"/>
  <c r="F27" i="27"/>
  <c r="F31" i="25"/>
  <c r="F51" i="27"/>
  <c r="C73" i="27"/>
  <c r="C85" i="27" s="1"/>
  <c r="D83" i="27"/>
  <c r="D81" i="27"/>
  <c r="F47" i="27"/>
  <c r="F30" i="27"/>
  <c r="F31" i="27"/>
  <c r="F29" i="27"/>
  <c r="F32" i="27"/>
  <c r="C36" i="27"/>
  <c r="F48" i="27"/>
  <c r="F36" i="27"/>
  <c r="F41" i="27"/>
  <c r="F50" i="27"/>
  <c r="F13" i="27"/>
  <c r="F8" i="27"/>
  <c r="F14" i="27"/>
  <c r="F9" i="27"/>
  <c r="F46" i="25"/>
  <c r="F29" i="25"/>
  <c r="F32" i="25"/>
  <c r="F27" i="25"/>
  <c r="C41" i="25"/>
  <c r="F41" i="25" s="1"/>
  <c r="F38" i="25"/>
  <c r="A45" i="25"/>
  <c r="C45" i="25" s="1"/>
  <c r="F36" i="25"/>
  <c r="F50" i="25"/>
  <c r="F45" i="25"/>
  <c r="C37" i="25"/>
  <c r="F37" i="25" s="1"/>
  <c r="F49" i="25"/>
  <c r="F10" i="25"/>
  <c r="F12" i="25"/>
  <c r="D81" i="25"/>
  <c r="D83" i="25"/>
  <c r="F9" i="25"/>
  <c r="F17" i="25"/>
  <c r="F35" i="25"/>
  <c r="F8" i="25"/>
  <c r="F39" i="27"/>
  <c r="E85" i="27"/>
  <c r="F37" i="27"/>
  <c r="F40" i="27"/>
  <c r="F45" i="27"/>
  <c r="A46" i="27"/>
  <c r="C46" i="27" s="1"/>
  <c r="F46" i="27" s="1"/>
  <c r="C38" i="27"/>
  <c r="F38" i="27" s="1"/>
  <c r="A49" i="27"/>
  <c r="C49" i="27" s="1"/>
  <c r="F49" i="27" s="1"/>
  <c r="E73" i="27"/>
  <c r="C35" i="27"/>
  <c r="F39" i="25"/>
  <c r="A47" i="25"/>
  <c r="C47" i="25" s="1"/>
  <c r="F47" i="25" s="1"/>
  <c r="C73" i="25"/>
  <c r="C40" i="25"/>
  <c r="F40" i="25" s="1"/>
  <c r="A44" i="25"/>
  <c r="C44" i="25" s="1"/>
  <c r="F44" i="25" s="1"/>
  <c r="A48" i="25"/>
  <c r="C48" i="25" s="1"/>
  <c r="F48" i="25" s="1"/>
  <c r="E30" i="22"/>
  <c r="C30" i="22"/>
  <c r="B30" i="22"/>
  <c r="E29" i="22"/>
  <c r="D29" i="22"/>
  <c r="C29" i="22"/>
  <c r="B29" i="22"/>
  <c r="E28" i="22"/>
  <c r="F28" i="22" s="1"/>
  <c r="D28" i="22"/>
  <c r="C28" i="22"/>
  <c r="B28" i="22"/>
  <c r="C27" i="22"/>
  <c r="F27" i="22" s="1"/>
  <c r="B20" i="18"/>
  <c r="C45" i="22"/>
  <c r="F45" i="22" s="1"/>
  <c r="C36" i="22"/>
  <c r="F36" i="22" s="1"/>
  <c r="C18" i="22"/>
  <c r="F18" i="22" s="1"/>
  <c r="C17" i="22"/>
  <c r="F17" i="22" s="1"/>
  <c r="T62" i="19"/>
  <c r="R20" i="19"/>
  <c r="D73" i="22"/>
  <c r="D74" i="22" s="1"/>
  <c r="D76" i="22" s="1"/>
  <c r="C73" i="22"/>
  <c r="C85" i="22" s="1"/>
  <c r="D71" i="22"/>
  <c r="D69" i="22"/>
  <c r="F65" i="22"/>
  <c r="E51" i="22" s="1"/>
  <c r="D60" i="22"/>
  <c r="D85" i="22" s="1"/>
  <c r="D86" i="22" s="1"/>
  <c r="C51" i="22"/>
  <c r="A45" i="22"/>
  <c r="A41" i="22"/>
  <c r="A50" i="22" s="1"/>
  <c r="C50" i="22" s="1"/>
  <c r="A40" i="22"/>
  <c r="C40" i="22" s="1"/>
  <c r="A39" i="22"/>
  <c r="C39" i="22" s="1"/>
  <c r="A38" i="22"/>
  <c r="C38" i="22" s="1"/>
  <c r="A37" i="22"/>
  <c r="A46" i="22" s="1"/>
  <c r="C46" i="22" s="1"/>
  <c r="A36" i="22"/>
  <c r="A35" i="22"/>
  <c r="C35" i="22" s="1"/>
  <c r="F35" i="22" s="1"/>
  <c r="E32" i="22"/>
  <c r="F32" i="22" s="1"/>
  <c r="D32" i="22"/>
  <c r="C32" i="22"/>
  <c r="B32" i="22"/>
  <c r="F31" i="22"/>
  <c r="C31" i="22"/>
  <c r="E24" i="22"/>
  <c r="F24" i="22" s="1"/>
  <c r="D24" i="22"/>
  <c r="C24" i="22"/>
  <c r="B24" i="22"/>
  <c r="C23" i="22"/>
  <c r="C22" i="22"/>
  <c r="C21" i="22"/>
  <c r="C20" i="22"/>
  <c r="C19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C10" i="22"/>
  <c r="C9" i="22"/>
  <c r="C8" i="22"/>
  <c r="H6" i="22"/>
  <c r="D74" i="21"/>
  <c r="D76" i="21" s="1"/>
  <c r="D73" i="21"/>
  <c r="D71" i="21"/>
  <c r="D69" i="21"/>
  <c r="F65" i="21"/>
  <c r="C73" i="21" s="1"/>
  <c r="D60" i="21"/>
  <c r="D81" i="21" s="1"/>
  <c r="C51" i="21"/>
  <c r="E50" i="21"/>
  <c r="D50" i="21"/>
  <c r="B50" i="21"/>
  <c r="E49" i="21"/>
  <c r="D49" i="21"/>
  <c r="B49" i="21"/>
  <c r="E48" i="21"/>
  <c r="D48" i="21"/>
  <c r="B48" i="21"/>
  <c r="E47" i="21"/>
  <c r="D47" i="21"/>
  <c r="B47" i="21"/>
  <c r="E46" i="21"/>
  <c r="D46" i="21"/>
  <c r="B46" i="21"/>
  <c r="E45" i="21"/>
  <c r="D45" i="21"/>
  <c r="B45" i="21"/>
  <c r="E44" i="21"/>
  <c r="D44" i="21"/>
  <c r="B44" i="21"/>
  <c r="E41" i="21"/>
  <c r="D41" i="21"/>
  <c r="B41" i="21"/>
  <c r="A41" i="21"/>
  <c r="A50" i="21" s="1"/>
  <c r="C50" i="21" s="1"/>
  <c r="E40" i="21"/>
  <c r="F40" i="21" s="1"/>
  <c r="D40" i="21"/>
  <c r="B40" i="21"/>
  <c r="A40" i="21"/>
  <c r="C40" i="21" s="1"/>
  <c r="E39" i="21"/>
  <c r="D39" i="21"/>
  <c r="B39" i="21"/>
  <c r="A39" i="21"/>
  <c r="C39" i="21" s="1"/>
  <c r="E38" i="21"/>
  <c r="D38" i="21"/>
  <c r="B38" i="21"/>
  <c r="A38" i="21"/>
  <c r="C38" i="21" s="1"/>
  <c r="E37" i="21"/>
  <c r="F37" i="21" s="1"/>
  <c r="D37" i="21"/>
  <c r="B37" i="21"/>
  <c r="A37" i="21"/>
  <c r="C37" i="21" s="1"/>
  <c r="E36" i="21"/>
  <c r="D36" i="21"/>
  <c r="B36" i="21"/>
  <c r="A36" i="21"/>
  <c r="A45" i="21" s="1"/>
  <c r="C45" i="21" s="1"/>
  <c r="E35" i="21"/>
  <c r="D35" i="21"/>
  <c r="B35" i="21"/>
  <c r="A35" i="21"/>
  <c r="A44" i="21" s="1"/>
  <c r="C44" i="21" s="1"/>
  <c r="E32" i="21"/>
  <c r="D32" i="21"/>
  <c r="C32" i="21"/>
  <c r="B32" i="21"/>
  <c r="E31" i="21"/>
  <c r="D31" i="21"/>
  <c r="C31" i="21"/>
  <c r="B31" i="21"/>
  <c r="E30" i="21"/>
  <c r="D30" i="21"/>
  <c r="C30" i="21"/>
  <c r="B30" i="21"/>
  <c r="E29" i="21"/>
  <c r="D29" i="21"/>
  <c r="C29" i="21"/>
  <c r="B29" i="21"/>
  <c r="E28" i="21"/>
  <c r="D28" i="21"/>
  <c r="C28" i="21"/>
  <c r="B28" i="21"/>
  <c r="E27" i="21"/>
  <c r="D27" i="21"/>
  <c r="C27" i="21"/>
  <c r="B27" i="21"/>
  <c r="E24" i="21"/>
  <c r="D24" i="21"/>
  <c r="C24" i="21"/>
  <c r="B24" i="21"/>
  <c r="E23" i="21"/>
  <c r="D23" i="21"/>
  <c r="C23" i="21"/>
  <c r="B23" i="21"/>
  <c r="E22" i="21"/>
  <c r="F22" i="21" s="1"/>
  <c r="D22" i="21"/>
  <c r="C22" i="21"/>
  <c r="B22" i="21"/>
  <c r="E21" i="21"/>
  <c r="F21" i="21" s="1"/>
  <c r="D21" i="21"/>
  <c r="C21" i="21"/>
  <c r="B21" i="21"/>
  <c r="E20" i="21"/>
  <c r="F20" i="21" s="1"/>
  <c r="D20" i="21"/>
  <c r="C20" i="21"/>
  <c r="B20" i="21"/>
  <c r="E19" i="21"/>
  <c r="F19" i="21" s="1"/>
  <c r="D19" i="21"/>
  <c r="C19" i="21"/>
  <c r="B19" i="21"/>
  <c r="E18" i="21"/>
  <c r="F18" i="21" s="1"/>
  <c r="D18" i="21"/>
  <c r="C18" i="21"/>
  <c r="B18" i="21"/>
  <c r="E17" i="21"/>
  <c r="F17" i="21" s="1"/>
  <c r="D17" i="21"/>
  <c r="C17" i="21"/>
  <c r="B17" i="21"/>
  <c r="B15" i="21"/>
  <c r="E14" i="21"/>
  <c r="D14" i="21"/>
  <c r="C14" i="21"/>
  <c r="B14" i="21"/>
  <c r="E13" i="21"/>
  <c r="D13" i="21"/>
  <c r="C13" i="21"/>
  <c r="B13" i="21"/>
  <c r="E12" i="21"/>
  <c r="D12" i="21"/>
  <c r="C12" i="21"/>
  <c r="B12" i="21"/>
  <c r="E11" i="21"/>
  <c r="F11" i="21" s="1"/>
  <c r="D11" i="21"/>
  <c r="C11" i="21"/>
  <c r="B11" i="21"/>
  <c r="E10" i="21"/>
  <c r="F10" i="21" s="1"/>
  <c r="D10" i="21"/>
  <c r="C10" i="21"/>
  <c r="B10" i="21"/>
  <c r="E9" i="21"/>
  <c r="D9" i="21"/>
  <c r="C9" i="21"/>
  <c r="B9" i="21"/>
  <c r="C8" i="21"/>
  <c r="H6" i="21"/>
  <c r="D73" i="20"/>
  <c r="D74" i="20" s="1"/>
  <c r="D76" i="20" s="1"/>
  <c r="D71" i="20"/>
  <c r="D69" i="20"/>
  <c r="F65" i="20"/>
  <c r="C73" i="20" s="1"/>
  <c r="C85" i="20" s="1"/>
  <c r="D60" i="20"/>
  <c r="D85" i="20" s="1"/>
  <c r="C51" i="20"/>
  <c r="E50" i="20"/>
  <c r="D50" i="20"/>
  <c r="B50" i="20"/>
  <c r="E49" i="20"/>
  <c r="D49" i="20"/>
  <c r="B49" i="20"/>
  <c r="A49" i="20"/>
  <c r="C49" i="20" s="1"/>
  <c r="E48" i="20"/>
  <c r="D48" i="20"/>
  <c r="B48" i="20"/>
  <c r="E47" i="20"/>
  <c r="D47" i="20"/>
  <c r="B47" i="20"/>
  <c r="A47" i="20"/>
  <c r="C47" i="20" s="1"/>
  <c r="E46" i="20"/>
  <c r="D46" i="20"/>
  <c r="B46" i="20"/>
  <c r="A46" i="20"/>
  <c r="C46" i="20" s="1"/>
  <c r="E45" i="20"/>
  <c r="D45" i="20"/>
  <c r="B45" i="20"/>
  <c r="A44" i="20"/>
  <c r="C44" i="20" s="1"/>
  <c r="E41" i="20"/>
  <c r="D41" i="20"/>
  <c r="B41" i="20"/>
  <c r="A41" i="20"/>
  <c r="A50" i="20" s="1"/>
  <c r="C50" i="20" s="1"/>
  <c r="E40" i="20"/>
  <c r="D40" i="20"/>
  <c r="C40" i="20"/>
  <c r="B40" i="20"/>
  <c r="A40" i="20"/>
  <c r="E39" i="20"/>
  <c r="D39" i="20"/>
  <c r="B39" i="20"/>
  <c r="A39" i="20"/>
  <c r="A48" i="20" s="1"/>
  <c r="C48" i="20" s="1"/>
  <c r="E38" i="20"/>
  <c r="F38" i="20" s="1"/>
  <c r="D38" i="20"/>
  <c r="C38" i="20"/>
  <c r="B38" i="20"/>
  <c r="A38" i="20"/>
  <c r="E37" i="20"/>
  <c r="D37" i="20"/>
  <c r="C37" i="20"/>
  <c r="B37" i="20"/>
  <c r="A37" i="20"/>
  <c r="E36" i="20"/>
  <c r="D36" i="20"/>
  <c r="C36" i="20"/>
  <c r="B36" i="20"/>
  <c r="A36" i="20"/>
  <c r="A45" i="20" s="1"/>
  <c r="C45" i="20" s="1"/>
  <c r="C35" i="20"/>
  <c r="A35" i="20"/>
  <c r="E32" i="20"/>
  <c r="F32" i="20" s="1"/>
  <c r="D32" i="20"/>
  <c r="C32" i="20"/>
  <c r="B32" i="20"/>
  <c r="E31" i="20"/>
  <c r="F31" i="20" s="1"/>
  <c r="D31" i="20"/>
  <c r="C31" i="20"/>
  <c r="B31" i="20"/>
  <c r="E30" i="20"/>
  <c r="F30" i="20" s="1"/>
  <c r="D30" i="20"/>
  <c r="C30" i="20"/>
  <c r="B30" i="20"/>
  <c r="E29" i="20"/>
  <c r="F29" i="20" s="1"/>
  <c r="D29" i="20"/>
  <c r="C29" i="20"/>
  <c r="B29" i="20"/>
  <c r="E28" i="20"/>
  <c r="F28" i="20" s="1"/>
  <c r="D28" i="20"/>
  <c r="C28" i="20"/>
  <c r="B28" i="20"/>
  <c r="E27" i="20"/>
  <c r="F27" i="20" s="1"/>
  <c r="D27" i="20"/>
  <c r="C27" i="20"/>
  <c r="B27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E18" i="20"/>
  <c r="F18" i="20" s="1"/>
  <c r="D18" i="20"/>
  <c r="C18" i="20"/>
  <c r="B18" i="20"/>
  <c r="C17" i="20"/>
  <c r="B15" i="20"/>
  <c r="E14" i="20"/>
  <c r="F14" i="20" s="1"/>
  <c r="D14" i="20"/>
  <c r="C14" i="20"/>
  <c r="B14" i="20"/>
  <c r="E13" i="20"/>
  <c r="F13" i="20" s="1"/>
  <c r="D13" i="20"/>
  <c r="C13" i="20"/>
  <c r="B13" i="20"/>
  <c r="E12" i="20"/>
  <c r="D12" i="20"/>
  <c r="C12" i="20"/>
  <c r="B12" i="20"/>
  <c r="E11" i="20"/>
  <c r="D11" i="20"/>
  <c r="C11" i="20"/>
  <c r="B11" i="20"/>
  <c r="E10" i="20"/>
  <c r="D10" i="20"/>
  <c r="C10" i="20"/>
  <c r="B10" i="20"/>
  <c r="E9" i="20"/>
  <c r="F9" i="20" s="1"/>
  <c r="D9" i="20"/>
  <c r="C9" i="20"/>
  <c r="B9" i="20"/>
  <c r="F8" i="20"/>
  <c r="C8" i="20"/>
  <c r="H6" i="20"/>
  <c r="D73" i="19"/>
  <c r="D74" i="19" s="1"/>
  <c r="D76" i="19" s="1"/>
  <c r="D71" i="19"/>
  <c r="D69" i="19"/>
  <c r="F65" i="19"/>
  <c r="C73" i="19" s="1"/>
  <c r="C85" i="19" s="1"/>
  <c r="D60" i="19"/>
  <c r="D83" i="19" s="1"/>
  <c r="E51" i="19"/>
  <c r="C51" i="19"/>
  <c r="F51" i="19" s="1"/>
  <c r="E50" i="19"/>
  <c r="D50" i="19"/>
  <c r="B50" i="19"/>
  <c r="E49" i="19"/>
  <c r="D49" i="19"/>
  <c r="B49" i="19"/>
  <c r="E48" i="19"/>
  <c r="D48" i="19"/>
  <c r="B48" i="19"/>
  <c r="E47" i="19"/>
  <c r="D47" i="19"/>
  <c r="B47" i="19"/>
  <c r="E46" i="19"/>
  <c r="D46" i="19"/>
  <c r="B46" i="19"/>
  <c r="E45" i="19"/>
  <c r="D45" i="19"/>
  <c r="B45" i="19"/>
  <c r="E44" i="19"/>
  <c r="D44" i="19"/>
  <c r="B44" i="19"/>
  <c r="E41" i="19"/>
  <c r="D41" i="19"/>
  <c r="B41" i="19"/>
  <c r="A41" i="19"/>
  <c r="A50" i="19" s="1"/>
  <c r="C50" i="19" s="1"/>
  <c r="E40" i="19"/>
  <c r="D40" i="19"/>
  <c r="B40" i="19"/>
  <c r="A40" i="19"/>
  <c r="C40" i="19" s="1"/>
  <c r="E39" i="19"/>
  <c r="D39" i="19"/>
  <c r="B39" i="19"/>
  <c r="A39" i="19"/>
  <c r="C39" i="19" s="1"/>
  <c r="E38" i="19"/>
  <c r="D38" i="19"/>
  <c r="B38" i="19"/>
  <c r="A38" i="19"/>
  <c r="C38" i="19" s="1"/>
  <c r="E37" i="19"/>
  <c r="D37" i="19"/>
  <c r="C37" i="19"/>
  <c r="B37" i="19"/>
  <c r="A37" i="19"/>
  <c r="A46" i="19" s="1"/>
  <c r="C46" i="19" s="1"/>
  <c r="E36" i="19"/>
  <c r="D36" i="19"/>
  <c r="B36" i="19"/>
  <c r="A36" i="19"/>
  <c r="A45" i="19" s="1"/>
  <c r="C45" i="19" s="1"/>
  <c r="E35" i="19"/>
  <c r="D35" i="19"/>
  <c r="C35" i="19"/>
  <c r="B35" i="19"/>
  <c r="A35" i="19"/>
  <c r="A44" i="19" s="1"/>
  <c r="C44" i="19" s="1"/>
  <c r="E32" i="19"/>
  <c r="F32" i="19" s="1"/>
  <c r="D32" i="19"/>
  <c r="C32" i="19"/>
  <c r="B32" i="19"/>
  <c r="E31" i="19"/>
  <c r="D31" i="19"/>
  <c r="C31" i="19"/>
  <c r="B31" i="19"/>
  <c r="E30" i="19"/>
  <c r="D30" i="19"/>
  <c r="C30" i="19"/>
  <c r="B30" i="19"/>
  <c r="E29" i="19"/>
  <c r="D29" i="19"/>
  <c r="C29" i="19"/>
  <c r="B29" i="19"/>
  <c r="E28" i="19"/>
  <c r="F28" i="19" s="1"/>
  <c r="D28" i="19"/>
  <c r="C28" i="19"/>
  <c r="B28" i="19"/>
  <c r="E27" i="19"/>
  <c r="D27" i="19"/>
  <c r="C27" i="19"/>
  <c r="B27" i="19"/>
  <c r="E24" i="19"/>
  <c r="F24" i="19" s="1"/>
  <c r="D24" i="19"/>
  <c r="C24" i="19"/>
  <c r="B24" i="19"/>
  <c r="E23" i="19"/>
  <c r="F23" i="19" s="1"/>
  <c r="D23" i="19"/>
  <c r="C23" i="19"/>
  <c r="B23" i="19"/>
  <c r="E22" i="19"/>
  <c r="F22" i="19" s="1"/>
  <c r="D22" i="19"/>
  <c r="C22" i="19"/>
  <c r="B22" i="19"/>
  <c r="E21" i="19"/>
  <c r="F21" i="19" s="1"/>
  <c r="D21" i="19"/>
  <c r="C21" i="19"/>
  <c r="B21" i="19"/>
  <c r="E20" i="19"/>
  <c r="F20" i="19" s="1"/>
  <c r="D20" i="19"/>
  <c r="C20" i="19"/>
  <c r="B20" i="19"/>
  <c r="E19" i="19"/>
  <c r="F19" i="19" s="1"/>
  <c r="D19" i="19"/>
  <c r="C19" i="19"/>
  <c r="B19" i="19"/>
  <c r="E18" i="19"/>
  <c r="F18" i="19" s="1"/>
  <c r="D18" i="19"/>
  <c r="C18" i="19"/>
  <c r="B18" i="19"/>
  <c r="E17" i="19"/>
  <c r="F17" i="19" s="1"/>
  <c r="D17" i="19"/>
  <c r="C17" i="19"/>
  <c r="B17" i="19"/>
  <c r="B15" i="19"/>
  <c r="E14" i="19"/>
  <c r="F14" i="19" s="1"/>
  <c r="D14" i="19"/>
  <c r="C14" i="19"/>
  <c r="B14" i="19"/>
  <c r="E13" i="19"/>
  <c r="F13" i="19" s="1"/>
  <c r="D13" i="19"/>
  <c r="C13" i="19"/>
  <c r="B13" i="19"/>
  <c r="E12" i="19"/>
  <c r="F12" i="19" s="1"/>
  <c r="D12" i="19"/>
  <c r="C12" i="19"/>
  <c r="B12" i="19"/>
  <c r="E11" i="19"/>
  <c r="F11" i="19" s="1"/>
  <c r="D11" i="19"/>
  <c r="C11" i="19"/>
  <c r="B11" i="19"/>
  <c r="F10" i="19"/>
  <c r="C10" i="19"/>
  <c r="F9" i="19"/>
  <c r="C9" i="19"/>
  <c r="C8" i="19"/>
  <c r="H6" i="19"/>
  <c r="D73" i="18"/>
  <c r="D74" i="18" s="1"/>
  <c r="D76" i="18" s="1"/>
  <c r="D71" i="18"/>
  <c r="D69" i="18"/>
  <c r="F65" i="18"/>
  <c r="C73" i="18" s="1"/>
  <c r="C85" i="18" s="1"/>
  <c r="D60" i="18"/>
  <c r="D83" i="18" s="1"/>
  <c r="C51" i="18"/>
  <c r="E50" i="18"/>
  <c r="D50" i="18"/>
  <c r="B50" i="18"/>
  <c r="E49" i="18"/>
  <c r="D49" i="18"/>
  <c r="B49" i="18"/>
  <c r="E48" i="18"/>
  <c r="D48" i="18"/>
  <c r="B48" i="18"/>
  <c r="E47" i="18"/>
  <c r="D47" i="18"/>
  <c r="B47" i="18"/>
  <c r="E46" i="18"/>
  <c r="D46" i="18"/>
  <c r="B46" i="18"/>
  <c r="E45" i="18"/>
  <c r="D45" i="18"/>
  <c r="B45" i="18"/>
  <c r="E41" i="18"/>
  <c r="D41" i="18"/>
  <c r="B41" i="18"/>
  <c r="A41" i="18"/>
  <c r="A50" i="18" s="1"/>
  <c r="C50" i="18" s="1"/>
  <c r="E40" i="18"/>
  <c r="D40" i="18"/>
  <c r="B40" i="18"/>
  <c r="A40" i="18"/>
  <c r="C40" i="18" s="1"/>
  <c r="E39" i="18"/>
  <c r="D39" i="18"/>
  <c r="B39" i="18"/>
  <c r="A39" i="18"/>
  <c r="C39" i="18" s="1"/>
  <c r="E38" i="18"/>
  <c r="D38" i="18"/>
  <c r="C38" i="18"/>
  <c r="B38" i="18"/>
  <c r="A38" i="18"/>
  <c r="A47" i="18" s="1"/>
  <c r="C47" i="18" s="1"/>
  <c r="E37" i="18"/>
  <c r="D37" i="18"/>
  <c r="B37" i="18"/>
  <c r="A37" i="18"/>
  <c r="C37" i="18" s="1"/>
  <c r="E36" i="18"/>
  <c r="D36" i="18"/>
  <c r="B36" i="18"/>
  <c r="A36" i="18"/>
  <c r="C36" i="18" s="1"/>
  <c r="C35" i="18"/>
  <c r="A35" i="18"/>
  <c r="A44" i="18" s="1"/>
  <c r="C44" i="18" s="1"/>
  <c r="E32" i="18"/>
  <c r="F32" i="18" s="1"/>
  <c r="D32" i="18"/>
  <c r="C32" i="18"/>
  <c r="B32" i="18"/>
  <c r="E31" i="18"/>
  <c r="F31" i="18" s="1"/>
  <c r="D31" i="18"/>
  <c r="C31" i="18"/>
  <c r="B31" i="18"/>
  <c r="E30" i="18"/>
  <c r="D30" i="18"/>
  <c r="C30" i="18"/>
  <c r="F30" i="18" s="1"/>
  <c r="B30" i="18"/>
  <c r="E29" i="18"/>
  <c r="F29" i="18" s="1"/>
  <c r="D29" i="18"/>
  <c r="C29" i="18"/>
  <c r="B29" i="18"/>
  <c r="E28" i="18"/>
  <c r="F28" i="18" s="1"/>
  <c r="D28" i="18"/>
  <c r="C28" i="18"/>
  <c r="B28" i="18"/>
  <c r="E27" i="18"/>
  <c r="F27" i="18" s="1"/>
  <c r="D27" i="18"/>
  <c r="C27" i="18"/>
  <c r="B27" i="18"/>
  <c r="E24" i="18"/>
  <c r="D24" i="18"/>
  <c r="C24" i="18"/>
  <c r="B24" i="18"/>
  <c r="E23" i="18"/>
  <c r="F23" i="18" s="1"/>
  <c r="D23" i="18"/>
  <c r="C23" i="18"/>
  <c r="B23" i="18"/>
  <c r="E22" i="18"/>
  <c r="F22" i="18" s="1"/>
  <c r="D22" i="18"/>
  <c r="C22" i="18"/>
  <c r="B22" i="18"/>
  <c r="E21" i="18"/>
  <c r="F21" i="18" s="1"/>
  <c r="D21" i="18"/>
  <c r="C21" i="18"/>
  <c r="B21" i="18"/>
  <c r="E20" i="18"/>
  <c r="F20" i="18" s="1"/>
  <c r="D20" i="18"/>
  <c r="C20" i="18"/>
  <c r="E19" i="18"/>
  <c r="F19" i="18" s="1"/>
  <c r="D19" i="18"/>
  <c r="C19" i="18"/>
  <c r="B19" i="18"/>
  <c r="E18" i="18"/>
  <c r="F18" i="18" s="1"/>
  <c r="D18" i="18"/>
  <c r="C18" i="18"/>
  <c r="B18" i="18"/>
  <c r="C17" i="18"/>
  <c r="B15" i="18"/>
  <c r="E14" i="18"/>
  <c r="F14" i="18" s="1"/>
  <c r="D14" i="18"/>
  <c r="C14" i="18"/>
  <c r="B14" i="18"/>
  <c r="E13" i="18"/>
  <c r="D13" i="18"/>
  <c r="C13" i="18"/>
  <c r="B13" i="18"/>
  <c r="E12" i="18"/>
  <c r="F12" i="18" s="1"/>
  <c r="D12" i="18"/>
  <c r="C12" i="18"/>
  <c r="B12" i="18"/>
  <c r="E11" i="18"/>
  <c r="F11" i="18" s="1"/>
  <c r="D11" i="18"/>
  <c r="C11" i="18"/>
  <c r="B11" i="18"/>
  <c r="E10" i="18"/>
  <c r="F10" i="18" s="1"/>
  <c r="D10" i="18"/>
  <c r="C10" i="18"/>
  <c r="B10" i="18"/>
  <c r="E9" i="18"/>
  <c r="F9" i="18" s="1"/>
  <c r="D9" i="18"/>
  <c r="C9" i="18"/>
  <c r="B9" i="18"/>
  <c r="C8" i="18"/>
  <c r="H6" i="18"/>
  <c r="D73" i="17"/>
  <c r="D74" i="17" s="1"/>
  <c r="D76" i="17" s="1"/>
  <c r="D71" i="17"/>
  <c r="D69" i="17"/>
  <c r="F65" i="17"/>
  <c r="E51" i="17" s="1"/>
  <c r="F51" i="17" s="1"/>
  <c r="D60" i="17"/>
  <c r="D85" i="17" s="1"/>
  <c r="D86" i="17" s="1"/>
  <c r="C51" i="17"/>
  <c r="E50" i="17"/>
  <c r="D50" i="17"/>
  <c r="B50" i="17"/>
  <c r="E49" i="17"/>
  <c r="D49" i="17"/>
  <c r="B49" i="17"/>
  <c r="E48" i="17"/>
  <c r="D48" i="17"/>
  <c r="B48" i="17"/>
  <c r="E47" i="17"/>
  <c r="D47" i="17"/>
  <c r="B47" i="17"/>
  <c r="E46" i="17"/>
  <c r="E41" i="17"/>
  <c r="D41" i="17"/>
  <c r="B41" i="17"/>
  <c r="A41" i="17"/>
  <c r="A50" i="17" s="1"/>
  <c r="C50" i="17" s="1"/>
  <c r="E40" i="17"/>
  <c r="D40" i="17"/>
  <c r="B40" i="17"/>
  <c r="A40" i="17"/>
  <c r="A49" i="17" s="1"/>
  <c r="C49" i="17" s="1"/>
  <c r="E39" i="17"/>
  <c r="D39" i="17"/>
  <c r="B39" i="17"/>
  <c r="A39" i="17"/>
  <c r="C39" i="17" s="1"/>
  <c r="E38" i="17"/>
  <c r="D38" i="17"/>
  <c r="B38" i="17"/>
  <c r="A38" i="17"/>
  <c r="C38" i="17" s="1"/>
  <c r="E37" i="17"/>
  <c r="A37" i="17"/>
  <c r="C37" i="17" s="1"/>
  <c r="A36" i="17"/>
  <c r="C36" i="17" s="1"/>
  <c r="A35" i="17"/>
  <c r="C35" i="17" s="1"/>
  <c r="E32" i="17"/>
  <c r="D32" i="17"/>
  <c r="C32" i="17"/>
  <c r="B32" i="17"/>
  <c r="E31" i="17"/>
  <c r="D31" i="17"/>
  <c r="C31" i="17"/>
  <c r="B31" i="17"/>
  <c r="E30" i="17"/>
  <c r="F30" i="17" s="1"/>
  <c r="D30" i="17"/>
  <c r="C30" i="17"/>
  <c r="B30" i="17"/>
  <c r="E29" i="17"/>
  <c r="D29" i="17"/>
  <c r="C29" i="17"/>
  <c r="B29" i="17"/>
  <c r="E28" i="17"/>
  <c r="F28" i="17" s="1"/>
  <c r="D28" i="17"/>
  <c r="C28" i="17"/>
  <c r="B28" i="17"/>
  <c r="E27" i="17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F22" i="17" s="1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C19" i="17"/>
  <c r="C18" i="17"/>
  <c r="F17" i="17"/>
  <c r="C17" i="17"/>
  <c r="B15" i="17"/>
  <c r="E14" i="17"/>
  <c r="F14" i="17" s="1"/>
  <c r="D14" i="17"/>
  <c r="C14" i="17"/>
  <c r="B14" i="17"/>
  <c r="E13" i="17"/>
  <c r="F13" i="17" s="1"/>
  <c r="D13" i="17"/>
  <c r="C13" i="17"/>
  <c r="B13" i="17"/>
  <c r="E12" i="17"/>
  <c r="F12" i="17" s="1"/>
  <c r="D12" i="17"/>
  <c r="C12" i="17"/>
  <c r="B12" i="17"/>
  <c r="F11" i="17"/>
  <c r="C11" i="17"/>
  <c r="F10" i="17"/>
  <c r="C10" i="17"/>
  <c r="C9" i="17"/>
  <c r="C8" i="17"/>
  <c r="H6" i="17"/>
  <c r="F11" i="20" l="1"/>
  <c r="F30" i="19"/>
  <c r="F12" i="20"/>
  <c r="F37" i="20"/>
  <c r="F14" i="21"/>
  <c r="F10" i="20"/>
  <c r="F29" i="22"/>
  <c r="F12" i="22"/>
  <c r="E85" i="22"/>
  <c r="D81" i="22"/>
  <c r="F10" i="22"/>
  <c r="F11" i="22"/>
  <c r="F13" i="22"/>
  <c r="F14" i="22"/>
  <c r="F8" i="22"/>
  <c r="C37" i="22"/>
  <c r="F53" i="25"/>
  <c r="F64" i="25" s="1"/>
  <c r="F56" i="25"/>
  <c r="F54" i="25"/>
  <c r="C85" i="25"/>
  <c r="E85" i="25" s="1"/>
  <c r="E73" i="25"/>
  <c r="F9" i="22"/>
  <c r="F13" i="18"/>
  <c r="F40" i="20"/>
  <c r="F12" i="21"/>
  <c r="F36" i="20"/>
  <c r="F30" i="22"/>
  <c r="D83" i="22"/>
  <c r="C41" i="22"/>
  <c r="E51" i="18"/>
  <c r="F51" i="18" s="1"/>
  <c r="E73" i="18"/>
  <c r="D85" i="18"/>
  <c r="D86" i="18" s="1"/>
  <c r="F38" i="18"/>
  <c r="F37" i="18"/>
  <c r="F40" i="18"/>
  <c r="C41" i="18"/>
  <c r="F41" i="18" s="1"/>
  <c r="A45" i="18"/>
  <c r="C45" i="18" s="1"/>
  <c r="F45" i="18" s="1"/>
  <c r="F39" i="18"/>
  <c r="F24" i="18"/>
  <c r="F50" i="18"/>
  <c r="F8" i="18"/>
  <c r="F49" i="17"/>
  <c r="F32" i="17"/>
  <c r="F27" i="17"/>
  <c r="F29" i="17"/>
  <c r="F31" i="17"/>
  <c r="C40" i="17"/>
  <c r="F40" i="17"/>
  <c r="F37" i="17"/>
  <c r="F19" i="17"/>
  <c r="F9" i="17"/>
  <c r="A44" i="17"/>
  <c r="C44" i="17" s="1"/>
  <c r="F44" i="17" s="1"/>
  <c r="F8" i="17"/>
  <c r="E51" i="20"/>
  <c r="F51" i="20" s="1"/>
  <c r="E85" i="20"/>
  <c r="D81" i="20"/>
  <c r="D83" i="20"/>
  <c r="E73" i="20"/>
  <c r="F49" i="20"/>
  <c r="F48" i="20"/>
  <c r="F46" i="20"/>
  <c r="F45" i="20"/>
  <c r="F50" i="20"/>
  <c r="F47" i="20"/>
  <c r="C41" i="20"/>
  <c r="F41" i="20" s="1"/>
  <c r="C39" i="20"/>
  <c r="F39" i="20" s="1"/>
  <c r="F51" i="21"/>
  <c r="E51" i="21"/>
  <c r="D83" i="21"/>
  <c r="D85" i="21"/>
  <c r="D86" i="21" s="1"/>
  <c r="C35" i="21"/>
  <c r="F38" i="21"/>
  <c r="F30" i="21"/>
  <c r="F27" i="21"/>
  <c r="F35" i="21"/>
  <c r="F9" i="21"/>
  <c r="F39" i="21"/>
  <c r="F23" i="21"/>
  <c r="F28" i="21"/>
  <c r="F31" i="21"/>
  <c r="C36" i="21"/>
  <c r="F36" i="21" s="1"/>
  <c r="F44" i="21"/>
  <c r="F13" i="21"/>
  <c r="F24" i="21"/>
  <c r="F29" i="21"/>
  <c r="F32" i="21"/>
  <c r="F45" i="21"/>
  <c r="F8" i="21"/>
  <c r="D85" i="19"/>
  <c r="D86" i="19" s="1"/>
  <c r="E73" i="19"/>
  <c r="F46" i="19"/>
  <c r="F31" i="19"/>
  <c r="F29" i="19"/>
  <c r="F27" i="19"/>
  <c r="F37" i="19"/>
  <c r="F35" i="19"/>
  <c r="C41" i="19"/>
  <c r="F41" i="19" s="1"/>
  <c r="C36" i="19"/>
  <c r="F36" i="19" s="1"/>
  <c r="F8" i="19"/>
  <c r="F53" i="19" s="1"/>
  <c r="F51" i="22"/>
  <c r="A47" i="22"/>
  <c r="C47" i="22" s="1"/>
  <c r="A49" i="22"/>
  <c r="C49" i="22" s="1"/>
  <c r="E73" i="22"/>
  <c r="A44" i="22"/>
  <c r="C44" i="22" s="1"/>
  <c r="F44" i="22" s="1"/>
  <c r="A48" i="22"/>
  <c r="C48" i="22" s="1"/>
  <c r="C85" i="21"/>
  <c r="E73" i="21"/>
  <c r="F50" i="21"/>
  <c r="C41" i="21"/>
  <c r="F41" i="21" s="1"/>
  <c r="A47" i="21"/>
  <c r="C47" i="21" s="1"/>
  <c r="F47" i="21" s="1"/>
  <c r="A49" i="21"/>
  <c r="C49" i="21" s="1"/>
  <c r="F49" i="21" s="1"/>
  <c r="A46" i="21"/>
  <c r="C46" i="21" s="1"/>
  <c r="F46" i="21" s="1"/>
  <c r="A48" i="21"/>
  <c r="C48" i="21" s="1"/>
  <c r="F48" i="21" s="1"/>
  <c r="D86" i="20"/>
  <c r="F50" i="19"/>
  <c r="F38" i="19"/>
  <c r="F39" i="19"/>
  <c r="F44" i="19"/>
  <c r="F45" i="19"/>
  <c r="F40" i="19"/>
  <c r="D81" i="19"/>
  <c r="A47" i="19"/>
  <c r="C47" i="19" s="1"/>
  <c r="F47" i="19" s="1"/>
  <c r="A49" i="19"/>
  <c r="C49" i="19" s="1"/>
  <c r="F49" i="19" s="1"/>
  <c r="A48" i="19"/>
  <c r="C48" i="19" s="1"/>
  <c r="F48" i="19" s="1"/>
  <c r="F36" i="18"/>
  <c r="F47" i="18"/>
  <c r="D81" i="18"/>
  <c r="A49" i="18"/>
  <c r="C49" i="18" s="1"/>
  <c r="F49" i="18" s="1"/>
  <c r="A46" i="18"/>
  <c r="C46" i="18" s="1"/>
  <c r="F46" i="18" s="1"/>
  <c r="A48" i="18"/>
  <c r="C48" i="18" s="1"/>
  <c r="F48" i="18" s="1"/>
  <c r="F50" i="17"/>
  <c r="F35" i="17"/>
  <c r="F38" i="17"/>
  <c r="F39" i="17"/>
  <c r="C41" i="17"/>
  <c r="F41" i="17" s="1"/>
  <c r="A45" i="17"/>
  <c r="C45" i="17" s="1"/>
  <c r="D81" i="17"/>
  <c r="A47" i="17"/>
  <c r="C47" i="17" s="1"/>
  <c r="F47" i="17" s="1"/>
  <c r="C73" i="17"/>
  <c r="D83" i="17"/>
  <c r="A46" i="17"/>
  <c r="C46" i="17" s="1"/>
  <c r="F46" i="17" s="1"/>
  <c r="A48" i="17"/>
  <c r="C48" i="17" s="1"/>
  <c r="F48" i="17" s="1"/>
  <c r="C69" i="25" l="1"/>
  <c r="E69" i="25" s="1"/>
  <c r="E17" i="27" s="1"/>
  <c r="F17" i="27" s="1"/>
  <c r="F53" i="27" s="1"/>
  <c r="H53" i="25"/>
  <c r="F2" i="25" s="1"/>
  <c r="C76" i="25"/>
  <c r="E76" i="25" s="1"/>
  <c r="E35" i="27" s="1"/>
  <c r="F35" i="27" s="1"/>
  <c r="F54" i="27" s="1"/>
  <c r="H54" i="25"/>
  <c r="G2" i="25" s="1"/>
  <c r="F55" i="25"/>
  <c r="H56" i="25"/>
  <c r="C74" i="25"/>
  <c r="F53" i="21"/>
  <c r="F64" i="21" s="1"/>
  <c r="E85" i="18"/>
  <c r="E85" i="21"/>
  <c r="E85" i="19"/>
  <c r="F54" i="19"/>
  <c r="F55" i="19" s="1"/>
  <c r="F54" i="21"/>
  <c r="F56" i="21"/>
  <c r="F56" i="19"/>
  <c r="C69" i="19"/>
  <c r="F64" i="19"/>
  <c r="H53" i="19"/>
  <c r="F2" i="19" s="1"/>
  <c r="C85" i="17"/>
  <c r="E85" i="17" s="1"/>
  <c r="E73" i="17"/>
  <c r="F55" i="27" l="1"/>
  <c r="O54" i="27" s="1"/>
  <c r="F63" i="27"/>
  <c r="H55" i="27"/>
  <c r="H54" i="27"/>
  <c r="G2" i="27" s="1"/>
  <c r="H54" i="19"/>
  <c r="G2" i="19" s="1"/>
  <c r="F64" i="27"/>
  <c r="C69" i="27"/>
  <c r="H53" i="27"/>
  <c r="F2" i="27" s="1"/>
  <c r="C76" i="27"/>
  <c r="E76" i="27" s="1"/>
  <c r="E41" i="22" s="1"/>
  <c r="C81" i="25"/>
  <c r="E81" i="25" s="1"/>
  <c r="O56" i="27"/>
  <c r="C86" i="25"/>
  <c r="E86" i="25" s="1"/>
  <c r="E74" i="25"/>
  <c r="O55" i="25"/>
  <c r="H58" i="25"/>
  <c r="H59" i="25" s="1"/>
  <c r="O58" i="25" s="1"/>
  <c r="H2" i="25"/>
  <c r="H55" i="25"/>
  <c r="O54" i="25"/>
  <c r="F63" i="25"/>
  <c r="C69" i="21"/>
  <c r="C81" i="21" s="1"/>
  <c r="E81" i="21" s="1"/>
  <c r="H53" i="21"/>
  <c r="F2" i="21" s="1"/>
  <c r="C76" i="19"/>
  <c r="E76" i="19" s="1"/>
  <c r="E38" i="22" s="1"/>
  <c r="F38" i="22" s="1"/>
  <c r="C76" i="21"/>
  <c r="E76" i="21" s="1"/>
  <c r="H54" i="21"/>
  <c r="G2" i="21" s="1"/>
  <c r="F55" i="21"/>
  <c r="H56" i="21"/>
  <c r="C74" i="21"/>
  <c r="H56" i="19"/>
  <c r="C74" i="19"/>
  <c r="H55" i="19"/>
  <c r="O54" i="19"/>
  <c r="F63" i="19"/>
  <c r="E69" i="19"/>
  <c r="E20" i="22" s="1"/>
  <c r="F20" i="22" s="1"/>
  <c r="C81" i="19"/>
  <c r="E81" i="19" s="1"/>
  <c r="F66" i="27" l="1"/>
  <c r="G63" i="27" s="1"/>
  <c r="C71" i="27"/>
  <c r="E63" i="27"/>
  <c r="C81" i="27"/>
  <c r="E81" i="27" s="1"/>
  <c r="E69" i="27"/>
  <c r="E78" i="25"/>
  <c r="E44" i="27"/>
  <c r="F44" i="27" s="1"/>
  <c r="F56" i="27" s="1"/>
  <c r="G12" i="27"/>
  <c r="G20" i="27"/>
  <c r="G45" i="27"/>
  <c r="C83" i="27"/>
  <c r="E83" i="27" s="1"/>
  <c r="E71" i="27"/>
  <c r="O56" i="25"/>
  <c r="O57" i="25" s="1"/>
  <c r="O59" i="25" s="1"/>
  <c r="C71" i="25"/>
  <c r="E63" i="25"/>
  <c r="F66" i="25"/>
  <c r="G63" i="25"/>
  <c r="E69" i="21"/>
  <c r="E22" i="22" s="1"/>
  <c r="F22" i="22" s="1"/>
  <c r="E17" i="20"/>
  <c r="F17" i="20" s="1"/>
  <c r="F53" i="20" s="1"/>
  <c r="E40" i="22"/>
  <c r="F40" i="22" s="1"/>
  <c r="E35" i="20"/>
  <c r="F35" i="20" s="1"/>
  <c r="F54" i="20" s="1"/>
  <c r="C86" i="21"/>
  <c r="E86" i="21" s="1"/>
  <c r="E74" i="21"/>
  <c r="O55" i="21"/>
  <c r="H58" i="21"/>
  <c r="H59" i="21" s="1"/>
  <c r="O58" i="21" s="1"/>
  <c r="H2" i="21"/>
  <c r="H55" i="21"/>
  <c r="O54" i="21"/>
  <c r="F63" i="21"/>
  <c r="C71" i="19"/>
  <c r="E63" i="19"/>
  <c r="F66" i="19"/>
  <c r="G63" i="19" s="1"/>
  <c r="O56" i="19"/>
  <c r="C86" i="19"/>
  <c r="E86" i="19" s="1"/>
  <c r="E74" i="19"/>
  <c r="O55" i="19"/>
  <c r="H58" i="19"/>
  <c r="H59" i="19" s="1"/>
  <c r="O58" i="19" s="1"/>
  <c r="H2" i="19"/>
  <c r="G8" i="27" l="1"/>
  <c r="G9" i="27"/>
  <c r="G36" i="27"/>
  <c r="G50" i="27"/>
  <c r="G56" i="27"/>
  <c r="G51" i="27"/>
  <c r="G46" i="27"/>
  <c r="G19" i="27"/>
  <c r="G53" i="27"/>
  <c r="G41" i="27"/>
  <c r="G37" i="27"/>
  <c r="G32" i="27"/>
  <c r="G10" i="27"/>
  <c r="G64" i="27"/>
  <c r="G55" i="27"/>
  <c r="G17" i="27"/>
  <c r="G54" i="27"/>
  <c r="G23" i="27"/>
  <c r="G66" i="27"/>
  <c r="G49" i="27"/>
  <c r="G24" i="27"/>
  <c r="G35" i="27"/>
  <c r="G47" i="27"/>
  <c r="G39" i="27"/>
  <c r="G30" i="27"/>
  <c r="G65" i="27"/>
  <c r="G21" i="27"/>
  <c r="G13" i="27"/>
  <c r="G29" i="27"/>
  <c r="G28" i="27"/>
  <c r="G27" i="27"/>
  <c r="G38" i="27"/>
  <c r="G11" i="27"/>
  <c r="G18" i="27"/>
  <c r="G14" i="27"/>
  <c r="G22" i="27"/>
  <c r="G40" i="27"/>
  <c r="G48" i="27"/>
  <c r="G31" i="27"/>
  <c r="G44" i="27"/>
  <c r="H56" i="27"/>
  <c r="C74" i="27"/>
  <c r="E23" i="22"/>
  <c r="G66" i="25"/>
  <c r="G23" i="25"/>
  <c r="G29" i="25"/>
  <c r="G21" i="25"/>
  <c r="G49" i="25"/>
  <c r="G35" i="25"/>
  <c r="G11" i="25"/>
  <c r="G50" i="25"/>
  <c r="G37" i="25"/>
  <c r="G9" i="25"/>
  <c r="G27" i="25"/>
  <c r="G13" i="25"/>
  <c r="G22" i="25"/>
  <c r="G38" i="25"/>
  <c r="G65" i="25"/>
  <c r="G41" i="25"/>
  <c r="G32" i="25"/>
  <c r="G17" i="25"/>
  <c r="G45" i="25"/>
  <c r="G8" i="25"/>
  <c r="G20" i="25"/>
  <c r="G24" i="25"/>
  <c r="G30" i="25"/>
  <c r="G46" i="25"/>
  <c r="G28" i="25"/>
  <c r="G19" i="25"/>
  <c r="G12" i="25"/>
  <c r="G31" i="25"/>
  <c r="G18" i="25"/>
  <c r="G36" i="25"/>
  <c r="G14" i="25"/>
  <c r="G51" i="25"/>
  <c r="G10" i="25"/>
  <c r="G44" i="25"/>
  <c r="G47" i="25"/>
  <c r="G39" i="25"/>
  <c r="G48" i="25"/>
  <c r="G53" i="25"/>
  <c r="G40" i="25"/>
  <c r="G54" i="25"/>
  <c r="G64" i="25"/>
  <c r="G56" i="25"/>
  <c r="G55" i="25"/>
  <c r="C83" i="25"/>
  <c r="E83" i="25" s="1"/>
  <c r="E71" i="25"/>
  <c r="O60" i="25"/>
  <c r="O61" i="25" s="1"/>
  <c r="O62" i="25" s="1"/>
  <c r="C76" i="20"/>
  <c r="E76" i="20" s="1"/>
  <c r="H54" i="20"/>
  <c r="G2" i="20" s="1"/>
  <c r="E78" i="19"/>
  <c r="E47" i="22"/>
  <c r="F47" i="22" s="1"/>
  <c r="E78" i="21"/>
  <c r="E49" i="22"/>
  <c r="F49" i="22" s="1"/>
  <c r="E44" i="20"/>
  <c r="F44" i="20" s="1"/>
  <c r="F56" i="20" s="1"/>
  <c r="C69" i="20"/>
  <c r="F55" i="20"/>
  <c r="H53" i="20"/>
  <c r="F2" i="20" s="1"/>
  <c r="F64" i="20"/>
  <c r="O57" i="19"/>
  <c r="O59" i="19" s="1"/>
  <c r="O60" i="19" s="1"/>
  <c r="O61" i="19" s="1"/>
  <c r="O62" i="19" s="1"/>
  <c r="C71" i="21"/>
  <c r="E63" i="21"/>
  <c r="F66" i="21"/>
  <c r="G63" i="21" s="1"/>
  <c r="O56" i="21"/>
  <c r="O57" i="21" s="1"/>
  <c r="O59" i="21" s="1"/>
  <c r="G66" i="19"/>
  <c r="G65" i="19"/>
  <c r="G17" i="19"/>
  <c r="G28" i="19"/>
  <c r="G37" i="19"/>
  <c r="G41" i="19"/>
  <c r="G35" i="19"/>
  <c r="G23" i="19"/>
  <c r="G36" i="19"/>
  <c r="G14" i="19"/>
  <c r="G51" i="19"/>
  <c r="G46" i="19"/>
  <c r="G19" i="19"/>
  <c r="G29" i="19"/>
  <c r="G22" i="19"/>
  <c r="G13" i="19"/>
  <c r="G9" i="19"/>
  <c r="G8" i="19"/>
  <c r="G18" i="19"/>
  <c r="G11" i="19"/>
  <c r="G21" i="19"/>
  <c r="G27" i="19"/>
  <c r="G20" i="19"/>
  <c r="G24" i="19"/>
  <c r="G32" i="19"/>
  <c r="G31" i="19"/>
  <c r="G12" i="19"/>
  <c r="G10" i="19"/>
  <c r="G30" i="19"/>
  <c r="G48" i="19"/>
  <c r="G38" i="19"/>
  <c r="G40" i="19"/>
  <c r="G54" i="19"/>
  <c r="G50" i="19"/>
  <c r="G44" i="19"/>
  <c r="G39" i="19"/>
  <c r="G53" i="19"/>
  <c r="G47" i="19"/>
  <c r="G49" i="19"/>
  <c r="G45" i="19"/>
  <c r="G56" i="19"/>
  <c r="G55" i="19"/>
  <c r="G64" i="19"/>
  <c r="C83" i="19"/>
  <c r="E83" i="19" s="1"/>
  <c r="E71" i="19"/>
  <c r="E74" i="27" l="1"/>
  <c r="C86" i="27"/>
  <c r="E86" i="27" s="1"/>
  <c r="H2" i="27"/>
  <c r="H58" i="27"/>
  <c r="H59" i="27" s="1"/>
  <c r="O58" i="27" s="1"/>
  <c r="O55" i="27"/>
  <c r="O57" i="27" s="1"/>
  <c r="P62" i="25"/>
  <c r="E2" i="25"/>
  <c r="H55" i="20"/>
  <c r="O54" i="20"/>
  <c r="F63" i="20"/>
  <c r="C81" i="20"/>
  <c r="E81" i="20" s="1"/>
  <c r="E69" i="20"/>
  <c r="H56" i="20"/>
  <c r="C74" i="20"/>
  <c r="E39" i="22"/>
  <c r="F39" i="22" s="1"/>
  <c r="E36" i="17"/>
  <c r="F36" i="17" s="1"/>
  <c r="C83" i="21"/>
  <c r="E83" i="21" s="1"/>
  <c r="E71" i="21"/>
  <c r="O60" i="21"/>
  <c r="O61" i="21" s="1"/>
  <c r="O62" i="21" s="1"/>
  <c r="G66" i="21"/>
  <c r="G65" i="21"/>
  <c r="G22" i="21"/>
  <c r="G37" i="21"/>
  <c r="G8" i="21"/>
  <c r="G13" i="21"/>
  <c r="G14" i="21"/>
  <c r="G32" i="21"/>
  <c r="G18" i="21"/>
  <c r="G12" i="21"/>
  <c r="G38" i="21"/>
  <c r="G30" i="21"/>
  <c r="G19" i="21"/>
  <c r="G51" i="21"/>
  <c r="G31" i="21"/>
  <c r="G44" i="21"/>
  <c r="G17" i="21"/>
  <c r="G24" i="21"/>
  <c r="G23" i="21"/>
  <c r="G39" i="21"/>
  <c r="G10" i="21"/>
  <c r="G40" i="21"/>
  <c r="G35" i="21"/>
  <c r="G29" i="21"/>
  <c r="G9" i="21"/>
  <c r="G36" i="21"/>
  <c r="G20" i="21"/>
  <c r="G45" i="21"/>
  <c r="G28" i="21"/>
  <c r="G27" i="21"/>
  <c r="G11" i="21"/>
  <c r="G21" i="21"/>
  <c r="G48" i="21"/>
  <c r="G53" i="21"/>
  <c r="G47" i="21"/>
  <c r="G41" i="21"/>
  <c r="G49" i="21"/>
  <c r="G50" i="21"/>
  <c r="G46" i="21"/>
  <c r="G54" i="21"/>
  <c r="G64" i="21"/>
  <c r="G56" i="21"/>
  <c r="G55" i="21"/>
  <c r="P62" i="19"/>
  <c r="E2" i="19"/>
  <c r="O59" i="27" l="1"/>
  <c r="O60" i="27" s="1"/>
  <c r="O61" i="27" s="1"/>
  <c r="O62" i="27" s="1"/>
  <c r="E50" i="22"/>
  <c r="E78" i="27"/>
  <c r="E74" i="20"/>
  <c r="E78" i="20" s="1"/>
  <c r="C86" i="20"/>
  <c r="E86" i="20" s="1"/>
  <c r="O55" i="20"/>
  <c r="H58" i="20"/>
  <c r="H59" i="20" s="1"/>
  <c r="O58" i="20" s="1"/>
  <c r="H2" i="20"/>
  <c r="E21" i="22"/>
  <c r="F21" i="22" s="1"/>
  <c r="E18" i="17"/>
  <c r="F18" i="17" s="1"/>
  <c r="F54" i="17"/>
  <c r="F66" i="20"/>
  <c r="C71" i="20"/>
  <c r="E63" i="20"/>
  <c r="O56" i="20"/>
  <c r="P62" i="21"/>
  <c r="E2" i="21"/>
  <c r="E2" i="27" l="1"/>
  <c r="P62" i="27"/>
  <c r="O57" i="20"/>
  <c r="O59" i="20" s="1"/>
  <c r="O60" i="20" s="1"/>
  <c r="O61" i="20" s="1"/>
  <c r="O62" i="20" s="1"/>
  <c r="E2" i="20" s="1"/>
  <c r="H54" i="17"/>
  <c r="G2" i="17" s="1"/>
  <c r="C76" i="17"/>
  <c r="E76" i="17" s="1"/>
  <c r="F53" i="17"/>
  <c r="C83" i="20"/>
  <c r="E83" i="20" s="1"/>
  <c r="E71" i="20"/>
  <c r="G65" i="20"/>
  <c r="G13" i="20"/>
  <c r="G19" i="20"/>
  <c r="G32" i="20"/>
  <c r="G66" i="20"/>
  <c r="G46" i="20"/>
  <c r="G27" i="20"/>
  <c r="G14" i="20"/>
  <c r="G18" i="20"/>
  <c r="G37" i="20"/>
  <c r="G54" i="20"/>
  <c r="G50" i="20"/>
  <c r="G51" i="20"/>
  <c r="G38" i="20"/>
  <c r="G22" i="20"/>
  <c r="G20" i="20"/>
  <c r="G11" i="20"/>
  <c r="G23" i="20"/>
  <c r="G21" i="20"/>
  <c r="G31" i="20"/>
  <c r="G49" i="20"/>
  <c r="G48" i="20"/>
  <c r="G36" i="20"/>
  <c r="G17" i="20"/>
  <c r="G39" i="20"/>
  <c r="G56" i="20"/>
  <c r="G24" i="20"/>
  <c r="G12" i="20"/>
  <c r="G29" i="20"/>
  <c r="G35" i="20"/>
  <c r="G45" i="20"/>
  <c r="G30" i="20"/>
  <c r="G47" i="20"/>
  <c r="G8" i="20"/>
  <c r="G28" i="20"/>
  <c r="G40" i="20"/>
  <c r="G9" i="20"/>
  <c r="G53" i="20"/>
  <c r="G41" i="20"/>
  <c r="G10" i="20"/>
  <c r="G64" i="20"/>
  <c r="G44" i="20"/>
  <c r="G55" i="20"/>
  <c r="G63" i="20"/>
  <c r="E48" i="22"/>
  <c r="F48" i="22" s="1"/>
  <c r="E45" i="17"/>
  <c r="F45" i="17" s="1"/>
  <c r="J29" i="7"/>
  <c r="J17" i="7"/>
  <c r="J16" i="7"/>
  <c r="J47" i="7"/>
  <c r="J14" i="7"/>
  <c r="D49" i="16"/>
  <c r="E11" i="16"/>
  <c r="J34" i="16" s="1"/>
  <c r="J36" i="16" s="1"/>
  <c r="E10" i="16"/>
  <c r="J45" i="16"/>
  <c r="E11" i="14"/>
  <c r="J35" i="14" s="1"/>
  <c r="J37" i="14" s="1"/>
  <c r="E10" i="14"/>
  <c r="J46" i="14"/>
  <c r="D50" i="14"/>
  <c r="P62" i="20" l="1"/>
  <c r="C69" i="17"/>
  <c r="F64" i="17"/>
  <c r="F55" i="17"/>
  <c r="H53" i="17"/>
  <c r="F2" i="17" s="1"/>
  <c r="F56" i="17"/>
  <c r="E37" i="22"/>
  <c r="F37" i="22" s="1"/>
  <c r="E35" i="18"/>
  <c r="F35" i="18" s="1"/>
  <c r="J51" i="7"/>
  <c r="F54" i="18" l="1"/>
  <c r="H56" i="17"/>
  <c r="C74" i="17"/>
  <c r="F63" i="17"/>
  <c r="O54" i="17"/>
  <c r="H55" i="17"/>
  <c r="E69" i="17"/>
  <c r="C81" i="17"/>
  <c r="E81" i="17" s="1"/>
  <c r="O56" i="17" l="1"/>
  <c r="C71" i="17"/>
  <c r="E63" i="17"/>
  <c r="F66" i="17"/>
  <c r="E74" i="17"/>
  <c r="C86" i="17"/>
  <c r="E86" i="17" s="1"/>
  <c r="H2" i="17"/>
  <c r="O55" i="17"/>
  <c r="H58" i="17"/>
  <c r="H59" i="17" s="1"/>
  <c r="O58" i="17" s="1"/>
  <c r="E19" i="22"/>
  <c r="F19" i="22" s="1"/>
  <c r="E17" i="18"/>
  <c r="F17" i="18" s="1"/>
  <c r="C76" i="18"/>
  <c r="E76" i="18" s="1"/>
  <c r="F41" i="22" s="1"/>
  <c r="H54" i="18"/>
  <c r="G2" i="18" s="1"/>
  <c r="O57" i="17" l="1"/>
  <c r="O59" i="17" s="1"/>
  <c r="O60" i="17" s="1"/>
  <c r="O61" i="17" s="1"/>
  <c r="O62" i="17" s="1"/>
  <c r="E2" i="17" s="1"/>
  <c r="E78" i="17"/>
  <c r="E46" i="22"/>
  <c r="F46" i="22" s="1"/>
  <c r="E44" i="18"/>
  <c r="F44" i="18" s="1"/>
  <c r="G63" i="17"/>
  <c r="G51" i="17"/>
  <c r="G35" i="17"/>
  <c r="G37" i="17"/>
  <c r="G21" i="17"/>
  <c r="G30" i="17"/>
  <c r="G8" i="17"/>
  <c r="G47" i="17"/>
  <c r="G66" i="17"/>
  <c r="G31" i="17"/>
  <c r="G50" i="17"/>
  <c r="G27" i="17"/>
  <c r="G10" i="17"/>
  <c r="G49" i="17"/>
  <c r="G44" i="17"/>
  <c r="G29" i="17"/>
  <c r="G28" i="17"/>
  <c r="G65" i="17"/>
  <c r="G41" i="17"/>
  <c r="G9" i="17"/>
  <c r="G40" i="17"/>
  <c r="G13" i="17"/>
  <c r="G24" i="17"/>
  <c r="G20" i="17"/>
  <c r="G48" i="17"/>
  <c r="G17" i="17"/>
  <c r="G11" i="17"/>
  <c r="G39" i="17"/>
  <c r="G46" i="17"/>
  <c r="G23" i="17"/>
  <c r="G38" i="17"/>
  <c r="G12" i="17"/>
  <c r="G14" i="17"/>
  <c r="G22" i="17"/>
  <c r="G32" i="17"/>
  <c r="G19" i="17"/>
  <c r="G36" i="17"/>
  <c r="G54" i="17"/>
  <c r="G18" i="17"/>
  <c r="G53" i="17"/>
  <c r="G45" i="17"/>
  <c r="G56" i="17"/>
  <c r="G64" i="17"/>
  <c r="G55" i="17"/>
  <c r="C83" i="17"/>
  <c r="E83" i="17" s="1"/>
  <c r="E71" i="17"/>
  <c r="F53" i="18"/>
  <c r="F54" i="22"/>
  <c r="P62" i="17" l="1"/>
  <c r="F56" i="18"/>
  <c r="C76" i="22"/>
  <c r="E76" i="22" s="1"/>
  <c r="H54" i="22"/>
  <c r="G2" i="22" s="1"/>
  <c r="H53" i="18"/>
  <c r="F2" i="18" s="1"/>
  <c r="F64" i="18"/>
  <c r="C69" i="18"/>
  <c r="F55" i="18"/>
  <c r="H56" i="18" l="1"/>
  <c r="C74" i="18"/>
  <c r="F63" i="18"/>
  <c r="H55" i="18"/>
  <c r="O54" i="18"/>
  <c r="O56" i="18" s="1"/>
  <c r="E69" i="18"/>
  <c r="F23" i="22" s="1"/>
  <c r="C81" i="18"/>
  <c r="E81" i="18" s="1"/>
  <c r="C71" i="18" l="1"/>
  <c r="F66" i="18"/>
  <c r="E63" i="18"/>
  <c r="H58" i="18"/>
  <c r="H59" i="18" s="1"/>
  <c r="O58" i="18" s="1"/>
  <c r="O55" i="18"/>
  <c r="O57" i="18" s="1"/>
  <c r="H2" i="18"/>
  <c r="F53" i="22"/>
  <c r="E74" i="18"/>
  <c r="C86" i="18"/>
  <c r="E86" i="18" s="1"/>
  <c r="E78" i="18" l="1"/>
  <c r="F50" i="22"/>
  <c r="G63" i="18"/>
  <c r="G19" i="18"/>
  <c r="G51" i="18"/>
  <c r="G41" i="18"/>
  <c r="G27" i="18"/>
  <c r="G29" i="18"/>
  <c r="G30" i="18"/>
  <c r="G31" i="18"/>
  <c r="G28" i="18"/>
  <c r="G23" i="18"/>
  <c r="G38" i="18"/>
  <c r="G12" i="18"/>
  <c r="G48" i="18"/>
  <c r="G21" i="18"/>
  <c r="G24" i="18"/>
  <c r="G8" i="18"/>
  <c r="G10" i="18"/>
  <c r="G14" i="18"/>
  <c r="G65" i="18"/>
  <c r="G22" i="18"/>
  <c r="G47" i="18"/>
  <c r="G66" i="18"/>
  <c r="G37" i="18"/>
  <c r="G13" i="18"/>
  <c r="G49" i="18"/>
  <c r="G46" i="18"/>
  <c r="G50" i="18"/>
  <c r="G20" i="18"/>
  <c r="G40" i="18"/>
  <c r="G18" i="18"/>
  <c r="G36" i="18"/>
  <c r="G39" i="18"/>
  <c r="G45" i="18"/>
  <c r="G32" i="18"/>
  <c r="G9" i="18"/>
  <c r="G11" i="18"/>
  <c r="G35" i="18"/>
  <c r="G54" i="18"/>
  <c r="G17" i="18"/>
  <c r="G44" i="18"/>
  <c r="G53" i="18"/>
  <c r="G64" i="18"/>
  <c r="G56" i="18"/>
  <c r="G55" i="18"/>
  <c r="E71" i="18"/>
  <c r="C83" i="18"/>
  <c r="E83" i="18" s="1"/>
  <c r="H53" i="22"/>
  <c r="F2" i="22" s="1"/>
  <c r="F64" i="22"/>
  <c r="F55" i="22"/>
  <c r="C69" i="22"/>
  <c r="O59" i="18"/>
  <c r="O60" i="18" s="1"/>
  <c r="O61" i="18" s="1"/>
  <c r="O62" i="18" s="1"/>
  <c r="P62" i="18" l="1"/>
  <c r="E2" i="18"/>
  <c r="C81" i="22"/>
  <c r="E81" i="22" s="1"/>
  <c r="E69" i="22"/>
  <c r="H55" i="22"/>
  <c r="O54" i="22"/>
  <c r="F63" i="22"/>
  <c r="F56" i="22"/>
  <c r="E63" i="22" l="1"/>
  <c r="F66" i="22"/>
  <c r="G63" i="22" s="1"/>
  <c r="C71" i="22"/>
  <c r="H56" i="22"/>
  <c r="C74" i="22"/>
  <c r="O56" i="22"/>
  <c r="G56" i="22" l="1"/>
  <c r="E74" i="22"/>
  <c r="E78" i="22" s="1"/>
  <c r="C86" i="22"/>
  <c r="E86" i="22" s="1"/>
  <c r="O55" i="22"/>
  <c r="O57" i="22" s="1"/>
  <c r="H2" i="22"/>
  <c r="H58" i="22"/>
  <c r="H59" i="22" s="1"/>
  <c r="O58" i="22" s="1"/>
  <c r="E71" i="22"/>
  <c r="C83" i="22"/>
  <c r="E83" i="22" s="1"/>
  <c r="G66" i="22"/>
  <c r="G45" i="22"/>
  <c r="G35" i="22"/>
  <c r="G27" i="22"/>
  <c r="G22" i="22"/>
  <c r="G29" i="22"/>
  <c r="G30" i="22"/>
  <c r="G36" i="22"/>
  <c r="G28" i="22"/>
  <c r="G18" i="22"/>
  <c r="G65" i="22"/>
  <c r="G38" i="22"/>
  <c r="G17" i="22"/>
  <c r="G51" i="22"/>
  <c r="G13" i="22"/>
  <c r="G11" i="22"/>
  <c r="G9" i="22"/>
  <c r="G12" i="22"/>
  <c r="G31" i="22"/>
  <c r="G44" i="22"/>
  <c r="G40" i="22"/>
  <c r="G10" i="22"/>
  <c r="G47" i="22"/>
  <c r="G49" i="22"/>
  <c r="G32" i="22"/>
  <c r="G8" i="22"/>
  <c r="G20" i="22"/>
  <c r="G14" i="22"/>
  <c r="G24" i="22"/>
  <c r="G39" i="22"/>
  <c r="G21" i="22"/>
  <c r="G48" i="22"/>
  <c r="G37" i="22"/>
  <c r="G19" i="22"/>
  <c r="G41" i="22"/>
  <c r="G54" i="22"/>
  <c r="G46" i="22"/>
  <c r="G23" i="22"/>
  <c r="G53" i="22"/>
  <c r="G64" i="22"/>
  <c r="G50" i="22"/>
  <c r="G55" i="22"/>
  <c r="O59" i="22" l="1"/>
  <c r="O60" i="22" l="1"/>
  <c r="O61" i="22" s="1"/>
  <c r="O62" i="22" s="1"/>
  <c r="P62" i="22" l="1"/>
  <c r="E2" i="22"/>
</calcChain>
</file>

<file path=xl/sharedStrings.xml><?xml version="1.0" encoding="utf-8"?>
<sst xmlns="http://schemas.openxmlformats.org/spreadsheetml/2006/main" count="1533" uniqueCount="305">
  <si>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</si>
  <si>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</si>
  <si>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</si>
  <si>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</si>
  <si>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</si>
  <si>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</si>
  <si>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</si>
  <si>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</si>
  <si>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</si>
  <si>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</si>
  <si>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</si>
  <si>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</si>
  <si>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</si>
  <si>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</si>
  <si>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</si>
  <si>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</si>
  <si>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</si>
  <si>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</si>
  <si>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</si>
  <si>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</si>
  <si>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</si>
  <si>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</si>
  <si>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</si>
  <si>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</si>
  <si>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</si>
  <si>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</si>
  <si>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</si>
  <si>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</si>
  <si>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</si>
  <si>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</si>
  <si>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</si>
  <si>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</si>
  <si>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</si>
  <si>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</si>
  <si>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</si>
  <si>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</si>
  <si>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</si>
  <si>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ud</t>
  </si>
  <si>
    <t>EM10011</t>
  </si>
  <si>
    <t>ETIPLAST</t>
  </si>
  <si>
    <t>EM10124</t>
  </si>
  <si>
    <t>DECORACION</t>
  </si>
  <si>
    <t>ETIQUETA BLANCA R-153</t>
  </si>
  <si>
    <t>CEMUSA</t>
  </si>
  <si>
    <t>Sebastian Díaz, Gte Manufactura</t>
  </si>
  <si>
    <t>SE00005</t>
  </si>
  <si>
    <t>Postres</t>
  </si>
  <si>
    <t>907000042</t>
  </si>
  <si>
    <t>SE00196</t>
  </si>
  <si>
    <t>ROSQUETE ARROLLADO 1000g</t>
  </si>
  <si>
    <t>0.4</t>
  </si>
  <si>
    <t>416g (26g x ud)</t>
  </si>
  <si>
    <t>Almibar</t>
  </si>
  <si>
    <t>15g x rosquete</t>
  </si>
  <si>
    <t>Nuevo</t>
  </si>
  <si>
    <t xml:space="preserve">Nuevo </t>
  </si>
  <si>
    <t>ETIQUETA BLANCA 2 5/8X1 15/16</t>
  </si>
  <si>
    <t>EM10004</t>
  </si>
  <si>
    <t>ETIQ.FECHA VENCIMIENTO BLANCO</t>
  </si>
  <si>
    <t xml:space="preserve">1, Cortar el rosquete arrollado en 20 porciones, (4 cuadros de manera vertical y 15 cuadros de manera horizontal) quitandole excesos de los laterales. </t>
  </si>
  <si>
    <t xml:space="preserve">5, Tapar y etiquetar. </t>
  </si>
  <si>
    <t>Cake Box Piña Colada</t>
  </si>
  <si>
    <t>MP10145</t>
  </si>
  <si>
    <t>Coco Rallado</t>
  </si>
  <si>
    <t>MP10143</t>
  </si>
  <si>
    <t>Cobertura Chocolate Blanco Nacional</t>
  </si>
  <si>
    <t>Coco Tostado</t>
  </si>
  <si>
    <t>Tanta</t>
  </si>
  <si>
    <t>Coco Tostado con Chocolate Blanco</t>
  </si>
  <si>
    <t xml:space="preserve">Piña </t>
  </si>
  <si>
    <t>SE00016</t>
  </si>
  <si>
    <t>Empaque Azucar  Industrial</t>
  </si>
  <si>
    <t>MP10096</t>
  </si>
  <si>
    <t>Canela En Polvo</t>
  </si>
  <si>
    <t>Crema de Coco</t>
  </si>
  <si>
    <t>Crema Passionata de Coco</t>
  </si>
  <si>
    <t>MP10755</t>
  </si>
  <si>
    <t>Crema Passionata</t>
  </si>
  <si>
    <t xml:space="preserve">Crema de coco </t>
  </si>
  <si>
    <t>1, Colocar en la batidora con ayuda de globo la crema passionata hasta que este bien montada.</t>
  </si>
  <si>
    <t>2, Colocar la crema de coco y batir hasta que este bien incorpordado.</t>
  </si>
  <si>
    <t xml:space="preserve">3, Apartar y utilizar inmediatamente. </t>
  </si>
  <si>
    <t>Relleno Piña y Coco</t>
  </si>
  <si>
    <t>Topping Piña y Coco</t>
  </si>
  <si>
    <t>Topping de Piña y Coco</t>
  </si>
  <si>
    <t>Relleno de Piña con Coco</t>
  </si>
  <si>
    <t>Fas</t>
  </si>
  <si>
    <t>MP10089</t>
  </si>
  <si>
    <t>Brillo Glit</t>
  </si>
  <si>
    <t xml:space="preserve">1, Mezclar el relleno de Piña con Coco con el brillo hasta que este completamente incorporado. </t>
  </si>
  <si>
    <t>2, Utilizar inmediatamente</t>
  </si>
  <si>
    <t>MP10008</t>
  </si>
  <si>
    <t>Preservante 1047S</t>
  </si>
  <si>
    <t>100g x capa</t>
  </si>
  <si>
    <t xml:space="preserve">40g x capa </t>
  </si>
  <si>
    <t>15g x capa (1 capa)</t>
  </si>
  <si>
    <t>1 g x capa</t>
  </si>
  <si>
    <t>20g x capa</t>
  </si>
  <si>
    <t xml:space="preserve">2, En cada empaque colocar un cuadrado de rosquete, humedecer con el almibar, colocar el relleno Piña con Coco, despues la crema passionata de coco y el coco tostado con chocolate blanco. </t>
  </si>
  <si>
    <t xml:space="preserve">3. Colocar otro rosquete, humedecer con el almibar, agregar relleno de piña con coco y la crema passionata de coco y por ultimo la crema passionato de coco. </t>
  </si>
  <si>
    <t xml:space="preserve">4, Decorar (de manera inclinada) con el Topiing de Piña y coco y por ultimo colocar el coco tostado </t>
  </si>
  <si>
    <t>MP10564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</si>
  <si>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</si>
  <si>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</si>
  <si>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</si>
  <si>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</si>
  <si>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</si>
  <si>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</si>
  <si>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</si>
  <si>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</si>
  <si>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</si>
  <si>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</si>
  <si>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</si>
  <si>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</si>
  <si>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</si>
  <si>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</si>
  <si>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</si>
  <si>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</si>
  <si>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</si>
  <si>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</si>
  <si>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</si>
  <si>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</si>
  <si>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</si>
  <si>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</si>
  <si>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</si>
  <si>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</si>
  <si>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</si>
  <si>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</si>
  <si>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</si>
  <si>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</si>
  <si>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</si>
  <si>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</si>
  <si>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</si>
  <si>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</si>
  <si>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</si>
  <si>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</si>
  <si>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</si>
  <si>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</si>
  <si>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</si>
  <si>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</si>
  <si>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</si>
  <si>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</si>
  <si>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</si>
  <si>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</si>
  <si>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</si>
  <si>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</si>
  <si>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</si>
  <si>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</si>
  <si>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</si>
  <si>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</si>
  <si>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</si>
  <si>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</si>
  <si>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</si>
  <si>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15 oz</t>
  </si>
  <si>
    <t>Gramos</t>
  </si>
  <si>
    <t>15 oz =443 ml</t>
  </si>
  <si>
    <t xml:space="preserve">UND </t>
  </si>
  <si>
    <t>UND</t>
  </si>
  <si>
    <t>NUEVO</t>
  </si>
  <si>
    <t>Cake Box Cuadradro</t>
  </si>
  <si>
    <t>Und</t>
  </si>
  <si>
    <t>0702123</t>
  </si>
  <si>
    <t>701096</t>
  </si>
  <si>
    <t>0702007</t>
  </si>
  <si>
    <t>Cake Box In a Piña Colada</t>
  </si>
  <si>
    <t xml:space="preserve">Figuras </t>
  </si>
  <si>
    <t>85g x capa</t>
  </si>
  <si>
    <t xml:space="preserve">30g x capa </t>
  </si>
  <si>
    <t>5g x capa</t>
  </si>
  <si>
    <t xml:space="preserve">Empaque Salsa de Piña </t>
  </si>
  <si>
    <t>45 g x capa</t>
  </si>
  <si>
    <t xml:space="preserve">Brillo </t>
  </si>
  <si>
    <t xml:space="preserve">La Ciabatta </t>
  </si>
  <si>
    <t>MP10109</t>
  </si>
  <si>
    <t>Cereza Roja C/Tallo</t>
  </si>
  <si>
    <t>4g x capa</t>
  </si>
  <si>
    <t xml:space="preserve">1 ud x postre </t>
  </si>
  <si>
    <t>EM10500</t>
  </si>
  <si>
    <t>Empaque Cake In Box Cuadrado</t>
  </si>
  <si>
    <t xml:space="preserve">Etiqueta Cake In a Box Piña Colada </t>
  </si>
  <si>
    <t xml:space="preserve">4, Decorar la salsa de piña, colocar los bites de coco y la cereza en el centro </t>
  </si>
  <si>
    <t xml:space="preserve">Salsa de Piña </t>
  </si>
  <si>
    <t>Cocina</t>
  </si>
  <si>
    <t>Empaque</t>
  </si>
  <si>
    <t>Decoración</t>
  </si>
  <si>
    <t>EM10013</t>
  </si>
  <si>
    <t>BOLSA 17x25 TRANSP (KILO)</t>
  </si>
  <si>
    <t>0702069</t>
  </si>
  <si>
    <t>EM10002</t>
  </si>
  <si>
    <t>ETIQ.BLANCA 1 1/4 * 3/4 (UND)</t>
  </si>
  <si>
    <t>ETIQ.FECHA VENCIMIENTO BLANCO (ROLLO)</t>
  </si>
  <si>
    <t>bolsa</t>
  </si>
  <si>
    <t xml:space="preserve">1, Empacar 5000g de relleno en una bolsa 17*25.  </t>
  </si>
  <si>
    <t>2, Cerrar y etiquetar</t>
  </si>
  <si>
    <t>MP10150</t>
  </si>
  <si>
    <t>Colorante Gel Egg Yellow</t>
  </si>
  <si>
    <t>ESP-RE-BAS-017</t>
  </si>
  <si>
    <t>01</t>
  </si>
  <si>
    <t>Plancha Arrollado (1000g) SE00196</t>
  </si>
  <si>
    <t>Javier Tong, Chef</t>
  </si>
  <si>
    <t>Esteban Cartin, Gte Manufactura</t>
  </si>
  <si>
    <t>Batidos</t>
  </si>
  <si>
    <t>95250</t>
  </si>
  <si>
    <t>SE00452</t>
  </si>
  <si>
    <t>BATIDO ARROLLADO SPOON</t>
  </si>
  <si>
    <t>1950708</t>
  </si>
  <si>
    <t>BOLSA 17x25 TRANSP (KILO) **</t>
  </si>
  <si>
    <t>PLASTICOS P</t>
  </si>
  <si>
    <t>0906036</t>
  </si>
  <si>
    <t>EM10018</t>
  </si>
  <si>
    <t>PAPEL MANTEQUILLA</t>
  </si>
  <si>
    <t>TIPS</t>
  </si>
  <si>
    <t>Pliegos</t>
  </si>
  <si>
    <t>902000019</t>
  </si>
  <si>
    <t>MEZCLA ENGRASE MOLDES (29800g)</t>
  </si>
  <si>
    <t/>
  </si>
  <si>
    <t>1. Pesar en el molde engrasado con papel encerado la mezcla de arrollado.</t>
  </si>
  <si>
    <t>2.-Hornear en el Argental a 170°C por 15 Minutos</t>
  </si>
  <si>
    <t>ESP-RE-BAS-008</t>
  </si>
  <si>
    <t>BATIDO ROSQUETE ARROLLADO SPOON KILO SE00452</t>
  </si>
  <si>
    <t>95362</t>
  </si>
  <si>
    <t>SE00197</t>
  </si>
  <si>
    <t>BASE PREMEZCLA ARROLLADO SPOON KILO</t>
  </si>
  <si>
    <t>11300009</t>
  </si>
  <si>
    <t>MP10141</t>
  </si>
  <si>
    <t>CLARA HUEVO PASTE DEB-EL (CAJA:2.267 K)</t>
  </si>
  <si>
    <t>MAYCA</t>
  </si>
  <si>
    <t>MP10037</t>
  </si>
  <si>
    <t>YEMA DE HUEVO PASTEURIZADA</t>
  </si>
  <si>
    <t>INNOVO</t>
  </si>
  <si>
    <t>uds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</si>
  <si>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Poner a crecer la yema y la clara en la batidora con el azúcar, preservante y polvo de hornear a velocidad maxima, hasta obetener punto cinta por 40 minutos aproximadamente.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</si>
  <si>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Bajar la velocidad de la batidora a mínimo y agregar la harina. No batir mucho.</t>
    </r>
  </si>
  <si>
    <r>
      <rPr>
        <b/>
        <sz val="11"/>
        <rFont val="Times New Roman"/>
        <family val="1"/>
      </rPr>
      <t>3-.</t>
    </r>
    <r>
      <rPr>
        <sz val="11"/>
        <rFont val="Times New Roman"/>
        <family val="1"/>
      </rPr>
      <t xml:space="preserve"> La mezcla debe de quedar homogénea y esponjosa, limpiar los bordes de la batidora con una espatula. 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</si>
  <si>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Hornear por 15 minutos en Argental o Marshall a 175°C o en el Dicte 3 a 170°C por 15 minutos</t>
    </r>
  </si>
  <si>
    <t>SERVICIOS DE PASTELERIA SA</t>
  </si>
  <si>
    <t>CODIGO:</t>
  </si>
  <si>
    <t>REVISION:</t>
  </si>
  <si>
    <t>Pre Mezcla Arrollado Spoon (1000g)</t>
  </si>
  <si>
    <t>FECHA DE APROBACION:</t>
  </si>
  <si>
    <t>ELABORADO:</t>
  </si>
  <si>
    <t>Javier Tong; Chef de planta</t>
  </si>
  <si>
    <t>APROBADO:</t>
  </si>
  <si>
    <t>Jorge Montero, Gerente de manufactura</t>
  </si>
  <si>
    <t>Unidad Alternativa</t>
  </si>
  <si>
    <t>0510107</t>
  </si>
  <si>
    <t>HARINA HARISOL WINTER (25k)</t>
  </si>
  <si>
    <t>Harisol</t>
  </si>
  <si>
    <t>510301</t>
  </si>
  <si>
    <t>Azúcar</t>
  </si>
  <si>
    <t>Maria</t>
  </si>
  <si>
    <t>0510202</t>
  </si>
  <si>
    <t>Polvo de hornear</t>
  </si>
  <si>
    <t>Fleishman</t>
  </si>
  <si>
    <t>1212410</t>
  </si>
  <si>
    <t>Preservante 1047</t>
  </si>
  <si>
    <t>Alseal</t>
  </si>
  <si>
    <t>1950702</t>
  </si>
  <si>
    <t>bolsa 12*18</t>
  </si>
  <si>
    <t>uni</t>
  </si>
  <si>
    <t>1950704</t>
  </si>
  <si>
    <t>bolsa 5*8</t>
  </si>
  <si>
    <t>1950705</t>
  </si>
  <si>
    <t>bolsa 8*12</t>
  </si>
  <si>
    <t>1 min.</t>
  </si>
  <si>
    <t>GRAMOS</t>
  </si>
  <si>
    <t>PPORCIONES OBTENIDAS</t>
  </si>
  <si>
    <t>1 tanda</t>
  </si>
  <si>
    <t>DESCRIPCION DE LA PREPARACION DE LA  RECETA</t>
  </si>
  <si>
    <t>1 Pesar todos los ingredientes por separado.</t>
  </si>
  <si>
    <t>2, En la bosal 18*12 pesar el harina.</t>
  </si>
  <si>
    <t>3, En la bolsa 8*12 pesar el azucar y en la otra el polvo de hornear.</t>
  </si>
  <si>
    <t>4, En la bolsa 5*8 pesar el preservante</t>
  </si>
  <si>
    <t>ESP-RE-COCS-017</t>
  </si>
  <si>
    <t>02</t>
  </si>
  <si>
    <t xml:space="preserve"> SE00005 - ALMIBAR</t>
  </si>
  <si>
    <t>10415</t>
  </si>
  <si>
    <t>AGUA POTABLE (PLANTA)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</si>
  <si>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</si>
  <si>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</si>
  <si>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</si>
  <si>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</si>
  <si>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</si>
  <si>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</si>
  <si>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</si>
  <si>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</si>
  <si>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DOS PINOS</t>
  </si>
  <si>
    <t>PRESERVANTE 1047S (PAQ=5 KILO)</t>
  </si>
  <si>
    <t>ASEAL</t>
  </si>
  <si>
    <t>EM10259</t>
  </si>
  <si>
    <t>PLAST. AUTOAD 18 * 2000</t>
  </si>
  <si>
    <t>Mayca</t>
  </si>
  <si>
    <t>90</t>
  </si>
  <si>
    <t>Cm</t>
  </si>
  <si>
    <t>ETIQUETA BLANCA 2 5/8X1 15/16 (UND)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</si>
  <si>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</si>
  <si>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</si>
  <si>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</si>
  <si>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</si>
  <si>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Revision #2: Actualizacion del rendimiento de la receta. </t>
  </si>
  <si>
    <t>MP10733</t>
  </si>
  <si>
    <t>Chips de Coco Caramelizado</t>
  </si>
  <si>
    <t>SE00813</t>
  </si>
  <si>
    <t xml:space="preserve">  SE00814 Empaque  Salsa de Piña </t>
  </si>
  <si>
    <t>ESP-RE-EMPS-107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</si>
</sst>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  <numFmt numFmtId="171" formatCode="0.0"/>
  </numFmts>
  <fonts count="8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9"/>
      <name val="Arial"/>
      <family val="2"/>
    </font>
    <font>
      <b/>
      <i/>
      <sz val="12"/>
      <name val="Arial"/>
      <family val="2"/>
    </font>
    <font>
      <sz val="13"/>
      <name val="Times New Roman"/>
      <family val="1"/>
    </font>
    <font>
      <sz val="9.85"/>
      <color indexed="8"/>
      <name val="Times New Roman"/>
      <family val="1"/>
    </font>
    <font>
      <b/>
      <i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721">
    <xf numFmtId="0" fontId="0" fillId="0" borderId="0" xfId="0"/>
    <xf numFmtId="0" fontId="0" fillId="0" borderId="15" xfId="0" applyBorder="1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27" xfId="1" applyNumberFormat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17" fillId="0" borderId="15" xfId="0" applyFont="1" applyBorder="1" applyAlignment="1">
      <alignment horizontal="left" vertical="center"/>
    </xf>
    <xf numFmtId="0" fontId="19" fillId="0" borderId="27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1" fontId="0" fillId="0" borderId="0" xfId="0" applyNumberFormat="1"/>
    <xf numFmtId="0" fontId="28" fillId="0" borderId="15" xfId="0" applyFont="1" applyBorder="1" applyAlignment="1">
      <alignment horizontal="center"/>
    </xf>
    <xf numFmtId="0" fontId="28" fillId="0" borderId="15" xfId="0" applyFont="1" applyBorder="1"/>
    <xf numFmtId="16" fontId="21" fillId="0" borderId="8" xfId="0" applyNumberFormat="1" applyFont="1" applyBorder="1" applyAlignment="1">
      <alignment horizontal="center"/>
    </xf>
    <xf numFmtId="16" fontId="21" fillId="0" borderId="15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5" xfId="0" applyFont="1" applyBorder="1"/>
    <xf numFmtId="49" fontId="30" fillId="4" borderId="15" xfId="1" applyNumberFormat="1" applyFont="1" applyFill="1" applyBorder="1" applyAlignment="1">
      <alignment horizontal="center"/>
    </xf>
    <xf numFmtId="16" fontId="17" fillId="0" borderId="15" xfId="1" applyNumberFormat="1" applyFont="1" applyBorder="1" applyAlignment="1">
      <alignment horizontal="center"/>
    </xf>
    <xf numFmtId="0" fontId="30" fillId="0" borderId="15" xfId="1" applyFont="1" applyBorder="1" applyAlignment="1">
      <alignment horizontal="left" wrapText="1"/>
    </xf>
    <xf numFmtId="0" fontId="28" fillId="0" borderId="0" xfId="0" applyFont="1"/>
    <xf numFmtId="0" fontId="25" fillId="0" borderId="15" xfId="0" applyFont="1" applyBorder="1"/>
    <xf numFmtId="0" fontId="19" fillId="0" borderId="0" xfId="0" applyFont="1" applyAlignment="1">
      <alignment horizontal="left"/>
    </xf>
    <xf numFmtId="0" fontId="19" fillId="0" borderId="15" xfId="0" applyFont="1" applyBorder="1" applyAlignment="1">
      <alignment horizontal="left"/>
    </xf>
    <xf numFmtId="0" fontId="31" fillId="4" borderId="0" xfId="0" applyFont="1" applyFill="1" applyAlignment="1">
      <alignment vertical="center"/>
    </xf>
    <xf numFmtId="0" fontId="32" fillId="7" borderId="15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3" fontId="32" fillId="0" borderId="15" xfId="9" applyFont="1" applyFill="1" applyBorder="1" applyAlignment="1">
      <alignment horizontal="center" vertical="center"/>
    </xf>
    <xf numFmtId="43" fontId="32" fillId="0" borderId="0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8" fontId="37" fillId="0" borderId="0" xfId="0" applyNumberFormat="1" applyFont="1" applyAlignment="1">
      <alignment horizontal="center" vertical="center" wrapText="1"/>
    </xf>
    <xf numFmtId="0" fontId="32" fillId="8" borderId="48" xfId="0" applyFont="1" applyFill="1" applyBorder="1" applyAlignment="1">
      <alignment horizontal="center" vertical="center"/>
    </xf>
    <xf numFmtId="0" fontId="32" fillId="8" borderId="49" xfId="0" applyFont="1" applyFill="1" applyBorder="1" applyAlignment="1">
      <alignment horizontal="center" vertical="center"/>
    </xf>
    <xf numFmtId="0" fontId="32" fillId="8" borderId="49" xfId="0" applyFont="1" applyFill="1" applyBorder="1" applyAlignment="1">
      <alignment horizontal="center" vertical="center" wrapText="1"/>
    </xf>
    <xf numFmtId="0" fontId="32" fillId="8" borderId="5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8" fillId="0" borderId="0" xfId="0" applyNumberFormat="1" applyFont="1" applyAlignment="1">
      <alignment horizontal="center"/>
    </xf>
    <xf numFmtId="4" fontId="38" fillId="0" borderId="0" xfId="10" applyNumberFormat="1" applyFont="1" applyFill="1" applyAlignment="1">
      <alignment horizontal="center" vertical="center"/>
    </xf>
    <xf numFmtId="4" fontId="32" fillId="0" borderId="0" xfId="10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0" fontId="31" fillId="0" borderId="0" xfId="0" applyFont="1"/>
    <xf numFmtId="49" fontId="32" fillId="0" borderId="0" xfId="0" applyNumberFormat="1" applyFont="1" applyAlignment="1">
      <alignment horizontal="center"/>
    </xf>
    <xf numFmtId="169" fontId="31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43" fontId="31" fillId="0" borderId="0" xfId="9" applyFont="1" applyFill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4" fontId="32" fillId="0" borderId="0" xfId="9" applyNumberFormat="1" applyFont="1" applyFill="1" applyAlignment="1">
      <alignment vertical="center"/>
    </xf>
    <xf numFmtId="43" fontId="40" fillId="0" borderId="0" xfId="9" applyFont="1" applyFill="1" applyAlignment="1">
      <alignment horizontal="center" vertical="center"/>
    </xf>
    <xf numFmtId="10" fontId="33" fillId="8" borderId="51" xfId="7" applyNumberFormat="1" applyFont="1" applyFill="1" applyBorder="1" applyAlignment="1">
      <alignment vertical="center"/>
    </xf>
    <xf numFmtId="0" fontId="31" fillId="8" borderId="37" xfId="0" applyFont="1" applyFill="1" applyBorder="1" applyAlignment="1">
      <alignment vertical="center"/>
    </xf>
    <xf numFmtId="0" fontId="31" fillId="8" borderId="51" xfId="0" applyFont="1" applyFill="1" applyBorder="1" applyAlignment="1">
      <alignment vertical="center"/>
    </xf>
    <xf numFmtId="43" fontId="40" fillId="8" borderId="52" xfId="9" applyFont="1" applyFill="1" applyBorder="1" applyAlignment="1">
      <alignment horizontal="center" vertical="center"/>
    </xf>
    <xf numFmtId="43" fontId="42" fillId="0" borderId="0" xfId="9" applyFont="1" applyFill="1" applyBorder="1" applyAlignment="1">
      <alignment horizontal="right"/>
    </xf>
    <xf numFmtId="0" fontId="31" fillId="8" borderId="52" xfId="0" applyFont="1" applyFill="1" applyBorder="1" applyAlignment="1">
      <alignment vertical="center"/>
    </xf>
    <xf numFmtId="10" fontId="33" fillId="8" borderId="52" xfId="7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0" fontId="41" fillId="0" borderId="0" xfId="0" applyFont="1"/>
    <xf numFmtId="9" fontId="41" fillId="0" borderId="0" xfId="0" applyNumberFormat="1" applyFont="1"/>
    <xf numFmtId="9" fontId="43" fillId="0" borderId="0" xfId="7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4" fontId="40" fillId="0" borderId="0" xfId="9" applyNumberFormat="1" applyFont="1" applyFill="1" applyAlignment="1">
      <alignment vertical="center"/>
    </xf>
    <xf numFmtId="4" fontId="40" fillId="0" borderId="0" xfId="10" applyNumberFormat="1" applyFont="1" applyAlignment="1">
      <alignment horizontal="center" vertical="center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5" fillId="0" borderId="20" xfId="0" applyFont="1" applyBorder="1" applyAlignment="1">
      <alignment horizontal="right"/>
    </xf>
    <xf numFmtId="43" fontId="46" fillId="5" borderId="53" xfId="9" applyFont="1" applyFill="1" applyBorder="1" applyAlignment="1">
      <alignment horizontal="right"/>
    </xf>
    <xf numFmtId="43" fontId="46" fillId="0" borderId="0" xfId="9" applyFont="1" applyFill="1" applyBorder="1" applyAlignment="1">
      <alignment horizontal="right"/>
    </xf>
    <xf numFmtId="43" fontId="32" fillId="0" borderId="15" xfId="9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4" fontId="40" fillId="0" borderId="0" xfId="10" applyNumberFormat="1" applyFont="1" applyFill="1" applyAlignment="1">
      <alignment horizontal="center" vertical="center"/>
    </xf>
    <xf numFmtId="10" fontId="48" fillId="0" borderId="0" xfId="7" applyNumberFormat="1" applyFont="1" applyFill="1" applyAlignment="1">
      <alignment horizontal="right"/>
    </xf>
    <xf numFmtId="170" fontId="32" fillId="8" borderId="15" xfId="9" applyNumberFormat="1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43" fontId="32" fillId="9" borderId="15" xfId="9" applyFont="1" applyFill="1" applyBorder="1" applyAlignment="1">
      <alignment vertical="center"/>
    </xf>
    <xf numFmtId="167" fontId="49" fillId="0" borderId="0" xfId="0" applyNumberFormat="1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3" fillId="8" borderId="5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2" fontId="48" fillId="0" borderId="0" xfId="9" applyNumberFormat="1" applyFont="1" applyFill="1" applyBorder="1" applyAlignment="1">
      <alignment horizontal="center"/>
    </xf>
    <xf numFmtId="2" fontId="45" fillId="0" borderId="0" xfId="9" applyNumberFormat="1" applyFont="1" applyFill="1" applyBorder="1" applyAlignment="1">
      <alignment horizontal="center"/>
    </xf>
    <xf numFmtId="0" fontId="31" fillId="8" borderId="54" xfId="0" applyFont="1" applyFill="1" applyBorder="1" applyAlignment="1">
      <alignment vertical="center"/>
    </xf>
    <xf numFmtId="10" fontId="31" fillId="0" borderId="0" xfId="7" applyNumberFormat="1" applyFont="1" applyFill="1" applyAlignment="1">
      <alignment vertical="center"/>
    </xf>
    <xf numFmtId="4" fontId="31" fillId="0" borderId="0" xfId="9" applyNumberFormat="1" applyFont="1" applyFill="1" applyAlignment="1">
      <alignment vertical="center"/>
    </xf>
    <xf numFmtId="43" fontId="46" fillId="8" borderId="37" xfId="9" applyFont="1" applyFill="1" applyBorder="1" applyAlignment="1">
      <alignment horizontal="right"/>
    </xf>
    <xf numFmtId="0" fontId="32" fillId="8" borderId="38" xfId="0" applyFont="1" applyFill="1" applyBorder="1" applyAlignment="1">
      <alignment horizontal="right" vertical="center"/>
    </xf>
    <xf numFmtId="10" fontId="52" fillId="0" borderId="0" xfId="9" applyNumberFormat="1" applyFont="1" applyFill="1" applyAlignment="1">
      <alignment vertical="center"/>
    </xf>
    <xf numFmtId="10" fontId="33" fillId="0" borderId="0" xfId="7" applyNumberFormat="1" applyFont="1" applyFill="1" applyBorder="1" applyAlignment="1">
      <alignment vertical="center"/>
    </xf>
    <xf numFmtId="167" fontId="53" fillId="0" borderId="0" xfId="0" applyNumberFormat="1" applyFont="1" applyAlignment="1">
      <alignment horizontal="center" vertical="center"/>
    </xf>
    <xf numFmtId="0" fontId="31" fillId="4" borderId="53" xfId="0" applyFont="1" applyFill="1" applyBorder="1" applyAlignment="1">
      <alignment horizontal="center" vertical="center"/>
    </xf>
    <xf numFmtId="43" fontId="54" fillId="0" borderId="0" xfId="9" applyFont="1" applyFill="1" applyAlignment="1">
      <alignment vertical="center"/>
    </xf>
    <xf numFmtId="4" fontId="55" fillId="0" borderId="0" xfId="10" applyNumberFormat="1" applyFont="1" applyFill="1" applyAlignment="1">
      <alignment horizontal="center" vertical="center" wrapText="1"/>
    </xf>
    <xf numFmtId="9" fontId="31" fillId="0" borderId="0" xfId="9" applyNumberFormat="1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9" fillId="0" borderId="0" xfId="0" applyFont="1" applyAlignment="1">
      <alignment horizontal="right" vertical="center"/>
    </xf>
    <xf numFmtId="4" fontId="39" fillId="0" borderId="0" xfId="9" applyNumberFormat="1" applyFont="1" applyFill="1" applyAlignment="1">
      <alignment vertical="center"/>
    </xf>
    <xf numFmtId="4" fontId="32" fillId="11" borderId="53" xfId="9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43" fontId="56" fillId="0" borderId="0" xfId="9" applyFont="1" applyFill="1" applyAlignment="1">
      <alignment vertical="center"/>
    </xf>
    <xf numFmtId="9" fontId="56" fillId="0" borderId="0" xfId="9" applyNumberFormat="1" applyFont="1" applyFill="1" applyAlignment="1">
      <alignment vertical="center"/>
    </xf>
    <xf numFmtId="4" fontId="32" fillId="0" borderId="0" xfId="9" applyNumberFormat="1" applyFont="1" applyFill="1" applyAlignment="1">
      <alignment horizontal="center" vertical="center"/>
    </xf>
    <xf numFmtId="10" fontId="49" fillId="0" borderId="0" xfId="7" applyNumberFormat="1" applyFont="1" applyFill="1" applyAlignment="1">
      <alignment vertical="center"/>
    </xf>
    <xf numFmtId="43" fontId="49" fillId="0" borderId="0" xfId="9" applyFont="1" applyFill="1" applyBorder="1" applyAlignment="1">
      <alignment vertical="center"/>
    </xf>
    <xf numFmtId="4" fontId="31" fillId="0" borderId="0" xfId="0" applyNumberFormat="1" applyFont="1" applyAlignment="1">
      <alignment horizontal="center"/>
    </xf>
    <xf numFmtId="43" fontId="31" fillId="0" borderId="0" xfId="9" applyFont="1" applyFill="1" applyBorder="1"/>
    <xf numFmtId="10" fontId="49" fillId="0" borderId="0" xfId="7" applyNumberFormat="1" applyFont="1" applyFill="1" applyBorder="1" applyAlignment="1">
      <alignment vertical="center"/>
    </xf>
    <xf numFmtId="0" fontId="49" fillId="0" borderId="0" xfId="0" applyFont="1" applyAlignment="1">
      <alignment horizontal="right"/>
    </xf>
    <xf numFmtId="43" fontId="31" fillId="0" borderId="0" xfId="9" applyFont="1" applyFill="1" applyBorder="1" applyAlignment="1">
      <alignment horizontal="center"/>
    </xf>
    <xf numFmtId="9" fontId="59" fillId="0" borderId="0" xfId="0" applyNumberFormat="1" applyFont="1" applyAlignment="1">
      <alignment horizontal="left"/>
    </xf>
    <xf numFmtId="4" fontId="32" fillId="0" borderId="0" xfId="0" applyNumberFormat="1" applyFont="1" applyAlignment="1">
      <alignment horizontal="center"/>
    </xf>
    <xf numFmtId="167" fontId="32" fillId="0" borderId="0" xfId="0" applyNumberFormat="1" applyFont="1"/>
    <xf numFmtId="0" fontId="61" fillId="0" borderId="15" xfId="0" applyFont="1" applyBorder="1" applyAlignment="1">
      <alignment horizontal="left"/>
    </xf>
    <xf numFmtId="166" fontId="18" fillId="4" borderId="15" xfId="11" applyNumberFormat="1" applyFont="1" applyFill="1" applyBorder="1" applyAlignment="1">
      <alignment horizontal="center"/>
    </xf>
    <xf numFmtId="0" fontId="61" fillId="0" borderId="15" xfId="0" applyFont="1" applyBorder="1" applyAlignment="1">
      <alignment horizontal="center"/>
    </xf>
    <xf numFmtId="16" fontId="17" fillId="0" borderId="8" xfId="1" applyNumberFormat="1" applyFont="1" applyBorder="1" applyAlignment="1">
      <alignment horizontal="center"/>
    </xf>
    <xf numFmtId="1" fontId="60" fillId="0" borderId="15" xfId="1" applyNumberFormat="1" applyFont="1" applyBorder="1" applyAlignment="1">
      <alignment horizontal="center"/>
    </xf>
    <xf numFmtId="1" fontId="62" fillId="0" borderId="15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9" fillId="3" borderId="18" xfId="2" applyFont="1" applyFill="1" applyBorder="1" applyAlignment="1">
      <alignment horizontal="right"/>
    </xf>
    <xf numFmtId="0" fontId="9" fillId="3" borderId="15" xfId="2" applyFont="1" applyFill="1" applyBorder="1" applyAlignment="1">
      <alignment horizontal="right"/>
    </xf>
    <xf numFmtId="49" fontId="5" fillId="3" borderId="14" xfId="2" applyNumberFormat="1" applyFont="1" applyFill="1" applyBorder="1" applyAlignment="1">
      <alignment horizontal="center"/>
    </xf>
    <xf numFmtId="0" fontId="5" fillId="3" borderId="11" xfId="2" applyFont="1" applyFill="1" applyBorder="1" applyAlignment="1">
      <alignment horizontal="right"/>
    </xf>
    <xf numFmtId="0" fontId="5" fillId="3" borderId="15" xfId="2" applyFont="1" applyFill="1" applyBorder="1" applyAlignment="1">
      <alignment horizontal="right"/>
    </xf>
    <xf numFmtId="14" fontId="63" fillId="3" borderId="0" xfId="2" applyNumberFormat="1" applyFont="1" applyFill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1" fontId="9" fillId="2" borderId="2" xfId="1" applyNumberFormat="1" applyFont="1" applyFill="1" applyBorder="1" applyAlignment="1">
      <alignment horizontal="center"/>
    </xf>
    <xf numFmtId="1" fontId="9" fillId="2" borderId="2" xfId="1" applyNumberFormat="1" applyFont="1" applyFill="1" applyBorder="1" applyAlignment="1">
      <alignment horizontal="center" wrapText="1"/>
    </xf>
    <xf numFmtId="0" fontId="9" fillId="2" borderId="1" xfId="1" applyFont="1" applyFill="1" applyBorder="1" applyAlignment="1">
      <alignment horizontal="center"/>
    </xf>
    <xf numFmtId="0" fontId="64" fillId="0" borderId="16" xfId="1" applyFont="1" applyBorder="1" applyAlignment="1">
      <alignment horizontal="center" vertical="center"/>
    </xf>
    <xf numFmtId="0" fontId="64" fillId="0" borderId="8" xfId="1" applyFont="1" applyBorder="1" applyAlignment="1">
      <alignment horizontal="center" vertical="center"/>
    </xf>
    <xf numFmtId="0" fontId="65" fillId="0" borderId="15" xfId="1" applyFont="1" applyBorder="1" applyAlignment="1">
      <alignment vertical="center"/>
    </xf>
    <xf numFmtId="0" fontId="64" fillId="0" borderId="15" xfId="1" applyFont="1" applyBorder="1" applyAlignment="1">
      <alignment horizontal="center" vertical="center"/>
    </xf>
    <xf numFmtId="1" fontId="64" fillId="0" borderId="15" xfId="1" applyNumberFormat="1" applyFont="1" applyBorder="1" applyAlignment="1">
      <alignment horizontal="center"/>
    </xf>
    <xf numFmtId="1" fontId="64" fillId="0" borderId="15" xfId="1" applyNumberFormat="1" applyFont="1" applyBorder="1" applyAlignment="1">
      <alignment horizontal="center" wrapText="1"/>
    </xf>
    <xf numFmtId="0" fontId="2" fillId="0" borderId="14" xfId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49" fontId="31" fillId="0" borderId="15" xfId="0" applyNumberFormat="1" applyFont="1" applyBorder="1"/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64" fillId="0" borderId="15" xfId="0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0" fontId="67" fillId="4" borderId="15" xfId="1" applyFont="1" applyFill="1" applyBorder="1" applyAlignment="1">
      <alignment horizontal="left"/>
    </xf>
    <xf numFmtId="171" fontId="2" fillId="0" borderId="15" xfId="1" applyNumberFormat="1" applyFont="1" applyBorder="1" applyAlignment="1">
      <alignment horizontal="center"/>
    </xf>
    <xf numFmtId="49" fontId="64" fillId="0" borderId="7" xfId="1" applyNumberFormat="1" applyFont="1" applyBorder="1" applyAlignment="1">
      <alignment horizontal="center"/>
    </xf>
    <xf numFmtId="49" fontId="64" fillId="0" borderId="6" xfId="1" applyNumberFormat="1" applyFont="1" applyBorder="1" applyAlignment="1">
      <alignment horizontal="center"/>
    </xf>
    <xf numFmtId="0" fontId="68" fillId="4" borderId="15" xfId="1" applyFont="1" applyFill="1" applyBorder="1" applyAlignment="1">
      <alignment vertical="center"/>
    </xf>
    <xf numFmtId="0" fontId="64" fillId="0" borderId="8" xfId="1" applyFont="1" applyBorder="1" applyAlignment="1">
      <alignment horizontal="center"/>
    </xf>
    <xf numFmtId="171" fontId="64" fillId="0" borderId="15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2" fontId="2" fillId="0" borderId="15" xfId="1" applyNumberFormat="1" applyFont="1" applyBorder="1" applyAlignment="1">
      <alignment horizontal="center"/>
    </xf>
    <xf numFmtId="49" fontId="69" fillId="3" borderId="21" xfId="1" applyNumberFormat="1" applyFont="1" applyFill="1" applyBorder="1" applyAlignment="1">
      <alignment horizontal="center" vertical="center"/>
    </xf>
    <xf numFmtId="49" fontId="69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1" fontId="5" fillId="3" borderId="0" xfId="1" applyNumberFormat="1" applyFont="1" applyFill="1" applyAlignment="1">
      <alignment horizontal="center"/>
    </xf>
    <xf numFmtId="164" fontId="5" fillId="3" borderId="0" xfId="1" applyNumberFormat="1" applyFont="1" applyFill="1" applyAlignment="1">
      <alignment horizontal="center" wrapText="1"/>
    </xf>
    <xf numFmtId="0" fontId="5" fillId="3" borderId="20" xfId="1" applyFont="1" applyFill="1" applyBorder="1" applyAlignment="1">
      <alignment horizontal="center"/>
    </xf>
    <xf numFmtId="0" fontId="1" fillId="0" borderId="0" xfId="1"/>
    <xf numFmtId="0" fontId="5" fillId="3" borderId="0" xfId="1" applyFont="1" applyFill="1" applyAlignment="1">
      <alignment horizontal="left" indent="1"/>
    </xf>
    <xf numFmtId="0" fontId="5" fillId="2" borderId="42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5" fillId="2" borderId="37" xfId="1" applyFont="1" applyFill="1" applyBorder="1"/>
    <xf numFmtId="0" fontId="9" fillId="2" borderId="37" xfId="1" applyFont="1" applyFill="1" applyBorder="1" applyAlignment="1">
      <alignment horizontal="center"/>
    </xf>
    <xf numFmtId="1" fontId="9" fillId="2" borderId="37" xfId="1" applyNumberFormat="1" applyFont="1" applyFill="1" applyBorder="1" applyAlignment="1">
      <alignment horizontal="center"/>
    </xf>
    <xf numFmtId="164" fontId="5" fillId="2" borderId="37" xfId="1" applyNumberFormat="1" applyFont="1" applyFill="1" applyBorder="1" applyAlignment="1">
      <alignment horizontal="center" wrapText="1"/>
    </xf>
    <xf numFmtId="0" fontId="5" fillId="2" borderId="38" xfId="1" applyFont="1" applyFill="1" applyBorder="1" applyAlignment="1">
      <alignment horizontal="center"/>
    </xf>
    <xf numFmtId="9" fontId="5" fillId="3" borderId="0" xfId="12" applyFont="1" applyFill="1"/>
    <xf numFmtId="0" fontId="5" fillId="3" borderId="17" xfId="2" applyFont="1" applyFill="1" applyBorder="1" applyAlignment="1">
      <alignment horizontal="center"/>
    </xf>
    <xf numFmtId="1" fontId="0" fillId="0" borderId="15" xfId="0" applyNumberFormat="1" applyBorder="1"/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12" fontId="5" fillId="0" borderId="11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4" borderId="15" xfId="1" applyFont="1" applyFill="1" applyBorder="1" applyAlignment="1">
      <alignment horizontal="center"/>
    </xf>
    <xf numFmtId="1" fontId="0" fillId="0" borderId="8" xfId="0" applyNumberFormat="1" applyBorder="1"/>
    <xf numFmtId="0" fontId="70" fillId="4" borderId="16" xfId="0" applyFont="1" applyFill="1" applyBorder="1" applyAlignment="1">
      <alignment horizontal="center"/>
    </xf>
    <xf numFmtId="0" fontId="70" fillId="4" borderId="12" xfId="0" applyFont="1" applyFill="1" applyBorder="1" applyAlignment="1">
      <alignment horizontal="center"/>
    </xf>
    <xf numFmtId="0" fontId="70" fillId="4" borderId="11" xfId="0" applyFont="1" applyFill="1" applyBorder="1"/>
    <xf numFmtId="0" fontId="5" fillId="4" borderId="8" xfId="0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 wrapText="1"/>
    </xf>
    <xf numFmtId="16" fontId="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49" fontId="2" fillId="0" borderId="1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32" fillId="0" borderId="15" xfId="0" applyNumberFormat="1" applyFont="1" applyBorder="1"/>
    <xf numFmtId="166" fontId="9" fillId="4" borderId="15" xfId="9" applyNumberFormat="1" applyFont="1" applyFill="1" applyBorder="1" applyAlignment="1">
      <alignment horizontal="center"/>
    </xf>
    <xf numFmtId="0" fontId="66" fillId="0" borderId="16" xfId="0" applyFont="1" applyBorder="1" applyAlignment="1">
      <alignment horizontal="center"/>
    </xf>
    <xf numFmtId="0" fontId="66" fillId="0" borderId="8" xfId="0" applyFont="1" applyBorder="1" applyAlignment="1">
      <alignment horizontal="center"/>
    </xf>
    <xf numFmtId="0" fontId="56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5" fillId="0" borderId="15" xfId="0" quotePrefix="1" applyFont="1" applyBorder="1"/>
    <xf numFmtId="1" fontId="9" fillId="0" borderId="11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1" fillId="3" borderId="18" xfId="2" applyFont="1" applyFill="1" applyBorder="1" applyAlignment="1">
      <alignment horizontal="left"/>
    </xf>
    <xf numFmtId="0" fontId="1" fillId="3" borderId="17" xfId="2" applyFont="1" applyFill="1" applyBorder="1" applyAlignment="1">
      <alignment horizontal="left"/>
    </xf>
    <xf numFmtId="0" fontId="6" fillId="0" borderId="0" xfId="0" applyFont="1"/>
    <xf numFmtId="0" fontId="71" fillId="3" borderId="15" xfId="2" applyFont="1" applyFill="1" applyBorder="1" applyAlignment="1">
      <alignment horizontal="left"/>
    </xf>
    <xf numFmtId="49" fontId="1" fillId="3" borderId="14" xfId="2" applyNumberFormat="1" applyFont="1" applyFill="1" applyBorder="1" applyAlignment="1">
      <alignment horizontal="center"/>
    </xf>
    <xf numFmtId="0" fontId="71" fillId="3" borderId="8" xfId="2" applyFont="1" applyFill="1" applyBorder="1" applyAlignment="1">
      <alignment horizontal="right"/>
    </xf>
    <xf numFmtId="0" fontId="71" fillId="3" borderId="24" xfId="2" applyFont="1" applyFill="1" applyBorder="1" applyAlignment="1">
      <alignment horizontal="right"/>
    </xf>
    <xf numFmtId="0" fontId="67" fillId="0" borderId="0" xfId="0" applyFont="1"/>
    <xf numFmtId="0" fontId="64" fillId="0" borderId="15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1" fontId="64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right"/>
    </xf>
    <xf numFmtId="49" fontId="0" fillId="3" borderId="15" xfId="0" applyNumberFormat="1" applyFill="1" applyBorder="1" applyAlignment="1">
      <alignment horizontal="right" vertical="center"/>
    </xf>
    <xf numFmtId="0" fontId="2" fillId="0" borderId="15" xfId="0" applyFont="1" applyBorder="1" applyAlignment="1">
      <alignment wrapText="1"/>
    </xf>
    <xf numFmtId="0" fontId="2" fillId="0" borderId="15" xfId="0" applyFont="1" applyBorder="1"/>
    <xf numFmtId="164" fontId="2" fillId="0" borderId="15" xfId="0" applyNumberFormat="1" applyFont="1" applyBorder="1" applyAlignment="1">
      <alignment horizontal="center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 wrapText="1"/>
    </xf>
    <xf numFmtId="0" fontId="64" fillId="0" borderId="0" xfId="0" applyFont="1"/>
    <xf numFmtId="0" fontId="73" fillId="0" borderId="40" xfId="0" applyFont="1" applyBorder="1" applyAlignment="1">
      <alignment horizontal="left"/>
    </xf>
    <xf numFmtId="0" fontId="74" fillId="0" borderId="0" xfId="0" applyFont="1" applyAlignment="1">
      <alignment vertical="center"/>
    </xf>
    <xf numFmtId="0" fontId="76" fillId="0" borderId="16" xfId="1" applyFont="1" applyBorder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7" fillId="0" borderId="15" xfId="1" applyFont="1" applyBorder="1" applyAlignment="1">
      <alignment vertical="center"/>
    </xf>
    <xf numFmtId="0" fontId="76" fillId="0" borderId="15" xfId="1" applyFont="1" applyBorder="1" applyAlignment="1">
      <alignment horizontal="center" vertical="center"/>
    </xf>
    <xf numFmtId="1" fontId="76" fillId="0" borderId="15" xfId="1" applyNumberFormat="1" applyFont="1" applyBorder="1" applyAlignment="1">
      <alignment horizontal="center"/>
    </xf>
    <xf numFmtId="1" fontId="76" fillId="0" borderId="15" xfId="1" applyNumberFormat="1" applyFont="1" applyBorder="1" applyAlignment="1">
      <alignment horizontal="center" wrapText="1"/>
    </xf>
    <xf numFmtId="0" fontId="78" fillId="0" borderId="14" xfId="1" applyFont="1" applyBorder="1" applyAlignment="1">
      <alignment horizontal="center"/>
    </xf>
    <xf numFmtId="0" fontId="78" fillId="0" borderId="11" xfId="0" applyFont="1" applyBorder="1" applyAlignment="1">
      <alignment horizontal="center" vertical="center"/>
    </xf>
    <xf numFmtId="0" fontId="78" fillId="0" borderId="11" xfId="0" applyFont="1" applyBorder="1" applyAlignment="1">
      <alignment horizontal="left" vertical="center"/>
    </xf>
    <xf numFmtId="16" fontId="78" fillId="4" borderId="11" xfId="0" applyNumberFormat="1" applyFont="1" applyFill="1" applyBorder="1" applyAlignment="1">
      <alignment horizontal="center"/>
    </xf>
    <xf numFmtId="1" fontId="78" fillId="4" borderId="11" xfId="0" applyNumberFormat="1" applyFont="1" applyFill="1" applyBorder="1" applyAlignment="1">
      <alignment horizontal="center"/>
    </xf>
    <xf numFmtId="1" fontId="78" fillId="0" borderId="11" xfId="0" applyNumberFormat="1" applyFont="1" applyBorder="1" applyAlignment="1">
      <alignment horizontal="center" wrapText="1"/>
    </xf>
    <xf numFmtId="2" fontId="76" fillId="0" borderId="15" xfId="1" applyNumberFormat="1" applyFont="1" applyBorder="1" applyAlignment="1">
      <alignment horizontal="center"/>
    </xf>
    <xf numFmtId="0" fontId="78" fillId="0" borderId="15" xfId="0" applyFont="1" applyBorder="1" applyAlignment="1">
      <alignment horizontal="center" vertical="center"/>
    </xf>
    <xf numFmtId="0" fontId="78" fillId="0" borderId="15" xfId="0" applyFont="1" applyBorder="1" applyAlignment="1">
      <alignment horizontal="left" vertical="center"/>
    </xf>
    <xf numFmtId="16" fontId="78" fillId="4" borderId="15" xfId="0" applyNumberFormat="1" applyFont="1" applyFill="1" applyBorder="1" applyAlignment="1">
      <alignment horizontal="center"/>
    </xf>
    <xf numFmtId="1" fontId="78" fillId="4" borderId="15" xfId="0" applyNumberFormat="1" applyFont="1" applyFill="1" applyBorder="1" applyAlignment="1">
      <alignment horizontal="center"/>
    </xf>
    <xf numFmtId="1" fontId="78" fillId="0" borderId="15" xfId="0" applyNumberFormat="1" applyFont="1" applyBorder="1" applyAlignment="1">
      <alignment horizontal="center" wrapText="1"/>
    </xf>
    <xf numFmtId="49" fontId="78" fillId="0" borderId="16" xfId="1" applyNumberFormat="1" applyFont="1" applyBorder="1" applyAlignment="1">
      <alignment horizontal="center"/>
    </xf>
    <xf numFmtId="49" fontId="78" fillId="0" borderId="8" xfId="1" applyNumberFormat="1" applyFont="1" applyBorder="1" applyAlignment="1">
      <alignment horizontal="center"/>
    </xf>
    <xf numFmtId="0" fontId="76" fillId="4" borderId="15" xfId="1" applyFont="1" applyFill="1" applyBorder="1" applyAlignment="1">
      <alignment horizontal="left"/>
    </xf>
    <xf numFmtId="0" fontId="78" fillId="0" borderId="15" xfId="1" applyFont="1" applyBorder="1" applyAlignment="1">
      <alignment horizontal="center"/>
    </xf>
    <xf numFmtId="171" fontId="78" fillId="0" borderId="15" xfId="1" applyNumberFormat="1" applyFont="1" applyBorder="1" applyAlignment="1">
      <alignment horizontal="center"/>
    </xf>
    <xf numFmtId="1" fontId="78" fillId="0" borderId="15" xfId="1" applyNumberFormat="1" applyFont="1" applyBorder="1" applyAlignment="1">
      <alignment horizontal="center" wrapText="1"/>
    </xf>
    <xf numFmtId="0" fontId="78" fillId="0" borderId="16" xfId="4" applyFont="1" applyBorder="1" applyAlignment="1">
      <alignment horizontal="center"/>
    </xf>
    <xf numFmtId="0" fontId="78" fillId="4" borderId="15" xfId="4" applyFont="1" applyFill="1" applyBorder="1"/>
    <xf numFmtId="16" fontId="78" fillId="0" borderId="15" xfId="4" applyNumberFormat="1" applyFont="1" applyBorder="1" applyAlignment="1">
      <alignment horizontal="center"/>
    </xf>
    <xf numFmtId="1" fontId="78" fillId="0" borderId="15" xfId="1" applyNumberFormat="1" applyFont="1" applyBorder="1" applyAlignment="1">
      <alignment horizontal="center"/>
    </xf>
    <xf numFmtId="49" fontId="76" fillId="0" borderId="7" xfId="1" applyNumberFormat="1" applyFont="1" applyBorder="1" applyAlignment="1">
      <alignment horizontal="center"/>
    </xf>
    <xf numFmtId="49" fontId="76" fillId="0" borderId="6" xfId="1" applyNumberFormat="1" applyFont="1" applyBorder="1" applyAlignment="1">
      <alignment horizontal="center"/>
    </xf>
    <xf numFmtId="0" fontId="77" fillId="4" borderId="15" xfId="1" applyFont="1" applyFill="1" applyBorder="1" applyAlignment="1">
      <alignment vertical="center"/>
    </xf>
    <xf numFmtId="0" fontId="76" fillId="0" borderId="8" xfId="1" applyFont="1" applyBorder="1" applyAlignment="1">
      <alignment horizontal="center"/>
    </xf>
    <xf numFmtId="1" fontId="78" fillId="0" borderId="15" xfId="0" applyNumberFormat="1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0" fontId="78" fillId="0" borderId="15" xfId="0" applyFont="1" applyBorder="1"/>
    <xf numFmtId="16" fontId="78" fillId="0" borderId="15" xfId="0" applyNumberFormat="1" applyFont="1" applyBorder="1" applyAlignment="1">
      <alignment horizontal="center"/>
    </xf>
    <xf numFmtId="49" fontId="78" fillId="0" borderId="15" xfId="0" applyNumberFormat="1" applyFont="1" applyBorder="1" applyAlignment="1">
      <alignment horizontal="center"/>
    </xf>
    <xf numFmtId="49" fontId="78" fillId="4" borderId="16" xfId="1" applyNumberFormat="1" applyFont="1" applyFill="1" applyBorder="1" applyAlignment="1">
      <alignment horizontal="center"/>
    </xf>
    <xf numFmtId="49" fontId="78" fillId="4" borderId="8" xfId="1" applyNumberFormat="1" applyFont="1" applyFill="1" applyBorder="1" applyAlignment="1">
      <alignment horizontal="center"/>
    </xf>
    <xf numFmtId="49" fontId="78" fillId="4" borderId="15" xfId="1" applyNumberFormat="1" applyFont="1" applyFill="1" applyBorder="1"/>
    <xf numFmtId="49" fontId="78" fillId="0" borderId="15" xfId="1" applyNumberFormat="1" applyFont="1" applyBorder="1"/>
    <xf numFmtId="49" fontId="79" fillId="3" borderId="21" xfId="1" applyNumberFormat="1" applyFont="1" applyFill="1" applyBorder="1" applyAlignment="1">
      <alignment horizontal="center" vertical="center"/>
    </xf>
    <xf numFmtId="49" fontId="79" fillId="3" borderId="0" xfId="1" applyNumberFormat="1" applyFont="1" applyFill="1" applyAlignment="1">
      <alignment horizontal="center" vertical="center"/>
    </xf>
    <xf numFmtId="0" fontId="78" fillId="3" borderId="0" xfId="1" applyFont="1" applyFill="1"/>
    <xf numFmtId="1" fontId="78" fillId="3" borderId="0" xfId="1" applyNumberFormat="1" applyFont="1" applyFill="1" applyAlignment="1">
      <alignment horizontal="center"/>
    </xf>
    <xf numFmtId="164" fontId="78" fillId="3" borderId="0" xfId="1" applyNumberFormat="1" applyFont="1" applyFill="1" applyAlignment="1">
      <alignment horizontal="center" wrapText="1"/>
    </xf>
    <xf numFmtId="0" fontId="78" fillId="3" borderId="20" xfId="1" applyFont="1" applyFill="1" applyBorder="1" applyAlignment="1">
      <alignment horizontal="center"/>
    </xf>
    <xf numFmtId="0" fontId="78" fillId="2" borderId="42" xfId="1" applyFont="1" applyFill="1" applyBorder="1" applyAlignment="1">
      <alignment horizontal="center"/>
    </xf>
    <xf numFmtId="0" fontId="78" fillId="2" borderId="37" xfId="1" applyFont="1" applyFill="1" applyBorder="1" applyAlignment="1">
      <alignment horizontal="center"/>
    </xf>
    <xf numFmtId="0" fontId="78" fillId="2" borderId="37" xfId="1" applyFont="1" applyFill="1" applyBorder="1"/>
    <xf numFmtId="0" fontId="76" fillId="2" borderId="37" xfId="1" applyFont="1" applyFill="1" applyBorder="1" applyAlignment="1">
      <alignment horizontal="center"/>
    </xf>
    <xf numFmtId="1" fontId="76" fillId="2" borderId="37" xfId="1" applyNumberFormat="1" applyFont="1" applyFill="1" applyBorder="1" applyAlignment="1">
      <alignment horizontal="center"/>
    </xf>
    <xf numFmtId="164" fontId="78" fillId="2" borderId="37" xfId="1" applyNumberFormat="1" applyFont="1" applyFill="1" applyBorder="1" applyAlignment="1">
      <alignment horizontal="center" wrapText="1"/>
    </xf>
    <xf numFmtId="0" fontId="78" fillId="2" borderId="38" xfId="1" applyFont="1" applyFill="1" applyBorder="1" applyAlignment="1">
      <alignment horizontal="center"/>
    </xf>
    <xf numFmtId="1" fontId="78" fillId="0" borderId="11" xfId="0" applyNumberFormat="1" applyFont="1" applyBorder="1" applyAlignment="1">
      <alignment horizontal="center"/>
    </xf>
    <xf numFmtId="0" fontId="78" fillId="0" borderId="27" xfId="0" applyFont="1" applyBorder="1" applyAlignment="1">
      <alignment horizontal="center"/>
    </xf>
    <xf numFmtId="0" fontId="76" fillId="0" borderId="15" xfId="0" applyFont="1" applyBorder="1" applyAlignment="1">
      <alignment horizontal="center"/>
    </xf>
    <xf numFmtId="1" fontId="78" fillId="0" borderId="2" xfId="0" applyNumberFormat="1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49" fontId="30" fillId="12" borderId="15" xfId="1" applyNumberFormat="1" applyFont="1" applyFill="1" applyBorder="1" applyAlignment="1">
      <alignment horizontal="center"/>
    </xf>
    <xf numFmtId="0" fontId="30" fillId="12" borderId="15" xfId="1" applyFont="1" applyFill="1" applyBorder="1" applyAlignment="1">
      <alignment horizontal="left" wrapText="1"/>
    </xf>
    <xf numFmtId="0" fontId="19" fillId="12" borderId="15" xfId="0" applyFont="1" applyFill="1" applyBorder="1" applyAlignment="1">
      <alignment horizontal="center"/>
    </xf>
    <xf numFmtId="0" fontId="19" fillId="12" borderId="15" xfId="0" applyFont="1" applyFill="1" applyBorder="1"/>
    <xf numFmtId="2" fontId="38" fillId="12" borderId="0" xfId="0" applyNumberFormat="1" applyFont="1" applyFill="1" applyAlignment="1">
      <alignment horizontal="center"/>
    </xf>
    <xf numFmtId="0" fontId="31" fillId="12" borderId="0" xfId="0" applyFont="1" applyFill="1" applyAlignment="1">
      <alignment vertical="center"/>
    </xf>
    <xf numFmtId="0" fontId="17" fillId="12" borderId="15" xfId="1" applyFont="1" applyFill="1" applyBorder="1"/>
    <xf numFmtId="0" fontId="61" fillId="12" borderId="15" xfId="0" applyFont="1" applyFill="1" applyBorder="1" applyAlignment="1">
      <alignment horizontal="center"/>
    </xf>
    <xf numFmtId="0" fontId="61" fillId="12" borderId="15" xfId="0" applyFont="1" applyFill="1" applyBorder="1"/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22" fillId="0" borderId="1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0" fontId="40" fillId="0" borderId="0" xfId="0" applyFont="1" applyAlignment="1">
      <alignment horizontal="center" vertical="center"/>
    </xf>
    <xf numFmtId="0" fontId="57" fillId="0" borderId="42" xfId="0" applyFont="1" applyBorder="1" applyAlignment="1">
      <alignment horizontal="right" vertical="center"/>
    </xf>
    <xf numFmtId="0" fontId="57" fillId="0" borderId="37" xfId="0" applyFont="1" applyBorder="1" applyAlignment="1">
      <alignment horizontal="right" vertical="center"/>
    </xf>
    <xf numFmtId="0" fontId="57" fillId="0" borderId="38" xfId="0" applyFont="1" applyBorder="1" applyAlignment="1">
      <alignment horizontal="right" vertical="center"/>
    </xf>
    <xf numFmtId="0" fontId="58" fillId="0" borderId="0" xfId="0" applyFont="1" applyAlignment="1">
      <alignment horizontal="right"/>
    </xf>
    <xf numFmtId="0" fontId="48" fillId="0" borderId="30" xfId="0" applyFont="1" applyBorder="1" applyAlignment="1">
      <alignment horizontal="right"/>
    </xf>
    <xf numFmtId="0" fontId="40" fillId="0" borderId="0" xfId="0" applyFont="1" applyAlignment="1">
      <alignment horizontal="right" vertical="center"/>
    </xf>
    <xf numFmtId="0" fontId="46" fillId="8" borderId="42" xfId="0" applyFont="1" applyFill="1" applyBorder="1" applyAlignment="1">
      <alignment horizontal="right"/>
    </xf>
    <xf numFmtId="0" fontId="46" fillId="8" borderId="37" xfId="0" applyFont="1" applyFill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2" fillId="0" borderId="30" xfId="0" applyFont="1" applyBorder="1" applyAlignment="1">
      <alignment horizontal="right" vertical="center"/>
    </xf>
    <xf numFmtId="0" fontId="32" fillId="0" borderId="55" xfId="0" applyFont="1" applyBorder="1" applyAlignment="1">
      <alignment horizontal="right" vertical="center"/>
    </xf>
    <xf numFmtId="0" fontId="32" fillId="10" borderId="42" xfId="0" applyFont="1" applyFill="1" applyBorder="1" applyAlignment="1">
      <alignment horizontal="right" vertical="center"/>
    </xf>
    <xf numFmtId="0" fontId="32" fillId="10" borderId="37" xfId="0" applyFont="1" applyFill="1" applyBorder="1" applyAlignment="1">
      <alignment horizontal="right" vertical="center"/>
    </xf>
    <xf numFmtId="0" fontId="32" fillId="10" borderId="38" xfId="0" applyFont="1" applyFill="1" applyBorder="1" applyAlignment="1">
      <alignment horizontal="right" vertical="center"/>
    </xf>
    <xf numFmtId="4" fontId="55" fillId="0" borderId="0" xfId="10" applyNumberFormat="1" applyFont="1" applyFill="1" applyAlignment="1">
      <alignment horizontal="center" vertical="center" wrapText="1"/>
    </xf>
    <xf numFmtId="0" fontId="49" fillId="0" borderId="15" xfId="0" applyFont="1" applyBorder="1" applyAlignment="1">
      <alignment horizontal="right" vertical="center"/>
    </xf>
    <xf numFmtId="0" fontId="50" fillId="0" borderId="21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20" xfId="0" applyFont="1" applyBorder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41" fillId="0" borderId="36" xfId="0" applyFont="1" applyBorder="1" applyAlignment="1">
      <alignment horizontal="right"/>
    </xf>
    <xf numFmtId="0" fontId="41" fillId="0" borderId="35" xfId="0" applyFont="1" applyBorder="1" applyAlignment="1">
      <alignment horizontal="right"/>
    </xf>
    <xf numFmtId="0" fontId="31" fillId="0" borderId="15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5" fillId="0" borderId="30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right" vertical="center" wrapText="1"/>
    </xf>
    <xf numFmtId="14" fontId="5" fillId="3" borderId="33" xfId="2" applyNumberFormat="1" applyFont="1" applyFill="1" applyBorder="1" applyAlignment="1">
      <alignment horizontal="center" vertical="center" wrapText="1"/>
    </xf>
    <xf numFmtId="14" fontId="5" fillId="3" borderId="31" xfId="2" applyNumberFormat="1" applyFont="1" applyFill="1" applyBorder="1" applyAlignment="1">
      <alignment horizontal="center" vertical="center" wrapText="1"/>
    </xf>
    <xf numFmtId="14" fontId="5" fillId="3" borderId="10" xfId="2" applyNumberFormat="1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left"/>
    </xf>
    <xf numFmtId="0" fontId="5" fillId="3" borderId="26" xfId="2" applyFont="1" applyFill="1" applyBorder="1" applyAlignment="1">
      <alignment horizontal="left"/>
    </xf>
    <xf numFmtId="0" fontId="5" fillId="3" borderId="19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36" xfId="2" applyFont="1" applyFill="1" applyBorder="1" applyAlignment="1">
      <alignment horizontal="center"/>
    </xf>
    <xf numFmtId="0" fontId="5" fillId="3" borderId="35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39" xfId="2" applyFont="1" applyFill="1" applyBorder="1" applyAlignment="1">
      <alignment horizontal="center"/>
    </xf>
    <xf numFmtId="0" fontId="5" fillId="3" borderId="40" xfId="2" applyFont="1" applyFill="1" applyBorder="1" applyAlignment="1">
      <alignment horizontal="center"/>
    </xf>
    <xf numFmtId="0" fontId="7" fillId="3" borderId="23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3" xfId="2" applyFont="1" applyFill="1" applyBorder="1" applyAlignment="1">
      <alignment horizontal="center"/>
    </xf>
    <xf numFmtId="0" fontId="16" fillId="5" borderId="57" xfId="2" applyFont="1" applyFill="1" applyBorder="1" applyAlignment="1">
      <alignment horizontal="center" vertical="center" wrapText="1"/>
    </xf>
    <xf numFmtId="0" fontId="16" fillId="5" borderId="26" xfId="2" applyFont="1" applyFill="1" applyBorder="1" applyAlignment="1">
      <alignment horizontal="center" vertical="center" wrapText="1"/>
    </xf>
    <xf numFmtId="0" fontId="16" fillId="5" borderId="58" xfId="2" applyFont="1" applyFill="1" applyBorder="1" applyAlignment="1">
      <alignment horizontal="center" vertical="center" wrapText="1"/>
    </xf>
    <xf numFmtId="0" fontId="9" fillId="3" borderId="34" xfId="2" applyFont="1" applyFill="1" applyBorder="1" applyAlignment="1">
      <alignment horizontal="right" vertical="top" wrapText="1"/>
    </xf>
    <xf numFmtId="0" fontId="9" fillId="3" borderId="32" xfId="2" applyFont="1" applyFill="1" applyBorder="1" applyAlignment="1">
      <alignment horizontal="right" vertical="top" wrapText="1"/>
    </xf>
    <xf numFmtId="0" fontId="9" fillId="3" borderId="29" xfId="2" applyFont="1" applyFill="1" applyBorder="1" applyAlignment="1">
      <alignment horizontal="right" vertical="top" wrapText="1"/>
    </xf>
    <xf numFmtId="0" fontId="62" fillId="3" borderId="0" xfId="2" applyFont="1" applyFill="1" applyAlignment="1">
      <alignment horizontal="right"/>
    </xf>
    <xf numFmtId="0" fontId="63" fillId="3" borderId="30" xfId="2" applyFont="1" applyFill="1" applyBorder="1" applyAlignment="1">
      <alignment horizontal="center"/>
    </xf>
    <xf numFmtId="0" fontId="62" fillId="3" borderId="0" xfId="2" applyFont="1" applyFill="1"/>
    <xf numFmtId="0" fontId="9" fillId="2" borderId="41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0" borderId="39" xfId="1" applyFont="1" applyBorder="1" applyAlignment="1">
      <alignment horizontal="right"/>
    </xf>
    <xf numFmtId="0" fontId="9" fillId="0" borderId="40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0" fontId="5" fillId="3" borderId="27" xfId="1" applyFont="1" applyFill="1" applyBorder="1" applyAlignment="1">
      <alignment horizontal="center"/>
    </xf>
    <xf numFmtId="0" fontId="5" fillId="3" borderId="43" xfId="1" applyFont="1" applyFill="1" applyBorder="1" applyAlignment="1">
      <alignment horizontal="center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9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right" wrapText="1"/>
    </xf>
    <xf numFmtId="164" fontId="5" fillId="0" borderId="8" xfId="1" applyNumberFormat="1" applyFont="1" applyBorder="1" applyAlignment="1">
      <alignment horizontal="right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5" fillId="0" borderId="1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9" fillId="2" borderId="42" xfId="1" applyFont="1" applyFill="1" applyBorder="1" applyAlignment="1">
      <alignment horizontal="left"/>
    </xf>
    <xf numFmtId="0" fontId="9" fillId="2" borderId="37" xfId="1" applyFont="1" applyFill="1" applyBorder="1" applyAlignment="1">
      <alignment horizontal="left"/>
    </xf>
    <xf numFmtId="0" fontId="9" fillId="2" borderId="38" xfId="1" applyFont="1" applyFill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1" applyFont="1" applyBorder="1" applyAlignment="1">
      <alignment horizontal="left" wrapText="1"/>
    </xf>
    <xf numFmtId="0" fontId="5" fillId="0" borderId="12" xfId="1" applyFont="1" applyBorder="1" applyAlignment="1">
      <alignment horizontal="left" wrapText="1"/>
    </xf>
    <xf numFmtId="0" fontId="5" fillId="0" borderId="11" xfId="1" applyFont="1" applyBorder="1" applyAlignment="1">
      <alignment horizontal="left" wrapText="1"/>
    </xf>
    <xf numFmtId="0" fontId="5" fillId="0" borderId="10" xfId="1" applyFont="1" applyBorder="1" applyAlignment="1">
      <alignment horizontal="left" wrapText="1"/>
    </xf>
    <xf numFmtId="0" fontId="5" fillId="0" borderId="4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2" fillId="0" borderId="39" xfId="1" applyFont="1" applyBorder="1" applyAlignment="1">
      <alignment horizontal="left" vertical="center" wrapText="1"/>
    </xf>
    <xf numFmtId="0" fontId="2" fillId="0" borderId="40" xfId="1" applyFont="1" applyBorder="1" applyAlignment="1">
      <alignment horizontal="left" vertical="center" wrapText="1"/>
    </xf>
    <xf numFmtId="0" fontId="2" fillId="0" borderId="43" xfId="1" applyFont="1" applyBorder="1" applyAlignment="1">
      <alignment horizontal="left" vertical="center" wrapText="1"/>
    </xf>
    <xf numFmtId="0" fontId="2" fillId="0" borderId="39" xfId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43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68" fontId="1" fillId="3" borderId="33" xfId="2" applyNumberFormat="1" applyFont="1" applyFill="1" applyBorder="1" applyAlignment="1">
      <alignment horizontal="center" vertical="center" wrapText="1"/>
    </xf>
    <xf numFmtId="168" fontId="1" fillId="3" borderId="31" xfId="2" applyNumberFormat="1" applyFont="1" applyFill="1" applyBorder="1" applyAlignment="1">
      <alignment horizontal="center" vertical="center" wrapText="1"/>
    </xf>
    <xf numFmtId="0" fontId="3" fillId="3" borderId="23" xfId="2" applyFill="1" applyBorder="1" applyAlignment="1">
      <alignment horizontal="left"/>
    </xf>
    <xf numFmtId="0" fontId="3" fillId="3" borderId="24" xfId="2" applyFill="1" applyBorder="1" applyAlignment="1">
      <alignment horizontal="left"/>
    </xf>
    <xf numFmtId="0" fontId="3" fillId="3" borderId="22" xfId="2" applyFill="1" applyBorder="1" applyAlignment="1">
      <alignment horizontal="left"/>
    </xf>
    <xf numFmtId="0" fontId="64" fillId="0" borderId="15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3" fillId="3" borderId="51" xfId="2" applyFill="1" applyBorder="1" applyAlignment="1">
      <alignment horizontal="center"/>
    </xf>
    <xf numFmtId="0" fontId="3" fillId="3" borderId="52" xfId="2" applyFill="1" applyBorder="1" applyAlignment="1">
      <alignment horizontal="center"/>
    </xf>
    <xf numFmtId="0" fontId="3" fillId="3" borderId="54" xfId="2" applyFill="1" applyBorder="1" applyAlignment="1">
      <alignment horizontal="center"/>
    </xf>
    <xf numFmtId="0" fontId="62" fillId="3" borderId="19" xfId="2" applyFont="1" applyFill="1" applyBorder="1" applyAlignment="1">
      <alignment horizontal="center"/>
    </xf>
    <xf numFmtId="0" fontId="62" fillId="3" borderId="18" xfId="2" applyFont="1" applyFill="1" applyBorder="1" applyAlignment="1">
      <alignment horizontal="center"/>
    </xf>
    <xf numFmtId="0" fontId="62" fillId="3" borderId="8" xfId="2" applyFont="1" applyFill="1" applyBorder="1" applyAlignment="1">
      <alignment horizontal="center"/>
    </xf>
    <xf numFmtId="0" fontId="62" fillId="3" borderId="15" xfId="2" applyFont="1" applyFill="1" applyBorder="1" applyAlignment="1">
      <alignment horizontal="center"/>
    </xf>
    <xf numFmtId="0" fontId="72" fillId="3" borderId="8" xfId="2" applyFont="1" applyFill="1" applyBorder="1" applyAlignment="1">
      <alignment horizontal="center"/>
    </xf>
    <xf numFmtId="0" fontId="72" fillId="3" borderId="15" xfId="2" applyFont="1" applyFill="1" applyBorder="1" applyAlignment="1">
      <alignment horizontal="center"/>
    </xf>
    <xf numFmtId="0" fontId="71" fillId="3" borderId="15" xfId="2" applyFont="1" applyFill="1" applyBorder="1" applyAlignment="1">
      <alignment horizontal="left" vertical="top" wrapText="1"/>
    </xf>
    <xf numFmtId="0" fontId="71" fillId="3" borderId="28" xfId="2" applyFont="1" applyFill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40" xfId="0" applyFont="1" applyBorder="1" applyAlignment="1">
      <alignment horizontal="center"/>
    </xf>
    <xf numFmtId="0" fontId="73" fillId="0" borderId="6" xfId="0" applyFont="1" applyBorder="1" applyAlignment="1">
      <alignment horizontal="left"/>
    </xf>
    <xf numFmtId="164" fontId="2" fillId="0" borderId="0" xfId="0" applyNumberFormat="1" applyFont="1" applyAlignment="1">
      <alignment horizontal="right" wrapText="1"/>
    </xf>
    <xf numFmtId="0" fontId="73" fillId="0" borderId="40" xfId="0" applyFont="1" applyBorder="1" applyAlignment="1">
      <alignment horizontal="left"/>
    </xf>
    <xf numFmtId="0" fontId="75" fillId="2" borderId="42" xfId="2" applyFont="1" applyFill="1" applyBorder="1" applyAlignment="1">
      <alignment horizontal="center" vertical="center" wrapText="1"/>
    </xf>
    <xf numFmtId="0" fontId="75" fillId="2" borderId="37" xfId="2" applyFont="1" applyFill="1" applyBorder="1" applyAlignment="1">
      <alignment horizontal="center" vertical="center" wrapText="1"/>
    </xf>
    <xf numFmtId="0" fontId="75" fillId="2" borderId="38" xfId="2" applyFont="1" applyFill="1" applyBorder="1" applyAlignment="1">
      <alignment horizontal="center" vertical="center" wrapText="1"/>
    </xf>
    <xf numFmtId="0" fontId="76" fillId="0" borderId="39" xfId="1" applyFont="1" applyBorder="1" applyAlignment="1">
      <alignment horizontal="right"/>
    </xf>
    <xf numFmtId="0" fontId="76" fillId="0" borderId="40" xfId="1" applyFont="1" applyBorder="1" applyAlignment="1">
      <alignment horizontal="right"/>
    </xf>
    <xf numFmtId="0" fontId="76" fillId="0" borderId="12" xfId="1" applyFont="1" applyBorder="1" applyAlignment="1">
      <alignment horizontal="right"/>
    </xf>
    <xf numFmtId="164" fontId="78" fillId="0" borderId="11" xfId="1" applyNumberFormat="1" applyFont="1" applyBorder="1" applyAlignment="1">
      <alignment horizontal="right"/>
    </xf>
    <xf numFmtId="0" fontId="78" fillId="3" borderId="27" xfId="1" applyFont="1" applyFill="1" applyBorder="1" applyAlignment="1">
      <alignment horizontal="center"/>
    </xf>
    <xf numFmtId="0" fontId="78" fillId="3" borderId="43" xfId="1" applyFont="1" applyFill="1" applyBorder="1" applyAlignment="1">
      <alignment horizontal="center"/>
    </xf>
    <xf numFmtId="0" fontId="76" fillId="0" borderId="7" xfId="1" applyFont="1" applyBorder="1" applyAlignment="1">
      <alignment horizontal="right"/>
    </xf>
    <xf numFmtId="0" fontId="76" fillId="0" borderId="6" xfId="1" applyFont="1" applyBorder="1" applyAlignment="1">
      <alignment horizontal="right"/>
    </xf>
    <xf numFmtId="0" fontId="76" fillId="0" borderId="8" xfId="1" applyFont="1" applyBorder="1" applyAlignment="1">
      <alignment horizontal="right"/>
    </xf>
    <xf numFmtId="0" fontId="78" fillId="0" borderId="15" xfId="1" applyFont="1" applyBorder="1" applyAlignment="1">
      <alignment horizontal="right"/>
    </xf>
    <xf numFmtId="164" fontId="78" fillId="0" borderId="9" xfId="1" applyNumberFormat="1" applyFont="1" applyBorder="1" applyAlignment="1">
      <alignment horizontal="center"/>
    </xf>
    <xf numFmtId="164" fontId="78" fillId="0" borderId="5" xfId="1" applyNumberFormat="1" applyFont="1" applyBorder="1" applyAlignment="1">
      <alignment horizontal="center"/>
    </xf>
    <xf numFmtId="0" fontId="78" fillId="0" borderId="15" xfId="0" applyFont="1" applyBorder="1" applyAlignment="1">
      <alignment horizontal="left"/>
    </xf>
    <xf numFmtId="164" fontId="78" fillId="0" borderId="9" xfId="1" applyNumberFormat="1" applyFont="1" applyBorder="1" applyAlignment="1">
      <alignment horizontal="right" wrapText="1"/>
    </xf>
    <xf numFmtId="164" fontId="78" fillId="0" borderId="8" xfId="1" applyNumberFormat="1" applyFont="1" applyBorder="1" applyAlignment="1">
      <alignment horizontal="right" wrapText="1"/>
    </xf>
    <xf numFmtId="0" fontId="76" fillId="0" borderId="4" xfId="1" applyFont="1" applyBorder="1" applyAlignment="1">
      <alignment horizontal="right"/>
    </xf>
    <xf numFmtId="0" fontId="76" fillId="0" borderId="3" xfId="1" applyFont="1" applyBorder="1" applyAlignment="1">
      <alignment horizontal="right"/>
    </xf>
    <xf numFmtId="0" fontId="76" fillId="0" borderId="2" xfId="1" applyFont="1" applyBorder="1" applyAlignment="1">
      <alignment horizontal="right"/>
    </xf>
    <xf numFmtId="0" fontId="78" fillId="0" borderId="2" xfId="1" applyFont="1" applyBorder="1" applyAlignment="1">
      <alignment horizontal="right"/>
    </xf>
    <xf numFmtId="164" fontId="78" fillId="0" borderId="23" xfId="1" applyNumberFormat="1" applyFont="1" applyBorder="1" applyAlignment="1">
      <alignment horizontal="center"/>
    </xf>
    <xf numFmtId="164" fontId="78" fillId="0" borderId="22" xfId="1" applyNumberFormat="1" applyFont="1" applyBorder="1" applyAlignment="1">
      <alignment horizontal="center"/>
    </xf>
    <xf numFmtId="0" fontId="76" fillId="2" borderId="42" xfId="1" applyFont="1" applyFill="1" applyBorder="1" applyAlignment="1">
      <alignment horizontal="left"/>
    </xf>
    <xf numFmtId="0" fontId="76" fillId="2" borderId="37" xfId="1" applyFont="1" applyFill="1" applyBorder="1" applyAlignment="1">
      <alignment horizontal="left"/>
    </xf>
    <xf numFmtId="0" fontId="76" fillId="2" borderId="38" xfId="1" applyFont="1" applyFill="1" applyBorder="1" applyAlignment="1">
      <alignment horizontal="left"/>
    </xf>
    <xf numFmtId="0" fontId="78" fillId="0" borderId="46" xfId="1" applyFont="1" applyBorder="1" applyAlignment="1">
      <alignment horizontal="left"/>
    </xf>
    <xf numFmtId="0" fontId="78" fillId="0" borderId="24" xfId="1" applyFont="1" applyBorder="1" applyAlignment="1">
      <alignment horizontal="left"/>
    </xf>
    <xf numFmtId="0" fontId="78" fillId="0" borderId="22" xfId="1" applyFont="1" applyBorder="1" applyAlignment="1">
      <alignment horizontal="left"/>
    </xf>
    <xf numFmtId="0" fontId="76" fillId="6" borderId="44" xfId="2" applyFont="1" applyFill="1" applyBorder="1" applyAlignment="1">
      <alignment horizontal="center"/>
    </xf>
    <xf numFmtId="0" fontId="76" fillId="6" borderId="35" xfId="2" applyFont="1" applyFill="1" applyBorder="1" applyAlignment="1">
      <alignment horizontal="center"/>
    </xf>
    <xf numFmtId="0" fontId="78" fillId="3" borderId="45" xfId="2" applyFont="1" applyFill="1" applyBorder="1" applyAlignment="1">
      <alignment horizontal="left"/>
    </xf>
    <xf numFmtId="0" fontId="78" fillId="3" borderId="0" xfId="2" applyFont="1" applyFill="1" applyAlignment="1">
      <alignment horizontal="left"/>
    </xf>
    <xf numFmtId="0" fontId="78" fillId="0" borderId="15" xfId="0" applyFont="1" applyBorder="1" applyAlignment="1">
      <alignment horizontal="left" wrapText="1"/>
    </xf>
    <xf numFmtId="0" fontId="78" fillId="0" borderId="6" xfId="0" applyFont="1" applyBorder="1" applyAlignment="1">
      <alignment horizontal="left"/>
    </xf>
    <xf numFmtId="0" fontId="78" fillId="0" borderId="7" xfId="0" applyFont="1" applyBorder="1" applyAlignment="1">
      <alignment horizontal="left"/>
    </xf>
    <xf numFmtId="0" fontId="78" fillId="0" borderId="5" xfId="0" applyFont="1" applyBorder="1" applyAlignment="1">
      <alignment horizontal="left"/>
    </xf>
    <xf numFmtId="0" fontId="78" fillId="0" borderId="7" xfId="1" applyFont="1" applyBorder="1" applyAlignment="1">
      <alignment horizontal="left" wrapText="1"/>
    </xf>
    <xf numFmtId="0" fontId="78" fillId="0" borderId="6" xfId="1" applyFont="1" applyBorder="1" applyAlignment="1">
      <alignment horizontal="left" wrapText="1"/>
    </xf>
    <xf numFmtId="0" fontId="78" fillId="0" borderId="5" xfId="1" applyFont="1" applyBorder="1" applyAlignment="1">
      <alignment horizontal="left" wrapText="1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80" fillId="5" borderId="42" xfId="2" applyFont="1" applyFill="1" applyBorder="1" applyAlignment="1">
      <alignment horizontal="center"/>
    </xf>
    <xf numFmtId="0" fontId="80" fillId="5" borderId="37" xfId="2" applyFont="1" applyFill="1" applyBorder="1" applyAlignment="1">
      <alignment horizontal="center"/>
    </xf>
    <xf numFmtId="0" fontId="80" fillId="5" borderId="38" xfId="2" applyFont="1" applyFill="1" applyBorder="1" applyAlignment="1">
      <alignment horizontal="center"/>
    </xf>
    <xf numFmtId="0" fontId="78" fillId="0" borderId="15" xfId="0" quotePrefix="1" applyFont="1" applyBorder="1" applyAlignment="1">
      <alignment horizontal="center"/>
    </xf>
    <xf numFmtId="49" fontId="78" fillId="0" borderId="15" xfId="0" applyNumberFormat="1" applyFont="1" applyBorder="1"/>
    <xf numFmtId="1" fontId="76" fillId="4" borderId="56" xfId="1" applyNumberFormat="1" applyFont="1" applyFill="1" applyBorder="1" applyAlignment="1">
      <alignment horizontal="center" wrapText="1"/>
    </xf>
    <xf numFmtId="1" fontId="76" fillId="0" borderId="15" xfId="0" applyNumberFormat="1" applyFont="1" applyBorder="1" applyAlignment="1">
      <alignment horizontal="center"/>
    </xf>
    <xf numFmtId="1" fontId="81" fillId="0" borderId="15" xfId="0" applyNumberFormat="1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81" fillId="0" borderId="15" xfId="0" applyFont="1" applyBorder="1"/>
    <xf numFmtId="2" fontId="76" fillId="0" borderId="15" xfId="1" applyNumberFormat="1" applyFont="1" applyBorder="1" applyAlignment="1">
      <alignment horizontal="center" wrapText="1"/>
    </xf>
    <xf numFmtId="0" fontId="81" fillId="0" borderId="15" xfId="0" applyFont="1" applyBorder="1" applyAlignment="1">
      <alignment horizontal="left"/>
    </xf>
    <xf numFmtId="0" fontId="81" fillId="4" borderId="15" xfId="0" applyFont="1" applyFill="1" applyBorder="1"/>
    <xf numFmtId="1" fontId="78" fillId="0" borderId="15" xfId="4" applyNumberFormat="1" applyFont="1" applyBorder="1" applyAlignment="1">
      <alignment horizontal="center"/>
    </xf>
    <xf numFmtId="1" fontId="78" fillId="0" borderId="15" xfId="4" applyNumberFormat="1" applyFont="1" applyBorder="1" applyAlignment="1">
      <alignment horizontal="center" wrapText="1"/>
    </xf>
    <xf numFmtId="171" fontId="76" fillId="0" borderId="15" xfId="1" applyNumberFormat="1" applyFont="1" applyBorder="1" applyAlignment="1">
      <alignment horizontal="center"/>
    </xf>
    <xf numFmtId="0" fontId="81" fillId="0" borderId="0" xfId="0" applyFont="1"/>
    <xf numFmtId="0" fontId="79" fillId="0" borderId="15" xfId="0" applyFont="1" applyBorder="1" applyAlignment="1">
      <alignment horizontal="center" vertical="top"/>
    </xf>
    <xf numFmtId="0" fontId="79" fillId="0" borderId="15" xfId="0" applyFont="1" applyBorder="1" applyAlignment="1">
      <alignment vertical="top"/>
    </xf>
    <xf numFmtId="166" fontId="76" fillId="4" borderId="15" xfId="11" applyNumberFormat="1" applyFont="1" applyFill="1" applyBorder="1" applyAlignment="1">
      <alignment horizontal="center"/>
    </xf>
    <xf numFmtId="0" fontId="78" fillId="0" borderId="57" xfId="0" applyFont="1" applyBorder="1" applyAlignment="1">
      <alignment horizontal="left"/>
    </xf>
    <xf numFmtId="0" fontId="78" fillId="0" borderId="26" xfId="0" applyFont="1" applyBorder="1" applyAlignment="1">
      <alignment horizontal="left"/>
    </xf>
    <xf numFmtId="0" fontId="78" fillId="0" borderId="58" xfId="0" applyFont="1" applyBorder="1" applyAlignment="1">
      <alignment horizontal="left"/>
    </xf>
    <xf numFmtId="0" fontId="76" fillId="2" borderId="42" xfId="1" applyFont="1" applyFill="1" applyBorder="1" applyAlignment="1">
      <alignment horizontal="center"/>
    </xf>
    <xf numFmtId="0" fontId="76" fillId="2" borderId="37" xfId="1" applyFont="1" applyFill="1" applyBorder="1" applyAlignment="1">
      <alignment horizontal="center"/>
    </xf>
    <xf numFmtId="0" fontId="76" fillId="2" borderId="38" xfId="1" applyFont="1" applyFill="1" applyBorder="1" applyAlignment="1">
      <alignment horizontal="center"/>
    </xf>
    <xf numFmtId="0" fontId="78" fillId="0" borderId="59" xfId="1" applyFont="1" applyBorder="1" applyAlignment="1">
      <alignment horizontal="left"/>
    </xf>
    <xf numFmtId="0" fontId="78" fillId="0" borderId="60" xfId="1" applyFont="1" applyBorder="1" applyAlignment="1">
      <alignment horizontal="left"/>
    </xf>
    <xf numFmtId="0" fontId="78" fillId="0" borderId="61" xfId="1" applyFont="1" applyBorder="1" applyAlignment="1">
      <alignment horizontal="left"/>
    </xf>
    <xf numFmtId="0" fontId="76" fillId="6" borderId="15" xfId="2" applyFont="1" applyFill="1" applyBorder="1" applyAlignment="1">
      <alignment horizontal="center"/>
    </xf>
    <xf numFmtId="0" fontId="78" fillId="3" borderId="15" xfId="2" applyFont="1" applyFill="1" applyBorder="1" applyAlignment="1">
      <alignment horizontal="left"/>
    </xf>
    <xf numFmtId="0" fontId="5" fillId="3" borderId="17" xfId="2" applyFont="1" applyFill="1" applyBorder="1" applyAlignment="1">
      <alignment horizontal="left"/>
    </xf>
  </cellXfs>
  <cellStyles count="14">
    <cellStyle name="Millares" xfId="9" builtinId="3"/>
    <cellStyle name="Millares [0]" xfId="10" builtinId="6"/>
    <cellStyle name="Millares 2" xfId="11" xr:uid="{7AAB0701-80B4-4496-9C73-AB19ADA44930}"/>
    <cellStyle name="Millares 3" xfId="13" xr:uid="{53D059E3-0F59-4216-8822-80FE08946F9F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12" xr:uid="{407BB2A2-A15D-4878-BE8A-900EF3603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777240</xdr:colOff>
      <xdr:row>2</xdr:row>
      <xdr:rowOff>76200</xdr:rowOff>
    </xdr:to>
    <xdr:pic>
      <xdr:nvPicPr>
        <xdr:cNvPr id="2" name="Picture 9" descr="Nueva imagen">
          <a:extLst>
            <a:ext uri="{FF2B5EF4-FFF2-40B4-BE49-F238E27FC236}">
              <a16:creationId xmlns:a16="http://schemas.microsoft.com/office/drawing/2014/main" id="{867E062D-A3FC-48BB-904C-B47C5E77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72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347662</xdr:colOff>
      <xdr:row>0</xdr:row>
      <xdr:rowOff>73818</xdr:rowOff>
    </xdr:from>
    <xdr:to>
      <xdr:col>1</xdr:col>
      <xdr:colOff>904874</xdr:colOff>
      <xdr:row>4</xdr:row>
      <xdr:rowOff>144304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D8A4BDA-F3D5-4E27-9438-CDD051DA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" y="73818"/>
          <a:ext cx="1715452" cy="832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0214E5C8-A99B-46F6-8F96-97F05BB0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39872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411480</xdr:colOff>
      <xdr:row>0</xdr:row>
      <xdr:rowOff>0</xdr:rowOff>
    </xdr:from>
    <xdr:to>
      <xdr:col>22</xdr:col>
      <xdr:colOff>381248</xdr:colOff>
      <xdr:row>57</xdr:row>
      <xdr:rowOff>38478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1F26F2-C29D-E32E-6444-304AFF8FD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0200" y="0"/>
          <a:ext cx="2865368" cy="4366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5993002A-72E5-482B-85BF-6362A866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39872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</xdr:colOff>
      <xdr:row>1</xdr:row>
      <xdr:rowOff>0</xdr:rowOff>
    </xdr:from>
    <xdr:ext cx="1881186" cy="785813"/>
    <xdr:pic>
      <xdr:nvPicPr>
        <xdr:cNvPr id="2" name="Imagen 1">
          <a:extLst>
            <a:ext uri="{FF2B5EF4-FFF2-40B4-BE49-F238E27FC236}">
              <a16:creationId xmlns:a16="http://schemas.microsoft.com/office/drawing/2014/main" id="{9EFD2870-5517-4269-86D6-FB153A2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" y="202406"/>
          <a:ext cx="1881186" cy="785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68"/>
  <sheetViews>
    <sheetView zoomScale="73" workbookViewId="0">
      <selection activeCell="C13" sqref="C13"/>
    </sheetView>
  </sheetViews>
  <sheetFormatPr baseColWidth="10" defaultRowHeight="15" x14ac:dyDescent="0.25"/>
  <cols>
    <col min="1" max="1" width="1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10" ht="17.25" x14ac:dyDescent="0.3">
      <c r="A1" s="471"/>
      <c r="B1" s="472"/>
      <c r="C1" s="477" t="s">
        <v>30</v>
      </c>
      <c r="D1" s="477"/>
      <c r="E1" s="477"/>
      <c r="F1" s="477"/>
      <c r="G1" s="477"/>
      <c r="H1" s="6" t="s">
        <v>29</v>
      </c>
      <c r="I1" s="7"/>
    </row>
    <row r="2" spans="1:10" ht="18" thickBot="1" x14ac:dyDescent="0.35">
      <c r="A2" s="473"/>
      <c r="B2" s="474"/>
      <c r="C2" s="478" t="s">
        <v>28</v>
      </c>
      <c r="D2" s="478"/>
      <c r="E2" s="478"/>
      <c r="F2" s="478"/>
      <c r="G2" s="478"/>
      <c r="H2" s="8" t="s">
        <v>27</v>
      </c>
      <c r="I2" s="9"/>
    </row>
    <row r="3" spans="1:10" ht="22.9" customHeight="1" thickBot="1" x14ac:dyDescent="0.3">
      <c r="A3" s="473"/>
      <c r="B3" s="474"/>
      <c r="C3" s="479" t="s">
        <v>61</v>
      </c>
      <c r="D3" s="480"/>
      <c r="E3" s="480"/>
      <c r="F3" s="480"/>
      <c r="G3" s="481"/>
      <c r="H3" s="482" t="s">
        <v>26</v>
      </c>
      <c r="I3" s="462"/>
    </row>
    <row r="4" spans="1:10" ht="17.25" x14ac:dyDescent="0.3">
      <c r="A4" s="473"/>
      <c r="B4" s="474"/>
      <c r="C4" s="10" t="s">
        <v>25</v>
      </c>
      <c r="D4" s="465" t="s">
        <v>35</v>
      </c>
      <c r="E4" s="466"/>
      <c r="F4" s="466"/>
      <c r="G4" s="467"/>
      <c r="H4" s="483"/>
      <c r="I4" s="463"/>
    </row>
    <row r="5" spans="1:10" ht="18" thickBot="1" x14ac:dyDescent="0.35">
      <c r="A5" s="475"/>
      <c r="B5" s="476"/>
      <c r="C5" s="11" t="s">
        <v>24</v>
      </c>
      <c r="D5" s="468" t="s">
        <v>44</v>
      </c>
      <c r="E5" s="469"/>
      <c r="F5" s="469"/>
      <c r="G5" s="470"/>
      <c r="H5" s="484"/>
      <c r="I5" s="464"/>
    </row>
    <row r="6" spans="1:10" ht="16.5" thickBot="1" x14ac:dyDescent="0.3">
      <c r="A6" s="485" t="s">
        <v>23</v>
      </c>
      <c r="B6" s="485"/>
      <c r="C6" s="485"/>
      <c r="D6" s="486" t="s">
        <v>46</v>
      </c>
      <c r="E6" s="486"/>
      <c r="F6" s="486"/>
      <c r="G6" s="450" t="s">
        <v>22</v>
      </c>
      <c r="H6" s="450"/>
      <c r="I6" s="12" t="s">
        <v>46</v>
      </c>
    </row>
    <row r="7" spans="1:10" x14ac:dyDescent="0.25">
      <c r="A7" s="451" t="s">
        <v>21</v>
      </c>
      <c r="B7" s="453" t="s">
        <v>31</v>
      </c>
      <c r="C7" s="455" t="s">
        <v>20</v>
      </c>
      <c r="D7" s="455" t="s">
        <v>19</v>
      </c>
      <c r="E7" s="455" t="s">
        <v>18</v>
      </c>
      <c r="F7" s="455"/>
      <c r="G7" s="455" t="s">
        <v>17</v>
      </c>
      <c r="H7" s="455"/>
      <c r="I7" s="13" t="s">
        <v>16</v>
      </c>
    </row>
    <row r="8" spans="1:10" ht="31.5" thickBot="1" x14ac:dyDescent="0.3">
      <c r="A8" s="452"/>
      <c r="B8" s="454"/>
      <c r="C8" s="456"/>
      <c r="D8" s="457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10" ht="19.899999999999999" customHeight="1" x14ac:dyDescent="0.3">
      <c r="A9" s="87"/>
      <c r="B9" s="88"/>
      <c r="C9" s="71" t="s">
        <v>32</v>
      </c>
      <c r="D9" s="88"/>
      <c r="E9" s="70"/>
      <c r="F9" s="89"/>
      <c r="G9" s="70"/>
      <c r="H9" s="89"/>
      <c r="I9" s="17"/>
    </row>
    <row r="10" spans="1:10" ht="17.45" customHeight="1" x14ac:dyDescent="0.3">
      <c r="A10" s="114" t="s">
        <v>47</v>
      </c>
      <c r="B10" s="114" t="s">
        <v>48</v>
      </c>
      <c r="C10" s="116" t="s">
        <v>49</v>
      </c>
      <c r="D10" s="115" t="s">
        <v>36</v>
      </c>
      <c r="E10" s="62" t="s">
        <v>50</v>
      </c>
      <c r="F10" s="75" t="s">
        <v>37</v>
      </c>
      <c r="G10" s="76" t="s">
        <v>51</v>
      </c>
      <c r="H10" s="90"/>
      <c r="I10" s="4"/>
    </row>
    <row r="11" spans="1:10" ht="17.45" customHeight="1" x14ac:dyDescent="0.3">
      <c r="A11" s="65"/>
      <c r="B11" s="65" t="s">
        <v>45</v>
      </c>
      <c r="C11" s="72" t="s">
        <v>52</v>
      </c>
      <c r="D11" s="115" t="s">
        <v>36</v>
      </c>
      <c r="E11" s="62">
        <v>240</v>
      </c>
      <c r="F11" s="75" t="s">
        <v>1</v>
      </c>
      <c r="G11" s="76" t="s">
        <v>53</v>
      </c>
      <c r="H11" s="103"/>
      <c r="I11" s="4"/>
    </row>
    <row r="12" spans="1:10" ht="17.45" customHeight="1" x14ac:dyDescent="0.3">
      <c r="A12" s="65"/>
      <c r="B12" s="65" t="s">
        <v>54</v>
      </c>
      <c r="C12" s="72" t="s">
        <v>82</v>
      </c>
      <c r="D12" s="115" t="s">
        <v>36</v>
      </c>
      <c r="E12" s="62">
        <v>1600</v>
      </c>
      <c r="F12" s="75" t="s">
        <v>1</v>
      </c>
      <c r="G12" s="76" t="s">
        <v>93</v>
      </c>
      <c r="H12" s="103"/>
      <c r="I12" s="4"/>
    </row>
    <row r="13" spans="1:10" ht="18" customHeight="1" x14ac:dyDescent="0.3">
      <c r="A13" s="65"/>
      <c r="B13" s="65" t="s">
        <v>54</v>
      </c>
      <c r="C13" s="72" t="s">
        <v>75</v>
      </c>
      <c r="D13" s="115" t="s">
        <v>36</v>
      </c>
      <c r="E13" s="62">
        <v>640</v>
      </c>
      <c r="F13" s="75" t="s">
        <v>1</v>
      </c>
      <c r="G13" s="76" t="s">
        <v>94</v>
      </c>
      <c r="H13" s="103"/>
      <c r="I13" s="4"/>
    </row>
    <row r="14" spans="1:10" ht="18.75" x14ac:dyDescent="0.3">
      <c r="A14" s="67"/>
      <c r="B14" s="65" t="s">
        <v>54</v>
      </c>
      <c r="C14" s="72" t="s">
        <v>68</v>
      </c>
      <c r="D14" s="115" t="s">
        <v>36</v>
      </c>
      <c r="E14" s="62">
        <v>120</v>
      </c>
      <c r="F14" s="75" t="s">
        <v>1</v>
      </c>
      <c r="G14" s="76" t="s">
        <v>95</v>
      </c>
      <c r="H14" s="103"/>
      <c r="I14" s="4"/>
      <c r="J14">
        <f>20*8</f>
        <v>160</v>
      </c>
    </row>
    <row r="15" spans="1:10" ht="18.75" x14ac:dyDescent="0.3">
      <c r="A15" s="67"/>
      <c r="B15" s="65"/>
      <c r="C15" s="72"/>
      <c r="D15" s="115" t="s">
        <v>36</v>
      </c>
      <c r="E15" s="78">
        <v>416</v>
      </c>
      <c r="F15" s="75"/>
      <c r="G15" s="76"/>
      <c r="H15" s="65"/>
      <c r="I15" s="4"/>
    </row>
    <row r="16" spans="1:10" ht="18.75" x14ac:dyDescent="0.3">
      <c r="A16" s="67"/>
      <c r="B16" s="72"/>
      <c r="C16" s="72"/>
      <c r="D16" s="79"/>
      <c r="E16" s="80"/>
      <c r="F16" s="75"/>
      <c r="G16" s="77"/>
      <c r="H16" s="65"/>
      <c r="I16" s="4"/>
      <c r="J16">
        <f>26*2</f>
        <v>52</v>
      </c>
    </row>
    <row r="17" spans="1:10" ht="18.75" x14ac:dyDescent="0.3">
      <c r="A17" s="66"/>
      <c r="B17" s="67"/>
      <c r="C17" s="82"/>
      <c r="D17" s="63"/>
      <c r="E17" s="65"/>
      <c r="F17" s="83"/>
      <c r="G17" s="77"/>
      <c r="H17" s="65"/>
      <c r="I17" s="4"/>
      <c r="J17">
        <f>52*8</f>
        <v>416</v>
      </c>
    </row>
    <row r="18" spans="1:10" ht="18.75" x14ac:dyDescent="0.3">
      <c r="A18" s="66"/>
      <c r="B18" s="67"/>
      <c r="C18" s="82"/>
      <c r="D18" s="63"/>
      <c r="E18" s="65"/>
      <c r="F18" s="83"/>
      <c r="G18" s="77"/>
      <c r="H18" s="65"/>
      <c r="I18" s="4"/>
    </row>
    <row r="19" spans="1:10" ht="18.75" x14ac:dyDescent="0.3">
      <c r="A19" s="67"/>
      <c r="B19" s="67"/>
      <c r="C19" s="91" t="s">
        <v>41</v>
      </c>
      <c r="D19" s="65"/>
      <c r="E19" s="72"/>
      <c r="F19" s="65"/>
      <c r="G19" s="64"/>
      <c r="H19" s="65"/>
      <c r="I19" s="4"/>
    </row>
    <row r="20" spans="1:10" ht="18.75" x14ac:dyDescent="0.3">
      <c r="A20" s="67"/>
      <c r="B20" s="67" t="s">
        <v>54</v>
      </c>
      <c r="C20" s="82" t="s">
        <v>66</v>
      </c>
      <c r="D20" s="65" t="s">
        <v>36</v>
      </c>
      <c r="E20" s="65">
        <v>8</v>
      </c>
      <c r="F20" s="65" t="s">
        <v>1</v>
      </c>
      <c r="G20" s="64" t="s">
        <v>96</v>
      </c>
      <c r="H20" s="65"/>
      <c r="I20" s="4"/>
    </row>
    <row r="21" spans="1:10" ht="18.75" x14ac:dyDescent="0.3">
      <c r="A21" s="67"/>
      <c r="B21" s="65" t="s">
        <v>54</v>
      </c>
      <c r="C21" s="72" t="s">
        <v>83</v>
      </c>
      <c r="D21" s="115" t="s">
        <v>36</v>
      </c>
      <c r="E21" s="69">
        <v>160</v>
      </c>
      <c r="F21" s="69" t="s">
        <v>1</v>
      </c>
      <c r="G21" s="64" t="s">
        <v>97</v>
      </c>
      <c r="H21" s="106"/>
      <c r="I21" s="4"/>
      <c r="J21" s="62"/>
    </row>
    <row r="22" spans="1:10" ht="18.75" x14ac:dyDescent="0.3">
      <c r="A22" s="67"/>
      <c r="B22" s="65"/>
      <c r="C22" s="72"/>
      <c r="D22" s="110"/>
      <c r="E22" s="69"/>
      <c r="F22" s="69"/>
      <c r="G22" s="64"/>
      <c r="H22" s="106"/>
      <c r="I22" s="4"/>
      <c r="J22" s="62"/>
    </row>
    <row r="23" spans="1:10" ht="18.75" x14ac:dyDescent="0.3">
      <c r="A23" s="67"/>
      <c r="B23" s="112"/>
      <c r="C23" s="113"/>
      <c r="D23" s="110"/>
      <c r="E23" s="69"/>
      <c r="F23" s="69"/>
      <c r="G23" s="64"/>
      <c r="H23" s="106"/>
      <c r="I23" s="4"/>
      <c r="J23" s="62"/>
    </row>
    <row r="24" spans="1:10" ht="22.9" customHeight="1" x14ac:dyDescent="0.3">
      <c r="A24" s="104"/>
      <c r="B24" s="108"/>
      <c r="C24" s="109"/>
      <c r="D24" s="110"/>
      <c r="E24" s="69"/>
      <c r="F24" s="69"/>
      <c r="G24" s="70"/>
      <c r="H24" s="89"/>
      <c r="I24" s="4"/>
      <c r="J24" s="78"/>
    </row>
    <row r="25" spans="1:10" ht="21.6" customHeight="1" x14ac:dyDescent="0.3">
      <c r="A25" s="105"/>
      <c r="B25" s="108"/>
      <c r="C25" s="109"/>
      <c r="D25" s="110"/>
      <c r="E25" s="69"/>
      <c r="F25" s="69"/>
      <c r="G25" s="1"/>
      <c r="H25" s="106"/>
      <c r="I25" s="1"/>
      <c r="J25" s="107"/>
    </row>
    <row r="26" spans="1:10" ht="18" customHeight="1" x14ac:dyDescent="0.3">
      <c r="A26" s="105"/>
      <c r="B26" s="108"/>
      <c r="C26" s="109"/>
      <c r="D26" s="111"/>
      <c r="E26" s="69"/>
      <c r="F26" s="69"/>
      <c r="G26" s="70"/>
      <c r="H26" s="89"/>
      <c r="I26" s="1"/>
    </row>
    <row r="27" spans="1:10" ht="18.75" x14ac:dyDescent="0.3">
      <c r="A27" s="67"/>
      <c r="B27" s="65"/>
      <c r="C27" s="72"/>
      <c r="D27" s="69"/>
      <c r="E27" s="69"/>
      <c r="F27" s="69"/>
      <c r="G27" s="70"/>
      <c r="H27" s="89"/>
      <c r="I27" s="4"/>
    </row>
    <row r="28" spans="1:10" ht="18.75" x14ac:dyDescent="0.3">
      <c r="A28" s="67"/>
      <c r="B28" s="65"/>
      <c r="C28" s="102"/>
      <c r="D28" s="79"/>
      <c r="E28" s="69"/>
      <c r="F28" s="69"/>
      <c r="G28" s="70"/>
      <c r="H28" s="89"/>
      <c r="I28" s="4"/>
    </row>
    <row r="29" spans="1:10" ht="18.75" x14ac:dyDescent="0.3">
      <c r="A29" s="67"/>
      <c r="B29" s="65"/>
      <c r="C29" s="102"/>
      <c r="D29" s="79"/>
      <c r="E29" s="69"/>
      <c r="F29" s="69"/>
      <c r="G29" s="70"/>
      <c r="H29" s="89"/>
      <c r="I29" s="4"/>
      <c r="J29" s="107">
        <f>SUM(E11:E21)-D48</f>
        <v>504</v>
      </c>
    </row>
    <row r="30" spans="1:10" ht="18.75" x14ac:dyDescent="0.3">
      <c r="A30" s="67"/>
      <c r="B30" s="65"/>
      <c r="C30" s="102"/>
      <c r="D30" s="79"/>
      <c r="E30" s="69"/>
      <c r="F30" s="69"/>
      <c r="G30" s="70"/>
      <c r="H30" s="89"/>
      <c r="I30" s="4"/>
    </row>
    <row r="31" spans="1:10" ht="18.75" x14ac:dyDescent="0.3">
      <c r="A31" s="67"/>
      <c r="B31" s="65"/>
      <c r="C31" s="102"/>
      <c r="D31" s="79"/>
      <c r="E31" s="69"/>
      <c r="F31" s="69"/>
      <c r="G31" s="70"/>
      <c r="H31" s="89"/>
      <c r="I31" s="4"/>
    </row>
    <row r="32" spans="1:10" ht="18.75" x14ac:dyDescent="0.3">
      <c r="A32" s="72"/>
      <c r="B32" s="68"/>
      <c r="C32" s="92"/>
      <c r="D32" s="73"/>
      <c r="E32" s="68"/>
      <c r="F32" s="93"/>
      <c r="G32" s="70"/>
      <c r="H32" s="89"/>
      <c r="I32" s="17"/>
    </row>
    <row r="33" spans="1:11" ht="18.75" x14ac:dyDescent="0.3">
      <c r="A33" s="67"/>
      <c r="B33" s="67"/>
      <c r="C33" s="91" t="s">
        <v>34</v>
      </c>
      <c r="D33" s="72"/>
      <c r="E33" s="72"/>
      <c r="F33" s="65"/>
      <c r="G33" s="64"/>
      <c r="H33" s="65"/>
      <c r="I33" s="17"/>
    </row>
    <row r="34" spans="1:11" ht="18.75" x14ac:dyDescent="0.3">
      <c r="A34" s="62"/>
      <c r="B34" s="63"/>
      <c r="C34" s="81"/>
      <c r="D34" s="84"/>
      <c r="E34" s="85"/>
      <c r="F34" s="85"/>
      <c r="G34" s="64"/>
      <c r="H34" s="65"/>
      <c r="I34" s="17"/>
    </row>
    <row r="35" spans="1:11" ht="18.75" x14ac:dyDescent="0.3">
      <c r="A35" s="62"/>
      <c r="B35" s="63" t="s">
        <v>55</v>
      </c>
      <c r="C35" s="81"/>
      <c r="D35" s="84"/>
      <c r="E35" s="85"/>
      <c r="F35" s="85"/>
      <c r="G35" s="94"/>
      <c r="H35" s="65"/>
      <c r="I35" s="17"/>
      <c r="J35" s="107"/>
    </row>
    <row r="36" spans="1:11" s="61" customFormat="1" ht="18.75" x14ac:dyDescent="0.3">
      <c r="A36" s="62">
        <v>702123</v>
      </c>
      <c r="B36" s="63" t="s">
        <v>38</v>
      </c>
      <c r="C36" s="81" t="s">
        <v>56</v>
      </c>
      <c r="D36" s="84" t="s">
        <v>43</v>
      </c>
      <c r="E36" s="85">
        <v>8</v>
      </c>
      <c r="F36" s="85" t="s">
        <v>37</v>
      </c>
      <c r="G36" s="74"/>
      <c r="H36" s="65"/>
      <c r="I36" s="17"/>
    </row>
    <row r="37" spans="1:11" ht="18.75" x14ac:dyDescent="0.3">
      <c r="A37" s="62">
        <v>701096</v>
      </c>
      <c r="B37" s="86" t="s">
        <v>40</v>
      </c>
      <c r="C37" s="81" t="s">
        <v>42</v>
      </c>
      <c r="D37" s="84" t="s">
        <v>39</v>
      </c>
      <c r="E37" s="85">
        <v>8</v>
      </c>
      <c r="F37" s="85" t="s">
        <v>37</v>
      </c>
      <c r="G37" s="94"/>
      <c r="H37" s="67"/>
      <c r="I37" s="17"/>
    </row>
    <row r="38" spans="1:11" ht="18.75" x14ac:dyDescent="0.3">
      <c r="A38" s="62">
        <v>702007</v>
      </c>
      <c r="B38" s="63" t="s">
        <v>57</v>
      </c>
      <c r="C38" s="81" t="s">
        <v>58</v>
      </c>
      <c r="D38" s="84" t="s">
        <v>39</v>
      </c>
      <c r="E38" s="85">
        <v>8</v>
      </c>
      <c r="F38" s="85" t="s">
        <v>37</v>
      </c>
      <c r="G38" s="70"/>
      <c r="H38" s="67"/>
      <c r="I38" s="17"/>
    </row>
    <row r="39" spans="1:11" ht="18.75" x14ac:dyDescent="0.3">
      <c r="A39" s="68"/>
      <c r="B39" s="95"/>
      <c r="C39" s="92"/>
      <c r="D39" s="68"/>
      <c r="E39" s="68"/>
      <c r="F39" s="96"/>
      <c r="G39" s="64"/>
      <c r="H39" s="97"/>
      <c r="I39" s="17"/>
    </row>
    <row r="40" spans="1:11" ht="18.75" x14ac:dyDescent="0.3">
      <c r="A40" s="98"/>
      <c r="B40" s="99"/>
      <c r="C40" s="100"/>
      <c r="D40" s="63"/>
      <c r="E40" s="64"/>
      <c r="F40" s="101"/>
      <c r="G40" s="64"/>
      <c r="H40" s="97"/>
      <c r="I40" s="17"/>
    </row>
    <row r="41" spans="1:11" ht="16.149999999999999" customHeight="1" x14ac:dyDescent="0.25">
      <c r="A41" s="53"/>
      <c r="B41" s="53"/>
      <c r="C41" s="54"/>
      <c r="D41" s="55"/>
      <c r="E41" s="53"/>
      <c r="F41" s="56"/>
      <c r="G41" s="57"/>
      <c r="H41" s="51"/>
      <c r="I41" s="17"/>
    </row>
    <row r="42" spans="1:11" ht="15.75" x14ac:dyDescent="0.25">
      <c r="A42" s="58"/>
      <c r="B42" s="58"/>
      <c r="C42" s="59"/>
      <c r="D42" s="18"/>
      <c r="E42" s="58"/>
      <c r="F42" s="5"/>
      <c r="G42" s="52"/>
      <c r="H42" s="60"/>
      <c r="I42" s="17"/>
    </row>
    <row r="43" spans="1:11" ht="17.25" x14ac:dyDescent="0.3">
      <c r="A43" s="21"/>
      <c r="B43" s="22"/>
      <c r="C43" s="23"/>
      <c r="D43" s="24"/>
      <c r="E43" s="25"/>
      <c r="F43" s="25"/>
      <c r="G43" s="20"/>
      <c r="H43" s="3"/>
      <c r="I43" s="17"/>
    </row>
    <row r="44" spans="1:11" ht="15.75" x14ac:dyDescent="0.25">
      <c r="A44" s="22"/>
      <c r="B44" s="26"/>
      <c r="C44" s="27"/>
      <c r="D44" s="2"/>
      <c r="E44" s="28"/>
      <c r="F44" s="19"/>
      <c r="G44" s="20"/>
      <c r="H44" s="4"/>
      <c r="I44" s="17"/>
    </row>
    <row r="45" spans="1:11" ht="15.75" x14ac:dyDescent="0.25">
      <c r="A45" s="29"/>
      <c r="B45" s="30"/>
      <c r="C45" s="31"/>
      <c r="D45" s="4"/>
      <c r="E45" s="4"/>
      <c r="F45" s="32"/>
      <c r="G45" s="4"/>
      <c r="H45" s="4"/>
      <c r="I45" s="17"/>
    </row>
    <row r="46" spans="1:11" ht="18" thickBot="1" x14ac:dyDescent="0.35">
      <c r="A46" s="33"/>
      <c r="B46" s="34"/>
      <c r="C46" s="35"/>
      <c r="D46" s="35"/>
      <c r="E46" s="36"/>
      <c r="F46" s="37"/>
      <c r="G46" s="35"/>
      <c r="H46" s="35"/>
      <c r="I46" s="38"/>
      <c r="K46" s="107"/>
    </row>
    <row r="47" spans="1:11" ht="18" thickBot="1" x14ac:dyDescent="0.35">
      <c r="A47" s="39"/>
      <c r="B47" s="40"/>
      <c r="C47" s="41"/>
      <c r="D47" s="42" t="s">
        <v>13</v>
      </c>
      <c r="E47" s="43" t="s">
        <v>12</v>
      </c>
      <c r="F47" s="44"/>
      <c r="G47" s="41"/>
      <c r="H47" s="41"/>
      <c r="I47" s="45"/>
      <c r="J47" s="107">
        <f>335*8</f>
        <v>2680</v>
      </c>
    </row>
    <row r="48" spans="1:11" ht="17.25" x14ac:dyDescent="0.3">
      <c r="A48" s="442" t="s">
        <v>11</v>
      </c>
      <c r="B48" s="443"/>
      <c r="C48" s="444"/>
      <c r="D48" s="46">
        <v>2680</v>
      </c>
      <c r="E48" s="47" t="s">
        <v>1</v>
      </c>
      <c r="F48" s="445" t="s">
        <v>10</v>
      </c>
      <c r="G48" s="445"/>
      <c r="H48" s="446"/>
      <c r="I48" s="447"/>
    </row>
    <row r="49" spans="1:10" ht="17.25" x14ac:dyDescent="0.3">
      <c r="A49" s="436" t="s">
        <v>9</v>
      </c>
      <c r="B49" s="437"/>
      <c r="C49" s="438"/>
      <c r="D49" s="48">
        <v>4</v>
      </c>
      <c r="E49" s="48" t="s">
        <v>8</v>
      </c>
      <c r="F49" s="439" t="s">
        <v>7</v>
      </c>
      <c r="G49" s="439"/>
      <c r="H49" s="440"/>
      <c r="I49" s="441"/>
    </row>
    <row r="50" spans="1:10" ht="17.25" x14ac:dyDescent="0.3">
      <c r="A50" s="436" t="s">
        <v>6</v>
      </c>
      <c r="B50" s="437"/>
      <c r="C50" s="438"/>
      <c r="D50" s="48">
        <v>1</v>
      </c>
      <c r="E50" s="48" t="s">
        <v>12</v>
      </c>
      <c r="F50" s="439" t="s">
        <v>5</v>
      </c>
      <c r="G50" s="439"/>
      <c r="H50" s="440"/>
      <c r="I50" s="441"/>
    </row>
    <row r="51" spans="1:10" ht="17.25" x14ac:dyDescent="0.3">
      <c r="A51" s="436" t="s">
        <v>4</v>
      </c>
      <c r="B51" s="437"/>
      <c r="C51" s="438"/>
      <c r="D51" s="48">
        <v>335</v>
      </c>
      <c r="E51" s="48" t="s">
        <v>1</v>
      </c>
      <c r="F51" s="448" t="s">
        <v>3</v>
      </c>
      <c r="G51" s="449"/>
      <c r="H51" s="440"/>
      <c r="I51" s="441"/>
      <c r="J51">
        <f>2080/8</f>
        <v>260</v>
      </c>
    </row>
    <row r="52" spans="1:10" ht="18" thickBot="1" x14ac:dyDescent="0.35">
      <c r="A52" s="430" t="s">
        <v>2</v>
      </c>
      <c r="B52" s="431"/>
      <c r="C52" s="432"/>
      <c r="D52" s="49">
        <v>504</v>
      </c>
      <c r="E52" s="50" t="s">
        <v>1</v>
      </c>
      <c r="F52" s="433"/>
      <c r="G52" s="433"/>
      <c r="H52" s="434"/>
      <c r="I52" s="435"/>
    </row>
    <row r="53" spans="1:10" ht="16.5" thickBot="1" x14ac:dyDescent="0.3">
      <c r="A53" s="407" t="s">
        <v>0</v>
      </c>
      <c r="B53" s="408"/>
      <c r="C53" s="408"/>
      <c r="D53" s="408"/>
      <c r="E53" s="408"/>
      <c r="F53" s="408"/>
      <c r="G53" s="408"/>
      <c r="H53" s="408"/>
      <c r="I53" s="409"/>
    </row>
    <row r="54" spans="1:10" ht="20.45" customHeight="1" x14ac:dyDescent="0.25">
      <c r="A54" s="410" t="s">
        <v>59</v>
      </c>
      <c r="B54" s="411"/>
      <c r="C54" s="411"/>
      <c r="D54" s="411"/>
      <c r="E54" s="411"/>
      <c r="F54" s="411"/>
      <c r="G54" s="411"/>
      <c r="H54" s="411"/>
      <c r="I54" s="412"/>
    </row>
    <row r="55" spans="1:10" ht="22.9" customHeight="1" x14ac:dyDescent="0.25">
      <c r="A55" s="413" t="s">
        <v>98</v>
      </c>
      <c r="B55" s="413"/>
      <c r="C55" s="413"/>
      <c r="D55" s="413"/>
      <c r="E55" s="413"/>
      <c r="F55" s="413"/>
      <c r="G55" s="413"/>
      <c r="H55" s="413"/>
      <c r="I55" s="413"/>
    </row>
    <row r="56" spans="1:10" ht="19.899999999999999" customHeight="1" x14ac:dyDescent="0.25">
      <c r="A56" s="414" t="s">
        <v>99</v>
      </c>
      <c r="B56" s="414"/>
      <c r="C56" s="414"/>
      <c r="D56" s="414"/>
      <c r="E56" s="414"/>
      <c r="F56" s="414"/>
      <c r="G56" s="414"/>
      <c r="H56" s="414"/>
      <c r="I56" s="414"/>
    </row>
    <row r="57" spans="1:10" ht="20.45" customHeight="1" x14ac:dyDescent="0.25">
      <c r="A57" s="414" t="s">
        <v>100</v>
      </c>
      <c r="B57" s="414"/>
      <c r="C57" s="414"/>
      <c r="D57" s="414"/>
      <c r="E57" s="414"/>
      <c r="F57" s="414"/>
      <c r="G57" s="414"/>
      <c r="H57" s="414"/>
      <c r="I57" s="414"/>
    </row>
    <row r="58" spans="1:10" ht="20.45" customHeight="1" x14ac:dyDescent="0.25">
      <c r="A58" s="415" t="s">
        <v>60</v>
      </c>
      <c r="B58" s="415"/>
      <c r="C58" s="415"/>
      <c r="D58" s="415"/>
      <c r="E58" s="415"/>
      <c r="F58" s="415"/>
      <c r="G58" s="415"/>
      <c r="H58" s="415"/>
      <c r="I58" s="415"/>
    </row>
    <row r="59" spans="1:10" ht="20.45" customHeight="1" x14ac:dyDescent="0.25">
      <c r="A59" s="415"/>
      <c r="B59" s="415"/>
      <c r="C59" s="415"/>
      <c r="D59" s="415"/>
      <c r="E59" s="415"/>
      <c r="F59" s="415"/>
      <c r="G59" s="415"/>
      <c r="H59" s="415"/>
      <c r="I59" s="415"/>
    </row>
    <row r="60" spans="1:10" ht="19.899999999999999" customHeight="1" x14ac:dyDescent="0.25">
      <c r="A60" s="426"/>
      <c r="B60" s="427"/>
      <c r="C60" s="428"/>
      <c r="D60" s="428"/>
      <c r="E60" s="428"/>
      <c r="F60" s="428"/>
      <c r="G60" s="428"/>
      <c r="H60" s="428"/>
      <c r="I60" s="429"/>
    </row>
    <row r="61" spans="1:10" ht="18" x14ac:dyDescent="0.25">
      <c r="A61" s="416"/>
      <c r="B61" s="417"/>
      <c r="C61" s="417"/>
      <c r="D61" s="417"/>
      <c r="E61" s="417"/>
      <c r="F61" s="417"/>
      <c r="G61" s="417"/>
      <c r="H61" s="417"/>
      <c r="I61" s="418"/>
    </row>
    <row r="63" spans="1:10" ht="18" customHeight="1" x14ac:dyDescent="0.25">
      <c r="A63" s="419"/>
      <c r="B63" s="420"/>
      <c r="C63" s="421"/>
      <c r="D63" s="421"/>
      <c r="E63" s="421"/>
      <c r="F63" s="421"/>
      <c r="G63" s="421"/>
      <c r="H63" s="421"/>
      <c r="I63" s="422"/>
    </row>
    <row r="64" spans="1:10" ht="17.25" x14ac:dyDescent="0.3">
      <c r="A64" s="423"/>
      <c r="B64" s="424"/>
      <c r="C64" s="424"/>
      <c r="D64" s="424"/>
      <c r="E64" s="424"/>
      <c r="F64" s="424"/>
      <c r="G64" s="424"/>
      <c r="H64" s="424"/>
      <c r="I64" s="425"/>
    </row>
    <row r="65" spans="1:9" ht="18" thickBot="1" x14ac:dyDescent="0.35">
      <c r="A65" s="404"/>
      <c r="B65" s="405"/>
      <c r="C65" s="405"/>
      <c r="D65" s="405"/>
      <c r="E65" s="405"/>
      <c r="F65" s="405"/>
      <c r="G65" s="405"/>
      <c r="H65" s="405"/>
      <c r="I65" s="406"/>
    </row>
    <row r="66" spans="1:9" x14ac:dyDescent="0.25">
      <c r="A66" s="458" t="s">
        <v>33</v>
      </c>
      <c r="B66" s="459"/>
      <c r="C66" s="459"/>
      <c r="D66" s="459"/>
      <c r="E66" s="459"/>
      <c r="F66" s="459"/>
      <c r="G66" s="459"/>
      <c r="H66" s="459"/>
      <c r="I66" s="459"/>
    </row>
    <row r="67" spans="1:9" x14ac:dyDescent="0.25">
      <c r="A67" s="460"/>
      <c r="B67" s="461"/>
      <c r="C67" s="461"/>
      <c r="D67" s="461"/>
      <c r="E67" s="461"/>
      <c r="F67" s="461"/>
      <c r="G67" s="461"/>
      <c r="H67" s="461"/>
      <c r="I67" s="461"/>
    </row>
    <row r="68" spans="1:9" x14ac:dyDescent="0.25">
      <c r="A68" s="460"/>
      <c r="B68" s="461"/>
      <c r="C68" s="461"/>
      <c r="D68" s="461"/>
      <c r="E68" s="461"/>
      <c r="F68" s="461"/>
      <c r="G68" s="461"/>
      <c r="H68" s="461"/>
      <c r="I68" s="461"/>
    </row>
  </sheetData>
  <mergeCells count="47">
    <mergeCell ref="A66:I66"/>
    <mergeCell ref="A67:I67"/>
    <mergeCell ref="A68:I68"/>
    <mergeCell ref="I3:I5"/>
    <mergeCell ref="D4:G4"/>
    <mergeCell ref="D5:G5"/>
    <mergeCell ref="A50:C50"/>
    <mergeCell ref="F50:G50"/>
    <mergeCell ref="H50:I50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8:C48"/>
    <mergeCell ref="F48:G48"/>
    <mergeCell ref="H48:I48"/>
    <mergeCell ref="A51:C51"/>
    <mergeCell ref="F51:G51"/>
    <mergeCell ref="H51:I51"/>
    <mergeCell ref="A52:C52"/>
    <mergeCell ref="F52:G52"/>
    <mergeCell ref="H52:I52"/>
    <mergeCell ref="A49:C49"/>
    <mergeCell ref="F49:G49"/>
    <mergeCell ref="H49:I49"/>
    <mergeCell ref="A65:I65"/>
    <mergeCell ref="A53:I53"/>
    <mergeCell ref="A54:I54"/>
    <mergeCell ref="A55:I55"/>
    <mergeCell ref="A56:I56"/>
    <mergeCell ref="A57:I57"/>
    <mergeCell ref="A59:I59"/>
    <mergeCell ref="A61:I61"/>
    <mergeCell ref="A63:I63"/>
    <mergeCell ref="A64:I64"/>
    <mergeCell ref="A58:I58"/>
    <mergeCell ref="A60:I60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D000-9AB5-4282-9E5E-FCAC51579BF0}">
  <dimension ref="A1:K68"/>
  <sheetViews>
    <sheetView zoomScale="85" zoomScaleNormal="85" workbookViewId="0">
      <selection activeCell="E23" sqref="E23"/>
    </sheetView>
  </sheetViews>
  <sheetFormatPr baseColWidth="10" defaultRowHeight="15" x14ac:dyDescent="0.25"/>
  <cols>
    <col min="3" max="3" width="44.7109375" bestFit="1" customWidth="1"/>
    <col min="4" max="4" width="17.28515625" bestFit="1" customWidth="1"/>
    <col min="7" max="7" width="21" bestFit="1" customWidth="1"/>
    <col min="8" max="8" width="28.28515625" bestFit="1" customWidth="1"/>
  </cols>
  <sheetData>
    <row r="1" spans="1:9" ht="17.25" x14ac:dyDescent="0.3">
      <c r="A1" s="471"/>
      <c r="B1" s="472"/>
      <c r="C1" s="477" t="s">
        <v>30</v>
      </c>
      <c r="D1" s="477"/>
      <c r="E1" s="477"/>
      <c r="F1" s="477"/>
      <c r="G1" s="477"/>
      <c r="H1" s="6" t="s">
        <v>29</v>
      </c>
      <c r="I1" s="7"/>
    </row>
    <row r="2" spans="1:9" ht="18" thickBot="1" x14ac:dyDescent="0.35">
      <c r="A2" s="473"/>
      <c r="B2" s="474"/>
      <c r="C2" s="478" t="s">
        <v>28</v>
      </c>
      <c r="D2" s="478"/>
      <c r="E2" s="478"/>
      <c r="F2" s="478"/>
      <c r="G2" s="478"/>
      <c r="H2" s="8" t="s">
        <v>27</v>
      </c>
      <c r="I2" s="9"/>
    </row>
    <row r="3" spans="1:9" ht="18.75" thickBot="1" x14ac:dyDescent="0.3">
      <c r="A3" s="473"/>
      <c r="B3" s="474"/>
      <c r="C3" s="479" t="s">
        <v>164</v>
      </c>
      <c r="D3" s="480"/>
      <c r="E3" s="480"/>
      <c r="F3" s="480"/>
      <c r="G3" s="481"/>
      <c r="H3" s="482" t="s">
        <v>26</v>
      </c>
      <c r="I3" s="462"/>
    </row>
    <row r="4" spans="1:9" ht="17.25" x14ac:dyDescent="0.3">
      <c r="A4" s="473"/>
      <c r="B4" s="474"/>
      <c r="C4" s="10" t="s">
        <v>25</v>
      </c>
      <c r="D4" s="465" t="s">
        <v>35</v>
      </c>
      <c r="E4" s="466"/>
      <c r="F4" s="466"/>
      <c r="G4" s="467"/>
      <c r="H4" s="483"/>
      <c r="I4" s="463"/>
    </row>
    <row r="5" spans="1:9" ht="18" thickBot="1" x14ac:dyDescent="0.35">
      <c r="A5" s="475"/>
      <c r="B5" s="476"/>
      <c r="C5" s="11" t="s">
        <v>24</v>
      </c>
      <c r="D5" s="468" t="s">
        <v>44</v>
      </c>
      <c r="E5" s="469"/>
      <c r="F5" s="469"/>
      <c r="G5" s="470"/>
      <c r="H5" s="484"/>
      <c r="I5" s="464"/>
    </row>
    <row r="6" spans="1:9" ht="16.5" thickBot="1" x14ac:dyDescent="0.3">
      <c r="A6" s="485" t="s">
        <v>23</v>
      </c>
      <c r="B6" s="485"/>
      <c r="C6" s="485"/>
      <c r="D6" s="486" t="s">
        <v>165</v>
      </c>
      <c r="E6" s="486"/>
      <c r="F6" s="486"/>
      <c r="G6" s="450" t="s">
        <v>22</v>
      </c>
      <c r="H6" s="450"/>
      <c r="I6" s="12" t="s">
        <v>165</v>
      </c>
    </row>
    <row r="7" spans="1:9" ht="45" x14ac:dyDescent="0.25">
      <c r="A7" s="451" t="s">
        <v>21</v>
      </c>
      <c r="B7" s="453" t="s">
        <v>31</v>
      </c>
      <c r="C7" s="455" t="s">
        <v>20</v>
      </c>
      <c r="D7" s="455" t="s">
        <v>19</v>
      </c>
      <c r="E7" s="455" t="s">
        <v>18</v>
      </c>
      <c r="F7" s="455"/>
      <c r="G7" s="455" t="s">
        <v>17</v>
      </c>
      <c r="H7" s="455"/>
      <c r="I7" s="13" t="s">
        <v>16</v>
      </c>
    </row>
    <row r="8" spans="1:9" ht="31.5" thickBot="1" x14ac:dyDescent="0.3">
      <c r="A8" s="452"/>
      <c r="B8" s="454"/>
      <c r="C8" s="456"/>
      <c r="D8" s="457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8.75" x14ac:dyDescent="0.3">
      <c r="A9" s="87"/>
      <c r="B9" s="88"/>
      <c r="C9" s="71" t="s">
        <v>32</v>
      </c>
      <c r="D9" s="88"/>
      <c r="E9" s="70"/>
      <c r="F9" s="89"/>
      <c r="G9" s="70"/>
      <c r="H9" s="89"/>
      <c r="I9" s="17"/>
    </row>
    <row r="10" spans="1:9" ht="30" customHeight="1" x14ac:dyDescent="0.3">
      <c r="A10" s="114" t="s">
        <v>47</v>
      </c>
      <c r="B10" s="395" t="s">
        <v>48</v>
      </c>
      <c r="C10" s="396" t="s">
        <v>49</v>
      </c>
      <c r="D10" s="115" t="s">
        <v>36</v>
      </c>
      <c r="E10" s="62" t="s">
        <v>50</v>
      </c>
      <c r="F10" s="75" t="s">
        <v>37</v>
      </c>
      <c r="G10" s="76" t="s">
        <v>51</v>
      </c>
      <c r="H10" s="90"/>
      <c r="I10" s="4"/>
    </row>
    <row r="11" spans="1:9" ht="18.75" x14ac:dyDescent="0.3">
      <c r="A11" s="65"/>
      <c r="B11" s="397" t="s">
        <v>45</v>
      </c>
      <c r="C11" s="398" t="s">
        <v>52</v>
      </c>
      <c r="D11" s="115" t="s">
        <v>36</v>
      </c>
      <c r="E11" s="62">
        <v>240</v>
      </c>
      <c r="F11" s="75" t="s">
        <v>1</v>
      </c>
      <c r="G11" s="76" t="s">
        <v>53</v>
      </c>
      <c r="H11" s="103"/>
      <c r="I11" s="4"/>
    </row>
    <row r="12" spans="1:9" ht="18.75" x14ac:dyDescent="0.3">
      <c r="A12" s="65"/>
      <c r="B12" s="397" t="s">
        <v>54</v>
      </c>
      <c r="C12" s="398" t="s">
        <v>82</v>
      </c>
      <c r="D12" s="115" t="s">
        <v>36</v>
      </c>
      <c r="E12" s="62">
        <v>1360</v>
      </c>
      <c r="F12" s="75" t="s">
        <v>1</v>
      </c>
      <c r="G12" s="76" t="s">
        <v>166</v>
      </c>
      <c r="H12" s="103"/>
      <c r="I12" s="4"/>
    </row>
    <row r="13" spans="1:9" ht="18.75" x14ac:dyDescent="0.3">
      <c r="A13" s="65"/>
      <c r="B13" s="397" t="s">
        <v>54</v>
      </c>
      <c r="C13" s="398" t="s">
        <v>75</v>
      </c>
      <c r="D13" s="115" t="s">
        <v>36</v>
      </c>
      <c r="E13" s="62">
        <v>480</v>
      </c>
      <c r="F13" s="75" t="s">
        <v>1</v>
      </c>
      <c r="G13" s="76" t="s">
        <v>167</v>
      </c>
      <c r="H13" s="103"/>
      <c r="I13" s="4"/>
    </row>
    <row r="14" spans="1:9" ht="18.75" x14ac:dyDescent="0.3">
      <c r="A14" s="67"/>
      <c r="B14" s="397" t="s">
        <v>54</v>
      </c>
      <c r="C14" s="398" t="s">
        <v>68</v>
      </c>
      <c r="D14" s="115" t="s">
        <v>36</v>
      </c>
      <c r="E14" s="62">
        <v>120</v>
      </c>
      <c r="F14" s="75" t="s">
        <v>1</v>
      </c>
      <c r="G14" s="76" t="s">
        <v>95</v>
      </c>
      <c r="H14" s="103"/>
      <c r="I14" s="4"/>
    </row>
    <row r="15" spans="1:9" ht="18.75" x14ac:dyDescent="0.3">
      <c r="A15" s="67"/>
      <c r="B15" s="65"/>
      <c r="C15" s="72"/>
      <c r="D15" s="115" t="s">
        <v>36</v>
      </c>
      <c r="E15" s="78"/>
      <c r="F15" s="75"/>
      <c r="G15" s="76"/>
      <c r="H15" s="65"/>
      <c r="I15" s="4"/>
    </row>
    <row r="16" spans="1:9" ht="18.75" x14ac:dyDescent="0.3">
      <c r="A16" s="67"/>
      <c r="B16" s="72"/>
      <c r="C16" s="72"/>
      <c r="D16" s="79"/>
      <c r="E16" s="80"/>
      <c r="F16" s="75"/>
      <c r="G16" s="77"/>
      <c r="H16" s="65"/>
      <c r="I16" s="4"/>
    </row>
    <row r="17" spans="1:10" ht="18.75" x14ac:dyDescent="0.3">
      <c r="A17" s="66"/>
      <c r="B17" s="67"/>
      <c r="C17" s="82"/>
      <c r="D17" s="63"/>
      <c r="E17" s="65"/>
      <c r="F17" s="83"/>
      <c r="G17" s="77"/>
      <c r="H17" s="65"/>
      <c r="I17" s="4"/>
    </row>
    <row r="18" spans="1:10" ht="18.75" x14ac:dyDescent="0.3">
      <c r="A18" s="66"/>
      <c r="B18" s="67"/>
      <c r="C18" s="82"/>
      <c r="D18" s="63"/>
      <c r="E18" s="65"/>
      <c r="F18" s="83"/>
      <c r="G18" s="77"/>
      <c r="H18" s="65"/>
      <c r="I18" s="4"/>
    </row>
    <row r="19" spans="1:10" ht="18.75" x14ac:dyDescent="0.3">
      <c r="A19" s="67"/>
      <c r="B19" s="67"/>
      <c r="C19" s="91" t="s">
        <v>41</v>
      </c>
      <c r="D19" s="65"/>
      <c r="E19" s="72"/>
      <c r="F19" s="65"/>
      <c r="G19" s="222"/>
      <c r="H19" s="65"/>
      <c r="I19" s="4"/>
    </row>
    <row r="20" spans="1:10" ht="18.75" x14ac:dyDescent="0.3">
      <c r="A20" s="67"/>
      <c r="B20" s="397" t="s">
        <v>300</v>
      </c>
      <c r="C20" s="401" t="s">
        <v>301</v>
      </c>
      <c r="D20" s="65"/>
      <c r="E20" s="69">
        <v>40</v>
      </c>
      <c r="F20" s="69" t="s">
        <v>1</v>
      </c>
      <c r="G20" s="222" t="s">
        <v>168</v>
      </c>
      <c r="H20" s="65"/>
      <c r="I20" s="4"/>
    </row>
    <row r="21" spans="1:10" ht="18.75" x14ac:dyDescent="0.3">
      <c r="A21" s="67"/>
      <c r="B21" s="402" t="s">
        <v>54</v>
      </c>
      <c r="C21" s="403" t="s">
        <v>169</v>
      </c>
      <c r="D21" s="221" t="s">
        <v>36</v>
      </c>
      <c r="E21" s="65">
        <v>360</v>
      </c>
      <c r="F21" s="65" t="s">
        <v>1</v>
      </c>
      <c r="G21" s="222" t="s">
        <v>170</v>
      </c>
      <c r="H21" s="106"/>
      <c r="I21" s="4"/>
    </row>
    <row r="22" spans="1:10" ht="18.75" x14ac:dyDescent="0.3">
      <c r="A22" s="67"/>
      <c r="B22" s="402" t="s">
        <v>87</v>
      </c>
      <c r="C22" s="403" t="s">
        <v>171</v>
      </c>
      <c r="D22" s="110" t="s">
        <v>172</v>
      </c>
      <c r="E22" s="69">
        <v>40</v>
      </c>
      <c r="F22" s="69" t="s">
        <v>1</v>
      </c>
      <c r="G22" s="222" t="s">
        <v>168</v>
      </c>
      <c r="H22" s="106"/>
      <c r="I22" s="4"/>
    </row>
    <row r="23" spans="1:10" ht="18.75" x14ac:dyDescent="0.3">
      <c r="A23" s="67"/>
      <c r="B23" s="220" t="s">
        <v>173</v>
      </c>
      <c r="C23" s="218" t="s">
        <v>174</v>
      </c>
      <c r="D23" s="110"/>
      <c r="E23" s="108">
        <v>8</v>
      </c>
      <c r="F23" s="69" t="s">
        <v>37</v>
      </c>
      <c r="G23" s="222" t="s">
        <v>175</v>
      </c>
      <c r="H23" s="220" t="s">
        <v>176</v>
      </c>
      <c r="I23" s="4"/>
    </row>
    <row r="24" spans="1:10" ht="20.25" x14ac:dyDescent="0.3">
      <c r="A24" s="104"/>
      <c r="B24" s="108"/>
      <c r="C24" s="109"/>
      <c r="D24" s="110"/>
      <c r="E24" s="69"/>
      <c r="F24" s="69"/>
      <c r="G24" s="223"/>
      <c r="H24" s="89"/>
      <c r="I24" s="4"/>
    </row>
    <row r="25" spans="1:10" ht="20.25" x14ac:dyDescent="0.3">
      <c r="A25" s="105"/>
      <c r="B25" s="108"/>
      <c r="C25" s="109"/>
      <c r="D25" s="110"/>
      <c r="E25" s="69"/>
      <c r="F25" s="69"/>
      <c r="G25" s="220"/>
      <c r="H25" s="106"/>
      <c r="I25" s="1"/>
    </row>
    <row r="26" spans="1:10" ht="20.25" x14ac:dyDescent="0.3">
      <c r="A26" s="105"/>
      <c r="B26" s="108"/>
      <c r="C26" s="109"/>
      <c r="D26" s="111"/>
      <c r="E26" s="69"/>
      <c r="F26" s="69"/>
      <c r="G26" s="70"/>
      <c r="H26" s="89"/>
      <c r="I26" s="1"/>
    </row>
    <row r="27" spans="1:10" ht="18.75" x14ac:dyDescent="0.3">
      <c r="A27" s="67"/>
      <c r="B27" s="65"/>
      <c r="C27" s="72"/>
      <c r="D27" s="69"/>
      <c r="E27" s="69"/>
      <c r="F27" s="69"/>
      <c r="G27" s="70"/>
      <c r="H27" s="89"/>
      <c r="I27" s="4"/>
    </row>
    <row r="28" spans="1:10" ht="18.75" x14ac:dyDescent="0.3">
      <c r="A28" s="67"/>
      <c r="B28" s="65"/>
      <c r="C28" s="102"/>
      <c r="D28" s="79"/>
      <c r="E28" s="69"/>
      <c r="F28" s="69"/>
      <c r="G28" s="70"/>
      <c r="H28" s="89"/>
      <c r="I28" s="4"/>
    </row>
    <row r="29" spans="1:10" ht="18.75" x14ac:dyDescent="0.3">
      <c r="A29" s="67"/>
      <c r="B29" s="65"/>
      <c r="C29" s="102"/>
      <c r="D29" s="79"/>
      <c r="E29" s="69"/>
      <c r="F29" s="69"/>
      <c r="G29" s="70"/>
      <c r="H29" s="89"/>
      <c r="I29" s="4"/>
      <c r="J29" s="107">
        <v>2600</v>
      </c>
    </row>
    <row r="30" spans="1:10" ht="18.75" x14ac:dyDescent="0.3">
      <c r="A30" s="67"/>
      <c r="B30" s="65"/>
      <c r="C30" s="102"/>
      <c r="D30" s="79"/>
      <c r="E30" s="69"/>
      <c r="F30" s="69"/>
      <c r="G30" s="70"/>
      <c r="H30" s="89"/>
      <c r="I30" s="4"/>
    </row>
    <row r="31" spans="1:10" ht="18.75" x14ac:dyDescent="0.3">
      <c r="A31" s="67"/>
      <c r="B31" s="65"/>
      <c r="C31" s="102"/>
      <c r="D31" s="79"/>
      <c r="E31" s="69"/>
      <c r="F31" s="69"/>
      <c r="G31" s="70"/>
      <c r="H31" s="89"/>
      <c r="I31" s="4"/>
    </row>
    <row r="32" spans="1:10" ht="18.75" x14ac:dyDescent="0.3">
      <c r="A32" s="72"/>
      <c r="B32" s="68"/>
      <c r="C32" s="92"/>
      <c r="D32" s="73"/>
      <c r="E32" s="68"/>
      <c r="F32" s="93"/>
      <c r="G32" s="70"/>
      <c r="H32" s="89"/>
      <c r="I32" s="17"/>
    </row>
    <row r="33" spans="1:11" ht="18.75" x14ac:dyDescent="0.3">
      <c r="A33" s="67"/>
      <c r="B33" s="67"/>
      <c r="C33" s="91" t="s">
        <v>34</v>
      </c>
      <c r="D33" s="72"/>
      <c r="E33" s="72"/>
      <c r="F33" s="65"/>
      <c r="G33" s="64"/>
      <c r="H33" s="65"/>
      <c r="I33" s="17"/>
    </row>
    <row r="34" spans="1:11" ht="18.75" x14ac:dyDescent="0.3">
      <c r="A34" s="62"/>
      <c r="B34" s="63"/>
      <c r="C34" s="81"/>
      <c r="D34" s="84"/>
      <c r="E34" s="85"/>
      <c r="F34" s="85"/>
      <c r="G34" s="64"/>
      <c r="H34" s="65"/>
      <c r="I34" s="17"/>
    </row>
    <row r="35" spans="1:11" ht="18.75" x14ac:dyDescent="0.3">
      <c r="A35" s="62"/>
      <c r="B35" s="63" t="s">
        <v>177</v>
      </c>
      <c r="C35" s="81" t="s">
        <v>178</v>
      </c>
      <c r="D35" s="84"/>
      <c r="E35" s="85">
        <v>8</v>
      </c>
      <c r="F35" s="85" t="s">
        <v>37</v>
      </c>
      <c r="G35" s="219"/>
      <c r="H35" s="65"/>
      <c r="I35" s="17"/>
      <c r="J35" s="107"/>
    </row>
    <row r="36" spans="1:11" ht="18.75" x14ac:dyDescent="0.3">
      <c r="A36" s="62">
        <v>702123</v>
      </c>
      <c r="B36" s="63" t="s">
        <v>38</v>
      </c>
      <c r="C36" s="81" t="s">
        <v>56</v>
      </c>
      <c r="D36" s="84" t="s">
        <v>43</v>
      </c>
      <c r="E36" s="85">
        <v>8</v>
      </c>
      <c r="F36" s="85" t="s">
        <v>37</v>
      </c>
      <c r="G36" s="74"/>
      <c r="H36" s="65"/>
      <c r="I36" s="17"/>
      <c r="J36" s="61"/>
      <c r="K36" s="61"/>
    </row>
    <row r="37" spans="1:11" ht="18.75" x14ac:dyDescent="0.3">
      <c r="A37" s="62">
        <v>701096</v>
      </c>
      <c r="B37" s="86" t="s">
        <v>40</v>
      </c>
      <c r="C37" s="81" t="s">
        <v>42</v>
      </c>
      <c r="D37" s="84" t="s">
        <v>39</v>
      </c>
      <c r="E37" s="85">
        <v>8</v>
      </c>
      <c r="F37" s="85" t="s">
        <v>37</v>
      </c>
      <c r="G37" s="219"/>
      <c r="H37" s="67"/>
      <c r="I37" s="17"/>
    </row>
    <row r="38" spans="1:11" ht="18.75" x14ac:dyDescent="0.3">
      <c r="A38" s="62">
        <v>702007</v>
      </c>
      <c r="B38" s="63" t="s">
        <v>57</v>
      </c>
      <c r="C38" s="81" t="s">
        <v>58</v>
      </c>
      <c r="D38" s="84" t="s">
        <v>39</v>
      </c>
      <c r="E38" s="85">
        <v>8</v>
      </c>
      <c r="F38" s="85" t="s">
        <v>37</v>
      </c>
      <c r="G38" s="70"/>
      <c r="H38" s="67"/>
      <c r="I38" s="17"/>
      <c r="J38" s="107">
        <v>40</v>
      </c>
    </row>
    <row r="39" spans="1:11" ht="18.75" x14ac:dyDescent="0.3">
      <c r="A39" s="68"/>
      <c r="B39" s="95" t="s">
        <v>55</v>
      </c>
      <c r="C39" s="92" t="s">
        <v>179</v>
      </c>
      <c r="D39" s="68"/>
      <c r="E39" s="68">
        <v>8</v>
      </c>
      <c r="F39" s="96" t="s">
        <v>37</v>
      </c>
      <c r="G39" s="64"/>
      <c r="H39" s="97"/>
      <c r="I39" s="17"/>
    </row>
    <row r="40" spans="1:11" ht="18.75" x14ac:dyDescent="0.3">
      <c r="A40" s="98"/>
      <c r="B40" s="99"/>
      <c r="C40" s="100"/>
      <c r="D40" s="63"/>
      <c r="E40" s="64"/>
      <c r="F40" s="101"/>
      <c r="G40" s="64"/>
      <c r="H40" s="97"/>
      <c r="I40" s="17"/>
    </row>
    <row r="41" spans="1:11" ht="15.75" x14ac:dyDescent="0.25">
      <c r="A41" s="53"/>
      <c r="B41" s="53"/>
      <c r="C41" s="54"/>
      <c r="D41" s="55"/>
      <c r="E41" s="53"/>
      <c r="F41" s="56"/>
      <c r="G41" s="57"/>
      <c r="H41" s="51"/>
      <c r="I41" s="17"/>
    </row>
    <row r="42" spans="1:11" ht="15.75" x14ac:dyDescent="0.25">
      <c r="A42" s="58"/>
      <c r="B42" s="58"/>
      <c r="C42" s="59"/>
      <c r="D42" s="18"/>
      <c r="E42" s="58"/>
      <c r="F42" s="5"/>
      <c r="G42" s="52"/>
      <c r="H42" s="60"/>
      <c r="I42" s="17"/>
    </row>
    <row r="43" spans="1:11" ht="17.25" x14ac:dyDescent="0.3">
      <c r="A43" s="21"/>
      <c r="B43" s="22"/>
      <c r="C43" s="23"/>
      <c r="D43" s="24"/>
      <c r="E43" s="25"/>
      <c r="F43" s="25"/>
      <c r="G43" s="20"/>
      <c r="H43" s="3"/>
      <c r="I43" s="17"/>
    </row>
    <row r="44" spans="1:11" ht="15.75" x14ac:dyDescent="0.25">
      <c r="A44" s="22"/>
      <c r="B44" s="26"/>
      <c r="C44" s="27"/>
      <c r="D44" s="2"/>
      <c r="E44" s="28"/>
      <c r="F44" s="19"/>
      <c r="G44" s="20"/>
      <c r="H44" s="4"/>
      <c r="I44" s="17"/>
    </row>
    <row r="45" spans="1:11" ht="15.75" x14ac:dyDescent="0.25">
      <c r="A45" s="29"/>
      <c r="B45" s="30"/>
      <c r="C45" s="31"/>
      <c r="D45" s="4"/>
      <c r="E45" s="4"/>
      <c r="F45" s="32"/>
      <c r="G45" s="4"/>
      <c r="H45" s="4"/>
      <c r="I45" s="17"/>
    </row>
    <row r="46" spans="1:11" ht="18" thickBot="1" x14ac:dyDescent="0.35">
      <c r="A46" s="33"/>
      <c r="B46" s="34"/>
      <c r="C46" s="35"/>
      <c r="D46" s="35"/>
      <c r="E46" s="36"/>
      <c r="F46" s="37"/>
      <c r="G46" s="35"/>
      <c r="H46" s="35"/>
      <c r="I46" s="38"/>
      <c r="K46" s="107"/>
    </row>
    <row r="47" spans="1:11" ht="18" thickBot="1" x14ac:dyDescent="0.35">
      <c r="A47" s="39"/>
      <c r="B47" s="40"/>
      <c r="C47" s="41"/>
      <c r="D47" s="42" t="s">
        <v>13</v>
      </c>
      <c r="E47" s="43" t="s">
        <v>12</v>
      </c>
      <c r="F47" s="44"/>
      <c r="G47" s="41"/>
      <c r="H47" s="41"/>
      <c r="I47" s="45"/>
      <c r="J47" s="107"/>
    </row>
    <row r="48" spans="1:11" ht="17.25" x14ac:dyDescent="0.3">
      <c r="A48" s="442" t="s">
        <v>11</v>
      </c>
      <c r="B48" s="443"/>
      <c r="C48" s="444"/>
      <c r="D48" s="46">
        <v>2600</v>
      </c>
      <c r="E48" s="47" t="s">
        <v>1</v>
      </c>
      <c r="F48" s="445" t="s">
        <v>10</v>
      </c>
      <c r="G48" s="445"/>
      <c r="H48" s="446"/>
      <c r="I48" s="447"/>
    </row>
    <row r="49" spans="1:9" ht="17.25" x14ac:dyDescent="0.3">
      <c r="A49" s="436" t="s">
        <v>9</v>
      </c>
      <c r="B49" s="437"/>
      <c r="C49" s="438"/>
      <c r="D49" s="48">
        <v>4</v>
      </c>
      <c r="E49" s="48" t="s">
        <v>8</v>
      </c>
      <c r="F49" s="439" t="s">
        <v>7</v>
      </c>
      <c r="G49" s="439"/>
      <c r="H49" s="440"/>
      <c r="I49" s="441"/>
    </row>
    <row r="50" spans="1:9" ht="17.25" x14ac:dyDescent="0.3">
      <c r="A50" s="436" t="s">
        <v>6</v>
      </c>
      <c r="B50" s="437"/>
      <c r="C50" s="438"/>
      <c r="D50" s="48">
        <v>1</v>
      </c>
      <c r="E50" s="48" t="s">
        <v>12</v>
      </c>
      <c r="F50" s="439" t="s">
        <v>5</v>
      </c>
      <c r="G50" s="439"/>
      <c r="H50" s="440"/>
      <c r="I50" s="441"/>
    </row>
    <row r="51" spans="1:9" ht="17.25" x14ac:dyDescent="0.3">
      <c r="A51" s="436" t="s">
        <v>4</v>
      </c>
      <c r="B51" s="437"/>
      <c r="C51" s="438"/>
      <c r="D51" s="48">
        <v>325</v>
      </c>
      <c r="E51" s="48" t="s">
        <v>1</v>
      </c>
      <c r="F51" s="448" t="s">
        <v>3</v>
      </c>
      <c r="G51" s="449"/>
      <c r="H51" s="440"/>
      <c r="I51" s="441"/>
    </row>
    <row r="52" spans="1:9" ht="18" thickBot="1" x14ac:dyDescent="0.35">
      <c r="A52" s="430" t="s">
        <v>2</v>
      </c>
      <c r="B52" s="431"/>
      <c r="C52" s="432"/>
      <c r="D52" s="49">
        <v>456</v>
      </c>
      <c r="E52" s="50" t="s">
        <v>1</v>
      </c>
      <c r="F52" s="433"/>
      <c r="G52" s="433"/>
      <c r="H52" s="434"/>
      <c r="I52" s="435"/>
    </row>
    <row r="53" spans="1:9" ht="16.5" thickBot="1" x14ac:dyDescent="0.3">
      <c r="A53" s="407" t="s">
        <v>0</v>
      </c>
      <c r="B53" s="408"/>
      <c r="C53" s="408"/>
      <c r="D53" s="408"/>
      <c r="E53" s="408"/>
      <c r="F53" s="408"/>
      <c r="G53" s="408"/>
      <c r="H53" s="408"/>
      <c r="I53" s="409"/>
    </row>
    <row r="54" spans="1:9" ht="18" x14ac:dyDescent="0.25">
      <c r="A54" s="410" t="s">
        <v>59</v>
      </c>
      <c r="B54" s="411"/>
      <c r="C54" s="411"/>
      <c r="D54" s="411"/>
      <c r="E54" s="411"/>
      <c r="F54" s="411"/>
      <c r="G54" s="411"/>
      <c r="H54" s="411"/>
      <c r="I54" s="412"/>
    </row>
    <row r="55" spans="1:9" ht="18" x14ac:dyDescent="0.25">
      <c r="A55" s="413" t="s">
        <v>98</v>
      </c>
      <c r="B55" s="413"/>
      <c r="C55" s="413"/>
      <c r="D55" s="413"/>
      <c r="E55" s="413"/>
      <c r="F55" s="413"/>
      <c r="G55" s="413"/>
      <c r="H55" s="413"/>
      <c r="I55" s="413"/>
    </row>
    <row r="56" spans="1:9" ht="18" x14ac:dyDescent="0.25">
      <c r="A56" s="414" t="s">
        <v>99</v>
      </c>
      <c r="B56" s="414"/>
      <c r="C56" s="414"/>
      <c r="D56" s="414"/>
      <c r="E56" s="414"/>
      <c r="F56" s="414"/>
      <c r="G56" s="414"/>
      <c r="H56" s="414"/>
      <c r="I56" s="414"/>
    </row>
    <row r="57" spans="1:9" ht="18" x14ac:dyDescent="0.25">
      <c r="A57" s="414" t="s">
        <v>180</v>
      </c>
      <c r="B57" s="414"/>
      <c r="C57" s="414"/>
      <c r="D57" s="414"/>
      <c r="E57" s="414"/>
      <c r="F57" s="414"/>
      <c r="G57" s="414"/>
      <c r="H57" s="414"/>
      <c r="I57" s="414"/>
    </row>
    <row r="58" spans="1:9" ht="18" x14ac:dyDescent="0.25">
      <c r="A58" s="415" t="s">
        <v>60</v>
      </c>
      <c r="B58" s="415"/>
      <c r="C58" s="415"/>
      <c r="D58" s="415"/>
      <c r="E58" s="415"/>
      <c r="F58" s="415"/>
      <c r="G58" s="415"/>
      <c r="H58" s="415"/>
      <c r="I58" s="415"/>
    </row>
    <row r="59" spans="1:9" ht="18" x14ac:dyDescent="0.25">
      <c r="A59" s="415"/>
      <c r="B59" s="415"/>
      <c r="C59" s="415"/>
      <c r="D59" s="415"/>
      <c r="E59" s="415"/>
      <c r="F59" s="415"/>
      <c r="G59" s="415"/>
      <c r="H59" s="415"/>
      <c r="I59" s="415"/>
    </row>
    <row r="60" spans="1:9" ht="18" x14ac:dyDescent="0.25">
      <c r="A60" s="426"/>
      <c r="B60" s="427"/>
      <c r="C60" s="428"/>
      <c r="D60" s="428"/>
      <c r="E60" s="428"/>
      <c r="F60" s="428"/>
      <c r="G60" s="428"/>
      <c r="H60" s="428"/>
      <c r="I60" s="429"/>
    </row>
    <row r="61" spans="1:9" ht="18" x14ac:dyDescent="0.25">
      <c r="A61" s="416"/>
      <c r="B61" s="417"/>
      <c r="C61" s="417"/>
      <c r="D61" s="417"/>
      <c r="E61" s="417"/>
      <c r="F61" s="417"/>
      <c r="G61" s="417"/>
      <c r="H61" s="417"/>
      <c r="I61" s="418"/>
    </row>
    <row r="63" spans="1:9" ht="18" x14ac:dyDescent="0.25">
      <c r="A63" s="419"/>
      <c r="B63" s="420"/>
      <c r="C63" s="421"/>
      <c r="D63" s="421"/>
      <c r="E63" s="421"/>
      <c r="F63" s="421"/>
      <c r="G63" s="421"/>
      <c r="H63" s="421"/>
      <c r="I63" s="422"/>
    </row>
    <row r="64" spans="1:9" ht="17.25" x14ac:dyDescent="0.3">
      <c r="A64" s="423"/>
      <c r="B64" s="424"/>
      <c r="C64" s="424"/>
      <c r="D64" s="424"/>
      <c r="E64" s="424"/>
      <c r="F64" s="424"/>
      <c r="G64" s="424"/>
      <c r="H64" s="424"/>
      <c r="I64" s="425"/>
    </row>
    <row r="65" spans="1:9" ht="18" thickBot="1" x14ac:dyDescent="0.35">
      <c r="A65" s="404"/>
      <c r="B65" s="405"/>
      <c r="C65" s="405"/>
      <c r="D65" s="405"/>
      <c r="E65" s="405"/>
      <c r="F65" s="405"/>
      <c r="G65" s="405"/>
      <c r="H65" s="405"/>
      <c r="I65" s="406"/>
    </row>
    <row r="66" spans="1:9" x14ac:dyDescent="0.25">
      <c r="A66" s="458" t="s">
        <v>33</v>
      </c>
      <c r="B66" s="459"/>
      <c r="C66" s="459"/>
      <c r="D66" s="459"/>
      <c r="E66" s="459"/>
      <c r="F66" s="459"/>
      <c r="G66" s="459"/>
      <c r="H66" s="459"/>
      <c r="I66" s="459"/>
    </row>
    <row r="67" spans="1:9" x14ac:dyDescent="0.25">
      <c r="A67" s="460"/>
      <c r="B67" s="461"/>
      <c r="C67" s="461"/>
      <c r="D67" s="461"/>
      <c r="E67" s="461"/>
      <c r="F67" s="461"/>
      <c r="G67" s="461"/>
      <c r="H67" s="461"/>
      <c r="I67" s="461"/>
    </row>
    <row r="68" spans="1:9" x14ac:dyDescent="0.25">
      <c r="A68" s="460"/>
      <c r="B68" s="461"/>
      <c r="C68" s="461"/>
      <c r="D68" s="461"/>
      <c r="E68" s="461"/>
      <c r="F68" s="461"/>
      <c r="G68" s="461"/>
      <c r="H68" s="461"/>
      <c r="I68" s="461"/>
    </row>
  </sheetData>
  <mergeCells count="47">
    <mergeCell ref="A66:I66"/>
    <mergeCell ref="A67:I67"/>
    <mergeCell ref="A68:I68"/>
    <mergeCell ref="I3:I5"/>
    <mergeCell ref="D4:G4"/>
    <mergeCell ref="D5:G5"/>
    <mergeCell ref="A50:C50"/>
    <mergeCell ref="F50:G50"/>
    <mergeCell ref="H50:I50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8:C48"/>
    <mergeCell ref="F48:G48"/>
    <mergeCell ref="H48:I48"/>
    <mergeCell ref="A51:C51"/>
    <mergeCell ref="F51:G51"/>
    <mergeCell ref="H51:I51"/>
    <mergeCell ref="A52:C52"/>
    <mergeCell ref="F52:G52"/>
    <mergeCell ref="H52:I52"/>
    <mergeCell ref="A49:C49"/>
    <mergeCell ref="F49:G49"/>
    <mergeCell ref="H49:I49"/>
    <mergeCell ref="A65:I65"/>
    <mergeCell ref="A53:I53"/>
    <mergeCell ref="A54:I54"/>
    <mergeCell ref="A55:I55"/>
    <mergeCell ref="A56:I56"/>
    <mergeCell ref="A57:I57"/>
    <mergeCell ref="A59:I59"/>
    <mergeCell ref="A61:I61"/>
    <mergeCell ref="A63:I63"/>
    <mergeCell ref="A64:I64"/>
    <mergeCell ref="A58:I58"/>
    <mergeCell ref="A60:I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E866-3E97-4559-AC9C-4892383DFAE9}">
  <dimension ref="A1:Q91"/>
  <sheetViews>
    <sheetView workbookViewId="0">
      <selection activeCell="O62" sqref="O62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5" width="9.7109375" style="126" customWidth="1"/>
    <col min="16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1374.2319391141534</v>
      </c>
      <c r="F2" s="127">
        <f>IFERROR(H53,"")</f>
        <v>1039.4573266432089</v>
      </c>
      <c r="G2" s="127">
        <f>IFERROR(H54,"")</f>
        <v>307.17353333333335</v>
      </c>
      <c r="H2" s="127">
        <f>IFERROR(H56,"")</f>
        <v>106.26415467980296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399">
        <v>40</v>
      </c>
      <c r="B8" s="400" t="s">
        <v>301</v>
      </c>
      <c r="C8" s="139">
        <f>+A8</f>
        <v>40</v>
      </c>
      <c r="D8" s="140" t="s">
        <v>154</v>
      </c>
      <c r="E8" s="140">
        <v>5.18</v>
      </c>
      <c r="F8" s="140">
        <f>IFERROR(C8*E8,"")</f>
        <v>207.2</v>
      </c>
      <c r="G8" s="141">
        <f t="shared" ref="G8:G14" si="0">IFERROR(F8/$F$66,"")</f>
        <v>1.8422100745478447E-2</v>
      </c>
      <c r="H8" s="142" t="s">
        <v>300</v>
      </c>
      <c r="I8" s="142"/>
      <c r="J8" s="143"/>
    </row>
    <row r="9" spans="1:10" ht="13.5" x14ac:dyDescent="0.25">
      <c r="A9" s="399">
        <v>40</v>
      </c>
      <c r="B9" s="400" t="s">
        <v>171</v>
      </c>
      <c r="C9" s="139">
        <f t="shared" ref="C9:C14" si="1">+A9</f>
        <v>40</v>
      </c>
      <c r="D9" s="140" t="s">
        <v>154</v>
      </c>
      <c r="E9" s="140">
        <v>4.58</v>
      </c>
      <c r="F9" s="140">
        <f t="shared" ref="F9:F14" si="2">IFERROR(C9*E9,"")</f>
        <v>183.2</v>
      </c>
      <c r="G9" s="141">
        <f t="shared" si="0"/>
        <v>1.6288266682295615E-2</v>
      </c>
      <c r="H9" s="142" t="s">
        <v>87</v>
      </c>
      <c r="I9" s="142"/>
      <c r="J9" s="143"/>
    </row>
    <row r="10" spans="1:10" ht="13.5" x14ac:dyDescent="0.25">
      <c r="A10" s="138">
        <v>4</v>
      </c>
      <c r="B10" s="126" t="s">
        <v>174</v>
      </c>
      <c r="C10" s="139">
        <f t="shared" si="1"/>
        <v>4</v>
      </c>
      <c r="D10" s="140" t="s">
        <v>154</v>
      </c>
      <c r="E10" s="140">
        <v>3.41</v>
      </c>
      <c r="F10" s="140">
        <f t="shared" si="2"/>
        <v>13.64</v>
      </c>
      <c r="G10" s="141">
        <f t="shared" si="0"/>
        <v>1.2127290259089094E-3</v>
      </c>
      <c r="H10" s="142" t="s">
        <v>173</v>
      </c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399">
        <v>0.4</v>
      </c>
      <c r="B17" s="400" t="s">
        <v>49</v>
      </c>
      <c r="C17" s="139">
        <f>+A17</f>
        <v>0.4</v>
      </c>
      <c r="D17" s="139" t="s">
        <v>156</v>
      </c>
      <c r="E17" s="140">
        <v>1800</v>
      </c>
      <c r="F17" s="140">
        <f>IFERROR(E17*C17,"")</f>
        <v>720</v>
      </c>
      <c r="G17" s="141">
        <f t="shared" ref="G17:G18" si="3">IFERROR(F17/$F$66,"")</f>
        <v>6.4015021895484955E-2</v>
      </c>
      <c r="H17" s="142" t="s">
        <v>48</v>
      </c>
      <c r="I17" s="142"/>
      <c r="J17" s="143"/>
    </row>
    <row r="18" spans="1:12" ht="13.5" x14ac:dyDescent="0.25">
      <c r="A18" s="399">
        <v>240</v>
      </c>
      <c r="B18" s="400" t="s">
        <v>52</v>
      </c>
      <c r="C18" s="139">
        <f t="shared" ref="C18" si="4">+A18</f>
        <v>240</v>
      </c>
      <c r="D18" s="139" t="s">
        <v>154</v>
      </c>
      <c r="E18" s="140">
        <v>0.25</v>
      </c>
      <c r="F18" s="140">
        <f t="shared" ref="F18" si="5">IFERROR(E18*C18,"")</f>
        <v>60</v>
      </c>
      <c r="G18" s="141">
        <f t="shared" si="3"/>
        <v>5.334585157957079E-3</v>
      </c>
      <c r="H18" s="142" t="s">
        <v>45</v>
      </c>
      <c r="I18" s="142"/>
      <c r="J18" s="143"/>
    </row>
    <row r="19" spans="1:12" ht="13.5" x14ac:dyDescent="0.25">
      <c r="A19" s="399">
        <v>1360</v>
      </c>
      <c r="B19" s="400" t="s">
        <v>82</v>
      </c>
      <c r="C19" s="139">
        <f>+A19</f>
        <v>1360</v>
      </c>
      <c r="D19" s="139" t="s">
        <v>154</v>
      </c>
      <c r="E19" s="140">
        <f>+'Costo Relleno Piña y coco'!E69</f>
        <v>2.6065868627726951</v>
      </c>
      <c r="F19" s="140">
        <f>IFERROR(E19*C19,"")</f>
        <v>3544.9581333708652</v>
      </c>
      <c r="G19" s="141">
        <f t="shared" ref="G19:G24" si="6">IFERROR(F19/$F$66,"")</f>
        <v>0.31518135073099085</v>
      </c>
      <c r="H19" s="142" t="s">
        <v>54</v>
      </c>
      <c r="I19" s="142"/>
      <c r="J19" s="143"/>
    </row>
    <row r="20" spans="1:12" ht="13.5" x14ac:dyDescent="0.25">
      <c r="A20" s="399">
        <v>480</v>
      </c>
      <c r="B20" s="400" t="s">
        <v>75</v>
      </c>
      <c r="C20" s="139">
        <f>+A20</f>
        <v>480</v>
      </c>
      <c r="D20" s="139" t="s">
        <v>154</v>
      </c>
      <c r="E20" s="140">
        <f>+'Costo Crema Passionata Coco '!E69</f>
        <v>4.5449599999999997</v>
      </c>
      <c r="F20" s="140">
        <f>IFERROR(E20*C20,"")</f>
        <v>2181.5807999999997</v>
      </c>
      <c r="G20" s="141">
        <f t="shared" si="6"/>
        <v>0.19396380927606882</v>
      </c>
      <c r="H20" s="142" t="s">
        <v>54</v>
      </c>
      <c r="I20" s="142"/>
      <c r="J20" s="143"/>
    </row>
    <row r="21" spans="1:12" ht="13.5" x14ac:dyDescent="0.25">
      <c r="A21" s="399">
        <v>120</v>
      </c>
      <c r="B21" s="400" t="s">
        <v>68</v>
      </c>
      <c r="C21" s="139">
        <f>+A21</f>
        <v>120</v>
      </c>
      <c r="D21" s="139" t="s">
        <v>154</v>
      </c>
      <c r="E21" s="140">
        <f>+'COSTO cOCO TOSTADO CON CHOCO'!E69</f>
        <v>4.0319493314567207</v>
      </c>
      <c r="F21" s="140">
        <f>IFERROR(E21*C21,"")</f>
        <v>483.83391977480647</v>
      </c>
      <c r="G21" s="141">
        <f t="shared" si="6"/>
        <v>4.3017554122447982E-2</v>
      </c>
      <c r="H21" s="142" t="s">
        <v>54</v>
      </c>
      <c r="I21" s="142"/>
      <c r="J21" s="143"/>
    </row>
    <row r="22" spans="1:12" ht="13.5" hidden="1" x14ac:dyDescent="0.25">
      <c r="A22" s="138">
        <v>0</v>
      </c>
      <c r="B22" s="126" t="s">
        <v>66</v>
      </c>
      <c r="C22" s="139">
        <f t="shared" ref="C22:C24" si="7">+A22</f>
        <v>0</v>
      </c>
      <c r="D22" s="139" t="s">
        <v>154</v>
      </c>
      <c r="E22" s="140">
        <f>+'Costo coco Tostado'!E69</f>
        <v>4.1326530612244898</v>
      </c>
      <c r="F22" s="140">
        <f t="shared" ref="F22:F24" si="8">IFERROR(E22*C22,"")</f>
        <v>0</v>
      </c>
      <c r="G22" s="141">
        <f t="shared" si="6"/>
        <v>0</v>
      </c>
      <c r="H22" s="142"/>
      <c r="I22" s="142"/>
      <c r="J22" s="143"/>
    </row>
    <row r="23" spans="1:12" ht="13.5" x14ac:dyDescent="0.25">
      <c r="A23" s="399">
        <v>360</v>
      </c>
      <c r="B23" s="400" t="s">
        <v>169</v>
      </c>
      <c r="C23" s="139">
        <f t="shared" si="7"/>
        <v>360</v>
      </c>
      <c r="D23" s="139" t="s">
        <v>154</v>
      </c>
      <c r="E23" s="140">
        <f>+'Costo Empaq salsa Piña'!E69</f>
        <v>2.5590160000000002</v>
      </c>
      <c r="F23" s="140">
        <f t="shared" si="8"/>
        <v>921.24576000000002</v>
      </c>
      <c r="G23" s="141">
        <f t="shared" si="6"/>
        <v>8.1907732635448163E-2</v>
      </c>
      <c r="H23" s="142"/>
      <c r="I23" s="142"/>
      <c r="J23" s="143"/>
    </row>
    <row r="24" spans="1:12" ht="13.5" x14ac:dyDescent="0.25">
      <c r="A24" s="138"/>
      <c r="B24" s="126" t="str">
        <f>IFERROR(VLOOKUP(H24,[1]SEMIELABORADOS!$A$2:$M$6000,2,0),"")</f>
        <v/>
      </c>
      <c r="C24" s="139">
        <f t="shared" si="7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8"/>
        <v/>
      </c>
      <c r="G24" s="141" t="str">
        <f t="shared" si="6"/>
        <v/>
      </c>
      <c r="H24" s="142"/>
      <c r="I24" s="142"/>
      <c r="J24" s="143"/>
    </row>
    <row r="25" spans="1:12" ht="14.25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x14ac:dyDescent="0.25">
      <c r="A27" s="138">
        <v>8</v>
      </c>
      <c r="B27" s="144" t="s">
        <v>159</v>
      </c>
      <c r="C27" s="139">
        <f t="shared" ref="C27:C30" si="9">+A27</f>
        <v>8</v>
      </c>
      <c r="D27" s="140" t="s">
        <v>160</v>
      </c>
      <c r="E27" s="140">
        <v>245.7</v>
      </c>
      <c r="F27" s="140">
        <f t="shared" ref="F27:F30" si="10">IFERROR(C27*E27,"")</f>
        <v>1965.6</v>
      </c>
      <c r="G27" s="141">
        <f t="shared" ref="G27:G30" si="11">IFERROR(F27/$F$66,"")</f>
        <v>0.1747610097746739</v>
      </c>
      <c r="H27" s="145" t="s">
        <v>55</v>
      </c>
      <c r="I27" s="145"/>
      <c r="J27" s="143"/>
      <c r="K27" s="507"/>
      <c r="L27" s="507"/>
    </row>
    <row r="28" spans="1:12" ht="13.5" x14ac:dyDescent="0.25">
      <c r="A28" s="138">
        <v>8</v>
      </c>
      <c r="B28" s="144" t="str">
        <f>IFERROR(VLOOKUP(H28,'[1]Consolidado MP Planta'!$A$2:$M$823,3,0),"")</f>
        <v>ETIQUETA BLANCA 2 5/8X1 15/16 (UND)</v>
      </c>
      <c r="C28" s="139">
        <f t="shared" si="9"/>
        <v>8</v>
      </c>
      <c r="D28" s="140" t="str">
        <f>IFERROR(VLOOKUP(H28,'[1]Consolidado MP Planta'!$A$2:$M$823,13,0),"")</f>
        <v>Und</v>
      </c>
      <c r="E28" s="140">
        <f>IFERROR(VLOOKUP(H28,'[1]Consolidado MP Planta'!$A$2:$M$823,12,0),"")</f>
        <v>2.1280000000000001</v>
      </c>
      <c r="F28" s="140">
        <f t="shared" si="10"/>
        <v>17.024000000000001</v>
      </c>
      <c r="G28" s="141">
        <f t="shared" si="11"/>
        <v>1.5135996288176887E-3</v>
      </c>
      <c r="H28" s="145" t="s">
        <v>161</v>
      </c>
      <c r="I28" s="145"/>
      <c r="J28" s="143"/>
      <c r="K28" s="507"/>
      <c r="L28" s="507"/>
    </row>
    <row r="29" spans="1:12" ht="13.5" x14ac:dyDescent="0.25">
      <c r="A29" s="138">
        <v>8</v>
      </c>
      <c r="B29" s="144" t="str">
        <f>IFERROR(VLOOKUP(H29,'[1]Consolidado MP Planta'!$A$2:$M$823,3,0),"")</f>
        <v>ETIQUETA BLANCA R-153 (UND)</v>
      </c>
      <c r="C29" s="139">
        <f t="shared" si="9"/>
        <v>8</v>
      </c>
      <c r="D29" s="140" t="str">
        <f>IFERROR(VLOOKUP(H29,'[1]Consolidado MP Planta'!$A$2:$M$823,13,0),"")</f>
        <v>Und</v>
      </c>
      <c r="E29" s="140">
        <f>IFERROR(VLOOKUP(H29,'[1]Consolidado MP Planta'!$A$2:$M$823,12,0),"")</f>
        <v>0.39</v>
      </c>
      <c r="F29" s="140">
        <f t="shared" si="10"/>
        <v>3.12</v>
      </c>
      <c r="G29" s="141">
        <f t="shared" si="11"/>
        <v>2.7739842821376814E-4</v>
      </c>
      <c r="H29" s="145" t="s">
        <v>162</v>
      </c>
      <c r="I29" s="145"/>
      <c r="J29" s="143"/>
      <c r="K29" s="507"/>
      <c r="L29" s="507"/>
    </row>
    <row r="30" spans="1:12" ht="13.5" x14ac:dyDescent="0.25">
      <c r="A30" s="138">
        <v>8</v>
      </c>
      <c r="B30" s="144" t="str">
        <f>IFERROR(VLOOKUP(H30,'[1]Consolidado MP Planta'!$A$2:$M$823,3,0),"")</f>
        <v>ETIQ.FECHA VENCIMIENTO BLANCO (ROLLO)</v>
      </c>
      <c r="C30" s="139">
        <f t="shared" si="9"/>
        <v>8</v>
      </c>
      <c r="D30" s="140" t="s">
        <v>160</v>
      </c>
      <c r="E30" s="140">
        <f>IFERROR(VLOOKUP(H30,'[1]Consolidado MP Planta'!$A$2:$M$823,12,0),"")</f>
        <v>0.33333333333333331</v>
      </c>
      <c r="F30" s="140">
        <f t="shared" si="10"/>
        <v>2.6666666666666665</v>
      </c>
      <c r="G30" s="141">
        <f t="shared" si="11"/>
        <v>2.3709267368698128E-4</v>
      </c>
      <c r="H30" s="145" t="s">
        <v>163</v>
      </c>
      <c r="I30" s="145"/>
      <c r="J30" s="143"/>
      <c r="K30" s="507"/>
      <c r="L30" s="507"/>
    </row>
    <row r="31" spans="1:12" ht="13.5" x14ac:dyDescent="0.25">
      <c r="A31" s="138">
        <v>8</v>
      </c>
      <c r="B31" s="144" t="s">
        <v>179</v>
      </c>
      <c r="C31" s="139">
        <f t="shared" ref="C31:C32" si="12">+A31</f>
        <v>8</v>
      </c>
      <c r="D31" s="140" t="s">
        <v>160</v>
      </c>
      <c r="E31" s="140">
        <v>55</v>
      </c>
      <c r="F31" s="140">
        <f t="shared" ref="F31:F32" si="13">IFERROR(C31*E31,"")</f>
        <v>440</v>
      </c>
      <c r="G31" s="141">
        <f t="shared" ref="G31:G32" si="14">IFERROR(F31/$F$66,"")</f>
        <v>3.9120291158351916E-2</v>
      </c>
      <c r="H31" s="145"/>
      <c r="I31" s="145"/>
      <c r="J31" s="143"/>
      <c r="K31" s="146"/>
      <c r="L31" s="147"/>
    </row>
    <row r="32" spans="1:12" ht="13.5" x14ac:dyDescent="0.25">
      <c r="A32" s="138"/>
      <c r="B32" s="144" t="str">
        <f>IFERROR(VLOOKUP(H32,'[1]Consolidado MP Planta'!$A$2:$M$823,3,0),"")</f>
        <v/>
      </c>
      <c r="C32" s="139">
        <f t="shared" si="12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13"/>
        <v/>
      </c>
      <c r="G32" s="141" t="str">
        <f t="shared" si="14"/>
        <v/>
      </c>
      <c r="H32" s="145"/>
      <c r="I32" s="145"/>
      <c r="J32" s="143"/>
    </row>
    <row r="33" spans="1:13" ht="14.25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0.4</v>
      </c>
      <c r="B35" s="144" t="s">
        <v>49</v>
      </c>
      <c r="C35" s="139">
        <f>+A35</f>
        <v>0.4</v>
      </c>
      <c r="D35" s="140" t="s">
        <v>156</v>
      </c>
      <c r="E35" s="140">
        <v>49.63</v>
      </c>
      <c r="F35" s="140">
        <f>IFERROR(E35*C35,"")</f>
        <v>19.852000000000004</v>
      </c>
      <c r="G35" s="141">
        <f t="shared" ref="G35:G36" si="15">IFERROR(F35/$F$66,"")</f>
        <v>1.7650364092627326E-3</v>
      </c>
      <c r="H35" s="145" t="s">
        <v>48</v>
      </c>
      <c r="I35" s="145"/>
      <c r="J35" s="143"/>
    </row>
    <row r="36" spans="1:13" ht="13.5" x14ac:dyDescent="0.25">
      <c r="A36" s="138">
        <f t="shared" ref="A36:A41" si="16">+A18</f>
        <v>240</v>
      </c>
      <c r="B36" s="144" t="s">
        <v>52</v>
      </c>
      <c r="C36" s="139">
        <f t="shared" ref="C36" si="17">+A36</f>
        <v>240</v>
      </c>
      <c r="D36" s="140" t="s">
        <v>154</v>
      </c>
      <c r="E36" s="140">
        <v>0.01</v>
      </c>
      <c r="F36" s="140">
        <f t="shared" ref="F36" si="18">IFERROR(E36*C36,"")</f>
        <v>2.4</v>
      </c>
      <c r="G36" s="141">
        <f t="shared" si="15"/>
        <v>2.1338340631828318E-4</v>
      </c>
      <c r="H36" s="145" t="s">
        <v>45</v>
      </c>
      <c r="I36" s="145"/>
      <c r="J36" s="143"/>
    </row>
    <row r="37" spans="1:13" ht="13.5" x14ac:dyDescent="0.25">
      <c r="A37" s="138">
        <f t="shared" si="16"/>
        <v>1360</v>
      </c>
      <c r="B37" s="144" t="s">
        <v>82</v>
      </c>
      <c r="C37" s="139">
        <f t="shared" ref="C37:C41" si="19">+A37</f>
        <v>1360</v>
      </c>
      <c r="D37" s="140" t="s">
        <v>154</v>
      </c>
      <c r="E37" s="140">
        <f>+'Costo Relleno Piña y coco'!E76</f>
        <v>7.1000000000000002E-4</v>
      </c>
      <c r="F37" s="140">
        <f t="shared" ref="F37:F41" si="20">IFERROR(E37*C37,"")</f>
        <v>0.96560000000000001</v>
      </c>
      <c r="G37" s="141">
        <f t="shared" ref="G37:G41" si="21">IFERROR(F37/$F$66,"")</f>
        <v>8.5851257142055928E-5</v>
      </c>
      <c r="H37" s="145" t="s">
        <v>54</v>
      </c>
      <c r="I37" s="145"/>
      <c r="J37" s="143"/>
    </row>
    <row r="38" spans="1:13" ht="13.5" x14ac:dyDescent="0.25">
      <c r="A38" s="138">
        <f t="shared" si="16"/>
        <v>480</v>
      </c>
      <c r="B38" s="144" t="s">
        <v>75</v>
      </c>
      <c r="C38" s="139">
        <f>+A38</f>
        <v>480</v>
      </c>
      <c r="D38" s="140" t="s">
        <v>154</v>
      </c>
      <c r="E38" s="140">
        <f>+'Costo Crema Passionata Coco '!E76</f>
        <v>0</v>
      </c>
      <c r="F38" s="140">
        <f>IFERROR(E38*C38,"")</f>
        <v>0</v>
      </c>
      <c r="G38" s="141">
        <f t="shared" si="21"/>
        <v>0</v>
      </c>
      <c r="H38" s="145" t="s">
        <v>54</v>
      </c>
      <c r="I38" s="145"/>
      <c r="J38" s="143"/>
    </row>
    <row r="39" spans="1:13" ht="13.5" x14ac:dyDescent="0.25">
      <c r="A39" s="138">
        <f t="shared" si="16"/>
        <v>120</v>
      </c>
      <c r="B39" s="144" t="s">
        <v>68</v>
      </c>
      <c r="C39" s="139">
        <f>+A39</f>
        <v>120</v>
      </c>
      <c r="D39" s="140" t="s">
        <v>154</v>
      </c>
      <c r="E39" s="140">
        <f>+'COSTO cOCO TOSTADO CON CHOCO'!E76</f>
        <v>0</v>
      </c>
      <c r="F39" s="140">
        <f>IFERROR(E39*C39,"")</f>
        <v>0</v>
      </c>
      <c r="G39" s="141">
        <f t="shared" si="21"/>
        <v>0</v>
      </c>
      <c r="H39" s="145" t="s">
        <v>54</v>
      </c>
      <c r="I39" s="145"/>
      <c r="J39" s="143"/>
    </row>
    <row r="40" spans="1:13" ht="13.5" hidden="1" x14ac:dyDescent="0.25">
      <c r="A40" s="138">
        <f t="shared" si="16"/>
        <v>0</v>
      </c>
      <c r="B40" s="144" t="s">
        <v>66</v>
      </c>
      <c r="C40" s="139">
        <f t="shared" si="19"/>
        <v>0</v>
      </c>
      <c r="D40" s="140" t="s">
        <v>154</v>
      </c>
      <c r="E40" s="140">
        <f>+'Costo coco Tostado'!E76</f>
        <v>0</v>
      </c>
      <c r="F40" s="140">
        <f t="shared" si="20"/>
        <v>0</v>
      </c>
      <c r="G40" s="141">
        <f t="shared" si="21"/>
        <v>0</v>
      </c>
      <c r="H40" s="145"/>
      <c r="I40" s="145"/>
      <c r="J40" s="143"/>
    </row>
    <row r="41" spans="1:13" ht="13.5" x14ac:dyDescent="0.25">
      <c r="A41" s="138">
        <f t="shared" si="16"/>
        <v>360</v>
      </c>
      <c r="B41" s="144" t="s">
        <v>169</v>
      </c>
      <c r="C41" s="139">
        <f t="shared" si="19"/>
        <v>360</v>
      </c>
      <c r="D41" s="140" t="s">
        <v>154</v>
      </c>
      <c r="E41" s="140">
        <f>+'Costo Empaq salsa Piña'!E76</f>
        <v>1.6E-2</v>
      </c>
      <c r="F41" s="140">
        <f t="shared" si="20"/>
        <v>5.76</v>
      </c>
      <c r="G41" s="141">
        <f t="shared" si="21"/>
        <v>5.1212017516387963E-4</v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0.4</v>
      </c>
      <c r="B44" s="144" t="s">
        <v>49</v>
      </c>
      <c r="C44" s="139">
        <f>+A44</f>
        <v>0.4</v>
      </c>
      <c r="D44" s="140" t="s">
        <v>157</v>
      </c>
      <c r="E44" s="140">
        <v>121.57</v>
      </c>
      <c r="F44" s="140">
        <f>IFERROR(E44*C44,"")</f>
        <v>48.628</v>
      </c>
      <c r="G44" s="141">
        <f>IFERROR(F44/$F$66,"")</f>
        <v>4.3235034510189473E-3</v>
      </c>
      <c r="H44" s="145" t="s">
        <v>48</v>
      </c>
      <c r="I44" s="137"/>
      <c r="J44" s="143"/>
    </row>
    <row r="45" spans="1:13" ht="13.5" x14ac:dyDescent="0.25">
      <c r="A45" s="138">
        <f t="shared" ref="A45:A50" si="22">+A36</f>
        <v>240</v>
      </c>
      <c r="B45" s="144" t="s">
        <v>52</v>
      </c>
      <c r="C45" s="139">
        <f t="shared" ref="C45" si="23">+A45</f>
        <v>240</v>
      </c>
      <c r="D45" s="140" t="s">
        <v>154</v>
      </c>
      <c r="E45" s="140">
        <v>0.03</v>
      </c>
      <c r="F45" s="140">
        <f t="shared" ref="F45" si="24">IFERROR(E45*C45,"")</f>
        <v>7.1999999999999993</v>
      </c>
      <c r="G45" s="141">
        <f t="shared" ref="G45" si="25">IFERROR(F45/$F$66,"")</f>
        <v>6.4015021895484951E-4</v>
      </c>
      <c r="H45" s="145" t="s">
        <v>45</v>
      </c>
      <c r="I45" s="137"/>
      <c r="J45" s="143"/>
      <c r="M45" s="148"/>
    </row>
    <row r="46" spans="1:13" ht="13.5" x14ac:dyDescent="0.25">
      <c r="A46" s="138">
        <f t="shared" si="22"/>
        <v>1360</v>
      </c>
      <c r="B46" s="144" t="s">
        <v>82</v>
      </c>
      <c r="C46" s="139">
        <f t="shared" ref="C46:C50" si="26">+A46</f>
        <v>1360</v>
      </c>
      <c r="D46" s="140" t="s">
        <v>154</v>
      </c>
      <c r="E46" s="140">
        <f>+'Costo Relleno Piña y coco'!E74</f>
        <v>0.16666487684729064</v>
      </c>
      <c r="F46" s="140">
        <f t="shared" ref="F46:F50" si="27">IFERROR(E46*C46,"")</f>
        <v>226.66423251231527</v>
      </c>
      <c r="G46" s="141">
        <f t="shared" ref="G46:G50" si="28">IFERROR(F46/$F$66,"")</f>
        <v>2.0152660843332157E-2</v>
      </c>
      <c r="H46" s="145"/>
      <c r="I46" s="137"/>
      <c r="J46" s="143"/>
    </row>
    <row r="47" spans="1:13" ht="13.5" x14ac:dyDescent="0.25">
      <c r="A47" s="138">
        <f t="shared" si="22"/>
        <v>480</v>
      </c>
      <c r="B47" s="144" t="s">
        <v>75</v>
      </c>
      <c r="C47" s="139">
        <f t="shared" si="26"/>
        <v>480</v>
      </c>
      <c r="D47" s="140" t="s">
        <v>154</v>
      </c>
      <c r="E47" s="140">
        <f>+'Costo Crema Passionata Coco '!E74</f>
        <v>0.308</v>
      </c>
      <c r="F47" s="140">
        <f t="shared" si="27"/>
        <v>147.84</v>
      </c>
      <c r="G47" s="141">
        <f t="shared" si="28"/>
        <v>1.3144417829206244E-2</v>
      </c>
      <c r="H47" s="145"/>
      <c r="I47" s="137"/>
      <c r="J47" s="143"/>
    </row>
    <row r="48" spans="1:13" ht="13.5" x14ac:dyDescent="0.25">
      <c r="A48" s="138">
        <f t="shared" si="22"/>
        <v>120</v>
      </c>
      <c r="B48" s="144" t="s">
        <v>68</v>
      </c>
      <c r="C48" s="139">
        <f t="shared" si="26"/>
        <v>120</v>
      </c>
      <c r="D48" s="140" t="s">
        <v>154</v>
      </c>
      <c r="E48" s="140">
        <f>+'COSTO cOCO TOSTADO CON CHOCO'!E74</f>
        <v>0.5061083743842365</v>
      </c>
      <c r="F48" s="140">
        <f t="shared" si="27"/>
        <v>60.733004926108379</v>
      </c>
      <c r="G48" s="141">
        <f t="shared" si="28"/>
        <v>5.3997564446158653E-3</v>
      </c>
      <c r="H48" s="145"/>
      <c r="I48" s="137"/>
      <c r="J48" s="143"/>
    </row>
    <row r="49" spans="1:17" ht="13.5" hidden="1" x14ac:dyDescent="0.25">
      <c r="A49" s="138">
        <f t="shared" si="22"/>
        <v>0</v>
      </c>
      <c r="B49" s="144" t="s">
        <v>66</v>
      </c>
      <c r="C49" s="139">
        <f t="shared" si="26"/>
        <v>0</v>
      </c>
      <c r="D49" s="140" t="s">
        <v>154</v>
      </c>
      <c r="E49" s="140">
        <f>+'Costo coco Tostado'!E74</f>
        <v>0.23571428571428571</v>
      </c>
      <c r="F49" s="140">
        <f t="shared" si="27"/>
        <v>0</v>
      </c>
      <c r="G49" s="141">
        <f t="shared" si="28"/>
        <v>0</v>
      </c>
      <c r="H49" s="145"/>
      <c r="I49" s="137"/>
      <c r="J49" s="143"/>
    </row>
    <row r="50" spans="1:17" ht="13.5" x14ac:dyDescent="0.25">
      <c r="A50" s="138">
        <f t="shared" si="22"/>
        <v>360</v>
      </c>
      <c r="B50" s="144" t="s">
        <v>169</v>
      </c>
      <c r="C50" s="139">
        <f t="shared" si="26"/>
        <v>360</v>
      </c>
      <c r="D50" s="140" t="s">
        <v>154</v>
      </c>
      <c r="E50" s="140">
        <f>+'Costo Empaq salsa Piña'!E74</f>
        <v>0.14180000000000001</v>
      </c>
      <c r="F50" s="140">
        <f t="shared" si="27"/>
        <v>51.048000000000002</v>
      </c>
      <c r="G50" s="141">
        <f t="shared" si="28"/>
        <v>4.5386650523898831E-3</v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308</v>
      </c>
      <c r="F51" s="140">
        <f>IFERROR(C51*E51,"")</f>
        <v>308</v>
      </c>
      <c r="G51" s="141">
        <f>IFERROR(F51/$F$66,"")</f>
        <v>2.7384203810846341E-2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8315.6586131456716</v>
      </c>
      <c r="G53" s="141">
        <f>+F53/$F$66</f>
        <v>0.73934315027208086</v>
      </c>
      <c r="H53" s="153">
        <f>+F53/$D$60</f>
        <v>1039.4573266432089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2457.3882666666668</v>
      </c>
      <c r="G54" s="141">
        <f>+F54/$F$66</f>
        <v>0.21848578291163123</v>
      </c>
      <c r="H54" s="153">
        <f>+F54/$D$60</f>
        <v>307.17353333333335</v>
      </c>
      <c r="I54" s="153"/>
      <c r="J54" s="157"/>
      <c r="K54" s="509" t="s">
        <v>122</v>
      </c>
      <c r="L54" s="510"/>
      <c r="M54" s="510"/>
      <c r="N54" s="510"/>
      <c r="O54" s="158">
        <f>+F55</f>
        <v>10773.046879812338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10773.046879812338</v>
      </c>
      <c r="G55" s="141">
        <f>+F55/$F$66</f>
        <v>0.95782893318371209</v>
      </c>
      <c r="H55" s="153">
        <f>+F55/$D$60</f>
        <v>1346.6308599765423</v>
      </c>
      <c r="I55" s="153"/>
      <c r="J55" s="160"/>
      <c r="K55" s="161"/>
      <c r="M55" s="162" t="s">
        <v>124</v>
      </c>
      <c r="N55" s="163"/>
      <c r="O55" s="158">
        <f>+H56</f>
        <v>106.26415467980296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850.11323743842365</v>
      </c>
      <c r="G56" s="141">
        <f>+F56/$F$66</f>
        <v>7.5583357650364294E-2</v>
      </c>
      <c r="H56" s="153">
        <f>+F56/$D$60</f>
        <v>106.26415467980296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10879.311034492141</v>
      </c>
      <c r="P57" s="172"/>
      <c r="Q57" s="159"/>
    </row>
    <row r="58" spans="1:17" x14ac:dyDescent="0.2">
      <c r="B58" s="511" t="s">
        <v>128</v>
      </c>
      <c r="C58" s="511"/>
      <c r="D58" s="173">
        <v>2600</v>
      </c>
      <c r="E58" s="174"/>
      <c r="G58" s="141"/>
      <c r="H58" s="167">
        <f>+H56/77</f>
        <v>1.3800539568805579</v>
      </c>
      <c r="I58" s="175"/>
      <c r="J58" s="160"/>
      <c r="K58" s="168"/>
      <c r="L58" s="161"/>
      <c r="M58" s="161" t="s">
        <v>129</v>
      </c>
      <c r="N58" s="176"/>
      <c r="O58" s="158">
        <f>+H59</f>
        <v>114.54447842108631</v>
      </c>
      <c r="P58" s="158"/>
      <c r="Q58" s="159"/>
    </row>
    <row r="59" spans="1:17" x14ac:dyDescent="0.2">
      <c r="B59" s="511" t="s">
        <v>130</v>
      </c>
      <c r="C59" s="511"/>
      <c r="D59" s="177">
        <v>325</v>
      </c>
      <c r="E59" s="174"/>
      <c r="G59" s="141"/>
      <c r="H59" s="167">
        <f>+H58*83</f>
        <v>114.54447842108631</v>
      </c>
      <c r="I59" s="175"/>
      <c r="J59" s="160"/>
      <c r="K59" s="168"/>
      <c r="L59" s="161"/>
      <c r="M59" s="512" t="s">
        <v>127</v>
      </c>
      <c r="N59" s="512"/>
      <c r="O59" s="158">
        <f>SUM(O57:O58)</f>
        <v>10993.855512913227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8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10993.855512913227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1374.2319391141534</v>
      </c>
      <c r="P62" s="186">
        <f>+O62/D59</f>
        <v>4.228405966505087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10773.046879812338</v>
      </c>
      <c r="G63" s="141">
        <f>+F63/$F$66</f>
        <v>0.95782893318371209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166.31317226291344</v>
      </c>
      <c r="G64" s="141">
        <f>+F64/$F$66</f>
        <v>1.4786863005441617E-2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4</v>
      </c>
      <c r="E65" s="196">
        <v>77</v>
      </c>
      <c r="F65" s="189">
        <f>+E65*D65</f>
        <v>308</v>
      </c>
      <c r="G65" s="141">
        <f>+F65/$F$66</f>
        <v>2.7384203810846341E-2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11247.360052075252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8315.6586131456716</v>
      </c>
      <c r="D69" s="202">
        <f>+D58</f>
        <v>2600</v>
      </c>
      <c r="E69" s="203">
        <f>+C69/D69</f>
        <v>3.1983302358252583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10939.360052075252</v>
      </c>
      <c r="D71" s="202">
        <f>+D58</f>
        <v>2600</v>
      </c>
      <c r="E71" s="207">
        <f>+C71/D71</f>
        <v>4.2074461738750966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308</v>
      </c>
      <c r="D73" s="202">
        <f>+D58</f>
        <v>2600</v>
      </c>
      <c r="E73" s="207">
        <f>+C73/D73</f>
        <v>0.11846153846153847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850.11323743842365</v>
      </c>
      <c r="D74" s="202">
        <f>+D73</f>
        <v>2600</v>
      </c>
      <c r="E74" s="203">
        <f>+C74/D74</f>
        <v>0.32696662978400909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2457.3882666666668</v>
      </c>
      <c r="D76" s="202">
        <f>+D74</f>
        <v>2600</v>
      </c>
      <c r="E76" s="203">
        <f>+C76/D76</f>
        <v>0.9451493333333334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3.5252968656092674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8315.6586131456716</v>
      </c>
      <c r="D81" s="202">
        <f>+D60</f>
        <v>8</v>
      </c>
      <c r="E81" s="203">
        <f>+C81/D81</f>
        <v>1039.4573266432089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10939.360052075252</v>
      </c>
      <c r="D83" s="202">
        <f>+D60</f>
        <v>8</v>
      </c>
      <c r="E83" s="207">
        <f>+C83/D83</f>
        <v>1367.4200065094064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308</v>
      </c>
      <c r="D85" s="202">
        <f>+D60</f>
        <v>8</v>
      </c>
      <c r="E85" s="207">
        <f>+C85/D85</f>
        <v>38.5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850.11323743842365</v>
      </c>
      <c r="D86" s="202">
        <f>+D85</f>
        <v>8</v>
      </c>
      <c r="E86" s="203">
        <f>+C86/D86</f>
        <v>106.26415467980296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87CD-6EB0-4B38-95D5-3E0022890F3A}">
  <dimension ref="A1:I57"/>
  <sheetViews>
    <sheetView zoomScale="70" zoomScaleNormal="70" workbookViewId="0">
      <selection activeCell="D25" sqref="D2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27"/>
      <c r="B1" s="528"/>
      <c r="C1" s="477" t="s">
        <v>30</v>
      </c>
      <c r="D1" s="477"/>
      <c r="E1" s="477"/>
      <c r="F1" s="477"/>
      <c r="G1" s="477"/>
      <c r="H1" s="225" t="s">
        <v>29</v>
      </c>
      <c r="I1" s="275" t="s">
        <v>196</v>
      </c>
    </row>
    <row r="2" spans="1:9" ht="18" customHeight="1" thickBot="1" x14ac:dyDescent="0.3">
      <c r="A2" s="529"/>
      <c r="B2" s="530"/>
      <c r="C2" s="533" t="s">
        <v>28</v>
      </c>
      <c r="D2" s="534"/>
      <c r="E2" s="534"/>
      <c r="F2" s="534"/>
      <c r="G2" s="535"/>
      <c r="H2" s="226" t="s">
        <v>27</v>
      </c>
      <c r="I2" s="227" t="s">
        <v>197</v>
      </c>
    </row>
    <row r="3" spans="1:9" ht="31.5" customHeight="1" thickBot="1" x14ac:dyDescent="0.3">
      <c r="A3" s="529"/>
      <c r="B3" s="530"/>
      <c r="C3" s="536" t="s">
        <v>198</v>
      </c>
      <c r="D3" s="537"/>
      <c r="E3" s="537"/>
      <c r="F3" s="537"/>
      <c r="G3" s="538"/>
      <c r="H3" s="539" t="s">
        <v>26</v>
      </c>
      <c r="I3" s="518">
        <v>45619</v>
      </c>
    </row>
    <row r="4" spans="1:9" ht="18" customHeight="1" x14ac:dyDescent="0.25">
      <c r="A4" s="529"/>
      <c r="B4" s="530"/>
      <c r="C4" s="228" t="s">
        <v>25</v>
      </c>
      <c r="D4" s="521" t="s">
        <v>199</v>
      </c>
      <c r="E4" s="522"/>
      <c r="F4" s="522"/>
      <c r="G4" s="523"/>
      <c r="H4" s="540"/>
      <c r="I4" s="519"/>
    </row>
    <row r="5" spans="1:9" ht="15.75" thickBot="1" x14ac:dyDescent="0.3">
      <c r="A5" s="531"/>
      <c r="B5" s="532"/>
      <c r="C5" s="229" t="s">
        <v>24</v>
      </c>
      <c r="D5" s="524" t="s">
        <v>200</v>
      </c>
      <c r="E5" s="525"/>
      <c r="F5" s="525"/>
      <c r="G5" s="526"/>
      <c r="H5" s="541"/>
      <c r="I5" s="520"/>
    </row>
    <row r="6" spans="1:9" ht="18.75" thickBot="1" x14ac:dyDescent="0.3">
      <c r="A6" s="542" t="s">
        <v>23</v>
      </c>
      <c r="B6" s="542"/>
      <c r="C6" s="542"/>
      <c r="D6" s="543" t="s">
        <v>201</v>
      </c>
      <c r="E6" s="543"/>
      <c r="F6" s="543"/>
      <c r="G6" s="544" t="s">
        <v>22</v>
      </c>
      <c r="H6" s="544"/>
      <c r="I6" s="230" t="s">
        <v>201</v>
      </c>
    </row>
    <row r="7" spans="1:9" x14ac:dyDescent="0.25">
      <c r="A7" s="545" t="s">
        <v>21</v>
      </c>
      <c r="B7" s="547" t="s">
        <v>31</v>
      </c>
      <c r="C7" s="549" t="s">
        <v>20</v>
      </c>
      <c r="D7" s="549" t="s">
        <v>19</v>
      </c>
      <c r="E7" s="549" t="s">
        <v>18</v>
      </c>
      <c r="F7" s="549"/>
      <c r="G7" s="549" t="s">
        <v>17</v>
      </c>
      <c r="H7" s="549"/>
      <c r="I7" s="231" t="s">
        <v>16</v>
      </c>
    </row>
    <row r="8" spans="1:9" ht="27" thickBot="1" x14ac:dyDescent="0.3">
      <c r="A8" s="546"/>
      <c r="B8" s="548"/>
      <c r="C8" s="550"/>
      <c r="D8" s="550"/>
      <c r="E8" s="232" t="s">
        <v>13</v>
      </c>
      <c r="F8" s="233" t="s">
        <v>15</v>
      </c>
      <c r="G8" s="232" t="s">
        <v>13</v>
      </c>
      <c r="H8" s="233" t="s">
        <v>15</v>
      </c>
      <c r="I8" s="234" t="s">
        <v>14</v>
      </c>
    </row>
    <row r="9" spans="1:9" ht="18.399999999999999" customHeight="1" x14ac:dyDescent="0.25">
      <c r="A9" s="235"/>
      <c r="B9" s="236"/>
      <c r="C9" s="237" t="s">
        <v>32</v>
      </c>
      <c r="D9" s="238"/>
      <c r="E9" s="239"/>
      <c r="F9" s="240"/>
      <c r="G9" s="239"/>
      <c r="H9" s="240"/>
      <c r="I9" s="241"/>
    </row>
    <row r="10" spans="1:9" ht="18" customHeight="1" x14ac:dyDescent="0.25">
      <c r="A10" s="276" t="s">
        <v>202</v>
      </c>
      <c r="B10" s="224" t="s">
        <v>203</v>
      </c>
      <c r="C10" s="1" t="s">
        <v>204</v>
      </c>
      <c r="D10" s="277" t="s">
        <v>36</v>
      </c>
      <c r="E10" s="278">
        <v>3000</v>
      </c>
      <c r="F10" s="279" t="s">
        <v>1</v>
      </c>
      <c r="G10" s="280"/>
      <c r="H10" s="281"/>
      <c r="I10" s="241"/>
    </row>
    <row r="11" spans="1:9" x14ac:dyDescent="0.25">
      <c r="A11" s="277"/>
      <c r="B11" s="277"/>
      <c r="C11" s="282"/>
      <c r="D11" s="277"/>
      <c r="E11" s="278"/>
      <c r="F11" s="279"/>
      <c r="G11" s="280"/>
      <c r="H11" s="281"/>
      <c r="I11" s="241"/>
    </row>
    <row r="12" spans="1:9" x14ac:dyDescent="0.25">
      <c r="A12" s="277"/>
      <c r="B12" s="277"/>
      <c r="C12" s="282"/>
      <c r="D12" s="277"/>
      <c r="E12" s="278"/>
      <c r="F12" s="279"/>
      <c r="G12" s="280"/>
      <c r="H12" s="281"/>
      <c r="I12" s="241"/>
    </row>
    <row r="13" spans="1:9" x14ac:dyDescent="0.25">
      <c r="A13" s="277"/>
      <c r="B13" s="277"/>
      <c r="C13" s="282"/>
      <c r="D13" s="277"/>
      <c r="E13" s="278"/>
      <c r="F13" s="279"/>
      <c r="G13" s="280"/>
      <c r="H13" s="281"/>
      <c r="I13" s="241"/>
    </row>
    <row r="14" spans="1:9" x14ac:dyDescent="0.25">
      <c r="A14" s="277"/>
      <c r="B14" s="277"/>
      <c r="C14" s="282"/>
      <c r="D14" s="277"/>
      <c r="E14" s="278"/>
      <c r="F14" s="279"/>
      <c r="G14" s="280"/>
      <c r="H14" s="281"/>
      <c r="I14" s="241"/>
    </row>
    <row r="15" spans="1:9" x14ac:dyDescent="0.25">
      <c r="A15" s="277"/>
      <c r="B15" s="277"/>
      <c r="C15" s="282"/>
      <c r="D15" s="277"/>
      <c r="E15" s="278"/>
      <c r="F15" s="279"/>
      <c r="G15" s="280"/>
      <c r="H15" s="281"/>
      <c r="I15" s="241"/>
    </row>
    <row r="16" spans="1:9" x14ac:dyDescent="0.25">
      <c r="A16" s="277"/>
      <c r="B16" s="277"/>
      <c r="C16" s="282"/>
      <c r="D16" s="277"/>
      <c r="E16" s="278"/>
      <c r="F16" s="279"/>
      <c r="G16" s="280"/>
      <c r="H16" s="281"/>
      <c r="I16" s="241"/>
    </row>
    <row r="17" spans="1:9" x14ac:dyDescent="0.25">
      <c r="A17" s="277"/>
      <c r="B17" s="277"/>
      <c r="C17" s="282"/>
      <c r="D17" s="277"/>
      <c r="E17" s="278"/>
      <c r="F17" s="279"/>
      <c r="G17" s="280"/>
      <c r="H17" s="281"/>
      <c r="I17" s="241"/>
    </row>
    <row r="18" spans="1:9" x14ac:dyDescent="0.25">
      <c r="A18" s="277"/>
      <c r="B18" s="277"/>
      <c r="C18" s="282"/>
      <c r="D18" s="277"/>
      <c r="E18" s="278"/>
      <c r="F18" s="279"/>
      <c r="G18" s="280"/>
      <c r="H18" s="281"/>
      <c r="I18" s="241"/>
    </row>
    <row r="19" spans="1:9" x14ac:dyDescent="0.25">
      <c r="A19" s="277"/>
      <c r="B19" s="277"/>
      <c r="C19" s="282"/>
      <c r="D19" s="277"/>
      <c r="E19" s="278"/>
      <c r="F19" s="279"/>
      <c r="G19" s="280"/>
      <c r="H19" s="281"/>
      <c r="I19" s="241"/>
    </row>
    <row r="20" spans="1:9" ht="15.75" x14ac:dyDescent="0.25">
      <c r="A20" s="283"/>
      <c r="B20" s="283"/>
      <c r="C20" s="1"/>
      <c r="D20" s="2"/>
      <c r="E20" s="2"/>
      <c r="F20" s="2"/>
      <c r="G20" s="284"/>
      <c r="H20" s="281"/>
      <c r="I20" s="241"/>
    </row>
    <row r="21" spans="1:9" ht="15.75" x14ac:dyDescent="0.25">
      <c r="A21" s="248"/>
      <c r="B21" s="249"/>
      <c r="C21" s="250" t="s">
        <v>184</v>
      </c>
      <c r="D21" s="2"/>
      <c r="E21" s="2"/>
      <c r="F21" s="2"/>
      <c r="G21" s="284"/>
      <c r="H21" s="281"/>
      <c r="I21" s="241"/>
    </row>
    <row r="22" spans="1:9" x14ac:dyDescent="0.25">
      <c r="A22" s="276"/>
      <c r="B22" s="224"/>
      <c r="C22" s="1"/>
      <c r="D22" s="285"/>
      <c r="E22" s="285"/>
      <c r="F22" s="285"/>
      <c r="G22" s="239"/>
      <c r="H22" s="281"/>
      <c r="I22" s="241"/>
    </row>
    <row r="23" spans="1:9" x14ac:dyDescent="0.25">
      <c r="A23" s="286"/>
      <c r="B23" s="283"/>
      <c r="C23" s="1"/>
      <c r="D23" s="285"/>
      <c r="E23" s="285"/>
      <c r="F23" s="285"/>
      <c r="G23" s="239"/>
      <c r="H23" s="281"/>
      <c r="I23" s="241"/>
    </row>
    <row r="24" spans="1:9" x14ac:dyDescent="0.25">
      <c r="A24" s="286"/>
      <c r="B24" s="283"/>
      <c r="C24" s="1"/>
      <c r="D24" s="285"/>
      <c r="E24" s="285"/>
      <c r="F24" s="285"/>
      <c r="G24" s="239"/>
      <c r="H24" s="281"/>
      <c r="I24" s="241"/>
    </row>
    <row r="25" spans="1:9" ht="15.75" x14ac:dyDescent="0.25">
      <c r="A25" s="248"/>
      <c r="B25" s="249"/>
      <c r="C25" s="250"/>
      <c r="D25" s="51"/>
      <c r="E25" s="251"/>
      <c r="F25" s="247"/>
      <c r="G25" s="239"/>
      <c r="H25" s="281"/>
      <c r="I25" s="241"/>
    </row>
    <row r="26" spans="1:9" x14ac:dyDescent="0.25">
      <c r="A26" s="287"/>
      <c r="B26" s="288"/>
      <c r="C26" s="289"/>
      <c r="D26" s="290"/>
      <c r="E26" s="291"/>
      <c r="F26" s="292"/>
      <c r="G26" s="239"/>
      <c r="H26" s="281"/>
      <c r="I26" s="241"/>
    </row>
    <row r="27" spans="1:9" x14ac:dyDescent="0.25">
      <c r="A27" s="224"/>
      <c r="B27" s="224"/>
      <c r="C27" s="1"/>
      <c r="D27" s="293"/>
      <c r="E27" s="294"/>
      <c r="F27" s="295"/>
      <c r="G27" s="239"/>
      <c r="H27" s="281"/>
      <c r="I27" s="241"/>
    </row>
    <row r="28" spans="1:9" ht="15.75" x14ac:dyDescent="0.25">
      <c r="A28" s="252"/>
      <c r="B28" s="253"/>
      <c r="C28" s="254" t="s">
        <v>183</v>
      </c>
      <c r="D28" s="255"/>
      <c r="E28" s="256"/>
      <c r="F28" s="240"/>
      <c r="G28" s="239"/>
      <c r="H28" s="281"/>
      <c r="I28" s="241"/>
    </row>
    <row r="29" spans="1:9" x14ac:dyDescent="0.25">
      <c r="A29" s="296" t="s">
        <v>205</v>
      </c>
      <c r="B29" s="297" t="s">
        <v>185</v>
      </c>
      <c r="C29" s="298" t="s">
        <v>206</v>
      </c>
      <c r="D29" s="257" t="s">
        <v>207</v>
      </c>
      <c r="E29" s="245">
        <v>0.5</v>
      </c>
      <c r="F29" s="5" t="s">
        <v>12</v>
      </c>
      <c r="G29" s="299"/>
      <c r="H29" s="281"/>
      <c r="I29" s="241"/>
    </row>
    <row r="30" spans="1:9" x14ac:dyDescent="0.25">
      <c r="A30" s="296" t="s">
        <v>208</v>
      </c>
      <c r="B30" s="297" t="s">
        <v>209</v>
      </c>
      <c r="C30" s="298" t="s">
        <v>210</v>
      </c>
      <c r="D30" s="257" t="s">
        <v>211</v>
      </c>
      <c r="E30" s="245">
        <v>3</v>
      </c>
      <c r="F30" s="5" t="s">
        <v>212</v>
      </c>
      <c r="G30" s="299"/>
      <c r="H30" s="281"/>
      <c r="I30" s="241"/>
    </row>
    <row r="31" spans="1:9" x14ac:dyDescent="0.25">
      <c r="A31" s="300" t="s">
        <v>213</v>
      </c>
      <c r="B31" s="301"/>
      <c r="C31" s="302" t="s">
        <v>214</v>
      </c>
      <c r="D31" s="257"/>
      <c r="E31" s="245">
        <v>36</v>
      </c>
      <c r="F31" s="5" t="s">
        <v>1</v>
      </c>
      <c r="G31" s="299"/>
      <c r="H31" s="281"/>
      <c r="I31" s="241"/>
    </row>
    <row r="32" spans="1:9" x14ac:dyDescent="0.25">
      <c r="A32" s="303"/>
      <c r="B32" s="303"/>
      <c r="C32" s="304"/>
      <c r="D32" s="257"/>
      <c r="E32" s="245"/>
      <c r="F32" s="5"/>
      <c r="G32" s="239"/>
      <c r="H32" s="281"/>
      <c r="I32" s="241"/>
    </row>
    <row r="33" spans="1:9" x14ac:dyDescent="0.25">
      <c r="A33" s="303"/>
      <c r="B33" s="303"/>
      <c r="C33" s="304"/>
      <c r="D33" s="257"/>
      <c r="E33" s="245"/>
      <c r="F33" s="5"/>
      <c r="G33" s="239"/>
      <c r="H33" s="281"/>
      <c r="I33" s="241"/>
    </row>
    <row r="34" spans="1:9" x14ac:dyDescent="0.25">
      <c r="A34" s="303"/>
      <c r="B34" s="303"/>
      <c r="C34" s="304"/>
      <c r="D34" s="257"/>
      <c r="E34" s="245"/>
      <c r="F34" s="5"/>
      <c r="G34" s="258"/>
      <c r="H34" s="281"/>
      <c r="I34" s="241"/>
    </row>
    <row r="35" spans="1:9" ht="15.75" x14ac:dyDescent="0.25">
      <c r="A35" s="303"/>
      <c r="B35" s="303"/>
      <c r="C35" s="304"/>
      <c r="D35" s="2"/>
      <c r="E35" s="245"/>
      <c r="F35" s="5"/>
      <c r="G35" s="52"/>
      <c r="H35" s="281"/>
      <c r="I35" s="241"/>
    </row>
    <row r="36" spans="1:9" x14ac:dyDescent="0.25">
      <c r="A36" s="242"/>
      <c r="B36" s="242"/>
      <c r="C36" s="305"/>
      <c r="D36" s="257"/>
      <c r="E36" s="295"/>
      <c r="F36" s="295"/>
      <c r="G36" s="52"/>
      <c r="H36" s="240"/>
      <c r="I36" s="241"/>
    </row>
    <row r="37" spans="1:9" ht="15.75" thickBot="1" x14ac:dyDescent="0.3">
      <c r="A37" s="259"/>
      <c r="B37" s="260"/>
      <c r="C37" s="261" t="s">
        <v>215</v>
      </c>
      <c r="D37" s="261"/>
      <c r="E37" s="262"/>
      <c r="F37" s="263"/>
      <c r="G37" s="261"/>
      <c r="H37" s="261"/>
      <c r="I37" s="264"/>
    </row>
    <row r="38" spans="1:9" ht="15.75" thickBot="1" x14ac:dyDescent="0.3">
      <c r="A38" s="267"/>
      <c r="B38" s="268"/>
      <c r="C38" s="269" t="s">
        <v>215</v>
      </c>
      <c r="D38" s="270" t="s">
        <v>13</v>
      </c>
      <c r="E38" s="271" t="s">
        <v>12</v>
      </c>
      <c r="F38" s="272"/>
      <c r="G38" s="269"/>
      <c r="H38" s="269"/>
      <c r="I38" s="273"/>
    </row>
    <row r="39" spans="1:9" x14ac:dyDescent="0.25">
      <c r="A39" s="551" t="s">
        <v>11</v>
      </c>
      <c r="B39" s="552"/>
      <c r="C39" s="553"/>
      <c r="D39" s="306">
        <v>3000</v>
      </c>
      <c r="E39" s="307" t="s">
        <v>1</v>
      </c>
      <c r="F39" s="554" t="s">
        <v>10</v>
      </c>
      <c r="G39" s="554"/>
      <c r="H39" s="555"/>
      <c r="I39" s="556"/>
    </row>
    <row r="40" spans="1:9" x14ac:dyDescent="0.25">
      <c r="A40" s="557" t="s">
        <v>9</v>
      </c>
      <c r="B40" s="558"/>
      <c r="C40" s="559"/>
      <c r="D40" s="284">
        <v>3</v>
      </c>
      <c r="E40" s="284" t="s">
        <v>8</v>
      </c>
      <c r="F40" s="560" t="s">
        <v>7</v>
      </c>
      <c r="G40" s="560"/>
      <c r="H40" s="561"/>
      <c r="I40" s="562"/>
    </row>
    <row r="41" spans="1:9" x14ac:dyDescent="0.25">
      <c r="A41" s="557" t="s">
        <v>6</v>
      </c>
      <c r="B41" s="558"/>
      <c r="C41" s="559"/>
      <c r="D41" s="294">
        <v>3</v>
      </c>
      <c r="E41" s="284" t="s">
        <v>37</v>
      </c>
      <c r="F41" s="560" t="s">
        <v>5</v>
      </c>
      <c r="G41" s="560"/>
      <c r="H41" s="561"/>
      <c r="I41" s="562"/>
    </row>
    <row r="42" spans="1:9" x14ac:dyDescent="0.25">
      <c r="A42" s="557" t="s">
        <v>4</v>
      </c>
      <c r="B42" s="558"/>
      <c r="C42" s="559"/>
      <c r="D42" s="294">
        <v>1000</v>
      </c>
      <c r="E42" s="284" t="s">
        <v>1</v>
      </c>
      <c r="F42" s="563" t="s">
        <v>3</v>
      </c>
      <c r="G42" s="564"/>
      <c r="H42" s="565"/>
      <c r="I42" s="566"/>
    </row>
    <row r="43" spans="1:9" ht="15.75" thickBot="1" x14ac:dyDescent="0.3">
      <c r="A43" s="571" t="s">
        <v>2</v>
      </c>
      <c r="B43" s="572"/>
      <c r="C43" s="573"/>
      <c r="D43" s="308">
        <v>0</v>
      </c>
      <c r="E43" s="309" t="s">
        <v>1</v>
      </c>
      <c r="F43" s="574"/>
      <c r="G43" s="574"/>
      <c r="H43" s="561"/>
      <c r="I43" s="562"/>
    </row>
    <row r="44" spans="1:9" ht="15.75" thickBot="1" x14ac:dyDescent="0.3">
      <c r="A44" s="575" t="s">
        <v>0</v>
      </c>
      <c r="B44" s="576"/>
      <c r="C44" s="576"/>
      <c r="D44" s="576"/>
      <c r="E44" s="576"/>
      <c r="F44" s="576"/>
      <c r="G44" s="576"/>
      <c r="H44" s="576"/>
      <c r="I44" s="577"/>
    </row>
    <row r="45" spans="1:9" ht="14.65" customHeight="1" x14ac:dyDescent="0.25">
      <c r="A45" s="578" t="s">
        <v>216</v>
      </c>
      <c r="B45" s="579"/>
      <c r="C45" s="580"/>
      <c r="D45" s="580"/>
      <c r="E45" s="580"/>
      <c r="F45" s="580"/>
      <c r="G45" s="580"/>
      <c r="H45" s="580"/>
      <c r="I45" s="581"/>
    </row>
    <row r="46" spans="1:9" ht="15.4" customHeight="1" x14ac:dyDescent="0.25">
      <c r="A46" s="582" t="s">
        <v>217</v>
      </c>
      <c r="B46" s="583"/>
      <c r="C46" s="584"/>
      <c r="D46" s="584"/>
      <c r="E46" s="584"/>
      <c r="F46" s="584"/>
      <c r="G46" s="584"/>
      <c r="H46" s="584"/>
      <c r="I46" s="585"/>
    </row>
    <row r="47" spans="1:9" ht="14.65" customHeight="1" x14ac:dyDescent="0.25">
      <c r="A47" s="586"/>
      <c r="B47" s="587"/>
      <c r="C47" s="588"/>
      <c r="D47" s="588"/>
      <c r="E47" s="588"/>
      <c r="F47" s="588"/>
      <c r="G47" s="588"/>
      <c r="H47" s="588"/>
      <c r="I47" s="589"/>
    </row>
    <row r="48" spans="1:9" x14ac:dyDescent="0.25">
      <c r="A48" s="590"/>
      <c r="B48" s="591"/>
      <c r="C48" s="591"/>
      <c r="D48" s="591"/>
      <c r="E48" s="591"/>
      <c r="F48" s="591"/>
      <c r="G48" s="591"/>
      <c r="H48" s="591"/>
      <c r="I48" s="592"/>
    </row>
    <row r="49" spans="1:9" x14ac:dyDescent="0.25">
      <c r="A49" s="593"/>
      <c r="B49" s="594"/>
      <c r="C49" s="594"/>
      <c r="D49" s="594"/>
      <c r="E49" s="594"/>
      <c r="F49" s="594"/>
      <c r="G49" s="594"/>
      <c r="H49" s="594"/>
      <c r="I49" s="595"/>
    </row>
    <row r="50" spans="1:9" ht="14.65" customHeight="1" x14ac:dyDescent="0.25">
      <c r="A50" s="567"/>
      <c r="B50" s="568"/>
      <c r="C50" s="569"/>
      <c r="D50" s="569"/>
      <c r="E50" s="569"/>
      <c r="F50" s="569"/>
      <c r="G50" s="569"/>
      <c r="H50" s="569"/>
      <c r="I50" s="570"/>
    </row>
    <row r="51" spans="1:9" ht="14.65" customHeight="1" x14ac:dyDescent="0.25">
      <c r="A51" s="596"/>
      <c r="B51" s="597"/>
      <c r="C51" s="598"/>
      <c r="D51" s="598"/>
      <c r="E51" s="598"/>
      <c r="F51" s="598"/>
      <c r="G51" s="598"/>
      <c r="H51" s="598"/>
      <c r="I51" s="599"/>
    </row>
    <row r="52" spans="1:9" ht="18" customHeight="1" x14ac:dyDescent="0.25">
      <c r="A52" s="567"/>
      <c r="B52" s="568"/>
      <c r="C52" s="569"/>
      <c r="D52" s="569"/>
      <c r="E52" s="569"/>
      <c r="F52" s="569"/>
      <c r="G52" s="569"/>
      <c r="H52" s="569"/>
      <c r="I52" s="570"/>
    </row>
    <row r="53" spans="1:9" ht="14.65" customHeight="1" thickBot="1" x14ac:dyDescent="0.3">
      <c r="A53" s="600"/>
      <c r="B53" s="601"/>
      <c r="C53" s="602"/>
      <c r="D53" s="602"/>
      <c r="E53" s="602"/>
      <c r="F53" s="602"/>
      <c r="G53" s="602"/>
      <c r="H53" s="602"/>
      <c r="I53" s="603"/>
    </row>
    <row r="54" spans="1:9" ht="14.65" customHeight="1" thickBot="1" x14ac:dyDescent="0.3">
      <c r="A54" s="604"/>
      <c r="B54" s="605"/>
      <c r="C54" s="605"/>
      <c r="D54" s="605"/>
      <c r="E54" s="605"/>
      <c r="F54" s="605"/>
      <c r="G54" s="605"/>
      <c r="H54" s="605"/>
      <c r="I54" s="583"/>
    </row>
    <row r="55" spans="1:9" ht="14.65" customHeight="1" x14ac:dyDescent="0.25">
      <c r="A55" s="458" t="s">
        <v>33</v>
      </c>
      <c r="B55" s="459"/>
      <c r="C55" s="459"/>
      <c r="D55" s="459"/>
      <c r="E55" s="459"/>
      <c r="F55" s="459"/>
      <c r="G55" s="459"/>
      <c r="H55" s="459"/>
      <c r="I55" s="459"/>
    </row>
    <row r="56" spans="1:9" x14ac:dyDescent="0.25">
      <c r="A56" s="460"/>
      <c r="B56" s="461"/>
      <c r="C56" s="461"/>
      <c r="D56" s="461"/>
      <c r="E56" s="461"/>
      <c r="F56" s="461"/>
      <c r="G56" s="461"/>
      <c r="H56" s="461"/>
      <c r="I56" s="461"/>
    </row>
    <row r="57" spans="1:9" x14ac:dyDescent="0.25">
      <c r="A57" s="460"/>
      <c r="B57" s="461"/>
      <c r="C57" s="461"/>
      <c r="D57" s="461"/>
      <c r="E57" s="461"/>
      <c r="F57" s="461"/>
      <c r="G57" s="461"/>
      <c r="H57" s="461"/>
      <c r="I57" s="46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47B7-D9AE-4FB7-96AE-5F6CCFCA5A16}">
  <dimension ref="A1:I57"/>
  <sheetViews>
    <sheetView zoomScale="85" zoomScaleNormal="85" workbookViewId="0">
      <selection activeCell="C16" sqref="C16"/>
    </sheetView>
  </sheetViews>
  <sheetFormatPr baseColWidth="10" defaultRowHeight="15" x14ac:dyDescent="0.25"/>
  <cols>
    <col min="3" max="3" width="47" customWidth="1"/>
    <col min="4" max="4" width="34.28515625" bestFit="1" customWidth="1"/>
    <col min="8" max="8" width="25.5703125" customWidth="1"/>
    <col min="9" max="9" width="18.140625" bestFit="1" customWidth="1"/>
  </cols>
  <sheetData>
    <row r="1" spans="1:9" ht="15.75" x14ac:dyDescent="0.25">
      <c r="A1" s="527"/>
      <c r="B1" s="528"/>
      <c r="C1" s="477" t="s">
        <v>30</v>
      </c>
      <c r="D1" s="477"/>
      <c r="E1" s="477"/>
      <c r="F1" s="477"/>
      <c r="G1" s="477"/>
      <c r="H1" s="225" t="s">
        <v>29</v>
      </c>
      <c r="I1" s="275" t="s">
        <v>218</v>
      </c>
    </row>
    <row r="2" spans="1:9" ht="18" customHeight="1" thickBot="1" x14ac:dyDescent="0.3">
      <c r="A2" s="529"/>
      <c r="B2" s="530"/>
      <c r="C2" s="533" t="s">
        <v>28</v>
      </c>
      <c r="D2" s="534"/>
      <c r="E2" s="534"/>
      <c r="F2" s="534"/>
      <c r="G2" s="535"/>
      <c r="H2" s="226" t="s">
        <v>27</v>
      </c>
      <c r="I2" s="227" t="s">
        <v>197</v>
      </c>
    </row>
    <row r="3" spans="1:9" ht="31.5" customHeight="1" thickBot="1" x14ac:dyDescent="0.3">
      <c r="A3" s="529"/>
      <c r="B3" s="530"/>
      <c r="C3" s="479" t="s">
        <v>219</v>
      </c>
      <c r="D3" s="480"/>
      <c r="E3" s="480"/>
      <c r="F3" s="480"/>
      <c r="G3" s="481"/>
      <c r="H3" s="539" t="s">
        <v>26</v>
      </c>
      <c r="I3" s="518">
        <v>45619</v>
      </c>
    </row>
    <row r="4" spans="1:9" ht="18" customHeight="1" x14ac:dyDescent="0.25">
      <c r="A4" s="529"/>
      <c r="B4" s="530"/>
      <c r="C4" s="228" t="s">
        <v>25</v>
      </c>
      <c r="D4" s="521" t="s">
        <v>199</v>
      </c>
      <c r="E4" s="522"/>
      <c r="F4" s="522"/>
      <c r="G4" s="523"/>
      <c r="H4" s="540"/>
      <c r="I4" s="519"/>
    </row>
    <row r="5" spans="1:9" ht="15.75" thickBot="1" x14ac:dyDescent="0.3">
      <c r="A5" s="531"/>
      <c r="B5" s="532"/>
      <c r="C5" s="229" t="s">
        <v>24</v>
      </c>
      <c r="D5" s="524" t="s">
        <v>200</v>
      </c>
      <c r="E5" s="525"/>
      <c r="F5" s="525"/>
      <c r="G5" s="526"/>
      <c r="H5" s="541"/>
      <c r="I5" s="520"/>
    </row>
    <row r="6" spans="1:9" ht="18.75" thickBot="1" x14ac:dyDescent="0.3">
      <c r="A6" s="542" t="s">
        <v>23</v>
      </c>
      <c r="B6" s="542"/>
      <c r="C6" s="542"/>
      <c r="D6" s="543" t="s">
        <v>201</v>
      </c>
      <c r="E6" s="543"/>
      <c r="F6" s="543"/>
      <c r="G6" s="544" t="s">
        <v>22</v>
      </c>
      <c r="H6" s="544"/>
      <c r="I6" s="230" t="s">
        <v>201</v>
      </c>
    </row>
    <row r="7" spans="1:9" x14ac:dyDescent="0.25">
      <c r="A7" s="545" t="s">
        <v>21</v>
      </c>
      <c r="B7" s="547" t="s">
        <v>31</v>
      </c>
      <c r="C7" s="549" t="s">
        <v>20</v>
      </c>
      <c r="D7" s="549" t="s">
        <v>19</v>
      </c>
      <c r="E7" s="549" t="s">
        <v>18</v>
      </c>
      <c r="F7" s="549"/>
      <c r="G7" s="549" t="s">
        <v>17</v>
      </c>
      <c r="H7" s="549"/>
      <c r="I7" s="231" t="s">
        <v>16</v>
      </c>
    </row>
    <row r="8" spans="1:9" ht="27" thickBot="1" x14ac:dyDescent="0.3">
      <c r="A8" s="546"/>
      <c r="B8" s="548"/>
      <c r="C8" s="550"/>
      <c r="D8" s="550"/>
      <c r="E8" s="232" t="s">
        <v>13</v>
      </c>
      <c r="F8" s="233" t="s">
        <v>15</v>
      </c>
      <c r="G8" s="232" t="s">
        <v>13</v>
      </c>
      <c r="H8" s="233" t="s">
        <v>15</v>
      </c>
      <c r="I8" s="234" t="s">
        <v>14</v>
      </c>
    </row>
    <row r="9" spans="1:9" ht="18.600000000000001" customHeight="1" x14ac:dyDescent="0.25">
      <c r="A9" s="235"/>
      <c r="B9" s="236"/>
      <c r="C9" s="237" t="s">
        <v>32</v>
      </c>
      <c r="D9" s="238"/>
      <c r="E9" s="239"/>
      <c r="F9" s="240"/>
      <c r="G9" s="239"/>
      <c r="H9" s="240"/>
      <c r="I9" s="241"/>
    </row>
    <row r="10" spans="1:9" ht="18" customHeight="1" x14ac:dyDescent="0.25">
      <c r="A10" s="276" t="s">
        <v>220</v>
      </c>
      <c r="B10" s="224" t="s">
        <v>221</v>
      </c>
      <c r="C10" s="1" t="s">
        <v>222</v>
      </c>
      <c r="D10" s="277" t="s">
        <v>36</v>
      </c>
      <c r="E10" s="278">
        <v>1227</v>
      </c>
      <c r="F10" s="279" t="s">
        <v>1</v>
      </c>
      <c r="G10" s="280"/>
      <c r="H10" s="281"/>
      <c r="I10" s="241"/>
    </row>
    <row r="11" spans="1:9" x14ac:dyDescent="0.25">
      <c r="A11" s="277" t="s">
        <v>223</v>
      </c>
      <c r="B11" s="277" t="s">
        <v>224</v>
      </c>
      <c r="C11" s="282" t="s">
        <v>225</v>
      </c>
      <c r="D11" s="277" t="s">
        <v>226</v>
      </c>
      <c r="E11" s="278">
        <v>1200</v>
      </c>
      <c r="F11" s="279" t="s">
        <v>1</v>
      </c>
      <c r="G11" s="280"/>
      <c r="H11" s="281"/>
      <c r="I11" s="241"/>
    </row>
    <row r="12" spans="1:9" x14ac:dyDescent="0.25">
      <c r="A12" s="277">
        <v>11300011</v>
      </c>
      <c r="B12" s="277" t="s">
        <v>227</v>
      </c>
      <c r="C12" s="282" t="s">
        <v>228</v>
      </c>
      <c r="D12" s="277" t="s">
        <v>229</v>
      </c>
      <c r="E12" s="278">
        <v>650</v>
      </c>
      <c r="F12" s="279" t="s">
        <v>1</v>
      </c>
      <c r="G12" s="280"/>
      <c r="H12" s="281"/>
      <c r="I12" s="241"/>
    </row>
    <row r="13" spans="1:9" x14ac:dyDescent="0.25">
      <c r="A13" s="277"/>
      <c r="B13" s="277"/>
      <c r="C13" s="282"/>
      <c r="D13" s="277"/>
      <c r="E13" s="278"/>
      <c r="F13" s="279"/>
      <c r="G13" s="280"/>
      <c r="H13" s="281"/>
      <c r="I13" s="241"/>
    </row>
    <row r="14" spans="1:9" x14ac:dyDescent="0.25">
      <c r="A14" s="277"/>
      <c r="B14" s="277"/>
      <c r="C14" s="282"/>
      <c r="D14" s="277"/>
      <c r="E14" s="278"/>
      <c r="F14" s="279"/>
      <c r="G14" s="280"/>
      <c r="H14" s="281"/>
      <c r="I14" s="241"/>
    </row>
    <row r="15" spans="1:9" x14ac:dyDescent="0.25">
      <c r="A15" s="277"/>
      <c r="B15" s="277"/>
      <c r="C15" s="282"/>
      <c r="D15" s="277"/>
      <c r="E15" s="278"/>
      <c r="F15" s="279"/>
      <c r="G15" s="280"/>
      <c r="H15" s="281"/>
      <c r="I15" s="241"/>
    </row>
    <row r="16" spans="1:9" x14ac:dyDescent="0.25">
      <c r="A16" s="277"/>
      <c r="B16" s="277"/>
      <c r="C16" s="282"/>
      <c r="D16" s="277"/>
      <c r="E16" s="278"/>
      <c r="F16" s="279"/>
      <c r="G16" s="280"/>
      <c r="H16" s="281"/>
      <c r="I16" s="241"/>
    </row>
    <row r="17" spans="1:9" x14ac:dyDescent="0.25">
      <c r="A17" s="277"/>
      <c r="B17" s="277"/>
      <c r="C17" s="282"/>
      <c r="D17" s="277"/>
      <c r="E17" s="278"/>
      <c r="F17" s="279"/>
      <c r="G17" s="280"/>
      <c r="H17" s="281"/>
      <c r="I17" s="241"/>
    </row>
    <row r="18" spans="1:9" x14ac:dyDescent="0.25">
      <c r="A18" s="277"/>
      <c r="B18" s="277"/>
      <c r="C18" s="282"/>
      <c r="D18" s="277"/>
      <c r="E18" s="278"/>
      <c r="F18" s="279"/>
      <c r="G18" s="280"/>
      <c r="H18" s="281"/>
      <c r="I18" s="241"/>
    </row>
    <row r="19" spans="1:9" x14ac:dyDescent="0.25">
      <c r="A19" s="277"/>
      <c r="B19" s="277"/>
      <c r="C19" s="282"/>
      <c r="D19" s="277"/>
      <c r="E19" s="278"/>
      <c r="F19" s="279"/>
      <c r="G19" s="280"/>
      <c r="H19" s="281"/>
      <c r="I19" s="241"/>
    </row>
    <row r="20" spans="1:9" ht="15.75" x14ac:dyDescent="0.25">
      <c r="A20" s="283"/>
      <c r="B20" s="283"/>
      <c r="C20" s="1"/>
      <c r="D20" s="2"/>
      <c r="E20" s="2"/>
      <c r="F20" s="2"/>
      <c r="G20" s="284"/>
      <c r="H20" s="281"/>
      <c r="I20" s="241"/>
    </row>
    <row r="21" spans="1:9" ht="15.75" x14ac:dyDescent="0.25">
      <c r="A21" s="248"/>
      <c r="B21" s="249"/>
      <c r="C21" s="250" t="s">
        <v>184</v>
      </c>
      <c r="D21" s="2"/>
      <c r="E21" s="2"/>
      <c r="F21" s="2"/>
      <c r="G21" s="284"/>
      <c r="H21" s="281"/>
      <c r="I21" s="241"/>
    </row>
    <row r="22" spans="1:9" x14ac:dyDescent="0.25">
      <c r="A22" s="276"/>
      <c r="B22" s="224"/>
      <c r="C22" s="1"/>
      <c r="D22" s="285"/>
      <c r="E22" s="285"/>
      <c r="F22" s="285"/>
      <c r="G22" s="239"/>
      <c r="H22" s="281"/>
      <c r="I22" s="241"/>
    </row>
    <row r="23" spans="1:9" x14ac:dyDescent="0.25">
      <c r="A23" s="286"/>
      <c r="B23" s="283"/>
      <c r="C23" s="1"/>
      <c r="D23" s="285"/>
      <c r="E23" s="285"/>
      <c r="F23" s="285"/>
      <c r="G23" s="239"/>
      <c r="H23" s="281"/>
      <c r="I23" s="241"/>
    </row>
    <row r="24" spans="1:9" x14ac:dyDescent="0.25">
      <c r="A24" s="286"/>
      <c r="B24" s="283"/>
      <c r="C24" s="1"/>
      <c r="D24" s="285"/>
      <c r="E24" s="285"/>
      <c r="F24" s="285"/>
      <c r="G24" s="239"/>
      <c r="H24" s="281"/>
      <c r="I24" s="241"/>
    </row>
    <row r="25" spans="1:9" ht="15.75" x14ac:dyDescent="0.25">
      <c r="A25" s="248"/>
      <c r="B25" s="249"/>
      <c r="C25" s="250"/>
      <c r="D25" s="51"/>
      <c r="E25" s="251"/>
      <c r="F25" s="247"/>
      <c r="G25" s="239"/>
      <c r="H25" s="281"/>
      <c r="I25" s="241"/>
    </row>
    <row r="26" spans="1:9" x14ac:dyDescent="0.25">
      <c r="A26" s="287"/>
      <c r="B26" s="288"/>
      <c r="C26" s="289"/>
      <c r="D26" s="290"/>
      <c r="E26" s="291"/>
      <c r="F26" s="292"/>
      <c r="G26" s="239"/>
      <c r="H26" s="281"/>
      <c r="I26" s="241"/>
    </row>
    <row r="27" spans="1:9" x14ac:dyDescent="0.25">
      <c r="A27" s="224"/>
      <c r="B27" s="224"/>
      <c r="C27" s="1"/>
      <c r="D27" s="293"/>
      <c r="E27" s="294"/>
      <c r="F27" s="295"/>
      <c r="G27" s="239"/>
      <c r="H27" s="281"/>
      <c r="I27" s="241"/>
    </row>
    <row r="28" spans="1:9" ht="15.75" x14ac:dyDescent="0.25">
      <c r="A28" s="252"/>
      <c r="B28" s="253"/>
      <c r="C28" s="254" t="s">
        <v>183</v>
      </c>
      <c r="D28" s="255"/>
      <c r="E28" s="256"/>
      <c r="F28" s="240"/>
      <c r="G28" s="239"/>
      <c r="H28" s="281"/>
      <c r="I28" s="241"/>
    </row>
    <row r="29" spans="1:9" x14ac:dyDescent="0.25">
      <c r="A29" s="296"/>
      <c r="B29" s="297"/>
      <c r="C29" s="298"/>
      <c r="D29" s="257"/>
      <c r="E29" s="245"/>
      <c r="F29" s="5"/>
      <c r="G29" s="299"/>
      <c r="H29" s="281"/>
      <c r="I29" s="241"/>
    </row>
    <row r="30" spans="1:9" x14ac:dyDescent="0.25">
      <c r="A30" s="296"/>
      <c r="B30" s="297"/>
      <c r="C30" s="298"/>
      <c r="D30" s="257"/>
      <c r="E30" s="245"/>
      <c r="F30" s="5"/>
      <c r="G30" s="299"/>
      <c r="H30" s="281"/>
      <c r="I30" s="241"/>
    </row>
    <row r="31" spans="1:9" x14ac:dyDescent="0.25">
      <c r="A31" s="300"/>
      <c r="B31" s="301"/>
      <c r="C31" s="302"/>
      <c r="D31" s="257"/>
      <c r="E31" s="245"/>
      <c r="F31" s="5"/>
      <c r="G31" s="299"/>
      <c r="H31" s="281"/>
      <c r="I31" s="241"/>
    </row>
    <row r="32" spans="1:9" x14ac:dyDescent="0.25">
      <c r="A32" s="303"/>
      <c r="B32" s="303"/>
      <c r="C32" s="304"/>
      <c r="D32" s="257"/>
      <c r="E32" s="245"/>
      <c r="F32" s="5"/>
      <c r="G32" s="239"/>
      <c r="H32" s="281"/>
      <c r="I32" s="241"/>
    </row>
    <row r="33" spans="1:9" x14ac:dyDescent="0.25">
      <c r="A33" s="303"/>
      <c r="B33" s="303"/>
      <c r="C33" s="304"/>
      <c r="D33" s="257"/>
      <c r="E33" s="245"/>
      <c r="F33" s="5"/>
      <c r="G33" s="239"/>
      <c r="H33" s="281"/>
      <c r="I33" s="241"/>
    </row>
    <row r="34" spans="1:9" x14ac:dyDescent="0.25">
      <c r="A34" s="303"/>
      <c r="B34" s="303"/>
      <c r="C34" s="304"/>
      <c r="D34" s="257"/>
      <c r="E34" s="245"/>
      <c r="F34" s="5"/>
      <c r="G34" s="258"/>
      <c r="H34" s="281"/>
      <c r="I34" s="241"/>
    </row>
    <row r="35" spans="1:9" ht="15.75" x14ac:dyDescent="0.25">
      <c r="A35" s="303"/>
      <c r="B35" s="303"/>
      <c r="C35" s="304"/>
      <c r="D35" s="2"/>
      <c r="E35" s="245"/>
      <c r="F35" s="5"/>
      <c r="G35" s="52"/>
      <c r="H35" s="281"/>
      <c r="I35" s="241"/>
    </row>
    <row r="36" spans="1:9" x14ac:dyDescent="0.25">
      <c r="A36" s="242"/>
      <c r="B36" s="242"/>
      <c r="C36" s="305"/>
      <c r="D36" s="257"/>
      <c r="E36" s="295"/>
      <c r="F36" s="295"/>
      <c r="G36" s="52"/>
      <c r="H36" s="240"/>
      <c r="I36" s="241"/>
    </row>
    <row r="37" spans="1:9" ht="15.75" thickBot="1" x14ac:dyDescent="0.3">
      <c r="A37" s="259"/>
      <c r="B37" s="260"/>
      <c r="C37" s="261" t="s">
        <v>215</v>
      </c>
      <c r="D37" s="261"/>
      <c r="E37" s="262"/>
      <c r="F37" s="263"/>
      <c r="G37" s="261"/>
      <c r="H37" s="261"/>
      <c r="I37" s="264"/>
    </row>
    <row r="38" spans="1:9" ht="15.75" thickBot="1" x14ac:dyDescent="0.3">
      <c r="A38" s="267"/>
      <c r="B38" s="268"/>
      <c r="C38" s="269" t="s">
        <v>215</v>
      </c>
      <c r="D38" s="270" t="s">
        <v>13</v>
      </c>
      <c r="E38" s="271" t="s">
        <v>12</v>
      </c>
      <c r="F38" s="272"/>
      <c r="G38" s="269"/>
      <c r="H38" s="269"/>
      <c r="I38" s="273"/>
    </row>
    <row r="39" spans="1:9" x14ac:dyDescent="0.25">
      <c r="A39" s="551" t="s">
        <v>11</v>
      </c>
      <c r="B39" s="552"/>
      <c r="C39" s="553"/>
      <c r="D39" s="306">
        <v>3000</v>
      </c>
      <c r="E39" s="307" t="s">
        <v>1</v>
      </c>
      <c r="F39" s="554" t="s">
        <v>10</v>
      </c>
      <c r="G39" s="554"/>
      <c r="H39" s="555"/>
      <c r="I39" s="556"/>
    </row>
    <row r="40" spans="1:9" x14ac:dyDescent="0.25">
      <c r="A40" s="557" t="s">
        <v>9</v>
      </c>
      <c r="B40" s="558"/>
      <c r="C40" s="559"/>
      <c r="D40" s="284">
        <v>5</v>
      </c>
      <c r="E40" s="284" t="s">
        <v>8</v>
      </c>
      <c r="F40" s="560" t="s">
        <v>7</v>
      </c>
      <c r="G40" s="560"/>
      <c r="H40" s="561"/>
      <c r="I40" s="562"/>
    </row>
    <row r="41" spans="1:9" x14ac:dyDescent="0.25">
      <c r="A41" s="557" t="s">
        <v>6</v>
      </c>
      <c r="B41" s="558"/>
      <c r="C41" s="559"/>
      <c r="D41" s="294">
        <v>3</v>
      </c>
      <c r="E41" s="284" t="s">
        <v>230</v>
      </c>
      <c r="F41" s="560" t="s">
        <v>5</v>
      </c>
      <c r="G41" s="560"/>
      <c r="H41" s="561"/>
      <c r="I41" s="562"/>
    </row>
    <row r="42" spans="1:9" x14ac:dyDescent="0.25">
      <c r="A42" s="557" t="s">
        <v>4</v>
      </c>
      <c r="B42" s="558"/>
      <c r="C42" s="559"/>
      <c r="D42" s="294">
        <v>1000</v>
      </c>
      <c r="E42" s="284" t="s">
        <v>1</v>
      </c>
      <c r="F42" s="563" t="s">
        <v>3</v>
      </c>
      <c r="G42" s="564"/>
      <c r="H42" s="565"/>
      <c r="I42" s="566"/>
    </row>
    <row r="43" spans="1:9" ht="15.75" thickBot="1" x14ac:dyDescent="0.3">
      <c r="A43" s="571" t="s">
        <v>2</v>
      </c>
      <c r="B43" s="572"/>
      <c r="C43" s="573"/>
      <c r="D43" s="308">
        <v>77</v>
      </c>
      <c r="E43" s="309" t="s">
        <v>1</v>
      </c>
      <c r="F43" s="574"/>
      <c r="G43" s="574"/>
      <c r="H43" s="561"/>
      <c r="I43" s="562"/>
    </row>
    <row r="44" spans="1:9" ht="15.75" thickBot="1" x14ac:dyDescent="0.3">
      <c r="A44" s="575" t="s">
        <v>0</v>
      </c>
      <c r="B44" s="576"/>
      <c r="C44" s="576"/>
      <c r="D44" s="576"/>
      <c r="E44" s="576"/>
      <c r="F44" s="576"/>
      <c r="G44" s="576"/>
      <c r="H44" s="576"/>
      <c r="I44" s="577"/>
    </row>
    <row r="45" spans="1:9" ht="14.45" customHeight="1" x14ac:dyDescent="0.25">
      <c r="A45" s="606" t="s">
        <v>231</v>
      </c>
      <c r="B45" s="607"/>
      <c r="C45" s="607"/>
      <c r="D45" s="607"/>
      <c r="E45" s="607"/>
      <c r="F45" s="607"/>
      <c r="G45" s="607"/>
      <c r="H45" s="607"/>
      <c r="I45" s="608"/>
    </row>
    <row r="46" spans="1:9" ht="15.6" customHeight="1" x14ac:dyDescent="0.25">
      <c r="A46" s="609" t="s">
        <v>232</v>
      </c>
      <c r="B46" s="610"/>
      <c r="C46" s="610"/>
      <c r="D46" s="610"/>
      <c r="E46" s="610"/>
      <c r="F46" s="610"/>
      <c r="G46" s="610"/>
      <c r="H46" s="610"/>
      <c r="I46" s="611"/>
    </row>
    <row r="47" spans="1:9" ht="14.45" customHeight="1" x14ac:dyDescent="0.25">
      <c r="A47" s="609" t="s">
        <v>233</v>
      </c>
      <c r="B47" s="610"/>
      <c r="C47" s="610"/>
      <c r="D47" s="610"/>
      <c r="E47" s="610"/>
      <c r="F47" s="610"/>
      <c r="G47" s="610"/>
      <c r="H47" s="610"/>
      <c r="I47" s="611"/>
    </row>
    <row r="48" spans="1:9" ht="14.45" customHeight="1" x14ac:dyDescent="0.25">
      <c r="A48" s="612" t="s">
        <v>234</v>
      </c>
      <c r="B48" s="613"/>
      <c r="C48" s="613"/>
      <c r="D48" s="613"/>
      <c r="E48" s="613"/>
      <c r="F48" s="613"/>
      <c r="G48" s="613"/>
      <c r="H48" s="613"/>
      <c r="I48" s="614"/>
    </row>
    <row r="49" spans="1:9" x14ac:dyDescent="0.25">
      <c r="A49" s="615"/>
      <c r="B49" s="616"/>
      <c r="C49" s="616"/>
      <c r="D49" s="616"/>
      <c r="E49" s="616"/>
      <c r="F49" s="616"/>
      <c r="G49" s="616"/>
      <c r="H49" s="616"/>
      <c r="I49" s="617"/>
    </row>
    <row r="50" spans="1:9" ht="14.45" customHeight="1" x14ac:dyDescent="0.25">
      <c r="A50" s="604"/>
      <c r="B50" s="605"/>
      <c r="C50" s="605"/>
      <c r="D50" s="605"/>
      <c r="E50" s="605"/>
      <c r="F50" s="605"/>
      <c r="G50" s="605"/>
      <c r="H50" s="605"/>
      <c r="I50" s="583"/>
    </row>
    <row r="51" spans="1:9" ht="14.45" customHeight="1" x14ac:dyDescent="0.25">
      <c r="A51" s="604"/>
      <c r="B51" s="605"/>
      <c r="C51" s="605"/>
      <c r="D51" s="605"/>
      <c r="E51" s="605"/>
      <c r="F51" s="605"/>
      <c r="G51" s="605"/>
      <c r="H51" s="605"/>
      <c r="I51" s="583"/>
    </row>
    <row r="52" spans="1:9" ht="18" customHeight="1" x14ac:dyDescent="0.25">
      <c r="A52" s="604"/>
      <c r="B52" s="605"/>
      <c r="C52" s="605"/>
      <c r="D52" s="605"/>
      <c r="E52" s="605"/>
      <c r="F52" s="605"/>
      <c r="G52" s="605"/>
      <c r="H52" s="605"/>
      <c r="I52" s="583"/>
    </row>
    <row r="53" spans="1:9" ht="14.45" customHeight="1" x14ac:dyDescent="0.25">
      <c r="A53" s="604"/>
      <c r="B53" s="605"/>
      <c r="C53" s="605"/>
      <c r="D53" s="605"/>
      <c r="E53" s="605"/>
      <c r="F53" s="605"/>
      <c r="G53" s="605"/>
      <c r="H53" s="605"/>
      <c r="I53" s="583"/>
    </row>
    <row r="54" spans="1:9" ht="14.45" customHeight="1" thickBot="1" x14ac:dyDescent="0.3">
      <c r="A54" s="604"/>
      <c r="B54" s="605"/>
      <c r="C54" s="605"/>
      <c r="D54" s="605"/>
      <c r="E54" s="605"/>
      <c r="F54" s="605"/>
      <c r="G54" s="605"/>
      <c r="H54" s="605"/>
      <c r="I54" s="583"/>
    </row>
    <row r="55" spans="1:9" ht="14.45" customHeight="1" x14ac:dyDescent="0.25">
      <c r="A55" s="458" t="s">
        <v>33</v>
      </c>
      <c r="B55" s="459"/>
      <c r="C55" s="459"/>
      <c r="D55" s="459"/>
      <c r="E55" s="459"/>
      <c r="F55" s="459"/>
      <c r="G55" s="459"/>
      <c r="H55" s="459"/>
      <c r="I55" s="459"/>
    </row>
    <row r="56" spans="1:9" x14ac:dyDescent="0.25">
      <c r="A56" s="460"/>
      <c r="B56" s="461"/>
      <c r="C56" s="461"/>
      <c r="D56" s="461"/>
      <c r="E56" s="461"/>
      <c r="F56" s="461"/>
      <c r="G56" s="461"/>
      <c r="H56" s="461"/>
      <c r="I56" s="461"/>
    </row>
    <row r="57" spans="1:9" x14ac:dyDescent="0.25">
      <c r="A57" s="460"/>
      <c r="B57" s="461"/>
      <c r="C57" s="461"/>
      <c r="D57" s="461"/>
      <c r="E57" s="461"/>
      <c r="F57" s="461"/>
      <c r="G57" s="461"/>
      <c r="H57" s="461"/>
      <c r="I57" s="46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67F3-63D5-4112-88A9-069CC46C7C20}">
  <dimension ref="A1:K27"/>
  <sheetViews>
    <sheetView workbookViewId="0">
      <selection activeCell="E13" sqref="E13"/>
    </sheetView>
  </sheetViews>
  <sheetFormatPr baseColWidth="10" defaultColWidth="9.85546875" defaultRowHeight="15.75" x14ac:dyDescent="0.25"/>
  <cols>
    <col min="1" max="1" width="12.85546875" style="144" customWidth="1"/>
    <col min="2" max="2" width="29.7109375" style="312" customWidth="1"/>
    <col min="3" max="3" width="13" style="312" customWidth="1"/>
    <col min="4" max="4" width="11.28515625" style="312" customWidth="1"/>
    <col min="5" max="5" width="11.42578125" style="312" customWidth="1"/>
    <col min="6" max="6" width="11.28515625" style="312" customWidth="1"/>
    <col min="7" max="7" width="12.28515625" style="312" customWidth="1"/>
    <col min="8" max="8" width="17.28515625" style="312" customWidth="1"/>
    <col min="9" max="9" width="8.28515625" style="312" customWidth="1"/>
    <col min="10" max="256" width="9.85546875" style="312"/>
    <col min="257" max="257" width="12.85546875" style="312" customWidth="1"/>
    <col min="258" max="258" width="29.7109375" style="312" customWidth="1"/>
    <col min="259" max="259" width="13" style="312" customWidth="1"/>
    <col min="260" max="260" width="11.28515625" style="312" customWidth="1"/>
    <col min="261" max="261" width="11.42578125" style="312" customWidth="1"/>
    <col min="262" max="262" width="11.28515625" style="312" customWidth="1"/>
    <col min="263" max="263" width="12.28515625" style="312" customWidth="1"/>
    <col min="264" max="264" width="17.28515625" style="312" customWidth="1"/>
    <col min="265" max="265" width="8.28515625" style="312" customWidth="1"/>
    <col min="266" max="512" width="9.85546875" style="312"/>
    <col min="513" max="513" width="12.85546875" style="312" customWidth="1"/>
    <col min="514" max="514" width="29.7109375" style="312" customWidth="1"/>
    <col min="515" max="515" width="13" style="312" customWidth="1"/>
    <col min="516" max="516" width="11.28515625" style="312" customWidth="1"/>
    <col min="517" max="517" width="11.42578125" style="312" customWidth="1"/>
    <col min="518" max="518" width="11.28515625" style="312" customWidth="1"/>
    <col min="519" max="519" width="12.28515625" style="312" customWidth="1"/>
    <col min="520" max="520" width="17.28515625" style="312" customWidth="1"/>
    <col min="521" max="521" width="8.28515625" style="312" customWidth="1"/>
    <col min="522" max="768" width="9.85546875" style="312"/>
    <col min="769" max="769" width="12.85546875" style="312" customWidth="1"/>
    <col min="770" max="770" width="29.7109375" style="312" customWidth="1"/>
    <col min="771" max="771" width="13" style="312" customWidth="1"/>
    <col min="772" max="772" width="11.28515625" style="312" customWidth="1"/>
    <col min="773" max="773" width="11.42578125" style="312" customWidth="1"/>
    <col min="774" max="774" width="11.28515625" style="312" customWidth="1"/>
    <col min="775" max="775" width="12.28515625" style="312" customWidth="1"/>
    <col min="776" max="776" width="17.28515625" style="312" customWidth="1"/>
    <col min="777" max="777" width="8.28515625" style="312" customWidth="1"/>
    <col min="778" max="1024" width="9.85546875" style="312"/>
    <col min="1025" max="1025" width="12.85546875" style="312" customWidth="1"/>
    <col min="1026" max="1026" width="29.7109375" style="312" customWidth="1"/>
    <col min="1027" max="1027" width="13" style="312" customWidth="1"/>
    <col min="1028" max="1028" width="11.28515625" style="312" customWidth="1"/>
    <col min="1029" max="1029" width="11.42578125" style="312" customWidth="1"/>
    <col min="1030" max="1030" width="11.28515625" style="312" customWidth="1"/>
    <col min="1031" max="1031" width="12.28515625" style="312" customWidth="1"/>
    <col min="1032" max="1032" width="17.28515625" style="312" customWidth="1"/>
    <col min="1033" max="1033" width="8.28515625" style="312" customWidth="1"/>
    <col min="1034" max="1280" width="9.85546875" style="312"/>
    <col min="1281" max="1281" width="12.85546875" style="312" customWidth="1"/>
    <col min="1282" max="1282" width="29.7109375" style="312" customWidth="1"/>
    <col min="1283" max="1283" width="13" style="312" customWidth="1"/>
    <col min="1284" max="1284" width="11.28515625" style="312" customWidth="1"/>
    <col min="1285" max="1285" width="11.42578125" style="312" customWidth="1"/>
    <col min="1286" max="1286" width="11.28515625" style="312" customWidth="1"/>
    <col min="1287" max="1287" width="12.28515625" style="312" customWidth="1"/>
    <col min="1288" max="1288" width="17.28515625" style="312" customWidth="1"/>
    <col min="1289" max="1289" width="8.28515625" style="312" customWidth="1"/>
    <col min="1290" max="1536" width="9.85546875" style="312"/>
    <col min="1537" max="1537" width="12.85546875" style="312" customWidth="1"/>
    <col min="1538" max="1538" width="29.7109375" style="312" customWidth="1"/>
    <col min="1539" max="1539" width="13" style="312" customWidth="1"/>
    <col min="1540" max="1540" width="11.28515625" style="312" customWidth="1"/>
    <col min="1541" max="1541" width="11.42578125" style="312" customWidth="1"/>
    <col min="1542" max="1542" width="11.28515625" style="312" customWidth="1"/>
    <col min="1543" max="1543" width="12.28515625" style="312" customWidth="1"/>
    <col min="1544" max="1544" width="17.28515625" style="312" customWidth="1"/>
    <col min="1545" max="1545" width="8.28515625" style="312" customWidth="1"/>
    <col min="1546" max="1792" width="9.85546875" style="312"/>
    <col min="1793" max="1793" width="12.85546875" style="312" customWidth="1"/>
    <col min="1794" max="1794" width="29.7109375" style="312" customWidth="1"/>
    <col min="1795" max="1795" width="13" style="312" customWidth="1"/>
    <col min="1796" max="1796" width="11.28515625" style="312" customWidth="1"/>
    <col min="1797" max="1797" width="11.42578125" style="312" customWidth="1"/>
    <col min="1798" max="1798" width="11.28515625" style="312" customWidth="1"/>
    <col min="1799" max="1799" width="12.28515625" style="312" customWidth="1"/>
    <col min="1800" max="1800" width="17.28515625" style="312" customWidth="1"/>
    <col min="1801" max="1801" width="8.28515625" style="312" customWidth="1"/>
    <col min="1802" max="2048" width="9.85546875" style="312"/>
    <col min="2049" max="2049" width="12.85546875" style="312" customWidth="1"/>
    <col min="2050" max="2050" width="29.7109375" style="312" customWidth="1"/>
    <col min="2051" max="2051" width="13" style="312" customWidth="1"/>
    <col min="2052" max="2052" width="11.28515625" style="312" customWidth="1"/>
    <col min="2053" max="2053" width="11.42578125" style="312" customWidth="1"/>
    <col min="2054" max="2054" width="11.28515625" style="312" customWidth="1"/>
    <col min="2055" max="2055" width="12.28515625" style="312" customWidth="1"/>
    <col min="2056" max="2056" width="17.28515625" style="312" customWidth="1"/>
    <col min="2057" max="2057" width="8.28515625" style="312" customWidth="1"/>
    <col min="2058" max="2304" width="9.85546875" style="312"/>
    <col min="2305" max="2305" width="12.85546875" style="312" customWidth="1"/>
    <col min="2306" max="2306" width="29.7109375" style="312" customWidth="1"/>
    <col min="2307" max="2307" width="13" style="312" customWidth="1"/>
    <col min="2308" max="2308" width="11.28515625" style="312" customWidth="1"/>
    <col min="2309" max="2309" width="11.42578125" style="312" customWidth="1"/>
    <col min="2310" max="2310" width="11.28515625" style="312" customWidth="1"/>
    <col min="2311" max="2311" width="12.28515625" style="312" customWidth="1"/>
    <col min="2312" max="2312" width="17.28515625" style="312" customWidth="1"/>
    <col min="2313" max="2313" width="8.28515625" style="312" customWidth="1"/>
    <col min="2314" max="2560" width="9.85546875" style="312"/>
    <col min="2561" max="2561" width="12.85546875" style="312" customWidth="1"/>
    <col min="2562" max="2562" width="29.7109375" style="312" customWidth="1"/>
    <col min="2563" max="2563" width="13" style="312" customWidth="1"/>
    <col min="2564" max="2564" width="11.28515625" style="312" customWidth="1"/>
    <col min="2565" max="2565" width="11.42578125" style="312" customWidth="1"/>
    <col min="2566" max="2566" width="11.28515625" style="312" customWidth="1"/>
    <col min="2567" max="2567" width="12.28515625" style="312" customWidth="1"/>
    <col min="2568" max="2568" width="17.28515625" style="312" customWidth="1"/>
    <col min="2569" max="2569" width="8.28515625" style="312" customWidth="1"/>
    <col min="2570" max="2816" width="9.85546875" style="312"/>
    <col min="2817" max="2817" width="12.85546875" style="312" customWidth="1"/>
    <col min="2818" max="2818" width="29.7109375" style="312" customWidth="1"/>
    <col min="2819" max="2819" width="13" style="312" customWidth="1"/>
    <col min="2820" max="2820" width="11.28515625" style="312" customWidth="1"/>
    <col min="2821" max="2821" width="11.42578125" style="312" customWidth="1"/>
    <col min="2822" max="2822" width="11.28515625" style="312" customWidth="1"/>
    <col min="2823" max="2823" width="12.28515625" style="312" customWidth="1"/>
    <col min="2824" max="2824" width="17.28515625" style="312" customWidth="1"/>
    <col min="2825" max="2825" width="8.28515625" style="312" customWidth="1"/>
    <col min="2826" max="3072" width="9.85546875" style="312"/>
    <col min="3073" max="3073" width="12.85546875" style="312" customWidth="1"/>
    <col min="3074" max="3074" width="29.7109375" style="312" customWidth="1"/>
    <col min="3075" max="3075" width="13" style="312" customWidth="1"/>
    <col min="3076" max="3076" width="11.28515625" style="312" customWidth="1"/>
    <col min="3077" max="3077" width="11.42578125" style="312" customWidth="1"/>
    <col min="3078" max="3078" width="11.28515625" style="312" customWidth="1"/>
    <col min="3079" max="3079" width="12.28515625" style="312" customWidth="1"/>
    <col min="3080" max="3080" width="17.28515625" style="312" customWidth="1"/>
    <col min="3081" max="3081" width="8.28515625" style="312" customWidth="1"/>
    <col min="3082" max="3328" width="9.85546875" style="312"/>
    <col min="3329" max="3329" width="12.85546875" style="312" customWidth="1"/>
    <col min="3330" max="3330" width="29.7109375" style="312" customWidth="1"/>
    <col min="3331" max="3331" width="13" style="312" customWidth="1"/>
    <col min="3332" max="3332" width="11.28515625" style="312" customWidth="1"/>
    <col min="3333" max="3333" width="11.42578125" style="312" customWidth="1"/>
    <col min="3334" max="3334" width="11.28515625" style="312" customWidth="1"/>
    <col min="3335" max="3335" width="12.28515625" style="312" customWidth="1"/>
    <col min="3336" max="3336" width="17.28515625" style="312" customWidth="1"/>
    <col min="3337" max="3337" width="8.28515625" style="312" customWidth="1"/>
    <col min="3338" max="3584" width="9.85546875" style="312"/>
    <col min="3585" max="3585" width="12.85546875" style="312" customWidth="1"/>
    <col min="3586" max="3586" width="29.7109375" style="312" customWidth="1"/>
    <col min="3587" max="3587" width="13" style="312" customWidth="1"/>
    <col min="3588" max="3588" width="11.28515625" style="312" customWidth="1"/>
    <col min="3589" max="3589" width="11.42578125" style="312" customWidth="1"/>
    <col min="3590" max="3590" width="11.28515625" style="312" customWidth="1"/>
    <col min="3591" max="3591" width="12.28515625" style="312" customWidth="1"/>
    <col min="3592" max="3592" width="17.28515625" style="312" customWidth="1"/>
    <col min="3593" max="3593" width="8.28515625" style="312" customWidth="1"/>
    <col min="3594" max="3840" width="9.85546875" style="312"/>
    <col min="3841" max="3841" width="12.85546875" style="312" customWidth="1"/>
    <col min="3842" max="3842" width="29.7109375" style="312" customWidth="1"/>
    <col min="3843" max="3843" width="13" style="312" customWidth="1"/>
    <col min="3844" max="3844" width="11.28515625" style="312" customWidth="1"/>
    <col min="3845" max="3845" width="11.42578125" style="312" customWidth="1"/>
    <col min="3846" max="3846" width="11.28515625" style="312" customWidth="1"/>
    <col min="3847" max="3847" width="12.28515625" style="312" customWidth="1"/>
    <col min="3848" max="3848" width="17.28515625" style="312" customWidth="1"/>
    <col min="3849" max="3849" width="8.28515625" style="312" customWidth="1"/>
    <col min="3850" max="4096" width="9.85546875" style="312"/>
    <col min="4097" max="4097" width="12.85546875" style="312" customWidth="1"/>
    <col min="4098" max="4098" width="29.7109375" style="312" customWidth="1"/>
    <col min="4099" max="4099" width="13" style="312" customWidth="1"/>
    <col min="4100" max="4100" width="11.28515625" style="312" customWidth="1"/>
    <col min="4101" max="4101" width="11.42578125" style="312" customWidth="1"/>
    <col min="4102" max="4102" width="11.28515625" style="312" customWidth="1"/>
    <col min="4103" max="4103" width="12.28515625" style="312" customWidth="1"/>
    <col min="4104" max="4104" width="17.28515625" style="312" customWidth="1"/>
    <col min="4105" max="4105" width="8.28515625" style="312" customWidth="1"/>
    <col min="4106" max="4352" width="9.85546875" style="312"/>
    <col min="4353" max="4353" width="12.85546875" style="312" customWidth="1"/>
    <col min="4354" max="4354" width="29.7109375" style="312" customWidth="1"/>
    <col min="4355" max="4355" width="13" style="312" customWidth="1"/>
    <col min="4356" max="4356" width="11.28515625" style="312" customWidth="1"/>
    <col min="4357" max="4357" width="11.42578125" style="312" customWidth="1"/>
    <col min="4358" max="4358" width="11.28515625" style="312" customWidth="1"/>
    <col min="4359" max="4359" width="12.28515625" style="312" customWidth="1"/>
    <col min="4360" max="4360" width="17.28515625" style="312" customWidth="1"/>
    <col min="4361" max="4361" width="8.28515625" style="312" customWidth="1"/>
    <col min="4362" max="4608" width="9.85546875" style="312"/>
    <col min="4609" max="4609" width="12.85546875" style="312" customWidth="1"/>
    <col min="4610" max="4610" width="29.7109375" style="312" customWidth="1"/>
    <col min="4611" max="4611" width="13" style="312" customWidth="1"/>
    <col min="4612" max="4612" width="11.28515625" style="312" customWidth="1"/>
    <col min="4613" max="4613" width="11.42578125" style="312" customWidth="1"/>
    <col min="4614" max="4614" width="11.28515625" style="312" customWidth="1"/>
    <col min="4615" max="4615" width="12.28515625" style="312" customWidth="1"/>
    <col min="4616" max="4616" width="17.28515625" style="312" customWidth="1"/>
    <col min="4617" max="4617" width="8.28515625" style="312" customWidth="1"/>
    <col min="4618" max="4864" width="9.85546875" style="312"/>
    <col min="4865" max="4865" width="12.85546875" style="312" customWidth="1"/>
    <col min="4866" max="4866" width="29.7109375" style="312" customWidth="1"/>
    <col min="4867" max="4867" width="13" style="312" customWidth="1"/>
    <col min="4868" max="4868" width="11.28515625" style="312" customWidth="1"/>
    <col min="4869" max="4869" width="11.42578125" style="312" customWidth="1"/>
    <col min="4870" max="4870" width="11.28515625" style="312" customWidth="1"/>
    <col min="4871" max="4871" width="12.28515625" style="312" customWidth="1"/>
    <col min="4872" max="4872" width="17.28515625" style="312" customWidth="1"/>
    <col min="4873" max="4873" width="8.28515625" style="312" customWidth="1"/>
    <col min="4874" max="5120" width="9.85546875" style="312"/>
    <col min="5121" max="5121" width="12.85546875" style="312" customWidth="1"/>
    <col min="5122" max="5122" width="29.7109375" style="312" customWidth="1"/>
    <col min="5123" max="5123" width="13" style="312" customWidth="1"/>
    <col min="5124" max="5124" width="11.28515625" style="312" customWidth="1"/>
    <col min="5125" max="5125" width="11.42578125" style="312" customWidth="1"/>
    <col min="5126" max="5126" width="11.28515625" style="312" customWidth="1"/>
    <col min="5127" max="5127" width="12.28515625" style="312" customWidth="1"/>
    <col min="5128" max="5128" width="17.28515625" style="312" customWidth="1"/>
    <col min="5129" max="5129" width="8.28515625" style="312" customWidth="1"/>
    <col min="5130" max="5376" width="9.85546875" style="312"/>
    <col min="5377" max="5377" width="12.85546875" style="312" customWidth="1"/>
    <col min="5378" max="5378" width="29.7109375" style="312" customWidth="1"/>
    <col min="5379" max="5379" width="13" style="312" customWidth="1"/>
    <col min="5380" max="5380" width="11.28515625" style="312" customWidth="1"/>
    <col min="5381" max="5381" width="11.42578125" style="312" customWidth="1"/>
    <col min="5382" max="5382" width="11.28515625" style="312" customWidth="1"/>
    <col min="5383" max="5383" width="12.28515625" style="312" customWidth="1"/>
    <col min="5384" max="5384" width="17.28515625" style="312" customWidth="1"/>
    <col min="5385" max="5385" width="8.28515625" style="312" customWidth="1"/>
    <col min="5386" max="5632" width="9.85546875" style="312"/>
    <col min="5633" max="5633" width="12.85546875" style="312" customWidth="1"/>
    <col min="5634" max="5634" width="29.7109375" style="312" customWidth="1"/>
    <col min="5635" max="5635" width="13" style="312" customWidth="1"/>
    <col min="5636" max="5636" width="11.28515625" style="312" customWidth="1"/>
    <col min="5637" max="5637" width="11.42578125" style="312" customWidth="1"/>
    <col min="5638" max="5638" width="11.28515625" style="312" customWidth="1"/>
    <col min="5639" max="5639" width="12.28515625" style="312" customWidth="1"/>
    <col min="5640" max="5640" width="17.28515625" style="312" customWidth="1"/>
    <col min="5641" max="5641" width="8.28515625" style="312" customWidth="1"/>
    <col min="5642" max="5888" width="9.85546875" style="312"/>
    <col min="5889" max="5889" width="12.85546875" style="312" customWidth="1"/>
    <col min="5890" max="5890" width="29.7109375" style="312" customWidth="1"/>
    <col min="5891" max="5891" width="13" style="312" customWidth="1"/>
    <col min="5892" max="5892" width="11.28515625" style="312" customWidth="1"/>
    <col min="5893" max="5893" width="11.42578125" style="312" customWidth="1"/>
    <col min="5894" max="5894" width="11.28515625" style="312" customWidth="1"/>
    <col min="5895" max="5895" width="12.28515625" style="312" customWidth="1"/>
    <col min="5896" max="5896" width="17.28515625" style="312" customWidth="1"/>
    <col min="5897" max="5897" width="8.28515625" style="312" customWidth="1"/>
    <col min="5898" max="6144" width="9.85546875" style="312"/>
    <col min="6145" max="6145" width="12.85546875" style="312" customWidth="1"/>
    <col min="6146" max="6146" width="29.7109375" style="312" customWidth="1"/>
    <col min="6147" max="6147" width="13" style="312" customWidth="1"/>
    <col min="6148" max="6148" width="11.28515625" style="312" customWidth="1"/>
    <col min="6149" max="6149" width="11.42578125" style="312" customWidth="1"/>
    <col min="6150" max="6150" width="11.28515625" style="312" customWidth="1"/>
    <col min="6151" max="6151" width="12.28515625" style="312" customWidth="1"/>
    <col min="6152" max="6152" width="17.28515625" style="312" customWidth="1"/>
    <col min="6153" max="6153" width="8.28515625" style="312" customWidth="1"/>
    <col min="6154" max="6400" width="9.85546875" style="312"/>
    <col min="6401" max="6401" width="12.85546875" style="312" customWidth="1"/>
    <col min="6402" max="6402" width="29.7109375" style="312" customWidth="1"/>
    <col min="6403" max="6403" width="13" style="312" customWidth="1"/>
    <col min="6404" max="6404" width="11.28515625" style="312" customWidth="1"/>
    <col min="6405" max="6405" width="11.42578125" style="312" customWidth="1"/>
    <col min="6406" max="6406" width="11.28515625" style="312" customWidth="1"/>
    <col min="6407" max="6407" width="12.28515625" style="312" customWidth="1"/>
    <col min="6408" max="6408" width="17.28515625" style="312" customWidth="1"/>
    <col min="6409" max="6409" width="8.28515625" style="312" customWidth="1"/>
    <col min="6410" max="6656" width="9.85546875" style="312"/>
    <col min="6657" max="6657" width="12.85546875" style="312" customWidth="1"/>
    <col min="6658" max="6658" width="29.7109375" style="312" customWidth="1"/>
    <col min="6659" max="6659" width="13" style="312" customWidth="1"/>
    <col min="6660" max="6660" width="11.28515625" style="312" customWidth="1"/>
    <col min="6661" max="6661" width="11.42578125" style="312" customWidth="1"/>
    <col min="6662" max="6662" width="11.28515625" style="312" customWidth="1"/>
    <col min="6663" max="6663" width="12.28515625" style="312" customWidth="1"/>
    <col min="6664" max="6664" width="17.28515625" style="312" customWidth="1"/>
    <col min="6665" max="6665" width="8.28515625" style="312" customWidth="1"/>
    <col min="6666" max="6912" width="9.85546875" style="312"/>
    <col min="6913" max="6913" width="12.85546875" style="312" customWidth="1"/>
    <col min="6914" max="6914" width="29.7109375" style="312" customWidth="1"/>
    <col min="6915" max="6915" width="13" style="312" customWidth="1"/>
    <col min="6916" max="6916" width="11.28515625" style="312" customWidth="1"/>
    <col min="6917" max="6917" width="11.42578125" style="312" customWidth="1"/>
    <col min="6918" max="6918" width="11.28515625" style="312" customWidth="1"/>
    <col min="6919" max="6919" width="12.28515625" style="312" customWidth="1"/>
    <col min="6920" max="6920" width="17.28515625" style="312" customWidth="1"/>
    <col min="6921" max="6921" width="8.28515625" style="312" customWidth="1"/>
    <col min="6922" max="7168" width="9.85546875" style="312"/>
    <col min="7169" max="7169" width="12.85546875" style="312" customWidth="1"/>
    <col min="7170" max="7170" width="29.7109375" style="312" customWidth="1"/>
    <col min="7171" max="7171" width="13" style="312" customWidth="1"/>
    <col min="7172" max="7172" width="11.28515625" style="312" customWidth="1"/>
    <col min="7173" max="7173" width="11.42578125" style="312" customWidth="1"/>
    <col min="7174" max="7174" width="11.28515625" style="312" customWidth="1"/>
    <col min="7175" max="7175" width="12.28515625" style="312" customWidth="1"/>
    <col min="7176" max="7176" width="17.28515625" style="312" customWidth="1"/>
    <col min="7177" max="7177" width="8.28515625" style="312" customWidth="1"/>
    <col min="7178" max="7424" width="9.85546875" style="312"/>
    <col min="7425" max="7425" width="12.85546875" style="312" customWidth="1"/>
    <col min="7426" max="7426" width="29.7109375" style="312" customWidth="1"/>
    <col min="7427" max="7427" width="13" style="312" customWidth="1"/>
    <col min="7428" max="7428" width="11.28515625" style="312" customWidth="1"/>
    <col min="7429" max="7429" width="11.42578125" style="312" customWidth="1"/>
    <col min="7430" max="7430" width="11.28515625" style="312" customWidth="1"/>
    <col min="7431" max="7431" width="12.28515625" style="312" customWidth="1"/>
    <col min="7432" max="7432" width="17.28515625" style="312" customWidth="1"/>
    <col min="7433" max="7433" width="8.28515625" style="312" customWidth="1"/>
    <col min="7434" max="7680" width="9.85546875" style="312"/>
    <col min="7681" max="7681" width="12.85546875" style="312" customWidth="1"/>
    <col min="7682" max="7682" width="29.7109375" style="312" customWidth="1"/>
    <col min="7683" max="7683" width="13" style="312" customWidth="1"/>
    <col min="7684" max="7684" width="11.28515625" style="312" customWidth="1"/>
    <col min="7685" max="7685" width="11.42578125" style="312" customWidth="1"/>
    <col min="7686" max="7686" width="11.28515625" style="312" customWidth="1"/>
    <col min="7687" max="7687" width="12.28515625" style="312" customWidth="1"/>
    <col min="7688" max="7688" width="17.28515625" style="312" customWidth="1"/>
    <col min="7689" max="7689" width="8.28515625" style="312" customWidth="1"/>
    <col min="7690" max="7936" width="9.85546875" style="312"/>
    <col min="7937" max="7937" width="12.85546875" style="312" customWidth="1"/>
    <col min="7938" max="7938" width="29.7109375" style="312" customWidth="1"/>
    <col min="7939" max="7939" width="13" style="312" customWidth="1"/>
    <col min="7940" max="7940" width="11.28515625" style="312" customWidth="1"/>
    <col min="7941" max="7941" width="11.42578125" style="312" customWidth="1"/>
    <col min="7942" max="7942" width="11.28515625" style="312" customWidth="1"/>
    <col min="7943" max="7943" width="12.28515625" style="312" customWidth="1"/>
    <col min="7944" max="7944" width="17.28515625" style="312" customWidth="1"/>
    <col min="7945" max="7945" width="8.28515625" style="312" customWidth="1"/>
    <col min="7946" max="8192" width="9.85546875" style="312"/>
    <col min="8193" max="8193" width="12.85546875" style="312" customWidth="1"/>
    <col min="8194" max="8194" width="29.7109375" style="312" customWidth="1"/>
    <col min="8195" max="8195" width="13" style="312" customWidth="1"/>
    <col min="8196" max="8196" width="11.28515625" style="312" customWidth="1"/>
    <col min="8197" max="8197" width="11.42578125" style="312" customWidth="1"/>
    <col min="8198" max="8198" width="11.28515625" style="312" customWidth="1"/>
    <col min="8199" max="8199" width="12.28515625" style="312" customWidth="1"/>
    <col min="8200" max="8200" width="17.28515625" style="312" customWidth="1"/>
    <col min="8201" max="8201" width="8.28515625" style="312" customWidth="1"/>
    <col min="8202" max="8448" width="9.85546875" style="312"/>
    <col min="8449" max="8449" width="12.85546875" style="312" customWidth="1"/>
    <col min="8450" max="8450" width="29.7109375" style="312" customWidth="1"/>
    <col min="8451" max="8451" width="13" style="312" customWidth="1"/>
    <col min="8452" max="8452" width="11.28515625" style="312" customWidth="1"/>
    <col min="8453" max="8453" width="11.42578125" style="312" customWidth="1"/>
    <col min="8454" max="8454" width="11.28515625" style="312" customWidth="1"/>
    <col min="8455" max="8455" width="12.28515625" style="312" customWidth="1"/>
    <col min="8456" max="8456" width="17.28515625" style="312" customWidth="1"/>
    <col min="8457" max="8457" width="8.28515625" style="312" customWidth="1"/>
    <col min="8458" max="8704" width="9.85546875" style="312"/>
    <col min="8705" max="8705" width="12.85546875" style="312" customWidth="1"/>
    <col min="8706" max="8706" width="29.7109375" style="312" customWidth="1"/>
    <col min="8707" max="8707" width="13" style="312" customWidth="1"/>
    <col min="8708" max="8708" width="11.28515625" style="312" customWidth="1"/>
    <col min="8709" max="8709" width="11.42578125" style="312" customWidth="1"/>
    <col min="8710" max="8710" width="11.28515625" style="312" customWidth="1"/>
    <col min="8711" max="8711" width="12.28515625" style="312" customWidth="1"/>
    <col min="8712" max="8712" width="17.28515625" style="312" customWidth="1"/>
    <col min="8713" max="8713" width="8.28515625" style="312" customWidth="1"/>
    <col min="8714" max="8960" width="9.85546875" style="312"/>
    <col min="8961" max="8961" width="12.85546875" style="312" customWidth="1"/>
    <col min="8962" max="8962" width="29.7109375" style="312" customWidth="1"/>
    <col min="8963" max="8963" width="13" style="312" customWidth="1"/>
    <col min="8964" max="8964" width="11.28515625" style="312" customWidth="1"/>
    <col min="8965" max="8965" width="11.42578125" style="312" customWidth="1"/>
    <col min="8966" max="8966" width="11.28515625" style="312" customWidth="1"/>
    <col min="8967" max="8967" width="12.28515625" style="312" customWidth="1"/>
    <col min="8968" max="8968" width="17.28515625" style="312" customWidth="1"/>
    <col min="8969" max="8969" width="8.28515625" style="312" customWidth="1"/>
    <col min="8970" max="9216" width="9.85546875" style="312"/>
    <col min="9217" max="9217" width="12.85546875" style="312" customWidth="1"/>
    <col min="9218" max="9218" width="29.7109375" style="312" customWidth="1"/>
    <col min="9219" max="9219" width="13" style="312" customWidth="1"/>
    <col min="9220" max="9220" width="11.28515625" style="312" customWidth="1"/>
    <col min="9221" max="9221" width="11.42578125" style="312" customWidth="1"/>
    <col min="9222" max="9222" width="11.28515625" style="312" customWidth="1"/>
    <col min="9223" max="9223" width="12.28515625" style="312" customWidth="1"/>
    <col min="9224" max="9224" width="17.28515625" style="312" customWidth="1"/>
    <col min="9225" max="9225" width="8.28515625" style="312" customWidth="1"/>
    <col min="9226" max="9472" width="9.85546875" style="312"/>
    <col min="9473" max="9473" width="12.85546875" style="312" customWidth="1"/>
    <col min="9474" max="9474" width="29.7109375" style="312" customWidth="1"/>
    <col min="9475" max="9475" width="13" style="312" customWidth="1"/>
    <col min="9476" max="9476" width="11.28515625" style="312" customWidth="1"/>
    <col min="9477" max="9477" width="11.42578125" style="312" customWidth="1"/>
    <col min="9478" max="9478" width="11.28515625" style="312" customWidth="1"/>
    <col min="9479" max="9479" width="12.28515625" style="312" customWidth="1"/>
    <col min="9480" max="9480" width="17.28515625" style="312" customWidth="1"/>
    <col min="9481" max="9481" width="8.28515625" style="312" customWidth="1"/>
    <col min="9482" max="9728" width="9.85546875" style="312"/>
    <col min="9729" max="9729" width="12.85546875" style="312" customWidth="1"/>
    <col min="9730" max="9730" width="29.7109375" style="312" customWidth="1"/>
    <col min="9731" max="9731" width="13" style="312" customWidth="1"/>
    <col min="9732" max="9732" width="11.28515625" style="312" customWidth="1"/>
    <col min="9733" max="9733" width="11.42578125" style="312" customWidth="1"/>
    <col min="9734" max="9734" width="11.28515625" style="312" customWidth="1"/>
    <col min="9735" max="9735" width="12.28515625" style="312" customWidth="1"/>
    <col min="9736" max="9736" width="17.28515625" style="312" customWidth="1"/>
    <col min="9737" max="9737" width="8.28515625" style="312" customWidth="1"/>
    <col min="9738" max="9984" width="9.85546875" style="312"/>
    <col min="9985" max="9985" width="12.85546875" style="312" customWidth="1"/>
    <col min="9986" max="9986" width="29.7109375" style="312" customWidth="1"/>
    <col min="9987" max="9987" width="13" style="312" customWidth="1"/>
    <col min="9988" max="9988" width="11.28515625" style="312" customWidth="1"/>
    <col min="9989" max="9989" width="11.42578125" style="312" customWidth="1"/>
    <col min="9990" max="9990" width="11.28515625" style="312" customWidth="1"/>
    <col min="9991" max="9991" width="12.28515625" style="312" customWidth="1"/>
    <col min="9992" max="9992" width="17.28515625" style="312" customWidth="1"/>
    <col min="9993" max="9993" width="8.28515625" style="312" customWidth="1"/>
    <col min="9994" max="10240" width="9.85546875" style="312"/>
    <col min="10241" max="10241" width="12.85546875" style="312" customWidth="1"/>
    <col min="10242" max="10242" width="29.7109375" style="312" customWidth="1"/>
    <col min="10243" max="10243" width="13" style="312" customWidth="1"/>
    <col min="10244" max="10244" width="11.28515625" style="312" customWidth="1"/>
    <col min="10245" max="10245" width="11.42578125" style="312" customWidth="1"/>
    <col min="10246" max="10246" width="11.28515625" style="312" customWidth="1"/>
    <col min="10247" max="10247" width="12.28515625" style="312" customWidth="1"/>
    <col min="10248" max="10248" width="17.28515625" style="312" customWidth="1"/>
    <col min="10249" max="10249" width="8.28515625" style="312" customWidth="1"/>
    <col min="10250" max="10496" width="9.85546875" style="312"/>
    <col min="10497" max="10497" width="12.85546875" style="312" customWidth="1"/>
    <col min="10498" max="10498" width="29.7109375" style="312" customWidth="1"/>
    <col min="10499" max="10499" width="13" style="312" customWidth="1"/>
    <col min="10500" max="10500" width="11.28515625" style="312" customWidth="1"/>
    <col min="10501" max="10501" width="11.42578125" style="312" customWidth="1"/>
    <col min="10502" max="10502" width="11.28515625" style="312" customWidth="1"/>
    <col min="10503" max="10503" width="12.28515625" style="312" customWidth="1"/>
    <col min="10504" max="10504" width="17.28515625" style="312" customWidth="1"/>
    <col min="10505" max="10505" width="8.28515625" style="312" customWidth="1"/>
    <col min="10506" max="10752" width="9.85546875" style="312"/>
    <col min="10753" max="10753" width="12.85546875" style="312" customWidth="1"/>
    <col min="10754" max="10754" width="29.7109375" style="312" customWidth="1"/>
    <col min="10755" max="10755" width="13" style="312" customWidth="1"/>
    <col min="10756" max="10756" width="11.28515625" style="312" customWidth="1"/>
    <col min="10757" max="10757" width="11.42578125" style="312" customWidth="1"/>
    <col min="10758" max="10758" width="11.28515625" style="312" customWidth="1"/>
    <col min="10759" max="10759" width="12.28515625" style="312" customWidth="1"/>
    <col min="10760" max="10760" width="17.28515625" style="312" customWidth="1"/>
    <col min="10761" max="10761" width="8.28515625" style="312" customWidth="1"/>
    <col min="10762" max="11008" width="9.85546875" style="312"/>
    <col min="11009" max="11009" width="12.85546875" style="312" customWidth="1"/>
    <col min="11010" max="11010" width="29.7109375" style="312" customWidth="1"/>
    <col min="11011" max="11011" width="13" style="312" customWidth="1"/>
    <col min="11012" max="11012" width="11.28515625" style="312" customWidth="1"/>
    <col min="11013" max="11013" width="11.42578125" style="312" customWidth="1"/>
    <col min="11014" max="11014" width="11.28515625" style="312" customWidth="1"/>
    <col min="11015" max="11015" width="12.28515625" style="312" customWidth="1"/>
    <col min="11016" max="11016" width="17.28515625" style="312" customWidth="1"/>
    <col min="11017" max="11017" width="8.28515625" style="312" customWidth="1"/>
    <col min="11018" max="11264" width="9.85546875" style="312"/>
    <col min="11265" max="11265" width="12.85546875" style="312" customWidth="1"/>
    <col min="11266" max="11266" width="29.7109375" style="312" customWidth="1"/>
    <col min="11267" max="11267" width="13" style="312" customWidth="1"/>
    <col min="11268" max="11268" width="11.28515625" style="312" customWidth="1"/>
    <col min="11269" max="11269" width="11.42578125" style="312" customWidth="1"/>
    <col min="11270" max="11270" width="11.28515625" style="312" customWidth="1"/>
    <col min="11271" max="11271" width="12.28515625" style="312" customWidth="1"/>
    <col min="11272" max="11272" width="17.28515625" style="312" customWidth="1"/>
    <col min="11273" max="11273" width="8.28515625" style="312" customWidth="1"/>
    <col min="11274" max="11520" width="9.85546875" style="312"/>
    <col min="11521" max="11521" width="12.85546875" style="312" customWidth="1"/>
    <col min="11522" max="11522" width="29.7109375" style="312" customWidth="1"/>
    <col min="11523" max="11523" width="13" style="312" customWidth="1"/>
    <col min="11524" max="11524" width="11.28515625" style="312" customWidth="1"/>
    <col min="11525" max="11525" width="11.42578125" style="312" customWidth="1"/>
    <col min="11526" max="11526" width="11.28515625" style="312" customWidth="1"/>
    <col min="11527" max="11527" width="12.28515625" style="312" customWidth="1"/>
    <col min="11528" max="11528" width="17.28515625" style="312" customWidth="1"/>
    <col min="11529" max="11529" width="8.28515625" style="312" customWidth="1"/>
    <col min="11530" max="11776" width="9.85546875" style="312"/>
    <col min="11777" max="11777" width="12.85546875" style="312" customWidth="1"/>
    <col min="11778" max="11778" width="29.7109375" style="312" customWidth="1"/>
    <col min="11779" max="11779" width="13" style="312" customWidth="1"/>
    <col min="11780" max="11780" width="11.28515625" style="312" customWidth="1"/>
    <col min="11781" max="11781" width="11.42578125" style="312" customWidth="1"/>
    <col min="11782" max="11782" width="11.28515625" style="312" customWidth="1"/>
    <col min="11783" max="11783" width="12.28515625" style="312" customWidth="1"/>
    <col min="11784" max="11784" width="17.28515625" style="312" customWidth="1"/>
    <col min="11785" max="11785" width="8.28515625" style="312" customWidth="1"/>
    <col min="11786" max="12032" width="9.85546875" style="312"/>
    <col min="12033" max="12033" width="12.85546875" style="312" customWidth="1"/>
    <col min="12034" max="12034" width="29.7109375" style="312" customWidth="1"/>
    <col min="12035" max="12035" width="13" style="312" customWidth="1"/>
    <col min="12036" max="12036" width="11.28515625" style="312" customWidth="1"/>
    <col min="12037" max="12037" width="11.42578125" style="312" customWidth="1"/>
    <col min="12038" max="12038" width="11.28515625" style="312" customWidth="1"/>
    <col min="12039" max="12039" width="12.28515625" style="312" customWidth="1"/>
    <col min="12040" max="12040" width="17.28515625" style="312" customWidth="1"/>
    <col min="12041" max="12041" width="8.28515625" style="312" customWidth="1"/>
    <col min="12042" max="12288" width="9.85546875" style="312"/>
    <col min="12289" max="12289" width="12.85546875" style="312" customWidth="1"/>
    <col min="12290" max="12290" width="29.7109375" style="312" customWidth="1"/>
    <col min="12291" max="12291" width="13" style="312" customWidth="1"/>
    <col min="12292" max="12292" width="11.28515625" style="312" customWidth="1"/>
    <col min="12293" max="12293" width="11.42578125" style="312" customWidth="1"/>
    <col min="12294" max="12294" width="11.28515625" style="312" customWidth="1"/>
    <col min="12295" max="12295" width="12.28515625" style="312" customWidth="1"/>
    <col min="12296" max="12296" width="17.28515625" style="312" customWidth="1"/>
    <col min="12297" max="12297" width="8.28515625" style="312" customWidth="1"/>
    <col min="12298" max="12544" width="9.85546875" style="312"/>
    <col min="12545" max="12545" width="12.85546875" style="312" customWidth="1"/>
    <col min="12546" max="12546" width="29.7109375" style="312" customWidth="1"/>
    <col min="12547" max="12547" width="13" style="312" customWidth="1"/>
    <col min="12548" max="12548" width="11.28515625" style="312" customWidth="1"/>
    <col min="12549" max="12549" width="11.42578125" style="312" customWidth="1"/>
    <col min="12550" max="12550" width="11.28515625" style="312" customWidth="1"/>
    <col min="12551" max="12551" width="12.28515625" style="312" customWidth="1"/>
    <col min="12552" max="12552" width="17.28515625" style="312" customWidth="1"/>
    <col min="12553" max="12553" width="8.28515625" style="312" customWidth="1"/>
    <col min="12554" max="12800" width="9.85546875" style="312"/>
    <col min="12801" max="12801" width="12.85546875" style="312" customWidth="1"/>
    <col min="12802" max="12802" width="29.7109375" style="312" customWidth="1"/>
    <col min="12803" max="12803" width="13" style="312" customWidth="1"/>
    <col min="12804" max="12804" width="11.28515625" style="312" customWidth="1"/>
    <col min="12805" max="12805" width="11.42578125" style="312" customWidth="1"/>
    <col min="12806" max="12806" width="11.28515625" style="312" customWidth="1"/>
    <col min="12807" max="12807" width="12.28515625" style="312" customWidth="1"/>
    <col min="12808" max="12808" width="17.28515625" style="312" customWidth="1"/>
    <col min="12809" max="12809" width="8.28515625" style="312" customWidth="1"/>
    <col min="12810" max="13056" width="9.85546875" style="312"/>
    <col min="13057" max="13057" width="12.85546875" style="312" customWidth="1"/>
    <col min="13058" max="13058" width="29.7109375" style="312" customWidth="1"/>
    <col min="13059" max="13059" width="13" style="312" customWidth="1"/>
    <col min="13060" max="13060" width="11.28515625" style="312" customWidth="1"/>
    <col min="13061" max="13061" width="11.42578125" style="312" customWidth="1"/>
    <col min="13062" max="13062" width="11.28515625" style="312" customWidth="1"/>
    <col min="13063" max="13063" width="12.28515625" style="312" customWidth="1"/>
    <col min="13064" max="13064" width="17.28515625" style="312" customWidth="1"/>
    <col min="13065" max="13065" width="8.28515625" style="312" customWidth="1"/>
    <col min="13066" max="13312" width="9.85546875" style="312"/>
    <col min="13313" max="13313" width="12.85546875" style="312" customWidth="1"/>
    <col min="13314" max="13314" width="29.7109375" style="312" customWidth="1"/>
    <col min="13315" max="13315" width="13" style="312" customWidth="1"/>
    <col min="13316" max="13316" width="11.28515625" style="312" customWidth="1"/>
    <col min="13317" max="13317" width="11.42578125" style="312" customWidth="1"/>
    <col min="13318" max="13318" width="11.28515625" style="312" customWidth="1"/>
    <col min="13319" max="13319" width="12.28515625" style="312" customWidth="1"/>
    <col min="13320" max="13320" width="17.28515625" style="312" customWidth="1"/>
    <col min="13321" max="13321" width="8.28515625" style="312" customWidth="1"/>
    <col min="13322" max="13568" width="9.85546875" style="312"/>
    <col min="13569" max="13569" width="12.85546875" style="312" customWidth="1"/>
    <col min="13570" max="13570" width="29.7109375" style="312" customWidth="1"/>
    <col min="13571" max="13571" width="13" style="312" customWidth="1"/>
    <col min="13572" max="13572" width="11.28515625" style="312" customWidth="1"/>
    <col min="13573" max="13573" width="11.42578125" style="312" customWidth="1"/>
    <col min="13574" max="13574" width="11.28515625" style="312" customWidth="1"/>
    <col min="13575" max="13575" width="12.28515625" style="312" customWidth="1"/>
    <col min="13576" max="13576" width="17.28515625" style="312" customWidth="1"/>
    <col min="13577" max="13577" width="8.28515625" style="312" customWidth="1"/>
    <col min="13578" max="13824" width="9.85546875" style="312"/>
    <col min="13825" max="13825" width="12.85546875" style="312" customWidth="1"/>
    <col min="13826" max="13826" width="29.7109375" style="312" customWidth="1"/>
    <col min="13827" max="13827" width="13" style="312" customWidth="1"/>
    <col min="13828" max="13828" width="11.28515625" style="312" customWidth="1"/>
    <col min="13829" max="13829" width="11.42578125" style="312" customWidth="1"/>
    <col min="13830" max="13830" width="11.28515625" style="312" customWidth="1"/>
    <col min="13831" max="13831" width="12.28515625" style="312" customWidth="1"/>
    <col min="13832" max="13832" width="17.28515625" style="312" customWidth="1"/>
    <col min="13833" max="13833" width="8.28515625" style="312" customWidth="1"/>
    <col min="13834" max="14080" width="9.85546875" style="312"/>
    <col min="14081" max="14081" width="12.85546875" style="312" customWidth="1"/>
    <col min="14082" max="14082" width="29.7109375" style="312" customWidth="1"/>
    <col min="14083" max="14083" width="13" style="312" customWidth="1"/>
    <col min="14084" max="14084" width="11.28515625" style="312" customWidth="1"/>
    <col min="14085" max="14085" width="11.42578125" style="312" customWidth="1"/>
    <col min="14086" max="14086" width="11.28515625" style="312" customWidth="1"/>
    <col min="14087" max="14087" width="12.28515625" style="312" customWidth="1"/>
    <col min="14088" max="14088" width="17.28515625" style="312" customWidth="1"/>
    <col min="14089" max="14089" width="8.28515625" style="312" customWidth="1"/>
    <col min="14090" max="14336" width="9.85546875" style="312"/>
    <col min="14337" max="14337" width="12.85546875" style="312" customWidth="1"/>
    <col min="14338" max="14338" width="29.7109375" style="312" customWidth="1"/>
    <col min="14339" max="14339" width="13" style="312" customWidth="1"/>
    <col min="14340" max="14340" width="11.28515625" style="312" customWidth="1"/>
    <col min="14341" max="14341" width="11.42578125" style="312" customWidth="1"/>
    <col min="14342" max="14342" width="11.28515625" style="312" customWidth="1"/>
    <col min="14343" max="14343" width="12.28515625" style="312" customWidth="1"/>
    <col min="14344" max="14344" width="17.28515625" style="312" customWidth="1"/>
    <col min="14345" max="14345" width="8.28515625" style="312" customWidth="1"/>
    <col min="14346" max="14592" width="9.85546875" style="312"/>
    <col min="14593" max="14593" width="12.85546875" style="312" customWidth="1"/>
    <col min="14594" max="14594" width="29.7109375" style="312" customWidth="1"/>
    <col min="14595" max="14595" width="13" style="312" customWidth="1"/>
    <col min="14596" max="14596" width="11.28515625" style="312" customWidth="1"/>
    <col min="14597" max="14597" width="11.42578125" style="312" customWidth="1"/>
    <col min="14598" max="14598" width="11.28515625" style="312" customWidth="1"/>
    <col min="14599" max="14599" width="12.28515625" style="312" customWidth="1"/>
    <col min="14600" max="14600" width="17.28515625" style="312" customWidth="1"/>
    <col min="14601" max="14601" width="8.28515625" style="312" customWidth="1"/>
    <col min="14602" max="14848" width="9.85546875" style="312"/>
    <col min="14849" max="14849" width="12.85546875" style="312" customWidth="1"/>
    <col min="14850" max="14850" width="29.7109375" style="312" customWidth="1"/>
    <col min="14851" max="14851" width="13" style="312" customWidth="1"/>
    <col min="14852" max="14852" width="11.28515625" style="312" customWidth="1"/>
    <col min="14853" max="14853" width="11.42578125" style="312" customWidth="1"/>
    <col min="14854" max="14854" width="11.28515625" style="312" customWidth="1"/>
    <col min="14855" max="14855" width="12.28515625" style="312" customWidth="1"/>
    <col min="14856" max="14856" width="17.28515625" style="312" customWidth="1"/>
    <col min="14857" max="14857" width="8.28515625" style="312" customWidth="1"/>
    <col min="14858" max="15104" width="9.85546875" style="312"/>
    <col min="15105" max="15105" width="12.85546875" style="312" customWidth="1"/>
    <col min="15106" max="15106" width="29.7109375" style="312" customWidth="1"/>
    <col min="15107" max="15107" width="13" style="312" customWidth="1"/>
    <col min="15108" max="15108" width="11.28515625" style="312" customWidth="1"/>
    <col min="15109" max="15109" width="11.42578125" style="312" customWidth="1"/>
    <col min="15110" max="15110" width="11.28515625" style="312" customWidth="1"/>
    <col min="15111" max="15111" width="12.28515625" style="312" customWidth="1"/>
    <col min="15112" max="15112" width="17.28515625" style="312" customWidth="1"/>
    <col min="15113" max="15113" width="8.28515625" style="312" customWidth="1"/>
    <col min="15114" max="15360" width="9.85546875" style="312"/>
    <col min="15361" max="15361" width="12.85546875" style="312" customWidth="1"/>
    <col min="15362" max="15362" width="29.7109375" style="312" customWidth="1"/>
    <col min="15363" max="15363" width="13" style="312" customWidth="1"/>
    <col min="15364" max="15364" width="11.28515625" style="312" customWidth="1"/>
    <col min="15365" max="15365" width="11.42578125" style="312" customWidth="1"/>
    <col min="15366" max="15366" width="11.28515625" style="312" customWidth="1"/>
    <col min="15367" max="15367" width="12.28515625" style="312" customWidth="1"/>
    <col min="15368" max="15368" width="17.28515625" style="312" customWidth="1"/>
    <col min="15369" max="15369" width="8.28515625" style="312" customWidth="1"/>
    <col min="15370" max="15616" width="9.85546875" style="312"/>
    <col min="15617" max="15617" width="12.85546875" style="312" customWidth="1"/>
    <col min="15618" max="15618" width="29.7109375" style="312" customWidth="1"/>
    <col min="15619" max="15619" width="13" style="312" customWidth="1"/>
    <col min="15620" max="15620" width="11.28515625" style="312" customWidth="1"/>
    <col min="15621" max="15621" width="11.42578125" style="312" customWidth="1"/>
    <col min="15622" max="15622" width="11.28515625" style="312" customWidth="1"/>
    <col min="15623" max="15623" width="12.28515625" style="312" customWidth="1"/>
    <col min="15624" max="15624" width="17.28515625" style="312" customWidth="1"/>
    <col min="15625" max="15625" width="8.28515625" style="312" customWidth="1"/>
    <col min="15626" max="15872" width="9.85546875" style="312"/>
    <col min="15873" max="15873" width="12.85546875" style="312" customWidth="1"/>
    <col min="15874" max="15874" width="29.7109375" style="312" customWidth="1"/>
    <col min="15875" max="15875" width="13" style="312" customWidth="1"/>
    <col min="15876" max="15876" width="11.28515625" style="312" customWidth="1"/>
    <col min="15877" max="15877" width="11.42578125" style="312" customWidth="1"/>
    <col min="15878" max="15878" width="11.28515625" style="312" customWidth="1"/>
    <col min="15879" max="15879" width="12.28515625" style="312" customWidth="1"/>
    <col min="15880" max="15880" width="17.28515625" style="312" customWidth="1"/>
    <col min="15881" max="15881" width="8.28515625" style="312" customWidth="1"/>
    <col min="15882" max="16128" width="9.85546875" style="312"/>
    <col min="16129" max="16129" width="12.85546875" style="312" customWidth="1"/>
    <col min="16130" max="16130" width="29.7109375" style="312" customWidth="1"/>
    <col min="16131" max="16131" width="13" style="312" customWidth="1"/>
    <col min="16132" max="16132" width="11.28515625" style="312" customWidth="1"/>
    <col min="16133" max="16133" width="11.42578125" style="312" customWidth="1"/>
    <col min="16134" max="16134" width="11.28515625" style="312" customWidth="1"/>
    <col min="16135" max="16135" width="12.28515625" style="312" customWidth="1"/>
    <col min="16136" max="16136" width="17.28515625" style="312" customWidth="1"/>
    <col min="16137" max="16137" width="8.28515625" style="312" customWidth="1"/>
    <col min="16138" max="16384" width="9.85546875" style="312"/>
  </cols>
  <sheetData>
    <row r="1" spans="1:11" ht="18" x14ac:dyDescent="0.25">
      <c r="A1" s="626"/>
      <c r="B1" s="629" t="s">
        <v>235</v>
      </c>
      <c r="C1" s="630"/>
      <c r="D1" s="630"/>
      <c r="E1" s="630"/>
      <c r="F1" s="630"/>
      <c r="G1" s="310" t="s">
        <v>236</v>
      </c>
      <c r="H1" s="311"/>
    </row>
    <row r="2" spans="1:11" ht="18" x14ac:dyDescent="0.25">
      <c r="A2" s="627"/>
      <c r="B2" s="631" t="s">
        <v>28</v>
      </c>
      <c r="C2" s="632"/>
      <c r="D2" s="632"/>
      <c r="E2" s="632"/>
      <c r="F2" s="632"/>
      <c r="G2" s="313" t="s">
        <v>237</v>
      </c>
      <c r="H2" s="314"/>
    </row>
    <row r="3" spans="1:11" x14ac:dyDescent="0.25">
      <c r="A3" s="627"/>
      <c r="B3" s="633" t="s">
        <v>238</v>
      </c>
      <c r="C3" s="634"/>
      <c r="D3" s="634"/>
      <c r="E3" s="634"/>
      <c r="F3" s="634"/>
      <c r="G3" s="635" t="s">
        <v>239</v>
      </c>
      <c r="H3" s="618"/>
    </row>
    <row r="4" spans="1:11" ht="16.5" thickBot="1" x14ac:dyDescent="0.3">
      <c r="A4" s="627"/>
      <c r="B4" s="315" t="s">
        <v>240</v>
      </c>
      <c r="C4" s="620" t="s">
        <v>241</v>
      </c>
      <c r="D4" s="621"/>
      <c r="E4" s="621"/>
      <c r="F4" s="621"/>
      <c r="G4" s="636"/>
      <c r="H4" s="619"/>
    </row>
    <row r="5" spans="1:11" ht="16.5" thickBot="1" x14ac:dyDescent="0.3">
      <c r="A5" s="628"/>
      <c r="B5" s="316" t="s">
        <v>242</v>
      </c>
      <c r="C5" s="620" t="s">
        <v>243</v>
      </c>
      <c r="D5" s="621"/>
      <c r="E5" s="621"/>
      <c r="F5" s="621"/>
      <c r="G5" s="621"/>
      <c r="H5" s="622"/>
    </row>
    <row r="6" spans="1:11" x14ac:dyDescent="0.25">
      <c r="A6" s="317"/>
      <c r="B6" s="317"/>
      <c r="D6" s="317"/>
    </row>
    <row r="7" spans="1:11" s="319" customFormat="1" ht="28.5" x14ac:dyDescent="0.25">
      <c r="A7" s="623" t="s">
        <v>21</v>
      </c>
      <c r="B7" s="623" t="s">
        <v>20</v>
      </c>
      <c r="C7" s="624" t="s">
        <v>19</v>
      </c>
      <c r="D7" s="623" t="s">
        <v>18</v>
      </c>
      <c r="E7" s="623"/>
      <c r="F7" s="623" t="s">
        <v>244</v>
      </c>
      <c r="G7" s="623"/>
      <c r="H7" s="318" t="s">
        <v>16</v>
      </c>
    </row>
    <row r="8" spans="1:11" ht="29.25" x14ac:dyDescent="0.25">
      <c r="A8" s="623"/>
      <c r="B8" s="623"/>
      <c r="C8" s="625"/>
      <c r="D8" s="246" t="s">
        <v>13</v>
      </c>
      <c r="E8" s="320" t="s">
        <v>15</v>
      </c>
      <c r="F8" s="246" t="s">
        <v>13</v>
      </c>
      <c r="G8" s="320" t="s">
        <v>15</v>
      </c>
      <c r="H8" s="257" t="s">
        <v>14</v>
      </c>
    </row>
    <row r="9" spans="1:11" x14ac:dyDescent="0.25">
      <c r="A9" s="321" t="s">
        <v>245</v>
      </c>
      <c r="B9" s="243" t="s">
        <v>246</v>
      </c>
      <c r="C9" s="244" t="s">
        <v>247</v>
      </c>
      <c r="D9" s="245">
        <v>690</v>
      </c>
      <c r="E9" s="5" t="s">
        <v>154</v>
      </c>
      <c r="F9" s="245"/>
      <c r="G9" s="257"/>
      <c r="H9" s="257"/>
    </row>
    <row r="10" spans="1:11" x14ac:dyDescent="0.25">
      <c r="A10" s="322" t="s">
        <v>248</v>
      </c>
      <c r="B10" s="323" t="s">
        <v>249</v>
      </c>
      <c r="C10" s="244" t="s">
        <v>250</v>
      </c>
      <c r="D10" s="245">
        <v>910</v>
      </c>
      <c r="E10" s="5" t="s">
        <v>154</v>
      </c>
      <c r="F10" s="245"/>
      <c r="G10" s="257"/>
      <c r="H10" s="257"/>
    </row>
    <row r="11" spans="1:11" x14ac:dyDescent="0.25">
      <c r="A11" s="322" t="s">
        <v>251</v>
      </c>
      <c r="B11" s="324" t="s">
        <v>252</v>
      </c>
      <c r="C11" s="257" t="s">
        <v>253</v>
      </c>
      <c r="D11" s="245">
        <v>56</v>
      </c>
      <c r="E11" s="5" t="s">
        <v>154</v>
      </c>
      <c r="F11" s="245"/>
      <c r="G11" s="257"/>
      <c r="H11" s="257"/>
    </row>
    <row r="12" spans="1:11" x14ac:dyDescent="0.25">
      <c r="A12" s="322" t="s">
        <v>254</v>
      </c>
      <c r="B12" s="324" t="s">
        <v>255</v>
      </c>
      <c r="C12" s="257" t="s">
        <v>256</v>
      </c>
      <c r="D12" s="245">
        <v>8</v>
      </c>
      <c r="E12" s="5" t="s">
        <v>154</v>
      </c>
      <c r="F12" s="245"/>
      <c r="G12" s="257"/>
      <c r="H12" s="257"/>
    </row>
    <row r="13" spans="1:11" x14ac:dyDescent="0.25">
      <c r="A13" s="322" t="s">
        <v>257</v>
      </c>
      <c r="B13" s="324" t="s">
        <v>258</v>
      </c>
      <c r="C13" s="244"/>
      <c r="D13" s="245">
        <v>1</v>
      </c>
      <c r="E13" s="5" t="s">
        <v>259</v>
      </c>
      <c r="F13" s="245"/>
      <c r="G13" s="257"/>
      <c r="H13" s="257"/>
    </row>
    <row r="14" spans="1:11" x14ac:dyDescent="0.25">
      <c r="A14" s="322" t="s">
        <v>260</v>
      </c>
      <c r="B14" s="324" t="s">
        <v>261</v>
      </c>
      <c r="C14" s="244"/>
      <c r="D14" s="245">
        <v>1</v>
      </c>
      <c r="E14" s="5" t="s">
        <v>259</v>
      </c>
      <c r="F14" s="245"/>
      <c r="G14" s="257"/>
      <c r="H14" s="257"/>
    </row>
    <row r="15" spans="1:11" x14ac:dyDescent="0.25">
      <c r="A15" s="322" t="s">
        <v>262</v>
      </c>
      <c r="B15" s="324" t="s">
        <v>263</v>
      </c>
      <c r="C15" s="324"/>
      <c r="D15" s="245">
        <v>2</v>
      </c>
      <c r="E15" s="325" t="s">
        <v>259</v>
      </c>
      <c r="F15" s="324"/>
      <c r="G15" s="324"/>
      <c r="H15" s="257"/>
      <c r="K15" s="326"/>
    </row>
    <row r="16" spans="1:11" x14ac:dyDescent="0.25">
      <c r="A16" s="327"/>
      <c r="B16" s="328"/>
      <c r="C16" s="328"/>
      <c r="D16" s="329"/>
      <c r="E16" s="330"/>
      <c r="F16" s="328"/>
      <c r="G16" s="328"/>
      <c r="H16" s="327"/>
      <c r="K16" s="326"/>
    </row>
    <row r="17" spans="1:11" x14ac:dyDescent="0.25">
      <c r="A17" s="637" t="s">
        <v>9</v>
      </c>
      <c r="B17" s="637"/>
      <c r="C17" s="642" t="s">
        <v>264</v>
      </c>
      <c r="D17" s="642"/>
      <c r="E17" s="637"/>
      <c r="F17" s="637"/>
      <c r="G17" s="640"/>
      <c r="H17" s="640"/>
      <c r="K17" s="326"/>
    </row>
    <row r="18" spans="1:11" x14ac:dyDescent="0.25">
      <c r="A18" s="637" t="s">
        <v>11</v>
      </c>
      <c r="B18" s="637"/>
      <c r="C18" s="638">
        <f>SUM(D9:D12)</f>
        <v>1664</v>
      </c>
      <c r="D18" s="639"/>
      <c r="E18" s="640" t="s">
        <v>265</v>
      </c>
      <c r="F18" s="640"/>
      <c r="G18" s="641"/>
      <c r="H18" s="641"/>
      <c r="K18" s="326"/>
    </row>
    <row r="19" spans="1:11" x14ac:dyDescent="0.25">
      <c r="A19" s="637" t="s">
        <v>266</v>
      </c>
      <c r="B19" s="637"/>
      <c r="C19" s="639" t="s">
        <v>267</v>
      </c>
      <c r="D19" s="639"/>
      <c r="E19" s="644"/>
      <c r="F19" s="644"/>
      <c r="G19" s="332"/>
      <c r="H19" s="327"/>
      <c r="K19" s="326"/>
    </row>
    <row r="20" spans="1:11" x14ac:dyDescent="0.25">
      <c r="A20" s="637"/>
      <c r="B20" s="637"/>
      <c r="C20" s="331"/>
      <c r="D20" s="328"/>
      <c r="E20" s="328"/>
      <c r="F20" s="328"/>
      <c r="G20" s="328"/>
      <c r="H20" s="328"/>
      <c r="K20" s="326"/>
    </row>
    <row r="21" spans="1:11" x14ac:dyDescent="0.25">
      <c r="A21" s="333" t="s">
        <v>268</v>
      </c>
      <c r="B21" s="328"/>
      <c r="C21" s="328"/>
      <c r="D21" s="328"/>
      <c r="E21" s="328"/>
      <c r="F21" s="328"/>
      <c r="G21" s="328"/>
      <c r="H21" s="328"/>
    </row>
    <row r="22" spans="1:11" ht="16.5" x14ac:dyDescent="0.25">
      <c r="A22" s="645" t="s">
        <v>269</v>
      </c>
      <c r="B22" s="645"/>
      <c r="C22" s="645"/>
      <c r="D22" s="645"/>
      <c r="E22" s="645"/>
      <c r="F22" s="645"/>
      <c r="G22" s="645"/>
      <c r="H22" s="334"/>
    </row>
    <row r="23" spans="1:11" ht="16.5" x14ac:dyDescent="0.25">
      <c r="A23" s="643" t="s">
        <v>270</v>
      </c>
      <c r="B23" s="643"/>
      <c r="C23" s="643"/>
      <c r="D23" s="643"/>
      <c r="E23" s="643"/>
      <c r="F23" s="643"/>
      <c r="G23" s="643"/>
      <c r="H23" s="643"/>
    </row>
    <row r="24" spans="1:11" ht="16.5" x14ac:dyDescent="0.25">
      <c r="A24" s="643" t="s">
        <v>271</v>
      </c>
      <c r="B24" s="643"/>
      <c r="C24" s="643"/>
      <c r="D24" s="643"/>
      <c r="E24" s="643"/>
      <c r="F24" s="643"/>
      <c r="G24" s="643"/>
      <c r="H24" s="643"/>
    </row>
    <row r="25" spans="1:11" ht="16.5" x14ac:dyDescent="0.25">
      <c r="A25" s="643" t="s">
        <v>272</v>
      </c>
      <c r="B25" s="643"/>
      <c r="C25" s="643"/>
      <c r="D25" s="643"/>
      <c r="E25" s="643"/>
      <c r="F25" s="643"/>
      <c r="G25" s="643"/>
      <c r="H25" s="643"/>
    </row>
    <row r="27" spans="1:11" x14ac:dyDescent="0.25">
      <c r="A27" s="335"/>
      <c r="B27" s="335"/>
    </row>
  </sheetData>
  <mergeCells count="29">
    <mergeCell ref="A23:H23"/>
    <mergeCell ref="A24:H24"/>
    <mergeCell ref="A25:H25"/>
    <mergeCell ref="A19:B19"/>
    <mergeCell ref="C19:D19"/>
    <mergeCell ref="E19:F19"/>
    <mergeCell ref="A20:B20"/>
    <mergeCell ref="A22:G22"/>
    <mergeCell ref="A18:B18"/>
    <mergeCell ref="C18:D18"/>
    <mergeCell ref="E18:F18"/>
    <mergeCell ref="G18:H18"/>
    <mergeCell ref="A17:B17"/>
    <mergeCell ref="C17:D17"/>
    <mergeCell ref="E17:F17"/>
    <mergeCell ref="G17:H17"/>
    <mergeCell ref="H3:H4"/>
    <mergeCell ref="C4:F4"/>
    <mergeCell ref="C5:H5"/>
    <mergeCell ref="A7:A8"/>
    <mergeCell ref="B7:B8"/>
    <mergeCell ref="C7:C8"/>
    <mergeCell ref="D7:E7"/>
    <mergeCell ref="A1:A5"/>
    <mergeCell ref="B1:F1"/>
    <mergeCell ref="B2:F2"/>
    <mergeCell ref="B3:F3"/>
    <mergeCell ref="G3:G4"/>
    <mergeCell ref="F7:G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848E-8B42-4BED-879D-DF09DAA35718}">
  <dimension ref="A1:M42"/>
  <sheetViews>
    <sheetView topLeftCell="A6" workbookViewId="0">
      <selection activeCell="C20" sqref="C20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6.42578125" customWidth="1"/>
    <col min="4" max="4" width="19.5703125" customWidth="1"/>
    <col min="5" max="5" width="14.7109375" customWidth="1"/>
    <col min="7" max="7" width="22.140625" customWidth="1"/>
    <col min="8" max="8" width="15.28515625" customWidth="1"/>
    <col min="9" max="9" width="19.28515625" bestFit="1" customWidth="1"/>
  </cols>
  <sheetData>
    <row r="1" spans="1:9" ht="15.75" x14ac:dyDescent="0.25">
      <c r="A1" s="527"/>
      <c r="B1" s="528"/>
      <c r="C1" s="477" t="s">
        <v>30</v>
      </c>
      <c r="D1" s="477"/>
      <c r="E1" s="477"/>
      <c r="F1" s="477"/>
      <c r="G1" s="477"/>
      <c r="H1" s="225" t="s">
        <v>29</v>
      </c>
      <c r="I1" s="275" t="s">
        <v>273</v>
      </c>
    </row>
    <row r="2" spans="1:9" ht="16.5" thickBot="1" x14ac:dyDescent="0.3">
      <c r="A2" s="529"/>
      <c r="B2" s="530"/>
      <c r="C2" s="478" t="s">
        <v>28</v>
      </c>
      <c r="D2" s="478"/>
      <c r="E2" s="478"/>
      <c r="F2" s="478"/>
      <c r="G2" s="478"/>
      <c r="H2" s="226" t="s">
        <v>27</v>
      </c>
      <c r="I2" s="227" t="s">
        <v>274</v>
      </c>
    </row>
    <row r="3" spans="1:9" ht="21" thickBot="1" x14ac:dyDescent="0.3">
      <c r="A3" s="529"/>
      <c r="B3" s="530"/>
      <c r="C3" s="646" t="s">
        <v>275</v>
      </c>
      <c r="D3" s="647"/>
      <c r="E3" s="647"/>
      <c r="F3" s="647"/>
      <c r="G3" s="648"/>
      <c r="H3" s="539" t="s">
        <v>26</v>
      </c>
      <c r="I3" s="518">
        <v>45608</v>
      </c>
    </row>
    <row r="4" spans="1:9" x14ac:dyDescent="0.25">
      <c r="A4" s="529"/>
      <c r="B4" s="530"/>
      <c r="C4" s="228" t="s">
        <v>25</v>
      </c>
      <c r="D4" s="521" t="s">
        <v>199</v>
      </c>
      <c r="E4" s="522"/>
      <c r="F4" s="522"/>
      <c r="G4" s="523"/>
      <c r="H4" s="540"/>
      <c r="I4" s="519"/>
    </row>
    <row r="5" spans="1:9" ht="15.75" thickBot="1" x14ac:dyDescent="0.3">
      <c r="A5" s="531"/>
      <c r="B5" s="532"/>
      <c r="C5" s="229" t="s">
        <v>24</v>
      </c>
      <c r="D5" s="524" t="s">
        <v>200</v>
      </c>
      <c r="E5" s="525"/>
      <c r="F5" s="525"/>
      <c r="G5" s="526"/>
      <c r="H5" s="541"/>
      <c r="I5" s="520"/>
    </row>
    <row r="6" spans="1:9" ht="18.75" thickBot="1" x14ac:dyDescent="0.3">
      <c r="A6" s="542" t="s">
        <v>23</v>
      </c>
      <c r="B6" s="542"/>
      <c r="C6" s="542"/>
      <c r="D6" s="543" t="s">
        <v>182</v>
      </c>
      <c r="E6" s="543"/>
      <c r="F6" s="543"/>
      <c r="G6" s="544" t="s">
        <v>22</v>
      </c>
      <c r="H6" s="544"/>
      <c r="I6" s="230" t="s">
        <v>182</v>
      </c>
    </row>
    <row r="7" spans="1:9" x14ac:dyDescent="0.25">
      <c r="A7" s="545" t="s">
        <v>21</v>
      </c>
      <c r="B7" s="547" t="s">
        <v>31</v>
      </c>
      <c r="C7" s="549" t="s">
        <v>20</v>
      </c>
      <c r="D7" s="549" t="s">
        <v>19</v>
      </c>
      <c r="E7" s="549" t="s">
        <v>18</v>
      </c>
      <c r="F7" s="549"/>
      <c r="G7" s="549" t="s">
        <v>17</v>
      </c>
      <c r="H7" s="549"/>
      <c r="I7" s="231" t="s">
        <v>16</v>
      </c>
    </row>
    <row r="8" spans="1:9" ht="27" thickBot="1" x14ac:dyDescent="0.3">
      <c r="A8" s="546"/>
      <c r="B8" s="548"/>
      <c r="C8" s="550"/>
      <c r="D8" s="550"/>
      <c r="E8" s="232" t="s">
        <v>13</v>
      </c>
      <c r="F8" s="233" t="s">
        <v>15</v>
      </c>
      <c r="G8" s="232" t="s">
        <v>13</v>
      </c>
      <c r="H8" s="233" t="s">
        <v>15</v>
      </c>
      <c r="I8" s="234" t="s">
        <v>14</v>
      </c>
    </row>
    <row r="9" spans="1:9" ht="20.25" x14ac:dyDescent="0.3">
      <c r="A9" s="336"/>
      <c r="B9" s="337"/>
      <c r="C9" s="338" t="s">
        <v>32</v>
      </c>
      <c r="D9" s="339"/>
      <c r="E9" s="340"/>
      <c r="F9" s="341"/>
      <c r="G9" s="340"/>
      <c r="H9" s="341"/>
      <c r="I9" s="342"/>
    </row>
    <row r="10" spans="1:9" ht="20.25" x14ac:dyDescent="0.3">
      <c r="A10" s="343" t="s">
        <v>276</v>
      </c>
      <c r="B10" s="343"/>
      <c r="C10" s="344" t="s">
        <v>277</v>
      </c>
      <c r="D10" s="345" t="s">
        <v>36</v>
      </c>
      <c r="E10" s="346">
        <v>21400</v>
      </c>
      <c r="F10" s="347" t="s">
        <v>1</v>
      </c>
      <c r="G10" s="348"/>
      <c r="H10" s="341"/>
      <c r="I10" s="342"/>
    </row>
    <row r="11" spans="1:9" ht="20.25" x14ac:dyDescent="0.3">
      <c r="A11" s="349">
        <v>90100131</v>
      </c>
      <c r="B11" s="349" t="s">
        <v>70</v>
      </c>
      <c r="C11" s="350" t="s">
        <v>278</v>
      </c>
      <c r="D11" s="351" t="s">
        <v>36</v>
      </c>
      <c r="E11" s="352">
        <v>8000</v>
      </c>
      <c r="F11" s="353" t="s">
        <v>1</v>
      </c>
      <c r="G11" s="348"/>
      <c r="H11" s="341"/>
      <c r="I11" s="342"/>
    </row>
    <row r="12" spans="1:9" ht="20.25" x14ac:dyDescent="0.3">
      <c r="A12" s="349" t="s">
        <v>279</v>
      </c>
      <c r="B12" s="349" t="s">
        <v>280</v>
      </c>
      <c r="C12" s="350" t="s">
        <v>281</v>
      </c>
      <c r="D12" s="351" t="s">
        <v>282</v>
      </c>
      <c r="E12" s="352">
        <v>5</v>
      </c>
      <c r="F12" s="353" t="s">
        <v>1</v>
      </c>
      <c r="G12" s="348"/>
      <c r="H12" s="341"/>
      <c r="I12" s="342"/>
    </row>
    <row r="13" spans="1:9" ht="20.25" x14ac:dyDescent="0.3">
      <c r="A13" s="349" t="s">
        <v>283</v>
      </c>
      <c r="B13" s="349" t="s">
        <v>284</v>
      </c>
      <c r="C13" s="350" t="s">
        <v>285</v>
      </c>
      <c r="D13" s="351" t="s">
        <v>286</v>
      </c>
      <c r="E13" s="352">
        <v>2000</v>
      </c>
      <c r="F13" s="353" t="s">
        <v>1</v>
      </c>
      <c r="G13" s="348"/>
      <c r="H13" s="341"/>
      <c r="I13" s="342"/>
    </row>
    <row r="14" spans="1:9" ht="20.25" x14ac:dyDescent="0.3">
      <c r="A14" s="349" t="s">
        <v>254</v>
      </c>
      <c r="B14" s="349" t="s">
        <v>91</v>
      </c>
      <c r="C14" s="350" t="s">
        <v>287</v>
      </c>
      <c r="D14" s="351" t="s">
        <v>288</v>
      </c>
      <c r="E14" s="352">
        <v>66</v>
      </c>
      <c r="F14" s="353" t="s">
        <v>1</v>
      </c>
      <c r="G14" s="348"/>
      <c r="H14" s="341"/>
      <c r="I14" s="342"/>
    </row>
    <row r="15" spans="1:9" ht="20.25" x14ac:dyDescent="0.3">
      <c r="A15" s="349"/>
      <c r="B15" s="349"/>
      <c r="C15" s="350"/>
      <c r="D15" s="351"/>
      <c r="E15" s="352"/>
      <c r="F15" s="353"/>
      <c r="G15" s="348"/>
      <c r="H15" s="341"/>
      <c r="I15" s="342"/>
    </row>
    <row r="16" spans="1:9" ht="20.25" x14ac:dyDescent="0.3">
      <c r="A16" s="354"/>
      <c r="B16" s="355"/>
      <c r="C16" s="356" t="s">
        <v>184</v>
      </c>
      <c r="D16" s="357"/>
      <c r="E16" s="358"/>
      <c r="F16" s="359"/>
      <c r="G16" s="340"/>
      <c r="H16" s="341"/>
      <c r="I16" s="342"/>
    </row>
    <row r="17" spans="1:13" ht="20.25" x14ac:dyDescent="0.3">
      <c r="A17" s="360"/>
      <c r="B17" s="357"/>
      <c r="C17" s="361"/>
      <c r="D17" s="362"/>
      <c r="E17" s="363"/>
      <c r="F17" s="359"/>
      <c r="G17" s="340"/>
      <c r="H17" s="341"/>
      <c r="I17" s="342"/>
    </row>
    <row r="18" spans="1:13" ht="20.25" x14ac:dyDescent="0.3">
      <c r="A18" s="364"/>
      <c r="B18" s="365"/>
      <c r="C18" s="366" t="s">
        <v>183</v>
      </c>
      <c r="D18" s="367"/>
      <c r="E18" s="340"/>
      <c r="F18" s="341"/>
      <c r="G18" s="340"/>
      <c r="H18" s="341"/>
      <c r="I18" s="342"/>
    </row>
    <row r="19" spans="1:13" ht="20.25" x14ac:dyDescent="0.3">
      <c r="A19" s="368">
        <v>512000002</v>
      </c>
      <c r="B19" s="369" t="s">
        <v>289</v>
      </c>
      <c r="C19" s="370" t="s">
        <v>290</v>
      </c>
      <c r="D19" s="371" t="s">
        <v>291</v>
      </c>
      <c r="E19" s="372" t="s">
        <v>292</v>
      </c>
      <c r="F19" s="353" t="s">
        <v>293</v>
      </c>
      <c r="G19" s="348"/>
      <c r="H19" s="341"/>
      <c r="I19" s="342"/>
    </row>
    <row r="20" spans="1:13" ht="20.25" x14ac:dyDescent="0.3">
      <c r="A20" s="369" t="s">
        <v>161</v>
      </c>
      <c r="B20" s="369" t="s">
        <v>38</v>
      </c>
      <c r="C20" s="370" t="s">
        <v>294</v>
      </c>
      <c r="D20" s="371"/>
      <c r="E20" s="368">
        <v>2</v>
      </c>
      <c r="F20" s="353" t="s">
        <v>37</v>
      </c>
      <c r="G20" s="340"/>
      <c r="H20" s="341"/>
      <c r="I20" s="342"/>
    </row>
    <row r="21" spans="1:13" ht="20.25" x14ac:dyDescent="0.3">
      <c r="A21" s="373"/>
      <c r="B21" s="374"/>
      <c r="C21" s="375"/>
      <c r="D21" s="357"/>
      <c r="E21" s="363"/>
      <c r="F21" s="359"/>
      <c r="G21" s="340"/>
      <c r="H21" s="341"/>
      <c r="I21" s="342"/>
    </row>
    <row r="22" spans="1:13" ht="20.25" x14ac:dyDescent="0.3">
      <c r="A22" s="354"/>
      <c r="B22" s="355"/>
      <c r="C22" s="376"/>
      <c r="D22" s="357"/>
      <c r="E22" s="357"/>
      <c r="F22" s="359"/>
      <c r="G22" s="357"/>
      <c r="H22" s="357"/>
      <c r="I22" s="342"/>
    </row>
    <row r="23" spans="1:13" ht="21" thickBot="1" x14ac:dyDescent="0.35">
      <c r="A23" s="377"/>
      <c r="B23" s="378"/>
      <c r="C23" s="379"/>
      <c r="D23" s="379"/>
      <c r="E23" s="380"/>
      <c r="F23" s="381"/>
      <c r="G23" s="379"/>
      <c r="H23" s="379"/>
      <c r="I23" s="382"/>
      <c r="J23" s="265"/>
      <c r="K23" s="265"/>
      <c r="L23" s="266"/>
      <c r="M23" s="265"/>
    </row>
    <row r="24" spans="1:13" ht="21" thickBot="1" x14ac:dyDescent="0.35">
      <c r="A24" s="383"/>
      <c r="B24" s="384"/>
      <c r="C24" s="385"/>
      <c r="D24" s="386" t="s">
        <v>13</v>
      </c>
      <c r="E24" s="387" t="s">
        <v>12</v>
      </c>
      <c r="F24" s="388"/>
      <c r="G24" s="385"/>
      <c r="H24" s="385"/>
      <c r="I24" s="389"/>
      <c r="J24" s="265"/>
      <c r="K24" s="265"/>
      <c r="L24" s="266"/>
      <c r="M24" s="265"/>
    </row>
    <row r="25" spans="1:13" ht="20.25" x14ac:dyDescent="0.3">
      <c r="A25" s="649" t="s">
        <v>11</v>
      </c>
      <c r="B25" s="650"/>
      <c r="C25" s="651"/>
      <c r="D25" s="390">
        <v>28460</v>
      </c>
      <c r="E25" s="391" t="s">
        <v>1</v>
      </c>
      <c r="F25" s="652" t="s">
        <v>10</v>
      </c>
      <c r="G25" s="652"/>
      <c r="H25" s="653"/>
      <c r="I25" s="654"/>
      <c r="J25" s="265"/>
      <c r="K25" s="265"/>
      <c r="L25" s="266"/>
      <c r="M25" s="265"/>
    </row>
    <row r="26" spans="1:13" ht="20.25" x14ac:dyDescent="0.3">
      <c r="A26" s="655" t="s">
        <v>9</v>
      </c>
      <c r="B26" s="656"/>
      <c r="C26" s="657"/>
      <c r="D26" s="392">
        <v>15</v>
      </c>
      <c r="E26" s="369" t="s">
        <v>8</v>
      </c>
      <c r="F26" s="658" t="s">
        <v>7</v>
      </c>
      <c r="G26" s="658"/>
      <c r="H26" s="659"/>
      <c r="I26" s="660"/>
      <c r="J26" s="265"/>
      <c r="K26" s="265"/>
      <c r="L26" s="266"/>
      <c r="M26" s="265"/>
    </row>
    <row r="27" spans="1:13" ht="20.25" x14ac:dyDescent="0.3">
      <c r="A27" s="655" t="s">
        <v>6</v>
      </c>
      <c r="B27" s="656"/>
      <c r="C27" s="657"/>
      <c r="D27" s="369">
        <v>1</v>
      </c>
      <c r="E27" s="369" t="s">
        <v>295</v>
      </c>
      <c r="F27" s="658" t="s">
        <v>5</v>
      </c>
      <c r="G27" s="658"/>
      <c r="H27" s="659"/>
      <c r="I27" s="660"/>
      <c r="J27" s="265"/>
      <c r="K27" s="265"/>
      <c r="L27" s="266"/>
      <c r="M27" s="265"/>
    </row>
    <row r="28" spans="1:13" ht="20.25" x14ac:dyDescent="0.3">
      <c r="A28" s="655" t="s">
        <v>4</v>
      </c>
      <c r="B28" s="656"/>
      <c r="C28" s="657"/>
      <c r="D28" s="390">
        <v>28460</v>
      </c>
      <c r="E28" s="369" t="s">
        <v>1</v>
      </c>
      <c r="F28" s="662" t="s">
        <v>3</v>
      </c>
      <c r="G28" s="663"/>
      <c r="H28" s="659"/>
      <c r="I28" s="660"/>
      <c r="J28" s="265"/>
      <c r="K28" s="265"/>
      <c r="L28" s="266"/>
      <c r="M28" s="274"/>
    </row>
    <row r="29" spans="1:13" ht="21" thickBot="1" x14ac:dyDescent="0.35">
      <c r="A29" s="664" t="s">
        <v>2</v>
      </c>
      <c r="B29" s="665"/>
      <c r="C29" s="666"/>
      <c r="D29" s="393">
        <f>SUM(E10:E14)-D25</f>
        <v>3011</v>
      </c>
      <c r="E29" s="394" t="s">
        <v>1</v>
      </c>
      <c r="F29" s="667"/>
      <c r="G29" s="667"/>
      <c r="H29" s="668"/>
      <c r="I29" s="669"/>
      <c r="J29" s="261"/>
      <c r="K29" s="261"/>
      <c r="L29" s="266"/>
      <c r="M29" s="261"/>
    </row>
    <row r="30" spans="1:13" ht="21" thickBot="1" x14ac:dyDescent="0.35">
      <c r="A30" s="670" t="s">
        <v>0</v>
      </c>
      <c r="B30" s="671"/>
      <c r="C30" s="671"/>
      <c r="D30" s="671"/>
      <c r="E30" s="671"/>
      <c r="F30" s="671"/>
      <c r="G30" s="671"/>
      <c r="H30" s="671"/>
      <c r="I30" s="672"/>
      <c r="J30" s="265"/>
      <c r="K30" s="265"/>
      <c r="L30" s="265"/>
      <c r="M30" s="265"/>
    </row>
    <row r="31" spans="1:13" ht="20.25" x14ac:dyDescent="0.3">
      <c r="A31" s="661" t="s">
        <v>296</v>
      </c>
      <c r="B31" s="661"/>
      <c r="C31" s="661"/>
      <c r="D31" s="661"/>
      <c r="E31" s="661"/>
      <c r="F31" s="661"/>
      <c r="G31" s="661"/>
      <c r="H31" s="661"/>
      <c r="I31" s="661"/>
      <c r="J31" s="265"/>
      <c r="K31" s="265"/>
      <c r="L31" s="265"/>
      <c r="M31" s="265"/>
    </row>
    <row r="32" spans="1:13" ht="20.25" x14ac:dyDescent="0.3">
      <c r="A32" s="661" t="s">
        <v>297</v>
      </c>
      <c r="B32" s="661"/>
      <c r="C32" s="661"/>
      <c r="D32" s="661"/>
      <c r="E32" s="661"/>
      <c r="F32" s="661"/>
      <c r="G32" s="661"/>
      <c r="H32" s="661"/>
      <c r="I32" s="661"/>
      <c r="J32" s="265"/>
      <c r="K32" s="265"/>
      <c r="L32" s="265"/>
      <c r="M32" s="265"/>
    </row>
    <row r="33" spans="1:13" ht="20.25" x14ac:dyDescent="0.3">
      <c r="A33" s="680" t="s">
        <v>298</v>
      </c>
      <c r="B33" s="680"/>
      <c r="C33" s="680"/>
      <c r="D33" s="680"/>
      <c r="E33" s="680"/>
      <c r="F33" s="680"/>
      <c r="G33" s="680"/>
      <c r="H33" s="680"/>
      <c r="I33" s="680"/>
      <c r="J33" s="265"/>
      <c r="K33" s="265"/>
      <c r="L33" s="265"/>
      <c r="M33" s="265"/>
    </row>
    <row r="34" spans="1:13" ht="20.25" x14ac:dyDescent="0.3">
      <c r="A34" s="681"/>
      <c r="B34" s="681"/>
      <c r="C34" s="681"/>
      <c r="D34" s="681"/>
      <c r="E34" s="681"/>
      <c r="F34" s="681"/>
      <c r="G34" s="681"/>
      <c r="H34" s="681"/>
      <c r="I34" s="681"/>
      <c r="J34" s="265"/>
      <c r="K34" s="265"/>
      <c r="L34" s="265"/>
      <c r="M34" s="265"/>
    </row>
    <row r="35" spans="1:13" ht="20.25" x14ac:dyDescent="0.3">
      <c r="A35" s="681"/>
      <c r="B35" s="681"/>
      <c r="C35" s="681"/>
      <c r="D35" s="681"/>
      <c r="E35" s="681"/>
      <c r="F35" s="681"/>
      <c r="G35" s="681"/>
      <c r="H35" s="681"/>
      <c r="I35" s="681"/>
      <c r="J35" s="265"/>
      <c r="K35" s="265"/>
      <c r="L35" s="265"/>
      <c r="M35" s="265"/>
    </row>
    <row r="36" spans="1:13" ht="20.25" x14ac:dyDescent="0.3">
      <c r="A36" s="682"/>
      <c r="B36" s="681"/>
      <c r="C36" s="681"/>
      <c r="D36" s="681"/>
      <c r="E36" s="681"/>
      <c r="F36" s="681"/>
      <c r="G36" s="681"/>
      <c r="H36" s="681"/>
      <c r="I36" s="683"/>
      <c r="J36" s="265"/>
      <c r="K36" s="265"/>
      <c r="L36" s="265"/>
      <c r="M36" s="265"/>
    </row>
    <row r="37" spans="1:13" ht="20.25" x14ac:dyDescent="0.3">
      <c r="A37" s="682"/>
      <c r="B37" s="681"/>
      <c r="C37" s="681"/>
      <c r="D37" s="681"/>
      <c r="E37" s="681"/>
      <c r="F37" s="681"/>
      <c r="G37" s="681"/>
      <c r="H37" s="681"/>
      <c r="I37" s="683"/>
      <c r="J37" s="265"/>
      <c r="K37" s="265"/>
      <c r="L37" s="265"/>
      <c r="M37" s="265"/>
    </row>
    <row r="38" spans="1:13" ht="20.25" x14ac:dyDescent="0.3">
      <c r="A38" s="684"/>
      <c r="B38" s="685"/>
      <c r="C38" s="685"/>
      <c r="D38" s="685"/>
      <c r="E38" s="685"/>
      <c r="F38" s="685"/>
      <c r="G38" s="685"/>
      <c r="H38" s="685"/>
      <c r="I38" s="686"/>
      <c r="J38" s="265"/>
      <c r="K38" s="265"/>
      <c r="L38" s="265"/>
      <c r="M38" s="265"/>
    </row>
    <row r="39" spans="1:13" ht="21" thickBot="1" x14ac:dyDescent="0.35">
      <c r="A39" s="673"/>
      <c r="B39" s="674"/>
      <c r="C39" s="674"/>
      <c r="D39" s="674"/>
      <c r="E39" s="674"/>
      <c r="F39" s="674"/>
      <c r="G39" s="674"/>
      <c r="H39" s="674"/>
      <c r="I39" s="675"/>
      <c r="J39" s="265"/>
      <c r="K39" s="265"/>
      <c r="L39" s="265"/>
      <c r="M39" s="265"/>
    </row>
    <row r="40" spans="1:13" ht="20.25" x14ac:dyDescent="0.3">
      <c r="A40" s="676" t="s">
        <v>33</v>
      </c>
      <c r="B40" s="677"/>
      <c r="C40" s="677"/>
      <c r="D40" s="677"/>
      <c r="E40" s="677"/>
      <c r="F40" s="677"/>
      <c r="G40" s="677"/>
      <c r="H40" s="677"/>
      <c r="I40" s="677"/>
      <c r="J40" s="265"/>
      <c r="K40" s="265"/>
      <c r="L40" s="265"/>
      <c r="M40" s="265"/>
    </row>
    <row r="41" spans="1:13" ht="20.25" x14ac:dyDescent="0.3">
      <c r="A41" s="678" t="s">
        <v>299</v>
      </c>
      <c r="B41" s="679"/>
      <c r="C41" s="679"/>
      <c r="D41" s="679"/>
      <c r="E41" s="679"/>
      <c r="F41" s="679"/>
      <c r="G41" s="679"/>
      <c r="H41" s="679"/>
      <c r="I41" s="679"/>
      <c r="J41" s="265"/>
      <c r="K41" s="265"/>
      <c r="L41" s="265"/>
      <c r="M41" s="265"/>
    </row>
    <row r="42" spans="1:13" x14ac:dyDescent="0.25">
      <c r="A42" s="460"/>
      <c r="B42" s="461"/>
      <c r="C42" s="461"/>
      <c r="D42" s="461"/>
      <c r="E42" s="461"/>
      <c r="F42" s="461"/>
      <c r="G42" s="461"/>
      <c r="H42" s="461"/>
      <c r="I42" s="461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89C0-389C-43F7-BAFB-27E5C0DCA2A6}">
  <dimension ref="A1:Q91"/>
  <sheetViews>
    <sheetView workbookViewId="0">
      <selection activeCell="B58" sqref="B58:C58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4530</v>
      </c>
      <c r="F2" s="127">
        <f>IFERROR(H53,"")</f>
        <v>4050</v>
      </c>
      <c r="G2" s="127">
        <f>IFERROR(H54,"")</f>
        <v>0</v>
      </c>
      <c r="H2" s="127">
        <f>IFERROR(H56,"")</f>
        <v>231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138">
        <v>1000</v>
      </c>
      <c r="B8" s="126" t="s">
        <v>63</v>
      </c>
      <c r="C8" s="139">
        <f>+A8</f>
        <v>1000</v>
      </c>
      <c r="D8" s="140" t="s">
        <v>154</v>
      </c>
      <c r="E8" s="140">
        <v>4.05</v>
      </c>
      <c r="F8" s="140">
        <f>IFERROR(C8*E8,"")</f>
        <v>4050</v>
      </c>
      <c r="G8" s="141">
        <f t="shared" ref="G8:G14" si="0">IFERROR(F8/$F$66,"")</f>
        <v>0.92847317744154056</v>
      </c>
      <c r="H8" s="142" t="s">
        <v>62</v>
      </c>
      <c r="I8" s="142"/>
      <c r="J8" s="143"/>
    </row>
    <row r="9" spans="1:10" ht="13.5" hidden="1" x14ac:dyDescent="0.25">
      <c r="A9" s="138"/>
      <c r="B9" s="126" t="str">
        <f>IFERROR(VLOOKUP(H9,'[1]Consolidado MP Planta'!$A$2:$M$823,3,0),"")</f>
        <v/>
      </c>
      <c r="C9" s="139">
        <f t="shared" ref="C9:C14" si="1">+A9</f>
        <v>0</v>
      </c>
      <c r="D9" s="140" t="str">
        <f>IFERROR(VLOOKUP(H9,'[1]Consolidado MP Planta'!$A$2:$M$823,13,0),"")</f>
        <v/>
      </c>
      <c r="E9" s="140" t="str">
        <f>IFERROR(VLOOKUP(H9,'[1]Consolidado MP Planta'!$A$2:$M$823,12,0),"")</f>
        <v/>
      </c>
      <c r="F9" s="140" t="str">
        <f t="shared" ref="F9:F14" si="2">IFERROR(C9*E9,"")</f>
        <v/>
      </c>
      <c r="G9" s="141" t="str">
        <f t="shared" si="0"/>
        <v/>
      </c>
      <c r="H9" s="142"/>
      <c r="I9" s="142"/>
      <c r="J9" s="143"/>
    </row>
    <row r="10" spans="1:10" ht="13.5" hidden="1" x14ac:dyDescent="0.25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hidden="1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hidden="1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hidden="1" x14ac:dyDescent="0.25">
      <c r="A17" s="138"/>
      <c r="B17" s="126" t="str">
        <f>IFERROR(VLOOKUP(H17,[1]SEMIELABORADOS!$A$2:$M$6000,2,0),"")</f>
        <v/>
      </c>
      <c r="C17" s="139">
        <f>+A17</f>
        <v>0</v>
      </c>
      <c r="D17" s="139" t="str">
        <f>IFERROR(VLOOKUP(H17,[1]SEMIELABORADOS!$A$2:$M$6000,6,0),"")</f>
        <v/>
      </c>
      <c r="E17" s="140" t="str">
        <f>IFERROR(VLOOKUP(H17,[1]SEMIELABORADOS!$A$2:$H$65536,8,0),"")</f>
        <v/>
      </c>
      <c r="F17" s="140" t="str">
        <f>IFERROR(E17*C17,"")</f>
        <v/>
      </c>
      <c r="G17" s="141" t="str">
        <f t="shared" ref="G17:G24" si="3">IFERROR(F17/$F$66,"")</f>
        <v/>
      </c>
      <c r="H17" s="142"/>
      <c r="I17" s="142"/>
      <c r="J17" s="143"/>
    </row>
    <row r="18" spans="1:12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25" hidden="1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hidden="1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hidden="1" x14ac:dyDescent="0.25">
      <c r="A35" s="138">
        <f>+A17</f>
        <v>0</v>
      </c>
      <c r="B35" s="144" t="str">
        <f>IFERROR(VLOOKUP(H35,[1]SEMIELABORADOS!$A$2:$M$6000,2,0),"")</f>
        <v/>
      </c>
      <c r="C35" s="139">
        <f>+A35</f>
        <v>0</v>
      </c>
      <c r="D35" s="140" t="str">
        <f>IFERROR(VLOOKUP(H35,[1]SEMIELABORADOS!$A$2:$M$6000,6,0),"")</f>
        <v/>
      </c>
      <c r="E35" s="140" t="str">
        <f>IFERROR(VLOOKUP(H35,[1]SEMIELABORADOS!$A$2:$M$65536,10,0),"")</f>
        <v/>
      </c>
      <c r="F35" s="140" t="str">
        <f>IFERROR(E35*C35,"")</f>
        <v/>
      </c>
      <c r="G35" s="141" t="str">
        <f t="shared" ref="G35:G41" si="9">IFERROR(F35/$F$66,"")</f>
        <v/>
      </c>
      <c r="H35" s="145"/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hidden="1" x14ac:dyDescent="0.25">
      <c r="A44" s="138">
        <f>+A35</f>
        <v>0</v>
      </c>
      <c r="B44" s="144" t="str">
        <f>IFERROR(VLOOKUP(H44,[1]SEMIELABORADOS!$A$2:$M$6000,2,0),"")</f>
        <v/>
      </c>
      <c r="C44" s="139">
        <f>+A44</f>
        <v>0</v>
      </c>
      <c r="D44" s="140" t="str">
        <f>IFERROR(VLOOKUP(H44,[1]SEMIELABORADOS!$A$2:$M$6000,6,0),"")</f>
        <v/>
      </c>
      <c r="E44" s="140" t="str">
        <f>IFERROR(VLOOKUP(H44,[1]SEMIELABORADOS!$A$2:$M$65536,12,0),"")</f>
        <v/>
      </c>
      <c r="F44" s="140" t="str">
        <f>IFERROR(E44*C44,"")</f>
        <v/>
      </c>
      <c r="G44" s="141" t="str">
        <f>IFERROR(F44/$F$66,"")</f>
        <v/>
      </c>
      <c r="H44" s="145"/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231</v>
      </c>
      <c r="F51" s="140">
        <f>IFERROR(C51*E51,"")</f>
        <v>231</v>
      </c>
      <c r="G51" s="141">
        <f>IFERROR(F51/$F$66,"")</f>
        <v>5.2957359009628613E-2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4050</v>
      </c>
      <c r="G53" s="141">
        <f>+F53/$F$66</f>
        <v>0.92847317744154056</v>
      </c>
      <c r="H53" s="153">
        <f>+F53/$D$60</f>
        <v>4050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0</v>
      </c>
      <c r="G54" s="141">
        <f>+F54/$F$66</f>
        <v>0</v>
      </c>
      <c r="H54" s="153">
        <f>+F54/$D$60</f>
        <v>0</v>
      </c>
      <c r="I54" s="153"/>
      <c r="J54" s="157"/>
      <c r="K54" s="509" t="s">
        <v>122</v>
      </c>
      <c r="L54" s="510"/>
      <c r="M54" s="510"/>
      <c r="N54" s="510"/>
      <c r="O54" s="158">
        <f>+F55</f>
        <v>4050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4050</v>
      </c>
      <c r="G55" s="141">
        <f>+F55/$F$66</f>
        <v>0.92847317744154056</v>
      </c>
      <c r="H55" s="153">
        <f>+F55/$D$60</f>
        <v>4050</v>
      </c>
      <c r="I55" s="153"/>
      <c r="J55" s="160"/>
      <c r="K55" s="161"/>
      <c r="M55" s="162" t="s">
        <v>124</v>
      </c>
      <c r="N55" s="163"/>
      <c r="O55" s="158">
        <f>+H56</f>
        <v>231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231</v>
      </c>
      <c r="G56" s="141">
        <f>+F56/$F$66</f>
        <v>5.2957359009628613E-2</v>
      </c>
      <c r="H56" s="153">
        <f>+F56/$D$60</f>
        <v>231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4281</v>
      </c>
      <c r="P57" s="172"/>
      <c r="Q57" s="159"/>
    </row>
    <row r="58" spans="1:17" x14ac:dyDescent="0.2">
      <c r="B58" s="511" t="s">
        <v>128</v>
      </c>
      <c r="C58" s="511"/>
      <c r="D58" s="173">
        <v>980</v>
      </c>
      <c r="E58" s="174"/>
      <c r="G58" s="141"/>
      <c r="H58" s="167">
        <f>+H56/77</f>
        <v>3</v>
      </c>
      <c r="I58" s="175"/>
      <c r="J58" s="160"/>
      <c r="K58" s="168"/>
      <c r="L58" s="161"/>
      <c r="M58" s="161" t="s">
        <v>129</v>
      </c>
      <c r="N58" s="176"/>
      <c r="O58" s="158">
        <f>+H59</f>
        <v>249</v>
      </c>
      <c r="P58" s="158"/>
      <c r="Q58" s="159"/>
    </row>
    <row r="59" spans="1:17" x14ac:dyDescent="0.2">
      <c r="B59" s="511" t="s">
        <v>130</v>
      </c>
      <c r="C59" s="511"/>
      <c r="D59" s="177">
        <v>980</v>
      </c>
      <c r="E59" s="174"/>
      <c r="G59" s="141"/>
      <c r="H59" s="167">
        <f>+H58*83</f>
        <v>249</v>
      </c>
      <c r="I59" s="175"/>
      <c r="J59" s="160"/>
      <c r="K59" s="168"/>
      <c r="L59" s="161"/>
      <c r="M59" s="512" t="s">
        <v>127</v>
      </c>
      <c r="N59" s="512"/>
      <c r="O59" s="158">
        <f>SUM(O57:O58)</f>
        <v>4530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4530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4530</v>
      </c>
      <c r="P62" s="186">
        <f>+O62/D59</f>
        <v>4.6224489795918364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4050</v>
      </c>
      <c r="G63" s="141">
        <f>+F63/$F$66</f>
        <v>0.92847317744154056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81</v>
      </c>
      <c r="G64" s="141">
        <f>+F64/$F$66</f>
        <v>1.8569463548830812E-2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3</v>
      </c>
      <c r="E65" s="196">
        <v>77</v>
      </c>
      <c r="F65" s="189">
        <f>+E65*D65</f>
        <v>231</v>
      </c>
      <c r="G65" s="141">
        <f>+F65/$F$66</f>
        <v>5.2957359009628613E-2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4362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4050</v>
      </c>
      <c r="D69" s="202">
        <f>+D58</f>
        <v>980</v>
      </c>
      <c r="E69" s="203">
        <f>+C69/D69</f>
        <v>4.1326530612244898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4131</v>
      </c>
      <c r="D71" s="202">
        <f>+D58</f>
        <v>980</v>
      </c>
      <c r="E71" s="207">
        <f>+C71/D71</f>
        <v>4.2153061224489798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231</v>
      </c>
      <c r="D73" s="202">
        <f>+D58</f>
        <v>980</v>
      </c>
      <c r="E73" s="207">
        <f>+C73/D73</f>
        <v>0.23571428571428571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231</v>
      </c>
      <c r="D74" s="202">
        <f>+D73</f>
        <v>980</v>
      </c>
      <c r="E74" s="203">
        <f>+C74/D74</f>
        <v>0.23571428571428571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0</v>
      </c>
      <c r="D76" s="202">
        <f>+D74</f>
        <v>980</v>
      </c>
      <c r="E76" s="203">
        <f>+C76/D76</f>
        <v>0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4.3683673469387756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4050</v>
      </c>
      <c r="D81" s="202">
        <f>+D60</f>
        <v>1</v>
      </c>
      <c r="E81" s="203">
        <f>+C81/D81</f>
        <v>4050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4131</v>
      </c>
      <c r="D83" s="202">
        <f>+D60</f>
        <v>1</v>
      </c>
      <c r="E83" s="207">
        <f>+C83/D83</f>
        <v>4131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231</v>
      </c>
      <c r="D85" s="202">
        <f>+D60</f>
        <v>1</v>
      </c>
      <c r="E85" s="207">
        <f>+C85/D85</f>
        <v>231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231</v>
      </c>
      <c r="D86" s="202">
        <f>+D85</f>
        <v>1</v>
      </c>
      <c r="E86" s="203">
        <f>+C86/D86</f>
        <v>231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C285-ADF8-4BEA-A661-67D725D939F4}">
  <dimension ref="A1:Q91"/>
  <sheetViews>
    <sheetView workbookViewId="0">
      <selection activeCell="B66" sqref="B66:E66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7371.224489795919</v>
      </c>
      <c r="F2" s="127">
        <f>IFERROR(H53,"")</f>
        <v>5846.3265306122448</v>
      </c>
      <c r="G2" s="127">
        <f>IFERROR(H54,"")</f>
        <v>0</v>
      </c>
      <c r="H2" s="127">
        <f>IFERROR(H56,"")</f>
        <v>733.85714285714289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138">
        <v>1000</v>
      </c>
      <c r="B8" s="126" t="s">
        <v>65</v>
      </c>
      <c r="C8" s="139">
        <f>+A8</f>
        <v>1000</v>
      </c>
      <c r="D8" s="140" t="s">
        <v>154</v>
      </c>
      <c r="E8" s="140">
        <v>3.78</v>
      </c>
      <c r="F8" s="140">
        <f>IFERROR(C8*E8,"")</f>
        <v>3780</v>
      </c>
      <c r="G8" s="141">
        <f t="shared" ref="G8:G14" si="0">IFERROR(F8/$F$66,"")</f>
        <v>0.57453330413414583</v>
      </c>
      <c r="H8" s="142" t="s">
        <v>64</v>
      </c>
      <c r="I8" s="142"/>
      <c r="J8" s="143"/>
    </row>
    <row r="9" spans="1:10" ht="13.5" hidden="1" x14ac:dyDescent="0.25">
      <c r="A9" s="138"/>
      <c r="B9" s="126" t="str">
        <f>IFERROR(VLOOKUP(H9,'[1]Consolidado MP Planta'!$A$2:$M$823,3,0),"")</f>
        <v/>
      </c>
      <c r="C9" s="139">
        <f t="shared" ref="C9:C14" si="1">+A9</f>
        <v>0</v>
      </c>
      <c r="D9" s="140" t="str">
        <f>IFERROR(VLOOKUP(H9,'[1]Consolidado MP Planta'!$A$2:$M$823,13,0),"")</f>
        <v/>
      </c>
      <c r="E9" s="140" t="str">
        <f>IFERROR(VLOOKUP(H9,'[1]Consolidado MP Planta'!$A$2:$M$823,12,0),"")</f>
        <v/>
      </c>
      <c r="F9" s="140" t="str">
        <f t="shared" ref="F9:F14" si="2">IFERROR(C9*E9,"")</f>
        <v/>
      </c>
      <c r="G9" s="141" t="str">
        <f t="shared" si="0"/>
        <v/>
      </c>
      <c r="H9" s="142"/>
      <c r="I9" s="142"/>
      <c r="J9" s="143"/>
    </row>
    <row r="10" spans="1:10" ht="13.5" hidden="1" x14ac:dyDescent="0.25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138">
        <v>500</v>
      </c>
      <c r="B17" s="126" t="s">
        <v>66</v>
      </c>
      <c r="C17" s="139">
        <f>+A17</f>
        <v>500</v>
      </c>
      <c r="D17" s="139" t="s">
        <v>154</v>
      </c>
      <c r="E17" s="140">
        <f>+'Costo coco Tostado'!E69</f>
        <v>4.1326530612244898</v>
      </c>
      <c r="F17" s="140">
        <f>IFERROR(E17*C17,"")</f>
        <v>2066.3265306122448</v>
      </c>
      <c r="G17" s="141">
        <f t="shared" ref="G17:G24" si="3">IFERROR(F17/$F$66,"")</f>
        <v>0.31406703943193104</v>
      </c>
      <c r="H17" s="142"/>
      <c r="I17" s="142"/>
      <c r="J17" s="143"/>
    </row>
    <row r="18" spans="1:12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25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500</v>
      </c>
      <c r="B35" s="144" t="s">
        <v>66</v>
      </c>
      <c r="C35" s="139">
        <f>+A35</f>
        <v>500</v>
      </c>
      <c r="D35" s="140" t="s">
        <v>154</v>
      </c>
      <c r="E35" s="140">
        <f>+'Costo coco Tostado'!E76</f>
        <v>0</v>
      </c>
      <c r="F35" s="140">
        <f>IFERROR(E35*C35,"")</f>
        <v>0</v>
      </c>
      <c r="G35" s="141">
        <f t="shared" ref="G35:G41" si="9">IFERROR(F35/$F$66,"")</f>
        <v>0</v>
      </c>
      <c r="H35" s="145"/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500</v>
      </c>
      <c r="B44" s="144" t="s">
        <v>66</v>
      </c>
      <c r="C44" s="139">
        <f>+A44</f>
        <v>500</v>
      </c>
      <c r="D44" s="140" t="s">
        <v>154</v>
      </c>
      <c r="E44" s="140">
        <f>+'Costo coco Tostado'!E74</f>
        <v>0.23571428571428571</v>
      </c>
      <c r="F44" s="140">
        <f>IFERROR(E44*C44,"")</f>
        <v>117.85714285714286</v>
      </c>
      <c r="G44" s="141">
        <f>IFERROR(F44/$F$66,"")</f>
        <v>1.7913453360191622E-2</v>
      </c>
      <c r="H44" s="145"/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616</v>
      </c>
      <c r="F51" s="140">
        <f>IFERROR(C51*E51,"")</f>
        <v>616</v>
      </c>
      <c r="G51" s="141">
        <f>IFERROR(F51/$F$66,"")</f>
        <v>9.3627649562601542E-2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5846.3265306122448</v>
      </c>
      <c r="G53" s="141">
        <f>+F53/$F$66</f>
        <v>0.88860034356607687</v>
      </c>
      <c r="H53" s="153">
        <f>+F53/$D$60</f>
        <v>5846.3265306122448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0</v>
      </c>
      <c r="G54" s="141">
        <f>+F54/$F$66</f>
        <v>0</v>
      </c>
      <c r="H54" s="153">
        <f>+F54/$D$60</f>
        <v>0</v>
      </c>
      <c r="I54" s="153"/>
      <c r="J54" s="157"/>
      <c r="K54" s="509" t="s">
        <v>122</v>
      </c>
      <c r="L54" s="510"/>
      <c r="M54" s="510"/>
      <c r="N54" s="510"/>
      <c r="O54" s="158">
        <f>+F55</f>
        <v>5846.3265306122448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5846.3265306122448</v>
      </c>
      <c r="G55" s="141">
        <f>+F55/$F$66</f>
        <v>0.88860034356607687</v>
      </c>
      <c r="H55" s="153">
        <f>+F55/$D$60</f>
        <v>5846.3265306122448</v>
      </c>
      <c r="I55" s="153"/>
      <c r="J55" s="160"/>
      <c r="K55" s="161"/>
      <c r="M55" s="162" t="s">
        <v>124</v>
      </c>
      <c r="N55" s="163"/>
      <c r="O55" s="158">
        <f>+H56</f>
        <v>733.85714285714289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733.85714285714289</v>
      </c>
      <c r="G56" s="141">
        <f>+F56/$F$66</f>
        <v>0.11154110292279318</v>
      </c>
      <c r="H56" s="153">
        <f>+F56/$D$60</f>
        <v>733.85714285714289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6580.1836734693879</v>
      </c>
      <c r="P57" s="172"/>
      <c r="Q57" s="159"/>
    </row>
    <row r="58" spans="1:17" x14ac:dyDescent="0.2">
      <c r="B58" s="511" t="s">
        <v>128</v>
      </c>
      <c r="C58" s="511"/>
      <c r="D58" s="173">
        <v>1450</v>
      </c>
      <c r="E58" s="174"/>
      <c r="G58" s="141"/>
      <c r="H58" s="167">
        <f>+H56/77</f>
        <v>9.5306122448979593</v>
      </c>
      <c r="I58" s="175"/>
      <c r="J58" s="160"/>
      <c r="K58" s="168"/>
      <c r="L58" s="161"/>
      <c r="M58" s="161" t="s">
        <v>129</v>
      </c>
      <c r="N58" s="176"/>
      <c r="O58" s="158">
        <f>+H59</f>
        <v>791.0408163265306</v>
      </c>
      <c r="P58" s="158"/>
      <c r="Q58" s="159"/>
    </row>
    <row r="59" spans="1:17" x14ac:dyDescent="0.2">
      <c r="B59" s="511" t="s">
        <v>130</v>
      </c>
      <c r="C59" s="511"/>
      <c r="D59" s="177">
        <v>1450</v>
      </c>
      <c r="E59" s="174"/>
      <c r="G59" s="141"/>
      <c r="H59" s="167">
        <f>+H58*83</f>
        <v>791.0408163265306</v>
      </c>
      <c r="I59" s="175"/>
      <c r="J59" s="160"/>
      <c r="K59" s="168"/>
      <c r="L59" s="161"/>
      <c r="M59" s="512" t="s">
        <v>127</v>
      </c>
      <c r="N59" s="512"/>
      <c r="O59" s="158">
        <f>SUM(O57:O58)</f>
        <v>7371.224489795919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7371.224489795919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7371.224489795919</v>
      </c>
      <c r="P62" s="186">
        <f>+O62/D59</f>
        <v>5.0836030964109788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5846.3265306122448</v>
      </c>
      <c r="G63" s="141">
        <f>+F63/$F$66</f>
        <v>0.88860034356607687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116.9265306122449</v>
      </c>
      <c r="G64" s="141">
        <f>+F64/$F$66</f>
        <v>1.7772006871321539E-2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8</v>
      </c>
      <c r="E65" s="196">
        <v>77</v>
      </c>
      <c r="F65" s="189">
        <f>+E65*D65</f>
        <v>616</v>
      </c>
      <c r="G65" s="141">
        <f>+F65/$F$66</f>
        <v>9.3627649562601542E-2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6579.25306122449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5846.3265306122448</v>
      </c>
      <c r="D69" s="202">
        <f>+D58</f>
        <v>1450</v>
      </c>
      <c r="E69" s="203">
        <f>+C69/D69</f>
        <v>4.0319493314567207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5963.25306122449</v>
      </c>
      <c r="D71" s="202">
        <f>+D58</f>
        <v>1450</v>
      </c>
      <c r="E71" s="207">
        <f>+C71/D71</f>
        <v>4.1125883180858551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616</v>
      </c>
      <c r="D73" s="202">
        <f>+D58</f>
        <v>1450</v>
      </c>
      <c r="E73" s="207">
        <f>+C73/D73</f>
        <v>0.42482758620689653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733.85714285714289</v>
      </c>
      <c r="D74" s="202">
        <f>+D73</f>
        <v>1450</v>
      </c>
      <c r="E74" s="203">
        <f>+C74/D74</f>
        <v>0.5061083743842365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0</v>
      </c>
      <c r="D76" s="202">
        <f>+D74</f>
        <v>1450</v>
      </c>
      <c r="E76" s="203">
        <f>+C76/D76</f>
        <v>0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4.5380577058409575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5846.3265306122448</v>
      </c>
      <c r="D81" s="202">
        <f>+D60</f>
        <v>1</v>
      </c>
      <c r="E81" s="203">
        <f>+C81/D81</f>
        <v>5846.3265306122448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5963.25306122449</v>
      </c>
      <c r="D83" s="202">
        <f>+D60</f>
        <v>1</v>
      </c>
      <c r="E83" s="207">
        <f>+C83/D83</f>
        <v>5963.25306122449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616</v>
      </c>
      <c r="D85" s="202">
        <f>+D60</f>
        <v>1</v>
      </c>
      <c r="E85" s="207">
        <f>+C85/D85</f>
        <v>616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733.85714285714289</v>
      </c>
      <c r="D86" s="202">
        <f>+D85</f>
        <v>1</v>
      </c>
      <c r="E86" s="203">
        <f>+C86/D86</f>
        <v>733.85714285714289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E57-0B5D-4A95-B4BD-BBD472BDEB5B}">
  <dimension ref="A1:K66"/>
  <sheetViews>
    <sheetView zoomScale="87" workbookViewId="0">
      <selection activeCell="C11" sqref="C11"/>
    </sheetView>
  </sheetViews>
  <sheetFormatPr baseColWidth="10" defaultRowHeight="15" x14ac:dyDescent="0.25"/>
  <cols>
    <col min="1" max="1" width="15" customWidth="1"/>
    <col min="2" max="2" width="15.14062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9" ht="17.25" x14ac:dyDescent="0.3">
      <c r="A1" s="471"/>
      <c r="B1" s="472"/>
      <c r="C1" s="477" t="s">
        <v>30</v>
      </c>
      <c r="D1" s="477"/>
      <c r="E1" s="477"/>
      <c r="F1" s="477"/>
      <c r="G1" s="477"/>
      <c r="H1" s="6" t="s">
        <v>29</v>
      </c>
      <c r="I1" s="7"/>
    </row>
    <row r="2" spans="1:9" ht="18" thickBot="1" x14ac:dyDescent="0.35">
      <c r="A2" s="473"/>
      <c r="B2" s="474"/>
      <c r="C2" s="478" t="s">
        <v>28</v>
      </c>
      <c r="D2" s="478"/>
      <c r="E2" s="478"/>
      <c r="F2" s="478"/>
      <c r="G2" s="478"/>
      <c r="H2" s="8" t="s">
        <v>27</v>
      </c>
      <c r="I2" s="9"/>
    </row>
    <row r="3" spans="1:9" ht="22.9" customHeight="1" thickBot="1" x14ac:dyDescent="0.3">
      <c r="A3" s="473"/>
      <c r="B3" s="474"/>
      <c r="C3" s="479" t="s">
        <v>75</v>
      </c>
      <c r="D3" s="480"/>
      <c r="E3" s="480"/>
      <c r="F3" s="480"/>
      <c r="G3" s="481"/>
      <c r="H3" s="482" t="s">
        <v>26</v>
      </c>
      <c r="I3" s="462"/>
    </row>
    <row r="4" spans="1:9" ht="17.25" x14ac:dyDescent="0.3">
      <c r="A4" s="473"/>
      <c r="B4" s="474"/>
      <c r="C4" s="10" t="s">
        <v>25</v>
      </c>
      <c r="D4" s="465" t="s">
        <v>35</v>
      </c>
      <c r="E4" s="466"/>
      <c r="F4" s="466"/>
      <c r="G4" s="467"/>
      <c r="H4" s="483"/>
      <c r="I4" s="463"/>
    </row>
    <row r="5" spans="1:9" ht="18" thickBot="1" x14ac:dyDescent="0.35">
      <c r="A5" s="475"/>
      <c r="B5" s="476"/>
      <c r="C5" s="11" t="s">
        <v>24</v>
      </c>
      <c r="D5" s="468" t="s">
        <v>44</v>
      </c>
      <c r="E5" s="469"/>
      <c r="F5" s="469"/>
      <c r="G5" s="470"/>
      <c r="H5" s="484"/>
      <c r="I5" s="464"/>
    </row>
    <row r="6" spans="1:9" ht="16.5" thickBot="1" x14ac:dyDescent="0.3">
      <c r="A6" s="485" t="s">
        <v>23</v>
      </c>
      <c r="B6" s="485"/>
      <c r="C6" s="485"/>
      <c r="D6" s="486" t="s">
        <v>46</v>
      </c>
      <c r="E6" s="486"/>
      <c r="F6" s="486"/>
      <c r="G6" s="450" t="s">
        <v>22</v>
      </c>
      <c r="H6" s="450"/>
      <c r="I6" s="12" t="s">
        <v>46</v>
      </c>
    </row>
    <row r="7" spans="1:9" x14ac:dyDescent="0.25">
      <c r="A7" s="451" t="s">
        <v>21</v>
      </c>
      <c r="B7" s="453" t="s">
        <v>31</v>
      </c>
      <c r="C7" s="455" t="s">
        <v>20</v>
      </c>
      <c r="D7" s="455" t="s">
        <v>19</v>
      </c>
      <c r="E7" s="455" t="s">
        <v>18</v>
      </c>
      <c r="F7" s="455"/>
      <c r="G7" s="455" t="s">
        <v>17</v>
      </c>
      <c r="H7" s="455"/>
      <c r="I7" s="13" t="s">
        <v>16</v>
      </c>
    </row>
    <row r="8" spans="1:9" ht="31.5" thickBot="1" x14ac:dyDescent="0.3">
      <c r="A8" s="452"/>
      <c r="B8" s="454"/>
      <c r="C8" s="456"/>
      <c r="D8" s="457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7"/>
      <c r="B9" s="88"/>
      <c r="C9" s="71" t="s">
        <v>32</v>
      </c>
      <c r="D9" s="88"/>
      <c r="E9" s="70"/>
      <c r="F9" s="89"/>
      <c r="G9" s="70"/>
      <c r="H9" s="89"/>
      <c r="I9" s="17"/>
    </row>
    <row r="10" spans="1:9" ht="17.45" customHeight="1" x14ac:dyDescent="0.3">
      <c r="A10" s="114"/>
      <c r="B10" s="65" t="s">
        <v>76</v>
      </c>
      <c r="C10" s="119" t="s">
        <v>77</v>
      </c>
      <c r="D10" s="115"/>
      <c r="E10" s="62">
        <f>100*10</f>
        <v>1000</v>
      </c>
      <c r="F10" s="75"/>
      <c r="G10" s="76"/>
      <c r="H10" s="90"/>
      <c r="I10" s="4"/>
    </row>
    <row r="11" spans="1:9" ht="21" customHeight="1" x14ac:dyDescent="0.3">
      <c r="A11" s="65"/>
      <c r="B11" s="65" t="s">
        <v>54</v>
      </c>
      <c r="C11" s="120" t="s">
        <v>78</v>
      </c>
      <c r="D11" s="115"/>
      <c r="E11" s="62">
        <f>15*10</f>
        <v>150</v>
      </c>
      <c r="F11" s="75"/>
      <c r="G11" s="76"/>
      <c r="H11" s="103"/>
      <c r="I11" s="4"/>
    </row>
    <row r="12" spans="1:9" ht="19.899999999999999" customHeight="1" x14ac:dyDescent="0.3">
      <c r="A12" s="65"/>
      <c r="B12" s="65"/>
      <c r="C12" s="65"/>
      <c r="D12" s="115"/>
      <c r="E12" s="62"/>
      <c r="F12" s="75"/>
      <c r="G12" s="76"/>
      <c r="H12" s="103"/>
      <c r="I12" s="4"/>
    </row>
    <row r="13" spans="1:9" ht="20.25" x14ac:dyDescent="0.3">
      <c r="A13" s="67"/>
      <c r="B13" s="104"/>
      <c r="C13" s="118"/>
      <c r="D13" s="115"/>
      <c r="E13" s="62"/>
      <c r="F13" s="75"/>
      <c r="G13" s="76"/>
      <c r="H13" s="103"/>
      <c r="I13" s="4"/>
    </row>
    <row r="14" spans="1:9" ht="20.25" x14ac:dyDescent="0.3">
      <c r="A14" s="67"/>
      <c r="B14" s="104"/>
      <c r="C14" s="118"/>
      <c r="D14" s="115"/>
      <c r="E14" s="78"/>
      <c r="F14" s="75"/>
      <c r="G14" s="76"/>
      <c r="H14" s="65"/>
      <c r="I14" s="4"/>
    </row>
    <row r="15" spans="1:9" ht="20.25" x14ac:dyDescent="0.3">
      <c r="A15" s="67"/>
      <c r="B15" s="118"/>
      <c r="C15" s="118"/>
      <c r="D15" s="79"/>
      <c r="E15" s="80"/>
      <c r="F15" s="75"/>
      <c r="G15" s="77"/>
      <c r="H15" s="65"/>
      <c r="I15" s="4"/>
    </row>
    <row r="16" spans="1:9" ht="18.75" x14ac:dyDescent="0.3">
      <c r="A16" s="66"/>
      <c r="B16" s="67"/>
      <c r="C16" s="82"/>
      <c r="D16" s="63"/>
      <c r="E16" s="65"/>
      <c r="F16" s="83"/>
      <c r="G16" s="77"/>
      <c r="H16" s="65"/>
      <c r="I16" s="4"/>
    </row>
    <row r="17" spans="1:10" ht="18.75" x14ac:dyDescent="0.3">
      <c r="A17" s="66"/>
      <c r="B17" s="67"/>
      <c r="C17" s="82"/>
      <c r="D17" s="63"/>
      <c r="E17" s="65"/>
      <c r="F17" s="83"/>
      <c r="G17" s="77"/>
      <c r="H17" s="65"/>
      <c r="I17" s="4"/>
    </row>
    <row r="18" spans="1:10" ht="18.75" x14ac:dyDescent="0.3">
      <c r="A18" s="67"/>
      <c r="B18" s="67"/>
      <c r="C18" s="91" t="s">
        <v>41</v>
      </c>
      <c r="D18" s="65"/>
      <c r="E18" s="72"/>
      <c r="F18" s="65"/>
      <c r="G18" s="64"/>
      <c r="H18" s="65"/>
      <c r="I18" s="4"/>
    </row>
    <row r="19" spans="1:10" ht="18.75" x14ac:dyDescent="0.3">
      <c r="A19" s="67"/>
      <c r="B19" s="65"/>
      <c r="C19" s="72"/>
      <c r="D19" s="115"/>
      <c r="E19" s="69"/>
      <c r="F19" s="69"/>
      <c r="G19" s="64"/>
      <c r="H19" s="106"/>
      <c r="I19" s="4"/>
      <c r="J19" s="62"/>
    </row>
    <row r="20" spans="1:10" ht="18.75" x14ac:dyDescent="0.3">
      <c r="A20" s="67"/>
      <c r="B20" s="65"/>
      <c r="C20" s="72"/>
      <c r="D20" s="110"/>
      <c r="E20" s="69"/>
      <c r="F20" s="69"/>
      <c r="G20" s="64"/>
      <c r="H20" s="106"/>
      <c r="I20" s="4"/>
      <c r="J20" s="62"/>
    </row>
    <row r="21" spans="1:10" ht="18.75" x14ac:dyDescent="0.3">
      <c r="A21" s="67"/>
      <c r="B21" s="112"/>
      <c r="C21" s="113"/>
      <c r="D21" s="110"/>
      <c r="E21" s="69"/>
      <c r="F21" s="69"/>
      <c r="G21" s="64"/>
      <c r="H21" s="106"/>
      <c r="I21" s="4"/>
      <c r="J21" s="62"/>
    </row>
    <row r="22" spans="1:10" ht="22.9" customHeight="1" x14ac:dyDescent="0.3">
      <c r="A22" s="104"/>
      <c r="B22" s="108"/>
      <c r="C22" s="109"/>
      <c r="D22" s="110"/>
      <c r="E22" s="69"/>
      <c r="F22" s="69"/>
      <c r="G22" s="70"/>
      <c r="H22" s="89"/>
      <c r="I22" s="4"/>
      <c r="J22" s="78"/>
    </row>
    <row r="23" spans="1:10" ht="21.6" customHeight="1" x14ac:dyDescent="0.3">
      <c r="A23" s="105"/>
      <c r="B23" s="108"/>
      <c r="C23" s="109"/>
      <c r="D23" s="110"/>
      <c r="E23" s="69"/>
      <c r="F23" s="69"/>
      <c r="G23" s="1"/>
      <c r="H23" s="106"/>
      <c r="I23" s="1"/>
      <c r="J23" s="107"/>
    </row>
    <row r="24" spans="1:10" ht="18" customHeight="1" x14ac:dyDescent="0.3">
      <c r="A24" s="105"/>
      <c r="B24" s="108"/>
      <c r="C24" s="109"/>
      <c r="D24" s="111"/>
      <c r="E24" s="69"/>
      <c r="F24" s="69"/>
      <c r="G24" s="70"/>
      <c r="H24" s="89"/>
      <c r="I24" s="1"/>
    </row>
    <row r="25" spans="1:10" ht="18.75" x14ac:dyDescent="0.3">
      <c r="A25" s="67"/>
      <c r="B25" s="65"/>
      <c r="C25" s="72"/>
      <c r="D25" s="69"/>
      <c r="E25" s="69"/>
      <c r="F25" s="69"/>
      <c r="G25" s="70"/>
      <c r="H25" s="89"/>
      <c r="I25" s="4"/>
    </row>
    <row r="26" spans="1:10" ht="18.75" x14ac:dyDescent="0.3">
      <c r="A26" s="67"/>
      <c r="B26" s="65"/>
      <c r="C26" s="102"/>
      <c r="D26" s="79"/>
      <c r="E26" s="69"/>
      <c r="F26" s="69"/>
      <c r="G26" s="70"/>
      <c r="H26" s="89"/>
      <c r="I26" s="4"/>
    </row>
    <row r="27" spans="1:10" ht="18.75" x14ac:dyDescent="0.3">
      <c r="A27" s="67"/>
      <c r="B27" s="65"/>
      <c r="C27" s="102"/>
      <c r="D27" s="79"/>
      <c r="E27" s="69"/>
      <c r="F27" s="69"/>
      <c r="G27" s="70"/>
      <c r="H27" s="89"/>
      <c r="I27" s="4"/>
    </row>
    <row r="28" spans="1:10" ht="18.75" x14ac:dyDescent="0.3">
      <c r="A28" s="67"/>
      <c r="B28" s="65"/>
      <c r="C28" s="102"/>
      <c r="D28" s="79"/>
      <c r="E28" s="69"/>
      <c r="F28" s="69"/>
      <c r="G28" s="70"/>
      <c r="H28" s="89"/>
      <c r="I28" s="4"/>
    </row>
    <row r="29" spans="1:10" ht="18.75" x14ac:dyDescent="0.3">
      <c r="A29" s="67"/>
      <c r="B29" s="65"/>
      <c r="C29" s="102"/>
      <c r="D29" s="79"/>
      <c r="E29" s="69"/>
      <c r="F29" s="69"/>
      <c r="G29" s="70"/>
      <c r="H29" s="89"/>
      <c r="I29" s="4"/>
    </row>
    <row r="30" spans="1:10" ht="18.75" x14ac:dyDescent="0.3">
      <c r="A30" s="72"/>
      <c r="B30" s="68"/>
      <c r="C30" s="92"/>
      <c r="D30" s="73"/>
      <c r="E30" s="68"/>
      <c r="F30" s="93"/>
      <c r="G30" s="70"/>
      <c r="H30" s="89"/>
      <c r="I30" s="17"/>
    </row>
    <row r="31" spans="1:10" ht="18.75" x14ac:dyDescent="0.3">
      <c r="A31" s="67"/>
      <c r="B31" s="67"/>
      <c r="C31" s="91" t="s">
        <v>34</v>
      </c>
      <c r="D31" s="72"/>
      <c r="E31" s="72"/>
      <c r="F31" s="65"/>
      <c r="G31" s="64"/>
      <c r="H31" s="65"/>
      <c r="I31" s="17"/>
    </row>
    <row r="32" spans="1:10" ht="18.75" x14ac:dyDescent="0.3">
      <c r="A32" s="62"/>
      <c r="B32" s="63"/>
      <c r="C32" s="81"/>
      <c r="D32" s="84"/>
      <c r="E32" s="85"/>
      <c r="F32" s="85"/>
      <c r="G32" s="64"/>
      <c r="H32" s="65"/>
      <c r="I32" s="17"/>
    </row>
    <row r="33" spans="1:11" ht="18.75" x14ac:dyDescent="0.3">
      <c r="A33" s="62"/>
      <c r="B33" s="63"/>
      <c r="C33" s="81"/>
      <c r="D33" s="84"/>
      <c r="E33" s="85"/>
      <c r="F33" s="85"/>
      <c r="G33" s="94"/>
      <c r="H33" s="65"/>
      <c r="I33" s="17"/>
      <c r="J33" s="107"/>
    </row>
    <row r="34" spans="1:11" s="61" customFormat="1" ht="18.75" x14ac:dyDescent="0.3">
      <c r="A34" s="62"/>
      <c r="B34" s="63"/>
      <c r="C34" s="81"/>
      <c r="D34" s="84"/>
      <c r="E34" s="85"/>
      <c r="F34" s="85"/>
      <c r="G34" s="74"/>
      <c r="H34" s="65"/>
      <c r="I34" s="17"/>
    </row>
    <row r="35" spans="1:11" ht="18.75" x14ac:dyDescent="0.3">
      <c r="A35" s="62"/>
      <c r="B35" s="86"/>
      <c r="C35" s="81"/>
      <c r="D35" s="84"/>
      <c r="E35" s="85"/>
      <c r="F35" s="85"/>
      <c r="G35" s="94"/>
      <c r="H35" s="67"/>
      <c r="I35" s="17"/>
      <c r="J35" s="107">
        <f>SUM(E10:E14)</f>
        <v>1150</v>
      </c>
    </row>
    <row r="36" spans="1:11" ht="18.75" x14ac:dyDescent="0.3">
      <c r="A36" s="62"/>
      <c r="B36" s="63"/>
      <c r="C36" s="81"/>
      <c r="D36" s="84"/>
      <c r="E36" s="85"/>
      <c r="F36" s="85"/>
      <c r="G36" s="70"/>
      <c r="H36" s="67"/>
      <c r="I36" s="17"/>
    </row>
    <row r="37" spans="1:11" ht="18.75" x14ac:dyDescent="0.3">
      <c r="A37" s="68"/>
      <c r="B37" s="95"/>
      <c r="C37" s="92"/>
      <c r="D37" s="68"/>
      <c r="E37" s="68"/>
      <c r="F37" s="96"/>
      <c r="G37" s="64"/>
      <c r="H37" s="97"/>
      <c r="I37" s="17"/>
      <c r="J37" s="107">
        <f>J35-D46</f>
        <v>150</v>
      </c>
    </row>
    <row r="38" spans="1:11" ht="18.75" x14ac:dyDescent="0.3">
      <c r="A38" s="98"/>
      <c r="B38" s="99"/>
      <c r="C38" s="100"/>
      <c r="D38" s="63"/>
      <c r="E38" s="64"/>
      <c r="F38" s="101"/>
      <c r="G38" s="64"/>
      <c r="H38" s="97"/>
      <c r="I38" s="17"/>
    </row>
    <row r="39" spans="1:11" ht="16.149999999999999" customHeight="1" x14ac:dyDescent="0.25">
      <c r="A39" s="53"/>
      <c r="B39" s="53"/>
      <c r="C39" s="54"/>
      <c r="D39" s="55"/>
      <c r="E39" s="53"/>
      <c r="F39" s="56"/>
      <c r="G39" s="57"/>
      <c r="H39" s="51"/>
      <c r="I39" s="17"/>
    </row>
    <row r="40" spans="1:11" ht="15.75" x14ac:dyDescent="0.25">
      <c r="A40" s="58"/>
      <c r="B40" s="58"/>
      <c r="C40" s="59"/>
      <c r="D40" s="18"/>
      <c r="E40" s="58"/>
      <c r="F40" s="5"/>
      <c r="G40" s="52"/>
      <c r="H40" s="60"/>
      <c r="I40" s="17"/>
    </row>
    <row r="41" spans="1:11" ht="17.25" x14ac:dyDescent="0.3">
      <c r="A41" s="21"/>
      <c r="B41" s="22"/>
      <c r="C41" s="23"/>
      <c r="D41" s="24"/>
      <c r="E41" s="25"/>
      <c r="F41" s="25"/>
      <c r="G41" s="20"/>
      <c r="H41" s="3"/>
      <c r="I41" s="17"/>
      <c r="J41" s="107"/>
    </row>
    <row r="42" spans="1:11" ht="15.75" x14ac:dyDescent="0.25">
      <c r="A42" s="22"/>
      <c r="B42" s="26"/>
      <c r="C42" s="27"/>
      <c r="D42" s="2"/>
      <c r="E42" s="28"/>
      <c r="F42" s="19"/>
      <c r="G42" s="20"/>
      <c r="H42" s="4"/>
      <c r="I42" s="17"/>
    </row>
    <row r="43" spans="1:11" ht="15.75" x14ac:dyDescent="0.25">
      <c r="A43" s="29"/>
      <c r="B43" s="30"/>
      <c r="C43" s="31"/>
      <c r="D43" s="4"/>
      <c r="E43" s="4"/>
      <c r="F43" s="32"/>
      <c r="G43" s="4"/>
      <c r="H43" s="4"/>
      <c r="I43" s="17"/>
    </row>
    <row r="44" spans="1:11" ht="18" thickBot="1" x14ac:dyDescent="0.35">
      <c r="A44" s="33"/>
      <c r="B44" s="34"/>
      <c r="C44" s="35"/>
      <c r="D44" s="35"/>
      <c r="E44" s="36"/>
      <c r="F44" s="37"/>
      <c r="G44" s="35"/>
      <c r="H44" s="35"/>
      <c r="I44" s="38"/>
      <c r="K44" s="107"/>
    </row>
    <row r="45" spans="1:11" ht="18" thickBot="1" x14ac:dyDescent="0.35">
      <c r="A45" s="39"/>
      <c r="B45" s="40"/>
      <c r="C45" s="41"/>
      <c r="D45" s="42" t="s">
        <v>13</v>
      </c>
      <c r="E45" s="43" t="s">
        <v>12</v>
      </c>
      <c r="F45" s="44"/>
      <c r="G45" s="41"/>
      <c r="H45" s="41"/>
      <c r="I45" s="45"/>
      <c r="J45" s="107"/>
    </row>
    <row r="46" spans="1:11" ht="17.25" x14ac:dyDescent="0.3">
      <c r="A46" s="442" t="s">
        <v>11</v>
      </c>
      <c r="B46" s="443"/>
      <c r="C46" s="444"/>
      <c r="D46" s="46">
        <v>1000</v>
      </c>
      <c r="E46" s="47" t="s">
        <v>1</v>
      </c>
      <c r="F46" s="445" t="s">
        <v>10</v>
      </c>
      <c r="G46" s="445"/>
      <c r="H46" s="446"/>
      <c r="I46" s="447"/>
      <c r="J46">
        <f>1000/10</f>
        <v>100</v>
      </c>
    </row>
    <row r="47" spans="1:11" ht="17.25" x14ac:dyDescent="0.3">
      <c r="A47" s="436" t="s">
        <v>9</v>
      </c>
      <c r="B47" s="437"/>
      <c r="C47" s="438"/>
      <c r="D47" s="48">
        <v>4</v>
      </c>
      <c r="E47" s="48" t="s">
        <v>8</v>
      </c>
      <c r="F47" s="439" t="s">
        <v>7</v>
      </c>
      <c r="G47" s="439"/>
      <c r="H47" s="440"/>
      <c r="I47" s="441"/>
    </row>
    <row r="48" spans="1:11" ht="17.25" x14ac:dyDescent="0.3">
      <c r="A48" s="436" t="s">
        <v>6</v>
      </c>
      <c r="B48" s="437"/>
      <c r="C48" s="438"/>
      <c r="D48" s="48">
        <v>1</v>
      </c>
      <c r="E48" s="48" t="s">
        <v>67</v>
      </c>
      <c r="F48" s="439" t="s">
        <v>5</v>
      </c>
      <c r="G48" s="439"/>
      <c r="H48" s="440"/>
      <c r="I48" s="441"/>
    </row>
    <row r="49" spans="1:9" ht="17.25" x14ac:dyDescent="0.3">
      <c r="A49" s="436" t="s">
        <v>4</v>
      </c>
      <c r="B49" s="437"/>
      <c r="C49" s="438"/>
      <c r="D49" s="48">
        <v>1000</v>
      </c>
      <c r="E49" s="48" t="s">
        <v>1</v>
      </c>
      <c r="F49" s="448" t="s">
        <v>3</v>
      </c>
      <c r="G49" s="449"/>
      <c r="H49" s="440"/>
      <c r="I49" s="441"/>
    </row>
    <row r="50" spans="1:9" ht="18" thickBot="1" x14ac:dyDescent="0.35">
      <c r="A50" s="430" t="s">
        <v>2</v>
      </c>
      <c r="B50" s="431"/>
      <c r="C50" s="432"/>
      <c r="D50" s="49">
        <f>SUM(E10:E11)-D46</f>
        <v>150</v>
      </c>
      <c r="E50" s="50" t="s">
        <v>1</v>
      </c>
      <c r="F50" s="433"/>
      <c r="G50" s="433"/>
      <c r="H50" s="434"/>
      <c r="I50" s="435"/>
    </row>
    <row r="51" spans="1:9" ht="16.5" thickBot="1" x14ac:dyDescent="0.3">
      <c r="A51" s="407" t="s">
        <v>0</v>
      </c>
      <c r="B51" s="408"/>
      <c r="C51" s="408"/>
      <c r="D51" s="408"/>
      <c r="E51" s="408"/>
      <c r="F51" s="408"/>
      <c r="G51" s="408"/>
      <c r="H51" s="408"/>
      <c r="I51" s="409"/>
    </row>
    <row r="52" spans="1:9" ht="20.45" customHeight="1" x14ac:dyDescent="0.25">
      <c r="A52" s="410" t="s">
        <v>79</v>
      </c>
      <c r="B52" s="411"/>
      <c r="C52" s="411"/>
      <c r="D52" s="411"/>
      <c r="E52" s="411"/>
      <c r="F52" s="411"/>
      <c r="G52" s="411"/>
      <c r="H52" s="411"/>
      <c r="I52" s="412"/>
    </row>
    <row r="53" spans="1:9" ht="22.9" customHeight="1" x14ac:dyDescent="0.25">
      <c r="A53" s="413" t="s">
        <v>80</v>
      </c>
      <c r="B53" s="413"/>
      <c r="C53" s="413"/>
      <c r="D53" s="413"/>
      <c r="E53" s="413"/>
      <c r="F53" s="413"/>
      <c r="G53" s="413"/>
      <c r="H53" s="413"/>
      <c r="I53" s="413"/>
    </row>
    <row r="54" spans="1:9" ht="19.899999999999999" customHeight="1" x14ac:dyDescent="0.25">
      <c r="A54" s="414" t="s">
        <v>81</v>
      </c>
      <c r="B54" s="414"/>
      <c r="C54" s="414"/>
      <c r="D54" s="414"/>
      <c r="E54" s="414"/>
      <c r="F54" s="414"/>
      <c r="G54" s="414"/>
      <c r="H54" s="414"/>
      <c r="I54" s="414"/>
    </row>
    <row r="55" spans="1:9" ht="20.45" customHeight="1" x14ac:dyDescent="0.25">
      <c r="A55" s="414"/>
      <c r="B55" s="414"/>
      <c r="C55" s="414"/>
      <c r="D55" s="414"/>
      <c r="E55" s="414"/>
      <c r="F55" s="414"/>
      <c r="G55" s="414"/>
      <c r="H55" s="414"/>
      <c r="I55" s="414"/>
    </row>
    <row r="56" spans="1:9" ht="20.45" customHeight="1" x14ac:dyDescent="0.25">
      <c r="A56" s="415"/>
      <c r="B56" s="415"/>
      <c r="C56" s="415"/>
      <c r="D56" s="415"/>
      <c r="E56" s="415"/>
      <c r="F56" s="415"/>
      <c r="G56" s="415"/>
      <c r="H56" s="415"/>
      <c r="I56" s="415"/>
    </row>
    <row r="57" spans="1:9" ht="20.45" customHeight="1" x14ac:dyDescent="0.25">
      <c r="A57" s="415"/>
      <c r="B57" s="415"/>
      <c r="C57" s="415"/>
      <c r="D57" s="415"/>
      <c r="E57" s="415"/>
      <c r="F57" s="415"/>
      <c r="G57" s="415"/>
      <c r="H57" s="415"/>
      <c r="I57" s="415"/>
    </row>
    <row r="58" spans="1:9" ht="19.899999999999999" customHeight="1" x14ac:dyDescent="0.25">
      <c r="A58" s="426"/>
      <c r="B58" s="427"/>
      <c r="C58" s="428"/>
      <c r="D58" s="428"/>
      <c r="E58" s="428"/>
      <c r="F58" s="428"/>
      <c r="G58" s="428"/>
      <c r="H58" s="428"/>
      <c r="I58" s="429"/>
    </row>
    <row r="59" spans="1:9" ht="18" x14ac:dyDescent="0.25">
      <c r="A59" s="416"/>
      <c r="B59" s="417"/>
      <c r="C59" s="417"/>
      <c r="D59" s="417"/>
      <c r="E59" s="417"/>
      <c r="F59" s="417"/>
      <c r="G59" s="417"/>
      <c r="H59" s="417"/>
      <c r="I59" s="418"/>
    </row>
    <row r="61" spans="1:9" ht="18" customHeight="1" x14ac:dyDescent="0.25">
      <c r="A61" s="419"/>
      <c r="B61" s="420"/>
      <c r="C61" s="421"/>
      <c r="D61" s="421"/>
      <c r="E61" s="421"/>
      <c r="F61" s="421"/>
      <c r="G61" s="421"/>
      <c r="H61" s="421"/>
      <c r="I61" s="422"/>
    </row>
    <row r="62" spans="1:9" ht="17.25" x14ac:dyDescent="0.3">
      <c r="A62" s="423"/>
      <c r="B62" s="424"/>
      <c r="C62" s="424"/>
      <c r="D62" s="424"/>
      <c r="E62" s="424"/>
      <c r="F62" s="424"/>
      <c r="G62" s="424"/>
      <c r="H62" s="424"/>
      <c r="I62" s="425"/>
    </row>
    <row r="63" spans="1:9" ht="18" thickBot="1" x14ac:dyDescent="0.35">
      <c r="A63" s="404"/>
      <c r="B63" s="405"/>
      <c r="C63" s="405"/>
      <c r="D63" s="405"/>
      <c r="E63" s="405"/>
      <c r="F63" s="405"/>
      <c r="G63" s="405"/>
      <c r="H63" s="405"/>
      <c r="I63" s="406"/>
    </row>
    <row r="64" spans="1:9" x14ac:dyDescent="0.25">
      <c r="A64" s="458" t="s">
        <v>33</v>
      </c>
      <c r="B64" s="459"/>
      <c r="C64" s="459"/>
      <c r="D64" s="459"/>
      <c r="E64" s="459"/>
      <c r="F64" s="459"/>
      <c r="G64" s="459"/>
      <c r="H64" s="459"/>
      <c r="I64" s="459"/>
    </row>
    <row r="65" spans="1:9" x14ac:dyDescent="0.25">
      <c r="A65" s="460"/>
      <c r="B65" s="461"/>
      <c r="C65" s="461"/>
      <c r="D65" s="461"/>
      <c r="E65" s="461"/>
      <c r="F65" s="461"/>
      <c r="G65" s="461"/>
      <c r="H65" s="461"/>
      <c r="I65" s="461"/>
    </row>
    <row r="66" spans="1:9" x14ac:dyDescent="0.25">
      <c r="A66" s="460"/>
      <c r="B66" s="461"/>
      <c r="C66" s="461"/>
      <c r="D66" s="461"/>
      <c r="E66" s="461"/>
      <c r="F66" s="461"/>
      <c r="G66" s="461"/>
      <c r="H66" s="461"/>
      <c r="I66" s="461"/>
    </row>
  </sheetData>
  <mergeCells count="47">
    <mergeCell ref="A66:I66"/>
    <mergeCell ref="A54:I54"/>
    <mergeCell ref="A55:I55"/>
    <mergeCell ref="A56:I56"/>
    <mergeCell ref="A57:I57"/>
    <mergeCell ref="A58:I58"/>
    <mergeCell ref="A59:I59"/>
    <mergeCell ref="A61:I61"/>
    <mergeCell ref="A62:I62"/>
    <mergeCell ref="A63:I63"/>
    <mergeCell ref="A64:I64"/>
    <mergeCell ref="A65:I65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7B5B-1AF0-44E6-802D-0157854CA47F}">
  <dimension ref="A1:T91"/>
  <sheetViews>
    <sheetView workbookViewId="0">
      <selection activeCell="C57" sqref="C57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8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8" ht="30.75" customHeight="1" x14ac:dyDescent="0.25">
      <c r="A2" s="121"/>
      <c r="B2" s="121"/>
      <c r="C2" s="121"/>
      <c r="D2" s="121"/>
      <c r="E2" s="127">
        <f>IFERROR(O62,"")</f>
        <v>5184.96</v>
      </c>
      <c r="F2" s="127">
        <f>IFERROR(H53,"")</f>
        <v>4544.96</v>
      </c>
      <c r="G2" s="127">
        <f>IFERROR(H54,"")</f>
        <v>0</v>
      </c>
      <c r="H2" s="127">
        <f>IFERROR(H56,"")</f>
        <v>308</v>
      </c>
      <c r="I2" s="128"/>
    </row>
    <row r="3" spans="1:18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8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8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8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8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8" ht="13.5" x14ac:dyDescent="0.25">
      <c r="A8" s="138">
        <v>1000</v>
      </c>
      <c r="B8" s="126" t="s">
        <v>77</v>
      </c>
      <c r="C8" s="139">
        <f>+A8</f>
        <v>1000</v>
      </c>
      <c r="D8" s="140" t="s">
        <v>154</v>
      </c>
      <c r="E8" s="140">
        <v>4</v>
      </c>
      <c r="F8" s="140">
        <f>IFERROR(C8*E8,"")</f>
        <v>4000</v>
      </c>
      <c r="G8" s="141">
        <f t="shared" ref="G8:G14" si="0">IFERROR(F8/$F$66,"")</f>
        <v>0.8090845305626827</v>
      </c>
      <c r="H8" s="142" t="s">
        <v>76</v>
      </c>
      <c r="I8" s="142"/>
      <c r="J8" s="143"/>
    </row>
    <row r="9" spans="1:18" ht="13.5" x14ac:dyDescent="0.25">
      <c r="A9" s="138">
        <v>150</v>
      </c>
      <c r="B9" s="126" t="s">
        <v>78</v>
      </c>
      <c r="C9" s="139">
        <f t="shared" ref="C9:C14" si="1">+A9</f>
        <v>150</v>
      </c>
      <c r="D9" s="140" t="s">
        <v>154</v>
      </c>
      <c r="E9" s="140">
        <v>3.51</v>
      </c>
      <c r="F9" s="140">
        <f t="shared" ref="F9:F14" si="2">IFERROR(C9*E9,"")</f>
        <v>526.5</v>
      </c>
      <c r="G9" s="141">
        <f t="shared" si="0"/>
        <v>0.10649575133531311</v>
      </c>
      <c r="H9" s="142"/>
      <c r="I9" s="142"/>
      <c r="J9" s="143"/>
    </row>
    <row r="10" spans="1:18" ht="13.5" x14ac:dyDescent="0.25">
      <c r="A10" s="138">
        <v>1</v>
      </c>
      <c r="B10" s="126" t="s">
        <v>195</v>
      </c>
      <c r="C10" s="139">
        <f t="shared" si="1"/>
        <v>1</v>
      </c>
      <c r="D10" s="140" t="s">
        <v>154</v>
      </c>
      <c r="E10" s="140">
        <v>18.46</v>
      </c>
      <c r="F10" s="140">
        <f t="shared" si="2"/>
        <v>18.46</v>
      </c>
      <c r="G10" s="141">
        <f t="shared" si="0"/>
        <v>3.7339251085467809E-3</v>
      </c>
      <c r="H10" s="142" t="s">
        <v>194</v>
      </c>
      <c r="I10" s="142"/>
      <c r="J10" s="143"/>
    </row>
    <row r="11" spans="1:18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8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8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8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8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8" ht="26.25" hidden="1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  <c r="R16" s="126">
        <v>1557</v>
      </c>
    </row>
    <row r="17" spans="1:18" ht="13.5" hidden="1" x14ac:dyDescent="0.25">
      <c r="A17" s="138"/>
      <c r="B17" s="126" t="str">
        <f>IFERROR(VLOOKUP(H17,[1]SEMIELABORADOS!$A$2:$M$6000,2,0),"")</f>
        <v/>
      </c>
      <c r="C17" s="139">
        <f>+A17</f>
        <v>0</v>
      </c>
      <c r="D17" s="139" t="str">
        <f>IFERROR(VLOOKUP(H17,[1]SEMIELABORADOS!$A$2:$M$6000,6,0),"")</f>
        <v/>
      </c>
      <c r="E17" s="140" t="str">
        <f>IFERROR(VLOOKUP(H17,[1]SEMIELABORADOS!$A$2:$H$65536,8,0),"")</f>
        <v/>
      </c>
      <c r="F17" s="140" t="str">
        <f>IFERROR(E17*C17,"")</f>
        <v/>
      </c>
      <c r="G17" s="141" t="str">
        <f t="shared" ref="G17:G24" si="3">IFERROR(F17/$F$66,"")</f>
        <v/>
      </c>
      <c r="H17" s="142"/>
      <c r="I17" s="142"/>
      <c r="J17" s="143"/>
      <c r="R17" s="126" t="s">
        <v>153</v>
      </c>
    </row>
    <row r="18" spans="1:18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  <c r="R18" s="126">
        <v>443</v>
      </c>
    </row>
    <row r="19" spans="1:18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8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  <c r="R20" s="126">
        <f>1557/443</f>
        <v>3.5146726862302482</v>
      </c>
    </row>
    <row r="21" spans="1:18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8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8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8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8" ht="14.25" hidden="1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8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8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8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8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8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8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8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hidden="1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hidden="1" x14ac:dyDescent="0.25">
      <c r="A35" s="138">
        <f>+A17</f>
        <v>0</v>
      </c>
      <c r="B35" s="144" t="str">
        <f>IFERROR(VLOOKUP(H35,[1]SEMIELABORADOS!$A$2:$M$6000,2,0),"")</f>
        <v/>
      </c>
      <c r="C35" s="139">
        <f>+A35</f>
        <v>0</v>
      </c>
      <c r="D35" s="140" t="str">
        <f>IFERROR(VLOOKUP(H35,[1]SEMIELABORADOS!$A$2:$M$6000,6,0),"")</f>
        <v/>
      </c>
      <c r="E35" s="140" t="str">
        <f>IFERROR(VLOOKUP(H35,[1]SEMIELABORADOS!$A$2:$M$65536,10,0),"")</f>
        <v/>
      </c>
      <c r="F35" s="140" t="str">
        <f>IFERROR(E35*C35,"")</f>
        <v/>
      </c>
      <c r="G35" s="141" t="str">
        <f t="shared" ref="G35:G41" si="9">IFERROR(F35/$F$66,"")</f>
        <v/>
      </c>
      <c r="H35" s="145"/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hidden="1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hidden="1" x14ac:dyDescent="0.25">
      <c r="A44" s="138">
        <f>+A35</f>
        <v>0</v>
      </c>
      <c r="B44" s="144" t="str">
        <f>IFERROR(VLOOKUP(H44,[1]SEMIELABORADOS!$A$2:$M$6000,2,0),"")</f>
        <v/>
      </c>
      <c r="C44" s="139">
        <f>+A44</f>
        <v>0</v>
      </c>
      <c r="D44" s="140" t="str">
        <f>IFERROR(VLOOKUP(H44,[1]SEMIELABORADOS!$A$2:$M$6000,6,0),"")</f>
        <v/>
      </c>
      <c r="E44" s="140" t="str">
        <f>IFERROR(VLOOKUP(H44,[1]SEMIELABORADOS!$A$2:$M$65536,12,0),"")</f>
        <v/>
      </c>
      <c r="F44" s="140" t="str">
        <f>IFERROR(E44*C44,"")</f>
        <v/>
      </c>
      <c r="G44" s="141" t="str">
        <f>IFERROR(F44/$F$66,"")</f>
        <v/>
      </c>
      <c r="H44" s="145"/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20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20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20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308</v>
      </c>
      <c r="F51" s="140">
        <f>IFERROR(C51*E51,"")</f>
        <v>308</v>
      </c>
      <c r="G51" s="141">
        <f>IFERROR(F51/$F$66,"")</f>
        <v>6.2299508853326566E-2</v>
      </c>
      <c r="H51" s="149"/>
      <c r="I51" s="149"/>
      <c r="J51" s="143"/>
    </row>
    <row r="52" spans="1:20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20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4544.96</v>
      </c>
      <c r="G53" s="141">
        <f>+F53/$F$66</f>
        <v>0.91931420700654265</v>
      </c>
      <c r="H53" s="153">
        <f>+F53/$D$60</f>
        <v>4544.96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20" x14ac:dyDescent="0.2">
      <c r="A54" s="150"/>
      <c r="B54" s="508" t="s">
        <v>121</v>
      </c>
      <c r="C54" s="508"/>
      <c r="D54" s="508"/>
      <c r="E54" s="508"/>
      <c r="F54" s="152">
        <f>SUM(F27:F32,F35:F41)</f>
        <v>0</v>
      </c>
      <c r="G54" s="141">
        <f>+F54/$F$66</f>
        <v>0</v>
      </c>
      <c r="H54" s="153">
        <f>+F54/$D$60</f>
        <v>0</v>
      </c>
      <c r="I54" s="153"/>
      <c r="J54" s="157"/>
      <c r="K54" s="509" t="s">
        <v>122</v>
      </c>
      <c r="L54" s="510"/>
      <c r="M54" s="510"/>
      <c r="N54" s="510"/>
      <c r="O54" s="158">
        <f>+F55</f>
        <v>4544.96</v>
      </c>
      <c r="P54" s="158"/>
      <c r="Q54" s="159"/>
    </row>
    <row r="55" spans="1:20" x14ac:dyDescent="0.2">
      <c r="A55" s="150"/>
      <c r="B55" s="508" t="s">
        <v>123</v>
      </c>
      <c r="C55" s="508"/>
      <c r="D55" s="508"/>
      <c r="E55" s="508"/>
      <c r="F55" s="152">
        <f>+F53+F54</f>
        <v>4544.96</v>
      </c>
      <c r="G55" s="141">
        <f>+F55/$F$66</f>
        <v>0.91931420700654265</v>
      </c>
      <c r="H55" s="153">
        <f>+F55/$D$60</f>
        <v>4544.96</v>
      </c>
      <c r="I55" s="153"/>
      <c r="J55" s="160"/>
      <c r="K55" s="161"/>
      <c r="M55" s="162" t="s">
        <v>124</v>
      </c>
      <c r="N55" s="163"/>
      <c r="O55" s="158">
        <f>+H56</f>
        <v>308</v>
      </c>
      <c r="P55" s="158"/>
      <c r="Q55" s="159"/>
    </row>
    <row r="56" spans="1:20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308</v>
      </c>
      <c r="G56" s="141">
        <f>+F56/$F$66</f>
        <v>6.2299508853326566E-2</v>
      </c>
      <c r="H56" s="153">
        <f>+F56/$D$60</f>
        <v>308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20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4852.96</v>
      </c>
      <c r="P57" s="172"/>
      <c r="Q57" s="159"/>
    </row>
    <row r="58" spans="1:20" x14ac:dyDescent="0.2">
      <c r="B58" s="511" t="s">
        <v>128</v>
      </c>
      <c r="C58" s="511"/>
      <c r="D58" s="173">
        <v>1000</v>
      </c>
      <c r="E58" s="174"/>
      <c r="G58" s="141"/>
      <c r="H58" s="167">
        <f>+H56/77</f>
        <v>4</v>
      </c>
      <c r="I58" s="175"/>
      <c r="J58" s="160"/>
      <c r="K58" s="168"/>
      <c r="L58" s="161"/>
      <c r="M58" s="161" t="s">
        <v>129</v>
      </c>
      <c r="N58" s="176"/>
      <c r="O58" s="158">
        <f>+H59</f>
        <v>332</v>
      </c>
      <c r="P58" s="158"/>
      <c r="Q58" s="159"/>
    </row>
    <row r="59" spans="1:20" x14ac:dyDescent="0.2">
      <c r="B59" s="511" t="s">
        <v>130</v>
      </c>
      <c r="C59" s="511"/>
      <c r="D59" s="177">
        <v>1000</v>
      </c>
      <c r="E59" s="174"/>
      <c r="G59" s="141"/>
      <c r="H59" s="167">
        <f>+H58*83</f>
        <v>332</v>
      </c>
      <c r="I59" s="175"/>
      <c r="J59" s="160"/>
      <c r="K59" s="168"/>
      <c r="L59" s="161"/>
      <c r="M59" s="512" t="s">
        <v>127</v>
      </c>
      <c r="N59" s="512"/>
      <c r="O59" s="158">
        <f>SUM(O57:O58)</f>
        <v>5184.96</v>
      </c>
      <c r="P59" s="158"/>
      <c r="Q59" s="159"/>
    </row>
    <row r="60" spans="1:20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  <c r="T60" s="126" t="s">
        <v>155</v>
      </c>
    </row>
    <row r="61" spans="1:20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5184.96</v>
      </c>
      <c r="P61" s="180" t="s">
        <v>134</v>
      </c>
      <c r="Q61" s="159"/>
      <c r="T61" s="126">
        <v>1557</v>
      </c>
    </row>
    <row r="62" spans="1:20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5184.96</v>
      </c>
      <c r="P62" s="186">
        <f>+O62/D59</f>
        <v>5.1849600000000002</v>
      </c>
      <c r="Q62" s="187"/>
      <c r="T62" s="126">
        <f>1557/443</f>
        <v>3.5146726862302482</v>
      </c>
    </row>
    <row r="63" spans="1:20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4544.96</v>
      </c>
      <c r="G63" s="141">
        <f>+F63/$F$66</f>
        <v>0.91931420700654265</v>
      </c>
      <c r="H63" s="167"/>
      <c r="I63" s="175"/>
      <c r="K63" s="494"/>
      <c r="L63" s="495"/>
      <c r="M63" s="495"/>
      <c r="N63" s="495"/>
      <c r="O63" s="190"/>
      <c r="P63" s="191"/>
    </row>
    <row r="64" spans="1:20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90.899200000000008</v>
      </c>
      <c r="G64" s="141">
        <f>+F64/$F$66</f>
        <v>1.8386284140130854E-2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4</v>
      </c>
      <c r="E65" s="196">
        <v>77</v>
      </c>
      <c r="F65" s="189">
        <f>+E65*D65</f>
        <v>308</v>
      </c>
      <c r="G65" s="141">
        <f>+F65/$F$66</f>
        <v>6.2299508853326566E-2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4943.8591999999999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4544.96</v>
      </c>
      <c r="D69" s="202">
        <f>+D58</f>
        <v>1000</v>
      </c>
      <c r="E69" s="203">
        <f>+C69/D69</f>
        <v>4.5449599999999997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4635.8591999999999</v>
      </c>
      <c r="D71" s="202">
        <f>+D58</f>
        <v>1000</v>
      </c>
      <c r="E71" s="207">
        <f>+C71/D71</f>
        <v>4.6358591999999996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308</v>
      </c>
      <c r="D73" s="202">
        <f>+D58</f>
        <v>1000</v>
      </c>
      <c r="E73" s="207">
        <f>+C73/D73</f>
        <v>0.308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308</v>
      </c>
      <c r="D74" s="202">
        <f>+D73</f>
        <v>1000</v>
      </c>
      <c r="E74" s="203">
        <f>+C74/D74</f>
        <v>0.308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0</v>
      </c>
      <c r="D76" s="202">
        <f>+D74</f>
        <v>1000</v>
      </c>
      <c r="E76" s="203">
        <f>+C76/D76</f>
        <v>0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4.8529599999999995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4544.96</v>
      </c>
      <c r="D81" s="202">
        <f>+D60</f>
        <v>1</v>
      </c>
      <c r="E81" s="203">
        <f>+C81/D81</f>
        <v>4544.96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4635.8591999999999</v>
      </c>
      <c r="D83" s="202">
        <f>+D60</f>
        <v>1</v>
      </c>
      <c r="E83" s="207">
        <f>+C83/D83</f>
        <v>4635.8591999999999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308</v>
      </c>
      <c r="D85" s="202">
        <f>+D60</f>
        <v>1</v>
      </c>
      <c r="E85" s="207">
        <f>+C85/D85</f>
        <v>308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308</v>
      </c>
      <c r="D86" s="202">
        <f>+D85</f>
        <v>1</v>
      </c>
      <c r="E86" s="203">
        <f>+C86/D86</f>
        <v>308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C88A-958E-4B8C-8EF6-998338509DBC}">
  <dimension ref="A1:K65"/>
  <sheetViews>
    <sheetView zoomScale="71" workbookViewId="0">
      <selection activeCell="E20" sqref="E20"/>
    </sheetView>
  </sheetViews>
  <sheetFormatPr baseColWidth="10" defaultRowHeight="15" x14ac:dyDescent="0.25"/>
  <cols>
    <col min="1" max="1" width="15" customWidth="1"/>
    <col min="2" max="2" width="15.14062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9" ht="17.25" x14ac:dyDescent="0.3">
      <c r="A1" s="471"/>
      <c r="B1" s="472"/>
      <c r="C1" s="477" t="s">
        <v>30</v>
      </c>
      <c r="D1" s="477"/>
      <c r="E1" s="477"/>
      <c r="F1" s="477"/>
      <c r="G1" s="477"/>
      <c r="H1" s="6" t="s">
        <v>29</v>
      </c>
      <c r="I1" s="7"/>
    </row>
    <row r="2" spans="1:9" ht="18" thickBot="1" x14ac:dyDescent="0.35">
      <c r="A2" s="473"/>
      <c r="B2" s="474"/>
      <c r="C2" s="478" t="s">
        <v>28</v>
      </c>
      <c r="D2" s="478"/>
      <c r="E2" s="478"/>
      <c r="F2" s="478"/>
      <c r="G2" s="478"/>
      <c r="H2" s="8" t="s">
        <v>27</v>
      </c>
      <c r="I2" s="9"/>
    </row>
    <row r="3" spans="1:9" ht="22.9" customHeight="1" thickBot="1" x14ac:dyDescent="0.3">
      <c r="A3" s="473"/>
      <c r="B3" s="474"/>
      <c r="C3" s="479" t="s">
        <v>84</v>
      </c>
      <c r="D3" s="480"/>
      <c r="E3" s="480"/>
      <c r="F3" s="480"/>
      <c r="G3" s="481"/>
      <c r="H3" s="482" t="s">
        <v>26</v>
      </c>
      <c r="I3" s="462"/>
    </row>
    <row r="4" spans="1:9" ht="17.25" x14ac:dyDescent="0.3">
      <c r="A4" s="473"/>
      <c r="B4" s="474"/>
      <c r="C4" s="10" t="s">
        <v>25</v>
      </c>
      <c r="D4" s="465" t="s">
        <v>35</v>
      </c>
      <c r="E4" s="466"/>
      <c r="F4" s="466"/>
      <c r="G4" s="467"/>
      <c r="H4" s="483"/>
      <c r="I4" s="463"/>
    </row>
    <row r="5" spans="1:9" ht="18" thickBot="1" x14ac:dyDescent="0.35">
      <c r="A5" s="475"/>
      <c r="B5" s="476"/>
      <c r="C5" s="11" t="s">
        <v>24</v>
      </c>
      <c r="D5" s="468" t="s">
        <v>44</v>
      </c>
      <c r="E5" s="469"/>
      <c r="F5" s="469"/>
      <c r="G5" s="470"/>
      <c r="H5" s="484"/>
      <c r="I5" s="464"/>
    </row>
    <row r="6" spans="1:9" ht="16.5" thickBot="1" x14ac:dyDescent="0.3">
      <c r="A6" s="485" t="s">
        <v>23</v>
      </c>
      <c r="B6" s="485"/>
      <c r="C6" s="485"/>
      <c r="D6" s="486" t="s">
        <v>46</v>
      </c>
      <c r="E6" s="486"/>
      <c r="F6" s="486"/>
      <c r="G6" s="450" t="s">
        <v>22</v>
      </c>
      <c r="H6" s="450"/>
      <c r="I6" s="12" t="s">
        <v>46</v>
      </c>
    </row>
    <row r="7" spans="1:9" x14ac:dyDescent="0.25">
      <c r="A7" s="451" t="s">
        <v>21</v>
      </c>
      <c r="B7" s="453" t="s">
        <v>31</v>
      </c>
      <c r="C7" s="455" t="s">
        <v>20</v>
      </c>
      <c r="D7" s="455" t="s">
        <v>19</v>
      </c>
      <c r="E7" s="455" t="s">
        <v>18</v>
      </c>
      <c r="F7" s="455"/>
      <c r="G7" s="455" t="s">
        <v>17</v>
      </c>
      <c r="H7" s="455"/>
      <c r="I7" s="13" t="s">
        <v>16</v>
      </c>
    </row>
    <row r="8" spans="1:9" ht="31.5" thickBot="1" x14ac:dyDescent="0.3">
      <c r="A8" s="452"/>
      <c r="B8" s="454"/>
      <c r="C8" s="456"/>
      <c r="D8" s="457"/>
      <c r="E8" s="14" t="s">
        <v>13</v>
      </c>
      <c r="F8" s="15" t="s">
        <v>15</v>
      </c>
      <c r="G8" s="14" t="s">
        <v>13</v>
      </c>
      <c r="H8" s="15" t="s">
        <v>15</v>
      </c>
      <c r="I8" s="16" t="s">
        <v>14</v>
      </c>
    </row>
    <row r="9" spans="1:9" ht="19.899999999999999" customHeight="1" x14ac:dyDescent="0.3">
      <c r="A9" s="87"/>
      <c r="B9" s="88"/>
      <c r="C9" s="71" t="s">
        <v>32</v>
      </c>
      <c r="D9" s="88"/>
      <c r="E9" s="70"/>
      <c r="F9" s="89"/>
      <c r="G9" s="70"/>
      <c r="H9" s="89"/>
      <c r="I9" s="17"/>
    </row>
    <row r="10" spans="1:9" ht="21" customHeight="1" x14ac:dyDescent="0.3">
      <c r="A10" s="65"/>
      <c r="B10" s="65" t="s">
        <v>54</v>
      </c>
      <c r="C10" s="120" t="s">
        <v>85</v>
      </c>
      <c r="D10" s="115" t="s">
        <v>86</v>
      </c>
      <c r="E10" s="62">
        <f>20*28.57</f>
        <v>571.4</v>
      </c>
      <c r="F10" s="75"/>
      <c r="G10" s="76"/>
      <c r="H10" s="103"/>
      <c r="I10" s="4"/>
    </row>
    <row r="11" spans="1:9" ht="19.899999999999999" customHeight="1" x14ac:dyDescent="0.3">
      <c r="A11" s="65"/>
      <c r="B11" s="108" t="s">
        <v>87</v>
      </c>
      <c r="C11" s="117" t="s">
        <v>88</v>
      </c>
      <c r="D11" s="115"/>
      <c r="E11" s="62">
        <f>20*28.57</f>
        <v>571.4</v>
      </c>
      <c r="F11" s="75"/>
      <c r="G11" s="76"/>
      <c r="H11" s="103"/>
      <c r="I11" s="4"/>
    </row>
    <row r="12" spans="1:9" ht="20.25" x14ac:dyDescent="0.3">
      <c r="A12" s="67"/>
      <c r="B12" s="104"/>
      <c r="C12" s="118"/>
      <c r="D12" s="115"/>
      <c r="E12" s="62"/>
      <c r="F12" s="75"/>
      <c r="G12" s="76"/>
      <c r="H12" s="103"/>
      <c r="I12" s="4"/>
    </row>
    <row r="13" spans="1:9" ht="20.25" x14ac:dyDescent="0.3">
      <c r="A13" s="67"/>
      <c r="B13" s="104"/>
      <c r="C13" s="118"/>
      <c r="D13" s="115"/>
      <c r="E13" s="78"/>
      <c r="F13" s="75"/>
      <c r="G13" s="76"/>
      <c r="H13" s="65"/>
      <c r="I13" s="4"/>
    </row>
    <row r="14" spans="1:9" ht="20.25" x14ac:dyDescent="0.3">
      <c r="A14" s="67"/>
      <c r="B14" s="118"/>
      <c r="C14" s="118"/>
      <c r="D14" s="79"/>
      <c r="E14" s="80"/>
      <c r="F14" s="75"/>
      <c r="G14" s="77"/>
      <c r="H14" s="65"/>
      <c r="I14" s="4"/>
    </row>
    <row r="15" spans="1:9" ht="18.75" x14ac:dyDescent="0.3">
      <c r="A15" s="66"/>
      <c r="B15" s="67"/>
      <c r="C15" s="82"/>
      <c r="D15" s="63"/>
      <c r="E15" s="65"/>
      <c r="F15" s="83"/>
      <c r="G15" s="77"/>
      <c r="H15" s="65"/>
      <c r="I15" s="4"/>
    </row>
    <row r="16" spans="1:9" ht="18.75" x14ac:dyDescent="0.3">
      <c r="A16" s="66"/>
      <c r="B16" s="67"/>
      <c r="C16" s="82"/>
      <c r="D16" s="63"/>
      <c r="E16" s="65"/>
      <c r="F16" s="83"/>
      <c r="G16" s="77"/>
      <c r="H16" s="65"/>
      <c r="I16" s="4"/>
    </row>
    <row r="17" spans="1:10" ht="18.75" x14ac:dyDescent="0.3">
      <c r="A17" s="67"/>
      <c r="B17" s="67"/>
      <c r="C17" s="91" t="s">
        <v>41</v>
      </c>
      <c r="D17" s="65"/>
      <c r="E17" s="72"/>
      <c r="F17" s="65"/>
      <c r="G17" s="64"/>
      <c r="H17" s="65"/>
      <c r="I17" s="4"/>
    </row>
    <row r="18" spans="1:10" ht="18.75" x14ac:dyDescent="0.3">
      <c r="A18" s="67"/>
      <c r="B18" s="65"/>
      <c r="C18" s="72"/>
      <c r="D18" s="115"/>
      <c r="E18" s="69"/>
      <c r="F18" s="69"/>
      <c r="G18" s="64"/>
      <c r="H18" s="106"/>
      <c r="I18" s="4"/>
      <c r="J18" s="62"/>
    </row>
    <row r="19" spans="1:10" ht="18.75" x14ac:dyDescent="0.3">
      <c r="A19" s="67"/>
      <c r="B19" s="65"/>
      <c r="C19" s="72"/>
      <c r="D19" s="110"/>
      <c r="E19" s="69"/>
      <c r="F19" s="69"/>
      <c r="G19" s="64"/>
      <c r="H19" s="106"/>
      <c r="I19" s="4"/>
      <c r="J19" s="62"/>
    </row>
    <row r="20" spans="1:10" ht="18.75" x14ac:dyDescent="0.3">
      <c r="A20" s="67"/>
      <c r="B20" s="112"/>
      <c r="C20" s="113"/>
      <c r="D20" s="110"/>
      <c r="E20" s="69"/>
      <c r="F20" s="69"/>
      <c r="G20" s="64"/>
      <c r="H20" s="106"/>
      <c r="I20" s="4"/>
      <c r="J20" s="62"/>
    </row>
    <row r="21" spans="1:10" ht="22.9" customHeight="1" x14ac:dyDescent="0.3">
      <c r="A21" s="104"/>
      <c r="B21" s="108"/>
      <c r="C21" s="109"/>
      <c r="D21" s="110"/>
      <c r="E21" s="69"/>
      <c r="F21" s="69"/>
      <c r="G21" s="70"/>
      <c r="H21" s="89"/>
      <c r="I21" s="4"/>
      <c r="J21" s="78"/>
    </row>
    <row r="22" spans="1:10" ht="21.6" customHeight="1" x14ac:dyDescent="0.3">
      <c r="A22" s="105"/>
      <c r="B22" s="108"/>
      <c r="C22" s="109"/>
      <c r="D22" s="110"/>
      <c r="E22" s="69"/>
      <c r="F22" s="69"/>
      <c r="G22" s="1"/>
      <c r="H22" s="106"/>
      <c r="I22" s="1"/>
      <c r="J22" s="107"/>
    </row>
    <row r="23" spans="1:10" ht="18" customHeight="1" x14ac:dyDescent="0.3">
      <c r="A23" s="105"/>
      <c r="B23" s="108"/>
      <c r="C23" s="109"/>
      <c r="D23" s="111"/>
      <c r="E23" s="69"/>
      <c r="F23" s="69"/>
      <c r="G23" s="70"/>
      <c r="H23" s="89"/>
      <c r="I23" s="1"/>
    </row>
    <row r="24" spans="1:10" ht="18.75" x14ac:dyDescent="0.3">
      <c r="A24" s="67"/>
      <c r="B24" s="65"/>
      <c r="C24" s="72"/>
      <c r="D24" s="69"/>
      <c r="E24" s="69"/>
      <c r="F24" s="69"/>
      <c r="G24" s="70"/>
      <c r="H24" s="89"/>
      <c r="I24" s="4"/>
    </row>
    <row r="25" spans="1:10" ht="18.75" x14ac:dyDescent="0.3">
      <c r="A25" s="67"/>
      <c r="B25" s="65"/>
      <c r="C25" s="102"/>
      <c r="D25" s="79"/>
      <c r="E25" s="69"/>
      <c r="F25" s="69"/>
      <c r="G25" s="70"/>
      <c r="H25" s="89"/>
      <c r="I25" s="4"/>
    </row>
    <row r="26" spans="1:10" ht="18.75" x14ac:dyDescent="0.3">
      <c r="A26" s="67"/>
      <c r="B26" s="65"/>
      <c r="C26" s="102"/>
      <c r="D26" s="79"/>
      <c r="E26" s="69"/>
      <c r="F26" s="69"/>
      <c r="G26" s="70"/>
      <c r="H26" s="89"/>
      <c r="I26" s="4"/>
    </row>
    <row r="27" spans="1:10" ht="18.75" x14ac:dyDescent="0.3">
      <c r="A27" s="67"/>
      <c r="B27" s="65"/>
      <c r="C27" s="102"/>
      <c r="D27" s="79"/>
      <c r="E27" s="69"/>
      <c r="F27" s="69"/>
      <c r="G27" s="70"/>
      <c r="H27" s="89"/>
      <c r="I27" s="4"/>
    </row>
    <row r="28" spans="1:10" ht="18.75" x14ac:dyDescent="0.3">
      <c r="A28" s="67"/>
      <c r="B28" s="65"/>
      <c r="C28" s="102"/>
      <c r="D28" s="79"/>
      <c r="E28" s="69"/>
      <c r="F28" s="69"/>
      <c r="G28" s="70"/>
      <c r="H28" s="89"/>
      <c r="I28" s="4"/>
    </row>
    <row r="29" spans="1:10" ht="18.75" x14ac:dyDescent="0.3">
      <c r="A29" s="72"/>
      <c r="B29" s="68"/>
      <c r="C29" s="92"/>
      <c r="D29" s="73"/>
      <c r="E29" s="68"/>
      <c r="F29" s="93"/>
      <c r="G29" s="70"/>
      <c r="H29" s="89"/>
      <c r="I29" s="17"/>
    </row>
    <row r="30" spans="1:10" ht="18.75" x14ac:dyDescent="0.3">
      <c r="A30" s="67"/>
      <c r="B30" s="67"/>
      <c r="C30" s="91" t="s">
        <v>34</v>
      </c>
      <c r="D30" s="72"/>
      <c r="E30" s="72"/>
      <c r="F30" s="65"/>
      <c r="G30" s="64"/>
      <c r="H30" s="65"/>
      <c r="I30" s="17"/>
    </row>
    <row r="31" spans="1:10" ht="18.75" x14ac:dyDescent="0.3">
      <c r="A31" s="62"/>
      <c r="B31" s="63"/>
      <c r="C31" s="81"/>
      <c r="D31" s="84"/>
      <c r="E31" s="85"/>
      <c r="F31" s="85"/>
      <c r="G31" s="64"/>
      <c r="H31" s="65"/>
      <c r="I31" s="17"/>
    </row>
    <row r="32" spans="1:10" ht="18.75" x14ac:dyDescent="0.3">
      <c r="A32" s="62"/>
      <c r="B32" s="63"/>
      <c r="C32" s="81"/>
      <c r="D32" s="84"/>
      <c r="E32" s="85"/>
      <c r="F32" s="85"/>
      <c r="G32" s="94"/>
      <c r="H32" s="65"/>
      <c r="I32" s="17"/>
      <c r="J32" s="107"/>
    </row>
    <row r="33" spans="1:11" s="61" customFormat="1" ht="18.75" x14ac:dyDescent="0.3">
      <c r="A33" s="62"/>
      <c r="B33" s="63"/>
      <c r="C33" s="81"/>
      <c r="D33" s="84"/>
      <c r="E33" s="85"/>
      <c r="F33" s="85"/>
      <c r="G33" s="74"/>
      <c r="H33" s="65"/>
      <c r="I33" s="17"/>
    </row>
    <row r="34" spans="1:11" ht="18.75" x14ac:dyDescent="0.3">
      <c r="A34" s="62"/>
      <c r="B34" s="86"/>
      <c r="C34" s="81"/>
      <c r="D34" s="84"/>
      <c r="E34" s="85"/>
      <c r="F34" s="85"/>
      <c r="G34" s="94"/>
      <c r="H34" s="67"/>
      <c r="I34" s="17"/>
      <c r="J34" s="107">
        <f>SUM(E10:E13)</f>
        <v>1142.8</v>
      </c>
    </row>
    <row r="35" spans="1:11" ht="18.75" x14ac:dyDescent="0.3">
      <c r="A35" s="62"/>
      <c r="B35" s="63"/>
      <c r="C35" s="81"/>
      <c r="D35" s="84"/>
      <c r="E35" s="85"/>
      <c r="F35" s="85"/>
      <c r="G35" s="70"/>
      <c r="H35" s="67"/>
      <c r="I35" s="17"/>
    </row>
    <row r="36" spans="1:11" ht="18.75" x14ac:dyDescent="0.3">
      <c r="A36" s="68"/>
      <c r="B36" s="95"/>
      <c r="C36" s="92"/>
      <c r="D36" s="68"/>
      <c r="E36" s="68"/>
      <c r="F36" s="96"/>
      <c r="G36" s="64"/>
      <c r="H36" s="97"/>
      <c r="I36" s="17"/>
      <c r="J36" s="107">
        <f>J34-D45</f>
        <v>142.79999999999995</v>
      </c>
    </row>
    <row r="37" spans="1:11" ht="18.75" x14ac:dyDescent="0.3">
      <c r="A37" s="98"/>
      <c r="B37" s="99"/>
      <c r="C37" s="100"/>
      <c r="D37" s="63"/>
      <c r="E37" s="64"/>
      <c r="F37" s="101"/>
      <c r="G37" s="64"/>
      <c r="H37" s="97"/>
      <c r="I37" s="17"/>
    </row>
    <row r="38" spans="1:11" ht="16.149999999999999" customHeight="1" x14ac:dyDescent="0.25">
      <c r="A38" s="53"/>
      <c r="B38" s="53"/>
      <c r="C38" s="54"/>
      <c r="D38" s="55"/>
      <c r="E38" s="53"/>
      <c r="F38" s="56"/>
      <c r="G38" s="57"/>
      <c r="H38" s="51"/>
      <c r="I38" s="17"/>
    </row>
    <row r="39" spans="1:11" ht="15.75" x14ac:dyDescent="0.25">
      <c r="A39" s="58"/>
      <c r="B39" s="58"/>
      <c r="C39" s="59"/>
      <c r="D39" s="18"/>
      <c r="E39" s="58"/>
      <c r="F39" s="5"/>
      <c r="G39" s="52"/>
      <c r="H39" s="60"/>
      <c r="I39" s="17"/>
    </row>
    <row r="40" spans="1:11" ht="17.25" x14ac:dyDescent="0.3">
      <c r="A40" s="21"/>
      <c r="B40" s="22"/>
      <c r="C40" s="23"/>
      <c r="D40" s="24"/>
      <c r="E40" s="25"/>
      <c r="F40" s="25"/>
      <c r="G40" s="20"/>
      <c r="H40" s="3"/>
      <c r="I40" s="17"/>
      <c r="J40" s="107"/>
    </row>
    <row r="41" spans="1:11" ht="15.75" x14ac:dyDescent="0.25">
      <c r="A41" s="22"/>
      <c r="B41" s="26"/>
      <c r="C41" s="27"/>
      <c r="D41" s="2"/>
      <c r="E41" s="28"/>
      <c r="F41" s="19"/>
      <c r="G41" s="20"/>
      <c r="H41" s="4"/>
      <c r="I41" s="17"/>
    </row>
    <row r="42" spans="1:11" ht="15.75" x14ac:dyDescent="0.25">
      <c r="A42" s="29"/>
      <c r="B42" s="30"/>
      <c r="C42" s="31"/>
      <c r="D42" s="4"/>
      <c r="E42" s="4"/>
      <c r="F42" s="32"/>
      <c r="G42" s="4"/>
      <c r="H42" s="4"/>
      <c r="I42" s="17"/>
    </row>
    <row r="43" spans="1:11" ht="18" thickBot="1" x14ac:dyDescent="0.35">
      <c r="A43" s="33"/>
      <c r="B43" s="34"/>
      <c r="C43" s="35"/>
      <c r="D43" s="35"/>
      <c r="E43" s="36"/>
      <c r="F43" s="37"/>
      <c r="G43" s="35"/>
      <c r="H43" s="35"/>
      <c r="I43" s="38"/>
      <c r="K43" s="107"/>
    </row>
    <row r="44" spans="1:11" ht="18" thickBot="1" x14ac:dyDescent="0.35">
      <c r="A44" s="39"/>
      <c r="B44" s="40"/>
      <c r="C44" s="41"/>
      <c r="D44" s="42" t="s">
        <v>13</v>
      </c>
      <c r="E44" s="43" t="s">
        <v>12</v>
      </c>
      <c r="F44" s="44"/>
      <c r="G44" s="41"/>
      <c r="H44" s="41"/>
      <c r="I44" s="45"/>
      <c r="J44" s="107"/>
    </row>
    <row r="45" spans="1:11" ht="17.25" x14ac:dyDescent="0.3">
      <c r="A45" s="442" t="s">
        <v>11</v>
      </c>
      <c r="B45" s="443"/>
      <c r="C45" s="444"/>
      <c r="D45" s="46">
        <v>1000</v>
      </c>
      <c r="E45" s="47" t="s">
        <v>1</v>
      </c>
      <c r="F45" s="445" t="s">
        <v>10</v>
      </c>
      <c r="G45" s="445"/>
      <c r="H45" s="446"/>
      <c r="I45" s="447"/>
      <c r="J45">
        <f>1000/35</f>
        <v>28.571428571428573</v>
      </c>
    </row>
    <row r="46" spans="1:11" ht="17.25" x14ac:dyDescent="0.3">
      <c r="A46" s="436" t="s">
        <v>9</v>
      </c>
      <c r="B46" s="437"/>
      <c r="C46" s="438"/>
      <c r="D46" s="48">
        <v>2</v>
      </c>
      <c r="E46" s="48" t="s">
        <v>8</v>
      </c>
      <c r="F46" s="439" t="s">
        <v>7</v>
      </c>
      <c r="G46" s="439"/>
      <c r="H46" s="440"/>
      <c r="I46" s="441"/>
    </row>
    <row r="47" spans="1:11" ht="17.25" x14ac:dyDescent="0.3">
      <c r="A47" s="436" t="s">
        <v>6</v>
      </c>
      <c r="B47" s="437"/>
      <c r="C47" s="438"/>
      <c r="D47" s="48">
        <v>1</v>
      </c>
      <c r="E47" s="48" t="s">
        <v>67</v>
      </c>
      <c r="F47" s="439" t="s">
        <v>5</v>
      </c>
      <c r="G47" s="439"/>
      <c r="H47" s="440"/>
      <c r="I47" s="441"/>
    </row>
    <row r="48" spans="1:11" ht="17.25" x14ac:dyDescent="0.3">
      <c r="A48" s="436" t="s">
        <v>4</v>
      </c>
      <c r="B48" s="437"/>
      <c r="C48" s="438"/>
      <c r="D48" s="48">
        <v>1000</v>
      </c>
      <c r="E48" s="48" t="s">
        <v>1</v>
      </c>
      <c r="F48" s="448" t="s">
        <v>3</v>
      </c>
      <c r="G48" s="449"/>
      <c r="H48" s="440"/>
      <c r="I48" s="441"/>
    </row>
    <row r="49" spans="1:9" ht="18" thickBot="1" x14ac:dyDescent="0.35">
      <c r="A49" s="430" t="s">
        <v>2</v>
      </c>
      <c r="B49" s="431"/>
      <c r="C49" s="432"/>
      <c r="D49" s="49">
        <f>SUM(E10:E11)-D45</f>
        <v>142.79999999999995</v>
      </c>
      <c r="E49" s="50" t="s">
        <v>1</v>
      </c>
      <c r="F49" s="433"/>
      <c r="G49" s="433"/>
      <c r="H49" s="434"/>
      <c r="I49" s="435"/>
    </row>
    <row r="50" spans="1:9" ht="16.5" thickBot="1" x14ac:dyDescent="0.3">
      <c r="A50" s="407" t="s">
        <v>0</v>
      </c>
      <c r="B50" s="408"/>
      <c r="C50" s="408"/>
      <c r="D50" s="408"/>
      <c r="E50" s="408"/>
      <c r="F50" s="408"/>
      <c r="G50" s="408"/>
      <c r="H50" s="408"/>
      <c r="I50" s="409"/>
    </row>
    <row r="51" spans="1:9" ht="20.45" customHeight="1" x14ac:dyDescent="0.25">
      <c r="A51" s="410" t="s">
        <v>89</v>
      </c>
      <c r="B51" s="411"/>
      <c r="C51" s="411"/>
      <c r="D51" s="411"/>
      <c r="E51" s="411"/>
      <c r="F51" s="411"/>
      <c r="G51" s="411"/>
      <c r="H51" s="411"/>
      <c r="I51" s="412"/>
    </row>
    <row r="52" spans="1:9" ht="22.9" customHeight="1" x14ac:dyDescent="0.25">
      <c r="A52" s="413" t="s">
        <v>90</v>
      </c>
      <c r="B52" s="413"/>
      <c r="C52" s="413"/>
      <c r="D52" s="413"/>
      <c r="E52" s="413"/>
      <c r="F52" s="413"/>
      <c r="G52" s="413"/>
      <c r="H52" s="413"/>
      <c r="I52" s="413"/>
    </row>
    <row r="53" spans="1:9" ht="19.899999999999999" customHeight="1" x14ac:dyDescent="0.25">
      <c r="A53" s="687"/>
      <c r="B53" s="415"/>
      <c r="C53" s="415"/>
      <c r="D53" s="415"/>
      <c r="E53" s="415"/>
      <c r="F53" s="415"/>
      <c r="G53" s="415"/>
      <c r="H53" s="415"/>
      <c r="I53" s="688"/>
    </row>
    <row r="54" spans="1:9" ht="20.45" customHeight="1" x14ac:dyDescent="0.25">
      <c r="A54" s="414"/>
      <c r="B54" s="414"/>
      <c r="C54" s="414"/>
      <c r="D54" s="414"/>
      <c r="E54" s="414"/>
      <c r="F54" s="414"/>
      <c r="G54" s="414"/>
      <c r="H54" s="414"/>
      <c r="I54" s="414"/>
    </row>
    <row r="55" spans="1:9" ht="20.45" customHeight="1" x14ac:dyDescent="0.25">
      <c r="A55" s="415"/>
      <c r="B55" s="415"/>
      <c r="C55" s="415"/>
      <c r="D55" s="415"/>
      <c r="E55" s="415"/>
      <c r="F55" s="415"/>
      <c r="G55" s="415"/>
      <c r="H55" s="415"/>
      <c r="I55" s="415"/>
    </row>
    <row r="56" spans="1:9" ht="20.45" customHeight="1" x14ac:dyDescent="0.25">
      <c r="A56" s="415"/>
      <c r="B56" s="415"/>
      <c r="C56" s="415"/>
      <c r="D56" s="415"/>
      <c r="E56" s="415"/>
      <c r="F56" s="415"/>
      <c r="G56" s="415"/>
      <c r="H56" s="415"/>
      <c r="I56" s="415"/>
    </row>
    <row r="57" spans="1:9" ht="19.899999999999999" customHeight="1" x14ac:dyDescent="0.25">
      <c r="A57" s="426"/>
      <c r="B57" s="427"/>
      <c r="C57" s="428"/>
      <c r="D57" s="428"/>
      <c r="E57" s="428"/>
      <c r="F57" s="428"/>
      <c r="G57" s="428"/>
      <c r="H57" s="428"/>
      <c r="I57" s="429"/>
    </row>
    <row r="58" spans="1:9" ht="18" x14ac:dyDescent="0.25">
      <c r="A58" s="416"/>
      <c r="B58" s="417"/>
      <c r="C58" s="417"/>
      <c r="D58" s="417"/>
      <c r="E58" s="417"/>
      <c r="F58" s="417"/>
      <c r="G58" s="417"/>
      <c r="H58" s="417"/>
      <c r="I58" s="418"/>
    </row>
    <row r="60" spans="1:9" ht="18" customHeight="1" x14ac:dyDescent="0.25">
      <c r="A60" s="419"/>
      <c r="B60" s="420"/>
      <c r="C60" s="421"/>
      <c r="D60" s="421"/>
      <c r="E60" s="421"/>
      <c r="F60" s="421"/>
      <c r="G60" s="421"/>
      <c r="H60" s="421"/>
      <c r="I60" s="422"/>
    </row>
    <row r="61" spans="1:9" ht="17.25" x14ac:dyDescent="0.3">
      <c r="A61" s="423"/>
      <c r="B61" s="424"/>
      <c r="C61" s="424"/>
      <c r="D61" s="424"/>
      <c r="E61" s="424"/>
      <c r="F61" s="424"/>
      <c r="G61" s="424"/>
      <c r="H61" s="424"/>
      <c r="I61" s="425"/>
    </row>
    <row r="62" spans="1:9" ht="18" thickBot="1" x14ac:dyDescent="0.35">
      <c r="A62" s="404"/>
      <c r="B62" s="405"/>
      <c r="C62" s="405"/>
      <c r="D62" s="405"/>
      <c r="E62" s="405"/>
      <c r="F62" s="405"/>
      <c r="G62" s="405"/>
      <c r="H62" s="405"/>
      <c r="I62" s="406"/>
    </row>
    <row r="63" spans="1:9" x14ac:dyDescent="0.25">
      <c r="A63" s="458" t="s">
        <v>33</v>
      </c>
      <c r="B63" s="459"/>
      <c r="C63" s="459"/>
      <c r="D63" s="459"/>
      <c r="E63" s="459"/>
      <c r="F63" s="459"/>
      <c r="G63" s="459"/>
      <c r="H63" s="459"/>
      <c r="I63" s="459"/>
    </row>
    <row r="64" spans="1:9" x14ac:dyDescent="0.25">
      <c r="A64" s="460"/>
      <c r="B64" s="461"/>
      <c r="C64" s="461"/>
      <c r="D64" s="461"/>
      <c r="E64" s="461"/>
      <c r="F64" s="461"/>
      <c r="G64" s="461"/>
      <c r="H64" s="461"/>
      <c r="I64" s="461"/>
    </row>
    <row r="65" spans="1:9" x14ac:dyDescent="0.25">
      <c r="A65" s="460"/>
      <c r="B65" s="461"/>
      <c r="C65" s="461"/>
      <c r="D65" s="461"/>
      <c r="E65" s="461"/>
      <c r="F65" s="461"/>
      <c r="G65" s="461"/>
      <c r="H65" s="461"/>
      <c r="I65" s="461"/>
    </row>
  </sheetData>
  <mergeCells count="47">
    <mergeCell ref="A65:I65"/>
    <mergeCell ref="A53:I53"/>
    <mergeCell ref="A54:I54"/>
    <mergeCell ref="A55:I55"/>
    <mergeCell ref="A56:I56"/>
    <mergeCell ref="A57:I57"/>
    <mergeCell ref="A58:I58"/>
    <mergeCell ref="A60:I60"/>
    <mergeCell ref="A61:I61"/>
    <mergeCell ref="A62:I62"/>
    <mergeCell ref="A63:I63"/>
    <mergeCell ref="A64:I64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809E-85E6-48E5-9403-E88AC1F01B1E}">
  <dimension ref="A1:Q91"/>
  <sheetViews>
    <sheetView topLeftCell="A56" workbookViewId="0">
      <selection activeCell="B66" sqref="B66:E66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4627.4033027830601</v>
      </c>
      <c r="F2" s="127">
        <f>IFERROR(H53,"")</f>
        <v>4109.2510986432089</v>
      </c>
      <c r="G2" s="127">
        <f>IFERROR(H54,"")</f>
        <v>0.40540999999999999</v>
      </c>
      <c r="H2" s="127">
        <f>IFERROR(H56,"")</f>
        <v>249.16564467980294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138">
        <v>571</v>
      </c>
      <c r="B8" s="126" t="s">
        <v>88</v>
      </c>
      <c r="C8" s="139">
        <f>+A8</f>
        <v>571</v>
      </c>
      <c r="D8" s="140" t="s">
        <v>154</v>
      </c>
      <c r="E8" s="140">
        <v>4.59</v>
      </c>
      <c r="F8" s="140">
        <f>IFERROR(C8*E8,"")</f>
        <v>2620.89</v>
      </c>
      <c r="G8" s="141">
        <f t="shared" ref="G8:G14" si="0">IFERROR(F8/$F$66,"")</f>
        <v>0.60307997462311025</v>
      </c>
      <c r="H8" s="142" t="s">
        <v>87</v>
      </c>
      <c r="I8" s="142"/>
      <c r="J8" s="143"/>
    </row>
    <row r="9" spans="1:10" ht="13.5" hidden="1" x14ac:dyDescent="0.25">
      <c r="A9" s="138"/>
      <c r="B9" s="126" t="str">
        <f>IFERROR(VLOOKUP(H9,'[1]Consolidado MP Planta'!$A$2:$M$823,3,0),"")</f>
        <v/>
      </c>
      <c r="C9" s="139">
        <f t="shared" ref="C9:C14" si="1">+A9</f>
        <v>0</v>
      </c>
      <c r="D9" s="140" t="str">
        <f>IFERROR(VLOOKUP(H9,'[1]Consolidado MP Planta'!$A$2:$M$823,13,0),"")</f>
        <v/>
      </c>
      <c r="E9" s="140" t="str">
        <f>IFERROR(VLOOKUP(H9,'[1]Consolidado MP Planta'!$A$2:$M$823,12,0),"")</f>
        <v/>
      </c>
      <c r="F9" s="140" t="str">
        <f t="shared" ref="F9:F14" si="2">IFERROR(C9*E9,"")</f>
        <v/>
      </c>
      <c r="G9" s="141" t="str">
        <f t="shared" si="0"/>
        <v/>
      </c>
      <c r="H9" s="142"/>
      <c r="I9" s="142"/>
      <c r="J9" s="143"/>
    </row>
    <row r="10" spans="1:10" ht="13.5" hidden="1" x14ac:dyDescent="0.25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138">
        <v>571</v>
      </c>
      <c r="B17" s="126" t="s">
        <v>85</v>
      </c>
      <c r="C17" s="139">
        <f>+A17</f>
        <v>571</v>
      </c>
      <c r="D17" s="139" t="s">
        <v>154</v>
      </c>
      <c r="E17" s="140">
        <f>+'Costo Relleno Piña y coco'!E69</f>
        <v>2.6065868627726951</v>
      </c>
      <c r="F17" s="140">
        <f>IFERROR(E17*C17,"")</f>
        <v>1488.3610986432088</v>
      </c>
      <c r="G17" s="141">
        <f t="shared" ref="G17:G24" si="3">IFERROR(F17/$F$66,"")</f>
        <v>0.34247937670019379</v>
      </c>
      <c r="H17" s="142"/>
      <c r="I17" s="142"/>
      <c r="J17" s="143"/>
    </row>
    <row r="18" spans="1:12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25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571</v>
      </c>
      <c r="B35" s="144" t="s">
        <v>85</v>
      </c>
      <c r="C35" s="139">
        <f>+A35</f>
        <v>571</v>
      </c>
      <c r="D35" s="140" t="s">
        <v>154</v>
      </c>
      <c r="E35" s="140">
        <f>+'Costo Relleno Piña y coco'!E76</f>
        <v>7.1000000000000002E-4</v>
      </c>
      <c r="F35" s="140">
        <f>IFERROR(E35*C35,"")</f>
        <v>0.40540999999999999</v>
      </c>
      <c r="G35" s="141">
        <f t="shared" ref="G35:G41" si="9">IFERROR(F35/$F$66,"")</f>
        <v>9.3286880606189166E-5</v>
      </c>
      <c r="H35" s="145"/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571</v>
      </c>
      <c r="B44" s="144" t="s">
        <v>85</v>
      </c>
      <c r="C44" s="139">
        <f>+A44</f>
        <v>571</v>
      </c>
      <c r="D44" s="140" t="s">
        <v>154</v>
      </c>
      <c r="E44" s="140">
        <f>+'Costo Relleno Piña y coco'!E74</f>
        <v>0.16666487684729064</v>
      </c>
      <c r="F44" s="140">
        <f>IFERROR(E44*C44,"")</f>
        <v>95.165644679802952</v>
      </c>
      <c r="G44" s="141">
        <f>IFERROR(F44/$F$66,"")</f>
        <v>2.1898093616476651E-2</v>
      </c>
      <c r="H44" s="145"/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154</v>
      </c>
      <c r="F51" s="140">
        <f>IFERROR(C51*E51,"")</f>
        <v>154</v>
      </c>
      <c r="G51" s="141">
        <f>IFERROR(F51/$F$66,"")</f>
        <v>3.5436174769623671E-2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4109.2510986432089</v>
      </c>
      <c r="G53" s="141">
        <f>+F53/$F$66</f>
        <v>0.94555935132330404</v>
      </c>
      <c r="H53" s="153">
        <f>+F53/$D$60</f>
        <v>4109.2510986432089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0.40540999999999999</v>
      </c>
      <c r="G54" s="141">
        <f>+F54/$F$66</f>
        <v>9.3286880606189166E-5</v>
      </c>
      <c r="H54" s="153">
        <f>+F54/$D$60</f>
        <v>0.40540999999999999</v>
      </c>
      <c r="I54" s="153"/>
      <c r="J54" s="157"/>
      <c r="K54" s="509" t="s">
        <v>122</v>
      </c>
      <c r="L54" s="510"/>
      <c r="M54" s="510"/>
      <c r="N54" s="510"/>
      <c r="O54" s="158">
        <f>+F55</f>
        <v>4109.6565086432092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4109.6565086432092</v>
      </c>
      <c r="G55" s="141">
        <f>+F55/$F$66</f>
        <v>0.94565263820391032</v>
      </c>
      <c r="H55" s="153">
        <f>+F55/$D$60</f>
        <v>4109.6565086432092</v>
      </c>
      <c r="I55" s="153"/>
      <c r="J55" s="160"/>
      <c r="K55" s="161"/>
      <c r="M55" s="162" t="s">
        <v>124</v>
      </c>
      <c r="N55" s="163"/>
      <c r="O55" s="158">
        <f>+H56</f>
        <v>249.16564467980294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249.16564467980294</v>
      </c>
      <c r="G56" s="141">
        <f>+F56/$F$66</f>
        <v>5.7334268386100319E-2</v>
      </c>
      <c r="H56" s="153">
        <f>+F56/$D$60</f>
        <v>249.16564467980294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4358.8221533230126</v>
      </c>
      <c r="P57" s="172"/>
      <c r="Q57" s="159"/>
    </row>
    <row r="58" spans="1:17" x14ac:dyDescent="0.2">
      <c r="B58" s="511" t="s">
        <v>128</v>
      </c>
      <c r="C58" s="511"/>
      <c r="D58" s="173">
        <v>1000</v>
      </c>
      <c r="E58" s="174"/>
      <c r="G58" s="141"/>
      <c r="H58" s="167">
        <f>+H56/77</f>
        <v>3.2359174633740642</v>
      </c>
      <c r="I58" s="175"/>
      <c r="J58" s="160"/>
      <c r="K58" s="168"/>
      <c r="L58" s="161"/>
      <c r="M58" s="161" t="s">
        <v>129</v>
      </c>
      <c r="N58" s="176"/>
      <c r="O58" s="158">
        <f>+H59</f>
        <v>268.5811494600473</v>
      </c>
      <c r="P58" s="158"/>
      <c r="Q58" s="159"/>
    </row>
    <row r="59" spans="1:17" x14ac:dyDescent="0.2">
      <c r="B59" s="511" t="s">
        <v>130</v>
      </c>
      <c r="C59" s="511"/>
      <c r="D59" s="177">
        <v>1000</v>
      </c>
      <c r="E59" s="174"/>
      <c r="G59" s="141"/>
      <c r="H59" s="167">
        <f>+H58*83</f>
        <v>268.5811494600473</v>
      </c>
      <c r="I59" s="175"/>
      <c r="J59" s="160"/>
      <c r="K59" s="168"/>
      <c r="L59" s="161"/>
      <c r="M59" s="512" t="s">
        <v>127</v>
      </c>
      <c r="N59" s="512"/>
      <c r="O59" s="158">
        <f>SUM(O57:O58)</f>
        <v>4627.4033027830601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4627.4033027830601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4627.4033027830601</v>
      </c>
      <c r="P62" s="186">
        <f>+O62/D59</f>
        <v>4.6274033027830601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4109.6565086432092</v>
      </c>
      <c r="G63" s="141">
        <f>+F63/$F$66</f>
        <v>0.94565263820391032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82.185021972864178</v>
      </c>
      <c r="G64" s="141">
        <f>+F64/$F$66</f>
        <v>1.8911187026466079E-2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2</v>
      </c>
      <c r="E65" s="196">
        <v>77</v>
      </c>
      <c r="F65" s="189">
        <f>+E65*D65</f>
        <v>154</v>
      </c>
      <c r="G65" s="141">
        <f>+F65/$F$66</f>
        <v>3.5436174769623671E-2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4345.8415306160732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4109.2510986432089</v>
      </c>
      <c r="D69" s="202">
        <f>+D58</f>
        <v>1000</v>
      </c>
      <c r="E69" s="203">
        <f>+C69/D69</f>
        <v>4.1092510986432087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4191.8415306160732</v>
      </c>
      <c r="D71" s="202">
        <f>+D58</f>
        <v>1000</v>
      </c>
      <c r="E71" s="207">
        <f>+C71/D71</f>
        <v>4.191841530616073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154</v>
      </c>
      <c r="D73" s="202">
        <f>+D58</f>
        <v>1000</v>
      </c>
      <c r="E73" s="207">
        <f>+C73/D73</f>
        <v>0.154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249.16564467980294</v>
      </c>
      <c r="D74" s="202">
        <f>+D73</f>
        <v>1000</v>
      </c>
      <c r="E74" s="203">
        <f>+C74/D74</f>
        <v>0.24916564467980293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0.40540999999999999</v>
      </c>
      <c r="D76" s="202">
        <f>+D74</f>
        <v>1000</v>
      </c>
      <c r="E76" s="203">
        <f>+C76/D76</f>
        <v>4.0540999999999998E-4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4.3584167433230112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4109.2510986432089</v>
      </c>
      <c r="D81" s="202">
        <f>+D60</f>
        <v>1</v>
      </c>
      <c r="E81" s="203">
        <f>+C81/D81</f>
        <v>4109.2510986432089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4191.8415306160732</v>
      </c>
      <c r="D83" s="202">
        <f>+D60</f>
        <v>1</v>
      </c>
      <c r="E83" s="207">
        <f>+C83/D83</f>
        <v>4191.8415306160732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154</v>
      </c>
      <c r="D85" s="202">
        <f>+D60</f>
        <v>1</v>
      </c>
      <c r="E85" s="207">
        <f>+C85/D85</f>
        <v>154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249.16564467980294</v>
      </c>
      <c r="D86" s="202">
        <f>+D85</f>
        <v>1</v>
      </c>
      <c r="E86" s="203">
        <f>+C86/D86</f>
        <v>249.16564467980294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CC4E-2D1A-42E9-9F2F-B0A97596E3C5}">
  <dimension ref="A1:Q91"/>
  <sheetViews>
    <sheetView workbookViewId="0">
      <selection activeCell="E18" sqref="E18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14768.067449939223</v>
      </c>
      <c r="F2" s="127">
        <f>IFERROR(H53,"")</f>
        <v>13032.934313863476</v>
      </c>
      <c r="G2" s="127">
        <f>IFERROR(H54,"")</f>
        <v>3.5500000000000003</v>
      </c>
      <c r="H2" s="127">
        <f>IFERROR(H56,"")</f>
        <v>833.32438423645317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138">
        <v>3570</v>
      </c>
      <c r="B8" s="126" t="s">
        <v>69</v>
      </c>
      <c r="C8" s="139">
        <f>+A8</f>
        <v>3570</v>
      </c>
      <c r="D8" s="140" t="s">
        <v>154</v>
      </c>
      <c r="E8" s="140">
        <v>2.4</v>
      </c>
      <c r="F8" s="140">
        <f>IFERROR(C8*E8,"")</f>
        <v>8568</v>
      </c>
      <c r="G8" s="141">
        <f t="shared" ref="G8:G14" si="0">IFERROR(F8/$F$66,"")</f>
        <v>0.61582059495207708</v>
      </c>
      <c r="H8" s="142" t="s">
        <v>101</v>
      </c>
      <c r="I8" s="142"/>
      <c r="J8" s="143"/>
    </row>
    <row r="9" spans="1:10" ht="13.5" x14ac:dyDescent="0.25">
      <c r="A9" s="138">
        <v>1</v>
      </c>
      <c r="B9" s="126" t="s">
        <v>73</v>
      </c>
      <c r="C9" s="139">
        <f t="shared" ref="C9:C14" si="1">+A9</f>
        <v>1</v>
      </c>
      <c r="D9" s="140" t="s">
        <v>154</v>
      </c>
      <c r="E9" s="140">
        <v>6.8</v>
      </c>
      <c r="F9" s="140">
        <f t="shared" ref="F9:F14" si="2">IFERROR(C9*E9,"")</f>
        <v>6.8</v>
      </c>
      <c r="G9" s="141">
        <f t="shared" si="0"/>
        <v>4.887465039302199E-4</v>
      </c>
      <c r="H9" s="142" t="s">
        <v>72</v>
      </c>
      <c r="I9" s="142"/>
      <c r="J9" s="143"/>
    </row>
    <row r="10" spans="1:10" ht="13.5" x14ac:dyDescent="0.25">
      <c r="A10" s="138">
        <v>748</v>
      </c>
      <c r="B10" s="126" t="s">
        <v>74</v>
      </c>
      <c r="C10" s="139">
        <f t="shared" si="1"/>
        <v>748</v>
      </c>
      <c r="D10" s="140" t="s">
        <v>154</v>
      </c>
      <c r="E10" s="140">
        <v>3.51</v>
      </c>
      <c r="F10" s="140">
        <f t="shared" si="2"/>
        <v>2625.48</v>
      </c>
      <c r="G10" s="141">
        <f t="shared" si="0"/>
        <v>0.18870502516745791</v>
      </c>
      <c r="H10" s="142" t="s">
        <v>158</v>
      </c>
      <c r="I10" s="142"/>
      <c r="J10" s="143"/>
    </row>
    <row r="11" spans="1:10" ht="13.5" x14ac:dyDescent="0.25">
      <c r="A11" s="138">
        <v>10</v>
      </c>
      <c r="B11" s="126" t="s">
        <v>92</v>
      </c>
      <c r="C11" s="139">
        <f t="shared" si="1"/>
        <v>10</v>
      </c>
      <c r="D11" s="140" t="s">
        <v>154</v>
      </c>
      <c r="E11" s="140">
        <v>7.29</v>
      </c>
      <c r="F11" s="140">
        <f t="shared" si="2"/>
        <v>72.900000000000006</v>
      </c>
      <c r="G11" s="141">
        <f t="shared" si="0"/>
        <v>5.2396500200754459E-3</v>
      </c>
      <c r="H11" s="142" t="s">
        <v>91</v>
      </c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138">
        <v>71</v>
      </c>
      <c r="B17" s="126" t="s">
        <v>71</v>
      </c>
      <c r="C17" s="139">
        <f>+A17</f>
        <v>71</v>
      </c>
      <c r="D17" s="139" t="s">
        <v>154</v>
      </c>
      <c r="E17" s="140">
        <v>0.48</v>
      </c>
      <c r="F17" s="140">
        <f>IFERROR(E17*C17,"")</f>
        <v>34.08</v>
      </c>
      <c r="G17" s="141">
        <f t="shared" ref="G17:G24" si="3">IFERROR(F17/$F$66,"")</f>
        <v>2.4494824785208668E-3</v>
      </c>
      <c r="H17" s="142" t="s">
        <v>70</v>
      </c>
      <c r="I17" s="142"/>
      <c r="J17" s="143"/>
    </row>
    <row r="18" spans="1:12" ht="13.5" x14ac:dyDescent="0.25">
      <c r="A18" s="138">
        <v>428</v>
      </c>
      <c r="B18" s="126" t="s">
        <v>66</v>
      </c>
      <c r="C18" s="139">
        <f t="shared" ref="C18:C24" si="4">+A18</f>
        <v>428</v>
      </c>
      <c r="D18" s="139" t="s">
        <v>154</v>
      </c>
      <c r="E18" s="140">
        <f>+'COSTO cOCO TOSTADO CON CHOCO'!E69</f>
        <v>4.0319493314567207</v>
      </c>
      <c r="F18" s="140">
        <f t="shared" ref="F18:F24" si="5">IFERROR(E18*C18,"")</f>
        <v>1725.6743138634765</v>
      </c>
      <c r="G18" s="141">
        <f t="shared" si="3"/>
        <v>0.12403195409161105</v>
      </c>
      <c r="H18" s="142" t="s">
        <v>158</v>
      </c>
      <c r="I18" s="142"/>
      <c r="J18" s="143"/>
    </row>
    <row r="19" spans="1:12" ht="13.5" hidden="1" x14ac:dyDescent="0.25">
      <c r="A19" s="138">
        <v>0</v>
      </c>
      <c r="C19" s="139">
        <f>+A19</f>
        <v>0</v>
      </c>
      <c r="D19" s="139"/>
      <c r="E19" s="140"/>
      <c r="F19" s="140">
        <f>IFERROR(E19*C19,"")</f>
        <v>0</v>
      </c>
      <c r="G19" s="141">
        <f t="shared" si="3"/>
        <v>0</v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25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71</v>
      </c>
      <c r="B35" s="144" t="s">
        <v>71</v>
      </c>
      <c r="C35" s="139">
        <f>+A35</f>
        <v>71</v>
      </c>
      <c r="D35" s="140" t="s">
        <v>154</v>
      </c>
      <c r="E35" s="140">
        <v>0.05</v>
      </c>
      <c r="F35" s="140">
        <f>IFERROR(E35*C35,"")</f>
        <v>3.5500000000000003</v>
      </c>
      <c r="G35" s="141">
        <f t="shared" ref="G35:G41" si="9">IFERROR(F35/$F$66,"")</f>
        <v>2.5515442484592364E-4</v>
      </c>
      <c r="H35" s="145" t="s">
        <v>70</v>
      </c>
      <c r="I35" s="145"/>
      <c r="J35" s="143"/>
    </row>
    <row r="36" spans="1:13" ht="13.5" x14ac:dyDescent="0.25">
      <c r="A36" s="138">
        <f t="shared" ref="A36:A41" si="10">+A18</f>
        <v>428</v>
      </c>
      <c r="B36" s="144" t="s">
        <v>66</v>
      </c>
      <c r="C36" s="139">
        <f t="shared" ref="C36:C41" si="11">+A36</f>
        <v>428</v>
      </c>
      <c r="D36" s="140" t="s">
        <v>154</v>
      </c>
      <c r="E36" s="140">
        <f>+'COSTO cOCO TOSTADO CON CHOCO'!E76</f>
        <v>0</v>
      </c>
      <c r="F36" s="140">
        <f t="shared" ref="F36:F41" si="12">IFERROR(E36*C36,"")</f>
        <v>0</v>
      </c>
      <c r="G36" s="141">
        <f t="shared" si="9"/>
        <v>0</v>
      </c>
      <c r="H36" s="145" t="s">
        <v>158</v>
      </c>
      <c r="I36" s="145"/>
      <c r="J36" s="143"/>
    </row>
    <row r="37" spans="1:13" ht="13.5" hidden="1" x14ac:dyDescent="0.25">
      <c r="A37" s="138">
        <f t="shared" si="10"/>
        <v>0</v>
      </c>
      <c r="B37" s="144"/>
      <c r="C37" s="139">
        <f t="shared" si="11"/>
        <v>0</v>
      </c>
      <c r="D37" s="140"/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 t="s">
        <v>158</v>
      </c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71</v>
      </c>
      <c r="B44" s="144" t="s">
        <v>71</v>
      </c>
      <c r="C44" s="139">
        <f>+A44</f>
        <v>71</v>
      </c>
      <c r="D44" s="140" t="s">
        <v>154</v>
      </c>
      <c r="E44" s="140">
        <v>0.01</v>
      </c>
      <c r="F44" s="140">
        <f>IFERROR(E44*C44,"")</f>
        <v>0.71</v>
      </c>
      <c r="G44" s="141">
        <f>IFERROR(F44/$F$66,"")</f>
        <v>5.1030884969184723E-5</v>
      </c>
      <c r="H44" s="145" t="s">
        <v>70</v>
      </c>
      <c r="I44" s="137"/>
      <c r="J44" s="143"/>
    </row>
    <row r="45" spans="1:13" ht="13.5" x14ac:dyDescent="0.25">
      <c r="A45" s="138">
        <f t="shared" ref="A45:A50" si="13">+A36</f>
        <v>428</v>
      </c>
      <c r="B45" s="144" t="s">
        <v>66</v>
      </c>
      <c r="C45" s="139">
        <f t="shared" ref="C45:C50" si="14">+A45</f>
        <v>428</v>
      </c>
      <c r="D45" s="140" t="s">
        <v>154</v>
      </c>
      <c r="E45" s="140">
        <f>+'COSTO cOCO TOSTADO CON CHOCO'!E74</f>
        <v>0.5061083743842365</v>
      </c>
      <c r="F45" s="140">
        <f t="shared" ref="F45:F50" si="15">IFERROR(E45*C45,"")</f>
        <v>216.61438423645322</v>
      </c>
      <c r="G45" s="141">
        <f t="shared" ref="G45:G50" si="16">IFERROR(F45/$F$66,"")</f>
        <v>1.5569047499494684E-2</v>
      </c>
      <c r="H45" s="145" t="s">
        <v>158</v>
      </c>
      <c r="I45" s="137"/>
      <c r="J45" s="143"/>
      <c r="M45" s="148"/>
    </row>
    <row r="46" spans="1:13" ht="13.5" hidden="1" x14ac:dyDescent="0.25">
      <c r="A46" s="138">
        <f t="shared" si="13"/>
        <v>0</v>
      </c>
      <c r="B46" s="144"/>
      <c r="C46" s="139">
        <f t="shared" si="14"/>
        <v>0</v>
      </c>
      <c r="D46" s="140"/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 t="s">
        <v>158</v>
      </c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616</v>
      </c>
      <c r="F51" s="140">
        <f>IFERROR(C51*E51,"")</f>
        <v>616</v>
      </c>
      <c r="G51" s="141">
        <f>IFERROR(F51/$F$66,"")</f>
        <v>4.4274683297208156E-2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13032.934313863476</v>
      </c>
      <c r="G53" s="141">
        <f>+F53/$F$66</f>
        <v>0.93673545321367258</v>
      </c>
      <c r="H53" s="153">
        <f>+F53/$D$60</f>
        <v>13032.934313863476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3.5500000000000003</v>
      </c>
      <c r="G54" s="141">
        <f>+F54/$F$66</f>
        <v>2.5515442484592364E-4</v>
      </c>
      <c r="H54" s="153">
        <f>+F54/$D$60</f>
        <v>3.5500000000000003</v>
      </c>
      <c r="I54" s="153"/>
      <c r="J54" s="157"/>
      <c r="K54" s="509" t="s">
        <v>122</v>
      </c>
      <c r="L54" s="510"/>
      <c r="M54" s="510"/>
      <c r="N54" s="510"/>
      <c r="O54" s="158">
        <f>+F55</f>
        <v>13036.484313863475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13036.484313863475</v>
      </c>
      <c r="G55" s="141">
        <f>+F55/$F$66</f>
        <v>0.93699060763851838</v>
      </c>
      <c r="H55" s="153">
        <f>+F55/$D$60</f>
        <v>13036.484313863475</v>
      </c>
      <c r="I55" s="153"/>
      <c r="J55" s="160"/>
      <c r="K55" s="161"/>
      <c r="M55" s="162" t="s">
        <v>124</v>
      </c>
      <c r="N55" s="163"/>
      <c r="O55" s="158">
        <f>+H56</f>
        <v>833.32438423645317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833.32438423645317</v>
      </c>
      <c r="G56" s="141">
        <f>+F56/$F$66</f>
        <v>5.9894761681672022E-2</v>
      </c>
      <c r="H56" s="153">
        <f>+F56/$D$60</f>
        <v>833.32438423645317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13869.808698099929</v>
      </c>
      <c r="P57" s="172"/>
      <c r="Q57" s="159"/>
    </row>
    <row r="58" spans="1:17" x14ac:dyDescent="0.2">
      <c r="B58" s="511" t="s">
        <v>128</v>
      </c>
      <c r="C58" s="511"/>
      <c r="D58" s="173">
        <v>5000</v>
      </c>
      <c r="E58" s="174"/>
      <c r="G58" s="141"/>
      <c r="H58" s="167">
        <f>+H56/77</f>
        <v>10.822394600473418</v>
      </c>
      <c r="I58" s="175"/>
      <c r="J58" s="160"/>
      <c r="K58" s="168"/>
      <c r="L58" s="161"/>
      <c r="M58" s="161" t="s">
        <v>129</v>
      </c>
      <c r="N58" s="176"/>
      <c r="O58" s="158">
        <f>+H59</f>
        <v>898.25875183929372</v>
      </c>
      <c r="P58" s="158"/>
      <c r="Q58" s="159"/>
    </row>
    <row r="59" spans="1:17" x14ac:dyDescent="0.2">
      <c r="B59" s="511" t="s">
        <v>130</v>
      </c>
      <c r="C59" s="511"/>
      <c r="D59" s="177">
        <v>5000</v>
      </c>
      <c r="E59" s="174"/>
      <c r="G59" s="141"/>
      <c r="H59" s="167">
        <f>+H58*83</f>
        <v>898.25875183929372</v>
      </c>
      <c r="I59" s="175"/>
      <c r="J59" s="160"/>
      <c r="K59" s="168"/>
      <c r="L59" s="161"/>
      <c r="M59" s="512" t="s">
        <v>127</v>
      </c>
      <c r="N59" s="512"/>
      <c r="O59" s="158">
        <f>SUM(O57:O58)</f>
        <v>14768.067449939223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14768.067449939223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14768.067449939223</v>
      </c>
      <c r="P62" s="186">
        <f>+O62/D59</f>
        <v>2.9536134899878443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13036.484313863475</v>
      </c>
      <c r="G63" s="141">
        <f>+F63/$F$66</f>
        <v>0.93699060763851838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260.65868627726951</v>
      </c>
      <c r="G64" s="141">
        <f>+F64/$F$66</f>
        <v>1.873470906427345E-2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8</v>
      </c>
      <c r="E65" s="196">
        <v>77</v>
      </c>
      <c r="F65" s="189">
        <f>+E65*D65</f>
        <v>616</v>
      </c>
      <c r="G65" s="141">
        <f>+F65/$F$66</f>
        <v>4.4274683297208156E-2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13913.143000140744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13032.934313863476</v>
      </c>
      <c r="D69" s="202">
        <f>+D58</f>
        <v>5000</v>
      </c>
      <c r="E69" s="203">
        <f>+C69/D69</f>
        <v>2.6065868627726951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13297.143000140744</v>
      </c>
      <c r="D71" s="202">
        <f>+D58</f>
        <v>5000</v>
      </c>
      <c r="E71" s="207">
        <f>+C71/D71</f>
        <v>2.6594286000281491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616</v>
      </c>
      <c r="D73" s="202">
        <f>+D58</f>
        <v>5000</v>
      </c>
      <c r="E73" s="207">
        <f>+C73/D73</f>
        <v>0.1232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833.32438423645317</v>
      </c>
      <c r="D74" s="202">
        <f>+D73</f>
        <v>5000</v>
      </c>
      <c r="E74" s="203">
        <f>+C74/D74</f>
        <v>0.16666487684729064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3.5500000000000003</v>
      </c>
      <c r="D76" s="202">
        <f>+D74</f>
        <v>5000</v>
      </c>
      <c r="E76" s="203">
        <f>+C76/D76</f>
        <v>7.1000000000000002E-4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2.7732517396199858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13032.934313863476</v>
      </c>
      <c r="D81" s="202">
        <f>+D60</f>
        <v>1</v>
      </c>
      <c r="E81" s="203">
        <f>+C81/D81</f>
        <v>13032.934313863476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13297.143000140744</v>
      </c>
      <c r="D83" s="202">
        <f>+D60</f>
        <v>1</v>
      </c>
      <c r="E83" s="207">
        <f>+C83/D83</f>
        <v>13297.143000140744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616</v>
      </c>
      <c r="D85" s="202">
        <f>+D60</f>
        <v>1</v>
      </c>
      <c r="E85" s="207">
        <f>+C85/D85</f>
        <v>616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833.32438423645317</v>
      </c>
      <c r="D86" s="202">
        <f>+D85</f>
        <v>1</v>
      </c>
      <c r="E86" s="203">
        <f>+C86/D86</f>
        <v>833.32438423645317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565C-D14B-4888-9948-1EC50BC02745}">
  <dimension ref="A1:Q91"/>
  <sheetViews>
    <sheetView topLeftCell="A53" workbookViewId="0">
      <selection activeCell="A45" sqref="A45:XFD50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14188.326753246753</v>
      </c>
      <c r="F2" s="127">
        <f>IFERROR(H53,"")</f>
        <v>12795.08</v>
      </c>
      <c r="G2" s="127">
        <f>IFERROR(H54,"")</f>
        <v>80</v>
      </c>
      <c r="H2" s="127">
        <f>IFERROR(H56,"")</f>
        <v>632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x14ac:dyDescent="0.25">
      <c r="A8" s="138">
        <v>5000</v>
      </c>
      <c r="B8" s="126" t="s">
        <v>69</v>
      </c>
      <c r="C8" s="139">
        <f>+A8</f>
        <v>5000</v>
      </c>
      <c r="D8" s="140" t="s">
        <v>154</v>
      </c>
      <c r="E8" s="140">
        <v>2.4</v>
      </c>
      <c r="F8" s="140">
        <f>IFERROR(C8*E8,"")</f>
        <v>12000</v>
      </c>
      <c r="G8" s="141">
        <f t="shared" ref="G8:G14" si="0">IFERROR(F8/$F$66,"")</f>
        <v>0.87291889588329707</v>
      </c>
      <c r="H8" s="142" t="s">
        <v>101</v>
      </c>
      <c r="I8" s="142"/>
      <c r="J8" s="143"/>
    </row>
    <row r="9" spans="1:10" ht="13.5" x14ac:dyDescent="0.25">
      <c r="A9" s="138">
        <v>4</v>
      </c>
      <c r="B9" s="126" t="s">
        <v>73</v>
      </c>
      <c r="C9" s="139">
        <f t="shared" ref="C9:C14" si="1">+A9</f>
        <v>4</v>
      </c>
      <c r="D9" s="140" t="s">
        <v>154</v>
      </c>
      <c r="E9" s="140">
        <v>6.77</v>
      </c>
      <c r="F9" s="140">
        <f t="shared" ref="F9:F14" si="2">IFERROR(C9*E9,"")</f>
        <v>27.08</v>
      </c>
      <c r="G9" s="141">
        <f t="shared" si="0"/>
        <v>1.9698869750433071E-3</v>
      </c>
      <c r="H9" s="142" t="s">
        <v>72</v>
      </c>
      <c r="I9" s="142"/>
      <c r="J9" s="143"/>
    </row>
    <row r="10" spans="1:10" ht="13.5" hidden="1" x14ac:dyDescent="0.25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138">
        <v>1600</v>
      </c>
      <c r="B17" s="126" t="s">
        <v>71</v>
      </c>
      <c r="C17" s="139">
        <f>+A17</f>
        <v>1600</v>
      </c>
      <c r="D17" s="139" t="s">
        <v>154</v>
      </c>
      <c r="E17" s="140">
        <v>0.48</v>
      </c>
      <c r="F17" s="140">
        <f>IFERROR(E17*C17,"")</f>
        <v>768</v>
      </c>
      <c r="G17" s="141">
        <f t="shared" ref="G17:G24" si="3">IFERROR(F17/$F$66,"")</f>
        <v>5.5866809336531015E-2</v>
      </c>
      <c r="H17" s="142" t="s">
        <v>70</v>
      </c>
      <c r="I17" s="142"/>
      <c r="J17" s="143"/>
    </row>
    <row r="18" spans="1:12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25" thickBot="1" x14ac:dyDescent="0.3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hidden="1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1600</v>
      </c>
      <c r="B35" s="144" t="s">
        <v>71</v>
      </c>
      <c r="C35" s="139">
        <f>+A35</f>
        <v>1600</v>
      </c>
      <c r="D35" s="140" t="s">
        <v>154</v>
      </c>
      <c r="E35" s="140">
        <v>0.05</v>
      </c>
      <c r="F35" s="140">
        <f>IFERROR(E35*C35,"")</f>
        <v>80</v>
      </c>
      <c r="G35" s="141">
        <f t="shared" ref="G35:G41" si="9">IFERROR(F35/$F$66,"")</f>
        <v>5.8194593058886468E-3</v>
      </c>
      <c r="H35" s="145" t="s">
        <v>70</v>
      </c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1600</v>
      </c>
      <c r="B44" s="144" t="s">
        <v>71</v>
      </c>
      <c r="C44" s="139">
        <f>+A44</f>
        <v>1600</v>
      </c>
      <c r="D44" s="140" t="s">
        <v>154</v>
      </c>
      <c r="E44" s="140">
        <v>0.01</v>
      </c>
      <c r="F44" s="140">
        <f>IFERROR(E44*C44,"")</f>
        <v>16</v>
      </c>
      <c r="G44" s="141">
        <f>IFERROR(F44/$F$66,"")</f>
        <v>1.1638918611777294E-3</v>
      </c>
      <c r="H44" s="145" t="s">
        <v>70</v>
      </c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616</v>
      </c>
      <c r="F51" s="140">
        <f>IFERROR(C51*E51,"")</f>
        <v>616</v>
      </c>
      <c r="G51" s="141">
        <f>IFERROR(F51/$F$66,"")</f>
        <v>4.4809836655342584E-2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12795.08</v>
      </c>
      <c r="G53" s="141">
        <f>+F53/$F$66</f>
        <v>0.93075559219487136</v>
      </c>
      <c r="H53" s="153">
        <f>+F53/$D$60</f>
        <v>12795.08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80</v>
      </c>
      <c r="G54" s="141">
        <f>+F54/$F$66</f>
        <v>5.8194593058886468E-3</v>
      </c>
      <c r="H54" s="153">
        <f>+F54/$D$60</f>
        <v>80</v>
      </c>
      <c r="I54" s="153"/>
      <c r="J54" s="157"/>
      <c r="K54" s="509" t="s">
        <v>122</v>
      </c>
      <c r="L54" s="510"/>
      <c r="M54" s="510"/>
      <c r="N54" s="510"/>
      <c r="O54" s="158">
        <f>+F55</f>
        <v>12875.08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12875.08</v>
      </c>
      <c r="G55" s="141">
        <f>+F55/$F$66</f>
        <v>0.93657505150076004</v>
      </c>
      <c r="H55" s="153">
        <f>+F55/$D$60</f>
        <v>12875.08</v>
      </c>
      <c r="I55" s="153"/>
      <c r="J55" s="160"/>
      <c r="K55" s="161"/>
      <c r="M55" s="162" t="s">
        <v>124</v>
      </c>
      <c r="N55" s="163"/>
      <c r="O55" s="158">
        <f>+H56</f>
        <v>632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632</v>
      </c>
      <c r="G56" s="141">
        <f>+F56/$F$66</f>
        <v>4.5973728516520311E-2</v>
      </c>
      <c r="H56" s="153">
        <f>+F56/$D$60</f>
        <v>632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13507.08</v>
      </c>
      <c r="P57" s="172"/>
      <c r="Q57" s="159"/>
    </row>
    <row r="58" spans="1:17" x14ac:dyDescent="0.2">
      <c r="B58" s="511" t="s">
        <v>128</v>
      </c>
      <c r="C58" s="511"/>
      <c r="D58" s="173">
        <v>5000</v>
      </c>
      <c r="E58" s="174"/>
      <c r="G58" s="141"/>
      <c r="H58" s="167">
        <f>+H56/77</f>
        <v>8.2077922077922079</v>
      </c>
      <c r="I58" s="175"/>
      <c r="J58" s="160"/>
      <c r="K58" s="168"/>
      <c r="L58" s="161"/>
      <c r="M58" s="161" t="s">
        <v>129</v>
      </c>
      <c r="N58" s="176"/>
      <c r="O58" s="158">
        <f>+H59</f>
        <v>681.2467532467532</v>
      </c>
      <c r="P58" s="158"/>
      <c r="Q58" s="159"/>
    </row>
    <row r="59" spans="1:17" x14ac:dyDescent="0.2">
      <c r="B59" s="511" t="s">
        <v>130</v>
      </c>
      <c r="C59" s="511"/>
      <c r="D59" s="177">
        <v>5000</v>
      </c>
      <c r="E59" s="174"/>
      <c r="G59" s="141"/>
      <c r="H59" s="167">
        <f>+H58*83</f>
        <v>681.2467532467532</v>
      </c>
      <c r="I59" s="175"/>
      <c r="J59" s="160"/>
      <c r="K59" s="168"/>
      <c r="L59" s="161"/>
      <c r="M59" s="512" t="s">
        <v>127</v>
      </c>
      <c r="N59" s="512"/>
      <c r="O59" s="158">
        <f>SUM(O57:O58)</f>
        <v>14188.326753246753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14188.326753246753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14188.326753246753</v>
      </c>
      <c r="P62" s="186">
        <f>+O62/D59</f>
        <v>2.8376653506493503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12875.08</v>
      </c>
      <c r="G63" s="141">
        <f>+F63/$F$66</f>
        <v>0.93657505150076004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255.9016</v>
      </c>
      <c r="G64" s="141">
        <f>+F64/$F$66</f>
        <v>1.8615111843897428E-2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8</v>
      </c>
      <c r="E65" s="196">
        <v>77</v>
      </c>
      <c r="F65" s="189">
        <f>+E65*D65</f>
        <v>616</v>
      </c>
      <c r="G65" s="141">
        <f>+F65/$F$66</f>
        <v>4.4809836655342584E-2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13746.981599999999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12795.08</v>
      </c>
      <c r="D69" s="202">
        <f>+D58</f>
        <v>5000</v>
      </c>
      <c r="E69" s="203">
        <f>+C69/D69</f>
        <v>2.5590160000000002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13130.981599999999</v>
      </c>
      <c r="D71" s="202">
        <f>+D58</f>
        <v>5000</v>
      </c>
      <c r="E71" s="207">
        <f>+C71/D71</f>
        <v>2.62619632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616</v>
      </c>
      <c r="D73" s="202">
        <f>+D58</f>
        <v>5000</v>
      </c>
      <c r="E73" s="207">
        <f>+C73/D73</f>
        <v>0.1232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632</v>
      </c>
      <c r="D74" s="202">
        <f>+D73</f>
        <v>5000</v>
      </c>
      <c r="E74" s="203">
        <f>+C74/D74</f>
        <v>0.12640000000000001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80</v>
      </c>
      <c r="D76" s="202">
        <f>+D74</f>
        <v>5000</v>
      </c>
      <c r="E76" s="203">
        <f>+C76/D76</f>
        <v>1.6E-2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2.685416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12795.08</v>
      </c>
      <c r="D81" s="202">
        <f>+D60</f>
        <v>1</v>
      </c>
      <c r="E81" s="203">
        <f>+C81/D81</f>
        <v>12795.08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13130.981599999999</v>
      </c>
      <c r="D83" s="202">
        <f>+D60</f>
        <v>1</v>
      </c>
      <c r="E83" s="207">
        <f>+C83/D83</f>
        <v>13130.981599999999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616</v>
      </c>
      <c r="D85" s="202">
        <f>+D60</f>
        <v>1</v>
      </c>
      <c r="E85" s="207">
        <f>+C85/D85</f>
        <v>616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632</v>
      </c>
      <c r="D86" s="202">
        <f>+D85</f>
        <v>1</v>
      </c>
      <c r="E86" s="203">
        <f>+C86/D86</f>
        <v>632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36CF-A08E-4747-BA91-A1DF9974B4FC}">
  <sheetPr>
    <pageSetUpPr fitToPage="1"/>
  </sheetPr>
  <dimension ref="A1:M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5.5703125" customWidth="1"/>
    <col min="3" max="3" width="67.140625" bestFit="1" customWidth="1"/>
    <col min="4" max="4" width="16.5703125" customWidth="1"/>
    <col min="5" max="5" width="11.5703125" bestFit="1" customWidth="1"/>
    <col min="7" max="7" width="22.7109375" customWidth="1"/>
    <col min="8" max="8" width="17.7109375" customWidth="1"/>
    <col min="9" max="9" width="18.140625" customWidth="1"/>
  </cols>
  <sheetData>
    <row r="1" spans="1:9" ht="15.75" x14ac:dyDescent="0.25">
      <c r="A1" s="527"/>
      <c r="B1" s="528"/>
      <c r="C1" s="477" t="s">
        <v>30</v>
      </c>
      <c r="D1" s="477"/>
      <c r="E1" s="477"/>
      <c r="F1" s="477"/>
      <c r="G1" s="477"/>
      <c r="H1" s="225" t="s">
        <v>29</v>
      </c>
      <c r="I1" s="720" t="s">
        <v>304</v>
      </c>
    </row>
    <row r="2" spans="1:9" ht="16.5" thickBot="1" x14ac:dyDescent="0.3">
      <c r="A2" s="529"/>
      <c r="B2" s="530"/>
      <c r="C2" s="478" t="s">
        <v>28</v>
      </c>
      <c r="D2" s="478"/>
      <c r="E2" s="478"/>
      <c r="F2" s="478"/>
      <c r="G2" s="478"/>
      <c r="H2" s="226" t="s">
        <v>27</v>
      </c>
      <c r="I2" s="227" t="s">
        <v>197</v>
      </c>
    </row>
    <row r="3" spans="1:9" ht="25.5" customHeight="1" thickBot="1" x14ac:dyDescent="0.35">
      <c r="A3" s="529"/>
      <c r="B3" s="530"/>
      <c r="C3" s="689" t="s">
        <v>303</v>
      </c>
      <c r="D3" s="690"/>
      <c r="E3" s="690"/>
      <c r="F3" s="690"/>
      <c r="G3" s="691"/>
      <c r="H3" s="539" t="s">
        <v>26</v>
      </c>
      <c r="I3" s="518">
        <v>46063</v>
      </c>
    </row>
    <row r="4" spans="1:9" ht="17.25" x14ac:dyDescent="0.3">
      <c r="A4" s="529"/>
      <c r="B4" s="530"/>
      <c r="C4" s="228" t="s">
        <v>25</v>
      </c>
      <c r="D4" s="465" t="s">
        <v>35</v>
      </c>
      <c r="E4" s="466"/>
      <c r="F4" s="466"/>
      <c r="G4" s="467"/>
      <c r="H4" s="540"/>
      <c r="I4" s="519"/>
    </row>
    <row r="5" spans="1:9" ht="18" thickBot="1" x14ac:dyDescent="0.35">
      <c r="A5" s="531"/>
      <c r="B5" s="532"/>
      <c r="C5" s="229" t="s">
        <v>24</v>
      </c>
      <c r="D5" s="468" t="s">
        <v>44</v>
      </c>
      <c r="E5" s="469"/>
      <c r="F5" s="469"/>
      <c r="G5" s="470"/>
      <c r="H5" s="541"/>
      <c r="I5" s="520"/>
    </row>
    <row r="6" spans="1:9" ht="18" customHeight="1" thickBot="1" x14ac:dyDescent="0.3">
      <c r="A6" s="542" t="s">
        <v>23</v>
      </c>
      <c r="B6" s="542"/>
      <c r="C6" s="542"/>
      <c r="D6" s="486" t="s">
        <v>182</v>
      </c>
      <c r="E6" s="486"/>
      <c r="F6" s="486"/>
      <c r="G6" s="544" t="s">
        <v>22</v>
      </c>
      <c r="H6" s="544"/>
      <c r="I6" s="12" t="s">
        <v>183</v>
      </c>
    </row>
    <row r="7" spans="1:9" ht="36" customHeight="1" x14ac:dyDescent="0.25">
      <c r="A7" s="545" t="s">
        <v>21</v>
      </c>
      <c r="B7" s="547" t="s">
        <v>31</v>
      </c>
      <c r="C7" s="549" t="s">
        <v>20</v>
      </c>
      <c r="D7" s="549" t="s">
        <v>19</v>
      </c>
      <c r="E7" s="549" t="s">
        <v>18</v>
      </c>
      <c r="F7" s="549"/>
      <c r="G7" s="549" t="s">
        <v>17</v>
      </c>
      <c r="H7" s="549"/>
      <c r="I7" s="231" t="s">
        <v>16</v>
      </c>
    </row>
    <row r="8" spans="1:9" ht="31.5" customHeight="1" thickBot="1" x14ac:dyDescent="0.3">
      <c r="A8" s="546"/>
      <c r="B8" s="548"/>
      <c r="C8" s="550"/>
      <c r="D8" s="550"/>
      <c r="E8" s="232" t="s">
        <v>13</v>
      </c>
      <c r="F8" s="233" t="s">
        <v>15</v>
      </c>
      <c r="G8" s="232" t="s">
        <v>13</v>
      </c>
      <c r="H8" s="233" t="s">
        <v>15</v>
      </c>
      <c r="I8" s="234" t="s">
        <v>14</v>
      </c>
    </row>
    <row r="9" spans="1:9" ht="20.25" x14ac:dyDescent="0.3">
      <c r="A9" s="336"/>
      <c r="B9" s="337"/>
      <c r="C9" s="338" t="s">
        <v>32</v>
      </c>
      <c r="D9" s="339"/>
      <c r="E9" s="340"/>
      <c r="F9" s="341"/>
      <c r="G9" s="340"/>
      <c r="H9" s="341"/>
      <c r="I9" s="342"/>
    </row>
    <row r="10" spans="1:9" ht="20.25" x14ac:dyDescent="0.3">
      <c r="A10" s="692"/>
      <c r="B10" s="692" t="s">
        <v>302</v>
      </c>
      <c r="C10" s="693" t="s">
        <v>181</v>
      </c>
      <c r="D10" s="371" t="s">
        <v>36</v>
      </c>
      <c r="E10" s="368">
        <v>5000</v>
      </c>
      <c r="F10" s="353" t="s">
        <v>1</v>
      </c>
      <c r="G10" s="390"/>
      <c r="H10" s="694"/>
      <c r="I10" s="342"/>
    </row>
    <row r="11" spans="1:9" ht="20.25" x14ac:dyDescent="0.3">
      <c r="A11" s="696"/>
      <c r="B11" s="697"/>
      <c r="C11" s="698"/>
      <c r="D11" s="357"/>
      <c r="E11" s="357"/>
      <c r="F11" s="357"/>
      <c r="G11" s="348"/>
      <c r="H11" s="699"/>
      <c r="I11" s="342"/>
    </row>
    <row r="12" spans="1:9" ht="20.25" x14ac:dyDescent="0.3">
      <c r="A12" s="697"/>
      <c r="B12" s="697"/>
      <c r="C12" s="701"/>
      <c r="D12" s="363"/>
      <c r="E12" s="363"/>
      <c r="F12" s="359"/>
      <c r="G12" s="340"/>
      <c r="H12" s="341"/>
      <c r="I12" s="342"/>
    </row>
    <row r="13" spans="1:9" ht="20.25" x14ac:dyDescent="0.3">
      <c r="A13" s="354"/>
      <c r="B13" s="355"/>
      <c r="C13" s="356" t="s">
        <v>184</v>
      </c>
      <c r="D13" s="357"/>
      <c r="E13" s="358"/>
      <c r="F13" s="359"/>
      <c r="G13" s="340"/>
      <c r="H13" s="341"/>
      <c r="I13" s="342"/>
    </row>
    <row r="14" spans="1:9" ht="20.25" x14ac:dyDescent="0.3">
      <c r="A14" s="697"/>
      <c r="B14" s="697"/>
      <c r="C14" s="701"/>
      <c r="D14" s="371"/>
      <c r="E14" s="702"/>
      <c r="F14" s="703"/>
      <c r="G14" s="340"/>
      <c r="H14" s="341"/>
      <c r="I14" s="342"/>
    </row>
    <row r="15" spans="1:9" ht="20.25" x14ac:dyDescent="0.3">
      <c r="A15" s="364"/>
      <c r="B15" s="365"/>
      <c r="C15" s="366" t="s">
        <v>183</v>
      </c>
      <c r="D15" s="367"/>
      <c r="E15" s="704"/>
      <c r="F15" s="341"/>
      <c r="G15" s="340"/>
      <c r="H15" s="705"/>
      <c r="I15" s="342"/>
    </row>
    <row r="16" spans="1:9" ht="20.25" x14ac:dyDescent="0.3">
      <c r="A16" s="706">
        <v>1950708</v>
      </c>
      <c r="B16" s="706" t="s">
        <v>185</v>
      </c>
      <c r="C16" s="707" t="s">
        <v>186</v>
      </c>
      <c r="D16" s="371"/>
      <c r="E16" s="368">
        <v>1</v>
      </c>
      <c r="F16" s="353" t="s">
        <v>37</v>
      </c>
      <c r="G16" s="708"/>
      <c r="H16" s="341"/>
      <c r="I16" s="342"/>
    </row>
    <row r="17" spans="1:13" ht="20.25" x14ac:dyDescent="0.3">
      <c r="A17" s="697" t="s">
        <v>187</v>
      </c>
      <c r="B17" s="369" t="s">
        <v>188</v>
      </c>
      <c r="C17" s="700" t="s">
        <v>189</v>
      </c>
      <c r="D17" s="371" t="s">
        <v>43</v>
      </c>
      <c r="E17" s="368">
        <v>1</v>
      </c>
      <c r="F17" s="353" t="s">
        <v>37</v>
      </c>
      <c r="G17" s="708"/>
      <c r="H17" s="341"/>
      <c r="I17" s="342"/>
    </row>
    <row r="18" spans="1:13" ht="20.25" x14ac:dyDescent="0.3">
      <c r="A18" s="697" t="s">
        <v>163</v>
      </c>
      <c r="B18" s="369" t="s">
        <v>57</v>
      </c>
      <c r="C18" s="700" t="s">
        <v>190</v>
      </c>
      <c r="D18" s="371" t="s">
        <v>39</v>
      </c>
      <c r="E18" s="368">
        <v>1</v>
      </c>
      <c r="F18" s="353" t="s">
        <v>37</v>
      </c>
      <c r="G18" s="708"/>
      <c r="H18" s="341"/>
      <c r="I18" s="342"/>
    </row>
    <row r="19" spans="1:13" ht="20.25" x14ac:dyDescent="0.3">
      <c r="A19" s="354"/>
      <c r="B19" s="355"/>
      <c r="C19" s="376"/>
      <c r="D19" s="357"/>
      <c r="E19" s="357"/>
      <c r="F19" s="359"/>
      <c r="G19" s="357"/>
      <c r="H19" s="357"/>
      <c r="I19" s="342"/>
    </row>
    <row r="20" spans="1:13" ht="21" thickBot="1" x14ac:dyDescent="0.35">
      <c r="A20" s="377"/>
      <c r="B20" s="378"/>
      <c r="C20" s="379"/>
      <c r="D20" s="379"/>
      <c r="E20" s="380"/>
      <c r="F20" s="381"/>
      <c r="G20" s="379"/>
      <c r="H20" s="379"/>
      <c r="I20" s="382"/>
      <c r="J20" s="265"/>
      <c r="K20" s="265"/>
      <c r="L20" s="266"/>
      <c r="M20" s="265"/>
    </row>
    <row r="21" spans="1:13" ht="21" thickBot="1" x14ac:dyDescent="0.35">
      <c r="A21" s="383"/>
      <c r="B21" s="384"/>
      <c r="C21" s="385"/>
      <c r="D21" s="386" t="s">
        <v>13</v>
      </c>
      <c r="E21" s="387" t="s">
        <v>12</v>
      </c>
      <c r="F21" s="388"/>
      <c r="G21" s="385"/>
      <c r="H21" s="385"/>
      <c r="I21" s="389"/>
      <c r="J21" s="265"/>
      <c r="K21" s="265"/>
      <c r="L21" s="266"/>
      <c r="M21" s="265"/>
    </row>
    <row r="22" spans="1:13" ht="20.25" x14ac:dyDescent="0.3">
      <c r="A22" s="649" t="s">
        <v>11</v>
      </c>
      <c r="B22" s="650"/>
      <c r="C22" s="651"/>
      <c r="D22" s="390">
        <v>5000</v>
      </c>
      <c r="E22" s="391" t="s">
        <v>1</v>
      </c>
      <c r="F22" s="652" t="s">
        <v>10</v>
      </c>
      <c r="G22" s="652"/>
      <c r="H22" s="653"/>
      <c r="I22" s="654"/>
      <c r="J22" s="265"/>
      <c r="K22" s="265"/>
      <c r="L22" s="266"/>
      <c r="M22" s="265"/>
    </row>
    <row r="23" spans="1:13" ht="20.25" x14ac:dyDescent="0.3">
      <c r="A23" s="655" t="s">
        <v>9</v>
      </c>
      <c r="B23" s="656"/>
      <c r="C23" s="657"/>
      <c r="D23" s="695">
        <v>1</v>
      </c>
      <c r="E23" s="369" t="s">
        <v>8</v>
      </c>
      <c r="F23" s="658" t="s">
        <v>7</v>
      </c>
      <c r="G23" s="658"/>
      <c r="H23" s="659"/>
      <c r="I23" s="660"/>
      <c r="J23" s="265"/>
      <c r="K23" s="265"/>
      <c r="L23" s="266"/>
      <c r="M23" s="265"/>
    </row>
    <row r="24" spans="1:13" ht="20.25" x14ac:dyDescent="0.3">
      <c r="A24" s="655" t="s">
        <v>6</v>
      </c>
      <c r="B24" s="656"/>
      <c r="C24" s="657"/>
      <c r="D24" s="369">
        <v>1</v>
      </c>
      <c r="E24" s="369" t="s">
        <v>191</v>
      </c>
      <c r="F24" s="658" t="s">
        <v>5</v>
      </c>
      <c r="G24" s="658"/>
      <c r="H24" s="659"/>
      <c r="I24" s="660"/>
      <c r="J24" s="265"/>
      <c r="K24" s="265"/>
      <c r="L24" s="266"/>
      <c r="M24" s="265"/>
    </row>
    <row r="25" spans="1:13" ht="20.25" x14ac:dyDescent="0.3">
      <c r="A25" s="655" t="s">
        <v>4</v>
      </c>
      <c r="B25" s="656"/>
      <c r="C25" s="657"/>
      <c r="D25" s="368">
        <v>5000</v>
      </c>
      <c r="E25" s="369" t="s">
        <v>1</v>
      </c>
      <c r="F25" s="662" t="s">
        <v>3</v>
      </c>
      <c r="G25" s="663"/>
      <c r="H25" s="659"/>
      <c r="I25" s="660"/>
      <c r="J25" s="265"/>
      <c r="K25" s="265"/>
      <c r="L25" s="266"/>
      <c r="M25" s="274"/>
    </row>
    <row r="26" spans="1:13" ht="21" thickBot="1" x14ac:dyDescent="0.35">
      <c r="A26" s="664" t="s">
        <v>2</v>
      </c>
      <c r="B26" s="665"/>
      <c r="C26" s="666"/>
      <c r="D26" s="393">
        <v>0</v>
      </c>
      <c r="E26" s="394" t="s">
        <v>1</v>
      </c>
      <c r="F26" s="667"/>
      <c r="G26" s="667"/>
      <c r="H26" s="668"/>
      <c r="I26" s="669"/>
      <c r="J26" s="261"/>
      <c r="K26" s="261"/>
      <c r="L26" s="266"/>
      <c r="M26" s="261"/>
    </row>
    <row r="27" spans="1:13" ht="21" thickBot="1" x14ac:dyDescent="0.35">
      <c r="A27" s="712" t="s">
        <v>0</v>
      </c>
      <c r="B27" s="713"/>
      <c r="C27" s="713"/>
      <c r="D27" s="713"/>
      <c r="E27" s="713"/>
      <c r="F27" s="713"/>
      <c r="G27" s="713"/>
      <c r="H27" s="713"/>
      <c r="I27" s="714"/>
      <c r="J27" s="265"/>
      <c r="K27" s="265"/>
      <c r="L27" s="265"/>
      <c r="M27" s="265"/>
    </row>
    <row r="28" spans="1:13" ht="20.25" x14ac:dyDescent="0.3">
      <c r="A28" s="709" t="s">
        <v>192</v>
      </c>
      <c r="B28" s="710"/>
      <c r="C28" s="710"/>
      <c r="D28" s="710"/>
      <c r="E28" s="710"/>
      <c r="F28" s="710"/>
      <c r="G28" s="710"/>
      <c r="H28" s="710"/>
      <c r="I28" s="711"/>
      <c r="J28" s="265"/>
      <c r="K28" s="265"/>
      <c r="L28" s="265"/>
      <c r="M28" s="265"/>
    </row>
    <row r="29" spans="1:13" ht="20.25" x14ac:dyDescent="0.3">
      <c r="A29" s="682" t="s">
        <v>193</v>
      </c>
      <c r="B29" s="681"/>
      <c r="C29" s="681"/>
      <c r="D29" s="681"/>
      <c r="E29" s="681"/>
      <c r="F29" s="681"/>
      <c r="G29" s="681"/>
      <c r="H29" s="681"/>
      <c r="I29" s="683"/>
      <c r="J29" s="265"/>
      <c r="K29" s="265"/>
      <c r="L29" s="265"/>
      <c r="M29" s="265"/>
    </row>
    <row r="30" spans="1:13" ht="20.25" x14ac:dyDescent="0.3">
      <c r="A30" s="684"/>
      <c r="B30" s="685"/>
      <c r="C30" s="685"/>
      <c r="D30" s="685"/>
      <c r="E30" s="685"/>
      <c r="F30" s="685"/>
      <c r="G30" s="685"/>
      <c r="H30" s="685"/>
      <c r="I30" s="686"/>
      <c r="J30" s="265"/>
      <c r="K30" s="265"/>
      <c r="L30" s="265"/>
      <c r="M30" s="265"/>
    </row>
    <row r="31" spans="1:13" ht="20.25" x14ac:dyDescent="0.3">
      <c r="A31" s="715"/>
      <c r="B31" s="716"/>
      <c r="C31" s="716"/>
      <c r="D31" s="716"/>
      <c r="E31" s="716"/>
      <c r="F31" s="716"/>
      <c r="G31" s="716"/>
      <c r="H31" s="716"/>
      <c r="I31" s="717"/>
      <c r="J31" s="265"/>
      <c r="K31" s="265"/>
      <c r="L31" s="265"/>
      <c r="M31" s="265"/>
    </row>
    <row r="32" spans="1:13" ht="20.25" x14ac:dyDescent="0.3">
      <c r="A32" s="718" t="s">
        <v>33</v>
      </c>
      <c r="B32" s="718"/>
      <c r="C32" s="718"/>
      <c r="D32" s="718"/>
      <c r="E32" s="718"/>
      <c r="F32" s="718"/>
      <c r="G32" s="718"/>
      <c r="H32" s="718"/>
      <c r="I32" s="718"/>
      <c r="J32" s="265"/>
      <c r="K32" s="265"/>
      <c r="L32" s="265"/>
      <c r="M32" s="265"/>
    </row>
    <row r="33" spans="1:13" ht="20.25" x14ac:dyDescent="0.3">
      <c r="A33" s="719"/>
      <c r="B33" s="719"/>
      <c r="C33" s="719"/>
      <c r="D33" s="719"/>
      <c r="E33" s="719"/>
      <c r="F33" s="719"/>
      <c r="G33" s="719"/>
      <c r="H33" s="719"/>
      <c r="I33" s="719"/>
      <c r="J33" s="265"/>
      <c r="K33" s="265"/>
      <c r="L33" s="265"/>
      <c r="M33" s="265"/>
    </row>
    <row r="34" spans="1:13" ht="20.25" x14ac:dyDescent="0.3">
      <c r="A34" s="719"/>
      <c r="B34" s="719"/>
      <c r="C34" s="719"/>
      <c r="D34" s="719"/>
      <c r="E34" s="719"/>
      <c r="F34" s="719"/>
      <c r="G34" s="719"/>
      <c r="H34" s="719"/>
      <c r="I34" s="719"/>
    </row>
  </sheetData>
  <mergeCells count="40">
    <mergeCell ref="A31:I31"/>
    <mergeCell ref="A32:I32"/>
    <mergeCell ref="A33:I33"/>
    <mergeCell ref="A34:I34"/>
    <mergeCell ref="A30:I30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0B4E-BD3F-4581-9D57-EC91BB99F3C7}">
  <dimension ref="A1:Q91"/>
  <sheetViews>
    <sheetView topLeftCell="A57" workbookViewId="0">
      <selection activeCell="B66" sqref="B66:E66"/>
    </sheetView>
  </sheetViews>
  <sheetFormatPr baseColWidth="10" defaultColWidth="8.42578125" defaultRowHeight="12.75" x14ac:dyDescent="0.25"/>
  <cols>
    <col min="1" max="1" width="10" style="126" bestFit="1" customWidth="1"/>
    <col min="2" max="2" width="44.28515625" style="126" bestFit="1" customWidth="1"/>
    <col min="3" max="3" width="10.42578125" style="126" bestFit="1" customWidth="1"/>
    <col min="4" max="4" width="10.42578125" style="126" customWidth="1"/>
    <col min="5" max="5" width="11" style="126" customWidth="1"/>
    <col min="6" max="6" width="9.5703125" style="126" bestFit="1" customWidth="1"/>
    <col min="7" max="7" width="10.85546875" style="208" customWidth="1"/>
    <col min="8" max="8" width="10.42578125" style="199" bestFit="1" customWidth="1"/>
    <col min="9" max="9" width="4.5703125" style="199" customWidth="1"/>
    <col min="10" max="10" width="1.85546875" style="125" customWidth="1"/>
    <col min="11" max="11" width="7" style="126" bestFit="1" customWidth="1"/>
    <col min="12" max="12" width="6.28515625" style="126" customWidth="1"/>
    <col min="13" max="13" width="20.42578125" style="126" customWidth="1"/>
    <col min="14" max="14" width="6.42578125" style="126" bestFit="1" customWidth="1"/>
    <col min="15" max="16" width="8.42578125" style="126"/>
    <col min="17" max="17" width="3.28515625" style="126" customWidth="1"/>
    <col min="18" max="16384" width="8.42578125" style="126"/>
  </cols>
  <sheetData>
    <row r="1" spans="1:10" ht="27.75" customHeight="1" x14ac:dyDescent="0.25">
      <c r="A1" s="121"/>
      <c r="B1" s="121"/>
      <c r="C1" s="121"/>
      <c r="D1" s="121"/>
      <c r="E1" s="122" t="s">
        <v>102</v>
      </c>
      <c r="F1" s="123" t="s">
        <v>103</v>
      </c>
      <c r="G1" s="123" t="s">
        <v>104</v>
      </c>
      <c r="H1" s="123" t="s">
        <v>105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14348.326753246754</v>
      </c>
      <c r="F2" s="127">
        <f>IFERROR(H53,"")</f>
        <v>12795.080000000002</v>
      </c>
      <c r="G2" s="127">
        <f>IFERROR(H54,"")</f>
        <v>80</v>
      </c>
      <c r="H2" s="127">
        <f>IFERROR(H56,"")</f>
        <v>709.00000000000011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513"/>
      <c r="B4" s="513"/>
      <c r="C4" s="513"/>
      <c r="D4" s="513"/>
      <c r="E4" s="513"/>
      <c r="F4" s="513"/>
      <c r="G4" s="513"/>
      <c r="H4" s="513"/>
      <c r="I4" s="130"/>
    </row>
    <row r="5" spans="1:10" ht="19.5" customHeight="1" thickBot="1" x14ac:dyDescent="0.3">
      <c r="A5" s="514" t="s">
        <v>106</v>
      </c>
      <c r="B5" s="515"/>
      <c r="C5" s="515"/>
      <c r="D5" s="515"/>
      <c r="E5" s="515"/>
      <c r="F5" s="515"/>
      <c r="G5" s="515"/>
      <c r="H5" s="516"/>
      <c r="I5" s="131"/>
    </row>
    <row r="6" spans="1:10" ht="19.5" thickBot="1" x14ac:dyDescent="0.3">
      <c r="A6" s="131"/>
      <c r="B6" s="131"/>
      <c r="C6" s="131"/>
      <c r="D6" s="131"/>
      <c r="E6" s="131"/>
      <c r="F6" s="517" t="s">
        <v>107</v>
      </c>
      <c r="G6" s="517"/>
      <c r="H6" s="132">
        <f ca="1">TODAY()</f>
        <v>46063</v>
      </c>
      <c r="I6" s="132"/>
    </row>
    <row r="7" spans="1:10" ht="26.25" hidden="1" thickBot="1" x14ac:dyDescent="0.3">
      <c r="A7" s="133" t="s">
        <v>108</v>
      </c>
      <c r="B7" s="134" t="s">
        <v>109</v>
      </c>
      <c r="C7" s="134" t="s">
        <v>108</v>
      </c>
      <c r="D7" s="135" t="s">
        <v>110</v>
      </c>
      <c r="E7" s="135" t="s">
        <v>111</v>
      </c>
      <c r="F7" s="135" t="s">
        <v>112</v>
      </c>
      <c r="G7" s="135" t="s">
        <v>113</v>
      </c>
      <c r="H7" s="136" t="s">
        <v>114</v>
      </c>
      <c r="I7" s="137"/>
    </row>
    <row r="8" spans="1:10" ht="13.5" hidden="1" x14ac:dyDescent="0.25">
      <c r="A8" s="138"/>
      <c r="B8" s="126" t="str">
        <f>IFERROR(VLOOKUP(H8,'[1]Consolidado MP Planta'!$A$2:$M$823,3,0),"")</f>
        <v/>
      </c>
      <c r="C8" s="139">
        <f>+A8</f>
        <v>0</v>
      </c>
      <c r="D8" s="140" t="str">
        <f>IFERROR(VLOOKUP(H8,'[1]Consolidado MP Planta'!$A$2:$M$823,13,0),"")</f>
        <v/>
      </c>
      <c r="E8" s="140" t="str">
        <f>IFERROR(VLOOKUP(H8,'[1]Consolidado MP Planta'!$A$2:$M$823,12,0),"")</f>
        <v/>
      </c>
      <c r="F8" s="140" t="str">
        <f>IFERROR(C8*E8,"")</f>
        <v/>
      </c>
      <c r="G8" s="141" t="str">
        <f t="shared" ref="G8:G14" si="0">IFERROR(F8/$F$66,"")</f>
        <v/>
      </c>
      <c r="H8" s="142"/>
      <c r="I8" s="142"/>
      <c r="J8" s="143"/>
    </row>
    <row r="9" spans="1:10" ht="13.5" hidden="1" x14ac:dyDescent="0.25">
      <c r="A9" s="138"/>
      <c r="B9" s="126" t="str">
        <f>IFERROR(VLOOKUP(H9,'[1]Consolidado MP Planta'!$A$2:$M$823,3,0),"")</f>
        <v/>
      </c>
      <c r="C9" s="139">
        <f t="shared" ref="C9:C14" si="1">+A9</f>
        <v>0</v>
      </c>
      <c r="D9" s="140" t="str">
        <f>IFERROR(VLOOKUP(H9,'[1]Consolidado MP Planta'!$A$2:$M$823,13,0),"")</f>
        <v/>
      </c>
      <c r="E9" s="140" t="str">
        <f>IFERROR(VLOOKUP(H9,'[1]Consolidado MP Planta'!$A$2:$M$823,12,0),"")</f>
        <v/>
      </c>
      <c r="F9" s="140" t="str">
        <f t="shared" ref="F9:F14" si="2">IFERROR(C9*E9,"")</f>
        <v/>
      </c>
      <c r="G9" s="141" t="str">
        <f t="shared" si="0"/>
        <v/>
      </c>
      <c r="H9" s="142"/>
      <c r="I9" s="142"/>
      <c r="J9" s="143"/>
    </row>
    <row r="10" spans="1:10" ht="13.5" hidden="1" x14ac:dyDescent="0.25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5" hidden="1" x14ac:dyDescent="0.25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5" hidden="1" x14ac:dyDescent="0.25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5" hidden="1" x14ac:dyDescent="0.25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5" hidden="1" x14ac:dyDescent="0.25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25" hidden="1" thickBot="1" x14ac:dyDescent="0.3">
      <c r="A15" s="138"/>
      <c r="B15" s="126" t="str">
        <f>IFERROR(VLOOKUP(H15,[2]Hoja2!$A$2:$G$589,2,0),"")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26.25" thickBot="1" x14ac:dyDescent="0.3">
      <c r="A16" s="133" t="s">
        <v>108</v>
      </c>
      <c r="B16" s="134" t="s">
        <v>115</v>
      </c>
      <c r="C16" s="134" t="s">
        <v>108</v>
      </c>
      <c r="D16" s="135" t="s">
        <v>110</v>
      </c>
      <c r="E16" s="135" t="s">
        <v>111</v>
      </c>
      <c r="F16" s="135" t="s">
        <v>112</v>
      </c>
      <c r="G16" s="135" t="s">
        <v>113</v>
      </c>
      <c r="H16" s="136" t="s">
        <v>114</v>
      </c>
      <c r="I16" s="137"/>
      <c r="J16" s="143"/>
    </row>
    <row r="17" spans="1:12" ht="13.5" x14ac:dyDescent="0.25">
      <c r="A17" s="138">
        <v>5000</v>
      </c>
      <c r="B17" s="126" t="s">
        <v>181</v>
      </c>
      <c r="C17" s="139">
        <f>+A17</f>
        <v>5000</v>
      </c>
      <c r="D17" s="139" t="s">
        <v>154</v>
      </c>
      <c r="E17" s="140">
        <f>+'Costo Salsa Piña '!E69</f>
        <v>2.5590160000000002</v>
      </c>
      <c r="F17" s="140">
        <f>IFERROR(E17*C17,"")</f>
        <v>12795.080000000002</v>
      </c>
      <c r="G17" s="141">
        <f t="shared" ref="G17:G24" si="3">IFERROR(F17/$F$66,"")</f>
        <v>0.96873847855754136</v>
      </c>
      <c r="H17" s="142" t="s">
        <v>54</v>
      </c>
      <c r="I17" s="142"/>
      <c r="J17" s="143"/>
    </row>
    <row r="18" spans="1:12" ht="13.5" hidden="1" x14ac:dyDescent="0.25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5" hidden="1" x14ac:dyDescent="0.25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5" hidden="1" x14ac:dyDescent="0.25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5" hidden="1" x14ac:dyDescent="0.25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5" hidden="1" x14ac:dyDescent="0.25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5" hidden="1" x14ac:dyDescent="0.25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5" hidden="1" x14ac:dyDescent="0.25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3.5" x14ac:dyDescent="0.25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26.25" hidden="1" thickBot="1" x14ac:dyDescent="0.3">
      <c r="A26" s="133" t="s">
        <v>108</v>
      </c>
      <c r="B26" s="134" t="s">
        <v>34</v>
      </c>
      <c r="C26" s="134" t="s">
        <v>108</v>
      </c>
      <c r="D26" s="135" t="s">
        <v>110</v>
      </c>
      <c r="E26" s="135" t="s">
        <v>111</v>
      </c>
      <c r="F26" s="135" t="s">
        <v>112</v>
      </c>
      <c r="G26" s="135" t="s">
        <v>113</v>
      </c>
      <c r="H26" s="136" t="s">
        <v>114</v>
      </c>
      <c r="I26" s="137"/>
    </row>
    <row r="27" spans="1:12" ht="13.5" hidden="1" x14ac:dyDescent="0.25">
      <c r="A27" s="138">
        <v>0</v>
      </c>
      <c r="B27" s="144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5"/>
      <c r="I27" s="145"/>
      <c r="J27" s="143"/>
      <c r="K27" s="507"/>
      <c r="L27" s="507"/>
    </row>
    <row r="28" spans="1:12" ht="13.5" hidden="1" x14ac:dyDescent="0.25">
      <c r="A28" s="138"/>
      <c r="B28" s="144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5"/>
      <c r="I28" s="145"/>
      <c r="J28" s="143"/>
      <c r="K28" s="507"/>
      <c r="L28" s="507"/>
    </row>
    <row r="29" spans="1:12" ht="13.5" hidden="1" x14ac:dyDescent="0.25">
      <c r="A29" s="138"/>
      <c r="B29" s="144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5"/>
      <c r="I29" s="145"/>
      <c r="J29" s="143"/>
      <c r="K29" s="507"/>
      <c r="L29" s="507"/>
    </row>
    <row r="30" spans="1:12" ht="13.5" hidden="1" x14ac:dyDescent="0.25">
      <c r="A30" s="138"/>
      <c r="B30" s="144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5"/>
      <c r="I30" s="145"/>
      <c r="J30" s="143"/>
      <c r="K30" s="507"/>
      <c r="L30" s="507"/>
    </row>
    <row r="31" spans="1:12" ht="13.5" hidden="1" x14ac:dyDescent="0.25">
      <c r="A31" s="138"/>
      <c r="B31" s="144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5"/>
      <c r="I31" s="145"/>
      <c r="J31" s="143"/>
      <c r="K31" s="146"/>
      <c r="L31" s="147"/>
    </row>
    <row r="32" spans="1:12" ht="13.5" hidden="1" x14ac:dyDescent="0.25">
      <c r="A32" s="138"/>
      <c r="B32" s="144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5"/>
      <c r="I32" s="145"/>
      <c r="J32" s="143"/>
    </row>
    <row r="33" spans="1:13" ht="14.25" thickBot="1" x14ac:dyDescent="0.3">
      <c r="A33" s="138"/>
      <c r="B33" s="144"/>
      <c r="C33" s="139"/>
      <c r="D33" s="140"/>
      <c r="E33" s="140"/>
      <c r="F33" s="140"/>
      <c r="G33" s="141"/>
      <c r="H33" s="145"/>
      <c r="I33" s="145"/>
      <c r="J33" s="143"/>
    </row>
    <row r="34" spans="1:13" ht="26.25" thickBot="1" x14ac:dyDescent="0.25">
      <c r="A34" s="133" t="s">
        <v>108</v>
      </c>
      <c r="B34" s="134" t="s">
        <v>116</v>
      </c>
      <c r="C34" s="134" t="s">
        <v>108</v>
      </c>
      <c r="D34" s="135" t="s">
        <v>110</v>
      </c>
      <c r="E34" s="135" t="s">
        <v>111</v>
      </c>
      <c r="F34" s="135" t="s">
        <v>112</v>
      </c>
      <c r="G34" s="135" t="s">
        <v>113</v>
      </c>
      <c r="H34" s="136" t="s">
        <v>114</v>
      </c>
      <c r="I34" s="145"/>
      <c r="J34" s="143"/>
    </row>
    <row r="35" spans="1:13" ht="13.5" x14ac:dyDescent="0.25">
      <c r="A35" s="138">
        <f>+A17</f>
        <v>5000</v>
      </c>
      <c r="B35" s="144" t="s">
        <v>181</v>
      </c>
      <c r="C35" s="139">
        <f>+A35</f>
        <v>5000</v>
      </c>
      <c r="D35" s="140" t="s">
        <v>154</v>
      </c>
      <c r="E35" s="140">
        <f>+'Costo Salsa Piña '!E76</f>
        <v>1.6E-2</v>
      </c>
      <c r="F35" s="140">
        <f>IFERROR(E35*C35,"")</f>
        <v>80</v>
      </c>
      <c r="G35" s="141">
        <f t="shared" ref="G35:G41" si="9">IFERROR(F35/$F$66,"")</f>
        <v>6.0569436286919114E-3</v>
      </c>
      <c r="H35" s="145" t="s">
        <v>54</v>
      </c>
      <c r="I35" s="145"/>
      <c r="J35" s="143"/>
    </row>
    <row r="36" spans="1:13" ht="13.5" hidden="1" x14ac:dyDescent="0.25">
      <c r="A36" s="138">
        <f t="shared" ref="A36:A41" si="10">+A18</f>
        <v>0</v>
      </c>
      <c r="B36" s="144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5"/>
      <c r="I36" s="145"/>
      <c r="J36" s="143"/>
    </row>
    <row r="37" spans="1:13" ht="13.5" hidden="1" x14ac:dyDescent="0.25">
      <c r="A37" s="138">
        <f t="shared" si="10"/>
        <v>0</v>
      </c>
      <c r="B37" s="144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5"/>
      <c r="I37" s="145"/>
      <c r="J37" s="143"/>
    </row>
    <row r="38" spans="1:13" ht="13.5" hidden="1" x14ac:dyDescent="0.25">
      <c r="A38" s="138">
        <f t="shared" si="10"/>
        <v>0</v>
      </c>
      <c r="B38" s="144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5"/>
      <c r="I38" s="145"/>
      <c r="J38" s="143"/>
    </row>
    <row r="39" spans="1:13" ht="13.5" hidden="1" x14ac:dyDescent="0.25">
      <c r="A39" s="138">
        <f t="shared" si="10"/>
        <v>0</v>
      </c>
      <c r="B39" s="144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5"/>
      <c r="I39" s="145"/>
      <c r="J39" s="143"/>
    </row>
    <row r="40" spans="1:13" ht="13.5" hidden="1" x14ac:dyDescent="0.25">
      <c r="A40" s="138">
        <f t="shared" si="10"/>
        <v>0</v>
      </c>
      <c r="B40" s="144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5"/>
      <c r="I40" s="145"/>
      <c r="J40" s="143"/>
    </row>
    <row r="41" spans="1:13" ht="13.5" hidden="1" x14ac:dyDescent="0.25">
      <c r="A41" s="138">
        <f t="shared" si="10"/>
        <v>0</v>
      </c>
      <c r="B41" s="144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5"/>
      <c r="I41" s="145"/>
      <c r="J41" s="143"/>
    </row>
    <row r="42" spans="1:13" ht="14.25" thickBot="1" x14ac:dyDescent="0.3">
      <c r="A42" s="138"/>
      <c r="B42" s="144"/>
      <c r="C42" s="139"/>
      <c r="D42" s="140"/>
      <c r="E42" s="140"/>
      <c r="F42" s="140"/>
      <c r="G42" s="141"/>
      <c r="H42" s="145"/>
      <c r="I42" s="145"/>
      <c r="J42" s="143"/>
    </row>
    <row r="43" spans="1:13" ht="26.25" thickBot="1" x14ac:dyDescent="0.3">
      <c r="A43" s="133" t="s">
        <v>108</v>
      </c>
      <c r="B43" s="134" t="s">
        <v>117</v>
      </c>
      <c r="C43" s="134" t="s">
        <v>108</v>
      </c>
      <c r="D43" s="135" t="s">
        <v>110</v>
      </c>
      <c r="E43" s="135" t="s">
        <v>111</v>
      </c>
      <c r="F43" s="135" t="s">
        <v>112</v>
      </c>
      <c r="G43" s="135" t="s">
        <v>113</v>
      </c>
      <c r="H43" s="136" t="s">
        <v>114</v>
      </c>
      <c r="I43" s="137"/>
      <c r="J43" s="143"/>
    </row>
    <row r="44" spans="1:13" ht="13.5" x14ac:dyDescent="0.25">
      <c r="A44" s="138">
        <f>+A35</f>
        <v>5000</v>
      </c>
      <c r="B44" s="144" t="s">
        <v>181</v>
      </c>
      <c r="C44" s="139">
        <f>+A44</f>
        <v>5000</v>
      </c>
      <c r="D44" s="140" t="s">
        <v>154</v>
      </c>
      <c r="E44" s="140">
        <f>+'Costo Salsa Piña '!E74</f>
        <v>0.12640000000000001</v>
      </c>
      <c r="F44" s="140">
        <f>IFERROR(E44*C44,"")</f>
        <v>632.00000000000011</v>
      </c>
      <c r="G44" s="141">
        <f>IFERROR(F44/$F$66,"")</f>
        <v>4.7849854666666108E-2</v>
      </c>
      <c r="H44" s="145" t="s">
        <v>54</v>
      </c>
      <c r="I44" s="137"/>
      <c r="J44" s="143"/>
    </row>
    <row r="45" spans="1:13" ht="13.5" hidden="1" x14ac:dyDescent="0.25">
      <c r="A45" s="138">
        <f t="shared" ref="A45:A50" si="13">+A36</f>
        <v>0</v>
      </c>
      <c r="B45" s="144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5"/>
      <c r="I45" s="137"/>
      <c r="J45" s="143"/>
      <c r="M45" s="148"/>
    </row>
    <row r="46" spans="1:13" ht="13.5" hidden="1" x14ac:dyDescent="0.25">
      <c r="A46" s="138">
        <f t="shared" si="13"/>
        <v>0</v>
      </c>
      <c r="B46" s="144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5"/>
      <c r="I46" s="137"/>
      <c r="J46" s="143"/>
    </row>
    <row r="47" spans="1:13" ht="13.5" hidden="1" x14ac:dyDescent="0.25">
      <c r="A47" s="138">
        <f t="shared" si="13"/>
        <v>0</v>
      </c>
      <c r="B47" s="144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5"/>
      <c r="I47" s="137"/>
      <c r="J47" s="143"/>
    </row>
    <row r="48" spans="1:13" ht="13.5" hidden="1" x14ac:dyDescent="0.25">
      <c r="A48" s="138">
        <f t="shared" si="13"/>
        <v>0</v>
      </c>
      <c r="B48" s="144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5"/>
      <c r="I48" s="137"/>
      <c r="J48" s="143"/>
    </row>
    <row r="49" spans="1:17" ht="13.5" hidden="1" x14ac:dyDescent="0.25">
      <c r="A49" s="138">
        <f t="shared" si="13"/>
        <v>0</v>
      </c>
      <c r="B49" s="144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5"/>
      <c r="I49" s="137"/>
      <c r="J49" s="143"/>
    </row>
    <row r="50" spans="1:17" ht="13.5" hidden="1" x14ac:dyDescent="0.25">
      <c r="A50" s="138">
        <f t="shared" si="13"/>
        <v>0</v>
      </c>
      <c r="B50" s="144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144"/>
      <c r="I50" s="137"/>
      <c r="J50" s="143"/>
    </row>
    <row r="51" spans="1:17" ht="13.5" x14ac:dyDescent="0.25">
      <c r="A51" s="138">
        <v>1</v>
      </c>
      <c r="B51" s="144" t="s">
        <v>118</v>
      </c>
      <c r="C51" s="139">
        <f>+A51</f>
        <v>1</v>
      </c>
      <c r="D51" s="139" t="s">
        <v>119</v>
      </c>
      <c r="E51" s="140">
        <f>+F65</f>
        <v>77</v>
      </c>
      <c r="F51" s="140">
        <f>IFERROR(C51*E51,"")</f>
        <v>77</v>
      </c>
      <c r="G51" s="141">
        <f>IFERROR(F51/$F$66,"")</f>
        <v>5.8298082426159643E-3</v>
      </c>
      <c r="H51" s="149"/>
      <c r="I51" s="149"/>
      <c r="J51" s="143"/>
    </row>
    <row r="52" spans="1:17" ht="14.25" thickBot="1" x14ac:dyDescent="0.3">
      <c r="A52" s="138"/>
      <c r="B52" s="144"/>
      <c r="C52" s="139"/>
      <c r="D52" s="139"/>
      <c r="E52" s="140"/>
      <c r="F52" s="140"/>
      <c r="G52" s="141"/>
      <c r="H52" s="149"/>
      <c r="I52" s="149"/>
      <c r="J52" s="143"/>
    </row>
    <row r="53" spans="1:17" ht="13.5" thickBot="1" x14ac:dyDescent="0.3">
      <c r="A53" s="150"/>
      <c r="B53" s="508" t="s">
        <v>120</v>
      </c>
      <c r="C53" s="508"/>
      <c r="D53" s="508"/>
      <c r="E53" s="508"/>
      <c r="F53" s="152">
        <f>SUM(F8:F14,F17:F24)</f>
        <v>12795.080000000002</v>
      </c>
      <c r="G53" s="141">
        <f>+F53/$F$66</f>
        <v>0.96873847855754136</v>
      </c>
      <c r="H53" s="153">
        <f>+F53/$D$60</f>
        <v>12795.080000000002</v>
      </c>
      <c r="I53" s="153"/>
      <c r="J53" s="154"/>
      <c r="K53" s="155"/>
      <c r="L53" s="155"/>
      <c r="M53" s="155"/>
      <c r="N53" s="155"/>
      <c r="O53" s="155"/>
      <c r="P53" s="155"/>
      <c r="Q53" s="156"/>
    </row>
    <row r="54" spans="1:17" x14ac:dyDescent="0.2">
      <c r="A54" s="150"/>
      <c r="B54" s="508" t="s">
        <v>121</v>
      </c>
      <c r="C54" s="508"/>
      <c r="D54" s="508"/>
      <c r="E54" s="508"/>
      <c r="F54" s="152">
        <f>SUM(F27:F32,F35:F41)</f>
        <v>80</v>
      </c>
      <c r="G54" s="141">
        <f>+F54/$F$66</f>
        <v>6.0569436286919114E-3</v>
      </c>
      <c r="H54" s="153">
        <f>+F54/$D$60</f>
        <v>80</v>
      </c>
      <c r="I54" s="153"/>
      <c r="J54" s="157"/>
      <c r="K54" s="509" t="s">
        <v>122</v>
      </c>
      <c r="L54" s="510"/>
      <c r="M54" s="510"/>
      <c r="N54" s="510"/>
      <c r="O54" s="158">
        <f>+F55</f>
        <v>12875.080000000002</v>
      </c>
      <c r="P54" s="158"/>
      <c r="Q54" s="159"/>
    </row>
    <row r="55" spans="1:17" x14ac:dyDescent="0.2">
      <c r="A55" s="150"/>
      <c r="B55" s="508" t="s">
        <v>123</v>
      </c>
      <c r="C55" s="508"/>
      <c r="D55" s="508"/>
      <c r="E55" s="508"/>
      <c r="F55" s="152">
        <f>+F53+F54</f>
        <v>12875.080000000002</v>
      </c>
      <c r="G55" s="141">
        <f>+F55/$F$66</f>
        <v>0.97479542218623327</v>
      </c>
      <c r="H55" s="153">
        <f>+F55/$D$60</f>
        <v>12875.080000000002</v>
      </c>
      <c r="I55" s="153"/>
      <c r="J55" s="160"/>
      <c r="K55" s="161"/>
      <c r="M55" s="162" t="s">
        <v>124</v>
      </c>
      <c r="N55" s="163"/>
      <c r="O55" s="158">
        <f>+H56</f>
        <v>709.00000000000011</v>
      </c>
      <c r="P55" s="158"/>
      <c r="Q55" s="159"/>
    </row>
    <row r="56" spans="1:17" ht="13.5" thickBot="1" x14ac:dyDescent="0.25">
      <c r="A56" s="150"/>
      <c r="B56" s="151"/>
      <c r="C56" s="508" t="s">
        <v>125</v>
      </c>
      <c r="D56" s="508"/>
      <c r="E56" s="508"/>
      <c r="F56" s="152">
        <f>SUM(F44:F51)</f>
        <v>709.00000000000011</v>
      </c>
      <c r="G56" s="141">
        <f>+F56/$F$66</f>
        <v>5.3679662909282069E-2</v>
      </c>
      <c r="H56" s="153">
        <f>+F56/$D$60</f>
        <v>709.00000000000011</v>
      </c>
      <c r="I56" s="153"/>
      <c r="J56" s="160"/>
      <c r="K56" s="161"/>
      <c r="L56" s="161"/>
      <c r="M56" s="161" t="s">
        <v>126</v>
      </c>
      <c r="N56" s="164"/>
      <c r="O56" s="158">
        <f>O54*N56</f>
        <v>0</v>
      </c>
      <c r="P56" s="158"/>
      <c r="Q56" s="159"/>
    </row>
    <row r="57" spans="1:17" ht="13.5" thickBot="1" x14ac:dyDescent="0.25">
      <c r="A57" s="150"/>
      <c r="B57" s="165"/>
      <c r="C57" s="165"/>
      <c r="D57" s="165"/>
      <c r="E57" s="165"/>
      <c r="F57" s="166"/>
      <c r="G57" s="141"/>
      <c r="H57" s="167"/>
      <c r="I57" s="153"/>
      <c r="J57" s="160"/>
      <c r="K57" s="168"/>
      <c r="M57" s="169" t="s">
        <v>127</v>
      </c>
      <c r="N57" s="170"/>
      <c r="O57" s="171">
        <f>SUM(O54:O56)</f>
        <v>13584.080000000002</v>
      </c>
      <c r="P57" s="172"/>
      <c r="Q57" s="159"/>
    </row>
    <row r="58" spans="1:17" x14ac:dyDescent="0.2">
      <c r="B58" s="511" t="s">
        <v>128</v>
      </c>
      <c r="C58" s="511"/>
      <c r="D58" s="173">
        <v>5000</v>
      </c>
      <c r="E58" s="174"/>
      <c r="G58" s="141"/>
      <c r="H58" s="167">
        <f>+H56/77</f>
        <v>9.2077922077922096</v>
      </c>
      <c r="I58" s="175"/>
      <c r="J58" s="160"/>
      <c r="K58" s="168"/>
      <c r="L58" s="161"/>
      <c r="M58" s="161" t="s">
        <v>129</v>
      </c>
      <c r="N58" s="176"/>
      <c r="O58" s="158">
        <f>+H59</f>
        <v>764.24675324675343</v>
      </c>
      <c r="P58" s="158"/>
      <c r="Q58" s="159"/>
    </row>
    <row r="59" spans="1:17" x14ac:dyDescent="0.2">
      <c r="B59" s="511" t="s">
        <v>130</v>
      </c>
      <c r="C59" s="511"/>
      <c r="D59" s="177">
        <v>5000</v>
      </c>
      <c r="E59" s="174"/>
      <c r="G59" s="141"/>
      <c r="H59" s="167">
        <f>+H58*83</f>
        <v>764.24675324675343</v>
      </c>
      <c r="I59" s="175"/>
      <c r="J59" s="160"/>
      <c r="K59" s="168"/>
      <c r="L59" s="161"/>
      <c r="M59" s="512" t="s">
        <v>127</v>
      </c>
      <c r="N59" s="512"/>
      <c r="O59" s="158">
        <f>SUM(O57:O58)</f>
        <v>14348.326753246754</v>
      </c>
      <c r="P59" s="158"/>
      <c r="Q59" s="159"/>
    </row>
    <row r="60" spans="1:17" ht="13.5" thickBot="1" x14ac:dyDescent="0.25">
      <c r="B60" s="503" t="s">
        <v>131</v>
      </c>
      <c r="C60" s="503"/>
      <c r="D60" s="173">
        <f>+D58/D59</f>
        <v>1</v>
      </c>
      <c r="E60" s="174"/>
      <c r="F60" s="178"/>
      <c r="G60" s="141"/>
      <c r="H60" s="167"/>
      <c r="I60" s="175"/>
      <c r="J60" s="160"/>
      <c r="K60" s="168"/>
      <c r="L60" s="512"/>
      <c r="M60" s="512"/>
      <c r="N60" s="176"/>
      <c r="O60" s="158">
        <f>+O59*N60</f>
        <v>0</v>
      </c>
      <c r="P60" s="158"/>
      <c r="Q60" s="159"/>
    </row>
    <row r="61" spans="1:17" ht="13.5" thickBot="1" x14ac:dyDescent="0.25">
      <c r="B61" s="503" t="s">
        <v>132</v>
      </c>
      <c r="C61" s="503"/>
      <c r="D61" s="179"/>
      <c r="E61" s="174"/>
      <c r="F61" s="178"/>
      <c r="G61" s="141"/>
      <c r="H61" s="167"/>
      <c r="I61" s="175"/>
      <c r="J61" s="160"/>
      <c r="K61" s="504" t="s">
        <v>133</v>
      </c>
      <c r="L61" s="505"/>
      <c r="M61" s="505"/>
      <c r="N61" s="506"/>
      <c r="O61" s="171">
        <f>SUM(O59:O60)</f>
        <v>14348.326753246754</v>
      </c>
      <c r="P61" s="180" t="s">
        <v>134</v>
      </c>
      <c r="Q61" s="159"/>
    </row>
    <row r="62" spans="1:17" ht="13.5" thickBot="1" x14ac:dyDescent="0.25">
      <c r="C62" s="150" t="s">
        <v>135</v>
      </c>
      <c r="D62" s="181"/>
      <c r="E62" s="124" t="s">
        <v>136</v>
      </c>
      <c r="F62" s="182" t="s">
        <v>137</v>
      </c>
      <c r="G62" s="141"/>
      <c r="H62" s="167"/>
      <c r="I62" s="175"/>
      <c r="J62" s="183"/>
      <c r="K62" s="184"/>
      <c r="L62" s="492" t="s">
        <v>138</v>
      </c>
      <c r="M62" s="492"/>
      <c r="N62" s="492"/>
      <c r="O62" s="185">
        <f>+O61/D60</f>
        <v>14348.326753246754</v>
      </c>
      <c r="P62" s="186">
        <f>+O62/D59</f>
        <v>2.8696653506493508</v>
      </c>
      <c r="Q62" s="187"/>
    </row>
    <row r="63" spans="1:17" ht="13.5" thickBot="1" x14ac:dyDescent="0.25">
      <c r="B63" s="493" t="s">
        <v>123</v>
      </c>
      <c r="C63" s="493"/>
      <c r="D63" s="493"/>
      <c r="E63" s="188">
        <f>+F63/F63</f>
        <v>1</v>
      </c>
      <c r="F63" s="189">
        <f>SUM(F55)</f>
        <v>12875.080000000002</v>
      </c>
      <c r="G63" s="141">
        <f>+F63/$F$66</f>
        <v>0.97479542218623327</v>
      </c>
      <c r="H63" s="167"/>
      <c r="I63" s="175"/>
      <c r="K63" s="494"/>
      <c r="L63" s="495"/>
      <c r="M63" s="495"/>
      <c r="N63" s="495"/>
      <c r="O63" s="190"/>
      <c r="P63" s="191"/>
    </row>
    <row r="64" spans="1:17" ht="13.5" thickBot="1" x14ac:dyDescent="0.3">
      <c r="B64" s="496" t="s">
        <v>139</v>
      </c>
      <c r="C64" s="496"/>
      <c r="D64" s="496"/>
      <c r="E64" s="192">
        <v>0.02</v>
      </c>
      <c r="F64" s="189">
        <f>+F53*E64</f>
        <v>255.90160000000003</v>
      </c>
      <c r="G64" s="141">
        <f>+F64/$F$66</f>
        <v>1.9374769571150828E-2</v>
      </c>
      <c r="H64" s="153"/>
      <c r="I64" s="175"/>
      <c r="J64" s="193"/>
      <c r="O64" s="194"/>
      <c r="P64" s="151"/>
    </row>
    <row r="65" spans="2:13" ht="13.5" thickBot="1" x14ac:dyDescent="0.3">
      <c r="B65" s="497" t="s">
        <v>140</v>
      </c>
      <c r="C65" s="498"/>
      <c r="D65" s="195">
        <v>1</v>
      </c>
      <c r="E65" s="196">
        <v>77</v>
      </c>
      <c r="F65" s="189">
        <f>+E65*D65</f>
        <v>77</v>
      </c>
      <c r="G65" s="141">
        <f>+F65/$F$66</f>
        <v>5.8298082426159643E-3</v>
      </c>
      <c r="H65" s="153"/>
      <c r="I65" s="153"/>
      <c r="J65" s="143"/>
    </row>
    <row r="66" spans="2:13" ht="13.5" thickBot="1" x14ac:dyDescent="0.3">
      <c r="B66" s="499" t="s">
        <v>141</v>
      </c>
      <c r="C66" s="500"/>
      <c r="D66" s="500"/>
      <c r="E66" s="501"/>
      <c r="F66" s="166">
        <f>SUM(F63:F65)</f>
        <v>13207.981600000001</v>
      </c>
      <c r="G66" s="141">
        <f>+F66/$F$66</f>
        <v>1</v>
      </c>
      <c r="H66" s="502"/>
      <c r="I66" s="153"/>
      <c r="J66" s="143"/>
      <c r="M66" s="126" t="s">
        <v>142</v>
      </c>
    </row>
    <row r="67" spans="2:13" x14ac:dyDescent="0.25">
      <c r="C67" s="148"/>
      <c r="D67" s="148"/>
      <c r="E67" s="198"/>
      <c r="F67" s="189"/>
      <c r="G67" s="141"/>
      <c r="H67" s="502"/>
      <c r="I67" s="197"/>
      <c r="J67" s="126"/>
      <c r="M67" s="126" t="s">
        <v>143</v>
      </c>
    </row>
    <row r="68" spans="2:13" ht="13.5" thickBot="1" x14ac:dyDescent="0.3">
      <c r="B68" s="487" t="s">
        <v>144</v>
      </c>
      <c r="C68" s="487"/>
      <c r="D68" s="487"/>
      <c r="E68" s="487"/>
      <c r="F68" s="487"/>
      <c r="G68" s="141"/>
      <c r="H68" s="200"/>
      <c r="I68" s="197"/>
      <c r="J68" s="126"/>
      <c r="M68" s="126" t="s">
        <v>145</v>
      </c>
    </row>
    <row r="69" spans="2:13" ht="13.5" thickBot="1" x14ac:dyDescent="0.3">
      <c r="B69" s="201" t="s">
        <v>146</v>
      </c>
      <c r="C69" s="202">
        <f>+F53</f>
        <v>12795.080000000002</v>
      </c>
      <c r="D69" s="202">
        <f>+D58</f>
        <v>5000</v>
      </c>
      <c r="E69" s="203">
        <f>+C69/D69</f>
        <v>2.5590160000000002</v>
      </c>
      <c r="F69" s="141"/>
      <c r="G69" s="200"/>
      <c r="H69" s="143"/>
      <c r="I69" s="200"/>
      <c r="J69" s="126"/>
    </row>
    <row r="70" spans="2:13" x14ac:dyDescent="0.25">
      <c r="B70" s="204"/>
      <c r="C70" s="205"/>
      <c r="D70" s="206"/>
      <c r="E70" s="189"/>
      <c r="F70" s="141"/>
      <c r="G70" s="200"/>
      <c r="H70" s="143"/>
      <c r="I70" s="143"/>
      <c r="J70" s="126"/>
    </row>
    <row r="71" spans="2:13" x14ac:dyDescent="0.25">
      <c r="B71" s="201" t="s">
        <v>147</v>
      </c>
      <c r="C71" s="202">
        <f>SUM(F63:F64)</f>
        <v>13130.981600000001</v>
      </c>
      <c r="D71" s="202">
        <f>+D58</f>
        <v>5000</v>
      </c>
      <c r="E71" s="207">
        <f>+C71/D71</f>
        <v>2.62619632</v>
      </c>
      <c r="F71" s="141"/>
      <c r="G71" s="200"/>
      <c r="H71" s="143"/>
      <c r="I71" s="143"/>
      <c r="J71" s="126"/>
    </row>
    <row r="72" spans="2:13" x14ac:dyDescent="0.25">
      <c r="B72" s="201"/>
      <c r="C72" s="202"/>
      <c r="D72" s="202"/>
      <c r="E72" s="207"/>
      <c r="F72" s="141"/>
      <c r="G72" s="200"/>
      <c r="H72" s="143"/>
      <c r="I72" s="143"/>
      <c r="J72" s="126"/>
    </row>
    <row r="73" spans="2:13" ht="13.5" thickBot="1" x14ac:dyDescent="0.3">
      <c r="B73" s="201" t="s">
        <v>148</v>
      </c>
      <c r="C73" s="202">
        <f>+F65</f>
        <v>77</v>
      </c>
      <c r="D73" s="202">
        <f>+D58</f>
        <v>5000</v>
      </c>
      <c r="E73" s="207">
        <f>+C73/D73</f>
        <v>1.54E-2</v>
      </c>
      <c r="F73" s="141"/>
      <c r="G73" s="200"/>
      <c r="H73" s="143"/>
      <c r="I73" s="143"/>
      <c r="J73" s="126"/>
    </row>
    <row r="74" spans="2:13" ht="13.5" thickBot="1" x14ac:dyDescent="0.3">
      <c r="B74" s="201" t="s">
        <v>149</v>
      </c>
      <c r="C74" s="202">
        <f>+F56</f>
        <v>709.00000000000011</v>
      </c>
      <c r="D74" s="202">
        <f>+D73</f>
        <v>5000</v>
      </c>
      <c r="E74" s="203">
        <f>+C74/D74</f>
        <v>0.14180000000000001</v>
      </c>
      <c r="F74" s="141"/>
      <c r="G74" s="200"/>
      <c r="H74" s="143"/>
      <c r="I74" s="143"/>
      <c r="J74" s="126"/>
    </row>
    <row r="75" spans="2:13" ht="13.5" thickBot="1" x14ac:dyDescent="0.3">
      <c r="B75" s="165"/>
      <c r="C75" s="166"/>
      <c r="D75" s="166"/>
      <c r="E75" s="207"/>
      <c r="F75" s="141"/>
      <c r="G75" s="200"/>
      <c r="H75" s="143"/>
      <c r="I75" s="143"/>
      <c r="J75" s="126"/>
    </row>
    <row r="76" spans="2:13" ht="13.5" thickBot="1" x14ac:dyDescent="0.3">
      <c r="B76" s="201" t="s">
        <v>150</v>
      </c>
      <c r="C76" s="202">
        <f>+F54</f>
        <v>80</v>
      </c>
      <c r="D76" s="202">
        <f>+D74</f>
        <v>5000</v>
      </c>
      <c r="E76" s="203">
        <f>+C76/D76</f>
        <v>1.6E-2</v>
      </c>
      <c r="F76" s="141"/>
      <c r="G76" s="200"/>
      <c r="H76" s="143"/>
      <c r="I76" s="143"/>
      <c r="J76" s="143"/>
    </row>
    <row r="77" spans="2:13" ht="13.5" thickBot="1" x14ac:dyDescent="0.3">
      <c r="B77" s="165"/>
      <c r="C77" s="166"/>
      <c r="D77" s="166"/>
      <c r="E77" s="207"/>
      <c r="F77" s="141"/>
      <c r="G77" s="200"/>
      <c r="H77" s="143"/>
      <c r="I77" s="143"/>
    </row>
    <row r="78" spans="2:13" ht="13.5" thickBot="1" x14ac:dyDescent="0.3">
      <c r="B78" s="488" t="s">
        <v>151</v>
      </c>
      <c r="C78" s="489"/>
      <c r="D78" s="490"/>
      <c r="E78" s="203">
        <f>+E69+E74</f>
        <v>2.7008160000000001</v>
      </c>
      <c r="G78" s="141"/>
      <c r="H78" s="200"/>
      <c r="I78" s="143"/>
      <c r="J78" s="207"/>
    </row>
    <row r="79" spans="2:13" x14ac:dyDescent="0.25">
      <c r="I79" s="200"/>
      <c r="J79" s="126"/>
    </row>
    <row r="80" spans="2:13" ht="13.5" thickBot="1" x14ac:dyDescent="0.3">
      <c r="B80" s="487" t="s">
        <v>152</v>
      </c>
      <c r="C80" s="487"/>
      <c r="D80" s="487"/>
      <c r="E80" s="487"/>
      <c r="F80" s="487"/>
      <c r="G80" s="141"/>
      <c r="H80" s="200"/>
      <c r="J80" s="126"/>
    </row>
    <row r="81" spans="1:10" ht="13.5" thickBot="1" x14ac:dyDescent="0.3">
      <c r="B81" s="201" t="s">
        <v>146</v>
      </c>
      <c r="C81" s="202">
        <f>+C69</f>
        <v>12795.080000000002</v>
      </c>
      <c r="D81" s="202">
        <f>+D60</f>
        <v>1</v>
      </c>
      <c r="E81" s="203">
        <f>+C81/D81</f>
        <v>12795.080000000002</v>
      </c>
      <c r="F81" s="141"/>
      <c r="G81" s="200"/>
      <c r="H81" s="143"/>
      <c r="I81" s="200"/>
      <c r="J81" s="126"/>
    </row>
    <row r="82" spans="1:10" x14ac:dyDescent="0.25">
      <c r="B82" s="204"/>
      <c r="C82" s="205"/>
      <c r="D82" s="206"/>
      <c r="E82" s="189"/>
      <c r="F82" s="141"/>
      <c r="G82" s="200"/>
      <c r="H82" s="143"/>
      <c r="I82" s="143"/>
      <c r="J82" s="126"/>
    </row>
    <row r="83" spans="1:10" x14ac:dyDescent="0.25">
      <c r="B83" s="201" t="s">
        <v>147</v>
      </c>
      <c r="C83" s="202">
        <f>+C71</f>
        <v>13130.981600000001</v>
      </c>
      <c r="D83" s="202">
        <f>+D60</f>
        <v>1</v>
      </c>
      <c r="E83" s="207">
        <f>+C83/D83</f>
        <v>13130.981600000001</v>
      </c>
      <c r="F83" s="141"/>
      <c r="G83" s="200"/>
      <c r="H83" s="143"/>
      <c r="I83" s="143"/>
      <c r="J83" s="126"/>
    </row>
    <row r="84" spans="1:10" x14ac:dyDescent="0.25">
      <c r="B84" s="201"/>
      <c r="C84" s="202"/>
      <c r="D84" s="202"/>
      <c r="E84" s="207"/>
      <c r="F84" s="141"/>
      <c r="G84" s="200"/>
      <c r="H84" s="143"/>
      <c r="I84" s="143"/>
      <c r="J84" s="126"/>
    </row>
    <row r="85" spans="1:10" ht="13.5" thickBot="1" x14ac:dyDescent="0.3">
      <c r="B85" s="201" t="s">
        <v>149</v>
      </c>
      <c r="C85" s="202">
        <f>+C73</f>
        <v>77</v>
      </c>
      <c r="D85" s="202">
        <f>+D60</f>
        <v>1</v>
      </c>
      <c r="E85" s="207">
        <f>+C85/D85</f>
        <v>77</v>
      </c>
      <c r="F85" s="209"/>
      <c r="G85" s="199"/>
      <c r="H85" s="125"/>
      <c r="I85" s="143"/>
    </row>
    <row r="86" spans="1:10" ht="13.5" thickBot="1" x14ac:dyDescent="0.3">
      <c r="B86" s="201" t="s">
        <v>149</v>
      </c>
      <c r="C86" s="202">
        <f>+C74</f>
        <v>709.00000000000011</v>
      </c>
      <c r="D86" s="202">
        <f>+D85</f>
        <v>1</v>
      </c>
      <c r="E86" s="203">
        <f>+C86/D86</f>
        <v>709.00000000000011</v>
      </c>
      <c r="F86" s="208"/>
      <c r="G86" s="199"/>
      <c r="H86" s="125"/>
      <c r="I86" s="125"/>
    </row>
    <row r="87" spans="1:10" x14ac:dyDescent="0.25">
      <c r="I87" s="125"/>
    </row>
    <row r="88" spans="1:10" x14ac:dyDescent="0.2">
      <c r="A88" s="491"/>
      <c r="B88" s="491"/>
      <c r="C88" s="210"/>
      <c r="D88" s="210"/>
      <c r="E88" s="211"/>
      <c r="G88" s="212"/>
    </row>
    <row r="89" spans="1:10" x14ac:dyDescent="0.2">
      <c r="A89" s="144"/>
      <c r="B89" s="213"/>
      <c r="C89" s="214"/>
      <c r="D89" s="214"/>
      <c r="E89" s="215"/>
      <c r="G89" s="212"/>
    </row>
    <row r="90" spans="1:10" x14ac:dyDescent="0.2">
      <c r="A90" s="144"/>
      <c r="B90" s="213"/>
      <c r="C90" s="216"/>
      <c r="D90" s="216"/>
      <c r="E90" s="144"/>
      <c r="G90" s="212"/>
    </row>
    <row r="91" spans="1:10" x14ac:dyDescent="0.2">
      <c r="A91" s="144"/>
      <c r="B91" s="213"/>
      <c r="C91" s="217"/>
      <c r="D91" s="217"/>
      <c r="E91" s="144"/>
      <c r="G91" s="212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B64:D64"/>
    <mergeCell ref="B65:C65"/>
    <mergeCell ref="A88:B88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80674CA-59D9-40C5-87BF-B956D75E2A0B}"/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Cake Box Piña Colada</vt:lpstr>
      <vt:lpstr>Cake Box Piña Colada 2</vt:lpstr>
      <vt:lpstr>Costo Cake Box</vt:lpstr>
      <vt:lpstr>Rosquete Arrollado</vt:lpstr>
      <vt:lpstr>Batido Arrollado</vt:lpstr>
      <vt:lpstr>Premezcla Batido Arrollado</vt:lpstr>
      <vt:lpstr>Almibar</vt:lpstr>
      <vt:lpstr>Costo coco Tostado</vt:lpstr>
      <vt:lpstr>COSTO cOCO TOSTADO CON CHOCO</vt:lpstr>
      <vt:lpstr>Crema Passionata de Coco </vt:lpstr>
      <vt:lpstr>Costo Crema Passionata Coco </vt:lpstr>
      <vt:lpstr>Topping de Piña y Coco</vt:lpstr>
      <vt:lpstr>Costo Topping Piña </vt:lpstr>
      <vt:lpstr>Costo Relleno Piña y coco</vt:lpstr>
      <vt:lpstr>Costo Salsa Piña </vt:lpstr>
      <vt:lpstr>Empaque Salsa de Piña </vt:lpstr>
      <vt:lpstr>Costo Empaq salsa Piña</vt:lpstr>
      <vt:lpstr>'Empaque Salsa de Piña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2026-02-10T20:55:53Z</cp:lastPrinted>
  <dcterms:created xsi:type="dcterms:W3CDTF">2025-01-06T20:55:42Z</dcterms:created>
  <dcterms:modified xsi:type="dcterms:W3CDTF">2026-02-10T20:55:55Z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
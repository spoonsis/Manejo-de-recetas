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9044164A-DDB0-4B12-8DD6-A6CA0D2C9F88}" xr6:coauthVersionLast="47" xr6:coauthVersionMax="47" xr10:uidLastSave="{CA972F44-A5D4-4F8B-8195-A26BE924BBE3}"/>
  <bookViews>
    <workbookView xWindow="-120" yWindow="-120" windowWidth="20730" windowHeight="11040" xr2:uid="{F11CCAA8-7605-42F2-9C68-2CDE7DF67642}"/>
  </bookViews>
  <sheets>
    <sheet name="Pelado " sheetId="1" r:id="rId1"/>
  </sheets>
  <definedNames>
    <definedName name="_xlnm.Print_Area" localSheetId="0">'Pelado 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0" i="1" l="1"/>
  <c r="D24" i="1"/>
</calcChain>
</file>

<file path=xl/sharedStrings.xml><?xml version="1.0" encoding="utf-8"?>
<sst xmlns="http://schemas.openxmlformats.org/spreadsheetml/2006/main" count="66" uniqueCount="57">
  <si>
    <t>3-Llevar al Frio hasta Utilizar</t>
  </si>
  <si>
    <t>2- Tapar, Etiquetar con fecha de vencimiento y etiqueta con nombre.</t>
  </si>
  <si>
    <t>1-Pelar los chocolate choys y Separar en una bandeja.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</si>
  <si>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</si>
  <si>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</si>
  <si>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</si>
  <si>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</si>
  <si>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</si>
  <si>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</si>
  <si>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</si>
  <si>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</si>
  <si>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</si>
  <si>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</si>
  <si>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</si>
  <si>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</si>
  <si>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</si>
  <si>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</si>
  <si>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</si>
  <si>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cemusa</t>
  </si>
  <si>
    <t>ETIQUETA BLANCA 2 5/8X1 15/16 (UND)</t>
  </si>
  <si>
    <t>EM10011</t>
  </si>
  <si>
    <t>0702123</t>
  </si>
  <si>
    <t>Plasticos P</t>
  </si>
  <si>
    <t>BOLSA TRANSPARENTE 56X96X1.80 (KILO)</t>
  </si>
  <si>
    <t>AS00028</t>
  </si>
  <si>
    <t>Empaque</t>
  </si>
  <si>
    <t>Decoración</t>
  </si>
  <si>
    <t>28 unidades</t>
  </si>
  <si>
    <t>NACIONAL</t>
  </si>
  <si>
    <t>Chocolate Choys de Maiz Inflado</t>
  </si>
  <si>
    <t>MP10947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</si>
  <si>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</si>
  <si>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</si>
  <si>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</si>
  <si>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</si>
  <si>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</si>
  <si>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</si>
  <si>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</si>
  <si>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</si>
  <si>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</si>
  <si>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</si>
  <si>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</si>
  <si>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</si>
  <si>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>AREA QUE PRODUCE:</t>
  </si>
  <si>
    <t>Sebastian Díaz, Gte Manufactura</t>
  </si>
  <si>
    <t>Aprobado</t>
  </si>
  <si>
    <t>Mariela Barrantes, Chef</t>
  </si>
  <si>
    <t>Elaborado</t>
  </si>
  <si>
    <t>FECHA DE APROBACIÓN:</t>
  </si>
  <si>
    <t>SE00845 Pelado chocolate Choys</t>
  </si>
  <si>
    <t>REVISIÓN:</t>
  </si>
  <si>
    <t>ESPECIFICACION DE RECETA</t>
  </si>
  <si>
    <t>CÓDIGO:</t>
  </si>
  <si>
    <t>SERVICIOS DE PASTELERIA S.A.</t>
  </si>
  <si>
    <t>01</t>
  </si>
  <si>
    <t>CONTROL DE CAMBIOS</t>
  </si>
  <si>
    <t>ESP-RE-DES-104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</si>
</sst>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8"/>
      <name val="Century Gothic"/>
      <family val="2"/>
    </font>
    <font>
      <b/>
      <sz val="14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</cellStyleXfs>
  <cellXfs count="145">
    <xf numFmtId="0" fontId="0" fillId="0" borderId="0" xfId="0"/>
    <xf numFmtId="0" fontId="3" fillId="2" borderId="1" xfId="2" applyFont="1" applyFill="1" applyBorder="1" applyAlignment="1">
      <alignment horizontal="left"/>
    </xf>
    <xf numFmtId="0" fontId="5" fillId="3" borderId="13" xfId="3" applyFont="1" applyFill="1" applyBorder="1" applyAlignment="1">
      <alignment horizontal="center"/>
    </xf>
    <xf numFmtId="0" fontId="5" fillId="3" borderId="14" xfId="3" applyFont="1" applyFill="1" applyBorder="1" applyAlignment="1">
      <alignment horizontal="center"/>
    </xf>
    <xf numFmtId="0" fontId="5" fillId="3" borderId="15" xfId="3" applyFont="1" applyFill="1" applyBorder="1" applyAlignment="1">
      <alignment horizontal="center"/>
    </xf>
    <xf numFmtId="164" fontId="3" fillId="0" borderId="7" xfId="3" applyNumberFormat="1" applyFont="1" applyBorder="1" applyAlignment="1">
      <alignment horizontal="center"/>
    </xf>
    <xf numFmtId="164" fontId="3" fillId="0" borderId="4" xfId="3" applyNumberFormat="1" applyFont="1" applyBorder="1" applyAlignment="1">
      <alignment horizontal="center"/>
    </xf>
    <xf numFmtId="0" fontId="3" fillId="0" borderId="16" xfId="3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0" borderId="16" xfId="3" applyFont="1" applyBorder="1" applyAlignment="1">
      <alignment horizontal="right"/>
    </xf>
    <xf numFmtId="0" fontId="5" fillId="0" borderId="17" xfId="3" applyFont="1" applyBorder="1" applyAlignment="1">
      <alignment horizontal="right"/>
    </xf>
    <xf numFmtId="0" fontId="5" fillId="0" borderId="18" xfId="3" applyFont="1" applyBorder="1" applyAlignment="1">
      <alignment horizontal="right"/>
    </xf>
    <xf numFmtId="164" fontId="3" fillId="0" borderId="7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  <xf numFmtId="164" fontId="3" fillId="0" borderId="2" xfId="3" applyNumberFormat="1" applyFont="1" applyBorder="1" applyAlignment="1">
      <alignment horizontal="right" wrapText="1"/>
    </xf>
    <xf numFmtId="164" fontId="3" fillId="0" borderId="4" xfId="3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5" fillId="0" borderId="2" xfId="3" applyFont="1" applyBorder="1" applyAlignment="1">
      <alignment horizontal="right"/>
    </xf>
    <xf numFmtId="0" fontId="5" fillId="0" borderId="3" xfId="3" applyFont="1" applyBorder="1" applyAlignment="1">
      <alignment horizontal="right"/>
    </xf>
    <xf numFmtId="0" fontId="5" fillId="0" borderId="8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0" fontId="3" fillId="2" borderId="19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164" fontId="3" fillId="0" borderId="21" xfId="3" applyNumberFormat="1" applyFont="1" applyBorder="1" applyAlignment="1">
      <alignment horizontal="right"/>
    </xf>
    <xf numFmtId="0" fontId="3" fillId="0" borderId="20" xfId="0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5" fillId="0" borderId="22" xfId="3" applyFont="1" applyBorder="1" applyAlignment="1">
      <alignment horizontal="right"/>
    </xf>
    <xf numFmtId="0" fontId="5" fillId="0" borderId="23" xfId="3" applyFont="1" applyBorder="1" applyAlignment="1">
      <alignment horizontal="right"/>
    </xf>
    <xf numFmtId="0" fontId="5" fillId="0" borderId="24" xfId="3" applyFont="1" applyBorder="1" applyAlignment="1">
      <alignment horizontal="right"/>
    </xf>
    <xf numFmtId="0" fontId="3" fillId="3" borderId="13" xfId="3" applyFont="1" applyFill="1" applyBorder="1" applyAlignment="1">
      <alignment horizontal="center"/>
    </xf>
    <xf numFmtId="0" fontId="3" fillId="3" borderId="14" xfId="3" applyFont="1" applyFill="1" applyBorder="1"/>
    <xf numFmtId="164" fontId="3" fillId="3" borderId="14" xfId="3" applyNumberFormat="1" applyFont="1" applyFill="1" applyBorder="1" applyAlignment="1">
      <alignment horizontal="center" wrapText="1"/>
    </xf>
    <xf numFmtId="1" fontId="5" fillId="3" borderId="14" xfId="3" applyNumberFormat="1" applyFont="1" applyFill="1" applyBorder="1" applyAlignment="1">
      <alignment horizontal="center"/>
    </xf>
    <xf numFmtId="0" fontId="5" fillId="3" borderId="14" xfId="3" applyFont="1" applyFill="1" applyBorder="1" applyAlignment="1">
      <alignment horizontal="center"/>
    </xf>
    <xf numFmtId="0" fontId="3" fillId="3" borderId="14" xfId="3" applyFont="1" applyFill="1" applyBorder="1" applyAlignment="1">
      <alignment horizontal="center"/>
    </xf>
    <xf numFmtId="0" fontId="3" fillId="3" borderId="15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0" fontId="3" fillId="2" borderId="0" xfId="3" applyFont="1" applyFill="1"/>
    <xf numFmtId="164" fontId="3" fillId="2" borderId="0" xfId="3" applyNumberFormat="1" applyFont="1" applyFill="1" applyAlignment="1">
      <alignment horizontal="center" wrapText="1"/>
    </xf>
    <xf numFmtId="1" fontId="3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6" xfId="3" applyNumberFormat="1" applyFont="1" applyFill="1" applyBorder="1" applyAlignment="1">
      <alignment horizontal="center" vertical="center"/>
    </xf>
    <xf numFmtId="0" fontId="3" fillId="0" borderId="5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49" fontId="3" fillId="0" borderId="1" xfId="3" applyNumberFormat="1" applyFont="1" applyBorder="1"/>
    <xf numFmtId="49" fontId="3" fillId="0" borderId="2" xfId="3" applyNumberFormat="1" applyFont="1" applyBorder="1" applyAlignment="1">
      <alignment horizontal="center"/>
    </xf>
    <xf numFmtId="49" fontId="3" fillId="0" borderId="6" xfId="3" applyNumberFormat="1" applyFont="1" applyBorder="1" applyAlignment="1">
      <alignment horizontal="center"/>
    </xf>
    <xf numFmtId="1" fontId="5" fillId="0" borderId="1" xfId="3" applyNumberFormat="1" applyFont="1" applyBorder="1" applyAlignment="1">
      <alignment horizontal="center" wrapText="1"/>
    </xf>
    <xf numFmtId="165" fontId="5" fillId="4" borderId="1" xfId="1" applyNumberFormat="1" applyFont="1" applyFill="1" applyBorder="1" applyAlignment="1">
      <alignment horizontal="center"/>
    </xf>
    <xf numFmtId="0" fontId="7" fillId="0" borderId="0" xfId="0" applyFont="1"/>
    <xf numFmtId="1" fontId="5" fillId="0" borderId="1" xfId="3" applyNumberFormat="1" applyFont="1" applyBorder="1" applyAlignment="1">
      <alignment horizontal="center"/>
    </xf>
    <xf numFmtId="166" fontId="5" fillId="0" borderId="1" xfId="3" applyNumberFormat="1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0" fontId="8" fillId="4" borderId="1" xfId="3" applyFont="1" applyFill="1" applyBorder="1" applyAlignment="1">
      <alignment vertical="center"/>
    </xf>
    <xf numFmtId="1" fontId="3" fillId="0" borderId="1" xfId="0" applyNumberFormat="1" applyFont="1" applyBorder="1" applyAlignment="1">
      <alignment horizontal="center" wrapText="1"/>
    </xf>
    <xf numFmtId="16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5" fillId="0" borderId="21" xfId="3" applyNumberFormat="1" applyFont="1" applyBorder="1" applyAlignment="1">
      <alignment horizontal="center"/>
    </xf>
    <xf numFmtId="1" fontId="3" fillId="0" borderId="21" xfId="3" applyNumberFormat="1" applyFont="1" applyBorder="1" applyAlignment="1">
      <alignment horizontal="center" wrapText="1"/>
    </xf>
    <xf numFmtId="166" fontId="3" fillId="0" borderId="21" xfId="3" applyNumberFormat="1" applyFont="1" applyBorder="1" applyAlignment="1">
      <alignment horizontal="center"/>
    </xf>
    <xf numFmtId="0" fontId="3" fillId="0" borderId="21" xfId="3" applyFont="1" applyBorder="1" applyAlignment="1">
      <alignment horizontal="center"/>
    </xf>
    <xf numFmtId="0" fontId="5" fillId="4" borderId="21" xfId="3" applyFont="1" applyFill="1" applyBorder="1" applyAlignment="1">
      <alignment horizontal="left"/>
    </xf>
    <xf numFmtId="12" fontId="3" fillId="0" borderId="2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2" fontId="3" fillId="0" borderId="21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 wrapText="1"/>
    </xf>
    <xf numFmtId="0" fontId="7" fillId="4" borderId="6" xfId="0" applyFont="1" applyFill="1" applyBorder="1" applyAlignment="1">
      <alignment horizontal="center"/>
    </xf>
    <xf numFmtId="0" fontId="5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5" fillId="0" borderId="2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11" fillId="3" borderId="29" xfId="3" applyFont="1" applyFill="1" applyBorder="1" applyAlignment="1">
      <alignment horizontal="center"/>
    </xf>
    <xf numFmtId="1" fontId="11" fillId="3" borderId="16" xfId="3" applyNumberFormat="1" applyFont="1" applyFill="1" applyBorder="1" applyAlignment="1">
      <alignment horizontal="center" wrapText="1"/>
    </xf>
    <xf numFmtId="1" fontId="11" fillId="3" borderId="16" xfId="3" applyNumberFormat="1" applyFont="1" applyFill="1" applyBorder="1" applyAlignment="1">
      <alignment horizontal="center"/>
    </xf>
    <xf numFmtId="0" fontId="11" fillId="3" borderId="16" xfId="3" applyFont="1" applyFill="1" applyBorder="1" applyAlignment="1">
      <alignment horizontal="center" vertical="center"/>
    </xf>
    <xf numFmtId="0" fontId="11" fillId="3" borderId="18" xfId="3" applyFont="1" applyFill="1" applyBorder="1" applyAlignment="1">
      <alignment horizontal="center" vertical="center" wrapText="1"/>
    </xf>
    <xf numFmtId="0" fontId="11" fillId="3" borderId="18" xfId="3" applyFont="1" applyFill="1" applyBorder="1" applyAlignment="1">
      <alignment horizontal="center" vertical="center"/>
    </xf>
    <xf numFmtId="0" fontId="11" fillId="3" borderId="9" xfId="3" applyFont="1" applyFill="1" applyBorder="1" applyAlignment="1">
      <alignment horizontal="center" vertical="center" wrapText="1"/>
    </xf>
    <xf numFmtId="0" fontId="11" fillId="3" borderId="10" xfId="3" applyFont="1" applyFill="1" applyBorder="1" applyAlignment="1">
      <alignment horizontal="center" vertical="center"/>
    </xf>
    <xf numFmtId="0" fontId="11" fillId="3" borderId="12" xfId="3" applyFont="1" applyFill="1" applyBorder="1" applyAlignment="1">
      <alignment horizontal="center" vertical="center" wrapText="1"/>
    </xf>
    <xf numFmtId="0" fontId="11" fillId="3" borderId="12" xfId="3" applyFont="1" applyFill="1" applyBorder="1" applyAlignment="1">
      <alignment horizontal="center" vertical="center"/>
    </xf>
    <xf numFmtId="14" fontId="12" fillId="2" borderId="0" xfId="2" applyNumberFormat="1" applyFont="1" applyFill="1" applyAlignment="1">
      <alignment horizontal="center" vertical="center" wrapText="1"/>
    </xf>
    <xf numFmtId="0" fontId="10" fillId="2" borderId="0" xfId="2" applyFont="1" applyFill="1"/>
    <xf numFmtId="0" fontId="12" fillId="2" borderId="30" xfId="2" applyFont="1" applyFill="1" applyBorder="1" applyAlignment="1">
      <alignment horizontal="center"/>
    </xf>
    <xf numFmtId="0" fontId="10" fillId="2" borderId="0" xfId="2" applyFont="1" applyFill="1" applyAlignment="1">
      <alignment horizontal="right"/>
    </xf>
    <xf numFmtId="14" fontId="13" fillId="2" borderId="31" xfId="2" applyNumberFormat="1" applyFont="1" applyFill="1" applyBorder="1" applyAlignment="1">
      <alignment horizontal="center" vertical="center" wrapText="1"/>
    </xf>
    <xf numFmtId="0" fontId="11" fillId="2" borderId="32" xfId="2" applyFont="1" applyFill="1" applyBorder="1" applyAlignment="1">
      <alignment horizontal="right" vertical="top" wrapText="1"/>
    </xf>
    <xf numFmtId="0" fontId="13" fillId="2" borderId="2" xfId="2" applyFont="1" applyFill="1" applyBorder="1" applyAlignment="1">
      <alignment horizontal="left"/>
    </xf>
    <xf numFmtId="0" fontId="13" fillId="2" borderId="3" xfId="2" applyFont="1" applyFill="1" applyBorder="1" applyAlignment="1">
      <alignment horizontal="left"/>
    </xf>
    <xf numFmtId="0" fontId="13" fillId="2" borderId="4" xfId="2" applyFont="1" applyFill="1" applyBorder="1" applyAlignment="1">
      <alignment horizontal="left"/>
    </xf>
    <xf numFmtId="0" fontId="13" fillId="2" borderId="1" xfId="2" applyFont="1" applyFill="1" applyBorder="1" applyAlignment="1">
      <alignment horizontal="right"/>
    </xf>
    <xf numFmtId="0" fontId="13" fillId="2" borderId="23" xfId="2" applyFont="1" applyFill="1" applyBorder="1" applyAlignment="1">
      <alignment horizontal="center"/>
    </xf>
    <xf numFmtId="0" fontId="13" fillId="2" borderId="24" xfId="2" applyFont="1" applyFill="1" applyBorder="1" applyAlignment="1">
      <alignment horizontal="center"/>
    </xf>
    <xf numFmtId="14" fontId="13" fillId="2" borderId="33" xfId="2" applyNumberFormat="1" applyFont="1" applyFill="1" applyBorder="1" applyAlignment="1">
      <alignment horizontal="center" vertical="center" wrapText="1"/>
    </xf>
    <xf numFmtId="0" fontId="11" fillId="2" borderId="34" xfId="2" applyFont="1" applyFill="1" applyBorder="1" applyAlignment="1">
      <alignment horizontal="right" vertical="top" wrapText="1"/>
    </xf>
    <xf numFmtId="0" fontId="13" fillId="2" borderId="11" xfId="2" applyFont="1" applyFill="1" applyBorder="1" applyAlignment="1">
      <alignment horizontal="left"/>
    </xf>
    <xf numFmtId="0" fontId="13" fillId="2" borderId="35" xfId="2" applyFont="1" applyFill="1" applyBorder="1" applyAlignment="1">
      <alignment horizontal="left"/>
    </xf>
    <xf numFmtId="0" fontId="13" fillId="2" borderId="36" xfId="2" applyFont="1" applyFill="1" applyBorder="1" applyAlignment="1">
      <alignment horizontal="left"/>
    </xf>
    <xf numFmtId="0" fontId="13" fillId="2" borderId="21" xfId="2" applyFont="1" applyFill="1" applyBorder="1" applyAlignment="1">
      <alignment horizontal="right"/>
    </xf>
    <xf numFmtId="0" fontId="13" fillId="2" borderId="0" xfId="2" applyFont="1" applyFill="1" applyAlignment="1">
      <alignment horizontal="center"/>
    </xf>
    <xf numFmtId="0" fontId="13" fillId="2" borderId="26" xfId="2" applyFont="1" applyFill="1" applyBorder="1" applyAlignment="1">
      <alignment horizontal="center"/>
    </xf>
    <xf numFmtId="14" fontId="13" fillId="2" borderId="37" xfId="2" applyNumberFormat="1" applyFont="1" applyFill="1" applyBorder="1" applyAlignment="1">
      <alignment horizontal="center" vertical="center" wrapText="1"/>
    </xf>
    <xf numFmtId="0" fontId="11" fillId="2" borderId="38" xfId="2" applyFont="1" applyFill="1" applyBorder="1" applyAlignment="1">
      <alignment horizontal="right" vertical="top" wrapText="1"/>
    </xf>
    <xf numFmtId="0" fontId="9" fillId="5" borderId="13" xfId="2" applyFont="1" applyFill="1" applyBorder="1" applyAlignment="1">
      <alignment horizontal="center" vertical="center" wrapText="1"/>
    </xf>
    <xf numFmtId="0" fontId="9" fillId="5" borderId="14" xfId="2" applyFont="1" applyFill="1" applyBorder="1" applyAlignment="1">
      <alignment horizontal="center" vertical="center" wrapText="1"/>
    </xf>
    <xf numFmtId="0" fontId="9" fillId="5" borderId="15" xfId="2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0" fontId="11" fillId="2" borderId="1" xfId="2" applyFont="1" applyFill="1" applyBorder="1" applyAlignment="1">
      <alignment horizontal="right"/>
    </xf>
    <xf numFmtId="0" fontId="14" fillId="2" borderId="17" xfId="2" applyFont="1" applyFill="1" applyBorder="1" applyAlignment="1">
      <alignment horizontal="center"/>
    </xf>
    <xf numFmtId="0" fontId="14" fillId="2" borderId="39" xfId="2" applyFont="1" applyFill="1" applyBorder="1" applyAlignment="1">
      <alignment horizontal="center"/>
    </xf>
    <xf numFmtId="0" fontId="14" fillId="2" borderId="40" xfId="2" applyFont="1" applyFill="1" applyBorder="1" applyAlignment="1">
      <alignment horizontal="center"/>
    </xf>
    <xf numFmtId="0" fontId="13" fillId="2" borderId="9" xfId="2" applyFont="1" applyFill="1" applyBorder="1" applyAlignment="1">
      <alignment horizontal="center"/>
    </xf>
    <xf numFmtId="0" fontId="11" fillId="2" borderId="10" xfId="2" applyFont="1" applyFill="1" applyBorder="1" applyAlignment="1">
      <alignment horizontal="right"/>
    </xf>
    <xf numFmtId="0" fontId="14" fillId="2" borderId="10" xfId="2" applyFont="1" applyFill="1" applyBorder="1" applyAlignment="1">
      <alignment horizontal="center"/>
    </xf>
    <xf numFmtId="0" fontId="13" fillId="2" borderId="41" xfId="2" applyFont="1" applyFill="1" applyBorder="1" applyAlignment="1">
      <alignment horizontal="center"/>
    </xf>
    <xf numFmtId="0" fontId="13" fillId="2" borderId="42" xfId="2" applyFont="1" applyFill="1" applyBorder="1" applyAlignment="1">
      <alignment horizontal="center"/>
    </xf>
    <xf numFmtId="0" fontId="5" fillId="6" borderId="1" xfId="2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6" fontId="3" fillId="0" borderId="27" xfId="3" applyNumberFormat="1" applyFont="1" applyBorder="1" applyAlignment="1">
      <alignment horizontal="center"/>
    </xf>
    <xf numFmtId="1" fontId="3" fillId="4" borderId="27" xfId="0" applyNumberFormat="1" applyFont="1" applyFill="1" applyBorder="1" applyAlignment="1">
      <alignment horizontal="center"/>
    </xf>
    <xf numFmtId="1" fontId="3" fillId="4" borderId="27" xfId="0" applyNumberFormat="1" applyFont="1" applyFill="1" applyBorder="1" applyAlignment="1">
      <alignment horizontal="center" wrapText="1"/>
    </xf>
    <xf numFmtId="0" fontId="3" fillId="4" borderId="1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vertical="center" wrapText="1"/>
    </xf>
    <xf numFmtId="0" fontId="7" fillId="0" borderId="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7" fillId="0" borderId="4" xfId="0" applyFont="1" applyBorder="1"/>
    <xf numFmtId="0" fontId="7" fillId="0" borderId="3" xfId="0" applyFont="1" applyBorder="1"/>
    <xf numFmtId="0" fontId="7" fillId="0" borderId="2" xfId="0" applyFont="1" applyBorder="1"/>
    <xf numFmtId="49" fontId="5" fillId="0" borderId="1" xfId="3" applyNumberFormat="1" applyFont="1" applyBorder="1" applyAlignment="1">
      <alignment horizontal="center"/>
    </xf>
    <xf numFmtId="0" fontId="3" fillId="4" borderId="1" xfId="2" applyFont="1" applyFill="1" applyBorder="1" applyAlignment="1">
      <alignment vertical="center" wrapText="1"/>
    </xf>
  </cellXfs>
  <cellStyles count="4">
    <cellStyle name="Millares" xfId="1" builtinId="3"/>
    <cellStyle name="Normal" xfId="0" builtinId="0"/>
    <cellStyle name="Normal 2" xfId="3" xr:uid="{5C93875C-1CDE-4E96-80E3-6F69A56664C2}"/>
    <cellStyle name="Normal_CRITERIOS DE EVALUACION PT DE GB 2" xfId="2" xr:uid="{8C1F80D7-A511-4620-B730-C3EC1667E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119226</xdr:colOff>
      <xdr:row>0</xdr:row>
      <xdr:rowOff>148907</xdr:rowOff>
    </xdr:from>
    <xdr:ext cx="1965272" cy="886936"/>
    <xdr:pic>
      <xdr:nvPicPr>
        <xdr:cNvPr id="2" name="Imagen 1">
          <a:extLst>
            <a:ext uri="{FF2B5EF4-FFF2-40B4-BE49-F238E27FC236}">
              <a16:creationId xmlns:a16="http://schemas.microsoft.com/office/drawing/2014/main" id="{E3FAD021-9DB0-4D9F-BE24-7B73BCE4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26" y="148907"/>
          <a:ext cx="1965272" cy="886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7C0A-5353-4DF1-B0A0-4531059675D0}">
  <sheetPr>
    <pageSetUpPr fitToPage="1"/>
  </sheetPr>
  <dimension ref="A1:J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140625" customWidth="1"/>
    <col min="2" max="2" width="17.28515625" customWidth="1"/>
    <col min="3" max="3" width="61.7109375" customWidth="1"/>
    <col min="4" max="4" width="19" customWidth="1"/>
    <col min="5" max="5" width="14.28515625" customWidth="1"/>
    <col min="6" max="6" width="12.140625" customWidth="1"/>
    <col min="7" max="7" width="21.42578125" customWidth="1"/>
    <col min="8" max="8" width="17.42578125" customWidth="1"/>
    <col min="9" max="9" width="17.140625" customWidth="1"/>
  </cols>
  <sheetData>
    <row r="1" spans="1:9" ht="15.75" x14ac:dyDescent="0.25">
      <c r="A1" s="119"/>
      <c r="B1" s="118"/>
      <c r="C1" s="117" t="s">
        <v>53</v>
      </c>
      <c r="D1" s="117"/>
      <c r="E1" s="117"/>
      <c r="F1" s="117"/>
      <c r="G1" s="117"/>
      <c r="H1" s="116" t="s">
        <v>52</v>
      </c>
      <c r="I1" s="115" t="s">
        <v>56</v>
      </c>
    </row>
    <row r="2" spans="1:9" ht="16.5" thickBot="1" x14ac:dyDescent="0.3">
      <c r="A2" s="104"/>
      <c r="B2" s="103"/>
      <c r="C2" s="114" t="s">
        <v>51</v>
      </c>
      <c r="D2" s="113"/>
      <c r="E2" s="113"/>
      <c r="F2" s="113"/>
      <c r="G2" s="112"/>
      <c r="H2" s="111" t="s">
        <v>50</v>
      </c>
      <c r="I2" s="110" t="s">
        <v>54</v>
      </c>
    </row>
    <row r="3" spans="1:9" ht="27.75" customHeight="1" thickBot="1" x14ac:dyDescent="0.3">
      <c r="A3" s="104"/>
      <c r="B3" s="103"/>
      <c r="C3" s="109" t="s">
        <v>49</v>
      </c>
      <c r="D3" s="108"/>
      <c r="E3" s="108"/>
      <c r="F3" s="108"/>
      <c r="G3" s="107"/>
      <c r="H3" s="106" t="s">
        <v>48</v>
      </c>
      <c r="I3" s="105">
        <v>46148</v>
      </c>
    </row>
    <row r="4" spans="1:9" ht="18" customHeight="1" x14ac:dyDescent="0.25">
      <c r="A4" s="104"/>
      <c r="B4" s="103"/>
      <c r="C4" s="102" t="s">
        <v>47</v>
      </c>
      <c r="D4" s="101" t="s">
        <v>46</v>
      </c>
      <c r="E4" s="100"/>
      <c r="F4" s="100"/>
      <c r="G4" s="99"/>
      <c r="H4" s="98"/>
      <c r="I4" s="97"/>
    </row>
    <row r="5" spans="1:9" ht="15.75" thickBot="1" x14ac:dyDescent="0.3">
      <c r="A5" s="96"/>
      <c r="B5" s="95"/>
      <c r="C5" s="94" t="s">
        <v>45</v>
      </c>
      <c r="D5" s="93" t="s">
        <v>44</v>
      </c>
      <c r="E5" s="92"/>
      <c r="F5" s="92"/>
      <c r="G5" s="91"/>
      <c r="H5" s="90"/>
      <c r="I5" s="89"/>
    </row>
    <row r="6" spans="1:9" ht="18.75" thickBot="1" x14ac:dyDescent="0.3">
      <c r="A6" s="88" t="s">
        <v>43</v>
      </c>
      <c r="B6" s="88"/>
      <c r="C6" s="88"/>
      <c r="D6" s="87" t="s">
        <v>41</v>
      </c>
      <c r="E6" s="87"/>
      <c r="F6" s="87"/>
      <c r="G6" s="86" t="s">
        <v>42</v>
      </c>
      <c r="H6" s="86"/>
      <c r="I6" s="85" t="s">
        <v>41</v>
      </c>
    </row>
    <row r="7" spans="1:9" ht="31.5" customHeight="1" x14ac:dyDescent="0.25">
      <c r="A7" s="84" t="s">
        <v>40</v>
      </c>
      <c r="B7" s="83" t="s">
        <v>39</v>
      </c>
      <c r="C7" s="82" t="s">
        <v>38</v>
      </c>
      <c r="D7" s="82" t="s">
        <v>37</v>
      </c>
      <c r="E7" s="82" t="s">
        <v>36</v>
      </c>
      <c r="F7" s="82"/>
      <c r="G7" s="82" t="s">
        <v>35</v>
      </c>
      <c r="H7" s="82"/>
      <c r="I7" s="81" t="s">
        <v>34</v>
      </c>
    </row>
    <row r="8" spans="1:9" ht="27" thickBot="1" x14ac:dyDescent="0.3">
      <c r="A8" s="80"/>
      <c r="B8" s="79"/>
      <c r="C8" s="78"/>
      <c r="D8" s="78"/>
      <c r="E8" s="77" t="s">
        <v>17</v>
      </c>
      <c r="F8" s="76" t="s">
        <v>33</v>
      </c>
      <c r="G8" s="77" t="s">
        <v>17</v>
      </c>
      <c r="H8" s="76" t="s">
        <v>33</v>
      </c>
      <c r="I8" s="75" t="s">
        <v>32</v>
      </c>
    </row>
    <row r="9" spans="1:9" ht="20.25" x14ac:dyDescent="0.3">
      <c r="A9" s="74"/>
      <c r="B9" s="73"/>
      <c r="C9" s="72" t="s">
        <v>31</v>
      </c>
      <c r="D9" s="71"/>
      <c r="E9" s="53"/>
      <c r="F9" s="50"/>
      <c r="G9" s="53"/>
      <c r="H9" s="50"/>
      <c r="I9" s="44"/>
    </row>
    <row r="10" spans="1:9" ht="20.25" x14ac:dyDescent="0.3">
      <c r="A10" s="70"/>
      <c r="B10" s="60" t="s">
        <v>30</v>
      </c>
      <c r="C10" s="121" t="s">
        <v>29</v>
      </c>
      <c r="D10" s="122" t="s">
        <v>28</v>
      </c>
      <c r="E10" s="123">
        <v>364</v>
      </c>
      <c r="F10" s="124" t="s">
        <v>4</v>
      </c>
      <c r="G10" s="69" t="s">
        <v>27</v>
      </c>
      <c r="H10" s="68"/>
      <c r="I10" s="44"/>
    </row>
    <row r="11" spans="1:9" ht="20.25" x14ac:dyDescent="0.3">
      <c r="A11" s="67"/>
      <c r="B11" s="127"/>
      <c r="C11" s="125"/>
      <c r="D11" s="144"/>
      <c r="E11" s="126"/>
      <c r="F11" s="126"/>
      <c r="G11" s="126"/>
      <c r="H11" s="66"/>
      <c r="I11" s="44"/>
    </row>
    <row r="12" spans="1:9" ht="20.25" x14ac:dyDescent="0.3">
      <c r="A12" s="49"/>
      <c r="B12" s="48"/>
      <c r="C12" s="65" t="s">
        <v>26</v>
      </c>
      <c r="D12" s="64"/>
      <c r="E12" s="63"/>
      <c r="F12" s="62"/>
      <c r="G12" s="61"/>
      <c r="H12" s="50"/>
      <c r="I12" s="44"/>
    </row>
    <row r="13" spans="1:9" ht="20.25" x14ac:dyDescent="0.3">
      <c r="A13" s="60"/>
      <c r="B13" s="60"/>
      <c r="C13" s="59"/>
      <c r="D13" s="58"/>
      <c r="E13" s="18"/>
      <c r="F13" s="57"/>
      <c r="G13" s="53"/>
      <c r="H13" s="50"/>
      <c r="I13" s="44"/>
    </row>
    <row r="14" spans="1:9" ht="20.25" x14ac:dyDescent="0.3">
      <c r="A14" s="143"/>
      <c r="B14" s="143"/>
      <c r="C14" s="56" t="s">
        <v>25</v>
      </c>
      <c r="D14" s="55"/>
      <c r="E14" s="54"/>
      <c r="F14" s="50"/>
      <c r="G14" s="53"/>
      <c r="H14" s="52"/>
      <c r="I14" s="44"/>
    </row>
    <row r="15" spans="1:9" ht="20.25" x14ac:dyDescent="0.3">
      <c r="A15" s="60">
        <v>1950928</v>
      </c>
      <c r="B15" s="60" t="s">
        <v>24</v>
      </c>
      <c r="C15" s="59" t="s">
        <v>23</v>
      </c>
      <c r="D15" s="17" t="s">
        <v>22</v>
      </c>
      <c r="E15" s="57">
        <v>1</v>
      </c>
      <c r="F15" s="57" t="s">
        <v>9</v>
      </c>
      <c r="G15" s="51"/>
      <c r="H15" s="50"/>
      <c r="I15" s="44"/>
    </row>
    <row r="16" spans="1:9" ht="20.25" x14ac:dyDescent="0.3">
      <c r="A16" s="60" t="s">
        <v>21</v>
      </c>
      <c r="B16" s="60" t="s">
        <v>20</v>
      </c>
      <c r="C16" s="59" t="s">
        <v>19</v>
      </c>
      <c r="D16" s="58" t="s">
        <v>18</v>
      </c>
      <c r="E16" s="27">
        <v>1</v>
      </c>
      <c r="F16" s="128" t="s">
        <v>9</v>
      </c>
      <c r="G16" s="51"/>
      <c r="H16" s="50"/>
      <c r="I16" s="44"/>
    </row>
    <row r="17" spans="1:10" ht="20.25" x14ac:dyDescent="0.3">
      <c r="A17" s="49"/>
      <c r="B17" s="48"/>
      <c r="C17" s="47"/>
      <c r="D17" s="45"/>
      <c r="E17" s="45"/>
      <c r="F17" s="46"/>
      <c r="G17" s="45"/>
      <c r="H17" s="45"/>
      <c r="I17" s="44"/>
    </row>
    <row r="18" spans="1:10" ht="21" thickBot="1" x14ac:dyDescent="0.35">
      <c r="A18" s="43"/>
      <c r="B18" s="42"/>
      <c r="C18" s="39"/>
      <c r="D18" s="39"/>
      <c r="E18" s="41"/>
      <c r="F18" s="40"/>
      <c r="G18" s="39"/>
      <c r="H18" s="39"/>
      <c r="I18" s="38"/>
    </row>
    <row r="19" spans="1:10" ht="21" thickBot="1" x14ac:dyDescent="0.35">
      <c r="A19" s="37"/>
      <c r="B19" s="36"/>
      <c r="C19" s="32"/>
      <c r="D19" s="35" t="s">
        <v>17</v>
      </c>
      <c r="E19" s="34" t="s">
        <v>16</v>
      </c>
      <c r="F19" s="33"/>
      <c r="G19" s="32"/>
      <c r="H19" s="32"/>
      <c r="I19" s="31"/>
    </row>
    <row r="20" spans="1:10" ht="20.25" x14ac:dyDescent="0.3">
      <c r="A20" s="30" t="s">
        <v>15</v>
      </c>
      <c r="B20" s="29"/>
      <c r="C20" s="28"/>
      <c r="D20" s="27">
        <v>360</v>
      </c>
      <c r="E20" s="26" t="s">
        <v>4</v>
      </c>
      <c r="F20" s="25" t="s">
        <v>14</v>
      </c>
      <c r="G20" s="25"/>
      <c r="H20" s="24"/>
      <c r="I20" s="23"/>
      <c r="J20">
        <f>1000/400</f>
        <v>2.5</v>
      </c>
    </row>
    <row r="21" spans="1:10" ht="20.25" x14ac:dyDescent="0.3">
      <c r="A21" s="21" t="s">
        <v>13</v>
      </c>
      <c r="B21" s="20"/>
      <c r="C21" s="19"/>
      <c r="D21" s="17">
        <v>3</v>
      </c>
      <c r="E21" s="17" t="s">
        <v>12</v>
      </c>
      <c r="F21" s="22" t="s">
        <v>11</v>
      </c>
      <c r="G21" s="22"/>
      <c r="H21" s="6"/>
      <c r="I21" s="5"/>
    </row>
    <row r="22" spans="1:10" ht="20.25" x14ac:dyDescent="0.3">
      <c r="A22" s="21" t="s">
        <v>10</v>
      </c>
      <c r="B22" s="20"/>
      <c r="C22" s="19"/>
      <c r="D22" s="17">
        <v>1</v>
      </c>
      <c r="E22" s="17" t="s">
        <v>9</v>
      </c>
      <c r="F22" s="22" t="s">
        <v>8</v>
      </c>
      <c r="G22" s="22"/>
      <c r="H22" s="6"/>
      <c r="I22" s="5"/>
    </row>
    <row r="23" spans="1:10" ht="20.25" x14ac:dyDescent="0.3">
      <c r="A23" s="21" t="s">
        <v>7</v>
      </c>
      <c r="B23" s="20"/>
      <c r="C23" s="19"/>
      <c r="D23" s="18">
        <v>360</v>
      </c>
      <c r="E23" s="17" t="s">
        <v>4</v>
      </c>
      <c r="F23" s="16" t="s">
        <v>6</v>
      </c>
      <c r="G23" s="15"/>
      <c r="H23" s="14"/>
      <c r="I23" s="13"/>
    </row>
    <row r="24" spans="1:10" ht="21" thickBot="1" x14ac:dyDescent="0.35">
      <c r="A24" s="12" t="s">
        <v>5</v>
      </c>
      <c r="B24" s="11"/>
      <c r="C24" s="10"/>
      <c r="D24" s="9">
        <f>SUM(E10:E10)-D20</f>
        <v>4</v>
      </c>
      <c r="E24" s="8" t="s">
        <v>4</v>
      </c>
      <c r="F24" s="7"/>
      <c r="G24" s="7"/>
      <c r="H24" s="6"/>
      <c r="I24" s="5"/>
    </row>
    <row r="25" spans="1:10" ht="21" thickBot="1" x14ac:dyDescent="0.35">
      <c r="A25" s="4" t="s">
        <v>3</v>
      </c>
      <c r="B25" s="3"/>
      <c r="C25" s="3"/>
      <c r="D25" s="3"/>
      <c r="E25" s="3"/>
      <c r="F25" s="3"/>
      <c r="G25" s="3"/>
      <c r="H25" s="3"/>
      <c r="I25" s="2"/>
    </row>
    <row r="26" spans="1:10" ht="20.25" x14ac:dyDescent="0.3">
      <c r="A26" s="129" t="s">
        <v>2</v>
      </c>
      <c r="B26" s="130"/>
      <c r="C26" s="131"/>
      <c r="D26" s="131"/>
      <c r="E26" s="131"/>
      <c r="F26" s="131"/>
      <c r="G26" s="131"/>
      <c r="H26" s="131"/>
      <c r="I26" s="132"/>
    </row>
    <row r="27" spans="1:10" ht="20.25" x14ac:dyDescent="0.3">
      <c r="A27" s="133" t="s">
        <v>1</v>
      </c>
      <c r="B27" s="134"/>
      <c r="C27" s="134"/>
      <c r="D27" s="134"/>
      <c r="E27" s="134"/>
      <c r="F27" s="134"/>
      <c r="G27" s="134"/>
      <c r="H27" s="134"/>
      <c r="I27" s="135"/>
    </row>
    <row r="28" spans="1:10" ht="20.25" x14ac:dyDescent="0.3">
      <c r="A28" s="136" t="s">
        <v>0</v>
      </c>
      <c r="B28" s="137"/>
      <c r="C28" s="138"/>
      <c r="D28" s="138"/>
      <c r="E28" s="138"/>
      <c r="F28" s="138"/>
      <c r="G28" s="138"/>
      <c r="H28" s="138"/>
      <c r="I28" s="139"/>
    </row>
    <row r="29" spans="1:10" ht="20.25" x14ac:dyDescent="0.3">
      <c r="A29" s="140"/>
      <c r="B29" s="141"/>
      <c r="C29" s="141"/>
      <c r="D29" s="141"/>
      <c r="E29" s="141"/>
      <c r="F29" s="141"/>
      <c r="G29" s="141"/>
      <c r="H29" s="141"/>
      <c r="I29" s="142"/>
    </row>
    <row r="30" spans="1:10" ht="20.25" x14ac:dyDescent="0.3">
      <c r="A30" s="120" t="s">
        <v>55</v>
      </c>
      <c r="B30" s="120"/>
      <c r="C30" s="120"/>
      <c r="D30" s="120"/>
      <c r="E30" s="120"/>
      <c r="F30" s="120"/>
      <c r="G30" s="120"/>
      <c r="H30" s="120"/>
      <c r="I30" s="120"/>
    </row>
    <row r="31" spans="1:10" ht="20.25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0" ht="20.25" x14ac:dyDescent="0.3">
      <c r="A32" s="1"/>
      <c r="B32" s="1"/>
      <c r="C32" s="1"/>
      <c r="D32" s="1"/>
      <c r="E32" s="1"/>
      <c r="F32" s="1"/>
      <c r="G32" s="1"/>
      <c r="H32" s="1"/>
      <c r="I32" s="1"/>
    </row>
  </sheetData>
  <mergeCells count="40">
    <mergeCell ref="A28:I28"/>
    <mergeCell ref="A29:I29"/>
    <mergeCell ref="A30:I30"/>
    <mergeCell ref="A31:I31"/>
    <mergeCell ref="A32:I32"/>
    <mergeCell ref="A24:C24"/>
    <mergeCell ref="F24:G24"/>
    <mergeCell ref="H24:I24"/>
    <mergeCell ref="A25:I25"/>
    <mergeCell ref="A26:I26"/>
    <mergeCell ref="A27:I27"/>
    <mergeCell ref="A22:C22"/>
    <mergeCell ref="F22:G22"/>
    <mergeCell ref="H22:I22"/>
    <mergeCell ref="A23:C23"/>
    <mergeCell ref="F23:G23"/>
    <mergeCell ref="H23:I2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7287353-E51B-47D0-A37B-C02D817B81F2}"/>
</file>

<file path=customXml/itemProps2.xml><?xml version="1.0" encoding="utf-8"?>
<ds:datastoreItem xmlns:ds="http://schemas.openxmlformats.org/officeDocument/2006/customXml" ds:itemID="{7A226C01-2EFC-4890-B50D-659C5343AAA5}"/>
</file>

<file path=customXml/itemProps3.xml><?xml version="1.0" encoding="utf-8"?>
<ds:datastoreItem xmlns:ds="http://schemas.openxmlformats.org/officeDocument/2006/customXml" ds:itemID="{C416095D-9DFE-419E-8232-77A575142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Pelado </vt:lpstr>
      <vt:lpstr>'Pelado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2026-05-06T22:09:07Z</cp:lastPrinted>
  <dcterms:created xsi:type="dcterms:W3CDTF">2026-05-06T22:03:00Z</dcterms:created>
  <dcterms:modified xsi:type="dcterms:W3CDTF">2026-05-06T22:09:13Z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
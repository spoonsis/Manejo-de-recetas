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1" documentId="8_{7D085C5C-CF18-42FA-9CC6-09AEB44FD1A9}" xr6:coauthVersionLast="47" xr6:coauthVersionMax="47" xr10:uidLastSave="{7AF45F7C-446B-4C01-84F6-6D4E8A1C0D23}"/>
  <bookViews>
    <workbookView xWindow="-108" yWindow="-108" windowWidth="23256" windowHeight="12456" xr2:uid="{254CD16E-582F-4E50-A6C4-97BB96A045D2}"/>
  </bookViews>
  <sheets>
    <sheet name="Hoja2" sheetId="2" r:id="rId1"/>
  </sheets>
  <definedNames>
    <definedName name="_xlnm.Print_Area" localSheetId="0">Hoja2!$A$1:$I$67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2" l="1"/>
  <c r="H44" i="2"/>
</calcChain>
</file>

<file path=xl/sharedStrings.xml><?xml version="1.0" encoding="utf-8"?>
<sst xmlns="http://schemas.openxmlformats.org/spreadsheetml/2006/main" count="164" uniqueCount="100">
  <si>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</si>
  <si>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</si>
  <si>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</si>
  <si>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</si>
  <si>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</si>
  <si>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</si>
  <si>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</si>
  <si>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</si>
  <si>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</si>
  <si>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>Decoración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</si>
  <si>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</si>
  <si>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</si>
  <si>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</si>
  <si>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</si>
  <si>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</si>
  <si>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</si>
  <si>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</si>
  <si>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</si>
  <si>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</si>
  <si>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</si>
  <si>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</si>
  <si>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FAS</t>
  </si>
  <si>
    <t>g</t>
  </si>
  <si>
    <t>ud</t>
  </si>
  <si>
    <t>1era CAPA RELLENO</t>
  </si>
  <si>
    <t>EMPAQUE RELLENO DE FUDGE CHOCOLATE SPOON</t>
  </si>
  <si>
    <t>BATIDO RELL P/TORTA CHOCOFRESA KILO</t>
  </si>
  <si>
    <t>EMPAQUE RELLENO DE FRESA NATURAL</t>
  </si>
  <si>
    <t>Unidad</t>
  </si>
  <si>
    <t>2nda CAPA RELLENO</t>
  </si>
  <si>
    <t>3era CAPA RELLENO</t>
  </si>
  <si>
    <t>CREMA CHANTILLY CHOCO (SPOON-IND)(24875g</t>
  </si>
  <si>
    <t>PROCESADO BORONA CHOCOLATE</t>
  </si>
  <si>
    <t>QUEQUERA RED  BASE/DOMO 10 (CAJA:50)</t>
  </si>
  <si>
    <t>EXPORT PMT</t>
  </si>
  <si>
    <t>ORLA CARTON 10"  (100 * PAQ)</t>
  </si>
  <si>
    <t>RAPIBOX</t>
  </si>
  <si>
    <t>CINTA ADHESIVA TRANSPARENTE 2*100 MTS</t>
  </si>
  <si>
    <t>Mayca</t>
  </si>
  <si>
    <t>cm</t>
  </si>
  <si>
    <t>ETIQUETA BLANCA R-153 (UND)</t>
  </si>
  <si>
    <t>CEMUSA</t>
  </si>
  <si>
    <t>ETIQUETA BLANCA 2 5/8X1 15/16</t>
  </si>
  <si>
    <t>ETIPLAST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</si>
  <si>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</si>
  <si>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</si>
  <si>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</si>
  <si>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</si>
  <si>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</si>
  <si>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</si>
  <si>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Torta</t>
  </si>
  <si>
    <t>Temperatura de Horneo:</t>
  </si>
  <si>
    <t>PESO DE CADA PORCIÓN</t>
  </si>
  <si>
    <t>Otros</t>
  </si>
  <si>
    <t>MERMA</t>
  </si>
  <si>
    <t>PROCEDIMIENTO DE PREPARACION DE LA  RECETA</t>
  </si>
  <si>
    <t>1.- Partir 2 rosquetes por la mitad y proceder a rellenar con 1/2 taza de fudge,  1/2 taza de relleno chocofresa, 1/2 Taza de relleno de fresa</t>
  </si>
  <si>
    <t>2.- Tapar con medio rosquete y colocar 1/2 taza de fudge, 1/2 taza de relleno chocofresa, 1/2 taza de relleno de fresa. Seguido desuspiro</t>
  </si>
  <si>
    <t>3.- Colocar encima medio rosquete y rellenar con 1/2 taza de fudge y 1/2 taza de relleno chocofresa, 1/2 Taza de relleno de fresa. Tapar con el ultimo 1/2 rosquete. Colocar sobre una orla.</t>
  </si>
  <si>
    <t>6.- Colocar la torta decorada en el domo acrílico, etiquetar con logo; nombre, ingredientes, código, día juliano, fecha de vencimiento.</t>
  </si>
  <si>
    <t>CONTROL DE CAMBIOS</t>
  </si>
  <si>
    <t>SE00345</t>
  </si>
  <si>
    <t>SE00019</t>
  </si>
  <si>
    <t xml:space="preserve">SUSPIRO QUEBRADO </t>
  </si>
  <si>
    <t>EM10002</t>
  </si>
  <si>
    <t>SE00337</t>
  </si>
  <si>
    <t>SE00018</t>
  </si>
  <si>
    <t>SE00504</t>
  </si>
  <si>
    <t>SE00024</t>
  </si>
  <si>
    <t>SE00506</t>
  </si>
  <si>
    <t>EM10009</t>
  </si>
  <si>
    <t>EM10008</t>
  </si>
  <si>
    <t>EM10248</t>
  </si>
  <si>
    <t>EM10124</t>
  </si>
  <si>
    <t>EM10011</t>
  </si>
  <si>
    <t>MP10006</t>
  </si>
  <si>
    <t>4.- Encremar la torta con la crema chantilly de chocolate, y Marmolear con cream Liquida a los bordes</t>
  </si>
  <si>
    <t>RICH</t>
  </si>
  <si>
    <t>Javier Tong, Chef</t>
  </si>
  <si>
    <t>Decoracion</t>
  </si>
  <si>
    <t># Código Netsuite</t>
  </si>
  <si>
    <t>1/2 TAZA</t>
  </si>
  <si>
    <t/>
  </si>
  <si>
    <t>CREMA BETTERCREAM DOBLE CHOCOLATE</t>
  </si>
  <si>
    <t>Empaque</t>
  </si>
  <si>
    <t>ETIQ.BLANCA 1 1/4 * 3/4</t>
  </si>
  <si>
    <t>ESP-RE-DES-002</t>
  </si>
  <si>
    <t>1/4 TAZA</t>
  </si>
  <si>
    <t xml:space="preserve">ROSQUETE CHOCOLATE DAWN  360g </t>
  </si>
  <si>
    <t>5.- Colocar el toppin de fresa y colocar la borona acorde a la foto</t>
  </si>
  <si>
    <t xml:space="preserve">2, Se actualizan datos receta , pesos finales y procedimiento. </t>
  </si>
  <si>
    <t>TOPPIN DE SALSA DE FRESA</t>
  </si>
  <si>
    <t>3, Se actualiza topping de salsa de fresa</t>
  </si>
  <si>
    <t>SE00703</t>
  </si>
  <si>
    <t>1 CUCHARADA</t>
  </si>
  <si>
    <t xml:space="preserve">4, Se agrega medida de la borona </t>
  </si>
  <si>
    <t>1 UND</t>
  </si>
  <si>
    <t xml:space="preserve">5,Se coloca dato correcto en cantidad de rosquete </t>
  </si>
  <si>
    <t>05</t>
  </si>
  <si>
    <t>Torta Chocofresa Grande(1767g) Spoon 36043 (PTL00108)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</si>
</sst>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"/>
    <numFmt numFmtId="165" formatCode="_(* #,##0.000_);_(* \(#,##0.000\);_(* &quot;-&quot;??_);_(@_)"/>
    <numFmt numFmtId="166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4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color rgb="FF000000"/>
      <name val="Century Gothic"/>
      <family val="2"/>
    </font>
    <font>
      <sz val="14"/>
      <color theme="1"/>
      <name val="Century Gothic"/>
      <family val="2"/>
    </font>
    <font>
      <b/>
      <sz val="14"/>
      <color indexed="8"/>
      <name val="Century Gothic"/>
      <family val="2"/>
    </font>
    <font>
      <sz val="14"/>
      <name val="Arial"/>
      <family val="2"/>
    </font>
    <font>
      <sz val="14"/>
      <color rgb="FF000000"/>
      <name val="Calibri"/>
      <family val="2"/>
      <scheme val="minor"/>
    </font>
    <font>
      <sz val="14"/>
      <color indexed="8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2">
    <xf numFmtId="0" fontId="0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</cellStyleXfs>
  <cellXfs count="186">
    <xf numFmtId="0" fontId="0" fillId="0" borderId="0" xfId="0"/>
    <xf numFmtId="0" fontId="5" fillId="5" borderId="9" xfId="10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5" fillId="5" borderId="1" xfId="10" applyFont="1" applyFill="1" applyBorder="1" applyAlignment="1">
      <alignment horizontal="right"/>
    </xf>
    <xf numFmtId="49" fontId="4" fillId="5" borderId="15" xfId="10" applyNumberFormat="1" applyFont="1" applyFill="1" applyBorder="1" applyAlignment="1">
      <alignment horizontal="center"/>
    </xf>
    <xf numFmtId="0" fontId="4" fillId="5" borderId="3" xfId="10" applyFont="1" applyFill="1" applyBorder="1" applyAlignment="1">
      <alignment horizontal="right"/>
    </xf>
    <xf numFmtId="0" fontId="4" fillId="5" borderId="1" xfId="10" applyFont="1" applyFill="1" applyBorder="1" applyAlignment="1">
      <alignment horizontal="right"/>
    </xf>
    <xf numFmtId="14" fontId="7" fillId="5" borderId="0" xfId="11" applyNumberFormat="1" applyFont="1" applyFill="1" applyAlignment="1">
      <alignment horizontal="center" vertical="center" wrapText="1"/>
    </xf>
    <xf numFmtId="0" fontId="5" fillId="6" borderId="12" xfId="1" applyFont="1" applyFill="1" applyBorder="1" applyAlignment="1">
      <alignment horizontal="center" vertical="center" wrapText="1"/>
    </xf>
    <xf numFmtId="1" fontId="5" fillId="6" borderId="13" xfId="1" applyNumberFormat="1" applyFont="1" applyFill="1" applyBorder="1" applyAlignment="1">
      <alignment horizontal="center"/>
    </xf>
    <xf numFmtId="1" fontId="5" fillId="6" borderId="13" xfId="1" applyNumberFormat="1" applyFont="1" applyFill="1" applyBorder="1" applyAlignment="1">
      <alignment horizontal="center" wrapText="1"/>
    </xf>
    <xf numFmtId="0" fontId="5" fillId="6" borderId="14" xfId="1" applyFont="1" applyFill="1" applyBorder="1" applyAlignment="1">
      <alignment horizontal="center"/>
    </xf>
    <xf numFmtId="0" fontId="8" fillId="0" borderId="16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8" fillId="0" borderId="1" xfId="1" applyFont="1" applyBorder="1" applyAlignment="1">
      <alignment horizontal="center" vertical="center"/>
    </xf>
    <xf numFmtId="1" fontId="8" fillId="0" borderId="1" xfId="1" applyNumberFormat="1" applyFont="1" applyBorder="1" applyAlignment="1">
      <alignment horizontal="center"/>
    </xf>
    <xf numFmtId="1" fontId="8" fillId="0" borderId="1" xfId="1" applyNumberFormat="1" applyFont="1" applyBorder="1" applyAlignment="1">
      <alignment horizontal="center" wrapText="1"/>
    </xf>
    <xf numFmtId="0" fontId="10" fillId="0" borderId="15" xfId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49" fontId="4" fillId="0" borderId="1" xfId="0" applyNumberFormat="1" applyFont="1" applyBorder="1"/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12" fontId="4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/>
    </xf>
    <xf numFmtId="0" fontId="12" fillId="2" borderId="0" xfId="0" applyFont="1" applyFill="1"/>
    <xf numFmtId="0" fontId="11" fillId="0" borderId="0" xfId="0" applyFont="1"/>
    <xf numFmtId="0" fontId="11" fillId="0" borderId="0" xfId="0" applyFont="1" applyAlignment="1">
      <alignment horizontal="center"/>
    </xf>
    <xf numFmtId="0" fontId="13" fillId="4" borderId="1" xfId="0" applyFont="1" applyFill="1" applyBorder="1"/>
    <xf numFmtId="0" fontId="5" fillId="2" borderId="1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/>
    </xf>
    <xf numFmtId="1" fontId="5" fillId="4" borderId="1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 wrapText="1"/>
    </xf>
    <xf numFmtId="2" fontId="8" fillId="0" borderId="1" xfId="1" applyNumberFormat="1" applyFont="1" applyBorder="1" applyAlignment="1">
      <alignment horizontal="center"/>
    </xf>
    <xf numFmtId="16" fontId="10" fillId="0" borderId="6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 wrapText="1"/>
    </xf>
    <xf numFmtId="49" fontId="10" fillId="0" borderId="16" xfId="1" applyNumberFormat="1" applyFont="1" applyBorder="1" applyAlignment="1">
      <alignment horizontal="center"/>
    </xf>
    <xf numFmtId="49" fontId="10" fillId="0" borderId="6" xfId="1" applyNumberFormat="1" applyFont="1" applyBorder="1" applyAlignment="1">
      <alignment horizontal="center"/>
    </xf>
    <xf numFmtId="0" fontId="8" fillId="4" borderId="1" xfId="1" applyFont="1" applyFill="1" applyBorder="1" applyAlignment="1">
      <alignment horizontal="left"/>
    </xf>
    <xf numFmtId="0" fontId="10" fillId="0" borderId="1" xfId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1" fontId="10" fillId="0" borderId="1" xfId="1" applyNumberFormat="1" applyFont="1" applyBorder="1" applyAlignment="1">
      <alignment horizontal="center" wrapText="1"/>
    </xf>
    <xf numFmtId="16" fontId="4" fillId="0" borderId="1" xfId="0" applyNumberFormat="1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1" fontId="4" fillId="4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 wrapText="1"/>
    </xf>
    <xf numFmtId="16" fontId="4" fillId="4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49" fontId="8" fillId="0" borderId="22" xfId="1" applyNumberFormat="1" applyFont="1" applyBorder="1" applyAlignment="1">
      <alignment horizontal="center"/>
    </xf>
    <xf numFmtId="49" fontId="8" fillId="0" borderId="5" xfId="1" applyNumberFormat="1" applyFont="1" applyBorder="1" applyAlignment="1">
      <alignment horizontal="center"/>
    </xf>
    <xf numFmtId="0" fontId="9" fillId="4" borderId="1" xfId="1" applyFont="1" applyFill="1" applyBorder="1" applyAlignment="1">
      <alignment vertical="center"/>
    </xf>
    <xf numFmtId="0" fontId="8" fillId="0" borderId="6" xfId="1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1" fontId="4" fillId="4" borderId="3" xfId="0" applyNumberFormat="1" applyFont="1" applyFill="1" applyBorder="1" applyAlignment="1">
      <alignment horizontal="center"/>
    </xf>
    <xf numFmtId="1" fontId="4" fillId="4" borderId="3" xfId="0" applyNumberFormat="1" applyFont="1" applyFill="1" applyBorder="1" applyAlignment="1">
      <alignment horizontal="center" wrapText="1"/>
    </xf>
    <xf numFmtId="165" fontId="5" fillId="4" borderId="1" xfId="9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0" fillId="0" borderId="6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/>
    <xf numFmtId="0" fontId="10" fillId="0" borderId="3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2" fontId="10" fillId="0" borderId="1" xfId="1" applyNumberFormat="1" applyFont="1" applyBorder="1" applyAlignment="1">
      <alignment horizontal="center"/>
    </xf>
    <xf numFmtId="0" fontId="10" fillId="4" borderId="16" xfId="0" applyFont="1" applyFill="1" applyBorder="1" applyAlignment="1">
      <alignment horizontal="center"/>
    </xf>
    <xf numFmtId="0" fontId="16" fillId="4" borderId="0" xfId="0" applyFont="1" applyFill="1" applyAlignment="1">
      <alignment horizontal="center"/>
    </xf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wrapText="1"/>
    </xf>
    <xf numFmtId="1" fontId="10" fillId="0" borderId="1" xfId="1" applyNumberFormat="1" applyFont="1" applyBorder="1" applyAlignment="1">
      <alignment horizontal="center"/>
    </xf>
    <xf numFmtId="49" fontId="10" fillId="0" borderId="1" xfId="1" applyNumberFormat="1" applyFont="1" applyBorder="1"/>
    <xf numFmtId="49" fontId="17" fillId="5" borderId="35" xfId="1" applyNumberFormat="1" applyFont="1" applyFill="1" applyBorder="1" applyAlignment="1">
      <alignment horizontal="center" vertical="center"/>
    </xf>
    <xf numFmtId="49" fontId="17" fillId="5" borderId="0" xfId="1" applyNumberFormat="1" applyFont="1" applyFill="1" applyAlignment="1">
      <alignment horizontal="center" vertical="center"/>
    </xf>
    <xf numFmtId="0" fontId="4" fillId="5" borderId="0" xfId="1" applyFont="1" applyFill="1"/>
    <xf numFmtId="1" fontId="4" fillId="5" borderId="0" xfId="1" applyNumberFormat="1" applyFont="1" applyFill="1" applyAlignment="1">
      <alignment horizontal="center"/>
    </xf>
    <xf numFmtId="166" fontId="4" fillId="5" borderId="0" xfId="1" applyNumberFormat="1" applyFont="1" applyFill="1" applyAlignment="1">
      <alignment horizontal="center" wrapText="1"/>
    </xf>
    <xf numFmtId="0" fontId="4" fillId="5" borderId="40" xfId="1" applyFont="1" applyFill="1" applyBorder="1" applyAlignment="1">
      <alignment horizontal="center"/>
    </xf>
    <xf numFmtId="0" fontId="4" fillId="6" borderId="19" xfId="1" applyFont="1" applyFill="1" applyBorder="1" applyAlignment="1">
      <alignment horizontal="center"/>
    </xf>
    <xf numFmtId="0" fontId="4" fillId="6" borderId="20" xfId="1" applyFont="1" applyFill="1" applyBorder="1" applyAlignment="1">
      <alignment horizontal="center"/>
    </xf>
    <xf numFmtId="0" fontId="4" fillId="6" borderId="20" xfId="1" applyFont="1" applyFill="1" applyBorder="1"/>
    <xf numFmtId="0" fontId="5" fillId="6" borderId="20" xfId="1" applyFont="1" applyFill="1" applyBorder="1" applyAlignment="1">
      <alignment horizontal="center"/>
    </xf>
    <xf numFmtId="1" fontId="5" fillId="6" borderId="20" xfId="1" applyNumberFormat="1" applyFont="1" applyFill="1" applyBorder="1" applyAlignment="1">
      <alignment horizontal="center"/>
    </xf>
    <xf numFmtId="166" fontId="4" fillId="6" borderId="20" xfId="1" applyNumberFormat="1" applyFont="1" applyFill="1" applyBorder="1" applyAlignment="1">
      <alignment horizontal="center" wrapText="1"/>
    </xf>
    <xf numFmtId="0" fontId="4" fillId="6" borderId="41" xfId="1" applyFont="1" applyFill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4" fillId="0" borderId="13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22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5" borderId="1" xfId="10" applyFont="1" applyFill="1" applyBorder="1" applyAlignment="1">
      <alignment horizontal="left"/>
    </xf>
    <xf numFmtId="0" fontId="8" fillId="0" borderId="2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43" xfId="0" applyFont="1" applyBorder="1" applyAlignment="1">
      <alignment horizontal="left"/>
    </xf>
    <xf numFmtId="0" fontId="5" fillId="7" borderId="45" xfId="10" applyFont="1" applyFill="1" applyBorder="1" applyAlignment="1">
      <alignment horizontal="center"/>
    </xf>
    <xf numFmtId="0" fontId="5" fillId="7" borderId="29" xfId="10" applyFont="1" applyFill="1" applyBorder="1" applyAlignment="1">
      <alignment horizontal="center"/>
    </xf>
    <xf numFmtId="0" fontId="4" fillId="5" borderId="4" xfId="10" applyFont="1" applyFill="1" applyBorder="1" applyAlignment="1">
      <alignment horizontal="left"/>
    </xf>
    <xf numFmtId="0" fontId="4" fillId="5" borderId="5" xfId="10" applyFont="1" applyFill="1" applyBorder="1" applyAlignment="1">
      <alignment horizontal="left"/>
    </xf>
    <xf numFmtId="0" fontId="4" fillId="5" borderId="6" xfId="10" applyFont="1" applyFill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44" xfId="0" applyFont="1" applyBorder="1" applyAlignment="1">
      <alignment horizontal="left"/>
    </xf>
    <xf numFmtId="0" fontId="5" fillId="0" borderId="18" xfId="1" applyFont="1" applyBorder="1" applyAlignment="1">
      <alignment horizontal="right"/>
    </xf>
    <xf numFmtId="0" fontId="5" fillId="0" borderId="24" xfId="1" applyFont="1" applyBorder="1" applyAlignment="1">
      <alignment horizontal="right"/>
    </xf>
    <xf numFmtId="0" fontId="5" fillId="0" borderId="13" xfId="1" applyFont="1" applyBorder="1" applyAlignment="1">
      <alignment horizontal="right"/>
    </xf>
    <xf numFmtId="0" fontId="4" fillId="0" borderId="13" xfId="1" applyFont="1" applyBorder="1" applyAlignment="1">
      <alignment horizontal="right"/>
    </xf>
    <xf numFmtId="166" fontId="4" fillId="0" borderId="4" xfId="1" applyNumberFormat="1" applyFont="1" applyBorder="1" applyAlignment="1">
      <alignment horizontal="center"/>
    </xf>
    <xf numFmtId="166" fontId="4" fillId="0" borderId="43" xfId="1" applyNumberFormat="1" applyFont="1" applyBorder="1" applyAlignment="1">
      <alignment horizontal="center"/>
    </xf>
    <xf numFmtId="0" fontId="5" fillId="6" borderId="19" xfId="1" applyFont="1" applyFill="1" applyBorder="1" applyAlignment="1">
      <alignment horizontal="left"/>
    </xf>
    <xf numFmtId="0" fontId="5" fillId="6" borderId="20" xfId="1" applyFont="1" applyFill="1" applyBorder="1" applyAlignment="1">
      <alignment horizontal="left"/>
    </xf>
    <xf numFmtId="0" fontId="5" fillId="6" borderId="41" xfId="1" applyFont="1" applyFill="1" applyBorder="1" applyAlignment="1">
      <alignment horizontal="left"/>
    </xf>
    <xf numFmtId="0" fontId="4" fillId="0" borderId="27" xfId="0" applyFont="1" applyBorder="1" applyAlignment="1">
      <alignment horizontal="left" wrapText="1"/>
    </xf>
    <xf numFmtId="0" fontId="4" fillId="0" borderId="28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22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0" borderId="37" xfId="1" applyFont="1" applyBorder="1" applyAlignment="1">
      <alignment horizontal="right"/>
    </xf>
    <xf numFmtId="0" fontId="5" fillId="0" borderId="38" xfId="1" applyFont="1" applyBorder="1" applyAlignment="1">
      <alignment horizontal="right"/>
    </xf>
    <xf numFmtId="0" fontId="5" fillId="0" borderId="33" xfId="1" applyFont="1" applyBorder="1" applyAlignment="1">
      <alignment horizontal="right"/>
    </xf>
    <xf numFmtId="166" fontId="4" fillId="0" borderId="3" xfId="1" applyNumberFormat="1" applyFont="1" applyBorder="1" applyAlignment="1">
      <alignment horizontal="right"/>
    </xf>
    <xf numFmtId="0" fontId="4" fillId="5" borderId="21" xfId="1" applyFont="1" applyFill="1" applyBorder="1" applyAlignment="1">
      <alignment horizontal="center"/>
    </xf>
    <xf numFmtId="0" fontId="4" fillId="5" borderId="42" xfId="1" applyFont="1" applyFill="1" applyBorder="1" applyAlignment="1">
      <alignment horizontal="center"/>
    </xf>
    <xf numFmtId="0" fontId="5" fillId="0" borderId="22" xfId="1" applyFont="1" applyBorder="1" applyAlignment="1">
      <alignment horizontal="right"/>
    </xf>
    <xf numFmtId="0" fontId="5" fillId="0" borderId="5" xfId="1" applyFont="1" applyBorder="1" applyAlignment="1">
      <alignment horizontal="right"/>
    </xf>
    <xf numFmtId="0" fontId="5" fillId="0" borderId="6" xfId="1" applyFont="1" applyBorder="1" applyAlignment="1">
      <alignment horizontal="right"/>
    </xf>
    <xf numFmtId="0" fontId="4" fillId="0" borderId="1" xfId="1" applyFont="1" applyBorder="1" applyAlignment="1">
      <alignment horizontal="right"/>
    </xf>
    <xf numFmtId="166" fontId="4" fillId="0" borderId="4" xfId="1" applyNumberFormat="1" applyFont="1" applyBorder="1" applyAlignment="1">
      <alignment horizontal="right" wrapText="1"/>
    </xf>
    <xf numFmtId="166" fontId="4" fillId="0" borderId="6" xfId="1" applyNumberFormat="1" applyFont="1" applyBorder="1" applyAlignment="1">
      <alignment horizontal="right" wrapText="1"/>
    </xf>
    <xf numFmtId="166" fontId="4" fillId="0" borderId="4" xfId="0" applyNumberFormat="1" applyFont="1" applyBorder="1" applyAlignment="1">
      <alignment horizontal="center" wrapText="1"/>
    </xf>
    <xf numFmtId="166" fontId="4" fillId="0" borderId="43" xfId="0" applyNumberFormat="1" applyFont="1" applyBorder="1" applyAlignment="1">
      <alignment horizontal="center" wrapText="1"/>
    </xf>
    <xf numFmtId="0" fontId="6" fillId="5" borderId="0" xfId="11" applyFont="1" applyFill="1" applyAlignment="1">
      <alignment horizontal="right"/>
    </xf>
    <xf numFmtId="0" fontId="7" fillId="5" borderId="7" xfId="11" applyFont="1" applyFill="1" applyBorder="1" applyAlignment="1">
      <alignment horizontal="center"/>
    </xf>
    <xf numFmtId="0" fontId="6" fillId="5" borderId="0" xfId="11" applyFont="1" applyFill="1"/>
    <xf numFmtId="0" fontId="5" fillId="6" borderId="8" xfId="1" applyFont="1" applyFill="1" applyBorder="1" applyAlignment="1">
      <alignment horizontal="center" vertical="center"/>
    </xf>
    <xf numFmtId="0" fontId="5" fillId="6" borderId="18" xfId="1" applyFont="1" applyFill="1" applyBorder="1" applyAlignment="1">
      <alignment horizontal="center" vertical="center"/>
    </xf>
    <xf numFmtId="0" fontId="5" fillId="6" borderId="8" xfId="1" applyFont="1" applyFill="1" applyBorder="1" applyAlignment="1">
      <alignment horizontal="center" vertical="center" wrapText="1"/>
    </xf>
    <xf numFmtId="0" fontId="5" fillId="6" borderId="18" xfId="1" applyFont="1" applyFill="1" applyBorder="1" applyAlignment="1">
      <alignment horizontal="center" vertical="center" wrapText="1"/>
    </xf>
    <xf numFmtId="0" fontId="5" fillId="6" borderId="9" xfId="1" applyFont="1" applyFill="1" applyBorder="1" applyAlignment="1">
      <alignment horizontal="center" vertical="center"/>
    </xf>
    <xf numFmtId="0" fontId="5" fillId="6" borderId="13" xfId="1" applyFont="1" applyFill="1" applyBorder="1" applyAlignment="1">
      <alignment horizontal="center" vertical="center"/>
    </xf>
    <xf numFmtId="14" fontId="4" fillId="5" borderId="17" xfId="10" applyNumberFormat="1" applyFont="1" applyFill="1" applyBorder="1" applyAlignment="1">
      <alignment horizontal="center" vertical="center" wrapText="1"/>
    </xf>
    <xf numFmtId="14" fontId="4" fillId="5" borderId="36" xfId="10" applyNumberFormat="1" applyFont="1" applyFill="1" applyBorder="1" applyAlignment="1">
      <alignment horizontal="center" vertical="center" wrapText="1"/>
    </xf>
    <xf numFmtId="14" fontId="4" fillId="5" borderId="39" xfId="10" applyNumberFormat="1" applyFont="1" applyFill="1" applyBorder="1" applyAlignment="1">
      <alignment horizontal="center" vertical="center" wrapText="1"/>
    </xf>
    <xf numFmtId="0" fontId="4" fillId="5" borderId="10" xfId="10" applyFont="1" applyFill="1" applyBorder="1" applyAlignment="1">
      <alignment horizontal="left"/>
    </xf>
    <xf numFmtId="0" fontId="4" fillId="5" borderId="28" xfId="10" applyFont="1" applyFill="1" applyBorder="1" applyAlignment="1">
      <alignment horizontal="left"/>
    </xf>
    <xf numFmtId="0" fontId="4" fillId="5" borderId="11" xfId="10" applyFont="1" applyFill="1" applyBorder="1" applyAlignment="1">
      <alignment horizontal="left"/>
    </xf>
    <xf numFmtId="0" fontId="4" fillId="5" borderId="34" xfId="10" applyFont="1" applyFill="1" applyBorder="1" applyAlignment="1">
      <alignment horizontal="center"/>
    </xf>
    <xf numFmtId="0" fontId="4" fillId="5" borderId="29" xfId="10" applyFont="1" applyFill="1" applyBorder="1" applyAlignment="1">
      <alignment horizontal="center"/>
    </xf>
    <xf numFmtId="0" fontId="4" fillId="5" borderId="35" xfId="10" applyFont="1" applyFill="1" applyBorder="1" applyAlignment="1">
      <alignment horizontal="center"/>
    </xf>
    <xf numFmtId="0" fontId="4" fillId="5" borderId="0" xfId="10" applyFont="1" applyFill="1" applyAlignment="1">
      <alignment horizontal="center"/>
    </xf>
    <xf numFmtId="0" fontId="4" fillId="5" borderId="37" xfId="10" applyFont="1" applyFill="1" applyBorder="1" applyAlignment="1">
      <alignment horizontal="center"/>
    </xf>
    <xf numFmtId="0" fontId="4" fillId="5" borderId="38" xfId="10" applyFont="1" applyFill="1" applyBorder="1" applyAlignment="1">
      <alignment horizontal="center"/>
    </xf>
    <xf numFmtId="0" fontId="5" fillId="5" borderId="9" xfId="10" applyFont="1" applyFill="1" applyBorder="1" applyAlignment="1">
      <alignment horizontal="center"/>
    </xf>
    <xf numFmtId="0" fontId="5" fillId="5" borderId="25" xfId="10" applyFont="1" applyFill="1" applyBorder="1" applyAlignment="1">
      <alignment horizontal="center"/>
    </xf>
    <xf numFmtId="0" fontId="5" fillId="5" borderId="26" xfId="10" applyFont="1" applyFill="1" applyBorder="1" applyAlignment="1">
      <alignment horizontal="center"/>
    </xf>
    <xf numFmtId="0" fontId="5" fillId="5" borderId="24" xfId="1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5" fillId="5" borderId="31" xfId="10" applyFont="1" applyFill="1" applyBorder="1" applyAlignment="1">
      <alignment horizontal="right" vertical="top" wrapText="1"/>
    </xf>
    <xf numFmtId="0" fontId="5" fillId="5" borderId="32" xfId="10" applyFont="1" applyFill="1" applyBorder="1" applyAlignment="1">
      <alignment horizontal="right" vertical="top" wrapText="1"/>
    </xf>
    <xf numFmtId="0" fontId="5" fillId="5" borderId="30" xfId="10" applyFont="1" applyFill="1" applyBorder="1" applyAlignment="1">
      <alignment horizontal="right" vertical="top" wrapText="1"/>
    </xf>
  </cellXfs>
  <cellStyles count="12">
    <cellStyle name="Millares" xfId="9" builtinId="3"/>
    <cellStyle name="Millares [0] 2" xfId="6" xr:uid="{4A292227-88F9-4B14-A926-354A6BB1AFA3}"/>
    <cellStyle name="Millares [0] 3 2 3 2 3" xfId="4" xr:uid="{32CDC22B-CBD9-4A49-BA45-4034CFB3BE4D}"/>
    <cellStyle name="Millares 2" xfId="5" xr:uid="{69800F57-787A-4C68-B2B6-EC66BB8DAEB1}"/>
    <cellStyle name="Millares 3" xfId="8" xr:uid="{E8335F95-9CAD-4580-8E1B-7827ACA66CEC}"/>
    <cellStyle name="Normal" xfId="0" builtinId="0"/>
    <cellStyle name="Normal 2" xfId="1" xr:uid="{A10461B4-2A99-4CD4-A75B-19B68EBD8311}"/>
    <cellStyle name="Normal 5" xfId="2" xr:uid="{5B6D0F0B-5BE0-4E71-A6CC-07AF1FCF63AB}"/>
    <cellStyle name="Normal_CRITERIOS DE EVALUACION PT DE GB" xfId="10" xr:uid="{90394CAA-AA43-456A-8D02-95012025204E}"/>
    <cellStyle name="Normal_CRITERIOS DE EVALUACION PT DE GB 2" xfId="11" xr:uid="{E01533FA-7802-4FFE-9A05-8C27376E397C}"/>
    <cellStyle name="Porcentaje 2" xfId="7" xr:uid="{20A7C2F0-6616-4994-93FA-8B079FAB7432}"/>
    <cellStyle name="Porcentaje 3 2" xfId="3" xr:uid="{09D93888-B54C-4F7C-8030-EC3214FCAE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177800</xdr:rowOff>
    </xdr:from>
    <xdr:to>
      <xdr:col>1</xdr:col>
      <xdr:colOff>874036</xdr:colOff>
      <xdr:row>4</xdr:row>
      <xdr:rowOff>152400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D0BCC15-BE4E-465D-A3B2-934A0A8DA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800"/>
          <a:ext cx="1928136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657A-8571-47E4-9AB9-6BA1D6D1439E}">
  <dimension ref="A1:I67"/>
  <sheetViews>
    <sheetView tabSelected="1" view="pageBreakPreview" zoomScale="70" zoomScaleNormal="70" zoomScaleSheetLayoutView="70" workbookViewId="0">
      <selection activeCell="C12" sqref="C12"/>
    </sheetView>
  </sheetViews>
  <sheetFormatPr baseColWidth="10" defaultRowHeight="14.4" x14ac:dyDescent="0.3"/>
  <cols>
    <col min="1" max="1" width="15.44140625" bestFit="1" customWidth="1"/>
    <col min="2" max="2" width="13.5546875" bestFit="1" customWidth="1"/>
    <col min="3" max="3" width="66.44140625" customWidth="1"/>
    <col min="4" max="4" width="34.5546875" bestFit="1" customWidth="1"/>
    <col min="5" max="5" width="11.6640625" bestFit="1" customWidth="1"/>
    <col min="8" max="8" width="27" customWidth="1"/>
    <col min="9" max="9" width="22.44140625" bestFit="1" customWidth="1"/>
  </cols>
  <sheetData>
    <row r="1" spans="1:9" ht="17.399999999999999" x14ac:dyDescent="0.3">
      <c r="A1" s="170"/>
      <c r="B1" s="171"/>
      <c r="C1" s="176" t="s">
        <v>0</v>
      </c>
      <c r="D1" s="176"/>
      <c r="E1" s="176"/>
      <c r="F1" s="176"/>
      <c r="G1" s="176"/>
      <c r="H1" s="1" t="s">
        <v>1</v>
      </c>
      <c r="I1" s="2" t="s">
        <v>86</v>
      </c>
    </row>
    <row r="2" spans="1:9" ht="18" customHeight="1" thickBot="1" x14ac:dyDescent="0.35">
      <c r="A2" s="172"/>
      <c r="B2" s="173"/>
      <c r="C2" s="177" t="s">
        <v>2</v>
      </c>
      <c r="D2" s="178"/>
      <c r="E2" s="178"/>
      <c r="F2" s="178"/>
      <c r="G2" s="179"/>
      <c r="H2" s="3" t="s">
        <v>3</v>
      </c>
      <c r="I2" s="4" t="s">
        <v>98</v>
      </c>
    </row>
    <row r="3" spans="1:9" ht="31.5" customHeight="1" thickBot="1" x14ac:dyDescent="0.35">
      <c r="A3" s="172"/>
      <c r="B3" s="173"/>
      <c r="C3" s="180" t="s">
        <v>99</v>
      </c>
      <c r="D3" s="181"/>
      <c r="E3" s="181"/>
      <c r="F3" s="181"/>
      <c r="G3" s="182"/>
      <c r="H3" s="183" t="s">
        <v>4</v>
      </c>
      <c r="I3" s="164">
        <v>45613</v>
      </c>
    </row>
    <row r="4" spans="1:9" ht="18" customHeight="1" x14ac:dyDescent="0.3">
      <c r="A4" s="172"/>
      <c r="B4" s="173"/>
      <c r="C4" s="5" t="s">
        <v>5</v>
      </c>
      <c r="D4" s="167" t="s">
        <v>78</v>
      </c>
      <c r="E4" s="168"/>
      <c r="F4" s="168"/>
      <c r="G4" s="169"/>
      <c r="H4" s="184"/>
      <c r="I4" s="165"/>
    </row>
    <row r="5" spans="1:9" ht="18" thickBot="1" x14ac:dyDescent="0.35">
      <c r="A5" s="174"/>
      <c r="B5" s="175"/>
      <c r="C5" s="6" t="s">
        <v>6</v>
      </c>
      <c r="D5" s="120" t="s">
        <v>7</v>
      </c>
      <c r="E5" s="121"/>
      <c r="F5" s="121"/>
      <c r="G5" s="122"/>
      <c r="H5" s="185"/>
      <c r="I5" s="166"/>
    </row>
    <row r="6" spans="1:9" ht="18" thickBot="1" x14ac:dyDescent="0.35">
      <c r="A6" s="155" t="s">
        <v>8</v>
      </c>
      <c r="B6" s="155"/>
      <c r="C6" s="155"/>
      <c r="D6" s="156" t="s">
        <v>9</v>
      </c>
      <c r="E6" s="156"/>
      <c r="F6" s="156"/>
      <c r="G6" s="157" t="s">
        <v>10</v>
      </c>
      <c r="H6" s="157"/>
      <c r="I6" s="7" t="s">
        <v>79</v>
      </c>
    </row>
    <row r="7" spans="1:9" ht="34.799999999999997" x14ac:dyDescent="0.3">
      <c r="A7" s="158" t="s">
        <v>11</v>
      </c>
      <c r="B7" s="160" t="s">
        <v>80</v>
      </c>
      <c r="C7" s="162" t="s">
        <v>12</v>
      </c>
      <c r="D7" s="162" t="s">
        <v>13</v>
      </c>
      <c r="E7" s="162" t="s">
        <v>14</v>
      </c>
      <c r="F7" s="162"/>
      <c r="G7" s="162" t="s">
        <v>15</v>
      </c>
      <c r="H7" s="162"/>
      <c r="I7" s="8" t="s">
        <v>16</v>
      </c>
    </row>
    <row r="8" spans="1:9" ht="35.4" thickBot="1" x14ac:dyDescent="0.35">
      <c r="A8" s="159"/>
      <c r="B8" s="161"/>
      <c r="C8" s="163"/>
      <c r="D8" s="163"/>
      <c r="E8" s="9" t="s">
        <v>17</v>
      </c>
      <c r="F8" s="10" t="s">
        <v>18</v>
      </c>
      <c r="G8" s="9" t="s">
        <v>17</v>
      </c>
      <c r="H8" s="10" t="s">
        <v>18</v>
      </c>
      <c r="I8" s="11" t="s">
        <v>19</v>
      </c>
    </row>
    <row r="9" spans="1:9" ht="18" x14ac:dyDescent="0.35">
      <c r="A9" s="12"/>
      <c r="B9" s="13"/>
      <c r="C9" s="14" t="s">
        <v>20</v>
      </c>
      <c r="D9" s="15"/>
      <c r="E9" s="16"/>
      <c r="F9" s="17"/>
      <c r="G9" s="16"/>
      <c r="H9" s="17"/>
      <c r="I9" s="18"/>
    </row>
    <row r="10" spans="1:9" ht="18" customHeight="1" x14ac:dyDescent="0.35">
      <c r="A10" s="19">
        <v>907000268</v>
      </c>
      <c r="B10" s="20" t="s">
        <v>61</v>
      </c>
      <c r="C10" s="21" t="s">
        <v>88</v>
      </c>
      <c r="D10" s="22" t="s">
        <v>21</v>
      </c>
      <c r="E10" s="23">
        <v>303</v>
      </c>
      <c r="F10" s="24" t="s">
        <v>22</v>
      </c>
      <c r="G10" s="25"/>
      <c r="H10" s="26" t="s">
        <v>96</v>
      </c>
      <c r="I10" s="18"/>
    </row>
    <row r="11" spans="1:9" ht="18" x14ac:dyDescent="0.35">
      <c r="A11" s="19">
        <v>907000268</v>
      </c>
      <c r="B11" s="20" t="s">
        <v>61</v>
      </c>
      <c r="C11" s="21" t="s">
        <v>88</v>
      </c>
      <c r="D11" s="22" t="s">
        <v>21</v>
      </c>
      <c r="E11" s="23">
        <v>303</v>
      </c>
      <c r="F11" s="24" t="s">
        <v>22</v>
      </c>
      <c r="G11" s="25"/>
      <c r="H11" s="26" t="s">
        <v>96</v>
      </c>
      <c r="I11" s="18"/>
    </row>
    <row r="12" spans="1:9" ht="18" x14ac:dyDescent="0.35">
      <c r="A12" s="27"/>
      <c r="B12" s="27"/>
      <c r="C12" s="28" t="s">
        <v>24</v>
      </c>
      <c r="D12" s="29"/>
      <c r="E12" s="27"/>
      <c r="F12" s="25"/>
      <c r="G12" s="27"/>
      <c r="H12" s="26"/>
      <c r="I12" s="18"/>
    </row>
    <row r="13" spans="1:9" ht="18" x14ac:dyDescent="0.35">
      <c r="A13" s="30">
        <v>20100163</v>
      </c>
      <c r="B13" s="30" t="s">
        <v>65</v>
      </c>
      <c r="C13" s="31" t="s">
        <v>25</v>
      </c>
      <c r="D13" s="27" t="s">
        <v>21</v>
      </c>
      <c r="E13" s="27">
        <v>135</v>
      </c>
      <c r="F13" s="32" t="s">
        <v>22</v>
      </c>
      <c r="G13" s="27"/>
      <c r="H13" s="26" t="s">
        <v>81</v>
      </c>
      <c r="I13" s="18"/>
    </row>
    <row r="14" spans="1:9" ht="18" x14ac:dyDescent="0.35">
      <c r="A14" s="33">
        <v>905000001</v>
      </c>
      <c r="B14" s="30" t="s">
        <v>66</v>
      </c>
      <c r="C14" s="34" t="s">
        <v>26</v>
      </c>
      <c r="D14" s="27" t="s">
        <v>21</v>
      </c>
      <c r="E14" s="27">
        <v>100</v>
      </c>
      <c r="F14" s="32" t="s">
        <v>22</v>
      </c>
      <c r="G14" s="27"/>
      <c r="H14" s="26" t="s">
        <v>81</v>
      </c>
      <c r="I14" s="18"/>
    </row>
    <row r="15" spans="1:9" ht="18" x14ac:dyDescent="0.35">
      <c r="A15" s="35">
        <v>90100401</v>
      </c>
      <c r="B15" s="30" t="s">
        <v>67</v>
      </c>
      <c r="C15" s="36" t="s">
        <v>27</v>
      </c>
      <c r="D15" s="27" t="s">
        <v>21</v>
      </c>
      <c r="E15" s="27">
        <v>130</v>
      </c>
      <c r="F15" s="32" t="s">
        <v>22</v>
      </c>
      <c r="G15" s="27"/>
      <c r="H15" s="26" t="s">
        <v>81</v>
      </c>
      <c r="I15" s="18"/>
    </row>
    <row r="16" spans="1:9" ht="18" x14ac:dyDescent="0.35">
      <c r="A16" s="37">
        <v>902000066</v>
      </c>
      <c r="B16" s="38" t="s">
        <v>62</v>
      </c>
      <c r="C16" s="39" t="s">
        <v>63</v>
      </c>
      <c r="D16" s="27" t="s">
        <v>21</v>
      </c>
      <c r="E16" s="27">
        <v>30</v>
      </c>
      <c r="F16" s="32" t="s">
        <v>22</v>
      </c>
      <c r="G16" s="27"/>
      <c r="H16" s="26" t="s">
        <v>81</v>
      </c>
      <c r="I16" s="18"/>
    </row>
    <row r="17" spans="1:9" ht="18" x14ac:dyDescent="0.35">
      <c r="A17" s="27"/>
      <c r="B17" s="27"/>
      <c r="C17" s="40" t="s">
        <v>29</v>
      </c>
      <c r="D17" s="27"/>
      <c r="E17" s="27"/>
      <c r="F17" s="32"/>
      <c r="G17" s="27"/>
      <c r="H17" s="26" t="s">
        <v>82</v>
      </c>
      <c r="I17" s="18"/>
    </row>
    <row r="18" spans="1:9" ht="18" x14ac:dyDescent="0.35">
      <c r="A18" s="30">
        <v>20100163</v>
      </c>
      <c r="B18" s="30" t="s">
        <v>65</v>
      </c>
      <c r="C18" s="31" t="s">
        <v>25</v>
      </c>
      <c r="D18" s="27" t="s">
        <v>21</v>
      </c>
      <c r="E18" s="27">
        <v>135</v>
      </c>
      <c r="F18" s="32" t="s">
        <v>22</v>
      </c>
      <c r="G18" s="27"/>
      <c r="H18" s="26" t="s">
        <v>81</v>
      </c>
      <c r="I18" s="18"/>
    </row>
    <row r="19" spans="1:9" ht="18" x14ac:dyDescent="0.35">
      <c r="A19" s="33">
        <v>905000001</v>
      </c>
      <c r="B19" s="30" t="s">
        <v>66</v>
      </c>
      <c r="C19" s="34" t="s">
        <v>26</v>
      </c>
      <c r="D19" s="27" t="s">
        <v>21</v>
      </c>
      <c r="E19" s="27">
        <v>100</v>
      </c>
      <c r="F19" s="32" t="s">
        <v>22</v>
      </c>
      <c r="G19" s="27"/>
      <c r="H19" s="26" t="s">
        <v>81</v>
      </c>
      <c r="I19" s="18"/>
    </row>
    <row r="20" spans="1:9" ht="14.25" customHeight="1" x14ac:dyDescent="0.35">
      <c r="A20" s="35">
        <v>90100401</v>
      </c>
      <c r="B20" s="30" t="s">
        <v>67</v>
      </c>
      <c r="C20" s="36" t="s">
        <v>27</v>
      </c>
      <c r="D20" s="27" t="s">
        <v>21</v>
      </c>
      <c r="E20" s="27">
        <v>130</v>
      </c>
      <c r="F20" s="32" t="s">
        <v>22</v>
      </c>
      <c r="G20" s="27"/>
      <c r="H20" s="26" t="s">
        <v>81</v>
      </c>
      <c r="I20" s="18"/>
    </row>
    <row r="21" spans="1:9" ht="18" x14ac:dyDescent="0.35">
      <c r="A21" s="27"/>
      <c r="B21" s="27"/>
      <c r="C21" s="40" t="s">
        <v>30</v>
      </c>
      <c r="D21" s="29"/>
      <c r="E21" s="29"/>
      <c r="F21" s="25"/>
      <c r="G21" s="27"/>
      <c r="H21" s="26" t="s">
        <v>82</v>
      </c>
      <c r="I21" s="18"/>
    </row>
    <row r="22" spans="1:9" ht="18" x14ac:dyDescent="0.35">
      <c r="A22" s="30">
        <v>20100163</v>
      </c>
      <c r="B22" s="30" t="s">
        <v>65</v>
      </c>
      <c r="C22" s="31" t="s">
        <v>25</v>
      </c>
      <c r="D22" s="27" t="s">
        <v>21</v>
      </c>
      <c r="E22" s="27">
        <v>135</v>
      </c>
      <c r="F22" s="32" t="s">
        <v>22</v>
      </c>
      <c r="G22" s="27"/>
      <c r="H22" s="26" t="s">
        <v>81</v>
      </c>
      <c r="I22" s="18"/>
    </row>
    <row r="23" spans="1:9" ht="18" x14ac:dyDescent="0.35">
      <c r="A23" s="33">
        <v>905000001</v>
      </c>
      <c r="B23" s="30" t="s">
        <v>66</v>
      </c>
      <c r="C23" s="34" t="s">
        <v>26</v>
      </c>
      <c r="D23" s="27" t="s">
        <v>21</v>
      </c>
      <c r="E23" s="27">
        <v>100</v>
      </c>
      <c r="F23" s="32" t="s">
        <v>22</v>
      </c>
      <c r="G23" s="27"/>
      <c r="H23" s="26" t="s">
        <v>81</v>
      </c>
      <c r="I23" s="18"/>
    </row>
    <row r="24" spans="1:9" ht="18" x14ac:dyDescent="0.35">
      <c r="A24" s="35">
        <v>90100401</v>
      </c>
      <c r="B24" s="30" t="s">
        <v>67</v>
      </c>
      <c r="C24" s="36" t="s">
        <v>27</v>
      </c>
      <c r="D24" s="27" t="s">
        <v>21</v>
      </c>
      <c r="E24" s="27">
        <v>130</v>
      </c>
      <c r="F24" s="32" t="s">
        <v>22</v>
      </c>
      <c r="G24" s="27"/>
      <c r="H24" s="26" t="s">
        <v>81</v>
      </c>
      <c r="I24" s="18"/>
    </row>
    <row r="25" spans="1:9" ht="18" x14ac:dyDescent="0.35">
      <c r="A25" s="41"/>
      <c r="B25" s="41"/>
      <c r="C25" s="42"/>
      <c r="D25" s="43"/>
      <c r="E25" s="44"/>
      <c r="F25" s="45"/>
      <c r="G25" s="46"/>
      <c r="H25" s="26"/>
      <c r="I25" s="18"/>
    </row>
    <row r="26" spans="1:9" ht="18" x14ac:dyDescent="0.35">
      <c r="A26" s="20"/>
      <c r="B26" s="20"/>
      <c r="C26" s="19"/>
      <c r="D26" s="47"/>
      <c r="E26" s="48"/>
      <c r="F26" s="49"/>
      <c r="G26" s="46"/>
      <c r="H26" s="26"/>
      <c r="I26" s="18"/>
    </row>
    <row r="27" spans="1:9" ht="18" x14ac:dyDescent="0.35">
      <c r="A27" s="20"/>
      <c r="B27" s="20"/>
      <c r="C27" s="19"/>
      <c r="D27" s="47"/>
      <c r="E27" s="48"/>
      <c r="F27" s="49"/>
      <c r="G27" s="16"/>
      <c r="H27" s="26"/>
      <c r="I27" s="18"/>
    </row>
    <row r="28" spans="1:9" ht="18" x14ac:dyDescent="0.35">
      <c r="A28" s="50"/>
      <c r="B28" s="51"/>
      <c r="C28" s="52" t="s">
        <v>9</v>
      </c>
      <c r="D28" s="53"/>
      <c r="E28" s="54"/>
      <c r="F28" s="55"/>
      <c r="G28" s="16"/>
      <c r="H28" s="17"/>
      <c r="I28" s="18"/>
    </row>
    <row r="29" spans="1:9" ht="18" x14ac:dyDescent="0.35">
      <c r="A29" s="20">
        <v>95718</v>
      </c>
      <c r="B29" s="20" t="s">
        <v>68</v>
      </c>
      <c r="C29" s="19" t="s">
        <v>31</v>
      </c>
      <c r="D29" s="56" t="s">
        <v>21</v>
      </c>
      <c r="E29" s="57">
        <v>205</v>
      </c>
      <c r="F29" s="58" t="s">
        <v>22</v>
      </c>
      <c r="G29" s="16"/>
      <c r="H29" s="17"/>
      <c r="I29" s="18"/>
    </row>
    <row r="30" spans="1:9" ht="18" x14ac:dyDescent="0.35">
      <c r="A30" s="20">
        <v>907000335</v>
      </c>
      <c r="B30" s="20" t="s">
        <v>69</v>
      </c>
      <c r="C30" s="19" t="s">
        <v>32</v>
      </c>
      <c r="D30" s="56"/>
      <c r="E30" s="59">
        <v>10</v>
      </c>
      <c r="F30" s="58" t="s">
        <v>22</v>
      </c>
      <c r="G30" s="16"/>
      <c r="H30" s="17" t="s">
        <v>94</v>
      </c>
      <c r="I30" s="18"/>
    </row>
    <row r="31" spans="1:9" ht="18" x14ac:dyDescent="0.35">
      <c r="A31" s="60"/>
      <c r="B31" s="61" t="s">
        <v>93</v>
      </c>
      <c r="C31" s="62" t="s">
        <v>91</v>
      </c>
      <c r="D31" s="56"/>
      <c r="E31" s="63">
        <v>60</v>
      </c>
      <c r="F31" s="58" t="s">
        <v>22</v>
      </c>
      <c r="G31" s="16"/>
      <c r="H31" s="17" t="s">
        <v>87</v>
      </c>
      <c r="I31" s="18"/>
    </row>
    <row r="32" spans="1:9" ht="18" x14ac:dyDescent="0.35">
      <c r="A32" s="20">
        <v>11400027</v>
      </c>
      <c r="B32" s="20" t="s">
        <v>75</v>
      </c>
      <c r="C32" s="19" t="s">
        <v>83</v>
      </c>
      <c r="D32" s="56" t="s">
        <v>77</v>
      </c>
      <c r="E32" s="64">
        <v>10</v>
      </c>
      <c r="F32" s="65" t="s">
        <v>22</v>
      </c>
      <c r="G32" s="16"/>
      <c r="H32" s="17"/>
      <c r="I32" s="18"/>
    </row>
    <row r="33" spans="1:9" ht="18" x14ac:dyDescent="0.35">
      <c r="A33" s="38"/>
      <c r="B33" s="38"/>
      <c r="C33" s="37"/>
      <c r="D33" s="66"/>
      <c r="E33" s="67"/>
      <c r="F33" s="65"/>
      <c r="G33" s="16"/>
      <c r="H33" s="17"/>
      <c r="I33" s="18"/>
    </row>
    <row r="34" spans="1:9" ht="18" x14ac:dyDescent="0.35">
      <c r="A34" s="20"/>
      <c r="B34" s="20"/>
      <c r="C34" s="19"/>
      <c r="D34" s="56"/>
      <c r="E34" s="64"/>
      <c r="F34" s="65"/>
      <c r="G34" s="16"/>
      <c r="H34" s="17"/>
      <c r="I34" s="18"/>
    </row>
    <row r="35" spans="1:9" ht="18" x14ac:dyDescent="0.35">
      <c r="A35" s="20"/>
      <c r="B35" s="20"/>
      <c r="C35" s="19"/>
      <c r="D35" s="56"/>
      <c r="E35" s="63"/>
      <c r="F35" s="58"/>
      <c r="G35" s="16"/>
      <c r="H35" s="17"/>
      <c r="I35" s="18"/>
    </row>
    <row r="36" spans="1:9" ht="18" x14ac:dyDescent="0.35">
      <c r="A36" s="68"/>
      <c r="B36" s="69"/>
      <c r="C36" s="70" t="s">
        <v>84</v>
      </c>
      <c r="D36" s="71"/>
      <c r="E36" s="72"/>
      <c r="F36" s="17"/>
      <c r="G36" s="16"/>
      <c r="H36" s="37"/>
      <c r="I36" s="18"/>
    </row>
    <row r="37" spans="1:9" ht="18" x14ac:dyDescent="0.35">
      <c r="A37" s="38">
        <v>121603</v>
      </c>
      <c r="B37" s="38" t="s">
        <v>70</v>
      </c>
      <c r="C37" s="37" t="s">
        <v>33</v>
      </c>
      <c r="D37" s="73" t="s">
        <v>34</v>
      </c>
      <c r="E37" s="74">
        <v>1</v>
      </c>
      <c r="F37" s="75" t="s">
        <v>23</v>
      </c>
      <c r="G37" s="76"/>
      <c r="H37" s="17"/>
      <c r="I37" s="18"/>
    </row>
    <row r="38" spans="1:9" ht="18" x14ac:dyDescent="0.35">
      <c r="A38" s="77">
        <v>1950692</v>
      </c>
      <c r="B38" s="77" t="s">
        <v>71</v>
      </c>
      <c r="C38" s="78" t="s">
        <v>35</v>
      </c>
      <c r="D38" s="79" t="s">
        <v>36</v>
      </c>
      <c r="E38" s="23">
        <v>1</v>
      </c>
      <c r="F38" s="80" t="s">
        <v>23</v>
      </c>
      <c r="G38" s="76"/>
      <c r="H38" s="17"/>
      <c r="I38" s="18"/>
    </row>
    <row r="39" spans="1:9" ht="18" x14ac:dyDescent="0.35">
      <c r="A39" s="81">
        <v>703020</v>
      </c>
      <c r="B39" s="82" t="s">
        <v>72</v>
      </c>
      <c r="C39" s="83" t="s">
        <v>37</v>
      </c>
      <c r="D39" s="79" t="s">
        <v>38</v>
      </c>
      <c r="E39" s="23">
        <v>60</v>
      </c>
      <c r="F39" s="80" t="s">
        <v>39</v>
      </c>
      <c r="G39" s="76"/>
      <c r="H39" s="17"/>
      <c r="I39" s="18"/>
    </row>
    <row r="40" spans="1:9" ht="18" x14ac:dyDescent="0.35">
      <c r="A40" s="77">
        <v>701096</v>
      </c>
      <c r="B40" s="77" t="s">
        <v>73</v>
      </c>
      <c r="C40" s="78" t="s">
        <v>40</v>
      </c>
      <c r="D40" s="84" t="s">
        <v>41</v>
      </c>
      <c r="E40" s="85">
        <v>1</v>
      </c>
      <c r="F40" s="80" t="s">
        <v>23</v>
      </c>
      <c r="G40" s="16"/>
      <c r="H40" s="17"/>
      <c r="I40" s="18"/>
    </row>
    <row r="41" spans="1:9" ht="18" x14ac:dyDescent="0.35">
      <c r="A41" s="77">
        <v>702123</v>
      </c>
      <c r="B41" s="77" t="s">
        <v>74</v>
      </c>
      <c r="C41" s="78" t="s">
        <v>42</v>
      </c>
      <c r="D41" s="23" t="s">
        <v>43</v>
      </c>
      <c r="E41" s="23">
        <v>1</v>
      </c>
      <c r="F41" s="80" t="s">
        <v>23</v>
      </c>
      <c r="G41" s="16"/>
      <c r="H41" s="17"/>
      <c r="I41" s="18"/>
    </row>
    <row r="42" spans="1:9" ht="18" x14ac:dyDescent="0.35">
      <c r="A42" s="77">
        <v>702069</v>
      </c>
      <c r="B42" s="77" t="s">
        <v>64</v>
      </c>
      <c r="C42" s="78" t="s">
        <v>85</v>
      </c>
      <c r="D42" s="23" t="s">
        <v>43</v>
      </c>
      <c r="E42" s="23">
        <v>1</v>
      </c>
      <c r="F42" s="80" t="s">
        <v>23</v>
      </c>
      <c r="G42" s="86"/>
      <c r="H42" s="17"/>
      <c r="I42" s="18"/>
    </row>
    <row r="43" spans="1:9" ht="18" x14ac:dyDescent="0.35">
      <c r="A43" s="87"/>
      <c r="B43" s="88"/>
      <c r="C43" s="89"/>
      <c r="D43" s="90"/>
      <c r="E43" s="90"/>
      <c r="F43" s="91"/>
      <c r="G43" s="92"/>
      <c r="H43" s="17"/>
      <c r="I43" s="18"/>
    </row>
    <row r="44" spans="1:9" ht="18" x14ac:dyDescent="0.35">
      <c r="A44" s="50"/>
      <c r="B44" s="51"/>
      <c r="C44" s="93"/>
      <c r="D44" s="23"/>
      <c r="E44" s="92"/>
      <c r="F44" s="55"/>
      <c r="G44" s="92"/>
      <c r="H44" s="17" t="str">
        <f t="shared" ref="H44" si="0">UPPER(D44)</f>
        <v/>
      </c>
      <c r="I44" s="18"/>
    </row>
    <row r="45" spans="1:9" ht="18" x14ac:dyDescent="0.35">
      <c r="A45" s="50"/>
      <c r="B45" s="51"/>
      <c r="C45" s="93"/>
      <c r="D45" s="53"/>
      <c r="E45" s="53"/>
      <c r="F45" s="55"/>
      <c r="G45" s="53"/>
      <c r="H45" s="53"/>
      <c r="I45" s="18"/>
    </row>
    <row r="46" spans="1:9" ht="18" thickBot="1" x14ac:dyDescent="0.35">
      <c r="A46" s="94"/>
      <c r="B46" s="95"/>
      <c r="C46" s="96"/>
      <c r="D46" s="96"/>
      <c r="E46" s="97"/>
      <c r="F46" s="98"/>
      <c r="G46" s="96"/>
      <c r="H46" s="96"/>
      <c r="I46" s="99"/>
    </row>
    <row r="47" spans="1:9" ht="18" thickBot="1" x14ac:dyDescent="0.35">
      <c r="A47" s="100"/>
      <c r="B47" s="101"/>
      <c r="C47" s="102"/>
      <c r="D47" s="103" t="s">
        <v>17</v>
      </c>
      <c r="E47" s="104" t="s">
        <v>28</v>
      </c>
      <c r="F47" s="105"/>
      <c r="G47" s="102"/>
      <c r="H47" s="102"/>
      <c r="I47" s="106"/>
    </row>
    <row r="48" spans="1:9" ht="17.399999999999999" x14ac:dyDescent="0.3">
      <c r="A48" s="141" t="s">
        <v>44</v>
      </c>
      <c r="B48" s="142"/>
      <c r="C48" s="143"/>
      <c r="D48" s="64">
        <v>1849</v>
      </c>
      <c r="E48" s="107" t="s">
        <v>22</v>
      </c>
      <c r="F48" s="144" t="s">
        <v>45</v>
      </c>
      <c r="G48" s="144"/>
      <c r="H48" s="145"/>
      <c r="I48" s="146"/>
    </row>
    <row r="49" spans="1:9" ht="17.399999999999999" x14ac:dyDescent="0.3">
      <c r="A49" s="147" t="s">
        <v>46</v>
      </c>
      <c r="B49" s="148"/>
      <c r="C49" s="149"/>
      <c r="D49" s="108">
        <v>6</v>
      </c>
      <c r="E49" s="27" t="s">
        <v>47</v>
      </c>
      <c r="F49" s="150" t="s">
        <v>48</v>
      </c>
      <c r="G49" s="150"/>
      <c r="H49" s="130"/>
      <c r="I49" s="131"/>
    </row>
    <row r="50" spans="1:9" ht="17.399999999999999" x14ac:dyDescent="0.3">
      <c r="A50" s="147" t="s">
        <v>49</v>
      </c>
      <c r="B50" s="148"/>
      <c r="C50" s="149"/>
      <c r="D50" s="27">
        <v>1</v>
      </c>
      <c r="E50" s="27" t="s">
        <v>50</v>
      </c>
      <c r="F50" s="150" t="s">
        <v>51</v>
      </c>
      <c r="G50" s="150"/>
      <c r="H50" s="130"/>
      <c r="I50" s="131"/>
    </row>
    <row r="51" spans="1:9" ht="17.399999999999999" x14ac:dyDescent="0.3">
      <c r="A51" s="147" t="s">
        <v>52</v>
      </c>
      <c r="B51" s="148"/>
      <c r="C51" s="149"/>
      <c r="D51" s="63">
        <v>1849</v>
      </c>
      <c r="E51" s="27" t="s">
        <v>22</v>
      </c>
      <c r="F51" s="151" t="s">
        <v>53</v>
      </c>
      <c r="G51" s="152"/>
      <c r="H51" s="153"/>
      <c r="I51" s="154"/>
    </row>
    <row r="52" spans="1:9" ht="18" thickBot="1" x14ac:dyDescent="0.35">
      <c r="A52" s="126" t="s">
        <v>54</v>
      </c>
      <c r="B52" s="127"/>
      <c r="C52" s="128"/>
      <c r="D52" s="109">
        <f>SUM(E10:E32)-D48</f>
        <v>167</v>
      </c>
      <c r="E52" s="110" t="s">
        <v>22</v>
      </c>
      <c r="F52" s="129"/>
      <c r="G52" s="129"/>
      <c r="H52" s="130"/>
      <c r="I52" s="131"/>
    </row>
    <row r="53" spans="1:9" ht="18" thickBot="1" x14ac:dyDescent="0.35">
      <c r="A53" s="132" t="s">
        <v>55</v>
      </c>
      <c r="B53" s="133"/>
      <c r="C53" s="133"/>
      <c r="D53" s="133"/>
      <c r="E53" s="133"/>
      <c r="F53" s="133"/>
      <c r="G53" s="133"/>
      <c r="H53" s="133"/>
      <c r="I53" s="134"/>
    </row>
    <row r="54" spans="1:9" ht="17.399999999999999" x14ac:dyDescent="0.3">
      <c r="A54" s="135" t="s">
        <v>56</v>
      </c>
      <c r="B54" s="136"/>
      <c r="C54" s="136"/>
      <c r="D54" s="136"/>
      <c r="E54" s="136"/>
      <c r="F54" s="136"/>
      <c r="G54" s="136"/>
      <c r="H54" s="136"/>
      <c r="I54" s="137"/>
    </row>
    <row r="55" spans="1:9" ht="17.399999999999999" x14ac:dyDescent="0.3">
      <c r="A55" s="138" t="s">
        <v>57</v>
      </c>
      <c r="B55" s="139"/>
      <c r="C55" s="139"/>
      <c r="D55" s="139"/>
      <c r="E55" s="139"/>
      <c r="F55" s="139"/>
      <c r="G55" s="139"/>
      <c r="H55" s="139"/>
      <c r="I55" s="140"/>
    </row>
    <row r="56" spans="1:9" ht="17.399999999999999" x14ac:dyDescent="0.3">
      <c r="A56" s="111" t="s">
        <v>58</v>
      </c>
      <c r="B56" s="112"/>
      <c r="C56" s="112"/>
      <c r="D56" s="112"/>
      <c r="E56" s="112"/>
      <c r="F56" s="112"/>
      <c r="G56" s="112"/>
      <c r="H56" s="112"/>
      <c r="I56" s="113"/>
    </row>
    <row r="57" spans="1:9" ht="17.399999999999999" x14ac:dyDescent="0.3">
      <c r="A57" s="138" t="s">
        <v>76</v>
      </c>
      <c r="B57" s="139"/>
      <c r="C57" s="139"/>
      <c r="D57" s="139"/>
      <c r="E57" s="139"/>
      <c r="F57" s="139"/>
      <c r="G57" s="139"/>
      <c r="H57" s="139"/>
      <c r="I57" s="140"/>
    </row>
    <row r="58" spans="1:9" ht="17.399999999999999" x14ac:dyDescent="0.3">
      <c r="A58" s="138" t="s">
        <v>89</v>
      </c>
      <c r="B58" s="139"/>
      <c r="C58" s="139"/>
      <c r="D58" s="139"/>
      <c r="E58" s="139"/>
      <c r="F58" s="139"/>
      <c r="G58" s="139"/>
      <c r="H58" s="139"/>
      <c r="I58" s="140"/>
    </row>
    <row r="59" spans="1:9" ht="17.399999999999999" x14ac:dyDescent="0.3">
      <c r="A59" s="111" t="s">
        <v>59</v>
      </c>
      <c r="B59" s="112"/>
      <c r="C59" s="112"/>
      <c r="D59" s="112"/>
      <c r="E59" s="112"/>
      <c r="F59" s="112"/>
      <c r="G59" s="112"/>
      <c r="H59" s="112"/>
      <c r="I59" s="113"/>
    </row>
    <row r="60" spans="1:9" ht="18" customHeight="1" x14ac:dyDescent="0.3">
      <c r="A60" s="111"/>
      <c r="B60" s="112"/>
      <c r="C60" s="112"/>
      <c r="D60" s="112"/>
      <c r="E60" s="112"/>
      <c r="F60" s="112"/>
      <c r="G60" s="112"/>
      <c r="H60" s="112"/>
      <c r="I60" s="113"/>
    </row>
    <row r="61" spans="1:9" ht="18" thickBot="1" x14ac:dyDescent="0.35">
      <c r="A61" s="123"/>
      <c r="B61" s="124"/>
      <c r="C61" s="124"/>
      <c r="D61" s="124"/>
      <c r="E61" s="124"/>
      <c r="F61" s="124"/>
      <c r="G61" s="124"/>
      <c r="H61" s="124"/>
      <c r="I61" s="125"/>
    </row>
    <row r="62" spans="1:9" ht="18" thickBot="1" x14ac:dyDescent="0.35">
      <c r="A62" s="115"/>
      <c r="B62" s="116"/>
      <c r="C62" s="116"/>
      <c r="D62" s="116"/>
      <c r="E62" s="116"/>
      <c r="F62" s="116"/>
      <c r="G62" s="116"/>
      <c r="H62" s="116"/>
      <c r="I62" s="117"/>
    </row>
    <row r="63" spans="1:9" ht="17.399999999999999" x14ac:dyDescent="0.3">
      <c r="A63" s="118" t="s">
        <v>60</v>
      </c>
      <c r="B63" s="119"/>
      <c r="C63" s="119"/>
      <c r="D63" s="119"/>
      <c r="E63" s="119"/>
      <c r="F63" s="119"/>
      <c r="G63" s="119"/>
      <c r="H63" s="119"/>
      <c r="I63" s="119"/>
    </row>
    <row r="64" spans="1:9" ht="17.399999999999999" x14ac:dyDescent="0.3">
      <c r="A64" s="120" t="s">
        <v>90</v>
      </c>
      <c r="B64" s="121"/>
      <c r="C64" s="121"/>
      <c r="D64" s="121"/>
      <c r="E64" s="121"/>
      <c r="F64" s="121"/>
      <c r="G64" s="121"/>
      <c r="H64" s="121"/>
      <c r="I64" s="122"/>
    </row>
    <row r="65" spans="1:9" ht="17.399999999999999" x14ac:dyDescent="0.3">
      <c r="A65" s="114" t="s">
        <v>92</v>
      </c>
      <c r="B65" s="114"/>
      <c r="C65" s="114"/>
      <c r="D65" s="114"/>
      <c r="E65" s="114"/>
      <c r="F65" s="114"/>
      <c r="G65" s="114"/>
      <c r="H65" s="114"/>
      <c r="I65" s="114"/>
    </row>
    <row r="66" spans="1:9" ht="17.399999999999999" x14ac:dyDescent="0.3">
      <c r="A66" s="114" t="s">
        <v>95</v>
      </c>
      <c r="B66" s="114"/>
      <c r="C66" s="114"/>
      <c r="D66" s="114"/>
      <c r="E66" s="114"/>
      <c r="F66" s="114"/>
      <c r="G66" s="114"/>
      <c r="H66" s="114"/>
      <c r="I66" s="114"/>
    </row>
    <row r="67" spans="1:9" s="37" customFormat="1" ht="18" x14ac:dyDescent="0.35">
      <c r="A67" s="37" t="s">
        <v>97</v>
      </c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56:I56"/>
    <mergeCell ref="A57:I57"/>
    <mergeCell ref="A58:I58"/>
    <mergeCell ref="A48:C48"/>
    <mergeCell ref="F48:G48"/>
    <mergeCell ref="H48:I48"/>
    <mergeCell ref="A49:C49"/>
    <mergeCell ref="F49:G49"/>
    <mergeCell ref="H49:I49"/>
    <mergeCell ref="A55:I55"/>
    <mergeCell ref="A50:C50"/>
    <mergeCell ref="F50:G50"/>
    <mergeCell ref="H50:I50"/>
    <mergeCell ref="A51:C51"/>
    <mergeCell ref="F51:G51"/>
    <mergeCell ref="H51:I51"/>
    <mergeCell ref="A52:C52"/>
    <mergeCell ref="F52:G52"/>
    <mergeCell ref="H52:I52"/>
    <mergeCell ref="A53:I53"/>
    <mergeCell ref="A54:I54"/>
    <mergeCell ref="A59:I59"/>
    <mergeCell ref="A60:I60"/>
    <mergeCell ref="A66:I66"/>
    <mergeCell ref="A62:I62"/>
    <mergeCell ref="A63:I63"/>
    <mergeCell ref="A64:I64"/>
    <mergeCell ref="A65:I65"/>
    <mergeCell ref="A61:I61"/>
  </mergeCells>
  <pageMargins left="0.7" right="0.7" top="0.75" bottom="0.75" header="0.3" footer="0.3"/>
  <pageSetup paperSize="9" scale="4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C542C6-6DDC-4BE5-837A-863B437FAC9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0FAAC5F6-9797-4BE0-BCC2-EEDE0EE3DD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D41DE8-F379-413C-819E-3ED81E3B97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cp:lastPrinted>2025-04-08T13:34:01Z</cp:lastPrinted>
  <dcterms:created xsi:type="dcterms:W3CDTF">2023-08-17T21:01:35Z</dcterms:created>
  <dcterms:modified xsi:type="dcterms:W3CDTF">2025-07-16T15:23:30Z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
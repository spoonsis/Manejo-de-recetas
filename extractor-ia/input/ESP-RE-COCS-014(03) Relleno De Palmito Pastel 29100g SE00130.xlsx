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1B93B899-E820-4102-A900-3418E0A0C18D}" xr6:coauthVersionLast="47" xr6:coauthVersionMax="47" xr10:uidLastSave="{7481A478-5E7E-4288-8CBC-5EA08C921FDC}"/>
  <bookViews>
    <workbookView xWindow="-120" yWindow="-120" windowWidth="20730" windowHeight="11040" xr2:uid="{2A2599DA-A595-4F0D-A0DE-0B4B3EFED829}"/>
  </bookViews>
  <sheets>
    <sheet name="Hoja1" sheetId="3" r:id="rId1"/>
  </sheets>
  <definedNames>
    <definedName name="_xlnm.Print_Area" localSheetId="0">Hoja1!$A$1:$I$41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/>
  <c r="J10" i="3" l="1"/>
  <c r="J12" i="3"/>
  <c r="J11" i="3"/>
  <c r="J13" i="3"/>
  <c r="J15" i="3"/>
  <c r="J14" i="3"/>
  <c r="J16" i="3"/>
  <c r="J17" i="3"/>
  <c r="J18" i="3"/>
  <c r="J19" i="3"/>
  <c r="J20" i="3"/>
</calcChain>
</file>

<file path=xl/sharedStrings.xml><?xml version="1.0" encoding="utf-8"?>
<sst xmlns="http://schemas.openxmlformats.org/spreadsheetml/2006/main" count="110" uniqueCount="93">
  <si>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</si>
  <si>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</si>
  <si>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</si>
  <si>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</si>
  <si>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</si>
  <si>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</si>
  <si>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</si>
  <si>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</si>
  <si>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</si>
  <si>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</si>
  <si>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</si>
  <si>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ESPECIFICACION DE RECETA</t>
  </si>
  <si>
    <t>1950765</t>
  </si>
  <si>
    <t>PLAST. AUTOAD 18 * 2000</t>
  </si>
  <si>
    <t>90</t>
  </si>
  <si>
    <t>cm</t>
  </si>
  <si>
    <t>g</t>
  </si>
  <si>
    <t>MERMA</t>
  </si>
  <si>
    <t>1212412</t>
  </si>
  <si>
    <t>PRESERVANTE 1017 KILO</t>
  </si>
  <si>
    <t>101035</t>
  </si>
  <si>
    <t>11400047</t>
  </si>
  <si>
    <t>90100129</t>
  </si>
  <si>
    <t>EMPAQUE ALMIDON MODIFICADO KILO</t>
  </si>
  <si>
    <t>FAS</t>
  </si>
  <si>
    <t>90100142</t>
  </si>
  <si>
    <t>EMPAQUE SAL KILO</t>
  </si>
  <si>
    <t>CONTROL DE CAMBIOS</t>
  </si>
  <si>
    <t>MP10020</t>
  </si>
  <si>
    <t>MP10030</t>
  </si>
  <si>
    <t>SE00014</t>
  </si>
  <si>
    <t>MP10025</t>
  </si>
  <si>
    <t>SE00104</t>
  </si>
  <si>
    <t>0310107</t>
  </si>
  <si>
    <t>MP10022</t>
  </si>
  <si>
    <t>MP10019</t>
  </si>
  <si>
    <t>0610254</t>
  </si>
  <si>
    <t>MP10014</t>
  </si>
  <si>
    <t>0710261</t>
  </si>
  <si>
    <t>MP10035</t>
  </si>
  <si>
    <t xml:space="preserve">LECHE 2% PASTEURIZADA </t>
  </si>
  <si>
    <t>CEBOLLA PICADA</t>
  </si>
  <si>
    <t>MP10693</t>
  </si>
  <si>
    <t>Relleno De Palmito Pastel 29100g SE00130</t>
  </si>
  <si>
    <t>SERVICIOS DE PASTELERIA S.A.</t>
  </si>
  <si>
    <t>CÓDIGO:</t>
  </si>
  <si>
    <t>ESP-RE-COCS-014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</si>
  <si>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</si>
  <si>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</si>
  <si>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</si>
  <si>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</si>
  <si>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</si>
  <si>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</si>
  <si>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</si>
  <si>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</si>
  <si>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</si>
  <si>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# Código Netsuite</t>
  </si>
  <si>
    <t>Medida alternativa</t>
  </si>
  <si>
    <t>Ensamble</t>
  </si>
  <si>
    <t>FRESQUITA</t>
  </si>
  <si>
    <t>LACTOCREMA GRANEL</t>
  </si>
  <si>
    <t>DOS PINOS</t>
  </si>
  <si>
    <t>CREMA GOURMET PRO 1/1 LITRO</t>
  </si>
  <si>
    <t>GOURMET</t>
  </si>
  <si>
    <t xml:space="preserve">PASTA AJO </t>
  </si>
  <si>
    <t>PRESTO</t>
  </si>
  <si>
    <t>PRIMA</t>
  </si>
  <si>
    <t>PIMIENTA BLANCA  MOLIDA</t>
  </si>
  <si>
    <t>ASEAL</t>
  </si>
  <si>
    <t>PAN CUADRADO BLANCO 1/22 REB</t>
  </si>
  <si>
    <t>ESCULTURAS DE JADE</t>
  </si>
  <si>
    <t>Decoración</t>
  </si>
  <si>
    <t>Empaque</t>
  </si>
  <si>
    <t>EM10259</t>
  </si>
  <si>
    <t>MAYCA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</si>
  <si>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</si>
  <si>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</si>
  <si>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</si>
  <si>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</si>
  <si>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</si>
  <si>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</si>
  <si>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</si>
  <si>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</si>
  <si>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PROCEDIMIENTO DE PREPARACION DE LA  RECETA</t>
  </si>
  <si>
    <t>MP10267</t>
  </si>
  <si>
    <t>PALMITO CRUDO KILO</t>
  </si>
  <si>
    <t>SPOON</t>
  </si>
  <si>
    <t xml:space="preserve">1.- Saltear en la lactocrema la cebolla, el ajo y el palmito picado. </t>
  </si>
  <si>
    <t>2.- Agregar la leche y la crema gourmet con la sal, pimienta y preservante y llevar a hervor. Cocer por 2 minutos mientras hierve.</t>
  </si>
  <si>
    <t>Revision #2: Correccion en el peso de la pimienta.</t>
  </si>
  <si>
    <t>3.- Agregar el almidon disuelto en la leche y espesar. Por ultimo agregar el pan en cuadritos y revolver hasta incorporar.</t>
  </si>
  <si>
    <t>Revision #3: Se cambia el agua en el almidon por leche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</si>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</sst>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20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144">
    <xf numFmtId="0" fontId="0" fillId="0" borderId="0" xfId="0"/>
    <xf numFmtId="0" fontId="3" fillId="2" borderId="2" xfId="2" applyFont="1" applyFill="1" applyBorder="1" applyAlignment="1">
      <alignment horizontal="left"/>
    </xf>
    <xf numFmtId="0" fontId="6" fillId="2" borderId="1" xfId="2" applyFont="1" applyFill="1" applyBorder="1" applyAlignment="1">
      <alignment horizontal="right"/>
    </xf>
    <xf numFmtId="0" fontId="6" fillId="2" borderId="3" xfId="2" applyFont="1" applyFill="1" applyBorder="1" applyAlignment="1">
      <alignment horizontal="right"/>
    </xf>
    <xf numFmtId="49" fontId="4" fillId="2" borderId="4" xfId="2" applyNumberFormat="1" applyFont="1" applyFill="1" applyBorder="1" applyAlignment="1">
      <alignment horizontal="center"/>
    </xf>
    <xf numFmtId="0" fontId="4" fillId="2" borderId="27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right"/>
    </xf>
    <xf numFmtId="0" fontId="6" fillId="3" borderId="2" xfId="1" applyFont="1" applyFill="1" applyBorder="1" applyAlignment="1">
      <alignment horizontal="center" vertical="center" wrapText="1"/>
    </xf>
    <xf numFmtId="1" fontId="6" fillId="3" borderId="18" xfId="1" applyNumberFormat="1" applyFont="1" applyFill="1" applyBorder="1" applyAlignment="1">
      <alignment horizontal="center"/>
    </xf>
    <xf numFmtId="1" fontId="6" fillId="3" borderId="18" xfId="1" applyNumberFormat="1" applyFont="1" applyFill="1" applyBorder="1" applyAlignment="1">
      <alignment horizontal="center" wrapText="1"/>
    </xf>
    <xf numFmtId="0" fontId="6" fillId="3" borderId="19" xfId="1" applyFont="1" applyFill="1" applyBorder="1" applyAlignment="1">
      <alignment horizontal="center"/>
    </xf>
    <xf numFmtId="0" fontId="4" fillId="2" borderId="0" xfId="1" applyFont="1" applyFill="1"/>
    <xf numFmtId="0" fontId="3" fillId="0" borderId="0" xfId="1"/>
    <xf numFmtId="0" fontId="4" fillId="2" borderId="0" xfId="1" applyFont="1" applyFill="1" applyAlignment="1">
      <alignment horizontal="left" indent="1"/>
    </xf>
    <xf numFmtId="9" fontId="4" fillId="2" borderId="0" xfId="5" applyFont="1" applyFill="1"/>
    <xf numFmtId="0" fontId="7" fillId="0" borderId="1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8" fillId="0" borderId="3" xfId="1" applyFont="1" applyBorder="1" applyAlignment="1">
      <alignment vertical="center"/>
    </xf>
    <xf numFmtId="0" fontId="7" fillId="0" borderId="3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16" fontId="9" fillId="4" borderId="27" xfId="0" applyNumberFormat="1" applyFont="1" applyFill="1" applyBorder="1" applyAlignment="1">
      <alignment horizontal="center"/>
    </xf>
    <xf numFmtId="1" fontId="9" fillId="4" borderId="27" xfId="0" applyNumberFormat="1" applyFont="1" applyFill="1" applyBorder="1" applyAlignment="1">
      <alignment horizontal="center"/>
    </xf>
    <xf numFmtId="1" fontId="9" fillId="0" borderId="27" xfId="0" applyNumberFormat="1" applyFont="1" applyBorder="1" applyAlignment="1">
      <alignment horizontal="center" wrapText="1"/>
    </xf>
    <xf numFmtId="2" fontId="7" fillId="0" borderId="3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6" fontId="9" fillId="4" borderId="3" xfId="0" applyNumberFormat="1" applyFont="1" applyFill="1" applyBorder="1" applyAlignment="1">
      <alignment horizontal="center"/>
    </xf>
    <xf numFmtId="1" fontId="9" fillId="4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4" borderId="3" xfId="0" applyFont="1" applyFill="1" applyBorder="1"/>
    <xf numFmtId="1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 wrapText="1"/>
    </xf>
    <xf numFmtId="49" fontId="9" fillId="0" borderId="12" xfId="1" applyNumberFormat="1" applyFont="1" applyBorder="1" applyAlignment="1">
      <alignment horizontal="center"/>
    </xf>
    <xf numFmtId="49" fontId="9" fillId="0" borderId="7" xfId="1" applyNumberFormat="1" applyFont="1" applyBorder="1" applyAlignment="1">
      <alignment horizontal="center"/>
    </xf>
    <xf numFmtId="0" fontId="7" fillId="4" borderId="3" xfId="1" applyFont="1" applyFill="1" applyBorder="1" applyAlignment="1">
      <alignment horizontal="left"/>
    </xf>
    <xf numFmtId="0" fontId="9" fillId="0" borderId="3" xfId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 wrapText="1"/>
    </xf>
    <xf numFmtId="49" fontId="7" fillId="0" borderId="21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/>
    </xf>
    <xf numFmtId="0" fontId="8" fillId="4" borderId="3" xfId="1" applyFont="1" applyFill="1" applyBorder="1" applyAlignment="1">
      <alignment vertical="center"/>
    </xf>
    <xf numFmtId="0" fontId="7" fillId="0" borderId="7" xfId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10" fillId="2" borderId="9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5" fontId="9" fillId="2" borderId="0" xfId="1" applyNumberFormat="1" applyFont="1" applyFill="1" applyAlignment="1">
      <alignment horizontal="center" wrapText="1"/>
    </xf>
    <xf numFmtId="0" fontId="9" fillId="2" borderId="8" xfId="1" applyFont="1" applyFill="1" applyBorder="1" applyAlignment="1">
      <alignment horizontal="center"/>
    </xf>
    <xf numFmtId="0" fontId="9" fillId="3" borderId="30" xfId="1" applyFont="1" applyFill="1" applyBorder="1" applyAlignment="1">
      <alignment horizontal="center"/>
    </xf>
    <xf numFmtId="0" fontId="9" fillId="3" borderId="31" xfId="1" applyFont="1" applyFill="1" applyBorder="1" applyAlignment="1">
      <alignment horizontal="center"/>
    </xf>
    <xf numFmtId="0" fontId="9" fillId="3" borderId="31" xfId="1" applyFont="1" applyFill="1" applyBorder="1"/>
    <xf numFmtId="0" fontId="7" fillId="3" borderId="31" xfId="1" applyFont="1" applyFill="1" applyBorder="1" applyAlignment="1">
      <alignment horizontal="center"/>
    </xf>
    <xf numFmtId="1" fontId="7" fillId="3" borderId="31" xfId="1" applyNumberFormat="1" applyFont="1" applyFill="1" applyBorder="1" applyAlignment="1">
      <alignment horizontal="center"/>
    </xf>
    <xf numFmtId="165" fontId="9" fillId="3" borderId="31" xfId="1" applyNumberFormat="1" applyFont="1" applyFill="1" applyBorder="1" applyAlignment="1">
      <alignment horizontal="center" wrapText="1"/>
    </xf>
    <xf numFmtId="0" fontId="9" fillId="3" borderId="32" xfId="1" applyFont="1" applyFill="1" applyBorder="1" applyAlignment="1">
      <alignment horizontal="center"/>
    </xf>
    <xf numFmtId="1" fontId="9" fillId="0" borderId="27" xfId="0" applyNumberFormat="1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4" fontId="4" fillId="2" borderId="13" xfId="2" applyNumberFormat="1" applyFont="1" applyFill="1" applyBorder="1" applyAlignment="1">
      <alignment horizontal="center" vertical="center" wrapText="1"/>
    </xf>
    <xf numFmtId="14" fontId="4" fillId="2" borderId="28" xfId="2" applyNumberFormat="1" applyFont="1" applyFill="1" applyBorder="1" applyAlignment="1">
      <alignment horizontal="center" vertical="center" wrapText="1"/>
    </xf>
    <xf numFmtId="14" fontId="4" fillId="2" borderId="38" xfId="2" applyNumberFormat="1" applyFont="1" applyFill="1" applyBorder="1" applyAlignment="1">
      <alignment horizontal="center" vertical="center" wrapText="1"/>
    </xf>
    <xf numFmtId="0" fontId="4" fillId="2" borderId="34" xfId="2" applyFont="1" applyFill="1" applyBorder="1" applyAlignment="1">
      <alignment horizontal="left"/>
    </xf>
    <xf numFmtId="0" fontId="4" fillId="2" borderId="35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left"/>
    </xf>
    <xf numFmtId="0" fontId="4" fillId="2" borderId="6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left"/>
    </xf>
    <xf numFmtId="0" fontId="4" fillId="2" borderId="15" xfId="2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14" xfId="2" applyFont="1" applyFill="1" applyBorder="1" applyAlignment="1">
      <alignment horizontal="center"/>
    </xf>
    <xf numFmtId="0" fontId="6" fillId="2" borderId="33" xfId="2" applyFont="1" applyFill="1" applyBorder="1" applyAlignment="1">
      <alignment horizontal="right" vertical="top" wrapText="1"/>
    </xf>
    <xf numFmtId="0" fontId="6" fillId="2" borderId="36" xfId="2" applyFont="1" applyFill="1" applyBorder="1" applyAlignment="1">
      <alignment horizontal="right" vertical="top" wrapText="1"/>
    </xf>
    <xf numFmtId="0" fontId="6" fillId="2" borderId="37" xfId="2" applyFont="1" applyFill="1" applyBorder="1" applyAlignment="1">
      <alignment horizontal="right" vertical="top" wrapText="1"/>
    </xf>
    <xf numFmtId="0" fontId="2" fillId="2" borderId="0" xfId="3" applyFont="1" applyFill="1" applyAlignment="1">
      <alignment horizontal="right"/>
    </xf>
    <xf numFmtId="0" fontId="2" fillId="2" borderId="0" xfId="3" applyFont="1" applyFill="1"/>
    <xf numFmtId="0" fontId="6" fillId="3" borderId="40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0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7" fillId="0" borderId="25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41" xfId="1" applyFont="1" applyBorder="1" applyAlignment="1">
      <alignment horizontal="right"/>
    </xf>
    <xf numFmtId="165" fontId="9" fillId="0" borderId="27" xfId="1" applyNumberFormat="1" applyFont="1" applyBorder="1" applyAlignment="1">
      <alignment horizontal="right"/>
    </xf>
    <xf numFmtId="0" fontId="9" fillId="2" borderId="42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7" fillId="0" borderId="21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65" fontId="9" fillId="0" borderId="29" xfId="1" applyNumberFormat="1" applyFont="1" applyBorder="1" applyAlignment="1">
      <alignment horizontal="center"/>
    </xf>
    <xf numFmtId="165" fontId="9" fillId="0" borderId="11" xfId="1" applyNumberFormat="1" applyFont="1" applyBorder="1" applyAlignment="1">
      <alignment horizontal="center"/>
    </xf>
    <xf numFmtId="0" fontId="9" fillId="0" borderId="12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165" fontId="9" fillId="0" borderId="29" xfId="1" applyNumberFormat="1" applyFont="1" applyBorder="1" applyAlignment="1">
      <alignment horizontal="right" wrapText="1"/>
    </xf>
    <xf numFmtId="165" fontId="9" fillId="0" borderId="7" xfId="1" applyNumberFormat="1" applyFont="1" applyBorder="1" applyAlignment="1">
      <alignment horizontal="right" wrapText="1"/>
    </xf>
    <xf numFmtId="0" fontId="7" fillId="0" borderId="17" xfId="1" applyFont="1" applyBorder="1" applyAlignment="1">
      <alignment horizontal="right"/>
    </xf>
    <xf numFmtId="0" fontId="7" fillId="0" borderId="20" xfId="1" applyFont="1" applyBorder="1" applyAlignment="1">
      <alignment horizontal="right"/>
    </xf>
    <xf numFmtId="0" fontId="7" fillId="0" borderId="18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165" fontId="9" fillId="0" borderId="43" xfId="1" applyNumberFormat="1" applyFont="1" applyBorder="1" applyAlignment="1">
      <alignment horizontal="center"/>
    </xf>
    <xf numFmtId="165" fontId="9" fillId="0" borderId="24" xfId="1" applyNumberFormat="1" applyFont="1" applyBorder="1" applyAlignment="1">
      <alignment horizontal="center"/>
    </xf>
    <xf numFmtId="0" fontId="7" fillId="3" borderId="30" xfId="1" applyFont="1" applyFill="1" applyBorder="1" applyAlignment="1">
      <alignment horizontal="center"/>
    </xf>
    <xf numFmtId="0" fontId="7" fillId="3" borderId="31" xfId="1" applyFont="1" applyFill="1" applyBorder="1" applyAlignment="1">
      <alignment horizontal="center"/>
    </xf>
    <xf numFmtId="0" fontId="7" fillId="3" borderId="32" xfId="1" applyFont="1" applyFill="1" applyBorder="1" applyAlignment="1">
      <alignment horizontal="center"/>
    </xf>
    <xf numFmtId="0" fontId="9" fillId="0" borderId="40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2" xfId="1" applyFont="1" applyBorder="1" applyAlignment="1">
      <alignment horizontal="left"/>
    </xf>
    <xf numFmtId="0" fontId="9" fillId="0" borderId="23" xfId="1" applyFont="1" applyBorder="1" applyAlignment="1">
      <alignment horizontal="left"/>
    </xf>
    <xf numFmtId="0" fontId="9" fillId="0" borderId="24" xfId="1" applyFont="1" applyBorder="1" applyAlignment="1">
      <alignment horizontal="left"/>
    </xf>
    <xf numFmtId="0" fontId="7" fillId="5" borderId="44" xfId="2" applyFont="1" applyFill="1" applyBorder="1" applyAlignment="1">
      <alignment horizontal="center"/>
    </xf>
    <xf numFmtId="0" fontId="7" fillId="5" borderId="16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2" fillId="2" borderId="39" xfId="3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11" fillId="6" borderId="30" xfId="2" applyFont="1" applyFill="1" applyBorder="1" applyAlignment="1">
      <alignment horizontal="center" vertical="center" wrapText="1"/>
    </xf>
    <xf numFmtId="0" fontId="11" fillId="6" borderId="31" xfId="2" applyFont="1" applyFill="1" applyBorder="1" applyAlignment="1">
      <alignment horizontal="center" vertical="center" wrapText="1"/>
    </xf>
    <xf numFmtId="0" fontId="11" fillId="6" borderId="32" xfId="2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617E1FF8-AAEF-4036-986B-963A14E1BF64}"/>
    <cellStyle name="Normal 3 2" xfId="4" xr:uid="{0CEF6948-A854-4C0A-BDCC-6054A5E376FC}"/>
    <cellStyle name="Normal_CRITERIOS DE EVALUACION PT DE GB" xfId="2" xr:uid="{D8968566-DBDC-4017-A57B-F80049939515}"/>
    <cellStyle name="Normal_CRITERIOS DE EVALUACION PT DE GB 2" xfId="3" xr:uid="{A1A26018-67AC-4C1B-B973-CD9BB264B1A0}"/>
    <cellStyle name="Porcentaje 2 2" xfId="5" xr:uid="{1890B54E-6C4E-4534-A374-0696C5741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83343</xdr:rowOff>
    </xdr:from>
    <xdr:to>
      <xdr:col>1</xdr:col>
      <xdr:colOff>1055794</xdr:colOff>
      <xdr:row>4</xdr:row>
      <xdr:rowOff>107155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0D39763-6E39-477E-96C8-AA528F19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83343"/>
          <a:ext cx="2055919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7A09-2B2B-4EB1-B0C0-C41975839740}">
  <sheetPr>
    <pageSetUpPr fitToPage="1"/>
  </sheetPr>
  <dimension ref="A1:M41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140625" customWidth="1"/>
    <col min="2" max="2" width="18.5703125" bestFit="1" customWidth="1"/>
    <col min="3" max="3" width="56.42578125" customWidth="1"/>
    <col min="4" max="4" width="34.28515625" bestFit="1" customWidth="1"/>
    <col min="5" max="5" width="16.42578125" customWidth="1"/>
    <col min="6" max="6" width="16.28515625" customWidth="1"/>
    <col min="7" max="7" width="18" customWidth="1"/>
    <col min="8" max="8" width="15.42578125" customWidth="1"/>
    <col min="9" max="9" width="18.42578125" bestFit="1" customWidth="1"/>
  </cols>
  <sheetData>
    <row r="1" spans="1:12" ht="15" x14ac:dyDescent="0.2">
      <c r="A1" s="79"/>
      <c r="B1" s="80"/>
      <c r="C1" s="85" t="s">
        <v>44</v>
      </c>
      <c r="D1" s="85"/>
      <c r="E1" s="85"/>
      <c r="F1" s="85"/>
      <c r="G1" s="85"/>
      <c r="H1" s="2" t="s">
        <v>45</v>
      </c>
      <c r="I1" s="1" t="s">
        <v>46</v>
      </c>
    </row>
    <row r="2" spans="1:12" ht="16.5" thickBot="1" x14ac:dyDescent="0.3">
      <c r="A2" s="81"/>
      <c r="B2" s="82"/>
      <c r="C2" s="86" t="s">
        <v>11</v>
      </c>
      <c r="D2" s="86"/>
      <c r="E2" s="86"/>
      <c r="F2" s="86"/>
      <c r="G2" s="86"/>
      <c r="H2" s="3" t="s">
        <v>47</v>
      </c>
      <c r="I2" s="4" t="s">
        <v>92</v>
      </c>
    </row>
    <row r="3" spans="1:12" ht="26.25" thickBot="1" x14ac:dyDescent="0.25">
      <c r="A3" s="81"/>
      <c r="B3" s="82"/>
      <c r="C3" s="141" t="s">
        <v>43</v>
      </c>
      <c r="D3" s="142"/>
      <c r="E3" s="142"/>
      <c r="F3" s="142"/>
      <c r="G3" s="143"/>
      <c r="H3" s="87" t="s">
        <v>48</v>
      </c>
      <c r="I3" s="70">
        <v>45661</v>
      </c>
    </row>
    <row r="4" spans="1:12" ht="13.5" x14ac:dyDescent="0.25">
      <c r="A4" s="81"/>
      <c r="B4" s="82"/>
      <c r="C4" s="5" t="s">
        <v>49</v>
      </c>
      <c r="D4" s="73" t="s">
        <v>50</v>
      </c>
      <c r="E4" s="74"/>
      <c r="F4" s="74"/>
      <c r="G4" s="75"/>
      <c r="H4" s="88"/>
      <c r="I4" s="71"/>
    </row>
    <row r="5" spans="1:12" ht="14.25" thickBot="1" x14ac:dyDescent="0.3">
      <c r="A5" s="83"/>
      <c r="B5" s="84"/>
      <c r="C5" s="6" t="s">
        <v>51</v>
      </c>
      <c r="D5" s="76" t="s">
        <v>52</v>
      </c>
      <c r="E5" s="77"/>
      <c r="F5" s="77"/>
      <c r="G5" s="78"/>
      <c r="H5" s="89"/>
      <c r="I5" s="72"/>
    </row>
    <row r="6" spans="1:12" ht="18.75" thickBot="1" x14ac:dyDescent="0.3">
      <c r="A6" s="90" t="s">
        <v>53</v>
      </c>
      <c r="B6" s="90"/>
      <c r="C6" s="90"/>
      <c r="D6" s="139" t="s">
        <v>54</v>
      </c>
      <c r="E6" s="139"/>
      <c r="F6" s="139"/>
      <c r="G6" s="91" t="s">
        <v>55</v>
      </c>
      <c r="H6" s="91"/>
      <c r="I6" s="140" t="s">
        <v>54</v>
      </c>
    </row>
    <row r="7" spans="1:12" x14ac:dyDescent="0.2">
      <c r="A7" s="92" t="s">
        <v>0</v>
      </c>
      <c r="B7" s="94" t="s">
        <v>56</v>
      </c>
      <c r="C7" s="96" t="s">
        <v>1</v>
      </c>
      <c r="D7" s="96" t="s">
        <v>2</v>
      </c>
      <c r="E7" s="96" t="s">
        <v>3</v>
      </c>
      <c r="F7" s="96"/>
      <c r="G7" s="96" t="s">
        <v>57</v>
      </c>
      <c r="H7" s="96"/>
      <c r="I7" s="7" t="s">
        <v>4</v>
      </c>
    </row>
    <row r="8" spans="1:12" ht="26.25" thickBot="1" x14ac:dyDescent="0.25">
      <c r="A8" s="93"/>
      <c r="B8" s="95"/>
      <c r="C8" s="97"/>
      <c r="D8" s="97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12" ht="20.25" x14ac:dyDescent="0.3">
      <c r="A9" s="15"/>
      <c r="B9" s="16"/>
      <c r="C9" s="17" t="s">
        <v>58</v>
      </c>
      <c r="D9" s="18"/>
      <c r="E9" s="19"/>
      <c r="F9" s="20"/>
      <c r="G9" s="19"/>
      <c r="H9" s="20"/>
      <c r="I9" s="21"/>
    </row>
    <row r="10" spans="1:12" ht="20.25" x14ac:dyDescent="0.3">
      <c r="A10" s="22" t="s">
        <v>20</v>
      </c>
      <c r="B10" s="22" t="s">
        <v>28</v>
      </c>
      <c r="C10" s="23" t="s">
        <v>41</v>
      </c>
      <c r="D10" s="24" t="s">
        <v>59</v>
      </c>
      <c r="E10" s="25">
        <v>1600</v>
      </c>
      <c r="F10" s="26" t="s">
        <v>16</v>
      </c>
      <c r="G10" s="27"/>
      <c r="H10" s="20"/>
      <c r="I10" s="21"/>
      <c r="J10">
        <f>E10/$L$13</f>
        <v>65.454545454545453</v>
      </c>
    </row>
    <row r="11" spans="1:12" ht="20.25" x14ac:dyDescent="0.3">
      <c r="A11" s="28" t="s">
        <v>33</v>
      </c>
      <c r="B11" s="28" t="s">
        <v>34</v>
      </c>
      <c r="C11" s="29" t="s">
        <v>60</v>
      </c>
      <c r="D11" s="30" t="s">
        <v>61</v>
      </c>
      <c r="E11" s="31">
        <v>300</v>
      </c>
      <c r="F11" s="32" t="s">
        <v>16</v>
      </c>
      <c r="G11" s="27"/>
      <c r="H11" s="20"/>
      <c r="I11" s="21"/>
      <c r="J11">
        <f t="shared" ref="J11:J20" si="0">E11/$L$13</f>
        <v>12.272727272727273</v>
      </c>
    </row>
    <row r="12" spans="1:12" ht="20.25" x14ac:dyDescent="0.3">
      <c r="A12" s="28"/>
      <c r="B12" s="28" t="s">
        <v>42</v>
      </c>
      <c r="C12" s="29" t="s">
        <v>62</v>
      </c>
      <c r="D12" s="30" t="s">
        <v>63</v>
      </c>
      <c r="E12" s="31">
        <v>1800</v>
      </c>
      <c r="F12" s="32" t="s">
        <v>16</v>
      </c>
      <c r="G12" s="27"/>
      <c r="H12" s="20"/>
      <c r="I12" s="21"/>
      <c r="J12">
        <f t="shared" si="0"/>
        <v>73.63636363636364</v>
      </c>
    </row>
    <row r="13" spans="1:12" ht="20.25" x14ac:dyDescent="0.3">
      <c r="A13" s="28" t="s">
        <v>21</v>
      </c>
      <c r="B13" s="28" t="s">
        <v>29</v>
      </c>
      <c r="C13" s="29" t="s">
        <v>40</v>
      </c>
      <c r="D13" s="30" t="s">
        <v>61</v>
      </c>
      <c r="E13" s="31">
        <v>1500</v>
      </c>
      <c r="F13" s="32" t="s">
        <v>16</v>
      </c>
      <c r="G13" s="27"/>
      <c r="H13" s="20"/>
      <c r="I13" s="21"/>
      <c r="J13">
        <f t="shared" si="0"/>
        <v>61.363636363636367</v>
      </c>
      <c r="L13">
        <f>11000/450</f>
        <v>24.444444444444443</v>
      </c>
    </row>
    <row r="14" spans="1:12" ht="20.25" x14ac:dyDescent="0.3">
      <c r="A14" s="28" t="s">
        <v>22</v>
      </c>
      <c r="B14" s="28" t="s">
        <v>30</v>
      </c>
      <c r="C14" s="29" t="s">
        <v>23</v>
      </c>
      <c r="D14" s="30" t="s">
        <v>24</v>
      </c>
      <c r="E14" s="31">
        <v>120</v>
      </c>
      <c r="F14" s="32" t="s">
        <v>16</v>
      </c>
      <c r="G14" s="27"/>
      <c r="H14" s="20"/>
      <c r="I14" s="21"/>
      <c r="J14">
        <f t="shared" si="0"/>
        <v>4.9090909090909092</v>
      </c>
    </row>
    <row r="15" spans="1:12" ht="20.25" x14ac:dyDescent="0.3">
      <c r="A15" s="28">
        <v>512319</v>
      </c>
      <c r="B15" s="28" t="s">
        <v>35</v>
      </c>
      <c r="C15" s="29" t="s">
        <v>64</v>
      </c>
      <c r="D15" s="30" t="s">
        <v>65</v>
      </c>
      <c r="E15" s="31">
        <v>150</v>
      </c>
      <c r="F15" s="32" t="s">
        <v>16</v>
      </c>
      <c r="G15" s="27"/>
      <c r="H15" s="20"/>
      <c r="I15" s="21"/>
      <c r="J15">
        <f t="shared" si="0"/>
        <v>6.1363636363636367</v>
      </c>
    </row>
    <row r="16" spans="1:12" ht="20.25" x14ac:dyDescent="0.3">
      <c r="A16" s="33" t="s">
        <v>36</v>
      </c>
      <c r="B16" s="33" t="s">
        <v>37</v>
      </c>
      <c r="C16" s="34" t="s">
        <v>67</v>
      </c>
      <c r="D16" s="30" t="s">
        <v>66</v>
      </c>
      <c r="E16" s="31">
        <v>10</v>
      </c>
      <c r="F16" s="32" t="s">
        <v>16</v>
      </c>
      <c r="G16" s="27"/>
      <c r="H16" s="20"/>
      <c r="I16" s="21"/>
      <c r="J16">
        <f t="shared" si="0"/>
        <v>0.40909090909090912</v>
      </c>
    </row>
    <row r="17" spans="1:13" ht="20.25" x14ac:dyDescent="0.3">
      <c r="A17" s="33">
        <v>101155</v>
      </c>
      <c r="B17" s="33" t="s">
        <v>84</v>
      </c>
      <c r="C17" s="34" t="s">
        <v>85</v>
      </c>
      <c r="D17" s="30" t="s">
        <v>86</v>
      </c>
      <c r="E17" s="31">
        <v>5000</v>
      </c>
      <c r="F17" s="32" t="s">
        <v>16</v>
      </c>
      <c r="G17" s="27"/>
      <c r="H17" s="20"/>
      <c r="I17" s="21"/>
      <c r="J17">
        <f t="shared" si="0"/>
        <v>204.54545454545456</v>
      </c>
    </row>
    <row r="18" spans="1:13" ht="20.25" x14ac:dyDescent="0.3">
      <c r="A18" s="33" t="s">
        <v>18</v>
      </c>
      <c r="B18" s="33" t="s">
        <v>31</v>
      </c>
      <c r="C18" s="34" t="s">
        <v>19</v>
      </c>
      <c r="D18" s="30" t="s">
        <v>68</v>
      </c>
      <c r="E18" s="31">
        <v>10</v>
      </c>
      <c r="F18" s="32" t="s">
        <v>16</v>
      </c>
      <c r="G18" s="27"/>
      <c r="H18" s="20"/>
      <c r="I18" s="21"/>
      <c r="J18">
        <f t="shared" si="0"/>
        <v>0.40909090909090912</v>
      </c>
    </row>
    <row r="19" spans="1:13" ht="20.25" x14ac:dyDescent="0.3">
      <c r="A19" s="33" t="s">
        <v>25</v>
      </c>
      <c r="B19" s="33" t="s">
        <v>32</v>
      </c>
      <c r="C19" s="34" t="s">
        <v>26</v>
      </c>
      <c r="D19" s="30" t="s">
        <v>24</v>
      </c>
      <c r="E19" s="31">
        <v>100</v>
      </c>
      <c r="F19" s="32" t="s">
        <v>16</v>
      </c>
      <c r="G19" s="27"/>
      <c r="H19" s="20"/>
      <c r="I19" s="21"/>
      <c r="J19">
        <f t="shared" si="0"/>
        <v>4.0909090909090908</v>
      </c>
    </row>
    <row r="20" spans="1:13" ht="20.25" x14ac:dyDescent="0.3">
      <c r="A20" s="33" t="s">
        <v>38</v>
      </c>
      <c r="B20" s="33" t="s">
        <v>39</v>
      </c>
      <c r="C20" s="34" t="s">
        <v>69</v>
      </c>
      <c r="D20" s="30" t="s">
        <v>70</v>
      </c>
      <c r="E20" s="31">
        <v>1000</v>
      </c>
      <c r="F20" s="32" t="s">
        <v>16</v>
      </c>
      <c r="G20" s="27"/>
      <c r="H20" s="20"/>
      <c r="I20" s="21"/>
      <c r="J20">
        <f t="shared" si="0"/>
        <v>40.909090909090914</v>
      </c>
    </row>
    <row r="21" spans="1:13" ht="20.25" x14ac:dyDescent="0.3">
      <c r="A21" s="33"/>
      <c r="B21" s="33"/>
      <c r="C21" s="37"/>
      <c r="D21" s="38"/>
      <c r="E21" s="38"/>
      <c r="F21" s="39"/>
      <c r="G21" s="19"/>
      <c r="H21" s="20"/>
      <c r="I21" s="21"/>
    </row>
    <row r="22" spans="1:13" ht="20.25" x14ac:dyDescent="0.3">
      <c r="A22" s="40"/>
      <c r="B22" s="41"/>
      <c r="C22" s="42" t="s">
        <v>71</v>
      </c>
      <c r="D22" s="43"/>
      <c r="E22" s="44"/>
      <c r="F22" s="39"/>
      <c r="G22" s="19"/>
      <c r="H22" s="20"/>
      <c r="I22" s="21"/>
    </row>
    <row r="23" spans="1:13" ht="20.25" x14ac:dyDescent="0.3">
      <c r="A23" s="33"/>
      <c r="B23" s="33"/>
      <c r="C23" s="37"/>
      <c r="D23" s="35"/>
      <c r="E23" s="45"/>
      <c r="F23" s="46"/>
      <c r="G23" s="19"/>
      <c r="H23" s="20"/>
      <c r="I23" s="21"/>
    </row>
    <row r="24" spans="1:13" ht="20.25" x14ac:dyDescent="0.3">
      <c r="A24" s="47"/>
      <c r="B24" s="48"/>
      <c r="C24" s="49" t="s">
        <v>72</v>
      </c>
      <c r="D24" s="50"/>
      <c r="E24" s="19"/>
      <c r="F24" s="20"/>
      <c r="G24" s="19"/>
      <c r="H24" s="20"/>
      <c r="I24" s="21"/>
    </row>
    <row r="25" spans="1:13" ht="20.25" x14ac:dyDescent="0.3">
      <c r="A25" s="36"/>
      <c r="B25" s="33"/>
      <c r="C25" s="34"/>
      <c r="D25" s="35"/>
      <c r="E25" s="51"/>
      <c r="F25" s="32"/>
      <c r="G25" s="27"/>
      <c r="H25" s="20"/>
      <c r="I25" s="21"/>
    </row>
    <row r="26" spans="1:13" ht="20.25" x14ac:dyDescent="0.3">
      <c r="A26" s="33" t="s">
        <v>12</v>
      </c>
      <c r="B26" s="33" t="s">
        <v>73</v>
      </c>
      <c r="C26" s="34" t="s">
        <v>13</v>
      </c>
      <c r="D26" s="35" t="s">
        <v>74</v>
      </c>
      <c r="E26" s="36" t="s">
        <v>14</v>
      </c>
      <c r="F26" s="32" t="s">
        <v>15</v>
      </c>
      <c r="G26" s="19"/>
      <c r="H26" s="20"/>
      <c r="I26" s="21"/>
    </row>
    <row r="27" spans="1:13" ht="21" thickBot="1" x14ac:dyDescent="0.35">
      <c r="A27" s="52"/>
      <c r="B27" s="53"/>
      <c r="C27" s="54"/>
      <c r="D27" s="54"/>
      <c r="E27" s="55"/>
      <c r="F27" s="56"/>
      <c r="G27" s="54"/>
      <c r="H27" s="54"/>
      <c r="I27" s="57"/>
      <c r="J27" s="12"/>
      <c r="K27" s="12"/>
      <c r="L27" s="13"/>
      <c r="M27" s="12"/>
    </row>
    <row r="28" spans="1:13" ht="21" thickBot="1" x14ac:dyDescent="0.35">
      <c r="A28" s="58"/>
      <c r="B28" s="59"/>
      <c r="C28" s="60"/>
      <c r="D28" s="61" t="s">
        <v>5</v>
      </c>
      <c r="E28" s="62" t="s">
        <v>75</v>
      </c>
      <c r="F28" s="63"/>
      <c r="G28" s="60"/>
      <c r="H28" s="60"/>
      <c r="I28" s="64"/>
      <c r="J28" s="12"/>
      <c r="K28" s="12"/>
      <c r="L28" s="13"/>
      <c r="M28" s="12"/>
    </row>
    <row r="29" spans="1:13" ht="20.25" x14ac:dyDescent="0.3">
      <c r="A29" s="98" t="s">
        <v>9</v>
      </c>
      <c r="B29" s="99"/>
      <c r="C29" s="100"/>
      <c r="D29" s="65">
        <v>11000</v>
      </c>
      <c r="E29" s="66" t="s">
        <v>16</v>
      </c>
      <c r="F29" s="101" t="s">
        <v>76</v>
      </c>
      <c r="G29" s="101"/>
      <c r="H29" s="102"/>
      <c r="I29" s="103"/>
      <c r="J29" s="12"/>
      <c r="K29" s="12"/>
      <c r="L29" s="13"/>
      <c r="M29" s="12"/>
    </row>
    <row r="30" spans="1:13" ht="20.25" x14ac:dyDescent="0.3">
      <c r="A30" s="104" t="s">
        <v>8</v>
      </c>
      <c r="B30" s="105"/>
      <c r="C30" s="106"/>
      <c r="D30" s="67">
        <v>15</v>
      </c>
      <c r="E30" s="33" t="s">
        <v>77</v>
      </c>
      <c r="F30" s="107" t="s">
        <v>78</v>
      </c>
      <c r="G30" s="107"/>
      <c r="H30" s="108"/>
      <c r="I30" s="109"/>
      <c r="J30" s="12"/>
      <c r="K30" s="12"/>
      <c r="L30" s="13"/>
      <c r="M30" s="12"/>
    </row>
    <row r="31" spans="1:13" ht="20.25" x14ac:dyDescent="0.3">
      <c r="A31" s="104" t="s">
        <v>79</v>
      </c>
      <c r="B31" s="105"/>
      <c r="C31" s="106"/>
      <c r="D31" s="33">
        <v>1</v>
      </c>
      <c r="E31" s="33" t="s">
        <v>80</v>
      </c>
      <c r="F31" s="107" t="s">
        <v>81</v>
      </c>
      <c r="G31" s="107"/>
      <c r="H31" s="108"/>
      <c r="I31" s="109"/>
      <c r="J31" s="12"/>
      <c r="K31" s="12"/>
      <c r="L31" s="13"/>
      <c r="M31" s="12"/>
    </row>
    <row r="32" spans="1:13" ht="20.25" x14ac:dyDescent="0.3">
      <c r="A32" s="104" t="s">
        <v>82</v>
      </c>
      <c r="B32" s="105"/>
      <c r="C32" s="106"/>
      <c r="D32" s="65">
        <v>11000</v>
      </c>
      <c r="E32" s="33"/>
      <c r="F32" s="114" t="s">
        <v>10</v>
      </c>
      <c r="G32" s="115"/>
      <c r="H32" s="108"/>
      <c r="I32" s="109"/>
      <c r="J32" s="12"/>
      <c r="K32" s="12"/>
      <c r="L32" s="13"/>
      <c r="M32" s="14"/>
    </row>
    <row r="33" spans="1:13" ht="21" thickBot="1" x14ac:dyDescent="0.35">
      <c r="A33" s="116" t="s">
        <v>17</v>
      </c>
      <c r="B33" s="117"/>
      <c r="C33" s="118"/>
      <c r="D33" s="68">
        <v>680</v>
      </c>
      <c r="E33" s="69"/>
      <c r="F33" s="119"/>
      <c r="G33" s="119"/>
      <c r="H33" s="120"/>
      <c r="I33" s="121"/>
      <c r="J33" s="11"/>
      <c r="K33" s="11"/>
      <c r="L33" s="13"/>
      <c r="M33" s="11"/>
    </row>
    <row r="34" spans="1:13" ht="21" thickBot="1" x14ac:dyDescent="0.35">
      <c r="A34" s="122" t="s">
        <v>83</v>
      </c>
      <c r="B34" s="123"/>
      <c r="C34" s="123"/>
      <c r="D34" s="123"/>
      <c r="E34" s="123"/>
      <c r="F34" s="123"/>
      <c r="G34" s="123"/>
      <c r="H34" s="123"/>
      <c r="I34" s="124"/>
      <c r="J34" s="12"/>
      <c r="K34" s="12"/>
      <c r="L34" s="12"/>
      <c r="M34" s="12"/>
    </row>
    <row r="35" spans="1:13" ht="20.25" x14ac:dyDescent="0.3">
      <c r="A35" s="125" t="s">
        <v>87</v>
      </c>
      <c r="B35" s="126"/>
      <c r="C35" s="127"/>
      <c r="D35" s="127"/>
      <c r="E35" s="127"/>
      <c r="F35" s="127"/>
      <c r="G35" s="127"/>
      <c r="H35" s="127"/>
      <c r="I35" s="128"/>
      <c r="J35" s="12"/>
      <c r="K35" s="12"/>
      <c r="L35" s="12"/>
      <c r="M35" s="12"/>
    </row>
    <row r="36" spans="1:13" ht="20.25" x14ac:dyDescent="0.3">
      <c r="A36" s="110" t="s">
        <v>88</v>
      </c>
      <c r="B36" s="111"/>
      <c r="C36" s="112"/>
      <c r="D36" s="112"/>
      <c r="E36" s="112"/>
      <c r="F36" s="112"/>
      <c r="G36" s="112"/>
      <c r="H36" s="112"/>
      <c r="I36" s="113"/>
      <c r="J36" s="12"/>
      <c r="K36" s="12"/>
      <c r="L36" s="12"/>
      <c r="M36" s="12"/>
    </row>
    <row r="37" spans="1:13" ht="20.25" x14ac:dyDescent="0.3">
      <c r="A37" s="135" t="s">
        <v>90</v>
      </c>
      <c r="B37" s="136"/>
      <c r="C37" s="137"/>
      <c r="D37" s="137"/>
      <c r="E37" s="137"/>
      <c r="F37" s="137"/>
      <c r="G37" s="137"/>
      <c r="H37" s="137"/>
      <c r="I37" s="138"/>
      <c r="J37" s="12"/>
      <c r="K37" s="12"/>
      <c r="L37" s="12"/>
      <c r="M37" s="12"/>
    </row>
    <row r="38" spans="1:13" ht="21" thickBot="1" x14ac:dyDescent="0.35">
      <c r="A38" s="129"/>
      <c r="B38" s="130"/>
      <c r="C38" s="130"/>
      <c r="D38" s="130"/>
      <c r="E38" s="130"/>
      <c r="F38" s="130"/>
      <c r="G38" s="130"/>
      <c r="H38" s="130"/>
      <c r="I38" s="131"/>
      <c r="J38" s="12"/>
      <c r="K38" s="12"/>
      <c r="L38" s="12"/>
      <c r="M38" s="12"/>
    </row>
    <row r="39" spans="1:13" ht="20.25" x14ac:dyDescent="0.3">
      <c r="A39" s="132" t="s">
        <v>27</v>
      </c>
      <c r="B39" s="133"/>
      <c r="C39" s="133"/>
      <c r="D39" s="133"/>
      <c r="E39" s="133"/>
      <c r="F39" s="133"/>
      <c r="G39" s="133"/>
      <c r="H39" s="133"/>
      <c r="I39" s="133"/>
      <c r="J39" s="12"/>
      <c r="K39" s="12"/>
      <c r="L39" s="12"/>
      <c r="M39" s="12"/>
    </row>
    <row r="40" spans="1:13" ht="20.25" x14ac:dyDescent="0.3">
      <c r="A40" s="134" t="s">
        <v>89</v>
      </c>
      <c r="B40" s="134"/>
      <c r="C40" s="134"/>
      <c r="D40" s="134"/>
      <c r="E40" s="134"/>
      <c r="F40" s="134"/>
      <c r="G40" s="134"/>
      <c r="H40" s="134"/>
      <c r="I40" s="134"/>
      <c r="J40" s="12"/>
      <c r="K40" s="12"/>
      <c r="L40" s="12"/>
      <c r="M40" s="12"/>
    </row>
    <row r="41" spans="1:13" ht="20.25" x14ac:dyDescent="0.3">
      <c r="A41" s="134" t="s">
        <v>91</v>
      </c>
      <c r="B41" s="134"/>
      <c r="C41" s="134"/>
      <c r="D41" s="134"/>
      <c r="E41" s="134"/>
      <c r="F41" s="134"/>
      <c r="G41" s="134"/>
      <c r="H41" s="134"/>
      <c r="I41" s="134"/>
    </row>
  </sheetData>
  <mergeCells count="40">
    <mergeCell ref="A38:I38"/>
    <mergeCell ref="A39:I39"/>
    <mergeCell ref="A40:I40"/>
    <mergeCell ref="A41:I41"/>
    <mergeCell ref="A37:I37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160E3-666A-4BA4-9591-E53EFEBB1E4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5EEA58-1900-4F2D-97EB-6B743B37B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FDA02C-9B9D-4262-BA8D-1C9A4890BC7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ED741D0-A0F5-4FF6-A272-0336E616C5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2026-05-14T15:58:04Z</cp:lastPrinted>
  <dcterms:created xsi:type="dcterms:W3CDTF">2007-08-31T13:59:55Z</dcterms:created>
  <dcterms:modified xsi:type="dcterms:W3CDTF">2026-05-14T15:58:59Z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101000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
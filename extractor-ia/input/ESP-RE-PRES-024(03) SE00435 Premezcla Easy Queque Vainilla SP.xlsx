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6" documentId="8_{44657884-7702-41D1-A364-1C84BF43CEDB}" xr6:coauthVersionLast="47" xr6:coauthVersionMax="47" xr10:uidLastSave="{1C5A5816-3C68-4C7B-A149-18473017885E}"/>
  <bookViews>
    <workbookView xWindow="-120" yWindow="-120" windowWidth="20730" windowHeight="11040" tabRatio="850" firstSheet="4" activeTab="4" xr2:uid="{1BCCA297-0F0B-492C-8DF4-1EE4F4FF3F59}"/>
  </bookViews>
  <sheets>
    <sheet name="Costo Actual Batido" sheetId="7" r:id="rId1"/>
    <sheet name="Costo Actual Premezcla " sheetId="8" state="hidden" r:id="rId2"/>
    <sheet name="Costo Nuevo Batido" sheetId="5" state="hidden" r:id="rId3"/>
    <sheet name="Costo Nuevo Batido 2" sheetId="10" state="hidden" r:id="rId4"/>
    <sheet name="Premezcla Nueva" sheetId="4" r:id="rId5"/>
    <sheet name="costo Nuevo Premezcla " sheetId="6" state="hidden" r:id="rId6"/>
    <sheet name="costo Nueva prem 2" sheetId="9" state="hidden" r:id="rId7"/>
  </sheets>
  <definedNames>
    <definedName name="_xlnm.Print_Area" localSheetId="4">'Premezcla Nueva'!$A$1:$I$38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1" i="10" l="1"/>
  <c r="M23" i="10"/>
  <c r="L24" i="10"/>
  <c r="M22" i="10"/>
  <c r="L29" i="9"/>
  <c r="L30" i="9" s="1"/>
  <c r="L24" i="5" l="1"/>
  <c r="K25" i="4"/>
  <c r="K24" i="4"/>
  <c r="M22" i="5"/>
  <c r="M21" i="5"/>
  <c r="N23" i="5"/>
  <c r="N21" i="7"/>
  <c r="J11" i="4"/>
  <c r="K11" i="4" s="1"/>
  <c r="J10" i="4"/>
  <c r="K10" i="4" s="1"/>
  <c r="L30" i="6"/>
  <c r="L29" i="6"/>
  <c r="K15" i="4"/>
  <c r="K14" i="4"/>
  <c r="J16" i="4"/>
  <c r="K16" i="4" s="1"/>
  <c r="J15" i="4"/>
  <c r="J14" i="4"/>
  <c r="J13" i="4"/>
  <c r="K13" i="4" s="1"/>
  <c r="J12" i="4"/>
  <c r="K12" i="4" s="1"/>
  <c r="L29" i="8"/>
  <c r="L24" i="7"/>
</calcChain>
</file>

<file path=xl/sharedStrings.xml><?xml version="1.0" encoding="utf-8"?>
<sst xmlns="http://schemas.openxmlformats.org/spreadsheetml/2006/main" count="632" uniqueCount="173">
  <si>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</si>
  <si>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</si>
  <si>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</si>
  <si>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</si>
  <si>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</si>
  <si>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</si>
  <si>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</si>
  <si>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</si>
  <si>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</si>
  <si>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</si>
  <si>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</si>
  <si>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</si>
  <si>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</si>
  <si>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</si>
  <si>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</si>
  <si>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</si>
  <si>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</si>
  <si>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</si>
  <si>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</si>
  <si>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</si>
  <si>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</si>
  <si>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</si>
  <si>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</si>
  <si>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</si>
  <si>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</si>
  <si>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</si>
  <si>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</si>
  <si>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</si>
  <si>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SE00435</t>
  </si>
  <si>
    <t>MP10005</t>
  </si>
  <si>
    <t>MP10002</t>
  </si>
  <si>
    <t>Javier Tong, Chef</t>
  </si>
  <si>
    <t>Esteban Cartin, Gte Manufactura</t>
  </si>
  <si>
    <t># Código Netsuite</t>
  </si>
  <si>
    <t>Ensamble</t>
  </si>
  <si>
    <t/>
  </si>
  <si>
    <t>Tiempo de Horneo:</t>
  </si>
  <si>
    <t>Horno:</t>
  </si>
  <si>
    <t>Temperatura de Horneo:</t>
  </si>
  <si>
    <t>Otros</t>
  </si>
  <si>
    <t>CONTROL DE CAMBIOS</t>
  </si>
  <si>
    <t>ESP-RE-PRES-024</t>
  </si>
  <si>
    <t>Premezclas</t>
  </si>
  <si>
    <t>11200082</t>
  </si>
  <si>
    <t>MP10490</t>
  </si>
  <si>
    <t>NÚCLEO VAINILLA EASY SP 20%</t>
  </si>
  <si>
    <t>PURATOS</t>
  </si>
  <si>
    <t>MP10074</t>
  </si>
  <si>
    <t>AZUCAR BLANCO INDUSTRIAL</t>
  </si>
  <si>
    <t>LAYCA</t>
  </si>
  <si>
    <t>MP10478</t>
  </si>
  <si>
    <t>HARINA SILVER CAKE</t>
  </si>
  <si>
    <t>SILVERCAKE</t>
  </si>
  <si>
    <t>MP10008</t>
  </si>
  <si>
    <t>PRESERVANTE 1047S</t>
  </si>
  <si>
    <t>ASEAL</t>
  </si>
  <si>
    <t>MP10517</t>
  </si>
  <si>
    <t>ACTI EGG</t>
  </si>
  <si>
    <t>MP10142</t>
  </si>
  <si>
    <t>CLARA DE HUEVO DESHIDRATADA</t>
  </si>
  <si>
    <t>QUIMICA MASIAS</t>
  </si>
  <si>
    <t>HUEVO EN POLVO</t>
  </si>
  <si>
    <t>EPMARKET</t>
  </si>
  <si>
    <t>Empaque</t>
  </si>
  <si>
    <t>EM10013</t>
  </si>
  <si>
    <t>BOLSA 17X25 TRANSPARENTE</t>
  </si>
  <si>
    <t>EM10011</t>
  </si>
  <si>
    <t>ETIQUETA BLANCA 2 5/8X1 15/16</t>
  </si>
  <si>
    <t>EM10258</t>
  </si>
  <si>
    <t>Bolsa Transparente 20x30x2000</t>
  </si>
  <si>
    <t>EM10133</t>
  </si>
  <si>
    <t>Etiqueta Roja Letra Alerjeno</t>
  </si>
  <si>
    <t>TANDA</t>
  </si>
  <si>
    <t>2.- En la otra bolsa 17x25 empacar el azuca etiquetar.</t>
  </si>
  <si>
    <t>2, Actualizacion de bolsas y correccion de marca de preservante. Actualizacion de procedimiento</t>
  </si>
  <si>
    <t>Revision #3: Se adiciona huevo en polvo.</t>
  </si>
  <si>
    <t>FILTROS :</t>
  </si>
  <si>
    <t>SUBSIDIARIA</t>
  </si>
  <si>
    <t>Empresa principal : Servicios de Pastelería S.A.</t>
  </si>
  <si>
    <t>ARTÍCULO</t>
  </si>
  <si>
    <t>SE00434 Batido Vainilla Easy SP</t>
  </si>
  <si>
    <t>UBICACIÓN</t>
  </si>
  <si>
    <t>Bodega Administrativa</t>
  </si>
  <si>
    <t>LISTA DE MATERIALES</t>
  </si>
  <si>
    <t>BOM SE00434</t>
  </si>
  <si>
    <t>CONTROL DE VISUALIZACIÓN</t>
  </si>
  <si>
    <t>Por revisión</t>
  </si>
  <si>
    <t>FECHA/FECHA EFECTIVA</t>
  </si>
  <si>
    <t>01/08/2023</t>
  </si>
  <si>
    <t>REVISIÓN DE LISTA DE MATERIALES</t>
  </si>
  <si>
    <t>REV V1 BOM SE00434</t>
  </si>
  <si>
    <t>POR RUTA DE FABRICACIÓN</t>
  </si>
  <si>
    <t>No</t>
  </si>
  <si>
    <t>RUTA DE FABRICACIÓN</t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</si>
  <si>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</si>
  <si>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</si>
  <si>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</si>
  <si>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</si>
  <si>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</si>
  <si>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</si>
  <si>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</si>
  <si>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</si>
  <si>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CRC1,038.27</t>
  </si>
  <si>
    <t>CRC1,038.27 KILOGRAMOS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</si>
  <si>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</si>
  <si>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</si>
  <si>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</si>
  <si>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</si>
  <si>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</si>
  <si>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</si>
  <si>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</si>
  <si>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</si>
  <si>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</si>
  <si>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</si>
  <si>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</si>
  <si>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Huevo Liquido Refrigerado</t>
  </si>
  <si>
    <t>151</t>
  </si>
  <si>
    <t>100%</t>
  </si>
  <si>
    <t>2.2672</t>
  </si>
  <si>
    <t>GRAMOS</t>
  </si>
  <si>
    <t>342.35</t>
  </si>
  <si>
    <t>Aceite Capullo Rbd</t>
  </si>
  <si>
    <t>139</t>
  </si>
  <si>
    <t>0.89294118</t>
  </si>
  <si>
    <t>MILILITROS</t>
  </si>
  <si>
    <t>124.12</t>
  </si>
  <si>
    <t>Premezcla Vainilla Easy Sp</t>
  </si>
  <si>
    <t>0.425</t>
  </si>
  <si>
    <t>1,345.4014632</t>
  </si>
  <si>
    <t>KILOGRAMOS</t>
  </si>
  <si>
    <t>571.80</t>
  </si>
  <si>
    <t>SE00435 Premezcla Vainilla Easy Sp</t>
  </si>
  <si>
    <t>BOM SE00435</t>
  </si>
  <si>
    <t>REV V1 BOM SE00435</t>
  </si>
  <si>
    <t>CRC1,345.40</t>
  </si>
  <si>
    <t>CRC1,345.40 KILOGRAMOS</t>
  </si>
  <si>
    <t>Núcleo Vainilla Easy Sp 20%</t>
  </si>
  <si>
    <t>196.26</t>
  </si>
  <si>
    <t>2.185</t>
  </si>
  <si>
    <t>428.83</t>
  </si>
  <si>
    <t>Azucar Blanco Industrial</t>
  </si>
  <si>
    <t>434.86</t>
  </si>
  <si>
    <t>0.43032</t>
  </si>
  <si>
    <t>187.13</t>
  </si>
  <si>
    <t>Harina Silver Cake</t>
  </si>
  <si>
    <t>330.96</t>
  </si>
  <si>
    <t>0.51548</t>
  </si>
  <si>
    <t>170.60</t>
  </si>
  <si>
    <t>Preservante 1047S</t>
  </si>
  <si>
    <t>1.92</t>
  </si>
  <si>
    <t>7.32166</t>
  </si>
  <si>
    <t>14.06</t>
  </si>
  <si>
    <t>Bolsa 17X25 Transparente</t>
  </si>
  <si>
    <t>1.15</t>
  </si>
  <si>
    <t>1.80</t>
  </si>
  <si>
    <t>2.07</t>
  </si>
  <si>
    <t>Etiqueta Blanca 2 5/8X1 15/16</t>
  </si>
  <si>
    <t>0.07</t>
  </si>
  <si>
    <t>2.128</t>
  </si>
  <si>
    <t>0.15</t>
  </si>
  <si>
    <t>Acti Egg</t>
  </si>
  <si>
    <t>12.89</t>
  </si>
  <si>
    <t>2.365</t>
  </si>
  <si>
    <t>30.48</t>
  </si>
  <si>
    <t>Clara De Huevo Deshidratada</t>
  </si>
  <si>
    <t>25.01</t>
  </si>
  <si>
    <t>20.475</t>
  </si>
  <si>
    <t>512.08</t>
  </si>
  <si>
    <t>Huevo en polvo</t>
  </si>
  <si>
    <t>MP10769</t>
  </si>
  <si>
    <t>1.- En una bolsa 20x30 empacar el nucleo easy queque vainilla sp, harina silver cake con el preservante, actiegg, huevo en polvo y etiquetar. 
Colocar Etiqueta Alergeno</t>
  </si>
  <si>
    <t>03</t>
  </si>
  <si>
    <t>SE00435 Premezcla Easy Queque Vainilla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</si>
</sst>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3">
    <xf numFmtId="0" fontId="0" fillId="0" borderId="0" xfId="0"/>
    <xf numFmtId="0" fontId="7" fillId="2" borderId="24" xfId="3" applyFont="1" applyFill="1" applyBorder="1" applyAlignment="1">
      <alignment horizontal="right"/>
    </xf>
    <xf numFmtId="0" fontId="7" fillId="2" borderId="14" xfId="3" applyFont="1" applyFill="1" applyBorder="1" applyAlignment="1">
      <alignment horizontal="right"/>
    </xf>
    <xf numFmtId="0" fontId="5" fillId="2" borderId="17" xfId="3" applyFont="1" applyFill="1" applyBorder="1" applyAlignment="1">
      <alignment horizontal="right"/>
    </xf>
    <xf numFmtId="0" fontId="5" fillId="2" borderId="14" xfId="3" applyFont="1" applyFill="1" applyBorder="1" applyAlignment="1">
      <alignment horizontal="right"/>
    </xf>
    <xf numFmtId="0" fontId="7" fillId="3" borderId="23" xfId="1" applyFont="1" applyFill="1" applyBorder="1" applyAlignment="1">
      <alignment horizontal="center" vertical="center" wrapText="1"/>
    </xf>
    <xf numFmtId="0" fontId="5" fillId="2" borderId="23" xfId="3" applyFont="1" applyFill="1" applyBorder="1" applyAlignment="1">
      <alignment horizontal="center"/>
    </xf>
    <xf numFmtId="49" fontId="5" fillId="2" borderId="26" xfId="3" applyNumberFormat="1" applyFont="1" applyFill="1" applyBorder="1" applyAlignment="1">
      <alignment horizontal="center"/>
    </xf>
    <xf numFmtId="1" fontId="7" fillId="3" borderId="9" xfId="1" applyNumberFormat="1" applyFont="1" applyFill="1" applyBorder="1" applyAlignment="1">
      <alignment horizontal="center"/>
    </xf>
    <xf numFmtId="1" fontId="7" fillId="3" borderId="9" xfId="1" applyNumberFormat="1" applyFont="1" applyFill="1" applyBorder="1" applyAlignment="1">
      <alignment horizontal="center" wrapText="1"/>
    </xf>
    <xf numFmtId="0" fontId="7" fillId="3" borderId="22" xfId="1" applyFont="1" applyFill="1" applyBorder="1" applyAlignment="1">
      <alignment horizontal="center"/>
    </xf>
    <xf numFmtId="1" fontId="0" fillId="0" borderId="0" xfId="0" applyNumberFormat="1"/>
    <xf numFmtId="43" fontId="0" fillId="0" borderId="0" xfId="6" applyFont="1"/>
    <xf numFmtId="0" fontId="8" fillId="0" borderId="0" xfId="0" applyFont="1"/>
    <xf numFmtId="0" fontId="4" fillId="2" borderId="0" xfId="3" applyFont="1" applyFill="1" applyAlignment="1">
      <alignment horizontal="right"/>
    </xf>
    <xf numFmtId="0" fontId="4" fillId="2" borderId="0" xfId="3" applyFont="1" applyFill="1"/>
    <xf numFmtId="0" fontId="7" fillId="3" borderId="25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14" fontId="5" fillId="2" borderId="35" xfId="3" applyNumberFormat="1" applyFont="1" applyFill="1" applyBorder="1" applyAlignment="1">
      <alignment horizontal="center" vertical="center" wrapText="1"/>
    </xf>
    <xf numFmtId="14" fontId="5" fillId="2" borderId="39" xfId="3" applyNumberFormat="1" applyFont="1" applyFill="1" applyBorder="1" applyAlignment="1">
      <alignment horizontal="center" vertical="center" wrapText="1"/>
    </xf>
    <xf numFmtId="14" fontId="5" fillId="2" borderId="21" xfId="3" applyNumberFormat="1" applyFont="1" applyFill="1" applyBorder="1" applyAlignment="1">
      <alignment horizontal="center" vertical="center" wrapText="1"/>
    </xf>
    <xf numFmtId="0" fontId="5" fillId="2" borderId="36" xfId="3" applyFont="1" applyFill="1" applyBorder="1" applyAlignment="1">
      <alignment horizontal="left"/>
    </xf>
    <xf numFmtId="0" fontId="5" fillId="2" borderId="37" xfId="3" applyFont="1" applyFill="1" applyBorder="1" applyAlignment="1">
      <alignment horizontal="left"/>
    </xf>
    <xf numFmtId="0" fontId="5" fillId="2" borderId="38" xfId="3" applyFont="1" applyFill="1" applyBorder="1" applyAlignment="1">
      <alignment horizontal="left"/>
    </xf>
    <xf numFmtId="0" fontId="5" fillId="2" borderId="12" xfId="3" applyFont="1" applyFill="1" applyBorder="1" applyAlignment="1">
      <alignment horizontal="left"/>
    </xf>
    <xf numFmtId="0" fontId="5" fillId="2" borderId="27" xfId="3" applyFont="1" applyFill="1" applyBorder="1" applyAlignment="1">
      <alignment horizontal="left"/>
    </xf>
    <xf numFmtId="0" fontId="5" fillId="2" borderId="13" xfId="3" applyFont="1" applyFill="1" applyBorder="1" applyAlignment="1">
      <alignment horizontal="left"/>
    </xf>
    <xf numFmtId="0" fontId="5" fillId="2" borderId="29" xfId="3" applyFont="1" applyFill="1" applyBorder="1" applyAlignment="1">
      <alignment horizontal="center"/>
    </xf>
    <xf numFmtId="0" fontId="5" fillId="2" borderId="32" xfId="3" applyFont="1" applyFill="1" applyBorder="1" applyAlignment="1">
      <alignment horizontal="center"/>
    </xf>
    <xf numFmtId="0" fontId="5" fillId="2" borderId="20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0" fontId="6" fillId="2" borderId="24" xfId="3" applyFont="1" applyFill="1" applyBorder="1" applyAlignment="1">
      <alignment horizontal="center"/>
    </xf>
    <xf numFmtId="0" fontId="6" fillId="2" borderId="8" xfId="3" applyFont="1" applyFill="1" applyBorder="1" applyAlignment="1">
      <alignment horizontal="center"/>
    </xf>
    <xf numFmtId="0" fontId="6" fillId="2" borderId="33" xfId="3" applyFont="1" applyFill="1" applyBorder="1" applyAlignment="1">
      <alignment horizontal="center"/>
    </xf>
    <xf numFmtId="0" fontId="6" fillId="2" borderId="28" xfId="3" applyFont="1" applyFill="1" applyBorder="1" applyAlignment="1">
      <alignment horizontal="center"/>
    </xf>
    <xf numFmtId="0" fontId="7" fillId="2" borderId="34" xfId="3" applyFont="1" applyFill="1" applyBorder="1" applyAlignment="1">
      <alignment horizontal="right" vertical="top" wrapText="1"/>
    </xf>
    <xf numFmtId="0" fontId="7" fillId="2" borderId="30" xfId="3" applyFont="1" applyFill="1" applyBorder="1" applyAlignment="1">
      <alignment horizontal="right" vertical="top" wrapText="1"/>
    </xf>
    <xf numFmtId="0" fontId="7" fillId="2" borderId="31" xfId="3" applyFont="1" applyFill="1" applyBorder="1" applyAlignment="1">
      <alignment horizontal="right" vertical="top" wrapText="1"/>
    </xf>
    <xf numFmtId="0" fontId="9" fillId="0" borderId="40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vertical="center"/>
    </xf>
    <xf numFmtId="0" fontId="9" fillId="0" borderId="14" xfId="1" applyFont="1" applyBorder="1" applyAlignment="1">
      <alignment horizontal="center" vertical="center"/>
    </xf>
    <xf numFmtId="1" fontId="9" fillId="0" borderId="14" xfId="1" applyNumberFormat="1" applyFont="1" applyBorder="1" applyAlignment="1">
      <alignment horizontal="center"/>
    </xf>
    <xf numFmtId="1" fontId="9" fillId="0" borderId="14" xfId="1" applyNumberFormat="1" applyFont="1" applyBorder="1" applyAlignment="1">
      <alignment horizontal="center" wrapText="1"/>
    </xf>
    <xf numFmtId="0" fontId="11" fillId="0" borderId="26" xfId="1" applyFont="1" applyBorder="1" applyAlignment="1">
      <alignment horizontal="center"/>
    </xf>
    <xf numFmtId="0" fontId="11" fillId="0" borderId="45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6" xfId="1" applyFont="1" applyBorder="1" applyAlignment="1">
      <alignment horizontal="left" vertical="center"/>
    </xf>
    <xf numFmtId="16" fontId="11" fillId="0" borderId="17" xfId="1" applyNumberFormat="1" applyFont="1" applyBorder="1" applyAlignment="1">
      <alignment horizontal="center"/>
    </xf>
    <xf numFmtId="1" fontId="11" fillId="0" borderId="14" xfId="1" applyNumberFormat="1" applyFont="1" applyBorder="1" applyAlignment="1">
      <alignment horizontal="center"/>
    </xf>
    <xf numFmtId="1" fontId="11" fillId="0" borderId="14" xfId="1" applyNumberFormat="1" applyFont="1" applyBorder="1" applyAlignment="1">
      <alignment horizontal="center" wrapText="1"/>
    </xf>
    <xf numFmtId="0" fontId="11" fillId="0" borderId="17" xfId="4" applyFont="1" applyBorder="1" applyAlignment="1">
      <alignment horizontal="center" wrapText="1"/>
    </xf>
    <xf numFmtId="12" fontId="11" fillId="0" borderId="17" xfId="4" applyNumberFormat="1" applyFont="1" applyBorder="1" applyAlignment="1">
      <alignment horizontal="center"/>
    </xf>
    <xf numFmtId="0" fontId="12" fillId="0" borderId="14" xfId="4" applyFont="1" applyBorder="1" applyAlignment="1">
      <alignment horizontal="center"/>
    </xf>
    <xf numFmtId="0" fontId="11" fillId="0" borderId="12" xfId="1" quotePrefix="1" applyFont="1" applyBorder="1" applyAlignment="1">
      <alignment horizontal="center"/>
    </xf>
    <xf numFmtId="0" fontId="11" fillId="0" borderId="14" xfId="1" quotePrefix="1" applyFont="1" applyBorder="1" applyAlignment="1">
      <alignment horizontal="center"/>
    </xf>
    <xf numFmtId="0" fontId="11" fillId="0" borderId="13" xfId="1" quotePrefix="1" applyFont="1" applyBorder="1"/>
    <xf numFmtId="16" fontId="11" fillId="0" borderId="14" xfId="1" applyNumberFormat="1" applyFont="1" applyBorder="1" applyAlignment="1">
      <alignment horizontal="center"/>
    </xf>
    <xf numFmtId="0" fontId="11" fillId="0" borderId="14" xfId="4" applyFont="1" applyBorder="1" applyAlignment="1">
      <alignment horizontal="center"/>
    </xf>
    <xf numFmtId="0" fontId="12" fillId="0" borderId="14" xfId="4" applyFont="1" applyBorder="1" applyAlignment="1">
      <alignment horizontal="left"/>
    </xf>
    <xf numFmtId="0" fontId="13" fillId="0" borderId="14" xfId="4" applyFont="1" applyBorder="1" applyAlignment="1">
      <alignment horizontal="center" vertical="center"/>
    </xf>
    <xf numFmtId="0" fontId="9" fillId="0" borderId="14" xfId="4" applyFont="1" applyBorder="1"/>
    <xf numFmtId="0" fontId="12" fillId="0" borderId="14" xfId="4" applyFont="1" applyBorder="1"/>
    <xf numFmtId="16" fontId="11" fillId="0" borderId="14" xfId="4" applyNumberFormat="1" applyFont="1" applyBorder="1" applyAlignment="1">
      <alignment horizontal="center"/>
    </xf>
    <xf numFmtId="1" fontId="11" fillId="0" borderId="14" xfId="4" applyNumberFormat="1" applyFont="1" applyBorder="1" applyAlignment="1">
      <alignment horizontal="center"/>
    </xf>
    <xf numFmtId="1" fontId="11" fillId="0" borderId="14" xfId="4" applyNumberFormat="1" applyFont="1" applyBorder="1" applyAlignment="1">
      <alignment horizontal="center" wrapText="1"/>
    </xf>
    <xf numFmtId="49" fontId="9" fillId="0" borderId="15" xfId="1" applyNumberFormat="1" applyFont="1" applyBorder="1" applyAlignment="1">
      <alignment horizontal="center"/>
    </xf>
    <xf numFmtId="49" fontId="9" fillId="0" borderId="27" xfId="1" applyNumberFormat="1" applyFont="1" applyBorder="1" applyAlignment="1">
      <alignment horizontal="center"/>
    </xf>
    <xf numFmtId="0" fontId="10" fillId="6" borderId="14" xfId="1" applyFont="1" applyFill="1" applyBorder="1" applyAlignment="1">
      <alignment vertical="center"/>
    </xf>
    <xf numFmtId="0" fontId="9" fillId="0" borderId="13" xfId="1" applyFont="1" applyBorder="1" applyAlignment="1">
      <alignment horizontal="center"/>
    </xf>
    <xf numFmtId="165" fontId="9" fillId="0" borderId="14" xfId="1" applyNumberFormat="1" applyFont="1" applyBorder="1" applyAlignment="1">
      <alignment horizontal="center"/>
    </xf>
    <xf numFmtId="0" fontId="12" fillId="0" borderId="0" xfId="4" applyFont="1"/>
    <xf numFmtId="49" fontId="11" fillId="0" borderId="40" xfId="4" applyNumberFormat="1" applyFont="1" applyBorder="1" applyAlignment="1">
      <alignment horizontal="center"/>
    </xf>
    <xf numFmtId="49" fontId="11" fillId="0" borderId="13" xfId="4" applyNumberFormat="1" applyFont="1" applyBorder="1" applyAlignment="1">
      <alignment horizontal="center"/>
    </xf>
    <xf numFmtId="49" fontId="9" fillId="0" borderId="14" xfId="4" applyNumberFormat="1" applyFont="1" applyBorder="1"/>
    <xf numFmtId="166" fontId="9" fillId="6" borderId="14" xfId="5" applyNumberFormat="1" applyFont="1" applyFill="1" applyBorder="1" applyAlignment="1">
      <alignment horizontal="center"/>
    </xf>
    <xf numFmtId="0" fontId="12" fillId="0" borderId="14" xfId="4" applyFont="1" applyBorder="1" applyAlignment="1">
      <alignment horizontal="center" vertical="center"/>
    </xf>
    <xf numFmtId="0" fontId="12" fillId="0" borderId="14" xfId="4" applyFont="1" applyBorder="1" applyAlignment="1">
      <alignment horizontal="left" vertical="center"/>
    </xf>
    <xf numFmtId="49" fontId="13" fillId="2" borderId="20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19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6" xfId="1" applyFont="1" applyFill="1" applyBorder="1" applyAlignment="1">
      <alignment horizontal="center"/>
    </xf>
    <xf numFmtId="0" fontId="11" fillId="3" borderId="6" xfId="1" applyFont="1" applyFill="1" applyBorder="1"/>
    <xf numFmtId="0" fontId="9" fillId="3" borderId="6" xfId="1" applyFont="1" applyFill="1" applyBorder="1" applyAlignment="1">
      <alignment horizontal="center"/>
    </xf>
    <xf numFmtId="1" fontId="9" fillId="3" borderId="6" xfId="1" applyNumberFormat="1" applyFont="1" applyFill="1" applyBorder="1" applyAlignment="1">
      <alignment horizontal="center"/>
    </xf>
    <xf numFmtId="164" fontId="11" fillId="3" borderId="6" xfId="1" applyNumberFormat="1" applyFont="1" applyFill="1" applyBorder="1" applyAlignment="1">
      <alignment horizontal="center" wrapText="1"/>
    </xf>
    <xf numFmtId="0" fontId="11" fillId="3" borderId="5" xfId="1" applyFont="1" applyFill="1" applyBorder="1" applyAlignment="1">
      <alignment horizontal="center"/>
    </xf>
    <xf numFmtId="0" fontId="9" fillId="0" borderId="4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9" fillId="0" borderId="18" xfId="1" applyFont="1" applyBorder="1" applyAlignment="1">
      <alignment horizontal="right"/>
    </xf>
    <xf numFmtId="1" fontId="11" fillId="0" borderId="17" xfId="4" applyNumberFormat="1" applyFont="1" applyBorder="1" applyAlignment="1">
      <alignment horizontal="center"/>
    </xf>
    <xf numFmtId="0" fontId="11" fillId="0" borderId="16" xfId="4" applyFont="1" applyBorder="1" applyAlignment="1">
      <alignment horizontal="center"/>
    </xf>
    <xf numFmtId="164" fontId="11" fillId="0" borderId="17" xfId="1" applyNumberFormat="1" applyFont="1" applyBorder="1" applyAlignment="1">
      <alignment horizontal="right"/>
    </xf>
    <xf numFmtId="0" fontId="11" fillId="2" borderId="16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9" fillId="0" borderId="15" xfId="1" applyFont="1" applyBorder="1" applyAlignment="1">
      <alignment horizontal="right"/>
    </xf>
    <xf numFmtId="0" fontId="9" fillId="0" borderId="27" xfId="1" applyFont="1" applyBorder="1" applyAlignment="1">
      <alignment horizontal="right"/>
    </xf>
    <xf numFmtId="0" fontId="9" fillId="0" borderId="13" xfId="1" applyFont="1" applyBorder="1" applyAlignment="1">
      <alignment horizontal="right"/>
    </xf>
    <xf numFmtId="0" fontId="11" fillId="0" borderId="14" xfId="1" applyFont="1" applyBorder="1" applyAlignment="1">
      <alignment horizontal="right"/>
    </xf>
    <xf numFmtId="164" fontId="11" fillId="0" borderId="12" xfId="1" applyNumberFormat="1" applyFont="1" applyBorder="1" applyAlignment="1">
      <alignment horizontal="center"/>
    </xf>
    <xf numFmtId="164" fontId="11" fillId="0" borderId="11" xfId="1" applyNumberFormat="1" applyFont="1" applyBorder="1" applyAlignment="1">
      <alignment horizontal="center"/>
    </xf>
    <xf numFmtId="164" fontId="11" fillId="0" borderId="12" xfId="1" applyNumberFormat="1" applyFont="1" applyBorder="1" applyAlignment="1">
      <alignment horizontal="right" wrapText="1"/>
    </xf>
    <xf numFmtId="164" fontId="11" fillId="0" borderId="13" xfId="1" applyNumberFormat="1" applyFont="1" applyBorder="1" applyAlignment="1">
      <alignment horizontal="right" wrapText="1"/>
    </xf>
    <xf numFmtId="164" fontId="11" fillId="0" borderId="12" xfId="4" applyNumberFormat="1" applyFont="1" applyBorder="1" applyAlignment="1">
      <alignment horizontal="center" wrapText="1"/>
    </xf>
    <xf numFmtId="164" fontId="11" fillId="0" borderId="11" xfId="4" applyNumberFormat="1" applyFont="1" applyBorder="1" applyAlignment="1">
      <alignment horizontal="center" wrapText="1"/>
    </xf>
    <xf numFmtId="0" fontId="9" fillId="0" borderId="10" xfId="1" applyFont="1" applyBorder="1" applyAlignment="1">
      <alignment horizontal="right"/>
    </xf>
    <xf numFmtId="0" fontId="9" fillId="0" borderId="28" xfId="1" applyFont="1" applyBorder="1" applyAlignment="1">
      <alignment horizontal="right"/>
    </xf>
    <xf numFmtId="0" fontId="9" fillId="0" borderId="9" xfId="1" applyFont="1" applyBorder="1" applyAlignment="1">
      <alignment horizontal="right"/>
    </xf>
    <xf numFmtId="1" fontId="11" fillId="0" borderId="9" xfId="4" applyNumberFormat="1" applyFont="1" applyBorder="1" applyAlignment="1">
      <alignment horizontal="center"/>
    </xf>
    <xf numFmtId="0" fontId="11" fillId="0" borderId="9" xfId="4" applyFont="1" applyBorder="1" applyAlignment="1">
      <alignment horizontal="center"/>
    </xf>
    <xf numFmtId="0" fontId="11" fillId="0" borderId="9" xfId="1" applyFont="1" applyBorder="1" applyAlignment="1">
      <alignment horizontal="right"/>
    </xf>
    <xf numFmtId="0" fontId="11" fillId="0" borderId="44" xfId="1" applyFont="1" applyBorder="1" applyAlignment="1">
      <alignment horizontal="left"/>
    </xf>
    <xf numFmtId="0" fontId="11" fillId="0" borderId="18" xfId="1" applyFont="1" applyBorder="1" applyAlignment="1">
      <alignment horizontal="left"/>
    </xf>
    <xf numFmtId="0" fontId="11" fillId="0" borderId="17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1" fillId="0" borderId="44" xfId="1" applyFont="1" applyBorder="1" applyAlignment="1">
      <alignment horizontal="left" wrapText="1"/>
    </xf>
    <xf numFmtId="0" fontId="11" fillId="0" borderId="18" xfId="1" applyFont="1" applyBorder="1" applyAlignment="1">
      <alignment horizontal="left" wrapText="1"/>
    </xf>
    <xf numFmtId="0" fontId="11" fillId="0" borderId="17" xfId="1" applyFont="1" applyBorder="1" applyAlignment="1">
      <alignment horizontal="left" wrapText="1"/>
    </xf>
    <xf numFmtId="0" fontId="11" fillId="0" borderId="21" xfId="1" applyFont="1" applyBorder="1" applyAlignment="1">
      <alignment horizontal="left" wrapText="1"/>
    </xf>
    <xf numFmtId="0" fontId="11" fillId="0" borderId="20" xfId="1" applyFont="1" applyBorder="1" applyAlignment="1">
      <alignment horizontal="left"/>
    </xf>
    <xf numFmtId="0" fontId="11" fillId="0" borderId="0" xfId="1" applyFont="1" applyBorder="1" applyAlignment="1">
      <alignment horizontal="left"/>
    </xf>
    <xf numFmtId="0" fontId="11" fillId="0" borderId="19" xfId="1" applyFont="1" applyBorder="1" applyAlignment="1">
      <alignment horizontal="left"/>
    </xf>
    <xf numFmtId="0" fontId="9" fillId="5" borderId="14" xfId="3" applyFont="1" applyFill="1" applyBorder="1" applyAlignment="1">
      <alignment horizontal="center"/>
    </xf>
    <xf numFmtId="0" fontId="11" fillId="2" borderId="14" xfId="3" applyFont="1" applyFill="1" applyBorder="1" applyAlignment="1">
      <alignment horizontal="left"/>
    </xf>
    <xf numFmtId="0" fontId="9" fillId="3" borderId="7" xfId="1" applyFont="1" applyFill="1" applyBorder="1" applyAlignment="1">
      <alignment horizontal="center"/>
    </xf>
    <xf numFmtId="0" fontId="9" fillId="3" borderId="6" xfId="1" applyFont="1" applyFill="1" applyBorder="1" applyAlignment="1">
      <alignment horizontal="center"/>
    </xf>
    <xf numFmtId="0" fontId="9" fillId="3" borderId="5" xfId="1" applyFont="1" applyFill="1" applyBorder="1" applyAlignment="1">
      <alignment horizontal="center"/>
    </xf>
    <xf numFmtId="1" fontId="12" fillId="0" borderId="14" xfId="4" applyNumberFormat="1" applyFont="1" applyBorder="1"/>
    <xf numFmtId="0" fontId="14" fillId="4" borderId="41" xfId="3" applyFont="1" applyFill="1" applyBorder="1" applyAlignment="1">
      <alignment horizontal="center"/>
    </xf>
    <xf numFmtId="0" fontId="14" fillId="4" borderId="42" xfId="3" applyFont="1" applyFill="1" applyBorder="1" applyAlignment="1">
      <alignment horizontal="center"/>
    </xf>
    <xf numFmtId="0" fontId="14" fillId="4" borderId="43" xfId="3" applyFont="1" applyFill="1" applyBorder="1" applyAlignment="1">
      <alignment horizontal="center"/>
    </xf>
    <xf numFmtId="0" fontId="15" fillId="2" borderId="1" xfId="3" applyFont="1" applyFill="1" applyBorder="1" applyAlignment="1">
      <alignment horizontal="center"/>
    </xf>
    <xf numFmtId="14" fontId="15" fillId="2" borderId="0" xfId="3" applyNumberFormat="1" applyFont="1" applyFill="1" applyAlignment="1">
      <alignment horizontal="center" vertical="center" wrapText="1"/>
    </xf>
  </cellXfs>
  <cellStyles count="7">
    <cellStyle name="Millares" xfId="6" builtinId="3"/>
    <cellStyle name="Millares 2" xfId="5" xr:uid="{F956EB79-10F8-47C6-A204-CB10F57C3021}"/>
    <cellStyle name="Normal" xfId="0" builtinId="0"/>
    <cellStyle name="Normal 2" xfId="1" xr:uid="{121D3DFA-CFCA-4196-8246-C3FB5E7B18B7}"/>
    <cellStyle name="Normal 3" xfId="4" xr:uid="{7AC1457B-616D-4CD5-AECB-0058FCEAA6D9}"/>
    <cellStyle name="Normal_CRITERIOS DE EVALUACION PT DE GB 2" xfId="3" xr:uid="{2F4F4429-3465-483E-A90D-CC3EBFB9C424}"/>
    <cellStyle name="Porcentaje 2" xfId="2" xr:uid="{1CBA7BA1-311E-47A2-B916-289AA150B7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214313</xdr:colOff>
      <xdr:row>0</xdr:row>
      <xdr:rowOff>95250</xdr:rowOff>
    </xdr:from>
    <xdr:to>
      <xdr:col>1</xdr:col>
      <xdr:colOff>1071563</xdr:colOff>
      <xdr:row>4</xdr:row>
      <xdr:rowOff>105451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C2975E7-ECD5-4395-82B8-BBDD135B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3" y="95250"/>
          <a:ext cx="2131219" cy="962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FC8B-DFBB-4204-BA2E-B383A466E192}">
  <dimension ref="A2:N24"/>
  <sheetViews>
    <sheetView workbookViewId="0">
      <selection activeCell="D27" sqref="D27"/>
    </sheetView>
  </sheetViews>
  <sheetFormatPr baseColWidth="10" defaultRowHeight="12.75" x14ac:dyDescent="0.2"/>
  <cols>
    <col min="1" max="1" width="13.7109375" customWidth="1"/>
    <col min="11" max="11" width="14.7109375" customWidth="1"/>
    <col min="12" max="12" width="14" customWidth="1"/>
  </cols>
  <sheetData>
    <row r="2" spans="1:2" x14ac:dyDescent="0.2">
      <c r="A2" t="s">
        <v>76</v>
      </c>
    </row>
    <row r="3" spans="1:2" x14ac:dyDescent="0.2">
      <c r="A3" t="s">
        <v>77</v>
      </c>
      <c r="B3" t="s">
        <v>78</v>
      </c>
    </row>
    <row r="4" spans="1:2" x14ac:dyDescent="0.2">
      <c r="A4" t="s">
        <v>79</v>
      </c>
      <c r="B4" t="s">
        <v>80</v>
      </c>
    </row>
    <row r="5" spans="1:2" x14ac:dyDescent="0.2">
      <c r="A5" t="s">
        <v>81</v>
      </c>
      <c r="B5" t="s">
        <v>82</v>
      </c>
    </row>
    <row r="6" spans="1:2" x14ac:dyDescent="0.2">
      <c r="A6" t="s">
        <v>83</v>
      </c>
      <c r="B6" t="s">
        <v>84</v>
      </c>
    </row>
    <row r="7" spans="1:2" x14ac:dyDescent="0.2">
      <c r="A7" t="s">
        <v>85</v>
      </c>
      <c r="B7" t="s">
        <v>86</v>
      </c>
    </row>
    <row r="8" spans="1:2" x14ac:dyDescent="0.2">
      <c r="A8" t="s">
        <v>87</v>
      </c>
      <c r="B8" t="s">
        <v>88</v>
      </c>
    </row>
    <row r="9" spans="1:2" x14ac:dyDescent="0.2">
      <c r="A9" t="s">
        <v>89</v>
      </c>
      <c r="B9" t="s">
        <v>90</v>
      </c>
    </row>
    <row r="10" spans="1:2" x14ac:dyDescent="0.2">
      <c r="A10" t="s">
        <v>91</v>
      </c>
      <c r="B10" t="s">
        <v>92</v>
      </c>
    </row>
    <row r="11" spans="1:2" x14ac:dyDescent="0.2">
      <c r="A11" t="s">
        <v>93</v>
      </c>
      <c r="B11" t="s">
        <v>35</v>
      </c>
    </row>
    <row r="12" spans="1:2" x14ac:dyDescent="0.2">
      <c r="A12" t="s">
        <v>94</v>
      </c>
      <c r="B12" t="s">
        <v>95</v>
      </c>
    </row>
    <row r="13" spans="1:2" x14ac:dyDescent="0.2">
      <c r="A13" t="s">
        <v>96</v>
      </c>
      <c r="B13" t="s">
        <v>97</v>
      </c>
    </row>
    <row r="14" spans="1:2" x14ac:dyDescent="0.2">
      <c r="A14" t="s">
        <v>98</v>
      </c>
      <c r="B14" t="s">
        <v>99</v>
      </c>
    </row>
    <row r="17" spans="1:14" x14ac:dyDescent="0.2">
      <c r="A17" t="s">
        <v>100</v>
      </c>
      <c r="B17" t="s">
        <v>101</v>
      </c>
    </row>
    <row r="18" spans="1:14" x14ac:dyDescent="0.2">
      <c r="A18" t="s">
        <v>102</v>
      </c>
      <c r="B18" t="s">
        <v>103</v>
      </c>
    </row>
    <row r="20" spans="1:14" x14ac:dyDescent="0.2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114</v>
      </c>
    </row>
    <row r="21" spans="1:14" x14ac:dyDescent="0.2">
      <c r="A21" t="s">
        <v>29</v>
      </c>
      <c r="B21" t="s">
        <v>95</v>
      </c>
      <c r="C21" t="s">
        <v>115</v>
      </c>
      <c r="D21" t="s">
        <v>116</v>
      </c>
      <c r="E21" t="s">
        <v>117</v>
      </c>
      <c r="F21" t="s">
        <v>116</v>
      </c>
      <c r="G21" t="s">
        <v>116</v>
      </c>
      <c r="H21" t="s">
        <v>116</v>
      </c>
      <c r="I21" t="s">
        <v>118</v>
      </c>
      <c r="J21" t="s">
        <v>119</v>
      </c>
      <c r="K21" t="s">
        <v>120</v>
      </c>
      <c r="L21">
        <v>342.35</v>
      </c>
      <c r="N21">
        <f>151*2.27</f>
        <v>342.77</v>
      </c>
    </row>
    <row r="22" spans="1:14" x14ac:dyDescent="0.2">
      <c r="A22" t="s">
        <v>30</v>
      </c>
      <c r="B22" t="s">
        <v>95</v>
      </c>
      <c r="C22" t="s">
        <v>121</v>
      </c>
      <c r="D22" t="s">
        <v>122</v>
      </c>
      <c r="E22" t="s">
        <v>117</v>
      </c>
      <c r="F22" t="s">
        <v>122</v>
      </c>
      <c r="G22" t="s">
        <v>122</v>
      </c>
      <c r="H22" t="s">
        <v>122</v>
      </c>
      <c r="I22" t="s">
        <v>123</v>
      </c>
      <c r="J22" t="s">
        <v>124</v>
      </c>
      <c r="K22" t="s">
        <v>125</v>
      </c>
      <c r="L22">
        <v>124.12</v>
      </c>
    </row>
    <row r="23" spans="1:14" x14ac:dyDescent="0.2">
      <c r="A23" t="s">
        <v>28</v>
      </c>
      <c r="B23" t="s">
        <v>95</v>
      </c>
      <c r="C23" t="s">
        <v>126</v>
      </c>
      <c r="D23" t="s">
        <v>127</v>
      </c>
      <c r="E23" t="s">
        <v>117</v>
      </c>
      <c r="F23" t="s">
        <v>127</v>
      </c>
      <c r="G23" t="s">
        <v>127</v>
      </c>
      <c r="H23" t="s">
        <v>127</v>
      </c>
      <c r="I23" t="s">
        <v>128</v>
      </c>
      <c r="J23" t="s">
        <v>129</v>
      </c>
      <c r="K23" t="s">
        <v>130</v>
      </c>
      <c r="L23">
        <v>571.79999999999995</v>
      </c>
    </row>
    <row r="24" spans="1:14" x14ac:dyDescent="0.2">
      <c r="L24">
        <f>SUM(L21:L23)</f>
        <v>1038.27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EF38-41AB-4FBB-9EC5-5EAD43E45826}">
  <dimension ref="A2:L29"/>
  <sheetViews>
    <sheetView topLeftCell="A13" workbookViewId="0">
      <selection activeCell="E35" sqref="E35"/>
    </sheetView>
  </sheetViews>
  <sheetFormatPr baseColWidth="10" defaultRowHeight="12.75" x14ac:dyDescent="0.2"/>
  <sheetData>
    <row r="2" spans="1:2" x14ac:dyDescent="0.2">
      <c r="A2" t="s">
        <v>76</v>
      </c>
    </row>
    <row r="3" spans="1:2" x14ac:dyDescent="0.2">
      <c r="A3" t="s">
        <v>77</v>
      </c>
      <c r="B3" t="s">
        <v>78</v>
      </c>
    </row>
    <row r="4" spans="1:2" x14ac:dyDescent="0.2">
      <c r="A4" t="s">
        <v>79</v>
      </c>
      <c r="B4" t="s">
        <v>131</v>
      </c>
    </row>
    <row r="5" spans="1:2" x14ac:dyDescent="0.2">
      <c r="A5" t="s">
        <v>81</v>
      </c>
      <c r="B5" t="s">
        <v>82</v>
      </c>
    </row>
    <row r="6" spans="1:2" x14ac:dyDescent="0.2">
      <c r="A6" t="s">
        <v>83</v>
      </c>
      <c r="B6" t="s">
        <v>132</v>
      </c>
    </row>
    <row r="7" spans="1:2" x14ac:dyDescent="0.2">
      <c r="A7" t="s">
        <v>85</v>
      </c>
      <c r="B7" t="s">
        <v>86</v>
      </c>
    </row>
    <row r="8" spans="1:2" x14ac:dyDescent="0.2">
      <c r="A8" t="s">
        <v>87</v>
      </c>
      <c r="B8" t="s">
        <v>88</v>
      </c>
    </row>
    <row r="9" spans="1:2" x14ac:dyDescent="0.2">
      <c r="A9" t="s">
        <v>89</v>
      </c>
      <c r="B9" t="s">
        <v>133</v>
      </c>
    </row>
    <row r="10" spans="1:2" x14ac:dyDescent="0.2">
      <c r="A10" t="s">
        <v>91</v>
      </c>
      <c r="B10" t="s">
        <v>92</v>
      </c>
    </row>
    <row r="11" spans="1:2" x14ac:dyDescent="0.2">
      <c r="A11" t="s">
        <v>93</v>
      </c>
      <c r="B11" t="s">
        <v>35</v>
      </c>
    </row>
    <row r="12" spans="1:2" x14ac:dyDescent="0.2">
      <c r="A12" t="s">
        <v>94</v>
      </c>
      <c r="B12" t="s">
        <v>95</v>
      </c>
    </row>
    <row r="13" spans="1:2" x14ac:dyDescent="0.2">
      <c r="A13" t="s">
        <v>96</v>
      </c>
      <c r="B13" t="s">
        <v>97</v>
      </c>
    </row>
    <row r="14" spans="1:2" x14ac:dyDescent="0.2">
      <c r="A14" t="s">
        <v>98</v>
      </c>
      <c r="B14" t="s">
        <v>99</v>
      </c>
    </row>
    <row r="17" spans="1:12" x14ac:dyDescent="0.2">
      <c r="A17" t="s">
        <v>100</v>
      </c>
      <c r="B17" t="s">
        <v>101</v>
      </c>
    </row>
    <row r="18" spans="1:12" x14ac:dyDescent="0.2">
      <c r="A18" t="s">
        <v>134</v>
      </c>
      <c r="B18" t="s">
        <v>135</v>
      </c>
    </row>
    <row r="20" spans="1:12" x14ac:dyDescent="0.2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114</v>
      </c>
    </row>
    <row r="21" spans="1:12" x14ac:dyDescent="0.2">
      <c r="A21" t="s">
        <v>44</v>
      </c>
      <c r="B21" t="s">
        <v>95</v>
      </c>
      <c r="C21" t="s">
        <v>136</v>
      </c>
      <c r="D21" t="s">
        <v>137</v>
      </c>
      <c r="E21" t="s">
        <v>117</v>
      </c>
      <c r="F21" t="s">
        <v>137</v>
      </c>
      <c r="G21" t="s">
        <v>137</v>
      </c>
      <c r="H21" t="s">
        <v>137</v>
      </c>
      <c r="I21" t="s">
        <v>138</v>
      </c>
      <c r="J21" t="s">
        <v>119</v>
      </c>
      <c r="K21" t="s">
        <v>139</v>
      </c>
      <c r="L21">
        <v>428.83</v>
      </c>
    </row>
    <row r="22" spans="1:12" x14ac:dyDescent="0.2">
      <c r="A22" t="s">
        <v>47</v>
      </c>
      <c r="B22" t="s">
        <v>95</v>
      </c>
      <c r="C22" t="s">
        <v>140</v>
      </c>
      <c r="D22" t="s">
        <v>141</v>
      </c>
      <c r="E22" t="s">
        <v>117</v>
      </c>
      <c r="F22" t="s">
        <v>141</v>
      </c>
      <c r="G22" t="s">
        <v>141</v>
      </c>
      <c r="H22" t="s">
        <v>141</v>
      </c>
      <c r="I22" t="s">
        <v>142</v>
      </c>
      <c r="J22" t="s">
        <v>119</v>
      </c>
      <c r="K22" t="s">
        <v>143</v>
      </c>
      <c r="L22">
        <v>187.13</v>
      </c>
    </row>
    <row r="23" spans="1:12" x14ac:dyDescent="0.2">
      <c r="A23" t="s">
        <v>50</v>
      </c>
      <c r="B23" t="s">
        <v>95</v>
      </c>
      <c r="C23" t="s">
        <v>144</v>
      </c>
      <c r="D23" t="s">
        <v>145</v>
      </c>
      <c r="E23" t="s">
        <v>117</v>
      </c>
      <c r="F23" t="s">
        <v>145</v>
      </c>
      <c r="G23" t="s">
        <v>145</v>
      </c>
      <c r="H23" t="s">
        <v>145</v>
      </c>
      <c r="I23" t="s">
        <v>146</v>
      </c>
      <c r="J23" t="s">
        <v>119</v>
      </c>
      <c r="K23" t="s">
        <v>147</v>
      </c>
      <c r="L23">
        <v>170.6</v>
      </c>
    </row>
    <row r="24" spans="1:12" x14ac:dyDescent="0.2">
      <c r="A24" t="s">
        <v>53</v>
      </c>
      <c r="B24" t="s">
        <v>95</v>
      </c>
      <c r="C24" t="s">
        <v>148</v>
      </c>
      <c r="D24" t="s">
        <v>149</v>
      </c>
      <c r="E24" t="s">
        <v>117</v>
      </c>
      <c r="F24" t="s">
        <v>149</v>
      </c>
      <c r="G24" t="s">
        <v>149</v>
      </c>
      <c r="H24" t="s">
        <v>149</v>
      </c>
      <c r="I24" t="s">
        <v>150</v>
      </c>
      <c r="J24" t="s">
        <v>119</v>
      </c>
      <c r="K24" t="s">
        <v>151</v>
      </c>
      <c r="L24">
        <v>14.06</v>
      </c>
    </row>
    <row r="25" spans="1:12" x14ac:dyDescent="0.2">
      <c r="A25" t="s">
        <v>64</v>
      </c>
      <c r="B25" t="s">
        <v>95</v>
      </c>
      <c r="C25" t="s">
        <v>152</v>
      </c>
      <c r="D25" t="s">
        <v>153</v>
      </c>
      <c r="E25" t="s">
        <v>117</v>
      </c>
      <c r="F25" t="s">
        <v>153</v>
      </c>
      <c r="G25" t="s">
        <v>153</v>
      </c>
      <c r="H25" t="s">
        <v>153</v>
      </c>
      <c r="I25" t="s">
        <v>154</v>
      </c>
      <c r="J25" t="s">
        <v>119</v>
      </c>
      <c r="K25" t="s">
        <v>155</v>
      </c>
      <c r="L25">
        <v>2.0699999999999998</v>
      </c>
    </row>
    <row r="26" spans="1:12" x14ac:dyDescent="0.2">
      <c r="A26" t="s">
        <v>66</v>
      </c>
      <c r="B26" t="s">
        <v>95</v>
      </c>
      <c r="C26" t="s">
        <v>156</v>
      </c>
      <c r="D26" t="s">
        <v>157</v>
      </c>
      <c r="E26" t="s">
        <v>117</v>
      </c>
      <c r="F26" t="s">
        <v>157</v>
      </c>
      <c r="G26" t="s">
        <v>157</v>
      </c>
      <c r="H26" t="s">
        <v>157</v>
      </c>
      <c r="I26" t="s">
        <v>158</v>
      </c>
      <c r="J26" t="s">
        <v>113</v>
      </c>
      <c r="K26" t="s">
        <v>159</v>
      </c>
      <c r="L26">
        <v>0.15</v>
      </c>
    </row>
    <row r="27" spans="1:12" x14ac:dyDescent="0.2">
      <c r="A27" t="s">
        <v>56</v>
      </c>
      <c r="B27" t="s">
        <v>95</v>
      </c>
      <c r="C27" t="s">
        <v>160</v>
      </c>
      <c r="D27" t="s">
        <v>161</v>
      </c>
      <c r="E27" t="s">
        <v>117</v>
      </c>
      <c r="F27" t="s">
        <v>161</v>
      </c>
      <c r="G27" t="s">
        <v>161</v>
      </c>
      <c r="H27" t="s">
        <v>161</v>
      </c>
      <c r="I27" t="s">
        <v>162</v>
      </c>
      <c r="J27" t="s">
        <v>119</v>
      </c>
      <c r="K27" t="s">
        <v>163</v>
      </c>
      <c r="L27">
        <v>30.48</v>
      </c>
    </row>
    <row r="28" spans="1:12" x14ac:dyDescent="0.2">
      <c r="A28" t="s">
        <v>58</v>
      </c>
      <c r="B28" t="s">
        <v>95</v>
      </c>
      <c r="C28" t="s">
        <v>164</v>
      </c>
      <c r="D28" t="s">
        <v>165</v>
      </c>
      <c r="E28" t="s">
        <v>117</v>
      </c>
      <c r="F28" t="s">
        <v>165</v>
      </c>
      <c r="G28" t="s">
        <v>165</v>
      </c>
      <c r="H28" t="s">
        <v>165</v>
      </c>
      <c r="I28" t="s">
        <v>166</v>
      </c>
      <c r="J28" t="s">
        <v>119</v>
      </c>
      <c r="K28" t="s">
        <v>167</v>
      </c>
      <c r="L28">
        <v>512.08000000000004</v>
      </c>
    </row>
    <row r="29" spans="1:12" x14ac:dyDescent="0.2">
      <c r="L29">
        <f>SUM(L21:L28)</f>
        <v>1345.4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1FBC-6BCD-4230-80C5-441DEBD8CC09}">
  <dimension ref="A2:N24"/>
  <sheetViews>
    <sheetView workbookViewId="0">
      <selection sqref="A1:XFD1048576"/>
    </sheetView>
  </sheetViews>
  <sheetFormatPr baseColWidth="10" defaultRowHeight="12.75" x14ac:dyDescent="0.2"/>
  <cols>
    <col min="1" max="1" width="13.7109375" customWidth="1"/>
    <col min="3" max="3" width="23.7109375" customWidth="1"/>
    <col min="11" max="11" width="14.7109375" customWidth="1"/>
    <col min="12" max="12" width="14" customWidth="1"/>
  </cols>
  <sheetData>
    <row r="2" spans="1:2" x14ac:dyDescent="0.2">
      <c r="A2" t="s">
        <v>76</v>
      </c>
    </row>
    <row r="3" spans="1:2" x14ac:dyDescent="0.2">
      <c r="A3" t="s">
        <v>77</v>
      </c>
      <c r="B3" t="s">
        <v>78</v>
      </c>
    </row>
    <row r="4" spans="1:2" x14ac:dyDescent="0.2">
      <c r="A4" t="s">
        <v>79</v>
      </c>
      <c r="B4" t="s">
        <v>80</v>
      </c>
    </row>
    <row r="5" spans="1:2" x14ac:dyDescent="0.2">
      <c r="A5" t="s">
        <v>81</v>
      </c>
      <c r="B5" t="s">
        <v>82</v>
      </c>
    </row>
    <row r="6" spans="1:2" x14ac:dyDescent="0.2">
      <c r="A6" t="s">
        <v>83</v>
      </c>
      <c r="B6" t="s">
        <v>84</v>
      </c>
    </row>
    <row r="7" spans="1:2" x14ac:dyDescent="0.2">
      <c r="A7" t="s">
        <v>85</v>
      </c>
      <c r="B7" t="s">
        <v>86</v>
      </c>
    </row>
    <row r="8" spans="1:2" x14ac:dyDescent="0.2">
      <c r="A8" t="s">
        <v>87</v>
      </c>
      <c r="B8" t="s">
        <v>88</v>
      </c>
    </row>
    <row r="9" spans="1:2" x14ac:dyDescent="0.2">
      <c r="A9" t="s">
        <v>89</v>
      </c>
      <c r="B9" t="s">
        <v>90</v>
      </c>
    </row>
    <row r="10" spans="1:2" x14ac:dyDescent="0.2">
      <c r="A10" t="s">
        <v>91</v>
      </c>
      <c r="B10" t="s">
        <v>92</v>
      </c>
    </row>
    <row r="11" spans="1:2" x14ac:dyDescent="0.2">
      <c r="A11" t="s">
        <v>93</v>
      </c>
      <c r="B11" t="s">
        <v>35</v>
      </c>
    </row>
    <row r="12" spans="1:2" x14ac:dyDescent="0.2">
      <c r="A12" t="s">
        <v>94</v>
      </c>
      <c r="B12" t="s">
        <v>95</v>
      </c>
    </row>
    <row r="13" spans="1:2" x14ac:dyDescent="0.2">
      <c r="A13" t="s">
        <v>96</v>
      </c>
      <c r="B13" t="s">
        <v>97</v>
      </c>
    </row>
    <row r="14" spans="1:2" x14ac:dyDescent="0.2">
      <c r="A14" t="s">
        <v>98</v>
      </c>
      <c r="B14" t="s">
        <v>99</v>
      </c>
    </row>
    <row r="17" spans="1:14" x14ac:dyDescent="0.2">
      <c r="A17" t="s">
        <v>100</v>
      </c>
      <c r="B17" t="s">
        <v>101</v>
      </c>
    </row>
    <row r="18" spans="1:14" x14ac:dyDescent="0.2">
      <c r="A18" t="s">
        <v>102</v>
      </c>
      <c r="B18" t="s">
        <v>103</v>
      </c>
    </row>
    <row r="20" spans="1:14" x14ac:dyDescent="0.2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114</v>
      </c>
    </row>
    <row r="21" spans="1:14" x14ac:dyDescent="0.2">
      <c r="A21" t="s">
        <v>29</v>
      </c>
      <c r="B21" t="s">
        <v>95</v>
      </c>
      <c r="C21" t="s">
        <v>115</v>
      </c>
      <c r="D21">
        <v>95.22</v>
      </c>
      <c r="E21" t="s">
        <v>117</v>
      </c>
      <c r="F21">
        <v>95.22</v>
      </c>
      <c r="G21">
        <v>95.22</v>
      </c>
      <c r="H21">
        <v>95.22</v>
      </c>
      <c r="I21" t="s">
        <v>118</v>
      </c>
      <c r="J21" t="s">
        <v>119</v>
      </c>
      <c r="K21" t="s">
        <v>120</v>
      </c>
      <c r="L21">
        <v>215.19</v>
      </c>
      <c r="M21">
        <f>95.22*2.26</f>
        <v>215.19719999999998</v>
      </c>
    </row>
    <row r="22" spans="1:14" x14ac:dyDescent="0.2">
      <c r="A22" t="s">
        <v>30</v>
      </c>
      <c r="B22" t="s">
        <v>95</v>
      </c>
      <c r="C22" t="s">
        <v>121</v>
      </c>
      <c r="D22">
        <v>175.47</v>
      </c>
      <c r="E22" t="s">
        <v>117</v>
      </c>
      <c r="F22">
        <v>175.47</v>
      </c>
      <c r="G22">
        <v>175.47</v>
      </c>
      <c r="H22">
        <v>175.47</v>
      </c>
      <c r="I22" t="s">
        <v>123</v>
      </c>
      <c r="J22" t="s">
        <v>124</v>
      </c>
      <c r="K22" t="s">
        <v>125</v>
      </c>
      <c r="L22">
        <v>156.16999999999999</v>
      </c>
      <c r="M22">
        <f>175.47*0.89</f>
        <v>156.16829999999999</v>
      </c>
    </row>
    <row r="23" spans="1:14" x14ac:dyDescent="0.2">
      <c r="A23" t="s">
        <v>28</v>
      </c>
      <c r="B23" t="s">
        <v>95</v>
      </c>
      <c r="C23" t="s">
        <v>126</v>
      </c>
      <c r="D23">
        <v>0.53</v>
      </c>
      <c r="E23" t="s">
        <v>117</v>
      </c>
      <c r="F23">
        <v>0.53</v>
      </c>
      <c r="G23">
        <v>0.53</v>
      </c>
      <c r="H23">
        <v>0.53</v>
      </c>
      <c r="I23">
        <v>1.1830000000000001</v>
      </c>
      <c r="J23" t="s">
        <v>129</v>
      </c>
      <c r="K23" t="s">
        <v>130</v>
      </c>
      <c r="L23">
        <v>626.99</v>
      </c>
      <c r="N23">
        <f>1183*0.53</f>
        <v>626.99</v>
      </c>
    </row>
    <row r="24" spans="1:14" x14ac:dyDescent="0.2">
      <c r="L24" s="13">
        <f>SUM(L21:L23)</f>
        <v>998.35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C56C-190A-4032-8B4F-F53DF315FDBB}">
  <dimension ref="A2:M24"/>
  <sheetViews>
    <sheetView workbookViewId="0">
      <selection activeCell="K26" sqref="K26"/>
    </sheetView>
  </sheetViews>
  <sheetFormatPr baseColWidth="10" defaultRowHeight="12.75" x14ac:dyDescent="0.2"/>
  <cols>
    <col min="1" max="1" width="13.7109375" customWidth="1"/>
    <col min="3" max="3" width="23.7109375" customWidth="1"/>
    <col min="11" max="11" width="14.7109375" customWidth="1"/>
    <col min="12" max="12" width="14" customWidth="1"/>
  </cols>
  <sheetData>
    <row r="2" spans="1:2" x14ac:dyDescent="0.2">
      <c r="A2" t="s">
        <v>76</v>
      </c>
    </row>
    <row r="3" spans="1:2" x14ac:dyDescent="0.2">
      <c r="A3" t="s">
        <v>77</v>
      </c>
      <c r="B3" t="s">
        <v>78</v>
      </c>
    </row>
    <row r="4" spans="1:2" x14ac:dyDescent="0.2">
      <c r="A4" t="s">
        <v>79</v>
      </c>
      <c r="B4" t="s">
        <v>80</v>
      </c>
    </row>
    <row r="5" spans="1:2" x14ac:dyDescent="0.2">
      <c r="A5" t="s">
        <v>81</v>
      </c>
      <c r="B5" t="s">
        <v>82</v>
      </c>
    </row>
    <row r="6" spans="1:2" x14ac:dyDescent="0.2">
      <c r="A6" t="s">
        <v>83</v>
      </c>
      <c r="B6" t="s">
        <v>84</v>
      </c>
    </row>
    <row r="7" spans="1:2" x14ac:dyDescent="0.2">
      <c r="A7" t="s">
        <v>85</v>
      </c>
      <c r="B7" t="s">
        <v>86</v>
      </c>
    </row>
    <row r="8" spans="1:2" x14ac:dyDescent="0.2">
      <c r="A8" t="s">
        <v>87</v>
      </c>
      <c r="B8" t="s">
        <v>88</v>
      </c>
    </row>
    <row r="9" spans="1:2" x14ac:dyDescent="0.2">
      <c r="A9" t="s">
        <v>89</v>
      </c>
      <c r="B9" t="s">
        <v>90</v>
      </c>
    </row>
    <row r="10" spans="1:2" x14ac:dyDescent="0.2">
      <c r="A10" t="s">
        <v>91</v>
      </c>
      <c r="B10" t="s">
        <v>92</v>
      </c>
    </row>
    <row r="11" spans="1:2" x14ac:dyDescent="0.2">
      <c r="A11" t="s">
        <v>93</v>
      </c>
      <c r="B11" t="s">
        <v>35</v>
      </c>
    </row>
    <row r="12" spans="1:2" x14ac:dyDescent="0.2">
      <c r="A12" t="s">
        <v>94</v>
      </c>
      <c r="B12" t="s">
        <v>95</v>
      </c>
    </row>
    <row r="13" spans="1:2" x14ac:dyDescent="0.2">
      <c r="A13" t="s">
        <v>96</v>
      </c>
      <c r="B13" t="s">
        <v>97</v>
      </c>
    </row>
    <row r="14" spans="1:2" x14ac:dyDescent="0.2">
      <c r="A14" t="s">
        <v>98</v>
      </c>
      <c r="B14" t="s">
        <v>99</v>
      </c>
    </row>
    <row r="17" spans="1:13" x14ac:dyDescent="0.2">
      <c r="A17" t="s">
        <v>100</v>
      </c>
      <c r="B17" t="s">
        <v>101</v>
      </c>
    </row>
    <row r="18" spans="1:13" x14ac:dyDescent="0.2">
      <c r="A18" t="s">
        <v>102</v>
      </c>
      <c r="B18" t="s">
        <v>103</v>
      </c>
    </row>
    <row r="20" spans="1:13" x14ac:dyDescent="0.2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114</v>
      </c>
    </row>
    <row r="21" spans="1:13" x14ac:dyDescent="0.2">
      <c r="A21" t="s">
        <v>29</v>
      </c>
      <c r="B21" t="s">
        <v>95</v>
      </c>
      <c r="C21" t="s">
        <v>115</v>
      </c>
      <c r="D21">
        <v>95.22</v>
      </c>
      <c r="E21" t="s">
        <v>117</v>
      </c>
      <c r="F21">
        <v>95.22</v>
      </c>
      <c r="G21">
        <v>95.22</v>
      </c>
      <c r="H21">
        <v>95.22</v>
      </c>
      <c r="I21" t="s">
        <v>118</v>
      </c>
      <c r="J21" t="s">
        <v>119</v>
      </c>
      <c r="K21" t="s">
        <v>120</v>
      </c>
      <c r="L21">
        <v>215.19</v>
      </c>
      <c r="M21">
        <f>95.22*2.26</f>
        <v>215.19719999999998</v>
      </c>
    </row>
    <row r="22" spans="1:13" x14ac:dyDescent="0.2">
      <c r="A22" t="s">
        <v>30</v>
      </c>
      <c r="B22" t="s">
        <v>95</v>
      </c>
      <c r="C22" t="s">
        <v>121</v>
      </c>
      <c r="D22">
        <v>175.47</v>
      </c>
      <c r="E22" t="s">
        <v>117</v>
      </c>
      <c r="F22">
        <v>175.47</v>
      </c>
      <c r="G22">
        <v>175.47</v>
      </c>
      <c r="H22">
        <v>175.47</v>
      </c>
      <c r="I22" t="s">
        <v>123</v>
      </c>
      <c r="J22" t="s">
        <v>124</v>
      </c>
      <c r="K22" t="s">
        <v>125</v>
      </c>
      <c r="L22">
        <v>156.16999999999999</v>
      </c>
      <c r="M22">
        <f>175.47*0.89</f>
        <v>156.16829999999999</v>
      </c>
    </row>
    <row r="23" spans="1:13" x14ac:dyDescent="0.2">
      <c r="A23" t="s">
        <v>28</v>
      </c>
      <c r="B23" t="s">
        <v>95</v>
      </c>
      <c r="C23" t="s">
        <v>126</v>
      </c>
      <c r="D23">
        <v>0.53</v>
      </c>
      <c r="E23" t="s">
        <v>117</v>
      </c>
      <c r="F23">
        <v>0.53</v>
      </c>
      <c r="G23">
        <v>0.53</v>
      </c>
      <c r="H23">
        <v>0.53</v>
      </c>
      <c r="I23">
        <v>1382</v>
      </c>
      <c r="J23" t="s">
        <v>129</v>
      </c>
      <c r="K23" t="s">
        <v>130</v>
      </c>
      <c r="L23">
        <v>732.46</v>
      </c>
      <c r="M23">
        <f>1382*0.53</f>
        <v>732.46</v>
      </c>
    </row>
    <row r="24" spans="1:13" x14ac:dyDescent="0.2">
      <c r="L24" s="13">
        <f>SUM(L21:L23)</f>
        <v>1103.8200000000002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367D-F83E-4420-98DD-D14E7FC34679}">
  <sheetPr>
    <pageSetUpPr fitToPage="1"/>
  </sheetPr>
  <dimension ref="A1:K3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9.140625" customWidth="1"/>
    <col min="2" max="2" width="18.5703125" bestFit="1" customWidth="1"/>
    <col min="3" max="3" width="51.140625" customWidth="1"/>
    <col min="4" max="4" width="26.28515625" bestFit="1" customWidth="1"/>
    <col min="5" max="5" width="15.85546875" customWidth="1"/>
    <col min="6" max="6" width="12.28515625" customWidth="1"/>
    <col min="7" max="7" width="20.5703125" customWidth="1"/>
    <col min="9" max="9" width="19.28515625" bestFit="1" customWidth="1"/>
  </cols>
  <sheetData>
    <row r="1" spans="1:11" ht="15.75" x14ac:dyDescent="0.25">
      <c r="A1" s="31"/>
      <c r="B1" s="32"/>
      <c r="C1" s="37" t="s">
        <v>27</v>
      </c>
      <c r="D1" s="37"/>
      <c r="E1" s="37"/>
      <c r="F1" s="37"/>
      <c r="G1" s="37"/>
      <c r="H1" s="1" t="s">
        <v>26</v>
      </c>
      <c r="I1" s="6" t="s">
        <v>41</v>
      </c>
    </row>
    <row r="2" spans="1:11" ht="16.5" thickBot="1" x14ac:dyDescent="0.3">
      <c r="A2" s="33"/>
      <c r="B2" s="34"/>
      <c r="C2" s="38" t="s">
        <v>25</v>
      </c>
      <c r="D2" s="39"/>
      <c r="E2" s="39"/>
      <c r="F2" s="39"/>
      <c r="G2" s="40"/>
      <c r="H2" s="2" t="s">
        <v>24</v>
      </c>
      <c r="I2" s="7" t="s">
        <v>171</v>
      </c>
    </row>
    <row r="3" spans="1:11" ht="29.25" customHeight="1" thickBot="1" x14ac:dyDescent="0.35">
      <c r="A3" s="33"/>
      <c r="B3" s="34"/>
      <c r="C3" s="138" t="s">
        <v>172</v>
      </c>
      <c r="D3" s="139"/>
      <c r="E3" s="139"/>
      <c r="F3" s="139"/>
      <c r="G3" s="140"/>
      <c r="H3" s="41" t="s">
        <v>23</v>
      </c>
      <c r="I3" s="22">
        <v>45661</v>
      </c>
    </row>
    <row r="4" spans="1:11" ht="13.5" x14ac:dyDescent="0.25">
      <c r="A4" s="33"/>
      <c r="B4" s="34"/>
      <c r="C4" s="3" t="s">
        <v>22</v>
      </c>
      <c r="D4" s="25" t="s">
        <v>31</v>
      </c>
      <c r="E4" s="26"/>
      <c r="F4" s="26"/>
      <c r="G4" s="27"/>
      <c r="H4" s="42"/>
      <c r="I4" s="23"/>
    </row>
    <row r="5" spans="1:11" ht="14.25" thickBot="1" x14ac:dyDescent="0.3">
      <c r="A5" s="35"/>
      <c r="B5" s="36"/>
      <c r="C5" s="4" t="s">
        <v>21</v>
      </c>
      <c r="D5" s="28" t="s">
        <v>32</v>
      </c>
      <c r="E5" s="29"/>
      <c r="F5" s="29"/>
      <c r="G5" s="30"/>
      <c r="H5" s="43"/>
      <c r="I5" s="24"/>
    </row>
    <row r="6" spans="1:11" ht="18.75" thickBot="1" x14ac:dyDescent="0.3">
      <c r="A6" s="14" t="s">
        <v>20</v>
      </c>
      <c r="B6" s="14"/>
      <c r="C6" s="14"/>
      <c r="D6" s="141" t="s">
        <v>42</v>
      </c>
      <c r="E6" s="141"/>
      <c r="F6" s="141"/>
      <c r="G6" s="15" t="s">
        <v>19</v>
      </c>
      <c r="H6" s="15"/>
      <c r="I6" s="142" t="s">
        <v>42</v>
      </c>
    </row>
    <row r="7" spans="1:11" ht="25.5" x14ac:dyDescent="0.2">
      <c r="A7" s="16" t="s">
        <v>18</v>
      </c>
      <c r="B7" s="18" t="s">
        <v>33</v>
      </c>
      <c r="C7" s="20" t="s">
        <v>17</v>
      </c>
      <c r="D7" s="20" t="s">
        <v>16</v>
      </c>
      <c r="E7" s="20" t="s">
        <v>15</v>
      </c>
      <c r="F7" s="20"/>
      <c r="G7" s="20" t="s">
        <v>14</v>
      </c>
      <c r="H7" s="20"/>
      <c r="I7" s="5" t="s">
        <v>13</v>
      </c>
    </row>
    <row r="8" spans="1:11" ht="30" customHeight="1" thickBot="1" x14ac:dyDescent="0.25">
      <c r="A8" s="17"/>
      <c r="B8" s="19"/>
      <c r="C8" s="21"/>
      <c r="D8" s="21"/>
      <c r="E8" s="8" t="s">
        <v>10</v>
      </c>
      <c r="F8" s="9" t="s">
        <v>12</v>
      </c>
      <c r="G8" s="8" t="s">
        <v>10</v>
      </c>
      <c r="H8" s="9" t="s">
        <v>12</v>
      </c>
      <c r="I8" s="10" t="s">
        <v>11</v>
      </c>
    </row>
    <row r="9" spans="1:11" ht="20.25" x14ac:dyDescent="0.3">
      <c r="A9" s="44"/>
      <c r="B9" s="45"/>
      <c r="C9" s="46" t="s">
        <v>34</v>
      </c>
      <c r="D9" s="47"/>
      <c r="E9" s="48"/>
      <c r="F9" s="49"/>
      <c r="G9" s="48"/>
      <c r="H9" s="49"/>
      <c r="I9" s="50"/>
    </row>
    <row r="10" spans="1:11" ht="20.25" x14ac:dyDescent="0.3">
      <c r="A10" s="51" t="s">
        <v>43</v>
      </c>
      <c r="B10" s="52" t="s">
        <v>44</v>
      </c>
      <c r="C10" s="53" t="s">
        <v>45</v>
      </c>
      <c r="D10" s="54" t="s">
        <v>46</v>
      </c>
      <c r="E10" s="55">
        <v>5100</v>
      </c>
      <c r="F10" s="56" t="s">
        <v>1</v>
      </c>
      <c r="G10" s="57"/>
      <c r="H10" s="58"/>
      <c r="I10" s="50"/>
      <c r="J10">
        <f>+E10/$D$26</f>
        <v>0.19133370849746764</v>
      </c>
      <c r="K10" s="12">
        <f>+J10*1000</f>
        <v>191.33370849746765</v>
      </c>
    </row>
    <row r="11" spans="1:11" ht="20.25" x14ac:dyDescent="0.3">
      <c r="A11" s="51">
        <v>510301</v>
      </c>
      <c r="B11" s="59" t="s">
        <v>47</v>
      </c>
      <c r="C11" s="53" t="s">
        <v>48</v>
      </c>
      <c r="D11" s="54" t="s">
        <v>49</v>
      </c>
      <c r="E11" s="55">
        <v>11300</v>
      </c>
      <c r="F11" s="56" t="s">
        <v>1</v>
      </c>
      <c r="G11" s="57"/>
      <c r="H11" s="58"/>
      <c r="I11" s="50"/>
      <c r="J11">
        <f>+E11/$D$26</f>
        <v>0.4239354717688989</v>
      </c>
      <c r="K11" s="12">
        <f t="shared" ref="K11:K16" si="0">+J11*1000</f>
        <v>423.93547176889888</v>
      </c>
    </row>
    <row r="12" spans="1:11" ht="20.25" x14ac:dyDescent="0.3">
      <c r="A12" s="60">
        <v>11200072</v>
      </c>
      <c r="B12" s="61" t="s">
        <v>50</v>
      </c>
      <c r="C12" s="62" t="s">
        <v>51</v>
      </c>
      <c r="D12" s="63" t="s">
        <v>52</v>
      </c>
      <c r="E12" s="55">
        <v>8600</v>
      </c>
      <c r="F12" s="56" t="s">
        <v>1</v>
      </c>
      <c r="G12" s="64"/>
      <c r="H12" s="58"/>
      <c r="I12" s="50"/>
      <c r="J12">
        <f t="shared" ref="J12:J16" si="1">+E12/$D$26</f>
        <v>0.32264115550553368</v>
      </c>
      <c r="K12" s="12">
        <f t="shared" si="0"/>
        <v>322.64115550553367</v>
      </c>
    </row>
    <row r="13" spans="1:11" ht="20.25" x14ac:dyDescent="0.3">
      <c r="A13" s="59">
        <v>1212410</v>
      </c>
      <c r="B13" s="59" t="s">
        <v>53</v>
      </c>
      <c r="C13" s="65" t="s">
        <v>54</v>
      </c>
      <c r="D13" s="64" t="s">
        <v>55</v>
      </c>
      <c r="E13" s="64">
        <v>50</v>
      </c>
      <c r="F13" s="64" t="s">
        <v>1</v>
      </c>
      <c r="G13" s="64"/>
      <c r="H13" s="58"/>
      <c r="I13" s="50"/>
      <c r="J13">
        <f t="shared" si="1"/>
        <v>1.8758206715438004E-3</v>
      </c>
      <c r="K13" s="12">
        <f t="shared" si="0"/>
        <v>1.8758206715438004</v>
      </c>
    </row>
    <row r="14" spans="1:11" ht="20.25" x14ac:dyDescent="0.3">
      <c r="A14" s="66">
        <v>11300012</v>
      </c>
      <c r="B14" s="66" t="s">
        <v>56</v>
      </c>
      <c r="C14" s="65" t="s">
        <v>57</v>
      </c>
      <c r="D14" s="64" t="s">
        <v>46</v>
      </c>
      <c r="E14" s="64">
        <v>335</v>
      </c>
      <c r="F14" s="64" t="s">
        <v>1</v>
      </c>
      <c r="G14" s="64"/>
      <c r="H14" s="58"/>
      <c r="I14" s="50"/>
      <c r="J14">
        <f t="shared" si="1"/>
        <v>1.2567998499343463E-2</v>
      </c>
      <c r="K14" s="12">
        <f t="shared" si="0"/>
        <v>12.567998499343462</v>
      </c>
    </row>
    <row r="15" spans="1:11" ht="20.25" x14ac:dyDescent="0.3">
      <c r="A15" s="66"/>
      <c r="B15" s="66" t="s">
        <v>58</v>
      </c>
      <c r="C15" s="65" t="s">
        <v>59</v>
      </c>
      <c r="D15" s="64" t="s">
        <v>60</v>
      </c>
      <c r="E15" s="64">
        <v>650</v>
      </c>
      <c r="F15" s="64" t="s">
        <v>1</v>
      </c>
      <c r="G15" s="64"/>
      <c r="H15" s="58"/>
      <c r="I15" s="50"/>
      <c r="J15">
        <f t="shared" si="1"/>
        <v>2.4385668730069407E-2</v>
      </c>
      <c r="K15" s="12">
        <f t="shared" si="0"/>
        <v>24.385668730069408</v>
      </c>
    </row>
    <row r="16" spans="1:11" ht="20.25" x14ac:dyDescent="0.3">
      <c r="A16" s="66"/>
      <c r="B16" s="66" t="s">
        <v>169</v>
      </c>
      <c r="C16" s="67" t="s">
        <v>61</v>
      </c>
      <c r="D16" s="64" t="s">
        <v>62</v>
      </c>
      <c r="E16" s="64">
        <v>670</v>
      </c>
      <c r="F16" s="64" t="s">
        <v>1</v>
      </c>
      <c r="G16" s="64"/>
      <c r="H16" s="58"/>
      <c r="I16" s="50"/>
      <c r="J16">
        <f t="shared" si="1"/>
        <v>2.5135996998686926E-2</v>
      </c>
      <c r="K16" s="12">
        <f t="shared" si="0"/>
        <v>25.135996998686924</v>
      </c>
    </row>
    <row r="17" spans="1:11" ht="20.25" x14ac:dyDescent="0.3">
      <c r="A17" s="59"/>
      <c r="B17" s="59"/>
      <c r="C17" s="68"/>
      <c r="D17" s="69"/>
      <c r="E17" s="70"/>
      <c r="F17" s="71"/>
      <c r="G17" s="48"/>
      <c r="H17" s="49"/>
      <c r="I17" s="50"/>
    </row>
    <row r="18" spans="1:11" ht="20.25" x14ac:dyDescent="0.3">
      <c r="A18" s="72"/>
      <c r="B18" s="73"/>
      <c r="C18" s="74" t="s">
        <v>63</v>
      </c>
      <c r="D18" s="75"/>
      <c r="E18" s="76"/>
      <c r="F18" s="49"/>
      <c r="G18" s="48"/>
      <c r="H18" s="77"/>
      <c r="I18" s="50"/>
    </row>
    <row r="19" spans="1:11" ht="20.25" x14ac:dyDescent="0.3">
      <c r="A19" s="78">
        <v>1950708</v>
      </c>
      <c r="B19" s="79" t="s">
        <v>64</v>
      </c>
      <c r="C19" s="80" t="s">
        <v>65</v>
      </c>
      <c r="D19" s="64"/>
      <c r="E19" s="70">
        <v>1</v>
      </c>
      <c r="F19" s="71" t="s">
        <v>4</v>
      </c>
      <c r="G19" s="81"/>
      <c r="H19" s="49"/>
      <c r="I19" s="50"/>
    </row>
    <row r="20" spans="1:11" ht="20.25" x14ac:dyDescent="0.3">
      <c r="A20" s="78">
        <v>702123</v>
      </c>
      <c r="B20" s="79" t="s">
        <v>66</v>
      </c>
      <c r="C20" s="80" t="s">
        <v>67</v>
      </c>
      <c r="D20" s="64"/>
      <c r="E20" s="70">
        <v>2</v>
      </c>
      <c r="F20" s="71" t="s">
        <v>4</v>
      </c>
      <c r="G20" s="81"/>
      <c r="H20" s="49"/>
      <c r="I20" s="50"/>
    </row>
    <row r="21" spans="1:11" ht="20.25" x14ac:dyDescent="0.3">
      <c r="A21" s="137">
        <v>503000042</v>
      </c>
      <c r="B21" s="68" t="s">
        <v>68</v>
      </c>
      <c r="C21" s="68" t="s">
        <v>69</v>
      </c>
      <c r="D21" s="64"/>
      <c r="E21" s="70">
        <v>1</v>
      </c>
      <c r="F21" s="71" t="s">
        <v>4</v>
      </c>
      <c r="G21" s="81"/>
      <c r="H21" s="49"/>
      <c r="I21" s="50"/>
    </row>
    <row r="22" spans="1:11" ht="20.25" x14ac:dyDescent="0.3">
      <c r="A22" s="137">
        <v>60100010</v>
      </c>
      <c r="B22" s="68" t="s">
        <v>70</v>
      </c>
      <c r="C22" s="68" t="s">
        <v>71</v>
      </c>
      <c r="D22" s="64"/>
      <c r="E22" s="70">
        <v>1</v>
      </c>
      <c r="F22" s="71" t="s">
        <v>4</v>
      </c>
      <c r="G22" s="48"/>
      <c r="H22" s="49"/>
      <c r="I22" s="50"/>
    </row>
    <row r="23" spans="1:11" ht="20.25" x14ac:dyDescent="0.3">
      <c r="A23" s="82"/>
      <c r="B23" s="82"/>
      <c r="C23" s="83"/>
      <c r="D23" s="64"/>
      <c r="E23" s="70"/>
      <c r="F23" s="71"/>
      <c r="G23" s="48"/>
      <c r="H23" s="49"/>
      <c r="I23" s="50"/>
    </row>
    <row r="24" spans="1:11" ht="21" thickBot="1" x14ac:dyDescent="0.35">
      <c r="A24" s="84"/>
      <c r="B24" s="85"/>
      <c r="C24" s="86"/>
      <c r="D24" s="86"/>
      <c r="E24" s="87"/>
      <c r="F24" s="88"/>
      <c r="G24" s="86"/>
      <c r="H24" s="86"/>
      <c r="I24" s="89"/>
      <c r="K24" s="11">
        <f>SUM(E10:E16)</f>
        <v>26705</v>
      </c>
    </row>
    <row r="25" spans="1:11" ht="21" thickBot="1" x14ac:dyDescent="0.35">
      <c r="A25" s="90"/>
      <c r="B25" s="91"/>
      <c r="C25" s="92"/>
      <c r="D25" s="93" t="s">
        <v>10</v>
      </c>
      <c r="E25" s="94" t="s">
        <v>9</v>
      </c>
      <c r="F25" s="95"/>
      <c r="G25" s="92"/>
      <c r="H25" s="92"/>
      <c r="I25" s="96"/>
      <c r="K25" s="11">
        <f>+K24-50</f>
        <v>26655</v>
      </c>
    </row>
    <row r="26" spans="1:11" ht="20.25" x14ac:dyDescent="0.3">
      <c r="A26" s="97" t="s">
        <v>8</v>
      </c>
      <c r="B26" s="98"/>
      <c r="C26" s="99"/>
      <c r="D26" s="100">
        <v>26655</v>
      </c>
      <c r="E26" s="101" t="s">
        <v>1</v>
      </c>
      <c r="F26" s="102" t="s">
        <v>36</v>
      </c>
      <c r="G26" s="102"/>
      <c r="H26" s="103"/>
      <c r="I26" s="104"/>
    </row>
    <row r="27" spans="1:11" ht="20.25" x14ac:dyDescent="0.3">
      <c r="A27" s="105" t="s">
        <v>7</v>
      </c>
      <c r="B27" s="106"/>
      <c r="C27" s="107"/>
      <c r="D27" s="70">
        <v>4</v>
      </c>
      <c r="E27" s="64" t="s">
        <v>6</v>
      </c>
      <c r="F27" s="108" t="s">
        <v>37</v>
      </c>
      <c r="G27" s="108"/>
      <c r="H27" s="109"/>
      <c r="I27" s="110"/>
    </row>
    <row r="28" spans="1:11" ht="20.25" x14ac:dyDescent="0.3">
      <c r="A28" s="105" t="s">
        <v>5</v>
      </c>
      <c r="B28" s="106"/>
      <c r="C28" s="107"/>
      <c r="D28" s="70">
        <v>1</v>
      </c>
      <c r="E28" s="64" t="s">
        <v>72</v>
      </c>
      <c r="F28" s="108" t="s">
        <v>38</v>
      </c>
      <c r="G28" s="108"/>
      <c r="H28" s="109"/>
      <c r="I28" s="110"/>
      <c r="K28" s="11"/>
    </row>
    <row r="29" spans="1:11" ht="20.25" x14ac:dyDescent="0.3">
      <c r="A29" s="105" t="s">
        <v>3</v>
      </c>
      <c r="B29" s="106"/>
      <c r="C29" s="107"/>
      <c r="D29" s="70">
        <v>26655</v>
      </c>
      <c r="E29" s="64" t="s">
        <v>1</v>
      </c>
      <c r="F29" s="111" t="s">
        <v>39</v>
      </c>
      <c r="G29" s="112"/>
      <c r="H29" s="113"/>
      <c r="I29" s="114"/>
    </row>
    <row r="30" spans="1:11" ht="21" thickBot="1" x14ac:dyDescent="0.35">
      <c r="A30" s="115" t="s">
        <v>2</v>
      </c>
      <c r="B30" s="116"/>
      <c r="C30" s="117"/>
      <c r="D30" s="118">
        <v>50</v>
      </c>
      <c r="E30" s="119" t="s">
        <v>1</v>
      </c>
      <c r="F30" s="120"/>
      <c r="G30" s="120"/>
      <c r="H30" s="109"/>
      <c r="I30" s="110"/>
    </row>
    <row r="31" spans="1:11" ht="21" thickBot="1" x14ac:dyDescent="0.35">
      <c r="A31" s="134" t="s">
        <v>0</v>
      </c>
      <c r="B31" s="135"/>
      <c r="C31" s="135"/>
      <c r="D31" s="135"/>
      <c r="E31" s="135"/>
      <c r="F31" s="135"/>
      <c r="G31" s="135"/>
      <c r="H31" s="135"/>
      <c r="I31" s="136"/>
    </row>
    <row r="32" spans="1:11" ht="47.25" customHeight="1" x14ac:dyDescent="0.3">
      <c r="A32" s="125" t="s">
        <v>170</v>
      </c>
      <c r="B32" s="122"/>
      <c r="C32" s="123"/>
      <c r="D32" s="123"/>
      <c r="E32" s="123"/>
      <c r="F32" s="123"/>
      <c r="G32" s="123"/>
      <c r="H32" s="123"/>
      <c r="I32" s="124"/>
    </row>
    <row r="33" spans="1:9" ht="24.75" customHeight="1" x14ac:dyDescent="0.3">
      <c r="A33" s="121" t="s">
        <v>73</v>
      </c>
      <c r="B33" s="122"/>
      <c r="C33" s="123"/>
      <c r="D33" s="123"/>
      <c r="E33" s="123"/>
      <c r="F33" s="123"/>
      <c r="G33" s="123"/>
      <c r="H33" s="123"/>
      <c r="I33" s="124"/>
    </row>
    <row r="34" spans="1:9" ht="20.25" x14ac:dyDescent="0.3">
      <c r="A34" s="125"/>
      <c r="B34" s="126"/>
      <c r="C34" s="127"/>
      <c r="D34" s="127"/>
      <c r="E34" s="127"/>
      <c r="F34" s="127"/>
      <c r="G34" s="127"/>
      <c r="H34" s="127"/>
      <c r="I34" s="128"/>
    </row>
    <row r="35" spans="1:9" ht="20.25" x14ac:dyDescent="0.3">
      <c r="A35" s="129"/>
      <c r="B35" s="130"/>
      <c r="C35" s="130"/>
      <c r="D35" s="130"/>
      <c r="E35" s="130"/>
      <c r="F35" s="130"/>
      <c r="G35" s="130"/>
      <c r="H35" s="130"/>
      <c r="I35" s="131"/>
    </row>
    <row r="36" spans="1:9" ht="20.25" x14ac:dyDescent="0.3">
      <c r="A36" s="132" t="s">
        <v>40</v>
      </c>
      <c r="B36" s="132"/>
      <c r="C36" s="132"/>
      <c r="D36" s="132"/>
      <c r="E36" s="132"/>
      <c r="F36" s="132"/>
      <c r="G36" s="132"/>
      <c r="H36" s="132"/>
      <c r="I36" s="132"/>
    </row>
    <row r="37" spans="1:9" ht="20.25" x14ac:dyDescent="0.3">
      <c r="A37" s="133" t="s">
        <v>74</v>
      </c>
      <c r="B37" s="133"/>
      <c r="C37" s="133"/>
      <c r="D37" s="133"/>
      <c r="E37" s="133"/>
      <c r="F37" s="133"/>
      <c r="G37" s="133"/>
      <c r="H37" s="133"/>
      <c r="I37" s="133"/>
    </row>
    <row r="38" spans="1:9" ht="20.25" x14ac:dyDescent="0.3">
      <c r="A38" s="133" t="s">
        <v>75</v>
      </c>
      <c r="B38" s="133"/>
      <c r="C38" s="133"/>
      <c r="D38" s="133"/>
      <c r="E38" s="133"/>
      <c r="F38" s="133"/>
      <c r="G38" s="133"/>
      <c r="H38" s="133"/>
      <c r="I38" s="133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6:C26"/>
    <mergeCell ref="F26:G26"/>
    <mergeCell ref="H26:I26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36:I36"/>
    <mergeCell ref="A37:I37"/>
    <mergeCell ref="A38:I38"/>
    <mergeCell ref="A34:I34"/>
    <mergeCell ref="A35:I35"/>
  </mergeCells>
  <pageMargins left="0.7" right="0.7" top="0.75" bottom="0.75" header="0.3" footer="0.3"/>
  <pageSetup scale="4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A180-C6DB-47EE-A5C5-6DE437F5D07D}">
  <dimension ref="A2:L30"/>
  <sheetViews>
    <sheetView workbookViewId="0">
      <selection sqref="A1:XFD1048576"/>
    </sheetView>
  </sheetViews>
  <sheetFormatPr baseColWidth="10" defaultRowHeight="12.75" x14ac:dyDescent="0.2"/>
  <cols>
    <col min="3" max="3" width="19.5703125" customWidth="1"/>
  </cols>
  <sheetData>
    <row r="2" spans="1:2" x14ac:dyDescent="0.2">
      <c r="A2" t="s">
        <v>76</v>
      </c>
    </row>
    <row r="3" spans="1:2" x14ac:dyDescent="0.2">
      <c r="A3" t="s">
        <v>77</v>
      </c>
      <c r="B3" t="s">
        <v>78</v>
      </c>
    </row>
    <row r="4" spans="1:2" x14ac:dyDescent="0.2">
      <c r="A4" t="s">
        <v>79</v>
      </c>
      <c r="B4" t="s">
        <v>131</v>
      </c>
    </row>
    <row r="5" spans="1:2" x14ac:dyDescent="0.2">
      <c r="A5" t="s">
        <v>81</v>
      </c>
      <c r="B5" t="s">
        <v>82</v>
      </c>
    </row>
    <row r="6" spans="1:2" x14ac:dyDescent="0.2">
      <c r="A6" t="s">
        <v>83</v>
      </c>
      <c r="B6" t="s">
        <v>132</v>
      </c>
    </row>
    <row r="7" spans="1:2" x14ac:dyDescent="0.2">
      <c r="A7" t="s">
        <v>85</v>
      </c>
      <c r="B7" t="s">
        <v>86</v>
      </c>
    </row>
    <row r="8" spans="1:2" x14ac:dyDescent="0.2">
      <c r="A8" t="s">
        <v>87</v>
      </c>
      <c r="B8" t="s">
        <v>88</v>
      </c>
    </row>
    <row r="9" spans="1:2" x14ac:dyDescent="0.2">
      <c r="A9" t="s">
        <v>89</v>
      </c>
      <c r="B9" t="s">
        <v>133</v>
      </c>
    </row>
    <row r="10" spans="1:2" x14ac:dyDescent="0.2">
      <c r="A10" t="s">
        <v>91</v>
      </c>
      <c r="B10" t="s">
        <v>92</v>
      </c>
    </row>
    <row r="11" spans="1:2" x14ac:dyDescent="0.2">
      <c r="A11" t="s">
        <v>93</v>
      </c>
      <c r="B11" t="s">
        <v>35</v>
      </c>
    </row>
    <row r="12" spans="1:2" x14ac:dyDescent="0.2">
      <c r="A12" t="s">
        <v>94</v>
      </c>
      <c r="B12" t="s">
        <v>95</v>
      </c>
    </row>
    <row r="13" spans="1:2" x14ac:dyDescent="0.2">
      <c r="A13" t="s">
        <v>96</v>
      </c>
      <c r="B13" t="s">
        <v>97</v>
      </c>
    </row>
    <row r="14" spans="1:2" x14ac:dyDescent="0.2">
      <c r="A14" t="s">
        <v>98</v>
      </c>
      <c r="B14" t="s">
        <v>99</v>
      </c>
    </row>
    <row r="17" spans="1:12" x14ac:dyDescent="0.2">
      <c r="A17" t="s">
        <v>100</v>
      </c>
      <c r="B17" t="s">
        <v>101</v>
      </c>
    </row>
    <row r="18" spans="1:12" x14ac:dyDescent="0.2">
      <c r="A18" t="s">
        <v>134</v>
      </c>
      <c r="B18" t="s">
        <v>135</v>
      </c>
    </row>
    <row r="20" spans="1:12" x14ac:dyDescent="0.2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114</v>
      </c>
    </row>
    <row r="21" spans="1:12" x14ac:dyDescent="0.2">
      <c r="A21" t="s">
        <v>44</v>
      </c>
      <c r="B21" t="s">
        <v>95</v>
      </c>
      <c r="C21" t="s">
        <v>136</v>
      </c>
      <c r="D21">
        <v>191.33</v>
      </c>
      <c r="E21" t="s">
        <v>117</v>
      </c>
      <c r="F21">
        <v>191.33</v>
      </c>
      <c r="G21">
        <v>191.33</v>
      </c>
      <c r="H21">
        <v>191.33</v>
      </c>
      <c r="I21" t="s">
        <v>138</v>
      </c>
      <c r="J21" t="s">
        <v>119</v>
      </c>
      <c r="K21" t="s">
        <v>139</v>
      </c>
      <c r="L21">
        <v>418.05</v>
      </c>
    </row>
    <row r="22" spans="1:12" x14ac:dyDescent="0.2">
      <c r="A22" t="s">
        <v>47</v>
      </c>
      <c r="B22" t="s">
        <v>95</v>
      </c>
      <c r="C22" t="s">
        <v>140</v>
      </c>
      <c r="D22">
        <v>423.94</v>
      </c>
      <c r="E22" t="s">
        <v>117</v>
      </c>
      <c r="F22">
        <v>423.94</v>
      </c>
      <c r="G22">
        <v>423.94</v>
      </c>
      <c r="H22">
        <v>423.94</v>
      </c>
      <c r="I22" t="s">
        <v>142</v>
      </c>
      <c r="J22" t="s">
        <v>119</v>
      </c>
      <c r="K22" t="s">
        <v>143</v>
      </c>
      <c r="L22">
        <v>18.29</v>
      </c>
    </row>
    <row r="23" spans="1:12" x14ac:dyDescent="0.2">
      <c r="A23" t="s">
        <v>50</v>
      </c>
      <c r="B23" t="s">
        <v>95</v>
      </c>
      <c r="C23" t="s">
        <v>144</v>
      </c>
      <c r="D23">
        <v>322.64</v>
      </c>
      <c r="E23" t="s">
        <v>117</v>
      </c>
      <c r="F23">
        <v>322.64</v>
      </c>
      <c r="G23">
        <v>322.64</v>
      </c>
      <c r="H23">
        <v>322.64</v>
      </c>
      <c r="I23" t="s">
        <v>146</v>
      </c>
      <c r="J23" t="s">
        <v>119</v>
      </c>
      <c r="K23" t="s">
        <v>147</v>
      </c>
      <c r="L23">
        <v>166.15</v>
      </c>
    </row>
    <row r="24" spans="1:12" x14ac:dyDescent="0.2">
      <c r="A24" t="s">
        <v>53</v>
      </c>
      <c r="B24" t="s">
        <v>95</v>
      </c>
      <c r="C24" t="s">
        <v>148</v>
      </c>
      <c r="D24">
        <v>1.88</v>
      </c>
      <c r="E24" t="s">
        <v>117</v>
      </c>
      <c r="F24">
        <v>1.88</v>
      </c>
      <c r="G24">
        <v>1.88</v>
      </c>
      <c r="H24">
        <v>1.88</v>
      </c>
      <c r="I24" t="s">
        <v>150</v>
      </c>
      <c r="J24" t="s">
        <v>119</v>
      </c>
      <c r="K24" t="s">
        <v>151</v>
      </c>
      <c r="L24">
        <v>13.76</v>
      </c>
    </row>
    <row r="25" spans="1:12" x14ac:dyDescent="0.2">
      <c r="A25" t="s">
        <v>64</v>
      </c>
      <c r="B25" t="s">
        <v>95</v>
      </c>
      <c r="C25" t="s">
        <v>152</v>
      </c>
      <c r="D25" t="s">
        <v>153</v>
      </c>
      <c r="E25" t="s">
        <v>117</v>
      </c>
      <c r="F25" t="s">
        <v>153</v>
      </c>
      <c r="G25" t="s">
        <v>153</v>
      </c>
      <c r="H25" t="s">
        <v>153</v>
      </c>
      <c r="I25" t="s">
        <v>154</v>
      </c>
      <c r="J25" t="s">
        <v>119</v>
      </c>
      <c r="K25" t="s">
        <v>155</v>
      </c>
      <c r="L25">
        <v>2.0699999999999998</v>
      </c>
    </row>
    <row r="26" spans="1:12" x14ac:dyDescent="0.2">
      <c r="A26" t="s">
        <v>66</v>
      </c>
      <c r="B26" t="s">
        <v>95</v>
      </c>
      <c r="C26" t="s">
        <v>156</v>
      </c>
      <c r="D26" t="s">
        <v>157</v>
      </c>
      <c r="E26" t="s">
        <v>117</v>
      </c>
      <c r="F26" t="s">
        <v>157</v>
      </c>
      <c r="G26" t="s">
        <v>157</v>
      </c>
      <c r="H26" t="s">
        <v>157</v>
      </c>
      <c r="I26" t="s">
        <v>158</v>
      </c>
      <c r="J26" t="s">
        <v>113</v>
      </c>
      <c r="K26" t="s">
        <v>159</v>
      </c>
      <c r="L26">
        <v>0.15</v>
      </c>
    </row>
    <row r="27" spans="1:12" x14ac:dyDescent="0.2">
      <c r="A27" t="s">
        <v>56</v>
      </c>
      <c r="B27" t="s">
        <v>95</v>
      </c>
      <c r="C27" t="s">
        <v>160</v>
      </c>
      <c r="D27">
        <v>12.57</v>
      </c>
      <c r="E27" t="s">
        <v>117</v>
      </c>
      <c r="F27">
        <v>12.57</v>
      </c>
      <c r="G27">
        <v>12.57</v>
      </c>
      <c r="H27">
        <v>12.57</v>
      </c>
      <c r="I27" t="s">
        <v>162</v>
      </c>
      <c r="J27" t="s">
        <v>119</v>
      </c>
      <c r="K27" t="s">
        <v>163</v>
      </c>
      <c r="L27">
        <v>29.72</v>
      </c>
    </row>
    <row r="28" spans="1:12" x14ac:dyDescent="0.2">
      <c r="A28" t="s">
        <v>58</v>
      </c>
      <c r="B28" t="s">
        <v>95</v>
      </c>
      <c r="C28" t="s">
        <v>164</v>
      </c>
      <c r="D28">
        <v>24.39</v>
      </c>
      <c r="E28" t="s">
        <v>117</v>
      </c>
      <c r="F28">
        <v>24.39</v>
      </c>
      <c r="G28">
        <v>24.39</v>
      </c>
      <c r="H28">
        <v>24.39</v>
      </c>
      <c r="I28" t="s">
        <v>166</v>
      </c>
      <c r="J28" t="s">
        <v>119</v>
      </c>
      <c r="K28" t="s">
        <v>167</v>
      </c>
      <c r="L28">
        <v>499.26</v>
      </c>
    </row>
    <row r="29" spans="1:12" x14ac:dyDescent="0.2">
      <c r="C29" t="s">
        <v>168</v>
      </c>
      <c r="D29">
        <v>25.78</v>
      </c>
      <c r="F29">
        <v>25.78</v>
      </c>
      <c r="G29">
        <v>25.78</v>
      </c>
      <c r="H29">
        <v>25.78</v>
      </c>
      <c r="I29">
        <v>1.4</v>
      </c>
      <c r="J29" t="s">
        <v>119</v>
      </c>
      <c r="L29">
        <f>25.78*1.4</f>
        <v>36.091999999999999</v>
      </c>
    </row>
    <row r="30" spans="1:12" x14ac:dyDescent="0.2">
      <c r="L30">
        <f>SUM(L21:L29)</f>
        <v>1183.5420000000001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40D6-D665-457B-8E0B-E6C9BDEDD76C}">
  <dimension ref="A2:L30"/>
  <sheetViews>
    <sheetView topLeftCell="A13" workbookViewId="0">
      <selection activeCell="L30" sqref="L30"/>
    </sheetView>
  </sheetViews>
  <sheetFormatPr baseColWidth="10" defaultRowHeight="12.75" x14ac:dyDescent="0.2"/>
  <cols>
    <col min="3" max="3" width="19.5703125" customWidth="1"/>
  </cols>
  <sheetData>
    <row r="2" spans="1:2" x14ac:dyDescent="0.2">
      <c r="A2" t="s">
        <v>76</v>
      </c>
    </row>
    <row r="3" spans="1:2" x14ac:dyDescent="0.2">
      <c r="A3" t="s">
        <v>77</v>
      </c>
      <c r="B3" t="s">
        <v>78</v>
      </c>
    </row>
    <row r="4" spans="1:2" x14ac:dyDescent="0.2">
      <c r="A4" t="s">
        <v>79</v>
      </c>
      <c r="B4" t="s">
        <v>131</v>
      </c>
    </row>
    <row r="5" spans="1:2" x14ac:dyDescent="0.2">
      <c r="A5" t="s">
        <v>81</v>
      </c>
      <c r="B5" t="s">
        <v>82</v>
      </c>
    </row>
    <row r="6" spans="1:2" x14ac:dyDescent="0.2">
      <c r="A6" t="s">
        <v>83</v>
      </c>
      <c r="B6" t="s">
        <v>132</v>
      </c>
    </row>
    <row r="7" spans="1:2" x14ac:dyDescent="0.2">
      <c r="A7" t="s">
        <v>85</v>
      </c>
      <c r="B7" t="s">
        <v>86</v>
      </c>
    </row>
    <row r="8" spans="1:2" x14ac:dyDescent="0.2">
      <c r="A8" t="s">
        <v>87</v>
      </c>
      <c r="B8" t="s">
        <v>88</v>
      </c>
    </row>
    <row r="9" spans="1:2" x14ac:dyDescent="0.2">
      <c r="A9" t="s">
        <v>89</v>
      </c>
      <c r="B9" t="s">
        <v>133</v>
      </c>
    </row>
    <row r="10" spans="1:2" x14ac:dyDescent="0.2">
      <c r="A10" t="s">
        <v>91</v>
      </c>
      <c r="B10" t="s">
        <v>92</v>
      </c>
    </row>
    <row r="11" spans="1:2" x14ac:dyDescent="0.2">
      <c r="A11" t="s">
        <v>93</v>
      </c>
      <c r="B11" t="s">
        <v>35</v>
      </c>
    </row>
    <row r="12" spans="1:2" x14ac:dyDescent="0.2">
      <c r="A12" t="s">
        <v>94</v>
      </c>
      <c r="B12" t="s">
        <v>95</v>
      </c>
    </row>
    <row r="13" spans="1:2" x14ac:dyDescent="0.2">
      <c r="A13" t="s">
        <v>96</v>
      </c>
      <c r="B13" t="s">
        <v>97</v>
      </c>
    </row>
    <row r="14" spans="1:2" x14ac:dyDescent="0.2">
      <c r="A14" t="s">
        <v>98</v>
      </c>
      <c r="B14" t="s">
        <v>99</v>
      </c>
    </row>
    <row r="17" spans="1:12" x14ac:dyDescent="0.2">
      <c r="A17" t="s">
        <v>100</v>
      </c>
      <c r="B17" t="s">
        <v>101</v>
      </c>
    </row>
    <row r="18" spans="1:12" x14ac:dyDescent="0.2">
      <c r="A18" t="s">
        <v>134</v>
      </c>
      <c r="B18" t="s">
        <v>135</v>
      </c>
    </row>
    <row r="20" spans="1:12" x14ac:dyDescent="0.2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114</v>
      </c>
    </row>
    <row r="21" spans="1:12" x14ac:dyDescent="0.2">
      <c r="A21" t="s">
        <v>44</v>
      </c>
      <c r="B21" t="s">
        <v>95</v>
      </c>
      <c r="C21" t="s">
        <v>136</v>
      </c>
      <c r="D21">
        <v>191.33</v>
      </c>
      <c r="E21" t="s">
        <v>117</v>
      </c>
      <c r="F21">
        <v>191.33</v>
      </c>
      <c r="G21">
        <v>191.33</v>
      </c>
      <c r="H21">
        <v>191.33</v>
      </c>
      <c r="I21" t="s">
        <v>138</v>
      </c>
      <c r="J21" t="s">
        <v>119</v>
      </c>
      <c r="K21" t="s">
        <v>139</v>
      </c>
      <c r="L21">
        <v>418.05</v>
      </c>
    </row>
    <row r="22" spans="1:12" x14ac:dyDescent="0.2">
      <c r="A22" t="s">
        <v>47</v>
      </c>
      <c r="B22" t="s">
        <v>95</v>
      </c>
      <c r="C22" t="s">
        <v>140</v>
      </c>
      <c r="D22">
        <v>423.94</v>
      </c>
      <c r="E22" t="s">
        <v>117</v>
      </c>
      <c r="F22">
        <v>423.94</v>
      </c>
      <c r="G22">
        <v>423.94</v>
      </c>
      <c r="H22">
        <v>423.94</v>
      </c>
      <c r="I22" t="s">
        <v>142</v>
      </c>
      <c r="J22" t="s">
        <v>119</v>
      </c>
      <c r="K22" t="s">
        <v>143</v>
      </c>
      <c r="L22">
        <v>18.29</v>
      </c>
    </row>
    <row r="23" spans="1:12" x14ac:dyDescent="0.2">
      <c r="A23" t="s">
        <v>50</v>
      </c>
      <c r="B23" t="s">
        <v>95</v>
      </c>
      <c r="C23" t="s">
        <v>144</v>
      </c>
      <c r="D23">
        <v>322.64</v>
      </c>
      <c r="E23" t="s">
        <v>117</v>
      </c>
      <c r="F23">
        <v>322.64</v>
      </c>
      <c r="G23">
        <v>322.64</v>
      </c>
      <c r="H23">
        <v>322.64</v>
      </c>
      <c r="I23" t="s">
        <v>146</v>
      </c>
      <c r="J23" t="s">
        <v>119</v>
      </c>
      <c r="K23" t="s">
        <v>147</v>
      </c>
      <c r="L23">
        <v>166.15</v>
      </c>
    </row>
    <row r="24" spans="1:12" x14ac:dyDescent="0.2">
      <c r="A24" t="s">
        <v>53</v>
      </c>
      <c r="B24" t="s">
        <v>95</v>
      </c>
      <c r="C24" t="s">
        <v>148</v>
      </c>
      <c r="D24">
        <v>1.88</v>
      </c>
      <c r="E24" t="s">
        <v>117</v>
      </c>
      <c r="F24">
        <v>1.88</v>
      </c>
      <c r="G24">
        <v>1.88</v>
      </c>
      <c r="H24">
        <v>1.88</v>
      </c>
      <c r="I24" t="s">
        <v>150</v>
      </c>
      <c r="J24" t="s">
        <v>119</v>
      </c>
      <c r="K24" t="s">
        <v>151</v>
      </c>
      <c r="L24">
        <v>13.76</v>
      </c>
    </row>
    <row r="25" spans="1:12" x14ac:dyDescent="0.2">
      <c r="A25" t="s">
        <v>64</v>
      </c>
      <c r="B25" t="s">
        <v>95</v>
      </c>
      <c r="C25" t="s">
        <v>152</v>
      </c>
      <c r="D25" t="s">
        <v>153</v>
      </c>
      <c r="E25" t="s">
        <v>117</v>
      </c>
      <c r="F25" t="s">
        <v>153</v>
      </c>
      <c r="G25" t="s">
        <v>153</v>
      </c>
      <c r="H25" t="s">
        <v>153</v>
      </c>
      <c r="I25" t="s">
        <v>154</v>
      </c>
      <c r="J25" t="s">
        <v>119</v>
      </c>
      <c r="K25" t="s">
        <v>155</v>
      </c>
      <c r="L25">
        <v>2.0699999999999998</v>
      </c>
    </row>
    <row r="26" spans="1:12" x14ac:dyDescent="0.2">
      <c r="A26" t="s">
        <v>66</v>
      </c>
      <c r="B26" t="s">
        <v>95</v>
      </c>
      <c r="C26" t="s">
        <v>156</v>
      </c>
      <c r="D26" t="s">
        <v>157</v>
      </c>
      <c r="E26" t="s">
        <v>117</v>
      </c>
      <c r="F26" t="s">
        <v>157</v>
      </c>
      <c r="G26" t="s">
        <v>157</v>
      </c>
      <c r="H26" t="s">
        <v>157</v>
      </c>
      <c r="I26" t="s">
        <v>158</v>
      </c>
      <c r="J26" t="s">
        <v>113</v>
      </c>
      <c r="K26" t="s">
        <v>159</v>
      </c>
      <c r="L26">
        <v>0.15</v>
      </c>
    </row>
    <row r="27" spans="1:12" x14ac:dyDescent="0.2">
      <c r="A27" t="s">
        <v>56</v>
      </c>
      <c r="B27" t="s">
        <v>95</v>
      </c>
      <c r="C27" t="s">
        <v>160</v>
      </c>
      <c r="D27">
        <v>12.57</v>
      </c>
      <c r="E27" t="s">
        <v>117</v>
      </c>
      <c r="F27">
        <v>12.57</v>
      </c>
      <c r="G27">
        <v>12.57</v>
      </c>
      <c r="H27">
        <v>12.57</v>
      </c>
      <c r="I27" t="s">
        <v>162</v>
      </c>
      <c r="J27" t="s">
        <v>119</v>
      </c>
      <c r="K27" t="s">
        <v>163</v>
      </c>
      <c r="L27">
        <v>29.72</v>
      </c>
    </row>
    <row r="28" spans="1:12" x14ac:dyDescent="0.2">
      <c r="A28" t="s">
        <v>58</v>
      </c>
      <c r="B28" t="s">
        <v>95</v>
      </c>
      <c r="C28" t="s">
        <v>164</v>
      </c>
      <c r="D28">
        <v>24.39</v>
      </c>
      <c r="E28" t="s">
        <v>117</v>
      </c>
      <c r="F28">
        <v>24.39</v>
      </c>
      <c r="G28">
        <v>24.39</v>
      </c>
      <c r="H28">
        <v>24.39</v>
      </c>
      <c r="I28" t="s">
        <v>166</v>
      </c>
      <c r="J28" t="s">
        <v>119</v>
      </c>
      <c r="K28" t="s">
        <v>167</v>
      </c>
      <c r="L28">
        <v>499.26</v>
      </c>
    </row>
    <row r="29" spans="1:12" x14ac:dyDescent="0.2">
      <c r="C29" t="s">
        <v>168</v>
      </c>
      <c r="D29">
        <v>25.78</v>
      </c>
      <c r="F29">
        <v>25.78</v>
      </c>
      <c r="G29">
        <v>25.78</v>
      </c>
      <c r="H29">
        <v>25.78</v>
      </c>
      <c r="I29">
        <v>9.11</v>
      </c>
      <c r="J29" t="s">
        <v>119</v>
      </c>
      <c r="L29">
        <f>25.78*9.11</f>
        <v>234.85579999999999</v>
      </c>
    </row>
    <row r="30" spans="1:12" x14ac:dyDescent="0.2">
      <c r="L30">
        <f>SUM(L21:L29)</f>
        <v>1382.3058000000001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EF4EF0-87A4-48C4-BC57-49E99928A07D}"/>
</file>

<file path=customXml/itemProps2.xml><?xml version="1.0" encoding="utf-8"?>
<ds:datastoreItem xmlns:ds="http://schemas.openxmlformats.org/officeDocument/2006/customXml" ds:itemID="{F8A80B63-B6ED-4C09-97CE-10E4EE97919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77D741B-E772-41C6-8E4F-A6498448E8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Costo Actual Batido</vt:lpstr>
      <vt:lpstr>Costo Actual Premezcla </vt:lpstr>
      <vt:lpstr>Costo Nuevo Batido</vt:lpstr>
      <vt:lpstr>Costo Nuevo Batido 2</vt:lpstr>
      <vt:lpstr>Premezcla Nueva</vt:lpstr>
      <vt:lpstr>costo Nuevo Premezcla </vt:lpstr>
      <vt:lpstr>costo Nueva prem 2</vt:lpstr>
      <vt:lpstr>'Premezcla Nueva'!Área_de_impresión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2025-11-19T17:39:05Z</cp:lastPrinted>
  <dcterms:created xsi:type="dcterms:W3CDTF">2022-08-11T16:14:50Z</dcterms:created>
  <dcterms:modified xsi:type="dcterms:W3CDTF">2025-11-19T17:40:10Z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57200</vt:r8>
  </property>
  <property fmtid="{D5CDD505-2E9C-101B-9397-08002B2CF9AE}" pid="4" name="MediaServiceImageTags">
    <vt:lpwstr/>
  </property>
</Properties>
</file>
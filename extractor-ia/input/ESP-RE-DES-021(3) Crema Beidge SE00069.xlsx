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1" documentId="8_{AC0DE0BF-7621-4761-B3D3-60E497E0E403}" xr6:coauthVersionLast="47" xr6:coauthVersionMax="47" xr10:uidLastSave="{FE2CCD2C-B474-4B82-BAD3-F885A37C666C}"/>
  <bookViews>
    <workbookView xWindow="-120" yWindow="-120" windowWidth="20730" windowHeight="11040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4" l="1"/>
  <c r="D24" i="4" s="1"/>
</calcChain>
</file>

<file path=xl/sharedStrings.xml><?xml version="1.0" encoding="utf-8"?>
<sst xmlns="http://schemas.openxmlformats.org/spreadsheetml/2006/main" count="69" uniqueCount="61">
  <si>
    <t>PROCEDIMIENTO DE PREPARACION DE LA  RECETA</t>
  </si>
  <si>
    <t>g</t>
  </si>
  <si>
    <t>MERMA</t>
  </si>
  <si>
    <t>Otros</t>
  </si>
  <si>
    <t>Temperatura de Horneo:</t>
  </si>
  <si>
    <t>Tanda</t>
  </si>
  <si>
    <t>CANTIDAD DE PORCIONES OBTENIDAS</t>
  </si>
  <si>
    <t>Horno:</t>
  </si>
  <si>
    <t>TIEMPO TOTAL DE PREPARACION</t>
  </si>
  <si>
    <t>Tiempo de Horneo:</t>
  </si>
  <si>
    <t>PESO TOTAL OBTENIDO</t>
  </si>
  <si>
    <t>Unidad</t>
  </si>
  <si>
    <t>Cantidad</t>
  </si>
  <si>
    <t>ETIQ.BLANCA 1 1/4 * 3/4</t>
  </si>
  <si>
    <t>0702069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</si>
  <si>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</si>
  <si>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</si>
  <si>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</si>
  <si>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</si>
  <si>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</si>
  <si>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</si>
  <si>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</si>
  <si>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</si>
  <si>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</si>
  <si>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</si>
  <si>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</si>
  <si>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</si>
  <si>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</si>
  <si>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</si>
  <si>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</si>
  <si>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Min</t>
  </si>
  <si>
    <t>ud</t>
  </si>
  <si>
    <t>Javier Tong, Chef</t>
  </si>
  <si>
    <t>COLORANTE GEL EGG YELLOW  (UND= 130 ML)</t>
  </si>
  <si>
    <t>CONTROL DE CAMBIOS</t>
  </si>
  <si>
    <t>Esteban Cartin, Gte Manufactura</t>
  </si>
  <si>
    <t>FAS</t>
  </si>
  <si>
    <t>MP10150</t>
  </si>
  <si>
    <t>EM10002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</si>
  <si>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</si>
  <si>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</si>
  <si>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</si>
  <si>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</si>
  <si>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</si>
  <si>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</si>
  <si>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MASTER PACK</t>
  </si>
  <si>
    <t>ETIPLAST</t>
  </si>
  <si>
    <t>Empaque</t>
  </si>
  <si>
    <t>PESO DE CADA PORCIÓN</t>
  </si>
  <si>
    <t>ESP-RE-DES-021</t>
  </si>
  <si>
    <t>SE00670</t>
  </si>
  <si>
    <t>CREMA BLANCA SUPREMO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</si>
  <si>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</si>
  <si>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</si>
  <si>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</si>
  <si>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</si>
  <si>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</si>
  <si>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</si>
  <si>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0.2</t>
  </si>
  <si>
    <t>03</t>
  </si>
  <si>
    <t xml:space="preserve">SE00069 Crema Beidge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</si>
</sst>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3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35">
    <xf numFmtId="0" fontId="0" fillId="0" borderId="0" xfId="0"/>
    <xf numFmtId="0" fontId="3" fillId="2" borderId="25" xfId="1" applyFont="1" applyFill="1" applyBorder="1" applyAlignment="1">
      <alignment horizontal="right"/>
    </xf>
    <xf numFmtId="0" fontId="4" fillId="2" borderId="2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49" fontId="4" fillId="2" borderId="4" xfId="1" applyNumberFormat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14" fontId="6" fillId="2" borderId="0" xfId="4" applyNumberFormat="1" applyFont="1" applyFill="1" applyAlignment="1">
      <alignment horizontal="center" vertical="center" wrapText="1"/>
    </xf>
    <xf numFmtId="0" fontId="3" fillId="3" borderId="24" xfId="2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/>
    </xf>
    <xf numFmtId="1" fontId="3" fillId="3" borderId="2" xfId="2" applyNumberFormat="1" applyFont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/>
    </xf>
    <xf numFmtId="0" fontId="4" fillId="2" borderId="11" xfId="1" applyFont="1" applyFill="1" applyBorder="1" applyAlignment="1">
      <alignment horizontal="left"/>
    </xf>
    <xf numFmtId="0" fontId="4" fillId="2" borderId="29" xfId="1" applyFont="1" applyFill="1" applyBorder="1" applyAlignment="1">
      <alignment horizontal="left"/>
    </xf>
    <xf numFmtId="0" fontId="4" fillId="2" borderId="12" xfId="1" applyFont="1" applyFill="1" applyBorder="1" applyAlignment="1">
      <alignment horizontal="left"/>
    </xf>
    <xf numFmtId="0" fontId="5" fillId="2" borderId="0" xfId="4" applyFont="1" applyFill="1" applyAlignment="1">
      <alignment horizontal="right"/>
    </xf>
    <xf numFmtId="0" fontId="6" fillId="2" borderId="38" xfId="4" applyFont="1" applyFill="1" applyBorder="1" applyAlignment="1">
      <alignment horizontal="center"/>
    </xf>
    <xf numFmtId="0" fontId="5" fillId="2" borderId="0" xfId="4" applyFont="1" applyFill="1"/>
    <xf numFmtId="0" fontId="3" fillId="3" borderId="26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26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14" fontId="4" fillId="2" borderId="34" xfId="1" applyNumberFormat="1" applyFont="1" applyFill="1" applyBorder="1" applyAlignment="1">
      <alignment horizontal="center" vertical="center" wrapText="1"/>
    </xf>
    <xf numFmtId="14" fontId="4" fillId="2" borderId="27" xfId="1" applyNumberFormat="1" applyFont="1" applyFill="1" applyBorder="1" applyAlignment="1">
      <alignment horizontal="center" vertical="center" wrapText="1"/>
    </xf>
    <xf numFmtId="14" fontId="4" fillId="2" borderId="40" xfId="1" applyNumberFormat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left"/>
    </xf>
    <xf numFmtId="0" fontId="4" fillId="2" borderId="32" xfId="1" applyFont="1" applyFill="1" applyBorder="1" applyAlignment="1">
      <alignment horizontal="left"/>
    </xf>
    <xf numFmtId="0" fontId="4" fillId="2" borderId="31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3" fillId="2" borderId="25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right" vertical="top" wrapText="1"/>
    </xf>
    <xf numFmtId="0" fontId="3" fillId="2" borderId="30" xfId="1" applyFont="1" applyFill="1" applyBorder="1" applyAlignment="1">
      <alignment horizontal="right" vertical="top" wrapText="1"/>
    </xf>
    <xf numFmtId="0" fontId="3" fillId="2" borderId="28" xfId="1" applyFont="1" applyFill="1" applyBorder="1" applyAlignment="1">
      <alignment horizontal="right" vertical="top" wrapText="1"/>
    </xf>
    <xf numFmtId="0" fontId="7" fillId="4" borderId="21" xfId="1" applyFont="1" applyFill="1" applyBorder="1" applyAlignment="1">
      <alignment horizontal="center" vertical="center" wrapText="1"/>
    </xf>
    <xf numFmtId="0" fontId="7" fillId="4" borderId="20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16" xfId="0" applyFont="1" applyFill="1" applyBorder="1"/>
    <xf numFmtId="0" fontId="10" fillId="5" borderId="12" xfId="0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/>
    </xf>
    <xf numFmtId="1" fontId="10" fillId="5" borderId="5" xfId="0" applyNumberFormat="1" applyFont="1" applyFill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12" fontId="10" fillId="0" borderId="16" xfId="0" applyNumberFormat="1" applyFont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5" borderId="5" xfId="0" applyFont="1" applyFill="1" applyBorder="1"/>
    <xf numFmtId="1" fontId="10" fillId="5" borderId="16" xfId="0" applyNumberFormat="1" applyFont="1" applyFill="1" applyBorder="1" applyAlignment="1">
      <alignment horizontal="center"/>
    </xf>
    <xf numFmtId="1" fontId="10" fillId="5" borderId="16" xfId="0" applyNumberFormat="1" applyFont="1" applyFill="1" applyBorder="1" applyAlignment="1">
      <alignment horizontal="center" wrapText="1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16" fontId="10" fillId="0" borderId="1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wrapText="1"/>
    </xf>
    <xf numFmtId="49" fontId="10" fillId="0" borderId="6" xfId="2" applyNumberFormat="1" applyFont="1" applyBorder="1" applyAlignment="1">
      <alignment horizontal="center"/>
    </xf>
    <xf numFmtId="49" fontId="10" fillId="0" borderId="12" xfId="2" applyNumberFormat="1" applyFont="1" applyBorder="1" applyAlignment="1">
      <alignment horizontal="center"/>
    </xf>
    <xf numFmtId="0" fontId="8" fillId="5" borderId="5" xfId="2" applyFont="1" applyFill="1" applyBorder="1" applyAlignment="1">
      <alignment horizontal="left"/>
    </xf>
    <xf numFmtId="0" fontId="10" fillId="0" borderId="5" xfId="2" applyFont="1" applyBorder="1" applyAlignment="1">
      <alignment horizontal="center"/>
    </xf>
    <xf numFmtId="165" fontId="10" fillId="0" borderId="5" xfId="2" applyNumberFormat="1" applyFont="1" applyBorder="1" applyAlignment="1">
      <alignment horizontal="center"/>
    </xf>
    <xf numFmtId="1" fontId="10" fillId="0" borderId="5" xfId="2" applyNumberFormat="1" applyFont="1" applyBorder="1" applyAlignment="1">
      <alignment horizontal="center" wrapText="1"/>
    </xf>
    <xf numFmtId="0" fontId="10" fillId="0" borderId="0" xfId="0" applyFont="1"/>
    <xf numFmtId="16" fontId="10" fillId="0" borderId="5" xfId="0" applyNumberFormat="1" applyFont="1" applyBorder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9" fillId="5" borderId="5" xfId="2" applyFont="1" applyFill="1" applyBorder="1" applyAlignment="1">
      <alignment vertical="center"/>
    </xf>
    <xf numFmtId="0" fontId="8" fillId="0" borderId="12" xfId="2" applyFont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166" fontId="8" fillId="5" borderId="5" xfId="3" applyNumberFormat="1" applyFont="1" applyFill="1" applyBorder="1" applyAlignment="1">
      <alignment horizontal="center"/>
    </xf>
    <xf numFmtId="49" fontId="10" fillId="0" borderId="5" xfId="2" applyNumberFormat="1" applyFont="1" applyBorder="1"/>
    <xf numFmtId="49" fontId="12" fillId="2" borderId="23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2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0" fillId="3" borderId="20" xfId="2" applyFont="1" applyFill="1" applyBorder="1"/>
    <xf numFmtId="0" fontId="8" fillId="3" borderId="20" xfId="2" applyFont="1" applyFill="1" applyBorder="1" applyAlignment="1">
      <alignment horizontal="center"/>
    </xf>
    <xf numFmtId="1" fontId="8" fillId="3" borderId="20" xfId="2" applyNumberFormat="1" applyFont="1" applyFill="1" applyBorder="1" applyAlignment="1">
      <alignment horizontal="center"/>
    </xf>
    <xf numFmtId="164" fontId="10" fillId="3" borderId="20" xfId="2" applyNumberFormat="1" applyFont="1" applyFill="1" applyBorder="1" applyAlignment="1">
      <alignment horizontal="center" wrapText="1"/>
    </xf>
    <xf numFmtId="0" fontId="10" fillId="3" borderId="19" xfId="2" applyFont="1" applyFill="1" applyBorder="1" applyAlignment="1">
      <alignment horizontal="center"/>
    </xf>
    <xf numFmtId="0" fontId="8" fillId="0" borderId="18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15" xfId="0" applyFont="1" applyBorder="1" applyAlignment="1">
      <alignment horizontal="center"/>
    </xf>
    <xf numFmtId="164" fontId="10" fillId="0" borderId="16" xfId="2" applyNumberFormat="1" applyFont="1" applyBorder="1" applyAlignment="1">
      <alignment horizontal="right"/>
    </xf>
    <xf numFmtId="0" fontId="10" fillId="2" borderId="15" xfId="2" applyFont="1" applyFill="1" applyBorder="1" applyAlignment="1">
      <alignment horizontal="center"/>
    </xf>
    <xf numFmtId="0" fontId="10" fillId="2" borderId="14" xfId="2" applyFont="1" applyFill="1" applyBorder="1" applyAlignment="1">
      <alignment horizontal="center"/>
    </xf>
    <xf numFmtId="0" fontId="8" fillId="0" borderId="13" xfId="2" applyFont="1" applyBorder="1" applyAlignment="1">
      <alignment horizontal="right"/>
    </xf>
    <xf numFmtId="0" fontId="8" fillId="0" borderId="29" xfId="2" applyFont="1" applyBorder="1" applyAlignment="1">
      <alignment horizontal="right"/>
    </xf>
    <xf numFmtId="0" fontId="8" fillId="0" borderId="12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64" fontId="10" fillId="0" borderId="11" xfId="2" applyNumberFormat="1" applyFont="1" applyBorder="1" applyAlignment="1">
      <alignment horizontal="center"/>
    </xf>
    <xf numFmtId="164" fontId="10" fillId="0" borderId="10" xfId="2" applyNumberFormat="1" applyFont="1" applyBorder="1" applyAlignment="1">
      <alignment horizontal="center"/>
    </xf>
    <xf numFmtId="164" fontId="10" fillId="0" borderId="11" xfId="2" applyNumberFormat="1" applyFont="1" applyBorder="1" applyAlignment="1">
      <alignment horizontal="right" wrapText="1"/>
    </xf>
    <xf numFmtId="164" fontId="10" fillId="0" borderId="12" xfId="2" applyNumberFormat="1" applyFont="1" applyBorder="1" applyAlignment="1">
      <alignment horizontal="right" wrapText="1"/>
    </xf>
    <xf numFmtId="164" fontId="10" fillId="0" borderId="11" xfId="0" applyNumberFormat="1" applyFont="1" applyBorder="1" applyAlignment="1">
      <alignment horizontal="center" wrapText="1"/>
    </xf>
    <xf numFmtId="164" fontId="10" fillId="0" borderId="10" xfId="0" applyNumberFormat="1" applyFont="1" applyBorder="1" applyAlignment="1">
      <alignment horizontal="center" wrapText="1"/>
    </xf>
    <xf numFmtId="0" fontId="8" fillId="0" borderId="3" xfId="2" applyFont="1" applyBorder="1" applyAlignment="1">
      <alignment horizontal="right"/>
    </xf>
    <xf numFmtId="0" fontId="8" fillId="0" borderId="37" xfId="2" applyFont="1" applyBorder="1" applyAlignment="1">
      <alignment horizontal="right"/>
    </xf>
    <xf numFmtId="0" fontId="8" fillId="0" borderId="2" xfId="2" applyFont="1" applyBorder="1" applyAlignment="1">
      <alignment horizontal="right"/>
    </xf>
    <xf numFmtId="1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2" applyFont="1" applyBorder="1" applyAlignment="1">
      <alignment horizontal="right"/>
    </xf>
    <xf numFmtId="0" fontId="10" fillId="0" borderId="18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2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6" borderId="41" xfId="1" applyFont="1" applyFill="1" applyBorder="1" applyAlignment="1">
      <alignment horizontal="center"/>
    </xf>
    <xf numFmtId="0" fontId="8" fillId="6" borderId="7" xfId="1" applyFont="1" applyFill="1" applyBorder="1" applyAlignment="1">
      <alignment horizontal="center"/>
    </xf>
    <xf numFmtId="0" fontId="10" fillId="2" borderId="11" xfId="1" applyFont="1" applyFill="1" applyBorder="1" applyAlignment="1">
      <alignment horizontal="left"/>
    </xf>
    <xf numFmtId="0" fontId="10" fillId="2" borderId="29" xfId="1" applyFont="1" applyFill="1" applyBorder="1" applyAlignment="1">
      <alignment horizontal="left"/>
    </xf>
    <xf numFmtId="0" fontId="10" fillId="2" borderId="12" xfId="1" applyFont="1" applyFill="1" applyBorder="1" applyAlignment="1">
      <alignment horizontal="left"/>
    </xf>
    <xf numFmtId="49" fontId="8" fillId="0" borderId="5" xfId="2" applyNumberFormat="1" applyFont="1" applyBorder="1" applyAlignment="1">
      <alignment horizontal="center"/>
    </xf>
    <xf numFmtId="0" fontId="8" fillId="3" borderId="21" xfId="2" applyFont="1" applyFill="1" applyBorder="1" applyAlignment="1">
      <alignment horizontal="center"/>
    </xf>
    <xf numFmtId="0" fontId="8" fillId="3" borderId="20" xfId="2" applyFont="1" applyFill="1" applyBorder="1" applyAlignment="1">
      <alignment horizontal="center"/>
    </xf>
    <xf numFmtId="0" fontId="8" fillId="3" borderId="19" xfId="2" applyFont="1" applyFill="1" applyBorder="1" applyAlignment="1">
      <alignment horizontal="center"/>
    </xf>
  </cellXfs>
  <cellStyles count="5">
    <cellStyle name="Millares" xfId="3" builtinId="3"/>
    <cellStyle name="Normal" xfId="0" builtinId="0"/>
    <cellStyle name="Normal 2" xfId="2" xr:uid="{577A9C8B-F3FB-486A-96DE-22973DA74179}"/>
    <cellStyle name="Normal_CRITERIOS DE EVALUACION PT DE GB" xfId="1" xr:uid="{00000000-0005-0000-0000-000001000000}"/>
    <cellStyle name="Normal_CRITERIOS DE EVALUACION PT DE GB 2" xfId="4" xr:uid="{7B216014-2236-4E3B-88E5-09A0EAA748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0</xdr:row>
      <xdr:rowOff>145675</xdr:rowOff>
    </xdr:from>
    <xdr:to>
      <xdr:col>1</xdr:col>
      <xdr:colOff>1120589</xdr:colOff>
      <xdr:row>4</xdr:row>
      <xdr:rowOff>71424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7019F0E-1254-4CE2-BD24-523D9745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145675"/>
          <a:ext cx="2117912" cy="956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D673-B904-48F6-920C-2898F74C2445}">
  <dimension ref="A1:I33"/>
  <sheetViews>
    <sheetView tabSelected="1" zoomScale="85" zoomScaleNormal="85" workbookViewId="0">
      <selection activeCell="I1" sqref="I1"/>
    </sheetView>
  </sheetViews>
  <sheetFormatPr baseColWidth="10" defaultRowHeight="12.75" x14ac:dyDescent="0.2"/>
  <cols>
    <col min="1" max="1" width="16.5703125" customWidth="1"/>
    <col min="2" max="2" width="18.42578125" customWidth="1"/>
    <col min="3" max="3" width="49" customWidth="1"/>
    <col min="4" max="4" width="24.140625" customWidth="1"/>
    <col min="5" max="5" width="15.140625" customWidth="1"/>
    <col min="6" max="6" width="13.28515625" customWidth="1"/>
    <col min="7" max="7" width="21.28515625" customWidth="1"/>
    <col min="8" max="8" width="18.85546875" customWidth="1"/>
    <col min="9" max="9" width="21.85546875" bestFit="1" customWidth="1"/>
  </cols>
  <sheetData>
    <row r="1" spans="1:9" ht="17.25" x14ac:dyDescent="0.3">
      <c r="A1" s="30"/>
      <c r="B1" s="31"/>
      <c r="C1" s="36" t="s">
        <v>29</v>
      </c>
      <c r="D1" s="36"/>
      <c r="E1" s="36"/>
      <c r="F1" s="36"/>
      <c r="G1" s="36"/>
      <c r="H1" s="1" t="s">
        <v>28</v>
      </c>
      <c r="I1" s="2" t="s">
        <v>49</v>
      </c>
    </row>
    <row r="2" spans="1:9" ht="18" thickBot="1" x14ac:dyDescent="0.35">
      <c r="A2" s="32"/>
      <c r="B2" s="33"/>
      <c r="C2" s="37" t="s">
        <v>27</v>
      </c>
      <c r="D2" s="38"/>
      <c r="E2" s="38"/>
      <c r="F2" s="38"/>
      <c r="G2" s="39"/>
      <c r="H2" s="3" t="s">
        <v>26</v>
      </c>
      <c r="I2" s="4" t="s">
        <v>59</v>
      </c>
    </row>
    <row r="3" spans="1:9" ht="28.5" customHeight="1" thickBot="1" x14ac:dyDescent="0.25">
      <c r="A3" s="32"/>
      <c r="B3" s="33"/>
      <c r="C3" s="43" t="s">
        <v>60</v>
      </c>
      <c r="D3" s="44"/>
      <c r="E3" s="44"/>
      <c r="F3" s="44"/>
      <c r="G3" s="45"/>
      <c r="H3" s="40" t="s">
        <v>25</v>
      </c>
      <c r="I3" s="24">
        <v>45663</v>
      </c>
    </row>
    <row r="4" spans="1:9" ht="17.25" x14ac:dyDescent="0.3">
      <c r="A4" s="32"/>
      <c r="B4" s="33"/>
      <c r="C4" s="5" t="s">
        <v>24</v>
      </c>
      <c r="D4" s="27" t="s">
        <v>32</v>
      </c>
      <c r="E4" s="28"/>
      <c r="F4" s="28"/>
      <c r="G4" s="29"/>
      <c r="H4" s="41"/>
      <c r="I4" s="25"/>
    </row>
    <row r="5" spans="1:9" ht="18" thickBot="1" x14ac:dyDescent="0.35">
      <c r="A5" s="34"/>
      <c r="B5" s="35"/>
      <c r="C5" s="6" t="s">
        <v>23</v>
      </c>
      <c r="D5" s="12" t="s">
        <v>35</v>
      </c>
      <c r="E5" s="13"/>
      <c r="F5" s="13"/>
      <c r="G5" s="14"/>
      <c r="H5" s="42"/>
      <c r="I5" s="26"/>
    </row>
    <row r="6" spans="1:9" ht="16.5" thickBot="1" x14ac:dyDescent="0.3">
      <c r="A6" s="15" t="s">
        <v>39</v>
      </c>
      <c r="B6" s="15"/>
      <c r="C6" s="15"/>
      <c r="D6" s="16" t="s">
        <v>40</v>
      </c>
      <c r="E6" s="16"/>
      <c r="F6" s="16"/>
      <c r="G6" s="17" t="s">
        <v>41</v>
      </c>
      <c r="H6" s="17"/>
      <c r="I6" s="7" t="s">
        <v>42</v>
      </c>
    </row>
    <row r="7" spans="1:9" ht="15" x14ac:dyDescent="0.2">
      <c r="A7" s="18" t="s">
        <v>22</v>
      </c>
      <c r="B7" s="20" t="s">
        <v>43</v>
      </c>
      <c r="C7" s="22" t="s">
        <v>21</v>
      </c>
      <c r="D7" s="22" t="s">
        <v>20</v>
      </c>
      <c r="E7" s="22" t="s">
        <v>19</v>
      </c>
      <c r="F7" s="22"/>
      <c r="G7" s="22" t="s">
        <v>18</v>
      </c>
      <c r="H7" s="22"/>
      <c r="I7" s="8" t="s">
        <v>17</v>
      </c>
    </row>
    <row r="8" spans="1:9" ht="30.75" thickBot="1" x14ac:dyDescent="0.25">
      <c r="A8" s="19"/>
      <c r="B8" s="21"/>
      <c r="C8" s="23"/>
      <c r="D8" s="23"/>
      <c r="E8" s="9" t="s">
        <v>12</v>
      </c>
      <c r="F8" s="10" t="s">
        <v>16</v>
      </c>
      <c r="G8" s="9" t="s">
        <v>12</v>
      </c>
      <c r="H8" s="10" t="s">
        <v>16</v>
      </c>
      <c r="I8" s="11" t="s">
        <v>15</v>
      </c>
    </row>
    <row r="9" spans="1:9" ht="20.25" x14ac:dyDescent="0.3">
      <c r="A9" s="46"/>
      <c r="B9" s="47"/>
      <c r="C9" s="48" t="s">
        <v>44</v>
      </c>
      <c r="D9" s="49"/>
      <c r="E9" s="50"/>
      <c r="F9" s="51"/>
      <c r="G9" s="50"/>
      <c r="H9" s="51"/>
      <c r="I9" s="52"/>
    </row>
    <row r="10" spans="1:9" ht="20.25" x14ac:dyDescent="0.3">
      <c r="A10" s="53"/>
      <c r="B10" s="54" t="s">
        <v>50</v>
      </c>
      <c r="C10" s="55" t="s">
        <v>51</v>
      </c>
      <c r="D10" s="56" t="s">
        <v>36</v>
      </c>
      <c r="E10" s="57">
        <f>16580/16.58</f>
        <v>1000.0000000000001</v>
      </c>
      <c r="F10" s="58" t="s">
        <v>1</v>
      </c>
      <c r="G10" s="59"/>
      <c r="H10" s="60"/>
      <c r="I10" s="52"/>
    </row>
    <row r="11" spans="1:9" ht="20.25" x14ac:dyDescent="0.3">
      <c r="A11" s="53">
        <v>10400008</v>
      </c>
      <c r="B11" s="61" t="s">
        <v>37</v>
      </c>
      <c r="C11" s="62" t="s">
        <v>33</v>
      </c>
      <c r="D11" s="56" t="s">
        <v>45</v>
      </c>
      <c r="E11" s="63" t="s">
        <v>58</v>
      </c>
      <c r="F11" s="64" t="s">
        <v>1</v>
      </c>
      <c r="G11" s="59"/>
      <c r="H11" s="60"/>
      <c r="I11" s="52"/>
    </row>
    <row r="12" spans="1:9" ht="20.25" x14ac:dyDescent="0.3">
      <c r="A12" s="66"/>
      <c r="B12" s="66"/>
      <c r="C12" s="65"/>
      <c r="D12" s="67"/>
      <c r="E12" s="68"/>
      <c r="F12" s="69"/>
      <c r="G12" s="50"/>
      <c r="H12" s="60"/>
      <c r="I12" s="52"/>
    </row>
    <row r="13" spans="1:9" ht="20.25" x14ac:dyDescent="0.3">
      <c r="A13" s="70"/>
      <c r="B13" s="71"/>
      <c r="C13" s="72" t="s">
        <v>40</v>
      </c>
      <c r="D13" s="73"/>
      <c r="E13" s="74"/>
      <c r="F13" s="75"/>
      <c r="G13" s="50"/>
      <c r="H13" s="51"/>
      <c r="I13" s="52"/>
    </row>
    <row r="14" spans="1:9" ht="20.25" x14ac:dyDescent="0.3">
      <c r="A14" s="66"/>
      <c r="B14" s="66"/>
      <c r="C14" s="65"/>
      <c r="D14" s="77"/>
      <c r="E14" s="68"/>
      <c r="F14" s="69"/>
      <c r="G14" s="50"/>
      <c r="H14" s="51"/>
      <c r="I14" s="52"/>
    </row>
    <row r="15" spans="1:9" ht="20.25" x14ac:dyDescent="0.3">
      <c r="A15" s="131"/>
      <c r="B15" s="131"/>
      <c r="C15" s="79" t="s">
        <v>47</v>
      </c>
      <c r="D15" s="80"/>
      <c r="E15" s="81"/>
      <c r="F15" s="51"/>
      <c r="G15" s="50"/>
      <c r="H15" s="76"/>
      <c r="I15" s="52"/>
    </row>
    <row r="16" spans="1:9" ht="20.25" x14ac:dyDescent="0.3">
      <c r="A16" s="53" t="s">
        <v>14</v>
      </c>
      <c r="B16" s="61" t="s">
        <v>38</v>
      </c>
      <c r="C16" s="62" t="s">
        <v>13</v>
      </c>
      <c r="D16" s="56" t="s">
        <v>46</v>
      </c>
      <c r="E16" s="63">
        <v>1</v>
      </c>
      <c r="F16" s="64" t="s">
        <v>31</v>
      </c>
      <c r="G16" s="82"/>
      <c r="H16" s="51"/>
      <c r="I16" s="52"/>
    </row>
    <row r="17" spans="1:9" ht="20.25" x14ac:dyDescent="0.3">
      <c r="A17" s="70"/>
      <c r="B17" s="71"/>
      <c r="C17" s="83"/>
      <c r="D17" s="73"/>
      <c r="E17" s="73"/>
      <c r="F17" s="75"/>
      <c r="G17" s="73"/>
      <c r="H17" s="73"/>
      <c r="I17" s="52"/>
    </row>
    <row r="18" spans="1:9" ht="21" thickBot="1" x14ac:dyDescent="0.35">
      <c r="A18" s="84"/>
      <c r="B18" s="85"/>
      <c r="C18" s="86"/>
      <c r="D18" s="86"/>
      <c r="E18" s="87"/>
      <c r="F18" s="88"/>
      <c r="G18" s="86"/>
      <c r="H18" s="86"/>
      <c r="I18" s="89"/>
    </row>
    <row r="19" spans="1:9" ht="21" thickBot="1" x14ac:dyDescent="0.35">
      <c r="A19" s="90"/>
      <c r="B19" s="91"/>
      <c r="C19" s="92"/>
      <c r="D19" s="93" t="s">
        <v>12</v>
      </c>
      <c r="E19" s="94" t="s">
        <v>11</v>
      </c>
      <c r="F19" s="95"/>
      <c r="G19" s="92"/>
      <c r="H19" s="92"/>
      <c r="I19" s="96"/>
    </row>
    <row r="20" spans="1:9" ht="20.25" x14ac:dyDescent="0.3">
      <c r="A20" s="97" t="s">
        <v>10</v>
      </c>
      <c r="B20" s="98"/>
      <c r="C20" s="99"/>
      <c r="D20" s="78">
        <v>1000</v>
      </c>
      <c r="E20" s="100" t="s">
        <v>1</v>
      </c>
      <c r="F20" s="101" t="s">
        <v>9</v>
      </c>
      <c r="G20" s="101"/>
      <c r="H20" s="102"/>
      <c r="I20" s="103"/>
    </row>
    <row r="21" spans="1:9" ht="20.25" x14ac:dyDescent="0.3">
      <c r="A21" s="104" t="s">
        <v>8</v>
      </c>
      <c r="B21" s="105"/>
      <c r="C21" s="106"/>
      <c r="D21" s="66">
        <v>3</v>
      </c>
      <c r="E21" s="66" t="s">
        <v>30</v>
      </c>
      <c r="F21" s="107" t="s">
        <v>7</v>
      </c>
      <c r="G21" s="107"/>
      <c r="H21" s="108"/>
      <c r="I21" s="109"/>
    </row>
    <row r="22" spans="1:9" ht="20.25" x14ac:dyDescent="0.3">
      <c r="A22" s="104" t="s">
        <v>6</v>
      </c>
      <c r="B22" s="105"/>
      <c r="C22" s="106"/>
      <c r="D22" s="66">
        <v>1</v>
      </c>
      <c r="E22" s="66" t="s">
        <v>5</v>
      </c>
      <c r="F22" s="107" t="s">
        <v>4</v>
      </c>
      <c r="G22" s="107"/>
      <c r="H22" s="108"/>
      <c r="I22" s="109"/>
    </row>
    <row r="23" spans="1:9" ht="20.25" x14ac:dyDescent="0.3">
      <c r="A23" s="104" t="s">
        <v>48</v>
      </c>
      <c r="B23" s="105"/>
      <c r="C23" s="106"/>
      <c r="D23" s="68">
        <v>1000</v>
      </c>
      <c r="E23" s="66" t="s">
        <v>1</v>
      </c>
      <c r="F23" s="110" t="s">
        <v>3</v>
      </c>
      <c r="G23" s="111"/>
      <c r="H23" s="112"/>
      <c r="I23" s="113"/>
    </row>
    <row r="24" spans="1:9" ht="21" thickBot="1" x14ac:dyDescent="0.35">
      <c r="A24" s="114" t="s">
        <v>2</v>
      </c>
      <c r="B24" s="115"/>
      <c r="C24" s="116"/>
      <c r="D24" s="117">
        <f>SUM(E10:E11)-D20</f>
        <v>0</v>
      </c>
      <c r="E24" s="118" t="s">
        <v>1</v>
      </c>
      <c r="F24" s="119"/>
      <c r="G24" s="119"/>
      <c r="H24" s="108"/>
      <c r="I24" s="109"/>
    </row>
    <row r="25" spans="1:9" ht="21" thickBot="1" x14ac:dyDescent="0.35">
      <c r="A25" s="132" t="s">
        <v>0</v>
      </c>
      <c r="B25" s="133"/>
      <c r="C25" s="133"/>
      <c r="D25" s="133"/>
      <c r="E25" s="133"/>
      <c r="F25" s="133"/>
      <c r="G25" s="133"/>
      <c r="H25" s="133"/>
      <c r="I25" s="134"/>
    </row>
    <row r="26" spans="1:9" ht="20.25" x14ac:dyDescent="0.3">
      <c r="A26" s="120" t="s">
        <v>52</v>
      </c>
      <c r="B26" s="121"/>
      <c r="C26" s="121"/>
      <c r="D26" s="121"/>
      <c r="E26" s="121"/>
      <c r="F26" s="121"/>
      <c r="G26" s="121"/>
      <c r="H26" s="121"/>
      <c r="I26" s="122"/>
    </row>
    <row r="27" spans="1:9" ht="20.25" x14ac:dyDescent="0.3">
      <c r="A27" s="120" t="s">
        <v>53</v>
      </c>
      <c r="B27" s="121"/>
      <c r="C27" s="121"/>
      <c r="D27" s="121"/>
      <c r="E27" s="121"/>
      <c r="F27" s="121"/>
      <c r="G27" s="121"/>
      <c r="H27" s="121"/>
      <c r="I27" s="122"/>
    </row>
    <row r="28" spans="1:9" ht="20.25" x14ac:dyDescent="0.3">
      <c r="A28" s="120" t="s">
        <v>54</v>
      </c>
      <c r="B28" s="121"/>
      <c r="C28" s="121"/>
      <c r="D28" s="121"/>
      <c r="E28" s="121"/>
      <c r="F28" s="121"/>
      <c r="G28" s="121"/>
      <c r="H28" s="121"/>
      <c r="I28" s="122"/>
    </row>
    <row r="29" spans="1:9" ht="20.25" x14ac:dyDescent="0.3">
      <c r="A29" s="120" t="s">
        <v>55</v>
      </c>
      <c r="B29" s="121"/>
      <c r="C29" s="121"/>
      <c r="D29" s="121"/>
      <c r="E29" s="121"/>
      <c r="F29" s="121"/>
      <c r="G29" s="121"/>
      <c r="H29" s="121"/>
      <c r="I29" s="122"/>
    </row>
    <row r="30" spans="1:9" ht="21" thickBot="1" x14ac:dyDescent="0.35">
      <c r="A30" s="123"/>
      <c r="B30" s="124"/>
      <c r="C30" s="124"/>
      <c r="D30" s="124"/>
      <c r="E30" s="124"/>
      <c r="F30" s="124"/>
      <c r="G30" s="124"/>
      <c r="H30" s="124"/>
      <c r="I30" s="125"/>
    </row>
    <row r="31" spans="1:9" ht="20.25" x14ac:dyDescent="0.3">
      <c r="A31" s="126" t="s">
        <v>34</v>
      </c>
      <c r="B31" s="127"/>
      <c r="C31" s="127"/>
      <c r="D31" s="127"/>
      <c r="E31" s="127"/>
      <c r="F31" s="127"/>
      <c r="G31" s="127"/>
      <c r="H31" s="127"/>
      <c r="I31" s="127"/>
    </row>
    <row r="32" spans="1:9" ht="20.25" x14ac:dyDescent="0.3">
      <c r="A32" s="128" t="s">
        <v>56</v>
      </c>
      <c r="B32" s="129"/>
      <c r="C32" s="129"/>
      <c r="D32" s="129"/>
      <c r="E32" s="129"/>
      <c r="F32" s="129"/>
      <c r="G32" s="129"/>
      <c r="H32" s="129"/>
      <c r="I32" s="130"/>
    </row>
    <row r="33" spans="1:9" ht="20.25" x14ac:dyDescent="0.3">
      <c r="A33" s="128" t="s">
        <v>57</v>
      </c>
      <c r="B33" s="129"/>
      <c r="C33" s="129"/>
      <c r="D33" s="129"/>
      <c r="E33" s="129"/>
      <c r="F33" s="129"/>
      <c r="G33" s="129"/>
      <c r="H33" s="129"/>
      <c r="I33" s="130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30:I30"/>
    <mergeCell ref="A31:I31"/>
    <mergeCell ref="A32:I32"/>
    <mergeCell ref="A33:I33"/>
    <mergeCell ref="A28:I28"/>
    <mergeCell ref="A29:I29"/>
  </mergeCells>
  <pageMargins left="0.7" right="0.7" top="0.75" bottom="0.75" header="0.3" footer="0.3"/>
  <pageSetup paperSize="9"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09D045-3E4E-45B4-9FE1-13D276B1E4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5604F3E-97FF-4A84-B1E0-3227F580D4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4A6137-DAE3-4C25-AC28-42D1145871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arodriguez</dc:creator>
  <cp:lastModifiedBy>Allan Brenes</cp:lastModifiedBy>
  <cp:lastPrinted>2025-01-16T21:12:54Z</cp:lastPrinted>
  <dcterms:created xsi:type="dcterms:W3CDTF">2015-05-26T23:03:23Z</dcterms:created>
  <dcterms:modified xsi:type="dcterms:W3CDTF">2026-04-28T14:31:10Z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
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8" documentId="8_{43A70AA7-798C-464A-A393-3BE211659B57}" xr6:coauthVersionLast="47" xr6:coauthVersionMax="47" xr10:uidLastSave="{4D18E1B1-437E-4FD1-A69C-E4CEA9B21B32}"/>
  <bookViews>
    <workbookView xWindow="-120" yWindow="-120" windowWidth="20730" windowHeight="11040" xr2:uid="{46A7590D-661E-46D7-AA4F-8B8AFB21B4CE}"/>
  </bookViews>
  <sheets>
    <sheet name="Mini Cake Hersheys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<sst xmlns="http://schemas.openxmlformats.org/spreadsheetml/2006/main" count="140" uniqueCount="101">
  <si>
    <t xml:space="preserve">2, Se actualizan datos recetas, se agrega sub receta de troceado de brownie </t>
  </si>
  <si>
    <t>CONTROL DE CAMBIOS</t>
  </si>
  <si>
    <t>5,- Tapar y etiquetar.</t>
  </si>
  <si>
    <t xml:space="preserve">4,- Realizar con el ganache un espejo en la parte superior  y colocar trozos de brawnies encima estilo torre y colocar un Hershery´s Kisses en el centro. </t>
  </si>
  <si>
    <t>2,- Rellenar con mousse de chocolate de leche, trozos de brawnie, semi sweet y con ayunda de una bolsa colocar hilos de ganache oscuro y tapar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</si>
  <si>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</si>
  <si>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</si>
  <si>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</si>
  <si>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</si>
  <si>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</si>
  <si>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</si>
  <si>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</si>
  <si>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</si>
  <si>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</si>
  <si>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</si>
  <si>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</si>
  <si>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</si>
  <si>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</si>
  <si>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</si>
  <si>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</si>
  <si>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MINI CAKE HERSHEYS</t>
  </si>
  <si>
    <t>EM10496</t>
  </si>
  <si>
    <t>ETIQUETA BLANCA R-153 (UND)</t>
  </si>
  <si>
    <t>EM10124</t>
  </si>
  <si>
    <t>BASE PARA ROSQUETE (UND)</t>
  </si>
  <si>
    <t>EM10035</t>
  </si>
  <si>
    <t xml:space="preserve">ETIQUETA SELLO DE SEGURIDAD (ROLLO:1000 U) </t>
  </si>
  <si>
    <t>EM10135</t>
  </si>
  <si>
    <t>ETIQUETA BLANCA 2 5/8X1 15/16 (UND)</t>
  </si>
  <si>
    <t>EM10011</t>
  </si>
  <si>
    <t>ETIPLAST</t>
  </si>
  <si>
    <t>ETIQ.FECHA VENCIMIENTO BLANCO (ROLLO)</t>
  </si>
  <si>
    <t>EM10004</t>
  </si>
  <si>
    <t>LITOGRAFIA CR</t>
  </si>
  <si>
    <t>ETIQ. GENERICA PEQUEÑA V-274 (UND)</t>
  </si>
  <si>
    <t>EM10119</t>
  </si>
  <si>
    <t>QUEQUERA MINI CAKE (CAJA:100 UND)</t>
  </si>
  <si>
    <t>EM10288</t>
  </si>
  <si>
    <t/>
  </si>
  <si>
    <t>Empaque</t>
  </si>
  <si>
    <t>Hershey"s</t>
  </si>
  <si>
    <t>Pelado Hershey"s Kisses</t>
  </si>
  <si>
    <t>SE00669</t>
  </si>
  <si>
    <t xml:space="preserve">Cortado en Trozos </t>
  </si>
  <si>
    <t>1/9 de unidad</t>
  </si>
  <si>
    <t>FAS</t>
  </si>
  <si>
    <t xml:space="preserve">Troceado de Brownie </t>
  </si>
  <si>
    <t>SE00774</t>
  </si>
  <si>
    <t>Ganache Chocolate Oscuro</t>
  </si>
  <si>
    <t>SE00001</t>
  </si>
  <si>
    <t>Richt</t>
  </si>
  <si>
    <t>Crema Bettercream Doble Chocolate</t>
  </si>
  <si>
    <t>MP10006</t>
  </si>
  <si>
    <t xml:space="preserve">Encremado </t>
  </si>
  <si>
    <t>Crema Beidge</t>
  </si>
  <si>
    <t>SE00069</t>
  </si>
  <si>
    <t>Decoración</t>
  </si>
  <si>
    <t xml:space="preserve">1/2 cuharadita </t>
  </si>
  <si>
    <t>Semi Sweet Chocolate Chips</t>
  </si>
  <si>
    <t>MP10674</t>
  </si>
  <si>
    <t xml:space="preserve">1/8 de taza </t>
  </si>
  <si>
    <t xml:space="preserve">1 Cucharada </t>
  </si>
  <si>
    <t>MOUSSE DE CHOCOLATE DE LECHE</t>
  </si>
  <si>
    <t>SE00468</t>
  </si>
  <si>
    <t>10g x capa</t>
  </si>
  <si>
    <t>Leches Pasteurizada Con Agua</t>
  </si>
  <si>
    <t>SE00254</t>
  </si>
  <si>
    <t>ROSQUETE CHOCOLATE DAWN 100g</t>
  </si>
  <si>
    <t>SE00394</t>
  </si>
  <si>
    <t>NESTLÉ</t>
  </si>
  <si>
    <t>MANJAR LECHE CONDENSADA (PAQ: 4.5 K)</t>
  </si>
  <si>
    <t>MP10007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</si>
  <si>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</si>
  <si>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</si>
  <si>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</si>
  <si>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</si>
  <si>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</si>
  <si>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</si>
  <si>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</si>
  <si>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</si>
  <si>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</si>
  <si>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</si>
  <si>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Figuras</t>
  </si>
  <si>
    <t xml:space="preserve">AREA QUE EMPACA: </t>
  </si>
  <si>
    <t>AREA QUE PRODUCE:</t>
  </si>
  <si>
    <t>Sebastian Díaz, Gte Manufactura</t>
  </si>
  <si>
    <t>Aprobado</t>
  </si>
  <si>
    <t>Mariela Barrantes Sánchez</t>
  </si>
  <si>
    <t>Elaborado</t>
  </si>
  <si>
    <t>FECHA DE APROBACIÓN:</t>
  </si>
  <si>
    <t>REVISIÓN:</t>
  </si>
  <si>
    <t>ESPECIFICACION DE RECETA</t>
  </si>
  <si>
    <t>ESP-RE-FIS-036</t>
  </si>
  <si>
    <t>CÓDIGO:</t>
  </si>
  <si>
    <t>SERVICIOS DE PASTELERIA S.A.</t>
  </si>
  <si>
    <t>1.- Cortar el mini cake por la mitad (eliminado la punta para nivelar) pegar la primera tapa a la base con ayuda del manjar y humedecer cada capa con leche pausterizada.</t>
  </si>
  <si>
    <t xml:space="preserve">PTI00274 MINI CAKE Hersheys Kisses </t>
  </si>
  <si>
    <t xml:space="preserve">3,- En una manga colocar la crema beige para realizar un encremado, con ayuda de una bolsa colocar el bettercream de chocolate y con una espatula hacer un moimiento para arriba para realizar un estilo marmoleado. </t>
  </si>
  <si>
    <t>3, Se actualiza procedimiento</t>
  </si>
  <si>
    <t xml:space="preserve">Marmolear 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</si>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</sst>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sz val="16"/>
      <name val="Times New Roman"/>
      <family val="1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20"/>
      <name val="Century Gothic"/>
      <family val="2"/>
    </font>
    <font>
      <b/>
      <sz val="12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2" fillId="0" borderId="0"/>
  </cellStyleXfs>
  <cellXfs count="179">
    <xf numFmtId="0" fontId="0" fillId="0" borderId="0" xfId="0"/>
    <xf numFmtId="0" fontId="4" fillId="4" borderId="18" xfId="2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4" borderId="17" xfId="2" applyFont="1" applyFill="1" applyBorder="1" applyAlignment="1">
      <alignment horizontal="center"/>
    </xf>
    <xf numFmtId="0" fontId="3" fillId="4" borderId="18" xfId="2" applyFont="1" applyFill="1" applyBorder="1"/>
    <xf numFmtId="164" fontId="3" fillId="4" borderId="18" xfId="2" applyNumberFormat="1" applyFont="1" applyFill="1" applyBorder="1" applyAlignment="1">
      <alignment horizontal="center" wrapText="1"/>
    </xf>
    <xf numFmtId="1" fontId="4" fillId="4" borderId="18" xfId="2" applyNumberFormat="1" applyFont="1" applyFill="1" applyBorder="1" applyAlignment="1">
      <alignment horizontal="center"/>
    </xf>
    <xf numFmtId="0" fontId="3" fillId="4" borderId="18" xfId="2" applyFont="1" applyFill="1" applyBorder="1" applyAlignment="1">
      <alignment horizontal="center"/>
    </xf>
    <xf numFmtId="0" fontId="3" fillId="4" borderId="19" xfId="2" applyFont="1" applyFill="1" applyBorder="1" applyAlignment="1">
      <alignment horizontal="center"/>
    </xf>
    <xf numFmtId="0" fontId="3" fillId="2" borderId="30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6" fillId="2" borderId="0" xfId="2" applyNumberFormat="1" applyFont="1" applyFill="1" applyAlignment="1">
      <alignment horizontal="center" vertical="center"/>
    </xf>
    <xf numFmtId="49" fontId="6" fillId="2" borderId="31" xfId="2" applyNumberFormat="1" applyFont="1" applyFill="1" applyBorder="1" applyAlignment="1">
      <alignment horizontal="center" vertical="center"/>
    </xf>
    <xf numFmtId="0" fontId="3" fillId="0" borderId="32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25" xfId="2" applyNumberFormat="1" applyFont="1" applyBorder="1" applyAlignment="1">
      <alignment horizontal="center"/>
    </xf>
    <xf numFmtId="49" fontId="3" fillId="0" borderId="33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1" xfId="2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33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2" fontId="3" fillId="0" borderId="1" xfId="2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2" fontId="3" fillId="0" borderId="1" xfId="2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 wrapText="1"/>
    </xf>
    <xf numFmtId="1" fontId="4" fillId="0" borderId="1" xfId="2" applyNumberFormat="1" applyFont="1" applyBorder="1" applyAlignment="1">
      <alignment horizontal="center" wrapText="1"/>
    </xf>
    <xf numFmtId="0" fontId="4" fillId="0" borderId="25" xfId="2" applyFont="1" applyBorder="1" applyAlignment="1">
      <alignment horizontal="center"/>
    </xf>
    <xf numFmtId="0" fontId="8" fillId="0" borderId="1" xfId="2" applyFont="1" applyBorder="1" applyAlignment="1">
      <alignment vertical="center"/>
    </xf>
    <xf numFmtId="49" fontId="4" fillId="0" borderId="8" xfId="2" applyNumberFormat="1" applyFont="1" applyBorder="1" applyAlignment="1">
      <alignment horizontal="center"/>
    </xf>
    <xf numFmtId="49" fontId="4" fillId="0" borderId="1" xfId="2" applyNumberFormat="1" applyFont="1" applyBorder="1" applyAlignment="1">
      <alignment horizontal="center"/>
    </xf>
    <xf numFmtId="0" fontId="3" fillId="5" borderId="1" xfId="2" applyFont="1" applyFill="1" applyBorder="1" applyAlignment="1">
      <alignment horizontal="center"/>
    </xf>
    <xf numFmtId="0" fontId="3" fillId="5" borderId="11" xfId="2" applyFont="1" applyFill="1" applyBorder="1" applyAlignment="1">
      <alignment horizontal="center"/>
    </xf>
    <xf numFmtId="1" fontId="3" fillId="5" borderId="1" xfId="2" applyNumberFormat="1" applyFont="1" applyFill="1" applyBorder="1" applyAlignment="1">
      <alignment horizontal="center"/>
    </xf>
    <xf numFmtId="0" fontId="3" fillId="0" borderId="25" xfId="2" applyFont="1" applyBorder="1" applyAlignment="1">
      <alignment horizontal="center" vertical="center"/>
    </xf>
    <xf numFmtId="0" fontId="3" fillId="0" borderId="1" xfId="2" applyFont="1" applyBorder="1" applyAlignment="1">
      <alignment vertical="center" wrapText="1"/>
    </xf>
    <xf numFmtId="0" fontId="7" fillId="0" borderId="8" xfId="0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1" fontId="3" fillId="5" borderId="1" xfId="2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7" fillId="6" borderId="25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left"/>
    </xf>
    <xf numFmtId="0" fontId="7" fillId="0" borderId="11" xfId="3" applyFont="1" applyBorder="1" applyAlignment="1">
      <alignment horizontal="center"/>
    </xf>
    <xf numFmtId="2" fontId="3" fillId="0" borderId="11" xfId="2" applyNumberFormat="1" applyFont="1" applyBorder="1" applyAlignment="1">
      <alignment horizontal="center"/>
    </xf>
    <xf numFmtId="1" fontId="3" fillId="0" borderId="0" xfId="2" applyNumberFormat="1" applyFont="1" applyAlignment="1">
      <alignment horizontal="center" wrapText="1"/>
    </xf>
    <xf numFmtId="1" fontId="3" fillId="0" borderId="0" xfId="2" applyNumberFormat="1" applyFont="1" applyAlignment="1">
      <alignment horizontal="center"/>
    </xf>
    <xf numFmtId="16" fontId="3" fillId="0" borderId="11" xfId="2" applyNumberFormat="1" applyFont="1" applyBorder="1" applyAlignment="1">
      <alignment horizontal="center"/>
    </xf>
    <xf numFmtId="0" fontId="7" fillId="0" borderId="11" xfId="0" applyFont="1" applyBorder="1"/>
    <xf numFmtId="0" fontId="7" fillId="0" borderId="11" xfId="0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165" fontId="3" fillId="0" borderId="1" xfId="0" applyNumberFormat="1" applyFont="1" applyBorder="1" applyAlignment="1">
      <alignment horizontal="center" wrapText="1"/>
    </xf>
    <xf numFmtId="0" fontId="3" fillId="0" borderId="1" xfId="2" applyFont="1" applyBorder="1" applyAlignment="1">
      <alignment horizontal="left" vertical="center"/>
    </xf>
    <xf numFmtId="0" fontId="6" fillId="0" borderId="1" xfId="2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9" fillId="0" borderId="2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4" fillId="0" borderId="34" xfId="2" applyNumberFormat="1" applyFont="1" applyBorder="1" applyAlignment="1">
      <alignment horizontal="center" wrapText="1"/>
    </xf>
    <xf numFmtId="1" fontId="4" fillId="0" borderId="34" xfId="2" applyNumberFormat="1" applyFont="1" applyBorder="1" applyAlignment="1">
      <alignment horizontal="center"/>
    </xf>
    <xf numFmtId="0" fontId="4" fillId="0" borderId="34" xfId="2" applyFont="1" applyBorder="1" applyAlignment="1">
      <alignment horizontal="center" vertical="center"/>
    </xf>
    <xf numFmtId="0" fontId="8" fillId="0" borderId="34" xfId="2" applyFont="1" applyBorder="1" applyAlignment="1">
      <alignment vertical="center"/>
    </xf>
    <xf numFmtId="0" fontId="4" fillId="0" borderId="35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10" fillId="4" borderId="37" xfId="2" applyFont="1" applyFill="1" applyBorder="1" applyAlignment="1">
      <alignment horizontal="center"/>
    </xf>
    <xf numFmtId="1" fontId="10" fillId="4" borderId="21" xfId="2" applyNumberFormat="1" applyFont="1" applyFill="1" applyBorder="1" applyAlignment="1">
      <alignment horizontal="center" wrapText="1"/>
    </xf>
    <xf numFmtId="1" fontId="10" fillId="4" borderId="21" xfId="2" applyNumberFormat="1" applyFont="1" applyFill="1" applyBorder="1" applyAlignment="1">
      <alignment horizontal="center"/>
    </xf>
    <xf numFmtId="0" fontId="10" fillId="4" borderId="38" xfId="2" applyFont="1" applyFill="1" applyBorder="1" applyAlignment="1">
      <alignment horizontal="center" vertical="center" wrapText="1"/>
    </xf>
    <xf numFmtId="14" fontId="11" fillId="2" borderId="0" xfId="4" applyNumberFormat="1" applyFont="1" applyFill="1" applyAlignment="1">
      <alignment horizontal="center" vertical="center" wrapText="1"/>
    </xf>
    <xf numFmtId="0" fontId="13" fillId="2" borderId="1" xfId="1" applyFont="1" applyFill="1" applyBorder="1" applyAlignment="1">
      <alignment horizontal="right"/>
    </xf>
    <xf numFmtId="0" fontId="13" fillId="2" borderId="11" xfId="1" applyFont="1" applyFill="1" applyBorder="1" applyAlignment="1">
      <alignment horizontal="right"/>
    </xf>
    <xf numFmtId="49" fontId="13" fillId="2" borderId="32" xfId="1" applyNumberFormat="1" applyFont="1" applyFill="1" applyBorder="1" applyAlignment="1">
      <alignment horizontal="center"/>
    </xf>
    <xf numFmtId="0" fontId="10" fillId="2" borderId="1" xfId="1" applyFont="1" applyFill="1" applyBorder="1" applyAlignment="1">
      <alignment horizontal="right"/>
    </xf>
    <xf numFmtId="0" fontId="13" fillId="8" borderId="38" xfId="0" applyFont="1" applyFill="1" applyBorder="1" applyAlignment="1">
      <alignment horizontal="center"/>
    </xf>
    <xf numFmtId="0" fontId="10" fillId="2" borderId="39" xfId="1" applyFont="1" applyFill="1" applyBorder="1" applyAlignment="1">
      <alignment horizontal="right"/>
    </xf>
    <xf numFmtId="14" fontId="13" fillId="2" borderId="47" xfId="1" applyNumberFormat="1" applyFont="1" applyFill="1" applyBorder="1" applyAlignment="1">
      <alignment horizontal="center" vertical="center" wrapText="1"/>
    </xf>
    <xf numFmtId="14" fontId="13" fillId="2" borderId="43" xfId="1" applyNumberFormat="1" applyFont="1" applyFill="1" applyBorder="1" applyAlignment="1">
      <alignment horizontal="center" vertical="center" wrapText="1"/>
    </xf>
    <xf numFmtId="14" fontId="13" fillId="2" borderId="10" xfId="1" applyNumberFormat="1" applyFont="1" applyFill="1" applyBorder="1" applyAlignment="1">
      <alignment horizontal="center" vertical="center" wrapText="1"/>
    </xf>
    <xf numFmtId="0" fontId="13" fillId="2" borderId="46" xfId="1" applyFont="1" applyFill="1" applyBorder="1" applyAlignment="1">
      <alignment horizontal="left"/>
    </xf>
    <xf numFmtId="0" fontId="13" fillId="2" borderId="15" xfId="1" applyFont="1" applyFill="1" applyBorder="1" applyAlignment="1">
      <alignment horizontal="left"/>
    </xf>
    <xf numFmtId="0" fontId="13" fillId="2" borderId="45" xfId="1" applyFont="1" applyFill="1" applyBorder="1" applyAlignment="1">
      <alignment horizontal="left"/>
    </xf>
    <xf numFmtId="0" fontId="13" fillId="2" borderId="24" xfId="1" applyFont="1" applyFill="1" applyBorder="1" applyAlignment="1">
      <alignment horizontal="left"/>
    </xf>
    <xf numFmtId="0" fontId="13" fillId="2" borderId="8" xfId="1" applyFont="1" applyFill="1" applyBorder="1" applyAlignment="1">
      <alignment horizontal="left"/>
    </xf>
    <xf numFmtId="0" fontId="13" fillId="2" borderId="25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13" fillId="2" borderId="48" xfId="1" applyFont="1" applyFill="1" applyBorder="1" applyAlignment="1">
      <alignment horizontal="center"/>
    </xf>
    <xf numFmtId="0" fontId="13" fillId="2" borderId="2" xfId="1" applyFont="1" applyFill="1" applyBorder="1" applyAlignment="1">
      <alignment horizontal="center"/>
    </xf>
    <xf numFmtId="0" fontId="13" fillId="2" borderId="31" xfId="1" applyFont="1" applyFill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29" xfId="1" applyFont="1" applyFill="1" applyBorder="1" applyAlignment="1">
      <alignment horizontal="center"/>
    </xf>
    <xf numFmtId="0" fontId="13" fillId="2" borderId="28" xfId="1" applyFont="1" applyFill="1" applyBorder="1" applyAlignment="1">
      <alignment horizontal="center"/>
    </xf>
    <xf numFmtId="0" fontId="15" fillId="2" borderId="39" xfId="1" applyFont="1" applyFill="1" applyBorder="1" applyAlignment="1">
      <alignment horizontal="center"/>
    </xf>
    <xf numFmtId="0" fontId="15" fillId="2" borderId="34" xfId="1" applyFont="1" applyFill="1" applyBorder="1" applyAlignment="1">
      <alignment horizontal="center"/>
    </xf>
    <xf numFmtId="0" fontId="14" fillId="7" borderId="19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10" fillId="2" borderId="35" xfId="1" applyFont="1" applyFill="1" applyBorder="1" applyAlignment="1">
      <alignment horizontal="right" vertical="top" wrapText="1"/>
    </xf>
    <xf numFmtId="0" fontId="10" fillId="2" borderId="44" xfId="1" applyFont="1" applyFill="1" applyBorder="1" applyAlignment="1">
      <alignment horizontal="right" vertical="top" wrapText="1"/>
    </xf>
    <xf numFmtId="0" fontId="10" fillId="2" borderId="42" xfId="1" applyFont="1" applyFill="1" applyBorder="1" applyAlignment="1">
      <alignment horizontal="right" vertical="top" wrapText="1"/>
    </xf>
    <xf numFmtId="0" fontId="12" fillId="2" borderId="0" xfId="4" applyFont="1" applyFill="1" applyAlignment="1">
      <alignment horizontal="right"/>
    </xf>
    <xf numFmtId="0" fontId="11" fillId="2" borderId="41" xfId="4" applyFont="1" applyFill="1" applyBorder="1" applyAlignment="1">
      <alignment horizontal="center"/>
    </xf>
    <xf numFmtId="0" fontId="12" fillId="2" borderId="0" xfId="4" applyFont="1" applyFill="1"/>
    <xf numFmtId="0" fontId="10" fillId="4" borderId="40" xfId="2" applyFont="1" applyFill="1" applyBorder="1" applyAlignment="1">
      <alignment horizontal="center" vertical="center"/>
    </xf>
    <xf numFmtId="0" fontId="10" fillId="4" borderId="23" xfId="2" applyFont="1" applyFill="1" applyBorder="1" applyAlignment="1">
      <alignment horizontal="center" vertical="center"/>
    </xf>
    <xf numFmtId="0" fontId="10" fillId="4" borderId="40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 vertical="center" wrapText="1"/>
    </xf>
    <xf numFmtId="0" fontId="10" fillId="4" borderId="39" xfId="2" applyFont="1" applyFill="1" applyBorder="1" applyAlignment="1">
      <alignment horizontal="center" vertical="center"/>
    </xf>
    <xf numFmtId="0" fontId="10" fillId="4" borderId="21" xfId="2" applyFont="1" applyFill="1" applyBorder="1" applyAlignment="1">
      <alignment horizontal="center" vertical="center"/>
    </xf>
    <xf numFmtId="0" fontId="4" fillId="0" borderId="29" xfId="2" applyFont="1" applyBorder="1" applyAlignment="1">
      <alignment horizontal="right"/>
    </xf>
    <xf numFmtId="0" fontId="4" fillId="0" borderId="28" xfId="2" applyFont="1" applyBorder="1" applyAlignment="1">
      <alignment horizontal="right"/>
    </xf>
    <xf numFmtId="0" fontId="4" fillId="0" borderId="12" xfId="2" applyFont="1" applyBorder="1" applyAlignment="1">
      <alignment horizontal="right"/>
    </xf>
    <xf numFmtId="164" fontId="3" fillId="0" borderId="11" xfId="2" applyNumberFormat="1" applyFont="1" applyBorder="1" applyAlignment="1">
      <alignment horizontal="right"/>
    </xf>
    <xf numFmtId="0" fontId="3" fillId="2" borderId="27" xfId="2" applyFont="1" applyFill="1" applyBorder="1" applyAlignment="1">
      <alignment horizontal="center"/>
    </xf>
    <xf numFmtId="0" fontId="3" fillId="2" borderId="26" xfId="2" applyFont="1" applyFill="1" applyBorder="1" applyAlignment="1">
      <alignment horizontal="center"/>
    </xf>
    <xf numFmtId="0" fontId="4" fillId="0" borderId="9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4" fillId="0" borderId="25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24" xfId="2" applyNumberFormat="1" applyFont="1" applyBorder="1" applyAlignment="1">
      <alignment horizontal="center"/>
    </xf>
    <xf numFmtId="164" fontId="3" fillId="0" borderId="7" xfId="2" applyNumberFormat="1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4" fontId="3" fillId="0" borderId="24" xfId="2" applyNumberFormat="1" applyFont="1" applyBorder="1" applyAlignment="1">
      <alignment horizontal="right" wrapText="1"/>
    </xf>
    <xf numFmtId="164" fontId="3" fillId="0" borderId="25" xfId="2" applyNumberFormat="1" applyFont="1" applyBorder="1" applyAlignment="1">
      <alignment horizontal="right" wrapText="1"/>
    </xf>
    <xf numFmtId="0" fontId="4" fillId="0" borderId="23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3" fillId="0" borderId="21" xfId="2" applyFont="1" applyBorder="1" applyAlignment="1">
      <alignment horizontal="right"/>
    </xf>
    <xf numFmtId="164" fontId="3" fillId="0" borderId="20" xfId="2" applyNumberFormat="1" applyFont="1" applyBorder="1" applyAlignment="1">
      <alignment horizontal="center"/>
    </xf>
    <xf numFmtId="164" fontId="3" fillId="0" borderId="4" xfId="2" applyNumberFormat="1" applyFont="1" applyBorder="1" applyAlignment="1">
      <alignment horizontal="center"/>
    </xf>
    <xf numFmtId="0" fontId="4" fillId="4" borderId="19" xfId="2" applyFont="1" applyFill="1" applyBorder="1" applyAlignment="1">
      <alignment horizontal="center"/>
    </xf>
    <xf numFmtId="0" fontId="4" fillId="4" borderId="18" xfId="2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/>
    </xf>
    <xf numFmtId="0" fontId="3" fillId="0" borderId="16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6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4" fillId="3" borderId="3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</cellXfs>
  <cellStyles count="5">
    <cellStyle name="Normal" xfId="0" builtinId="0"/>
    <cellStyle name="Normal 2" xfId="2" xr:uid="{DD01741F-7481-4D32-B309-E7CDD0E3FB5E}"/>
    <cellStyle name="Normal 5" xfId="3" xr:uid="{CE5AD2BA-AA72-4F84-9607-388F780241C9}"/>
    <cellStyle name="Normal_CRITERIOS DE EVALUACION PT DE GB" xfId="1" xr:uid="{8334AAC5-EA1A-488F-9068-111D4C5C7B78}"/>
    <cellStyle name="Normal_CRITERIOS DE EVALUACION PT DE GB 2" xfId="4" xr:uid="{4783AAFC-CF0A-41E7-90D0-294B81419A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119062</xdr:rowOff>
    </xdr:from>
    <xdr:ext cx="2162556" cy="916781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09B57B1-B13C-4872-AB50-9FD37EE55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9062"/>
          <a:ext cx="2162556" cy="916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FA0E-A868-4C52-B31B-084279B4C3DA}">
  <sheetPr>
    <pageSetUpPr fitToPage="1"/>
  </sheetPr>
  <dimension ref="A1:I56"/>
  <sheetViews>
    <sheetView tabSelected="1" zoomScale="80" zoomScaleNormal="80" workbookViewId="0">
      <selection activeCell="C10" sqref="C10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71.7109375" customWidth="1"/>
    <col min="4" max="4" width="24.140625" bestFit="1" customWidth="1"/>
    <col min="5" max="5" width="11.7109375" bestFit="1" customWidth="1"/>
    <col min="7" max="7" width="21.42578125" customWidth="1"/>
    <col min="8" max="8" width="17.7109375" customWidth="1"/>
    <col min="9" max="9" width="29.7109375" customWidth="1"/>
  </cols>
  <sheetData>
    <row r="1" spans="1:9" ht="15.75" x14ac:dyDescent="0.25">
      <c r="A1" s="115"/>
      <c r="B1" s="116"/>
      <c r="C1" s="121" t="s">
        <v>94</v>
      </c>
      <c r="D1" s="121"/>
      <c r="E1" s="121"/>
      <c r="F1" s="121"/>
      <c r="G1" s="121"/>
      <c r="H1" s="104" t="s">
        <v>93</v>
      </c>
      <c r="I1" s="103" t="s">
        <v>92</v>
      </c>
    </row>
    <row r="2" spans="1:9" ht="16.5" thickBot="1" x14ac:dyDescent="0.3">
      <c r="A2" s="117"/>
      <c r="B2" s="118"/>
      <c r="C2" s="122" t="s">
        <v>91</v>
      </c>
      <c r="D2" s="122"/>
      <c r="E2" s="122"/>
      <c r="F2" s="122"/>
      <c r="G2" s="122"/>
      <c r="H2" s="102" t="s">
        <v>90</v>
      </c>
      <c r="I2" s="101" t="s">
        <v>100</v>
      </c>
    </row>
    <row r="3" spans="1:9" ht="30.75" customHeight="1" thickBot="1" x14ac:dyDescent="0.4">
      <c r="A3" s="117"/>
      <c r="B3" s="118"/>
      <c r="C3" s="123" t="s">
        <v>96</v>
      </c>
      <c r="D3" s="124"/>
      <c r="E3" s="124"/>
      <c r="F3" s="124"/>
      <c r="G3" s="125"/>
      <c r="H3" s="126" t="s">
        <v>89</v>
      </c>
      <c r="I3" s="105">
        <v>45937</v>
      </c>
    </row>
    <row r="4" spans="1:9" x14ac:dyDescent="0.25">
      <c r="A4" s="117"/>
      <c r="B4" s="118"/>
      <c r="C4" s="100" t="s">
        <v>88</v>
      </c>
      <c r="D4" s="108" t="s">
        <v>87</v>
      </c>
      <c r="E4" s="109"/>
      <c r="F4" s="109"/>
      <c r="G4" s="110"/>
      <c r="H4" s="127"/>
      <c r="I4" s="106"/>
    </row>
    <row r="5" spans="1:9" ht="15.75" thickBot="1" x14ac:dyDescent="0.3">
      <c r="A5" s="119"/>
      <c r="B5" s="120"/>
      <c r="C5" s="99" t="s">
        <v>86</v>
      </c>
      <c r="D5" s="111" t="s">
        <v>85</v>
      </c>
      <c r="E5" s="112"/>
      <c r="F5" s="112"/>
      <c r="G5" s="113"/>
      <c r="H5" s="128"/>
      <c r="I5" s="107"/>
    </row>
    <row r="6" spans="1:9" ht="18.75" thickBot="1" x14ac:dyDescent="0.3">
      <c r="A6" s="129" t="s">
        <v>84</v>
      </c>
      <c r="B6" s="129"/>
      <c r="C6" s="129"/>
      <c r="D6" s="130" t="s">
        <v>82</v>
      </c>
      <c r="E6" s="130"/>
      <c r="F6" s="130"/>
      <c r="G6" s="131" t="s">
        <v>83</v>
      </c>
      <c r="H6" s="131"/>
      <c r="I6" s="98" t="s">
        <v>82</v>
      </c>
    </row>
    <row r="7" spans="1:9" x14ac:dyDescent="0.25">
      <c r="A7" s="132" t="s">
        <v>81</v>
      </c>
      <c r="B7" s="134" t="s">
        <v>80</v>
      </c>
      <c r="C7" s="136" t="s">
        <v>79</v>
      </c>
      <c r="D7" s="136" t="s">
        <v>78</v>
      </c>
      <c r="E7" s="136" t="s">
        <v>77</v>
      </c>
      <c r="F7" s="136"/>
      <c r="G7" s="136" t="s">
        <v>76</v>
      </c>
      <c r="H7" s="136"/>
      <c r="I7" s="97" t="s">
        <v>75</v>
      </c>
    </row>
    <row r="8" spans="1:9" ht="27" thickBot="1" x14ac:dyDescent="0.3">
      <c r="A8" s="133"/>
      <c r="B8" s="135"/>
      <c r="C8" s="137"/>
      <c r="D8" s="137"/>
      <c r="E8" s="96" t="s">
        <v>19</v>
      </c>
      <c r="F8" s="95" t="s">
        <v>74</v>
      </c>
      <c r="G8" s="96" t="s">
        <v>19</v>
      </c>
      <c r="H8" s="95" t="s">
        <v>74</v>
      </c>
      <c r="I8" s="94" t="s">
        <v>73</v>
      </c>
    </row>
    <row r="9" spans="1:9" ht="20.25" x14ac:dyDescent="0.3">
      <c r="A9" s="93"/>
      <c r="B9" s="92"/>
      <c r="C9" s="91" t="s">
        <v>72</v>
      </c>
      <c r="D9" s="90"/>
      <c r="E9" s="89"/>
      <c r="F9" s="88"/>
      <c r="G9" s="89"/>
      <c r="H9" s="88"/>
      <c r="I9" s="20"/>
    </row>
    <row r="10" spans="1:9" ht="20.25" x14ac:dyDescent="0.3">
      <c r="A10" s="34">
        <v>11400066</v>
      </c>
      <c r="B10" s="87" t="s">
        <v>71</v>
      </c>
      <c r="C10" s="37" t="s">
        <v>70</v>
      </c>
      <c r="D10" s="34" t="s">
        <v>69</v>
      </c>
      <c r="E10" s="34">
        <v>10</v>
      </c>
      <c r="F10" s="34" t="s">
        <v>6</v>
      </c>
      <c r="G10" s="28"/>
      <c r="H10" s="4"/>
      <c r="I10" s="79"/>
    </row>
    <row r="11" spans="1:9" ht="20.25" x14ac:dyDescent="0.3">
      <c r="A11" s="34"/>
      <c r="B11" s="86" t="s">
        <v>68</v>
      </c>
      <c r="C11" s="85" t="s">
        <v>67</v>
      </c>
      <c r="D11" s="34" t="s">
        <v>45</v>
      </c>
      <c r="E11" s="34">
        <v>90</v>
      </c>
      <c r="F11" s="34" t="s">
        <v>6</v>
      </c>
      <c r="G11" s="28"/>
      <c r="H11" s="84"/>
      <c r="I11" s="79"/>
    </row>
    <row r="12" spans="1:9" ht="20.25" x14ac:dyDescent="0.3">
      <c r="A12" s="62">
        <v>910000003</v>
      </c>
      <c r="B12" s="69" t="s">
        <v>66</v>
      </c>
      <c r="C12" s="68" t="s">
        <v>65</v>
      </c>
      <c r="D12" s="56" t="s">
        <v>45</v>
      </c>
      <c r="E12" s="56">
        <v>20</v>
      </c>
      <c r="F12" s="56" t="s">
        <v>6</v>
      </c>
      <c r="G12" s="67"/>
      <c r="H12" s="84" t="s">
        <v>64</v>
      </c>
      <c r="I12" s="79"/>
    </row>
    <row r="13" spans="1:9" ht="20.25" x14ac:dyDescent="0.3">
      <c r="A13" s="62">
        <v>902000168</v>
      </c>
      <c r="B13" s="69" t="s">
        <v>63</v>
      </c>
      <c r="C13" s="68" t="s">
        <v>62</v>
      </c>
      <c r="D13" s="56" t="s">
        <v>45</v>
      </c>
      <c r="E13" s="56">
        <v>10</v>
      </c>
      <c r="F13" s="56" t="s">
        <v>6</v>
      </c>
      <c r="G13" s="28" t="s">
        <v>61</v>
      </c>
      <c r="H13" s="80"/>
      <c r="I13" s="79"/>
    </row>
    <row r="14" spans="1:9" ht="20.25" x14ac:dyDescent="0.3">
      <c r="A14" s="62"/>
      <c r="B14" s="61" t="s">
        <v>47</v>
      </c>
      <c r="C14" s="60" t="s">
        <v>46</v>
      </c>
      <c r="D14" s="56" t="s">
        <v>45</v>
      </c>
      <c r="E14" s="56">
        <v>12</v>
      </c>
      <c r="F14" s="56" t="s">
        <v>6</v>
      </c>
      <c r="G14" s="28" t="s">
        <v>60</v>
      </c>
      <c r="H14" s="80"/>
      <c r="I14" s="79"/>
    </row>
    <row r="15" spans="1:9" ht="20.25" x14ac:dyDescent="0.3">
      <c r="A15" s="62">
        <v>908000032</v>
      </c>
      <c r="B15" s="69" t="s">
        <v>49</v>
      </c>
      <c r="C15" s="68" t="s">
        <v>48</v>
      </c>
      <c r="D15" s="56" t="s">
        <v>45</v>
      </c>
      <c r="E15" s="56">
        <v>7</v>
      </c>
      <c r="F15" s="56" t="s">
        <v>6</v>
      </c>
      <c r="G15" s="28"/>
      <c r="H15" s="80"/>
      <c r="I15" s="79"/>
    </row>
    <row r="16" spans="1:9" ht="20.25" x14ac:dyDescent="0.3">
      <c r="A16" s="83"/>
      <c r="B16" s="69" t="s">
        <v>59</v>
      </c>
      <c r="C16" s="82" t="s">
        <v>58</v>
      </c>
      <c r="D16" s="56" t="s">
        <v>40</v>
      </c>
      <c r="E16" s="56">
        <v>5</v>
      </c>
      <c r="F16" s="56" t="s">
        <v>6</v>
      </c>
      <c r="G16" s="81" t="s">
        <v>57</v>
      </c>
      <c r="H16" s="80"/>
      <c r="I16" s="79"/>
    </row>
    <row r="17" spans="1:9" ht="20.25" x14ac:dyDescent="0.3">
      <c r="A17" s="69"/>
      <c r="B17" s="69"/>
      <c r="C17" s="68"/>
      <c r="D17" s="4"/>
      <c r="E17" s="28"/>
      <c r="F17" s="27"/>
      <c r="G17" s="81"/>
      <c r="H17" s="80"/>
      <c r="I17" s="79"/>
    </row>
    <row r="18" spans="1:9" ht="20.25" x14ac:dyDescent="0.3">
      <c r="A18" s="78"/>
      <c r="B18" s="78"/>
      <c r="C18" s="77"/>
      <c r="D18" s="76"/>
      <c r="E18" s="75"/>
      <c r="F18" s="74"/>
      <c r="G18" s="73"/>
      <c r="H18" s="72"/>
      <c r="I18" s="20"/>
    </row>
    <row r="19" spans="1:9" ht="20.25" x14ac:dyDescent="0.3">
      <c r="A19" s="31"/>
      <c r="B19" s="31"/>
      <c r="C19" s="29"/>
      <c r="D19" s="26"/>
      <c r="E19" s="26"/>
      <c r="F19" s="22"/>
      <c r="G19" s="42"/>
      <c r="H19" s="32"/>
      <c r="I19" s="21"/>
    </row>
    <row r="20" spans="1:9" ht="20.25" x14ac:dyDescent="0.3">
      <c r="A20" s="25"/>
      <c r="B20" s="24"/>
      <c r="C20" s="71" t="s">
        <v>56</v>
      </c>
      <c r="D20" s="21" t="s">
        <v>38</v>
      </c>
      <c r="E20" s="70"/>
      <c r="F20" s="22"/>
      <c r="G20" s="42"/>
      <c r="H20" s="32"/>
      <c r="I20" s="21"/>
    </row>
    <row r="21" spans="1:9" ht="20.25" x14ac:dyDescent="0.25">
      <c r="A21" s="62">
        <v>910000018</v>
      </c>
      <c r="B21" s="69" t="s">
        <v>55</v>
      </c>
      <c r="C21" s="68" t="s">
        <v>54</v>
      </c>
      <c r="D21" s="34" t="s">
        <v>45</v>
      </c>
      <c r="E21" s="67">
        <v>35</v>
      </c>
      <c r="F21" s="66" t="s">
        <v>6</v>
      </c>
      <c r="G21" s="65"/>
      <c r="H21" s="64"/>
      <c r="I21" s="63" t="s">
        <v>53</v>
      </c>
    </row>
    <row r="22" spans="1:9" ht="20.25" x14ac:dyDescent="0.25">
      <c r="A22" s="62">
        <v>11400027</v>
      </c>
      <c r="B22" s="69" t="s">
        <v>52</v>
      </c>
      <c r="C22" s="68" t="s">
        <v>51</v>
      </c>
      <c r="D22" s="34" t="s">
        <v>50</v>
      </c>
      <c r="E22" s="67">
        <v>2</v>
      </c>
      <c r="F22" s="66" t="s">
        <v>6</v>
      </c>
      <c r="G22" s="65"/>
      <c r="H22" s="64"/>
      <c r="I22" s="63" t="s">
        <v>99</v>
      </c>
    </row>
    <row r="23" spans="1:9" ht="20.25" x14ac:dyDescent="0.25">
      <c r="A23" s="62">
        <v>908000032</v>
      </c>
      <c r="B23" s="69" t="s">
        <v>49</v>
      </c>
      <c r="C23" s="68" t="s">
        <v>48</v>
      </c>
      <c r="D23" s="56" t="s">
        <v>45</v>
      </c>
      <c r="E23" s="67">
        <v>15</v>
      </c>
      <c r="F23" s="66" t="s">
        <v>6</v>
      </c>
      <c r="G23" s="65"/>
      <c r="H23" s="64"/>
      <c r="I23" s="63"/>
    </row>
    <row r="24" spans="1:9" ht="20.25" x14ac:dyDescent="0.3">
      <c r="A24" s="62"/>
      <c r="B24" s="61" t="s">
        <v>47</v>
      </c>
      <c r="C24" s="60" t="s">
        <v>46</v>
      </c>
      <c r="D24" s="56" t="s">
        <v>45</v>
      </c>
      <c r="E24" s="56">
        <v>25</v>
      </c>
      <c r="F24" s="56" t="s">
        <v>6</v>
      </c>
      <c r="G24" s="58" t="s">
        <v>44</v>
      </c>
      <c r="H24" s="59"/>
      <c r="I24" s="58" t="s">
        <v>43</v>
      </c>
    </row>
    <row r="25" spans="1:9" ht="21.6" customHeight="1" x14ac:dyDescent="0.3">
      <c r="A25" s="21"/>
      <c r="B25" s="57" t="s">
        <v>42</v>
      </c>
      <c r="C25" s="54" t="s">
        <v>41</v>
      </c>
      <c r="D25" s="56" t="s">
        <v>40</v>
      </c>
      <c r="E25" s="21">
        <v>3</v>
      </c>
      <c r="F25" s="21" t="s">
        <v>11</v>
      </c>
      <c r="G25" s="52"/>
      <c r="H25" s="50"/>
      <c r="I25" s="50"/>
    </row>
    <row r="26" spans="1:9" ht="20.25" x14ac:dyDescent="0.3">
      <c r="A26" s="21"/>
      <c r="B26" s="55"/>
      <c r="C26" s="54"/>
      <c r="D26" s="53"/>
      <c r="E26" s="21"/>
      <c r="F26" s="21"/>
      <c r="G26" s="52"/>
      <c r="H26" s="51"/>
      <c r="I26" s="50"/>
    </row>
    <row r="27" spans="1:9" ht="20.25" x14ac:dyDescent="0.3">
      <c r="A27" s="21"/>
      <c r="B27" s="55"/>
      <c r="C27" s="54"/>
      <c r="D27" s="53"/>
      <c r="E27" s="21"/>
      <c r="F27" s="21"/>
      <c r="G27" s="52"/>
      <c r="H27" s="51"/>
      <c r="I27" s="50"/>
    </row>
    <row r="28" spans="1:9" ht="20.25" x14ac:dyDescent="0.3">
      <c r="A28" s="49"/>
      <c r="B28" s="48"/>
      <c r="C28" s="47" t="s">
        <v>39</v>
      </c>
      <c r="D28" s="46" t="s">
        <v>38</v>
      </c>
      <c r="E28" s="42"/>
      <c r="F28" s="45"/>
      <c r="G28" s="42"/>
      <c r="H28" s="32"/>
      <c r="I28" s="21"/>
    </row>
    <row r="29" spans="1:9" ht="20.25" x14ac:dyDescent="0.3">
      <c r="A29" s="39">
        <v>51400047</v>
      </c>
      <c r="B29" s="38" t="s">
        <v>37</v>
      </c>
      <c r="C29" s="37" t="s">
        <v>36</v>
      </c>
      <c r="D29" s="34"/>
      <c r="E29" s="34">
        <v>1</v>
      </c>
      <c r="F29" s="4" t="s">
        <v>11</v>
      </c>
      <c r="G29" s="44"/>
      <c r="H29" s="32"/>
      <c r="I29" s="21"/>
    </row>
    <row r="30" spans="1:9" ht="20.25" x14ac:dyDescent="0.3">
      <c r="A30" s="39">
        <v>702077</v>
      </c>
      <c r="B30" s="38" t="s">
        <v>35</v>
      </c>
      <c r="C30" s="37" t="s">
        <v>34</v>
      </c>
      <c r="D30" s="34" t="s">
        <v>33</v>
      </c>
      <c r="E30" s="34">
        <v>1</v>
      </c>
      <c r="F30" s="4" t="s">
        <v>11</v>
      </c>
      <c r="G30" s="43"/>
      <c r="H30" s="32"/>
      <c r="I30" s="21"/>
    </row>
    <row r="31" spans="1:9" ht="20.25" x14ac:dyDescent="0.3">
      <c r="A31" s="39">
        <v>702007</v>
      </c>
      <c r="B31" s="38" t="s">
        <v>32</v>
      </c>
      <c r="C31" s="37" t="s">
        <v>31</v>
      </c>
      <c r="D31" s="34" t="s">
        <v>30</v>
      </c>
      <c r="E31" s="34">
        <v>1</v>
      </c>
      <c r="F31" s="4" t="s">
        <v>11</v>
      </c>
      <c r="G31" s="42"/>
      <c r="H31" s="32"/>
      <c r="I31" s="20"/>
    </row>
    <row r="32" spans="1:9" ht="20.25" x14ac:dyDescent="0.3">
      <c r="A32" s="39">
        <v>702123</v>
      </c>
      <c r="B32" s="38" t="s">
        <v>29</v>
      </c>
      <c r="C32" s="37" t="s">
        <v>28</v>
      </c>
      <c r="D32" s="34"/>
      <c r="E32" s="34">
        <v>1</v>
      </c>
      <c r="F32" s="4" t="s">
        <v>11</v>
      </c>
      <c r="G32" s="42"/>
      <c r="H32" s="32"/>
      <c r="I32" s="20"/>
    </row>
    <row r="33" spans="1:9" ht="20.25" x14ac:dyDescent="0.3">
      <c r="A33" s="39">
        <v>702174</v>
      </c>
      <c r="B33" s="38" t="s">
        <v>27</v>
      </c>
      <c r="C33" s="37" t="s">
        <v>26</v>
      </c>
      <c r="D33" s="34"/>
      <c r="E33" s="34">
        <v>2</v>
      </c>
      <c r="F33" s="4" t="s">
        <v>11</v>
      </c>
      <c r="G33" s="42"/>
      <c r="H33" s="32"/>
      <c r="I33" s="20"/>
    </row>
    <row r="34" spans="1:9" ht="20.25" x14ac:dyDescent="0.3">
      <c r="A34" s="39">
        <v>1950699</v>
      </c>
      <c r="B34" s="38" t="s">
        <v>25</v>
      </c>
      <c r="C34" s="37" t="s">
        <v>24</v>
      </c>
      <c r="D34" s="34"/>
      <c r="E34" s="34">
        <v>1</v>
      </c>
      <c r="F34" s="41" t="s">
        <v>11</v>
      </c>
      <c r="G34" s="40"/>
      <c r="H34" s="32"/>
      <c r="I34" s="20"/>
    </row>
    <row r="35" spans="1:9" ht="20.25" x14ac:dyDescent="0.3">
      <c r="A35" s="39">
        <v>701096</v>
      </c>
      <c r="B35" s="38" t="s">
        <v>23</v>
      </c>
      <c r="C35" s="37" t="s">
        <v>22</v>
      </c>
      <c r="D35" s="34"/>
      <c r="E35" s="34">
        <v>1</v>
      </c>
      <c r="F35" s="33" t="s">
        <v>11</v>
      </c>
      <c r="G35" s="26"/>
      <c r="H35" s="32"/>
      <c r="I35" s="20"/>
    </row>
    <row r="36" spans="1:9" ht="20.25" x14ac:dyDescent="0.3">
      <c r="A36" s="36"/>
      <c r="B36" s="31" t="s">
        <v>21</v>
      </c>
      <c r="C36" s="35" t="s">
        <v>20</v>
      </c>
      <c r="D36" s="35"/>
      <c r="E36" s="34">
        <v>1</v>
      </c>
      <c r="F36" s="33" t="s">
        <v>11</v>
      </c>
      <c r="G36" s="26"/>
      <c r="H36" s="32"/>
      <c r="I36" s="20"/>
    </row>
    <row r="37" spans="1:9" ht="20.25" x14ac:dyDescent="0.3">
      <c r="A37" s="31"/>
      <c r="B37" s="30"/>
      <c r="C37" s="29"/>
      <c r="D37" s="4"/>
      <c r="E37" s="28"/>
      <c r="F37" s="27"/>
      <c r="G37" s="26"/>
      <c r="H37" s="21"/>
      <c r="I37" s="20"/>
    </row>
    <row r="38" spans="1:9" ht="20.25" x14ac:dyDescent="0.3">
      <c r="A38" s="25"/>
      <c r="B38" s="24"/>
      <c r="C38" s="23"/>
      <c r="D38" s="21"/>
      <c r="E38" s="21"/>
      <c r="F38" s="22"/>
      <c r="G38" s="21"/>
      <c r="H38" s="21"/>
      <c r="I38" s="20"/>
    </row>
    <row r="39" spans="1:9" ht="21" thickBot="1" x14ac:dyDescent="0.35">
      <c r="A39" s="19"/>
      <c r="B39" s="18"/>
      <c r="C39" s="15"/>
      <c r="D39" s="15"/>
      <c r="E39" s="17"/>
      <c r="F39" s="16"/>
      <c r="G39" s="15"/>
      <c r="H39" s="15"/>
      <c r="I39" s="14"/>
    </row>
    <row r="40" spans="1:9" ht="21" thickBot="1" x14ac:dyDescent="0.35">
      <c r="A40" s="13"/>
      <c r="B40" s="12"/>
      <c r="C40" s="9"/>
      <c r="D40" s="1" t="s">
        <v>19</v>
      </c>
      <c r="E40" s="11" t="s">
        <v>18</v>
      </c>
      <c r="F40" s="10"/>
      <c r="G40" s="9"/>
      <c r="H40" s="9"/>
      <c r="I40" s="8"/>
    </row>
    <row r="41" spans="1:9" ht="20.25" x14ac:dyDescent="0.3">
      <c r="A41" s="138" t="s">
        <v>17</v>
      </c>
      <c r="B41" s="139"/>
      <c r="C41" s="140"/>
      <c r="D41" s="7">
        <v>220</v>
      </c>
      <c r="E41" s="6" t="s">
        <v>6</v>
      </c>
      <c r="F41" s="141" t="s">
        <v>16</v>
      </c>
      <c r="G41" s="141"/>
      <c r="H41" s="142"/>
      <c r="I41" s="143"/>
    </row>
    <row r="42" spans="1:9" ht="20.25" x14ac:dyDescent="0.3">
      <c r="A42" s="144" t="s">
        <v>15</v>
      </c>
      <c r="B42" s="145"/>
      <c r="C42" s="146"/>
      <c r="D42" s="5">
        <v>3</v>
      </c>
      <c r="E42" s="4" t="s">
        <v>14</v>
      </c>
      <c r="F42" s="147" t="s">
        <v>13</v>
      </c>
      <c r="G42" s="147"/>
      <c r="H42" s="148"/>
      <c r="I42" s="149"/>
    </row>
    <row r="43" spans="1:9" ht="20.25" x14ac:dyDescent="0.3">
      <c r="A43" s="144" t="s">
        <v>12</v>
      </c>
      <c r="B43" s="145"/>
      <c r="C43" s="146"/>
      <c r="D43" s="4">
        <v>1</v>
      </c>
      <c r="E43" s="4" t="s">
        <v>11</v>
      </c>
      <c r="F43" s="147" t="s">
        <v>10</v>
      </c>
      <c r="G43" s="147"/>
      <c r="H43" s="148"/>
      <c r="I43" s="149"/>
    </row>
    <row r="44" spans="1:9" ht="20.25" x14ac:dyDescent="0.3">
      <c r="A44" s="144" t="s">
        <v>9</v>
      </c>
      <c r="B44" s="145"/>
      <c r="C44" s="146"/>
      <c r="D44" s="4">
        <v>220</v>
      </c>
      <c r="E44" s="4" t="s">
        <v>6</v>
      </c>
      <c r="F44" s="153" t="s">
        <v>8</v>
      </c>
      <c r="G44" s="154"/>
      <c r="H44" s="148"/>
      <c r="I44" s="149"/>
    </row>
    <row r="45" spans="1:9" ht="21" thickBot="1" x14ac:dyDescent="0.35">
      <c r="A45" s="155" t="s">
        <v>7</v>
      </c>
      <c r="B45" s="156"/>
      <c r="C45" s="157"/>
      <c r="D45" s="3">
        <f>SUM(E10:E26)-D41</f>
        <v>14</v>
      </c>
      <c r="E45" s="2" t="s">
        <v>6</v>
      </c>
      <c r="F45" s="158"/>
      <c r="G45" s="158"/>
      <c r="H45" s="159"/>
      <c r="I45" s="160"/>
    </row>
    <row r="46" spans="1:9" ht="21" thickBot="1" x14ac:dyDescent="0.35">
      <c r="A46" s="161" t="s">
        <v>5</v>
      </c>
      <c r="B46" s="162"/>
      <c r="C46" s="162"/>
      <c r="D46" s="162"/>
      <c r="E46" s="162"/>
      <c r="F46" s="162"/>
      <c r="G46" s="162"/>
      <c r="H46" s="162"/>
      <c r="I46" s="163"/>
    </row>
    <row r="47" spans="1:9" ht="45.75" customHeight="1" x14ac:dyDescent="0.3">
      <c r="A47" s="164" t="s">
        <v>95</v>
      </c>
      <c r="B47" s="165"/>
      <c r="C47" s="165"/>
      <c r="D47" s="165"/>
      <c r="E47" s="165"/>
      <c r="F47" s="165"/>
      <c r="G47" s="165"/>
      <c r="H47" s="165"/>
      <c r="I47" s="166"/>
    </row>
    <row r="48" spans="1:9" ht="20.25" x14ac:dyDescent="0.3">
      <c r="A48" s="150" t="s">
        <v>4</v>
      </c>
      <c r="B48" s="151"/>
      <c r="C48" s="151"/>
      <c r="D48" s="151"/>
      <c r="E48" s="151"/>
      <c r="F48" s="151"/>
      <c r="G48" s="151"/>
      <c r="H48" s="151"/>
      <c r="I48" s="152"/>
    </row>
    <row r="49" spans="1:9" ht="40.9" customHeight="1" x14ac:dyDescent="0.3">
      <c r="A49" s="167" t="s">
        <v>97</v>
      </c>
      <c r="B49" s="168"/>
      <c r="C49" s="168"/>
      <c r="D49" s="168"/>
      <c r="E49" s="168"/>
      <c r="F49" s="168"/>
      <c r="G49" s="168"/>
      <c r="H49" s="168"/>
      <c r="I49" s="169"/>
    </row>
    <row r="50" spans="1:9" ht="20.25" x14ac:dyDescent="0.3">
      <c r="A50" s="167" t="s">
        <v>3</v>
      </c>
      <c r="B50" s="168"/>
      <c r="C50" s="168"/>
      <c r="D50" s="168"/>
      <c r="E50" s="168"/>
      <c r="F50" s="168"/>
      <c r="G50" s="168"/>
      <c r="H50" s="168"/>
      <c r="I50" s="169"/>
    </row>
    <row r="51" spans="1:9" ht="20.25" x14ac:dyDescent="0.3">
      <c r="A51" s="170" t="s">
        <v>2</v>
      </c>
      <c r="B51" s="171"/>
      <c r="C51" s="172"/>
      <c r="D51" s="172"/>
      <c r="E51" s="172"/>
      <c r="F51" s="172"/>
      <c r="G51" s="172"/>
      <c r="H51" s="172"/>
      <c r="I51" s="173"/>
    </row>
    <row r="52" spans="1:9" ht="20.25" x14ac:dyDescent="0.3">
      <c r="A52" s="167"/>
      <c r="B52" s="168"/>
      <c r="C52" s="168"/>
      <c r="D52" s="168"/>
      <c r="E52" s="168"/>
      <c r="F52" s="168"/>
      <c r="G52" s="168"/>
      <c r="H52" s="168"/>
      <c r="I52" s="169"/>
    </row>
    <row r="53" spans="1:9" ht="21" thickBot="1" x14ac:dyDescent="0.35">
      <c r="A53" s="174"/>
      <c r="B53" s="175"/>
      <c r="C53" s="175"/>
      <c r="D53" s="175"/>
      <c r="E53" s="175"/>
      <c r="F53" s="175"/>
      <c r="G53" s="175"/>
      <c r="H53" s="175"/>
      <c r="I53" s="176"/>
    </row>
    <row r="54" spans="1:9" ht="20.25" x14ac:dyDescent="0.3">
      <c r="A54" s="177" t="s">
        <v>1</v>
      </c>
      <c r="B54" s="178"/>
      <c r="C54" s="178"/>
      <c r="D54" s="178"/>
      <c r="E54" s="178"/>
      <c r="F54" s="178"/>
      <c r="G54" s="178"/>
      <c r="H54" s="178"/>
      <c r="I54" s="178"/>
    </row>
    <row r="55" spans="1:9" ht="20.25" x14ac:dyDescent="0.3">
      <c r="A55" s="114" t="s">
        <v>0</v>
      </c>
      <c r="B55" s="114"/>
      <c r="C55" s="114"/>
      <c r="D55" s="114"/>
      <c r="E55" s="114"/>
      <c r="F55" s="114"/>
      <c r="G55" s="114"/>
      <c r="H55" s="114"/>
      <c r="I55" s="114"/>
    </row>
    <row r="56" spans="1:9" ht="20.25" x14ac:dyDescent="0.3">
      <c r="A56" s="114" t="s">
        <v>98</v>
      </c>
      <c r="B56" s="114"/>
      <c r="C56" s="114"/>
      <c r="D56" s="114"/>
      <c r="E56" s="114"/>
      <c r="F56" s="114"/>
      <c r="G56" s="114"/>
      <c r="H56" s="114"/>
      <c r="I56" s="114"/>
    </row>
  </sheetData>
  <mergeCells count="43">
    <mergeCell ref="A55:I55"/>
    <mergeCell ref="A49:I49"/>
    <mergeCell ref="A50:I50"/>
    <mergeCell ref="A51:I51"/>
    <mergeCell ref="A52:I52"/>
    <mergeCell ref="A53:I53"/>
    <mergeCell ref="A54:I54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E7:F7"/>
    <mergeCell ref="G7:H7"/>
    <mergeCell ref="A41:C41"/>
    <mergeCell ref="F41:G41"/>
    <mergeCell ref="H41:I41"/>
    <mergeCell ref="I3:I5"/>
    <mergeCell ref="D4:G4"/>
    <mergeCell ref="D5:G5"/>
    <mergeCell ref="A56:I56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9EAFF7-4A77-4B0E-810E-F1E7320F058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44B3033B-9559-43A9-92E3-1E76CDD7FD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CBEC1C-7DB2-487B-8D23-52EDD0FE14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 Cake Hersheys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2025-12-12T15:45:43Z</cp:lastPrinted>
  <dcterms:created xsi:type="dcterms:W3CDTF">2025-11-21T18:34:41Z</dcterms:created>
  <dcterms:modified xsi:type="dcterms:W3CDTF">2025-12-12T15:46:46Z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
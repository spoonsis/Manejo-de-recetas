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DEE1C43A-8BB6-4F58-9DBE-8A417ACF219C}" xr6:coauthVersionLast="47" xr6:coauthVersionMax="47" xr10:uidLastSave="{6AA7FDC5-8610-403C-83B0-51FEE843F97F}"/>
  <bookViews>
    <workbookView xWindow="-120" yWindow="-120" windowWidth="20730" windowHeight="11040" tabRatio="933" firstSheet="8" activeTab="8" xr2:uid="{00000000-000D-0000-FFFF-FFFF00000000}"/>
  </bookViews>
  <sheets>
    <sheet name="Costo Salsa Maracuya" sheetId="10" state="hidden" r:id="rId1"/>
    <sheet name="Crema chantilly Blanca " sheetId="18" state="hidden" r:id="rId2"/>
    <sheet name="Fudge de chocolate " sheetId="16" state="hidden" r:id="rId3"/>
    <sheet name="Empaque Fudge Chocolate" sheetId="17" state="hidden" r:id="rId4"/>
    <sheet name="Costo Mousse Maracuya" sheetId="11" state="hidden" r:id="rId5"/>
    <sheet name="Premezcla Brownie" sheetId="15" state="hidden" r:id="rId6"/>
    <sheet name="Batido Brownie Casero" sheetId="14" state="hidden" r:id="rId7"/>
    <sheet name="Rosquete Brownie Casero" sheetId="13" state="hidden" r:id="rId8"/>
    <sheet name="Ensamble" sheetId="8" r:id="rId9"/>
    <sheet name="Costo Ensamble " sheetId="12" state="hidden" r:id="rId10"/>
  </sheets>
  <externalReferences>
    <externalReference r:id="rId11"/>
    <externalReference r:id="rId12"/>
    <externalReference r:id="rId13"/>
  </externalReferences>
  <definedNames>
    <definedName name="_xlnm.Print_Area" localSheetId="8">Ensamble!$A$1:$I$45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5" l="1"/>
  <c r="K17" i="15"/>
  <c r="K16" i="15"/>
  <c r="K15" i="15"/>
  <c r="K14" i="15"/>
  <c r="K13" i="15"/>
  <c r="K12" i="15"/>
  <c r="K11" i="15"/>
  <c r="K10" i="15"/>
  <c r="J18" i="15"/>
  <c r="J17" i="15"/>
  <c r="J16" i="15"/>
  <c r="J15" i="15"/>
  <c r="J14" i="15"/>
  <c r="J13" i="15"/>
  <c r="J12" i="15"/>
  <c r="J11" i="15"/>
  <c r="J10" i="15"/>
  <c r="D47" i="15"/>
  <c r="D41" i="14"/>
  <c r="C19" i="13"/>
  <c r="C31" i="12"/>
  <c r="F31" i="12" s="1"/>
  <c r="G31" i="12" s="1"/>
  <c r="G30" i="12"/>
  <c r="F30" i="12"/>
  <c r="C30" i="12"/>
  <c r="C29" i="12"/>
  <c r="F29" i="12" s="1"/>
  <c r="G29" i="12" s="1"/>
  <c r="C28" i="12"/>
  <c r="F28" i="12" s="1"/>
  <c r="G28" i="12" s="1"/>
  <c r="C27" i="12"/>
  <c r="E47" i="12"/>
  <c r="E38" i="12"/>
  <c r="E20" i="12"/>
  <c r="K12" i="8"/>
  <c r="D73" i="12"/>
  <c r="D74" i="12" s="1"/>
  <c r="D76" i="12" s="1"/>
  <c r="D71" i="12"/>
  <c r="D69" i="12"/>
  <c r="F65" i="12"/>
  <c r="E51" i="12" s="1"/>
  <c r="D60" i="12"/>
  <c r="D83" i="12" s="1"/>
  <c r="C51" i="12"/>
  <c r="E50" i="12"/>
  <c r="F50" i="12" s="1"/>
  <c r="D50" i="12"/>
  <c r="B50" i="12"/>
  <c r="E49" i="12"/>
  <c r="D49" i="12"/>
  <c r="B49" i="12"/>
  <c r="E41" i="12"/>
  <c r="D41" i="12"/>
  <c r="B41" i="12"/>
  <c r="A41" i="12"/>
  <c r="A50" i="12" s="1"/>
  <c r="C50" i="12" s="1"/>
  <c r="E40" i="12"/>
  <c r="F40" i="12" s="1"/>
  <c r="D40" i="12"/>
  <c r="B40" i="12"/>
  <c r="A40" i="12"/>
  <c r="C40" i="12" s="1"/>
  <c r="A39" i="12"/>
  <c r="C39" i="12" s="1"/>
  <c r="A38" i="12"/>
  <c r="A47" i="12" s="1"/>
  <c r="C47" i="12" s="1"/>
  <c r="A37" i="12"/>
  <c r="C37" i="12" s="1"/>
  <c r="A36" i="12"/>
  <c r="C36" i="12" s="1"/>
  <c r="A35" i="12"/>
  <c r="A44" i="12" s="1"/>
  <c r="C44" i="12" s="1"/>
  <c r="F44" i="12" s="1"/>
  <c r="E32" i="12"/>
  <c r="D32" i="12"/>
  <c r="C32" i="12"/>
  <c r="B32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C21" i="12"/>
  <c r="C20" i="12"/>
  <c r="C19" i="12"/>
  <c r="C18" i="12"/>
  <c r="C17" i="12"/>
  <c r="B15" i="12"/>
  <c r="E14" i="12"/>
  <c r="F14" i="12" s="1"/>
  <c r="D14" i="12"/>
  <c r="C14" i="12"/>
  <c r="B14" i="12"/>
  <c r="E13" i="12"/>
  <c r="D13" i="12"/>
  <c r="C13" i="12"/>
  <c r="B13" i="12"/>
  <c r="E12" i="12"/>
  <c r="F12" i="12" s="1"/>
  <c r="D12" i="12"/>
  <c r="C12" i="12"/>
  <c r="B12" i="12"/>
  <c r="E11" i="12"/>
  <c r="F11" i="12" s="1"/>
  <c r="D11" i="12"/>
  <c r="C11" i="12"/>
  <c r="B11" i="12"/>
  <c r="E10" i="12"/>
  <c r="F10" i="12" s="1"/>
  <c r="D10" i="12"/>
  <c r="C10" i="12"/>
  <c r="B10" i="12"/>
  <c r="E9" i="12"/>
  <c r="F9" i="12" s="1"/>
  <c r="D9" i="12"/>
  <c r="C9" i="12"/>
  <c r="B9" i="12"/>
  <c r="E8" i="12"/>
  <c r="F8" i="12" s="1"/>
  <c r="D8" i="12"/>
  <c r="C8" i="12"/>
  <c r="B8" i="12"/>
  <c r="H6" i="12"/>
  <c r="D73" i="11"/>
  <c r="D74" i="11" s="1"/>
  <c r="D76" i="11" s="1"/>
  <c r="C73" i="11"/>
  <c r="C85" i="11" s="1"/>
  <c r="D71" i="11"/>
  <c r="D69" i="11"/>
  <c r="F65" i="11"/>
  <c r="D60" i="11"/>
  <c r="D85" i="11" s="1"/>
  <c r="D86" i="11" s="1"/>
  <c r="E51" i="1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A45" i="11"/>
  <c r="C45" i="11" s="1"/>
  <c r="E41" i="11"/>
  <c r="D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C38" i="11" s="1"/>
  <c r="E37" i="11"/>
  <c r="D37" i="11"/>
  <c r="B37" i="11"/>
  <c r="A37" i="11"/>
  <c r="C37" i="11" s="1"/>
  <c r="E36" i="11"/>
  <c r="D36" i="11"/>
  <c r="C36" i="11"/>
  <c r="B36" i="11"/>
  <c r="A36" i="11"/>
  <c r="A35" i="11"/>
  <c r="C35" i="11" s="1"/>
  <c r="E32" i="11"/>
  <c r="D32" i="11"/>
  <c r="C32" i="11"/>
  <c r="B32" i="11"/>
  <c r="E31" i="11"/>
  <c r="D31" i="11"/>
  <c r="C31" i="11"/>
  <c r="B31" i="11"/>
  <c r="E30" i="11"/>
  <c r="F30" i="11" s="1"/>
  <c r="D30" i="11"/>
  <c r="C30" i="11"/>
  <c r="B30" i="11"/>
  <c r="E29" i="11"/>
  <c r="F29" i="11" s="1"/>
  <c r="D29" i="11"/>
  <c r="C29" i="11"/>
  <c r="B29" i="11"/>
  <c r="E28" i="1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C17" i="11"/>
  <c r="B15" i="11"/>
  <c r="E14" i="11"/>
  <c r="F14" i="11" s="1"/>
  <c r="D14" i="11"/>
  <c r="C14" i="11"/>
  <c r="B14" i="11"/>
  <c r="E13" i="11"/>
  <c r="D13" i="11"/>
  <c r="C13" i="11"/>
  <c r="B13" i="11"/>
  <c r="C12" i="11"/>
  <c r="C11" i="11"/>
  <c r="C10" i="11"/>
  <c r="F9" i="11"/>
  <c r="C9" i="11"/>
  <c r="F8" i="11"/>
  <c r="C8" i="11"/>
  <c r="H6" i="11"/>
  <c r="D74" i="10"/>
  <c r="D76" i="10" s="1"/>
  <c r="D73" i="10"/>
  <c r="D71" i="10"/>
  <c r="D69" i="10"/>
  <c r="F65" i="10"/>
  <c r="E51" i="10" s="1"/>
  <c r="D60" i="10"/>
  <c r="D85" i="10" s="1"/>
  <c r="D86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1" i="10"/>
  <c r="D41" i="10"/>
  <c r="B41" i="10"/>
  <c r="A41" i="10"/>
  <c r="A50" i="10" s="1"/>
  <c r="C50" i="10" s="1"/>
  <c r="E40" i="10"/>
  <c r="D40" i="10"/>
  <c r="B40" i="10"/>
  <c r="A40" i="10"/>
  <c r="C40" i="10" s="1"/>
  <c r="E39" i="10"/>
  <c r="D39" i="10"/>
  <c r="B39" i="10"/>
  <c r="A39" i="10"/>
  <c r="C39" i="10" s="1"/>
  <c r="E38" i="10"/>
  <c r="D38" i="10"/>
  <c r="B38" i="10"/>
  <c r="A38" i="10"/>
  <c r="A47" i="10" s="1"/>
  <c r="C47" i="10" s="1"/>
  <c r="E37" i="10"/>
  <c r="D37" i="10"/>
  <c r="B37" i="10"/>
  <c r="A37" i="10"/>
  <c r="C37" i="10" s="1"/>
  <c r="A36" i="10"/>
  <c r="A45" i="10" s="1"/>
  <c r="C45" i="10" s="1"/>
  <c r="A35" i="10"/>
  <c r="C35" i="10" s="1"/>
  <c r="E32" i="10"/>
  <c r="F32" i="10" s="1"/>
  <c r="D32" i="10"/>
  <c r="C32" i="10"/>
  <c r="B32" i="10"/>
  <c r="E31" i="10"/>
  <c r="F31" i="10" s="1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F18" i="10"/>
  <c r="C18" i="10"/>
  <c r="F17" i="10"/>
  <c r="C17" i="10"/>
  <c r="B15" i="10"/>
  <c r="E14" i="10"/>
  <c r="D14" i="10"/>
  <c r="C14" i="10"/>
  <c r="B14" i="10"/>
  <c r="E13" i="10"/>
  <c r="F13" i="10" s="1"/>
  <c r="D13" i="10"/>
  <c r="C13" i="10"/>
  <c r="B13" i="10"/>
  <c r="E12" i="10"/>
  <c r="D12" i="10"/>
  <c r="C12" i="10"/>
  <c r="B12" i="10"/>
  <c r="E11" i="10"/>
  <c r="F11" i="10" s="1"/>
  <c r="D11" i="10"/>
  <c r="C11" i="10"/>
  <c r="B11" i="10"/>
  <c r="E10" i="10"/>
  <c r="D10" i="10"/>
  <c r="C10" i="10"/>
  <c r="B10" i="10"/>
  <c r="E9" i="10"/>
  <c r="D9" i="10"/>
  <c r="C9" i="10"/>
  <c r="B9" i="10"/>
  <c r="C8" i="10"/>
  <c r="H6" i="10"/>
  <c r="F29" i="10" l="1"/>
  <c r="F31" i="11"/>
  <c r="F32" i="11"/>
  <c r="F14" i="10"/>
  <c r="F13" i="11"/>
  <c r="F27" i="10"/>
  <c r="F30" i="10"/>
  <c r="F32" i="12"/>
  <c r="F28" i="10"/>
  <c r="F27" i="12"/>
  <c r="G27" i="12" s="1"/>
  <c r="F9" i="10"/>
  <c r="F12" i="10"/>
  <c r="F10" i="10"/>
  <c r="F28" i="11"/>
  <c r="F13" i="12"/>
  <c r="F51" i="12"/>
  <c r="D85" i="12"/>
  <c r="D86" i="12" s="1"/>
  <c r="C38" i="12"/>
  <c r="F20" i="12"/>
  <c r="F47" i="12"/>
  <c r="F38" i="12"/>
  <c r="A46" i="12"/>
  <c r="C46" i="12" s="1"/>
  <c r="C35" i="12"/>
  <c r="F18" i="12"/>
  <c r="F35" i="12"/>
  <c r="F17" i="12"/>
  <c r="F40" i="11"/>
  <c r="F38" i="11"/>
  <c r="F27" i="11"/>
  <c r="F36" i="11"/>
  <c r="F45" i="11"/>
  <c r="F37" i="11"/>
  <c r="A47" i="11"/>
  <c r="C47" i="11" s="1"/>
  <c r="F47" i="11" s="1"/>
  <c r="F50" i="11"/>
  <c r="C41" i="11"/>
  <c r="F41" i="11" s="1"/>
  <c r="F51" i="11"/>
  <c r="E85" i="11"/>
  <c r="F10" i="11"/>
  <c r="F11" i="11"/>
  <c r="F12" i="11"/>
  <c r="F17" i="11"/>
  <c r="F35" i="11"/>
  <c r="F39" i="10"/>
  <c r="F37" i="10"/>
  <c r="F40" i="10"/>
  <c r="C38" i="10"/>
  <c r="F38" i="10" s="1"/>
  <c r="C73" i="10"/>
  <c r="C85" i="10" s="1"/>
  <c r="F51" i="10"/>
  <c r="E85" i="10"/>
  <c r="F45" i="10"/>
  <c r="C36" i="10"/>
  <c r="F36" i="10" s="1"/>
  <c r="F8" i="10"/>
  <c r="F36" i="12"/>
  <c r="C41" i="12"/>
  <c r="F41" i="12" s="1"/>
  <c r="A45" i="12"/>
  <c r="C45" i="12" s="1"/>
  <c r="F45" i="12" s="1"/>
  <c r="D81" i="12"/>
  <c r="C73" i="12"/>
  <c r="A49" i="12"/>
  <c r="C49" i="12" s="1"/>
  <c r="F49" i="12" s="1"/>
  <c r="A48" i="12"/>
  <c r="C48" i="12" s="1"/>
  <c r="F39" i="11"/>
  <c r="D81" i="11"/>
  <c r="A49" i="11"/>
  <c r="C49" i="11" s="1"/>
  <c r="F49" i="11" s="1"/>
  <c r="E73" i="11"/>
  <c r="D83" i="11"/>
  <c r="A44" i="11"/>
  <c r="C44" i="11" s="1"/>
  <c r="F44" i="11" s="1"/>
  <c r="A46" i="11"/>
  <c r="C46" i="11" s="1"/>
  <c r="F46" i="11" s="1"/>
  <c r="A48" i="11"/>
  <c r="C48" i="11" s="1"/>
  <c r="F48" i="11" s="1"/>
  <c r="F46" i="10"/>
  <c r="F35" i="10"/>
  <c r="F50" i="10"/>
  <c r="F47" i="10"/>
  <c r="C41" i="10"/>
  <c r="F41" i="10" s="1"/>
  <c r="D81" i="10"/>
  <c r="A49" i="10"/>
  <c r="C49" i="10" s="1"/>
  <c r="F49" i="10" s="1"/>
  <c r="E73" i="10"/>
  <c r="D83" i="10"/>
  <c r="A44" i="10"/>
  <c r="C44" i="10" s="1"/>
  <c r="F44" i="10" s="1"/>
  <c r="A46" i="10"/>
  <c r="C46" i="10" s="1"/>
  <c r="A48" i="10"/>
  <c r="C48" i="10" s="1"/>
  <c r="F48" i="10" s="1"/>
  <c r="F53" i="10" l="1"/>
  <c r="C69" i="10" s="1"/>
  <c r="F54" i="11"/>
  <c r="H54" i="11" s="1"/>
  <c r="G2" i="11" s="1"/>
  <c r="F53" i="11"/>
  <c r="C85" i="12"/>
  <c r="E85" i="12" s="1"/>
  <c r="E73" i="12"/>
  <c r="F56" i="11"/>
  <c r="F56" i="10"/>
  <c r="F54" i="10"/>
  <c r="H53" i="10" l="1"/>
  <c r="F2" i="10" s="1"/>
  <c r="F64" i="10"/>
  <c r="F55" i="10"/>
  <c r="H55" i="10" s="1"/>
  <c r="F55" i="11"/>
  <c r="O54" i="11" s="1"/>
  <c r="C76" i="11"/>
  <c r="E76" i="11" s="1"/>
  <c r="E37" i="12" s="1"/>
  <c r="F37" i="12" s="1"/>
  <c r="H53" i="11"/>
  <c r="F2" i="11" s="1"/>
  <c r="C69" i="11"/>
  <c r="C81" i="11" s="1"/>
  <c r="E81" i="11" s="1"/>
  <c r="F64" i="11"/>
  <c r="H56" i="11"/>
  <c r="C74" i="11"/>
  <c r="H56" i="10"/>
  <c r="C74" i="10"/>
  <c r="E69" i="10"/>
  <c r="E21" i="12" s="1"/>
  <c r="F21" i="12" s="1"/>
  <c r="C81" i="10"/>
  <c r="E81" i="10" s="1"/>
  <c r="C76" i="10"/>
  <c r="E76" i="10" s="1"/>
  <c r="E39" i="12" s="1"/>
  <c r="F39" i="12" s="1"/>
  <c r="H54" i="10"/>
  <c r="G2" i="10" s="1"/>
  <c r="F63" i="10" l="1"/>
  <c r="C71" i="10" s="1"/>
  <c r="O54" i="10"/>
  <c r="O56" i="10" s="1"/>
  <c r="F63" i="11"/>
  <c r="E63" i="11" s="1"/>
  <c r="F54" i="12"/>
  <c r="E69" i="11"/>
  <c r="E19" i="12" s="1"/>
  <c r="F19" i="12" s="1"/>
  <c r="F53" i="12" s="1"/>
  <c r="H55" i="11"/>
  <c r="O56" i="11"/>
  <c r="O55" i="11"/>
  <c r="H2" i="11"/>
  <c r="H58" i="11"/>
  <c r="H59" i="11" s="1"/>
  <c r="O58" i="11" s="1"/>
  <c r="C86" i="11"/>
  <c r="E86" i="11" s="1"/>
  <c r="E74" i="11"/>
  <c r="O55" i="10"/>
  <c r="H58" i="10"/>
  <c r="H59" i="10" s="1"/>
  <c r="O58" i="10" s="1"/>
  <c r="H2" i="10"/>
  <c r="C86" i="10"/>
  <c r="E86" i="10" s="1"/>
  <c r="E74" i="10"/>
  <c r="C71" i="11" l="1"/>
  <c r="C83" i="11" s="1"/>
  <c r="E83" i="11" s="1"/>
  <c r="F66" i="11"/>
  <c r="G63" i="11" s="1"/>
  <c r="E63" i="10"/>
  <c r="F66" i="10"/>
  <c r="G63" i="10" s="1"/>
  <c r="E78" i="10"/>
  <c r="E48" i="12"/>
  <c r="F48" i="12" s="1"/>
  <c r="E78" i="11"/>
  <c r="E46" i="12"/>
  <c r="F46" i="12" s="1"/>
  <c r="F64" i="12"/>
  <c r="C69" i="12"/>
  <c r="H53" i="12"/>
  <c r="F2" i="12" s="1"/>
  <c r="F55" i="12"/>
  <c r="C76" i="12"/>
  <c r="E76" i="12" s="1"/>
  <c r="H54" i="12"/>
  <c r="G2" i="12" s="1"/>
  <c r="O57" i="11"/>
  <c r="O59" i="11" s="1"/>
  <c r="O57" i="10"/>
  <c r="O59" i="10" s="1"/>
  <c r="O60" i="10" s="1"/>
  <c r="O61" i="10" s="1"/>
  <c r="O62" i="10" s="1"/>
  <c r="C83" i="10"/>
  <c r="E83" i="10" s="1"/>
  <c r="E71" i="10"/>
  <c r="G64" i="10" l="1"/>
  <c r="G44" i="10"/>
  <c r="G66" i="11"/>
  <c r="G49" i="10"/>
  <c r="G41" i="10"/>
  <c r="G21" i="10"/>
  <c r="G23" i="10"/>
  <c r="G20" i="10"/>
  <c r="G13" i="10"/>
  <c r="G31" i="10"/>
  <c r="G48" i="11"/>
  <c r="G40" i="10"/>
  <c r="G29" i="10"/>
  <c r="G28" i="10"/>
  <c r="G32" i="10"/>
  <c r="G11" i="10"/>
  <c r="G24" i="11"/>
  <c r="G8" i="11"/>
  <c r="G12" i="11"/>
  <c r="G51" i="11"/>
  <c r="G9" i="11"/>
  <c r="G53" i="11"/>
  <c r="G40" i="11"/>
  <c r="E71" i="11"/>
  <c r="G32" i="11"/>
  <c r="G49" i="11"/>
  <c r="G18" i="11"/>
  <c r="G35" i="11"/>
  <c r="G54" i="11"/>
  <c r="G37" i="11"/>
  <c r="G30" i="11"/>
  <c r="G11" i="11"/>
  <c r="G55" i="11"/>
  <c r="G27" i="11"/>
  <c r="G56" i="11"/>
  <c r="G22" i="11"/>
  <c r="G50" i="11"/>
  <c r="G28" i="11"/>
  <c r="G41" i="11"/>
  <c r="G29" i="11"/>
  <c r="G46" i="11"/>
  <c r="G17" i="11"/>
  <c r="G10" i="11"/>
  <c r="G38" i="11"/>
  <c r="G64" i="11"/>
  <c r="G65" i="11"/>
  <c r="G31" i="11"/>
  <c r="G36" i="11"/>
  <c r="G47" i="11"/>
  <c r="G21" i="11"/>
  <c r="G19" i="11"/>
  <c r="G39" i="11"/>
  <c r="G45" i="11"/>
  <c r="G23" i="11"/>
  <c r="G13" i="11"/>
  <c r="G44" i="11"/>
  <c r="G20" i="11"/>
  <c r="G14" i="11"/>
  <c r="G46" i="10"/>
  <c r="G18" i="10"/>
  <c r="G17" i="10"/>
  <c r="G65" i="10"/>
  <c r="G35" i="10"/>
  <c r="G36" i="10"/>
  <c r="G9" i="10"/>
  <c r="G66" i="10"/>
  <c r="G53" i="10"/>
  <c r="G10" i="10"/>
  <c r="G27" i="10"/>
  <c r="G48" i="10"/>
  <c r="G39" i="10"/>
  <c r="G14" i="10"/>
  <c r="G47" i="10"/>
  <c r="G12" i="10"/>
  <c r="G56" i="10"/>
  <c r="G50" i="10"/>
  <c r="G38" i="10"/>
  <c r="G37" i="10"/>
  <c r="G8" i="10"/>
  <c r="G55" i="10"/>
  <c r="G22" i="10"/>
  <c r="G19" i="10"/>
  <c r="G51" i="10"/>
  <c r="G54" i="10"/>
  <c r="G24" i="10"/>
  <c r="G45" i="10"/>
  <c r="G30" i="10"/>
  <c r="F56" i="12"/>
  <c r="E69" i="12"/>
  <c r="C81" i="12"/>
  <c r="E81" i="12" s="1"/>
  <c r="H55" i="12"/>
  <c r="F63" i="12"/>
  <c r="O54" i="12"/>
  <c r="O60" i="11"/>
  <c r="O61" i="11" s="1"/>
  <c r="O62" i="11" s="1"/>
  <c r="P62" i="11" s="1"/>
  <c r="P62" i="10"/>
  <c r="E2" i="10"/>
  <c r="O56" i="12" l="1"/>
  <c r="E63" i="12"/>
  <c r="F66" i="12"/>
  <c r="C71" i="12"/>
  <c r="H56" i="12"/>
  <c r="C74" i="12"/>
  <c r="E2" i="11"/>
  <c r="C83" i="12" l="1"/>
  <c r="E83" i="12" s="1"/>
  <c r="E71" i="12"/>
  <c r="C86" i="12"/>
  <c r="E86" i="12" s="1"/>
  <c r="E74" i="12"/>
  <c r="E78" i="12" s="1"/>
  <c r="H58" i="12"/>
  <c r="H59" i="12" s="1"/>
  <c r="O58" i="12" s="1"/>
  <c r="O55" i="12"/>
  <c r="O57" i="12" s="1"/>
  <c r="H2" i="12"/>
  <c r="G63" i="12"/>
  <c r="G17" i="12"/>
  <c r="G18" i="12"/>
  <c r="G65" i="12"/>
  <c r="G10" i="12"/>
  <c r="G8" i="12"/>
  <c r="G56" i="12"/>
  <c r="G13" i="12"/>
  <c r="G54" i="12"/>
  <c r="G36" i="12"/>
  <c r="G11" i="12"/>
  <c r="G14" i="12"/>
  <c r="G66" i="12"/>
  <c r="G46" i="12"/>
  <c r="G35" i="12"/>
  <c r="G44" i="12"/>
  <c r="G48" i="12"/>
  <c r="G37" i="12"/>
  <c r="G21" i="12"/>
  <c r="G55" i="12"/>
  <c r="G20" i="12"/>
  <c r="G38" i="12"/>
  <c r="G41" i="12"/>
  <c r="G50" i="12"/>
  <c r="G40" i="12"/>
  <c r="G9" i="12"/>
  <c r="G22" i="12"/>
  <c r="G19" i="12"/>
  <c r="G12" i="12"/>
  <c r="G47" i="12"/>
  <c r="G39" i="12"/>
  <c r="G51" i="12"/>
  <c r="G64" i="12"/>
  <c r="G53" i="12"/>
  <c r="G32" i="12"/>
  <c r="G49" i="12"/>
  <c r="G24" i="12"/>
  <c r="G45" i="12"/>
  <c r="G23" i="12"/>
  <c r="O59" i="12" l="1"/>
  <c r="O60" i="12" s="1"/>
  <c r="O61" i="12" s="1"/>
  <c r="O62" i="12" s="1"/>
  <c r="P62" i="12" l="1"/>
  <c r="E2" i="12"/>
  <c r="D32" i="8" l="1"/>
</calcChain>
</file>

<file path=xl/sharedStrings.xml><?xml version="1.0" encoding="utf-8"?>
<sst xmlns="http://schemas.openxmlformats.org/spreadsheetml/2006/main" count="927" uniqueCount="293">
  <si>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</si>
  <si>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</si>
  <si>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</si>
  <si>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</si>
  <si>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</si>
  <si>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</si>
  <si>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</si>
  <si>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</si>
  <si>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</si>
  <si>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</si>
  <si>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</si>
  <si>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</si>
  <si>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</si>
  <si>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</si>
  <si>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</si>
  <si>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</si>
  <si>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</si>
  <si>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uds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</si>
  <si>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</si>
  <si>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</si>
  <si>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</si>
  <si>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</si>
  <si>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</si>
  <si>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</si>
  <si>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</si>
  <si>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</si>
  <si>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</si>
  <si>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</si>
  <si>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</si>
  <si>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</si>
  <si>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EM10002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</si>
  <si>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</si>
  <si>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</si>
  <si>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</si>
  <si>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</si>
  <si>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</si>
  <si>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</si>
  <si>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FAS</t>
  </si>
  <si>
    <t>ETIQ.BLANCA 1 1/4 * 3/4</t>
  </si>
  <si>
    <t>CEMUSA</t>
  </si>
  <si>
    <t>CONTROL DE CAMBIOS</t>
  </si>
  <si>
    <t>NUEVO</t>
  </si>
  <si>
    <t>SE00016</t>
  </si>
  <si>
    <t>Empaque Azucar  Industrial</t>
  </si>
  <si>
    <t>AGUA POTABLE (PLANTA)</t>
  </si>
  <si>
    <t>SE00014</t>
  </si>
  <si>
    <t>Empaque Almidon Modificado</t>
  </si>
  <si>
    <t>Batidos</t>
  </si>
  <si>
    <t>Cocina</t>
  </si>
  <si>
    <t>MP10046</t>
  </si>
  <si>
    <t>Queso Crema Panadero</t>
  </si>
  <si>
    <t>MP10043</t>
  </si>
  <si>
    <t>Gelatina Pura</t>
  </si>
  <si>
    <t>molde pequeño</t>
  </si>
  <si>
    <t>DECORACION</t>
  </si>
  <si>
    <t>EMPAQUE</t>
  </si>
  <si>
    <t>ud</t>
  </si>
  <si>
    <t>EM10124</t>
  </si>
  <si>
    <t>ETIQUETA BLANCA R-153</t>
  </si>
  <si>
    <t>EM10011</t>
  </si>
  <si>
    <t>Etiqueta Blanca 2 5/8X1 15/16</t>
  </si>
  <si>
    <t>MP10007</t>
  </si>
  <si>
    <t>Manjar Leche Condensada</t>
  </si>
  <si>
    <t>Nestle</t>
  </si>
  <si>
    <t>MP10423</t>
  </si>
  <si>
    <t>Maracuya Congelada</t>
  </si>
  <si>
    <t>SE00010</t>
  </si>
  <si>
    <t>Crema Chantilly Blanca (Spoon-Ind)</t>
  </si>
  <si>
    <t>MP10050</t>
  </si>
  <si>
    <t>Leche Condensada</t>
  </si>
  <si>
    <t>MP10150</t>
  </si>
  <si>
    <t>Colorante Gel Egg Yellow</t>
  </si>
  <si>
    <t>SE00200</t>
  </si>
  <si>
    <t>ROSQUETE REDONDO BROWNIE CASERO 250G</t>
  </si>
  <si>
    <t>MOUSSE MARACUYA</t>
  </si>
  <si>
    <t>SE00337</t>
  </si>
  <si>
    <t>Empaque Fudge De Chocolate</t>
  </si>
  <si>
    <t>1/3 TAZA</t>
  </si>
  <si>
    <t>1/4 UNIDAD</t>
  </si>
  <si>
    <t>SALSA DE MARACUYA</t>
  </si>
  <si>
    <t>1/2 taza</t>
  </si>
  <si>
    <t>1.- Colocar en el molde engrasado el brownie.</t>
  </si>
  <si>
    <t>2.- Luego agregar el fudge en un circulo en el centro y dosificar encima el mousse de maracuya.</t>
  </si>
  <si>
    <t>3.- Sobre el mousse agregar el brownie en trozos y mezclar un poco. Llevar a enfriamiento por minimo 4 horas</t>
  </si>
  <si>
    <t>4.- Desmoldar y colocar en la orla con manjar, con la boquilla redonda hacer colochos al borde y en el centro la salsa de maracuya.</t>
  </si>
  <si>
    <t>5.- Tapar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</si>
  <si>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</si>
  <si>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</si>
  <si>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</si>
  <si>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</si>
  <si>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</si>
  <si>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</si>
  <si>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</si>
  <si>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</si>
  <si>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</si>
  <si>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</si>
  <si>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</si>
  <si>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</si>
  <si>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</si>
  <si>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</si>
  <si>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</si>
  <si>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</si>
  <si>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</si>
  <si>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</si>
  <si>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</si>
  <si>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</si>
  <si>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</si>
  <si>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</si>
  <si>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</si>
  <si>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</si>
  <si>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</si>
  <si>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</si>
  <si>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</si>
  <si>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</si>
  <si>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</si>
  <si>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</si>
  <si>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</si>
  <si>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</si>
  <si>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</si>
  <si>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</si>
  <si>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</si>
  <si>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</si>
  <si>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</si>
  <si>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</si>
  <si>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</si>
  <si>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</si>
  <si>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</si>
  <si>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</si>
  <si>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</si>
  <si>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</si>
  <si>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</si>
  <si>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</si>
  <si>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</si>
  <si>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</si>
  <si>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</si>
  <si>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</si>
  <si>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</si>
  <si>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</si>
  <si>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Gramo</t>
  </si>
  <si>
    <t>907000241</t>
  </si>
  <si>
    <t xml:space="preserve">UND </t>
  </si>
  <si>
    <t>UND</t>
  </si>
  <si>
    <t>QUEQUERA 8 PEQUEÑA</t>
  </si>
  <si>
    <t>ETIQUETA POSTRE</t>
  </si>
  <si>
    <t>ETIQUETA BLANCA R-153 (UND)</t>
  </si>
  <si>
    <t>ETIQUETA BLANCA 2 5/8X1 15/16 (UND)</t>
  </si>
  <si>
    <t>ESP-RE-BAS-138</t>
  </si>
  <si>
    <t>01</t>
  </si>
  <si>
    <t>Jeffry Rodriguez. Gte de Manufactura</t>
  </si>
  <si>
    <t>BATIDO BROWNIE CASERO (KILO)</t>
  </si>
  <si>
    <t>1950928</t>
  </si>
  <si>
    <t>BOLSA TRANSPARENTE 56X96X1.80 **</t>
  </si>
  <si>
    <t>ETIQ.FECHA VENCIMIENTO BLANCO (ROLLO)</t>
  </si>
  <si>
    <t>PAPEL MANTEQUILLA (CAJA= 1000 UND)</t>
  </si>
  <si>
    <t>TIPS</t>
  </si>
  <si>
    <t>Tiempo de Horneo</t>
  </si>
  <si>
    <t>Temperatura de Horneo</t>
  </si>
  <si>
    <t>1- Colocar la mezcla molde con el papel mantequilla, MOLDE ENGRASADO CON MARGARINA y luego Aceite.</t>
  </si>
  <si>
    <t>2- Dosificar 250 g  en cada molde redondo</t>
  </si>
  <si>
    <t xml:space="preserve">3- COLOCAR EN EL HORNO INMEDIATAMENTE Y HORNEAR POR   30  MINUTOS. </t>
  </si>
  <si>
    <t>4-Empacar 24 por lata y etiquetar.</t>
  </si>
  <si>
    <t>ESP-RE-BAS-010</t>
  </si>
  <si>
    <t>Batido De Brownie Casero  902000014(SE00169)</t>
  </si>
  <si>
    <t>Ensamble</t>
  </si>
  <si>
    <t>SE00170</t>
  </si>
  <si>
    <t>Premezcla Para Brownie Casero</t>
  </si>
  <si>
    <t>MP10002</t>
  </si>
  <si>
    <t>Aceite Capullo Rbd</t>
  </si>
  <si>
    <t>CAPULLO</t>
  </si>
  <si>
    <t>MP10040</t>
  </si>
  <si>
    <t>Margarina Baker Tableta</t>
  </si>
  <si>
    <t>BAKER</t>
  </si>
  <si>
    <t>MP10385</t>
  </si>
  <si>
    <t>Vainilla Oscura</t>
  </si>
  <si>
    <t>VAINOL</t>
  </si>
  <si>
    <t>MP10005</t>
  </si>
  <si>
    <t>Huevo Liquido Refrigerado</t>
  </si>
  <si>
    <t>INNOVO</t>
  </si>
  <si>
    <t>MP10037</t>
  </si>
  <si>
    <t>Yema De Huevo Pasteurizada</t>
  </si>
  <si>
    <t>Decoración</t>
  </si>
  <si>
    <t>Empaque</t>
  </si>
  <si>
    <t/>
  </si>
  <si>
    <t>Moldes</t>
  </si>
  <si>
    <t>1.- En el agua hirviendo derretir los chocolates, vainilla, agregar el aceite y la margarina y colocar en la batidora</t>
  </si>
  <si>
    <t>2.- Agregar el huevo y la yema y mezclar a velocidad 1 por 1 minuto.</t>
  </si>
  <si>
    <t>3.- Luego agregar los ingredientes secos e incorporar a velocidad 2 por 1 minuto.</t>
  </si>
  <si>
    <t>4.- Agregar el azucar y la pecana y mezclar a velocidad 1 por 1 minuto.</t>
  </si>
  <si>
    <t>2, Correccion d batido a nueva receta, con pecanas y chocolates.</t>
  </si>
  <si>
    <t>Premezcla Para Brownie Casero 95361 SE00170</t>
  </si>
  <si>
    <t>Premezcla</t>
  </si>
  <si>
    <t>MP10206</t>
  </si>
  <si>
    <t>Harina Harisol Hojaldre</t>
  </si>
  <si>
    <t>HARISOL</t>
  </si>
  <si>
    <t>MP10091</t>
  </si>
  <si>
    <t>Café Instantaneo</t>
  </si>
  <si>
    <t>NESCAFE</t>
  </si>
  <si>
    <t>MP10027</t>
  </si>
  <si>
    <t>Sal Industrial</t>
  </si>
  <si>
    <t>ATLANTIDA</t>
  </si>
  <si>
    <t>MP10008</t>
  </si>
  <si>
    <t>Preservante 1047S</t>
  </si>
  <si>
    <t>ASEAL</t>
  </si>
  <si>
    <t>MP10146</t>
  </si>
  <si>
    <t>Cocoa Dutch Process</t>
  </si>
  <si>
    <t>COSTA RICA CACAO</t>
  </si>
  <si>
    <t>MP10492</t>
  </si>
  <si>
    <t>Chocolate Semi Amargo 54%</t>
  </si>
  <si>
    <t>CORDILLERA</t>
  </si>
  <si>
    <t>MP10001</t>
  </si>
  <si>
    <t>Cobertura Chocolate Leche</t>
  </si>
  <si>
    <t>MP10074</t>
  </si>
  <si>
    <t>Azucar Blanco Industrial</t>
  </si>
  <si>
    <t>LAYCA</t>
  </si>
  <si>
    <t>MP10562</t>
  </si>
  <si>
    <t>Pecana Entera</t>
  </si>
  <si>
    <t>NUECES INDUSTRIALES</t>
  </si>
  <si>
    <t>G</t>
  </si>
  <si>
    <t>BOLSA 17x25 TRANSP KILO</t>
  </si>
  <si>
    <t>Plasticos P</t>
  </si>
  <si>
    <t>Etiplast</t>
  </si>
  <si>
    <t>ETIQUETA ROJA LETRA ALERJENO (UND)</t>
  </si>
  <si>
    <t>Tanda</t>
  </si>
  <si>
    <t>1.- Pesar en la bolsa 17x25 la harina, café instantaneo, sal, preservante y cocoa.</t>
  </si>
  <si>
    <t>2.- Pesar en la bolsa 17x25 el chocolate rallado oscuro y la cobertura de chocolate leche.</t>
  </si>
  <si>
    <t>3.- En la bolsa 17x25 pesar el azucar.</t>
  </si>
  <si>
    <t>4.- Etiquetar con nombre y alerjeno.</t>
  </si>
  <si>
    <t xml:space="preserve">Eliminar bolsa 8x12 No se utiliza, agregar 3 bolsas de 17x25 una para el chocolate, otra para el azucar y una para los polvos. Verificar las marcas de las materias primas . Harina marca harisol. Sal de 25 kg y marca atlantida. Marca del preservante. chocolaterallano no: (Chocolate Semi Amargo 54%). Pecana entera (no quebradura). </t>
  </si>
  <si>
    <t>ESP-RE-EMPS-047</t>
  </si>
  <si>
    <t>SE00337 Empaque Fudge de chocolate Spoon</t>
  </si>
  <si>
    <t>90100354</t>
  </si>
  <si>
    <t>SE00338</t>
  </si>
  <si>
    <t>FUDGE DE CHOCOLATE SPOON</t>
  </si>
  <si>
    <t>EM10307</t>
  </si>
  <si>
    <t>BOLSA MARMITA 14 x 20 (KILO)</t>
  </si>
  <si>
    <t>ETIPLAST</t>
  </si>
  <si>
    <t>Minutos</t>
  </si>
  <si>
    <t>Bolsas</t>
  </si>
  <si>
    <t>1. Vaciar la marmita en bolsas de 5kg aprox.</t>
  </si>
  <si>
    <t>2. Amarrar la bolsa y etiquetar</t>
  </si>
  <si>
    <t>ESP-RE-COCS-053</t>
  </si>
  <si>
    <t>SE00338 Fudge de chocolate Spoon</t>
  </si>
  <si>
    <t>11400066</t>
  </si>
  <si>
    <t>MANJAR LECHE CONDENSADA</t>
  </si>
  <si>
    <t>NESTLE</t>
  </si>
  <si>
    <t>MP10024</t>
  </si>
  <si>
    <t>LECHE EVAPORADA (LITRO)</t>
  </si>
  <si>
    <t>0512255</t>
  </si>
  <si>
    <t xml:space="preserve">COCOA DUTCH PROCESS </t>
  </si>
  <si>
    <t>CIA NACIONAL</t>
  </si>
  <si>
    <t>MP10476</t>
  </si>
  <si>
    <t>CHOCOLATE JOHNNYS MARMITA (CAJA: 12K)</t>
  </si>
  <si>
    <t>JOHNNYS</t>
  </si>
  <si>
    <t>0310107</t>
  </si>
  <si>
    <t>MP10022</t>
  </si>
  <si>
    <t>LACTOCREMA GRANEL</t>
  </si>
  <si>
    <t>DOS PINOS</t>
  </si>
  <si>
    <t>PRESERVANTE 1047 (PAQ=5 KILOS)</t>
  </si>
  <si>
    <t>MIN</t>
  </si>
  <si>
    <t>TANDA</t>
  </si>
  <si>
    <t>GRAMOS</t>
  </si>
  <si>
    <t>1. Licuar la cocoa, el preservante y el Johnnys con la leche. Colocar el licuado en olla y agregar el resto de ingredientes.</t>
  </si>
  <si>
    <t>2. Encender la marmita en progrmacion Fudge.</t>
  </si>
  <si>
    <t>3. Apagar y empezar el proceso de empaque</t>
  </si>
  <si>
    <t>ESP-RE-DES-018</t>
  </si>
  <si>
    <t>02</t>
  </si>
  <si>
    <t xml:space="preserve"> Crema Blanca Spoon (20800g)  SE00010</t>
  </si>
  <si>
    <t>Decoracion</t>
  </si>
  <si>
    <t>MP10047</t>
  </si>
  <si>
    <t>BETTERCREME SUPREMO (UND:4 K)</t>
  </si>
  <si>
    <t>RICHS</t>
  </si>
  <si>
    <t>MP10048</t>
  </si>
  <si>
    <t>CREMA PRESTIGE GRAND (UND:4 K)</t>
  </si>
  <si>
    <t>10415</t>
  </si>
  <si>
    <t>AYA</t>
  </si>
  <si>
    <t>PRESERVANTE 1047S (PAQ=5 KILO)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</si>
  <si>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</si>
  <si>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</si>
  <si>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</si>
  <si>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</si>
  <si>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</si>
  <si>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</si>
  <si>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</si>
  <si>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MEZCLA ENGRASE MOLDES (29800g)</t>
  </si>
  <si>
    <t>SE00200  907000241 Rosquete Brownie Casero redondo 250g</t>
  </si>
  <si>
    <t>7151-7671</t>
  </si>
  <si>
    <t>PTI00267 Postre brownie maracuya spoon</t>
  </si>
  <si>
    <t>EM10455</t>
  </si>
  <si>
    <t>QUEQUERA REDONDA CON BASE 7 ALTA</t>
  </si>
  <si>
    <t>SE00765</t>
  </si>
  <si>
    <t>SE00764</t>
  </si>
  <si>
    <t>ESP-RE-POS-120</t>
  </si>
  <si>
    <t>Boquilla 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</si>
</sst>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sz val="10"/>
      <color theme="1"/>
      <name val="Century Gothic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rgb="FF000000"/>
      <name val="Calibri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name val="Arial"/>
      <family val="2"/>
    </font>
    <font>
      <b/>
      <i/>
      <sz val="12"/>
      <name val="Arial"/>
      <family val="2"/>
    </font>
    <font>
      <sz val="9.85"/>
      <color indexed="8"/>
      <name val="Arial"/>
      <family val="2"/>
    </font>
    <font>
      <sz val="11"/>
      <name val="Calibri"/>
      <family val="2"/>
    </font>
    <font>
      <sz val="11"/>
      <color theme="1"/>
      <name val="Segoe UI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6" fillId="0" borderId="0"/>
    <xf numFmtId="9" fontId="3" fillId="0" borderId="0" applyFont="0" applyFill="0" applyBorder="0" applyAlignment="0" applyProtection="0"/>
    <xf numFmtId="0" fontId="6" fillId="0" borderId="0"/>
    <xf numFmtId="0" fontId="3" fillId="0" borderId="0"/>
    <xf numFmtId="0" fontId="2" fillId="0" borderId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774">
    <xf numFmtId="0" fontId="0" fillId="0" borderId="0" xfId="0"/>
    <xf numFmtId="0" fontId="10" fillId="2" borderId="23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right"/>
    </xf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0" borderId="28" xfId="0" applyNumberFormat="1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2" borderId="24" xfId="1" applyFont="1" applyFill="1" applyBorder="1" applyAlignment="1">
      <alignment horizontal="center"/>
    </xf>
    <xf numFmtId="49" fontId="8" fillId="2" borderId="6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8" fillId="2" borderId="28" xfId="1" applyFont="1" applyFill="1" applyBorder="1" applyAlignment="1">
      <alignment horizontal="right"/>
    </xf>
    <xf numFmtId="0" fontId="8" fillId="2" borderId="3" xfId="1" applyFont="1" applyFill="1" applyBorder="1" applyAlignment="1">
      <alignment horizontal="right"/>
    </xf>
    <xf numFmtId="14" fontId="14" fillId="2" borderId="0" xfId="3" applyNumberFormat="1" applyFont="1" applyFill="1" applyAlignment="1">
      <alignment horizontal="center" vertical="center" wrapText="1"/>
    </xf>
    <xf numFmtId="0" fontId="10" fillId="5" borderId="24" xfId="4" applyFont="1" applyFill="1" applyBorder="1" applyAlignment="1">
      <alignment horizontal="center" vertical="center" wrapText="1"/>
    </xf>
    <xf numFmtId="1" fontId="10" fillId="5" borderId="11" xfId="4" applyNumberFormat="1" applyFont="1" applyFill="1" applyBorder="1" applyAlignment="1">
      <alignment horizontal="center"/>
    </xf>
    <xf numFmtId="1" fontId="10" fillId="5" borderId="11" xfId="4" applyNumberFormat="1" applyFont="1" applyFill="1" applyBorder="1" applyAlignment="1">
      <alignment horizontal="center" wrapText="1"/>
    </xf>
    <xf numFmtId="0" fontId="10" fillId="5" borderId="12" xfId="4" applyFont="1" applyFill="1" applyBorder="1" applyAlignment="1">
      <alignment horizontal="center"/>
    </xf>
    <xf numFmtId="0" fontId="15" fillId="0" borderId="7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" fontId="15" fillId="0" borderId="3" xfId="4" applyNumberFormat="1" applyFont="1" applyBorder="1" applyAlignment="1">
      <alignment horizontal="center"/>
    </xf>
    <xf numFmtId="1" fontId="15" fillId="0" borderId="3" xfId="4" applyNumberFormat="1" applyFont="1" applyBorder="1" applyAlignment="1">
      <alignment horizontal="center" wrapText="1"/>
    </xf>
    <xf numFmtId="0" fontId="7" fillId="0" borderId="6" xfId="4" applyFont="1" applyBorder="1" applyAlignment="1">
      <alignment horizontal="center"/>
    </xf>
    <xf numFmtId="0" fontId="8" fillId="0" borderId="28" xfId="0" applyFont="1" applyBorder="1" applyAlignment="1">
      <alignment horizontal="center" wrapText="1"/>
    </xf>
    <xf numFmtId="12" fontId="8" fillId="0" borderId="28" xfId="0" applyNumberFormat="1" applyFont="1" applyBorder="1" applyAlignment="1">
      <alignment horizontal="center"/>
    </xf>
    <xf numFmtId="1" fontId="7" fillId="0" borderId="3" xfId="4" applyNumberFormat="1" applyFont="1" applyBorder="1" applyAlignment="1">
      <alignment horizontal="center"/>
    </xf>
    <xf numFmtId="0" fontId="7" fillId="0" borderId="3" xfId="4" applyFont="1" applyBorder="1" applyAlignment="1">
      <alignment horizontal="center"/>
    </xf>
    <xf numFmtId="1" fontId="7" fillId="0" borderId="3" xfId="4" applyNumberFormat="1" applyFont="1" applyBorder="1" applyAlignment="1">
      <alignment horizontal="center" wrapText="1"/>
    </xf>
    <xf numFmtId="49" fontId="7" fillId="0" borderId="7" xfId="4" applyNumberFormat="1" applyFont="1" applyBorder="1" applyAlignment="1">
      <alignment horizontal="center"/>
    </xf>
    <xf numFmtId="49" fontId="7" fillId="0" borderId="18" xfId="4" applyNumberFormat="1" applyFont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6" fillId="3" borderId="28" xfId="0" applyFont="1" applyFill="1" applyBorder="1"/>
    <xf numFmtId="0" fontId="8" fillId="3" borderId="18" xfId="0" applyFont="1" applyFill="1" applyBorder="1" applyAlignment="1">
      <alignment horizontal="center"/>
    </xf>
    <xf numFmtId="1" fontId="8" fillId="3" borderId="28" xfId="0" applyNumberFormat="1" applyFont="1" applyFill="1" applyBorder="1" applyAlignment="1">
      <alignment horizontal="center"/>
    </xf>
    <xf numFmtId="1" fontId="8" fillId="3" borderId="28" xfId="0" applyNumberFormat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4" applyNumberFormat="1" applyFont="1" applyBorder="1" applyAlignment="1">
      <alignment horizontal="center"/>
    </xf>
    <xf numFmtId="49" fontId="5" fillId="0" borderId="3" xfId="4" applyNumberFormat="1" applyFont="1" applyBorder="1"/>
    <xf numFmtId="0" fontId="4" fillId="0" borderId="3" xfId="4" applyFont="1" applyBorder="1" applyAlignment="1">
      <alignment horizontal="center"/>
    </xf>
    <xf numFmtId="49" fontId="12" fillId="2" borderId="5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8" fillId="2" borderId="0" xfId="4" applyFont="1" applyFill="1"/>
    <xf numFmtId="1" fontId="8" fillId="2" borderId="0" xfId="4" applyNumberFormat="1" applyFont="1" applyFill="1" applyAlignment="1">
      <alignment horizontal="center"/>
    </xf>
    <xf numFmtId="164" fontId="8" fillId="2" borderId="0" xfId="4" applyNumberFormat="1" applyFont="1" applyFill="1" applyAlignment="1">
      <alignment horizontal="center" wrapText="1"/>
    </xf>
    <xf numFmtId="0" fontId="8" fillId="2" borderId="4" xfId="4" applyFont="1" applyFill="1" applyBorder="1" applyAlignment="1">
      <alignment horizontal="center"/>
    </xf>
    <xf numFmtId="0" fontId="8" fillId="5" borderId="29" xfId="4" applyFont="1" applyFill="1" applyBorder="1" applyAlignment="1">
      <alignment horizontal="center"/>
    </xf>
    <xf numFmtId="0" fontId="8" fillId="5" borderId="30" xfId="4" applyFont="1" applyFill="1" applyBorder="1" applyAlignment="1">
      <alignment horizontal="center"/>
    </xf>
    <xf numFmtId="0" fontId="8" fillId="5" borderId="30" xfId="4" applyFont="1" applyFill="1" applyBorder="1"/>
    <xf numFmtId="0" fontId="10" fillId="5" borderId="30" xfId="4" applyFont="1" applyFill="1" applyBorder="1" applyAlignment="1">
      <alignment horizontal="center"/>
    </xf>
    <xf numFmtId="1" fontId="10" fillId="5" borderId="30" xfId="4" applyNumberFormat="1" applyFont="1" applyFill="1" applyBorder="1" applyAlignment="1">
      <alignment horizontal="center"/>
    </xf>
    <xf numFmtId="164" fontId="8" fillId="5" borderId="30" xfId="4" applyNumberFormat="1" applyFont="1" applyFill="1" applyBorder="1" applyAlignment="1">
      <alignment horizontal="center" wrapText="1"/>
    </xf>
    <xf numFmtId="0" fontId="8" fillId="5" borderId="31" xfId="4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20" fillId="8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20" fillId="0" borderId="3" xfId="6" applyFont="1" applyFill="1" applyBorder="1" applyAlignment="1">
      <alignment horizontal="center" vertical="center"/>
    </xf>
    <xf numFmtId="43" fontId="20" fillId="0" borderId="0" xfId="6" applyFont="1" applyFill="1" applyBorder="1" applyAlignment="1">
      <alignment horizontal="center" vertical="center"/>
    </xf>
    <xf numFmtId="43" fontId="22" fillId="0" borderId="0" xfId="6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66" fontId="25" fillId="0" borderId="0" xfId="0" applyNumberFormat="1" applyFont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/>
    </xf>
    <xf numFmtId="0" fontId="20" fillId="9" borderId="44" xfId="0" applyFont="1" applyFill="1" applyBorder="1" applyAlignment="1">
      <alignment horizontal="center" vertical="center"/>
    </xf>
    <xf numFmtId="0" fontId="20" fillId="9" borderId="44" xfId="0" applyFont="1" applyFill="1" applyBorder="1" applyAlignment="1">
      <alignment horizontal="center" vertical="center" wrapText="1"/>
    </xf>
    <xf numFmtId="0" fontId="20" fillId="9" borderId="4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2" fontId="26" fillId="0" borderId="0" xfId="0" applyNumberFormat="1" applyFont="1" applyAlignment="1">
      <alignment horizontal="center"/>
    </xf>
    <xf numFmtId="4" fontId="26" fillId="0" borderId="0" xfId="7" applyNumberFormat="1" applyFont="1" applyFill="1" applyAlignment="1">
      <alignment horizontal="center" vertical="center"/>
    </xf>
    <xf numFmtId="4" fontId="20" fillId="0" borderId="0" xfId="7" applyNumberFormat="1" applyFont="1" applyFill="1" applyAlignment="1">
      <alignment horizontal="center" vertical="center"/>
    </xf>
    <xf numFmtId="10" fontId="20" fillId="0" borderId="0" xfId="2" applyNumberFormat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10" fontId="21" fillId="0" borderId="0" xfId="2" applyNumberFormat="1" applyFont="1" applyFill="1" applyAlignment="1">
      <alignment vertical="center"/>
    </xf>
    <xf numFmtId="0" fontId="5" fillId="0" borderId="0" xfId="0" applyFont="1"/>
    <xf numFmtId="49" fontId="20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3" fontId="5" fillId="0" borderId="0" xfId="6" applyFont="1" applyFill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4" fontId="20" fillId="0" borderId="0" xfId="6" applyNumberFormat="1" applyFont="1" applyFill="1" applyAlignment="1">
      <alignment vertical="center"/>
    </xf>
    <xf numFmtId="43" fontId="28" fillId="0" borderId="0" xfId="6" applyFont="1" applyFill="1" applyAlignment="1">
      <alignment horizontal="center" vertical="center"/>
    </xf>
    <xf numFmtId="10" fontId="21" fillId="9" borderId="46" xfId="2" applyNumberFormat="1" applyFont="1" applyFill="1" applyBorder="1" applyAlignment="1">
      <alignment vertical="center"/>
    </xf>
    <xf numFmtId="0" fontId="5" fillId="9" borderId="30" xfId="0" applyFont="1" applyFill="1" applyBorder="1" applyAlignment="1">
      <alignment vertical="center"/>
    </xf>
    <xf numFmtId="0" fontId="5" fillId="9" borderId="46" xfId="0" applyFont="1" applyFill="1" applyBorder="1" applyAlignment="1">
      <alignment vertical="center"/>
    </xf>
    <xf numFmtId="43" fontId="28" fillId="9" borderId="47" xfId="6" applyFont="1" applyFill="1" applyBorder="1" applyAlignment="1">
      <alignment horizontal="center" vertical="center"/>
    </xf>
    <xf numFmtId="43" fontId="30" fillId="0" borderId="0" xfId="6" applyFont="1" applyFill="1" applyBorder="1" applyAlignment="1">
      <alignment horizontal="right"/>
    </xf>
    <xf numFmtId="0" fontId="5" fillId="9" borderId="47" xfId="0" applyFont="1" applyFill="1" applyBorder="1" applyAlignment="1">
      <alignment vertical="center"/>
    </xf>
    <xf numFmtId="10" fontId="21" fillId="9" borderId="47" xfId="2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0" fontId="29" fillId="0" borderId="0" xfId="0" applyFont="1"/>
    <xf numFmtId="9" fontId="29" fillId="0" borderId="0" xfId="0" applyNumberFormat="1" applyFont="1"/>
    <xf numFmtId="9" fontId="31" fillId="0" borderId="0" xfId="2" applyFont="1" applyFill="1" applyAlignment="1">
      <alignment horizontal="center"/>
    </xf>
    <xf numFmtId="0" fontId="28" fillId="0" borderId="0" xfId="0" applyFont="1" applyAlignment="1">
      <alignment horizontal="right" vertical="center"/>
    </xf>
    <xf numFmtId="4" fontId="28" fillId="0" borderId="0" xfId="6" applyNumberFormat="1" applyFont="1" applyFill="1" applyAlignment="1">
      <alignment vertical="center"/>
    </xf>
    <xf numFmtId="4" fontId="28" fillId="0" borderId="0" xfId="7" applyNumberFormat="1" applyFont="1" applyAlignment="1">
      <alignment horizontal="center" vertical="center"/>
    </xf>
    <xf numFmtId="0" fontId="32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0" fontId="33" fillId="0" borderId="4" xfId="0" applyFont="1" applyBorder="1" applyAlignment="1">
      <alignment horizontal="right"/>
    </xf>
    <xf numFmtId="43" fontId="34" fillId="4" borderId="48" xfId="6" applyFont="1" applyFill="1" applyBorder="1" applyAlignment="1">
      <alignment horizontal="right"/>
    </xf>
    <xf numFmtId="43" fontId="34" fillId="0" borderId="0" xfId="6" applyFont="1" applyFill="1" applyBorder="1" applyAlignment="1">
      <alignment horizontal="right"/>
    </xf>
    <xf numFmtId="43" fontId="20" fillId="0" borderId="3" xfId="6" applyFont="1" applyFill="1" applyBorder="1" applyAlignment="1">
      <alignment vertical="center"/>
    </xf>
    <xf numFmtId="0" fontId="35" fillId="0" borderId="0" xfId="0" applyFont="1" applyAlignment="1">
      <alignment horizontal="left" vertical="center"/>
    </xf>
    <xf numFmtId="4" fontId="28" fillId="0" borderId="0" xfId="7" applyNumberFormat="1" applyFont="1" applyFill="1" applyAlignment="1">
      <alignment horizontal="center" vertical="center"/>
    </xf>
    <xf numFmtId="10" fontId="36" fillId="0" borderId="0" xfId="2" applyNumberFormat="1" applyFont="1" applyFill="1" applyAlignment="1">
      <alignment horizontal="right"/>
    </xf>
    <xf numFmtId="168" fontId="20" fillId="9" borderId="3" xfId="6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43" fontId="20" fillId="10" borderId="3" xfId="6" applyFont="1" applyFill="1" applyBorder="1" applyAlignment="1">
      <alignment vertical="center"/>
    </xf>
    <xf numFmtId="165" fontId="37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1" fillId="9" borderId="49" xfId="0" applyFont="1" applyFill="1" applyBorder="1" applyAlignment="1">
      <alignment vertical="center"/>
    </xf>
    <xf numFmtId="0" fontId="39" fillId="0" borderId="0" xfId="0" applyFont="1" applyAlignment="1">
      <alignment vertical="center"/>
    </xf>
    <xf numFmtId="2" fontId="36" fillId="0" borderId="0" xfId="6" applyNumberFormat="1" applyFont="1" applyFill="1" applyBorder="1" applyAlignment="1">
      <alignment horizontal="center"/>
    </xf>
    <xf numFmtId="2" fontId="33" fillId="0" borderId="0" xfId="6" applyNumberFormat="1" applyFont="1" applyFill="1" applyBorder="1" applyAlignment="1">
      <alignment horizontal="center"/>
    </xf>
    <xf numFmtId="0" fontId="5" fillId="9" borderId="49" xfId="0" applyFont="1" applyFill="1" applyBorder="1" applyAlignment="1">
      <alignment vertical="center"/>
    </xf>
    <xf numFmtId="10" fontId="5" fillId="0" borderId="0" xfId="2" applyNumberFormat="1" applyFont="1" applyFill="1" applyAlignment="1">
      <alignment vertical="center"/>
    </xf>
    <xf numFmtId="4" fontId="5" fillId="0" borderId="0" xfId="6" applyNumberFormat="1" applyFont="1" applyFill="1" applyAlignment="1">
      <alignment vertical="center"/>
    </xf>
    <xf numFmtId="43" fontId="34" fillId="9" borderId="30" xfId="6" applyFont="1" applyFill="1" applyBorder="1" applyAlignment="1">
      <alignment horizontal="right"/>
    </xf>
    <xf numFmtId="0" fontId="20" fillId="9" borderId="31" xfId="0" applyFont="1" applyFill="1" applyBorder="1" applyAlignment="1">
      <alignment horizontal="right" vertical="center"/>
    </xf>
    <xf numFmtId="10" fontId="40" fillId="0" borderId="0" xfId="6" applyNumberFormat="1" applyFont="1" applyFill="1" applyAlignment="1">
      <alignment vertical="center"/>
    </xf>
    <xf numFmtId="10" fontId="21" fillId="0" borderId="0" xfId="2" applyNumberFormat="1" applyFont="1" applyFill="1" applyBorder="1" applyAlignment="1">
      <alignment vertical="center"/>
    </xf>
    <xf numFmtId="165" fontId="41" fillId="0" borderId="0" xfId="0" applyNumberFormat="1" applyFont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43" fontId="42" fillId="0" borderId="0" xfId="6" applyFont="1" applyFill="1" applyAlignment="1">
      <alignment vertical="center"/>
    </xf>
    <xf numFmtId="4" fontId="43" fillId="0" borderId="0" xfId="7" applyNumberFormat="1" applyFont="1" applyFill="1" applyAlignment="1">
      <alignment horizontal="center" vertical="center" wrapText="1"/>
    </xf>
    <xf numFmtId="9" fontId="5" fillId="0" borderId="0" xfId="6" applyNumberFormat="1" applyFont="1" applyFill="1" applyAlignment="1">
      <alignment vertical="center"/>
    </xf>
    <xf numFmtId="0" fontId="2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4" fontId="27" fillId="0" borderId="0" xfId="6" applyNumberFormat="1" applyFont="1" applyFill="1" applyAlignment="1">
      <alignment vertical="center"/>
    </xf>
    <xf numFmtId="4" fontId="20" fillId="12" borderId="48" xfId="6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43" fontId="44" fillId="0" borderId="0" xfId="6" applyFont="1" applyFill="1" applyAlignment="1">
      <alignment vertical="center"/>
    </xf>
    <xf numFmtId="9" fontId="44" fillId="0" borderId="0" xfId="6" applyNumberFormat="1" applyFont="1" applyFill="1" applyAlignment="1">
      <alignment vertical="center"/>
    </xf>
    <xf numFmtId="4" fontId="20" fillId="0" borderId="0" xfId="6" applyNumberFormat="1" applyFont="1" applyFill="1" applyAlignment="1">
      <alignment horizontal="center" vertical="center"/>
    </xf>
    <xf numFmtId="10" fontId="37" fillId="0" borderId="0" xfId="2" applyNumberFormat="1" applyFont="1" applyFill="1" applyAlignment="1">
      <alignment vertical="center"/>
    </xf>
    <xf numFmtId="43" fontId="37" fillId="0" borderId="0" xfId="6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43" fontId="5" fillId="0" borderId="0" xfId="6" applyFont="1" applyFill="1" applyBorder="1"/>
    <xf numFmtId="10" fontId="37" fillId="0" borderId="0" xfId="2" applyNumberFormat="1" applyFont="1" applyFill="1" applyBorder="1" applyAlignment="1">
      <alignment vertical="center"/>
    </xf>
    <xf numFmtId="0" fontId="37" fillId="0" borderId="0" xfId="0" applyFont="1" applyAlignment="1">
      <alignment horizontal="right"/>
    </xf>
    <xf numFmtId="43" fontId="5" fillId="0" borderId="0" xfId="6" applyFont="1" applyFill="1" applyBorder="1" applyAlignment="1">
      <alignment horizontal="center"/>
    </xf>
    <xf numFmtId="9" fontId="47" fillId="0" borderId="0" xfId="0" applyNumberFormat="1" applyFont="1" applyAlignment="1">
      <alignment horizontal="left"/>
    </xf>
    <xf numFmtId="4" fontId="20" fillId="0" borderId="0" xfId="0" applyNumberFormat="1" applyFont="1" applyAlignment="1">
      <alignment horizontal="center"/>
    </xf>
    <xf numFmtId="165" fontId="20" fillId="0" borderId="0" xfId="0" applyNumberFormat="1" applyFont="1"/>
    <xf numFmtId="0" fontId="10" fillId="2" borderId="23" xfId="3" applyFont="1" applyFill="1" applyBorder="1" applyAlignment="1">
      <alignment horizontal="right"/>
    </xf>
    <xf numFmtId="0" fontId="8" fillId="2" borderId="24" xfId="3" applyFont="1" applyFill="1" applyBorder="1" applyAlignment="1">
      <alignment horizontal="center"/>
    </xf>
    <xf numFmtId="0" fontId="8" fillId="2" borderId="52" xfId="3" applyFont="1" applyFill="1" applyBorder="1" applyAlignment="1">
      <alignment horizontal="center"/>
    </xf>
    <xf numFmtId="0" fontId="10" fillId="2" borderId="3" xfId="3" applyFont="1" applyFill="1" applyBorder="1" applyAlignment="1">
      <alignment horizontal="right"/>
    </xf>
    <xf numFmtId="49" fontId="8" fillId="2" borderId="6" xfId="3" applyNumberFormat="1" applyFont="1" applyFill="1" applyBorder="1" applyAlignment="1">
      <alignment horizontal="center"/>
    </xf>
    <xf numFmtId="0" fontId="8" fillId="2" borderId="28" xfId="3" applyFont="1" applyFill="1" applyBorder="1" applyAlignment="1">
      <alignment horizontal="right"/>
    </xf>
    <xf numFmtId="0" fontId="10" fillId="2" borderId="26" xfId="3" applyFont="1" applyFill="1" applyBorder="1" applyAlignment="1">
      <alignment horizontal="right" vertical="top" wrapText="1"/>
    </xf>
    <xf numFmtId="14" fontId="8" fillId="2" borderId="27" xfId="3" applyNumberFormat="1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right"/>
    </xf>
    <xf numFmtId="0" fontId="8" fillId="2" borderId="33" xfId="3" applyFont="1" applyFill="1" applyBorder="1" applyAlignment="1">
      <alignment horizontal="left"/>
    </xf>
    <xf numFmtId="0" fontId="8" fillId="2" borderId="35" xfId="3" applyFont="1" applyFill="1" applyBorder="1" applyAlignment="1">
      <alignment horizontal="left"/>
    </xf>
    <xf numFmtId="0" fontId="8" fillId="2" borderId="2" xfId="3" applyFont="1" applyFill="1" applyBorder="1" applyAlignment="1">
      <alignment horizontal="left"/>
    </xf>
    <xf numFmtId="0" fontId="3" fillId="0" borderId="0" xfId="4" applyAlignment="1">
      <alignment horizontal="center"/>
    </xf>
    <xf numFmtId="0" fontId="3" fillId="0" borderId="0" xfId="4"/>
    <xf numFmtId="16" fontId="8" fillId="0" borderId="28" xfId="4" applyNumberFormat="1" applyFont="1" applyBorder="1" applyAlignment="1">
      <alignment horizontal="center"/>
    </xf>
    <xf numFmtId="1" fontId="8" fillId="0" borderId="28" xfId="4" applyNumberFormat="1" applyFont="1" applyBorder="1" applyAlignment="1">
      <alignment horizontal="center"/>
    </xf>
    <xf numFmtId="1" fontId="8" fillId="0" borderId="28" xfId="4" applyNumberFormat="1" applyFont="1" applyBorder="1" applyAlignment="1">
      <alignment horizontal="center" wrapText="1"/>
    </xf>
    <xf numFmtId="0" fontId="8" fillId="0" borderId="28" xfId="4" applyFont="1" applyBorder="1" applyAlignment="1">
      <alignment horizontal="center"/>
    </xf>
    <xf numFmtId="0" fontId="8" fillId="0" borderId="21" xfId="4" applyFont="1" applyBorder="1" applyAlignment="1">
      <alignment horizontal="center"/>
    </xf>
    <xf numFmtId="0" fontId="8" fillId="0" borderId="6" xfId="4" applyFont="1" applyBorder="1" applyAlignment="1">
      <alignment horizontal="center"/>
    </xf>
    <xf numFmtId="16" fontId="7" fillId="0" borderId="3" xfId="4" applyNumberFormat="1" applyFont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left" vertical="center"/>
    </xf>
    <xf numFmtId="0" fontId="7" fillId="0" borderId="3" xfId="4" applyFont="1" applyBorder="1"/>
    <xf numFmtId="12" fontId="8" fillId="0" borderId="28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 wrapText="1"/>
    </xf>
    <xf numFmtId="0" fontId="8" fillId="0" borderId="3" xfId="4" applyFont="1" applyBorder="1" applyAlignment="1">
      <alignment horizontal="center"/>
    </xf>
    <xf numFmtId="0" fontId="8" fillId="2" borderId="0" xfId="4" applyFont="1" applyFill="1" applyAlignment="1">
      <alignment horizontal="left" indent="1"/>
    </xf>
    <xf numFmtId="0" fontId="8" fillId="0" borderId="33" xfId="4" applyFont="1" applyBorder="1" applyAlignment="1">
      <alignment horizontal="center"/>
    </xf>
    <xf numFmtId="9" fontId="8" fillId="2" borderId="0" xfId="2" applyFont="1" applyFill="1"/>
    <xf numFmtId="0" fontId="8" fillId="0" borderId="11" xfId="4" applyFont="1" applyBorder="1" applyAlignment="1">
      <alignment horizontal="center"/>
    </xf>
    <xf numFmtId="0" fontId="15" fillId="0" borderId="3" xfId="4" applyFont="1" applyBorder="1" applyAlignment="1">
      <alignment vertical="center"/>
    </xf>
    <xf numFmtId="0" fontId="48" fillId="0" borderId="3" xfId="4" applyFont="1" applyBorder="1" applyAlignment="1">
      <alignment vertical="center"/>
    </xf>
    <xf numFmtId="0" fontId="15" fillId="0" borderId="18" xfId="4" applyFon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3" xfId="0" applyBorder="1"/>
    <xf numFmtId="0" fontId="3" fillId="0" borderId="2" xfId="4" applyBorder="1" applyAlignment="1">
      <alignment horizontal="center"/>
    </xf>
    <xf numFmtId="0" fontId="3" fillId="0" borderId="28" xfId="4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3" fillId="3" borderId="3" xfId="4" applyFill="1" applyBorder="1" applyAlignment="1">
      <alignment horizontal="center"/>
    </xf>
    <xf numFmtId="0" fontId="3" fillId="3" borderId="3" xfId="4" applyFill="1" applyBorder="1"/>
    <xf numFmtId="0" fontId="8" fillId="0" borderId="18" xfId="4" applyFont="1" applyBorder="1" applyAlignment="1">
      <alignment horizontal="center"/>
    </xf>
    <xf numFmtId="0" fontId="8" fillId="0" borderId="2" xfId="4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0" fontId="18" fillId="3" borderId="3" xfId="4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1" fontId="0" fillId="0" borderId="3" xfId="0" applyNumberFormat="1" applyBorder="1"/>
    <xf numFmtId="0" fontId="8" fillId="3" borderId="3" xfId="4" applyFont="1" applyFill="1" applyBorder="1" applyAlignment="1">
      <alignment horizontal="center"/>
    </xf>
    <xf numFmtId="1" fontId="0" fillId="0" borderId="18" xfId="0" applyNumberFormat="1" applyBorder="1"/>
    <xf numFmtId="0" fontId="0" fillId="0" borderId="18" xfId="0" applyBorder="1" applyAlignment="1">
      <alignment horizontal="center"/>
    </xf>
    <xf numFmtId="169" fontId="7" fillId="0" borderId="3" xfId="4" applyNumberFormat="1" applyFont="1" applyBorder="1" applyAlignment="1">
      <alignment horizontal="center"/>
    </xf>
    <xf numFmtId="16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16" fontId="8" fillId="0" borderId="18" xfId="0" applyNumberFormat="1" applyFont="1" applyBorder="1" applyAlignment="1">
      <alignment horizontal="center"/>
    </xf>
    <xf numFmtId="49" fontId="15" fillId="0" borderId="13" xfId="4" applyNumberFormat="1" applyFont="1" applyBorder="1" applyAlignment="1">
      <alignment horizontal="center"/>
    </xf>
    <xf numFmtId="49" fontId="15" fillId="0" borderId="14" xfId="4" applyNumberFormat="1" applyFont="1" applyBorder="1" applyAlignment="1">
      <alignment horizontal="center"/>
    </xf>
    <xf numFmtId="0" fontId="49" fillId="3" borderId="3" xfId="4" applyFont="1" applyFill="1" applyBorder="1" applyAlignment="1">
      <alignment vertical="center"/>
    </xf>
    <xf numFmtId="0" fontId="15" fillId="0" borderId="18" xfId="4" applyFont="1" applyBorder="1" applyAlignment="1">
      <alignment horizontal="center"/>
    </xf>
    <xf numFmtId="169" fontId="15" fillId="0" borderId="3" xfId="4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0" borderId="18" xfId="0" applyNumberFormat="1" applyFont="1" applyBorder="1" applyAlignment="1">
      <alignment horizontal="center"/>
    </xf>
    <xf numFmtId="49" fontId="20" fillId="0" borderId="3" xfId="0" applyNumberFormat="1" applyFont="1" applyBorder="1"/>
    <xf numFmtId="170" fontId="10" fillId="3" borderId="3" xfId="6" applyNumberFormat="1" applyFont="1" applyFill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18" xfId="0" applyFont="1" applyBorder="1" applyAlignment="1">
      <alignment horizontal="center"/>
    </xf>
    <xf numFmtId="0" fontId="44" fillId="0" borderId="3" xfId="0" applyFont="1" applyBorder="1"/>
    <xf numFmtId="0" fontId="8" fillId="0" borderId="3" xfId="0" quotePrefix="1" applyFont="1" applyBorder="1" applyAlignment="1">
      <alignment horizontal="center"/>
    </xf>
    <xf numFmtId="0" fontId="8" fillId="0" borderId="3" xfId="0" quotePrefix="1" applyFont="1" applyBorder="1"/>
    <xf numFmtId="1" fontId="10" fillId="0" borderId="28" xfId="0" applyNumberFormat="1" applyFont="1" applyBorder="1" applyAlignment="1">
      <alignment horizontal="center"/>
    </xf>
    <xf numFmtId="1" fontId="15" fillId="0" borderId="28" xfId="4" applyNumberFormat="1" applyFont="1" applyBorder="1" applyAlignment="1">
      <alignment horizontal="center"/>
    </xf>
    <xf numFmtId="1" fontId="15" fillId="0" borderId="28" xfId="4" applyNumberFormat="1" applyFont="1" applyBorder="1" applyAlignment="1">
      <alignment horizontal="center" wrapText="1"/>
    </xf>
    <xf numFmtId="16" fontId="3" fillId="0" borderId="18" xfId="4" applyNumberFormat="1" applyBorder="1" applyAlignment="1">
      <alignment horizontal="center"/>
    </xf>
    <xf numFmtId="1" fontId="3" fillId="0" borderId="3" xfId="4" applyNumberFormat="1" applyBorder="1" applyAlignment="1">
      <alignment horizontal="center"/>
    </xf>
    <xf numFmtId="1" fontId="3" fillId="0" borderId="3" xfId="4" applyNumberFormat="1" applyBorder="1" applyAlignment="1">
      <alignment horizontal="center" wrapText="1"/>
    </xf>
    <xf numFmtId="49" fontId="3" fillId="3" borderId="3" xfId="4" applyNumberFormat="1" applyFill="1" applyBorder="1" applyAlignment="1">
      <alignment horizontal="center"/>
    </xf>
    <xf numFmtId="49" fontId="3" fillId="3" borderId="3" xfId="4" applyNumberFormat="1" applyFill="1" applyBorder="1"/>
    <xf numFmtId="0" fontId="3" fillId="3" borderId="3" xfId="4" applyFill="1" applyBorder="1" applyAlignment="1">
      <alignment horizontal="center" vertical="center"/>
    </xf>
    <xf numFmtId="0" fontId="3" fillId="3" borderId="3" xfId="4" applyFill="1" applyBorder="1" applyAlignment="1">
      <alignment horizontal="left" vertical="center"/>
    </xf>
    <xf numFmtId="0" fontId="51" fillId="13" borderId="3" xfId="4" applyFont="1" applyFill="1" applyBorder="1" applyAlignment="1">
      <alignment horizontal="center"/>
    </xf>
    <xf numFmtId="0" fontId="3" fillId="13" borderId="3" xfId="4" applyFill="1" applyBorder="1" applyAlignment="1">
      <alignment horizontal="left"/>
    </xf>
    <xf numFmtId="0" fontId="8" fillId="0" borderId="28" xfId="4" applyFont="1" applyBorder="1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center"/>
    </xf>
    <xf numFmtId="49" fontId="5" fillId="0" borderId="3" xfId="0" applyNumberFormat="1" applyFont="1" applyBorder="1"/>
    <xf numFmtId="1" fontId="10" fillId="3" borderId="56" xfId="4" applyNumberFormat="1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vertical="center"/>
    </xf>
    <xf numFmtId="16" fontId="7" fillId="0" borderId="3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2" fontId="15" fillId="0" borderId="3" xfId="4" applyNumberFormat="1" applyFont="1" applyBorder="1" applyAlignment="1">
      <alignment horizontal="center"/>
    </xf>
    <xf numFmtId="0" fontId="3" fillId="0" borderId="3" xfId="4" applyBorder="1" applyAlignment="1">
      <alignment horizontal="center"/>
    </xf>
    <xf numFmtId="2" fontId="15" fillId="0" borderId="3" xfId="4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3" borderId="3" xfId="0" applyFill="1" applyBorder="1"/>
    <xf numFmtId="0" fontId="3" fillId="0" borderId="7" xfId="8" applyBorder="1" applyAlignment="1">
      <alignment horizontal="center"/>
    </xf>
    <xf numFmtId="0" fontId="3" fillId="3" borderId="3" xfId="8" applyFill="1" applyBorder="1"/>
    <xf numFmtId="16" fontId="7" fillId="0" borderId="3" xfId="8" applyNumberFormat="1" applyFont="1" applyBorder="1" applyAlignment="1">
      <alignment horizontal="center"/>
    </xf>
    <xf numFmtId="0" fontId="3" fillId="0" borderId="3" xfId="8" applyBorder="1" applyAlignment="1">
      <alignment horizontal="center"/>
    </xf>
    <xf numFmtId="1" fontId="7" fillId="0" borderId="3" xfId="8" applyNumberFormat="1" applyFont="1" applyBorder="1" applyAlignment="1">
      <alignment horizontal="center"/>
    </xf>
    <xf numFmtId="1" fontId="7" fillId="0" borderId="3" xfId="8" applyNumberFormat="1" applyFont="1" applyBorder="1" applyAlignment="1">
      <alignment horizontal="center" wrapText="1"/>
    </xf>
    <xf numFmtId="16" fontId="7" fillId="0" borderId="18" xfId="0" applyNumberFormat="1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52" fillId="0" borderId="28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52" fillId="0" borderId="2" xfId="0" applyFont="1" applyBorder="1" applyAlignment="1">
      <alignment horizontal="left"/>
    </xf>
    <xf numFmtId="0" fontId="53" fillId="0" borderId="60" xfId="4" applyFont="1" applyBorder="1" applyAlignment="1">
      <alignment horizontal="center" vertical="center"/>
    </xf>
    <xf numFmtId="0" fontId="53" fillId="0" borderId="2" xfId="4" applyFont="1" applyBorder="1" applyAlignment="1">
      <alignment horizontal="center" vertical="center"/>
    </xf>
    <xf numFmtId="0" fontId="52" fillId="0" borderId="28" xfId="4" applyFont="1" applyBorder="1"/>
    <xf numFmtId="0" fontId="52" fillId="0" borderId="28" xfId="4" applyFont="1" applyBorder="1" applyAlignment="1">
      <alignment horizontal="center"/>
    </xf>
    <xf numFmtId="1" fontId="52" fillId="0" borderId="3" xfId="4" applyNumberFormat="1" applyFont="1" applyBorder="1" applyAlignment="1">
      <alignment horizontal="center"/>
    </xf>
    <xf numFmtId="1" fontId="52" fillId="0" borderId="3" xfId="4" applyNumberFormat="1" applyFont="1" applyBorder="1" applyAlignment="1">
      <alignment horizontal="center" wrapText="1"/>
    </xf>
    <xf numFmtId="1" fontId="10" fillId="3" borderId="3" xfId="4" applyNumberFormat="1" applyFont="1" applyFill="1" applyBorder="1" applyAlignment="1">
      <alignment horizontal="center" wrapText="1"/>
    </xf>
    <xf numFmtId="0" fontId="54" fillId="0" borderId="7" xfId="0" quotePrefix="1" applyFont="1" applyBorder="1" applyAlignment="1">
      <alignment horizontal="center"/>
    </xf>
    <xf numFmtId="0" fontId="54" fillId="0" borderId="18" xfId="0" quotePrefix="1" applyFont="1" applyBorder="1" applyAlignment="1">
      <alignment horizontal="center"/>
    </xf>
    <xf numFmtId="0" fontId="55" fillId="0" borderId="3" xfId="0" quotePrefix="1" applyFont="1" applyBorder="1"/>
    <xf numFmtId="0" fontId="10" fillId="3" borderId="3" xfId="0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 wrapText="1"/>
    </xf>
    <xf numFmtId="49" fontId="7" fillId="3" borderId="7" xfId="4" applyNumberFormat="1" applyFont="1" applyFill="1" applyBorder="1" applyAlignment="1">
      <alignment horizontal="center"/>
    </xf>
    <xf numFmtId="49" fontId="7" fillId="3" borderId="18" xfId="4" applyNumberFormat="1" applyFont="1" applyFill="1" applyBorder="1" applyAlignment="1">
      <alignment horizontal="center"/>
    </xf>
    <xf numFmtId="49" fontId="5" fillId="3" borderId="3" xfId="4" applyNumberFormat="1" applyFont="1" applyFill="1" applyBorder="1"/>
    <xf numFmtId="1" fontId="4" fillId="0" borderId="3" xfId="4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9" fontId="8" fillId="2" borderId="0" xfId="9" applyFont="1" applyFill="1"/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58" fillId="0" borderId="60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3" fillId="0" borderId="28" xfId="0" applyFont="1" applyBorder="1" applyAlignment="1">
      <alignment horizontal="left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9" fontId="3" fillId="0" borderId="3" xfId="10" applyNumberFormat="1" applyBorder="1"/>
    <xf numFmtId="16" fontId="52" fillId="0" borderId="3" xfId="10" applyNumberFormat="1" applyFont="1" applyBorder="1" applyAlignment="1">
      <alignment horizontal="center"/>
    </xf>
    <xf numFmtId="1" fontId="52" fillId="0" borderId="3" xfId="10" applyNumberFormat="1" applyFont="1" applyBorder="1" applyAlignment="1">
      <alignment horizontal="center"/>
    </xf>
    <xf numFmtId="49" fontId="7" fillId="0" borderId="7" xfId="11" applyNumberFormat="1" applyFont="1" applyBorder="1" applyAlignment="1">
      <alignment horizontal="center"/>
    </xf>
    <xf numFmtId="49" fontId="7" fillId="0" borderId="18" xfId="11" applyNumberFormat="1" applyFont="1" applyBorder="1" applyAlignment="1">
      <alignment horizontal="center"/>
    </xf>
    <xf numFmtId="49" fontId="5" fillId="0" borderId="3" xfId="11" applyNumberFormat="1" applyFont="1" applyBorder="1"/>
    <xf numFmtId="0" fontId="7" fillId="0" borderId="3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2" fontId="8" fillId="0" borderId="28" xfId="4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" fontId="7" fillId="0" borderId="3" xfId="4" applyNumberFormat="1" applyFont="1" applyBorder="1" applyAlignment="1">
      <alignment horizontal="center"/>
    </xf>
    <xf numFmtId="0" fontId="2" fillId="0" borderId="7" xfId="5" applyBorder="1" applyAlignment="1">
      <alignment horizontal="center"/>
    </xf>
    <xf numFmtId="0" fontId="0" fillId="0" borderId="18" xfId="5" applyFont="1" applyBorder="1" applyAlignment="1">
      <alignment horizontal="center"/>
    </xf>
    <xf numFmtId="0" fontId="2" fillId="0" borderId="3" xfId="5" applyBorder="1"/>
    <xf numFmtId="0" fontId="2" fillId="0" borderId="3" xfId="5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9" fillId="2" borderId="23" xfId="1" applyFont="1" applyFill="1" applyBorder="1" applyAlignment="1">
      <alignment horizontal="right"/>
    </xf>
    <xf numFmtId="0" fontId="61" fillId="2" borderId="24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right"/>
    </xf>
    <xf numFmtId="49" fontId="61" fillId="2" borderId="6" xfId="1" applyNumberFormat="1" applyFont="1" applyFill="1" applyBorder="1" applyAlignment="1">
      <alignment horizontal="center"/>
    </xf>
    <xf numFmtId="0" fontId="61" fillId="2" borderId="28" xfId="1" applyFont="1" applyFill="1" applyBorder="1" applyAlignment="1">
      <alignment horizontal="right"/>
    </xf>
    <xf numFmtId="0" fontId="61" fillId="2" borderId="3" xfId="1" applyFont="1" applyFill="1" applyBorder="1" applyAlignment="1">
      <alignment horizontal="right"/>
    </xf>
    <xf numFmtId="14" fontId="63" fillId="2" borderId="0" xfId="3" applyNumberFormat="1" applyFont="1" applyFill="1" applyAlignment="1">
      <alignment horizontal="center" vertical="center" wrapText="1"/>
    </xf>
    <xf numFmtId="0" fontId="9" fillId="5" borderId="24" xfId="4" applyFont="1" applyFill="1" applyBorder="1" applyAlignment="1">
      <alignment horizontal="center" vertical="center" wrapText="1"/>
    </xf>
    <xf numFmtId="1" fontId="9" fillId="5" borderId="11" xfId="4" applyNumberFormat="1" applyFont="1" applyFill="1" applyBorder="1" applyAlignment="1">
      <alignment horizontal="center"/>
    </xf>
    <xf numFmtId="1" fontId="9" fillId="5" borderId="11" xfId="4" applyNumberFormat="1" applyFont="1" applyFill="1" applyBorder="1" applyAlignment="1">
      <alignment horizontal="center" wrapText="1"/>
    </xf>
    <xf numFmtId="0" fontId="9" fillId="5" borderId="12" xfId="4" applyFont="1" applyFill="1" applyBorder="1" applyAlignment="1">
      <alignment horizontal="center"/>
    </xf>
    <xf numFmtId="0" fontId="18" fillId="0" borderId="7" xfId="4" applyFont="1" applyBorder="1" applyAlignment="1">
      <alignment horizontal="center" vertical="center"/>
    </xf>
    <xf numFmtId="0" fontId="18" fillId="0" borderId="18" xfId="4" applyFont="1" applyBorder="1" applyAlignment="1">
      <alignment horizontal="center" vertical="center"/>
    </xf>
    <xf numFmtId="0" fontId="49" fillId="0" borderId="3" xfId="4" applyFont="1" applyBorder="1" applyAlignment="1">
      <alignment vertical="center"/>
    </xf>
    <xf numFmtId="0" fontId="18" fillId="0" borderId="3" xfId="4" applyFont="1" applyBorder="1" applyAlignment="1">
      <alignment horizontal="center" vertical="center"/>
    </xf>
    <xf numFmtId="1" fontId="18" fillId="0" borderId="3" xfId="4" applyNumberFormat="1" applyFont="1" applyBorder="1" applyAlignment="1">
      <alignment horizontal="center"/>
    </xf>
    <xf numFmtId="1" fontId="18" fillId="0" borderId="3" xfId="4" applyNumberFormat="1" applyFont="1" applyBorder="1" applyAlignment="1">
      <alignment horizontal="center" wrapText="1"/>
    </xf>
    <xf numFmtId="0" fontId="4" fillId="0" borderId="6" xfId="4" applyFont="1" applyBorder="1" applyAlignment="1">
      <alignment horizontal="center"/>
    </xf>
    <xf numFmtId="0" fontId="64" fillId="3" borderId="7" xfId="0" applyFont="1" applyFill="1" applyBorder="1" applyAlignment="1">
      <alignment horizontal="center"/>
    </xf>
    <xf numFmtId="0" fontId="64" fillId="3" borderId="3" xfId="0" applyFont="1" applyFill="1" applyBorder="1" applyAlignment="1">
      <alignment horizontal="center"/>
    </xf>
    <xf numFmtId="0" fontId="64" fillId="3" borderId="28" xfId="0" applyFont="1" applyFill="1" applyBorder="1"/>
    <xf numFmtId="0" fontId="61" fillId="3" borderId="18" xfId="0" applyFont="1" applyFill="1" applyBorder="1" applyAlignment="1">
      <alignment horizontal="center"/>
    </xf>
    <xf numFmtId="1" fontId="61" fillId="3" borderId="3" xfId="0" applyNumberFormat="1" applyFont="1" applyFill="1" applyBorder="1" applyAlignment="1">
      <alignment horizontal="center"/>
    </xf>
    <xf numFmtId="1" fontId="61" fillId="3" borderId="3" xfId="0" applyNumberFormat="1" applyFont="1" applyFill="1" applyBorder="1" applyAlignment="1">
      <alignment horizontal="center" wrapText="1"/>
    </xf>
    <xf numFmtId="0" fontId="61" fillId="0" borderId="28" xfId="0" applyFont="1" applyBorder="1" applyAlignment="1">
      <alignment horizontal="center" wrapText="1"/>
    </xf>
    <xf numFmtId="12" fontId="61" fillId="0" borderId="28" xfId="0" applyNumberFormat="1" applyFont="1" applyBorder="1" applyAlignment="1">
      <alignment horizontal="center"/>
    </xf>
    <xf numFmtId="0" fontId="64" fillId="3" borderId="18" xfId="0" applyFont="1" applyFill="1" applyBorder="1" applyAlignment="1">
      <alignment horizontal="center"/>
    </xf>
    <xf numFmtId="0" fontId="64" fillId="3" borderId="3" xfId="0" applyFont="1" applyFill="1" applyBorder="1"/>
    <xf numFmtId="1" fontId="61" fillId="3" borderId="28" xfId="0" applyNumberFormat="1" applyFont="1" applyFill="1" applyBorder="1" applyAlignment="1">
      <alignment horizontal="center"/>
    </xf>
    <xf numFmtId="1" fontId="61" fillId="3" borderId="28" xfId="0" applyNumberFormat="1" applyFont="1" applyFill="1" applyBorder="1" applyAlignment="1">
      <alignment horizontal="center" wrapText="1"/>
    </xf>
    <xf numFmtId="0" fontId="61" fillId="0" borderId="3" xfId="0" applyFont="1" applyBorder="1" applyAlignment="1">
      <alignment horizontal="center"/>
    </xf>
    <xf numFmtId="0" fontId="65" fillId="0" borderId="3" xfId="0" applyFont="1" applyBorder="1" applyAlignment="1">
      <alignment horizontal="center"/>
    </xf>
    <xf numFmtId="0" fontId="65" fillId="0" borderId="3" xfId="0" applyFont="1" applyBorder="1" applyAlignment="1">
      <alignment horizontal="center" vertical="center"/>
    </xf>
    <xf numFmtId="0" fontId="65" fillId="14" borderId="3" xfId="0" applyFont="1" applyFill="1" applyBorder="1"/>
    <xf numFmtId="0" fontId="61" fillId="0" borderId="3" xfId="0" applyFont="1" applyBorder="1" applyAlignment="1">
      <alignment horizontal="center" wrapText="1"/>
    </xf>
    <xf numFmtId="0" fontId="65" fillId="14" borderId="0" xfId="0" applyFont="1" applyFill="1" applyAlignment="1">
      <alignment horizontal="center"/>
    </xf>
    <xf numFmtId="0" fontId="65" fillId="14" borderId="0" xfId="0" applyFont="1" applyFill="1"/>
    <xf numFmtId="0" fontId="9" fillId="14" borderId="3" xfId="0" applyFont="1" applyFill="1" applyBorder="1" applyAlignment="1">
      <alignment horizontal="left"/>
    </xf>
    <xf numFmtId="0" fontId="61" fillId="0" borderId="28" xfId="0" applyFont="1" applyBorder="1" applyAlignment="1">
      <alignment horizontal="center"/>
    </xf>
    <xf numFmtId="0" fontId="65" fillId="14" borderId="3" xfId="0" applyFont="1" applyFill="1" applyBorder="1" applyAlignment="1">
      <alignment horizontal="left" vertical="center"/>
    </xf>
    <xf numFmtId="0" fontId="6" fillId="0" borderId="3" xfId="0" applyFont="1" applyBorder="1"/>
    <xf numFmtId="16" fontId="4" fillId="0" borderId="18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49" fontId="4" fillId="0" borderId="7" xfId="4" applyNumberFormat="1" applyFont="1" applyBorder="1" applyAlignment="1">
      <alignment horizontal="center"/>
    </xf>
    <xf numFmtId="49" fontId="4" fillId="0" borderId="18" xfId="4" applyNumberFormat="1" applyFont="1" applyBorder="1" applyAlignment="1">
      <alignment horizontal="center"/>
    </xf>
    <xf numFmtId="169" fontId="4" fillId="0" borderId="3" xfId="4" applyNumberFormat="1" applyFont="1" applyBorder="1" applyAlignment="1">
      <alignment horizontal="center"/>
    </xf>
    <xf numFmtId="1" fontId="4" fillId="0" borderId="3" xfId="4" applyNumberFormat="1" applyFont="1" applyBorder="1" applyAlignment="1">
      <alignment horizontal="center" wrapText="1"/>
    </xf>
    <xf numFmtId="0" fontId="64" fillId="3" borderId="2" xfId="0" applyFont="1" applyFill="1" applyBorder="1" applyAlignment="1">
      <alignment horizontal="center"/>
    </xf>
    <xf numFmtId="1" fontId="61" fillId="0" borderId="3" xfId="0" applyNumberFormat="1" applyFont="1" applyBorder="1" applyAlignment="1">
      <alignment horizontal="center"/>
    </xf>
    <xf numFmtId="1" fontId="61" fillId="3" borderId="3" xfId="4" applyNumberFormat="1" applyFont="1" applyFill="1" applyBorder="1" applyAlignment="1">
      <alignment horizontal="center"/>
    </xf>
    <xf numFmtId="1" fontId="61" fillId="3" borderId="3" xfId="4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6" fontId="61" fillId="3" borderId="3" xfId="0" applyNumberFormat="1" applyFont="1" applyFill="1" applyBorder="1" applyAlignment="1">
      <alignment horizontal="center"/>
    </xf>
    <xf numFmtId="0" fontId="61" fillId="2" borderId="3" xfId="0" applyFont="1" applyFill="1" applyBorder="1" applyAlignment="1">
      <alignment horizontal="center"/>
    </xf>
    <xf numFmtId="1" fontId="61" fillId="0" borderId="28" xfId="0" applyNumberFormat="1" applyFont="1" applyBorder="1" applyAlignment="1">
      <alignment horizontal="center" wrapText="1"/>
    </xf>
    <xf numFmtId="16" fontId="61" fillId="0" borderId="3" xfId="0" applyNumberFormat="1" applyFont="1" applyBorder="1" applyAlignment="1">
      <alignment horizontal="center"/>
    </xf>
    <xf numFmtId="1" fontId="61" fillId="0" borderId="28" xfId="0" applyNumberFormat="1" applyFont="1" applyBorder="1" applyAlignment="1">
      <alignment horizontal="center"/>
    </xf>
    <xf numFmtId="1" fontId="61" fillId="0" borderId="3" xfId="0" applyNumberFormat="1" applyFont="1" applyBorder="1" applyAlignment="1">
      <alignment horizontal="center" wrapText="1"/>
    </xf>
    <xf numFmtId="49" fontId="18" fillId="0" borderId="13" xfId="4" applyNumberFormat="1" applyFont="1" applyBorder="1" applyAlignment="1">
      <alignment horizontal="center"/>
    </xf>
    <xf numFmtId="49" fontId="18" fillId="0" borderId="14" xfId="4" applyNumberFormat="1" applyFont="1" applyBorder="1" applyAlignment="1">
      <alignment horizontal="center"/>
    </xf>
    <xf numFmtId="0" fontId="18" fillId="0" borderId="18" xfId="4" applyFont="1" applyBorder="1" applyAlignment="1">
      <alignment horizontal="center"/>
    </xf>
    <xf numFmtId="169" fontId="18" fillId="0" borderId="3" xfId="4" applyNumberFormat="1" applyFont="1" applyBorder="1" applyAlignment="1">
      <alignment horizontal="center"/>
    </xf>
    <xf numFmtId="49" fontId="4" fillId="0" borderId="3" xfId="4" applyNumberFormat="1" applyFont="1" applyBorder="1" applyAlignment="1">
      <alignment horizontal="center"/>
    </xf>
    <xf numFmtId="49" fontId="4" fillId="0" borderId="3" xfId="4" applyNumberFormat="1" applyFont="1" applyBorder="1"/>
    <xf numFmtId="16" fontId="4" fillId="0" borderId="3" xfId="4" applyNumberFormat="1" applyFont="1" applyBorder="1" applyAlignment="1">
      <alignment horizontal="center"/>
    </xf>
    <xf numFmtId="1" fontId="61" fillId="0" borderId="28" xfId="4" applyNumberFormat="1" applyFont="1" applyBorder="1" applyAlignment="1">
      <alignment horizontal="center"/>
    </xf>
    <xf numFmtId="0" fontId="61" fillId="0" borderId="28" xfId="4" applyFont="1" applyBorder="1" applyAlignment="1">
      <alignment horizontal="center"/>
    </xf>
    <xf numFmtId="170" fontId="9" fillId="3" borderId="3" xfId="6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4" fillId="0" borderId="5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1" fontId="6" fillId="0" borderId="3" xfId="0" applyNumberFormat="1" applyFont="1" applyBorder="1" applyAlignment="1">
      <alignment horizontal="left" vertical="center"/>
    </xf>
    <xf numFmtId="12" fontId="4" fillId="0" borderId="3" xfId="4" applyNumberFormat="1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6" fillId="3" borderId="0" xfId="0" applyFont="1" applyFill="1" applyAlignment="1">
      <alignment horizontal="center"/>
    </xf>
    <xf numFmtId="1" fontId="4" fillId="3" borderId="3" xfId="0" applyNumberFormat="1" applyFont="1" applyFill="1" applyBorder="1"/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49" fontId="67" fillId="2" borderId="5" xfId="4" applyNumberFormat="1" applyFont="1" applyFill="1" applyBorder="1" applyAlignment="1">
      <alignment horizontal="center" vertical="center"/>
    </xf>
    <xf numFmtId="49" fontId="67" fillId="2" borderId="0" xfId="4" applyNumberFormat="1" applyFont="1" applyFill="1" applyAlignment="1">
      <alignment horizontal="center" vertical="center"/>
    </xf>
    <xf numFmtId="0" fontId="61" fillId="2" borderId="0" xfId="4" applyFont="1" applyFill="1"/>
    <xf numFmtId="1" fontId="61" fillId="2" borderId="0" xfId="4" applyNumberFormat="1" applyFont="1" applyFill="1" applyAlignment="1">
      <alignment horizontal="center"/>
    </xf>
    <xf numFmtId="164" fontId="61" fillId="2" borderId="0" xfId="4" applyNumberFormat="1" applyFont="1" applyFill="1" applyAlignment="1">
      <alignment horizontal="center" wrapText="1"/>
    </xf>
    <xf numFmtId="0" fontId="61" fillId="2" borderId="4" xfId="4" applyFont="1" applyFill="1" applyBorder="1" applyAlignment="1">
      <alignment horizontal="center"/>
    </xf>
    <xf numFmtId="0" fontId="61" fillId="5" borderId="29" xfId="4" applyFont="1" applyFill="1" applyBorder="1" applyAlignment="1">
      <alignment horizontal="center"/>
    </xf>
    <xf numFmtId="0" fontId="61" fillId="5" borderId="30" xfId="4" applyFont="1" applyFill="1" applyBorder="1" applyAlignment="1">
      <alignment horizontal="center"/>
    </xf>
    <xf numFmtId="0" fontId="61" fillId="5" borderId="30" xfId="4" applyFont="1" applyFill="1" applyBorder="1"/>
    <xf numFmtId="0" fontId="9" fillId="5" borderId="30" xfId="4" applyFont="1" applyFill="1" applyBorder="1" applyAlignment="1">
      <alignment horizontal="center"/>
    </xf>
    <xf numFmtId="1" fontId="9" fillId="5" borderId="30" xfId="4" applyNumberFormat="1" applyFont="1" applyFill="1" applyBorder="1" applyAlignment="1">
      <alignment horizontal="center"/>
    </xf>
    <xf numFmtId="164" fontId="61" fillId="5" borderId="30" xfId="4" applyNumberFormat="1" applyFont="1" applyFill="1" applyBorder="1" applyAlignment="1">
      <alignment horizontal="center" wrapText="1"/>
    </xf>
    <xf numFmtId="0" fontId="61" fillId="5" borderId="31" xfId="4" applyFont="1" applyFill="1" applyBorder="1" applyAlignment="1">
      <alignment horizontal="center"/>
    </xf>
    <xf numFmtId="0" fontId="61" fillId="0" borderId="33" xfId="0" applyFont="1" applyBorder="1" applyAlignment="1">
      <alignment horizontal="center"/>
    </xf>
    <xf numFmtId="1" fontId="61" fillId="0" borderId="11" xfId="0" applyNumberFormat="1" applyFont="1" applyBorder="1" applyAlignment="1">
      <alignment horizontal="center"/>
    </xf>
    <xf numFmtId="0" fontId="61" fillId="0" borderId="11" xfId="0" applyFont="1" applyBorder="1" applyAlignment="1">
      <alignment horizontal="center"/>
    </xf>
    <xf numFmtId="0" fontId="68" fillId="0" borderId="3" xfId="4" applyFont="1" applyBorder="1" applyAlignment="1">
      <alignment horizontal="center" vertical="center"/>
    </xf>
    <xf numFmtId="1" fontId="68" fillId="0" borderId="3" xfId="4" applyNumberFormat="1" applyFont="1" applyBorder="1" applyAlignment="1">
      <alignment horizontal="center"/>
    </xf>
    <xf numFmtId="1" fontId="68" fillId="0" borderId="3" xfId="4" applyNumberFormat="1" applyFont="1" applyBorder="1" applyAlignment="1">
      <alignment horizontal="center" wrapText="1"/>
    </xf>
    <xf numFmtId="0" fontId="69" fillId="0" borderId="6" xfId="4" applyFont="1" applyBorder="1" applyAlignment="1">
      <alignment horizontal="center"/>
    </xf>
    <xf numFmtId="0" fontId="69" fillId="0" borderId="28" xfId="0" applyFont="1" applyBorder="1" applyAlignment="1">
      <alignment horizontal="center" wrapText="1"/>
    </xf>
    <xf numFmtId="12" fontId="69" fillId="0" borderId="28" xfId="0" applyNumberFormat="1" applyFont="1" applyBorder="1" applyAlignment="1">
      <alignment horizontal="center"/>
    </xf>
    <xf numFmtId="0" fontId="69" fillId="0" borderId="3" xfId="0" applyFont="1" applyBorder="1" applyAlignment="1">
      <alignment horizontal="center" vertical="top"/>
    </xf>
    <xf numFmtId="16" fontId="69" fillId="2" borderId="3" xfId="0" applyNumberFormat="1" applyFont="1" applyFill="1" applyBorder="1" applyAlignment="1">
      <alignment horizontal="center"/>
    </xf>
    <xf numFmtId="1" fontId="69" fillId="2" borderId="3" xfId="0" applyNumberFormat="1" applyFont="1" applyFill="1" applyBorder="1" applyAlignment="1">
      <alignment horizontal="center"/>
    </xf>
    <xf numFmtId="1" fontId="69" fillId="2" borderId="3" xfId="0" applyNumberFormat="1" applyFont="1" applyFill="1" applyBorder="1" applyAlignment="1">
      <alignment horizontal="center" wrapText="1"/>
    </xf>
    <xf numFmtId="0" fontId="69" fillId="0" borderId="3" xfId="0" applyFont="1" applyBorder="1" applyAlignment="1">
      <alignment horizontal="center"/>
    </xf>
    <xf numFmtId="0" fontId="69" fillId="0" borderId="3" xfId="0" applyFont="1" applyBorder="1"/>
    <xf numFmtId="1" fontId="69" fillId="0" borderId="3" xfId="4" applyNumberFormat="1" applyFont="1" applyBorder="1" applyAlignment="1">
      <alignment horizontal="center"/>
    </xf>
    <xf numFmtId="0" fontId="69" fillId="0" borderId="3" xfId="4" applyFont="1" applyBorder="1" applyAlignment="1">
      <alignment horizontal="center"/>
    </xf>
    <xf numFmtId="1" fontId="69" fillId="0" borderId="3" xfId="4" applyNumberFormat="1" applyFont="1" applyBorder="1" applyAlignment="1">
      <alignment horizontal="center" wrapText="1"/>
    </xf>
    <xf numFmtId="0" fontId="69" fillId="0" borderId="3" xfId="0" applyFont="1" applyBorder="1" applyAlignment="1">
      <alignment horizontal="center" vertical="center"/>
    </xf>
    <xf numFmtId="0" fontId="69" fillId="0" borderId="3" xfId="0" applyFont="1" applyBorder="1" applyAlignment="1">
      <alignment horizontal="left" vertical="center"/>
    </xf>
    <xf numFmtId="1" fontId="69" fillId="0" borderId="3" xfId="0" applyNumberFormat="1" applyFont="1" applyBorder="1" applyAlignment="1">
      <alignment horizontal="center"/>
    </xf>
    <xf numFmtId="49" fontId="69" fillId="0" borderId="7" xfId="4" applyNumberFormat="1" applyFont="1" applyBorder="1" applyAlignment="1">
      <alignment horizontal="center"/>
    </xf>
    <xf numFmtId="49" fontId="69" fillId="0" borderId="18" xfId="4" applyNumberFormat="1" applyFont="1" applyBorder="1" applyAlignment="1">
      <alignment horizontal="center"/>
    </xf>
    <xf numFmtId="49" fontId="69" fillId="0" borderId="3" xfId="4" applyNumberFormat="1" applyFont="1" applyBorder="1"/>
    <xf numFmtId="49" fontId="70" fillId="2" borderId="5" xfId="4" applyNumberFormat="1" applyFont="1" applyFill="1" applyBorder="1" applyAlignment="1">
      <alignment horizontal="center" vertical="center"/>
    </xf>
    <xf numFmtId="49" fontId="70" fillId="2" borderId="0" xfId="4" applyNumberFormat="1" applyFont="1" applyFill="1" applyAlignment="1">
      <alignment horizontal="center" vertical="center"/>
    </xf>
    <xf numFmtId="0" fontId="69" fillId="2" borderId="0" xfId="4" applyFont="1" applyFill="1"/>
    <xf numFmtId="1" fontId="69" fillId="2" borderId="0" xfId="4" applyNumberFormat="1" applyFont="1" applyFill="1" applyAlignment="1">
      <alignment horizontal="center"/>
    </xf>
    <xf numFmtId="164" fontId="69" fillId="2" borderId="0" xfId="4" applyNumberFormat="1" applyFont="1" applyFill="1" applyAlignment="1">
      <alignment horizontal="center" wrapText="1"/>
    </xf>
    <xf numFmtId="0" fontId="69" fillId="2" borderId="4" xfId="4" applyFont="1" applyFill="1" applyBorder="1" applyAlignment="1">
      <alignment horizontal="center"/>
    </xf>
    <xf numFmtId="0" fontId="69" fillId="5" borderId="29" xfId="4" applyFont="1" applyFill="1" applyBorder="1" applyAlignment="1">
      <alignment horizontal="center"/>
    </xf>
    <xf numFmtId="0" fontId="69" fillId="5" borderId="30" xfId="4" applyFont="1" applyFill="1" applyBorder="1" applyAlignment="1">
      <alignment horizontal="center"/>
    </xf>
    <xf numFmtId="0" fontId="69" fillId="5" borderId="30" xfId="4" applyFont="1" applyFill="1" applyBorder="1"/>
    <xf numFmtId="0" fontId="68" fillId="5" borderId="30" xfId="4" applyFont="1" applyFill="1" applyBorder="1" applyAlignment="1">
      <alignment horizontal="center"/>
    </xf>
    <xf numFmtId="1" fontId="68" fillId="5" borderId="30" xfId="4" applyNumberFormat="1" applyFont="1" applyFill="1" applyBorder="1" applyAlignment="1">
      <alignment horizontal="center"/>
    </xf>
    <xf numFmtId="164" fontId="69" fillId="5" borderId="30" xfId="4" applyNumberFormat="1" applyFont="1" applyFill="1" applyBorder="1" applyAlignment="1">
      <alignment horizontal="center" wrapText="1"/>
    </xf>
    <xf numFmtId="0" fontId="69" fillId="5" borderId="31" xfId="4" applyFont="1" applyFill="1" applyBorder="1" applyAlignment="1">
      <alignment horizontal="center"/>
    </xf>
    <xf numFmtId="1" fontId="69" fillId="0" borderId="28" xfId="0" applyNumberFormat="1" applyFont="1" applyBorder="1" applyAlignment="1">
      <alignment horizontal="center"/>
    </xf>
    <xf numFmtId="0" fontId="69" fillId="0" borderId="33" xfId="0" applyFont="1" applyBorder="1" applyAlignment="1">
      <alignment horizontal="center"/>
    </xf>
    <xf numFmtId="1" fontId="69" fillId="0" borderId="11" xfId="0" applyNumberFormat="1" applyFont="1" applyBorder="1" applyAlignment="1">
      <alignment horizontal="center"/>
    </xf>
    <xf numFmtId="0" fontId="69" fillId="0" borderId="11" xfId="0" applyFont="1" applyBorder="1" applyAlignment="1">
      <alignment horizontal="center"/>
    </xf>
    <xf numFmtId="0" fontId="72" fillId="0" borderId="3" xfId="0" applyFont="1" applyBorder="1" applyAlignment="1">
      <alignment horizontal="center" vertical="center"/>
    </xf>
    <xf numFmtId="0" fontId="68" fillId="0" borderId="3" xfId="0" applyFont="1" applyBorder="1"/>
    <xf numFmtId="12" fontId="69" fillId="7" borderId="28" xfId="0" applyNumberFormat="1" applyFont="1" applyFill="1" applyBorder="1" applyAlignment="1">
      <alignment horizontal="center"/>
    </xf>
    <xf numFmtId="0" fontId="68" fillId="3" borderId="3" xfId="0" applyFont="1" applyFill="1" applyBorder="1"/>
    <xf numFmtId="0" fontId="68" fillId="7" borderId="3" xfId="0" applyFont="1" applyFill="1" applyBorder="1"/>
    <xf numFmtId="0" fontId="69" fillId="0" borderId="3" xfId="0" applyFont="1" applyBorder="1" applyAlignment="1">
      <alignment horizontal="center" wrapText="1"/>
    </xf>
    <xf numFmtId="1" fontId="69" fillId="0" borderId="3" xfId="0" applyNumberFormat="1" applyFont="1" applyBorder="1" applyAlignment="1">
      <alignment horizontal="center" wrapText="1"/>
    </xf>
    <xf numFmtId="12" fontId="69" fillId="0" borderId="3" xfId="4" applyNumberFormat="1" applyFont="1" applyBorder="1" applyAlignment="1">
      <alignment horizontal="center"/>
    </xf>
    <xf numFmtId="0" fontId="69" fillId="0" borderId="18" xfId="0" applyFont="1" applyBorder="1" applyAlignment="1">
      <alignment horizontal="center"/>
    </xf>
    <xf numFmtId="0" fontId="69" fillId="7" borderId="3" xfId="0" applyFont="1" applyFill="1" applyBorder="1" applyAlignment="1">
      <alignment horizontal="center"/>
    </xf>
    <xf numFmtId="0" fontId="69" fillId="7" borderId="3" xfId="0" applyFont="1" applyFill="1" applyBorder="1" applyAlignment="1">
      <alignment horizontal="left"/>
    </xf>
    <xf numFmtId="0" fontId="69" fillId="7" borderId="3" xfId="0" applyFont="1" applyFill="1" applyBorder="1"/>
    <xf numFmtId="0" fontId="73" fillId="3" borderId="3" xfId="0" applyFont="1" applyFill="1" applyBorder="1" applyAlignment="1">
      <alignment horizontal="center"/>
    </xf>
    <xf numFmtId="0" fontId="73" fillId="3" borderId="3" xfId="0" applyFont="1" applyFill="1" applyBorder="1"/>
    <xf numFmtId="0" fontId="74" fillId="3" borderId="3" xfId="0" applyFont="1" applyFill="1" applyBorder="1"/>
    <xf numFmtId="1" fontId="10" fillId="5" borderId="53" xfId="4" applyNumberFormat="1" applyFont="1" applyFill="1" applyBorder="1" applyAlignment="1">
      <alignment horizontal="center"/>
    </xf>
    <xf numFmtId="1" fontId="10" fillId="5" borderId="53" xfId="4" applyNumberFormat="1" applyFont="1" applyFill="1" applyBorder="1" applyAlignment="1">
      <alignment horizontal="center" wrapText="1"/>
    </xf>
    <xf numFmtId="0" fontId="69" fillId="3" borderId="3" xfId="0" applyFont="1" applyFill="1" applyBorder="1" applyAlignment="1">
      <alignment horizontal="center"/>
    </xf>
    <xf numFmtId="1" fontId="69" fillId="3" borderId="3" xfId="0" applyNumberFormat="1" applyFont="1" applyFill="1" applyBorder="1" applyAlignment="1">
      <alignment horizontal="center"/>
    </xf>
    <xf numFmtId="1" fontId="69" fillId="3" borderId="3" xfId="0" applyNumberFormat="1" applyFont="1" applyFill="1" applyBorder="1" applyAlignment="1">
      <alignment horizontal="center" wrapText="1"/>
    </xf>
    <xf numFmtId="49" fontId="69" fillId="3" borderId="3" xfId="0" applyNumberFormat="1" applyFont="1" applyFill="1" applyBorder="1" applyAlignment="1">
      <alignment horizontal="center"/>
    </xf>
    <xf numFmtId="49" fontId="8" fillId="3" borderId="6" xfId="1" applyNumberFormat="1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45" fillId="0" borderId="29" xfId="0" applyFont="1" applyBorder="1" applyAlignment="1">
      <alignment horizontal="right" vertical="center"/>
    </xf>
    <xf numFmtId="0" fontId="45" fillId="0" borderId="30" xfId="0" applyFont="1" applyBorder="1" applyAlignment="1">
      <alignment horizontal="right" vertical="center"/>
    </xf>
    <xf numFmtId="0" fontId="45" fillId="0" borderId="31" xfId="0" applyFont="1" applyBorder="1" applyAlignment="1">
      <alignment horizontal="right" vertical="center"/>
    </xf>
    <xf numFmtId="0" fontId="46" fillId="0" borderId="0" xfId="0" applyFont="1" applyAlignment="1">
      <alignment horizontal="right"/>
    </xf>
    <xf numFmtId="0" fontId="36" fillId="0" borderId="39" xfId="0" applyFont="1" applyBorder="1" applyAlignment="1">
      <alignment horizontal="right"/>
    </xf>
    <xf numFmtId="0" fontId="28" fillId="0" borderId="0" xfId="0" applyFont="1" applyAlignment="1">
      <alignment horizontal="right" vertical="center"/>
    </xf>
    <xf numFmtId="0" fontId="34" fillId="9" borderId="29" xfId="0" applyFont="1" applyFill="1" applyBorder="1" applyAlignment="1">
      <alignment horizontal="right"/>
    </xf>
    <xf numFmtId="0" fontId="34" fillId="9" borderId="30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20" fillId="0" borderId="39" xfId="0" applyFont="1" applyBorder="1" applyAlignment="1">
      <alignment horizontal="right" vertical="center"/>
    </xf>
    <xf numFmtId="0" fontId="20" fillId="0" borderId="50" xfId="0" applyFont="1" applyBorder="1" applyAlignment="1">
      <alignment horizontal="right" vertical="center"/>
    </xf>
    <xf numFmtId="0" fontId="20" fillId="11" borderId="29" xfId="0" applyFont="1" applyFill="1" applyBorder="1" applyAlignment="1">
      <alignment horizontal="right" vertical="center"/>
    </xf>
    <xf numFmtId="0" fontId="20" fillId="11" borderId="30" xfId="0" applyFont="1" applyFill="1" applyBorder="1" applyAlignment="1">
      <alignment horizontal="right" vertical="center"/>
    </xf>
    <xf numFmtId="0" fontId="20" fillId="11" borderId="31" xfId="0" applyFont="1" applyFill="1" applyBorder="1" applyAlignment="1">
      <alignment horizontal="right" vertical="center"/>
    </xf>
    <xf numFmtId="4" fontId="43" fillId="0" borderId="0" xfId="7" applyNumberFormat="1" applyFont="1" applyFill="1" applyAlignment="1">
      <alignment horizontal="center" vertical="center" wrapText="1"/>
    </xf>
    <xf numFmtId="0" fontId="37" fillId="0" borderId="3" xfId="0" applyFont="1" applyBorder="1" applyAlignment="1">
      <alignment horizontal="right" vertical="center"/>
    </xf>
    <xf numFmtId="0" fontId="38" fillId="0" borderId="5" xfId="0" applyFont="1" applyBorder="1" applyAlignment="1">
      <alignment horizontal="right"/>
    </xf>
    <xf numFmtId="0" fontId="38" fillId="0" borderId="0" xfId="0" applyFont="1" applyAlignment="1">
      <alignment horizontal="right"/>
    </xf>
    <xf numFmtId="0" fontId="38" fillId="0" borderId="4" xfId="0" applyFont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9" fillId="0" borderId="36" xfId="0" applyFont="1" applyBorder="1" applyAlignment="1">
      <alignment horizontal="right"/>
    </xf>
    <xf numFmtId="0" fontId="29" fillId="0" borderId="37" xfId="0" applyFont="1" applyBorder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29" fillId="0" borderId="0" xfId="0" applyFont="1" applyAlignment="1">
      <alignment horizontal="right"/>
    </xf>
    <xf numFmtId="0" fontId="23" fillId="0" borderId="39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right" vertical="center" wrapText="1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9" fillId="6" borderId="41" xfId="1" applyFont="1" applyFill="1" applyBorder="1" applyAlignment="1">
      <alignment horizontal="center"/>
    </xf>
    <xf numFmtId="0" fontId="9" fillId="6" borderId="37" xfId="1" applyFont="1" applyFill="1" applyBorder="1" applyAlignment="1">
      <alignment horizontal="center"/>
    </xf>
    <xf numFmtId="0" fontId="61" fillId="2" borderId="22" xfId="1" applyFont="1" applyFill="1" applyBorder="1" applyAlignment="1">
      <alignment horizontal="left"/>
    </xf>
    <xf numFmtId="0" fontId="61" fillId="2" borderId="14" xfId="1" applyFont="1" applyFill="1" applyBorder="1" applyAlignment="1">
      <alignment horizontal="left"/>
    </xf>
    <xf numFmtId="0" fontId="61" fillId="2" borderId="18" xfId="1" applyFont="1" applyFill="1" applyBorder="1" applyAlignment="1">
      <alignment horizontal="left"/>
    </xf>
    <xf numFmtId="0" fontId="61" fillId="2" borderId="42" xfId="1" applyFont="1" applyFill="1" applyBorder="1" applyAlignment="1">
      <alignment horizontal="left"/>
    </xf>
    <xf numFmtId="0" fontId="61" fillId="2" borderId="0" xfId="1" applyFont="1" applyFill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61" fillId="0" borderId="7" xfId="0" applyFont="1" applyBorder="1" applyAlignment="1">
      <alignment horizontal="left"/>
    </xf>
    <xf numFmtId="0" fontId="61" fillId="0" borderId="18" xfId="0" applyFont="1" applyBorder="1" applyAlignment="1">
      <alignment horizontal="left"/>
    </xf>
    <xf numFmtId="0" fontId="61" fillId="0" borderId="3" xfId="0" applyFont="1" applyBorder="1" applyAlignment="1">
      <alignment horizontal="left"/>
    </xf>
    <xf numFmtId="0" fontId="61" fillId="0" borderId="6" xfId="0" applyFont="1" applyBorder="1" applyAlignment="1">
      <alignment horizontal="left"/>
    </xf>
    <xf numFmtId="0" fontId="61" fillId="0" borderId="13" xfId="0" applyFont="1" applyBorder="1" applyAlignment="1">
      <alignment horizontal="left" wrapText="1"/>
    </xf>
    <xf numFmtId="0" fontId="61" fillId="0" borderId="14" xfId="0" applyFont="1" applyBorder="1" applyAlignment="1">
      <alignment horizontal="left" wrapText="1"/>
    </xf>
    <xf numFmtId="0" fontId="61" fillId="0" borderId="18" xfId="0" applyFont="1" applyBorder="1" applyAlignment="1">
      <alignment horizontal="left" wrapText="1"/>
    </xf>
    <xf numFmtId="0" fontId="61" fillId="0" borderId="58" xfId="0" applyFont="1" applyBorder="1" applyAlignment="1">
      <alignment horizontal="left"/>
    </xf>
    <xf numFmtId="0" fontId="61" fillId="0" borderId="38" xfId="0" applyFont="1" applyBorder="1" applyAlignment="1">
      <alignment horizontal="left"/>
    </xf>
    <xf numFmtId="0" fontId="61" fillId="0" borderId="59" xfId="0" applyFont="1" applyBorder="1" applyAlignment="1">
      <alignment horizontal="left"/>
    </xf>
    <xf numFmtId="0" fontId="9" fillId="0" borderId="13" xfId="4" applyFont="1" applyBorder="1" applyAlignment="1">
      <alignment horizontal="right"/>
    </xf>
    <xf numFmtId="0" fontId="9" fillId="0" borderId="14" xfId="4" applyFont="1" applyBorder="1" applyAlignment="1">
      <alignment horizontal="right"/>
    </xf>
    <xf numFmtId="0" fontId="9" fillId="0" borderId="18" xfId="4" applyFont="1" applyBorder="1" applyAlignment="1">
      <alignment horizontal="right"/>
    </xf>
    <xf numFmtId="0" fontId="61" fillId="0" borderId="3" xfId="4" applyFont="1" applyBorder="1" applyAlignment="1">
      <alignment horizontal="right"/>
    </xf>
    <xf numFmtId="164" fontId="61" fillId="0" borderId="22" xfId="4" applyNumberFormat="1" applyFont="1" applyBorder="1" applyAlignment="1">
      <alignment horizontal="center"/>
    </xf>
    <xf numFmtId="164" fontId="61" fillId="0" borderId="15" xfId="4" applyNumberFormat="1" applyFont="1" applyBorder="1" applyAlignment="1">
      <alignment horizontal="center"/>
    </xf>
    <xf numFmtId="164" fontId="61" fillId="0" borderId="22" xfId="4" applyNumberFormat="1" applyFont="1" applyBorder="1" applyAlignment="1">
      <alignment horizontal="right" wrapText="1"/>
    </xf>
    <xf numFmtId="164" fontId="61" fillId="0" borderId="18" xfId="4" applyNumberFormat="1" applyFont="1" applyBorder="1" applyAlignment="1">
      <alignment horizontal="right" wrapText="1"/>
    </xf>
    <xf numFmtId="164" fontId="61" fillId="0" borderId="22" xfId="0" applyNumberFormat="1" applyFont="1" applyBorder="1" applyAlignment="1">
      <alignment horizontal="center" wrapText="1"/>
    </xf>
    <xf numFmtId="164" fontId="61" fillId="0" borderId="15" xfId="0" applyNumberFormat="1" applyFont="1" applyBorder="1" applyAlignment="1">
      <alignment horizontal="center" wrapText="1"/>
    </xf>
    <xf numFmtId="0" fontId="9" fillId="0" borderId="10" xfId="4" applyFont="1" applyBorder="1" applyAlignment="1">
      <alignment horizontal="right"/>
    </xf>
    <xf numFmtId="0" fontId="9" fillId="0" borderId="34" xfId="4" applyFont="1" applyBorder="1" applyAlignment="1">
      <alignment horizontal="right"/>
    </xf>
    <xf numFmtId="0" fontId="9" fillId="0" borderId="11" xfId="4" applyFont="1" applyBorder="1" applyAlignment="1">
      <alignment horizontal="right"/>
    </xf>
    <xf numFmtId="0" fontId="61" fillId="0" borderId="11" xfId="4" applyFont="1" applyBorder="1" applyAlignment="1">
      <alignment horizontal="right"/>
    </xf>
    <xf numFmtId="0" fontId="9" fillId="5" borderId="29" xfId="4" applyFont="1" applyFill="1" applyBorder="1" applyAlignment="1">
      <alignment horizontal="left"/>
    </xf>
    <xf numFmtId="0" fontId="9" fillId="5" borderId="30" xfId="4" applyFont="1" applyFill="1" applyBorder="1" applyAlignment="1">
      <alignment horizontal="left"/>
    </xf>
    <xf numFmtId="0" fontId="9" fillId="5" borderId="31" xfId="4" applyFont="1" applyFill="1" applyBorder="1" applyAlignment="1">
      <alignment horizontal="left"/>
    </xf>
    <xf numFmtId="0" fontId="9" fillId="0" borderId="32" xfId="4" applyFont="1" applyBorder="1" applyAlignment="1">
      <alignment horizontal="right"/>
    </xf>
    <xf numFmtId="0" fontId="9" fillId="0" borderId="35" xfId="4" applyFont="1" applyBorder="1" applyAlignment="1">
      <alignment horizontal="right"/>
    </xf>
    <xf numFmtId="0" fontId="9" fillId="0" borderId="2" xfId="4" applyFont="1" applyBorder="1" applyAlignment="1">
      <alignment horizontal="right"/>
    </xf>
    <xf numFmtId="164" fontId="61" fillId="0" borderId="28" xfId="4" applyNumberFormat="1" applyFont="1" applyBorder="1" applyAlignment="1">
      <alignment horizontal="right"/>
    </xf>
    <xf numFmtId="0" fontId="61" fillId="2" borderId="33" xfId="4" applyFont="1" applyFill="1" applyBorder="1" applyAlignment="1">
      <alignment horizontal="center"/>
    </xf>
    <xf numFmtId="0" fontId="61" fillId="2" borderId="9" xfId="4" applyFont="1" applyFill="1" applyBorder="1" applyAlignment="1">
      <alignment horizontal="center"/>
    </xf>
    <xf numFmtId="0" fontId="62" fillId="2" borderId="0" xfId="3" applyFont="1" applyFill="1" applyAlignment="1">
      <alignment horizontal="right"/>
    </xf>
    <xf numFmtId="0" fontId="63" fillId="2" borderId="39" xfId="3" applyFont="1" applyFill="1" applyBorder="1" applyAlignment="1">
      <alignment horizontal="center"/>
    </xf>
    <xf numFmtId="0" fontId="62" fillId="2" borderId="0" xfId="3" applyFont="1" applyFill="1"/>
    <xf numFmtId="0" fontId="9" fillId="5" borderId="40" xfId="4" applyFont="1" applyFill="1" applyBorder="1" applyAlignment="1">
      <alignment horizontal="center" vertical="center"/>
    </xf>
    <xf numFmtId="0" fontId="9" fillId="5" borderId="10" xfId="4" applyFont="1" applyFill="1" applyBorder="1" applyAlignment="1">
      <alignment horizontal="center" vertical="center"/>
    </xf>
    <xf numFmtId="0" fontId="9" fillId="5" borderId="40" xfId="4" applyFont="1" applyFill="1" applyBorder="1" applyAlignment="1">
      <alignment horizontal="center" vertical="center" wrapText="1"/>
    </xf>
    <xf numFmtId="0" fontId="9" fillId="5" borderId="10" xfId="4" applyFont="1" applyFill="1" applyBorder="1" applyAlignment="1">
      <alignment horizontal="center" vertical="center" wrapText="1"/>
    </xf>
    <xf numFmtId="0" fontId="9" fillId="5" borderId="23" xfId="4" applyFont="1" applyFill="1" applyBorder="1" applyAlignment="1">
      <alignment horizontal="center" vertical="center"/>
    </xf>
    <xf numFmtId="0" fontId="9" fillId="5" borderId="11" xfId="4" applyFont="1" applyFill="1" applyBorder="1" applyAlignment="1">
      <alignment horizontal="center" vertical="center"/>
    </xf>
    <xf numFmtId="14" fontId="61" fillId="2" borderId="20" xfId="1" applyNumberFormat="1" applyFont="1" applyFill="1" applyBorder="1" applyAlignment="1">
      <alignment horizontal="center" vertical="center" wrapText="1"/>
    </xf>
    <xf numFmtId="14" fontId="61" fillId="2" borderId="27" xfId="1" applyNumberFormat="1" applyFont="1" applyFill="1" applyBorder="1" applyAlignment="1">
      <alignment horizontal="center" vertical="center" wrapText="1"/>
    </xf>
    <xf numFmtId="14" fontId="61" fillId="2" borderId="21" xfId="1" applyNumberFormat="1" applyFont="1" applyFill="1" applyBorder="1" applyAlignment="1">
      <alignment horizontal="center" vertical="center" wrapText="1"/>
    </xf>
    <xf numFmtId="0" fontId="61" fillId="2" borderId="25" xfId="1" applyFont="1" applyFill="1" applyBorder="1" applyAlignment="1">
      <alignment horizontal="left"/>
    </xf>
    <xf numFmtId="0" fontId="61" fillId="2" borderId="17" xfId="1" applyFont="1" applyFill="1" applyBorder="1" applyAlignment="1">
      <alignment horizontal="left"/>
    </xf>
    <xf numFmtId="0" fontId="61" fillId="2" borderId="1" xfId="1" applyFont="1" applyFill="1" applyBorder="1" applyAlignment="1">
      <alignment horizontal="left"/>
    </xf>
    <xf numFmtId="0" fontId="61" fillId="2" borderId="36" xfId="1" applyFont="1" applyFill="1" applyBorder="1" applyAlignment="1">
      <alignment horizontal="center"/>
    </xf>
    <xf numFmtId="0" fontId="61" fillId="2" borderId="37" xfId="1" applyFont="1" applyFill="1" applyBorder="1" applyAlignment="1">
      <alignment horizontal="center"/>
    </xf>
    <xf numFmtId="0" fontId="61" fillId="2" borderId="5" xfId="1" applyFont="1" applyFill="1" applyBorder="1" applyAlignment="1">
      <alignment horizontal="center"/>
    </xf>
    <xf numFmtId="0" fontId="61" fillId="2" borderId="0" xfId="1" applyFont="1" applyFill="1" applyAlignment="1">
      <alignment horizontal="center"/>
    </xf>
    <xf numFmtId="0" fontId="61" fillId="2" borderId="32" xfId="1" applyFont="1" applyFill="1" applyBorder="1" applyAlignment="1">
      <alignment horizontal="center"/>
    </xf>
    <xf numFmtId="0" fontId="61" fillId="2" borderId="35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0" fontId="9" fillId="2" borderId="16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9" fillId="2" borderId="34" xfId="1" applyFont="1" applyFill="1" applyBorder="1" applyAlignment="1">
      <alignment horizontal="center"/>
    </xf>
    <xf numFmtId="0" fontId="9" fillId="4" borderId="29" xfId="1" applyFont="1" applyFill="1" applyBorder="1" applyAlignment="1">
      <alignment horizontal="center" vertical="center" wrapText="1"/>
    </xf>
    <xf numFmtId="0" fontId="9" fillId="4" borderId="30" xfId="1" applyFont="1" applyFill="1" applyBorder="1" applyAlignment="1">
      <alignment horizontal="center" vertical="center" wrapText="1"/>
    </xf>
    <xf numFmtId="0" fontId="9" fillId="4" borderId="31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right" vertical="top" wrapText="1"/>
    </xf>
    <xf numFmtId="0" fontId="9" fillId="2" borderId="26" xfId="1" applyFont="1" applyFill="1" applyBorder="1" applyAlignment="1">
      <alignment horizontal="right" vertical="top" wrapText="1"/>
    </xf>
    <xf numFmtId="0" fontId="9" fillId="2" borderId="8" xfId="1" applyFont="1" applyFill="1" applyBorder="1" applyAlignment="1">
      <alignment horizontal="right" vertical="top" wrapText="1"/>
    </xf>
    <xf numFmtId="0" fontId="52" fillId="0" borderId="62" xfId="4" applyFont="1" applyBorder="1" applyAlignment="1">
      <alignment horizontal="left"/>
    </xf>
    <xf numFmtId="0" fontId="52" fillId="0" borderId="39" xfId="4" applyFont="1" applyBorder="1" applyAlignment="1">
      <alignment horizontal="left"/>
    </xf>
    <xf numFmtId="0" fontId="52" fillId="0" borderId="50" xfId="4" applyFont="1" applyBorder="1" applyAlignment="1">
      <alignment horizontal="left"/>
    </xf>
    <xf numFmtId="0" fontId="8" fillId="0" borderId="58" xfId="4" applyFont="1" applyBorder="1" applyAlignment="1">
      <alignment horizontal="left"/>
    </xf>
    <xf numFmtId="0" fontId="8" fillId="0" borderId="38" xfId="4" applyFont="1" applyBorder="1" applyAlignment="1">
      <alignment horizontal="left"/>
    </xf>
    <xf numFmtId="0" fontId="8" fillId="0" borderId="59" xfId="4" applyFont="1" applyBorder="1" applyAlignment="1">
      <alignment horizontal="left"/>
    </xf>
    <xf numFmtId="0" fontId="10" fillId="6" borderId="41" xfId="3" applyFont="1" applyFill="1" applyBorder="1" applyAlignment="1">
      <alignment horizontal="center"/>
    </xf>
    <xf numFmtId="0" fontId="10" fillId="6" borderId="37" xfId="3" applyFont="1" applyFill="1" applyBorder="1" applyAlignment="1">
      <alignment horizontal="center"/>
    </xf>
    <xf numFmtId="0" fontId="8" fillId="2" borderId="42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35" xfId="4" applyFont="1" applyBorder="1" applyAlignment="1">
      <alignment horizontal="left"/>
    </xf>
    <xf numFmtId="0" fontId="52" fillId="0" borderId="9" xfId="4" applyFont="1" applyBorder="1" applyAlignment="1">
      <alignment horizontal="left"/>
    </xf>
    <xf numFmtId="0" fontId="10" fillId="0" borderId="10" xfId="4" applyFont="1" applyBorder="1" applyAlignment="1">
      <alignment horizontal="right"/>
    </xf>
    <xf numFmtId="0" fontId="10" fillId="0" borderId="34" xfId="4" applyFont="1" applyBorder="1" applyAlignment="1">
      <alignment horizontal="right"/>
    </xf>
    <xf numFmtId="0" fontId="10" fillId="0" borderId="11" xfId="4" applyFont="1" applyBorder="1" applyAlignment="1">
      <alignment horizontal="right"/>
    </xf>
    <xf numFmtId="0" fontId="8" fillId="0" borderId="11" xfId="4" applyFont="1" applyBorder="1" applyAlignment="1">
      <alignment horizontal="right"/>
    </xf>
    <xf numFmtId="164" fontId="8" fillId="0" borderId="16" xfId="4" applyNumberFormat="1" applyFont="1" applyBorder="1" applyAlignment="1">
      <alignment horizontal="center"/>
    </xf>
    <xf numFmtId="164" fontId="8" fillId="0" borderId="59" xfId="4" applyNumberFormat="1" applyFont="1" applyBorder="1" applyAlignment="1">
      <alignment horizontal="center"/>
    </xf>
    <xf numFmtId="0" fontId="10" fillId="5" borderId="29" xfId="4" applyFont="1" applyFill="1" applyBorder="1" applyAlignment="1">
      <alignment horizontal="left"/>
    </xf>
    <xf numFmtId="0" fontId="10" fillId="5" borderId="30" xfId="4" applyFont="1" applyFill="1" applyBorder="1" applyAlignment="1">
      <alignment horizontal="left"/>
    </xf>
    <xf numFmtId="0" fontId="10" fillId="5" borderId="31" xfId="4" applyFont="1" applyFill="1" applyBorder="1" applyAlignment="1">
      <alignment horizontal="left"/>
    </xf>
    <xf numFmtId="0" fontId="56" fillId="0" borderId="32" xfId="4" applyFont="1" applyBorder="1" applyAlignment="1">
      <alignment horizontal="left" wrapText="1"/>
    </xf>
    <xf numFmtId="0" fontId="56" fillId="0" borderId="35" xfId="4" applyFont="1" applyBorder="1" applyAlignment="1">
      <alignment horizontal="left" wrapText="1"/>
    </xf>
    <xf numFmtId="0" fontId="56" fillId="0" borderId="9" xfId="4" applyFont="1" applyBorder="1" applyAlignment="1">
      <alignment horizontal="left" wrapText="1"/>
    </xf>
    <xf numFmtId="0" fontId="13" fillId="0" borderId="32" xfId="4" applyFont="1" applyBorder="1" applyAlignment="1">
      <alignment horizontal="left" wrapText="1"/>
    </xf>
    <xf numFmtId="0" fontId="13" fillId="0" borderId="35" xfId="4" applyFont="1" applyBorder="1" applyAlignment="1">
      <alignment horizontal="left" wrapText="1"/>
    </xf>
    <xf numFmtId="0" fontId="13" fillId="0" borderId="9" xfId="4" applyFont="1" applyBorder="1" applyAlignment="1">
      <alignment horizontal="left" wrapText="1"/>
    </xf>
    <xf numFmtId="0" fontId="10" fillId="0" borderId="13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10" fillId="0" borderId="18" xfId="4" applyFont="1" applyBorder="1" applyAlignment="1">
      <alignment horizontal="right"/>
    </xf>
    <xf numFmtId="0" fontId="8" fillId="0" borderId="3" xfId="4" applyFont="1" applyBorder="1" applyAlignment="1">
      <alignment horizontal="right"/>
    </xf>
    <xf numFmtId="164" fontId="8" fillId="0" borderId="22" xfId="4" applyNumberFormat="1" applyFont="1" applyBorder="1" applyAlignment="1">
      <alignment horizontal="center"/>
    </xf>
    <xf numFmtId="164" fontId="8" fillId="0" borderId="15" xfId="4" applyNumberFormat="1" applyFont="1" applyBorder="1" applyAlignment="1">
      <alignment horizontal="center"/>
    </xf>
    <xf numFmtId="164" fontId="8" fillId="0" borderId="22" xfId="4" applyNumberFormat="1" applyFont="1" applyBorder="1" applyAlignment="1">
      <alignment horizontal="right" wrapText="1"/>
    </xf>
    <xf numFmtId="164" fontId="8" fillId="0" borderId="18" xfId="4" applyNumberFormat="1" applyFont="1" applyBorder="1" applyAlignment="1">
      <alignment horizontal="right" wrapText="1"/>
    </xf>
    <xf numFmtId="0" fontId="10" fillId="0" borderId="32" xfId="4" applyFont="1" applyBorder="1" applyAlignment="1">
      <alignment horizontal="right"/>
    </xf>
    <xf numFmtId="0" fontId="10" fillId="0" borderId="35" xfId="4" applyFont="1" applyBorder="1" applyAlignment="1">
      <alignment horizontal="right"/>
    </xf>
    <xf numFmtId="0" fontId="10" fillId="0" borderId="2" xfId="4" applyFont="1" applyBorder="1" applyAlignment="1">
      <alignment horizontal="right"/>
    </xf>
    <xf numFmtId="164" fontId="8" fillId="0" borderId="28" xfId="4" applyNumberFormat="1" applyFont="1" applyBorder="1" applyAlignment="1">
      <alignment horizontal="right"/>
    </xf>
    <xf numFmtId="0" fontId="8" fillId="2" borderId="33" xfId="4" applyFont="1" applyFill="1" applyBorder="1" applyAlignment="1">
      <alignment horizontal="center"/>
    </xf>
    <xf numFmtId="0" fontId="8" fillId="2" borderId="9" xfId="4" applyFont="1" applyFill="1" applyBorder="1" applyAlignment="1">
      <alignment horizontal="center"/>
    </xf>
    <xf numFmtId="0" fontId="13" fillId="2" borderId="0" xfId="3" applyFont="1" applyFill="1" applyAlignment="1">
      <alignment horizontal="right"/>
    </xf>
    <xf numFmtId="0" fontId="14" fillId="2" borderId="39" xfId="3" applyFont="1" applyFill="1" applyBorder="1" applyAlignment="1">
      <alignment horizontal="center"/>
    </xf>
    <xf numFmtId="0" fontId="13" fillId="2" borderId="0" xfId="3" applyFont="1" applyFill="1"/>
    <xf numFmtId="0" fontId="10" fillId="5" borderId="40" xfId="4" applyFont="1" applyFill="1" applyBorder="1" applyAlignment="1">
      <alignment horizontal="center" vertical="center"/>
    </xf>
    <xf numFmtId="0" fontId="10" fillId="5" borderId="10" xfId="4" applyFont="1" applyFill="1" applyBorder="1" applyAlignment="1">
      <alignment horizontal="center" vertical="center"/>
    </xf>
    <xf numFmtId="0" fontId="10" fillId="5" borderId="40" xfId="4" applyFont="1" applyFill="1" applyBorder="1" applyAlignment="1">
      <alignment horizontal="center" vertical="center" wrapText="1"/>
    </xf>
    <xf numFmtId="0" fontId="10" fillId="5" borderId="10" xfId="4" applyFont="1" applyFill="1" applyBorder="1" applyAlignment="1">
      <alignment horizontal="center" vertical="center" wrapText="1"/>
    </xf>
    <xf numFmtId="0" fontId="10" fillId="5" borderId="23" xfId="4" applyFont="1" applyFill="1" applyBorder="1" applyAlignment="1">
      <alignment horizontal="center" vertical="center"/>
    </xf>
    <xf numFmtId="0" fontId="10" fillId="5" borderId="11" xfId="4" applyFont="1" applyFill="1" applyBorder="1" applyAlignment="1">
      <alignment horizontal="center" vertical="center"/>
    </xf>
    <xf numFmtId="14" fontId="8" fillId="2" borderId="20" xfId="3" applyNumberFormat="1" applyFont="1" applyFill="1" applyBorder="1" applyAlignment="1">
      <alignment horizontal="center" vertical="center" wrapText="1"/>
    </xf>
    <xf numFmtId="14" fontId="8" fillId="2" borderId="27" xfId="3" applyNumberFormat="1" applyFont="1" applyFill="1" applyBorder="1" applyAlignment="1">
      <alignment horizontal="center" vertical="center" wrapText="1"/>
    </xf>
    <xf numFmtId="14" fontId="8" fillId="2" borderId="21" xfId="3" applyNumberFormat="1" applyFont="1" applyFill="1" applyBorder="1" applyAlignment="1">
      <alignment horizontal="center" vertical="center" wrapText="1"/>
    </xf>
    <xf numFmtId="0" fontId="8" fillId="2" borderId="25" xfId="3" applyFont="1" applyFill="1" applyBorder="1" applyAlignment="1">
      <alignment horizontal="left"/>
    </xf>
    <xf numFmtId="0" fontId="8" fillId="2" borderId="17" xfId="3" applyFont="1" applyFill="1" applyBorder="1" applyAlignment="1">
      <alignment horizontal="left"/>
    </xf>
    <xf numFmtId="0" fontId="8" fillId="2" borderId="1" xfId="3" applyFont="1" applyFill="1" applyBorder="1" applyAlignment="1">
      <alignment horizontal="left"/>
    </xf>
    <xf numFmtId="0" fontId="8" fillId="2" borderId="22" xfId="3" applyFont="1" applyFill="1" applyBorder="1" applyAlignment="1">
      <alignment horizontal="left"/>
    </xf>
    <xf numFmtId="0" fontId="8" fillId="2" borderId="14" xfId="3" applyFont="1" applyFill="1" applyBorder="1" applyAlignment="1">
      <alignment horizontal="left"/>
    </xf>
    <xf numFmtId="0" fontId="8" fillId="2" borderId="18" xfId="3" applyFont="1" applyFill="1" applyBorder="1" applyAlignment="1">
      <alignment horizontal="left"/>
    </xf>
    <xf numFmtId="0" fontId="8" fillId="2" borderId="36" xfId="3" applyFont="1" applyFill="1" applyBorder="1" applyAlignment="1">
      <alignment horizontal="center"/>
    </xf>
    <xf numFmtId="0" fontId="8" fillId="2" borderId="37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32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9" fillId="2" borderId="23" xfId="3" applyFont="1" applyFill="1" applyBorder="1" applyAlignment="1">
      <alignment horizontal="center"/>
    </xf>
    <xf numFmtId="0" fontId="9" fillId="2" borderId="53" xfId="3" applyFont="1" applyFill="1" applyBorder="1" applyAlignment="1">
      <alignment horizontal="center"/>
    </xf>
    <xf numFmtId="0" fontId="57" fillId="4" borderId="22" xfId="3" applyFont="1" applyFill="1" applyBorder="1" applyAlignment="1">
      <alignment horizontal="center" vertical="center" wrapText="1"/>
    </xf>
    <xf numFmtId="0" fontId="57" fillId="4" borderId="14" xfId="3" applyFont="1" applyFill="1" applyBorder="1" applyAlignment="1">
      <alignment horizontal="center" vertical="center" wrapText="1"/>
    </xf>
    <xf numFmtId="0" fontId="57" fillId="4" borderId="18" xfId="3" applyFont="1" applyFill="1" applyBorder="1" applyAlignment="1">
      <alignment horizontal="center" vertical="center" wrapText="1"/>
    </xf>
    <xf numFmtId="0" fontId="10" fillId="2" borderId="19" xfId="3" applyFont="1" applyFill="1" applyBorder="1" applyAlignment="1">
      <alignment horizontal="right" vertical="top" wrapText="1"/>
    </xf>
    <xf numFmtId="0" fontId="10" fillId="2" borderId="26" xfId="3" applyFont="1" applyFill="1" applyBorder="1" applyAlignment="1">
      <alignment horizontal="right" vertical="top" wrapText="1"/>
    </xf>
    <xf numFmtId="0" fontId="10" fillId="2" borderId="8" xfId="3" applyFont="1" applyFill="1" applyBorder="1" applyAlignment="1">
      <alignment horizontal="right" vertical="top" wrapText="1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8" fillId="0" borderId="13" xfId="4" applyFont="1" applyBorder="1" applyAlignment="1">
      <alignment horizontal="left" wrapText="1"/>
    </xf>
    <xf numFmtId="0" fontId="8" fillId="0" borderId="14" xfId="4" applyFont="1" applyBorder="1" applyAlignment="1">
      <alignment horizontal="left" wrapText="1"/>
    </xf>
    <xf numFmtId="0" fontId="8" fillId="0" borderId="15" xfId="4" applyFont="1" applyBorder="1" applyAlignment="1">
      <alignment horizontal="left" wrapText="1"/>
    </xf>
    <xf numFmtId="0" fontId="4" fillId="0" borderId="13" xfId="4" applyFont="1" applyBorder="1" applyAlignment="1">
      <alignment horizontal="left"/>
    </xf>
    <xf numFmtId="0" fontId="4" fillId="0" borderId="14" xfId="4" applyFont="1" applyBorder="1" applyAlignment="1">
      <alignment horizontal="left"/>
    </xf>
    <xf numFmtId="0" fontId="4" fillId="0" borderId="15" xfId="4" applyFont="1" applyBorder="1" applyAlignment="1">
      <alignment horizontal="left"/>
    </xf>
    <xf numFmtId="0" fontId="11" fillId="4" borderId="30" xfId="3" applyFont="1" applyFill="1" applyBorder="1" applyAlignment="1">
      <alignment horizontal="center" vertical="center" wrapText="1"/>
    </xf>
    <xf numFmtId="0" fontId="11" fillId="4" borderId="31" xfId="3" applyFont="1" applyFill="1" applyBorder="1" applyAlignment="1">
      <alignment horizontal="center" vertical="center" wrapText="1"/>
    </xf>
    <xf numFmtId="0" fontId="8" fillId="0" borderId="60" xfId="4" applyFont="1" applyBorder="1" applyAlignment="1">
      <alignment horizontal="left"/>
    </xf>
    <xf numFmtId="0" fontId="8" fillId="0" borderId="2" xfId="4" applyFont="1" applyBorder="1" applyAlignment="1">
      <alignment horizontal="left"/>
    </xf>
    <xf numFmtId="0" fontId="8" fillId="0" borderId="28" xfId="4" applyFont="1" applyBorder="1" applyAlignment="1">
      <alignment horizontal="left"/>
    </xf>
    <xf numFmtId="0" fontId="8" fillId="0" borderId="21" xfId="4" applyFont="1" applyBorder="1" applyAlignment="1">
      <alignment horizontal="left"/>
    </xf>
    <xf numFmtId="0" fontId="8" fillId="0" borderId="60" xfId="4" applyFont="1" applyBorder="1" applyAlignment="1">
      <alignment horizontal="left" wrapText="1"/>
    </xf>
    <xf numFmtId="0" fontId="8" fillId="0" borderId="2" xfId="4" applyFont="1" applyBorder="1" applyAlignment="1">
      <alignment horizontal="left" wrapText="1"/>
    </xf>
    <xf numFmtId="0" fontId="8" fillId="0" borderId="28" xfId="4" applyFont="1" applyBorder="1" applyAlignment="1">
      <alignment horizontal="left" wrapText="1"/>
    </xf>
    <xf numFmtId="0" fontId="8" fillId="0" borderId="21" xfId="4" applyFont="1" applyBorder="1" applyAlignment="1">
      <alignment horizontal="left" wrapText="1"/>
    </xf>
    <xf numFmtId="0" fontId="8" fillId="0" borderId="10" xfId="4" applyFont="1" applyBorder="1" applyAlignment="1">
      <alignment horizontal="left"/>
    </xf>
    <xf numFmtId="0" fontId="8" fillId="0" borderId="34" xfId="4" applyFont="1" applyBorder="1" applyAlignment="1">
      <alignment horizontal="left"/>
    </xf>
    <xf numFmtId="0" fontId="8" fillId="0" borderId="11" xfId="4" applyFont="1" applyBorder="1" applyAlignment="1">
      <alignment horizontal="left"/>
    </xf>
    <xf numFmtId="0" fontId="8" fillId="0" borderId="12" xfId="4" applyFont="1" applyBorder="1" applyAlignment="1">
      <alignment horizontal="left"/>
    </xf>
    <xf numFmtId="0" fontId="8" fillId="0" borderId="22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8" fillId="0" borderId="60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164" fontId="8" fillId="0" borderId="22" xfId="0" applyNumberFormat="1" applyFont="1" applyBorder="1" applyAlignment="1">
      <alignment horizontal="center" wrapText="1"/>
    </xf>
    <xf numFmtId="164" fontId="8" fillId="0" borderId="15" xfId="0" applyNumberFormat="1" applyFont="1" applyBorder="1" applyAlignment="1">
      <alignment horizontal="center" wrapText="1"/>
    </xf>
    <xf numFmtId="0" fontId="10" fillId="5" borderId="61" xfId="4" applyFont="1" applyFill="1" applyBorder="1" applyAlignment="1">
      <alignment horizontal="center" vertical="center"/>
    </xf>
    <xf numFmtId="0" fontId="10" fillId="5" borderId="61" xfId="4" applyFont="1" applyFill="1" applyBorder="1" applyAlignment="1">
      <alignment horizontal="center" vertical="center" wrapText="1"/>
    </xf>
    <xf numFmtId="0" fontId="10" fillId="5" borderId="53" xfId="4" applyFont="1" applyFill="1" applyBorder="1" applyAlignment="1">
      <alignment horizontal="center" vertical="center"/>
    </xf>
    <xf numFmtId="0" fontId="9" fillId="2" borderId="16" xfId="3" applyFont="1" applyFill="1" applyBorder="1" applyAlignment="1">
      <alignment horizontal="center"/>
    </xf>
    <xf numFmtId="0" fontId="9" fillId="2" borderId="38" xfId="3" applyFont="1" applyFill="1" applyBorder="1" applyAlignment="1">
      <alignment horizontal="center"/>
    </xf>
    <xf numFmtId="0" fontId="9" fillId="2" borderId="34" xfId="3" applyFont="1" applyFill="1" applyBorder="1" applyAlignment="1">
      <alignment horizontal="center"/>
    </xf>
    <xf numFmtId="0" fontId="11" fillId="4" borderId="29" xfId="3" applyFont="1" applyFill="1" applyBorder="1" applyAlignment="1">
      <alignment horizontal="center" vertical="center" wrapText="1"/>
    </xf>
    <xf numFmtId="0" fontId="10" fillId="6" borderId="41" xfId="1" applyFont="1" applyFill="1" applyBorder="1" applyAlignment="1">
      <alignment horizontal="center"/>
    </xf>
    <xf numFmtId="0" fontId="10" fillId="6" borderId="37" xfId="1" applyFont="1" applyFill="1" applyBorder="1" applyAlignment="1">
      <alignment horizontal="center"/>
    </xf>
    <xf numFmtId="0" fontId="8" fillId="2" borderId="42" xfId="1" applyFont="1" applyFill="1" applyBorder="1" applyAlignment="1">
      <alignment horizontal="left"/>
    </xf>
    <xf numFmtId="0" fontId="8" fillId="2" borderId="0" xfId="1" applyFont="1" applyFill="1" applyAlignment="1">
      <alignment horizontal="left"/>
    </xf>
    <xf numFmtId="14" fontId="8" fillId="2" borderId="20" xfId="1" applyNumberFormat="1" applyFont="1" applyFill="1" applyBorder="1" applyAlignment="1">
      <alignment horizontal="center" vertical="center" wrapText="1"/>
    </xf>
    <xf numFmtId="14" fontId="8" fillId="2" borderId="27" xfId="1" applyNumberFormat="1" applyFont="1" applyFill="1" applyBorder="1" applyAlignment="1">
      <alignment horizontal="center" vertical="center" wrapText="1"/>
    </xf>
    <xf numFmtId="14" fontId="8" fillId="2" borderId="21" xfId="1" applyNumberFormat="1" applyFont="1" applyFill="1" applyBorder="1" applyAlignment="1">
      <alignment horizontal="center" vertical="center" wrapText="1"/>
    </xf>
    <xf numFmtId="0" fontId="8" fillId="2" borderId="25" xfId="1" applyFont="1" applyFill="1" applyBorder="1" applyAlignment="1">
      <alignment horizontal="left"/>
    </xf>
    <xf numFmtId="0" fontId="8" fillId="2" borderId="17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22" xfId="1" applyFont="1" applyFill="1" applyBorder="1" applyAlignment="1">
      <alignment horizontal="left"/>
    </xf>
    <xf numFmtId="0" fontId="8" fillId="2" borderId="14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8" fillId="2" borderId="36" xfId="1" applyFont="1" applyFill="1" applyBorder="1" applyAlignment="1">
      <alignment horizontal="center"/>
    </xf>
    <xf numFmtId="0" fontId="8" fillId="2" borderId="37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11" fillId="4" borderId="29" xfId="1" applyFont="1" applyFill="1" applyBorder="1" applyAlignment="1">
      <alignment horizontal="center" vertical="center" wrapText="1"/>
    </xf>
    <xf numFmtId="0" fontId="11" fillId="4" borderId="30" xfId="1" applyFont="1" applyFill="1" applyBorder="1" applyAlignment="1">
      <alignment horizontal="center" vertical="center" wrapText="1"/>
    </xf>
    <xf numFmtId="0" fontId="11" fillId="4" borderId="31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right" vertical="top" wrapText="1"/>
    </xf>
    <xf numFmtId="0" fontId="10" fillId="2" borderId="26" xfId="1" applyFont="1" applyFill="1" applyBorder="1" applyAlignment="1">
      <alignment horizontal="right" vertical="top" wrapText="1"/>
    </xf>
    <xf numFmtId="0" fontId="10" fillId="2" borderId="8" xfId="1" applyFont="1" applyFill="1" applyBorder="1" applyAlignment="1">
      <alignment horizontal="right" vertical="top" wrapText="1"/>
    </xf>
    <xf numFmtId="0" fontId="8" fillId="0" borderId="13" xfId="4" applyFont="1" applyBorder="1" applyAlignment="1">
      <alignment horizontal="left"/>
    </xf>
    <xf numFmtId="0" fontId="8" fillId="0" borderId="14" xfId="4" applyFont="1" applyBorder="1" applyAlignment="1">
      <alignment horizontal="left"/>
    </xf>
    <xf numFmtId="0" fontId="8" fillId="0" borderId="15" xfId="4" applyFont="1" applyBorder="1" applyAlignment="1">
      <alignment horizontal="left"/>
    </xf>
    <xf numFmtId="0" fontId="10" fillId="0" borderId="58" xfId="4" applyFont="1" applyBorder="1" applyAlignment="1">
      <alignment horizontal="right"/>
    </xf>
    <xf numFmtId="0" fontId="10" fillId="0" borderId="57" xfId="4" applyFont="1" applyBorder="1" applyAlignment="1">
      <alignment horizontal="right"/>
    </xf>
    <xf numFmtId="0" fontId="10" fillId="0" borderId="1" xfId="4" applyFont="1" applyBorder="1" applyAlignment="1">
      <alignment horizontal="right"/>
    </xf>
    <xf numFmtId="0" fontId="8" fillId="2" borderId="51" xfId="3" applyFont="1" applyFill="1" applyBorder="1" applyAlignment="1">
      <alignment horizontal="center"/>
    </xf>
    <xf numFmtId="0" fontId="8" fillId="2" borderId="52" xfId="3" applyFont="1" applyFill="1" applyBorder="1" applyAlignment="1">
      <alignment horizontal="center"/>
    </xf>
    <xf numFmtId="0" fontId="11" fillId="4" borderId="43" xfId="3" applyFont="1" applyFill="1" applyBorder="1" applyAlignment="1">
      <alignment horizontal="center"/>
    </xf>
    <xf numFmtId="0" fontId="11" fillId="4" borderId="44" xfId="3" applyFont="1" applyFill="1" applyBorder="1" applyAlignment="1">
      <alignment horizontal="center"/>
    </xf>
    <xf numFmtId="0" fontId="11" fillId="4" borderId="45" xfId="3" applyFont="1" applyFill="1" applyBorder="1" applyAlignment="1">
      <alignment horizontal="center"/>
    </xf>
    <xf numFmtId="0" fontId="68" fillId="0" borderId="63" xfId="0" applyFont="1" applyBorder="1" applyAlignment="1">
      <alignment horizontal="left"/>
    </xf>
    <xf numFmtId="0" fontId="68" fillId="0" borderId="64" xfId="0" applyFont="1" applyBorder="1" applyAlignment="1">
      <alignment horizontal="left"/>
    </xf>
    <xf numFmtId="0" fontId="68" fillId="0" borderId="65" xfId="0" applyFont="1" applyBorder="1" applyAlignment="1">
      <alignment horizontal="left"/>
    </xf>
    <xf numFmtId="0" fontId="68" fillId="6" borderId="3" xfId="1" applyFont="1" applyFill="1" applyBorder="1" applyAlignment="1">
      <alignment horizontal="center"/>
    </xf>
    <xf numFmtId="0" fontId="69" fillId="2" borderId="3" xfId="1" applyFont="1" applyFill="1" applyBorder="1" applyAlignment="1">
      <alignment horizontal="left"/>
    </xf>
    <xf numFmtId="0" fontId="69" fillId="0" borderId="7" xfId="0" applyFont="1" applyBorder="1" applyAlignment="1">
      <alignment horizontal="left"/>
    </xf>
    <xf numFmtId="0" fontId="69" fillId="0" borderId="18" xfId="0" applyFont="1" applyBorder="1" applyAlignment="1">
      <alignment horizontal="left"/>
    </xf>
    <xf numFmtId="0" fontId="69" fillId="0" borderId="3" xfId="0" applyFont="1" applyBorder="1" applyAlignment="1">
      <alignment horizontal="left"/>
    </xf>
    <xf numFmtId="0" fontId="69" fillId="0" borderId="6" xfId="0" applyFont="1" applyBorder="1" applyAlignment="1">
      <alignment horizontal="left"/>
    </xf>
    <xf numFmtId="0" fontId="69" fillId="0" borderId="13" xfId="0" applyFont="1" applyBorder="1" applyAlignment="1">
      <alignment horizontal="left" wrapText="1"/>
    </xf>
    <xf numFmtId="0" fontId="69" fillId="0" borderId="14" xfId="0" applyFont="1" applyBorder="1" applyAlignment="1">
      <alignment horizontal="left" wrapText="1"/>
    </xf>
    <xf numFmtId="0" fontId="69" fillId="0" borderId="15" xfId="0" applyFont="1" applyBorder="1" applyAlignment="1">
      <alignment horizontal="left" wrapText="1"/>
    </xf>
    <xf numFmtId="0" fontId="68" fillId="0" borderId="32" xfId="4" applyFont="1" applyBorder="1" applyAlignment="1">
      <alignment horizontal="left" wrapText="1"/>
    </xf>
    <xf numFmtId="0" fontId="68" fillId="0" borderId="35" xfId="4" applyFont="1" applyBorder="1" applyAlignment="1">
      <alignment horizontal="left" wrapText="1"/>
    </xf>
    <xf numFmtId="0" fontId="68" fillId="0" borderId="9" xfId="4" applyFont="1" applyBorder="1" applyAlignment="1">
      <alignment horizontal="left" wrapText="1"/>
    </xf>
    <xf numFmtId="0" fontId="68" fillId="0" borderId="13" xfId="4" applyFont="1" applyBorder="1" applyAlignment="1">
      <alignment horizontal="right"/>
    </xf>
    <xf numFmtId="0" fontId="68" fillId="0" borderId="14" xfId="4" applyFont="1" applyBorder="1" applyAlignment="1">
      <alignment horizontal="right"/>
    </xf>
    <xf numFmtId="0" fontId="68" fillId="0" borderId="18" xfId="4" applyFont="1" applyBorder="1" applyAlignment="1">
      <alignment horizontal="right"/>
    </xf>
    <xf numFmtId="0" fontId="69" fillId="0" borderId="3" xfId="4" applyFont="1" applyBorder="1" applyAlignment="1">
      <alignment horizontal="right"/>
    </xf>
    <xf numFmtId="164" fontId="69" fillId="0" borderId="22" xfId="4" applyNumberFormat="1" applyFont="1" applyBorder="1" applyAlignment="1">
      <alignment horizontal="center"/>
    </xf>
    <xf numFmtId="164" fontId="69" fillId="0" borderId="15" xfId="4" applyNumberFormat="1" applyFont="1" applyBorder="1" applyAlignment="1">
      <alignment horizontal="center"/>
    </xf>
    <xf numFmtId="164" fontId="69" fillId="0" borderId="22" xfId="4" applyNumberFormat="1" applyFont="1" applyBorder="1" applyAlignment="1">
      <alignment horizontal="right" wrapText="1"/>
    </xf>
    <xf numFmtId="164" fontId="69" fillId="0" borderId="18" xfId="4" applyNumberFormat="1" applyFont="1" applyBorder="1" applyAlignment="1">
      <alignment horizontal="right" wrapText="1"/>
    </xf>
    <xf numFmtId="164" fontId="69" fillId="0" borderId="22" xfId="0" applyNumberFormat="1" applyFont="1" applyBorder="1" applyAlignment="1">
      <alignment horizontal="center" wrapText="1"/>
    </xf>
    <xf numFmtId="164" fontId="69" fillId="0" borderId="15" xfId="0" applyNumberFormat="1" applyFont="1" applyBorder="1" applyAlignment="1">
      <alignment horizontal="center" wrapText="1"/>
    </xf>
    <xf numFmtId="0" fontId="68" fillId="0" borderId="10" xfId="4" applyFont="1" applyBorder="1" applyAlignment="1">
      <alignment horizontal="right"/>
    </xf>
    <xf numFmtId="0" fontId="68" fillId="0" borderId="34" xfId="4" applyFont="1" applyBorder="1" applyAlignment="1">
      <alignment horizontal="right"/>
    </xf>
    <xf numFmtId="0" fontId="68" fillId="0" borderId="11" xfId="4" applyFont="1" applyBorder="1" applyAlignment="1">
      <alignment horizontal="right"/>
    </xf>
    <xf numFmtId="0" fontId="69" fillId="0" borderId="11" xfId="4" applyFont="1" applyBorder="1" applyAlignment="1">
      <alignment horizontal="right"/>
    </xf>
    <xf numFmtId="0" fontId="68" fillId="5" borderId="29" xfId="4" applyFont="1" applyFill="1" applyBorder="1" applyAlignment="1">
      <alignment horizontal="center"/>
    </xf>
    <xf numFmtId="0" fontId="68" fillId="5" borderId="30" xfId="4" applyFont="1" applyFill="1" applyBorder="1" applyAlignment="1">
      <alignment horizontal="center"/>
    </xf>
    <xf numFmtId="0" fontId="68" fillId="5" borderId="31" xfId="4" applyFont="1" applyFill="1" applyBorder="1" applyAlignment="1">
      <alignment horizontal="center"/>
    </xf>
    <xf numFmtId="0" fontId="68" fillId="0" borderId="32" xfId="4" applyFont="1" applyBorder="1" applyAlignment="1">
      <alignment horizontal="right"/>
    </xf>
    <xf numFmtId="0" fontId="68" fillId="0" borderId="35" xfId="4" applyFont="1" applyBorder="1" applyAlignment="1">
      <alignment horizontal="right"/>
    </xf>
    <xf numFmtId="0" fontId="68" fillId="0" borderId="2" xfId="4" applyFont="1" applyBorder="1" applyAlignment="1">
      <alignment horizontal="right"/>
    </xf>
    <xf numFmtId="164" fontId="69" fillId="0" borderId="28" xfId="4" applyNumberFormat="1" applyFont="1" applyBorder="1" applyAlignment="1">
      <alignment horizontal="right"/>
    </xf>
    <xf numFmtId="0" fontId="69" fillId="2" borderId="33" xfId="4" applyFont="1" applyFill="1" applyBorder="1" applyAlignment="1">
      <alignment horizontal="center"/>
    </xf>
    <xf numFmtId="0" fontId="69" fillId="2" borderId="9" xfId="4" applyFont="1" applyFill="1" applyBorder="1" applyAlignment="1">
      <alignment horizontal="center"/>
    </xf>
    <xf numFmtId="0" fontId="71" fillId="4" borderId="30" xfId="1" applyFont="1" applyFill="1" applyBorder="1" applyAlignment="1">
      <alignment horizontal="center" vertical="center" wrapText="1"/>
    </xf>
    <xf numFmtId="0" fontId="71" fillId="4" borderId="31" xfId="1" applyFont="1" applyFill="1" applyBorder="1" applyAlignment="1">
      <alignment horizontal="center" vertical="center" wrapText="1"/>
    </xf>
  </cellXfs>
  <cellStyles count="13">
    <cellStyle name="Millares" xfId="6" builtinId="3"/>
    <cellStyle name="Millares [0]" xfId="7" builtinId="6"/>
    <cellStyle name="Millares 2" xfId="12" xr:uid="{FD9C2D69-6299-4CD8-83BF-8CE26C8D1205}"/>
    <cellStyle name="Normal" xfId="0" builtinId="0"/>
    <cellStyle name="Normal 2" xfId="4" xr:uid="{8668F873-02DB-4A02-AF6D-4E21B12DB858}"/>
    <cellStyle name="Normal 2 2" xfId="10" xr:uid="{B888A478-690A-4192-9E85-DEE53F6C3D55}"/>
    <cellStyle name="Normal 3" xfId="5" xr:uid="{4ADA67B4-1C58-41FF-894E-9FE46F4573FE}"/>
    <cellStyle name="Normal 3 2" xfId="8" xr:uid="{EE82538A-03DB-4488-96E5-2E84237BE45E}"/>
    <cellStyle name="Normal 4" xfId="11" xr:uid="{BE903A5A-FDD4-4335-86E9-406ADC8E4185}"/>
    <cellStyle name="Normal_CRITERIOS DE EVALUACION PT DE GB" xfId="1" xr:uid="{00000000-0005-0000-0000-000001000000}"/>
    <cellStyle name="Normal_CRITERIOS DE EVALUACION PT DE GB 2" xfId="3" xr:uid="{D6D0B999-AA00-461B-8241-8CAF4F956868}"/>
    <cellStyle name="Porcentaje 2" xfId="2" xr:uid="{00000000-0005-0000-0000-000002000000}"/>
    <cellStyle name="Porcentaje 2 2" xfId="9" xr:uid="{F467F0BC-8B00-422D-8E92-9EEDECFFE8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1</xdr:row>
      <xdr:rowOff>34019</xdr:rowOff>
    </xdr:from>
    <xdr:to>
      <xdr:col>1</xdr:col>
      <xdr:colOff>368300</xdr:colOff>
      <xdr:row>5</xdr:row>
      <xdr:rowOff>33746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2B73837-3592-4FD9-9052-04A87E71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232139"/>
          <a:ext cx="881380" cy="655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1</xdr:row>
      <xdr:rowOff>44450</xdr:rowOff>
    </xdr:from>
    <xdr:to>
      <xdr:col>1</xdr:col>
      <xdr:colOff>387350</xdr:colOff>
      <xdr:row>5</xdr:row>
      <xdr:rowOff>28937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FF9D08F-72E1-4DAA-88AA-EEC169237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234950"/>
          <a:ext cx="881380" cy="655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028700" cy="942975"/>
    <xdr:pic>
      <xdr:nvPicPr>
        <xdr:cNvPr id="2" name="Imagen 1">
          <a:extLst>
            <a:ext uri="{FF2B5EF4-FFF2-40B4-BE49-F238E27FC236}">
              <a16:creationId xmlns:a16="http://schemas.microsoft.com/office/drawing/2014/main" id="{09C1B796-EFE3-4FAF-B146-7E9F79E91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287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28575</xdr:colOff>
      <xdr:row>0</xdr:row>
      <xdr:rowOff>114300</xdr:rowOff>
    </xdr:from>
    <xdr:ext cx="1028700" cy="942975"/>
    <xdr:pic>
      <xdr:nvPicPr>
        <xdr:cNvPr id="3" name="Imagen 1">
          <a:extLst>
            <a:ext uri="{FF2B5EF4-FFF2-40B4-BE49-F238E27FC236}">
              <a16:creationId xmlns:a16="http://schemas.microsoft.com/office/drawing/2014/main" id="{65A8C746-6CE8-42AB-A94C-9AD18942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14300"/>
          <a:ext cx="10287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57150</xdr:rowOff>
    </xdr:from>
    <xdr:ext cx="1028700" cy="942975"/>
    <xdr:pic>
      <xdr:nvPicPr>
        <xdr:cNvPr id="4" name="Imagen 1">
          <a:extLst>
            <a:ext uri="{FF2B5EF4-FFF2-40B4-BE49-F238E27FC236}">
              <a16:creationId xmlns:a16="http://schemas.microsoft.com/office/drawing/2014/main" id="{ED84B74F-9020-4989-A115-73D0A58D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287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28575</xdr:colOff>
      <xdr:row>0</xdr:row>
      <xdr:rowOff>114300</xdr:rowOff>
    </xdr:from>
    <xdr:ext cx="1028700" cy="942975"/>
    <xdr:pic>
      <xdr:nvPicPr>
        <xdr:cNvPr id="5" name="Imagen 1">
          <a:extLst>
            <a:ext uri="{FF2B5EF4-FFF2-40B4-BE49-F238E27FC236}">
              <a16:creationId xmlns:a16="http://schemas.microsoft.com/office/drawing/2014/main" id="{EDE634B4-F232-43DC-8FD3-313E9A416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14300"/>
          <a:ext cx="10287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59530</xdr:rowOff>
    </xdr:from>
    <xdr:to>
      <xdr:col>1</xdr:col>
      <xdr:colOff>1154905</xdr:colOff>
      <xdr:row>4</xdr:row>
      <xdr:rowOff>66281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3D0D24D-4C48-4D55-8290-FA945E119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59530"/>
          <a:ext cx="2202656" cy="994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5/Postres%20Spoon%202025/Velvet%20frutos%20rojos.xlsx" TargetMode="External"/><Relationship Id="rId1" Type="http://schemas.openxmlformats.org/officeDocument/2006/relationships/externalLinkPath" Target="https://sedepast-my.sharepoint.com/personal/eramirez_fascr_com/Documents/Escritorio/INDUSTRIA%202022/INDUSTRIA%202025/Postres%20Spoon%202025/Velvet%20frutos%20roj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leno Framb y arand"/>
      <sheetName val="Batido"/>
      <sheetName val="Costo Batido"/>
      <sheetName val="Rosquete"/>
      <sheetName val="Costo Rosquete"/>
      <sheetName val="Crema Chantilly "/>
      <sheetName val="Mousse queso"/>
      <sheetName val="costo Mouse Queso"/>
      <sheetName val="Ensamble"/>
      <sheetName val="Costo Ensam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E14">
            <v>2.17</v>
          </cell>
        </row>
        <row r="32">
          <cell r="E32">
            <v>0.01</v>
          </cell>
        </row>
        <row r="41">
          <cell r="E41">
            <v>0.03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3B42-B53F-412A-A36C-9C3DC4242BAF}">
  <dimension ref="A1:Q91"/>
  <sheetViews>
    <sheetView topLeftCell="A25" workbookViewId="0">
      <selection activeCell="E8" sqref="E8"/>
    </sheetView>
  </sheetViews>
  <sheetFormatPr baseColWidth="10" defaultColWidth="8.42578125" defaultRowHeight="12.75" x14ac:dyDescent="0.2"/>
  <cols>
    <col min="1" max="1" width="10" style="66" bestFit="1" customWidth="1"/>
    <col min="2" max="2" width="44.28515625" style="66" bestFit="1" customWidth="1"/>
    <col min="3" max="3" width="10.42578125" style="66" bestFit="1" customWidth="1"/>
    <col min="4" max="4" width="10.42578125" style="66" customWidth="1"/>
    <col min="5" max="5" width="11" style="66" customWidth="1"/>
    <col min="6" max="6" width="9.5703125" style="66" bestFit="1" customWidth="1"/>
    <col min="7" max="7" width="10.85546875" style="148" customWidth="1"/>
    <col min="8" max="8" width="10.42578125" style="139" bestFit="1" customWidth="1"/>
    <col min="9" max="9" width="4.5703125" style="139" customWidth="1"/>
    <col min="10" max="10" width="1.85546875" style="65" customWidth="1"/>
    <col min="11" max="11" width="7" style="66" bestFit="1" customWidth="1"/>
    <col min="12" max="12" width="6.28515625" style="66" customWidth="1"/>
    <col min="13" max="13" width="20.42578125" style="66" customWidth="1"/>
    <col min="14" max="14" width="6.42578125" style="66" bestFit="1" customWidth="1"/>
    <col min="15" max="16" width="8.42578125" style="66"/>
    <col min="17" max="17" width="3.28515625" style="66" customWidth="1"/>
    <col min="18" max="16384" width="8.42578125" style="66"/>
  </cols>
  <sheetData>
    <row r="1" spans="1:10" ht="27.75" customHeight="1" x14ac:dyDescent="0.2">
      <c r="A1" s="61"/>
      <c r="B1" s="61"/>
      <c r="C1" s="61"/>
      <c r="D1" s="61"/>
      <c r="E1" s="62" t="s">
        <v>86</v>
      </c>
      <c r="F1" s="63" t="s">
        <v>87</v>
      </c>
      <c r="G1" s="63" t="s">
        <v>88</v>
      </c>
      <c r="H1" s="63" t="s">
        <v>89</v>
      </c>
      <c r="I1" s="64"/>
    </row>
    <row r="2" spans="1:10" ht="30.75" customHeight="1" x14ac:dyDescent="0.2">
      <c r="A2" s="61"/>
      <c r="B2" s="61"/>
      <c r="C2" s="61"/>
      <c r="D2" s="61"/>
      <c r="E2" s="67">
        <f>IFERROR(O62,"")</f>
        <v>1964.4909090909091</v>
      </c>
      <c r="F2" s="67">
        <f>IFERROR(H53,"")</f>
        <v>1387.8</v>
      </c>
      <c r="G2" s="67">
        <f>IFERROR(H54,"")</f>
        <v>5</v>
      </c>
      <c r="H2" s="67">
        <f>IFERROR(H56,"")</f>
        <v>312.2</v>
      </c>
      <c r="I2" s="68"/>
    </row>
    <row r="3" spans="1:10" ht="15" customHeight="1" x14ac:dyDescent="0.2">
      <c r="A3" s="61"/>
      <c r="B3" s="61"/>
      <c r="C3" s="61"/>
      <c r="D3" s="61"/>
      <c r="E3" s="61"/>
      <c r="F3" s="69"/>
      <c r="G3" s="69"/>
      <c r="H3" s="69"/>
      <c r="I3" s="69"/>
    </row>
    <row r="4" spans="1:10" ht="24.75" customHeight="1" thickBot="1" x14ac:dyDescent="0.25">
      <c r="A4" s="500"/>
      <c r="B4" s="500"/>
      <c r="C4" s="500"/>
      <c r="D4" s="500"/>
      <c r="E4" s="500"/>
      <c r="F4" s="500"/>
      <c r="G4" s="500"/>
      <c r="H4" s="500"/>
      <c r="I4" s="70"/>
    </row>
    <row r="5" spans="1:10" ht="19.5" customHeight="1" thickBot="1" x14ac:dyDescent="0.25">
      <c r="A5" s="501" t="s">
        <v>90</v>
      </c>
      <c r="B5" s="502"/>
      <c r="C5" s="502"/>
      <c r="D5" s="502"/>
      <c r="E5" s="502"/>
      <c r="F5" s="502"/>
      <c r="G5" s="502"/>
      <c r="H5" s="503"/>
      <c r="I5" s="71"/>
    </row>
    <row r="6" spans="1:10" ht="19.5" thickBot="1" x14ac:dyDescent="0.25">
      <c r="A6" s="71"/>
      <c r="B6" s="71"/>
      <c r="C6" s="71"/>
      <c r="D6" s="71"/>
      <c r="E6" s="71"/>
      <c r="F6" s="504" t="s">
        <v>91</v>
      </c>
      <c r="G6" s="504"/>
      <c r="H6" s="72">
        <f ca="1">TODAY()</f>
        <v>46034</v>
      </c>
      <c r="I6" s="72"/>
    </row>
    <row r="7" spans="1:10" ht="26.25" thickBot="1" x14ac:dyDescent="0.25">
      <c r="A7" s="73" t="s">
        <v>92</v>
      </c>
      <c r="B7" s="74" t="s">
        <v>93</v>
      </c>
      <c r="C7" s="74" t="s">
        <v>92</v>
      </c>
      <c r="D7" s="75" t="s">
        <v>94</v>
      </c>
      <c r="E7" s="75" t="s">
        <v>95</v>
      </c>
      <c r="F7" s="75" t="s">
        <v>96</v>
      </c>
      <c r="G7" s="75" t="s">
        <v>97</v>
      </c>
      <c r="H7" s="76" t="s">
        <v>98</v>
      </c>
      <c r="I7" s="77"/>
    </row>
    <row r="8" spans="1:10" ht="13.5" x14ac:dyDescent="0.25">
      <c r="A8" s="78">
        <v>360</v>
      </c>
      <c r="B8" s="66" t="s">
        <v>65</v>
      </c>
      <c r="C8" s="79">
        <f>+A8</f>
        <v>360</v>
      </c>
      <c r="D8" s="80" t="s">
        <v>137</v>
      </c>
      <c r="E8" s="80">
        <v>3.61</v>
      </c>
      <c r="F8" s="80">
        <f>IFERROR(C8*E8,"")</f>
        <v>1299.5999999999999</v>
      </c>
      <c r="G8" s="81">
        <f t="shared" ref="G8:G14" si="0">IFERROR(F8/$F$66,"")</f>
        <v>0.75184142139450494</v>
      </c>
      <c r="H8" s="82" t="s">
        <v>64</v>
      </c>
      <c r="I8" s="82"/>
      <c r="J8" s="83"/>
    </row>
    <row r="9" spans="1:10" ht="13.5" hidden="1" x14ac:dyDescent="0.25">
      <c r="A9" s="78"/>
      <c r="B9" s="66" t="str">
        <f>IFERROR(VLOOKUP(H9,'[1]Consolidado MP Planta'!$A$2:$M$823,3,0),"")</f>
        <v/>
      </c>
      <c r="C9" s="79">
        <f t="shared" ref="C9:C14" si="1">+A9</f>
        <v>0</v>
      </c>
      <c r="D9" s="80" t="str">
        <f>IFERROR(VLOOKUP(H9,'[1]Consolidado MP Planta'!$A$2:$M$823,13,0),"")</f>
        <v/>
      </c>
      <c r="E9" s="80" t="str">
        <f>IFERROR(VLOOKUP(H9,'[1]Consolidado MP Planta'!$A$2:$M$823,12,0),"")</f>
        <v/>
      </c>
      <c r="F9" s="80" t="str">
        <f t="shared" ref="F9:F14" si="2">IFERROR(C9*E9,"")</f>
        <v/>
      </c>
      <c r="G9" s="81" t="str">
        <f t="shared" si="0"/>
        <v/>
      </c>
      <c r="H9" s="82"/>
      <c r="I9" s="82"/>
      <c r="J9" s="83"/>
    </row>
    <row r="10" spans="1:10" ht="13.5" hidden="1" x14ac:dyDescent="0.25">
      <c r="A10" s="78"/>
      <c r="B10" s="66" t="str">
        <f>IFERROR(VLOOKUP(H10,'[1]Consolidado MP Planta'!$A$2:$M$823,3,0),"")</f>
        <v/>
      </c>
      <c r="C10" s="79">
        <f t="shared" si="1"/>
        <v>0</v>
      </c>
      <c r="D10" s="80" t="str">
        <f>IFERROR(VLOOKUP(H10,'[1]Consolidado MP Planta'!$A$2:$M$823,13,0),"")</f>
        <v/>
      </c>
      <c r="E10" s="80" t="str">
        <f>IFERROR(VLOOKUP(H10,'[1]Consolidado MP Planta'!$A$2:$M$823,12,0),"")</f>
        <v/>
      </c>
      <c r="F10" s="80" t="str">
        <f t="shared" si="2"/>
        <v/>
      </c>
      <c r="G10" s="81" t="str">
        <f t="shared" si="0"/>
        <v/>
      </c>
      <c r="H10" s="82"/>
      <c r="I10" s="82"/>
      <c r="J10" s="83"/>
    </row>
    <row r="11" spans="1:10" ht="13.5" hidden="1" x14ac:dyDescent="0.25">
      <c r="A11" s="78"/>
      <c r="B11" s="66" t="str">
        <f>IFERROR(VLOOKUP(H11,'[1]Consolidado MP Planta'!$A$2:$M$823,3,0),"")</f>
        <v/>
      </c>
      <c r="C11" s="79">
        <f t="shared" si="1"/>
        <v>0</v>
      </c>
      <c r="D11" s="80" t="str">
        <f>IFERROR(VLOOKUP(H11,'[1]Consolidado MP Planta'!$A$2:$M$823,13,0),"")</f>
        <v/>
      </c>
      <c r="E11" s="80" t="str">
        <f>IFERROR(VLOOKUP(H11,'[1]Consolidado MP Planta'!$A$2:$M$823,12,0),"")</f>
        <v/>
      </c>
      <c r="F11" s="80" t="str">
        <f t="shared" si="2"/>
        <v/>
      </c>
      <c r="G11" s="81" t="str">
        <f t="shared" si="0"/>
        <v/>
      </c>
      <c r="H11" s="82"/>
      <c r="I11" s="82"/>
      <c r="J11" s="83"/>
    </row>
    <row r="12" spans="1:10" ht="13.5" hidden="1" x14ac:dyDescent="0.25">
      <c r="A12" s="78"/>
      <c r="B12" s="66" t="str">
        <f>IFERROR(VLOOKUP(H12,'[1]Consolidado MP Planta'!$A$2:$M$823,3,0),"")</f>
        <v/>
      </c>
      <c r="C12" s="79">
        <f t="shared" si="1"/>
        <v>0</v>
      </c>
      <c r="D12" s="80" t="str">
        <f>IFERROR(VLOOKUP(H12,'[1]Consolidado MP Planta'!$A$2:$M$823,13,0),"")</f>
        <v/>
      </c>
      <c r="E12" s="80" t="str">
        <f>IFERROR(VLOOKUP(H12,'[1]Consolidado MP Planta'!$A$2:$M$823,12,0),"")</f>
        <v/>
      </c>
      <c r="F12" s="80" t="str">
        <f t="shared" si="2"/>
        <v/>
      </c>
      <c r="G12" s="81" t="str">
        <f t="shared" si="0"/>
        <v/>
      </c>
      <c r="H12" s="82"/>
      <c r="I12" s="82"/>
      <c r="J12" s="83"/>
    </row>
    <row r="13" spans="1:10" ht="13.5" hidden="1" x14ac:dyDescent="0.25">
      <c r="A13" s="78"/>
      <c r="B13" s="66" t="str">
        <f>IFERROR(VLOOKUP(H13,'[1]Consolidado MP Planta'!$A$2:$M$823,3,0),"")</f>
        <v/>
      </c>
      <c r="C13" s="79">
        <f t="shared" si="1"/>
        <v>0</v>
      </c>
      <c r="D13" s="80" t="str">
        <f>IFERROR(VLOOKUP(H13,'[1]Consolidado MP Planta'!$A$2:$M$823,13,0),"")</f>
        <v/>
      </c>
      <c r="E13" s="80" t="str">
        <f>IFERROR(VLOOKUP(H13,'[1]Consolidado MP Planta'!$A$2:$M$823,12,0),"")</f>
        <v/>
      </c>
      <c r="F13" s="80" t="str">
        <f t="shared" si="2"/>
        <v/>
      </c>
      <c r="G13" s="81" t="str">
        <f t="shared" si="0"/>
        <v/>
      </c>
      <c r="H13" s="82"/>
      <c r="I13" s="82"/>
      <c r="J13" s="83"/>
    </row>
    <row r="14" spans="1:10" ht="13.5" hidden="1" x14ac:dyDescent="0.25">
      <c r="A14" s="78"/>
      <c r="B14" s="66" t="str">
        <f>IFERROR(VLOOKUP(H14,'[1]Consolidado MP Planta'!$A$2:$M$823,3,0),"")</f>
        <v/>
      </c>
      <c r="C14" s="79">
        <f t="shared" si="1"/>
        <v>0</v>
      </c>
      <c r="D14" s="80" t="str">
        <f>IFERROR(VLOOKUP(H14,'[1]Consolidado MP Planta'!$A$2:$M$823,13,0),"")</f>
        <v/>
      </c>
      <c r="E14" s="80" t="str">
        <f>IFERROR(VLOOKUP(H14,'[1]Consolidado MP Planta'!$A$2:$M$823,12,0),"")</f>
        <v/>
      </c>
      <c r="F14" s="80" t="str">
        <f t="shared" si="2"/>
        <v/>
      </c>
      <c r="G14" s="81" t="str">
        <f t="shared" si="0"/>
        <v/>
      </c>
      <c r="H14" s="82"/>
      <c r="I14" s="82"/>
      <c r="J14" s="83"/>
    </row>
    <row r="15" spans="1:10" ht="14.25" thickBot="1" x14ac:dyDescent="0.3">
      <c r="A15" s="78"/>
      <c r="B15" s="66" t="str">
        <f>IFERROR(VLOOKUP(H15,'[2]ARTICULOS MP PLANTA'!$A$2:$G$589,2,0),"")</f>
        <v/>
      </c>
      <c r="C15" s="79"/>
      <c r="D15" s="80"/>
      <c r="E15" s="80"/>
      <c r="F15" s="80"/>
      <c r="G15" s="81"/>
      <c r="H15" s="82"/>
      <c r="I15" s="82"/>
      <c r="J15" s="83"/>
    </row>
    <row r="16" spans="1:10" ht="26.25" thickBot="1" x14ac:dyDescent="0.25">
      <c r="A16" s="73" t="s">
        <v>92</v>
      </c>
      <c r="B16" s="74" t="s">
        <v>99</v>
      </c>
      <c r="C16" s="74" t="s">
        <v>92</v>
      </c>
      <c r="D16" s="75" t="s">
        <v>94</v>
      </c>
      <c r="E16" s="75" t="s">
        <v>95</v>
      </c>
      <c r="F16" s="75" t="s">
        <v>96</v>
      </c>
      <c r="G16" s="75" t="s">
        <v>97</v>
      </c>
      <c r="H16" s="76" t="s">
        <v>98</v>
      </c>
      <c r="I16" s="77"/>
      <c r="J16" s="83"/>
    </row>
    <row r="17" spans="1:12" ht="13.5" x14ac:dyDescent="0.25">
      <c r="A17" s="78">
        <v>100</v>
      </c>
      <c r="B17" s="66" t="s">
        <v>43</v>
      </c>
      <c r="C17" s="79">
        <f>+A17</f>
        <v>100</v>
      </c>
      <c r="D17" s="79" t="s">
        <v>137</v>
      </c>
      <c r="E17" s="80">
        <v>0.47</v>
      </c>
      <c r="F17" s="80">
        <f>IFERROR(E17*C17,"")</f>
        <v>47</v>
      </c>
      <c r="G17" s="81">
        <f t="shared" ref="G17:G24" si="3">IFERROR(F17/$F$66,"")</f>
        <v>2.7190325335135223E-2</v>
      </c>
      <c r="H17" s="82" t="s">
        <v>42</v>
      </c>
      <c r="I17" s="82"/>
      <c r="J17" s="83"/>
    </row>
    <row r="18" spans="1:12" ht="13.5" x14ac:dyDescent="0.25">
      <c r="A18" s="78">
        <v>20</v>
      </c>
      <c r="B18" s="66" t="s">
        <v>46</v>
      </c>
      <c r="C18" s="79">
        <f t="shared" ref="C18:C24" si="4">+A18</f>
        <v>20</v>
      </c>
      <c r="D18" s="79" t="s">
        <v>137</v>
      </c>
      <c r="E18" s="80">
        <v>2.06</v>
      </c>
      <c r="F18" s="80">
        <f t="shared" ref="F18:F24" si="5">IFERROR(E18*C18,"")</f>
        <v>41.2</v>
      </c>
      <c r="G18" s="81">
        <f t="shared" si="3"/>
        <v>2.3834923485267473E-2</v>
      </c>
      <c r="H18" s="82" t="s">
        <v>45</v>
      </c>
      <c r="I18" s="82"/>
      <c r="J18" s="83"/>
    </row>
    <row r="19" spans="1:12" ht="13.5" hidden="1" x14ac:dyDescent="0.25">
      <c r="A19" s="78"/>
      <c r="B19" s="66" t="str">
        <f>IFERROR(VLOOKUP(H19,[1]SEMIELABORADOS!$A$2:$M$6000,2,0),"")</f>
        <v/>
      </c>
      <c r="C19" s="79">
        <f>+A19</f>
        <v>0</v>
      </c>
      <c r="D19" s="79" t="str">
        <f>IFERROR(VLOOKUP(H19,[1]SEMIELABORADOS!$A$2:$M$6000,6,0),"")</f>
        <v/>
      </c>
      <c r="E19" s="80" t="str">
        <f>IFERROR(VLOOKUP(H19,[1]SEMIELABORADOS!$A$2:$H$65536,8,0),"")</f>
        <v/>
      </c>
      <c r="F19" s="80" t="str">
        <f>IFERROR(E19*C19,"")</f>
        <v/>
      </c>
      <c r="G19" s="81" t="str">
        <f t="shared" si="3"/>
        <v/>
      </c>
      <c r="H19" s="82"/>
      <c r="I19" s="82"/>
      <c r="J19" s="83"/>
    </row>
    <row r="20" spans="1:12" ht="13.5" hidden="1" x14ac:dyDescent="0.25">
      <c r="A20" s="78"/>
      <c r="B20" s="66" t="str">
        <f>IFERROR(VLOOKUP(H20,[1]SEMIELABORADOS!$A$2:$M$6000,2,0),"")</f>
        <v/>
      </c>
      <c r="C20" s="79">
        <f>+A20</f>
        <v>0</v>
      </c>
      <c r="D20" s="79" t="str">
        <f>IFERROR(VLOOKUP(H20,[1]SEMIELABORADOS!$A$2:$M$6000,6,0),"")</f>
        <v/>
      </c>
      <c r="E20" s="80" t="str">
        <f>IFERROR(VLOOKUP(H20,[1]SEMIELABORADOS!$A$2:$H$65536,8,0),"")</f>
        <v/>
      </c>
      <c r="F20" s="80" t="str">
        <f>IFERROR(E20*C20,"")</f>
        <v/>
      </c>
      <c r="G20" s="81" t="str">
        <f t="shared" si="3"/>
        <v/>
      </c>
      <c r="H20" s="82"/>
      <c r="I20" s="82"/>
      <c r="J20" s="83"/>
    </row>
    <row r="21" spans="1:12" ht="13.5" hidden="1" x14ac:dyDescent="0.25">
      <c r="A21" s="78"/>
      <c r="B21" s="66" t="str">
        <f>IFERROR(VLOOKUP(H21,[1]SEMIELABORADOS!$A$2:$M$6000,2,0),"")</f>
        <v/>
      </c>
      <c r="C21" s="79">
        <f>+A21</f>
        <v>0</v>
      </c>
      <c r="D21" s="79" t="str">
        <f>IFERROR(VLOOKUP(H21,[1]SEMIELABORADOS!$A$2:$M$6000,6,0),"")</f>
        <v/>
      </c>
      <c r="E21" s="80" t="str">
        <f>IFERROR(VLOOKUP(H21,[1]SEMIELABORADOS!$A$2:$H$65536,8,0),"")</f>
        <v/>
      </c>
      <c r="F21" s="80" t="str">
        <f>IFERROR(E21*C21,"")</f>
        <v/>
      </c>
      <c r="G21" s="81" t="str">
        <f t="shared" si="3"/>
        <v/>
      </c>
      <c r="H21" s="82"/>
      <c r="I21" s="82"/>
      <c r="J21" s="83"/>
    </row>
    <row r="22" spans="1:12" ht="13.5" hidden="1" x14ac:dyDescent="0.25">
      <c r="A22" s="78"/>
      <c r="B22" s="66" t="str">
        <f>IFERROR(VLOOKUP(H22,[1]SEMIELABORADOS!$A$2:$M$6000,2,0),"")</f>
        <v/>
      </c>
      <c r="C22" s="79">
        <f t="shared" si="4"/>
        <v>0</v>
      </c>
      <c r="D22" s="79" t="str">
        <f>IFERROR(VLOOKUP(H22,[1]SEMIELABORADOS!$A$2:$M$6000,6,0),"")</f>
        <v/>
      </c>
      <c r="E22" s="80" t="str">
        <f>IFERROR(VLOOKUP(H22,[1]SEMIELABORADOS!$A$2:$H$65536,8,0),"")</f>
        <v/>
      </c>
      <c r="F22" s="80" t="str">
        <f t="shared" si="5"/>
        <v/>
      </c>
      <c r="G22" s="81" t="str">
        <f t="shared" si="3"/>
        <v/>
      </c>
      <c r="H22" s="82"/>
      <c r="I22" s="82"/>
      <c r="J22" s="83"/>
    </row>
    <row r="23" spans="1:12" ht="13.5" hidden="1" x14ac:dyDescent="0.25">
      <c r="A23" s="78"/>
      <c r="B23" s="66" t="str">
        <f>IFERROR(VLOOKUP(H23,[1]SEMIELABORADOS!$A$2:$M$6000,2,0),"")</f>
        <v/>
      </c>
      <c r="C23" s="79">
        <f t="shared" si="4"/>
        <v>0</v>
      </c>
      <c r="D23" s="79" t="str">
        <f>IFERROR(VLOOKUP(H23,[1]SEMIELABORADOS!$A$2:$M$6000,6,0),"")</f>
        <v/>
      </c>
      <c r="E23" s="80" t="str">
        <f>IFERROR(VLOOKUP(H23,[1]SEMIELABORADOS!$A$2:$H$65536,8,0),"")</f>
        <v/>
      </c>
      <c r="F23" s="80" t="str">
        <f t="shared" si="5"/>
        <v/>
      </c>
      <c r="G23" s="81" t="str">
        <f t="shared" si="3"/>
        <v/>
      </c>
      <c r="H23" s="82"/>
      <c r="I23" s="82"/>
      <c r="J23" s="83"/>
    </row>
    <row r="24" spans="1:12" ht="13.5" hidden="1" x14ac:dyDescent="0.25">
      <c r="A24" s="78"/>
      <c r="B24" s="66" t="str">
        <f>IFERROR(VLOOKUP(H24,[1]SEMIELABORADOS!$A$2:$M$6000,2,0),"")</f>
        <v/>
      </c>
      <c r="C24" s="79">
        <f t="shared" si="4"/>
        <v>0</v>
      </c>
      <c r="D24" s="79" t="str">
        <f>IFERROR(VLOOKUP(H24,[1]SEMIELABORADOS!$A$2:$M$6000,6,0),"")</f>
        <v/>
      </c>
      <c r="E24" s="80" t="str">
        <f>IFERROR(VLOOKUP(H24,[1]SEMIELABORADOS!$A$2:$H$65536,8,0),"")</f>
        <v/>
      </c>
      <c r="F24" s="80" t="str">
        <f t="shared" si="5"/>
        <v/>
      </c>
      <c r="G24" s="81" t="str">
        <f t="shared" si="3"/>
        <v/>
      </c>
      <c r="H24" s="82"/>
      <c r="I24" s="82"/>
      <c r="J24" s="83"/>
    </row>
    <row r="25" spans="1:12" ht="14.25" thickBot="1" x14ac:dyDescent="0.3">
      <c r="A25" s="78"/>
      <c r="C25" s="79"/>
      <c r="D25" s="79"/>
      <c r="E25" s="80"/>
      <c r="F25" s="80"/>
      <c r="G25" s="81"/>
      <c r="H25" s="82"/>
      <c r="I25" s="82"/>
      <c r="J25" s="83"/>
    </row>
    <row r="26" spans="1:12" ht="26.25" hidden="1" thickBot="1" x14ac:dyDescent="0.25">
      <c r="A26" s="73" t="s">
        <v>92</v>
      </c>
      <c r="B26" s="74" t="s">
        <v>55</v>
      </c>
      <c r="C26" s="74" t="s">
        <v>92</v>
      </c>
      <c r="D26" s="75" t="s">
        <v>94</v>
      </c>
      <c r="E26" s="75" t="s">
        <v>95</v>
      </c>
      <c r="F26" s="75" t="s">
        <v>96</v>
      </c>
      <c r="G26" s="75" t="s">
        <v>97</v>
      </c>
      <c r="H26" s="76" t="s">
        <v>98</v>
      </c>
      <c r="I26" s="77"/>
    </row>
    <row r="27" spans="1:12" ht="13.5" hidden="1" x14ac:dyDescent="0.25">
      <c r="A27" s="78">
        <v>0</v>
      </c>
      <c r="B27" s="84" t="str">
        <f>IFERROR(VLOOKUP(H27,'[1]Consolidado MP Planta'!$A$2:$M$823,3,0),"")</f>
        <v/>
      </c>
      <c r="C27" s="79">
        <f t="shared" ref="C27:C32" si="6">+A27</f>
        <v>0</v>
      </c>
      <c r="D27" s="80" t="str">
        <f>IFERROR(VLOOKUP(H27,'[1]Consolidado MP Planta'!$A$2:$M$823,13,0),"")</f>
        <v/>
      </c>
      <c r="E27" s="80" t="str">
        <f>IFERROR(VLOOKUP(H27,'[1]Consolidado MP Planta'!$A$2:$M$823,12,0),"")</f>
        <v/>
      </c>
      <c r="F27" s="80" t="str">
        <f t="shared" ref="F27:F32" si="7">IFERROR(C27*E27,"")</f>
        <v/>
      </c>
      <c r="G27" s="81" t="str">
        <f t="shared" ref="G27:G32" si="8">IFERROR(F27/$F$66,"")</f>
        <v/>
      </c>
      <c r="H27" s="85"/>
      <c r="I27" s="85"/>
      <c r="J27" s="83"/>
      <c r="K27" s="494"/>
      <c r="L27" s="494"/>
    </row>
    <row r="28" spans="1:12" ht="13.5" hidden="1" x14ac:dyDescent="0.25">
      <c r="A28" s="78"/>
      <c r="B28" s="84" t="str">
        <f>IFERROR(VLOOKUP(H28,'[1]Consolidado MP Planta'!$A$2:$M$823,3,0),"")</f>
        <v/>
      </c>
      <c r="C28" s="79">
        <f t="shared" si="6"/>
        <v>0</v>
      </c>
      <c r="D28" s="80" t="str">
        <f>IFERROR(VLOOKUP(H28,'[1]Consolidado MP Planta'!$A$2:$M$823,13,0),"")</f>
        <v/>
      </c>
      <c r="E28" s="80" t="str">
        <f>IFERROR(VLOOKUP(H28,'[1]Consolidado MP Planta'!$A$2:$M$823,12,0),"")</f>
        <v/>
      </c>
      <c r="F28" s="80" t="str">
        <f t="shared" si="7"/>
        <v/>
      </c>
      <c r="G28" s="81" t="str">
        <f t="shared" si="8"/>
        <v/>
      </c>
      <c r="H28" s="85"/>
      <c r="I28" s="85"/>
      <c r="J28" s="83"/>
      <c r="K28" s="494"/>
      <c r="L28" s="494"/>
    </row>
    <row r="29" spans="1:12" ht="13.5" hidden="1" x14ac:dyDescent="0.25">
      <c r="A29" s="78"/>
      <c r="B29" s="84" t="str">
        <f>IFERROR(VLOOKUP(H29,'[1]Consolidado MP Planta'!$A$2:$M$823,3,0),"")</f>
        <v/>
      </c>
      <c r="C29" s="79">
        <f t="shared" si="6"/>
        <v>0</v>
      </c>
      <c r="D29" s="80" t="str">
        <f>IFERROR(VLOOKUP(H29,'[1]Consolidado MP Planta'!$A$2:$M$823,13,0),"")</f>
        <v/>
      </c>
      <c r="E29" s="80" t="str">
        <f>IFERROR(VLOOKUP(H29,'[1]Consolidado MP Planta'!$A$2:$M$823,12,0),"")</f>
        <v/>
      </c>
      <c r="F29" s="80" t="str">
        <f t="shared" si="7"/>
        <v/>
      </c>
      <c r="G29" s="81" t="str">
        <f t="shared" si="8"/>
        <v/>
      </c>
      <c r="H29" s="85"/>
      <c r="I29" s="85"/>
      <c r="J29" s="83"/>
      <c r="K29" s="494"/>
      <c r="L29" s="494"/>
    </row>
    <row r="30" spans="1:12" ht="13.5" hidden="1" x14ac:dyDescent="0.25">
      <c r="A30" s="78"/>
      <c r="B30" s="84" t="str">
        <f>IFERROR(VLOOKUP(H30,'[1]Consolidado MP Planta'!$A$2:$M$823,3,0),"")</f>
        <v/>
      </c>
      <c r="C30" s="79">
        <f t="shared" si="6"/>
        <v>0</v>
      </c>
      <c r="D30" s="80" t="str">
        <f>IFERROR(VLOOKUP(H30,'[1]Consolidado MP Planta'!$A$2:$M$823,13,0),"")</f>
        <v/>
      </c>
      <c r="E30" s="80" t="str">
        <f>IFERROR(VLOOKUP(H30,'[1]Consolidado MP Planta'!$A$2:$M$823,12,0),"")</f>
        <v/>
      </c>
      <c r="F30" s="80" t="str">
        <f t="shared" si="7"/>
        <v/>
      </c>
      <c r="G30" s="81" t="str">
        <f t="shared" si="8"/>
        <v/>
      </c>
      <c r="H30" s="85"/>
      <c r="I30" s="85"/>
      <c r="J30" s="83"/>
      <c r="K30" s="494"/>
      <c r="L30" s="494"/>
    </row>
    <row r="31" spans="1:12" ht="13.5" hidden="1" x14ac:dyDescent="0.25">
      <c r="A31" s="78"/>
      <c r="B31" s="84" t="str">
        <f>IFERROR(VLOOKUP(H31,'[1]Consolidado MP Planta'!$A$2:$M$823,3,0),"")</f>
        <v/>
      </c>
      <c r="C31" s="79">
        <f t="shared" si="6"/>
        <v>0</v>
      </c>
      <c r="D31" s="80" t="str">
        <f>IFERROR(VLOOKUP(H31,'[1]Consolidado MP Planta'!$A$2:$M$823,13,0),"")</f>
        <v/>
      </c>
      <c r="E31" s="80" t="str">
        <f>IFERROR(VLOOKUP(H31,'[1]Consolidado MP Planta'!$A$2:$M$823,12,0),"")</f>
        <v/>
      </c>
      <c r="F31" s="80" t="str">
        <f t="shared" si="7"/>
        <v/>
      </c>
      <c r="G31" s="81" t="str">
        <f t="shared" si="8"/>
        <v/>
      </c>
      <c r="H31" s="85"/>
      <c r="I31" s="85"/>
      <c r="J31" s="83"/>
      <c r="K31" s="86"/>
      <c r="L31" s="87"/>
    </row>
    <row r="32" spans="1:12" ht="13.5" hidden="1" x14ac:dyDescent="0.25">
      <c r="A32" s="78"/>
      <c r="B32" s="84" t="str">
        <f>IFERROR(VLOOKUP(H32,'[1]Consolidado MP Planta'!$A$2:$M$823,3,0),"")</f>
        <v/>
      </c>
      <c r="C32" s="79">
        <f t="shared" si="6"/>
        <v>0</v>
      </c>
      <c r="D32" s="80" t="str">
        <f>IFERROR(VLOOKUP(H32,'[1]Consolidado MP Planta'!$A$2:$M$823,13,0),"")</f>
        <v/>
      </c>
      <c r="E32" s="80" t="str">
        <f>IFERROR(VLOOKUP(H32,'[1]Consolidado MP Planta'!$A$2:$M$823,12,0),"")</f>
        <v/>
      </c>
      <c r="F32" s="80" t="str">
        <f t="shared" si="7"/>
        <v/>
      </c>
      <c r="G32" s="81" t="str">
        <f t="shared" si="8"/>
        <v/>
      </c>
      <c r="H32" s="85"/>
      <c r="I32" s="85"/>
      <c r="J32" s="83"/>
    </row>
    <row r="33" spans="1:13" ht="14.25" hidden="1" thickBot="1" x14ac:dyDescent="0.3">
      <c r="A33" s="78"/>
      <c r="B33" s="84"/>
      <c r="C33" s="79"/>
      <c r="D33" s="80"/>
      <c r="E33" s="80"/>
      <c r="F33" s="80"/>
      <c r="G33" s="81"/>
      <c r="H33" s="85"/>
      <c r="I33" s="85"/>
      <c r="J33" s="83"/>
    </row>
    <row r="34" spans="1:13" ht="26.25" thickBot="1" x14ac:dyDescent="0.25">
      <c r="A34" s="73" t="s">
        <v>92</v>
      </c>
      <c r="B34" s="74" t="s">
        <v>100</v>
      </c>
      <c r="C34" s="74" t="s">
        <v>92</v>
      </c>
      <c r="D34" s="75" t="s">
        <v>94</v>
      </c>
      <c r="E34" s="75" t="s">
        <v>95</v>
      </c>
      <c r="F34" s="75" t="s">
        <v>96</v>
      </c>
      <c r="G34" s="75" t="s">
        <v>97</v>
      </c>
      <c r="H34" s="76" t="s">
        <v>98</v>
      </c>
      <c r="I34" s="85"/>
      <c r="J34" s="83"/>
    </row>
    <row r="35" spans="1:13" ht="13.5" x14ac:dyDescent="0.25">
      <c r="A35" s="78">
        <f>+A17</f>
        <v>100</v>
      </c>
      <c r="B35" s="84" t="s">
        <v>43</v>
      </c>
      <c r="C35" s="79">
        <f>+A35</f>
        <v>100</v>
      </c>
      <c r="D35" s="80" t="s">
        <v>138</v>
      </c>
      <c r="E35" s="80">
        <v>0.05</v>
      </c>
      <c r="F35" s="80">
        <f>IFERROR(E35*C35,"")</f>
        <v>5</v>
      </c>
      <c r="G35" s="81">
        <f t="shared" ref="G35:G41" si="9">IFERROR(F35/$F$66,"")</f>
        <v>2.8925878016101301E-3</v>
      </c>
      <c r="H35" s="85"/>
      <c r="I35" s="85"/>
      <c r="J35" s="83"/>
    </row>
    <row r="36" spans="1:13" ht="13.5" x14ac:dyDescent="0.25">
      <c r="A36" s="78">
        <f t="shared" ref="A36:A41" si="10">+A18</f>
        <v>20</v>
      </c>
      <c r="B36" s="84" t="s">
        <v>46</v>
      </c>
      <c r="C36" s="79">
        <f t="shared" ref="C36:C41" si="11">+A36</f>
        <v>20</v>
      </c>
      <c r="D36" s="80" t="s">
        <v>138</v>
      </c>
      <c r="E36" s="80">
        <v>0</v>
      </c>
      <c r="F36" s="80">
        <f t="shared" ref="F36:F41" si="12">IFERROR(E36*C36,"")</f>
        <v>0</v>
      </c>
      <c r="G36" s="81">
        <f t="shared" si="9"/>
        <v>0</v>
      </c>
      <c r="H36" s="85"/>
      <c r="I36" s="85"/>
      <c r="J36" s="83"/>
    </row>
    <row r="37" spans="1:13" ht="13.5" hidden="1" x14ac:dyDescent="0.25">
      <c r="A37" s="78">
        <f t="shared" si="10"/>
        <v>0</v>
      </c>
      <c r="B37" s="84" t="str">
        <f>IFERROR(VLOOKUP(H37,[1]SEMIELABORADOS!$A$2:$M$6000,2,0),"")</f>
        <v/>
      </c>
      <c r="C37" s="79">
        <f t="shared" si="11"/>
        <v>0</v>
      </c>
      <c r="D37" s="80" t="str">
        <f>IFERROR(VLOOKUP(H37,[1]SEMIELABORADOS!$A$2:$M$6000,6,0),"")</f>
        <v/>
      </c>
      <c r="E37" s="80" t="str">
        <f>IFERROR(VLOOKUP(H37,[1]SEMIELABORADOS!$A$2:$M$65536,10,0),"")</f>
        <v/>
      </c>
      <c r="F37" s="80" t="str">
        <f t="shared" si="12"/>
        <v/>
      </c>
      <c r="G37" s="81" t="str">
        <f t="shared" si="9"/>
        <v/>
      </c>
      <c r="H37" s="85"/>
      <c r="I37" s="85"/>
      <c r="J37" s="83"/>
    </row>
    <row r="38" spans="1:13" ht="13.5" hidden="1" x14ac:dyDescent="0.25">
      <c r="A38" s="78">
        <f t="shared" si="10"/>
        <v>0</v>
      </c>
      <c r="B38" s="84" t="str">
        <f>IFERROR(VLOOKUP(H38,[1]SEMIELABORADOS!$A$2:$M$6000,2,0),"")</f>
        <v/>
      </c>
      <c r="C38" s="79">
        <f>+A38</f>
        <v>0</v>
      </c>
      <c r="D38" s="80" t="str">
        <f>IFERROR(VLOOKUP(H38,[1]SEMIELABORADOS!$A$2:$M$6000,6,0),"")</f>
        <v/>
      </c>
      <c r="E38" s="80" t="str">
        <f>IFERROR(VLOOKUP(H38,[1]SEMIELABORADOS!$A$2:$M$65536,10,0),"")</f>
        <v/>
      </c>
      <c r="F38" s="80" t="str">
        <f>IFERROR(E38*C38,"")</f>
        <v/>
      </c>
      <c r="G38" s="81" t="str">
        <f t="shared" si="9"/>
        <v/>
      </c>
      <c r="H38" s="85"/>
      <c r="I38" s="85"/>
      <c r="J38" s="83"/>
    </row>
    <row r="39" spans="1:13" ht="13.5" hidden="1" x14ac:dyDescent="0.25">
      <c r="A39" s="78">
        <f t="shared" si="10"/>
        <v>0</v>
      </c>
      <c r="B39" s="84" t="str">
        <f>IFERROR(VLOOKUP(H39,[1]SEMIELABORADOS!$A$2:$M$6000,2,0),"")</f>
        <v/>
      </c>
      <c r="C39" s="79">
        <f>+A39</f>
        <v>0</v>
      </c>
      <c r="D39" s="80" t="str">
        <f>IFERROR(VLOOKUP(H39,[1]SEMIELABORADOS!$A$2:$M$6000,6,0),"")</f>
        <v/>
      </c>
      <c r="E39" s="80" t="str">
        <f>IFERROR(VLOOKUP(H39,[1]SEMIELABORADOS!$A$2:$M$65536,10,0),"")</f>
        <v/>
      </c>
      <c r="F39" s="80" t="str">
        <f>IFERROR(E39*C39,"")</f>
        <v/>
      </c>
      <c r="G39" s="81" t="str">
        <f t="shared" si="9"/>
        <v/>
      </c>
      <c r="H39" s="85"/>
      <c r="I39" s="85"/>
      <c r="J39" s="83"/>
    </row>
    <row r="40" spans="1:13" ht="13.5" hidden="1" x14ac:dyDescent="0.25">
      <c r="A40" s="78">
        <f t="shared" si="10"/>
        <v>0</v>
      </c>
      <c r="B40" s="84" t="str">
        <f>IFERROR(VLOOKUP(H40,[1]SEMIELABORADOS!$A$2:$M$6000,2,0),"")</f>
        <v/>
      </c>
      <c r="C40" s="79">
        <f t="shared" si="11"/>
        <v>0</v>
      </c>
      <c r="D40" s="80" t="str">
        <f>IFERROR(VLOOKUP(H40,[1]SEMIELABORADOS!$A$2:$M$6000,6,0),"")</f>
        <v/>
      </c>
      <c r="E40" s="80" t="str">
        <f>IFERROR(VLOOKUP(H40,[1]SEMIELABORADOS!$A$2:$M$65536,10,0),"")</f>
        <v/>
      </c>
      <c r="F40" s="80" t="str">
        <f t="shared" si="12"/>
        <v/>
      </c>
      <c r="G40" s="81" t="str">
        <f t="shared" si="9"/>
        <v/>
      </c>
      <c r="H40" s="85"/>
      <c r="I40" s="85"/>
      <c r="J40" s="83"/>
    </row>
    <row r="41" spans="1:13" ht="13.5" x14ac:dyDescent="0.25">
      <c r="A41" s="78">
        <f t="shared" si="10"/>
        <v>0</v>
      </c>
      <c r="B41" s="84" t="str">
        <f>IFERROR(VLOOKUP(H41,[1]SEMIELABORADOS!$A$2:$M$6000,2,0),"")</f>
        <v/>
      </c>
      <c r="C41" s="79">
        <f t="shared" si="11"/>
        <v>0</v>
      </c>
      <c r="D41" s="80" t="str">
        <f>IFERROR(VLOOKUP(H41,[1]SEMIELABORADOS!$A$2:$M$6000,6,0),"")</f>
        <v/>
      </c>
      <c r="E41" s="80" t="str">
        <f>IFERROR(VLOOKUP(H41,[1]SEMIELABORADOS!$A$2:$M$65536,10,0),"")</f>
        <v/>
      </c>
      <c r="F41" s="80" t="str">
        <f t="shared" si="12"/>
        <v/>
      </c>
      <c r="G41" s="81" t="str">
        <f t="shared" si="9"/>
        <v/>
      </c>
      <c r="H41" s="85"/>
      <c r="I41" s="85"/>
      <c r="J41" s="83"/>
    </row>
    <row r="42" spans="1:13" ht="14.25" thickBot="1" x14ac:dyDescent="0.3">
      <c r="A42" s="78"/>
      <c r="B42" s="84"/>
      <c r="C42" s="79"/>
      <c r="D42" s="80"/>
      <c r="E42" s="80"/>
      <c r="F42" s="80"/>
      <c r="G42" s="81"/>
      <c r="H42" s="85"/>
      <c r="I42" s="85"/>
      <c r="J42" s="83"/>
    </row>
    <row r="43" spans="1:13" ht="26.25" thickBot="1" x14ac:dyDescent="0.25">
      <c r="A43" s="73" t="s">
        <v>92</v>
      </c>
      <c r="B43" s="74" t="s">
        <v>101</v>
      </c>
      <c r="C43" s="74" t="s">
        <v>92</v>
      </c>
      <c r="D43" s="75" t="s">
        <v>94</v>
      </c>
      <c r="E43" s="75" t="s">
        <v>95</v>
      </c>
      <c r="F43" s="75" t="s">
        <v>96</v>
      </c>
      <c r="G43" s="75" t="s">
        <v>97</v>
      </c>
      <c r="H43" s="76" t="s">
        <v>98</v>
      </c>
      <c r="I43" s="77"/>
      <c r="J43" s="83"/>
    </row>
    <row r="44" spans="1:13" ht="13.5" x14ac:dyDescent="0.25">
      <c r="A44" s="78">
        <f>+A35</f>
        <v>100</v>
      </c>
      <c r="B44" s="84" t="s">
        <v>43</v>
      </c>
      <c r="C44" s="79">
        <f>+A44</f>
        <v>100</v>
      </c>
      <c r="D44" s="80" t="s">
        <v>138</v>
      </c>
      <c r="E44" s="80">
        <v>0.04</v>
      </c>
      <c r="F44" s="80">
        <f>IFERROR(E44*C44,"")</f>
        <v>4</v>
      </c>
      <c r="G44" s="81">
        <f>IFERROR(F44/$F$66,"")</f>
        <v>2.3140702412881042E-3</v>
      </c>
      <c r="H44" s="85"/>
      <c r="I44" s="77"/>
      <c r="J44" s="83"/>
    </row>
    <row r="45" spans="1:13" ht="13.5" x14ac:dyDescent="0.25">
      <c r="A45" s="78">
        <f t="shared" ref="A45:A50" si="13">+A36</f>
        <v>20</v>
      </c>
      <c r="B45" s="84" t="s">
        <v>46</v>
      </c>
      <c r="C45" s="79">
        <f t="shared" ref="C45:C50" si="14">+A45</f>
        <v>20</v>
      </c>
      <c r="D45" s="80" t="s">
        <v>138</v>
      </c>
      <c r="E45" s="80">
        <v>0.01</v>
      </c>
      <c r="F45" s="80">
        <f t="shared" ref="F45:F50" si="15">IFERROR(E45*C45,"")</f>
        <v>0.2</v>
      </c>
      <c r="G45" s="81">
        <f t="shared" ref="G45:G50" si="16">IFERROR(F45/$F$66,"")</f>
        <v>1.157035120644052E-4</v>
      </c>
      <c r="H45" s="85"/>
      <c r="I45" s="77"/>
      <c r="J45" s="83"/>
      <c r="M45" s="88"/>
    </row>
    <row r="46" spans="1:13" ht="13.5" hidden="1" x14ac:dyDescent="0.25">
      <c r="A46" s="78">
        <f t="shared" si="13"/>
        <v>0</v>
      </c>
      <c r="B46" s="84" t="str">
        <f>IFERROR(VLOOKUP(H46,[1]SEMIELABORADOS!$A$2:$M$6000,2,0),"")</f>
        <v/>
      </c>
      <c r="C46" s="79">
        <f t="shared" si="14"/>
        <v>0</v>
      </c>
      <c r="D46" s="80" t="str">
        <f>IFERROR(VLOOKUP(H46,[1]SEMIELABORADOS!$A$2:$M$6000,6,0),"")</f>
        <v/>
      </c>
      <c r="E46" s="80" t="str">
        <f>IFERROR(VLOOKUP(H46,[1]SEMIELABORADOS!$A$2:$M$65536,12,0),"")</f>
        <v/>
      </c>
      <c r="F46" s="80" t="str">
        <f t="shared" si="15"/>
        <v/>
      </c>
      <c r="G46" s="81" t="str">
        <f t="shared" si="16"/>
        <v/>
      </c>
      <c r="H46" s="85"/>
      <c r="I46" s="77"/>
      <c r="J46" s="83"/>
    </row>
    <row r="47" spans="1:13" ht="13.5" hidden="1" x14ac:dyDescent="0.25">
      <c r="A47" s="78">
        <f t="shared" si="13"/>
        <v>0</v>
      </c>
      <c r="B47" s="84" t="str">
        <f>IFERROR(VLOOKUP(H47,[1]SEMIELABORADOS!$A$2:$M$6000,2,0),"")</f>
        <v/>
      </c>
      <c r="C47" s="79">
        <f t="shared" si="14"/>
        <v>0</v>
      </c>
      <c r="D47" s="80" t="str">
        <f>IFERROR(VLOOKUP(H47,[1]SEMIELABORADOS!$A$2:$M$6000,6,0),"")</f>
        <v/>
      </c>
      <c r="E47" s="80" t="str">
        <f>IFERROR(VLOOKUP(H47,[1]SEMIELABORADOS!$A$2:$M$65536,12,0),"")</f>
        <v/>
      </c>
      <c r="F47" s="80" t="str">
        <f t="shared" si="15"/>
        <v/>
      </c>
      <c r="G47" s="81" t="str">
        <f t="shared" si="16"/>
        <v/>
      </c>
      <c r="H47" s="85"/>
      <c r="I47" s="77"/>
      <c r="J47" s="83"/>
    </row>
    <row r="48" spans="1:13" ht="13.5" hidden="1" x14ac:dyDescent="0.25">
      <c r="A48" s="78">
        <f t="shared" si="13"/>
        <v>0</v>
      </c>
      <c r="B48" s="84" t="str">
        <f>IFERROR(VLOOKUP(H48,[1]SEMIELABORADOS!$A$2:$M$6000,2,0),"")</f>
        <v/>
      </c>
      <c r="C48" s="79">
        <f t="shared" si="14"/>
        <v>0</v>
      </c>
      <c r="D48" s="80" t="str">
        <f>IFERROR(VLOOKUP(H48,[1]SEMIELABORADOS!$A$2:$M$6000,6,0),"")</f>
        <v/>
      </c>
      <c r="E48" s="80" t="str">
        <f>IFERROR(VLOOKUP(H48,[1]SEMIELABORADOS!$A$2:$M$65536,12,0),"")</f>
        <v/>
      </c>
      <c r="F48" s="80" t="str">
        <f t="shared" si="15"/>
        <v/>
      </c>
      <c r="G48" s="81" t="str">
        <f t="shared" si="16"/>
        <v/>
      </c>
      <c r="H48" s="85"/>
      <c r="I48" s="77"/>
      <c r="J48" s="83"/>
    </row>
    <row r="49" spans="1:17" ht="13.5" hidden="1" x14ac:dyDescent="0.25">
      <c r="A49" s="78">
        <f t="shared" si="13"/>
        <v>0</v>
      </c>
      <c r="B49" s="84" t="str">
        <f>IFERROR(VLOOKUP(H49,[1]SEMIELABORADOS!$A$2:$M$6000,2,0),"")</f>
        <v/>
      </c>
      <c r="C49" s="79">
        <f t="shared" si="14"/>
        <v>0</v>
      </c>
      <c r="D49" s="80" t="str">
        <f>IFERROR(VLOOKUP(H49,[1]SEMIELABORADOS!$A$2:$M$6000,6,0),"")</f>
        <v/>
      </c>
      <c r="E49" s="80" t="str">
        <f>IFERROR(VLOOKUP(H49,[1]SEMIELABORADOS!$A$2:$M$65536,12,0),"")</f>
        <v/>
      </c>
      <c r="F49" s="80" t="str">
        <f t="shared" si="15"/>
        <v/>
      </c>
      <c r="G49" s="81" t="str">
        <f t="shared" si="16"/>
        <v/>
      </c>
      <c r="H49" s="85"/>
      <c r="I49" s="77"/>
      <c r="J49" s="83"/>
    </row>
    <row r="50" spans="1:17" ht="13.5" hidden="1" x14ac:dyDescent="0.25">
      <c r="A50" s="78">
        <f t="shared" si="13"/>
        <v>0</v>
      </c>
      <c r="B50" s="84" t="str">
        <f>IFERROR(VLOOKUP(H50,[1]SEMIELABORADOS!$A$2:$M$6000,2,0),"")</f>
        <v/>
      </c>
      <c r="C50" s="79">
        <f t="shared" si="14"/>
        <v>0</v>
      </c>
      <c r="D50" s="80" t="str">
        <f>IFERROR(VLOOKUP(H50,[1]SEMIELABORADOS!$A$2:$M$6000,6,0),"")</f>
        <v/>
      </c>
      <c r="E50" s="80" t="str">
        <f>IFERROR(VLOOKUP(H50,[1]SEMIELABORADOS!$A$2:$M$65536,12,0),"")</f>
        <v/>
      </c>
      <c r="F50" s="80" t="str">
        <f t="shared" si="15"/>
        <v/>
      </c>
      <c r="G50" s="81" t="str">
        <f t="shared" si="16"/>
        <v/>
      </c>
      <c r="H50" s="84"/>
      <c r="I50" s="77"/>
      <c r="J50" s="83"/>
    </row>
    <row r="51" spans="1:17" ht="13.5" x14ac:dyDescent="0.25">
      <c r="A51" s="78">
        <v>1</v>
      </c>
      <c r="B51" s="84" t="s">
        <v>102</v>
      </c>
      <c r="C51" s="79">
        <f>+A51</f>
        <v>1</v>
      </c>
      <c r="D51" s="79" t="s">
        <v>103</v>
      </c>
      <c r="E51" s="80">
        <f>+F65</f>
        <v>308</v>
      </c>
      <c r="F51" s="80">
        <f>IFERROR(C51*E51,"")</f>
        <v>308</v>
      </c>
      <c r="G51" s="81">
        <f>IFERROR(F51/$F$66,"")</f>
        <v>0.17818340857918402</v>
      </c>
      <c r="H51" s="89"/>
      <c r="I51" s="89"/>
      <c r="J51" s="83"/>
    </row>
    <row r="52" spans="1:17" ht="14.25" thickBot="1" x14ac:dyDescent="0.3">
      <c r="A52" s="78"/>
      <c r="B52" s="84"/>
      <c r="C52" s="79"/>
      <c r="D52" s="79"/>
      <c r="E52" s="80"/>
      <c r="F52" s="80"/>
      <c r="G52" s="81"/>
      <c r="H52" s="89"/>
      <c r="I52" s="89"/>
      <c r="J52" s="83"/>
    </row>
    <row r="53" spans="1:17" ht="13.5" thickBot="1" x14ac:dyDescent="0.25">
      <c r="A53" s="90"/>
      <c r="B53" s="495" t="s">
        <v>104</v>
      </c>
      <c r="C53" s="495"/>
      <c r="D53" s="495"/>
      <c r="E53" s="495"/>
      <c r="F53" s="92">
        <f>SUM(F8:F14,F17:F24)</f>
        <v>1387.8</v>
      </c>
      <c r="G53" s="81">
        <f>+F53/$F$66</f>
        <v>0.80286667021490765</v>
      </c>
      <c r="H53" s="93">
        <f>+F53/$D$60</f>
        <v>1387.8</v>
      </c>
      <c r="I53" s="93"/>
      <c r="J53" s="94"/>
      <c r="K53" s="95"/>
      <c r="L53" s="95"/>
      <c r="M53" s="95"/>
      <c r="N53" s="95"/>
      <c r="O53" s="95"/>
      <c r="P53" s="95"/>
      <c r="Q53" s="96"/>
    </row>
    <row r="54" spans="1:17" x14ac:dyDescent="0.2">
      <c r="A54" s="90"/>
      <c r="B54" s="495" t="s">
        <v>105</v>
      </c>
      <c r="C54" s="495"/>
      <c r="D54" s="495"/>
      <c r="E54" s="495"/>
      <c r="F54" s="92">
        <f>SUM(F27:F32,F35:F41)</f>
        <v>5</v>
      </c>
      <c r="G54" s="81">
        <f>+F54/$F$66</f>
        <v>2.8925878016101301E-3</v>
      </c>
      <c r="H54" s="93">
        <f>+F54/$D$60</f>
        <v>5</v>
      </c>
      <c r="I54" s="93"/>
      <c r="J54" s="97"/>
      <c r="K54" s="496" t="s">
        <v>106</v>
      </c>
      <c r="L54" s="497"/>
      <c r="M54" s="497"/>
      <c r="N54" s="497"/>
      <c r="O54" s="98">
        <f>+F55</f>
        <v>1392.8</v>
      </c>
      <c r="P54" s="98"/>
      <c r="Q54" s="99"/>
    </row>
    <row r="55" spans="1:17" x14ac:dyDescent="0.2">
      <c r="A55" s="90"/>
      <c r="B55" s="495" t="s">
        <v>107</v>
      </c>
      <c r="C55" s="495"/>
      <c r="D55" s="495"/>
      <c r="E55" s="495"/>
      <c r="F55" s="92">
        <f>+F53+F54</f>
        <v>1392.8</v>
      </c>
      <c r="G55" s="81">
        <f>+F55/$F$66</f>
        <v>0.80575925801651782</v>
      </c>
      <c r="H55" s="93">
        <f>+F55/$D$60</f>
        <v>1392.8</v>
      </c>
      <c r="I55" s="93"/>
      <c r="J55" s="100"/>
      <c r="K55" s="101"/>
      <c r="M55" s="102" t="s">
        <v>108</v>
      </c>
      <c r="N55" s="103"/>
      <c r="O55" s="98">
        <f>+H56</f>
        <v>312.2</v>
      </c>
      <c r="P55" s="98"/>
      <c r="Q55" s="99"/>
    </row>
    <row r="56" spans="1:17" ht="13.5" thickBot="1" x14ac:dyDescent="0.25">
      <c r="A56" s="90"/>
      <c r="B56" s="91"/>
      <c r="C56" s="495" t="s">
        <v>109</v>
      </c>
      <c r="D56" s="495"/>
      <c r="E56" s="495"/>
      <c r="F56" s="92">
        <f>SUM(F44:F51)</f>
        <v>312.2</v>
      </c>
      <c r="G56" s="81">
        <f>+F56/$F$66</f>
        <v>0.18061318233253651</v>
      </c>
      <c r="H56" s="93">
        <f>+F56/$D$60</f>
        <v>312.2</v>
      </c>
      <c r="I56" s="93"/>
      <c r="J56" s="100"/>
      <c r="K56" s="101"/>
      <c r="L56" s="101"/>
      <c r="M56" s="101" t="s">
        <v>110</v>
      </c>
      <c r="N56" s="104"/>
      <c r="O56" s="98">
        <f>O54*N56</f>
        <v>0</v>
      </c>
      <c r="P56" s="98"/>
      <c r="Q56" s="99"/>
    </row>
    <row r="57" spans="1:17" ht="13.5" thickBot="1" x14ac:dyDescent="0.25">
      <c r="A57" s="90"/>
      <c r="B57" s="105"/>
      <c r="C57" s="105"/>
      <c r="D57" s="105"/>
      <c r="E57" s="105"/>
      <c r="F57" s="106"/>
      <c r="G57" s="81"/>
      <c r="H57" s="107"/>
      <c r="I57" s="93"/>
      <c r="J57" s="100"/>
      <c r="K57" s="108"/>
      <c r="M57" s="109" t="s">
        <v>111</v>
      </c>
      <c r="N57" s="110"/>
      <c r="O57" s="111">
        <f>SUM(O54:O56)</f>
        <v>1705</v>
      </c>
      <c r="P57" s="112"/>
      <c r="Q57" s="99"/>
    </row>
    <row r="58" spans="1:17" x14ac:dyDescent="0.2">
      <c r="B58" s="498" t="s">
        <v>112</v>
      </c>
      <c r="C58" s="498"/>
      <c r="D58" s="113">
        <v>420</v>
      </c>
      <c r="E58" s="114"/>
      <c r="G58" s="81"/>
      <c r="H58" s="107">
        <f>+H56/77</f>
        <v>4.0545454545454547</v>
      </c>
      <c r="I58" s="115"/>
      <c r="J58" s="100"/>
      <c r="K58" s="108"/>
      <c r="L58" s="101"/>
      <c r="M58" s="101" t="s">
        <v>113</v>
      </c>
      <c r="N58" s="116"/>
      <c r="O58" s="98">
        <f>+H59</f>
        <v>259.4909090909091</v>
      </c>
      <c r="P58" s="98"/>
      <c r="Q58" s="99"/>
    </row>
    <row r="59" spans="1:17" x14ac:dyDescent="0.2">
      <c r="B59" s="498" t="s">
        <v>114</v>
      </c>
      <c r="C59" s="498"/>
      <c r="D59" s="117">
        <v>420</v>
      </c>
      <c r="E59" s="114"/>
      <c r="G59" s="81"/>
      <c r="H59" s="107">
        <f>+H58*64</f>
        <v>259.4909090909091</v>
      </c>
      <c r="I59" s="115"/>
      <c r="J59" s="100"/>
      <c r="K59" s="108"/>
      <c r="L59" s="101"/>
      <c r="M59" s="499" t="s">
        <v>111</v>
      </c>
      <c r="N59" s="499"/>
      <c r="O59" s="98">
        <f>SUM(O57:O58)</f>
        <v>1964.4909090909091</v>
      </c>
      <c r="P59" s="98"/>
      <c r="Q59" s="99"/>
    </row>
    <row r="60" spans="1:17" ht="13.5" thickBot="1" x14ac:dyDescent="0.25">
      <c r="B60" s="490" t="s">
        <v>115</v>
      </c>
      <c r="C60" s="490"/>
      <c r="D60" s="113">
        <f>+D58/D59</f>
        <v>1</v>
      </c>
      <c r="E60" s="114"/>
      <c r="F60" s="118"/>
      <c r="G60" s="81"/>
      <c r="H60" s="107"/>
      <c r="I60" s="115"/>
      <c r="J60" s="100"/>
      <c r="K60" s="108"/>
      <c r="L60" s="499"/>
      <c r="M60" s="499"/>
      <c r="N60" s="116"/>
      <c r="O60" s="98">
        <f>+O59*N60</f>
        <v>0</v>
      </c>
      <c r="P60" s="98"/>
      <c r="Q60" s="99"/>
    </row>
    <row r="61" spans="1:17" ht="13.5" thickBot="1" x14ac:dyDescent="0.25">
      <c r="B61" s="490" t="s">
        <v>116</v>
      </c>
      <c r="C61" s="490"/>
      <c r="D61" s="119"/>
      <c r="E61" s="114"/>
      <c r="F61" s="118"/>
      <c r="G61" s="81"/>
      <c r="H61" s="107"/>
      <c r="I61" s="115"/>
      <c r="J61" s="100"/>
      <c r="K61" s="491" t="s">
        <v>117</v>
      </c>
      <c r="L61" s="492"/>
      <c r="M61" s="492"/>
      <c r="N61" s="493"/>
      <c r="O61" s="111">
        <f>SUM(O59:O60)</f>
        <v>1964.4909090909091</v>
      </c>
      <c r="P61" s="120" t="s">
        <v>118</v>
      </c>
      <c r="Q61" s="99"/>
    </row>
    <row r="62" spans="1:17" ht="13.5" thickBot="1" x14ac:dyDescent="0.25">
      <c r="C62" s="90" t="s">
        <v>119</v>
      </c>
      <c r="D62" s="121"/>
      <c r="E62" s="64" t="s">
        <v>120</v>
      </c>
      <c r="F62" s="122" t="s">
        <v>121</v>
      </c>
      <c r="G62" s="81"/>
      <c r="H62" s="107"/>
      <c r="I62" s="115"/>
      <c r="J62" s="123"/>
      <c r="K62" s="124"/>
      <c r="L62" s="479" t="s">
        <v>122</v>
      </c>
      <c r="M62" s="479"/>
      <c r="N62" s="479"/>
      <c r="O62" s="125">
        <f>+O61/D60</f>
        <v>1964.4909090909091</v>
      </c>
      <c r="P62" s="126">
        <f>+O62/D59</f>
        <v>4.6773593073593069</v>
      </c>
      <c r="Q62" s="127"/>
    </row>
    <row r="63" spans="1:17" ht="13.5" thickBot="1" x14ac:dyDescent="0.25">
      <c r="B63" s="480" t="s">
        <v>107</v>
      </c>
      <c r="C63" s="480"/>
      <c r="D63" s="480"/>
      <c r="E63" s="128">
        <f>+F63/F63</f>
        <v>1</v>
      </c>
      <c r="F63" s="129">
        <f>SUM(F55)</f>
        <v>1392.8</v>
      </c>
      <c r="G63" s="81">
        <f>+F63/$F$66</f>
        <v>0.80575925801651782</v>
      </c>
      <c r="H63" s="107"/>
      <c r="I63" s="115"/>
      <c r="K63" s="481"/>
      <c r="L63" s="482"/>
      <c r="M63" s="482"/>
      <c r="N63" s="482"/>
      <c r="O63" s="130"/>
      <c r="P63" s="131"/>
    </row>
    <row r="64" spans="1:17" ht="13.5" thickBot="1" x14ac:dyDescent="0.25">
      <c r="B64" s="483" t="s">
        <v>123</v>
      </c>
      <c r="C64" s="483"/>
      <c r="D64" s="483"/>
      <c r="E64" s="132">
        <v>0.02</v>
      </c>
      <c r="F64" s="129">
        <f>+F53*E64</f>
        <v>27.756</v>
      </c>
      <c r="G64" s="81">
        <f>+F64/$F$66</f>
        <v>1.6057333404298154E-2</v>
      </c>
      <c r="H64" s="93"/>
      <c r="I64" s="115"/>
      <c r="J64" s="133"/>
      <c r="O64" s="134"/>
      <c r="P64" s="91"/>
    </row>
    <row r="65" spans="2:13" ht="13.5" thickBot="1" x14ac:dyDescent="0.25">
      <c r="B65" s="484" t="s">
        <v>124</v>
      </c>
      <c r="C65" s="485"/>
      <c r="D65" s="135">
        <v>4</v>
      </c>
      <c r="E65" s="136">
        <v>77</v>
      </c>
      <c r="F65" s="129">
        <f>+E65*D65</f>
        <v>308</v>
      </c>
      <c r="G65" s="81">
        <f>+F65/$F$66</f>
        <v>0.17818340857918402</v>
      </c>
      <c r="H65" s="93"/>
      <c r="I65" s="93"/>
      <c r="J65" s="83"/>
    </row>
    <row r="66" spans="2:13" ht="13.5" thickBot="1" x14ac:dyDescent="0.25">
      <c r="B66" s="486" t="s">
        <v>125</v>
      </c>
      <c r="C66" s="487"/>
      <c r="D66" s="487"/>
      <c r="E66" s="488"/>
      <c r="F66" s="106">
        <f>SUM(F63:F65)</f>
        <v>1728.556</v>
      </c>
      <c r="G66" s="81">
        <f>+F66/$F$66</f>
        <v>1</v>
      </c>
      <c r="H66" s="489"/>
      <c r="I66" s="93"/>
      <c r="J66" s="83"/>
      <c r="M66" s="66" t="s">
        <v>126</v>
      </c>
    </row>
    <row r="67" spans="2:13" x14ac:dyDescent="0.2">
      <c r="C67" s="88"/>
      <c r="D67" s="88"/>
      <c r="E67" s="138"/>
      <c r="F67" s="129"/>
      <c r="G67" s="81"/>
      <c r="H67" s="489"/>
      <c r="I67" s="137"/>
      <c r="J67" s="66"/>
      <c r="M67" s="66" t="s">
        <v>127</v>
      </c>
    </row>
    <row r="68" spans="2:13" ht="13.5" thickBot="1" x14ac:dyDescent="0.25">
      <c r="B68" s="474" t="s">
        <v>128</v>
      </c>
      <c r="C68" s="474"/>
      <c r="D68" s="474"/>
      <c r="E68" s="474"/>
      <c r="F68" s="474"/>
      <c r="G68" s="81"/>
      <c r="H68" s="140"/>
      <c r="I68" s="137"/>
      <c r="J68" s="66"/>
      <c r="M68" s="66" t="s">
        <v>129</v>
      </c>
    </row>
    <row r="69" spans="2:13" ht="13.5" thickBot="1" x14ac:dyDescent="0.25">
      <c r="B69" s="141" t="s">
        <v>130</v>
      </c>
      <c r="C69" s="142">
        <f>+F53</f>
        <v>1387.8</v>
      </c>
      <c r="D69" s="142">
        <f>+D58</f>
        <v>420</v>
      </c>
      <c r="E69" s="143">
        <f>+C69/D69</f>
        <v>3.3042857142857143</v>
      </c>
      <c r="F69" s="81"/>
      <c r="G69" s="140"/>
      <c r="H69" s="83"/>
      <c r="I69" s="140"/>
      <c r="J69" s="66"/>
    </row>
    <row r="70" spans="2:13" x14ac:dyDescent="0.2">
      <c r="B70" s="144"/>
      <c r="C70" s="145"/>
      <c r="D70" s="146"/>
      <c r="E70" s="129"/>
      <c r="F70" s="81"/>
      <c r="G70" s="140"/>
      <c r="H70" s="83"/>
      <c r="I70" s="83"/>
      <c r="J70" s="66"/>
    </row>
    <row r="71" spans="2:13" x14ac:dyDescent="0.2">
      <c r="B71" s="141" t="s">
        <v>131</v>
      </c>
      <c r="C71" s="142">
        <f>SUM(F63:F64)</f>
        <v>1420.556</v>
      </c>
      <c r="D71" s="142">
        <f>+D58</f>
        <v>420</v>
      </c>
      <c r="E71" s="147">
        <f>+C71/D71</f>
        <v>3.3822761904761904</v>
      </c>
      <c r="F71" s="81"/>
      <c r="G71" s="140"/>
      <c r="H71" s="83"/>
      <c r="I71" s="83"/>
      <c r="J71" s="66"/>
    </row>
    <row r="72" spans="2:13" x14ac:dyDescent="0.2">
      <c r="B72" s="141"/>
      <c r="C72" s="142"/>
      <c r="D72" s="142"/>
      <c r="E72" s="147"/>
      <c r="F72" s="81"/>
      <c r="G72" s="140"/>
      <c r="H72" s="83"/>
      <c r="I72" s="83"/>
      <c r="J72" s="66"/>
    </row>
    <row r="73" spans="2:13" ht="13.5" thickBot="1" x14ac:dyDescent="0.25">
      <c r="B73" s="141" t="s">
        <v>132</v>
      </c>
      <c r="C73" s="142">
        <f>+F65</f>
        <v>308</v>
      </c>
      <c r="D73" s="142">
        <f>+D58</f>
        <v>420</v>
      </c>
      <c r="E73" s="147">
        <f>+C73/D73</f>
        <v>0.73333333333333328</v>
      </c>
      <c r="F73" s="81"/>
      <c r="G73" s="140"/>
      <c r="H73" s="83"/>
      <c r="I73" s="83"/>
      <c r="J73" s="66"/>
    </row>
    <row r="74" spans="2:13" ht="13.5" thickBot="1" x14ac:dyDescent="0.25">
      <c r="B74" s="141" t="s">
        <v>133</v>
      </c>
      <c r="C74" s="142">
        <f>+F56</f>
        <v>312.2</v>
      </c>
      <c r="D74" s="142">
        <f>+D73</f>
        <v>420</v>
      </c>
      <c r="E74" s="143">
        <f>+C74/D74</f>
        <v>0.74333333333333329</v>
      </c>
      <c r="F74" s="81"/>
      <c r="G74" s="140"/>
      <c r="H74" s="83"/>
      <c r="I74" s="83"/>
      <c r="J74" s="66"/>
    </row>
    <row r="75" spans="2:13" ht="13.5" thickBot="1" x14ac:dyDescent="0.25">
      <c r="B75" s="105"/>
      <c r="C75" s="106"/>
      <c r="D75" s="106"/>
      <c r="E75" s="147"/>
      <c r="F75" s="81"/>
      <c r="G75" s="140"/>
      <c r="H75" s="83"/>
      <c r="I75" s="83"/>
      <c r="J75" s="66"/>
    </row>
    <row r="76" spans="2:13" ht="13.5" thickBot="1" x14ac:dyDescent="0.25">
      <c r="B76" s="141" t="s">
        <v>134</v>
      </c>
      <c r="C76" s="142">
        <f>+F54</f>
        <v>5</v>
      </c>
      <c r="D76" s="142">
        <f>+D74</f>
        <v>420</v>
      </c>
      <c r="E76" s="143">
        <f>+C76/D76</f>
        <v>1.1904761904761904E-2</v>
      </c>
      <c r="F76" s="81"/>
      <c r="G76" s="140"/>
      <c r="H76" s="83"/>
      <c r="I76" s="83"/>
      <c r="J76" s="83"/>
    </row>
    <row r="77" spans="2:13" ht="13.5" thickBot="1" x14ac:dyDescent="0.25">
      <c r="B77" s="105"/>
      <c r="C77" s="106"/>
      <c r="D77" s="106"/>
      <c r="E77" s="147"/>
      <c r="F77" s="81"/>
      <c r="G77" s="140"/>
      <c r="H77" s="83"/>
      <c r="I77" s="83"/>
    </row>
    <row r="78" spans="2:13" ht="13.5" thickBot="1" x14ac:dyDescent="0.25">
      <c r="B78" s="475" t="s">
        <v>135</v>
      </c>
      <c r="C78" s="476"/>
      <c r="D78" s="477"/>
      <c r="E78" s="143">
        <f>+E69+E74</f>
        <v>4.0476190476190474</v>
      </c>
      <c r="G78" s="81"/>
      <c r="H78" s="140"/>
      <c r="I78" s="83"/>
      <c r="J78" s="147"/>
    </row>
    <row r="79" spans="2:13" x14ac:dyDescent="0.2">
      <c r="I79" s="140"/>
      <c r="J79" s="66"/>
    </row>
    <row r="80" spans="2:13" ht="13.5" thickBot="1" x14ac:dyDescent="0.25">
      <c r="B80" s="474" t="s">
        <v>136</v>
      </c>
      <c r="C80" s="474"/>
      <c r="D80" s="474"/>
      <c r="E80" s="474"/>
      <c r="F80" s="474"/>
      <c r="G80" s="81"/>
      <c r="H80" s="140"/>
      <c r="J80" s="66"/>
    </row>
    <row r="81" spans="1:10" ht="13.5" thickBot="1" x14ac:dyDescent="0.25">
      <c r="B81" s="141" t="s">
        <v>130</v>
      </c>
      <c r="C81" s="142">
        <f>+C69</f>
        <v>1387.8</v>
      </c>
      <c r="D81" s="142">
        <f>+D60</f>
        <v>1</v>
      </c>
      <c r="E81" s="143">
        <f>+C81/D81</f>
        <v>1387.8</v>
      </c>
      <c r="F81" s="81"/>
      <c r="G81" s="140"/>
      <c r="H81" s="83"/>
      <c r="I81" s="140"/>
      <c r="J81" s="66"/>
    </row>
    <row r="82" spans="1:10" x14ac:dyDescent="0.2">
      <c r="B82" s="144"/>
      <c r="C82" s="145"/>
      <c r="D82" s="146"/>
      <c r="E82" s="129"/>
      <c r="F82" s="81"/>
      <c r="G82" s="140"/>
      <c r="H82" s="83"/>
      <c r="I82" s="83"/>
      <c r="J82" s="66"/>
    </row>
    <row r="83" spans="1:10" x14ac:dyDescent="0.2">
      <c r="B83" s="141" t="s">
        <v>131</v>
      </c>
      <c r="C83" s="142">
        <f>+C71</f>
        <v>1420.556</v>
      </c>
      <c r="D83" s="142">
        <f>+D60</f>
        <v>1</v>
      </c>
      <c r="E83" s="147">
        <f>+C83/D83</f>
        <v>1420.556</v>
      </c>
      <c r="F83" s="81"/>
      <c r="G83" s="140"/>
      <c r="H83" s="83"/>
      <c r="I83" s="83"/>
      <c r="J83" s="66"/>
    </row>
    <row r="84" spans="1:10" x14ac:dyDescent="0.2">
      <c r="B84" s="141"/>
      <c r="C84" s="142"/>
      <c r="D84" s="142"/>
      <c r="E84" s="147"/>
      <c r="F84" s="81"/>
      <c r="G84" s="140"/>
      <c r="H84" s="83"/>
      <c r="I84" s="83"/>
      <c r="J84" s="66"/>
    </row>
    <row r="85" spans="1:10" ht="13.5" thickBot="1" x14ac:dyDescent="0.25">
      <c r="B85" s="141" t="s">
        <v>133</v>
      </c>
      <c r="C85" s="142">
        <f>+C73</f>
        <v>308</v>
      </c>
      <c r="D85" s="142">
        <f>+D60</f>
        <v>1</v>
      </c>
      <c r="E85" s="147">
        <f>+C85/D85</f>
        <v>308</v>
      </c>
      <c r="F85" s="149"/>
      <c r="G85" s="139"/>
      <c r="H85" s="65"/>
      <c r="I85" s="83"/>
    </row>
    <row r="86" spans="1:10" ht="13.5" thickBot="1" x14ac:dyDescent="0.25">
      <c r="B86" s="141" t="s">
        <v>133</v>
      </c>
      <c r="C86" s="142">
        <f>+C74</f>
        <v>312.2</v>
      </c>
      <c r="D86" s="142">
        <f>+D85</f>
        <v>1</v>
      </c>
      <c r="E86" s="143">
        <f>+C86/D86</f>
        <v>312.2</v>
      </c>
      <c r="F86" s="148"/>
      <c r="G86" s="139"/>
      <c r="H86" s="65"/>
      <c r="I86" s="65"/>
    </row>
    <row r="87" spans="1:10" x14ac:dyDescent="0.2">
      <c r="I87" s="65"/>
    </row>
    <row r="88" spans="1:10" x14ac:dyDescent="0.2">
      <c r="A88" s="478"/>
      <c r="B88" s="478"/>
      <c r="C88" s="150"/>
      <c r="D88" s="150"/>
      <c r="E88" s="151"/>
      <c r="G88" s="152"/>
    </row>
    <row r="89" spans="1:10" x14ac:dyDescent="0.2">
      <c r="A89" s="84"/>
      <c r="B89" s="153"/>
      <c r="C89" s="154"/>
      <c r="D89" s="154"/>
      <c r="E89" s="155"/>
      <c r="G89" s="152"/>
    </row>
    <row r="90" spans="1:10" x14ac:dyDescent="0.2">
      <c r="A90" s="84"/>
      <c r="B90" s="153"/>
      <c r="C90" s="156"/>
      <c r="D90" s="156"/>
      <c r="E90" s="84"/>
      <c r="G90" s="152"/>
    </row>
    <row r="91" spans="1:10" x14ac:dyDescent="0.2">
      <c r="A91" s="84"/>
      <c r="B91" s="153"/>
      <c r="C91" s="157"/>
      <c r="D91" s="157"/>
      <c r="E91" s="84"/>
      <c r="G91" s="15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C925-C17F-4F6D-939E-80D2538813CB}">
  <dimension ref="A1:I58"/>
  <sheetViews>
    <sheetView zoomScale="85" zoomScaleNormal="85" workbookViewId="0">
      <selection activeCell="K8" sqref="K8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566"/>
      <c r="B1" s="567"/>
      <c r="C1" s="572" t="s">
        <v>0</v>
      </c>
      <c r="D1" s="572"/>
      <c r="E1" s="572"/>
      <c r="F1" s="572"/>
      <c r="G1" s="572"/>
      <c r="H1" s="317" t="s">
        <v>1</v>
      </c>
      <c r="I1" s="318" t="s">
        <v>264</v>
      </c>
    </row>
    <row r="2" spans="1:9" ht="18" customHeight="1" thickBot="1" x14ac:dyDescent="0.35">
      <c r="A2" s="568"/>
      <c r="B2" s="569"/>
      <c r="C2" s="573" t="s">
        <v>2</v>
      </c>
      <c r="D2" s="574"/>
      <c r="E2" s="574"/>
      <c r="F2" s="574"/>
      <c r="G2" s="575"/>
      <c r="H2" s="319" t="s">
        <v>3</v>
      </c>
      <c r="I2" s="320" t="s">
        <v>265</v>
      </c>
    </row>
    <row r="3" spans="1:9" ht="31.5" customHeight="1" thickBot="1" x14ac:dyDescent="0.25">
      <c r="A3" s="568"/>
      <c r="B3" s="569"/>
      <c r="C3" s="576" t="s">
        <v>266</v>
      </c>
      <c r="D3" s="577"/>
      <c r="E3" s="577"/>
      <c r="F3" s="577"/>
      <c r="G3" s="578"/>
      <c r="H3" s="579" t="s">
        <v>4</v>
      </c>
      <c r="I3" s="560">
        <v>45613</v>
      </c>
    </row>
    <row r="4" spans="1:9" ht="18" customHeight="1" x14ac:dyDescent="0.3">
      <c r="A4" s="568"/>
      <c r="B4" s="569"/>
      <c r="C4" s="321" t="s">
        <v>5</v>
      </c>
      <c r="D4" s="563" t="s">
        <v>31</v>
      </c>
      <c r="E4" s="564"/>
      <c r="F4" s="564"/>
      <c r="G4" s="565"/>
      <c r="H4" s="580"/>
      <c r="I4" s="561"/>
    </row>
    <row r="5" spans="1:9" ht="18" thickBot="1" x14ac:dyDescent="0.35">
      <c r="A5" s="570"/>
      <c r="B5" s="571"/>
      <c r="C5" s="322" t="s">
        <v>6</v>
      </c>
      <c r="D5" s="510" t="s">
        <v>32</v>
      </c>
      <c r="E5" s="511"/>
      <c r="F5" s="511"/>
      <c r="G5" s="512"/>
      <c r="H5" s="581"/>
      <c r="I5" s="562"/>
    </row>
    <row r="6" spans="1:9" ht="16.5" thickBot="1" x14ac:dyDescent="0.3">
      <c r="A6" s="551" t="s">
        <v>33</v>
      </c>
      <c r="B6" s="551"/>
      <c r="C6" s="551"/>
      <c r="D6" s="552" t="s">
        <v>180</v>
      </c>
      <c r="E6" s="552"/>
      <c r="F6" s="552"/>
      <c r="G6" s="553" t="s">
        <v>35</v>
      </c>
      <c r="H6" s="553"/>
      <c r="I6" s="323" t="s">
        <v>267</v>
      </c>
    </row>
    <row r="7" spans="1:9" ht="15" x14ac:dyDescent="0.2">
      <c r="A7" s="554" t="s">
        <v>7</v>
      </c>
      <c r="B7" s="556" t="s">
        <v>36</v>
      </c>
      <c r="C7" s="558" t="s">
        <v>8</v>
      </c>
      <c r="D7" s="558" t="s">
        <v>9</v>
      </c>
      <c r="E7" s="558" t="s">
        <v>10</v>
      </c>
      <c r="F7" s="558"/>
      <c r="G7" s="558" t="s">
        <v>11</v>
      </c>
      <c r="H7" s="558"/>
      <c r="I7" s="324" t="s">
        <v>12</v>
      </c>
    </row>
    <row r="8" spans="1:9" ht="30.75" thickBot="1" x14ac:dyDescent="0.25">
      <c r="A8" s="555"/>
      <c r="B8" s="557"/>
      <c r="C8" s="559"/>
      <c r="D8" s="559"/>
      <c r="E8" s="325" t="s">
        <v>13</v>
      </c>
      <c r="F8" s="326" t="s">
        <v>14</v>
      </c>
      <c r="G8" s="325" t="s">
        <v>13</v>
      </c>
      <c r="H8" s="326" t="s">
        <v>14</v>
      </c>
      <c r="I8" s="327" t="s">
        <v>15</v>
      </c>
    </row>
    <row r="9" spans="1:9" ht="15.75" x14ac:dyDescent="0.25">
      <c r="A9" s="328"/>
      <c r="B9" s="329"/>
      <c r="C9" s="330" t="s">
        <v>163</v>
      </c>
      <c r="D9" s="331"/>
      <c r="E9" s="332"/>
      <c r="F9" s="333"/>
      <c r="G9" s="332"/>
      <c r="H9" s="333"/>
      <c r="I9" s="334"/>
    </row>
    <row r="10" spans="1:9" ht="18" customHeight="1" x14ac:dyDescent="0.3">
      <c r="A10" s="335">
        <v>310148</v>
      </c>
      <c r="B10" s="336" t="s">
        <v>268</v>
      </c>
      <c r="C10" s="337" t="s">
        <v>269</v>
      </c>
      <c r="D10" s="338" t="s">
        <v>270</v>
      </c>
      <c r="E10" s="339">
        <v>12800</v>
      </c>
      <c r="F10" s="340" t="s">
        <v>16</v>
      </c>
      <c r="G10" s="341"/>
      <c r="H10" s="342"/>
      <c r="I10" s="334"/>
    </row>
    <row r="11" spans="1:9" ht="17.25" x14ac:dyDescent="0.3">
      <c r="A11" s="335">
        <v>11400031</v>
      </c>
      <c r="B11" s="343" t="s">
        <v>271</v>
      </c>
      <c r="C11" s="344" t="s">
        <v>272</v>
      </c>
      <c r="D11" s="338" t="s">
        <v>270</v>
      </c>
      <c r="E11" s="345">
        <v>3200</v>
      </c>
      <c r="F11" s="346" t="s">
        <v>16</v>
      </c>
      <c r="G11" s="341"/>
      <c r="H11" s="342"/>
      <c r="I11" s="334"/>
    </row>
    <row r="12" spans="1:9" ht="17.25" x14ac:dyDescent="0.3">
      <c r="A12" s="335" t="s">
        <v>273</v>
      </c>
      <c r="B12" s="343"/>
      <c r="C12" s="344" t="s">
        <v>44</v>
      </c>
      <c r="D12" s="338" t="s">
        <v>274</v>
      </c>
      <c r="E12" s="345">
        <v>800</v>
      </c>
      <c r="F12" s="346" t="s">
        <v>16</v>
      </c>
      <c r="G12" s="347"/>
      <c r="H12" s="342"/>
      <c r="I12" s="334"/>
    </row>
    <row r="13" spans="1:9" ht="17.25" x14ac:dyDescent="0.3">
      <c r="A13" s="335">
        <v>1212410</v>
      </c>
      <c r="B13" s="343" t="s">
        <v>200</v>
      </c>
      <c r="C13" s="344" t="s">
        <v>275</v>
      </c>
      <c r="D13" s="338" t="s">
        <v>202</v>
      </c>
      <c r="E13" s="345">
        <v>12</v>
      </c>
      <c r="F13" s="346" t="s">
        <v>16</v>
      </c>
      <c r="G13" s="347"/>
      <c r="H13" s="342"/>
      <c r="I13" s="334"/>
    </row>
    <row r="14" spans="1:9" ht="17.25" x14ac:dyDescent="0.3">
      <c r="A14" s="348"/>
      <c r="B14" s="349"/>
      <c r="C14" s="350"/>
      <c r="D14" s="347"/>
      <c r="E14" s="347"/>
      <c r="F14" s="351"/>
      <c r="G14" s="347"/>
      <c r="H14" s="342"/>
      <c r="I14" s="334"/>
    </row>
    <row r="15" spans="1:9" ht="17.25" x14ac:dyDescent="0.3">
      <c r="A15" s="352"/>
      <c r="B15" s="349"/>
      <c r="C15" s="353"/>
      <c r="D15" s="347"/>
      <c r="E15" s="347"/>
      <c r="F15" s="351"/>
      <c r="G15" s="347"/>
      <c r="H15" s="342"/>
      <c r="I15" s="334"/>
    </row>
    <row r="16" spans="1:9" ht="17.25" x14ac:dyDescent="0.3">
      <c r="A16" s="347"/>
      <c r="B16" s="347"/>
      <c r="C16" s="354"/>
      <c r="D16" s="355"/>
      <c r="E16" s="355"/>
      <c r="F16" s="341"/>
      <c r="G16" s="347"/>
      <c r="H16" s="342"/>
      <c r="I16" s="334"/>
    </row>
    <row r="17" spans="1:9" ht="17.25" x14ac:dyDescent="0.3">
      <c r="A17" s="349"/>
      <c r="B17" s="349"/>
      <c r="C17" s="356"/>
      <c r="D17" s="347"/>
      <c r="E17" s="347"/>
      <c r="F17" s="351"/>
      <c r="G17" s="347"/>
      <c r="H17" s="342"/>
      <c r="I17" s="334"/>
    </row>
    <row r="18" spans="1:9" ht="17.25" x14ac:dyDescent="0.3">
      <c r="A18" s="348"/>
      <c r="B18" s="349"/>
      <c r="C18" s="350"/>
      <c r="D18" s="347"/>
      <c r="E18" s="347"/>
      <c r="F18" s="351"/>
      <c r="G18" s="347"/>
      <c r="H18" s="342"/>
      <c r="I18" s="334"/>
    </row>
    <row r="19" spans="1:9" ht="17.25" x14ac:dyDescent="0.3">
      <c r="A19" s="308"/>
      <c r="B19" s="308"/>
      <c r="C19" s="357"/>
      <c r="D19" s="358"/>
      <c r="E19" s="359"/>
      <c r="F19" s="360"/>
      <c r="G19" s="332"/>
      <c r="H19" s="342"/>
      <c r="I19" s="334"/>
    </row>
    <row r="20" spans="1:9" ht="15.75" x14ac:dyDescent="0.25">
      <c r="A20" s="361"/>
      <c r="B20" s="362"/>
      <c r="C20" s="205" t="s">
        <v>180</v>
      </c>
      <c r="D20" s="45"/>
      <c r="E20" s="363"/>
      <c r="F20" s="364"/>
      <c r="G20" s="332"/>
      <c r="H20" s="333"/>
      <c r="I20" s="334"/>
    </row>
    <row r="21" spans="1:9" ht="17.25" x14ac:dyDescent="0.3">
      <c r="A21" s="335"/>
      <c r="B21" s="365"/>
      <c r="C21" s="337"/>
      <c r="D21" s="338"/>
      <c r="E21" s="345"/>
      <c r="F21" s="346"/>
      <c r="G21" s="332"/>
      <c r="H21" s="333"/>
      <c r="I21" s="334"/>
    </row>
    <row r="22" spans="1:9" ht="17.25" x14ac:dyDescent="0.3">
      <c r="A22" s="335"/>
      <c r="B22" s="365"/>
      <c r="C22" s="337"/>
      <c r="D22" s="338"/>
      <c r="E22" s="366"/>
      <c r="F22" s="346"/>
      <c r="G22" s="332"/>
      <c r="H22" s="333"/>
      <c r="I22" s="334"/>
    </row>
    <row r="23" spans="1:9" ht="17.25" x14ac:dyDescent="0.3">
      <c r="A23" s="335"/>
      <c r="B23" s="365"/>
      <c r="C23" s="337"/>
      <c r="D23" s="338"/>
      <c r="E23" s="345"/>
      <c r="F23" s="346"/>
      <c r="G23" s="332"/>
      <c r="H23" s="333"/>
      <c r="I23" s="334"/>
    </row>
    <row r="24" spans="1:9" ht="17.25" x14ac:dyDescent="0.3">
      <c r="A24" s="335"/>
      <c r="B24" s="365"/>
      <c r="C24" s="337"/>
      <c r="D24" s="338"/>
      <c r="E24" s="367"/>
      <c r="F24" s="368"/>
      <c r="G24" s="332"/>
      <c r="H24" s="333"/>
      <c r="I24" s="334"/>
    </row>
    <row r="25" spans="1:9" ht="17.25" x14ac:dyDescent="0.3">
      <c r="A25" s="335"/>
      <c r="B25" s="365"/>
      <c r="C25" s="337"/>
      <c r="D25" s="338"/>
      <c r="E25" s="339"/>
      <c r="F25" s="368"/>
      <c r="G25" s="332"/>
      <c r="H25" s="333"/>
      <c r="I25" s="334"/>
    </row>
    <row r="26" spans="1:9" ht="17.25" x14ac:dyDescent="0.3">
      <c r="A26" s="369"/>
      <c r="B26" s="369"/>
      <c r="C26" s="370"/>
      <c r="D26" s="371"/>
      <c r="E26" s="372"/>
      <c r="F26" s="373"/>
      <c r="G26" s="332"/>
      <c r="H26" s="333"/>
      <c r="I26" s="334"/>
    </row>
    <row r="27" spans="1:9" ht="17.25" x14ac:dyDescent="0.3">
      <c r="A27" s="308"/>
      <c r="B27" s="308"/>
      <c r="C27" s="357"/>
      <c r="D27" s="374"/>
      <c r="E27" s="375"/>
      <c r="F27" s="373"/>
      <c r="G27" s="332"/>
      <c r="H27" s="333"/>
      <c r="I27" s="334"/>
    </row>
    <row r="28" spans="1:9" ht="17.25" x14ac:dyDescent="0.3">
      <c r="A28" s="308"/>
      <c r="B28" s="308"/>
      <c r="C28" s="357"/>
      <c r="D28" s="374"/>
      <c r="E28" s="366"/>
      <c r="F28" s="376"/>
      <c r="G28" s="332"/>
      <c r="H28" s="333"/>
      <c r="I28" s="334"/>
    </row>
    <row r="29" spans="1:9" ht="15.75" x14ac:dyDescent="0.25">
      <c r="A29" s="377"/>
      <c r="B29" s="378"/>
      <c r="C29" s="218" t="s">
        <v>181</v>
      </c>
      <c r="D29" s="379"/>
      <c r="E29" s="380"/>
      <c r="F29" s="333"/>
      <c r="G29" s="332"/>
      <c r="H29" s="370"/>
      <c r="I29" s="334"/>
    </row>
    <row r="30" spans="1:9" ht="17.25" x14ac:dyDescent="0.3">
      <c r="A30" s="381">
        <v>702123</v>
      </c>
      <c r="B30" s="381" t="s">
        <v>59</v>
      </c>
      <c r="C30" s="382" t="s">
        <v>145</v>
      </c>
      <c r="D30" s="383" t="s">
        <v>276</v>
      </c>
      <c r="E30" s="384">
        <v>1</v>
      </c>
      <c r="F30" s="385" t="s">
        <v>56</v>
      </c>
      <c r="G30" s="386"/>
      <c r="H30" s="333"/>
      <c r="I30" s="334"/>
    </row>
    <row r="31" spans="1:9" ht="17.25" x14ac:dyDescent="0.3">
      <c r="A31" s="381"/>
      <c r="B31" s="381"/>
      <c r="C31" s="382"/>
      <c r="D31" s="383"/>
      <c r="E31" s="384"/>
      <c r="F31" s="385"/>
      <c r="G31" s="386"/>
      <c r="H31" s="333"/>
      <c r="I31" s="334"/>
    </row>
    <row r="32" spans="1:9" ht="17.25" x14ac:dyDescent="0.3">
      <c r="A32" s="381"/>
      <c r="B32" s="381"/>
      <c r="C32" s="382"/>
      <c r="D32" s="383"/>
      <c r="E32" s="384"/>
      <c r="F32" s="385"/>
      <c r="G32" s="386"/>
      <c r="H32" s="333"/>
      <c r="I32" s="334"/>
    </row>
    <row r="33" spans="1:9" ht="15.75" x14ac:dyDescent="0.25">
      <c r="A33" s="387"/>
      <c r="B33" s="387"/>
      <c r="C33" s="388"/>
      <c r="D33" s="206"/>
      <c r="E33" s="389"/>
      <c r="F33" s="390"/>
      <c r="G33" s="332"/>
      <c r="H33" s="333"/>
      <c r="I33" s="334"/>
    </row>
    <row r="34" spans="1:9" ht="15.75" x14ac:dyDescent="0.25">
      <c r="A34" s="387"/>
      <c r="B34" s="387"/>
      <c r="C34" s="391"/>
      <c r="D34" s="206"/>
      <c r="E34" s="206"/>
      <c r="F34" s="390"/>
      <c r="G34" s="332"/>
      <c r="H34" s="333"/>
      <c r="I34" s="334"/>
    </row>
    <row r="35" spans="1:9" ht="15.75" x14ac:dyDescent="0.25">
      <c r="A35" s="387"/>
      <c r="B35" s="387"/>
      <c r="C35" s="391"/>
      <c r="D35" s="206"/>
      <c r="E35" s="206"/>
      <c r="F35" s="390"/>
      <c r="G35" s="392"/>
      <c r="H35" s="333"/>
      <c r="I35" s="334"/>
    </row>
    <row r="36" spans="1:9" ht="15.75" x14ac:dyDescent="0.25">
      <c r="A36" s="393"/>
      <c r="B36" s="394"/>
      <c r="C36" s="395"/>
      <c r="D36" s="396"/>
      <c r="E36" s="396"/>
      <c r="F36" s="397"/>
      <c r="G36" s="283"/>
      <c r="H36" s="333"/>
      <c r="I36" s="334"/>
    </row>
    <row r="37" spans="1:9" ht="15.75" x14ac:dyDescent="0.25">
      <c r="A37" s="361"/>
      <c r="B37" s="362"/>
      <c r="C37" s="382"/>
      <c r="D37" s="206"/>
      <c r="E37" s="283"/>
      <c r="F37" s="364"/>
      <c r="G37" s="283"/>
      <c r="H37" s="333"/>
      <c r="I37" s="334"/>
    </row>
    <row r="38" spans="1:9" ht="15.75" x14ac:dyDescent="0.25">
      <c r="A38" s="361"/>
      <c r="B38" s="362"/>
      <c r="C38" s="382"/>
      <c r="D38" s="45"/>
      <c r="E38" s="45"/>
      <c r="F38" s="364"/>
      <c r="G38" s="45"/>
      <c r="H38" s="45"/>
      <c r="I38" s="334"/>
    </row>
    <row r="39" spans="1:9" ht="18" thickBot="1" x14ac:dyDescent="0.35">
      <c r="A39" s="398"/>
      <c r="B39" s="399"/>
      <c r="C39" s="400"/>
      <c r="D39" s="400"/>
      <c r="E39" s="401"/>
      <c r="F39" s="402"/>
      <c r="G39" s="400"/>
      <c r="H39" s="400"/>
      <c r="I39" s="403"/>
    </row>
    <row r="40" spans="1:9" ht="18" thickBot="1" x14ac:dyDescent="0.35">
      <c r="A40" s="404"/>
      <c r="B40" s="405"/>
      <c r="C40" s="406"/>
      <c r="D40" s="407" t="s">
        <v>13</v>
      </c>
      <c r="E40" s="408" t="s">
        <v>18</v>
      </c>
      <c r="F40" s="409"/>
      <c r="G40" s="406"/>
      <c r="H40" s="406"/>
      <c r="I40" s="410"/>
    </row>
    <row r="41" spans="1:9" ht="17.25" x14ac:dyDescent="0.3">
      <c r="A41" s="545" t="s">
        <v>19</v>
      </c>
      <c r="B41" s="546"/>
      <c r="C41" s="547"/>
      <c r="D41" s="375">
        <v>16597</v>
      </c>
      <c r="E41" s="411" t="s">
        <v>16</v>
      </c>
      <c r="F41" s="548" t="s">
        <v>20</v>
      </c>
      <c r="G41" s="548"/>
      <c r="H41" s="549"/>
      <c r="I41" s="550"/>
    </row>
    <row r="42" spans="1:9" ht="17.25" x14ac:dyDescent="0.3">
      <c r="A42" s="528" t="s">
        <v>21</v>
      </c>
      <c r="B42" s="529"/>
      <c r="C42" s="530"/>
      <c r="D42" s="347">
        <v>17</v>
      </c>
      <c r="E42" s="347" t="s">
        <v>22</v>
      </c>
      <c r="F42" s="531" t="s">
        <v>23</v>
      </c>
      <c r="G42" s="531"/>
      <c r="H42" s="532"/>
      <c r="I42" s="533"/>
    </row>
    <row r="43" spans="1:9" ht="17.25" x14ac:dyDescent="0.3">
      <c r="A43" s="528" t="s">
        <v>24</v>
      </c>
      <c r="B43" s="529"/>
      <c r="C43" s="530"/>
      <c r="D43" s="347">
        <v>1</v>
      </c>
      <c r="E43" s="347" t="s">
        <v>222</v>
      </c>
      <c r="F43" s="531" t="s">
        <v>25</v>
      </c>
      <c r="G43" s="531"/>
      <c r="H43" s="532"/>
      <c r="I43" s="533"/>
    </row>
    <row r="44" spans="1:9" ht="17.25" x14ac:dyDescent="0.3">
      <c r="A44" s="528" t="s">
        <v>26</v>
      </c>
      <c r="B44" s="529"/>
      <c r="C44" s="530"/>
      <c r="D44" s="366">
        <v>16597</v>
      </c>
      <c r="E44" s="347" t="s">
        <v>16</v>
      </c>
      <c r="F44" s="534" t="s">
        <v>27</v>
      </c>
      <c r="G44" s="535"/>
      <c r="H44" s="536"/>
      <c r="I44" s="537"/>
    </row>
    <row r="45" spans="1:9" ht="18" thickBot="1" x14ac:dyDescent="0.35">
      <c r="A45" s="538" t="s">
        <v>28</v>
      </c>
      <c r="B45" s="539"/>
      <c r="C45" s="540"/>
      <c r="D45" s="412">
        <v>215</v>
      </c>
      <c r="E45" s="413" t="s">
        <v>16</v>
      </c>
      <c r="F45" s="541"/>
      <c r="G45" s="541"/>
      <c r="H45" s="532"/>
      <c r="I45" s="533"/>
    </row>
    <row r="46" spans="1:9" ht="15.75" thickBot="1" x14ac:dyDescent="0.25">
      <c r="A46" s="542" t="s">
        <v>29</v>
      </c>
      <c r="B46" s="543"/>
      <c r="C46" s="543"/>
      <c r="D46" s="543"/>
      <c r="E46" s="543"/>
      <c r="F46" s="543"/>
      <c r="G46" s="543"/>
      <c r="H46" s="543"/>
      <c r="I46" s="544"/>
    </row>
    <row r="47" spans="1:9" ht="18.399999999999999" customHeight="1" x14ac:dyDescent="0.25">
      <c r="A47" s="515" t="s">
        <v>277</v>
      </c>
      <c r="B47" s="516"/>
      <c r="C47" s="516"/>
      <c r="D47" s="516"/>
      <c r="E47" s="516"/>
      <c r="F47" s="516"/>
      <c r="G47" s="516"/>
      <c r="H47" s="516"/>
      <c r="I47" s="517"/>
    </row>
    <row r="48" spans="1:9" ht="14.65" customHeight="1" x14ac:dyDescent="0.25">
      <c r="A48" s="515" t="s">
        <v>278</v>
      </c>
      <c r="B48" s="516"/>
      <c r="C48" s="516"/>
      <c r="D48" s="516"/>
      <c r="E48" s="516"/>
      <c r="F48" s="516"/>
      <c r="G48" s="516"/>
      <c r="H48" s="516"/>
      <c r="I48" s="517"/>
    </row>
    <row r="49" spans="1:9" ht="14.65" customHeight="1" x14ac:dyDescent="0.25">
      <c r="A49" s="515" t="s">
        <v>279</v>
      </c>
      <c r="B49" s="516"/>
      <c r="C49" s="516"/>
      <c r="D49" s="516"/>
      <c r="E49" s="516"/>
      <c r="F49" s="516"/>
      <c r="G49" s="516"/>
      <c r="H49" s="516"/>
      <c r="I49" s="517"/>
    </row>
    <row r="50" spans="1:9" ht="14.65" customHeight="1" x14ac:dyDescent="0.25">
      <c r="A50" s="515" t="s">
        <v>280</v>
      </c>
      <c r="B50" s="516"/>
      <c r="C50" s="516"/>
      <c r="D50" s="516"/>
      <c r="E50" s="516"/>
      <c r="F50" s="516"/>
      <c r="G50" s="516"/>
      <c r="H50" s="516"/>
      <c r="I50" s="517"/>
    </row>
    <row r="51" spans="1:9" ht="14.65" customHeight="1" x14ac:dyDescent="0.25">
      <c r="A51" s="515" t="s">
        <v>281</v>
      </c>
      <c r="B51" s="516"/>
      <c r="C51" s="516"/>
      <c r="D51" s="516"/>
      <c r="E51" s="516"/>
      <c r="F51" s="516"/>
      <c r="G51" s="516"/>
      <c r="H51" s="516"/>
      <c r="I51" s="517"/>
    </row>
    <row r="52" spans="1:9" ht="14.65" customHeight="1" x14ac:dyDescent="0.3">
      <c r="A52" s="518"/>
      <c r="B52" s="519"/>
      <c r="C52" s="520"/>
      <c r="D52" s="520"/>
      <c r="E52" s="520"/>
      <c r="F52" s="520"/>
      <c r="G52" s="520"/>
      <c r="H52" s="520"/>
      <c r="I52" s="521"/>
    </row>
    <row r="53" spans="1:9" ht="18" customHeight="1" x14ac:dyDescent="0.3">
      <c r="A53" s="522"/>
      <c r="B53" s="523"/>
      <c r="C53" s="523"/>
      <c r="D53" s="523"/>
      <c r="E53" s="523"/>
      <c r="F53" s="523"/>
      <c r="G53" s="523"/>
      <c r="H53" s="523"/>
      <c r="I53" s="524"/>
    </row>
    <row r="54" spans="1:9" ht="18" thickBot="1" x14ac:dyDescent="0.35">
      <c r="A54" s="525"/>
      <c r="B54" s="526"/>
      <c r="C54" s="526"/>
      <c r="D54" s="526"/>
      <c r="E54" s="526"/>
      <c r="F54" s="526"/>
      <c r="G54" s="526"/>
      <c r="H54" s="526"/>
      <c r="I54" s="527"/>
    </row>
    <row r="55" spans="1:9" ht="16.5" thickBot="1" x14ac:dyDescent="0.3">
      <c r="A55" s="505"/>
      <c r="B55" s="506"/>
      <c r="C55" s="506"/>
      <c r="D55" s="506"/>
      <c r="E55" s="506"/>
      <c r="F55" s="506"/>
      <c r="G55" s="506"/>
      <c r="H55" s="506"/>
      <c r="I55" s="507"/>
    </row>
    <row r="56" spans="1:9" ht="15" x14ac:dyDescent="0.2">
      <c r="A56" s="508" t="s">
        <v>40</v>
      </c>
      <c r="B56" s="509"/>
      <c r="C56" s="509"/>
      <c r="D56" s="509"/>
      <c r="E56" s="509"/>
      <c r="F56" s="509"/>
      <c r="G56" s="509"/>
      <c r="H56" s="509"/>
      <c r="I56" s="509"/>
    </row>
    <row r="57" spans="1:9" ht="17.25" x14ac:dyDescent="0.3">
      <c r="A57" s="510" t="s">
        <v>282</v>
      </c>
      <c r="B57" s="511"/>
      <c r="C57" s="511"/>
      <c r="D57" s="511"/>
      <c r="E57" s="511"/>
      <c r="F57" s="511"/>
      <c r="G57" s="511"/>
      <c r="H57" s="511"/>
      <c r="I57" s="512"/>
    </row>
    <row r="58" spans="1:9" ht="17.25" x14ac:dyDescent="0.3">
      <c r="A58" s="513"/>
      <c r="B58" s="514"/>
      <c r="C58" s="514"/>
      <c r="D58" s="514"/>
      <c r="E58" s="514"/>
      <c r="F58" s="514"/>
      <c r="G58" s="514"/>
      <c r="H58" s="514"/>
      <c r="I58" s="51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4320-4BDD-4E44-8A70-41BF2BA19964}">
  <dimension ref="A1:I64"/>
  <sheetViews>
    <sheetView workbookViewId="0">
      <selection activeCell="C22" sqref="C2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642"/>
      <c r="B1" s="643"/>
      <c r="C1" s="648" t="s">
        <v>0</v>
      </c>
      <c r="D1" s="648"/>
      <c r="E1" s="648"/>
      <c r="F1" s="648"/>
      <c r="G1" s="648"/>
      <c r="H1" s="158" t="s">
        <v>1</v>
      </c>
      <c r="I1" s="291" t="s">
        <v>240</v>
      </c>
    </row>
    <row r="2" spans="1:9" ht="15.75" x14ac:dyDescent="0.25">
      <c r="A2" s="644"/>
      <c r="B2" s="645"/>
      <c r="C2" s="649" t="s">
        <v>2</v>
      </c>
      <c r="D2" s="649"/>
      <c r="E2" s="649"/>
      <c r="F2" s="649"/>
      <c r="G2" s="649"/>
      <c r="H2" s="161" t="s">
        <v>3</v>
      </c>
      <c r="I2" s="162" t="s">
        <v>147</v>
      </c>
    </row>
    <row r="3" spans="1:9" ht="16.149999999999999" customHeight="1" thickBot="1" x14ac:dyDescent="0.25">
      <c r="A3" s="644"/>
      <c r="B3" s="645"/>
      <c r="C3" s="650" t="s">
        <v>241</v>
      </c>
      <c r="D3" s="651"/>
      <c r="E3" s="651"/>
      <c r="F3" s="651"/>
      <c r="G3" s="652"/>
      <c r="H3" s="653" t="s">
        <v>4</v>
      </c>
      <c r="I3" s="633">
        <v>45609</v>
      </c>
    </row>
    <row r="4" spans="1:9" ht="13.5" x14ac:dyDescent="0.25">
      <c r="A4" s="644"/>
      <c r="B4" s="645"/>
      <c r="C4" s="163" t="s">
        <v>5</v>
      </c>
      <c r="D4" s="636" t="s">
        <v>31</v>
      </c>
      <c r="E4" s="637"/>
      <c r="F4" s="637"/>
      <c r="G4" s="638"/>
      <c r="H4" s="654"/>
      <c r="I4" s="634"/>
    </row>
    <row r="5" spans="1:9" ht="14.25" thickBot="1" x14ac:dyDescent="0.3">
      <c r="A5" s="646"/>
      <c r="B5" s="647"/>
      <c r="C5" s="166" t="s">
        <v>6</v>
      </c>
      <c r="D5" s="639" t="s">
        <v>32</v>
      </c>
      <c r="E5" s="640"/>
      <c r="F5" s="640"/>
      <c r="G5" s="641"/>
      <c r="H5" s="655"/>
      <c r="I5" s="635"/>
    </row>
    <row r="6" spans="1:9" ht="18.75" thickBot="1" x14ac:dyDescent="0.3">
      <c r="A6" s="624" t="s">
        <v>33</v>
      </c>
      <c r="B6" s="624"/>
      <c r="C6" s="624"/>
      <c r="D6" s="625" t="s">
        <v>48</v>
      </c>
      <c r="E6" s="625"/>
      <c r="F6" s="625"/>
      <c r="G6" s="626" t="s">
        <v>35</v>
      </c>
      <c r="H6" s="626"/>
      <c r="I6" s="15" t="s">
        <v>48</v>
      </c>
    </row>
    <row r="7" spans="1:9" x14ac:dyDescent="0.2">
      <c r="A7" s="627" t="s">
        <v>7</v>
      </c>
      <c r="B7" s="629" t="s">
        <v>36</v>
      </c>
      <c r="C7" s="631" t="s">
        <v>8</v>
      </c>
      <c r="D7" s="631" t="s">
        <v>9</v>
      </c>
      <c r="E7" s="631" t="s">
        <v>10</v>
      </c>
      <c r="F7" s="631"/>
      <c r="G7" s="631" t="s">
        <v>11</v>
      </c>
      <c r="H7" s="631"/>
      <c r="I7" s="16" t="s">
        <v>12</v>
      </c>
    </row>
    <row r="8" spans="1:9" ht="26.25" thickBot="1" x14ac:dyDescent="0.25">
      <c r="A8" s="628"/>
      <c r="B8" s="630"/>
      <c r="C8" s="632"/>
      <c r="D8" s="632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5" x14ac:dyDescent="0.25">
      <c r="A9" s="20"/>
      <c r="B9" s="192"/>
      <c r="C9" s="191" t="s">
        <v>163</v>
      </c>
      <c r="D9" s="21"/>
      <c r="E9" s="22"/>
      <c r="F9" s="23"/>
      <c r="G9" s="22"/>
      <c r="H9" s="23"/>
      <c r="I9" s="24"/>
    </row>
    <row r="10" spans="1:9" ht="16.149999999999999" customHeight="1" x14ac:dyDescent="0.25">
      <c r="A10" s="292" t="s">
        <v>242</v>
      </c>
      <c r="B10" s="293" t="s">
        <v>61</v>
      </c>
      <c r="C10" s="294" t="s">
        <v>243</v>
      </c>
      <c r="D10" s="295" t="s">
        <v>244</v>
      </c>
      <c r="E10" s="295">
        <v>72000</v>
      </c>
      <c r="F10" s="295" t="s">
        <v>16</v>
      </c>
      <c r="G10" s="284"/>
      <c r="H10" s="196"/>
      <c r="I10" s="24"/>
    </row>
    <row r="11" spans="1:9" ht="15.75" x14ac:dyDescent="0.25">
      <c r="A11" s="292">
        <v>1110414</v>
      </c>
      <c r="B11" s="293" t="s">
        <v>245</v>
      </c>
      <c r="C11" s="296" t="s">
        <v>246</v>
      </c>
      <c r="D11" s="295" t="s">
        <v>244</v>
      </c>
      <c r="E11" s="295">
        <v>13000</v>
      </c>
      <c r="F11" s="295" t="s">
        <v>16</v>
      </c>
      <c r="G11" s="284"/>
      <c r="H11" s="196"/>
      <c r="I11" s="24"/>
    </row>
    <row r="12" spans="1:9" ht="15.75" x14ac:dyDescent="0.25">
      <c r="A12" s="292" t="s">
        <v>247</v>
      </c>
      <c r="B12" s="293" t="s">
        <v>203</v>
      </c>
      <c r="C12" s="296" t="s">
        <v>248</v>
      </c>
      <c r="D12" s="295" t="s">
        <v>249</v>
      </c>
      <c r="E12" s="295">
        <v>1700</v>
      </c>
      <c r="F12" s="295" t="s">
        <v>16</v>
      </c>
      <c r="G12" s="284"/>
      <c r="H12" s="196"/>
      <c r="I12" s="24"/>
    </row>
    <row r="13" spans="1:9" ht="15.75" x14ac:dyDescent="0.25">
      <c r="A13" s="297">
        <v>10200035</v>
      </c>
      <c r="B13" s="297" t="s">
        <v>250</v>
      </c>
      <c r="C13" s="296" t="s">
        <v>251</v>
      </c>
      <c r="D13" s="295" t="s">
        <v>252</v>
      </c>
      <c r="E13" s="295">
        <v>1000</v>
      </c>
      <c r="F13" s="295" t="s">
        <v>16</v>
      </c>
      <c r="G13" s="284"/>
      <c r="H13" s="196"/>
      <c r="I13" s="24"/>
    </row>
    <row r="14" spans="1:9" ht="15.75" x14ac:dyDescent="0.25">
      <c r="A14" s="292" t="s">
        <v>253</v>
      </c>
      <c r="B14" s="293" t="s">
        <v>254</v>
      </c>
      <c r="C14" s="296" t="s">
        <v>255</v>
      </c>
      <c r="D14" s="295" t="s">
        <v>256</v>
      </c>
      <c r="E14" s="295">
        <v>1320</v>
      </c>
      <c r="F14" s="295" t="s">
        <v>16</v>
      </c>
      <c r="G14" s="284"/>
      <c r="H14" s="196"/>
      <c r="I14" s="24"/>
    </row>
    <row r="15" spans="1:9" ht="16.5" x14ac:dyDescent="0.3">
      <c r="A15" s="298">
        <v>1212410</v>
      </c>
      <c r="B15" s="298" t="s">
        <v>200</v>
      </c>
      <c r="C15" s="299" t="s">
        <v>257</v>
      </c>
      <c r="D15" s="300" t="s">
        <v>202</v>
      </c>
      <c r="E15" s="301">
        <v>270</v>
      </c>
      <c r="F15" s="295" t="s">
        <v>16</v>
      </c>
      <c r="G15" s="284"/>
      <c r="H15" s="196"/>
      <c r="I15" s="24"/>
    </row>
    <row r="16" spans="1:9" ht="15" x14ac:dyDescent="0.25">
      <c r="A16" s="302"/>
      <c r="B16" s="303"/>
      <c r="C16" s="304"/>
      <c r="D16" s="305"/>
      <c r="E16" s="306"/>
      <c r="F16" s="306"/>
      <c r="G16" s="307"/>
      <c r="H16" s="196"/>
      <c r="I16" s="24"/>
    </row>
    <row r="17" spans="1:9" ht="15" x14ac:dyDescent="0.25">
      <c r="A17" s="302"/>
      <c r="B17" s="303"/>
      <c r="C17" s="304"/>
      <c r="D17" s="305"/>
      <c r="E17" s="306"/>
      <c r="F17" s="306"/>
      <c r="G17" s="307"/>
      <c r="H17" s="196"/>
      <c r="I17" s="24"/>
    </row>
    <row r="18" spans="1:9" ht="15" x14ac:dyDescent="0.25">
      <c r="A18" s="302"/>
      <c r="B18" s="303"/>
      <c r="C18" s="304"/>
      <c r="D18" s="305"/>
      <c r="E18" s="306"/>
      <c r="F18" s="306"/>
      <c r="G18" s="307"/>
      <c r="H18" s="196"/>
      <c r="I18" s="24"/>
    </row>
    <row r="19" spans="1:9" ht="15" x14ac:dyDescent="0.25">
      <c r="A19" s="302"/>
      <c r="B19" s="303"/>
      <c r="C19" s="304"/>
      <c r="D19" s="305"/>
      <c r="E19" s="306"/>
      <c r="F19" s="306"/>
      <c r="G19" s="307"/>
      <c r="H19" s="196"/>
      <c r="I19" s="24"/>
    </row>
    <row r="20" spans="1:9" ht="15" x14ac:dyDescent="0.25">
      <c r="A20" s="302"/>
      <c r="B20" s="303"/>
      <c r="C20" s="304"/>
      <c r="D20" s="305"/>
      <c r="E20" s="306"/>
      <c r="F20" s="306"/>
      <c r="G20" s="307"/>
      <c r="H20" s="196"/>
      <c r="I20" s="24"/>
    </row>
    <row r="21" spans="1:9" ht="15" x14ac:dyDescent="0.25">
      <c r="A21" s="302"/>
      <c r="B21" s="303"/>
      <c r="C21" s="304"/>
      <c r="D21" s="305"/>
      <c r="E21" s="306"/>
      <c r="F21" s="306"/>
      <c r="G21" s="307"/>
      <c r="H21" s="196"/>
      <c r="I21" s="24"/>
    </row>
    <row r="22" spans="1:9" ht="15" x14ac:dyDescent="0.25">
      <c r="A22" s="302"/>
      <c r="B22" s="303"/>
      <c r="C22" s="304"/>
      <c r="D22" s="305"/>
      <c r="E22" s="306"/>
      <c r="F22" s="306"/>
      <c r="G22" s="307"/>
      <c r="H22" s="196"/>
      <c r="I22" s="24"/>
    </row>
    <row r="23" spans="1:9" ht="15" x14ac:dyDescent="0.25">
      <c r="A23" s="302"/>
      <c r="B23" s="303"/>
      <c r="C23" s="304"/>
      <c r="D23" s="305"/>
      <c r="E23" s="306"/>
      <c r="F23" s="306"/>
      <c r="G23" s="307"/>
      <c r="H23" s="196"/>
      <c r="I23" s="24"/>
    </row>
    <row r="24" spans="1:9" ht="15" x14ac:dyDescent="0.25">
      <c r="A24" s="302"/>
      <c r="B24" s="303"/>
      <c r="C24" s="304"/>
      <c r="D24" s="305"/>
      <c r="E24" s="306"/>
      <c r="F24" s="306"/>
      <c r="G24" s="307"/>
      <c r="H24" s="196"/>
      <c r="I24" s="24"/>
    </row>
    <row r="25" spans="1:9" ht="15.75" x14ac:dyDescent="0.25">
      <c r="A25" s="11"/>
      <c r="B25" s="11"/>
      <c r="D25" s="27"/>
      <c r="E25" s="308"/>
      <c r="F25" s="308"/>
      <c r="G25" s="22"/>
      <c r="H25" s="196"/>
      <c r="I25" s="24"/>
    </row>
    <row r="26" spans="1:9" ht="15" x14ac:dyDescent="0.25">
      <c r="A26" s="12"/>
      <c r="B26" s="12"/>
      <c r="C26" s="255"/>
      <c r="D26" s="27"/>
      <c r="E26" s="27"/>
      <c r="F26" s="29"/>
      <c r="G26" s="22"/>
      <c r="H26" s="196"/>
      <c r="I26" s="24"/>
    </row>
    <row r="27" spans="1:9" ht="15.75" x14ac:dyDescent="0.25">
      <c r="A27" s="30"/>
      <c r="B27" s="31"/>
      <c r="C27" s="205" t="s">
        <v>180</v>
      </c>
      <c r="D27" s="28" t="s">
        <v>182</v>
      </c>
      <c r="E27" s="211"/>
      <c r="F27" s="29"/>
      <c r="G27" s="22"/>
      <c r="H27" s="196"/>
      <c r="I27" s="24"/>
    </row>
    <row r="28" spans="1:9" ht="15" x14ac:dyDescent="0.25">
      <c r="A28" s="256"/>
      <c r="B28" s="252"/>
      <c r="C28" s="257"/>
      <c r="D28" s="258" t="s">
        <v>182</v>
      </c>
      <c r="E28" s="27"/>
      <c r="F28" s="29"/>
      <c r="G28" s="22"/>
      <c r="H28" s="196"/>
      <c r="I28" s="24"/>
    </row>
    <row r="29" spans="1:9" ht="15" x14ac:dyDescent="0.25">
      <c r="A29" s="12"/>
      <c r="B29" s="12"/>
      <c r="C29" s="255"/>
      <c r="D29" s="258" t="s">
        <v>182</v>
      </c>
      <c r="E29" s="27"/>
      <c r="F29" s="29"/>
      <c r="G29" s="22"/>
      <c r="H29" s="196"/>
      <c r="I29" s="24"/>
    </row>
    <row r="30" spans="1:9" ht="15" x14ac:dyDescent="0.25">
      <c r="A30" s="259"/>
      <c r="B30" s="259"/>
      <c r="C30" s="257"/>
      <c r="D30" s="258" t="s">
        <v>182</v>
      </c>
      <c r="E30" s="27"/>
      <c r="F30" s="29"/>
      <c r="G30" s="22"/>
      <c r="H30" s="196"/>
      <c r="I30" s="24"/>
    </row>
    <row r="31" spans="1:9" ht="15" x14ac:dyDescent="0.25">
      <c r="A31" s="12"/>
      <c r="B31" s="12"/>
      <c r="C31" s="255"/>
      <c r="D31" s="27" t="s">
        <v>182</v>
      </c>
      <c r="E31" s="28"/>
      <c r="F31" s="29"/>
      <c r="G31" s="22"/>
      <c r="H31" s="196"/>
      <c r="I31" s="24"/>
    </row>
    <row r="32" spans="1:9" ht="15" x14ac:dyDescent="0.25">
      <c r="A32" s="12"/>
      <c r="B32" s="12"/>
      <c r="C32" s="255"/>
      <c r="D32" s="249" t="s">
        <v>182</v>
      </c>
      <c r="E32" s="260"/>
      <c r="F32" s="261"/>
      <c r="G32" s="22"/>
      <c r="H32" s="196"/>
      <c r="I32" s="24"/>
    </row>
    <row r="33" spans="1:9" ht="15.75" x14ac:dyDescent="0.25">
      <c r="A33" s="216"/>
      <c r="B33" s="217"/>
      <c r="C33" s="218" t="s">
        <v>181</v>
      </c>
      <c r="D33" s="219" t="s">
        <v>182</v>
      </c>
      <c r="E33" s="22"/>
      <c r="F33" s="23"/>
      <c r="G33" s="22"/>
      <c r="H33" s="196"/>
      <c r="I33" s="24"/>
    </row>
    <row r="34" spans="1:9" ht="15" x14ac:dyDescent="0.25">
      <c r="A34" s="302"/>
      <c r="B34" s="303"/>
      <c r="C34" s="304"/>
      <c r="D34" s="305"/>
      <c r="E34" s="294"/>
      <c r="F34" s="294"/>
      <c r="G34" s="309"/>
      <c r="H34" s="196"/>
      <c r="I34" s="24"/>
    </row>
    <row r="35" spans="1:9" ht="15" x14ac:dyDescent="0.25">
      <c r="A35" s="302"/>
      <c r="B35" s="303"/>
      <c r="C35" s="304"/>
      <c r="D35" s="305"/>
      <c r="E35" s="294"/>
      <c r="F35" s="294"/>
      <c r="G35" s="309"/>
      <c r="H35" s="196"/>
      <c r="I35" s="24"/>
    </row>
    <row r="36" spans="1:9" ht="15" x14ac:dyDescent="0.25">
      <c r="A36" s="310"/>
      <c r="B36" s="311"/>
      <c r="C36" s="312"/>
      <c r="D36" s="313"/>
      <c r="E36" s="39"/>
      <c r="F36" s="40"/>
      <c r="G36" s="22"/>
      <c r="H36" s="196"/>
      <c r="I36" s="24"/>
    </row>
    <row r="37" spans="1:9" ht="15" x14ac:dyDescent="0.25">
      <c r="A37" s="314"/>
      <c r="B37" s="314"/>
      <c r="C37" s="255"/>
      <c r="D37" s="28"/>
      <c r="E37" s="27"/>
      <c r="F37" s="29"/>
      <c r="G37" s="22"/>
      <c r="H37" s="23"/>
      <c r="I37" s="24"/>
    </row>
    <row r="38" spans="1:9" ht="15" x14ac:dyDescent="0.25">
      <c r="A38" s="280"/>
      <c r="B38" s="281"/>
      <c r="C38" s="282"/>
      <c r="D38" s="28"/>
      <c r="E38" s="27"/>
      <c r="F38" s="29"/>
      <c r="G38" s="22"/>
      <c r="H38" s="23"/>
      <c r="I38" s="24"/>
    </row>
    <row r="39" spans="1:9" ht="15.75" x14ac:dyDescent="0.25">
      <c r="A39" s="280"/>
      <c r="B39" s="281"/>
      <c r="C39" s="282"/>
      <c r="D39" s="45"/>
      <c r="E39" s="27"/>
      <c r="F39" s="29"/>
      <c r="G39" s="43"/>
      <c r="H39" s="28"/>
      <c r="I39" s="24"/>
    </row>
    <row r="40" spans="1:9" ht="15.75" x14ac:dyDescent="0.25">
      <c r="A40" s="30"/>
      <c r="B40" s="31"/>
      <c r="C40" s="44"/>
      <c r="D40" s="45"/>
      <c r="E40" s="27"/>
      <c r="F40" s="29"/>
      <c r="G40" s="27"/>
      <c r="H40" s="28"/>
      <c r="I40" s="24"/>
    </row>
    <row r="41" spans="1:9" ht="15.75" x14ac:dyDescent="0.25">
      <c r="A41" s="30"/>
      <c r="B41" s="31"/>
      <c r="C41" s="44"/>
      <c r="D41" s="45"/>
      <c r="E41" s="27"/>
      <c r="F41" s="29"/>
      <c r="G41" s="283"/>
      <c r="H41" s="29"/>
      <c r="I41" s="24"/>
    </row>
    <row r="42" spans="1:9" ht="15.75" x14ac:dyDescent="0.25">
      <c r="A42" s="30"/>
      <c r="B42" s="31"/>
      <c r="C42" s="44"/>
      <c r="D42" s="28"/>
      <c r="E42" s="28"/>
      <c r="F42" s="29"/>
      <c r="G42" s="45"/>
      <c r="H42" s="45"/>
      <c r="I42" s="24"/>
    </row>
    <row r="43" spans="1:9" ht="14.25" thickBot="1" x14ac:dyDescent="0.3">
      <c r="A43" s="46"/>
      <c r="B43" s="47"/>
      <c r="C43" s="48"/>
      <c r="D43" s="48"/>
      <c r="E43" s="49"/>
      <c r="F43" s="50"/>
      <c r="G43" s="48"/>
      <c r="H43" s="48"/>
      <c r="I43" s="51"/>
    </row>
    <row r="44" spans="1:9" ht="14.25" thickBot="1" x14ac:dyDescent="0.3">
      <c r="A44" s="52"/>
      <c r="B44" s="53"/>
      <c r="C44" s="54"/>
      <c r="D44" s="55" t="s">
        <v>13</v>
      </c>
      <c r="E44" s="56" t="s">
        <v>18</v>
      </c>
      <c r="F44" s="57"/>
      <c r="G44" s="54"/>
      <c r="H44" s="54"/>
      <c r="I44" s="58"/>
    </row>
    <row r="45" spans="1:9" ht="13.5" x14ac:dyDescent="0.25">
      <c r="A45" s="618" t="s">
        <v>19</v>
      </c>
      <c r="B45" s="619"/>
      <c r="C45" s="620"/>
      <c r="D45" s="284">
        <v>80361</v>
      </c>
      <c r="E45" s="285" t="s">
        <v>16</v>
      </c>
      <c r="F45" s="621" t="s">
        <v>20</v>
      </c>
      <c r="G45" s="621"/>
      <c r="H45" s="622"/>
      <c r="I45" s="623"/>
    </row>
    <row r="46" spans="1:9" ht="13.5" x14ac:dyDescent="0.25">
      <c r="A46" s="610" t="s">
        <v>21</v>
      </c>
      <c r="B46" s="611"/>
      <c r="C46" s="612"/>
      <c r="D46" s="315">
        <v>58</v>
      </c>
      <c r="E46" s="59" t="s">
        <v>258</v>
      </c>
      <c r="F46" s="613" t="s">
        <v>23</v>
      </c>
      <c r="G46" s="613"/>
      <c r="H46" s="614"/>
      <c r="I46" s="615"/>
    </row>
    <row r="47" spans="1:9" ht="13.5" x14ac:dyDescent="0.25">
      <c r="A47" s="610" t="s">
        <v>24</v>
      </c>
      <c r="B47" s="611"/>
      <c r="C47" s="612"/>
      <c r="D47" s="59">
        <v>1</v>
      </c>
      <c r="E47" s="59" t="s">
        <v>259</v>
      </c>
      <c r="F47" s="613" t="s">
        <v>25</v>
      </c>
      <c r="G47" s="613"/>
      <c r="H47" s="614"/>
      <c r="I47" s="615"/>
    </row>
    <row r="48" spans="1:9" ht="13.5" x14ac:dyDescent="0.25">
      <c r="A48" s="610" t="s">
        <v>26</v>
      </c>
      <c r="B48" s="611"/>
      <c r="C48" s="612"/>
      <c r="D48" s="59">
        <v>5000</v>
      </c>
      <c r="E48" s="59" t="s">
        <v>260</v>
      </c>
      <c r="F48" s="616" t="s">
        <v>27</v>
      </c>
      <c r="G48" s="617"/>
      <c r="H48" s="614"/>
      <c r="I48" s="615"/>
    </row>
    <row r="49" spans="1:9" ht="14.25" thickBot="1" x14ac:dyDescent="0.3">
      <c r="A49" s="595" t="s">
        <v>28</v>
      </c>
      <c r="B49" s="596"/>
      <c r="C49" s="597"/>
      <c r="D49" s="289">
        <v>8929</v>
      </c>
      <c r="E49" s="290" t="s">
        <v>260</v>
      </c>
      <c r="F49" s="598"/>
      <c r="G49" s="598"/>
      <c r="H49" s="599"/>
      <c r="I49" s="600"/>
    </row>
    <row r="50" spans="1:9" ht="13.5" thickBot="1" x14ac:dyDescent="0.25">
      <c r="A50" s="601" t="s">
        <v>29</v>
      </c>
      <c r="B50" s="602"/>
      <c r="C50" s="602"/>
      <c r="D50" s="602"/>
      <c r="E50" s="602"/>
      <c r="F50" s="602"/>
      <c r="G50" s="602"/>
      <c r="H50" s="602"/>
      <c r="I50" s="603"/>
    </row>
    <row r="51" spans="1:9" ht="15" x14ac:dyDescent="0.25">
      <c r="A51" s="604" t="s">
        <v>261</v>
      </c>
      <c r="B51" s="605"/>
      <c r="C51" s="605"/>
      <c r="D51" s="605"/>
      <c r="E51" s="605"/>
      <c r="F51" s="605"/>
      <c r="G51" s="605"/>
      <c r="H51" s="605"/>
      <c r="I51" s="606"/>
    </row>
    <row r="52" spans="1:9" ht="15" x14ac:dyDescent="0.25">
      <c r="A52" s="604" t="s">
        <v>262</v>
      </c>
      <c r="B52" s="605"/>
      <c r="C52" s="605"/>
      <c r="D52" s="605"/>
      <c r="E52" s="605"/>
      <c r="F52" s="605"/>
      <c r="G52" s="605"/>
      <c r="H52" s="605"/>
      <c r="I52" s="606"/>
    </row>
    <row r="53" spans="1:9" ht="14.25" x14ac:dyDescent="0.2">
      <c r="A53" s="592" t="s">
        <v>263</v>
      </c>
      <c r="B53" s="593"/>
      <c r="C53" s="593"/>
      <c r="D53" s="593"/>
      <c r="E53" s="593"/>
      <c r="F53" s="593"/>
      <c r="G53" s="593"/>
      <c r="H53" s="593"/>
      <c r="I53" s="594"/>
    </row>
    <row r="54" spans="1:9" ht="15" x14ac:dyDescent="0.25">
      <c r="A54" s="604"/>
      <c r="B54" s="605"/>
      <c r="C54" s="605"/>
      <c r="D54" s="605"/>
      <c r="E54" s="605"/>
      <c r="F54" s="605"/>
      <c r="G54" s="605"/>
      <c r="H54" s="605"/>
      <c r="I54" s="606"/>
    </row>
    <row r="55" spans="1:9" ht="18" x14ac:dyDescent="0.25">
      <c r="A55" s="607"/>
      <c r="B55" s="608"/>
      <c r="C55" s="608"/>
      <c r="D55" s="608"/>
      <c r="E55" s="608"/>
      <c r="F55" s="608"/>
      <c r="G55" s="608"/>
      <c r="H55" s="608"/>
      <c r="I55" s="609"/>
    </row>
    <row r="56" spans="1:9" ht="15" x14ac:dyDescent="0.25">
      <c r="A56" s="604"/>
      <c r="B56" s="605"/>
      <c r="C56" s="605"/>
      <c r="D56" s="605"/>
      <c r="E56" s="605"/>
      <c r="F56" s="605"/>
      <c r="G56" s="605"/>
      <c r="H56" s="605"/>
      <c r="I56" s="606"/>
    </row>
    <row r="57" spans="1:9" ht="14.25" x14ac:dyDescent="0.2">
      <c r="A57" s="592"/>
      <c r="B57" s="593"/>
      <c r="C57" s="593"/>
      <c r="D57" s="593"/>
      <c r="E57" s="593"/>
      <c r="F57" s="593"/>
      <c r="G57" s="593"/>
      <c r="H57" s="593"/>
      <c r="I57" s="594"/>
    </row>
    <row r="58" spans="1:9" ht="14.25" x14ac:dyDescent="0.2">
      <c r="A58" s="592"/>
      <c r="B58" s="593"/>
      <c r="C58" s="593"/>
      <c r="D58" s="593"/>
      <c r="E58" s="593"/>
      <c r="F58" s="593"/>
      <c r="G58" s="593"/>
      <c r="H58" s="593"/>
      <c r="I58" s="594"/>
    </row>
    <row r="59" spans="1:9" ht="18" customHeight="1" thickBot="1" x14ac:dyDescent="0.25">
      <c r="A59" s="582"/>
      <c r="B59" s="583"/>
      <c r="C59" s="583"/>
      <c r="D59" s="583"/>
      <c r="E59" s="583"/>
      <c r="F59" s="583"/>
      <c r="G59" s="583"/>
      <c r="H59" s="583"/>
      <c r="I59" s="584"/>
    </row>
    <row r="60" spans="1:9" ht="15" x14ac:dyDescent="0.25">
      <c r="A60" s="316"/>
      <c r="B60" s="316"/>
      <c r="C60" s="316"/>
      <c r="D60" s="316"/>
      <c r="E60" s="316"/>
      <c r="F60" s="316"/>
      <c r="G60" s="316"/>
      <c r="H60" s="316"/>
      <c r="I60" s="316"/>
    </row>
    <row r="61" spans="1:9" ht="14.25" thickBot="1" x14ac:dyDescent="0.3">
      <c r="A61" s="585"/>
      <c r="B61" s="586"/>
      <c r="C61" s="586"/>
      <c r="D61" s="586"/>
      <c r="E61" s="586"/>
      <c r="F61" s="586"/>
      <c r="G61" s="586"/>
      <c r="H61" s="586"/>
      <c r="I61" s="587"/>
    </row>
    <row r="62" spans="1:9" x14ac:dyDescent="0.2">
      <c r="A62" s="588" t="s">
        <v>40</v>
      </c>
      <c r="B62" s="589"/>
      <c r="C62" s="589"/>
      <c r="D62" s="589"/>
      <c r="E62" s="589"/>
      <c r="F62" s="589"/>
      <c r="G62" s="589"/>
      <c r="H62" s="589"/>
      <c r="I62" s="589"/>
    </row>
    <row r="63" spans="1:9" ht="13.5" x14ac:dyDescent="0.25">
      <c r="A63" s="590"/>
      <c r="B63" s="591"/>
      <c r="C63" s="591"/>
      <c r="D63" s="591"/>
      <c r="E63" s="591"/>
      <c r="F63" s="591"/>
      <c r="G63" s="591"/>
      <c r="H63" s="591"/>
      <c r="I63" s="591"/>
    </row>
    <row r="64" spans="1:9" ht="13.5" x14ac:dyDescent="0.25">
      <c r="A64" s="590"/>
      <c r="B64" s="591"/>
      <c r="C64" s="591"/>
      <c r="D64" s="591"/>
      <c r="E64" s="591"/>
      <c r="F64" s="591"/>
      <c r="G64" s="591"/>
      <c r="H64" s="591"/>
      <c r="I64" s="59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6FAB-3017-432E-A56D-1A8F09AAAFCD}">
  <dimension ref="A1:M53"/>
  <sheetViews>
    <sheetView workbookViewId="0">
      <selection activeCell="C14" sqref="C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642"/>
      <c r="B1" s="643"/>
      <c r="C1" s="648" t="s">
        <v>0</v>
      </c>
      <c r="D1" s="648"/>
      <c r="E1" s="648"/>
      <c r="F1" s="648"/>
      <c r="G1" s="648"/>
      <c r="H1" s="158" t="s">
        <v>1</v>
      </c>
      <c r="I1" s="159" t="s">
        <v>228</v>
      </c>
    </row>
    <row r="2" spans="1:9" ht="16.5" thickBot="1" x14ac:dyDescent="0.3">
      <c r="A2" s="644"/>
      <c r="B2" s="645"/>
      <c r="C2" s="649" t="s">
        <v>2</v>
      </c>
      <c r="D2" s="649"/>
      <c r="E2" s="649"/>
      <c r="F2" s="649"/>
      <c r="G2" s="649"/>
      <c r="H2" s="161" t="s">
        <v>3</v>
      </c>
      <c r="I2" s="162" t="s">
        <v>147</v>
      </c>
    </row>
    <row r="3" spans="1:9" ht="15.95" customHeight="1" thickBot="1" x14ac:dyDescent="0.25">
      <c r="A3" s="644"/>
      <c r="B3" s="645"/>
      <c r="C3" s="665" t="s">
        <v>229</v>
      </c>
      <c r="D3" s="665"/>
      <c r="E3" s="665"/>
      <c r="F3" s="665"/>
      <c r="G3" s="666"/>
      <c r="H3" s="653" t="s">
        <v>4</v>
      </c>
      <c r="I3" s="633">
        <v>45610</v>
      </c>
    </row>
    <row r="4" spans="1:9" ht="18" customHeight="1" x14ac:dyDescent="0.25">
      <c r="A4" s="644"/>
      <c r="B4" s="645"/>
      <c r="C4" s="163" t="s">
        <v>5</v>
      </c>
      <c r="D4" s="636" t="s">
        <v>31</v>
      </c>
      <c r="E4" s="637"/>
      <c r="F4" s="637"/>
      <c r="G4" s="638"/>
      <c r="H4" s="654"/>
      <c r="I4" s="634"/>
    </row>
    <row r="5" spans="1:9" ht="14.25" thickBot="1" x14ac:dyDescent="0.3">
      <c r="A5" s="646"/>
      <c r="B5" s="647"/>
      <c r="C5" s="166" t="s">
        <v>6</v>
      </c>
      <c r="D5" s="639" t="s">
        <v>32</v>
      </c>
      <c r="E5" s="640"/>
      <c r="F5" s="640"/>
      <c r="G5" s="641"/>
      <c r="H5" s="655"/>
      <c r="I5" s="635"/>
    </row>
    <row r="6" spans="1:9" ht="18.75" thickBot="1" x14ac:dyDescent="0.3">
      <c r="A6" s="624" t="s">
        <v>33</v>
      </c>
      <c r="B6" s="624"/>
      <c r="C6" s="624"/>
      <c r="D6" s="625" t="s">
        <v>48</v>
      </c>
      <c r="E6" s="625"/>
      <c r="F6" s="625"/>
      <c r="G6" s="626" t="s">
        <v>35</v>
      </c>
      <c r="H6" s="626"/>
      <c r="I6" s="15" t="s">
        <v>48</v>
      </c>
    </row>
    <row r="7" spans="1:9" x14ac:dyDescent="0.2">
      <c r="A7" s="627" t="s">
        <v>7</v>
      </c>
      <c r="B7" s="629" t="s">
        <v>36</v>
      </c>
      <c r="C7" s="631" t="s">
        <v>8</v>
      </c>
      <c r="D7" s="631" t="s">
        <v>9</v>
      </c>
      <c r="E7" s="631" t="s">
        <v>10</v>
      </c>
      <c r="F7" s="631"/>
      <c r="G7" s="631" t="s">
        <v>11</v>
      </c>
      <c r="H7" s="631"/>
      <c r="I7" s="16" t="s">
        <v>12</v>
      </c>
    </row>
    <row r="8" spans="1:9" ht="26.25" thickBot="1" x14ac:dyDescent="0.25">
      <c r="A8" s="628"/>
      <c r="B8" s="630"/>
      <c r="C8" s="632"/>
      <c r="D8" s="632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5" x14ac:dyDescent="0.25">
      <c r="A9" s="20"/>
      <c r="B9" s="192"/>
      <c r="C9" s="191" t="s">
        <v>163</v>
      </c>
      <c r="D9" s="21"/>
      <c r="E9" s="22"/>
      <c r="F9" s="23"/>
      <c r="G9" s="22"/>
      <c r="H9" s="23"/>
      <c r="I9" s="24"/>
    </row>
    <row r="10" spans="1:9" ht="15" x14ac:dyDescent="0.25">
      <c r="A10" s="244" t="s">
        <v>230</v>
      </c>
      <c r="B10" s="244" t="s">
        <v>231</v>
      </c>
      <c r="C10" s="245" t="s">
        <v>232</v>
      </c>
      <c r="D10" s="212" t="s">
        <v>37</v>
      </c>
      <c r="E10" s="4">
        <v>5000</v>
      </c>
      <c r="F10" s="213" t="s">
        <v>16</v>
      </c>
      <c r="G10" s="5"/>
      <c r="H10" s="246"/>
      <c r="I10" s="24"/>
    </row>
    <row r="11" spans="1:9" ht="15" x14ac:dyDescent="0.25">
      <c r="A11" s="247"/>
      <c r="B11" s="247"/>
      <c r="C11" s="248"/>
      <c r="D11" s="249"/>
      <c r="E11" s="250"/>
      <c r="F11" s="40"/>
      <c r="G11" s="251"/>
      <c r="H11" s="246"/>
      <c r="I11" s="24"/>
    </row>
    <row r="12" spans="1:9" ht="15" x14ac:dyDescent="0.25">
      <c r="A12" s="193"/>
      <c r="B12" s="12"/>
      <c r="C12" s="194"/>
      <c r="D12" s="252"/>
      <c r="E12" s="252"/>
      <c r="F12" s="252"/>
      <c r="G12" s="251"/>
      <c r="H12" s="253"/>
      <c r="I12" s="24"/>
    </row>
    <row r="13" spans="1:9" ht="15" x14ac:dyDescent="0.25">
      <c r="A13" s="193"/>
      <c r="B13" s="12"/>
      <c r="C13" s="194"/>
      <c r="D13" s="252"/>
      <c r="E13" s="252"/>
      <c r="F13" s="252"/>
      <c r="G13" s="251"/>
      <c r="H13" s="253"/>
      <c r="I13" s="24"/>
    </row>
    <row r="14" spans="1:9" ht="15" x14ac:dyDescent="0.25">
      <c r="A14" s="193"/>
      <c r="B14" s="12"/>
      <c r="C14" s="254"/>
      <c r="D14" s="252"/>
      <c r="E14" s="252"/>
      <c r="F14" s="252"/>
      <c r="G14" s="251"/>
      <c r="H14" s="253"/>
      <c r="I14" s="24"/>
    </row>
    <row r="15" spans="1:9" ht="15" x14ac:dyDescent="0.25">
      <c r="A15" s="193"/>
      <c r="B15" s="12"/>
      <c r="C15" s="194"/>
      <c r="D15" s="252"/>
      <c r="E15" s="252"/>
      <c r="F15" s="252"/>
      <c r="G15" s="251"/>
      <c r="H15" s="253"/>
      <c r="I15" s="24"/>
    </row>
    <row r="16" spans="1:9" ht="15" x14ac:dyDescent="0.25">
      <c r="A16" s="193"/>
      <c r="B16" s="12"/>
      <c r="C16" s="194"/>
      <c r="D16" s="252"/>
      <c r="E16" s="252"/>
      <c r="F16" s="252"/>
      <c r="G16" s="251"/>
      <c r="H16" s="253"/>
      <c r="I16" s="24"/>
    </row>
    <row r="17" spans="1:9" ht="15" x14ac:dyDescent="0.25">
      <c r="A17" s="12"/>
      <c r="B17" s="12"/>
      <c r="C17" s="255"/>
      <c r="D17" s="27"/>
      <c r="E17" s="27"/>
      <c r="F17" s="29"/>
      <c r="G17" s="22"/>
      <c r="H17" s="23"/>
      <c r="I17" s="24"/>
    </row>
    <row r="18" spans="1:9" ht="15.75" x14ac:dyDescent="0.25">
      <c r="A18" s="30"/>
      <c r="B18" s="31"/>
      <c r="C18" s="205" t="s">
        <v>180</v>
      </c>
      <c r="D18" s="28"/>
      <c r="E18" s="211"/>
      <c r="F18" s="29"/>
      <c r="G18" s="22"/>
      <c r="H18" s="23"/>
      <c r="I18" s="24"/>
    </row>
    <row r="19" spans="1:9" ht="15" x14ac:dyDescent="0.25">
      <c r="A19" s="256"/>
      <c r="B19" s="252"/>
      <c r="C19" s="257"/>
      <c r="D19" s="258"/>
      <c r="E19" s="27"/>
      <c r="F19" s="29"/>
      <c r="G19" s="22"/>
      <c r="H19" s="23"/>
      <c r="I19" s="24"/>
    </row>
    <row r="20" spans="1:9" ht="15" x14ac:dyDescent="0.25">
      <c r="A20" s="12"/>
      <c r="B20" s="12"/>
      <c r="C20" s="255"/>
      <c r="D20" s="258"/>
      <c r="E20" s="27"/>
      <c r="F20" s="29"/>
      <c r="G20" s="22"/>
      <c r="H20" s="23"/>
      <c r="I20" s="24"/>
    </row>
    <row r="21" spans="1:9" ht="15" x14ac:dyDescent="0.25">
      <c r="A21" s="259"/>
      <c r="B21" s="259"/>
      <c r="C21" s="257"/>
      <c r="D21" s="258"/>
      <c r="E21" s="27"/>
      <c r="F21" s="29"/>
      <c r="G21" s="22"/>
      <c r="H21" s="23"/>
      <c r="I21" s="24"/>
    </row>
    <row r="22" spans="1:9" ht="15" x14ac:dyDescent="0.25">
      <c r="A22" s="12"/>
      <c r="B22" s="12"/>
      <c r="C22" s="255"/>
      <c r="D22" s="27"/>
      <c r="E22" s="28"/>
      <c r="F22" s="29"/>
      <c r="G22" s="22"/>
      <c r="H22" s="23"/>
      <c r="I22" s="24"/>
    </row>
    <row r="23" spans="1:9" ht="15" x14ac:dyDescent="0.25">
      <c r="A23" s="12"/>
      <c r="B23" s="12"/>
      <c r="C23" s="255"/>
      <c r="D23" s="249"/>
      <c r="E23" s="260"/>
      <c r="F23" s="261"/>
      <c r="G23" s="22"/>
      <c r="H23" s="23"/>
      <c r="I23" s="24"/>
    </row>
    <row r="24" spans="1:9" ht="15.75" x14ac:dyDescent="0.25">
      <c r="A24" s="216"/>
      <c r="B24" s="217"/>
      <c r="C24" s="218" t="s">
        <v>181</v>
      </c>
      <c r="D24" s="219"/>
      <c r="E24" s="220"/>
      <c r="F24" s="23"/>
      <c r="G24" s="22"/>
      <c r="I24" s="24"/>
    </row>
    <row r="25" spans="1:9" ht="15" x14ac:dyDescent="0.25">
      <c r="A25" s="41">
        <v>51600050</v>
      </c>
      <c r="B25" s="41" t="s">
        <v>233</v>
      </c>
      <c r="C25" s="42" t="s">
        <v>234</v>
      </c>
      <c r="D25" s="262"/>
      <c r="E25" s="5">
        <v>1</v>
      </c>
      <c r="F25" s="263" t="s">
        <v>56</v>
      </c>
      <c r="G25" s="224"/>
      <c r="H25" s="23"/>
      <c r="I25" s="24"/>
    </row>
    <row r="26" spans="1:9" ht="15" x14ac:dyDescent="0.25">
      <c r="A26" s="41">
        <v>702123</v>
      </c>
      <c r="B26" s="41" t="s">
        <v>59</v>
      </c>
      <c r="C26" s="60" t="s">
        <v>145</v>
      </c>
      <c r="D26" s="262" t="s">
        <v>235</v>
      </c>
      <c r="E26" s="3">
        <v>1</v>
      </c>
      <c r="F26" s="263" t="s">
        <v>56</v>
      </c>
      <c r="G26" s="224"/>
      <c r="H26" s="23"/>
      <c r="I26" s="24"/>
    </row>
    <row r="27" spans="1:9" ht="15" x14ac:dyDescent="0.25">
      <c r="A27" s="264"/>
      <c r="B27" s="265"/>
      <c r="C27" s="266"/>
      <c r="D27" s="249"/>
      <c r="E27" s="39"/>
      <c r="F27" s="40"/>
      <c r="G27" s="224"/>
      <c r="H27" s="23"/>
      <c r="I27" s="24"/>
    </row>
    <row r="28" spans="1:9" ht="15" x14ac:dyDescent="0.25">
      <c r="A28" s="267"/>
      <c r="B28" s="268"/>
      <c r="C28" s="269"/>
      <c r="D28" s="270"/>
      <c r="E28" s="271"/>
      <c r="F28" s="272"/>
      <c r="G28" s="22"/>
      <c r="H28" s="273"/>
      <c r="I28" s="24"/>
    </row>
    <row r="29" spans="1:9" ht="15" x14ac:dyDescent="0.25">
      <c r="A29" s="274"/>
      <c r="B29" s="275"/>
      <c r="C29" s="276"/>
      <c r="D29" s="277"/>
      <c r="E29" s="278"/>
      <c r="F29" s="279"/>
      <c r="G29" s="22"/>
      <c r="H29" s="23"/>
      <c r="I29" s="24"/>
    </row>
    <row r="30" spans="1:9" ht="15" x14ac:dyDescent="0.25">
      <c r="A30" s="280"/>
      <c r="B30" s="281"/>
      <c r="C30" s="282"/>
      <c r="D30" s="38"/>
      <c r="E30" s="27"/>
      <c r="F30" s="29"/>
      <c r="G30" s="43"/>
      <c r="H30" s="28"/>
      <c r="I30" s="24"/>
    </row>
    <row r="31" spans="1:9" ht="15" x14ac:dyDescent="0.25">
      <c r="A31" s="30"/>
      <c r="B31" s="31"/>
      <c r="C31" s="44"/>
      <c r="D31" s="38"/>
      <c r="E31" s="27"/>
      <c r="F31" s="29"/>
      <c r="G31" s="27"/>
      <c r="H31" s="28"/>
      <c r="I31" s="24"/>
    </row>
    <row r="32" spans="1:9" ht="15.75" x14ac:dyDescent="0.25">
      <c r="A32" s="30"/>
      <c r="B32" s="31"/>
      <c r="C32" s="44"/>
      <c r="D32" s="38"/>
      <c r="E32" s="27"/>
      <c r="F32" s="29"/>
      <c r="G32" s="283"/>
      <c r="H32" s="29"/>
      <c r="I32" s="24"/>
    </row>
    <row r="33" spans="1:13" ht="15.75" x14ac:dyDescent="0.25">
      <c r="A33" s="30"/>
      <c r="B33" s="31"/>
      <c r="C33" s="44"/>
      <c r="D33" s="28"/>
      <c r="E33" s="28"/>
      <c r="F33" s="29"/>
      <c r="G33" s="45"/>
      <c r="H33" s="45"/>
      <c r="I33" s="24"/>
    </row>
    <row r="34" spans="1:13" ht="14.25" thickBot="1" x14ac:dyDescent="0.3">
      <c r="A34" s="46"/>
      <c r="B34" s="47"/>
      <c r="C34" s="48"/>
      <c r="D34" s="48"/>
      <c r="E34" s="49"/>
      <c r="F34" s="50"/>
      <c r="G34" s="48"/>
      <c r="H34" s="48"/>
      <c r="I34" s="51"/>
      <c r="J34" s="171"/>
      <c r="K34" s="171"/>
      <c r="L34" s="186"/>
      <c r="M34" s="171"/>
    </row>
    <row r="35" spans="1:13" ht="14.25" thickBot="1" x14ac:dyDescent="0.3">
      <c r="A35" s="52"/>
      <c r="B35" s="53"/>
      <c r="C35" s="54"/>
      <c r="D35" s="55" t="s">
        <v>13</v>
      </c>
      <c r="E35" s="56" t="s">
        <v>18</v>
      </c>
      <c r="F35" s="57"/>
      <c r="G35" s="54"/>
      <c r="H35" s="54"/>
      <c r="I35" s="58"/>
      <c r="J35" s="171"/>
      <c r="K35" s="171"/>
      <c r="L35" s="186"/>
      <c r="M35" s="171"/>
    </row>
    <row r="36" spans="1:13" ht="13.5" x14ac:dyDescent="0.25">
      <c r="A36" s="618" t="s">
        <v>19</v>
      </c>
      <c r="B36" s="619"/>
      <c r="C36" s="620"/>
      <c r="D36" s="284">
        <v>5000</v>
      </c>
      <c r="E36" s="285" t="s">
        <v>16</v>
      </c>
      <c r="F36" s="621" t="s">
        <v>20</v>
      </c>
      <c r="G36" s="621"/>
      <c r="H36" s="622"/>
      <c r="I36" s="623"/>
      <c r="J36" s="171"/>
      <c r="K36" s="171"/>
      <c r="L36" s="186"/>
      <c r="M36" s="171"/>
    </row>
    <row r="37" spans="1:13" ht="13.5" x14ac:dyDescent="0.25">
      <c r="A37" s="610" t="s">
        <v>21</v>
      </c>
      <c r="B37" s="611"/>
      <c r="C37" s="612"/>
      <c r="D37" s="286">
        <v>3</v>
      </c>
      <c r="E37" s="59" t="s">
        <v>236</v>
      </c>
      <c r="F37" s="613" t="s">
        <v>23</v>
      </c>
      <c r="G37" s="613"/>
      <c r="H37" s="614"/>
      <c r="I37" s="615"/>
      <c r="J37" s="171"/>
      <c r="K37" s="171"/>
      <c r="L37" s="186"/>
      <c r="M37" s="171"/>
    </row>
    <row r="38" spans="1:13" ht="13.5" x14ac:dyDescent="0.25">
      <c r="A38" s="610" t="s">
        <v>24</v>
      </c>
      <c r="B38" s="611"/>
      <c r="C38" s="612"/>
      <c r="D38" s="59">
        <v>1</v>
      </c>
      <c r="E38" s="59" t="s">
        <v>237</v>
      </c>
      <c r="F38" s="613" t="s">
        <v>25</v>
      </c>
      <c r="G38" s="613"/>
      <c r="H38" s="614"/>
      <c r="I38" s="615"/>
      <c r="J38" s="171"/>
      <c r="K38" s="171"/>
      <c r="L38" s="186"/>
      <c r="M38" s="171"/>
    </row>
    <row r="39" spans="1:13" ht="13.5" x14ac:dyDescent="0.25">
      <c r="A39" s="610" t="s">
        <v>26</v>
      </c>
      <c r="B39" s="611"/>
      <c r="C39" s="612"/>
      <c r="D39" s="287">
        <v>5000</v>
      </c>
      <c r="E39" s="59" t="s">
        <v>16</v>
      </c>
      <c r="F39" s="616" t="s">
        <v>27</v>
      </c>
      <c r="G39" s="617"/>
      <c r="H39" s="614"/>
      <c r="I39" s="615"/>
      <c r="J39" s="171"/>
      <c r="K39" s="171"/>
      <c r="L39" s="186"/>
      <c r="M39" s="288"/>
    </row>
    <row r="40" spans="1:13" ht="14.25" thickBot="1" x14ac:dyDescent="0.3">
      <c r="A40" s="595" t="s">
        <v>28</v>
      </c>
      <c r="B40" s="596"/>
      <c r="C40" s="597"/>
      <c r="D40" s="289">
        <v>0</v>
      </c>
      <c r="E40" s="290" t="s">
        <v>16</v>
      </c>
      <c r="F40" s="598"/>
      <c r="G40" s="598"/>
      <c r="H40" s="599"/>
      <c r="I40" s="600"/>
      <c r="J40" s="48"/>
      <c r="K40" s="48"/>
      <c r="L40" s="186"/>
      <c r="M40" s="48"/>
    </row>
    <row r="41" spans="1:13" ht="13.5" thickBot="1" x14ac:dyDescent="0.25">
      <c r="A41" s="601" t="s">
        <v>29</v>
      </c>
      <c r="B41" s="602"/>
      <c r="C41" s="602"/>
      <c r="D41" s="602"/>
      <c r="E41" s="602"/>
      <c r="F41" s="602"/>
      <c r="G41" s="602"/>
      <c r="H41" s="602"/>
      <c r="I41" s="603"/>
      <c r="J41" s="171"/>
      <c r="K41" s="171"/>
      <c r="L41" s="171"/>
      <c r="M41" s="171"/>
    </row>
    <row r="42" spans="1:13" ht="18.600000000000001" customHeight="1" x14ac:dyDescent="0.25">
      <c r="A42" s="662" t="s">
        <v>238</v>
      </c>
      <c r="B42" s="663"/>
      <c r="C42" s="663"/>
      <c r="D42" s="663"/>
      <c r="E42" s="663"/>
      <c r="F42" s="663"/>
      <c r="G42" s="663"/>
      <c r="H42" s="663"/>
      <c r="I42" s="664"/>
      <c r="J42" s="171"/>
      <c r="K42" s="171"/>
      <c r="L42" s="171"/>
      <c r="M42" s="171"/>
    </row>
    <row r="43" spans="1:13" ht="14.45" customHeight="1" x14ac:dyDescent="0.25">
      <c r="A43" s="662" t="s">
        <v>239</v>
      </c>
      <c r="B43" s="663"/>
      <c r="C43" s="663"/>
      <c r="D43" s="663"/>
      <c r="E43" s="663"/>
      <c r="F43" s="663"/>
      <c r="G43" s="663"/>
      <c r="H43" s="663"/>
      <c r="I43" s="664"/>
      <c r="J43" s="171"/>
      <c r="K43" s="171"/>
      <c r="L43" s="171"/>
      <c r="M43" s="171"/>
    </row>
    <row r="44" spans="1:13" ht="14.45" customHeight="1" x14ac:dyDescent="0.25">
      <c r="A44" s="604"/>
      <c r="B44" s="605"/>
      <c r="C44" s="605"/>
      <c r="D44" s="605"/>
      <c r="E44" s="605"/>
      <c r="F44" s="605"/>
      <c r="G44" s="605"/>
      <c r="H44" s="605"/>
      <c r="I44" s="606"/>
      <c r="J44" s="171"/>
      <c r="K44" s="171"/>
      <c r="L44" s="171"/>
      <c r="M44" s="171"/>
    </row>
    <row r="45" spans="1:13" ht="14.45" customHeight="1" x14ac:dyDescent="0.25">
      <c r="A45" s="604"/>
      <c r="B45" s="605"/>
      <c r="C45" s="605"/>
      <c r="D45" s="605"/>
      <c r="E45" s="605"/>
      <c r="F45" s="605"/>
      <c r="G45" s="605"/>
      <c r="H45" s="605"/>
      <c r="I45" s="606"/>
      <c r="J45" s="171"/>
      <c r="K45" s="171"/>
      <c r="L45" s="171"/>
      <c r="M45" s="171"/>
    </row>
    <row r="46" spans="1:13" ht="14.45" customHeight="1" x14ac:dyDescent="0.25">
      <c r="A46" s="604"/>
      <c r="B46" s="605"/>
      <c r="C46" s="605"/>
      <c r="D46" s="605"/>
      <c r="E46" s="605"/>
      <c r="F46" s="605"/>
      <c r="G46" s="605"/>
      <c r="H46" s="605"/>
      <c r="I46" s="606"/>
      <c r="J46" s="171"/>
      <c r="K46" s="171"/>
      <c r="L46" s="171"/>
      <c r="M46" s="171"/>
    </row>
    <row r="47" spans="1:13" ht="15" x14ac:dyDescent="0.25">
      <c r="A47" s="604"/>
      <c r="B47" s="605"/>
      <c r="C47" s="605"/>
      <c r="D47" s="605"/>
      <c r="E47" s="605"/>
      <c r="F47" s="605"/>
      <c r="G47" s="605"/>
      <c r="H47" s="605"/>
      <c r="I47" s="606"/>
      <c r="J47" s="171"/>
      <c r="K47" s="171"/>
      <c r="L47" s="171"/>
      <c r="M47" s="171"/>
    </row>
    <row r="48" spans="1:13" ht="18" customHeight="1" x14ac:dyDescent="0.2">
      <c r="A48" s="656"/>
      <c r="B48" s="657"/>
      <c r="C48" s="657"/>
      <c r="D48" s="657"/>
      <c r="E48" s="657"/>
      <c r="F48" s="657"/>
      <c r="G48" s="657"/>
      <c r="H48" s="657"/>
      <c r="I48" s="658"/>
      <c r="J48" s="171"/>
      <c r="K48" s="171"/>
      <c r="L48" s="171"/>
      <c r="M48" s="171"/>
    </row>
    <row r="49" spans="1:13" ht="13.5" x14ac:dyDescent="0.25">
      <c r="A49" s="659"/>
      <c r="B49" s="660"/>
      <c r="C49" s="660"/>
      <c r="D49" s="660"/>
      <c r="E49" s="660"/>
      <c r="F49" s="660"/>
      <c r="G49" s="660"/>
      <c r="H49" s="660"/>
      <c r="I49" s="661"/>
      <c r="J49" s="171"/>
      <c r="K49" s="171"/>
      <c r="L49" s="171"/>
      <c r="M49" s="171"/>
    </row>
    <row r="50" spans="1:13" ht="14.25" thickBot="1" x14ac:dyDescent="0.3">
      <c r="A50" s="585"/>
      <c r="B50" s="586"/>
      <c r="C50" s="586"/>
      <c r="D50" s="586"/>
      <c r="E50" s="586"/>
      <c r="F50" s="586"/>
      <c r="G50" s="586"/>
      <c r="H50" s="586"/>
      <c r="I50" s="587"/>
      <c r="J50" s="171"/>
      <c r="K50" s="171"/>
      <c r="L50" s="171"/>
      <c r="M50" s="171"/>
    </row>
    <row r="51" spans="1:13" x14ac:dyDescent="0.2">
      <c r="A51" s="588" t="s">
        <v>40</v>
      </c>
      <c r="B51" s="589"/>
      <c r="C51" s="589"/>
      <c r="D51" s="589"/>
      <c r="E51" s="589"/>
      <c r="F51" s="589"/>
      <c r="G51" s="589"/>
      <c r="H51" s="589"/>
      <c r="I51" s="589"/>
      <c r="J51" s="171"/>
      <c r="K51" s="171"/>
      <c r="L51" s="171"/>
      <c r="M51" s="171"/>
    </row>
    <row r="52" spans="1:13" ht="13.5" x14ac:dyDescent="0.25">
      <c r="A52" s="590"/>
      <c r="B52" s="591"/>
      <c r="C52" s="591"/>
      <c r="D52" s="591"/>
      <c r="E52" s="591"/>
      <c r="F52" s="591"/>
      <c r="G52" s="591"/>
      <c r="H52" s="591"/>
      <c r="I52" s="591"/>
      <c r="J52" s="171"/>
      <c r="K52" s="171"/>
      <c r="L52" s="171"/>
      <c r="M52" s="171"/>
    </row>
    <row r="53" spans="1:13" ht="13.5" x14ac:dyDescent="0.25">
      <c r="A53" s="590"/>
      <c r="B53" s="591"/>
      <c r="C53" s="591"/>
      <c r="D53" s="591"/>
      <c r="E53" s="591"/>
      <c r="F53" s="591"/>
      <c r="G53" s="591"/>
      <c r="H53" s="591"/>
      <c r="I53" s="59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8CE2-6719-4A37-945A-AEB6956057D6}">
  <dimension ref="A1:Q91"/>
  <sheetViews>
    <sheetView workbookViewId="0">
      <selection activeCell="B11" sqref="B11"/>
    </sheetView>
  </sheetViews>
  <sheetFormatPr baseColWidth="10" defaultColWidth="8.42578125" defaultRowHeight="12.75" x14ac:dyDescent="0.2"/>
  <cols>
    <col min="1" max="1" width="10" style="66" bestFit="1" customWidth="1"/>
    <col min="2" max="2" width="44.28515625" style="66" bestFit="1" customWidth="1"/>
    <col min="3" max="3" width="10.42578125" style="66" bestFit="1" customWidth="1"/>
    <col min="4" max="4" width="10.42578125" style="66" customWidth="1"/>
    <col min="5" max="5" width="11" style="66" customWidth="1"/>
    <col min="6" max="6" width="9.5703125" style="66" bestFit="1" customWidth="1"/>
    <col min="7" max="7" width="10.85546875" style="148" customWidth="1"/>
    <col min="8" max="8" width="10.42578125" style="139" bestFit="1" customWidth="1"/>
    <col min="9" max="9" width="4.5703125" style="139" customWidth="1"/>
    <col min="10" max="10" width="1.85546875" style="65" customWidth="1"/>
    <col min="11" max="11" width="7" style="66" bestFit="1" customWidth="1"/>
    <col min="12" max="12" width="6.28515625" style="66" customWidth="1"/>
    <col min="13" max="13" width="20.42578125" style="66" customWidth="1"/>
    <col min="14" max="14" width="6.42578125" style="66" bestFit="1" customWidth="1"/>
    <col min="15" max="16" width="8.42578125" style="66"/>
    <col min="17" max="17" width="3.28515625" style="66" customWidth="1"/>
    <col min="18" max="16384" width="8.42578125" style="66"/>
  </cols>
  <sheetData>
    <row r="1" spans="1:10" ht="27.75" customHeight="1" x14ac:dyDescent="0.2">
      <c r="A1" s="61"/>
      <c r="B1" s="61"/>
      <c r="C1" s="61"/>
      <c r="D1" s="61"/>
      <c r="E1" s="62" t="s">
        <v>86</v>
      </c>
      <c r="F1" s="63" t="s">
        <v>87</v>
      </c>
      <c r="G1" s="63" t="s">
        <v>88</v>
      </c>
      <c r="H1" s="63" t="s">
        <v>89</v>
      </c>
      <c r="I1" s="64"/>
    </row>
    <row r="2" spans="1:10" ht="30.75" customHeight="1" x14ac:dyDescent="0.2">
      <c r="A2" s="61"/>
      <c r="B2" s="61"/>
      <c r="C2" s="61"/>
      <c r="D2" s="61"/>
      <c r="E2" s="67">
        <f>IFERROR(O62,"")</f>
        <v>3689.9470129870128</v>
      </c>
      <c r="F2" s="67">
        <f>IFERROR(H53,"")</f>
        <v>3253.96</v>
      </c>
      <c r="G2" s="67">
        <f>IFERROR(H54,"")</f>
        <v>2</v>
      </c>
      <c r="H2" s="67">
        <f>IFERROR(H56,"")</f>
        <v>237</v>
      </c>
      <c r="I2" s="68"/>
    </row>
    <row r="3" spans="1:10" ht="15" customHeight="1" x14ac:dyDescent="0.2">
      <c r="A3" s="61"/>
      <c r="B3" s="61"/>
      <c r="C3" s="61"/>
      <c r="D3" s="61"/>
      <c r="E3" s="61"/>
      <c r="F3" s="69"/>
      <c r="G3" s="69"/>
      <c r="H3" s="69"/>
      <c r="I3" s="69"/>
    </row>
    <row r="4" spans="1:10" ht="24.75" customHeight="1" thickBot="1" x14ac:dyDescent="0.25">
      <c r="A4" s="500"/>
      <c r="B4" s="500"/>
      <c r="C4" s="500"/>
      <c r="D4" s="500"/>
      <c r="E4" s="500"/>
      <c r="F4" s="500"/>
      <c r="G4" s="500"/>
      <c r="H4" s="500"/>
      <c r="I4" s="70"/>
    </row>
    <row r="5" spans="1:10" ht="19.5" customHeight="1" thickBot="1" x14ac:dyDescent="0.25">
      <c r="A5" s="501" t="s">
        <v>90</v>
      </c>
      <c r="B5" s="502"/>
      <c r="C5" s="502"/>
      <c r="D5" s="502"/>
      <c r="E5" s="502"/>
      <c r="F5" s="502"/>
      <c r="G5" s="502"/>
      <c r="H5" s="503"/>
      <c r="I5" s="71"/>
    </row>
    <row r="6" spans="1:10" ht="19.5" thickBot="1" x14ac:dyDescent="0.25">
      <c r="A6" s="71"/>
      <c r="B6" s="71"/>
      <c r="C6" s="71"/>
      <c r="D6" s="71"/>
      <c r="E6" s="71"/>
      <c r="F6" s="504" t="s">
        <v>91</v>
      </c>
      <c r="G6" s="504"/>
      <c r="H6" s="72">
        <f ca="1">TODAY()</f>
        <v>46034</v>
      </c>
      <c r="I6" s="72"/>
    </row>
    <row r="7" spans="1:10" ht="26.25" thickBot="1" x14ac:dyDescent="0.25">
      <c r="A7" s="73" t="s">
        <v>92</v>
      </c>
      <c r="B7" s="74" t="s">
        <v>93</v>
      </c>
      <c r="C7" s="74" t="s">
        <v>92</v>
      </c>
      <c r="D7" s="75" t="s">
        <v>94</v>
      </c>
      <c r="E7" s="75" t="s">
        <v>95</v>
      </c>
      <c r="F7" s="75" t="s">
        <v>96</v>
      </c>
      <c r="G7" s="75" t="s">
        <v>97</v>
      </c>
      <c r="H7" s="76" t="s">
        <v>98</v>
      </c>
      <c r="I7" s="77"/>
    </row>
    <row r="8" spans="1:10" ht="13.5" x14ac:dyDescent="0.25">
      <c r="A8" s="78">
        <v>330</v>
      </c>
      <c r="B8" s="66" t="s">
        <v>50</v>
      </c>
      <c r="C8" s="79">
        <f>+A8</f>
        <v>330</v>
      </c>
      <c r="D8" s="80" t="s">
        <v>137</v>
      </c>
      <c r="E8" s="80">
        <v>3.0710000000000002</v>
      </c>
      <c r="F8" s="80">
        <f>IFERROR(C8*E8,"")</f>
        <v>1013.4300000000001</v>
      </c>
      <c r="G8" s="81">
        <f t="shared" ref="G8:G14" si="0">IFERROR(F8/$F$66,"")</f>
        <v>0.28530935131571744</v>
      </c>
      <c r="H8" s="82" t="s">
        <v>49</v>
      </c>
      <c r="I8" s="82"/>
      <c r="J8" s="83"/>
    </row>
    <row r="9" spans="1:10" ht="13.5" x14ac:dyDescent="0.25">
      <c r="A9" s="78">
        <v>370</v>
      </c>
      <c r="B9" s="66" t="s">
        <v>65</v>
      </c>
      <c r="C9" s="79">
        <f t="shared" ref="C9:C14" si="1">+A9</f>
        <v>370</v>
      </c>
      <c r="D9" s="80" t="s">
        <v>137</v>
      </c>
      <c r="E9" s="80">
        <v>3.61</v>
      </c>
      <c r="F9" s="80">
        <f t="shared" ref="F9:F14" si="2">IFERROR(C9*E9,"")</f>
        <v>1335.7</v>
      </c>
      <c r="G9" s="81">
        <f t="shared" si="0"/>
        <v>0.37603751670308144</v>
      </c>
      <c r="H9" s="82" t="s">
        <v>64</v>
      </c>
      <c r="I9" s="82"/>
      <c r="J9" s="83"/>
    </row>
    <row r="10" spans="1:10" ht="13.5" x14ac:dyDescent="0.25">
      <c r="A10" s="78">
        <v>150</v>
      </c>
      <c r="B10" s="66" t="s">
        <v>69</v>
      </c>
      <c r="C10" s="79">
        <f t="shared" si="1"/>
        <v>150</v>
      </c>
      <c r="D10" s="80" t="s">
        <v>137</v>
      </c>
      <c r="E10" s="80">
        <v>2.21</v>
      </c>
      <c r="F10" s="80">
        <f t="shared" si="2"/>
        <v>331.5</v>
      </c>
      <c r="G10" s="81">
        <f t="shared" si="0"/>
        <v>9.3326672746179146E-2</v>
      </c>
      <c r="H10" s="82" t="s">
        <v>68</v>
      </c>
      <c r="I10" s="82"/>
      <c r="J10" s="83"/>
    </row>
    <row r="11" spans="1:10" ht="13.5" x14ac:dyDescent="0.25">
      <c r="A11" s="78">
        <v>0.5</v>
      </c>
      <c r="B11" s="66" t="s">
        <v>71</v>
      </c>
      <c r="C11" s="79">
        <f t="shared" si="1"/>
        <v>0.5</v>
      </c>
      <c r="D11" s="80" t="s">
        <v>137</v>
      </c>
      <c r="E11" s="80">
        <v>18.46</v>
      </c>
      <c r="F11" s="80">
        <f t="shared" si="2"/>
        <v>9.23</v>
      </c>
      <c r="G11" s="81">
        <f t="shared" si="0"/>
        <v>2.5985073588151841E-3</v>
      </c>
      <c r="H11" s="82" t="s">
        <v>70</v>
      </c>
      <c r="I11" s="82"/>
      <c r="J11" s="83"/>
    </row>
    <row r="12" spans="1:10" ht="13.5" x14ac:dyDescent="0.25">
      <c r="A12" s="78">
        <v>10</v>
      </c>
      <c r="B12" s="66" t="s">
        <v>52</v>
      </c>
      <c r="C12" s="79">
        <f t="shared" si="1"/>
        <v>10</v>
      </c>
      <c r="D12" s="80" t="s">
        <v>137</v>
      </c>
      <c r="E12" s="80">
        <v>13.01</v>
      </c>
      <c r="F12" s="80">
        <f t="shared" si="2"/>
        <v>130.1</v>
      </c>
      <c r="G12" s="81">
        <f t="shared" si="0"/>
        <v>3.6626848037037425E-2</v>
      </c>
      <c r="H12" s="82" t="s">
        <v>51</v>
      </c>
      <c r="I12" s="82"/>
      <c r="J12" s="83"/>
    </row>
    <row r="13" spans="1:10" ht="13.5" hidden="1" x14ac:dyDescent="0.25">
      <c r="A13" s="78"/>
      <c r="B13" s="66" t="str">
        <f>IFERROR(VLOOKUP(H13,'[1]Consolidado MP Planta'!$A$2:$M$823,3,0),"")</f>
        <v/>
      </c>
      <c r="C13" s="79">
        <f t="shared" si="1"/>
        <v>0</v>
      </c>
      <c r="D13" s="80" t="str">
        <f>IFERROR(VLOOKUP(H13,'[1]Consolidado MP Planta'!$A$2:$M$823,13,0),"")</f>
        <v/>
      </c>
      <c r="E13" s="80" t="str">
        <f>IFERROR(VLOOKUP(H13,'[1]Consolidado MP Planta'!$A$2:$M$823,12,0),"")</f>
        <v/>
      </c>
      <c r="F13" s="80" t="str">
        <f t="shared" si="2"/>
        <v/>
      </c>
      <c r="G13" s="81" t="str">
        <f t="shared" si="0"/>
        <v/>
      </c>
      <c r="H13" s="82"/>
      <c r="I13" s="82"/>
      <c r="J13" s="83"/>
    </row>
    <row r="14" spans="1:10" ht="13.5" hidden="1" x14ac:dyDescent="0.25">
      <c r="A14" s="78"/>
      <c r="B14" s="66" t="str">
        <f>IFERROR(VLOOKUP(H14,'[1]Consolidado MP Planta'!$A$2:$M$823,3,0),"")</f>
        <v/>
      </c>
      <c r="C14" s="79">
        <f t="shared" si="1"/>
        <v>0</v>
      </c>
      <c r="D14" s="80" t="str">
        <f>IFERROR(VLOOKUP(H14,'[1]Consolidado MP Planta'!$A$2:$M$823,13,0),"")</f>
        <v/>
      </c>
      <c r="E14" s="80" t="str">
        <f>IFERROR(VLOOKUP(H14,'[1]Consolidado MP Planta'!$A$2:$M$823,12,0),"")</f>
        <v/>
      </c>
      <c r="F14" s="80" t="str">
        <f t="shared" si="2"/>
        <v/>
      </c>
      <c r="G14" s="81" t="str">
        <f t="shared" si="0"/>
        <v/>
      </c>
      <c r="H14" s="82"/>
      <c r="I14" s="82"/>
      <c r="J14" s="83"/>
    </row>
    <row r="15" spans="1:10" ht="14.25" thickBot="1" x14ac:dyDescent="0.3">
      <c r="A15" s="78"/>
      <c r="B15" s="66" t="str">
        <f>IFERROR(VLOOKUP(H15,'[2]ARTICULOS MP PLANTA'!$A$2:$G$589,2,0),"")</f>
        <v/>
      </c>
      <c r="C15" s="79"/>
      <c r="D15" s="80"/>
      <c r="E15" s="80"/>
      <c r="F15" s="80"/>
      <c r="G15" s="81"/>
      <c r="H15" s="82"/>
      <c r="I15" s="82"/>
      <c r="J15" s="83"/>
    </row>
    <row r="16" spans="1:10" ht="26.25" thickBot="1" x14ac:dyDescent="0.25">
      <c r="A16" s="73" t="s">
        <v>92</v>
      </c>
      <c r="B16" s="74" t="s">
        <v>99</v>
      </c>
      <c r="C16" s="74" t="s">
        <v>92</v>
      </c>
      <c r="D16" s="75" t="s">
        <v>94</v>
      </c>
      <c r="E16" s="75" t="s">
        <v>95</v>
      </c>
      <c r="F16" s="75" t="s">
        <v>96</v>
      </c>
      <c r="G16" s="75" t="s">
        <v>97</v>
      </c>
      <c r="H16" s="76" t="s">
        <v>98</v>
      </c>
      <c r="I16" s="77"/>
      <c r="J16" s="83"/>
    </row>
    <row r="17" spans="1:12" ht="13.5" x14ac:dyDescent="0.25">
      <c r="A17" s="78">
        <v>200</v>
      </c>
      <c r="B17" s="66" t="s">
        <v>67</v>
      </c>
      <c r="C17" s="79">
        <f>+A17</f>
        <v>200</v>
      </c>
      <c r="D17" s="79" t="s">
        <v>137</v>
      </c>
      <c r="E17" s="80">
        <v>2.17</v>
      </c>
      <c r="F17" s="80">
        <f>IFERROR(E17*C17,"")</f>
        <v>434</v>
      </c>
      <c r="G17" s="81">
        <f t="shared" ref="G17:G24" si="3">IFERROR(F17/$F$66,"")</f>
        <v>0.12218333626498265</v>
      </c>
      <c r="H17" s="82" t="s">
        <v>66</v>
      </c>
      <c r="I17" s="82"/>
      <c r="J17" s="83"/>
    </row>
    <row r="18" spans="1:12" ht="13.5" hidden="1" x14ac:dyDescent="0.25">
      <c r="A18" s="78"/>
      <c r="B18" s="66" t="str">
        <f>IFERROR(VLOOKUP(H18,[1]SEMIELABORADOS!$A$2:$M$6000,2,0),"")</f>
        <v/>
      </c>
      <c r="C18" s="79">
        <f t="shared" ref="C18:C24" si="4">+A18</f>
        <v>0</v>
      </c>
      <c r="D18" s="79" t="str">
        <f>IFERROR(VLOOKUP(H18,[1]SEMIELABORADOS!$A$2:$M$6000,6,0),"")</f>
        <v/>
      </c>
      <c r="E18" s="80" t="str">
        <f>IFERROR(VLOOKUP(H18,[1]SEMIELABORADOS!$A$2:$H$65536,8,0),"")</f>
        <v/>
      </c>
      <c r="F18" s="80" t="str">
        <f t="shared" ref="F18:F24" si="5">IFERROR(E18*C18,"")</f>
        <v/>
      </c>
      <c r="G18" s="81" t="str">
        <f t="shared" si="3"/>
        <v/>
      </c>
      <c r="H18" s="82"/>
      <c r="I18" s="82"/>
      <c r="J18" s="83"/>
    </row>
    <row r="19" spans="1:12" ht="13.5" hidden="1" x14ac:dyDescent="0.25">
      <c r="A19" s="78"/>
      <c r="B19" s="66" t="str">
        <f>IFERROR(VLOOKUP(H19,[1]SEMIELABORADOS!$A$2:$M$6000,2,0),"")</f>
        <v/>
      </c>
      <c r="C19" s="79">
        <f>+A19</f>
        <v>0</v>
      </c>
      <c r="D19" s="79" t="str">
        <f>IFERROR(VLOOKUP(H19,[1]SEMIELABORADOS!$A$2:$M$6000,6,0),"")</f>
        <v/>
      </c>
      <c r="E19" s="80" t="str">
        <f>IFERROR(VLOOKUP(H19,[1]SEMIELABORADOS!$A$2:$H$65536,8,0),"")</f>
        <v/>
      </c>
      <c r="F19" s="80" t="str">
        <f>IFERROR(E19*C19,"")</f>
        <v/>
      </c>
      <c r="G19" s="81" t="str">
        <f t="shared" si="3"/>
        <v/>
      </c>
      <c r="H19" s="82"/>
      <c r="I19" s="82"/>
      <c r="J19" s="83"/>
    </row>
    <row r="20" spans="1:12" ht="13.5" hidden="1" x14ac:dyDescent="0.25">
      <c r="A20" s="78"/>
      <c r="B20" s="66" t="str">
        <f>IFERROR(VLOOKUP(H20,[1]SEMIELABORADOS!$A$2:$M$6000,2,0),"")</f>
        <v/>
      </c>
      <c r="C20" s="79">
        <f>+A20</f>
        <v>0</v>
      </c>
      <c r="D20" s="79" t="str">
        <f>IFERROR(VLOOKUP(H20,[1]SEMIELABORADOS!$A$2:$M$6000,6,0),"")</f>
        <v/>
      </c>
      <c r="E20" s="80" t="str">
        <f>IFERROR(VLOOKUP(H20,[1]SEMIELABORADOS!$A$2:$H$65536,8,0),"")</f>
        <v/>
      </c>
      <c r="F20" s="80" t="str">
        <f>IFERROR(E20*C20,"")</f>
        <v/>
      </c>
      <c r="G20" s="81" t="str">
        <f t="shared" si="3"/>
        <v/>
      </c>
      <c r="H20" s="82"/>
      <c r="I20" s="82"/>
      <c r="J20" s="83"/>
    </row>
    <row r="21" spans="1:12" ht="13.5" hidden="1" x14ac:dyDescent="0.25">
      <c r="A21" s="78"/>
      <c r="B21" s="66" t="str">
        <f>IFERROR(VLOOKUP(H21,[1]SEMIELABORADOS!$A$2:$M$6000,2,0),"")</f>
        <v/>
      </c>
      <c r="C21" s="79">
        <f>+A21</f>
        <v>0</v>
      </c>
      <c r="D21" s="79" t="str">
        <f>IFERROR(VLOOKUP(H21,[1]SEMIELABORADOS!$A$2:$M$6000,6,0),"")</f>
        <v/>
      </c>
      <c r="E21" s="80" t="str">
        <f>IFERROR(VLOOKUP(H21,[1]SEMIELABORADOS!$A$2:$H$65536,8,0),"")</f>
        <v/>
      </c>
      <c r="F21" s="80" t="str">
        <f>IFERROR(E21*C21,"")</f>
        <v/>
      </c>
      <c r="G21" s="81" t="str">
        <f t="shared" si="3"/>
        <v/>
      </c>
      <c r="H21" s="82"/>
      <c r="I21" s="82"/>
      <c r="J21" s="83"/>
    </row>
    <row r="22" spans="1:12" ht="13.5" hidden="1" x14ac:dyDescent="0.25">
      <c r="A22" s="78"/>
      <c r="B22" s="66" t="str">
        <f>IFERROR(VLOOKUP(H22,[1]SEMIELABORADOS!$A$2:$M$6000,2,0),"")</f>
        <v/>
      </c>
      <c r="C22" s="79">
        <f t="shared" si="4"/>
        <v>0</v>
      </c>
      <c r="D22" s="79" t="str">
        <f>IFERROR(VLOOKUP(H22,[1]SEMIELABORADOS!$A$2:$M$6000,6,0),"")</f>
        <v/>
      </c>
      <c r="E22" s="80" t="str">
        <f>IFERROR(VLOOKUP(H22,[1]SEMIELABORADOS!$A$2:$H$65536,8,0),"")</f>
        <v/>
      </c>
      <c r="F22" s="80" t="str">
        <f t="shared" si="5"/>
        <v/>
      </c>
      <c r="G22" s="81" t="str">
        <f t="shared" si="3"/>
        <v/>
      </c>
      <c r="H22" s="82"/>
      <c r="I22" s="82"/>
      <c r="J22" s="83"/>
    </row>
    <row r="23" spans="1:12" ht="13.5" hidden="1" x14ac:dyDescent="0.25">
      <c r="A23" s="78"/>
      <c r="B23" s="66" t="str">
        <f>IFERROR(VLOOKUP(H23,[1]SEMIELABORADOS!$A$2:$M$6000,2,0),"")</f>
        <v/>
      </c>
      <c r="C23" s="79">
        <f t="shared" si="4"/>
        <v>0</v>
      </c>
      <c r="D23" s="79" t="str">
        <f>IFERROR(VLOOKUP(H23,[1]SEMIELABORADOS!$A$2:$M$6000,6,0),"")</f>
        <v/>
      </c>
      <c r="E23" s="80" t="str">
        <f>IFERROR(VLOOKUP(H23,[1]SEMIELABORADOS!$A$2:$H$65536,8,0),"")</f>
        <v/>
      </c>
      <c r="F23" s="80" t="str">
        <f t="shared" si="5"/>
        <v/>
      </c>
      <c r="G23" s="81" t="str">
        <f t="shared" si="3"/>
        <v/>
      </c>
      <c r="H23" s="82"/>
      <c r="I23" s="82"/>
      <c r="J23" s="83"/>
    </row>
    <row r="24" spans="1:12" ht="13.5" hidden="1" x14ac:dyDescent="0.25">
      <c r="A24" s="78"/>
      <c r="B24" s="66" t="str">
        <f>IFERROR(VLOOKUP(H24,[1]SEMIELABORADOS!$A$2:$M$6000,2,0),"")</f>
        <v/>
      </c>
      <c r="C24" s="79">
        <f t="shared" si="4"/>
        <v>0</v>
      </c>
      <c r="D24" s="79" t="str">
        <f>IFERROR(VLOOKUP(H24,[1]SEMIELABORADOS!$A$2:$M$6000,6,0),"")</f>
        <v/>
      </c>
      <c r="E24" s="80" t="str">
        <f>IFERROR(VLOOKUP(H24,[1]SEMIELABORADOS!$A$2:$H$65536,8,0),"")</f>
        <v/>
      </c>
      <c r="F24" s="80" t="str">
        <f t="shared" si="5"/>
        <v/>
      </c>
      <c r="G24" s="81" t="str">
        <f t="shared" si="3"/>
        <v/>
      </c>
      <c r="H24" s="82"/>
      <c r="I24" s="82"/>
      <c r="J24" s="83"/>
    </row>
    <row r="25" spans="1:12" ht="14.25" thickBot="1" x14ac:dyDescent="0.3">
      <c r="A25" s="78"/>
      <c r="C25" s="79"/>
      <c r="D25" s="79"/>
      <c r="E25" s="80"/>
      <c r="F25" s="80"/>
      <c r="G25" s="81"/>
      <c r="H25" s="82"/>
      <c r="I25" s="82"/>
      <c r="J25" s="83"/>
    </row>
    <row r="26" spans="1:12" ht="26.25" hidden="1" thickBot="1" x14ac:dyDescent="0.25">
      <c r="A26" s="73" t="s">
        <v>92</v>
      </c>
      <c r="B26" s="74" t="s">
        <v>55</v>
      </c>
      <c r="C26" s="74" t="s">
        <v>92</v>
      </c>
      <c r="D26" s="75" t="s">
        <v>94</v>
      </c>
      <c r="E26" s="75" t="s">
        <v>95</v>
      </c>
      <c r="F26" s="75" t="s">
        <v>96</v>
      </c>
      <c r="G26" s="75" t="s">
        <v>97</v>
      </c>
      <c r="H26" s="76" t="s">
        <v>98</v>
      </c>
      <c r="I26" s="77"/>
    </row>
    <row r="27" spans="1:12" ht="13.5" hidden="1" x14ac:dyDescent="0.25">
      <c r="A27" s="78">
        <v>0</v>
      </c>
      <c r="B27" s="84" t="str">
        <f>IFERROR(VLOOKUP(H27,'[1]Consolidado MP Planta'!$A$2:$M$823,3,0),"")</f>
        <v/>
      </c>
      <c r="C27" s="79">
        <f t="shared" ref="C27:C32" si="6">+A27</f>
        <v>0</v>
      </c>
      <c r="D27" s="80" t="str">
        <f>IFERROR(VLOOKUP(H27,'[1]Consolidado MP Planta'!$A$2:$M$823,13,0),"")</f>
        <v/>
      </c>
      <c r="E27" s="80" t="str">
        <f>IFERROR(VLOOKUP(H27,'[1]Consolidado MP Planta'!$A$2:$M$823,12,0),"")</f>
        <v/>
      </c>
      <c r="F27" s="80" t="str">
        <f t="shared" ref="F27:F32" si="7">IFERROR(C27*E27,"")</f>
        <v/>
      </c>
      <c r="G27" s="81" t="str">
        <f t="shared" ref="G27:G32" si="8">IFERROR(F27/$F$66,"")</f>
        <v/>
      </c>
      <c r="H27" s="85"/>
      <c r="I27" s="85"/>
      <c r="J27" s="83"/>
      <c r="K27" s="494"/>
      <c r="L27" s="494"/>
    </row>
    <row r="28" spans="1:12" ht="13.5" hidden="1" x14ac:dyDescent="0.25">
      <c r="A28" s="78"/>
      <c r="B28" s="84" t="str">
        <f>IFERROR(VLOOKUP(H28,'[1]Consolidado MP Planta'!$A$2:$M$823,3,0),"")</f>
        <v/>
      </c>
      <c r="C28" s="79">
        <f t="shared" si="6"/>
        <v>0</v>
      </c>
      <c r="D28" s="80" t="str">
        <f>IFERROR(VLOOKUP(H28,'[1]Consolidado MP Planta'!$A$2:$M$823,13,0),"")</f>
        <v/>
      </c>
      <c r="E28" s="80" t="str">
        <f>IFERROR(VLOOKUP(H28,'[1]Consolidado MP Planta'!$A$2:$M$823,12,0),"")</f>
        <v/>
      </c>
      <c r="F28" s="80" t="str">
        <f t="shared" si="7"/>
        <v/>
      </c>
      <c r="G28" s="81" t="str">
        <f t="shared" si="8"/>
        <v/>
      </c>
      <c r="H28" s="85"/>
      <c r="I28" s="85"/>
      <c r="J28" s="83"/>
      <c r="K28" s="494"/>
      <c r="L28" s="494"/>
    </row>
    <row r="29" spans="1:12" ht="13.5" hidden="1" x14ac:dyDescent="0.25">
      <c r="A29" s="78"/>
      <c r="B29" s="84" t="str">
        <f>IFERROR(VLOOKUP(H29,'[1]Consolidado MP Planta'!$A$2:$M$823,3,0),"")</f>
        <v/>
      </c>
      <c r="C29" s="79">
        <f t="shared" si="6"/>
        <v>0</v>
      </c>
      <c r="D29" s="80" t="str">
        <f>IFERROR(VLOOKUP(H29,'[1]Consolidado MP Planta'!$A$2:$M$823,13,0),"")</f>
        <v/>
      </c>
      <c r="E29" s="80" t="str">
        <f>IFERROR(VLOOKUP(H29,'[1]Consolidado MP Planta'!$A$2:$M$823,12,0),"")</f>
        <v/>
      </c>
      <c r="F29" s="80" t="str">
        <f t="shared" si="7"/>
        <v/>
      </c>
      <c r="G29" s="81" t="str">
        <f t="shared" si="8"/>
        <v/>
      </c>
      <c r="H29" s="85"/>
      <c r="I29" s="85"/>
      <c r="J29" s="83"/>
      <c r="K29" s="494"/>
      <c r="L29" s="494"/>
    </row>
    <row r="30" spans="1:12" ht="13.5" hidden="1" x14ac:dyDescent="0.25">
      <c r="A30" s="78"/>
      <c r="B30" s="84" t="str">
        <f>IFERROR(VLOOKUP(H30,'[1]Consolidado MP Planta'!$A$2:$M$823,3,0),"")</f>
        <v/>
      </c>
      <c r="C30" s="79">
        <f t="shared" si="6"/>
        <v>0</v>
      </c>
      <c r="D30" s="80" t="str">
        <f>IFERROR(VLOOKUP(H30,'[1]Consolidado MP Planta'!$A$2:$M$823,13,0),"")</f>
        <v/>
      </c>
      <c r="E30" s="80" t="str">
        <f>IFERROR(VLOOKUP(H30,'[1]Consolidado MP Planta'!$A$2:$M$823,12,0),"")</f>
        <v/>
      </c>
      <c r="F30" s="80" t="str">
        <f t="shared" si="7"/>
        <v/>
      </c>
      <c r="G30" s="81" t="str">
        <f t="shared" si="8"/>
        <v/>
      </c>
      <c r="H30" s="85"/>
      <c r="I30" s="85"/>
      <c r="J30" s="83"/>
      <c r="K30" s="494"/>
      <c r="L30" s="494"/>
    </row>
    <row r="31" spans="1:12" ht="13.5" hidden="1" x14ac:dyDescent="0.25">
      <c r="A31" s="78"/>
      <c r="B31" s="84" t="str">
        <f>IFERROR(VLOOKUP(H31,'[1]Consolidado MP Planta'!$A$2:$M$823,3,0),"")</f>
        <v/>
      </c>
      <c r="C31" s="79">
        <f t="shared" si="6"/>
        <v>0</v>
      </c>
      <c r="D31" s="80" t="str">
        <f>IFERROR(VLOOKUP(H31,'[1]Consolidado MP Planta'!$A$2:$M$823,13,0),"")</f>
        <v/>
      </c>
      <c r="E31" s="80" t="str">
        <f>IFERROR(VLOOKUP(H31,'[1]Consolidado MP Planta'!$A$2:$M$823,12,0),"")</f>
        <v/>
      </c>
      <c r="F31" s="80" t="str">
        <f t="shared" si="7"/>
        <v/>
      </c>
      <c r="G31" s="81" t="str">
        <f t="shared" si="8"/>
        <v/>
      </c>
      <c r="H31" s="85"/>
      <c r="I31" s="85"/>
      <c r="J31" s="83"/>
      <c r="K31" s="86"/>
      <c r="L31" s="87"/>
    </row>
    <row r="32" spans="1:12" ht="13.5" hidden="1" x14ac:dyDescent="0.25">
      <c r="A32" s="78"/>
      <c r="B32" s="84" t="str">
        <f>IFERROR(VLOOKUP(H32,'[1]Consolidado MP Planta'!$A$2:$M$823,3,0),"")</f>
        <v/>
      </c>
      <c r="C32" s="79">
        <f t="shared" si="6"/>
        <v>0</v>
      </c>
      <c r="D32" s="80" t="str">
        <f>IFERROR(VLOOKUP(H32,'[1]Consolidado MP Planta'!$A$2:$M$823,13,0),"")</f>
        <v/>
      </c>
      <c r="E32" s="80" t="str">
        <f>IFERROR(VLOOKUP(H32,'[1]Consolidado MP Planta'!$A$2:$M$823,12,0),"")</f>
        <v/>
      </c>
      <c r="F32" s="80" t="str">
        <f t="shared" si="7"/>
        <v/>
      </c>
      <c r="G32" s="81" t="str">
        <f t="shared" si="8"/>
        <v/>
      </c>
      <c r="H32" s="85"/>
      <c r="I32" s="85"/>
      <c r="J32" s="83"/>
    </row>
    <row r="33" spans="1:13" ht="14.25" hidden="1" thickBot="1" x14ac:dyDescent="0.3">
      <c r="A33" s="78"/>
      <c r="B33" s="84"/>
      <c r="C33" s="79"/>
      <c r="D33" s="80"/>
      <c r="E33" s="80"/>
      <c r="F33" s="80"/>
      <c r="G33" s="81"/>
      <c r="H33" s="85"/>
      <c r="I33" s="85"/>
      <c r="J33" s="83"/>
    </row>
    <row r="34" spans="1:13" ht="26.25" thickBot="1" x14ac:dyDescent="0.25">
      <c r="A34" s="73" t="s">
        <v>92</v>
      </c>
      <c r="B34" s="74" t="s">
        <v>100</v>
      </c>
      <c r="C34" s="74" t="s">
        <v>92</v>
      </c>
      <c r="D34" s="75" t="s">
        <v>94</v>
      </c>
      <c r="E34" s="75" t="s">
        <v>95</v>
      </c>
      <c r="F34" s="75" t="s">
        <v>96</v>
      </c>
      <c r="G34" s="75" t="s">
        <v>97</v>
      </c>
      <c r="H34" s="76" t="s">
        <v>98</v>
      </c>
      <c r="I34" s="85"/>
      <c r="J34" s="83"/>
    </row>
    <row r="35" spans="1:13" ht="13.5" x14ac:dyDescent="0.25">
      <c r="A35" s="78">
        <f>+A17</f>
        <v>200</v>
      </c>
      <c r="B35" s="66" t="s">
        <v>67</v>
      </c>
      <c r="C35" s="79">
        <f>+A35</f>
        <v>200</v>
      </c>
      <c r="D35" s="80" t="s">
        <v>137</v>
      </c>
      <c r="E35" s="80">
        <v>0.01</v>
      </c>
      <c r="F35" s="80">
        <f>IFERROR(E35*C35,"")</f>
        <v>2</v>
      </c>
      <c r="G35" s="81">
        <f t="shared" ref="G35:G41" si="9">IFERROR(F35/$F$66,"")</f>
        <v>5.6305684914738547E-4</v>
      </c>
      <c r="H35" s="85" t="s">
        <v>66</v>
      </c>
      <c r="I35" s="85"/>
      <c r="J35" s="83"/>
    </row>
    <row r="36" spans="1:13" ht="13.5" hidden="1" x14ac:dyDescent="0.25">
      <c r="A36" s="78">
        <f t="shared" ref="A36:A41" si="10">+A18</f>
        <v>0</v>
      </c>
      <c r="B36" s="84" t="str">
        <f>IFERROR(VLOOKUP(H36,[1]SEMIELABORADOS!$A$2:$M$6000,2,0),"")</f>
        <v/>
      </c>
      <c r="C36" s="79">
        <f t="shared" ref="C36:C41" si="11">+A36</f>
        <v>0</v>
      </c>
      <c r="D36" s="80" t="str">
        <f>IFERROR(VLOOKUP(H36,[1]SEMIELABORADOS!$A$2:$M$6000,6,0),"")</f>
        <v/>
      </c>
      <c r="E36" s="80" t="str">
        <f>IFERROR(VLOOKUP(H36,[1]SEMIELABORADOS!$A$2:$M$65536,10,0),"")</f>
        <v/>
      </c>
      <c r="F36" s="80" t="str">
        <f t="shared" ref="F36:F41" si="12">IFERROR(E36*C36,"")</f>
        <v/>
      </c>
      <c r="G36" s="81" t="str">
        <f t="shared" si="9"/>
        <v/>
      </c>
      <c r="H36" s="85"/>
      <c r="I36" s="85"/>
      <c r="J36" s="83"/>
    </row>
    <row r="37" spans="1:13" ht="13.5" hidden="1" x14ac:dyDescent="0.25">
      <c r="A37" s="78">
        <f t="shared" si="10"/>
        <v>0</v>
      </c>
      <c r="B37" s="84" t="str">
        <f>IFERROR(VLOOKUP(H37,[1]SEMIELABORADOS!$A$2:$M$6000,2,0),"")</f>
        <v/>
      </c>
      <c r="C37" s="79">
        <f t="shared" si="11"/>
        <v>0</v>
      </c>
      <c r="D37" s="80" t="str">
        <f>IFERROR(VLOOKUP(H37,[1]SEMIELABORADOS!$A$2:$M$6000,6,0),"")</f>
        <v/>
      </c>
      <c r="E37" s="80" t="str">
        <f>IFERROR(VLOOKUP(H37,[1]SEMIELABORADOS!$A$2:$M$65536,10,0),"")</f>
        <v/>
      </c>
      <c r="F37" s="80" t="str">
        <f t="shared" si="12"/>
        <v/>
      </c>
      <c r="G37" s="81" t="str">
        <f t="shared" si="9"/>
        <v/>
      </c>
      <c r="H37" s="85"/>
      <c r="I37" s="85"/>
      <c r="J37" s="83"/>
    </row>
    <row r="38" spans="1:13" ht="13.5" hidden="1" x14ac:dyDescent="0.25">
      <c r="A38" s="78">
        <f t="shared" si="10"/>
        <v>0</v>
      </c>
      <c r="B38" s="84" t="str">
        <f>IFERROR(VLOOKUP(H38,[1]SEMIELABORADOS!$A$2:$M$6000,2,0),"")</f>
        <v/>
      </c>
      <c r="C38" s="79">
        <f>+A38</f>
        <v>0</v>
      </c>
      <c r="D38" s="80" t="str">
        <f>IFERROR(VLOOKUP(H38,[1]SEMIELABORADOS!$A$2:$M$6000,6,0),"")</f>
        <v/>
      </c>
      <c r="E38" s="80" t="str">
        <f>IFERROR(VLOOKUP(H38,[1]SEMIELABORADOS!$A$2:$M$65536,10,0),"")</f>
        <v/>
      </c>
      <c r="F38" s="80" t="str">
        <f>IFERROR(E38*C38,"")</f>
        <v/>
      </c>
      <c r="G38" s="81" t="str">
        <f t="shared" si="9"/>
        <v/>
      </c>
      <c r="H38" s="85"/>
      <c r="I38" s="85"/>
      <c r="J38" s="83"/>
    </row>
    <row r="39" spans="1:13" ht="13.5" hidden="1" x14ac:dyDescent="0.25">
      <c r="A39" s="78">
        <f t="shared" si="10"/>
        <v>0</v>
      </c>
      <c r="B39" s="84" t="str">
        <f>IFERROR(VLOOKUP(H39,[1]SEMIELABORADOS!$A$2:$M$6000,2,0),"")</f>
        <v/>
      </c>
      <c r="C39" s="79">
        <f>+A39</f>
        <v>0</v>
      </c>
      <c r="D39" s="80" t="str">
        <f>IFERROR(VLOOKUP(H39,[1]SEMIELABORADOS!$A$2:$M$6000,6,0),"")</f>
        <v/>
      </c>
      <c r="E39" s="80" t="str">
        <f>IFERROR(VLOOKUP(H39,[1]SEMIELABORADOS!$A$2:$M$65536,10,0),"")</f>
        <v/>
      </c>
      <c r="F39" s="80" t="str">
        <f>IFERROR(E39*C39,"")</f>
        <v/>
      </c>
      <c r="G39" s="81" t="str">
        <f t="shared" si="9"/>
        <v/>
      </c>
      <c r="H39" s="85"/>
      <c r="I39" s="85"/>
      <c r="J39" s="83"/>
    </row>
    <row r="40" spans="1:13" ht="13.5" hidden="1" x14ac:dyDescent="0.25">
      <c r="A40" s="78">
        <f t="shared" si="10"/>
        <v>0</v>
      </c>
      <c r="B40" s="84" t="str">
        <f>IFERROR(VLOOKUP(H40,[1]SEMIELABORADOS!$A$2:$M$6000,2,0),"")</f>
        <v/>
      </c>
      <c r="C40" s="79">
        <f t="shared" si="11"/>
        <v>0</v>
      </c>
      <c r="D40" s="80" t="str">
        <f>IFERROR(VLOOKUP(H40,[1]SEMIELABORADOS!$A$2:$M$6000,6,0),"")</f>
        <v/>
      </c>
      <c r="E40" s="80" t="str">
        <f>IFERROR(VLOOKUP(H40,[1]SEMIELABORADOS!$A$2:$M$65536,10,0),"")</f>
        <v/>
      </c>
      <c r="F40" s="80" t="str">
        <f t="shared" si="12"/>
        <v/>
      </c>
      <c r="G40" s="81" t="str">
        <f t="shared" si="9"/>
        <v/>
      </c>
      <c r="H40" s="85"/>
      <c r="I40" s="85"/>
      <c r="J40" s="83"/>
    </row>
    <row r="41" spans="1:13" ht="13.5" hidden="1" x14ac:dyDescent="0.25">
      <c r="A41" s="78">
        <f t="shared" si="10"/>
        <v>0</v>
      </c>
      <c r="B41" s="84" t="str">
        <f>IFERROR(VLOOKUP(H41,[1]SEMIELABORADOS!$A$2:$M$6000,2,0),"")</f>
        <v/>
      </c>
      <c r="C41" s="79">
        <f t="shared" si="11"/>
        <v>0</v>
      </c>
      <c r="D41" s="80" t="str">
        <f>IFERROR(VLOOKUP(H41,[1]SEMIELABORADOS!$A$2:$M$6000,6,0),"")</f>
        <v/>
      </c>
      <c r="E41" s="80" t="str">
        <f>IFERROR(VLOOKUP(H41,[1]SEMIELABORADOS!$A$2:$M$65536,10,0),"")</f>
        <v/>
      </c>
      <c r="F41" s="80" t="str">
        <f t="shared" si="12"/>
        <v/>
      </c>
      <c r="G41" s="81" t="str">
        <f t="shared" si="9"/>
        <v/>
      </c>
      <c r="H41" s="85"/>
      <c r="I41" s="85"/>
      <c r="J41" s="83"/>
    </row>
    <row r="42" spans="1:13" ht="14.25" thickBot="1" x14ac:dyDescent="0.3">
      <c r="A42" s="78"/>
      <c r="B42" s="84"/>
      <c r="C42" s="79"/>
      <c r="D42" s="80"/>
      <c r="E42" s="80"/>
      <c r="F42" s="80"/>
      <c r="G42" s="81"/>
      <c r="H42" s="85"/>
      <c r="I42" s="85"/>
      <c r="J42" s="83"/>
    </row>
    <row r="43" spans="1:13" ht="26.25" thickBot="1" x14ac:dyDescent="0.25">
      <c r="A43" s="73" t="s">
        <v>92</v>
      </c>
      <c r="B43" s="74" t="s">
        <v>101</v>
      </c>
      <c r="C43" s="74" t="s">
        <v>92</v>
      </c>
      <c r="D43" s="75" t="s">
        <v>94</v>
      </c>
      <c r="E43" s="75" t="s">
        <v>95</v>
      </c>
      <c r="F43" s="75" t="s">
        <v>96</v>
      </c>
      <c r="G43" s="75" t="s">
        <v>97</v>
      </c>
      <c r="H43" s="76" t="s">
        <v>98</v>
      </c>
      <c r="I43" s="77"/>
      <c r="J43" s="83"/>
    </row>
    <row r="44" spans="1:13" ht="13.5" x14ac:dyDescent="0.25">
      <c r="A44" s="78">
        <f>+A35</f>
        <v>200</v>
      </c>
      <c r="B44" s="66" t="s">
        <v>67</v>
      </c>
      <c r="C44" s="79">
        <f>+A44</f>
        <v>200</v>
      </c>
      <c r="D44" s="80" t="s">
        <v>137</v>
      </c>
      <c r="E44" s="80">
        <v>0.03</v>
      </c>
      <c r="F44" s="80">
        <f>IFERROR(E44*C44,"")</f>
        <v>6</v>
      </c>
      <c r="G44" s="81">
        <f>IFERROR(F44/$F$66,"")</f>
        <v>1.6891705474421565E-3</v>
      </c>
      <c r="H44" s="85" t="s">
        <v>66</v>
      </c>
      <c r="I44" s="77"/>
      <c r="J44" s="83"/>
    </row>
    <row r="45" spans="1:13" ht="13.5" hidden="1" x14ac:dyDescent="0.25">
      <c r="A45" s="78">
        <f t="shared" ref="A45:A50" si="13">+A36</f>
        <v>0</v>
      </c>
      <c r="B45" s="84" t="str">
        <f>IFERROR(VLOOKUP(H45,[1]SEMIELABORADOS!$A$2:$M$6000,2,0),"")</f>
        <v/>
      </c>
      <c r="C45" s="79">
        <f t="shared" ref="C45:C50" si="14">+A45</f>
        <v>0</v>
      </c>
      <c r="D45" s="80" t="str">
        <f>IFERROR(VLOOKUP(H45,[1]SEMIELABORADOS!$A$2:$M$6000,6,0),"")</f>
        <v/>
      </c>
      <c r="E45" s="80" t="str">
        <f>IFERROR(VLOOKUP(H45,[1]SEMIELABORADOS!$A$2:$M$65536,12,0),"")</f>
        <v/>
      </c>
      <c r="F45" s="80" t="str">
        <f t="shared" ref="F45:F50" si="15">IFERROR(E45*C45,"")</f>
        <v/>
      </c>
      <c r="G45" s="81" t="str">
        <f t="shared" ref="G45:G50" si="16">IFERROR(F45/$F$66,"")</f>
        <v/>
      </c>
      <c r="H45" s="85"/>
      <c r="I45" s="77"/>
      <c r="J45" s="83"/>
      <c r="M45" s="88"/>
    </row>
    <row r="46" spans="1:13" ht="13.5" hidden="1" x14ac:dyDescent="0.25">
      <c r="A46" s="78">
        <f t="shared" si="13"/>
        <v>0</v>
      </c>
      <c r="B46" s="84" t="str">
        <f>IFERROR(VLOOKUP(H46,[1]SEMIELABORADOS!$A$2:$M$6000,2,0),"")</f>
        <v/>
      </c>
      <c r="C46" s="79">
        <f t="shared" si="14"/>
        <v>0</v>
      </c>
      <c r="D46" s="80" t="str">
        <f>IFERROR(VLOOKUP(H46,[1]SEMIELABORADOS!$A$2:$M$6000,6,0),"")</f>
        <v/>
      </c>
      <c r="E46" s="80" t="str">
        <f>IFERROR(VLOOKUP(H46,[1]SEMIELABORADOS!$A$2:$M$65536,12,0),"")</f>
        <v/>
      </c>
      <c r="F46" s="80" t="str">
        <f t="shared" si="15"/>
        <v/>
      </c>
      <c r="G46" s="81" t="str">
        <f t="shared" si="16"/>
        <v/>
      </c>
      <c r="H46" s="85"/>
      <c r="I46" s="77"/>
      <c r="J46" s="83"/>
    </row>
    <row r="47" spans="1:13" ht="13.5" hidden="1" x14ac:dyDescent="0.25">
      <c r="A47" s="78">
        <f t="shared" si="13"/>
        <v>0</v>
      </c>
      <c r="B47" s="84" t="str">
        <f>IFERROR(VLOOKUP(H47,[1]SEMIELABORADOS!$A$2:$M$6000,2,0),"")</f>
        <v/>
      </c>
      <c r="C47" s="79">
        <f t="shared" si="14"/>
        <v>0</v>
      </c>
      <c r="D47" s="80" t="str">
        <f>IFERROR(VLOOKUP(H47,[1]SEMIELABORADOS!$A$2:$M$6000,6,0),"")</f>
        <v/>
      </c>
      <c r="E47" s="80" t="str">
        <f>IFERROR(VLOOKUP(H47,[1]SEMIELABORADOS!$A$2:$M$65536,12,0),"")</f>
        <v/>
      </c>
      <c r="F47" s="80" t="str">
        <f t="shared" si="15"/>
        <v/>
      </c>
      <c r="G47" s="81" t="str">
        <f t="shared" si="16"/>
        <v/>
      </c>
      <c r="H47" s="85"/>
      <c r="I47" s="77"/>
      <c r="J47" s="83"/>
    </row>
    <row r="48" spans="1:13" ht="13.5" hidden="1" x14ac:dyDescent="0.25">
      <c r="A48" s="78">
        <f t="shared" si="13"/>
        <v>0</v>
      </c>
      <c r="B48" s="84" t="str">
        <f>IFERROR(VLOOKUP(H48,[1]SEMIELABORADOS!$A$2:$M$6000,2,0),"")</f>
        <v/>
      </c>
      <c r="C48" s="79">
        <f t="shared" si="14"/>
        <v>0</v>
      </c>
      <c r="D48" s="80" t="str">
        <f>IFERROR(VLOOKUP(H48,[1]SEMIELABORADOS!$A$2:$M$6000,6,0),"")</f>
        <v/>
      </c>
      <c r="E48" s="80" t="str">
        <f>IFERROR(VLOOKUP(H48,[1]SEMIELABORADOS!$A$2:$M$65536,12,0),"")</f>
        <v/>
      </c>
      <c r="F48" s="80" t="str">
        <f t="shared" si="15"/>
        <v/>
      </c>
      <c r="G48" s="81" t="str">
        <f t="shared" si="16"/>
        <v/>
      </c>
      <c r="H48" s="85"/>
      <c r="I48" s="77"/>
      <c r="J48" s="83"/>
    </row>
    <row r="49" spans="1:17" ht="13.5" hidden="1" x14ac:dyDescent="0.25">
      <c r="A49" s="78">
        <f t="shared" si="13"/>
        <v>0</v>
      </c>
      <c r="B49" s="84" t="str">
        <f>IFERROR(VLOOKUP(H49,[1]SEMIELABORADOS!$A$2:$M$6000,2,0),"")</f>
        <v/>
      </c>
      <c r="C49" s="79">
        <f t="shared" si="14"/>
        <v>0</v>
      </c>
      <c r="D49" s="80" t="str">
        <f>IFERROR(VLOOKUP(H49,[1]SEMIELABORADOS!$A$2:$M$6000,6,0),"")</f>
        <v/>
      </c>
      <c r="E49" s="80" t="str">
        <f>IFERROR(VLOOKUP(H49,[1]SEMIELABORADOS!$A$2:$M$65536,12,0),"")</f>
        <v/>
      </c>
      <c r="F49" s="80" t="str">
        <f t="shared" si="15"/>
        <v/>
      </c>
      <c r="G49" s="81" t="str">
        <f t="shared" si="16"/>
        <v/>
      </c>
      <c r="H49" s="85"/>
      <c r="I49" s="77"/>
      <c r="J49" s="83"/>
    </row>
    <row r="50" spans="1:17" ht="13.5" hidden="1" x14ac:dyDescent="0.25">
      <c r="A50" s="78">
        <f t="shared" si="13"/>
        <v>0</v>
      </c>
      <c r="B50" s="84" t="str">
        <f>IFERROR(VLOOKUP(H50,[1]SEMIELABORADOS!$A$2:$M$6000,2,0),"")</f>
        <v/>
      </c>
      <c r="C50" s="79">
        <f t="shared" si="14"/>
        <v>0</v>
      </c>
      <c r="D50" s="80" t="str">
        <f>IFERROR(VLOOKUP(H50,[1]SEMIELABORADOS!$A$2:$M$6000,6,0),"")</f>
        <v/>
      </c>
      <c r="E50" s="80" t="str">
        <f>IFERROR(VLOOKUP(H50,[1]SEMIELABORADOS!$A$2:$M$65536,12,0),"")</f>
        <v/>
      </c>
      <c r="F50" s="80" t="str">
        <f t="shared" si="15"/>
        <v/>
      </c>
      <c r="G50" s="81" t="str">
        <f t="shared" si="16"/>
        <v/>
      </c>
      <c r="H50" s="84"/>
      <c r="I50" s="77"/>
      <c r="J50" s="83"/>
    </row>
    <row r="51" spans="1:17" ht="13.5" x14ac:dyDescent="0.25">
      <c r="A51" s="78">
        <v>1</v>
      </c>
      <c r="B51" s="84" t="s">
        <v>102</v>
      </c>
      <c r="C51" s="79">
        <f>+A51</f>
        <v>1</v>
      </c>
      <c r="D51" s="79" t="s">
        <v>103</v>
      </c>
      <c r="E51" s="80">
        <f>+F65</f>
        <v>231</v>
      </c>
      <c r="F51" s="80">
        <f>IFERROR(C51*E51,"")</f>
        <v>231</v>
      </c>
      <c r="G51" s="81">
        <f>IFERROR(F51/$F$66,"")</f>
        <v>6.5033066076523025E-2</v>
      </c>
      <c r="H51" s="89"/>
      <c r="I51" s="89"/>
      <c r="J51" s="83"/>
    </row>
    <row r="52" spans="1:17" ht="14.25" thickBot="1" x14ac:dyDescent="0.3">
      <c r="A52" s="78"/>
      <c r="B52" s="84"/>
      <c r="C52" s="79"/>
      <c r="D52" s="79"/>
      <c r="E52" s="80"/>
      <c r="F52" s="80"/>
      <c r="G52" s="81"/>
      <c r="H52" s="89"/>
      <c r="I52" s="89"/>
      <c r="J52" s="83"/>
    </row>
    <row r="53" spans="1:17" ht="13.5" thickBot="1" x14ac:dyDescent="0.25">
      <c r="A53" s="90"/>
      <c r="B53" s="495" t="s">
        <v>104</v>
      </c>
      <c r="C53" s="495"/>
      <c r="D53" s="495"/>
      <c r="E53" s="495"/>
      <c r="F53" s="92">
        <f>SUM(F8:F14,F17:F24)</f>
        <v>3253.96</v>
      </c>
      <c r="G53" s="81">
        <f>+F53/$F$66</f>
        <v>0.91608223242581333</v>
      </c>
      <c r="H53" s="93">
        <f>+F53/$D$60</f>
        <v>3253.96</v>
      </c>
      <c r="I53" s="93"/>
      <c r="J53" s="94"/>
      <c r="K53" s="95"/>
      <c r="L53" s="95"/>
      <c r="M53" s="95"/>
      <c r="N53" s="95"/>
      <c r="O53" s="95"/>
      <c r="P53" s="95"/>
      <c r="Q53" s="96"/>
    </row>
    <row r="54" spans="1:17" x14ac:dyDescent="0.2">
      <c r="A54" s="90"/>
      <c r="B54" s="495" t="s">
        <v>105</v>
      </c>
      <c r="C54" s="495"/>
      <c r="D54" s="495"/>
      <c r="E54" s="495"/>
      <c r="F54" s="92">
        <f>SUM(F27:F32,F35:F41)</f>
        <v>2</v>
      </c>
      <c r="G54" s="81">
        <f>+F54/$F$66</f>
        <v>5.6305684914738547E-4</v>
      </c>
      <c r="H54" s="93">
        <f>+F54/$D$60</f>
        <v>2</v>
      </c>
      <c r="I54" s="93"/>
      <c r="J54" s="97"/>
      <c r="K54" s="496" t="s">
        <v>106</v>
      </c>
      <c r="L54" s="497"/>
      <c r="M54" s="497"/>
      <c r="N54" s="497"/>
      <c r="O54" s="98">
        <f>+F55</f>
        <v>3255.96</v>
      </c>
      <c r="P54" s="98"/>
      <c r="Q54" s="99"/>
    </row>
    <row r="55" spans="1:17" x14ac:dyDescent="0.2">
      <c r="A55" s="90"/>
      <c r="B55" s="495" t="s">
        <v>107</v>
      </c>
      <c r="C55" s="495"/>
      <c r="D55" s="495"/>
      <c r="E55" s="495"/>
      <c r="F55" s="92">
        <f>+F53+F54</f>
        <v>3255.96</v>
      </c>
      <c r="G55" s="81">
        <f>+F55/$F$66</f>
        <v>0.9166452892749607</v>
      </c>
      <c r="H55" s="93">
        <f>+F55/$D$60</f>
        <v>3255.96</v>
      </c>
      <c r="I55" s="93"/>
      <c r="J55" s="100"/>
      <c r="K55" s="101"/>
      <c r="M55" s="102" t="s">
        <v>108</v>
      </c>
      <c r="N55" s="103"/>
      <c r="O55" s="98">
        <f>+H56</f>
        <v>237</v>
      </c>
      <c r="P55" s="98"/>
      <c r="Q55" s="99"/>
    </row>
    <row r="56" spans="1:17" ht="13.5" thickBot="1" x14ac:dyDescent="0.25">
      <c r="A56" s="90"/>
      <c r="B56" s="91"/>
      <c r="C56" s="495" t="s">
        <v>109</v>
      </c>
      <c r="D56" s="495"/>
      <c r="E56" s="495"/>
      <c r="F56" s="92">
        <f>SUM(F44:F51)</f>
        <v>237</v>
      </c>
      <c r="G56" s="81">
        <f>+F56/$F$66</f>
        <v>6.6722236623965189E-2</v>
      </c>
      <c r="H56" s="93">
        <f>+F56/$D$60</f>
        <v>237</v>
      </c>
      <c r="I56" s="93"/>
      <c r="J56" s="100"/>
      <c r="K56" s="101"/>
      <c r="L56" s="101"/>
      <c r="M56" s="101" t="s">
        <v>110</v>
      </c>
      <c r="N56" s="104"/>
      <c r="O56" s="98">
        <f>O54*N56</f>
        <v>0</v>
      </c>
      <c r="P56" s="98"/>
      <c r="Q56" s="99"/>
    </row>
    <row r="57" spans="1:17" ht="13.5" thickBot="1" x14ac:dyDescent="0.25">
      <c r="A57" s="90"/>
      <c r="B57" s="105"/>
      <c r="C57" s="105"/>
      <c r="D57" s="105"/>
      <c r="E57" s="105"/>
      <c r="F57" s="106"/>
      <c r="G57" s="81"/>
      <c r="H57" s="107"/>
      <c r="I57" s="93"/>
      <c r="J57" s="100"/>
      <c r="K57" s="108"/>
      <c r="M57" s="109" t="s">
        <v>111</v>
      </c>
      <c r="N57" s="110"/>
      <c r="O57" s="111">
        <f>SUM(O54:O56)</f>
        <v>3492.96</v>
      </c>
      <c r="P57" s="112"/>
      <c r="Q57" s="99"/>
    </row>
    <row r="58" spans="1:17" x14ac:dyDescent="0.2">
      <c r="B58" s="498" t="s">
        <v>112</v>
      </c>
      <c r="C58" s="498"/>
      <c r="D58" s="113">
        <v>1050</v>
      </c>
      <c r="E58" s="114"/>
      <c r="G58" s="81"/>
      <c r="H58" s="107">
        <f>+H56/77</f>
        <v>3.0779220779220777</v>
      </c>
      <c r="I58" s="115"/>
      <c r="J58" s="100"/>
      <c r="K58" s="108"/>
      <c r="L58" s="101"/>
      <c r="M58" s="101" t="s">
        <v>113</v>
      </c>
      <c r="N58" s="116"/>
      <c r="O58" s="98">
        <f>+H59</f>
        <v>196.98701298701297</v>
      </c>
      <c r="P58" s="98"/>
      <c r="Q58" s="99"/>
    </row>
    <row r="59" spans="1:17" x14ac:dyDescent="0.2">
      <c r="B59" s="498" t="s">
        <v>114</v>
      </c>
      <c r="C59" s="498"/>
      <c r="D59" s="117">
        <v>1050</v>
      </c>
      <c r="E59" s="114"/>
      <c r="G59" s="81"/>
      <c r="H59" s="107">
        <f>+H58*64</f>
        <v>196.98701298701297</v>
      </c>
      <c r="I59" s="115"/>
      <c r="J59" s="100"/>
      <c r="K59" s="108"/>
      <c r="L59" s="101"/>
      <c r="M59" s="499" t="s">
        <v>111</v>
      </c>
      <c r="N59" s="499"/>
      <c r="O59" s="98">
        <f>SUM(O57:O58)</f>
        <v>3689.9470129870128</v>
      </c>
      <c r="P59" s="98"/>
      <c r="Q59" s="99"/>
    </row>
    <row r="60" spans="1:17" ht="13.5" thickBot="1" x14ac:dyDescent="0.25">
      <c r="B60" s="490" t="s">
        <v>115</v>
      </c>
      <c r="C60" s="490"/>
      <c r="D60" s="113">
        <f>+D58/D59</f>
        <v>1</v>
      </c>
      <c r="E60" s="114"/>
      <c r="F60" s="118"/>
      <c r="G60" s="81"/>
      <c r="H60" s="107"/>
      <c r="I60" s="115"/>
      <c r="J60" s="100"/>
      <c r="K60" s="108"/>
      <c r="L60" s="499"/>
      <c r="M60" s="499"/>
      <c r="N60" s="116"/>
      <c r="O60" s="98">
        <f>+O59*N60</f>
        <v>0</v>
      </c>
      <c r="P60" s="98"/>
      <c r="Q60" s="99"/>
    </row>
    <row r="61" spans="1:17" ht="13.5" thickBot="1" x14ac:dyDescent="0.25">
      <c r="B61" s="490" t="s">
        <v>116</v>
      </c>
      <c r="C61" s="490"/>
      <c r="D61" s="119"/>
      <c r="E61" s="114"/>
      <c r="F61" s="118"/>
      <c r="G61" s="81"/>
      <c r="H61" s="107"/>
      <c r="I61" s="115"/>
      <c r="J61" s="100"/>
      <c r="K61" s="491" t="s">
        <v>117</v>
      </c>
      <c r="L61" s="492"/>
      <c r="M61" s="492"/>
      <c r="N61" s="493"/>
      <c r="O61" s="111">
        <f>SUM(O59:O60)</f>
        <v>3689.9470129870128</v>
      </c>
      <c r="P61" s="120" t="s">
        <v>118</v>
      </c>
      <c r="Q61" s="99"/>
    </row>
    <row r="62" spans="1:17" ht="13.5" thickBot="1" x14ac:dyDescent="0.25">
      <c r="C62" s="90" t="s">
        <v>119</v>
      </c>
      <c r="D62" s="121"/>
      <c r="E62" s="64" t="s">
        <v>120</v>
      </c>
      <c r="F62" s="122" t="s">
        <v>121</v>
      </c>
      <c r="G62" s="81"/>
      <c r="H62" s="107"/>
      <c r="I62" s="115"/>
      <c r="J62" s="123"/>
      <c r="K62" s="124"/>
      <c r="L62" s="479" t="s">
        <v>122</v>
      </c>
      <c r="M62" s="479"/>
      <c r="N62" s="479"/>
      <c r="O62" s="125">
        <f>+O61/D60</f>
        <v>3689.9470129870128</v>
      </c>
      <c r="P62" s="126">
        <f>+O62/D59</f>
        <v>3.5142352504638219</v>
      </c>
      <c r="Q62" s="127"/>
    </row>
    <row r="63" spans="1:17" ht="13.5" thickBot="1" x14ac:dyDescent="0.25">
      <c r="B63" s="480" t="s">
        <v>107</v>
      </c>
      <c r="C63" s="480"/>
      <c r="D63" s="480"/>
      <c r="E63" s="128">
        <f>+F63/F63</f>
        <v>1</v>
      </c>
      <c r="F63" s="129">
        <f>SUM(F55)</f>
        <v>3255.96</v>
      </c>
      <c r="G63" s="81">
        <f>+F63/$F$66</f>
        <v>0.9166452892749607</v>
      </c>
      <c r="H63" s="107"/>
      <c r="I63" s="115"/>
      <c r="K63" s="481"/>
      <c r="L63" s="482"/>
      <c r="M63" s="482"/>
      <c r="N63" s="482"/>
      <c r="O63" s="130"/>
      <c r="P63" s="131"/>
    </row>
    <row r="64" spans="1:17" ht="13.5" thickBot="1" x14ac:dyDescent="0.25">
      <c r="B64" s="483" t="s">
        <v>123</v>
      </c>
      <c r="C64" s="483"/>
      <c r="D64" s="483"/>
      <c r="E64" s="132">
        <v>0.02</v>
      </c>
      <c r="F64" s="129">
        <f>+F53*E64</f>
        <v>65.0792</v>
      </c>
      <c r="G64" s="81">
        <f>+F64/$F$66</f>
        <v>1.8321644648516267E-2</v>
      </c>
      <c r="H64" s="93"/>
      <c r="I64" s="115"/>
      <c r="J64" s="133"/>
      <c r="O64" s="134"/>
      <c r="P64" s="91"/>
    </row>
    <row r="65" spans="2:13" ht="13.5" thickBot="1" x14ac:dyDescent="0.25">
      <c r="B65" s="484" t="s">
        <v>124</v>
      </c>
      <c r="C65" s="485"/>
      <c r="D65" s="135">
        <v>3</v>
      </c>
      <c r="E65" s="136">
        <v>77</v>
      </c>
      <c r="F65" s="129">
        <f>+E65*D65</f>
        <v>231</v>
      </c>
      <c r="G65" s="81">
        <f>+F65/$F$66</f>
        <v>6.5033066076523025E-2</v>
      </c>
      <c r="H65" s="93"/>
      <c r="I65" s="93"/>
      <c r="J65" s="83"/>
    </row>
    <row r="66" spans="2:13" ht="13.5" thickBot="1" x14ac:dyDescent="0.25">
      <c r="B66" s="486" t="s">
        <v>125</v>
      </c>
      <c r="C66" s="487"/>
      <c r="D66" s="487"/>
      <c r="E66" s="488"/>
      <c r="F66" s="106">
        <f>SUM(F63:F65)</f>
        <v>3552.0392000000002</v>
      </c>
      <c r="G66" s="81">
        <f>+F66/$F$66</f>
        <v>1</v>
      </c>
      <c r="H66" s="489"/>
      <c r="I66" s="93"/>
      <c r="J66" s="83"/>
      <c r="M66" s="66" t="s">
        <v>126</v>
      </c>
    </row>
    <row r="67" spans="2:13" x14ac:dyDescent="0.2">
      <c r="C67" s="88"/>
      <c r="D67" s="88"/>
      <c r="E67" s="138"/>
      <c r="F67" s="129"/>
      <c r="G67" s="81"/>
      <c r="H67" s="489"/>
      <c r="I67" s="137"/>
      <c r="J67" s="66"/>
      <c r="M67" s="66" t="s">
        <v>127</v>
      </c>
    </row>
    <row r="68" spans="2:13" ht="13.5" thickBot="1" x14ac:dyDescent="0.25">
      <c r="B68" s="474" t="s">
        <v>128</v>
      </c>
      <c r="C68" s="474"/>
      <c r="D68" s="474"/>
      <c r="E68" s="474"/>
      <c r="F68" s="474"/>
      <c r="G68" s="81"/>
      <c r="H68" s="140"/>
      <c r="I68" s="137"/>
      <c r="J68" s="66"/>
      <c r="M68" s="66" t="s">
        <v>129</v>
      </c>
    </row>
    <row r="69" spans="2:13" ht="13.5" thickBot="1" x14ac:dyDescent="0.25">
      <c r="B69" s="141" t="s">
        <v>130</v>
      </c>
      <c r="C69" s="142">
        <f>+F53</f>
        <v>3253.96</v>
      </c>
      <c r="D69" s="142">
        <f>+D58</f>
        <v>1050</v>
      </c>
      <c r="E69" s="143">
        <f>+C69/D69</f>
        <v>3.0990095238095239</v>
      </c>
      <c r="F69" s="81"/>
      <c r="G69" s="140"/>
      <c r="H69" s="83"/>
      <c r="I69" s="140"/>
      <c r="J69" s="66"/>
    </row>
    <row r="70" spans="2:13" x14ac:dyDescent="0.2">
      <c r="B70" s="144"/>
      <c r="C70" s="145"/>
      <c r="D70" s="146"/>
      <c r="E70" s="129"/>
      <c r="F70" s="81"/>
      <c r="G70" s="140"/>
      <c r="H70" s="83"/>
      <c r="I70" s="83"/>
      <c r="J70" s="66"/>
    </row>
    <row r="71" spans="2:13" x14ac:dyDescent="0.2">
      <c r="B71" s="141" t="s">
        <v>131</v>
      </c>
      <c r="C71" s="142">
        <f>SUM(F63:F64)</f>
        <v>3321.0392000000002</v>
      </c>
      <c r="D71" s="142">
        <f>+D58</f>
        <v>1050</v>
      </c>
      <c r="E71" s="147">
        <f>+C71/D71</f>
        <v>3.1628944761904765</v>
      </c>
      <c r="F71" s="81"/>
      <c r="G71" s="140"/>
      <c r="H71" s="83"/>
      <c r="I71" s="83"/>
      <c r="J71" s="66"/>
    </row>
    <row r="72" spans="2:13" x14ac:dyDescent="0.2">
      <c r="B72" s="141"/>
      <c r="C72" s="142"/>
      <c r="D72" s="142"/>
      <c r="E72" s="147"/>
      <c r="F72" s="81"/>
      <c r="G72" s="140"/>
      <c r="H72" s="83"/>
      <c r="I72" s="83"/>
      <c r="J72" s="66"/>
    </row>
    <row r="73" spans="2:13" ht="13.5" thickBot="1" x14ac:dyDescent="0.25">
      <c r="B73" s="141" t="s">
        <v>132</v>
      </c>
      <c r="C73" s="142">
        <f>+F65</f>
        <v>231</v>
      </c>
      <c r="D73" s="142">
        <f>+D58</f>
        <v>1050</v>
      </c>
      <c r="E73" s="147">
        <f>+C73/D73</f>
        <v>0.22</v>
      </c>
      <c r="F73" s="81"/>
      <c r="G73" s="140"/>
      <c r="H73" s="83"/>
      <c r="I73" s="83"/>
      <c r="J73" s="66"/>
    </row>
    <row r="74" spans="2:13" ht="13.5" thickBot="1" x14ac:dyDescent="0.25">
      <c r="B74" s="141" t="s">
        <v>133</v>
      </c>
      <c r="C74" s="142">
        <f>+F56</f>
        <v>237</v>
      </c>
      <c r="D74" s="142">
        <f>+D73</f>
        <v>1050</v>
      </c>
      <c r="E74" s="143">
        <f>+C74/D74</f>
        <v>0.2257142857142857</v>
      </c>
      <c r="F74" s="81"/>
      <c r="G74" s="140"/>
      <c r="H74" s="83"/>
      <c r="I74" s="83"/>
      <c r="J74" s="66"/>
    </row>
    <row r="75" spans="2:13" ht="13.5" thickBot="1" x14ac:dyDescent="0.25">
      <c r="B75" s="105"/>
      <c r="C75" s="106"/>
      <c r="D75" s="106"/>
      <c r="E75" s="147"/>
      <c r="F75" s="81"/>
      <c r="G75" s="140"/>
      <c r="H75" s="83"/>
      <c r="I75" s="83"/>
      <c r="J75" s="66"/>
    </row>
    <row r="76" spans="2:13" ht="13.5" thickBot="1" x14ac:dyDescent="0.25">
      <c r="B76" s="141" t="s">
        <v>134</v>
      </c>
      <c r="C76" s="142">
        <f>+F54</f>
        <v>2</v>
      </c>
      <c r="D76" s="142">
        <f>+D74</f>
        <v>1050</v>
      </c>
      <c r="E76" s="143">
        <f>+C76/D76</f>
        <v>1.9047619047619048E-3</v>
      </c>
      <c r="F76" s="81"/>
      <c r="G76" s="140"/>
      <c r="H76" s="83"/>
      <c r="I76" s="83"/>
      <c r="J76" s="83"/>
    </row>
    <row r="77" spans="2:13" ht="13.5" thickBot="1" x14ac:dyDescent="0.25">
      <c r="B77" s="105"/>
      <c r="C77" s="106"/>
      <c r="D77" s="106"/>
      <c r="E77" s="147"/>
      <c r="F77" s="81"/>
      <c r="G77" s="140"/>
      <c r="H77" s="83"/>
      <c r="I77" s="83"/>
    </row>
    <row r="78" spans="2:13" ht="13.5" thickBot="1" x14ac:dyDescent="0.25">
      <c r="B78" s="475" t="s">
        <v>135</v>
      </c>
      <c r="C78" s="476"/>
      <c r="D78" s="477"/>
      <c r="E78" s="143">
        <f>+E69+E74</f>
        <v>3.3247238095238094</v>
      </c>
      <c r="G78" s="81"/>
      <c r="H78" s="140"/>
      <c r="I78" s="83"/>
      <c r="J78" s="147"/>
    </row>
    <row r="79" spans="2:13" x14ac:dyDescent="0.2">
      <c r="I79" s="140"/>
      <c r="J79" s="66"/>
    </row>
    <row r="80" spans="2:13" ht="13.5" thickBot="1" x14ac:dyDescent="0.25">
      <c r="B80" s="474" t="s">
        <v>136</v>
      </c>
      <c r="C80" s="474"/>
      <c r="D80" s="474"/>
      <c r="E80" s="474"/>
      <c r="F80" s="474"/>
      <c r="G80" s="81"/>
      <c r="H80" s="140"/>
      <c r="J80" s="66"/>
    </row>
    <row r="81" spans="1:10" ht="13.5" thickBot="1" x14ac:dyDescent="0.25">
      <c r="B81" s="141" t="s">
        <v>130</v>
      </c>
      <c r="C81" s="142">
        <f>+C69</f>
        <v>3253.96</v>
      </c>
      <c r="D81" s="142">
        <f>+D60</f>
        <v>1</v>
      </c>
      <c r="E81" s="143">
        <f>+C81/D81</f>
        <v>3253.96</v>
      </c>
      <c r="F81" s="81"/>
      <c r="G81" s="140"/>
      <c r="H81" s="83"/>
      <c r="I81" s="140"/>
      <c r="J81" s="66"/>
    </row>
    <row r="82" spans="1:10" x14ac:dyDescent="0.2">
      <c r="B82" s="144"/>
      <c r="C82" s="145"/>
      <c r="D82" s="146"/>
      <c r="E82" s="129"/>
      <c r="F82" s="81"/>
      <c r="G82" s="140"/>
      <c r="H82" s="83"/>
      <c r="I82" s="83"/>
      <c r="J82" s="66"/>
    </row>
    <row r="83" spans="1:10" x14ac:dyDescent="0.2">
      <c r="B83" s="141" t="s">
        <v>131</v>
      </c>
      <c r="C83" s="142">
        <f>+C71</f>
        <v>3321.0392000000002</v>
      </c>
      <c r="D83" s="142">
        <f>+D60</f>
        <v>1</v>
      </c>
      <c r="E83" s="147">
        <f>+C83/D83</f>
        <v>3321.0392000000002</v>
      </c>
      <c r="F83" s="81"/>
      <c r="G83" s="140"/>
      <c r="H83" s="83"/>
      <c r="I83" s="83"/>
      <c r="J83" s="66"/>
    </row>
    <row r="84" spans="1:10" x14ac:dyDescent="0.2">
      <c r="B84" s="141"/>
      <c r="C84" s="142"/>
      <c r="D84" s="142"/>
      <c r="E84" s="147"/>
      <c r="F84" s="81"/>
      <c r="G84" s="140"/>
      <c r="H84" s="83"/>
      <c r="I84" s="83"/>
      <c r="J84" s="66"/>
    </row>
    <row r="85" spans="1:10" ht="13.5" thickBot="1" x14ac:dyDescent="0.25">
      <c r="B85" s="141" t="s">
        <v>133</v>
      </c>
      <c r="C85" s="142">
        <f>+C73</f>
        <v>231</v>
      </c>
      <c r="D85" s="142">
        <f>+D60</f>
        <v>1</v>
      </c>
      <c r="E85" s="147">
        <f>+C85/D85</f>
        <v>231</v>
      </c>
      <c r="F85" s="149"/>
      <c r="G85" s="139"/>
      <c r="H85" s="65"/>
      <c r="I85" s="83"/>
    </row>
    <row r="86" spans="1:10" ht="13.5" thickBot="1" x14ac:dyDescent="0.25">
      <c r="B86" s="141" t="s">
        <v>133</v>
      </c>
      <c r="C86" s="142">
        <f>+C74</f>
        <v>237</v>
      </c>
      <c r="D86" s="142">
        <f>+D85</f>
        <v>1</v>
      </c>
      <c r="E86" s="143">
        <f>+C86/D86</f>
        <v>237</v>
      </c>
      <c r="F86" s="148"/>
      <c r="G86" s="139"/>
      <c r="H86" s="65"/>
      <c r="I86" s="65"/>
    </row>
    <row r="87" spans="1:10" x14ac:dyDescent="0.2">
      <c r="I87" s="65"/>
    </row>
    <row r="88" spans="1:10" x14ac:dyDescent="0.2">
      <c r="A88" s="478"/>
      <c r="B88" s="478"/>
      <c r="C88" s="150"/>
      <c r="D88" s="150"/>
      <c r="E88" s="151"/>
      <c r="G88" s="152"/>
    </row>
    <row r="89" spans="1:10" x14ac:dyDescent="0.2">
      <c r="A89" s="84"/>
      <c r="B89" s="153"/>
      <c r="C89" s="154"/>
      <c r="D89" s="154"/>
      <c r="E89" s="155"/>
      <c r="G89" s="152"/>
    </row>
    <row r="90" spans="1:10" x14ac:dyDescent="0.2">
      <c r="A90" s="84"/>
      <c r="B90" s="153"/>
      <c r="C90" s="156"/>
      <c r="D90" s="156"/>
      <c r="E90" s="84"/>
      <c r="G90" s="152"/>
    </row>
    <row r="91" spans="1:10" x14ac:dyDescent="0.2">
      <c r="A91" s="84"/>
      <c r="B91" s="153"/>
      <c r="C91" s="157"/>
      <c r="D91" s="157"/>
      <c r="E91" s="84"/>
      <c r="G91" s="15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8D89-922D-4A16-9203-C926799DB874}">
  <dimension ref="A1:K68"/>
  <sheetViews>
    <sheetView zoomScale="85" zoomScaleNormal="85" workbookViewId="0">
      <selection activeCell="C17" sqref="C17"/>
    </sheetView>
  </sheetViews>
  <sheetFormatPr baseColWidth="10" defaultRowHeight="12.75" x14ac:dyDescent="0.2"/>
  <cols>
    <col min="3" max="3" width="48.7109375" bestFit="1" customWidth="1"/>
    <col min="4" max="4" width="34.28515625" bestFit="1" customWidth="1"/>
    <col min="8" max="8" width="31.42578125" customWidth="1"/>
    <col min="9" max="9" width="18.28515625" bestFit="1" customWidth="1"/>
  </cols>
  <sheetData>
    <row r="1" spans="1:11" ht="15.75" x14ac:dyDescent="0.25">
      <c r="A1" s="642"/>
      <c r="B1" s="643"/>
      <c r="C1" s="648" t="s">
        <v>0</v>
      </c>
      <c r="D1" s="648"/>
      <c r="E1" s="648"/>
      <c r="F1" s="648"/>
      <c r="G1" s="648"/>
      <c r="H1" s="158" t="s">
        <v>1</v>
      </c>
      <c r="I1" s="159"/>
    </row>
    <row r="2" spans="1:11" ht="18" customHeight="1" thickBot="1" x14ac:dyDescent="0.3">
      <c r="A2" s="644"/>
      <c r="B2" s="645"/>
      <c r="C2" s="694" t="s">
        <v>2</v>
      </c>
      <c r="D2" s="695"/>
      <c r="E2" s="695"/>
      <c r="F2" s="695"/>
      <c r="G2" s="696"/>
      <c r="H2" s="161" t="s">
        <v>3</v>
      </c>
      <c r="I2" s="162"/>
    </row>
    <row r="3" spans="1:11" ht="31.5" customHeight="1" thickBot="1" x14ac:dyDescent="0.25">
      <c r="A3" s="644"/>
      <c r="B3" s="645"/>
      <c r="C3" s="697" t="s">
        <v>189</v>
      </c>
      <c r="D3" s="665"/>
      <c r="E3" s="665"/>
      <c r="F3" s="665"/>
      <c r="G3" s="666"/>
      <c r="H3" s="653" t="s">
        <v>4</v>
      </c>
      <c r="I3" s="633"/>
    </row>
    <row r="4" spans="1:11" ht="18" customHeight="1" x14ac:dyDescent="0.25">
      <c r="A4" s="644"/>
      <c r="B4" s="645"/>
      <c r="C4" s="163" t="s">
        <v>5</v>
      </c>
      <c r="D4" s="636" t="s">
        <v>31</v>
      </c>
      <c r="E4" s="637"/>
      <c r="F4" s="637"/>
      <c r="G4" s="638"/>
      <c r="H4" s="654"/>
      <c r="I4" s="634"/>
    </row>
    <row r="5" spans="1:11" ht="14.25" thickBot="1" x14ac:dyDescent="0.3">
      <c r="A5" s="646"/>
      <c r="B5" s="647"/>
      <c r="C5" s="166" t="s">
        <v>6</v>
      </c>
      <c r="D5" s="639" t="s">
        <v>32</v>
      </c>
      <c r="E5" s="640"/>
      <c r="F5" s="640"/>
      <c r="G5" s="641"/>
      <c r="H5" s="655"/>
      <c r="I5" s="635"/>
    </row>
    <row r="6" spans="1:11" ht="18.75" thickBot="1" x14ac:dyDescent="0.3">
      <c r="A6" s="624" t="s">
        <v>33</v>
      </c>
      <c r="B6" s="624"/>
      <c r="C6" s="624"/>
      <c r="D6" s="625" t="s">
        <v>190</v>
      </c>
      <c r="E6" s="625"/>
      <c r="F6" s="625"/>
      <c r="G6" s="626" t="s">
        <v>35</v>
      </c>
      <c r="H6" s="626"/>
      <c r="I6" s="15" t="s">
        <v>190</v>
      </c>
    </row>
    <row r="7" spans="1:11" x14ac:dyDescent="0.2">
      <c r="A7" s="627" t="s">
        <v>7</v>
      </c>
      <c r="B7" s="629" t="s">
        <v>36</v>
      </c>
      <c r="C7" s="631" t="s">
        <v>8</v>
      </c>
      <c r="D7" s="631" t="s">
        <v>9</v>
      </c>
      <c r="E7" s="631" t="s">
        <v>10</v>
      </c>
      <c r="F7" s="631"/>
      <c r="G7" s="631" t="s">
        <v>11</v>
      </c>
      <c r="H7" s="631"/>
      <c r="I7" s="16" t="s">
        <v>12</v>
      </c>
    </row>
    <row r="8" spans="1:11" ht="26.25" thickBot="1" x14ac:dyDescent="0.25">
      <c r="A8" s="691"/>
      <c r="B8" s="692"/>
      <c r="C8" s="693"/>
      <c r="D8" s="632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11" ht="18.600000000000001" customHeight="1" x14ac:dyDescent="0.25">
      <c r="A9" s="190"/>
      <c r="B9" s="190"/>
      <c r="C9" s="191" t="s">
        <v>163</v>
      </c>
      <c r="D9" s="192"/>
      <c r="E9" s="22"/>
      <c r="F9" s="23"/>
      <c r="G9" s="22"/>
      <c r="H9" s="23"/>
      <c r="I9" s="24"/>
    </row>
    <row r="10" spans="1:11" ht="18.600000000000001" customHeight="1" x14ac:dyDescent="0.25">
      <c r="A10" s="193">
        <v>11200070</v>
      </c>
      <c r="B10" s="12" t="s">
        <v>191</v>
      </c>
      <c r="C10" s="194" t="s">
        <v>192</v>
      </c>
      <c r="D10" s="195" t="s">
        <v>193</v>
      </c>
      <c r="E10" s="196">
        <v>2850</v>
      </c>
      <c r="F10" s="196" t="s">
        <v>16</v>
      </c>
      <c r="G10" s="231"/>
      <c r="H10" s="232"/>
      <c r="I10" s="24"/>
      <c r="J10">
        <f>+E10/$D$43</f>
        <v>0.17592592592592593</v>
      </c>
      <c r="K10">
        <f>+J10*1000</f>
        <v>175.92592592592592</v>
      </c>
    </row>
    <row r="11" spans="1:11" ht="18.600000000000001" customHeight="1" x14ac:dyDescent="0.25">
      <c r="A11" s="193">
        <v>512316</v>
      </c>
      <c r="B11" s="12" t="s">
        <v>194</v>
      </c>
      <c r="C11" s="194" t="s">
        <v>195</v>
      </c>
      <c r="D11" s="195" t="s">
        <v>196</v>
      </c>
      <c r="E11" s="196">
        <v>200</v>
      </c>
      <c r="F11" s="196" t="s">
        <v>16</v>
      </c>
      <c r="G11" s="231"/>
      <c r="H11" s="232"/>
      <c r="I11" s="24"/>
      <c r="J11">
        <f t="shared" ref="J11:J18" si="0">+E11/$D$43</f>
        <v>1.2345679012345678E-2</v>
      </c>
      <c r="K11">
        <f t="shared" ref="K11:K18" si="1">+J11*1000</f>
        <v>12.345679012345679</v>
      </c>
    </row>
    <row r="12" spans="1:11" ht="18.600000000000001" customHeight="1" x14ac:dyDescent="0.25">
      <c r="A12" s="193">
        <v>5000001</v>
      </c>
      <c r="B12" s="12" t="s">
        <v>197</v>
      </c>
      <c r="C12" s="194" t="s">
        <v>198</v>
      </c>
      <c r="D12" s="195" t="s">
        <v>199</v>
      </c>
      <c r="E12" s="196">
        <v>50</v>
      </c>
      <c r="F12" s="196" t="s">
        <v>16</v>
      </c>
      <c r="G12" s="231"/>
      <c r="H12" s="232"/>
      <c r="I12" s="24"/>
      <c r="J12">
        <f t="shared" si="0"/>
        <v>3.0864197530864196E-3</v>
      </c>
      <c r="K12">
        <f t="shared" si="1"/>
        <v>3.0864197530864197</v>
      </c>
    </row>
    <row r="13" spans="1:11" ht="18.600000000000001" customHeight="1" x14ac:dyDescent="0.25">
      <c r="A13" s="193">
        <v>1212410</v>
      </c>
      <c r="B13" s="12" t="s">
        <v>200</v>
      </c>
      <c r="C13" s="194" t="s">
        <v>201</v>
      </c>
      <c r="D13" s="195" t="s">
        <v>202</v>
      </c>
      <c r="E13" s="196">
        <v>20</v>
      </c>
      <c r="F13" s="196" t="s">
        <v>16</v>
      </c>
      <c r="G13" s="231"/>
      <c r="H13" s="232"/>
      <c r="I13" s="24"/>
      <c r="J13">
        <f t="shared" si="0"/>
        <v>1.2345679012345679E-3</v>
      </c>
      <c r="K13">
        <f t="shared" si="1"/>
        <v>1.2345679012345678</v>
      </c>
    </row>
    <row r="14" spans="1:11" ht="18.600000000000001" customHeight="1" x14ac:dyDescent="0.25">
      <c r="A14" s="193">
        <v>512255</v>
      </c>
      <c r="B14" s="12" t="s">
        <v>203</v>
      </c>
      <c r="C14" s="194" t="s">
        <v>204</v>
      </c>
      <c r="D14" s="195" t="s">
        <v>205</v>
      </c>
      <c r="E14" s="196">
        <v>600</v>
      </c>
      <c r="F14" s="196" t="s">
        <v>16</v>
      </c>
      <c r="G14" s="231"/>
      <c r="H14" s="232"/>
      <c r="I14" s="24"/>
      <c r="J14">
        <f t="shared" si="0"/>
        <v>3.7037037037037035E-2</v>
      </c>
      <c r="K14">
        <f t="shared" si="1"/>
        <v>37.037037037037038</v>
      </c>
    </row>
    <row r="15" spans="1:11" ht="18.600000000000001" customHeight="1" x14ac:dyDescent="0.25">
      <c r="A15" s="193">
        <v>10100331</v>
      </c>
      <c r="B15" s="12" t="s">
        <v>206</v>
      </c>
      <c r="C15" s="194" t="s">
        <v>207</v>
      </c>
      <c r="D15" s="195" t="s">
        <v>208</v>
      </c>
      <c r="E15" s="196">
        <v>1000</v>
      </c>
      <c r="F15" s="196" t="s">
        <v>16</v>
      </c>
      <c r="G15" s="231"/>
      <c r="H15" s="232"/>
      <c r="I15" s="24"/>
      <c r="J15">
        <f t="shared" si="0"/>
        <v>6.1728395061728392E-2</v>
      </c>
      <c r="K15">
        <f t="shared" si="1"/>
        <v>61.728395061728392</v>
      </c>
    </row>
    <row r="16" spans="1:11" ht="18" customHeight="1" x14ac:dyDescent="0.25">
      <c r="A16" s="193">
        <v>1210386</v>
      </c>
      <c r="B16" s="12" t="s">
        <v>209</v>
      </c>
      <c r="C16" s="194" t="s">
        <v>210</v>
      </c>
      <c r="D16" s="195" t="s">
        <v>208</v>
      </c>
      <c r="E16" s="196">
        <v>2000</v>
      </c>
      <c r="F16" s="196" t="s">
        <v>16</v>
      </c>
      <c r="G16" s="25"/>
      <c r="H16" s="26"/>
      <c r="I16" s="24"/>
      <c r="J16">
        <f t="shared" si="0"/>
        <v>0.12345679012345678</v>
      </c>
      <c r="K16">
        <f t="shared" si="1"/>
        <v>123.45679012345678</v>
      </c>
    </row>
    <row r="17" spans="1:11" ht="15" x14ac:dyDescent="0.25">
      <c r="A17" s="193">
        <v>510301</v>
      </c>
      <c r="B17" s="12" t="s">
        <v>211</v>
      </c>
      <c r="C17" s="194" t="s">
        <v>212</v>
      </c>
      <c r="D17" s="233" t="s">
        <v>213</v>
      </c>
      <c r="E17" s="234">
        <v>7500</v>
      </c>
      <c r="F17" s="235" t="s">
        <v>16</v>
      </c>
      <c r="G17" s="25"/>
      <c r="H17" s="26"/>
      <c r="I17" s="24"/>
      <c r="J17">
        <f t="shared" si="0"/>
        <v>0.46296296296296297</v>
      </c>
      <c r="K17">
        <f t="shared" si="1"/>
        <v>462.96296296296299</v>
      </c>
    </row>
    <row r="18" spans="1:11" ht="15" x14ac:dyDescent="0.25">
      <c r="A18" s="193">
        <v>11900028</v>
      </c>
      <c r="B18" s="12" t="s">
        <v>214</v>
      </c>
      <c r="C18" s="194" t="s">
        <v>215</v>
      </c>
      <c r="D18" s="195" t="s">
        <v>216</v>
      </c>
      <c r="E18" s="196">
        <v>2000</v>
      </c>
      <c r="F18" s="196" t="s">
        <v>217</v>
      </c>
      <c r="G18" s="25"/>
      <c r="H18" s="26"/>
      <c r="I18" s="24"/>
      <c r="J18">
        <f t="shared" si="0"/>
        <v>0.12345679012345678</v>
      </c>
      <c r="K18">
        <f t="shared" si="1"/>
        <v>123.45679012345678</v>
      </c>
    </row>
    <row r="19" spans="1:11" ht="15" hidden="1" x14ac:dyDescent="0.25">
      <c r="A19" s="193"/>
      <c r="B19" s="236"/>
      <c r="C19" s="237"/>
      <c r="D19" s="233"/>
      <c r="E19" s="234"/>
      <c r="F19" s="235"/>
      <c r="G19" s="25"/>
      <c r="H19" s="26"/>
      <c r="I19" s="24"/>
    </row>
    <row r="20" spans="1:11" ht="15" hidden="1" x14ac:dyDescent="0.25">
      <c r="A20" s="193"/>
      <c r="B20" s="238"/>
      <c r="C20" s="239"/>
      <c r="D20" s="201"/>
      <c r="E20" s="175"/>
      <c r="F20" s="175"/>
      <c r="G20" s="25"/>
      <c r="H20" s="26"/>
      <c r="I20" s="24"/>
    </row>
    <row r="21" spans="1:11" ht="15" hidden="1" x14ac:dyDescent="0.25">
      <c r="A21" s="193"/>
      <c r="B21" s="238"/>
      <c r="C21" s="239"/>
      <c r="D21" s="201"/>
      <c r="E21" s="175"/>
      <c r="F21" s="175"/>
      <c r="G21" s="25"/>
      <c r="H21" s="26"/>
      <c r="I21" s="24"/>
    </row>
    <row r="22" spans="1:11" ht="15" hidden="1" x14ac:dyDescent="0.25">
      <c r="A22" s="197"/>
      <c r="B22" s="198"/>
      <c r="C22" s="199"/>
      <c r="D22" s="201"/>
      <c r="E22" s="175"/>
      <c r="F22" s="175"/>
      <c r="G22" s="25"/>
      <c r="H22" s="26"/>
      <c r="I22" s="24"/>
    </row>
    <row r="23" spans="1:11" ht="15" hidden="1" x14ac:dyDescent="0.25">
      <c r="A23" s="197"/>
      <c r="B23" s="240"/>
      <c r="C23" s="241"/>
      <c r="D23" s="200"/>
      <c r="E23" s="175"/>
      <c r="F23" s="242"/>
      <c r="G23" s="25"/>
      <c r="H23" s="26"/>
      <c r="I23" s="24"/>
    </row>
    <row r="24" spans="1:11" ht="15" hidden="1" x14ac:dyDescent="0.25">
      <c r="A24" s="197"/>
      <c r="B24" s="197"/>
      <c r="C24" s="202"/>
      <c r="D24" s="197"/>
      <c r="E24" s="203"/>
      <c r="F24" s="204"/>
      <c r="G24" s="25"/>
      <c r="H24" s="26"/>
      <c r="I24" s="24"/>
    </row>
    <row r="25" spans="1:11" ht="15.75" hidden="1" x14ac:dyDescent="0.25">
      <c r="A25" s="210"/>
      <c r="B25" s="210"/>
      <c r="C25" s="194"/>
      <c r="D25" s="206"/>
      <c r="E25" s="206"/>
      <c r="F25" s="206"/>
      <c r="G25" s="4"/>
      <c r="H25" s="26"/>
      <c r="I25" s="24"/>
    </row>
    <row r="26" spans="1:11" ht="15.75" x14ac:dyDescent="0.25">
      <c r="A26" s="30"/>
      <c r="B26" s="31"/>
      <c r="C26" s="205" t="s">
        <v>180</v>
      </c>
      <c r="D26" s="206"/>
      <c r="E26" s="206"/>
      <c r="F26" s="206"/>
      <c r="G26" s="4"/>
      <c r="H26" s="26"/>
      <c r="I26" s="24"/>
    </row>
    <row r="27" spans="1:11" ht="15" x14ac:dyDescent="0.25">
      <c r="A27" s="207"/>
      <c r="B27" s="12"/>
      <c r="C27" s="194"/>
      <c r="D27" s="208"/>
      <c r="E27" s="208"/>
      <c r="F27" s="208"/>
      <c r="G27" s="22"/>
      <c r="H27" s="26"/>
      <c r="I27" s="24"/>
    </row>
    <row r="28" spans="1:11" ht="15" hidden="1" x14ac:dyDescent="0.25">
      <c r="A28" s="209"/>
      <c r="B28" s="210"/>
      <c r="C28" s="194"/>
      <c r="D28" s="208"/>
      <c r="E28" s="208"/>
      <c r="F28" s="208"/>
      <c r="G28" s="22"/>
      <c r="H28" s="26"/>
      <c r="I28" s="24"/>
    </row>
    <row r="29" spans="1:11" ht="15" hidden="1" x14ac:dyDescent="0.25">
      <c r="A29" s="209"/>
      <c r="B29" s="210"/>
      <c r="C29" s="194"/>
      <c r="D29" s="208"/>
      <c r="E29" s="208"/>
      <c r="F29" s="208"/>
      <c r="G29" s="22"/>
      <c r="H29" s="26"/>
      <c r="I29" s="24"/>
    </row>
    <row r="30" spans="1:11" ht="15.75" hidden="1" x14ac:dyDescent="0.25">
      <c r="A30" s="30"/>
      <c r="B30" s="31"/>
      <c r="C30" s="205"/>
      <c r="D30" s="28"/>
      <c r="E30" s="211"/>
      <c r="F30" s="29"/>
      <c r="G30" s="22"/>
      <c r="H30" s="26"/>
      <c r="I30" s="24"/>
    </row>
    <row r="31" spans="1:11" ht="15" hidden="1" x14ac:dyDescent="0.25">
      <c r="A31" s="32"/>
      <c r="B31" s="33"/>
      <c r="C31" s="34"/>
      <c r="D31" s="35"/>
      <c r="E31" s="36"/>
      <c r="F31" s="37"/>
      <c r="G31" s="22"/>
      <c r="H31" s="26"/>
      <c r="I31" s="24"/>
    </row>
    <row r="32" spans="1:11" ht="15" hidden="1" x14ac:dyDescent="0.25">
      <c r="A32" s="12"/>
      <c r="B32" s="12"/>
      <c r="C32" s="194"/>
      <c r="D32" s="212"/>
      <c r="E32" s="3"/>
      <c r="F32" s="213"/>
      <c r="G32" s="22"/>
      <c r="H32" s="26"/>
      <c r="I32" s="24"/>
    </row>
    <row r="33" spans="1:9" ht="15.75" x14ac:dyDescent="0.25">
      <c r="A33" s="216"/>
      <c r="B33" s="217"/>
      <c r="C33" s="218" t="s">
        <v>181</v>
      </c>
      <c r="D33" s="219"/>
      <c r="E33" s="220"/>
      <c r="F33" s="23"/>
      <c r="G33" s="22"/>
      <c r="H33" s="26"/>
      <c r="I33" s="24"/>
    </row>
    <row r="34" spans="1:9" ht="15" x14ac:dyDescent="0.25">
      <c r="A34" s="221"/>
      <c r="B34" s="238">
        <v>1950708</v>
      </c>
      <c r="C34" s="239" t="s">
        <v>218</v>
      </c>
      <c r="D34" s="201" t="s">
        <v>219</v>
      </c>
      <c r="E34" s="175">
        <v>3</v>
      </c>
      <c r="F34" s="175" t="s">
        <v>56</v>
      </c>
      <c r="G34" s="224"/>
      <c r="H34" s="26"/>
      <c r="I34" s="24"/>
    </row>
    <row r="35" spans="1:9" ht="15" x14ac:dyDescent="0.25">
      <c r="A35" s="225"/>
      <c r="B35" s="198">
        <v>702123</v>
      </c>
      <c r="C35" s="199" t="s">
        <v>145</v>
      </c>
      <c r="D35" s="201" t="s">
        <v>220</v>
      </c>
      <c r="E35" s="175">
        <v>1</v>
      </c>
      <c r="F35" s="175" t="s">
        <v>56</v>
      </c>
      <c r="G35" s="224"/>
      <c r="H35" s="26"/>
      <c r="I35" s="24"/>
    </row>
    <row r="36" spans="1:9" ht="15" x14ac:dyDescent="0.25">
      <c r="A36" s="41"/>
      <c r="B36" s="240">
        <v>60100010</v>
      </c>
      <c r="C36" s="241" t="s">
        <v>221</v>
      </c>
      <c r="D36" s="200" t="s">
        <v>220</v>
      </c>
      <c r="E36" s="175">
        <v>1</v>
      </c>
      <c r="F36" s="242" t="s">
        <v>56</v>
      </c>
      <c r="G36" s="22"/>
      <c r="H36" s="26"/>
      <c r="I36" s="24"/>
    </row>
    <row r="37" spans="1:9" ht="15" x14ac:dyDescent="0.25">
      <c r="A37" s="41"/>
      <c r="B37" s="41"/>
      <c r="C37" s="42"/>
      <c r="D37" s="38"/>
      <c r="E37" s="39"/>
      <c r="F37" s="40"/>
      <c r="G37" s="22"/>
      <c r="H37" s="26"/>
      <c r="I37" s="24"/>
    </row>
    <row r="38" spans="1:9" ht="15" x14ac:dyDescent="0.25">
      <c r="A38" s="41"/>
      <c r="B38" s="41"/>
      <c r="C38" s="42"/>
      <c r="D38" s="38"/>
      <c r="E38" s="39"/>
      <c r="F38" s="40"/>
      <c r="G38" s="43"/>
      <c r="H38" s="26"/>
      <c r="I38" s="24"/>
    </row>
    <row r="39" spans="1:9" ht="15.75" x14ac:dyDescent="0.25">
      <c r="A39" s="41"/>
      <c r="B39" s="41"/>
      <c r="C39" s="42"/>
      <c r="D39" s="206"/>
      <c r="E39" s="39"/>
      <c r="F39" s="40"/>
      <c r="G39" s="27"/>
      <c r="H39" s="26"/>
      <c r="I39" s="24"/>
    </row>
    <row r="40" spans="1:9" ht="15" x14ac:dyDescent="0.25">
      <c r="A40" s="228"/>
      <c r="B40" s="228"/>
      <c r="C40" s="229"/>
      <c r="D40" s="38"/>
      <c r="E40" s="213"/>
      <c r="F40" s="213"/>
      <c r="G40" s="27"/>
      <c r="H40" s="23"/>
      <c r="I40" s="24"/>
    </row>
    <row r="41" spans="1:9" ht="14.25" thickBot="1" x14ac:dyDescent="0.3">
      <c r="A41" s="46"/>
      <c r="B41" s="47"/>
      <c r="C41" s="48" t="s">
        <v>182</v>
      </c>
      <c r="D41" s="48"/>
      <c r="E41" s="49"/>
      <c r="F41" s="50"/>
      <c r="G41" s="48"/>
      <c r="H41" s="48"/>
      <c r="I41" s="51"/>
    </row>
    <row r="42" spans="1:9" ht="14.25" thickBot="1" x14ac:dyDescent="0.3">
      <c r="A42" s="52"/>
      <c r="B42" s="53"/>
      <c r="C42" s="54" t="s">
        <v>182</v>
      </c>
      <c r="D42" s="55" t="s">
        <v>13</v>
      </c>
      <c r="E42" s="56" t="s">
        <v>18</v>
      </c>
      <c r="F42" s="57"/>
      <c r="G42" s="54"/>
      <c r="H42" s="54"/>
      <c r="I42" s="58"/>
    </row>
    <row r="43" spans="1:9" ht="13.5" x14ac:dyDescent="0.25">
      <c r="A43" s="618" t="s">
        <v>19</v>
      </c>
      <c r="B43" s="619"/>
      <c r="C43" s="620"/>
      <c r="D43" s="230">
        <v>16200</v>
      </c>
      <c r="E43" s="6" t="s">
        <v>16</v>
      </c>
      <c r="F43" s="621" t="s">
        <v>20</v>
      </c>
      <c r="G43" s="621"/>
      <c r="H43" s="622"/>
      <c r="I43" s="623"/>
    </row>
    <row r="44" spans="1:9" ht="13.5" x14ac:dyDescent="0.25">
      <c r="A44" s="610" t="s">
        <v>21</v>
      </c>
      <c r="B44" s="611"/>
      <c r="C44" s="612"/>
      <c r="D44" s="4">
        <v>4</v>
      </c>
      <c r="E44" s="4" t="s">
        <v>22</v>
      </c>
      <c r="F44" s="613" t="s">
        <v>23</v>
      </c>
      <c r="G44" s="613"/>
      <c r="H44" s="614"/>
      <c r="I44" s="615"/>
    </row>
    <row r="45" spans="1:9" ht="13.5" x14ac:dyDescent="0.25">
      <c r="A45" s="610" t="s">
        <v>24</v>
      </c>
      <c r="B45" s="611"/>
      <c r="C45" s="612"/>
      <c r="D45" s="3">
        <v>1</v>
      </c>
      <c r="E45" s="4" t="s">
        <v>222</v>
      </c>
      <c r="F45" s="613" t="s">
        <v>25</v>
      </c>
      <c r="G45" s="613"/>
      <c r="H45" s="614"/>
      <c r="I45" s="615"/>
    </row>
    <row r="46" spans="1:9" ht="13.5" x14ac:dyDescent="0.25">
      <c r="A46" s="610" t="s">
        <v>26</v>
      </c>
      <c r="B46" s="611"/>
      <c r="C46" s="612"/>
      <c r="D46" s="3">
        <v>16200</v>
      </c>
      <c r="E46" s="4" t="s">
        <v>16</v>
      </c>
      <c r="F46" s="616" t="s">
        <v>27</v>
      </c>
      <c r="G46" s="617"/>
      <c r="H46" s="689"/>
      <c r="I46" s="690"/>
    </row>
    <row r="47" spans="1:9" ht="14.25" thickBot="1" x14ac:dyDescent="0.3">
      <c r="A47" s="595" t="s">
        <v>28</v>
      </c>
      <c r="B47" s="596"/>
      <c r="C47" s="597"/>
      <c r="D47" s="7">
        <f>SUM(E9:E22)-D43</f>
        <v>20</v>
      </c>
      <c r="E47" s="8" t="s">
        <v>16</v>
      </c>
      <c r="F47" s="598"/>
      <c r="G47" s="598"/>
      <c r="H47" s="614"/>
      <c r="I47" s="615"/>
    </row>
    <row r="48" spans="1:9" ht="13.5" thickBot="1" x14ac:dyDescent="0.25">
      <c r="A48" s="601" t="s">
        <v>29</v>
      </c>
      <c r="B48" s="602"/>
      <c r="C48" s="602"/>
      <c r="D48" s="602"/>
      <c r="E48" s="602"/>
      <c r="F48" s="602"/>
      <c r="G48" s="602"/>
      <c r="H48" s="602"/>
      <c r="I48" s="603"/>
    </row>
    <row r="49" spans="1:9" ht="14.65" customHeight="1" x14ac:dyDescent="0.25">
      <c r="A49" s="682" t="s">
        <v>223</v>
      </c>
      <c r="B49" s="683"/>
      <c r="C49" s="684"/>
      <c r="D49" s="684"/>
      <c r="E49" s="684"/>
      <c r="F49" s="684"/>
      <c r="G49" s="684"/>
      <c r="H49" s="684"/>
      <c r="I49" s="685"/>
    </row>
    <row r="50" spans="1:9" ht="15.6" customHeight="1" x14ac:dyDescent="0.25">
      <c r="A50" s="682" t="s">
        <v>224</v>
      </c>
      <c r="B50" s="683"/>
      <c r="C50" s="684"/>
      <c r="D50" s="684"/>
      <c r="E50" s="684"/>
      <c r="F50" s="684"/>
      <c r="G50" s="684"/>
      <c r="H50" s="684"/>
      <c r="I50" s="685"/>
    </row>
    <row r="51" spans="1:9" ht="14.65" customHeight="1" x14ac:dyDescent="0.25">
      <c r="A51" s="682" t="s">
        <v>225</v>
      </c>
      <c r="B51" s="683"/>
      <c r="C51" s="684"/>
      <c r="D51" s="684"/>
      <c r="E51" s="684"/>
      <c r="F51" s="684"/>
      <c r="G51" s="684"/>
      <c r="H51" s="684"/>
      <c r="I51" s="685"/>
    </row>
    <row r="52" spans="1:9" ht="14.65" customHeight="1" x14ac:dyDescent="0.25">
      <c r="A52" s="682" t="s">
        <v>226</v>
      </c>
      <c r="B52" s="683"/>
      <c r="C52" s="684"/>
      <c r="D52" s="684"/>
      <c r="E52" s="684"/>
      <c r="F52" s="684"/>
      <c r="G52" s="684"/>
      <c r="H52" s="684"/>
      <c r="I52" s="685"/>
    </row>
    <row r="53" spans="1:9" ht="13.5" x14ac:dyDescent="0.25">
      <c r="A53" s="686"/>
      <c r="B53" s="687"/>
      <c r="C53" s="687"/>
      <c r="D53" s="687"/>
      <c r="E53" s="687"/>
      <c r="F53" s="687"/>
      <c r="G53" s="687"/>
      <c r="H53" s="687"/>
      <c r="I53" s="688"/>
    </row>
    <row r="54" spans="1:9" ht="14.65" customHeight="1" x14ac:dyDescent="0.25">
      <c r="A54" s="667"/>
      <c r="B54" s="668"/>
      <c r="C54" s="669"/>
      <c r="D54" s="669"/>
      <c r="E54" s="669"/>
      <c r="F54" s="669"/>
      <c r="G54" s="669"/>
      <c r="H54" s="669"/>
      <c r="I54" s="670"/>
    </row>
    <row r="55" spans="1:9" ht="14.65" customHeight="1" x14ac:dyDescent="0.25">
      <c r="A55" s="671"/>
      <c r="B55" s="672"/>
      <c r="C55" s="673"/>
      <c r="D55" s="673"/>
      <c r="E55" s="673"/>
      <c r="F55" s="673"/>
      <c r="G55" s="673"/>
      <c r="H55" s="673"/>
      <c r="I55" s="674"/>
    </row>
    <row r="56" spans="1:9" ht="14.65" customHeight="1" x14ac:dyDescent="0.25">
      <c r="A56" s="667"/>
      <c r="B56" s="668"/>
      <c r="C56" s="669"/>
      <c r="D56" s="669"/>
      <c r="E56" s="669"/>
      <c r="F56" s="669"/>
      <c r="G56" s="669"/>
      <c r="H56" s="669"/>
      <c r="I56" s="670"/>
    </row>
    <row r="57" spans="1:9" ht="14.65" customHeight="1" x14ac:dyDescent="0.25">
      <c r="A57" s="667"/>
      <c r="B57" s="668"/>
      <c r="C57" s="669"/>
      <c r="D57" s="669"/>
      <c r="E57" s="669"/>
      <c r="F57" s="669"/>
      <c r="G57" s="669"/>
      <c r="H57" s="669"/>
      <c r="I57" s="670"/>
    </row>
    <row r="58" spans="1:9" ht="14.65" customHeight="1" x14ac:dyDescent="0.25">
      <c r="A58" s="667"/>
      <c r="B58" s="668"/>
      <c r="C58" s="669"/>
      <c r="D58" s="669"/>
      <c r="E58" s="669"/>
      <c r="F58" s="669"/>
      <c r="G58" s="669"/>
      <c r="H58" s="669"/>
      <c r="I58" s="670"/>
    </row>
    <row r="59" spans="1:9" ht="14.65" customHeight="1" x14ac:dyDescent="0.25">
      <c r="A59" s="671"/>
      <c r="B59" s="672"/>
      <c r="C59" s="673"/>
      <c r="D59" s="673"/>
      <c r="E59" s="673"/>
      <c r="F59" s="673"/>
      <c r="G59" s="673"/>
      <c r="H59" s="673"/>
      <c r="I59" s="674"/>
    </row>
    <row r="60" spans="1:9" ht="18" customHeight="1" x14ac:dyDescent="0.25">
      <c r="A60" s="667"/>
      <c r="B60" s="668"/>
      <c r="C60" s="669"/>
      <c r="D60" s="669"/>
      <c r="E60" s="669"/>
      <c r="F60" s="669"/>
      <c r="G60" s="669"/>
      <c r="H60" s="669"/>
      <c r="I60" s="670"/>
    </row>
    <row r="61" spans="1:9" ht="14.65" customHeight="1" thickBot="1" x14ac:dyDescent="0.3">
      <c r="A61" s="675"/>
      <c r="B61" s="676"/>
      <c r="C61" s="677"/>
      <c r="D61" s="677"/>
      <c r="E61" s="677"/>
      <c r="F61" s="677"/>
      <c r="G61" s="677"/>
      <c r="H61" s="677"/>
      <c r="I61" s="678"/>
    </row>
    <row r="62" spans="1:9" ht="14.65" customHeight="1" thickBot="1" x14ac:dyDescent="0.3">
      <c r="A62" s="679"/>
      <c r="B62" s="680"/>
      <c r="C62" s="680"/>
      <c r="D62" s="680"/>
      <c r="E62" s="680"/>
      <c r="F62" s="680"/>
      <c r="G62" s="680"/>
      <c r="H62" s="680"/>
      <c r="I62" s="681"/>
    </row>
    <row r="63" spans="1:9" ht="14.65" customHeight="1" x14ac:dyDescent="0.2">
      <c r="A63" s="588" t="s">
        <v>40</v>
      </c>
      <c r="B63" s="589"/>
      <c r="C63" s="589"/>
      <c r="D63" s="589"/>
      <c r="E63" s="589"/>
      <c r="F63" s="589"/>
      <c r="G63" s="589"/>
      <c r="H63" s="589"/>
      <c r="I63" s="589"/>
    </row>
    <row r="64" spans="1:9" ht="13.5" x14ac:dyDescent="0.25">
      <c r="A64" s="590"/>
      <c r="B64" s="591"/>
      <c r="C64" s="591"/>
      <c r="D64" s="591"/>
      <c r="E64" s="591"/>
      <c r="F64" s="591"/>
      <c r="G64" s="591"/>
      <c r="H64" s="591"/>
      <c r="I64" s="591"/>
    </row>
    <row r="65" spans="1:9" ht="13.5" x14ac:dyDescent="0.25">
      <c r="A65" s="590"/>
      <c r="B65" s="591"/>
      <c r="C65" s="591"/>
      <c r="D65" s="591"/>
      <c r="E65" s="591"/>
      <c r="F65" s="591"/>
      <c r="G65" s="591"/>
      <c r="H65" s="591"/>
      <c r="I65" s="591"/>
    </row>
    <row r="68" spans="1:9" ht="89.25" x14ac:dyDescent="0.2">
      <c r="C68" s="243" t="s">
        <v>227</v>
      </c>
    </row>
  </sheetData>
  <mergeCells count="5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56:I56"/>
    <mergeCell ref="A47:C47"/>
    <mergeCell ref="F47:G47"/>
    <mergeCell ref="H47:I47"/>
    <mergeCell ref="A48:I48"/>
    <mergeCell ref="A49:I49"/>
    <mergeCell ref="A50:I50"/>
    <mergeCell ref="A51:I51"/>
    <mergeCell ref="A52:I52"/>
    <mergeCell ref="A53:I53"/>
    <mergeCell ref="A54:I54"/>
    <mergeCell ref="A55:I55"/>
    <mergeCell ref="A63:I63"/>
    <mergeCell ref="A64:I64"/>
    <mergeCell ref="A65:I65"/>
    <mergeCell ref="A57:I57"/>
    <mergeCell ref="A58:I58"/>
    <mergeCell ref="A59:I59"/>
    <mergeCell ref="A60:I60"/>
    <mergeCell ref="A61:I61"/>
    <mergeCell ref="A62:I6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26D-BAF5-483E-A600-F556E032227C}">
  <dimension ref="A1:I59"/>
  <sheetViews>
    <sheetView workbookViewId="0">
      <selection activeCell="D11" sqref="D11"/>
    </sheetView>
  </sheetViews>
  <sheetFormatPr baseColWidth="10" defaultRowHeight="12.75" x14ac:dyDescent="0.2"/>
  <cols>
    <col min="3" max="3" width="27.85546875" bestFit="1" customWidth="1"/>
    <col min="4" max="4" width="34.28515625" bestFit="1" customWidth="1"/>
    <col min="8" max="8" width="47.5703125" bestFit="1" customWidth="1"/>
    <col min="9" max="9" width="18.28515625" bestFit="1" customWidth="1"/>
  </cols>
  <sheetData>
    <row r="1" spans="1:9" ht="15.75" x14ac:dyDescent="0.25">
      <c r="A1" s="711"/>
      <c r="B1" s="712"/>
      <c r="C1" s="572" t="s">
        <v>0</v>
      </c>
      <c r="D1" s="572"/>
      <c r="E1" s="572"/>
      <c r="F1" s="572"/>
      <c r="G1" s="572"/>
      <c r="H1" s="1" t="s">
        <v>1</v>
      </c>
      <c r="I1" s="9" t="s">
        <v>161</v>
      </c>
    </row>
    <row r="2" spans="1:9" ht="18" customHeight="1" thickBot="1" x14ac:dyDescent="0.3">
      <c r="A2" s="713"/>
      <c r="B2" s="714"/>
      <c r="C2" s="573" t="s">
        <v>2</v>
      </c>
      <c r="D2" s="574"/>
      <c r="E2" s="574"/>
      <c r="F2" s="574"/>
      <c r="G2" s="575"/>
      <c r="H2" s="2" t="s">
        <v>3</v>
      </c>
      <c r="I2" s="10" t="s">
        <v>147</v>
      </c>
    </row>
    <row r="3" spans="1:9" ht="31.5" customHeight="1" thickBot="1" x14ac:dyDescent="0.25">
      <c r="A3" s="713"/>
      <c r="B3" s="714"/>
      <c r="C3" s="717" t="s">
        <v>162</v>
      </c>
      <c r="D3" s="718"/>
      <c r="E3" s="718"/>
      <c r="F3" s="718"/>
      <c r="G3" s="719"/>
      <c r="H3" s="720" t="s">
        <v>4</v>
      </c>
      <c r="I3" s="702">
        <v>45619</v>
      </c>
    </row>
    <row r="4" spans="1:9" ht="18" customHeight="1" x14ac:dyDescent="0.25">
      <c r="A4" s="713"/>
      <c r="B4" s="714"/>
      <c r="C4" s="13" t="s">
        <v>5</v>
      </c>
      <c r="D4" s="705" t="s">
        <v>31</v>
      </c>
      <c r="E4" s="706"/>
      <c r="F4" s="706"/>
      <c r="G4" s="707"/>
      <c r="H4" s="721"/>
      <c r="I4" s="703"/>
    </row>
    <row r="5" spans="1:9" ht="14.25" thickBot="1" x14ac:dyDescent="0.3">
      <c r="A5" s="715"/>
      <c r="B5" s="716"/>
      <c r="C5" s="14" t="s">
        <v>6</v>
      </c>
      <c r="D5" s="708" t="s">
        <v>32</v>
      </c>
      <c r="E5" s="709"/>
      <c r="F5" s="709"/>
      <c r="G5" s="710"/>
      <c r="H5" s="722"/>
      <c r="I5" s="704"/>
    </row>
    <row r="6" spans="1:9" ht="18.75" thickBot="1" x14ac:dyDescent="0.3">
      <c r="A6" s="624" t="s">
        <v>33</v>
      </c>
      <c r="B6" s="624"/>
      <c r="C6" s="624"/>
      <c r="D6" s="625" t="s">
        <v>47</v>
      </c>
      <c r="E6" s="625"/>
      <c r="F6" s="625"/>
      <c r="G6" s="626" t="s">
        <v>35</v>
      </c>
      <c r="H6" s="626"/>
      <c r="I6" s="15" t="s">
        <v>47</v>
      </c>
    </row>
    <row r="7" spans="1:9" x14ac:dyDescent="0.2">
      <c r="A7" s="627" t="s">
        <v>7</v>
      </c>
      <c r="B7" s="629" t="s">
        <v>36</v>
      </c>
      <c r="C7" s="631" t="s">
        <v>8</v>
      </c>
      <c r="D7" s="631" t="s">
        <v>9</v>
      </c>
      <c r="E7" s="631" t="s">
        <v>10</v>
      </c>
      <c r="F7" s="631"/>
      <c r="G7" s="631" t="s">
        <v>11</v>
      </c>
      <c r="H7" s="631"/>
      <c r="I7" s="16" t="s">
        <v>12</v>
      </c>
    </row>
    <row r="8" spans="1:9" ht="26.25" thickBot="1" x14ac:dyDescent="0.25">
      <c r="A8" s="691"/>
      <c r="B8" s="692"/>
      <c r="C8" s="693"/>
      <c r="D8" s="632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8.600000000000001" customHeight="1" x14ac:dyDescent="0.25">
      <c r="A9" s="190"/>
      <c r="B9" s="190"/>
      <c r="C9" s="191" t="s">
        <v>163</v>
      </c>
      <c r="D9" s="192"/>
      <c r="E9" s="22"/>
      <c r="F9" s="23"/>
      <c r="G9" s="22"/>
      <c r="H9" s="23"/>
      <c r="I9" s="24"/>
    </row>
    <row r="10" spans="1:9" ht="18" customHeight="1" x14ac:dyDescent="0.25">
      <c r="A10" s="193">
        <v>95361</v>
      </c>
      <c r="B10" s="12" t="s">
        <v>164</v>
      </c>
      <c r="C10" s="194" t="s">
        <v>165</v>
      </c>
      <c r="D10" s="195" t="s">
        <v>37</v>
      </c>
      <c r="E10" s="196">
        <v>16200</v>
      </c>
      <c r="F10" s="196" t="s">
        <v>16</v>
      </c>
      <c r="G10" s="25"/>
      <c r="H10" s="26"/>
      <c r="I10" s="24"/>
    </row>
    <row r="11" spans="1:9" ht="15" x14ac:dyDescent="0.25">
      <c r="A11" s="197"/>
      <c r="B11" s="198"/>
      <c r="C11" s="199" t="s">
        <v>44</v>
      </c>
      <c r="D11" s="195" t="s">
        <v>37</v>
      </c>
      <c r="E11" s="196">
        <v>1600</v>
      </c>
      <c r="F11" s="196" t="s">
        <v>16</v>
      </c>
      <c r="G11" s="25"/>
      <c r="H11" s="26"/>
      <c r="I11" s="24"/>
    </row>
    <row r="12" spans="1:9" ht="15" x14ac:dyDescent="0.25">
      <c r="A12" s="193">
        <v>10100050</v>
      </c>
      <c r="B12" s="12" t="s">
        <v>166</v>
      </c>
      <c r="C12" s="194" t="s">
        <v>167</v>
      </c>
      <c r="D12" s="195" t="s">
        <v>168</v>
      </c>
      <c r="E12" s="196">
        <v>1400</v>
      </c>
      <c r="F12" s="196" t="s">
        <v>16</v>
      </c>
      <c r="G12" s="25"/>
      <c r="H12" s="26"/>
      <c r="I12" s="24"/>
    </row>
    <row r="13" spans="1:9" ht="15" x14ac:dyDescent="0.25">
      <c r="A13" s="193">
        <v>10100289</v>
      </c>
      <c r="B13" s="12" t="s">
        <v>169</v>
      </c>
      <c r="C13" s="194" t="s">
        <v>170</v>
      </c>
      <c r="D13" s="200" t="s">
        <v>171</v>
      </c>
      <c r="E13" s="196">
        <v>600</v>
      </c>
      <c r="F13" s="196" t="s">
        <v>16</v>
      </c>
      <c r="G13" s="25"/>
      <c r="H13" s="26"/>
      <c r="I13" s="24"/>
    </row>
    <row r="14" spans="1:9" ht="15" x14ac:dyDescent="0.25">
      <c r="A14" s="193">
        <v>118000004</v>
      </c>
      <c r="B14" s="12" t="s">
        <v>172</v>
      </c>
      <c r="C14" s="194" t="s">
        <v>173</v>
      </c>
      <c r="D14" s="200" t="s">
        <v>174</v>
      </c>
      <c r="E14" s="196">
        <v>300</v>
      </c>
      <c r="F14" s="196" t="s">
        <v>16</v>
      </c>
      <c r="G14" s="25"/>
      <c r="H14" s="26"/>
      <c r="I14" s="24"/>
    </row>
    <row r="15" spans="1:9" ht="15" x14ac:dyDescent="0.25">
      <c r="A15" s="193">
        <v>1210482</v>
      </c>
      <c r="B15" s="12" t="s">
        <v>175</v>
      </c>
      <c r="C15" s="194" t="s">
        <v>176</v>
      </c>
      <c r="D15" s="201" t="s">
        <v>177</v>
      </c>
      <c r="E15" s="196">
        <v>1200</v>
      </c>
      <c r="F15" s="196" t="s">
        <v>16</v>
      </c>
      <c r="G15" s="25"/>
      <c r="H15" s="26"/>
      <c r="I15" s="24"/>
    </row>
    <row r="16" spans="1:9" ht="15" x14ac:dyDescent="0.25">
      <c r="A16" s="193">
        <v>11300011</v>
      </c>
      <c r="B16" s="12" t="s">
        <v>178</v>
      </c>
      <c r="C16" s="194" t="s">
        <v>179</v>
      </c>
      <c r="D16" s="195" t="s">
        <v>177</v>
      </c>
      <c r="E16" s="196">
        <v>400</v>
      </c>
      <c r="F16" s="196" t="s">
        <v>16</v>
      </c>
      <c r="G16" s="25"/>
      <c r="H16" s="26"/>
      <c r="I16" s="24"/>
    </row>
    <row r="17" spans="1:9" ht="15" x14ac:dyDescent="0.25">
      <c r="A17" s="197"/>
      <c r="B17" s="197"/>
      <c r="C17" s="202"/>
      <c r="D17" s="197"/>
      <c r="E17" s="203"/>
      <c r="F17" s="204"/>
      <c r="G17" s="25"/>
      <c r="H17" s="26"/>
      <c r="I17" s="24"/>
    </row>
    <row r="18" spans="1:9" ht="15.75" x14ac:dyDescent="0.25">
      <c r="A18" s="30"/>
      <c r="B18" s="31"/>
      <c r="C18" s="205" t="s">
        <v>180</v>
      </c>
      <c r="D18" s="206"/>
      <c r="E18" s="206"/>
      <c r="F18" s="206"/>
      <c r="G18" s="4"/>
      <c r="H18" s="26"/>
      <c r="I18" s="24"/>
    </row>
    <row r="19" spans="1:9" ht="15" hidden="1" x14ac:dyDescent="0.25">
      <c r="A19" s="207"/>
      <c r="B19" s="12"/>
      <c r="C19" s="194"/>
      <c r="D19" s="208"/>
      <c r="E19" s="208"/>
      <c r="F19" s="208"/>
      <c r="G19" s="22"/>
      <c r="H19" s="26"/>
      <c r="I19" s="24"/>
    </row>
    <row r="20" spans="1:9" ht="15" hidden="1" x14ac:dyDescent="0.25">
      <c r="A20" s="209"/>
      <c r="B20" s="210"/>
      <c r="C20" s="194"/>
      <c r="D20" s="208"/>
      <c r="E20" s="208"/>
      <c r="F20" s="208"/>
      <c r="G20" s="22"/>
      <c r="H20" s="26"/>
      <c r="I20" s="24"/>
    </row>
    <row r="21" spans="1:9" ht="15" hidden="1" x14ac:dyDescent="0.25">
      <c r="A21" s="209"/>
      <c r="B21" s="210"/>
      <c r="C21" s="194"/>
      <c r="D21" s="208"/>
      <c r="E21" s="208"/>
      <c r="F21" s="208"/>
      <c r="G21" s="22"/>
      <c r="H21" s="26"/>
      <c r="I21" s="24"/>
    </row>
    <row r="22" spans="1:9" ht="15.75" hidden="1" x14ac:dyDescent="0.25">
      <c r="A22" s="30"/>
      <c r="B22" s="31"/>
      <c r="C22" s="205"/>
      <c r="D22" s="28"/>
      <c r="E22" s="211"/>
      <c r="F22" s="29"/>
      <c r="G22" s="22"/>
      <c r="H22" s="26"/>
      <c r="I22" s="24"/>
    </row>
    <row r="23" spans="1:9" ht="15" hidden="1" x14ac:dyDescent="0.25">
      <c r="A23" s="32"/>
      <c r="B23" s="33"/>
      <c r="C23" s="34"/>
      <c r="D23" s="35"/>
      <c r="E23" s="36"/>
      <c r="F23" s="37"/>
      <c r="G23" s="22"/>
      <c r="H23" s="26"/>
      <c r="I23" s="24"/>
    </row>
    <row r="24" spans="1:9" ht="15" hidden="1" x14ac:dyDescent="0.25">
      <c r="A24" s="12"/>
      <c r="B24" s="12"/>
      <c r="C24" s="194"/>
      <c r="D24" s="212"/>
      <c r="E24" s="3"/>
      <c r="F24" s="213"/>
      <c r="G24" s="22"/>
      <c r="H24" s="26"/>
      <c r="I24" s="24"/>
    </row>
    <row r="25" spans="1:9" ht="15" x14ac:dyDescent="0.25">
      <c r="A25" s="214"/>
      <c r="B25" s="214"/>
      <c r="C25" s="194"/>
      <c r="D25" s="215"/>
      <c r="E25" s="3"/>
      <c r="F25" s="213"/>
      <c r="G25" s="22"/>
      <c r="H25" s="26"/>
      <c r="I25" s="24"/>
    </row>
    <row r="26" spans="1:9" ht="15.75" x14ac:dyDescent="0.25">
      <c r="A26" s="216"/>
      <c r="B26" s="217"/>
      <c r="C26" s="218" t="s">
        <v>181</v>
      </c>
      <c r="D26" s="219"/>
      <c r="E26" s="220"/>
      <c r="F26" s="23"/>
      <c r="G26" s="22"/>
      <c r="H26" s="26"/>
      <c r="I26" s="24"/>
    </row>
    <row r="27" spans="1:9" ht="15" hidden="1" x14ac:dyDescent="0.25">
      <c r="A27" s="221"/>
      <c r="B27" s="222"/>
      <c r="C27" s="223"/>
      <c r="D27" s="38"/>
      <c r="E27" s="39"/>
      <c r="F27" s="40"/>
      <c r="G27" s="224"/>
      <c r="H27" s="26"/>
      <c r="I27" s="24"/>
    </row>
    <row r="28" spans="1:9" ht="15" hidden="1" x14ac:dyDescent="0.25">
      <c r="A28" s="221"/>
      <c r="B28" s="222"/>
      <c r="C28" s="223"/>
      <c r="D28" s="38"/>
      <c r="E28" s="39"/>
      <c r="F28" s="40"/>
      <c r="G28" s="224"/>
      <c r="H28" s="26"/>
      <c r="I28" s="24"/>
    </row>
    <row r="29" spans="1:9" ht="15" hidden="1" x14ac:dyDescent="0.25">
      <c r="A29" s="225"/>
      <c r="B29" s="226"/>
      <c r="C29" s="227"/>
      <c r="D29" s="38"/>
      <c r="E29" s="39"/>
      <c r="F29" s="40"/>
      <c r="G29" s="224"/>
      <c r="H29" s="26"/>
      <c r="I29" s="24"/>
    </row>
    <row r="30" spans="1:9" ht="15" hidden="1" x14ac:dyDescent="0.25">
      <c r="A30" s="41"/>
      <c r="B30" s="41"/>
      <c r="C30" s="42"/>
      <c r="D30" s="38"/>
      <c r="E30" s="39"/>
      <c r="F30" s="40"/>
      <c r="G30" s="22"/>
      <c r="H30" s="26"/>
      <c r="I30" s="24"/>
    </row>
    <row r="31" spans="1:9" ht="15" hidden="1" x14ac:dyDescent="0.25">
      <c r="A31" s="41"/>
      <c r="B31" s="41"/>
      <c r="C31" s="42"/>
      <c r="D31" s="38"/>
      <c r="E31" s="39"/>
      <c r="F31" s="40"/>
      <c r="G31" s="22"/>
      <c r="H31" s="26"/>
      <c r="I31" s="24"/>
    </row>
    <row r="32" spans="1:9" ht="15" hidden="1" x14ac:dyDescent="0.25">
      <c r="A32" s="41"/>
      <c r="B32" s="41"/>
      <c r="C32" s="42"/>
      <c r="D32" s="38"/>
      <c r="E32" s="39"/>
      <c r="F32" s="40"/>
      <c r="G32" s="43"/>
      <c r="H32" s="26"/>
      <c r="I32" s="24"/>
    </row>
    <row r="33" spans="1:9" ht="15.75" hidden="1" x14ac:dyDescent="0.25">
      <c r="A33" s="41"/>
      <c r="B33" s="41"/>
      <c r="C33" s="42"/>
      <c r="D33" s="206"/>
      <c r="E33" s="39"/>
      <c r="F33" s="40"/>
      <c r="G33" s="27"/>
      <c r="H33" s="26"/>
      <c r="I33" s="24"/>
    </row>
    <row r="34" spans="1:9" ht="15" x14ac:dyDescent="0.25">
      <c r="A34" s="228"/>
      <c r="B34" s="228"/>
      <c r="C34" s="229"/>
      <c r="D34" s="38"/>
      <c r="E34" s="213"/>
      <c r="F34" s="213"/>
      <c r="G34" s="27"/>
      <c r="H34" s="23"/>
      <c r="I34" s="24"/>
    </row>
    <row r="35" spans="1:9" ht="14.25" thickBot="1" x14ac:dyDescent="0.3">
      <c r="A35" s="46"/>
      <c r="B35" s="47"/>
      <c r="C35" s="48" t="s">
        <v>182</v>
      </c>
      <c r="D35" s="48"/>
      <c r="E35" s="49"/>
      <c r="F35" s="50"/>
      <c r="G35" s="48"/>
      <c r="H35" s="48"/>
      <c r="I35" s="51"/>
    </row>
    <row r="36" spans="1:9" ht="14.25" thickBot="1" x14ac:dyDescent="0.3">
      <c r="A36" s="52"/>
      <c r="B36" s="53"/>
      <c r="C36" s="54" t="s">
        <v>182</v>
      </c>
      <c r="D36" s="55" t="s">
        <v>13</v>
      </c>
      <c r="E36" s="56" t="s">
        <v>18</v>
      </c>
      <c r="F36" s="57"/>
      <c r="G36" s="54"/>
      <c r="H36" s="54"/>
      <c r="I36" s="58"/>
    </row>
    <row r="37" spans="1:9" ht="13.5" x14ac:dyDescent="0.25">
      <c r="A37" s="618" t="s">
        <v>19</v>
      </c>
      <c r="B37" s="619"/>
      <c r="C37" s="620"/>
      <c r="D37" s="230">
        <v>20600</v>
      </c>
      <c r="E37" s="6" t="s">
        <v>16</v>
      </c>
      <c r="F37" s="621" t="s">
        <v>20</v>
      </c>
      <c r="G37" s="621"/>
      <c r="H37" s="622"/>
      <c r="I37" s="623"/>
    </row>
    <row r="38" spans="1:9" ht="13.5" x14ac:dyDescent="0.25">
      <c r="A38" s="610" t="s">
        <v>21</v>
      </c>
      <c r="B38" s="611"/>
      <c r="C38" s="612"/>
      <c r="D38" s="4">
        <v>10</v>
      </c>
      <c r="E38" s="4" t="s">
        <v>22</v>
      </c>
      <c r="F38" s="613" t="s">
        <v>23</v>
      </c>
      <c r="G38" s="613"/>
      <c r="H38" s="614"/>
      <c r="I38" s="615"/>
    </row>
    <row r="39" spans="1:9" ht="13.5" x14ac:dyDescent="0.25">
      <c r="A39" s="610" t="s">
        <v>24</v>
      </c>
      <c r="B39" s="611"/>
      <c r="C39" s="612"/>
      <c r="D39" s="3">
        <v>10</v>
      </c>
      <c r="E39" s="4" t="s">
        <v>183</v>
      </c>
      <c r="F39" s="613" t="s">
        <v>25</v>
      </c>
      <c r="G39" s="613"/>
      <c r="H39" s="614"/>
      <c r="I39" s="615"/>
    </row>
    <row r="40" spans="1:9" ht="13.5" x14ac:dyDescent="0.25">
      <c r="A40" s="610" t="s">
        <v>26</v>
      </c>
      <c r="B40" s="611"/>
      <c r="C40" s="612"/>
      <c r="D40" s="3">
        <v>2000</v>
      </c>
      <c r="E40" s="4" t="s">
        <v>16</v>
      </c>
      <c r="F40" s="616" t="s">
        <v>27</v>
      </c>
      <c r="G40" s="617"/>
      <c r="H40" s="689"/>
      <c r="I40" s="690"/>
    </row>
    <row r="41" spans="1:9" ht="14.25" thickBot="1" x14ac:dyDescent="0.3">
      <c r="A41" s="595" t="s">
        <v>28</v>
      </c>
      <c r="B41" s="596"/>
      <c r="C41" s="597"/>
      <c r="D41" s="7">
        <f>SUM(E10:E17)-D37</f>
        <v>1100</v>
      </c>
      <c r="E41" s="8" t="s">
        <v>16</v>
      </c>
      <c r="F41" s="598"/>
      <c r="G41" s="598"/>
      <c r="H41" s="614"/>
      <c r="I41" s="615"/>
    </row>
    <row r="42" spans="1:9" ht="13.5" thickBot="1" x14ac:dyDescent="0.25">
      <c r="A42" s="601" t="s">
        <v>29</v>
      </c>
      <c r="B42" s="602"/>
      <c r="C42" s="602"/>
      <c r="D42" s="602"/>
      <c r="E42" s="602"/>
      <c r="F42" s="602"/>
      <c r="G42" s="602"/>
      <c r="H42" s="602"/>
      <c r="I42" s="603"/>
    </row>
    <row r="43" spans="1:9" ht="14.65" customHeight="1" x14ac:dyDescent="0.25">
      <c r="A43" s="682" t="s">
        <v>184</v>
      </c>
      <c r="B43" s="683"/>
      <c r="C43" s="684"/>
      <c r="D43" s="684"/>
      <c r="E43" s="684"/>
      <c r="F43" s="684"/>
      <c r="G43" s="684"/>
      <c r="H43" s="684"/>
      <c r="I43" s="685"/>
    </row>
    <row r="44" spans="1:9" ht="15.6" customHeight="1" x14ac:dyDescent="0.25">
      <c r="A44" s="682" t="s">
        <v>185</v>
      </c>
      <c r="B44" s="683"/>
      <c r="C44" s="684"/>
      <c r="D44" s="684"/>
      <c r="E44" s="684"/>
      <c r="F44" s="684"/>
      <c r="G44" s="684"/>
      <c r="H44" s="684"/>
      <c r="I44" s="685"/>
    </row>
    <row r="45" spans="1:9" ht="14.65" customHeight="1" x14ac:dyDescent="0.25">
      <c r="A45" s="682" t="s">
        <v>186</v>
      </c>
      <c r="B45" s="683"/>
      <c r="C45" s="684"/>
      <c r="D45" s="684"/>
      <c r="E45" s="684"/>
      <c r="F45" s="684"/>
      <c r="G45" s="684"/>
      <c r="H45" s="684"/>
      <c r="I45" s="685"/>
    </row>
    <row r="46" spans="1:9" ht="14.65" customHeight="1" x14ac:dyDescent="0.25">
      <c r="A46" s="682" t="s">
        <v>187</v>
      </c>
      <c r="B46" s="683"/>
      <c r="C46" s="684"/>
      <c r="D46" s="684"/>
      <c r="E46" s="684"/>
      <c r="F46" s="684"/>
      <c r="G46" s="684"/>
      <c r="H46" s="684"/>
      <c r="I46" s="685"/>
    </row>
    <row r="47" spans="1:9" ht="13.5" x14ac:dyDescent="0.25">
      <c r="A47" s="686"/>
      <c r="B47" s="687"/>
      <c r="C47" s="687"/>
      <c r="D47" s="687"/>
      <c r="E47" s="687"/>
      <c r="F47" s="687"/>
      <c r="G47" s="687"/>
      <c r="H47" s="687"/>
      <c r="I47" s="688"/>
    </row>
    <row r="48" spans="1:9" ht="14.65" customHeight="1" x14ac:dyDescent="0.25">
      <c r="A48" s="667"/>
      <c r="B48" s="668"/>
      <c r="C48" s="669"/>
      <c r="D48" s="669"/>
      <c r="E48" s="669"/>
      <c r="F48" s="669"/>
      <c r="G48" s="669"/>
      <c r="H48" s="669"/>
      <c r="I48" s="670"/>
    </row>
    <row r="49" spans="1:9" ht="14.65" customHeight="1" x14ac:dyDescent="0.25">
      <c r="A49" s="671"/>
      <c r="B49" s="672"/>
      <c r="C49" s="673"/>
      <c r="D49" s="673"/>
      <c r="E49" s="673"/>
      <c r="F49" s="673"/>
      <c r="G49" s="673"/>
      <c r="H49" s="673"/>
      <c r="I49" s="674"/>
    </row>
    <row r="50" spans="1:9" ht="14.65" customHeight="1" x14ac:dyDescent="0.25">
      <c r="A50" s="667"/>
      <c r="B50" s="668"/>
      <c r="C50" s="669"/>
      <c r="D50" s="669"/>
      <c r="E50" s="669"/>
      <c r="F50" s="669"/>
      <c r="G50" s="669"/>
      <c r="H50" s="669"/>
      <c r="I50" s="670"/>
    </row>
    <row r="51" spans="1:9" ht="14.65" customHeight="1" x14ac:dyDescent="0.25">
      <c r="A51" s="667"/>
      <c r="B51" s="668"/>
      <c r="C51" s="669"/>
      <c r="D51" s="669"/>
      <c r="E51" s="669"/>
      <c r="F51" s="669"/>
      <c r="G51" s="669"/>
      <c r="H51" s="669"/>
      <c r="I51" s="670"/>
    </row>
    <row r="52" spans="1:9" ht="14.65" customHeight="1" x14ac:dyDescent="0.25">
      <c r="A52" s="667"/>
      <c r="B52" s="668"/>
      <c r="C52" s="669"/>
      <c r="D52" s="669"/>
      <c r="E52" s="669"/>
      <c r="F52" s="669"/>
      <c r="G52" s="669"/>
      <c r="H52" s="669"/>
      <c r="I52" s="670"/>
    </row>
    <row r="53" spans="1:9" ht="14.65" customHeight="1" x14ac:dyDescent="0.25">
      <c r="A53" s="671"/>
      <c r="B53" s="672"/>
      <c r="C53" s="673"/>
      <c r="D53" s="673"/>
      <c r="E53" s="673"/>
      <c r="F53" s="673"/>
      <c r="G53" s="673"/>
      <c r="H53" s="673"/>
      <c r="I53" s="674"/>
    </row>
    <row r="54" spans="1:9" ht="18" customHeight="1" x14ac:dyDescent="0.25">
      <c r="A54" s="667"/>
      <c r="B54" s="668"/>
      <c r="C54" s="669"/>
      <c r="D54" s="669"/>
      <c r="E54" s="669"/>
      <c r="F54" s="669"/>
      <c r="G54" s="669"/>
      <c r="H54" s="669"/>
      <c r="I54" s="670"/>
    </row>
    <row r="55" spans="1:9" ht="14.65" customHeight="1" thickBot="1" x14ac:dyDescent="0.3">
      <c r="A55" s="675"/>
      <c r="B55" s="676"/>
      <c r="C55" s="677"/>
      <c r="D55" s="677"/>
      <c r="E55" s="677"/>
      <c r="F55" s="677"/>
      <c r="G55" s="677"/>
      <c r="H55" s="677"/>
      <c r="I55" s="678"/>
    </row>
    <row r="56" spans="1:9" ht="14.65" customHeight="1" thickBot="1" x14ac:dyDescent="0.3">
      <c r="A56" s="679"/>
      <c r="B56" s="680"/>
      <c r="C56" s="680"/>
      <c r="D56" s="680"/>
      <c r="E56" s="680"/>
      <c r="F56" s="680"/>
      <c r="G56" s="680"/>
      <c r="H56" s="680"/>
      <c r="I56" s="681"/>
    </row>
    <row r="57" spans="1:9" ht="14.65" customHeight="1" x14ac:dyDescent="0.2">
      <c r="A57" s="698" t="s">
        <v>40</v>
      </c>
      <c r="B57" s="699"/>
      <c r="C57" s="699"/>
      <c r="D57" s="699"/>
      <c r="E57" s="699"/>
      <c r="F57" s="699"/>
      <c r="G57" s="699"/>
      <c r="H57" s="699"/>
      <c r="I57" s="699"/>
    </row>
    <row r="58" spans="1:9" ht="13.5" x14ac:dyDescent="0.25">
      <c r="A58" s="700" t="s">
        <v>188</v>
      </c>
      <c r="B58" s="701"/>
      <c r="C58" s="701"/>
      <c r="D58" s="701"/>
      <c r="E58" s="701"/>
      <c r="F58" s="701"/>
      <c r="G58" s="701"/>
      <c r="H58" s="701"/>
      <c r="I58" s="701"/>
    </row>
    <row r="59" spans="1:9" ht="13.5" x14ac:dyDescent="0.25">
      <c r="A59" s="700"/>
      <c r="B59" s="701"/>
      <c r="C59" s="701"/>
      <c r="D59" s="701"/>
      <c r="E59" s="701"/>
      <c r="F59" s="701"/>
      <c r="G59" s="701"/>
      <c r="H59" s="701"/>
      <c r="I59" s="701"/>
    </row>
  </sheetData>
  <mergeCells count="5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50:I50"/>
    <mergeCell ref="A41:C41"/>
    <mergeCell ref="F41:G41"/>
    <mergeCell ref="H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9BD1-A905-4E29-8082-5BA97DDA07CE}">
  <dimension ref="A1:L28"/>
  <sheetViews>
    <sheetView workbookViewId="0">
      <selection activeCell="C14" sqref="C14"/>
    </sheetView>
  </sheetViews>
  <sheetFormatPr baseColWidth="10" defaultColWidth="11.42578125" defaultRowHeight="13.5" x14ac:dyDescent="0.25"/>
  <cols>
    <col min="1" max="1" width="16.28515625" style="48" customWidth="1"/>
    <col min="2" max="2" width="38.28515625" style="48" customWidth="1"/>
    <col min="3" max="3" width="14.28515625" style="48" customWidth="1"/>
    <col min="4" max="6" width="11.42578125" style="48"/>
    <col min="7" max="7" width="14.28515625" style="48" customWidth="1"/>
    <col min="8" max="8" width="16" style="48" customWidth="1"/>
    <col min="9" max="256" width="11.42578125" style="48"/>
    <col min="257" max="257" width="16.28515625" style="48" customWidth="1"/>
    <col min="258" max="258" width="38.28515625" style="48" customWidth="1"/>
    <col min="259" max="259" width="14.28515625" style="48" customWidth="1"/>
    <col min="260" max="262" width="11.42578125" style="48"/>
    <col min="263" max="263" width="14.28515625" style="48" customWidth="1"/>
    <col min="264" max="264" width="16" style="48" customWidth="1"/>
    <col min="265" max="512" width="11.42578125" style="48"/>
    <col min="513" max="513" width="16.28515625" style="48" customWidth="1"/>
    <col min="514" max="514" width="38.28515625" style="48" customWidth="1"/>
    <col min="515" max="515" width="14.28515625" style="48" customWidth="1"/>
    <col min="516" max="518" width="11.42578125" style="48"/>
    <col min="519" max="519" width="14.28515625" style="48" customWidth="1"/>
    <col min="520" max="520" width="16" style="48" customWidth="1"/>
    <col min="521" max="768" width="11.42578125" style="48"/>
    <col min="769" max="769" width="16.28515625" style="48" customWidth="1"/>
    <col min="770" max="770" width="38.28515625" style="48" customWidth="1"/>
    <col min="771" max="771" width="14.28515625" style="48" customWidth="1"/>
    <col min="772" max="774" width="11.42578125" style="48"/>
    <col min="775" max="775" width="14.28515625" style="48" customWidth="1"/>
    <col min="776" max="776" width="16" style="48" customWidth="1"/>
    <col min="777" max="1024" width="11.42578125" style="48"/>
    <col min="1025" max="1025" width="16.28515625" style="48" customWidth="1"/>
    <col min="1026" max="1026" width="38.28515625" style="48" customWidth="1"/>
    <col min="1027" max="1027" width="14.28515625" style="48" customWidth="1"/>
    <col min="1028" max="1030" width="11.42578125" style="48"/>
    <col min="1031" max="1031" width="14.28515625" style="48" customWidth="1"/>
    <col min="1032" max="1032" width="16" style="48" customWidth="1"/>
    <col min="1033" max="1280" width="11.42578125" style="48"/>
    <col min="1281" max="1281" width="16.28515625" style="48" customWidth="1"/>
    <col min="1282" max="1282" width="38.28515625" style="48" customWidth="1"/>
    <col min="1283" max="1283" width="14.28515625" style="48" customWidth="1"/>
    <col min="1284" max="1286" width="11.42578125" style="48"/>
    <col min="1287" max="1287" width="14.28515625" style="48" customWidth="1"/>
    <col min="1288" max="1288" width="16" style="48" customWidth="1"/>
    <col min="1289" max="1536" width="11.42578125" style="48"/>
    <col min="1537" max="1537" width="16.28515625" style="48" customWidth="1"/>
    <col min="1538" max="1538" width="38.28515625" style="48" customWidth="1"/>
    <col min="1539" max="1539" width="14.28515625" style="48" customWidth="1"/>
    <col min="1540" max="1542" width="11.42578125" style="48"/>
    <col min="1543" max="1543" width="14.28515625" style="48" customWidth="1"/>
    <col min="1544" max="1544" width="16" style="48" customWidth="1"/>
    <col min="1545" max="1792" width="11.42578125" style="48"/>
    <col min="1793" max="1793" width="16.28515625" style="48" customWidth="1"/>
    <col min="1794" max="1794" width="38.28515625" style="48" customWidth="1"/>
    <col min="1795" max="1795" width="14.28515625" style="48" customWidth="1"/>
    <col min="1796" max="1798" width="11.42578125" style="48"/>
    <col min="1799" max="1799" width="14.28515625" style="48" customWidth="1"/>
    <col min="1800" max="1800" width="16" style="48" customWidth="1"/>
    <col min="1801" max="2048" width="11.42578125" style="48"/>
    <col min="2049" max="2049" width="16.28515625" style="48" customWidth="1"/>
    <col min="2050" max="2050" width="38.28515625" style="48" customWidth="1"/>
    <col min="2051" max="2051" width="14.28515625" style="48" customWidth="1"/>
    <col min="2052" max="2054" width="11.42578125" style="48"/>
    <col min="2055" max="2055" width="14.28515625" style="48" customWidth="1"/>
    <col min="2056" max="2056" width="16" style="48" customWidth="1"/>
    <col min="2057" max="2304" width="11.42578125" style="48"/>
    <col min="2305" max="2305" width="16.28515625" style="48" customWidth="1"/>
    <col min="2306" max="2306" width="38.28515625" style="48" customWidth="1"/>
    <col min="2307" max="2307" width="14.28515625" style="48" customWidth="1"/>
    <col min="2308" max="2310" width="11.42578125" style="48"/>
    <col min="2311" max="2311" width="14.28515625" style="48" customWidth="1"/>
    <col min="2312" max="2312" width="16" style="48" customWidth="1"/>
    <col min="2313" max="2560" width="11.42578125" style="48"/>
    <col min="2561" max="2561" width="16.28515625" style="48" customWidth="1"/>
    <col min="2562" max="2562" width="38.28515625" style="48" customWidth="1"/>
    <col min="2563" max="2563" width="14.28515625" style="48" customWidth="1"/>
    <col min="2564" max="2566" width="11.42578125" style="48"/>
    <col min="2567" max="2567" width="14.28515625" style="48" customWidth="1"/>
    <col min="2568" max="2568" width="16" style="48" customWidth="1"/>
    <col min="2569" max="2816" width="11.42578125" style="48"/>
    <col min="2817" max="2817" width="16.28515625" style="48" customWidth="1"/>
    <col min="2818" max="2818" width="38.28515625" style="48" customWidth="1"/>
    <col min="2819" max="2819" width="14.28515625" style="48" customWidth="1"/>
    <col min="2820" max="2822" width="11.42578125" style="48"/>
    <col min="2823" max="2823" width="14.28515625" style="48" customWidth="1"/>
    <col min="2824" max="2824" width="16" style="48" customWidth="1"/>
    <col min="2825" max="3072" width="11.42578125" style="48"/>
    <col min="3073" max="3073" width="16.28515625" style="48" customWidth="1"/>
    <col min="3074" max="3074" width="38.28515625" style="48" customWidth="1"/>
    <col min="3075" max="3075" width="14.28515625" style="48" customWidth="1"/>
    <col min="3076" max="3078" width="11.42578125" style="48"/>
    <col min="3079" max="3079" width="14.28515625" style="48" customWidth="1"/>
    <col min="3080" max="3080" width="16" style="48" customWidth="1"/>
    <col min="3081" max="3328" width="11.42578125" style="48"/>
    <col min="3329" max="3329" width="16.28515625" style="48" customWidth="1"/>
    <col min="3330" max="3330" width="38.28515625" style="48" customWidth="1"/>
    <col min="3331" max="3331" width="14.28515625" style="48" customWidth="1"/>
    <col min="3332" max="3334" width="11.42578125" style="48"/>
    <col min="3335" max="3335" width="14.28515625" style="48" customWidth="1"/>
    <col min="3336" max="3336" width="16" style="48" customWidth="1"/>
    <col min="3337" max="3584" width="11.42578125" style="48"/>
    <col min="3585" max="3585" width="16.28515625" style="48" customWidth="1"/>
    <col min="3586" max="3586" width="38.28515625" style="48" customWidth="1"/>
    <col min="3587" max="3587" width="14.28515625" style="48" customWidth="1"/>
    <col min="3588" max="3590" width="11.42578125" style="48"/>
    <col min="3591" max="3591" width="14.28515625" style="48" customWidth="1"/>
    <col min="3592" max="3592" width="16" style="48" customWidth="1"/>
    <col min="3593" max="3840" width="11.42578125" style="48"/>
    <col min="3841" max="3841" width="16.28515625" style="48" customWidth="1"/>
    <col min="3842" max="3842" width="38.28515625" style="48" customWidth="1"/>
    <col min="3843" max="3843" width="14.28515625" style="48" customWidth="1"/>
    <col min="3844" max="3846" width="11.42578125" style="48"/>
    <col min="3847" max="3847" width="14.28515625" style="48" customWidth="1"/>
    <col min="3848" max="3848" width="16" style="48" customWidth="1"/>
    <col min="3849" max="4096" width="11.42578125" style="48"/>
    <col min="4097" max="4097" width="16.28515625" style="48" customWidth="1"/>
    <col min="4098" max="4098" width="38.28515625" style="48" customWidth="1"/>
    <col min="4099" max="4099" width="14.28515625" style="48" customWidth="1"/>
    <col min="4100" max="4102" width="11.42578125" style="48"/>
    <col min="4103" max="4103" width="14.28515625" style="48" customWidth="1"/>
    <col min="4104" max="4104" width="16" style="48" customWidth="1"/>
    <col min="4105" max="4352" width="11.42578125" style="48"/>
    <col min="4353" max="4353" width="16.28515625" style="48" customWidth="1"/>
    <col min="4354" max="4354" width="38.28515625" style="48" customWidth="1"/>
    <col min="4355" max="4355" width="14.28515625" style="48" customWidth="1"/>
    <col min="4356" max="4358" width="11.42578125" style="48"/>
    <col min="4359" max="4359" width="14.28515625" style="48" customWidth="1"/>
    <col min="4360" max="4360" width="16" style="48" customWidth="1"/>
    <col min="4361" max="4608" width="11.42578125" style="48"/>
    <col min="4609" max="4609" width="16.28515625" style="48" customWidth="1"/>
    <col min="4610" max="4610" width="38.28515625" style="48" customWidth="1"/>
    <col min="4611" max="4611" width="14.28515625" style="48" customWidth="1"/>
    <col min="4612" max="4614" width="11.42578125" style="48"/>
    <col min="4615" max="4615" width="14.28515625" style="48" customWidth="1"/>
    <col min="4616" max="4616" width="16" style="48" customWidth="1"/>
    <col min="4617" max="4864" width="11.42578125" style="48"/>
    <col min="4865" max="4865" width="16.28515625" style="48" customWidth="1"/>
    <col min="4866" max="4866" width="38.28515625" style="48" customWidth="1"/>
    <col min="4867" max="4867" width="14.28515625" style="48" customWidth="1"/>
    <col min="4868" max="4870" width="11.42578125" style="48"/>
    <col min="4871" max="4871" width="14.28515625" style="48" customWidth="1"/>
    <col min="4872" max="4872" width="16" style="48" customWidth="1"/>
    <col min="4873" max="5120" width="11.42578125" style="48"/>
    <col min="5121" max="5121" width="16.28515625" style="48" customWidth="1"/>
    <col min="5122" max="5122" width="38.28515625" style="48" customWidth="1"/>
    <col min="5123" max="5123" width="14.28515625" style="48" customWidth="1"/>
    <col min="5124" max="5126" width="11.42578125" style="48"/>
    <col min="5127" max="5127" width="14.28515625" style="48" customWidth="1"/>
    <col min="5128" max="5128" width="16" style="48" customWidth="1"/>
    <col min="5129" max="5376" width="11.42578125" style="48"/>
    <col min="5377" max="5377" width="16.28515625" style="48" customWidth="1"/>
    <col min="5378" max="5378" width="38.28515625" style="48" customWidth="1"/>
    <col min="5379" max="5379" width="14.28515625" style="48" customWidth="1"/>
    <col min="5380" max="5382" width="11.42578125" style="48"/>
    <col min="5383" max="5383" width="14.28515625" style="48" customWidth="1"/>
    <col min="5384" max="5384" width="16" style="48" customWidth="1"/>
    <col min="5385" max="5632" width="11.42578125" style="48"/>
    <col min="5633" max="5633" width="16.28515625" style="48" customWidth="1"/>
    <col min="5634" max="5634" width="38.28515625" style="48" customWidth="1"/>
    <col min="5635" max="5635" width="14.28515625" style="48" customWidth="1"/>
    <col min="5636" max="5638" width="11.42578125" style="48"/>
    <col min="5639" max="5639" width="14.28515625" style="48" customWidth="1"/>
    <col min="5640" max="5640" width="16" style="48" customWidth="1"/>
    <col min="5641" max="5888" width="11.42578125" style="48"/>
    <col min="5889" max="5889" width="16.28515625" style="48" customWidth="1"/>
    <col min="5890" max="5890" width="38.28515625" style="48" customWidth="1"/>
    <col min="5891" max="5891" width="14.28515625" style="48" customWidth="1"/>
    <col min="5892" max="5894" width="11.42578125" style="48"/>
    <col min="5895" max="5895" width="14.28515625" style="48" customWidth="1"/>
    <col min="5896" max="5896" width="16" style="48" customWidth="1"/>
    <col min="5897" max="6144" width="11.42578125" style="48"/>
    <col min="6145" max="6145" width="16.28515625" style="48" customWidth="1"/>
    <col min="6146" max="6146" width="38.28515625" style="48" customWidth="1"/>
    <col min="6147" max="6147" width="14.28515625" style="48" customWidth="1"/>
    <col min="6148" max="6150" width="11.42578125" style="48"/>
    <col min="6151" max="6151" width="14.28515625" style="48" customWidth="1"/>
    <col min="6152" max="6152" width="16" style="48" customWidth="1"/>
    <col min="6153" max="6400" width="11.42578125" style="48"/>
    <col min="6401" max="6401" width="16.28515625" style="48" customWidth="1"/>
    <col min="6402" max="6402" width="38.28515625" style="48" customWidth="1"/>
    <col min="6403" max="6403" width="14.28515625" style="48" customWidth="1"/>
    <col min="6404" max="6406" width="11.42578125" style="48"/>
    <col min="6407" max="6407" width="14.28515625" style="48" customWidth="1"/>
    <col min="6408" max="6408" width="16" style="48" customWidth="1"/>
    <col min="6409" max="6656" width="11.42578125" style="48"/>
    <col min="6657" max="6657" width="16.28515625" style="48" customWidth="1"/>
    <col min="6658" max="6658" width="38.28515625" style="48" customWidth="1"/>
    <col min="6659" max="6659" width="14.28515625" style="48" customWidth="1"/>
    <col min="6660" max="6662" width="11.42578125" style="48"/>
    <col min="6663" max="6663" width="14.28515625" style="48" customWidth="1"/>
    <col min="6664" max="6664" width="16" style="48" customWidth="1"/>
    <col min="6665" max="6912" width="11.42578125" style="48"/>
    <col min="6913" max="6913" width="16.28515625" style="48" customWidth="1"/>
    <col min="6914" max="6914" width="38.28515625" style="48" customWidth="1"/>
    <col min="6915" max="6915" width="14.28515625" style="48" customWidth="1"/>
    <col min="6916" max="6918" width="11.42578125" style="48"/>
    <col min="6919" max="6919" width="14.28515625" style="48" customWidth="1"/>
    <col min="6920" max="6920" width="16" style="48" customWidth="1"/>
    <col min="6921" max="7168" width="11.42578125" style="48"/>
    <col min="7169" max="7169" width="16.28515625" style="48" customWidth="1"/>
    <col min="7170" max="7170" width="38.28515625" style="48" customWidth="1"/>
    <col min="7171" max="7171" width="14.28515625" style="48" customWidth="1"/>
    <col min="7172" max="7174" width="11.42578125" style="48"/>
    <col min="7175" max="7175" width="14.28515625" style="48" customWidth="1"/>
    <col min="7176" max="7176" width="16" style="48" customWidth="1"/>
    <col min="7177" max="7424" width="11.42578125" style="48"/>
    <col min="7425" max="7425" width="16.28515625" style="48" customWidth="1"/>
    <col min="7426" max="7426" width="38.28515625" style="48" customWidth="1"/>
    <col min="7427" max="7427" width="14.28515625" style="48" customWidth="1"/>
    <col min="7428" max="7430" width="11.42578125" style="48"/>
    <col min="7431" max="7431" width="14.28515625" style="48" customWidth="1"/>
    <col min="7432" max="7432" width="16" style="48" customWidth="1"/>
    <col min="7433" max="7680" width="11.42578125" style="48"/>
    <col min="7681" max="7681" width="16.28515625" style="48" customWidth="1"/>
    <col min="7682" max="7682" width="38.28515625" style="48" customWidth="1"/>
    <col min="7683" max="7683" width="14.28515625" style="48" customWidth="1"/>
    <col min="7684" max="7686" width="11.42578125" style="48"/>
    <col min="7687" max="7687" width="14.28515625" style="48" customWidth="1"/>
    <col min="7688" max="7688" width="16" style="48" customWidth="1"/>
    <col min="7689" max="7936" width="11.42578125" style="48"/>
    <col min="7937" max="7937" width="16.28515625" style="48" customWidth="1"/>
    <col min="7938" max="7938" width="38.28515625" style="48" customWidth="1"/>
    <col min="7939" max="7939" width="14.28515625" style="48" customWidth="1"/>
    <col min="7940" max="7942" width="11.42578125" style="48"/>
    <col min="7943" max="7943" width="14.28515625" style="48" customWidth="1"/>
    <col min="7944" max="7944" width="16" style="48" customWidth="1"/>
    <col min="7945" max="8192" width="11.42578125" style="48"/>
    <col min="8193" max="8193" width="16.28515625" style="48" customWidth="1"/>
    <col min="8194" max="8194" width="38.28515625" style="48" customWidth="1"/>
    <col min="8195" max="8195" width="14.28515625" style="48" customWidth="1"/>
    <col min="8196" max="8198" width="11.42578125" style="48"/>
    <col min="8199" max="8199" width="14.28515625" style="48" customWidth="1"/>
    <col min="8200" max="8200" width="16" style="48" customWidth="1"/>
    <col min="8201" max="8448" width="11.42578125" style="48"/>
    <col min="8449" max="8449" width="16.28515625" style="48" customWidth="1"/>
    <col min="8450" max="8450" width="38.28515625" style="48" customWidth="1"/>
    <col min="8451" max="8451" width="14.28515625" style="48" customWidth="1"/>
    <col min="8452" max="8454" width="11.42578125" style="48"/>
    <col min="8455" max="8455" width="14.28515625" style="48" customWidth="1"/>
    <col min="8456" max="8456" width="16" style="48" customWidth="1"/>
    <col min="8457" max="8704" width="11.42578125" style="48"/>
    <col min="8705" max="8705" width="16.28515625" style="48" customWidth="1"/>
    <col min="8706" max="8706" width="38.28515625" style="48" customWidth="1"/>
    <col min="8707" max="8707" width="14.28515625" style="48" customWidth="1"/>
    <col min="8708" max="8710" width="11.42578125" style="48"/>
    <col min="8711" max="8711" width="14.28515625" style="48" customWidth="1"/>
    <col min="8712" max="8712" width="16" style="48" customWidth="1"/>
    <col min="8713" max="8960" width="11.42578125" style="48"/>
    <col min="8961" max="8961" width="16.28515625" style="48" customWidth="1"/>
    <col min="8962" max="8962" width="38.28515625" style="48" customWidth="1"/>
    <col min="8963" max="8963" width="14.28515625" style="48" customWidth="1"/>
    <col min="8964" max="8966" width="11.42578125" style="48"/>
    <col min="8967" max="8967" width="14.28515625" style="48" customWidth="1"/>
    <col min="8968" max="8968" width="16" style="48" customWidth="1"/>
    <col min="8969" max="9216" width="11.42578125" style="48"/>
    <col min="9217" max="9217" width="16.28515625" style="48" customWidth="1"/>
    <col min="9218" max="9218" width="38.28515625" style="48" customWidth="1"/>
    <col min="9219" max="9219" width="14.28515625" style="48" customWidth="1"/>
    <col min="9220" max="9222" width="11.42578125" style="48"/>
    <col min="9223" max="9223" width="14.28515625" style="48" customWidth="1"/>
    <col min="9224" max="9224" width="16" style="48" customWidth="1"/>
    <col min="9225" max="9472" width="11.42578125" style="48"/>
    <col min="9473" max="9473" width="16.28515625" style="48" customWidth="1"/>
    <col min="9474" max="9474" width="38.28515625" style="48" customWidth="1"/>
    <col min="9475" max="9475" width="14.28515625" style="48" customWidth="1"/>
    <col min="9476" max="9478" width="11.42578125" style="48"/>
    <col min="9479" max="9479" width="14.28515625" style="48" customWidth="1"/>
    <col min="9480" max="9480" width="16" style="48" customWidth="1"/>
    <col min="9481" max="9728" width="11.42578125" style="48"/>
    <col min="9729" max="9729" width="16.28515625" style="48" customWidth="1"/>
    <col min="9730" max="9730" width="38.28515625" style="48" customWidth="1"/>
    <col min="9731" max="9731" width="14.28515625" style="48" customWidth="1"/>
    <col min="9732" max="9734" width="11.42578125" style="48"/>
    <col min="9735" max="9735" width="14.28515625" style="48" customWidth="1"/>
    <col min="9736" max="9736" width="16" style="48" customWidth="1"/>
    <col min="9737" max="9984" width="11.42578125" style="48"/>
    <col min="9985" max="9985" width="16.28515625" style="48" customWidth="1"/>
    <col min="9986" max="9986" width="38.28515625" style="48" customWidth="1"/>
    <col min="9987" max="9987" width="14.28515625" style="48" customWidth="1"/>
    <col min="9988" max="9990" width="11.42578125" style="48"/>
    <col min="9991" max="9991" width="14.28515625" style="48" customWidth="1"/>
    <col min="9992" max="9992" width="16" style="48" customWidth="1"/>
    <col min="9993" max="10240" width="11.42578125" style="48"/>
    <col min="10241" max="10241" width="16.28515625" style="48" customWidth="1"/>
    <col min="10242" max="10242" width="38.28515625" style="48" customWidth="1"/>
    <col min="10243" max="10243" width="14.28515625" style="48" customWidth="1"/>
    <col min="10244" max="10246" width="11.42578125" style="48"/>
    <col min="10247" max="10247" width="14.28515625" style="48" customWidth="1"/>
    <col min="10248" max="10248" width="16" style="48" customWidth="1"/>
    <col min="10249" max="10496" width="11.42578125" style="48"/>
    <col min="10497" max="10497" width="16.28515625" style="48" customWidth="1"/>
    <col min="10498" max="10498" width="38.28515625" style="48" customWidth="1"/>
    <col min="10499" max="10499" width="14.28515625" style="48" customWidth="1"/>
    <col min="10500" max="10502" width="11.42578125" style="48"/>
    <col min="10503" max="10503" width="14.28515625" style="48" customWidth="1"/>
    <col min="10504" max="10504" width="16" style="48" customWidth="1"/>
    <col min="10505" max="10752" width="11.42578125" style="48"/>
    <col min="10753" max="10753" width="16.28515625" style="48" customWidth="1"/>
    <col min="10754" max="10754" width="38.28515625" style="48" customWidth="1"/>
    <col min="10755" max="10755" width="14.28515625" style="48" customWidth="1"/>
    <col min="10756" max="10758" width="11.42578125" style="48"/>
    <col min="10759" max="10759" width="14.28515625" style="48" customWidth="1"/>
    <col min="10760" max="10760" width="16" style="48" customWidth="1"/>
    <col min="10761" max="11008" width="11.42578125" style="48"/>
    <col min="11009" max="11009" width="16.28515625" style="48" customWidth="1"/>
    <col min="11010" max="11010" width="38.28515625" style="48" customWidth="1"/>
    <col min="11011" max="11011" width="14.28515625" style="48" customWidth="1"/>
    <col min="11012" max="11014" width="11.42578125" style="48"/>
    <col min="11015" max="11015" width="14.28515625" style="48" customWidth="1"/>
    <col min="11016" max="11016" width="16" style="48" customWidth="1"/>
    <col min="11017" max="11264" width="11.42578125" style="48"/>
    <col min="11265" max="11265" width="16.28515625" style="48" customWidth="1"/>
    <col min="11266" max="11266" width="38.28515625" style="48" customWidth="1"/>
    <col min="11267" max="11267" width="14.28515625" style="48" customWidth="1"/>
    <col min="11268" max="11270" width="11.42578125" style="48"/>
    <col min="11271" max="11271" width="14.28515625" style="48" customWidth="1"/>
    <col min="11272" max="11272" width="16" style="48" customWidth="1"/>
    <col min="11273" max="11520" width="11.42578125" style="48"/>
    <col min="11521" max="11521" width="16.28515625" style="48" customWidth="1"/>
    <col min="11522" max="11522" width="38.28515625" style="48" customWidth="1"/>
    <col min="11523" max="11523" width="14.28515625" style="48" customWidth="1"/>
    <col min="11524" max="11526" width="11.42578125" style="48"/>
    <col min="11527" max="11527" width="14.28515625" style="48" customWidth="1"/>
    <col min="11528" max="11528" width="16" style="48" customWidth="1"/>
    <col min="11529" max="11776" width="11.42578125" style="48"/>
    <col min="11777" max="11777" width="16.28515625" style="48" customWidth="1"/>
    <col min="11778" max="11778" width="38.28515625" style="48" customWidth="1"/>
    <col min="11779" max="11779" width="14.28515625" style="48" customWidth="1"/>
    <col min="11780" max="11782" width="11.42578125" style="48"/>
    <col min="11783" max="11783" width="14.28515625" style="48" customWidth="1"/>
    <col min="11784" max="11784" width="16" style="48" customWidth="1"/>
    <col min="11785" max="12032" width="11.42578125" style="48"/>
    <col min="12033" max="12033" width="16.28515625" style="48" customWidth="1"/>
    <col min="12034" max="12034" width="38.28515625" style="48" customWidth="1"/>
    <col min="12035" max="12035" width="14.28515625" style="48" customWidth="1"/>
    <col min="12036" max="12038" width="11.42578125" style="48"/>
    <col min="12039" max="12039" width="14.28515625" style="48" customWidth="1"/>
    <col min="12040" max="12040" width="16" style="48" customWidth="1"/>
    <col min="12041" max="12288" width="11.42578125" style="48"/>
    <col min="12289" max="12289" width="16.28515625" style="48" customWidth="1"/>
    <col min="12290" max="12290" width="38.28515625" style="48" customWidth="1"/>
    <col min="12291" max="12291" width="14.28515625" style="48" customWidth="1"/>
    <col min="12292" max="12294" width="11.42578125" style="48"/>
    <col min="12295" max="12295" width="14.28515625" style="48" customWidth="1"/>
    <col min="12296" max="12296" width="16" style="48" customWidth="1"/>
    <col min="12297" max="12544" width="11.42578125" style="48"/>
    <col min="12545" max="12545" width="16.28515625" style="48" customWidth="1"/>
    <col min="12546" max="12546" width="38.28515625" style="48" customWidth="1"/>
    <col min="12547" max="12547" width="14.28515625" style="48" customWidth="1"/>
    <col min="12548" max="12550" width="11.42578125" style="48"/>
    <col min="12551" max="12551" width="14.28515625" style="48" customWidth="1"/>
    <col min="12552" max="12552" width="16" style="48" customWidth="1"/>
    <col min="12553" max="12800" width="11.42578125" style="48"/>
    <col min="12801" max="12801" width="16.28515625" style="48" customWidth="1"/>
    <col min="12802" max="12802" width="38.28515625" style="48" customWidth="1"/>
    <col min="12803" max="12803" width="14.28515625" style="48" customWidth="1"/>
    <col min="12804" max="12806" width="11.42578125" style="48"/>
    <col min="12807" max="12807" width="14.28515625" style="48" customWidth="1"/>
    <col min="12808" max="12808" width="16" style="48" customWidth="1"/>
    <col min="12809" max="13056" width="11.42578125" style="48"/>
    <col min="13057" max="13057" width="16.28515625" style="48" customWidth="1"/>
    <col min="13058" max="13058" width="38.28515625" style="48" customWidth="1"/>
    <col min="13059" max="13059" width="14.28515625" style="48" customWidth="1"/>
    <col min="13060" max="13062" width="11.42578125" style="48"/>
    <col min="13063" max="13063" width="14.28515625" style="48" customWidth="1"/>
    <col min="13064" max="13064" width="16" style="48" customWidth="1"/>
    <col min="13065" max="13312" width="11.42578125" style="48"/>
    <col min="13313" max="13313" width="16.28515625" style="48" customWidth="1"/>
    <col min="13314" max="13314" width="38.28515625" style="48" customWidth="1"/>
    <col min="13315" max="13315" width="14.28515625" style="48" customWidth="1"/>
    <col min="13316" max="13318" width="11.42578125" style="48"/>
    <col min="13319" max="13319" width="14.28515625" style="48" customWidth="1"/>
    <col min="13320" max="13320" width="16" style="48" customWidth="1"/>
    <col min="13321" max="13568" width="11.42578125" style="48"/>
    <col min="13569" max="13569" width="16.28515625" style="48" customWidth="1"/>
    <col min="13570" max="13570" width="38.28515625" style="48" customWidth="1"/>
    <col min="13571" max="13571" width="14.28515625" style="48" customWidth="1"/>
    <col min="13572" max="13574" width="11.42578125" style="48"/>
    <col min="13575" max="13575" width="14.28515625" style="48" customWidth="1"/>
    <col min="13576" max="13576" width="16" style="48" customWidth="1"/>
    <col min="13577" max="13824" width="11.42578125" style="48"/>
    <col min="13825" max="13825" width="16.28515625" style="48" customWidth="1"/>
    <col min="13826" max="13826" width="38.28515625" style="48" customWidth="1"/>
    <col min="13827" max="13827" width="14.28515625" style="48" customWidth="1"/>
    <col min="13828" max="13830" width="11.42578125" style="48"/>
    <col min="13831" max="13831" width="14.28515625" style="48" customWidth="1"/>
    <col min="13832" max="13832" width="16" style="48" customWidth="1"/>
    <col min="13833" max="14080" width="11.42578125" style="48"/>
    <col min="14081" max="14081" width="16.28515625" style="48" customWidth="1"/>
    <col min="14082" max="14082" width="38.28515625" style="48" customWidth="1"/>
    <col min="14083" max="14083" width="14.28515625" style="48" customWidth="1"/>
    <col min="14084" max="14086" width="11.42578125" style="48"/>
    <col min="14087" max="14087" width="14.28515625" style="48" customWidth="1"/>
    <col min="14088" max="14088" width="16" style="48" customWidth="1"/>
    <col min="14089" max="14336" width="11.42578125" style="48"/>
    <col min="14337" max="14337" width="16.28515625" style="48" customWidth="1"/>
    <col min="14338" max="14338" width="38.28515625" style="48" customWidth="1"/>
    <col min="14339" max="14339" width="14.28515625" style="48" customWidth="1"/>
    <col min="14340" max="14342" width="11.42578125" style="48"/>
    <col min="14343" max="14343" width="14.28515625" style="48" customWidth="1"/>
    <col min="14344" max="14344" width="16" style="48" customWidth="1"/>
    <col min="14345" max="14592" width="11.42578125" style="48"/>
    <col min="14593" max="14593" width="16.28515625" style="48" customWidth="1"/>
    <col min="14594" max="14594" width="38.28515625" style="48" customWidth="1"/>
    <col min="14595" max="14595" width="14.28515625" style="48" customWidth="1"/>
    <col min="14596" max="14598" width="11.42578125" style="48"/>
    <col min="14599" max="14599" width="14.28515625" style="48" customWidth="1"/>
    <col min="14600" max="14600" width="16" style="48" customWidth="1"/>
    <col min="14601" max="14848" width="11.42578125" style="48"/>
    <col min="14849" max="14849" width="16.28515625" style="48" customWidth="1"/>
    <col min="14850" max="14850" width="38.28515625" style="48" customWidth="1"/>
    <col min="14851" max="14851" width="14.28515625" style="48" customWidth="1"/>
    <col min="14852" max="14854" width="11.42578125" style="48"/>
    <col min="14855" max="14855" width="14.28515625" style="48" customWidth="1"/>
    <col min="14856" max="14856" width="16" style="48" customWidth="1"/>
    <col min="14857" max="15104" width="11.42578125" style="48"/>
    <col min="15105" max="15105" width="16.28515625" style="48" customWidth="1"/>
    <col min="15106" max="15106" width="38.28515625" style="48" customWidth="1"/>
    <col min="15107" max="15107" width="14.28515625" style="48" customWidth="1"/>
    <col min="15108" max="15110" width="11.42578125" style="48"/>
    <col min="15111" max="15111" width="14.28515625" style="48" customWidth="1"/>
    <col min="15112" max="15112" width="16" style="48" customWidth="1"/>
    <col min="15113" max="15360" width="11.42578125" style="48"/>
    <col min="15361" max="15361" width="16.28515625" style="48" customWidth="1"/>
    <col min="15362" max="15362" width="38.28515625" style="48" customWidth="1"/>
    <col min="15363" max="15363" width="14.28515625" style="48" customWidth="1"/>
    <col min="15364" max="15366" width="11.42578125" style="48"/>
    <col min="15367" max="15367" width="14.28515625" style="48" customWidth="1"/>
    <col min="15368" max="15368" width="16" style="48" customWidth="1"/>
    <col min="15369" max="15616" width="11.42578125" style="48"/>
    <col min="15617" max="15617" width="16.28515625" style="48" customWidth="1"/>
    <col min="15618" max="15618" width="38.28515625" style="48" customWidth="1"/>
    <col min="15619" max="15619" width="14.28515625" style="48" customWidth="1"/>
    <col min="15620" max="15622" width="11.42578125" style="48"/>
    <col min="15623" max="15623" width="14.28515625" style="48" customWidth="1"/>
    <col min="15624" max="15624" width="16" style="48" customWidth="1"/>
    <col min="15625" max="15872" width="11.42578125" style="48"/>
    <col min="15873" max="15873" width="16.28515625" style="48" customWidth="1"/>
    <col min="15874" max="15874" width="38.28515625" style="48" customWidth="1"/>
    <col min="15875" max="15875" width="14.28515625" style="48" customWidth="1"/>
    <col min="15876" max="15878" width="11.42578125" style="48"/>
    <col min="15879" max="15879" width="14.28515625" style="48" customWidth="1"/>
    <col min="15880" max="15880" width="16" style="48" customWidth="1"/>
    <col min="15881" max="16128" width="11.42578125" style="48"/>
    <col min="16129" max="16129" width="16.28515625" style="48" customWidth="1"/>
    <col min="16130" max="16130" width="38.28515625" style="48" customWidth="1"/>
    <col min="16131" max="16131" width="14.28515625" style="48" customWidth="1"/>
    <col min="16132" max="16134" width="11.42578125" style="48"/>
    <col min="16135" max="16135" width="14.28515625" style="48" customWidth="1"/>
    <col min="16136" max="16136" width="16" style="48" customWidth="1"/>
    <col min="16137" max="16384" width="11.42578125" style="48"/>
  </cols>
  <sheetData>
    <row r="1" spans="1:11" ht="15.75" x14ac:dyDescent="0.25">
      <c r="A1" s="729"/>
      <c r="B1" s="648" t="s">
        <v>0</v>
      </c>
      <c r="C1" s="648"/>
      <c r="D1" s="648"/>
      <c r="E1" s="648"/>
      <c r="F1" s="648"/>
      <c r="G1" s="158" t="s">
        <v>1</v>
      </c>
      <c r="H1" s="159" t="s">
        <v>146</v>
      </c>
    </row>
    <row r="2" spans="1:11" ht="16.5" thickBot="1" x14ac:dyDescent="0.3">
      <c r="A2" s="730"/>
      <c r="B2" s="649" t="s">
        <v>2</v>
      </c>
      <c r="C2" s="649"/>
      <c r="D2" s="649"/>
      <c r="E2" s="649"/>
      <c r="F2" s="649"/>
      <c r="G2" s="161" t="s">
        <v>3</v>
      </c>
      <c r="H2" s="162" t="s">
        <v>147</v>
      </c>
    </row>
    <row r="3" spans="1:11" ht="18.75" thickBot="1" x14ac:dyDescent="0.3">
      <c r="A3" s="644"/>
      <c r="B3" s="731" t="s">
        <v>284</v>
      </c>
      <c r="C3" s="732"/>
      <c r="D3" s="732"/>
      <c r="E3" s="732"/>
      <c r="F3" s="733"/>
      <c r="G3" s="653" t="s">
        <v>4</v>
      </c>
      <c r="H3" s="633">
        <v>44096</v>
      </c>
    </row>
    <row r="4" spans="1:11" x14ac:dyDescent="0.25">
      <c r="A4" s="730"/>
      <c r="B4" s="163" t="s">
        <v>5</v>
      </c>
      <c r="C4" s="636" t="s">
        <v>31</v>
      </c>
      <c r="D4" s="637"/>
      <c r="E4" s="637"/>
      <c r="F4" s="638"/>
      <c r="G4" s="654"/>
      <c r="H4" s="634"/>
    </row>
    <row r="5" spans="1:11" ht="14.25" thickBot="1" x14ac:dyDescent="0.3">
      <c r="A5" s="730"/>
      <c r="B5" s="166" t="s">
        <v>6</v>
      </c>
      <c r="C5" s="639" t="s">
        <v>148</v>
      </c>
      <c r="D5" s="640"/>
      <c r="E5" s="640"/>
      <c r="F5" s="641"/>
      <c r="G5" s="655"/>
      <c r="H5" s="634"/>
    </row>
    <row r="6" spans="1:11" ht="14.25" thickBot="1" x14ac:dyDescent="0.3">
      <c r="A6" s="160"/>
      <c r="B6" s="163"/>
      <c r="C6" s="167"/>
      <c r="D6" s="168"/>
      <c r="E6" s="168"/>
      <c r="F6" s="169"/>
      <c r="G6" s="164"/>
      <c r="H6" s="165"/>
    </row>
    <row r="7" spans="1:11" ht="25.5" x14ac:dyDescent="0.25">
      <c r="A7" s="627" t="s">
        <v>7</v>
      </c>
      <c r="B7" s="631" t="s">
        <v>8</v>
      </c>
      <c r="C7" s="631" t="s">
        <v>9</v>
      </c>
      <c r="D7" s="631" t="s">
        <v>10</v>
      </c>
      <c r="E7" s="631"/>
      <c r="F7" s="631" t="s">
        <v>11</v>
      </c>
      <c r="G7" s="631"/>
      <c r="H7" s="16" t="s">
        <v>12</v>
      </c>
    </row>
    <row r="8" spans="1:11" ht="27" thickBot="1" x14ac:dyDescent="0.3">
      <c r="A8" s="628"/>
      <c r="B8" s="632"/>
      <c r="C8" s="632"/>
      <c r="D8" s="17" t="s">
        <v>13</v>
      </c>
      <c r="E8" s="18" t="s">
        <v>14</v>
      </c>
      <c r="F8" s="17" t="s">
        <v>13</v>
      </c>
      <c r="G8" s="18" t="s">
        <v>14</v>
      </c>
      <c r="H8" s="19" t="s">
        <v>15</v>
      </c>
    </row>
    <row r="9" spans="1:11" x14ac:dyDescent="0.25">
      <c r="A9" s="170">
        <v>902000014</v>
      </c>
      <c r="B9" s="171" t="s">
        <v>149</v>
      </c>
      <c r="C9" s="172" t="s">
        <v>37</v>
      </c>
      <c r="D9" s="173">
        <v>8000</v>
      </c>
      <c r="E9" s="174" t="s">
        <v>16</v>
      </c>
      <c r="F9" s="173"/>
      <c r="G9" s="175"/>
      <c r="H9" s="176"/>
    </row>
    <row r="10" spans="1:11" ht="15" x14ac:dyDescent="0.25">
      <c r="A10" s="30"/>
      <c r="B10" s="44" t="s">
        <v>283</v>
      </c>
      <c r="C10" s="172"/>
      <c r="D10" s="173">
        <v>300</v>
      </c>
      <c r="E10" s="174"/>
      <c r="F10" s="173"/>
      <c r="G10" s="175"/>
      <c r="H10" s="177"/>
    </row>
    <row r="11" spans="1:11" ht="15" x14ac:dyDescent="0.25">
      <c r="A11" s="30" t="s">
        <v>150</v>
      </c>
      <c r="B11" s="44" t="s">
        <v>151</v>
      </c>
      <c r="C11" s="178"/>
      <c r="D11" s="173">
        <v>2</v>
      </c>
      <c r="E11" s="175" t="s">
        <v>56</v>
      </c>
      <c r="F11" s="173"/>
      <c r="G11" s="175"/>
      <c r="H11" s="177"/>
    </row>
    <row r="12" spans="1:11" ht="15" x14ac:dyDescent="0.25">
      <c r="A12" s="179">
        <v>702007</v>
      </c>
      <c r="B12" s="180" t="s">
        <v>152</v>
      </c>
      <c r="C12" s="181"/>
      <c r="D12" s="173">
        <v>2</v>
      </c>
      <c r="E12" s="175" t="s">
        <v>56</v>
      </c>
      <c r="F12" s="173"/>
      <c r="G12" s="175"/>
      <c r="H12" s="177"/>
    </row>
    <row r="13" spans="1:11" x14ac:dyDescent="0.25">
      <c r="A13" s="179">
        <v>906036</v>
      </c>
      <c r="B13" s="180" t="s">
        <v>153</v>
      </c>
      <c r="C13" s="172" t="s">
        <v>154</v>
      </c>
      <c r="D13" s="173">
        <v>4</v>
      </c>
      <c r="E13" s="175" t="s">
        <v>56</v>
      </c>
      <c r="F13" s="182"/>
      <c r="G13" s="175"/>
      <c r="H13" s="177"/>
    </row>
    <row r="14" spans="1:11" x14ac:dyDescent="0.25">
      <c r="A14" s="41">
        <v>702123</v>
      </c>
      <c r="B14" s="42" t="s">
        <v>145</v>
      </c>
      <c r="C14" s="185" t="s">
        <v>39</v>
      </c>
      <c r="D14" s="184">
        <v>2</v>
      </c>
      <c r="E14" s="184" t="s">
        <v>56</v>
      </c>
      <c r="F14" s="184"/>
      <c r="G14" s="184"/>
      <c r="H14" s="177"/>
    </row>
    <row r="15" spans="1:11" ht="14.25" thickBot="1" x14ac:dyDescent="0.3">
      <c r="A15" s="46"/>
      <c r="D15" s="49"/>
      <c r="E15" s="50"/>
      <c r="H15" s="51"/>
      <c r="K15" s="186"/>
    </row>
    <row r="16" spans="1:11" ht="14.25" thickBot="1" x14ac:dyDescent="0.3">
      <c r="A16" s="52"/>
      <c r="B16" s="54"/>
      <c r="C16" s="55" t="s">
        <v>13</v>
      </c>
      <c r="D16" s="56" t="s">
        <v>18</v>
      </c>
      <c r="E16" s="57"/>
      <c r="F16" s="54"/>
      <c r="G16" s="54"/>
      <c r="H16" s="58"/>
      <c r="K16" s="186"/>
    </row>
    <row r="17" spans="1:12" x14ac:dyDescent="0.25">
      <c r="A17" s="727" t="s">
        <v>19</v>
      </c>
      <c r="B17" s="728"/>
      <c r="C17" s="173">
        <v>8000</v>
      </c>
      <c r="D17" s="187" t="s">
        <v>16</v>
      </c>
      <c r="E17" s="621" t="s">
        <v>155</v>
      </c>
      <c r="F17" s="621"/>
      <c r="G17" s="622"/>
      <c r="H17" s="623"/>
      <c r="K17" s="186"/>
    </row>
    <row r="18" spans="1:12" x14ac:dyDescent="0.25">
      <c r="A18" s="610" t="s">
        <v>21</v>
      </c>
      <c r="B18" s="612"/>
      <c r="C18" s="185">
        <v>10</v>
      </c>
      <c r="D18" s="185" t="s">
        <v>22</v>
      </c>
      <c r="E18" s="613" t="s">
        <v>23</v>
      </c>
      <c r="F18" s="613"/>
      <c r="G18" s="614"/>
      <c r="H18" s="615"/>
      <c r="K18" s="186"/>
    </row>
    <row r="19" spans="1:12" x14ac:dyDescent="0.25">
      <c r="A19" s="610" t="s">
        <v>24</v>
      </c>
      <c r="B19" s="612"/>
      <c r="C19" s="185">
        <f>+C17/C20</f>
        <v>32</v>
      </c>
      <c r="D19" s="185" t="s">
        <v>56</v>
      </c>
      <c r="E19" s="613" t="s">
        <v>156</v>
      </c>
      <c r="F19" s="613"/>
      <c r="G19" s="614"/>
      <c r="H19" s="615"/>
      <c r="K19" s="186"/>
    </row>
    <row r="20" spans="1:12" x14ac:dyDescent="0.25">
      <c r="A20" s="610" t="s">
        <v>26</v>
      </c>
      <c r="B20" s="612"/>
      <c r="C20" s="183">
        <v>250</v>
      </c>
      <c r="D20" s="185" t="s">
        <v>16</v>
      </c>
      <c r="E20" s="616" t="s">
        <v>27</v>
      </c>
      <c r="F20" s="617"/>
      <c r="G20" s="614"/>
      <c r="H20" s="615"/>
      <c r="K20" s="186"/>
      <c r="L20" s="188"/>
    </row>
    <row r="21" spans="1:12" ht="14.25" thickBot="1" x14ac:dyDescent="0.3">
      <c r="A21" s="726" t="s">
        <v>28</v>
      </c>
      <c r="B21" s="596"/>
      <c r="C21" s="189">
        <v>80</v>
      </c>
      <c r="D21" s="189" t="s">
        <v>16</v>
      </c>
      <c r="E21" s="598"/>
      <c r="F21" s="598"/>
      <c r="G21" s="599"/>
      <c r="H21" s="600"/>
      <c r="K21" s="186"/>
    </row>
    <row r="22" spans="1:12" ht="14.25" thickBot="1" x14ac:dyDescent="0.3">
      <c r="A22" s="601" t="s">
        <v>29</v>
      </c>
      <c r="B22" s="602"/>
      <c r="C22" s="602"/>
      <c r="D22" s="602"/>
      <c r="E22" s="602"/>
      <c r="F22" s="602"/>
      <c r="G22" s="602"/>
      <c r="H22" s="603"/>
    </row>
    <row r="23" spans="1:12" ht="16.5" customHeight="1" x14ac:dyDescent="0.25">
      <c r="A23" s="667" t="s">
        <v>157</v>
      </c>
      <c r="B23" s="669"/>
      <c r="C23" s="669"/>
      <c r="D23" s="669"/>
      <c r="E23" s="669"/>
      <c r="F23" s="669"/>
      <c r="G23" s="669"/>
      <c r="H23" s="670"/>
    </row>
    <row r="24" spans="1:12" ht="16.5" customHeight="1" x14ac:dyDescent="0.25">
      <c r="A24" s="667" t="s">
        <v>158</v>
      </c>
      <c r="B24" s="669"/>
      <c r="C24" s="669"/>
      <c r="D24" s="669"/>
      <c r="E24" s="669"/>
      <c r="F24" s="669"/>
      <c r="G24" s="669"/>
      <c r="H24" s="670"/>
    </row>
    <row r="25" spans="1:12" ht="16.5" customHeight="1" x14ac:dyDescent="0.25">
      <c r="A25" s="667" t="s">
        <v>159</v>
      </c>
      <c r="B25" s="669"/>
      <c r="C25" s="669"/>
      <c r="D25" s="669"/>
      <c r="E25" s="669"/>
      <c r="F25" s="669"/>
      <c r="G25" s="669"/>
      <c r="H25" s="670"/>
    </row>
    <row r="26" spans="1:12" ht="16.5" customHeight="1" x14ac:dyDescent="0.25">
      <c r="A26" s="667" t="s">
        <v>160</v>
      </c>
      <c r="B26" s="669"/>
      <c r="C26" s="669"/>
      <c r="D26" s="669"/>
      <c r="E26" s="669"/>
      <c r="F26" s="669"/>
      <c r="G26" s="669"/>
      <c r="H26" s="670"/>
    </row>
    <row r="27" spans="1:12" ht="16.5" customHeight="1" x14ac:dyDescent="0.25">
      <c r="A27" s="723"/>
      <c r="B27" s="724"/>
      <c r="C27" s="724"/>
      <c r="D27" s="724"/>
      <c r="E27" s="724"/>
      <c r="F27" s="724"/>
      <c r="G27" s="724"/>
      <c r="H27" s="725"/>
    </row>
    <row r="28" spans="1:12" ht="14.25" thickBot="1" x14ac:dyDescent="0.3">
      <c r="A28" s="675"/>
      <c r="B28" s="677"/>
      <c r="C28" s="677"/>
      <c r="D28" s="677"/>
      <c r="E28" s="677"/>
      <c r="F28" s="677"/>
      <c r="G28" s="677"/>
      <c r="H28" s="678"/>
    </row>
  </sheetData>
  <mergeCells count="35">
    <mergeCell ref="A17:B17"/>
    <mergeCell ref="E17:F17"/>
    <mergeCell ref="G17:H17"/>
    <mergeCell ref="A1:A5"/>
    <mergeCell ref="B1:F1"/>
    <mergeCell ref="B2:F2"/>
    <mergeCell ref="B3:F3"/>
    <mergeCell ref="G3:G5"/>
    <mergeCell ref="H3:H5"/>
    <mergeCell ref="C4:F4"/>
    <mergeCell ref="C5:F5"/>
    <mergeCell ref="A7:A8"/>
    <mergeCell ref="B7:B8"/>
    <mergeCell ref="C7:C8"/>
    <mergeCell ref="D7:E7"/>
    <mergeCell ref="F7:G7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8:H28"/>
    <mergeCell ref="A22:H22"/>
    <mergeCell ref="A23:H23"/>
    <mergeCell ref="A24:H24"/>
    <mergeCell ref="A25:H25"/>
    <mergeCell ref="A26:H26"/>
    <mergeCell ref="A27:H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814A-5120-4A51-8140-F579114C2945}">
  <sheetPr>
    <pageSetUpPr fitToPage="1"/>
  </sheetPr>
  <dimension ref="A1:K4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72.85546875" bestFit="1" customWidth="1"/>
    <col min="4" max="4" width="16.85546875" customWidth="1"/>
    <col min="5" max="5" width="15.28515625" customWidth="1"/>
    <col min="6" max="6" width="13.7109375" customWidth="1"/>
    <col min="7" max="7" width="19" customWidth="1"/>
    <col min="8" max="8" width="17.7109375" customWidth="1"/>
    <col min="9" max="9" width="17.140625" customWidth="1"/>
  </cols>
  <sheetData>
    <row r="1" spans="1:11" ht="15.75" x14ac:dyDescent="0.25">
      <c r="A1" s="711"/>
      <c r="B1" s="712"/>
      <c r="C1" s="572" t="s">
        <v>0</v>
      </c>
      <c r="D1" s="572"/>
      <c r="E1" s="572"/>
      <c r="F1" s="572"/>
      <c r="G1" s="572"/>
      <c r="H1" s="1" t="s">
        <v>1</v>
      </c>
      <c r="I1" s="9" t="s">
        <v>291</v>
      </c>
    </row>
    <row r="2" spans="1:11" ht="16.5" thickBot="1" x14ac:dyDescent="0.3">
      <c r="A2" s="713"/>
      <c r="B2" s="714"/>
      <c r="C2" s="573" t="s">
        <v>2</v>
      </c>
      <c r="D2" s="574"/>
      <c r="E2" s="574"/>
      <c r="F2" s="574"/>
      <c r="G2" s="575"/>
      <c r="H2" s="2" t="s">
        <v>3</v>
      </c>
      <c r="I2" s="473" t="s">
        <v>147</v>
      </c>
    </row>
    <row r="3" spans="1:11" ht="31.5" customHeight="1" thickBot="1" x14ac:dyDescent="0.25">
      <c r="A3" s="713"/>
      <c r="B3" s="714"/>
      <c r="C3" s="772" t="s">
        <v>286</v>
      </c>
      <c r="D3" s="772"/>
      <c r="E3" s="772"/>
      <c r="F3" s="772"/>
      <c r="G3" s="773"/>
      <c r="H3" s="720" t="s">
        <v>4</v>
      </c>
      <c r="I3" s="702">
        <v>45988</v>
      </c>
    </row>
    <row r="4" spans="1:11" ht="13.5" x14ac:dyDescent="0.25">
      <c r="A4" s="713"/>
      <c r="B4" s="714"/>
      <c r="C4" s="13" t="s">
        <v>5</v>
      </c>
      <c r="D4" s="705" t="s">
        <v>31</v>
      </c>
      <c r="E4" s="706"/>
      <c r="F4" s="706"/>
      <c r="G4" s="707"/>
      <c r="H4" s="721"/>
      <c r="I4" s="703"/>
    </row>
    <row r="5" spans="1:11" ht="14.25" thickBot="1" x14ac:dyDescent="0.3">
      <c r="A5" s="715"/>
      <c r="B5" s="716"/>
      <c r="C5" s="14" t="s">
        <v>6</v>
      </c>
      <c r="D5" s="708" t="s">
        <v>32</v>
      </c>
      <c r="E5" s="709"/>
      <c r="F5" s="709"/>
      <c r="G5" s="710"/>
      <c r="H5" s="722"/>
      <c r="I5" s="704"/>
    </row>
    <row r="6" spans="1:11" ht="18.75" thickBot="1" x14ac:dyDescent="0.3">
      <c r="A6" s="624" t="s">
        <v>33</v>
      </c>
      <c r="B6" s="624"/>
      <c r="C6" s="624"/>
      <c r="D6" s="552" t="s">
        <v>34</v>
      </c>
      <c r="E6" s="552"/>
      <c r="F6" s="552"/>
      <c r="G6" s="626" t="s">
        <v>35</v>
      </c>
      <c r="H6" s="626"/>
      <c r="I6" s="323" t="s">
        <v>34</v>
      </c>
      <c r="K6" t="s">
        <v>285</v>
      </c>
    </row>
    <row r="7" spans="1:11" ht="33.75" customHeight="1" x14ac:dyDescent="0.2">
      <c r="A7" s="627" t="s">
        <v>7</v>
      </c>
      <c r="B7" s="629" t="s">
        <v>36</v>
      </c>
      <c r="C7" s="631" t="s">
        <v>8</v>
      </c>
      <c r="D7" s="631" t="s">
        <v>9</v>
      </c>
      <c r="E7" s="631" t="s">
        <v>10</v>
      </c>
      <c r="F7" s="631"/>
      <c r="G7" s="631" t="s">
        <v>11</v>
      </c>
      <c r="H7" s="631"/>
      <c r="I7" s="16" t="s">
        <v>12</v>
      </c>
    </row>
    <row r="8" spans="1:11" ht="26.25" thickBot="1" x14ac:dyDescent="0.25">
      <c r="A8" s="691"/>
      <c r="B8" s="692"/>
      <c r="C8" s="693"/>
      <c r="D8" s="693"/>
      <c r="E8" s="467" t="s">
        <v>13</v>
      </c>
      <c r="F8" s="468" t="s">
        <v>14</v>
      </c>
      <c r="G8" s="17" t="s">
        <v>13</v>
      </c>
      <c r="H8" s="18" t="s">
        <v>14</v>
      </c>
      <c r="I8" s="19" t="s">
        <v>15</v>
      </c>
    </row>
    <row r="9" spans="1:11" ht="40.5" x14ac:dyDescent="0.3">
      <c r="A9" s="452">
        <v>907000241</v>
      </c>
      <c r="B9" s="452" t="s">
        <v>72</v>
      </c>
      <c r="C9" s="453" t="s">
        <v>73</v>
      </c>
      <c r="D9" s="414" t="s">
        <v>37</v>
      </c>
      <c r="E9" s="415">
        <v>225</v>
      </c>
      <c r="F9" s="416" t="s">
        <v>16</v>
      </c>
      <c r="G9" s="415"/>
      <c r="H9" s="416" t="s">
        <v>53</v>
      </c>
      <c r="I9" s="417"/>
    </row>
    <row r="10" spans="1:11" ht="20.25" x14ac:dyDescent="0.3">
      <c r="A10" s="424"/>
      <c r="B10" s="424" t="s">
        <v>75</v>
      </c>
      <c r="C10" s="425" t="s">
        <v>76</v>
      </c>
      <c r="D10" s="424" t="s">
        <v>37</v>
      </c>
      <c r="E10" s="424">
        <v>100</v>
      </c>
      <c r="F10" s="424" t="s">
        <v>16</v>
      </c>
      <c r="G10" s="418"/>
      <c r="H10" s="419" t="s">
        <v>77</v>
      </c>
      <c r="I10" s="417"/>
    </row>
    <row r="11" spans="1:11" ht="20.25" x14ac:dyDescent="0.3">
      <c r="A11" s="420"/>
      <c r="B11" s="461" t="s">
        <v>289</v>
      </c>
      <c r="C11" s="462" t="s">
        <v>74</v>
      </c>
      <c r="D11" s="421" t="s">
        <v>37</v>
      </c>
      <c r="E11" s="422">
        <v>350</v>
      </c>
      <c r="F11" s="423" t="s">
        <v>16</v>
      </c>
      <c r="G11" s="418"/>
      <c r="H11" s="419"/>
      <c r="I11" s="417"/>
    </row>
    <row r="12" spans="1:11" ht="20.25" x14ac:dyDescent="0.3">
      <c r="A12" s="452">
        <v>907000241</v>
      </c>
      <c r="B12" s="452" t="s">
        <v>72</v>
      </c>
      <c r="C12" s="453" t="s">
        <v>73</v>
      </c>
      <c r="D12" s="421" t="s">
        <v>37</v>
      </c>
      <c r="E12" s="422">
        <v>80</v>
      </c>
      <c r="F12" s="423" t="s">
        <v>16</v>
      </c>
      <c r="G12" s="418"/>
      <c r="H12" s="454" t="s">
        <v>78</v>
      </c>
      <c r="I12" s="417"/>
      <c r="K12">
        <f>1/4</f>
        <v>0.25</v>
      </c>
    </row>
    <row r="13" spans="1:11" ht="20.25" x14ac:dyDescent="0.3">
      <c r="A13" s="424"/>
      <c r="B13" s="424"/>
      <c r="C13" s="425"/>
      <c r="D13" s="421"/>
      <c r="E13" s="422"/>
      <c r="F13" s="423"/>
      <c r="G13" s="424"/>
      <c r="H13" s="419"/>
      <c r="I13" s="417"/>
    </row>
    <row r="14" spans="1:11" ht="20.25" x14ac:dyDescent="0.3">
      <c r="A14" s="424"/>
      <c r="B14" s="424"/>
      <c r="C14" s="455" t="s">
        <v>54</v>
      </c>
      <c r="D14" s="426"/>
      <c r="E14" s="427"/>
      <c r="F14" s="428"/>
      <c r="G14" s="424"/>
      <c r="H14" s="419"/>
      <c r="I14" s="417"/>
    </row>
    <row r="15" spans="1:11" ht="20.25" x14ac:dyDescent="0.3">
      <c r="A15" s="424"/>
      <c r="B15" s="424" t="s">
        <v>66</v>
      </c>
      <c r="C15" s="425" t="s">
        <v>67</v>
      </c>
      <c r="D15" s="421" t="s">
        <v>37</v>
      </c>
      <c r="E15" s="422">
        <v>20</v>
      </c>
      <c r="F15" s="423" t="s">
        <v>16</v>
      </c>
      <c r="G15" s="424"/>
      <c r="H15" s="419" t="s">
        <v>292</v>
      </c>
      <c r="I15" s="417"/>
    </row>
    <row r="16" spans="1:11" ht="20.25" x14ac:dyDescent="0.3">
      <c r="A16" s="424"/>
      <c r="B16" s="461" t="s">
        <v>290</v>
      </c>
      <c r="C16" s="463" t="s">
        <v>79</v>
      </c>
      <c r="D16" s="426" t="s">
        <v>37</v>
      </c>
      <c r="E16" s="427">
        <v>140</v>
      </c>
      <c r="F16" s="428" t="s">
        <v>16</v>
      </c>
      <c r="G16" s="431"/>
      <c r="H16" s="419" t="s">
        <v>80</v>
      </c>
      <c r="I16" s="417"/>
    </row>
    <row r="17" spans="1:9" ht="20.25" x14ac:dyDescent="0.3">
      <c r="A17" s="464"/>
      <c r="B17" s="464"/>
      <c r="C17" s="465"/>
      <c r="D17" s="469"/>
      <c r="E17" s="470"/>
      <c r="F17" s="471"/>
      <c r="G17" s="415"/>
      <c r="H17" s="416"/>
      <c r="I17" s="417"/>
    </row>
    <row r="18" spans="1:9" ht="20.25" x14ac:dyDescent="0.3">
      <c r="A18" s="464"/>
      <c r="B18" s="464"/>
      <c r="C18" s="466" t="s">
        <v>55</v>
      </c>
      <c r="D18" s="469"/>
      <c r="E18" s="472"/>
      <c r="F18" s="471"/>
      <c r="G18" s="415"/>
      <c r="H18" s="416"/>
      <c r="I18" s="417"/>
    </row>
    <row r="19" spans="1:9" ht="20.25" x14ac:dyDescent="0.3">
      <c r="A19" s="464"/>
      <c r="B19" s="461" t="s">
        <v>287</v>
      </c>
      <c r="C19" s="456" t="s">
        <v>288</v>
      </c>
      <c r="D19" s="469" t="s">
        <v>37</v>
      </c>
      <c r="E19" s="470">
        <v>1</v>
      </c>
      <c r="F19" s="471" t="s">
        <v>56</v>
      </c>
      <c r="G19" s="415"/>
      <c r="H19" s="416"/>
      <c r="I19" s="417"/>
    </row>
    <row r="20" spans="1:9" ht="20.25" x14ac:dyDescent="0.3">
      <c r="A20" s="464"/>
      <c r="B20" s="424" t="s">
        <v>61</v>
      </c>
      <c r="C20" s="425" t="s">
        <v>62</v>
      </c>
      <c r="D20" s="426" t="s">
        <v>63</v>
      </c>
      <c r="E20" s="427">
        <v>10</v>
      </c>
      <c r="F20" s="428" t="s">
        <v>16</v>
      </c>
      <c r="G20" s="415"/>
      <c r="H20" s="416"/>
      <c r="I20" s="417"/>
    </row>
    <row r="21" spans="1:9" ht="20.25" x14ac:dyDescent="0.3">
      <c r="A21" s="424">
        <v>702069</v>
      </c>
      <c r="B21" s="424" t="s">
        <v>30</v>
      </c>
      <c r="C21" s="425" t="s">
        <v>38</v>
      </c>
      <c r="D21" s="424" t="s">
        <v>39</v>
      </c>
      <c r="E21" s="424">
        <v>1</v>
      </c>
      <c r="F21" s="424" t="s">
        <v>56</v>
      </c>
      <c r="G21" s="415"/>
      <c r="H21" s="416"/>
      <c r="I21" s="417"/>
    </row>
    <row r="22" spans="1:9" ht="20.25" x14ac:dyDescent="0.3">
      <c r="A22" s="429">
        <v>701096</v>
      </c>
      <c r="B22" s="429" t="s">
        <v>57</v>
      </c>
      <c r="C22" s="430" t="s">
        <v>58</v>
      </c>
      <c r="D22" s="424" t="s">
        <v>39</v>
      </c>
      <c r="E22" s="424">
        <v>1</v>
      </c>
      <c r="F22" s="457" t="s">
        <v>56</v>
      </c>
      <c r="G22" s="415"/>
      <c r="H22" s="416"/>
      <c r="I22" s="417"/>
    </row>
    <row r="23" spans="1:9" ht="20.25" x14ac:dyDescent="0.3">
      <c r="A23" s="429"/>
      <c r="B23" s="424" t="s">
        <v>59</v>
      </c>
      <c r="C23" s="425" t="s">
        <v>60</v>
      </c>
      <c r="D23" s="460" t="s">
        <v>39</v>
      </c>
      <c r="E23" s="424">
        <v>1</v>
      </c>
      <c r="F23" s="457" t="s">
        <v>56</v>
      </c>
      <c r="G23" s="415"/>
      <c r="H23" s="416"/>
      <c r="I23" s="417"/>
    </row>
    <row r="24" spans="1:9" ht="20.25" x14ac:dyDescent="0.3">
      <c r="A24" s="429"/>
      <c r="B24" s="429"/>
      <c r="C24" s="430"/>
      <c r="D24" s="424"/>
      <c r="E24" s="431"/>
      <c r="F24" s="458"/>
      <c r="G24" s="459"/>
      <c r="H24" s="416"/>
      <c r="I24" s="417"/>
    </row>
    <row r="25" spans="1:9" ht="20.25" x14ac:dyDescent="0.3">
      <c r="A25" s="432"/>
      <c r="B25" s="433"/>
      <c r="C25" s="434"/>
      <c r="D25" s="427"/>
      <c r="E25" s="427"/>
      <c r="F25" s="428"/>
      <c r="G25" s="427"/>
      <c r="H25" s="427"/>
      <c r="I25" s="417"/>
    </row>
    <row r="26" spans="1:9" ht="21" thickBot="1" x14ac:dyDescent="0.35">
      <c r="A26" s="435"/>
      <c r="B26" s="436"/>
      <c r="C26" s="437"/>
      <c r="D26" s="437"/>
      <c r="E26" s="438"/>
      <c r="F26" s="439"/>
      <c r="G26" s="437"/>
      <c r="H26" s="437"/>
      <c r="I26" s="440"/>
    </row>
    <row r="27" spans="1:9" ht="21" thickBot="1" x14ac:dyDescent="0.35">
      <c r="A27" s="441"/>
      <c r="B27" s="442"/>
      <c r="C27" s="443"/>
      <c r="D27" s="444" t="s">
        <v>13</v>
      </c>
      <c r="E27" s="445" t="s">
        <v>18</v>
      </c>
      <c r="F27" s="446"/>
      <c r="G27" s="443"/>
      <c r="H27" s="443"/>
      <c r="I27" s="447"/>
    </row>
    <row r="28" spans="1:9" ht="20.25" x14ac:dyDescent="0.3">
      <c r="A28" s="766" t="s">
        <v>19</v>
      </c>
      <c r="B28" s="767"/>
      <c r="C28" s="768"/>
      <c r="D28" s="448">
        <v>900</v>
      </c>
      <c r="E28" s="449" t="s">
        <v>16</v>
      </c>
      <c r="F28" s="769" t="s">
        <v>20</v>
      </c>
      <c r="G28" s="769"/>
      <c r="H28" s="770"/>
      <c r="I28" s="771"/>
    </row>
    <row r="29" spans="1:9" ht="20.25" x14ac:dyDescent="0.3">
      <c r="A29" s="749" t="s">
        <v>21</v>
      </c>
      <c r="B29" s="750"/>
      <c r="C29" s="751"/>
      <c r="D29" s="431">
        <v>7</v>
      </c>
      <c r="E29" s="424" t="s">
        <v>22</v>
      </c>
      <c r="F29" s="752" t="s">
        <v>23</v>
      </c>
      <c r="G29" s="752"/>
      <c r="H29" s="753"/>
      <c r="I29" s="754"/>
    </row>
    <row r="30" spans="1:9" ht="20.25" x14ac:dyDescent="0.3">
      <c r="A30" s="749" t="s">
        <v>24</v>
      </c>
      <c r="B30" s="750"/>
      <c r="C30" s="751"/>
      <c r="D30" s="424">
        <v>1</v>
      </c>
      <c r="E30" s="424" t="s">
        <v>17</v>
      </c>
      <c r="F30" s="752" t="s">
        <v>25</v>
      </c>
      <c r="G30" s="752"/>
      <c r="H30" s="753"/>
      <c r="I30" s="754"/>
    </row>
    <row r="31" spans="1:9" ht="20.25" x14ac:dyDescent="0.3">
      <c r="A31" s="749" t="s">
        <v>26</v>
      </c>
      <c r="B31" s="750"/>
      <c r="C31" s="751"/>
      <c r="D31" s="431">
        <v>900</v>
      </c>
      <c r="E31" s="424" t="s">
        <v>16</v>
      </c>
      <c r="F31" s="755" t="s">
        <v>27</v>
      </c>
      <c r="G31" s="756"/>
      <c r="H31" s="757"/>
      <c r="I31" s="758"/>
    </row>
    <row r="32" spans="1:9" ht="21" thickBot="1" x14ac:dyDescent="0.35">
      <c r="A32" s="759" t="s">
        <v>28</v>
      </c>
      <c r="B32" s="760"/>
      <c r="C32" s="761"/>
      <c r="D32" s="450">
        <f>SUM(E9:E16)-D28</f>
        <v>15</v>
      </c>
      <c r="E32" s="451" t="s">
        <v>16</v>
      </c>
      <c r="F32" s="762"/>
      <c r="G32" s="762"/>
      <c r="H32" s="753"/>
      <c r="I32" s="754"/>
    </row>
    <row r="33" spans="1:9" ht="21" thickBot="1" x14ac:dyDescent="0.35">
      <c r="A33" s="763" t="s">
        <v>29</v>
      </c>
      <c r="B33" s="764"/>
      <c r="C33" s="764"/>
      <c r="D33" s="764"/>
      <c r="E33" s="764"/>
      <c r="F33" s="764"/>
      <c r="G33" s="764"/>
      <c r="H33" s="764"/>
      <c r="I33" s="765"/>
    </row>
    <row r="34" spans="1:9" ht="20.25" x14ac:dyDescent="0.3">
      <c r="A34" s="739" t="s">
        <v>81</v>
      </c>
      <c r="B34" s="740"/>
      <c r="C34" s="741"/>
      <c r="D34" s="741"/>
      <c r="E34" s="741"/>
      <c r="F34" s="741"/>
      <c r="G34" s="741"/>
      <c r="H34" s="741"/>
      <c r="I34" s="742"/>
    </row>
    <row r="35" spans="1:9" ht="20.25" x14ac:dyDescent="0.3">
      <c r="A35" s="739" t="s">
        <v>82</v>
      </c>
      <c r="B35" s="740"/>
      <c r="C35" s="741"/>
      <c r="D35" s="741"/>
      <c r="E35" s="741"/>
      <c r="F35" s="741"/>
      <c r="G35" s="741"/>
      <c r="H35" s="741"/>
      <c r="I35" s="742"/>
    </row>
    <row r="36" spans="1:9" ht="20.25" x14ac:dyDescent="0.3">
      <c r="A36" s="739" t="s">
        <v>83</v>
      </c>
      <c r="B36" s="740"/>
      <c r="C36" s="741"/>
      <c r="D36" s="741"/>
      <c r="E36" s="741"/>
      <c r="F36" s="741"/>
      <c r="G36" s="741"/>
      <c r="H36" s="741"/>
      <c r="I36" s="742"/>
    </row>
    <row r="37" spans="1:9" ht="20.25" x14ac:dyDescent="0.3">
      <c r="A37" s="739" t="s">
        <v>84</v>
      </c>
      <c r="B37" s="740"/>
      <c r="C37" s="741"/>
      <c r="D37" s="741"/>
      <c r="E37" s="741"/>
      <c r="F37" s="741"/>
      <c r="G37" s="741"/>
      <c r="H37" s="741"/>
      <c r="I37" s="742"/>
    </row>
    <row r="38" spans="1:9" ht="20.25" x14ac:dyDescent="0.3">
      <c r="A38" s="743" t="s">
        <v>85</v>
      </c>
      <c r="B38" s="744"/>
      <c r="C38" s="744"/>
      <c r="D38" s="744"/>
      <c r="E38" s="744"/>
      <c r="F38" s="744"/>
      <c r="G38" s="744"/>
      <c r="H38" s="744"/>
      <c r="I38" s="745"/>
    </row>
    <row r="39" spans="1:9" ht="20.25" x14ac:dyDescent="0.3">
      <c r="A39" s="739"/>
      <c r="B39" s="740"/>
      <c r="C39" s="741"/>
      <c r="D39" s="741"/>
      <c r="E39" s="741"/>
      <c r="F39" s="741"/>
      <c r="G39" s="741"/>
      <c r="H39" s="741"/>
      <c r="I39" s="742"/>
    </row>
    <row r="40" spans="1:9" ht="20.25" x14ac:dyDescent="0.3">
      <c r="A40" s="739"/>
      <c r="B40" s="740"/>
      <c r="C40" s="741"/>
      <c r="D40" s="741"/>
      <c r="E40" s="741"/>
      <c r="F40" s="741"/>
      <c r="G40" s="741"/>
      <c r="H40" s="741"/>
      <c r="I40" s="742"/>
    </row>
    <row r="41" spans="1:9" ht="20.25" x14ac:dyDescent="0.3">
      <c r="A41" s="746"/>
      <c r="B41" s="747"/>
      <c r="C41" s="747"/>
      <c r="D41" s="747"/>
      <c r="E41" s="747"/>
      <c r="F41" s="747"/>
      <c r="G41" s="747"/>
      <c r="H41" s="747"/>
      <c r="I41" s="748"/>
    </row>
    <row r="42" spans="1:9" ht="20.25" x14ac:dyDescent="0.3">
      <c r="A42" s="734"/>
      <c r="B42" s="735"/>
      <c r="C42" s="735"/>
      <c r="D42" s="735"/>
      <c r="E42" s="735"/>
      <c r="F42" s="735"/>
      <c r="G42" s="735"/>
      <c r="H42" s="735"/>
      <c r="I42" s="736"/>
    </row>
    <row r="43" spans="1:9" ht="20.25" x14ac:dyDescent="0.3">
      <c r="A43" s="737" t="s">
        <v>40</v>
      </c>
      <c r="B43" s="737"/>
      <c r="C43" s="737"/>
      <c r="D43" s="737"/>
      <c r="E43" s="737"/>
      <c r="F43" s="737"/>
      <c r="G43" s="737"/>
      <c r="H43" s="737"/>
      <c r="I43" s="737"/>
    </row>
    <row r="44" spans="1:9" ht="20.25" x14ac:dyDescent="0.3">
      <c r="A44" s="738"/>
      <c r="B44" s="738"/>
      <c r="C44" s="738"/>
      <c r="D44" s="738"/>
      <c r="E44" s="738"/>
      <c r="F44" s="738"/>
      <c r="G44" s="738"/>
      <c r="H44" s="738"/>
      <c r="I44" s="738"/>
    </row>
    <row r="45" spans="1:9" ht="20.25" x14ac:dyDescent="0.3">
      <c r="A45" s="738"/>
      <c r="B45" s="738"/>
      <c r="C45" s="738"/>
      <c r="D45" s="738"/>
      <c r="E45" s="738"/>
      <c r="F45" s="738"/>
      <c r="G45" s="738"/>
      <c r="H45" s="738"/>
      <c r="I45" s="73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C28"/>
    <mergeCell ref="F28:G28"/>
    <mergeCell ref="H28:I28"/>
    <mergeCell ref="A29:C29"/>
    <mergeCell ref="F29:G29"/>
    <mergeCell ref="H29:I29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42:I42"/>
    <mergeCell ref="A43:I43"/>
    <mergeCell ref="A44:I44"/>
    <mergeCell ref="A45:I45"/>
    <mergeCell ref="A36:I36"/>
    <mergeCell ref="A37:I37"/>
    <mergeCell ref="A38:I38"/>
    <mergeCell ref="A39:I39"/>
    <mergeCell ref="A40:I40"/>
    <mergeCell ref="A41:I41"/>
  </mergeCells>
  <pageMargins left="0.25" right="0.25" top="0.75" bottom="0.75" header="0.3" footer="0.3"/>
  <pageSetup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1DB3-D836-4B60-B8E2-2BD5DCBEFCA0}">
  <dimension ref="A1:Q91"/>
  <sheetViews>
    <sheetView workbookViewId="0">
      <selection activeCell="M21" sqref="M21"/>
    </sheetView>
  </sheetViews>
  <sheetFormatPr baseColWidth="10" defaultColWidth="8.42578125" defaultRowHeight="12.75" x14ac:dyDescent="0.2"/>
  <cols>
    <col min="1" max="1" width="10" style="66" bestFit="1" customWidth="1"/>
    <col min="2" max="2" width="44.28515625" style="66" bestFit="1" customWidth="1"/>
    <col min="3" max="3" width="10.42578125" style="66" bestFit="1" customWidth="1"/>
    <col min="4" max="4" width="10.42578125" style="66" customWidth="1"/>
    <col min="5" max="5" width="11" style="66" customWidth="1"/>
    <col min="6" max="6" width="9.5703125" style="66" bestFit="1" customWidth="1"/>
    <col min="7" max="7" width="10.85546875" style="148" customWidth="1"/>
    <col min="8" max="8" width="10.42578125" style="139" bestFit="1" customWidth="1"/>
    <col min="9" max="9" width="4.5703125" style="139" customWidth="1"/>
    <col min="10" max="10" width="1.85546875" style="65" customWidth="1"/>
    <col min="11" max="11" width="7" style="66" bestFit="1" customWidth="1"/>
    <col min="12" max="12" width="6.28515625" style="66" customWidth="1"/>
    <col min="13" max="13" width="20.42578125" style="66" customWidth="1"/>
    <col min="14" max="14" width="6.42578125" style="66" bestFit="1" customWidth="1"/>
    <col min="15" max="16" width="8.42578125" style="66"/>
    <col min="17" max="17" width="3.28515625" style="66" customWidth="1"/>
    <col min="18" max="16384" width="8.42578125" style="66"/>
  </cols>
  <sheetData>
    <row r="1" spans="1:10" ht="27.75" customHeight="1" x14ac:dyDescent="0.2">
      <c r="A1" s="61"/>
      <c r="B1" s="61"/>
      <c r="C1" s="61"/>
      <c r="D1" s="61"/>
      <c r="E1" s="62" t="s">
        <v>86</v>
      </c>
      <c r="F1" s="63" t="s">
        <v>87</v>
      </c>
      <c r="G1" s="63" t="s">
        <v>88</v>
      </c>
      <c r="H1" s="63" t="s">
        <v>89</v>
      </c>
      <c r="I1" s="64"/>
    </row>
    <row r="2" spans="1:10" ht="30.75" customHeight="1" x14ac:dyDescent="0.2">
      <c r="A2" s="61"/>
      <c r="B2" s="61"/>
      <c r="C2" s="61"/>
      <c r="D2" s="61"/>
      <c r="E2" s="67">
        <f>IFERROR(O62,"")</f>
        <v>4074.2362445887443</v>
      </c>
      <c r="F2" s="67">
        <f>IFERROR(H53,"")</f>
        <v>2303.7033333333334</v>
      </c>
      <c r="G2" s="67">
        <f>IFERROR(H54,"")</f>
        <v>353.36083333333335</v>
      </c>
      <c r="H2" s="67">
        <f>IFERROR(H56,"")</f>
        <v>773.91666666666663</v>
      </c>
      <c r="I2" s="68"/>
    </row>
    <row r="3" spans="1:10" ht="15" customHeight="1" x14ac:dyDescent="0.2">
      <c r="A3" s="61"/>
      <c r="B3" s="61"/>
      <c r="C3" s="61"/>
      <c r="D3" s="61"/>
      <c r="E3" s="61"/>
      <c r="F3" s="69"/>
      <c r="G3" s="69"/>
      <c r="H3" s="69"/>
      <c r="I3" s="69"/>
    </row>
    <row r="4" spans="1:10" ht="24.75" customHeight="1" thickBot="1" x14ac:dyDescent="0.25">
      <c r="A4" s="500"/>
      <c r="B4" s="500"/>
      <c r="C4" s="500"/>
      <c r="D4" s="500"/>
      <c r="E4" s="500"/>
      <c r="F4" s="500"/>
      <c r="G4" s="500"/>
      <c r="H4" s="500"/>
      <c r="I4" s="70"/>
    </row>
    <row r="5" spans="1:10" ht="19.5" customHeight="1" thickBot="1" x14ac:dyDescent="0.25">
      <c r="A5" s="501" t="s">
        <v>90</v>
      </c>
      <c r="B5" s="502"/>
      <c r="C5" s="502"/>
      <c r="D5" s="502"/>
      <c r="E5" s="502"/>
      <c r="F5" s="502"/>
      <c r="G5" s="502"/>
      <c r="H5" s="503"/>
      <c r="I5" s="71"/>
    </row>
    <row r="6" spans="1:10" ht="19.5" thickBot="1" x14ac:dyDescent="0.25">
      <c r="A6" s="71"/>
      <c r="B6" s="71"/>
      <c r="C6" s="71"/>
      <c r="D6" s="71"/>
      <c r="E6" s="71"/>
      <c r="F6" s="504" t="s">
        <v>91</v>
      </c>
      <c r="G6" s="504"/>
      <c r="H6" s="72">
        <f ca="1">TODAY()</f>
        <v>46034</v>
      </c>
      <c r="I6" s="72"/>
    </row>
    <row r="7" spans="1:10" ht="26.25" hidden="1" thickBot="1" x14ac:dyDescent="0.25">
      <c r="A7" s="73" t="s">
        <v>92</v>
      </c>
      <c r="B7" s="74" t="s">
        <v>93</v>
      </c>
      <c r="C7" s="74" t="s">
        <v>92</v>
      </c>
      <c r="D7" s="75" t="s">
        <v>94</v>
      </c>
      <c r="E7" s="75" t="s">
        <v>95</v>
      </c>
      <c r="F7" s="75" t="s">
        <v>96</v>
      </c>
      <c r="G7" s="75" t="s">
        <v>97</v>
      </c>
      <c r="H7" s="76" t="s">
        <v>98</v>
      </c>
      <c r="I7" s="77"/>
    </row>
    <row r="8" spans="1:10" ht="13.5" hidden="1" x14ac:dyDescent="0.25">
      <c r="A8" s="78"/>
      <c r="B8" s="66" t="str">
        <f>IFERROR(VLOOKUP(H8,'[1]Consolidado MP Planta'!$A$2:$M$823,3,0),"")</f>
        <v/>
      </c>
      <c r="C8" s="79">
        <f>+A8</f>
        <v>0</v>
      </c>
      <c r="D8" s="80" t="str">
        <f>IFERROR(VLOOKUP(H8,'[1]Consolidado MP Planta'!$A$2:$M$823,13,0),"")</f>
        <v/>
      </c>
      <c r="E8" s="80" t="str">
        <f>IFERROR(VLOOKUP(H8,'[1]Consolidado MP Planta'!$A$2:$M$823,12,0),"")</f>
        <v/>
      </c>
      <c r="F8" s="80" t="str">
        <f>IFERROR(C8*E8,"")</f>
        <v/>
      </c>
      <c r="G8" s="81" t="str">
        <f t="shared" ref="G8:G14" si="0">IFERROR(F8/$F$66,"")</f>
        <v/>
      </c>
      <c r="H8" s="82"/>
      <c r="I8" s="82"/>
      <c r="J8" s="83"/>
    </row>
    <row r="9" spans="1:10" ht="13.5" hidden="1" x14ac:dyDescent="0.25">
      <c r="A9" s="78"/>
      <c r="B9" s="66" t="str">
        <f>IFERROR(VLOOKUP(H9,'[1]Consolidado MP Planta'!$A$2:$M$823,3,0),"")</f>
        <v/>
      </c>
      <c r="C9" s="79">
        <f t="shared" ref="C9:C14" si="1">+A9</f>
        <v>0</v>
      </c>
      <c r="D9" s="80" t="str">
        <f>IFERROR(VLOOKUP(H9,'[1]Consolidado MP Planta'!$A$2:$M$823,13,0),"")</f>
        <v/>
      </c>
      <c r="E9" s="80" t="str">
        <f>IFERROR(VLOOKUP(H9,'[1]Consolidado MP Planta'!$A$2:$M$823,12,0),"")</f>
        <v/>
      </c>
      <c r="F9" s="80" t="str">
        <f t="shared" ref="F9:F14" si="2">IFERROR(C9*E9,"")</f>
        <v/>
      </c>
      <c r="G9" s="81" t="str">
        <f t="shared" si="0"/>
        <v/>
      </c>
      <c r="H9" s="82"/>
      <c r="I9" s="82"/>
      <c r="J9" s="83"/>
    </row>
    <row r="10" spans="1:10" ht="13.5" hidden="1" x14ac:dyDescent="0.25">
      <c r="A10" s="78"/>
      <c r="B10" s="66" t="str">
        <f>IFERROR(VLOOKUP(H10,'[1]Consolidado MP Planta'!$A$2:$M$823,3,0),"")</f>
        <v/>
      </c>
      <c r="C10" s="79">
        <f t="shared" si="1"/>
        <v>0</v>
      </c>
      <c r="D10" s="80" t="str">
        <f>IFERROR(VLOOKUP(H10,'[1]Consolidado MP Planta'!$A$2:$M$823,13,0),"")</f>
        <v/>
      </c>
      <c r="E10" s="80" t="str">
        <f>IFERROR(VLOOKUP(H10,'[1]Consolidado MP Planta'!$A$2:$M$823,12,0),"")</f>
        <v/>
      </c>
      <c r="F10" s="80" t="str">
        <f t="shared" si="2"/>
        <v/>
      </c>
      <c r="G10" s="81" t="str">
        <f t="shared" si="0"/>
        <v/>
      </c>
      <c r="H10" s="82"/>
      <c r="I10" s="82"/>
      <c r="J10" s="83"/>
    </row>
    <row r="11" spans="1:10" ht="13.5" hidden="1" x14ac:dyDescent="0.25">
      <c r="A11" s="78"/>
      <c r="B11" s="66" t="str">
        <f>IFERROR(VLOOKUP(H11,'[1]Consolidado MP Planta'!$A$2:$M$823,3,0),"")</f>
        <v/>
      </c>
      <c r="C11" s="79">
        <f t="shared" si="1"/>
        <v>0</v>
      </c>
      <c r="D11" s="80" t="str">
        <f>IFERROR(VLOOKUP(H11,'[1]Consolidado MP Planta'!$A$2:$M$823,13,0),"")</f>
        <v/>
      </c>
      <c r="E11" s="80" t="str">
        <f>IFERROR(VLOOKUP(H11,'[1]Consolidado MP Planta'!$A$2:$M$823,12,0),"")</f>
        <v/>
      </c>
      <c r="F11" s="80" t="str">
        <f t="shared" si="2"/>
        <v/>
      </c>
      <c r="G11" s="81" t="str">
        <f t="shared" si="0"/>
        <v/>
      </c>
      <c r="H11" s="82"/>
      <c r="I11" s="82"/>
      <c r="J11" s="83"/>
    </row>
    <row r="12" spans="1:10" ht="13.5" hidden="1" x14ac:dyDescent="0.25">
      <c r="A12" s="78"/>
      <c r="B12" s="66" t="str">
        <f>IFERROR(VLOOKUP(H12,'[1]Consolidado MP Planta'!$A$2:$M$823,3,0),"")</f>
        <v/>
      </c>
      <c r="C12" s="79">
        <f t="shared" si="1"/>
        <v>0</v>
      </c>
      <c r="D12" s="80" t="str">
        <f>IFERROR(VLOOKUP(H12,'[1]Consolidado MP Planta'!$A$2:$M$823,13,0),"")</f>
        <v/>
      </c>
      <c r="E12" s="80" t="str">
        <f>IFERROR(VLOOKUP(H12,'[1]Consolidado MP Planta'!$A$2:$M$823,12,0),"")</f>
        <v/>
      </c>
      <c r="F12" s="80" t="str">
        <f t="shared" si="2"/>
        <v/>
      </c>
      <c r="G12" s="81" t="str">
        <f t="shared" si="0"/>
        <v/>
      </c>
      <c r="H12" s="82"/>
      <c r="I12" s="82"/>
      <c r="J12" s="83"/>
    </row>
    <row r="13" spans="1:10" ht="13.5" hidden="1" x14ac:dyDescent="0.25">
      <c r="A13" s="78"/>
      <c r="B13" s="66" t="str">
        <f>IFERROR(VLOOKUP(H13,'[1]Consolidado MP Planta'!$A$2:$M$823,3,0),"")</f>
        <v/>
      </c>
      <c r="C13" s="79">
        <f t="shared" si="1"/>
        <v>0</v>
      </c>
      <c r="D13" s="80" t="str">
        <f>IFERROR(VLOOKUP(H13,'[1]Consolidado MP Planta'!$A$2:$M$823,13,0),"")</f>
        <v/>
      </c>
      <c r="E13" s="80" t="str">
        <f>IFERROR(VLOOKUP(H13,'[1]Consolidado MP Planta'!$A$2:$M$823,12,0),"")</f>
        <v/>
      </c>
      <c r="F13" s="80" t="str">
        <f t="shared" si="2"/>
        <v/>
      </c>
      <c r="G13" s="81" t="str">
        <f t="shared" si="0"/>
        <v/>
      </c>
      <c r="H13" s="82"/>
      <c r="I13" s="82"/>
      <c r="J13" s="83"/>
    </row>
    <row r="14" spans="1:10" ht="13.5" hidden="1" x14ac:dyDescent="0.25">
      <c r="A14" s="78"/>
      <c r="B14" s="66" t="str">
        <f>IFERROR(VLOOKUP(H14,'[1]Consolidado MP Planta'!$A$2:$M$823,3,0),"")</f>
        <v/>
      </c>
      <c r="C14" s="79">
        <f t="shared" si="1"/>
        <v>0</v>
      </c>
      <c r="D14" s="80" t="str">
        <f>IFERROR(VLOOKUP(H14,'[1]Consolidado MP Planta'!$A$2:$M$823,13,0),"")</f>
        <v/>
      </c>
      <c r="E14" s="80" t="str">
        <f>IFERROR(VLOOKUP(H14,'[1]Consolidado MP Planta'!$A$2:$M$823,12,0),"")</f>
        <v/>
      </c>
      <c r="F14" s="80" t="str">
        <f t="shared" si="2"/>
        <v/>
      </c>
      <c r="G14" s="81" t="str">
        <f t="shared" si="0"/>
        <v/>
      </c>
      <c r="H14" s="82"/>
      <c r="I14" s="82"/>
      <c r="J14" s="83"/>
    </row>
    <row r="15" spans="1:10" ht="14.25" hidden="1" thickBot="1" x14ac:dyDescent="0.3">
      <c r="A15" s="78"/>
      <c r="B15" s="66" t="str">
        <f>IFERROR(VLOOKUP(H15,'[2]ARTICULOS MP PLANTA'!$A$2:$G$589,2,0),"")</f>
        <v/>
      </c>
      <c r="C15" s="79"/>
      <c r="D15" s="80"/>
      <c r="E15" s="80"/>
      <c r="F15" s="80"/>
      <c r="G15" s="81"/>
      <c r="H15" s="82"/>
      <c r="I15" s="82"/>
      <c r="J15" s="83"/>
    </row>
    <row r="16" spans="1:10" ht="26.25" thickBot="1" x14ac:dyDescent="0.25">
      <c r="A16" s="73" t="s">
        <v>92</v>
      </c>
      <c r="B16" s="74" t="s">
        <v>99</v>
      </c>
      <c r="C16" s="74" t="s">
        <v>92</v>
      </c>
      <c r="D16" s="75" t="s">
        <v>94</v>
      </c>
      <c r="E16" s="75" t="s">
        <v>95</v>
      </c>
      <c r="F16" s="75" t="s">
        <v>96</v>
      </c>
      <c r="G16" s="75" t="s">
        <v>97</v>
      </c>
      <c r="H16" s="76" t="s">
        <v>98</v>
      </c>
      <c r="I16" s="77"/>
      <c r="J16" s="83"/>
    </row>
    <row r="17" spans="1:12" ht="13.5" x14ac:dyDescent="0.25">
      <c r="A17" s="78">
        <v>1.25</v>
      </c>
      <c r="B17" s="66" t="s">
        <v>73</v>
      </c>
      <c r="C17" s="79">
        <f>+A17</f>
        <v>1.25</v>
      </c>
      <c r="D17" s="79" t="s">
        <v>140</v>
      </c>
      <c r="E17" s="80">
        <v>375.24</v>
      </c>
      <c r="F17" s="80">
        <f>IFERROR(E17*C17,"")</f>
        <v>469.05</v>
      </c>
      <c r="G17" s="81">
        <f t="shared" ref="G17:G24" si="3">IFERROR(F17/$F$66,"")</f>
        <v>0.14467304175299045</v>
      </c>
      <c r="H17" s="82" t="s">
        <v>139</v>
      </c>
      <c r="I17" s="82"/>
      <c r="J17" s="83"/>
    </row>
    <row r="18" spans="1:12" ht="13.5" x14ac:dyDescent="0.25">
      <c r="A18" s="78">
        <v>100</v>
      </c>
      <c r="B18" s="66" t="s">
        <v>76</v>
      </c>
      <c r="C18" s="79">
        <f t="shared" ref="C18:C24" si="4">+A18</f>
        <v>100</v>
      </c>
      <c r="D18" s="79" t="s">
        <v>137</v>
      </c>
      <c r="E18" s="80">
        <v>2.44</v>
      </c>
      <c r="F18" s="80">
        <f t="shared" ref="F18:F24" si="5">IFERROR(E18*C18,"")</f>
        <v>244</v>
      </c>
      <c r="G18" s="81">
        <f t="shared" si="3"/>
        <v>7.5258974923205782E-2</v>
      </c>
      <c r="H18" s="82" t="s">
        <v>75</v>
      </c>
      <c r="I18" s="82"/>
      <c r="J18" s="83"/>
    </row>
    <row r="19" spans="1:12" ht="13.5" x14ac:dyDescent="0.25">
      <c r="A19" s="78">
        <v>350</v>
      </c>
      <c r="B19" s="66" t="s">
        <v>74</v>
      </c>
      <c r="C19" s="79">
        <f>+A19</f>
        <v>350</v>
      </c>
      <c r="D19" s="79" t="s">
        <v>137</v>
      </c>
      <c r="E19" s="80">
        <f>+'Costo Mousse Maracuya'!E69</f>
        <v>3.0990095238095239</v>
      </c>
      <c r="F19" s="80">
        <f>IFERROR(E19*C19,"")</f>
        <v>1084.6533333333334</v>
      </c>
      <c r="G19" s="81">
        <f t="shared" si="3"/>
        <v>0.33454876235124958</v>
      </c>
      <c r="H19" s="82" t="s">
        <v>41</v>
      </c>
      <c r="I19" s="82"/>
      <c r="J19" s="83"/>
    </row>
    <row r="20" spans="1:12" ht="13.5" x14ac:dyDescent="0.25">
      <c r="A20" s="78">
        <v>20</v>
      </c>
      <c r="B20" s="66" t="s">
        <v>67</v>
      </c>
      <c r="C20" s="79">
        <f>+A20</f>
        <v>20</v>
      </c>
      <c r="D20" s="79" t="s">
        <v>137</v>
      </c>
      <c r="E20" s="80">
        <f>+'[3]costo Mouse Queso'!$E$14</f>
        <v>2.17</v>
      </c>
      <c r="F20" s="80">
        <f>IFERROR(E20*C20,"")</f>
        <v>43.4</v>
      </c>
      <c r="G20" s="81">
        <f t="shared" si="3"/>
        <v>1.3386227506832502E-2</v>
      </c>
      <c r="H20" s="82" t="s">
        <v>66</v>
      </c>
      <c r="I20" s="82"/>
      <c r="J20" s="83"/>
    </row>
    <row r="21" spans="1:12" ht="13.5" x14ac:dyDescent="0.25">
      <c r="A21" s="78">
        <v>140</v>
      </c>
      <c r="B21" s="66" t="s">
        <v>79</v>
      </c>
      <c r="C21" s="79">
        <f>+A21</f>
        <v>140</v>
      </c>
      <c r="D21" s="79" t="s">
        <v>137</v>
      </c>
      <c r="E21" s="80">
        <f>+'Costo Salsa Maracuya'!E69</f>
        <v>3.3042857142857143</v>
      </c>
      <c r="F21" s="80">
        <f>IFERROR(E21*C21,"")</f>
        <v>462.6</v>
      </c>
      <c r="G21" s="81">
        <f t="shared" si="3"/>
        <v>0.14268361393227458</v>
      </c>
      <c r="H21" s="82"/>
      <c r="I21" s="82"/>
      <c r="J21" s="83"/>
    </row>
    <row r="22" spans="1:12" ht="13.5" hidden="1" x14ac:dyDescent="0.25">
      <c r="A22" s="78"/>
      <c r="B22" s="66" t="str">
        <f>IFERROR(VLOOKUP(H22,[1]SEMIELABORADOS!$A$2:$M$6000,2,0),"")</f>
        <v/>
      </c>
      <c r="C22" s="79">
        <f t="shared" si="4"/>
        <v>0</v>
      </c>
      <c r="D22" s="79" t="str">
        <f>IFERROR(VLOOKUP(H22,[1]SEMIELABORADOS!$A$2:$M$6000,6,0),"")</f>
        <v/>
      </c>
      <c r="E22" s="80" t="str">
        <f>IFERROR(VLOOKUP(H22,[1]SEMIELABORADOS!$A$2:$H$65536,8,0),"")</f>
        <v/>
      </c>
      <c r="F22" s="80" t="str">
        <f t="shared" si="5"/>
        <v/>
      </c>
      <c r="G22" s="81" t="str">
        <f t="shared" si="3"/>
        <v/>
      </c>
      <c r="H22" s="82"/>
      <c r="I22" s="82"/>
      <c r="J22" s="83"/>
    </row>
    <row r="23" spans="1:12" ht="13.5" hidden="1" x14ac:dyDescent="0.25">
      <c r="A23" s="78"/>
      <c r="B23" s="66" t="str">
        <f>IFERROR(VLOOKUP(H23,[1]SEMIELABORADOS!$A$2:$M$6000,2,0),"")</f>
        <v/>
      </c>
      <c r="C23" s="79">
        <f t="shared" si="4"/>
        <v>0</v>
      </c>
      <c r="D23" s="79" t="str">
        <f>IFERROR(VLOOKUP(H23,[1]SEMIELABORADOS!$A$2:$M$6000,6,0),"")</f>
        <v/>
      </c>
      <c r="E23" s="80" t="str">
        <f>IFERROR(VLOOKUP(H23,[1]SEMIELABORADOS!$A$2:$H$65536,8,0),"")</f>
        <v/>
      </c>
      <c r="F23" s="80" t="str">
        <f t="shared" si="5"/>
        <v/>
      </c>
      <c r="G23" s="81" t="str">
        <f t="shared" si="3"/>
        <v/>
      </c>
      <c r="H23" s="82"/>
      <c r="I23" s="82"/>
      <c r="J23" s="83"/>
    </row>
    <row r="24" spans="1:12" ht="13.5" hidden="1" x14ac:dyDescent="0.25">
      <c r="A24" s="78"/>
      <c r="B24" s="66" t="str">
        <f>IFERROR(VLOOKUP(H24,[1]SEMIELABORADOS!$A$2:$M$6000,2,0),"")</f>
        <v/>
      </c>
      <c r="C24" s="79">
        <f t="shared" si="4"/>
        <v>0</v>
      </c>
      <c r="D24" s="79" t="str">
        <f>IFERROR(VLOOKUP(H24,[1]SEMIELABORADOS!$A$2:$M$6000,6,0),"")</f>
        <v/>
      </c>
      <c r="E24" s="80" t="str">
        <f>IFERROR(VLOOKUP(H24,[1]SEMIELABORADOS!$A$2:$H$65536,8,0),"")</f>
        <v/>
      </c>
      <c r="F24" s="80" t="str">
        <f t="shared" si="5"/>
        <v/>
      </c>
      <c r="G24" s="81" t="str">
        <f t="shared" si="3"/>
        <v/>
      </c>
      <c r="H24" s="82"/>
      <c r="I24" s="82"/>
      <c r="J24" s="83"/>
    </row>
    <row r="25" spans="1:12" ht="14.25" thickBot="1" x14ac:dyDescent="0.3">
      <c r="A25" s="78"/>
      <c r="C25" s="79"/>
      <c r="D25" s="79"/>
      <c r="E25" s="80"/>
      <c r="F25" s="80"/>
      <c r="G25" s="81"/>
      <c r="H25" s="82"/>
      <c r="I25" s="82"/>
      <c r="J25" s="83"/>
    </row>
    <row r="26" spans="1:12" ht="26.25" thickBot="1" x14ac:dyDescent="0.25">
      <c r="A26" s="73" t="s">
        <v>92</v>
      </c>
      <c r="B26" s="74" t="s">
        <v>55</v>
      </c>
      <c r="C26" s="74" t="s">
        <v>92</v>
      </c>
      <c r="D26" s="75" t="s">
        <v>94</v>
      </c>
      <c r="E26" s="75" t="s">
        <v>95</v>
      </c>
      <c r="F26" s="75" t="s">
        <v>96</v>
      </c>
      <c r="G26" s="75" t="s">
        <v>97</v>
      </c>
      <c r="H26" s="76" t="s">
        <v>98</v>
      </c>
      <c r="I26" s="77"/>
    </row>
    <row r="27" spans="1:12" ht="13.5" x14ac:dyDescent="0.25">
      <c r="A27" s="78">
        <v>1</v>
      </c>
      <c r="B27" s="84" t="s">
        <v>142</v>
      </c>
      <c r="C27" s="79">
        <f t="shared" ref="C27:C31" si="6">+A27</f>
        <v>1</v>
      </c>
      <c r="D27" s="80" t="s">
        <v>141</v>
      </c>
      <c r="E27" s="80">
        <v>245.63</v>
      </c>
      <c r="F27" s="80">
        <f t="shared" ref="F27:F31" si="7">IFERROR(C27*E27,"")</f>
        <v>245.63</v>
      </c>
      <c r="G27" s="81">
        <f>IFERROR(F27/$F$65,"")</f>
        <v>0.45571428571428568</v>
      </c>
      <c r="H27" s="85" t="s">
        <v>41</v>
      </c>
      <c r="I27" s="85"/>
      <c r="J27" s="83"/>
      <c r="K27" s="494"/>
      <c r="L27" s="494"/>
    </row>
    <row r="28" spans="1:12" ht="13.5" x14ac:dyDescent="0.25">
      <c r="A28" s="78">
        <v>1</v>
      </c>
      <c r="B28" s="84" t="s">
        <v>143</v>
      </c>
      <c r="C28" s="79">
        <f t="shared" si="6"/>
        <v>1</v>
      </c>
      <c r="D28" s="80" t="s">
        <v>141</v>
      </c>
      <c r="E28" s="80">
        <v>85</v>
      </c>
      <c r="F28" s="80">
        <f t="shared" si="7"/>
        <v>85</v>
      </c>
      <c r="G28" s="81">
        <f>IFERROR(F28/$F$65,"")</f>
        <v>0.15769944341372913</v>
      </c>
      <c r="H28" s="85" t="s">
        <v>41</v>
      </c>
      <c r="I28" s="85"/>
      <c r="J28" s="83"/>
      <c r="K28" s="494"/>
      <c r="L28" s="494"/>
    </row>
    <row r="29" spans="1:12" ht="13.5" x14ac:dyDescent="0.25">
      <c r="A29" s="78">
        <v>1</v>
      </c>
      <c r="B29" s="84" t="s">
        <v>38</v>
      </c>
      <c r="C29" s="79">
        <f t="shared" si="6"/>
        <v>1</v>
      </c>
      <c r="D29" s="80" t="s">
        <v>141</v>
      </c>
      <c r="E29" s="80">
        <v>1.74</v>
      </c>
      <c r="F29" s="80">
        <f t="shared" si="7"/>
        <v>1.74</v>
      </c>
      <c r="G29" s="81">
        <f>IFERROR(F29/$F$65,"")</f>
        <v>3.2282003710575138E-3</v>
      </c>
      <c r="H29" s="85" t="s">
        <v>30</v>
      </c>
      <c r="I29" s="85"/>
      <c r="J29" s="83"/>
      <c r="K29" s="494"/>
      <c r="L29" s="494"/>
    </row>
    <row r="30" spans="1:12" ht="13.5" x14ac:dyDescent="0.25">
      <c r="A30" s="78">
        <v>1</v>
      </c>
      <c r="B30" s="84" t="s">
        <v>144</v>
      </c>
      <c r="C30" s="79">
        <f t="shared" si="6"/>
        <v>1</v>
      </c>
      <c r="D30" s="80" t="s">
        <v>141</v>
      </c>
      <c r="E30" s="80">
        <v>0.39</v>
      </c>
      <c r="F30" s="80">
        <f t="shared" si="7"/>
        <v>0.39</v>
      </c>
      <c r="G30" s="81">
        <f>IFERROR(F30/$F$65,"")</f>
        <v>7.2356215213358077E-4</v>
      </c>
      <c r="H30" s="85" t="s">
        <v>57</v>
      </c>
      <c r="I30" s="85"/>
      <c r="J30" s="83"/>
      <c r="K30" s="494"/>
      <c r="L30" s="494"/>
    </row>
    <row r="31" spans="1:12" ht="13.5" x14ac:dyDescent="0.25">
      <c r="A31" s="78">
        <v>1</v>
      </c>
      <c r="B31" s="84" t="s">
        <v>145</v>
      </c>
      <c r="C31" s="79">
        <f t="shared" si="6"/>
        <v>1</v>
      </c>
      <c r="D31" s="80" t="s">
        <v>141</v>
      </c>
      <c r="E31" s="80">
        <v>2.13</v>
      </c>
      <c r="F31" s="80">
        <f t="shared" si="7"/>
        <v>2.13</v>
      </c>
      <c r="G31" s="81">
        <f>IFERROR(F31/$F$65,"")</f>
        <v>3.9517625231910948E-3</v>
      </c>
      <c r="H31" s="85" t="s">
        <v>59</v>
      </c>
      <c r="I31" s="85"/>
      <c r="J31" s="83"/>
      <c r="K31" s="86"/>
      <c r="L31" s="87"/>
    </row>
    <row r="32" spans="1:12" ht="13.5" hidden="1" x14ac:dyDescent="0.25">
      <c r="A32" s="78"/>
      <c r="B32" s="84" t="str">
        <f>IFERROR(VLOOKUP(H32,'[1]Consolidado MP Planta'!$A$2:$M$823,3,0),"")</f>
        <v/>
      </c>
      <c r="C32" s="79">
        <f t="shared" ref="C32" si="8">+A32</f>
        <v>0</v>
      </c>
      <c r="D32" s="80" t="str">
        <f>IFERROR(VLOOKUP(H32,'[1]Consolidado MP Planta'!$A$2:$M$823,13,0),"")</f>
        <v/>
      </c>
      <c r="E32" s="80" t="str">
        <f>IFERROR(VLOOKUP(H32,'[1]Consolidado MP Planta'!$A$2:$M$823,12,0),"")</f>
        <v/>
      </c>
      <c r="F32" s="80" t="str">
        <f t="shared" ref="F32" si="9">IFERROR(C32*E32,"")</f>
        <v/>
      </c>
      <c r="G32" s="81" t="str">
        <f t="shared" ref="G32" si="10">IFERROR(F32/$F$66,"")</f>
        <v/>
      </c>
      <c r="H32" s="85"/>
      <c r="I32" s="85"/>
      <c r="J32" s="83"/>
    </row>
    <row r="33" spans="1:13" ht="14.25" thickBot="1" x14ac:dyDescent="0.3">
      <c r="A33" s="78"/>
      <c r="B33" s="84"/>
      <c r="C33" s="79"/>
      <c r="D33" s="80"/>
      <c r="E33" s="80"/>
      <c r="F33" s="80"/>
      <c r="G33" s="81"/>
      <c r="H33" s="85"/>
      <c r="I33" s="85"/>
      <c r="J33" s="83"/>
    </row>
    <row r="34" spans="1:13" ht="26.25" thickBot="1" x14ac:dyDescent="0.25">
      <c r="A34" s="73" t="s">
        <v>92</v>
      </c>
      <c r="B34" s="74" t="s">
        <v>100</v>
      </c>
      <c r="C34" s="74" t="s">
        <v>92</v>
      </c>
      <c r="D34" s="75" t="s">
        <v>94</v>
      </c>
      <c r="E34" s="75" t="s">
        <v>95</v>
      </c>
      <c r="F34" s="75" t="s">
        <v>96</v>
      </c>
      <c r="G34" s="75" t="s">
        <v>97</v>
      </c>
      <c r="H34" s="76" t="s">
        <v>98</v>
      </c>
      <c r="I34" s="85"/>
      <c r="J34" s="83"/>
    </row>
    <row r="35" spans="1:13" ht="13.5" x14ac:dyDescent="0.25">
      <c r="A35" s="78">
        <f>+A17</f>
        <v>1.25</v>
      </c>
      <c r="B35" s="84" t="s">
        <v>73</v>
      </c>
      <c r="C35" s="79">
        <f>+A35</f>
        <v>1.25</v>
      </c>
      <c r="D35" s="80" t="s">
        <v>141</v>
      </c>
      <c r="E35" s="80">
        <v>11.95</v>
      </c>
      <c r="F35" s="80">
        <f>IFERROR(E35*C35,"")</f>
        <v>14.9375</v>
      </c>
      <c r="G35" s="81">
        <f t="shared" ref="G35:G41" si="11">IFERROR(F35/$F$66,"")</f>
        <v>4.6072989258827309E-3</v>
      </c>
      <c r="H35" s="85" t="s">
        <v>139</v>
      </c>
      <c r="I35" s="85"/>
      <c r="J35" s="83"/>
    </row>
    <row r="36" spans="1:13" ht="13.5" x14ac:dyDescent="0.25">
      <c r="A36" s="78">
        <f t="shared" ref="A36:A41" si="12">+A18</f>
        <v>100</v>
      </c>
      <c r="B36" s="84" t="s">
        <v>76</v>
      </c>
      <c r="C36" s="79">
        <f t="shared" ref="C36:C41" si="13">+A36</f>
        <v>100</v>
      </c>
      <c r="D36" s="80" t="s">
        <v>137</v>
      </c>
      <c r="E36" s="80">
        <v>0.01</v>
      </c>
      <c r="F36" s="80">
        <f t="shared" ref="F36:F41" si="14">IFERROR(E36*C36,"")</f>
        <v>1</v>
      </c>
      <c r="G36" s="81">
        <f t="shared" si="11"/>
        <v>3.084384218164171E-4</v>
      </c>
      <c r="H36" s="85" t="s">
        <v>75</v>
      </c>
      <c r="I36" s="85"/>
      <c r="J36" s="83"/>
    </row>
    <row r="37" spans="1:13" ht="13.5" x14ac:dyDescent="0.25">
      <c r="A37" s="78">
        <f t="shared" si="12"/>
        <v>350</v>
      </c>
      <c r="B37" s="84" t="s">
        <v>74</v>
      </c>
      <c r="C37" s="79">
        <f t="shared" si="13"/>
        <v>350</v>
      </c>
      <c r="D37" s="80" t="s">
        <v>137</v>
      </c>
      <c r="E37" s="80">
        <f>+'Costo Mousse Maracuya'!E76</f>
        <v>1.9047619047619048E-3</v>
      </c>
      <c r="F37" s="80">
        <f t="shared" si="14"/>
        <v>0.66666666666666663</v>
      </c>
      <c r="G37" s="81">
        <f t="shared" si="11"/>
        <v>2.0562561454427807E-4</v>
      </c>
      <c r="H37" s="85" t="s">
        <v>41</v>
      </c>
      <c r="I37" s="85"/>
      <c r="J37" s="83"/>
    </row>
    <row r="38" spans="1:13" ht="13.5" x14ac:dyDescent="0.25">
      <c r="A38" s="78">
        <f t="shared" si="12"/>
        <v>20</v>
      </c>
      <c r="B38" s="84" t="s">
        <v>67</v>
      </c>
      <c r="C38" s="79">
        <f>+A38</f>
        <v>20</v>
      </c>
      <c r="D38" s="80" t="s">
        <v>137</v>
      </c>
      <c r="E38" s="80">
        <f>+'[3]costo Mouse Queso'!$E$32</f>
        <v>0.01</v>
      </c>
      <c r="F38" s="80">
        <f>IFERROR(E38*C38,"")</f>
        <v>0.2</v>
      </c>
      <c r="G38" s="81">
        <f t="shared" si="11"/>
        <v>6.1687684363283431E-5</v>
      </c>
      <c r="H38" s="85" t="s">
        <v>66</v>
      </c>
      <c r="I38" s="85"/>
      <c r="J38" s="83"/>
    </row>
    <row r="39" spans="1:13" ht="13.5" x14ac:dyDescent="0.25">
      <c r="A39" s="78">
        <f t="shared" si="12"/>
        <v>140</v>
      </c>
      <c r="B39" s="84" t="s">
        <v>79</v>
      </c>
      <c r="C39" s="79">
        <f>+A39</f>
        <v>140</v>
      </c>
      <c r="D39" s="80" t="s">
        <v>137</v>
      </c>
      <c r="E39" s="80">
        <f>+'Costo Salsa Maracuya'!E76</f>
        <v>1.1904761904761904E-2</v>
      </c>
      <c r="F39" s="80">
        <f>IFERROR(E39*C39,"")</f>
        <v>1.6666666666666665</v>
      </c>
      <c r="G39" s="81">
        <f t="shared" si="11"/>
        <v>5.1406403636069511E-4</v>
      </c>
      <c r="H39" s="85"/>
      <c r="I39" s="85"/>
      <c r="J39" s="83"/>
    </row>
    <row r="40" spans="1:13" ht="13.5" hidden="1" x14ac:dyDescent="0.25">
      <c r="A40" s="78">
        <f t="shared" si="12"/>
        <v>0</v>
      </c>
      <c r="B40" s="84" t="str">
        <f>IFERROR(VLOOKUP(H40,[1]SEMIELABORADOS!$A$2:$M$6000,2,0),"")</f>
        <v/>
      </c>
      <c r="C40" s="79">
        <f t="shared" si="13"/>
        <v>0</v>
      </c>
      <c r="D40" s="80" t="str">
        <f>IFERROR(VLOOKUP(H40,[1]SEMIELABORADOS!$A$2:$M$6000,6,0),"")</f>
        <v/>
      </c>
      <c r="E40" s="80" t="str">
        <f>IFERROR(VLOOKUP(H40,[1]SEMIELABORADOS!$A$2:$M$65536,10,0),"")</f>
        <v/>
      </c>
      <c r="F40" s="80" t="str">
        <f t="shared" si="14"/>
        <v/>
      </c>
      <c r="G40" s="81" t="str">
        <f t="shared" si="11"/>
        <v/>
      </c>
      <c r="H40" s="85"/>
      <c r="I40" s="85"/>
      <c r="J40" s="83"/>
    </row>
    <row r="41" spans="1:13" ht="13.5" hidden="1" x14ac:dyDescent="0.25">
      <c r="A41" s="78">
        <f t="shared" si="12"/>
        <v>0</v>
      </c>
      <c r="B41" s="84" t="str">
        <f>IFERROR(VLOOKUP(H41,[1]SEMIELABORADOS!$A$2:$M$6000,2,0),"")</f>
        <v/>
      </c>
      <c r="C41" s="79">
        <f t="shared" si="13"/>
        <v>0</v>
      </c>
      <c r="D41" s="80" t="str">
        <f>IFERROR(VLOOKUP(H41,[1]SEMIELABORADOS!$A$2:$M$6000,6,0),"")</f>
        <v/>
      </c>
      <c r="E41" s="80" t="str">
        <f>IFERROR(VLOOKUP(H41,[1]SEMIELABORADOS!$A$2:$M$65536,10,0),"")</f>
        <v/>
      </c>
      <c r="F41" s="80" t="str">
        <f t="shared" si="14"/>
        <v/>
      </c>
      <c r="G41" s="81" t="str">
        <f t="shared" si="11"/>
        <v/>
      </c>
      <c r="H41" s="85"/>
      <c r="I41" s="85"/>
      <c r="J41" s="83"/>
    </row>
    <row r="42" spans="1:13" ht="14.25" thickBot="1" x14ac:dyDescent="0.3">
      <c r="A42" s="78"/>
      <c r="B42" s="84"/>
      <c r="C42" s="79"/>
      <c r="D42" s="80"/>
      <c r="E42" s="80"/>
      <c r="F42" s="80"/>
      <c r="G42" s="81"/>
      <c r="H42" s="85"/>
      <c r="I42" s="85"/>
      <c r="J42" s="83"/>
    </row>
    <row r="43" spans="1:13" ht="26.25" thickBot="1" x14ac:dyDescent="0.25">
      <c r="A43" s="73" t="s">
        <v>92</v>
      </c>
      <c r="B43" s="74" t="s">
        <v>101</v>
      </c>
      <c r="C43" s="74" t="s">
        <v>92</v>
      </c>
      <c r="D43" s="75" t="s">
        <v>94</v>
      </c>
      <c r="E43" s="75" t="s">
        <v>95</v>
      </c>
      <c r="F43" s="75" t="s">
        <v>96</v>
      </c>
      <c r="G43" s="75" t="s">
        <v>97</v>
      </c>
      <c r="H43" s="76" t="s">
        <v>98</v>
      </c>
      <c r="I43" s="77"/>
      <c r="J43" s="83"/>
    </row>
    <row r="44" spans="1:13" ht="13.5" x14ac:dyDescent="0.25">
      <c r="A44" s="78">
        <f>+A35</f>
        <v>1.25</v>
      </c>
      <c r="B44" s="84" t="s">
        <v>73</v>
      </c>
      <c r="C44" s="79">
        <f>+A44</f>
        <v>1.25</v>
      </c>
      <c r="D44" s="80" t="s">
        <v>141</v>
      </c>
      <c r="E44" s="80">
        <v>33.799999999999997</v>
      </c>
      <c r="F44" s="80">
        <f>IFERROR(E44*C44,"")</f>
        <v>42.25</v>
      </c>
      <c r="G44" s="81">
        <f>IFERROR(F44/$F$66,"")</f>
        <v>1.3031523321743623E-2</v>
      </c>
      <c r="H44" s="85" t="s">
        <v>139</v>
      </c>
      <c r="I44" s="77"/>
      <c r="J44" s="83"/>
    </row>
    <row r="45" spans="1:13" ht="13.5" x14ac:dyDescent="0.25">
      <c r="A45" s="78">
        <f t="shared" ref="A45:A50" si="15">+A36</f>
        <v>100</v>
      </c>
      <c r="B45" s="84" t="s">
        <v>76</v>
      </c>
      <c r="C45" s="79">
        <f t="shared" ref="C45:C50" si="16">+A45</f>
        <v>100</v>
      </c>
      <c r="D45" s="80" t="s">
        <v>137</v>
      </c>
      <c r="E45" s="80">
        <v>0.09</v>
      </c>
      <c r="F45" s="80">
        <f t="shared" ref="F45:F50" si="17">IFERROR(E45*C45,"")</f>
        <v>9</v>
      </c>
      <c r="G45" s="81">
        <f t="shared" ref="G45:G50" si="18">IFERROR(F45/$F$66,"")</f>
        <v>2.7759457963477539E-3</v>
      </c>
      <c r="H45" s="85" t="s">
        <v>75</v>
      </c>
      <c r="I45" s="77"/>
      <c r="J45" s="83"/>
      <c r="M45" s="88"/>
    </row>
    <row r="46" spans="1:13" ht="13.5" x14ac:dyDescent="0.25">
      <c r="A46" s="78">
        <f t="shared" si="15"/>
        <v>350</v>
      </c>
      <c r="B46" s="84" t="s">
        <v>74</v>
      </c>
      <c r="C46" s="79">
        <f t="shared" si="16"/>
        <v>350</v>
      </c>
      <c r="D46" s="80" t="s">
        <v>137</v>
      </c>
      <c r="E46" s="80">
        <f>+'Costo Mousse Maracuya'!E74</f>
        <v>0.2257142857142857</v>
      </c>
      <c r="F46" s="80">
        <f t="shared" si="17"/>
        <v>79</v>
      </c>
      <c r="G46" s="81">
        <f t="shared" si="18"/>
        <v>2.4366635323496953E-2</v>
      </c>
      <c r="H46" s="85" t="s">
        <v>41</v>
      </c>
      <c r="I46" s="77"/>
      <c r="J46" s="83"/>
    </row>
    <row r="47" spans="1:13" ht="13.5" x14ac:dyDescent="0.25">
      <c r="A47" s="78">
        <f t="shared" si="15"/>
        <v>20</v>
      </c>
      <c r="B47" s="84" t="s">
        <v>67</v>
      </c>
      <c r="C47" s="79">
        <f t="shared" si="16"/>
        <v>20</v>
      </c>
      <c r="D47" s="80" t="s">
        <v>137</v>
      </c>
      <c r="E47" s="80">
        <f>+'[3]costo Mouse Queso'!$E$41</f>
        <v>0.03</v>
      </c>
      <c r="F47" s="80">
        <f t="shared" si="17"/>
        <v>0.6</v>
      </c>
      <c r="G47" s="81">
        <f t="shared" si="18"/>
        <v>1.8506305308985026E-4</v>
      </c>
      <c r="H47" s="85" t="s">
        <v>66</v>
      </c>
      <c r="I47" s="77"/>
      <c r="J47" s="83"/>
    </row>
    <row r="48" spans="1:13" ht="13.5" x14ac:dyDescent="0.25">
      <c r="A48" s="78">
        <f t="shared" si="15"/>
        <v>140</v>
      </c>
      <c r="B48" s="84" t="s">
        <v>79</v>
      </c>
      <c r="C48" s="79">
        <f t="shared" si="16"/>
        <v>140</v>
      </c>
      <c r="D48" s="80" t="s">
        <v>137</v>
      </c>
      <c r="E48" s="80">
        <f>+'Costo Salsa Maracuya'!E74</f>
        <v>0.74333333333333329</v>
      </c>
      <c r="F48" s="80">
        <f t="shared" si="17"/>
        <v>104.06666666666666</v>
      </c>
      <c r="G48" s="81">
        <f t="shared" si="18"/>
        <v>3.209815843036181E-2</v>
      </c>
      <c r="H48" s="85"/>
      <c r="I48" s="77"/>
      <c r="J48" s="83"/>
    </row>
    <row r="49" spans="1:17" ht="13.5" hidden="1" x14ac:dyDescent="0.25">
      <c r="A49" s="78">
        <f t="shared" si="15"/>
        <v>0</v>
      </c>
      <c r="B49" s="84" t="str">
        <f>IFERROR(VLOOKUP(H49,[1]SEMIELABORADOS!$A$2:$M$6000,2,0),"")</f>
        <v/>
      </c>
      <c r="C49" s="79">
        <f t="shared" si="16"/>
        <v>0</v>
      </c>
      <c r="D49" s="80" t="str">
        <f>IFERROR(VLOOKUP(H49,[1]SEMIELABORADOS!$A$2:$M$6000,6,0),"")</f>
        <v/>
      </c>
      <c r="E49" s="80" t="str">
        <f>IFERROR(VLOOKUP(H49,[1]SEMIELABORADOS!$A$2:$M$65536,12,0),"")</f>
        <v/>
      </c>
      <c r="F49" s="80" t="str">
        <f t="shared" si="17"/>
        <v/>
      </c>
      <c r="G49" s="81" t="str">
        <f t="shared" si="18"/>
        <v/>
      </c>
      <c r="H49" s="85"/>
      <c r="I49" s="77"/>
      <c r="J49" s="83"/>
    </row>
    <row r="50" spans="1:17" ht="13.5" hidden="1" x14ac:dyDescent="0.25">
      <c r="A50" s="78">
        <f t="shared" si="15"/>
        <v>0</v>
      </c>
      <c r="B50" s="84" t="str">
        <f>IFERROR(VLOOKUP(H50,[1]SEMIELABORADOS!$A$2:$M$6000,2,0),"")</f>
        <v/>
      </c>
      <c r="C50" s="79">
        <f t="shared" si="16"/>
        <v>0</v>
      </c>
      <c r="D50" s="80" t="str">
        <f>IFERROR(VLOOKUP(H50,[1]SEMIELABORADOS!$A$2:$M$6000,6,0),"")</f>
        <v/>
      </c>
      <c r="E50" s="80" t="str">
        <f>IFERROR(VLOOKUP(H50,[1]SEMIELABORADOS!$A$2:$M$65536,12,0),"")</f>
        <v/>
      </c>
      <c r="F50" s="80" t="str">
        <f t="shared" si="17"/>
        <v/>
      </c>
      <c r="G50" s="81" t="str">
        <f t="shared" si="18"/>
        <v/>
      </c>
      <c r="H50" s="84"/>
      <c r="I50" s="77"/>
      <c r="J50" s="83"/>
    </row>
    <row r="51" spans="1:17" ht="13.5" x14ac:dyDescent="0.25">
      <c r="A51" s="78">
        <v>1</v>
      </c>
      <c r="B51" s="84" t="s">
        <v>102</v>
      </c>
      <c r="C51" s="79">
        <f>+A51</f>
        <v>1</v>
      </c>
      <c r="D51" s="79" t="s">
        <v>103</v>
      </c>
      <c r="E51" s="80">
        <f>+F65</f>
        <v>539</v>
      </c>
      <c r="F51" s="80">
        <f>IFERROR(C51*E51,"")</f>
        <v>539</v>
      </c>
      <c r="G51" s="81">
        <f>IFERROR(F51/$F$66,"")</f>
        <v>0.16624830935904883</v>
      </c>
      <c r="H51" s="89"/>
      <c r="I51" s="89"/>
      <c r="J51" s="83"/>
    </row>
    <row r="52" spans="1:17" ht="14.25" thickBot="1" x14ac:dyDescent="0.3">
      <c r="A52" s="78"/>
      <c r="B52" s="84"/>
      <c r="C52" s="79"/>
      <c r="D52" s="79"/>
      <c r="E52" s="80"/>
      <c r="F52" s="80"/>
      <c r="G52" s="81"/>
      <c r="H52" s="89"/>
      <c r="I52" s="89"/>
      <c r="J52" s="83"/>
    </row>
    <row r="53" spans="1:17" ht="13.5" thickBot="1" x14ac:dyDescent="0.25">
      <c r="A53" s="90"/>
      <c r="B53" s="495" t="s">
        <v>104</v>
      </c>
      <c r="C53" s="495"/>
      <c r="D53" s="495"/>
      <c r="E53" s="495"/>
      <c r="F53" s="92">
        <f>SUM(F8:F14,F17:F24)</f>
        <v>2303.7033333333334</v>
      </c>
      <c r="G53" s="81">
        <f>+F53/$F$66</f>
        <v>0.71055062046655282</v>
      </c>
      <c r="H53" s="93">
        <f>+F53/$D$60</f>
        <v>2303.7033333333334</v>
      </c>
      <c r="I53" s="93"/>
      <c r="J53" s="94"/>
      <c r="K53" s="95"/>
      <c r="L53" s="95"/>
      <c r="M53" s="95"/>
      <c r="N53" s="95"/>
      <c r="O53" s="95"/>
      <c r="P53" s="95"/>
      <c r="Q53" s="96"/>
    </row>
    <row r="54" spans="1:17" x14ac:dyDescent="0.2">
      <c r="A54" s="90"/>
      <c r="B54" s="495" t="s">
        <v>105</v>
      </c>
      <c r="C54" s="495"/>
      <c r="D54" s="495"/>
      <c r="E54" s="495"/>
      <c r="F54" s="92">
        <f>SUM(F27:F32,F35:F41)</f>
        <v>353.36083333333335</v>
      </c>
      <c r="G54" s="81">
        <f>+F54/$F$66</f>
        <v>0.10899005776506734</v>
      </c>
      <c r="H54" s="93">
        <f>+F54/$D$60</f>
        <v>353.36083333333335</v>
      </c>
      <c r="I54" s="93"/>
      <c r="J54" s="97"/>
      <c r="K54" s="496" t="s">
        <v>106</v>
      </c>
      <c r="L54" s="497"/>
      <c r="M54" s="497"/>
      <c r="N54" s="497"/>
      <c r="O54" s="98">
        <f>+F55</f>
        <v>2657.0641666666666</v>
      </c>
      <c r="P54" s="98"/>
      <c r="Q54" s="99"/>
    </row>
    <row r="55" spans="1:17" x14ac:dyDescent="0.2">
      <c r="A55" s="90"/>
      <c r="B55" s="495" t="s">
        <v>107</v>
      </c>
      <c r="C55" s="495"/>
      <c r="D55" s="495"/>
      <c r="E55" s="495"/>
      <c r="F55" s="92">
        <f>+F53+F54</f>
        <v>2657.0641666666666</v>
      </c>
      <c r="G55" s="81">
        <f>+F55/$F$66</f>
        <v>0.81954067823162013</v>
      </c>
      <c r="H55" s="93">
        <f>+F55/$D$60</f>
        <v>2657.0641666666666</v>
      </c>
      <c r="I55" s="93"/>
      <c r="J55" s="100"/>
      <c r="K55" s="101"/>
      <c r="M55" s="102" t="s">
        <v>108</v>
      </c>
      <c r="N55" s="103"/>
      <c r="O55" s="98">
        <f>+H56</f>
        <v>773.91666666666663</v>
      </c>
      <c r="P55" s="98"/>
      <c r="Q55" s="99"/>
    </row>
    <row r="56" spans="1:17" ht="13.5" thickBot="1" x14ac:dyDescent="0.25">
      <c r="A56" s="90"/>
      <c r="B56" s="91"/>
      <c r="C56" s="495" t="s">
        <v>109</v>
      </c>
      <c r="D56" s="495"/>
      <c r="E56" s="495"/>
      <c r="F56" s="92">
        <f>SUM(F44:F51)</f>
        <v>773.91666666666663</v>
      </c>
      <c r="G56" s="81">
        <f>+F56/$F$66</f>
        <v>0.23870563528408881</v>
      </c>
      <c r="H56" s="93">
        <f>+F56/$D$60</f>
        <v>773.91666666666663</v>
      </c>
      <c r="I56" s="93"/>
      <c r="J56" s="100"/>
      <c r="K56" s="101"/>
      <c r="L56" s="101"/>
      <c r="M56" s="101" t="s">
        <v>110</v>
      </c>
      <c r="N56" s="104"/>
      <c r="O56" s="98">
        <f>O54*N56</f>
        <v>0</v>
      </c>
      <c r="P56" s="98"/>
      <c r="Q56" s="99"/>
    </row>
    <row r="57" spans="1:17" ht="13.5" thickBot="1" x14ac:dyDescent="0.25">
      <c r="A57" s="90"/>
      <c r="B57" s="105"/>
      <c r="C57" s="105"/>
      <c r="D57" s="105"/>
      <c r="E57" s="105"/>
      <c r="F57" s="106"/>
      <c r="G57" s="81"/>
      <c r="H57" s="107"/>
      <c r="I57" s="93"/>
      <c r="J57" s="100"/>
      <c r="K57" s="108"/>
      <c r="M57" s="109" t="s">
        <v>111</v>
      </c>
      <c r="N57" s="110"/>
      <c r="O57" s="111">
        <f>SUM(O54:O56)</f>
        <v>3430.9808333333331</v>
      </c>
      <c r="P57" s="112"/>
      <c r="Q57" s="99"/>
    </row>
    <row r="58" spans="1:17" x14ac:dyDescent="0.2">
      <c r="B58" s="498" t="s">
        <v>112</v>
      </c>
      <c r="C58" s="498"/>
      <c r="D58" s="113">
        <v>900</v>
      </c>
      <c r="E58" s="114"/>
      <c r="G58" s="81"/>
      <c r="H58" s="107">
        <f>+H56/77</f>
        <v>10.0508658008658</v>
      </c>
      <c r="I58" s="115"/>
      <c r="J58" s="100"/>
      <c r="K58" s="108"/>
      <c r="L58" s="101"/>
      <c r="M58" s="101" t="s">
        <v>113</v>
      </c>
      <c r="N58" s="116"/>
      <c r="O58" s="98">
        <f>+H59</f>
        <v>643.25541125541122</v>
      </c>
      <c r="P58" s="98"/>
      <c r="Q58" s="99"/>
    </row>
    <row r="59" spans="1:17" x14ac:dyDescent="0.2">
      <c r="B59" s="498" t="s">
        <v>114</v>
      </c>
      <c r="C59" s="498"/>
      <c r="D59" s="117">
        <v>900</v>
      </c>
      <c r="E59" s="114"/>
      <c r="G59" s="81"/>
      <c r="H59" s="107">
        <f>+H58*64</f>
        <v>643.25541125541122</v>
      </c>
      <c r="I59" s="115"/>
      <c r="J59" s="100"/>
      <c r="K59" s="108"/>
      <c r="L59" s="101"/>
      <c r="M59" s="499" t="s">
        <v>111</v>
      </c>
      <c r="N59" s="499"/>
      <c r="O59" s="98">
        <f>SUM(O57:O58)</f>
        <v>4074.2362445887443</v>
      </c>
      <c r="P59" s="98"/>
      <c r="Q59" s="99"/>
    </row>
    <row r="60" spans="1:17" ht="13.5" thickBot="1" x14ac:dyDescent="0.25">
      <c r="B60" s="490" t="s">
        <v>115</v>
      </c>
      <c r="C60" s="490"/>
      <c r="D60" s="113">
        <f>+D58/D59</f>
        <v>1</v>
      </c>
      <c r="E60" s="114"/>
      <c r="F60" s="118"/>
      <c r="G60" s="81"/>
      <c r="H60" s="107"/>
      <c r="I60" s="115"/>
      <c r="J60" s="100"/>
      <c r="K60" s="108"/>
      <c r="L60" s="499"/>
      <c r="M60" s="499"/>
      <c r="N60" s="116"/>
      <c r="O60" s="98">
        <f>+O59*N60</f>
        <v>0</v>
      </c>
      <c r="P60" s="98"/>
      <c r="Q60" s="99"/>
    </row>
    <row r="61" spans="1:17" ht="13.5" thickBot="1" x14ac:dyDescent="0.25">
      <c r="B61" s="490" t="s">
        <v>116</v>
      </c>
      <c r="C61" s="490"/>
      <c r="D61" s="119"/>
      <c r="E61" s="114"/>
      <c r="F61" s="118"/>
      <c r="G61" s="81"/>
      <c r="H61" s="107"/>
      <c r="I61" s="115"/>
      <c r="J61" s="100"/>
      <c r="K61" s="491" t="s">
        <v>117</v>
      </c>
      <c r="L61" s="492"/>
      <c r="M61" s="492"/>
      <c r="N61" s="493"/>
      <c r="O61" s="111">
        <f>SUM(O59:O60)</f>
        <v>4074.2362445887443</v>
      </c>
      <c r="P61" s="120" t="s">
        <v>118</v>
      </c>
      <c r="Q61" s="99"/>
    </row>
    <row r="62" spans="1:17" ht="13.5" thickBot="1" x14ac:dyDescent="0.25">
      <c r="C62" s="90" t="s">
        <v>119</v>
      </c>
      <c r="D62" s="121"/>
      <c r="E62" s="64" t="s">
        <v>120</v>
      </c>
      <c r="F62" s="122" t="s">
        <v>121</v>
      </c>
      <c r="G62" s="81"/>
      <c r="H62" s="107"/>
      <c r="I62" s="115"/>
      <c r="J62" s="123"/>
      <c r="K62" s="124"/>
      <c r="L62" s="479" t="s">
        <v>122</v>
      </c>
      <c r="M62" s="479"/>
      <c r="N62" s="479"/>
      <c r="O62" s="125">
        <f>+O61/D60</f>
        <v>4074.2362445887443</v>
      </c>
      <c r="P62" s="126">
        <f>+O62/D59</f>
        <v>4.5269291606541602</v>
      </c>
      <c r="Q62" s="127"/>
    </row>
    <row r="63" spans="1:17" ht="13.5" thickBot="1" x14ac:dyDescent="0.25">
      <c r="B63" s="480" t="s">
        <v>107</v>
      </c>
      <c r="C63" s="480"/>
      <c r="D63" s="480"/>
      <c r="E63" s="128">
        <f>+F63/F63</f>
        <v>1</v>
      </c>
      <c r="F63" s="129">
        <f>SUM(F55)</f>
        <v>2657.0641666666666</v>
      </c>
      <c r="G63" s="81">
        <f>+F63/$F$66</f>
        <v>0.81954067823162013</v>
      </c>
      <c r="H63" s="107"/>
      <c r="I63" s="115"/>
      <c r="K63" s="481"/>
      <c r="L63" s="482"/>
      <c r="M63" s="482"/>
      <c r="N63" s="482"/>
      <c r="O63" s="130"/>
      <c r="P63" s="131"/>
    </row>
    <row r="64" spans="1:17" ht="13.5" thickBot="1" x14ac:dyDescent="0.25">
      <c r="B64" s="483" t="s">
        <v>123</v>
      </c>
      <c r="C64" s="483"/>
      <c r="D64" s="483"/>
      <c r="E64" s="132">
        <v>0.02</v>
      </c>
      <c r="F64" s="129">
        <f>+F53*E64</f>
        <v>46.074066666666667</v>
      </c>
      <c r="G64" s="81">
        <f>+F64/$F$66</f>
        <v>1.4211012409331057E-2</v>
      </c>
      <c r="H64" s="93"/>
      <c r="I64" s="115"/>
      <c r="J64" s="133"/>
      <c r="O64" s="134"/>
      <c r="P64" s="91"/>
    </row>
    <row r="65" spans="2:13" ht="13.5" thickBot="1" x14ac:dyDescent="0.25">
      <c r="B65" s="484" t="s">
        <v>124</v>
      </c>
      <c r="C65" s="485"/>
      <c r="D65" s="135">
        <v>7</v>
      </c>
      <c r="E65" s="136">
        <v>77</v>
      </c>
      <c r="F65" s="129">
        <f>+E65*D65</f>
        <v>539</v>
      </c>
      <c r="G65" s="81">
        <f>+F65/$F$66</f>
        <v>0.16624830935904883</v>
      </c>
      <c r="H65" s="93"/>
      <c r="I65" s="93"/>
      <c r="J65" s="83"/>
    </row>
    <row r="66" spans="2:13" ht="13.5" thickBot="1" x14ac:dyDescent="0.25">
      <c r="B66" s="486" t="s">
        <v>125</v>
      </c>
      <c r="C66" s="487"/>
      <c r="D66" s="487"/>
      <c r="E66" s="488"/>
      <c r="F66" s="106">
        <f>SUM(F63:F65)</f>
        <v>3242.1382333333331</v>
      </c>
      <c r="G66" s="81">
        <f>+F66/$F$66</f>
        <v>1</v>
      </c>
      <c r="H66" s="489"/>
      <c r="I66" s="93"/>
      <c r="J66" s="83"/>
      <c r="M66" s="66" t="s">
        <v>126</v>
      </c>
    </row>
    <row r="67" spans="2:13" x14ac:dyDescent="0.2">
      <c r="C67" s="88"/>
      <c r="D67" s="88"/>
      <c r="E67" s="138"/>
      <c r="F67" s="129"/>
      <c r="G67" s="81"/>
      <c r="H67" s="489"/>
      <c r="I67" s="137"/>
      <c r="J67" s="66"/>
      <c r="M67" s="66" t="s">
        <v>127</v>
      </c>
    </row>
    <row r="68" spans="2:13" ht="13.5" thickBot="1" x14ac:dyDescent="0.25">
      <c r="B68" s="474" t="s">
        <v>128</v>
      </c>
      <c r="C68" s="474"/>
      <c r="D68" s="474"/>
      <c r="E68" s="474"/>
      <c r="F68" s="474"/>
      <c r="G68" s="81"/>
      <c r="H68" s="140"/>
      <c r="I68" s="137"/>
      <c r="J68" s="66"/>
      <c r="M68" s="66" t="s">
        <v>129</v>
      </c>
    </row>
    <row r="69" spans="2:13" ht="13.5" thickBot="1" x14ac:dyDescent="0.25">
      <c r="B69" s="141" t="s">
        <v>130</v>
      </c>
      <c r="C69" s="142">
        <f>+F53</f>
        <v>2303.7033333333334</v>
      </c>
      <c r="D69" s="142">
        <f>+D58</f>
        <v>900</v>
      </c>
      <c r="E69" s="143">
        <f>+C69/D69</f>
        <v>2.5596703703703705</v>
      </c>
      <c r="F69" s="81"/>
      <c r="G69" s="140"/>
      <c r="H69" s="83"/>
      <c r="I69" s="140"/>
      <c r="J69" s="66"/>
    </row>
    <row r="70" spans="2:13" x14ac:dyDescent="0.2">
      <c r="B70" s="144"/>
      <c r="C70" s="145"/>
      <c r="D70" s="146"/>
      <c r="E70" s="129"/>
      <c r="F70" s="81"/>
      <c r="G70" s="140"/>
      <c r="H70" s="83"/>
      <c r="I70" s="83"/>
      <c r="J70" s="66"/>
    </row>
    <row r="71" spans="2:13" x14ac:dyDescent="0.2">
      <c r="B71" s="141" t="s">
        <v>131</v>
      </c>
      <c r="C71" s="142">
        <f>SUM(F63:F64)</f>
        <v>2703.1382333333331</v>
      </c>
      <c r="D71" s="142">
        <f>+D58</f>
        <v>900</v>
      </c>
      <c r="E71" s="147">
        <f>+C71/D71</f>
        <v>3.0034869259259258</v>
      </c>
      <c r="F71" s="81"/>
      <c r="G71" s="140"/>
      <c r="H71" s="83"/>
      <c r="I71" s="83"/>
      <c r="J71" s="66"/>
    </row>
    <row r="72" spans="2:13" x14ac:dyDescent="0.2">
      <c r="B72" s="141"/>
      <c r="C72" s="142"/>
      <c r="D72" s="142"/>
      <c r="E72" s="147"/>
      <c r="F72" s="81"/>
      <c r="G72" s="140"/>
      <c r="H72" s="83"/>
      <c r="I72" s="83"/>
      <c r="J72" s="66"/>
    </row>
    <row r="73" spans="2:13" ht="13.5" thickBot="1" x14ac:dyDescent="0.25">
      <c r="B73" s="141" t="s">
        <v>132</v>
      </c>
      <c r="C73" s="142">
        <f>+F65</f>
        <v>539</v>
      </c>
      <c r="D73" s="142">
        <f>+D58</f>
        <v>900</v>
      </c>
      <c r="E73" s="147">
        <f>+C73/D73</f>
        <v>0.59888888888888892</v>
      </c>
      <c r="F73" s="81"/>
      <c r="G73" s="140"/>
      <c r="H73" s="83"/>
      <c r="I73" s="83"/>
      <c r="J73" s="66"/>
    </row>
    <row r="74" spans="2:13" ht="13.5" thickBot="1" x14ac:dyDescent="0.25">
      <c r="B74" s="141" t="s">
        <v>133</v>
      </c>
      <c r="C74" s="142">
        <f>+F56</f>
        <v>773.91666666666663</v>
      </c>
      <c r="D74" s="142">
        <f>+D73</f>
        <v>900</v>
      </c>
      <c r="E74" s="143">
        <f>+C74/D74</f>
        <v>0.85990740740740734</v>
      </c>
      <c r="F74" s="81"/>
      <c r="G74" s="140"/>
      <c r="H74" s="83"/>
      <c r="I74" s="83"/>
      <c r="J74" s="66"/>
    </row>
    <row r="75" spans="2:13" ht="13.5" thickBot="1" x14ac:dyDescent="0.25">
      <c r="B75" s="105"/>
      <c r="C75" s="106"/>
      <c r="D75" s="106"/>
      <c r="E75" s="147"/>
      <c r="F75" s="81"/>
      <c r="G75" s="140"/>
      <c r="H75" s="83"/>
      <c r="I75" s="83"/>
      <c r="J75" s="66"/>
    </row>
    <row r="76" spans="2:13" ht="13.5" thickBot="1" x14ac:dyDescent="0.25">
      <c r="B76" s="141" t="s">
        <v>134</v>
      </c>
      <c r="C76" s="142">
        <f>+F54</f>
        <v>353.36083333333335</v>
      </c>
      <c r="D76" s="142">
        <f>+D74</f>
        <v>900</v>
      </c>
      <c r="E76" s="143">
        <f>+C76/D76</f>
        <v>0.39262314814814814</v>
      </c>
      <c r="F76" s="81"/>
      <c r="G76" s="140"/>
      <c r="H76" s="83"/>
      <c r="I76" s="83"/>
      <c r="J76" s="83"/>
    </row>
    <row r="77" spans="2:13" ht="13.5" thickBot="1" x14ac:dyDescent="0.25">
      <c r="B77" s="105"/>
      <c r="C77" s="106"/>
      <c r="D77" s="106"/>
      <c r="E77" s="147"/>
      <c r="F77" s="81"/>
      <c r="G77" s="140"/>
      <c r="H77" s="83"/>
      <c r="I77" s="83"/>
    </row>
    <row r="78" spans="2:13" ht="13.5" thickBot="1" x14ac:dyDescent="0.25">
      <c r="B78" s="475" t="s">
        <v>135</v>
      </c>
      <c r="C78" s="476"/>
      <c r="D78" s="477"/>
      <c r="E78" s="143">
        <f>+E69+E74</f>
        <v>3.4195777777777776</v>
      </c>
      <c r="G78" s="81"/>
      <c r="H78" s="140"/>
      <c r="I78" s="83"/>
      <c r="J78" s="147"/>
    </row>
    <row r="79" spans="2:13" x14ac:dyDescent="0.2">
      <c r="I79" s="140"/>
      <c r="J79" s="66"/>
    </row>
    <row r="80" spans="2:13" ht="13.5" thickBot="1" x14ac:dyDescent="0.25">
      <c r="B80" s="474" t="s">
        <v>136</v>
      </c>
      <c r="C80" s="474"/>
      <c r="D80" s="474"/>
      <c r="E80" s="474"/>
      <c r="F80" s="474"/>
      <c r="G80" s="81"/>
      <c r="H80" s="140"/>
      <c r="J80" s="66"/>
    </row>
    <row r="81" spans="1:10" ht="13.5" thickBot="1" x14ac:dyDescent="0.25">
      <c r="B81" s="141" t="s">
        <v>130</v>
      </c>
      <c r="C81" s="142">
        <f>+C69</f>
        <v>2303.7033333333334</v>
      </c>
      <c r="D81" s="142">
        <f>+D60</f>
        <v>1</v>
      </c>
      <c r="E81" s="143">
        <f>+C81/D81</f>
        <v>2303.7033333333334</v>
      </c>
      <c r="F81" s="81"/>
      <c r="G81" s="140"/>
      <c r="H81" s="83"/>
      <c r="I81" s="140"/>
      <c r="J81" s="66"/>
    </row>
    <row r="82" spans="1:10" x14ac:dyDescent="0.2">
      <c r="B82" s="144"/>
      <c r="C82" s="145"/>
      <c r="D82" s="146"/>
      <c r="E82" s="129"/>
      <c r="F82" s="81"/>
      <c r="G82" s="140"/>
      <c r="H82" s="83"/>
      <c r="I82" s="83"/>
      <c r="J82" s="66"/>
    </row>
    <row r="83" spans="1:10" x14ac:dyDescent="0.2">
      <c r="B83" s="141" t="s">
        <v>131</v>
      </c>
      <c r="C83" s="142">
        <f>+C71</f>
        <v>2703.1382333333331</v>
      </c>
      <c r="D83" s="142">
        <f>+D60</f>
        <v>1</v>
      </c>
      <c r="E83" s="147">
        <f>+C83/D83</f>
        <v>2703.1382333333331</v>
      </c>
      <c r="F83" s="81"/>
      <c r="G83" s="140"/>
      <c r="H83" s="83"/>
      <c r="I83" s="83"/>
      <c r="J83" s="66"/>
    </row>
    <row r="84" spans="1:10" x14ac:dyDescent="0.2">
      <c r="B84" s="141"/>
      <c r="C84" s="142"/>
      <c r="D84" s="142"/>
      <c r="E84" s="147"/>
      <c r="F84" s="81"/>
      <c r="G84" s="140"/>
      <c r="H84" s="83"/>
      <c r="I84" s="83"/>
      <c r="J84" s="66"/>
    </row>
    <row r="85" spans="1:10" ht="13.5" thickBot="1" x14ac:dyDescent="0.25">
      <c r="B85" s="141" t="s">
        <v>133</v>
      </c>
      <c r="C85" s="142">
        <f>+C73</f>
        <v>539</v>
      </c>
      <c r="D85" s="142">
        <f>+D60</f>
        <v>1</v>
      </c>
      <c r="E85" s="147">
        <f>+C85/D85</f>
        <v>539</v>
      </c>
      <c r="F85" s="149"/>
      <c r="G85" s="139"/>
      <c r="H85" s="65"/>
      <c r="I85" s="83"/>
    </row>
    <row r="86" spans="1:10" ht="13.5" thickBot="1" x14ac:dyDescent="0.25">
      <c r="B86" s="141" t="s">
        <v>133</v>
      </c>
      <c r="C86" s="142">
        <f>+C74</f>
        <v>773.91666666666663</v>
      </c>
      <c r="D86" s="142">
        <f>+D85</f>
        <v>1</v>
      </c>
      <c r="E86" s="143">
        <f>+C86/D86</f>
        <v>773.91666666666663</v>
      </c>
      <c r="F86" s="148"/>
      <c r="G86" s="139"/>
      <c r="H86" s="65"/>
      <c r="I86" s="65"/>
    </row>
    <row r="87" spans="1:10" x14ac:dyDescent="0.2">
      <c r="I87" s="65"/>
    </row>
    <row r="88" spans="1:10" x14ac:dyDescent="0.2">
      <c r="A88" s="478"/>
      <c r="B88" s="478"/>
      <c r="C88" s="150"/>
      <c r="D88" s="150"/>
      <c r="E88" s="151"/>
      <c r="G88" s="152"/>
    </row>
    <row r="89" spans="1:10" x14ac:dyDescent="0.2">
      <c r="A89" s="84"/>
      <c r="B89" s="153"/>
      <c r="C89" s="154"/>
      <c r="D89" s="154"/>
      <c r="E89" s="155"/>
      <c r="G89" s="152"/>
    </row>
    <row r="90" spans="1:10" x14ac:dyDescent="0.2">
      <c r="A90" s="84"/>
      <c r="B90" s="153"/>
      <c r="C90" s="156"/>
      <c r="D90" s="156"/>
      <c r="E90" s="84"/>
      <c r="G90" s="152"/>
    </row>
    <row r="91" spans="1:10" x14ac:dyDescent="0.2">
      <c r="A91" s="84"/>
      <c r="B91" s="153"/>
      <c r="C91" s="157"/>
      <c r="D91" s="157"/>
      <c r="E91" s="84"/>
      <c r="G91" s="15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49688B-0C87-4022-9F33-FCF00B9AF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66D3823-19DB-4EF6-BF0F-D7DD1452B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1CC3D5-A989-4BB4-A390-1F72F3045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Costo Salsa Maracuya</vt:lpstr>
      <vt:lpstr>Crema chantilly Blanca </vt:lpstr>
      <vt:lpstr>Fudge de chocolate </vt:lpstr>
      <vt:lpstr>Empaque Fudge Chocolate</vt:lpstr>
      <vt:lpstr>Costo Mousse Maracuya</vt:lpstr>
      <vt:lpstr>Premezcla Brownie</vt:lpstr>
      <vt:lpstr>Batido Brownie Casero</vt:lpstr>
      <vt:lpstr>Rosquete Brownie Casero</vt:lpstr>
      <vt:lpstr>Ensamble</vt:lpstr>
      <vt:lpstr>Costo Ensamble </vt:lpstr>
      <vt:lpstr>Ensamble!Área_de_impresión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</dc:creator>
  <cp:keywords/>
  <dc:description/>
  <cp:lastModifiedBy>Allan Brenes</cp:lastModifiedBy>
  <cp:revision/>
  <cp:lastPrinted>2026-01-12T14:22:00Z</cp:lastPrinted>
  <dcterms:created xsi:type="dcterms:W3CDTF">2012-08-16T22:23:23Z</dcterms:created>
  <dcterms:modified xsi:type="dcterms:W3CDTF">2026-01-12T14:22:36Z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
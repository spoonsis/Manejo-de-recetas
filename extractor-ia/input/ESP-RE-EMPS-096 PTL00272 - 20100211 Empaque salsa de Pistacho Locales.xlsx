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7C995684-9EF0-477F-A059-49C5DB278438}" xr6:coauthVersionLast="47" xr6:coauthVersionMax="47" xr10:uidLastSave="{516591BC-A767-4A76-8EBA-D5BE9E2C7702}"/>
  <bookViews>
    <workbookView xWindow="-120" yWindow="-120" windowWidth="20730" windowHeight="11040" xr2:uid="{50F2DBBE-0BC0-4920-B676-3BEAAFC7F175}"/>
  </bookViews>
  <sheets>
    <sheet name="Salsa de Pistacho" sheetId="2" r:id="rId1"/>
    <sheet name="Costo Salsa de Pistacho" sheetId="3" state="hidden" r:id="rId2"/>
  </sheets>
  <externalReferences>
    <externalReference r:id="rId3"/>
    <externalReference r:id="rId4"/>
    <externalReference r:id="rId5"/>
  </externalReferences>
  <definedNames>
    <definedName name="_xlnm.Print_Area" localSheetId="0">'Salsa de Pistacho'!$A$1:$I$54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35" i="3"/>
  <c r="E44" i="3" l="1"/>
  <c r="D73" i="3" l="1"/>
  <c r="D74" i="3" s="1"/>
  <c r="D76" i="3" s="1"/>
  <c r="D71" i="3"/>
  <c r="D69" i="3"/>
  <c r="F65" i="3"/>
  <c r="E51" i="3" s="1"/>
  <c r="F51" i="3" s="1"/>
  <c r="D60" i="3"/>
  <c r="D85" i="3" s="1"/>
  <c r="D86" i="3" s="1"/>
  <c r="C51" i="3"/>
  <c r="E50" i="3"/>
  <c r="D50" i="3"/>
  <c r="B50" i="3"/>
  <c r="E49" i="3"/>
  <c r="D49" i="3"/>
  <c r="B49" i="3"/>
  <c r="E48" i="3"/>
  <c r="D48" i="3"/>
  <c r="B48" i="3"/>
  <c r="A48" i="3"/>
  <c r="C48" i="3" s="1"/>
  <c r="E47" i="3"/>
  <c r="D47" i="3"/>
  <c r="B47" i="3"/>
  <c r="E46" i="3"/>
  <c r="D46" i="3"/>
  <c r="B46" i="3"/>
  <c r="E45" i="3"/>
  <c r="D45" i="3"/>
  <c r="B45" i="3"/>
  <c r="E41" i="3"/>
  <c r="D41" i="3"/>
  <c r="B41" i="3"/>
  <c r="A41" i="3"/>
  <c r="A50" i="3" s="1"/>
  <c r="C50" i="3" s="1"/>
  <c r="E40" i="3"/>
  <c r="D40" i="3"/>
  <c r="C40" i="3"/>
  <c r="B40" i="3"/>
  <c r="A40" i="3"/>
  <c r="A49" i="3" s="1"/>
  <c r="C49" i="3" s="1"/>
  <c r="E39" i="3"/>
  <c r="D39" i="3"/>
  <c r="C39" i="3"/>
  <c r="B39" i="3"/>
  <c r="A39" i="3"/>
  <c r="E38" i="3"/>
  <c r="D38" i="3"/>
  <c r="B38" i="3"/>
  <c r="A38" i="3"/>
  <c r="A47" i="3" s="1"/>
  <c r="C47" i="3" s="1"/>
  <c r="E37" i="3"/>
  <c r="D37" i="3"/>
  <c r="B37" i="3"/>
  <c r="A37" i="3"/>
  <c r="A46" i="3" s="1"/>
  <c r="C46" i="3" s="1"/>
  <c r="E36" i="3"/>
  <c r="D36" i="3"/>
  <c r="B36" i="3"/>
  <c r="A36" i="3"/>
  <c r="A45" i="3" s="1"/>
  <c r="C45" i="3" s="1"/>
  <c r="C35" i="3"/>
  <c r="A35" i="3"/>
  <c r="A44" i="3" s="1"/>
  <c r="C44" i="3" s="1"/>
  <c r="E32" i="3"/>
  <c r="D32" i="3"/>
  <c r="C32" i="3"/>
  <c r="B32" i="3"/>
  <c r="E31" i="3"/>
  <c r="D31" i="3"/>
  <c r="C31" i="3"/>
  <c r="B31" i="3"/>
  <c r="E30" i="3"/>
  <c r="F30" i="3" s="1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F18" i="3" s="1"/>
  <c r="D18" i="3"/>
  <c r="C18" i="3"/>
  <c r="B18" i="3"/>
  <c r="F17" i="3"/>
  <c r="C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F11" i="3" s="1"/>
  <c r="D11" i="3"/>
  <c r="C11" i="3"/>
  <c r="B11" i="3"/>
  <c r="E10" i="3"/>
  <c r="F10" i="3" s="1"/>
  <c r="D10" i="3"/>
  <c r="C10" i="3"/>
  <c r="B10" i="3"/>
  <c r="E9" i="3"/>
  <c r="F9" i="3" s="1"/>
  <c r="D9" i="3"/>
  <c r="C9" i="3"/>
  <c r="B9" i="3"/>
  <c r="E8" i="3"/>
  <c r="F8" i="3" s="1"/>
  <c r="D8" i="3"/>
  <c r="C8" i="3"/>
  <c r="B8" i="3"/>
  <c r="H6" i="3"/>
  <c r="F45" i="3" l="1"/>
  <c r="F32" i="3"/>
  <c r="F20" i="3"/>
  <c r="F22" i="3"/>
  <c r="F24" i="3"/>
  <c r="F39" i="3"/>
  <c r="F50" i="3"/>
  <c r="F19" i="3"/>
  <c r="F21" i="3"/>
  <c r="F23" i="3"/>
  <c r="C36" i="3"/>
  <c r="F36" i="3" s="1"/>
  <c r="F40" i="3"/>
  <c r="F31" i="3"/>
  <c r="F35" i="3"/>
  <c r="F12" i="3"/>
  <c r="F14" i="3"/>
  <c r="F28" i="3"/>
  <c r="F27" i="3"/>
  <c r="F29" i="3"/>
  <c r="F13" i="3"/>
  <c r="F44" i="3"/>
  <c r="F49" i="3"/>
  <c r="F46" i="3"/>
  <c r="F47" i="3"/>
  <c r="F48" i="3"/>
  <c r="C38" i="3"/>
  <c r="F38" i="3" s="1"/>
  <c r="C37" i="3"/>
  <c r="F37" i="3" s="1"/>
  <c r="C41" i="3"/>
  <c r="F41" i="3" s="1"/>
  <c r="D83" i="3"/>
  <c r="D81" i="3"/>
  <c r="C73" i="3"/>
  <c r="F53" i="3" l="1"/>
  <c r="C69" i="3" s="1"/>
  <c r="C81" i="3" s="1"/>
  <c r="E81" i="3" s="1"/>
  <c r="H53" i="3"/>
  <c r="F2" i="3" s="1"/>
  <c r="F64" i="3"/>
  <c r="F54" i="3"/>
  <c r="E69" i="3"/>
  <c r="C85" i="3"/>
  <c r="E85" i="3" s="1"/>
  <c r="E73" i="3"/>
  <c r="F56" i="3"/>
  <c r="H56" i="3" l="1"/>
  <c r="C74" i="3"/>
  <c r="H54" i="3"/>
  <c r="G2" i="3" s="1"/>
  <c r="C76" i="3"/>
  <c r="E76" i="3" s="1"/>
  <c r="F55" i="3"/>
  <c r="H55" i="3" l="1"/>
  <c r="F63" i="3"/>
  <c r="O54" i="3"/>
  <c r="E74" i="3"/>
  <c r="E78" i="3" s="1"/>
  <c r="C86" i="3"/>
  <c r="E86" i="3" s="1"/>
  <c r="H2" i="3"/>
  <c r="H58" i="3"/>
  <c r="H59" i="3" s="1"/>
  <c r="O58" i="3" s="1"/>
  <c r="O55" i="3"/>
  <c r="O56" i="3" l="1"/>
  <c r="O57" i="3" s="1"/>
  <c r="O59" i="3" s="1"/>
  <c r="C71" i="3"/>
  <c r="E63" i="3"/>
  <c r="F66" i="3"/>
  <c r="G63" i="3" s="1"/>
  <c r="C83" i="3" l="1"/>
  <c r="E83" i="3" s="1"/>
  <c r="E71" i="3"/>
  <c r="G66" i="3"/>
  <c r="G9" i="3"/>
  <c r="G24" i="3"/>
  <c r="G13" i="3"/>
  <c r="G31" i="3"/>
  <c r="G19" i="3"/>
  <c r="G32" i="3"/>
  <c r="G11" i="3"/>
  <c r="G36" i="3"/>
  <c r="G21" i="3"/>
  <c r="G39" i="3"/>
  <c r="G8" i="3"/>
  <c r="G20" i="3"/>
  <c r="G27" i="3"/>
  <c r="G53" i="3"/>
  <c r="G23" i="3"/>
  <c r="G51" i="3"/>
  <c r="G14" i="3"/>
  <c r="G65" i="3"/>
  <c r="G22" i="3"/>
  <c r="G29" i="3"/>
  <c r="G28" i="3"/>
  <c r="G18" i="3"/>
  <c r="G30" i="3"/>
  <c r="G35" i="3"/>
  <c r="G50" i="3"/>
  <c r="G40" i="3"/>
  <c r="G12" i="3"/>
  <c r="G17" i="3"/>
  <c r="G10" i="3"/>
  <c r="G45" i="3"/>
  <c r="G37" i="3"/>
  <c r="G49" i="3"/>
  <c r="G48" i="3"/>
  <c r="G41" i="3"/>
  <c r="G64" i="3"/>
  <c r="G47" i="3"/>
  <c r="G44" i="3"/>
  <c r="G38" i="3"/>
  <c r="G46" i="3"/>
  <c r="G54" i="3"/>
  <c r="G56" i="3"/>
  <c r="G55" i="3"/>
  <c r="O60" i="3"/>
  <c r="O61" i="3" s="1"/>
  <c r="O62" i="3" s="1"/>
  <c r="P62" i="3" l="1"/>
  <c r="E2" i="3"/>
</calcChain>
</file>

<file path=xl/sharedStrings.xml><?xml version="1.0" encoding="utf-8"?>
<sst xmlns="http://schemas.openxmlformats.org/spreadsheetml/2006/main" count="160" uniqueCount="110">
  <si>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</si>
  <si>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</si>
  <si>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</si>
  <si>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</si>
  <si>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</si>
  <si>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</si>
  <si>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</si>
  <si>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</si>
  <si>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</si>
  <si>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</si>
  <si>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</si>
  <si>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</si>
  <si>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</si>
  <si>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</si>
  <si>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</si>
  <si>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</si>
  <si>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</si>
  <si>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</si>
  <si>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</si>
  <si>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</si>
  <si>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</si>
  <si>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EM10037</t>
  </si>
  <si>
    <t>BOLSA 8x12 TRANSPARENTE KILO</t>
  </si>
  <si>
    <t>ud</t>
  </si>
  <si>
    <t>EM10004</t>
  </si>
  <si>
    <t>ETIQ.FECHA VENCIMIENTO BLANCO (ROLLO)</t>
  </si>
  <si>
    <t>EM10002</t>
  </si>
  <si>
    <t>ETIQ.BLANCA 1 1/4 * 3/4 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</si>
  <si>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</si>
  <si>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</si>
  <si>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</si>
  <si>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</si>
  <si>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</si>
  <si>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</si>
  <si>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</si>
  <si>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</si>
  <si>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2, Hacer nudo y etiquetar</t>
  </si>
  <si>
    <t>Javier Tong, Chef</t>
  </si>
  <si>
    <t>Esteban Cartin, Gte Manufactura</t>
  </si>
  <si>
    <t>Cocina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</si>
  <si>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</si>
  <si>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</si>
  <si>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</si>
  <si>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</si>
  <si>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</si>
  <si>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</si>
  <si>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</si>
  <si>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CONTROL DE CAMBIOS</t>
  </si>
  <si>
    <t>SE00739</t>
  </si>
  <si>
    <t>SALSA DE PISTACHO</t>
  </si>
  <si>
    <t xml:space="preserve">1, Empacar 240g de salsa, en una bolsa 8*12. </t>
  </si>
  <si>
    <t>PTL00272 - 20100211 Empaque salsa de Pistacho Locales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</si>
  <si>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</si>
  <si>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</si>
  <si>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</si>
  <si>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</si>
  <si>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</si>
  <si>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</si>
  <si>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</si>
  <si>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</si>
  <si>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</si>
  <si>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</si>
  <si>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</si>
  <si>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</si>
  <si>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</si>
  <si>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</si>
  <si>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</si>
  <si>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</si>
  <si>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</si>
  <si>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</si>
  <si>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</si>
  <si>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</si>
  <si>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</si>
  <si>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</si>
  <si>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</si>
  <si>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</si>
  <si>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</si>
  <si>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</si>
  <si>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</si>
  <si>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</si>
  <si>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</si>
  <si>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</si>
  <si>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</si>
  <si>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</si>
  <si>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</si>
  <si>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</si>
  <si>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</si>
  <si>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</si>
  <si>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</si>
  <si>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</si>
  <si>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</si>
  <si>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</si>
  <si>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</si>
  <si>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</si>
  <si>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</si>
  <si>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</si>
  <si>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</si>
  <si>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</si>
  <si>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</si>
  <si>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</si>
  <si>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</si>
  <si>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</si>
  <si>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</si>
  <si>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</si>
  <si>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</si>
  <si>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1950705</t>
  </si>
  <si>
    <t>0702007</t>
  </si>
  <si>
    <t>0702069</t>
  </si>
  <si>
    <t>01</t>
  </si>
  <si>
    <t>ESP-RE-EMPS-096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</si>
</sst>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4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Times New Roman"/>
      <family val="1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90">
    <xf numFmtId="0" fontId="0" fillId="0" borderId="0" xfId="0"/>
    <xf numFmtId="0" fontId="2" fillId="2" borderId="3" xfId="1" applyFont="1" applyFill="1" applyBorder="1" applyAlignment="1">
      <alignment horizontal="center"/>
    </xf>
    <xf numFmtId="0" fontId="2" fillId="0" borderId="0" xfId="2"/>
    <xf numFmtId="0" fontId="6" fillId="2" borderId="2" xfId="1" applyFont="1" applyFill="1" applyBorder="1" applyAlignment="1">
      <alignment horizontal="right"/>
    </xf>
    <xf numFmtId="0" fontId="6" fillId="2" borderId="6" xfId="1" applyFont="1" applyFill="1" applyBorder="1" applyAlignment="1">
      <alignment horizontal="right"/>
    </xf>
    <xf numFmtId="49" fontId="4" fillId="2" borderId="7" xfId="1" applyNumberFormat="1" applyFont="1" applyFill="1" applyBorder="1" applyAlignment="1">
      <alignment horizontal="center"/>
    </xf>
    <xf numFmtId="0" fontId="4" fillId="2" borderId="17" xfId="1" applyFont="1" applyFill="1" applyBorder="1" applyAlignment="1">
      <alignment horizontal="right"/>
    </xf>
    <xf numFmtId="0" fontId="4" fillId="2" borderId="6" xfId="1" applyFont="1" applyFill="1" applyBorder="1" applyAlignment="1">
      <alignment horizontal="right"/>
    </xf>
    <xf numFmtId="0" fontId="6" fillId="3" borderId="3" xfId="2" applyFont="1" applyFill="1" applyBorder="1" applyAlignment="1">
      <alignment horizontal="center" vertical="center" wrapText="1"/>
    </xf>
    <xf numFmtId="1" fontId="6" fillId="3" borderId="12" xfId="2" applyNumberFormat="1" applyFont="1" applyFill="1" applyBorder="1" applyAlignment="1">
      <alignment horizontal="center"/>
    </xf>
    <xf numFmtId="1" fontId="6" fillId="3" borderId="12" xfId="2" applyNumberFormat="1" applyFont="1" applyFill="1" applyBorder="1" applyAlignment="1">
      <alignment horizontal="center" wrapText="1"/>
    </xf>
    <xf numFmtId="0" fontId="6" fillId="3" borderId="13" xfId="2" applyFont="1" applyFill="1" applyBorder="1" applyAlignment="1">
      <alignment horizontal="center"/>
    </xf>
    <xf numFmtId="0" fontId="4" fillId="2" borderId="0" xfId="2" applyFont="1" applyFill="1"/>
    <xf numFmtId="0" fontId="4" fillId="2" borderId="0" xfId="2" applyFont="1" applyFill="1" applyAlignment="1">
      <alignment horizontal="left" indent="1"/>
    </xf>
    <xf numFmtId="9" fontId="4" fillId="2" borderId="0" xfId="4" applyFont="1" applyFill="1"/>
    <xf numFmtId="0" fontId="8" fillId="0" borderId="6" xfId="0" applyFont="1" applyBorder="1" applyAlignment="1">
      <alignment horizontal="center"/>
    </xf>
    <xf numFmtId="0" fontId="8" fillId="0" borderId="6" xfId="0" applyFont="1" applyBorder="1"/>
    <xf numFmtId="0" fontId="7" fillId="4" borderId="0" xfId="0" applyFont="1" applyFill="1" applyAlignment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10" fillId="0" borderId="6" xfId="6" applyFont="1" applyFill="1" applyBorder="1" applyAlignment="1">
      <alignment horizontal="center" vertical="center"/>
    </xf>
    <xf numFmtId="43" fontId="10" fillId="0" borderId="0" xfId="6" applyFont="1" applyFill="1" applyBorder="1" applyAlignment="1">
      <alignment horizontal="center" vertical="center"/>
    </xf>
    <xf numFmtId="43" fontId="12" fillId="0" borderId="0" xfId="6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0" fontId="10" fillId="8" borderId="45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 wrapText="1"/>
    </xf>
    <xf numFmtId="0" fontId="10" fillId="8" borderId="4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7" applyNumberFormat="1" applyFont="1" applyFill="1" applyAlignment="1">
      <alignment horizontal="center" vertical="center"/>
    </xf>
    <xf numFmtId="4" fontId="10" fillId="0" borderId="0" xfId="7" applyNumberFormat="1" applyFont="1" applyFill="1" applyAlignment="1">
      <alignment horizontal="center" vertical="center"/>
    </xf>
    <xf numFmtId="10" fontId="10" fillId="0" borderId="0" xfId="5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0" fontId="7" fillId="0" borderId="0" xfId="0" applyFont="1"/>
    <xf numFmtId="49" fontId="10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6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6" applyNumberFormat="1" applyFont="1" applyFill="1" applyAlignment="1">
      <alignment vertical="center"/>
    </xf>
    <xf numFmtId="43" fontId="18" fillId="0" borderId="0" xfId="6" applyFont="1" applyFill="1" applyAlignment="1">
      <alignment horizontal="center" vertical="center"/>
    </xf>
    <xf numFmtId="10" fontId="11" fillId="8" borderId="48" xfId="5" applyNumberFormat="1" applyFont="1" applyFill="1" applyBorder="1" applyAlignment="1">
      <alignment vertical="center"/>
    </xf>
    <xf numFmtId="0" fontId="7" fillId="8" borderId="22" xfId="0" applyFont="1" applyFill="1" applyBorder="1" applyAlignment="1">
      <alignment vertical="center"/>
    </xf>
    <xf numFmtId="0" fontId="7" fillId="8" borderId="48" xfId="0" applyFont="1" applyFill="1" applyBorder="1" applyAlignment="1">
      <alignment vertical="center"/>
    </xf>
    <xf numFmtId="43" fontId="18" fillId="8" borderId="49" xfId="6" applyFont="1" applyFill="1" applyBorder="1" applyAlignment="1">
      <alignment horizontal="center" vertical="center"/>
    </xf>
    <xf numFmtId="43" fontId="20" fillId="0" borderId="0" xfId="6" applyFont="1" applyFill="1" applyBorder="1" applyAlignment="1">
      <alignment horizontal="right"/>
    </xf>
    <xf numFmtId="0" fontId="7" fillId="8" borderId="49" xfId="0" applyFont="1" applyFill="1" applyBorder="1" applyAlignment="1">
      <alignment vertical="center"/>
    </xf>
    <xf numFmtId="10" fontId="11" fillId="8" borderId="49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6" applyNumberFormat="1" applyFont="1" applyFill="1" applyAlignment="1">
      <alignment vertical="center"/>
    </xf>
    <xf numFmtId="4" fontId="18" fillId="0" borderId="0" xfId="7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41" xfId="0" applyFont="1" applyBorder="1" applyAlignment="1">
      <alignment horizontal="right"/>
    </xf>
    <xf numFmtId="43" fontId="24" fillId="5" borderId="50" xfId="6" applyFont="1" applyFill="1" applyBorder="1" applyAlignment="1">
      <alignment horizontal="right"/>
    </xf>
    <xf numFmtId="43" fontId="24" fillId="0" borderId="0" xfId="6" applyFont="1" applyFill="1" applyBorder="1" applyAlignment="1">
      <alignment horizontal="right"/>
    </xf>
    <xf numFmtId="43" fontId="10" fillId="0" borderId="6" xfId="6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7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69" fontId="10" fillId="8" borderId="6" xfId="6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10" fillId="9" borderId="6" xfId="6" applyFont="1" applyFill="1" applyBorder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8" borderId="51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6" applyNumberFormat="1" applyFont="1" applyFill="1" applyBorder="1" applyAlignment="1">
      <alignment horizontal="center"/>
    </xf>
    <xf numFmtId="2" fontId="23" fillId="0" borderId="0" xfId="6" applyNumberFormat="1" applyFont="1" applyFill="1" applyBorder="1" applyAlignment="1">
      <alignment horizontal="center"/>
    </xf>
    <xf numFmtId="0" fontId="7" fillId="8" borderId="51" xfId="0" applyFont="1" applyFill="1" applyBorder="1" applyAlignment="1">
      <alignment vertical="center"/>
    </xf>
    <xf numFmtId="10" fontId="7" fillId="0" borderId="0" xfId="5" applyNumberFormat="1" applyFont="1" applyFill="1" applyAlignment="1">
      <alignment vertical="center"/>
    </xf>
    <xf numFmtId="4" fontId="7" fillId="0" borderId="0" xfId="6" applyNumberFormat="1" applyFont="1" applyFill="1" applyAlignment="1">
      <alignment vertical="center"/>
    </xf>
    <xf numFmtId="43" fontId="24" fillId="8" borderId="22" xfId="6" applyFont="1" applyFill="1" applyBorder="1" applyAlignment="1">
      <alignment horizontal="right"/>
    </xf>
    <xf numFmtId="0" fontId="10" fillId="8" borderId="23" xfId="0" applyFont="1" applyFill="1" applyBorder="1" applyAlignment="1">
      <alignment horizontal="right" vertical="center"/>
    </xf>
    <xf numFmtId="10" fontId="30" fillId="0" borderId="0" xfId="6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7" fillId="4" borderId="50" xfId="0" applyFont="1" applyFill="1" applyBorder="1" applyAlignment="1">
      <alignment horizontal="center" vertical="center"/>
    </xf>
    <xf numFmtId="43" fontId="32" fillId="0" borderId="0" xfId="6" applyFont="1" applyFill="1" applyAlignment="1">
      <alignment vertical="center"/>
    </xf>
    <xf numFmtId="4" fontId="33" fillId="0" borderId="0" xfId="7" applyNumberFormat="1" applyFont="1" applyFill="1" applyAlignment="1">
      <alignment horizontal="center" vertical="center" wrapText="1"/>
    </xf>
    <xf numFmtId="9" fontId="7" fillId="0" borderId="0" xfId="6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6" applyNumberFormat="1" applyFont="1" applyFill="1" applyAlignment="1">
      <alignment vertical="center"/>
    </xf>
    <xf numFmtId="4" fontId="10" fillId="11" borderId="50" xfId="6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6" applyFont="1" applyFill="1" applyAlignment="1">
      <alignment vertical="center"/>
    </xf>
    <xf numFmtId="9" fontId="34" fillId="0" borderId="0" xfId="6" applyNumberFormat="1" applyFont="1" applyFill="1" applyAlignment="1">
      <alignment vertical="center"/>
    </xf>
    <xf numFmtId="4" fontId="10" fillId="0" borderId="0" xfId="6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43" fontId="27" fillId="0" borderId="0" xfId="6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6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7" fillId="0" borderId="0" xfId="6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6" fontId="10" fillId="0" borderId="0" xfId="0" applyNumberFormat="1" applyFont="1"/>
    <xf numFmtId="0" fontId="3" fillId="2" borderId="0" xfId="1" applyFont="1" applyFill="1" applyAlignment="1">
      <alignment horizontal="right"/>
    </xf>
    <xf numFmtId="0" fontId="3" fillId="2" borderId="0" xfId="1" applyFont="1" applyFill="1"/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 wrapText="1"/>
    </xf>
    <xf numFmtId="0" fontId="6" fillId="3" borderId="16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horizontal="center" vertical="center"/>
    </xf>
    <xf numFmtId="14" fontId="4" fillId="2" borderId="36" xfId="1" applyNumberFormat="1" applyFont="1" applyFill="1" applyBorder="1" applyAlignment="1">
      <alignment horizontal="center" vertical="center" wrapText="1"/>
    </xf>
    <xf numFmtId="14" fontId="4" fillId="2" borderId="40" xfId="1" applyNumberFormat="1" applyFont="1" applyFill="1" applyBorder="1" applyAlignment="1">
      <alignment horizontal="center" vertical="center" wrapText="1"/>
    </xf>
    <xf numFmtId="14" fontId="4" fillId="2" borderId="19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left"/>
    </xf>
    <xf numFmtId="0" fontId="4" fillId="2" borderId="38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8" xfId="1" applyFont="1" applyFill="1" applyBorder="1" applyAlignment="1">
      <alignment horizontal="left"/>
    </xf>
    <xf numFmtId="0" fontId="4" fillId="2" borderId="9" xfId="1" applyFont="1" applyFill="1" applyBorder="1" applyAlignment="1">
      <alignment horizontal="left"/>
    </xf>
    <xf numFmtId="0" fontId="4" fillId="2" borderId="10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4" xfId="1" applyFont="1" applyFill="1" applyBorder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center"/>
    </xf>
    <xf numFmtId="0" fontId="6" fillId="2" borderId="35" xfId="1" applyFont="1" applyFill="1" applyBorder="1" applyAlignment="1">
      <alignment horizontal="right" vertical="top" wrapText="1"/>
    </xf>
    <xf numFmtId="0" fontId="6" fillId="2" borderId="5" xfId="1" applyFont="1" applyFill="1" applyBorder="1" applyAlignment="1">
      <alignment horizontal="right" vertical="top" wrapText="1"/>
    </xf>
    <xf numFmtId="0" fontId="6" fillId="2" borderId="11" xfId="1" applyFont="1" applyFill="1" applyBorder="1" applyAlignment="1">
      <alignment horizontal="right" vertical="top" wrapText="1"/>
    </xf>
    <xf numFmtId="0" fontId="18" fillId="0" borderId="0" xfId="0" applyFont="1" applyAlignment="1">
      <alignment horizontal="center" vertical="center"/>
    </xf>
    <xf numFmtId="0" fontId="35" fillId="0" borderId="21" xfId="0" applyFont="1" applyBorder="1" applyAlignment="1">
      <alignment horizontal="right" vertical="center"/>
    </xf>
    <xf numFmtId="0" fontId="35" fillId="0" borderId="22" xfId="0" applyFont="1" applyBorder="1" applyAlignment="1">
      <alignment horizontal="right" vertical="center"/>
    </xf>
    <xf numFmtId="0" fontId="35" fillId="0" borderId="23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14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8" borderId="21" xfId="0" applyFont="1" applyFill="1" applyBorder="1" applyAlignment="1">
      <alignment horizontal="right"/>
    </xf>
    <xf numFmtId="0" fontId="24" fillId="8" borderId="22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0" fontId="10" fillId="0" borderId="52" xfId="0" applyFont="1" applyBorder="1" applyAlignment="1">
      <alignment horizontal="right" vertical="center"/>
    </xf>
    <xf numFmtId="0" fontId="10" fillId="10" borderId="21" xfId="0" applyFont="1" applyFill="1" applyBorder="1" applyAlignment="1">
      <alignment horizontal="right" vertical="center"/>
    </xf>
    <xf numFmtId="0" fontId="10" fillId="10" borderId="22" xfId="0" applyFont="1" applyFill="1" applyBorder="1" applyAlignment="1">
      <alignment horizontal="right" vertical="center"/>
    </xf>
    <xf numFmtId="0" fontId="10" fillId="10" borderId="23" xfId="0" applyFont="1" applyFill="1" applyBorder="1" applyAlignment="1">
      <alignment horizontal="right" vertical="center"/>
    </xf>
    <xf numFmtId="4" fontId="33" fillId="0" borderId="0" xfId="7" applyNumberFormat="1" applyFont="1" applyFill="1" applyAlignment="1">
      <alignment horizontal="center" vertical="center" wrapText="1"/>
    </xf>
    <xf numFmtId="0" fontId="7" fillId="0" borderId="6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27" fillId="0" borderId="6" xfId="0" applyFont="1" applyBorder="1" applyAlignment="1">
      <alignment horizontal="right" vertical="center"/>
    </xf>
    <xf numFmtId="0" fontId="28" fillId="0" borderId="4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41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right"/>
    </xf>
    <xf numFmtId="0" fontId="19" fillId="0" borderId="34" xfId="0" applyFont="1" applyBorder="1" applyAlignment="1">
      <alignment horizontal="right"/>
    </xf>
    <xf numFmtId="0" fontId="13" fillId="0" borderId="1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right" vertical="center" wrapText="1"/>
    </xf>
    <xf numFmtId="0" fontId="38" fillId="0" borderId="20" xfId="2" applyFont="1" applyBorder="1" applyAlignment="1">
      <alignment horizontal="center" vertical="center"/>
    </xf>
    <xf numFmtId="0" fontId="38" fillId="0" borderId="10" xfId="2" applyFont="1" applyBorder="1" applyAlignment="1">
      <alignment horizontal="center" vertical="center"/>
    </xf>
    <xf numFmtId="0" fontId="39" fillId="0" borderId="6" xfId="2" applyFont="1" applyBorder="1" applyAlignment="1">
      <alignment vertical="center"/>
    </xf>
    <xf numFmtId="0" fontId="38" fillId="0" borderId="6" xfId="2" applyFont="1" applyBorder="1" applyAlignment="1">
      <alignment horizontal="center" vertical="center"/>
    </xf>
    <xf numFmtId="1" fontId="38" fillId="0" borderId="6" xfId="2" applyNumberFormat="1" applyFont="1" applyBorder="1" applyAlignment="1">
      <alignment horizontal="center"/>
    </xf>
    <xf numFmtId="1" fontId="38" fillId="0" borderId="6" xfId="2" applyNumberFormat="1" applyFont="1" applyBorder="1" applyAlignment="1">
      <alignment horizontal="center" wrapText="1"/>
    </xf>
    <xf numFmtId="0" fontId="8" fillId="0" borderId="7" xfId="2" applyFont="1" applyBorder="1" applyAlignment="1">
      <alignment horizontal="center"/>
    </xf>
    <xf numFmtId="1" fontId="8" fillId="0" borderId="6" xfId="2" applyNumberFormat="1" applyFont="1" applyBorder="1"/>
    <xf numFmtId="0" fontId="8" fillId="4" borderId="6" xfId="2" applyFont="1" applyFill="1" applyBorder="1" applyAlignment="1">
      <alignment horizontal="center"/>
    </xf>
    <xf numFmtId="0" fontId="8" fillId="4" borderId="17" xfId="2" applyFont="1" applyFill="1" applyBorder="1" applyAlignment="1">
      <alignment horizontal="center"/>
    </xf>
    <xf numFmtId="2" fontId="38" fillId="0" borderId="6" xfId="2" applyNumberFormat="1" applyFont="1" applyBorder="1" applyAlignment="1">
      <alignment horizontal="center"/>
    </xf>
    <xf numFmtId="2" fontId="38" fillId="0" borderId="6" xfId="2" applyNumberFormat="1" applyFont="1" applyBorder="1" applyAlignment="1">
      <alignment horizontal="center" wrapText="1"/>
    </xf>
    <xf numFmtId="1" fontId="40" fillId="0" borderId="6" xfId="0" applyNumberFormat="1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40" fillId="0" borderId="6" xfId="0" applyFont="1" applyBorder="1"/>
    <xf numFmtId="0" fontId="8" fillId="0" borderId="6" xfId="2" applyFont="1" applyBorder="1" applyAlignment="1">
      <alignment horizontal="center"/>
    </xf>
    <xf numFmtId="0" fontId="40" fillId="0" borderId="6" xfId="0" applyFont="1" applyBorder="1" applyAlignment="1">
      <alignment horizontal="left"/>
    </xf>
    <xf numFmtId="0" fontId="8" fillId="0" borderId="6" xfId="2" applyFont="1" applyBorder="1"/>
    <xf numFmtId="1" fontId="8" fillId="0" borderId="6" xfId="2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0" fontId="8" fillId="0" borderId="6" xfId="0" quotePrefix="1" applyFont="1" applyBorder="1" applyAlignment="1">
      <alignment horizontal="center"/>
    </xf>
    <xf numFmtId="0" fontId="8" fillId="0" borderId="6" xfId="0" quotePrefix="1" applyFont="1" applyBorder="1"/>
    <xf numFmtId="16" fontId="8" fillId="0" borderId="6" xfId="0" applyNumberFormat="1" applyFont="1" applyBorder="1" applyAlignment="1">
      <alignment horizontal="center"/>
    </xf>
    <xf numFmtId="0" fontId="40" fillId="4" borderId="6" xfId="0" applyFont="1" applyFill="1" applyBorder="1"/>
    <xf numFmtId="1" fontId="8" fillId="0" borderId="6" xfId="2" applyNumberFormat="1" applyFont="1" applyBorder="1" applyAlignment="1">
      <alignment horizontal="center" wrapText="1"/>
    </xf>
    <xf numFmtId="49" fontId="8" fillId="0" borderId="20" xfId="2" applyNumberFormat="1" applyFont="1" applyBorder="1" applyAlignment="1">
      <alignment horizontal="center"/>
    </xf>
    <xf numFmtId="49" fontId="8" fillId="0" borderId="10" xfId="2" applyNumberFormat="1" applyFont="1" applyBorder="1" applyAlignment="1">
      <alignment horizontal="center"/>
    </xf>
    <xf numFmtId="0" fontId="38" fillId="4" borderId="6" xfId="2" applyFont="1" applyFill="1" applyBorder="1" applyAlignment="1">
      <alignment horizontal="left"/>
    </xf>
    <xf numFmtId="165" fontId="8" fillId="0" borderId="6" xfId="2" applyNumberFormat="1" applyFont="1" applyBorder="1" applyAlignment="1">
      <alignment horizontal="center"/>
    </xf>
    <xf numFmtId="0" fontId="8" fillId="0" borderId="20" xfId="3" applyFont="1" applyBorder="1" applyAlignment="1">
      <alignment horizontal="center"/>
    </xf>
    <xf numFmtId="0" fontId="8" fillId="4" borderId="6" xfId="3" applyFont="1" applyFill="1" applyBorder="1"/>
    <xf numFmtId="16" fontId="8" fillId="0" borderId="6" xfId="3" applyNumberFormat="1" applyFont="1" applyBorder="1" applyAlignment="1">
      <alignment horizontal="center"/>
    </xf>
    <xf numFmtId="0" fontId="8" fillId="0" borderId="6" xfId="3" applyFont="1" applyBorder="1" applyAlignment="1">
      <alignment horizontal="center"/>
    </xf>
    <xf numFmtId="1" fontId="8" fillId="0" borderId="6" xfId="3" applyNumberFormat="1" applyFont="1" applyBorder="1" applyAlignment="1">
      <alignment horizontal="center"/>
    </xf>
    <xf numFmtId="1" fontId="8" fillId="0" borderId="6" xfId="3" applyNumberFormat="1" applyFont="1" applyBorder="1" applyAlignment="1">
      <alignment horizontal="center" wrapText="1"/>
    </xf>
    <xf numFmtId="49" fontId="38" fillId="0" borderId="28" xfId="2" applyNumberFormat="1" applyFont="1" applyBorder="1" applyAlignment="1">
      <alignment horizontal="center"/>
    </xf>
    <xf numFmtId="49" fontId="38" fillId="0" borderId="9" xfId="2" applyNumberFormat="1" applyFont="1" applyBorder="1" applyAlignment="1">
      <alignment horizontal="center"/>
    </xf>
    <xf numFmtId="0" fontId="39" fillId="4" borderId="6" xfId="2" applyFont="1" applyFill="1" applyBorder="1" applyAlignment="1">
      <alignment vertical="center"/>
    </xf>
    <xf numFmtId="0" fontId="38" fillId="0" borderId="10" xfId="2" applyFont="1" applyBorder="1" applyAlignment="1">
      <alignment horizontal="center"/>
    </xf>
    <xf numFmtId="49" fontId="8" fillId="0" borderId="20" xfId="0" applyNumberFormat="1" applyFont="1" applyBorder="1" applyAlignment="1">
      <alignment horizontal="center"/>
    </xf>
    <xf numFmtId="49" fontId="8" fillId="0" borderId="10" xfId="0" applyNumberFormat="1" applyFont="1" applyBorder="1" applyAlignment="1">
      <alignment horizontal="center"/>
    </xf>
    <xf numFmtId="49" fontId="8" fillId="0" borderId="6" xfId="0" applyNumberFormat="1" applyFont="1" applyBorder="1"/>
    <xf numFmtId="0" fontId="8" fillId="0" borderId="17" xfId="0" applyFont="1" applyBorder="1" applyAlignment="1">
      <alignment horizontal="center"/>
    </xf>
    <xf numFmtId="0" fontId="40" fillId="0" borderId="20" xfId="0" quotePrefix="1" applyFont="1" applyBorder="1" applyAlignment="1">
      <alignment horizontal="center"/>
    </xf>
    <xf numFmtId="0" fontId="40" fillId="0" borderId="10" xfId="0" quotePrefix="1" applyFont="1" applyBorder="1" applyAlignment="1">
      <alignment horizontal="center"/>
    </xf>
    <xf numFmtId="0" fontId="40" fillId="0" borderId="6" xfId="0" quotePrefix="1" applyFont="1" applyBorder="1"/>
    <xf numFmtId="0" fontId="38" fillId="0" borderId="6" xfId="0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0" fontId="38" fillId="4" borderId="6" xfId="0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/>
    </xf>
    <xf numFmtId="1" fontId="8" fillId="4" borderId="6" xfId="0" applyNumberFormat="1" applyFont="1" applyFill="1" applyBorder="1" applyAlignment="1">
      <alignment horizontal="center" wrapText="1"/>
    </xf>
    <xf numFmtId="49" fontId="8" fillId="4" borderId="20" xfId="2" applyNumberFormat="1" applyFont="1" applyFill="1" applyBorder="1" applyAlignment="1">
      <alignment horizontal="center"/>
    </xf>
    <xf numFmtId="49" fontId="8" fillId="4" borderId="10" xfId="2" applyNumberFormat="1" applyFont="1" applyFill="1" applyBorder="1" applyAlignment="1">
      <alignment horizontal="center"/>
    </xf>
    <xf numFmtId="49" fontId="8" fillId="4" borderId="6" xfId="2" applyNumberFormat="1" applyFont="1" applyFill="1" applyBorder="1"/>
    <xf numFmtId="12" fontId="8" fillId="0" borderId="6" xfId="2" applyNumberFormat="1" applyFont="1" applyBorder="1" applyAlignment="1">
      <alignment horizontal="center"/>
    </xf>
    <xf numFmtId="49" fontId="8" fillId="0" borderId="6" xfId="2" applyNumberFormat="1" applyFont="1" applyBorder="1"/>
    <xf numFmtId="49" fontId="41" fillId="2" borderId="4" xfId="2" applyNumberFormat="1" applyFont="1" applyFill="1" applyBorder="1" applyAlignment="1">
      <alignment horizontal="center" vertical="center"/>
    </xf>
    <xf numFmtId="49" fontId="41" fillId="2" borderId="0" xfId="2" applyNumberFormat="1" applyFont="1" applyFill="1" applyAlignment="1">
      <alignment horizontal="center" vertical="center"/>
    </xf>
    <xf numFmtId="0" fontId="8" fillId="2" borderId="0" xfId="2" applyFont="1" applyFill="1"/>
    <xf numFmtId="1" fontId="8" fillId="2" borderId="0" xfId="2" applyNumberFormat="1" applyFont="1" applyFill="1" applyAlignment="1">
      <alignment horizontal="center"/>
    </xf>
    <xf numFmtId="164" fontId="8" fillId="2" borderId="0" xfId="2" applyNumberFormat="1" applyFont="1" applyFill="1" applyAlignment="1">
      <alignment horizontal="center" wrapText="1"/>
    </xf>
    <xf numFmtId="0" fontId="8" fillId="2" borderId="41" xfId="2" applyFont="1" applyFill="1" applyBorder="1" applyAlignment="1">
      <alignment horizontal="center"/>
    </xf>
    <xf numFmtId="0" fontId="8" fillId="3" borderId="21" xfId="2" applyFont="1" applyFill="1" applyBorder="1" applyAlignment="1">
      <alignment horizontal="center"/>
    </xf>
    <xf numFmtId="0" fontId="8" fillId="3" borderId="22" xfId="2" applyFont="1" applyFill="1" applyBorder="1" applyAlignment="1">
      <alignment horizontal="center"/>
    </xf>
    <xf numFmtId="0" fontId="8" fillId="3" borderId="22" xfId="2" applyFont="1" applyFill="1" applyBorder="1"/>
    <xf numFmtId="0" fontId="38" fillId="3" borderId="22" xfId="2" applyFont="1" applyFill="1" applyBorder="1" applyAlignment="1">
      <alignment horizontal="center"/>
    </xf>
    <xf numFmtId="1" fontId="38" fillId="3" borderId="22" xfId="2" applyNumberFormat="1" applyFont="1" applyFill="1" applyBorder="1" applyAlignment="1">
      <alignment horizontal="center"/>
    </xf>
    <xf numFmtId="164" fontId="8" fillId="3" borderId="22" xfId="2" applyNumberFormat="1" applyFont="1" applyFill="1" applyBorder="1" applyAlignment="1">
      <alignment horizontal="center" wrapText="1"/>
    </xf>
    <xf numFmtId="0" fontId="8" fillId="3" borderId="23" xfId="2" applyFont="1" applyFill="1" applyBorder="1" applyAlignment="1">
      <alignment horizontal="center"/>
    </xf>
    <xf numFmtId="0" fontId="38" fillId="0" borderId="24" xfId="2" applyFont="1" applyBorder="1" applyAlignment="1">
      <alignment horizontal="right"/>
    </xf>
    <xf numFmtId="0" fontId="38" fillId="0" borderId="25" xfId="2" applyFont="1" applyBorder="1" applyAlignment="1">
      <alignment horizontal="right"/>
    </xf>
    <xf numFmtId="0" fontId="38" fillId="0" borderId="18" xfId="2" applyFont="1" applyBorder="1" applyAlignment="1">
      <alignment horizontal="right"/>
    </xf>
    <xf numFmtId="1" fontId="8" fillId="0" borderId="17" xfId="0" applyNumberFormat="1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164" fontId="8" fillId="0" borderId="17" xfId="2" applyNumberFormat="1" applyFont="1" applyBorder="1" applyAlignment="1">
      <alignment horizontal="right"/>
    </xf>
    <xf numFmtId="0" fontId="8" fillId="2" borderId="26" xfId="2" applyFont="1" applyFill="1" applyBorder="1" applyAlignment="1">
      <alignment horizontal="center"/>
    </xf>
    <xf numFmtId="0" fontId="8" fillId="2" borderId="27" xfId="2" applyFont="1" applyFill="1" applyBorder="1" applyAlignment="1">
      <alignment horizontal="center"/>
    </xf>
    <xf numFmtId="0" fontId="38" fillId="0" borderId="28" xfId="2" applyFont="1" applyBorder="1" applyAlignment="1">
      <alignment horizontal="right"/>
    </xf>
    <xf numFmtId="0" fontId="38" fillId="0" borderId="9" xfId="2" applyFont="1" applyBorder="1" applyAlignment="1">
      <alignment horizontal="right"/>
    </xf>
    <xf numFmtId="0" fontId="38" fillId="0" borderId="10" xfId="2" applyFont="1" applyBorder="1" applyAlignment="1">
      <alignment horizontal="right"/>
    </xf>
    <xf numFmtId="0" fontId="8" fillId="0" borderId="6" xfId="2" applyFont="1" applyBorder="1" applyAlignment="1">
      <alignment horizontal="right"/>
    </xf>
    <xf numFmtId="164" fontId="8" fillId="0" borderId="8" xfId="2" applyNumberFormat="1" applyFont="1" applyBorder="1" applyAlignment="1">
      <alignment horizontal="center"/>
    </xf>
    <xf numFmtId="164" fontId="8" fillId="0" borderId="29" xfId="2" applyNumberFormat="1" applyFont="1" applyBorder="1" applyAlignment="1">
      <alignment horizontal="center"/>
    </xf>
    <xf numFmtId="164" fontId="8" fillId="0" borderId="8" xfId="2" applyNumberFormat="1" applyFont="1" applyBorder="1" applyAlignment="1">
      <alignment horizontal="right" wrapText="1"/>
    </xf>
    <xf numFmtId="164" fontId="8" fillId="0" borderId="10" xfId="2" applyNumberFormat="1" applyFont="1" applyBorder="1" applyAlignment="1">
      <alignment horizontal="right" wrapText="1"/>
    </xf>
    <xf numFmtId="0" fontId="38" fillId="0" borderId="16" xfId="2" applyFont="1" applyBorder="1" applyAlignment="1">
      <alignment horizontal="right"/>
    </xf>
    <xf numFmtId="0" fontId="38" fillId="0" borderId="30" xfId="2" applyFont="1" applyBorder="1" applyAlignment="1">
      <alignment horizontal="right"/>
    </xf>
    <xf numFmtId="0" fontId="38" fillId="0" borderId="12" xfId="2" applyFont="1" applyBorder="1" applyAlignment="1">
      <alignment horizontal="right"/>
    </xf>
    <xf numFmtId="1" fontId="8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2" xfId="2" applyFont="1" applyBorder="1" applyAlignment="1">
      <alignment horizontal="right"/>
    </xf>
    <xf numFmtId="164" fontId="8" fillId="0" borderId="31" xfId="2" applyNumberFormat="1" applyFont="1" applyBorder="1" applyAlignment="1">
      <alignment horizontal="center"/>
    </xf>
    <xf numFmtId="164" fontId="8" fillId="0" borderId="32" xfId="2" applyNumberFormat="1" applyFont="1" applyBorder="1" applyAlignment="1">
      <alignment horizontal="center"/>
    </xf>
    <xf numFmtId="0" fontId="8" fillId="0" borderId="24" xfId="2" applyFont="1" applyBorder="1" applyAlignment="1">
      <alignment horizontal="left" vertical="center" wrapText="1"/>
    </xf>
    <xf numFmtId="0" fontId="8" fillId="0" borderId="25" xfId="2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wrapText="1"/>
    </xf>
    <xf numFmtId="0" fontId="8" fillId="0" borderId="25" xfId="2" applyFont="1" applyBorder="1" applyAlignment="1">
      <alignment horizontal="left" wrapText="1"/>
    </xf>
    <xf numFmtId="0" fontId="8" fillId="0" borderId="27" xfId="2" applyFont="1" applyBorder="1" applyAlignment="1">
      <alignment horizontal="left" wrapText="1"/>
    </xf>
    <xf numFmtId="0" fontId="8" fillId="0" borderId="28" xfId="2" applyFont="1" applyBorder="1" applyAlignment="1">
      <alignment horizontal="left" wrapText="1"/>
    </xf>
    <xf numFmtId="0" fontId="8" fillId="0" borderId="9" xfId="2" applyFont="1" applyBorder="1" applyAlignment="1">
      <alignment horizontal="left" wrapText="1"/>
    </xf>
    <xf numFmtId="0" fontId="8" fillId="0" borderId="29" xfId="2" applyFont="1" applyBorder="1" applyAlignment="1">
      <alignment horizontal="left" wrapText="1"/>
    </xf>
    <xf numFmtId="0" fontId="8" fillId="0" borderId="42" xfId="2" applyFont="1" applyBorder="1" applyAlignment="1">
      <alignment horizontal="left"/>
    </xf>
    <xf numFmtId="0" fontId="8" fillId="0" borderId="43" xfId="2" applyFont="1" applyBorder="1" applyAlignment="1">
      <alignment horizontal="left"/>
    </xf>
    <xf numFmtId="0" fontId="8" fillId="0" borderId="32" xfId="2" applyFont="1" applyBorder="1" applyAlignment="1">
      <alignment horizontal="left"/>
    </xf>
    <xf numFmtId="0" fontId="38" fillId="6" borderId="44" xfId="1" applyFont="1" applyFill="1" applyBorder="1" applyAlignment="1">
      <alignment horizontal="center"/>
    </xf>
    <xf numFmtId="0" fontId="38" fillId="6" borderId="34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left"/>
    </xf>
    <xf numFmtId="0" fontId="38" fillId="3" borderId="21" xfId="2" applyFont="1" applyFill="1" applyBorder="1" applyAlignment="1">
      <alignment horizontal="center"/>
    </xf>
    <xf numFmtId="0" fontId="38" fillId="3" borderId="22" xfId="2" applyFont="1" applyFill="1" applyBorder="1" applyAlignment="1">
      <alignment horizontal="center"/>
    </xf>
    <xf numFmtId="0" fontId="38" fillId="3" borderId="23" xfId="2" applyFont="1" applyFill="1" applyBorder="1" applyAlignment="1">
      <alignment horizontal="center"/>
    </xf>
    <xf numFmtId="0" fontId="42" fillId="5" borderId="8" xfId="1" applyFont="1" applyFill="1" applyBorder="1" applyAlignment="1">
      <alignment horizontal="center" vertical="center" wrapText="1"/>
    </xf>
    <xf numFmtId="0" fontId="42" fillId="5" borderId="9" xfId="1" applyFont="1" applyFill="1" applyBorder="1" applyAlignment="1">
      <alignment horizontal="center" vertical="center" wrapText="1"/>
    </xf>
    <xf numFmtId="0" fontId="42" fillId="5" borderId="10" xfId="1" applyFont="1" applyFill="1" applyBorder="1" applyAlignment="1">
      <alignment horizontal="center" vertical="center" wrapText="1"/>
    </xf>
    <xf numFmtId="0" fontId="43" fillId="2" borderId="14" xfId="1" applyFont="1" applyFill="1" applyBorder="1" applyAlignment="1">
      <alignment horizontal="center"/>
    </xf>
    <xf numFmtId="14" fontId="43" fillId="2" borderId="0" xfId="1" applyNumberFormat="1" applyFont="1" applyFill="1" applyAlignment="1">
      <alignment horizontal="center" vertical="center" wrapText="1"/>
    </xf>
  </cellXfs>
  <cellStyles count="8">
    <cellStyle name="Millares" xfId="6" builtinId="3"/>
    <cellStyle name="Millares [0]" xfId="7" builtinId="6"/>
    <cellStyle name="Normal" xfId="0" builtinId="0"/>
    <cellStyle name="Normal 2" xfId="2" xr:uid="{BBDBB73E-9205-4F4C-8B06-EBBA15BDFFAF}"/>
    <cellStyle name="Normal 3 2" xfId="3" xr:uid="{F9834A26-A257-4D8E-922B-AD4EBE0BE1C9}"/>
    <cellStyle name="Normal_CRITERIOS DE EVALUACION PT DE GB 2" xfId="1" xr:uid="{007FD2B6-AE92-4E45-93FC-7C3680665B62}"/>
    <cellStyle name="Porcentaje 2" xfId="5" xr:uid="{C63273C8-2A72-498F-8752-96F8AEF994F4}"/>
    <cellStyle name="Porcentaje 2 2" xfId="4" xr:uid="{FBB3774A-E6A2-4821-8880-BE1CDE2ED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70870</xdr:colOff>
      <xdr:row>1</xdr:row>
      <xdr:rowOff>0</xdr:rowOff>
    </xdr:from>
    <xdr:to>
      <xdr:col>1</xdr:col>
      <xdr:colOff>887703</xdr:colOff>
      <xdr:row>4</xdr:row>
      <xdr:rowOff>11907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80977BE-5591-4B17-A99A-FEAE470B9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70" y="202406"/>
          <a:ext cx="1733614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5/NAVIDAD%202025/Torta%20Rosanna%20Pistacho.xlsx" TargetMode="External"/><Relationship Id="rId1" Type="http://schemas.openxmlformats.org/officeDocument/2006/relationships/externalLinkPath" Target="https://sedepast-my.sharepoint.com/personal/eramirez_fascr_com/Documents/Escritorio/FACTIBILIDAD/FACTIBILIDAD%202025/NAVIDAD%202025/Torta%20Rosanna%20Pistac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stacho tostado"/>
      <sheetName val="Costo Pistacho Tostado"/>
      <sheetName val="Salsa pistacho"/>
      <sheetName val="Salsa Pistacho 2"/>
      <sheetName val="Salsa Pistacho 3"/>
      <sheetName val="Relleno suspiro limeño"/>
      <sheetName val="Costo Salsa Pistacho"/>
      <sheetName val="Mousse pistacho"/>
      <sheetName val="Mousse Pistacho 2"/>
      <sheetName val="Mousse de Pistacho 3"/>
      <sheetName val="Costo Mousse Pistacho"/>
      <sheetName val="Crema verde pistacho"/>
      <sheetName val="Crema Chantilly Blanco"/>
      <sheetName val="Disco Pistacho"/>
      <sheetName val="Costo Crema verde pistacho"/>
      <sheetName val="Disco Pistacho 2"/>
      <sheetName val="Rosquete Vainilla Dawn "/>
      <sheetName val="Batido Nucleo Vainilla Dawn "/>
      <sheetName val="Premezcla Batido Nucleo Dawn"/>
      <sheetName val="Leches pasteu con agua "/>
      <sheetName val="Mezcla leche pasteur"/>
      <sheetName val="Caramelo con choc Blanc"/>
      <sheetName val="Caramelo Crocante "/>
      <sheetName val="Rosquete Turron Almendra "/>
      <sheetName val="Batido Turron Almendra"/>
      <sheetName val="Premezcla Turron Almendra"/>
      <sheetName val="Costo Disco Pistacho"/>
      <sheetName val="Torta Pistacho local"/>
      <sheetName val="Torta Pistacho Local 2"/>
      <sheetName val="Costo Torta Rossana "/>
      <sheetName val="Torta Pistacho Industria "/>
      <sheetName val="Torta Pistacho Industria  2"/>
    </sheetNames>
    <sheetDataSet>
      <sheetData sheetId="0"/>
      <sheetData sheetId="1"/>
      <sheetData sheetId="2"/>
      <sheetData sheetId="3"/>
      <sheetData sheetId="4"/>
      <sheetData sheetId="5"/>
      <sheetData sheetId="6">
        <row r="69">
          <cell r="E69">
            <v>5.1392759999999997</v>
          </cell>
        </row>
        <row r="74">
          <cell r="E74">
            <v>1.7999999999999999E-2</v>
          </cell>
        </row>
        <row r="76">
          <cell r="E76">
            <v>8.9999999999999993E-3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7558-0FF2-41BC-945B-63A39E6FA7E5}">
  <sheetPr>
    <pageSetUpPr fitToPage="1"/>
  </sheetPr>
  <dimension ref="A1:M54"/>
  <sheetViews>
    <sheetView tabSelected="1" zoomScale="80" zoomScaleNormal="80" zoomScaleSheetLayoutView="80" workbookViewId="0">
      <selection activeCell="C1" sqref="C1:G1"/>
    </sheetView>
  </sheetViews>
  <sheetFormatPr baseColWidth="10" defaultRowHeight="15" x14ac:dyDescent="0.25"/>
  <cols>
    <col min="1" max="1" width="13.7109375" customWidth="1"/>
    <col min="2" max="2" width="15.5703125" customWidth="1"/>
    <col min="3" max="3" width="64.7109375" customWidth="1"/>
    <col min="4" max="4" width="19.42578125" customWidth="1"/>
    <col min="5" max="5" width="13.42578125" customWidth="1"/>
    <col min="6" max="6" width="12.85546875" customWidth="1"/>
    <col min="7" max="7" width="20.5703125" customWidth="1"/>
    <col min="8" max="8" width="16.85546875" customWidth="1"/>
    <col min="9" max="9" width="18.7109375" bestFit="1" customWidth="1"/>
  </cols>
  <sheetData>
    <row r="1" spans="1:9" ht="15.75" x14ac:dyDescent="0.25">
      <c r="A1" s="131"/>
      <c r="B1" s="132"/>
      <c r="C1" s="137" t="s">
        <v>0</v>
      </c>
      <c r="D1" s="137"/>
      <c r="E1" s="137"/>
      <c r="F1" s="137"/>
      <c r="G1" s="137"/>
      <c r="H1" s="3" t="s">
        <v>1</v>
      </c>
      <c r="I1" s="1" t="s">
        <v>109</v>
      </c>
    </row>
    <row r="2" spans="1:9" ht="15.75" x14ac:dyDescent="0.25">
      <c r="A2" s="133"/>
      <c r="B2" s="134"/>
      <c r="C2" s="138" t="s">
        <v>2</v>
      </c>
      <c r="D2" s="138"/>
      <c r="E2" s="138"/>
      <c r="F2" s="138"/>
      <c r="G2" s="138"/>
      <c r="H2" s="4" t="s">
        <v>3</v>
      </c>
      <c r="I2" s="5" t="s">
        <v>108</v>
      </c>
    </row>
    <row r="3" spans="1:9" ht="31.5" customHeight="1" thickBot="1" x14ac:dyDescent="0.3">
      <c r="A3" s="133"/>
      <c r="B3" s="134"/>
      <c r="C3" s="285" t="s">
        <v>51</v>
      </c>
      <c r="D3" s="286"/>
      <c r="E3" s="286"/>
      <c r="F3" s="286"/>
      <c r="G3" s="287"/>
      <c r="H3" s="139" t="s">
        <v>4</v>
      </c>
      <c r="I3" s="122">
        <v>45968</v>
      </c>
    </row>
    <row r="4" spans="1:9" x14ac:dyDescent="0.25">
      <c r="A4" s="133"/>
      <c r="B4" s="134"/>
      <c r="C4" s="6" t="s">
        <v>5</v>
      </c>
      <c r="D4" s="125" t="s">
        <v>37</v>
      </c>
      <c r="E4" s="126"/>
      <c r="F4" s="126"/>
      <c r="G4" s="127"/>
      <c r="H4" s="140"/>
      <c r="I4" s="123"/>
    </row>
    <row r="5" spans="1:9" ht="15.75" thickBot="1" x14ac:dyDescent="0.3">
      <c r="A5" s="135"/>
      <c r="B5" s="136"/>
      <c r="C5" s="7" t="s">
        <v>6</v>
      </c>
      <c r="D5" s="128" t="s">
        <v>38</v>
      </c>
      <c r="E5" s="129"/>
      <c r="F5" s="129"/>
      <c r="G5" s="130"/>
      <c r="H5" s="141"/>
      <c r="I5" s="124"/>
    </row>
    <row r="6" spans="1:9" ht="18.75" thickBot="1" x14ac:dyDescent="0.3">
      <c r="A6" s="114" t="s">
        <v>7</v>
      </c>
      <c r="B6" s="114"/>
      <c r="C6" s="114"/>
      <c r="D6" s="288" t="s">
        <v>39</v>
      </c>
      <c r="E6" s="288"/>
      <c r="F6" s="288"/>
      <c r="G6" s="115" t="s">
        <v>8</v>
      </c>
      <c r="H6" s="115"/>
      <c r="I6" s="289" t="s">
        <v>9</v>
      </c>
    </row>
    <row r="7" spans="1:9" ht="21.75" customHeight="1" x14ac:dyDescent="0.25">
      <c r="A7" s="116" t="s">
        <v>10</v>
      </c>
      <c r="B7" s="118" t="s">
        <v>40</v>
      </c>
      <c r="C7" s="120" t="s">
        <v>11</v>
      </c>
      <c r="D7" s="120" t="s">
        <v>12</v>
      </c>
      <c r="E7" s="120" t="s">
        <v>13</v>
      </c>
      <c r="F7" s="120"/>
      <c r="G7" s="120" t="s">
        <v>14</v>
      </c>
      <c r="H7" s="120"/>
      <c r="I7" s="8" t="s">
        <v>15</v>
      </c>
    </row>
    <row r="8" spans="1:9" ht="31.5" customHeight="1" thickBot="1" x14ac:dyDescent="0.3">
      <c r="A8" s="117"/>
      <c r="B8" s="119"/>
      <c r="C8" s="121"/>
      <c r="D8" s="121"/>
      <c r="E8" s="9" t="s">
        <v>16</v>
      </c>
      <c r="F8" s="10" t="s">
        <v>17</v>
      </c>
      <c r="G8" s="9" t="s">
        <v>16</v>
      </c>
      <c r="H8" s="10" t="s">
        <v>17</v>
      </c>
      <c r="I8" s="11" t="s">
        <v>18</v>
      </c>
    </row>
    <row r="9" spans="1:9" ht="20.25" x14ac:dyDescent="0.3">
      <c r="A9" s="173"/>
      <c r="B9" s="174"/>
      <c r="C9" s="175" t="s">
        <v>41</v>
      </c>
      <c r="D9" s="176"/>
      <c r="E9" s="177"/>
      <c r="F9" s="178"/>
      <c r="G9" s="177"/>
      <c r="H9" s="178"/>
      <c r="I9" s="179"/>
    </row>
    <row r="10" spans="1:9" ht="20.25" x14ac:dyDescent="0.3">
      <c r="A10" s="180"/>
      <c r="B10" s="15" t="s">
        <v>48</v>
      </c>
      <c r="C10" s="16" t="s">
        <v>49</v>
      </c>
      <c r="D10" s="181" t="s">
        <v>19</v>
      </c>
      <c r="E10" s="181">
        <v>240</v>
      </c>
      <c r="F10" s="182" t="s">
        <v>20</v>
      </c>
      <c r="G10" s="183"/>
      <c r="H10" s="184"/>
      <c r="I10" s="179"/>
    </row>
    <row r="11" spans="1:9" ht="20.25" x14ac:dyDescent="0.3">
      <c r="A11" s="185"/>
      <c r="B11" s="186"/>
      <c r="C11" s="187"/>
      <c r="D11" s="188"/>
      <c r="E11" s="188"/>
      <c r="F11" s="188"/>
      <c r="G11" s="183"/>
      <c r="H11" s="184"/>
      <c r="I11" s="179"/>
    </row>
    <row r="12" spans="1:9" ht="20.25" x14ac:dyDescent="0.3">
      <c r="A12" s="185"/>
      <c r="B12" s="186"/>
      <c r="C12" s="187"/>
      <c r="D12" s="188"/>
      <c r="E12" s="188"/>
      <c r="F12" s="188"/>
      <c r="G12" s="183"/>
      <c r="H12" s="184"/>
      <c r="I12" s="179"/>
    </row>
    <row r="13" spans="1:9" ht="20.25" hidden="1" x14ac:dyDescent="0.3">
      <c r="A13" s="185"/>
      <c r="B13" s="186"/>
      <c r="C13" s="187"/>
      <c r="D13" s="188"/>
      <c r="E13" s="188"/>
      <c r="F13" s="188"/>
      <c r="G13" s="183"/>
      <c r="H13" s="184"/>
      <c r="I13" s="179"/>
    </row>
    <row r="14" spans="1:9" ht="20.25" hidden="1" x14ac:dyDescent="0.3">
      <c r="A14" s="185"/>
      <c r="B14" s="186"/>
      <c r="C14" s="189"/>
      <c r="D14" s="188"/>
      <c r="E14" s="188"/>
      <c r="F14" s="188"/>
      <c r="G14" s="183"/>
      <c r="H14" s="184"/>
      <c r="I14" s="179"/>
    </row>
    <row r="15" spans="1:9" ht="20.25" hidden="1" x14ac:dyDescent="0.3">
      <c r="A15" s="185"/>
      <c r="B15" s="186"/>
      <c r="C15" s="187"/>
      <c r="D15" s="188"/>
      <c r="E15" s="188"/>
      <c r="F15" s="188"/>
      <c r="G15" s="183"/>
      <c r="H15" s="184"/>
      <c r="I15" s="179"/>
    </row>
    <row r="16" spans="1:9" ht="20.25" hidden="1" x14ac:dyDescent="0.3">
      <c r="A16" s="185"/>
      <c r="B16" s="186"/>
      <c r="C16" s="187"/>
      <c r="D16" s="188"/>
      <c r="E16" s="188"/>
      <c r="F16" s="188"/>
      <c r="G16" s="183"/>
      <c r="H16" s="184"/>
      <c r="I16" s="179"/>
    </row>
    <row r="17" spans="1:9" ht="20.25" hidden="1" x14ac:dyDescent="0.3">
      <c r="A17" s="188"/>
      <c r="B17" s="186"/>
      <c r="C17" s="190"/>
      <c r="D17" s="188"/>
      <c r="E17" s="191"/>
      <c r="F17" s="188"/>
      <c r="G17" s="183"/>
      <c r="H17" s="184"/>
      <c r="I17" s="179"/>
    </row>
    <row r="18" spans="1:9" ht="20.25" hidden="1" x14ac:dyDescent="0.3">
      <c r="A18" s="188"/>
      <c r="B18" s="186"/>
      <c r="C18" s="190"/>
      <c r="D18" s="188"/>
      <c r="E18" s="191"/>
      <c r="F18" s="188"/>
      <c r="G18" s="183"/>
      <c r="H18" s="184"/>
      <c r="I18" s="179"/>
    </row>
    <row r="19" spans="1:9" ht="20.25" hidden="1" x14ac:dyDescent="0.3">
      <c r="A19" s="186"/>
      <c r="B19" s="186"/>
      <c r="C19" s="187"/>
      <c r="D19" s="192"/>
      <c r="E19" s="192"/>
      <c r="F19" s="193"/>
      <c r="G19" s="183"/>
      <c r="H19" s="178"/>
      <c r="I19" s="179"/>
    </row>
    <row r="20" spans="1:9" ht="20.25" hidden="1" x14ac:dyDescent="0.3">
      <c r="A20" s="186"/>
      <c r="B20" s="186"/>
      <c r="C20" s="187"/>
      <c r="D20" s="192"/>
      <c r="E20" s="192"/>
      <c r="F20" s="193"/>
      <c r="G20" s="183"/>
      <c r="H20" s="178"/>
      <c r="I20" s="179"/>
    </row>
    <row r="21" spans="1:9" ht="20.25" x14ac:dyDescent="0.3">
      <c r="A21" s="194"/>
      <c r="B21" s="186"/>
      <c r="C21" s="195"/>
      <c r="D21" s="196"/>
      <c r="E21" s="192"/>
      <c r="F21" s="193"/>
      <c r="G21" s="183"/>
      <c r="H21" s="178"/>
      <c r="I21" s="179"/>
    </row>
    <row r="22" spans="1:9" ht="20.25" x14ac:dyDescent="0.3">
      <c r="A22" s="194"/>
      <c r="B22" s="186"/>
      <c r="C22" s="195"/>
      <c r="D22" s="196"/>
      <c r="E22" s="192"/>
      <c r="F22" s="193"/>
      <c r="G22" s="177"/>
      <c r="H22" s="178"/>
      <c r="I22" s="179"/>
    </row>
    <row r="23" spans="1:9" ht="20.25" x14ac:dyDescent="0.3">
      <c r="A23" s="186"/>
      <c r="B23" s="186"/>
      <c r="C23" s="197"/>
      <c r="D23" s="191"/>
      <c r="E23" s="191"/>
      <c r="F23" s="198"/>
      <c r="G23" s="177"/>
      <c r="H23" s="178"/>
      <c r="I23" s="179"/>
    </row>
    <row r="24" spans="1:9" ht="20.25" x14ac:dyDescent="0.3">
      <c r="A24" s="199"/>
      <c r="B24" s="200"/>
      <c r="C24" s="201" t="s">
        <v>42</v>
      </c>
      <c r="D24" s="188"/>
      <c r="E24" s="202"/>
      <c r="F24" s="198"/>
      <c r="G24" s="177"/>
      <c r="H24" s="178"/>
      <c r="I24" s="179"/>
    </row>
    <row r="25" spans="1:9" ht="20.25" x14ac:dyDescent="0.3">
      <c r="A25" s="203"/>
      <c r="B25" s="188"/>
      <c r="C25" s="204"/>
      <c r="D25" s="205"/>
      <c r="E25" s="191"/>
      <c r="F25" s="198"/>
      <c r="G25" s="177"/>
      <c r="H25" s="178"/>
      <c r="I25" s="179"/>
    </row>
    <row r="26" spans="1:9" ht="20.25" x14ac:dyDescent="0.3">
      <c r="A26" s="186"/>
      <c r="B26" s="186"/>
      <c r="C26" s="197"/>
      <c r="D26" s="205"/>
      <c r="E26" s="191"/>
      <c r="F26" s="198"/>
      <c r="G26" s="177"/>
      <c r="H26" s="178"/>
      <c r="I26" s="179"/>
    </row>
    <row r="27" spans="1:9" ht="20.25" x14ac:dyDescent="0.3">
      <c r="A27" s="206"/>
      <c r="B27" s="206"/>
      <c r="C27" s="204"/>
      <c r="D27" s="205"/>
      <c r="E27" s="191"/>
      <c r="F27" s="198"/>
      <c r="G27" s="177"/>
      <c r="H27" s="178"/>
      <c r="I27" s="179"/>
    </row>
    <row r="28" spans="1:9" ht="20.25" x14ac:dyDescent="0.3">
      <c r="A28" s="186"/>
      <c r="B28" s="186"/>
      <c r="C28" s="197"/>
      <c r="D28" s="191"/>
      <c r="E28" s="188"/>
      <c r="F28" s="198"/>
      <c r="G28" s="177"/>
      <c r="H28" s="178"/>
      <c r="I28" s="179"/>
    </row>
    <row r="29" spans="1:9" ht="20.25" x14ac:dyDescent="0.3">
      <c r="A29" s="186"/>
      <c r="B29" s="186"/>
      <c r="C29" s="197"/>
      <c r="D29" s="196"/>
      <c r="E29" s="207"/>
      <c r="F29" s="208"/>
      <c r="G29" s="177"/>
      <c r="H29" s="178"/>
      <c r="I29" s="179"/>
    </row>
    <row r="30" spans="1:9" ht="20.25" x14ac:dyDescent="0.3">
      <c r="A30" s="209"/>
      <c r="B30" s="210"/>
      <c r="C30" s="211" t="s">
        <v>9</v>
      </c>
      <c r="D30" s="212"/>
      <c r="E30" s="177"/>
      <c r="F30" s="178"/>
      <c r="G30" s="177"/>
      <c r="H30" s="178"/>
      <c r="I30" s="179"/>
    </row>
    <row r="31" spans="1:9" ht="20.25" x14ac:dyDescent="0.3">
      <c r="A31" s="213">
        <v>1950705</v>
      </c>
      <c r="B31" s="214" t="s">
        <v>21</v>
      </c>
      <c r="C31" s="215" t="s">
        <v>22</v>
      </c>
      <c r="D31" s="196"/>
      <c r="E31" s="192">
        <v>1</v>
      </c>
      <c r="F31" s="216" t="s">
        <v>23</v>
      </c>
      <c r="G31" s="183"/>
      <c r="H31" s="178"/>
      <c r="I31" s="179"/>
    </row>
    <row r="32" spans="1:9" ht="20.25" x14ac:dyDescent="0.3">
      <c r="A32" s="213">
        <v>702007</v>
      </c>
      <c r="B32" s="214" t="s">
        <v>24</v>
      </c>
      <c r="C32" s="215" t="s">
        <v>25</v>
      </c>
      <c r="D32" s="196"/>
      <c r="E32" s="192">
        <v>1</v>
      </c>
      <c r="F32" s="216" t="s">
        <v>23</v>
      </c>
      <c r="G32" s="177"/>
      <c r="H32" s="178"/>
      <c r="I32" s="179"/>
    </row>
    <row r="33" spans="1:13" ht="20.25" x14ac:dyDescent="0.3">
      <c r="A33" s="186">
        <v>702069</v>
      </c>
      <c r="B33" s="15" t="s">
        <v>26</v>
      </c>
      <c r="C33" s="187" t="s">
        <v>27</v>
      </c>
      <c r="D33" s="196"/>
      <c r="E33" s="192">
        <v>1</v>
      </c>
      <c r="F33" s="216" t="s">
        <v>23</v>
      </c>
      <c r="G33" s="177"/>
      <c r="H33" s="178"/>
      <c r="I33" s="179"/>
    </row>
    <row r="34" spans="1:13" ht="20.25" x14ac:dyDescent="0.3">
      <c r="A34" s="217"/>
      <c r="B34" s="218"/>
      <c r="C34" s="219"/>
      <c r="D34" s="220"/>
      <c r="E34" s="221"/>
      <c r="F34" s="221"/>
      <c r="G34" s="177"/>
      <c r="H34" s="178"/>
      <c r="I34" s="179"/>
    </row>
    <row r="35" spans="1:13" ht="20.25" x14ac:dyDescent="0.3">
      <c r="A35" s="217"/>
      <c r="B35" s="218"/>
      <c r="C35" s="219"/>
      <c r="D35" s="222"/>
      <c r="E35" s="223"/>
      <c r="F35" s="224"/>
      <c r="G35" s="177"/>
      <c r="H35" s="178"/>
      <c r="I35" s="179"/>
    </row>
    <row r="36" spans="1:13" ht="20.25" x14ac:dyDescent="0.3">
      <c r="A36" s="225"/>
      <c r="B36" s="226"/>
      <c r="C36" s="227"/>
      <c r="D36" s="188"/>
      <c r="E36" s="191"/>
      <c r="F36" s="198"/>
      <c r="G36" s="228"/>
      <c r="H36" s="188"/>
      <c r="I36" s="179"/>
    </row>
    <row r="37" spans="1:13" ht="20.25" x14ac:dyDescent="0.3">
      <c r="A37" s="199"/>
      <c r="B37" s="200"/>
      <c r="C37" s="229"/>
      <c r="D37" s="188"/>
      <c r="E37" s="191"/>
      <c r="F37" s="198"/>
      <c r="G37" s="191"/>
      <c r="H37" s="188"/>
      <c r="I37" s="179"/>
    </row>
    <row r="38" spans="1:13" ht="20.25" x14ac:dyDescent="0.3">
      <c r="A38" s="199"/>
      <c r="B38" s="200"/>
      <c r="C38" s="229"/>
      <c r="D38" s="188"/>
      <c r="E38" s="191"/>
      <c r="F38" s="198"/>
      <c r="G38" s="191"/>
      <c r="H38" s="198"/>
      <c r="I38" s="179"/>
    </row>
    <row r="39" spans="1:13" ht="20.25" x14ac:dyDescent="0.3">
      <c r="A39" s="199"/>
      <c r="B39" s="200"/>
      <c r="C39" s="229"/>
      <c r="D39" s="188"/>
      <c r="E39" s="188"/>
      <c r="F39" s="198"/>
      <c r="G39" s="188"/>
      <c r="H39" s="188"/>
      <c r="I39" s="179"/>
    </row>
    <row r="40" spans="1:13" ht="21" thickBot="1" x14ac:dyDescent="0.35">
      <c r="A40" s="230"/>
      <c r="B40" s="231"/>
      <c r="C40" s="232"/>
      <c r="D40" s="232"/>
      <c r="E40" s="233"/>
      <c r="F40" s="234"/>
      <c r="G40" s="232"/>
      <c r="H40" s="232"/>
      <c r="I40" s="235"/>
      <c r="J40" s="2"/>
      <c r="K40" s="2"/>
      <c r="L40" s="13"/>
      <c r="M40" s="2"/>
    </row>
    <row r="41" spans="1:13" ht="21" thickBot="1" x14ac:dyDescent="0.35">
      <c r="A41" s="236"/>
      <c r="B41" s="237"/>
      <c r="C41" s="238"/>
      <c r="D41" s="239" t="s">
        <v>16</v>
      </c>
      <c r="E41" s="240" t="s">
        <v>28</v>
      </c>
      <c r="F41" s="241"/>
      <c r="G41" s="238"/>
      <c r="H41" s="238"/>
      <c r="I41" s="242"/>
      <c r="J41" s="2"/>
      <c r="K41" s="2"/>
      <c r="L41" s="13"/>
      <c r="M41" s="2"/>
    </row>
    <row r="42" spans="1:13" ht="20.25" x14ac:dyDescent="0.3">
      <c r="A42" s="243" t="s">
        <v>29</v>
      </c>
      <c r="B42" s="244"/>
      <c r="C42" s="245"/>
      <c r="D42" s="246">
        <v>240</v>
      </c>
      <c r="E42" s="247" t="s">
        <v>20</v>
      </c>
      <c r="F42" s="248" t="s">
        <v>43</v>
      </c>
      <c r="G42" s="248"/>
      <c r="H42" s="249"/>
      <c r="I42" s="250"/>
      <c r="J42" s="2"/>
      <c r="K42" s="2"/>
      <c r="L42" s="13"/>
      <c r="M42" s="2"/>
    </row>
    <row r="43" spans="1:13" ht="20.25" x14ac:dyDescent="0.3">
      <c r="A43" s="251" t="s">
        <v>30</v>
      </c>
      <c r="B43" s="252"/>
      <c r="C43" s="253"/>
      <c r="D43" s="220">
        <v>1</v>
      </c>
      <c r="E43" s="15" t="s">
        <v>31</v>
      </c>
      <c r="F43" s="254" t="s">
        <v>44</v>
      </c>
      <c r="G43" s="254"/>
      <c r="H43" s="255"/>
      <c r="I43" s="256"/>
      <c r="J43" s="2"/>
      <c r="K43" s="2"/>
      <c r="L43" s="13"/>
      <c r="M43" s="2"/>
    </row>
    <row r="44" spans="1:13" ht="20.25" x14ac:dyDescent="0.3">
      <c r="A44" s="251" t="s">
        <v>32</v>
      </c>
      <c r="B44" s="252"/>
      <c r="C44" s="253"/>
      <c r="D44" s="15">
        <v>1</v>
      </c>
      <c r="E44" s="15" t="s">
        <v>23</v>
      </c>
      <c r="F44" s="254" t="s">
        <v>45</v>
      </c>
      <c r="G44" s="254"/>
      <c r="H44" s="255"/>
      <c r="I44" s="256"/>
      <c r="J44" s="2"/>
      <c r="K44" s="2"/>
      <c r="L44" s="13"/>
      <c r="M44" s="2"/>
    </row>
    <row r="45" spans="1:13" ht="20.25" x14ac:dyDescent="0.3">
      <c r="A45" s="251" t="s">
        <v>33</v>
      </c>
      <c r="B45" s="252"/>
      <c r="C45" s="253"/>
      <c r="D45" s="192">
        <v>240</v>
      </c>
      <c r="E45" s="15" t="s">
        <v>20</v>
      </c>
      <c r="F45" s="257" t="s">
        <v>46</v>
      </c>
      <c r="G45" s="258"/>
      <c r="H45" s="255"/>
      <c r="I45" s="256"/>
      <c r="J45" s="2"/>
      <c r="K45" s="2"/>
      <c r="L45" s="13"/>
      <c r="M45" s="14"/>
    </row>
    <row r="46" spans="1:13" ht="21" thickBot="1" x14ac:dyDescent="0.35">
      <c r="A46" s="259" t="s">
        <v>34</v>
      </c>
      <c r="B46" s="260"/>
      <c r="C46" s="261"/>
      <c r="D46" s="262"/>
      <c r="E46" s="263" t="s">
        <v>20</v>
      </c>
      <c r="F46" s="264"/>
      <c r="G46" s="264"/>
      <c r="H46" s="265"/>
      <c r="I46" s="266"/>
      <c r="J46" s="12"/>
      <c r="K46" s="12"/>
      <c r="L46" s="13"/>
      <c r="M46" s="12"/>
    </row>
    <row r="47" spans="1:13" ht="21" thickBot="1" x14ac:dyDescent="0.35">
      <c r="A47" s="282" t="s">
        <v>35</v>
      </c>
      <c r="B47" s="283"/>
      <c r="C47" s="283"/>
      <c r="D47" s="283"/>
      <c r="E47" s="283"/>
      <c r="F47" s="283"/>
      <c r="G47" s="283"/>
      <c r="H47" s="283"/>
      <c r="I47" s="284"/>
      <c r="J47" s="2"/>
      <c r="K47" s="2"/>
      <c r="L47" s="2"/>
      <c r="M47" s="2"/>
    </row>
    <row r="48" spans="1:13" ht="20.25" x14ac:dyDescent="0.25">
      <c r="A48" s="267" t="s">
        <v>50</v>
      </c>
      <c r="B48" s="268"/>
      <c r="C48" s="268"/>
      <c r="D48" s="268"/>
      <c r="E48" s="268"/>
      <c r="F48" s="268"/>
      <c r="G48" s="268"/>
      <c r="H48" s="268"/>
      <c r="I48" s="269"/>
      <c r="J48" s="2"/>
      <c r="K48" s="2"/>
      <c r="L48" s="2"/>
      <c r="M48" s="2"/>
    </row>
    <row r="49" spans="1:13" ht="20.25" x14ac:dyDescent="0.3">
      <c r="A49" s="270" t="s">
        <v>36</v>
      </c>
      <c r="B49" s="271"/>
      <c r="C49" s="271"/>
      <c r="D49" s="271"/>
      <c r="E49" s="271"/>
      <c r="F49" s="271"/>
      <c r="G49" s="271"/>
      <c r="H49" s="271"/>
      <c r="I49" s="272"/>
      <c r="J49" s="2"/>
      <c r="K49" s="2"/>
      <c r="L49" s="2"/>
      <c r="M49" s="2"/>
    </row>
    <row r="50" spans="1:13" ht="20.25" x14ac:dyDescent="0.3">
      <c r="A50" s="273"/>
      <c r="B50" s="274"/>
      <c r="C50" s="274"/>
      <c r="D50" s="274"/>
      <c r="E50" s="274"/>
      <c r="F50" s="274"/>
      <c r="G50" s="274"/>
      <c r="H50" s="274"/>
      <c r="I50" s="275"/>
      <c r="J50" s="2"/>
      <c r="K50" s="2"/>
      <c r="L50" s="2"/>
      <c r="M50" s="2"/>
    </row>
    <row r="51" spans="1:13" ht="21" thickBot="1" x14ac:dyDescent="0.35">
      <c r="A51" s="276"/>
      <c r="B51" s="277"/>
      <c r="C51" s="277"/>
      <c r="D51" s="277"/>
      <c r="E51" s="277"/>
      <c r="F51" s="277"/>
      <c r="G51" s="277"/>
      <c r="H51" s="277"/>
      <c r="I51" s="278"/>
      <c r="J51" s="2"/>
      <c r="K51" s="2"/>
      <c r="L51" s="2"/>
      <c r="M51" s="2"/>
    </row>
    <row r="52" spans="1:13" ht="20.25" x14ac:dyDescent="0.3">
      <c r="A52" s="279" t="s">
        <v>47</v>
      </c>
      <c r="B52" s="280"/>
      <c r="C52" s="280"/>
      <c r="D52" s="280"/>
      <c r="E52" s="280"/>
      <c r="F52" s="280"/>
      <c r="G52" s="280"/>
      <c r="H52" s="280"/>
      <c r="I52" s="280"/>
      <c r="J52" s="2"/>
      <c r="K52" s="2"/>
      <c r="L52" s="2"/>
      <c r="M52" s="2"/>
    </row>
    <row r="53" spans="1:13" ht="20.25" x14ac:dyDescent="0.3">
      <c r="A53" s="281"/>
      <c r="B53" s="281"/>
      <c r="C53" s="281"/>
      <c r="D53" s="281"/>
      <c r="E53" s="281"/>
      <c r="F53" s="281"/>
      <c r="G53" s="281"/>
      <c r="H53" s="281"/>
      <c r="I53" s="281"/>
      <c r="J53" s="2"/>
      <c r="K53" s="2"/>
      <c r="L53" s="2"/>
      <c r="M53" s="2"/>
    </row>
    <row r="54" spans="1:13" ht="20.25" x14ac:dyDescent="0.3">
      <c r="A54" s="281"/>
      <c r="B54" s="281"/>
      <c r="C54" s="281"/>
      <c r="D54" s="281"/>
      <c r="E54" s="281"/>
      <c r="F54" s="281"/>
      <c r="G54" s="281"/>
      <c r="H54" s="281"/>
      <c r="I54" s="281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1:I51"/>
    <mergeCell ref="A52:I52"/>
    <mergeCell ref="A53:I53"/>
    <mergeCell ref="A54:I54"/>
    <mergeCell ref="A50:I50"/>
  </mergeCells>
  <pageMargins left="0.7" right="0.7" top="0.75" bottom="0.75" header="0.3" footer="0.3"/>
  <pageSetup scale="46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3062-59B1-4085-9DB9-0494A34524A1}">
  <dimension ref="A1:Q91"/>
  <sheetViews>
    <sheetView topLeftCell="A35" workbookViewId="0">
      <selection activeCell="B55" sqref="B55:E55"/>
    </sheetView>
  </sheetViews>
  <sheetFormatPr baseColWidth="10" defaultColWidth="8.42578125" defaultRowHeight="12.75" x14ac:dyDescent="0.25"/>
  <cols>
    <col min="1" max="1" width="10" style="22" bestFit="1" customWidth="1"/>
    <col min="2" max="2" width="44.28515625" style="22" bestFit="1" customWidth="1"/>
    <col min="3" max="3" width="10.42578125" style="22" bestFit="1" customWidth="1"/>
    <col min="4" max="4" width="10.42578125" style="22" customWidth="1"/>
    <col min="5" max="5" width="11" style="22" customWidth="1"/>
    <col min="6" max="6" width="9.5703125" style="22" bestFit="1" customWidth="1"/>
    <col min="7" max="7" width="10.85546875" style="104" customWidth="1"/>
    <col min="8" max="8" width="10.42578125" style="95" bestFit="1" customWidth="1"/>
    <col min="9" max="9" width="4.5703125" style="95" customWidth="1"/>
    <col min="10" max="10" width="1.85546875" style="21" customWidth="1"/>
    <col min="11" max="11" width="7" style="22" bestFit="1" customWidth="1"/>
    <col min="12" max="12" width="6.28515625" style="22" customWidth="1"/>
    <col min="13" max="13" width="20.42578125" style="22" customWidth="1"/>
    <col min="14" max="14" width="6.42578125" style="22" bestFit="1" customWidth="1"/>
    <col min="15" max="16" width="8.42578125" style="22"/>
    <col min="17" max="17" width="3.28515625" style="22" customWidth="1"/>
    <col min="18" max="16384" width="8.42578125" style="22"/>
  </cols>
  <sheetData>
    <row r="1" spans="1:10" ht="27.75" customHeight="1" x14ac:dyDescent="0.25">
      <c r="A1" s="17"/>
      <c r="B1" s="17"/>
      <c r="C1" s="17"/>
      <c r="D1" s="17"/>
      <c r="E1" s="18" t="s">
        <v>52</v>
      </c>
      <c r="F1" s="19" t="s">
        <v>53</v>
      </c>
      <c r="G1" s="19" t="s">
        <v>54</v>
      </c>
      <c r="H1" s="19" t="s">
        <v>55</v>
      </c>
      <c r="I1" s="20"/>
    </row>
    <row r="2" spans="1:10" ht="30.75" customHeight="1" x14ac:dyDescent="0.25">
      <c r="A2" s="17"/>
      <c r="B2" s="17"/>
      <c r="C2" s="17"/>
      <c r="D2" s="17"/>
      <c r="E2" s="23">
        <f>IFERROR(O62,"")</f>
        <v>1415.4761967099566</v>
      </c>
      <c r="F2" s="23">
        <f>IFERROR(H53,"")</f>
        <v>1233.42624</v>
      </c>
      <c r="G2" s="23">
        <f>IFERROR(H54,"")</f>
        <v>13.073333333333334</v>
      </c>
      <c r="H2" s="23">
        <f>IFERROR(H56,"")</f>
        <v>81.319999999999993</v>
      </c>
      <c r="I2" s="24"/>
    </row>
    <row r="3" spans="1:10" ht="15" customHeight="1" x14ac:dyDescent="0.25">
      <c r="A3" s="17"/>
      <c r="B3" s="17"/>
      <c r="C3" s="17"/>
      <c r="D3" s="17"/>
      <c r="E3" s="17"/>
      <c r="F3" s="25"/>
      <c r="G3" s="25"/>
      <c r="H3" s="25"/>
      <c r="I3" s="25"/>
    </row>
    <row r="4" spans="1:10" ht="24.75" customHeight="1" thickBot="1" x14ac:dyDescent="0.3">
      <c r="A4" s="168"/>
      <c r="B4" s="168"/>
      <c r="C4" s="168"/>
      <c r="D4" s="168"/>
      <c r="E4" s="168"/>
      <c r="F4" s="168"/>
      <c r="G4" s="168"/>
      <c r="H4" s="168"/>
      <c r="I4" s="26"/>
    </row>
    <row r="5" spans="1:10" ht="19.5" customHeight="1" thickBot="1" x14ac:dyDescent="0.3">
      <c r="A5" s="169" t="s">
        <v>56</v>
      </c>
      <c r="B5" s="170"/>
      <c r="C5" s="170"/>
      <c r="D5" s="170"/>
      <c r="E5" s="170"/>
      <c r="F5" s="170"/>
      <c r="G5" s="170"/>
      <c r="H5" s="171"/>
      <c r="I5" s="27"/>
    </row>
    <row r="6" spans="1:10" ht="19.5" thickBot="1" x14ac:dyDescent="0.3">
      <c r="A6" s="27"/>
      <c r="B6" s="27"/>
      <c r="C6" s="27"/>
      <c r="D6" s="27"/>
      <c r="E6" s="27"/>
      <c r="F6" s="172" t="s">
        <v>57</v>
      </c>
      <c r="G6" s="172"/>
      <c r="H6" s="28">
        <f ca="1">TODAY()</f>
        <v>45968</v>
      </c>
      <c r="I6" s="28"/>
    </row>
    <row r="7" spans="1:10" ht="26.25" hidden="1" thickBot="1" x14ac:dyDescent="0.3">
      <c r="A7" s="29" t="s">
        <v>58</v>
      </c>
      <c r="B7" s="30" t="s">
        <v>59</v>
      </c>
      <c r="C7" s="30" t="s">
        <v>58</v>
      </c>
      <c r="D7" s="31" t="s">
        <v>60</v>
      </c>
      <c r="E7" s="31" t="s">
        <v>61</v>
      </c>
      <c r="F7" s="31" t="s">
        <v>62</v>
      </c>
      <c r="G7" s="31" t="s">
        <v>63</v>
      </c>
      <c r="H7" s="32" t="s">
        <v>64</v>
      </c>
      <c r="I7" s="33"/>
    </row>
    <row r="8" spans="1:10" ht="13.5" hidden="1" x14ac:dyDescent="0.25">
      <c r="A8" s="34"/>
      <c r="B8" s="22" t="str">
        <f>IFERROR(VLOOKUP(H8,'[1]Consolidado MP Planta'!$A$2:$M$823,3,0),"")</f>
        <v/>
      </c>
      <c r="C8" s="35">
        <f>+A8</f>
        <v>0</v>
      </c>
      <c r="D8" s="36" t="str">
        <f>IFERROR(VLOOKUP(H8,'[1]Consolidado MP Planta'!$A$2:$M$823,13,0),"")</f>
        <v/>
      </c>
      <c r="E8" s="36" t="str">
        <f>IFERROR(VLOOKUP(H8,'[1]Consolidado MP Planta'!$A$2:$M$823,12,0),"")</f>
        <v/>
      </c>
      <c r="F8" s="36" t="str">
        <f>IFERROR(C8*E8,"")</f>
        <v/>
      </c>
      <c r="G8" s="37" t="str">
        <f t="shared" ref="G8:G14" si="0">IFERROR(F8/$F$66,"")</f>
        <v/>
      </c>
      <c r="H8" s="38"/>
      <c r="I8" s="38"/>
      <c r="J8" s="39"/>
    </row>
    <row r="9" spans="1:10" ht="13.5" hidden="1" x14ac:dyDescent="0.25">
      <c r="A9" s="34"/>
      <c r="B9" s="22" t="str">
        <f>IFERROR(VLOOKUP(H9,'[1]Consolidado MP Planta'!$A$2:$M$823,3,0),"")</f>
        <v/>
      </c>
      <c r="C9" s="35">
        <f t="shared" ref="C9:C14" si="1">+A9</f>
        <v>0</v>
      </c>
      <c r="D9" s="36" t="str">
        <f>IFERROR(VLOOKUP(H9,'[1]Consolidado MP Planta'!$A$2:$M$823,13,0),"")</f>
        <v/>
      </c>
      <c r="E9" s="36" t="str">
        <f>IFERROR(VLOOKUP(H9,'[1]Consolidado MP Planta'!$A$2:$M$823,12,0),"")</f>
        <v/>
      </c>
      <c r="F9" s="36" t="str">
        <f t="shared" ref="F9:F14" si="2">IFERROR(C9*E9,"")</f>
        <v/>
      </c>
      <c r="G9" s="37" t="str">
        <f t="shared" si="0"/>
        <v/>
      </c>
      <c r="H9" s="38"/>
      <c r="I9" s="38"/>
      <c r="J9" s="39"/>
    </row>
    <row r="10" spans="1:10" ht="13.5" hidden="1" x14ac:dyDescent="0.25">
      <c r="A10" s="34"/>
      <c r="B10" s="22" t="str">
        <f>IFERROR(VLOOKUP(H10,'[1]Consolidado MP Planta'!$A$2:$M$823,3,0),"")</f>
        <v/>
      </c>
      <c r="C10" s="35">
        <f t="shared" si="1"/>
        <v>0</v>
      </c>
      <c r="D10" s="36" t="str">
        <f>IFERROR(VLOOKUP(H10,'[1]Consolidado MP Planta'!$A$2:$M$823,13,0),"")</f>
        <v/>
      </c>
      <c r="E10" s="36" t="str">
        <f>IFERROR(VLOOKUP(H10,'[1]Consolidado MP Planta'!$A$2:$M$823,12,0),"")</f>
        <v/>
      </c>
      <c r="F10" s="36" t="str">
        <f t="shared" si="2"/>
        <v/>
      </c>
      <c r="G10" s="37" t="str">
        <f t="shared" si="0"/>
        <v/>
      </c>
      <c r="H10" s="38"/>
      <c r="I10" s="38"/>
      <c r="J10" s="39"/>
    </row>
    <row r="11" spans="1:10" ht="13.5" hidden="1" x14ac:dyDescent="0.25">
      <c r="A11" s="34"/>
      <c r="B11" s="22" t="str">
        <f>IFERROR(VLOOKUP(H11,'[1]Consolidado MP Planta'!$A$2:$M$823,3,0),"")</f>
        <v/>
      </c>
      <c r="C11" s="35">
        <f t="shared" si="1"/>
        <v>0</v>
      </c>
      <c r="D11" s="36" t="str">
        <f>IFERROR(VLOOKUP(H11,'[1]Consolidado MP Planta'!$A$2:$M$823,13,0),"")</f>
        <v/>
      </c>
      <c r="E11" s="36" t="str">
        <f>IFERROR(VLOOKUP(H11,'[1]Consolidado MP Planta'!$A$2:$M$823,12,0),"")</f>
        <v/>
      </c>
      <c r="F11" s="36" t="str">
        <f t="shared" si="2"/>
        <v/>
      </c>
      <c r="G11" s="37" t="str">
        <f t="shared" si="0"/>
        <v/>
      </c>
      <c r="H11" s="38"/>
      <c r="I11" s="38"/>
      <c r="J11" s="39"/>
    </row>
    <row r="12" spans="1:10" ht="13.5" hidden="1" x14ac:dyDescent="0.25">
      <c r="A12" s="34"/>
      <c r="B12" s="22" t="str">
        <f>IFERROR(VLOOKUP(H12,'[1]Consolidado MP Planta'!$A$2:$M$823,3,0),"")</f>
        <v/>
      </c>
      <c r="C12" s="35">
        <f t="shared" si="1"/>
        <v>0</v>
      </c>
      <c r="D12" s="36" t="str">
        <f>IFERROR(VLOOKUP(H12,'[1]Consolidado MP Planta'!$A$2:$M$823,13,0),"")</f>
        <v/>
      </c>
      <c r="E12" s="36" t="str">
        <f>IFERROR(VLOOKUP(H12,'[1]Consolidado MP Planta'!$A$2:$M$823,12,0),"")</f>
        <v/>
      </c>
      <c r="F12" s="36" t="str">
        <f t="shared" si="2"/>
        <v/>
      </c>
      <c r="G12" s="37" t="str">
        <f t="shared" si="0"/>
        <v/>
      </c>
      <c r="H12" s="38"/>
      <c r="I12" s="38"/>
      <c r="J12" s="39"/>
    </row>
    <row r="13" spans="1:10" ht="13.5" hidden="1" x14ac:dyDescent="0.25">
      <c r="A13" s="34"/>
      <c r="B13" s="22" t="str">
        <f>IFERROR(VLOOKUP(H13,'[1]Consolidado MP Planta'!$A$2:$M$823,3,0),"")</f>
        <v/>
      </c>
      <c r="C13" s="35">
        <f t="shared" si="1"/>
        <v>0</v>
      </c>
      <c r="D13" s="36" t="str">
        <f>IFERROR(VLOOKUP(H13,'[1]Consolidado MP Planta'!$A$2:$M$823,13,0),"")</f>
        <v/>
      </c>
      <c r="E13" s="36" t="str">
        <f>IFERROR(VLOOKUP(H13,'[1]Consolidado MP Planta'!$A$2:$M$823,12,0),"")</f>
        <v/>
      </c>
      <c r="F13" s="36" t="str">
        <f t="shared" si="2"/>
        <v/>
      </c>
      <c r="G13" s="37" t="str">
        <f t="shared" si="0"/>
        <v/>
      </c>
      <c r="H13" s="38"/>
      <c r="I13" s="38"/>
      <c r="J13" s="39"/>
    </row>
    <row r="14" spans="1:10" ht="13.5" hidden="1" x14ac:dyDescent="0.25">
      <c r="A14" s="34"/>
      <c r="B14" s="22" t="str">
        <f>IFERROR(VLOOKUP(H14,'[1]Consolidado MP Planta'!$A$2:$M$823,3,0),"")</f>
        <v/>
      </c>
      <c r="C14" s="35">
        <f t="shared" si="1"/>
        <v>0</v>
      </c>
      <c r="D14" s="36" t="str">
        <f>IFERROR(VLOOKUP(H14,'[1]Consolidado MP Planta'!$A$2:$M$823,13,0),"")</f>
        <v/>
      </c>
      <c r="E14" s="36" t="str">
        <f>IFERROR(VLOOKUP(H14,'[1]Consolidado MP Planta'!$A$2:$M$823,12,0),"")</f>
        <v/>
      </c>
      <c r="F14" s="36" t="str">
        <f t="shared" si="2"/>
        <v/>
      </c>
      <c r="G14" s="37" t="str">
        <f t="shared" si="0"/>
        <v/>
      </c>
      <c r="H14" s="38"/>
      <c r="I14" s="38"/>
      <c r="J14" s="39"/>
    </row>
    <row r="15" spans="1:10" ht="14.25" hidden="1" thickBot="1" x14ac:dyDescent="0.3">
      <c r="A15" s="34"/>
      <c r="B15" s="22" t="str">
        <f>IFERROR(VLOOKUP(H15,[2]Hoja2!$A$2:$G$589,2,0),"")</f>
        <v/>
      </c>
      <c r="C15" s="35"/>
      <c r="D15" s="36"/>
      <c r="E15" s="36"/>
      <c r="F15" s="36"/>
      <c r="G15" s="37"/>
      <c r="H15" s="38"/>
      <c r="I15" s="38"/>
      <c r="J15" s="39"/>
    </row>
    <row r="16" spans="1:10" ht="26.25" thickBot="1" x14ac:dyDescent="0.3">
      <c r="A16" s="29" t="s">
        <v>58</v>
      </c>
      <c r="B16" s="30" t="s">
        <v>65</v>
      </c>
      <c r="C16" s="30" t="s">
        <v>58</v>
      </c>
      <c r="D16" s="31" t="s">
        <v>60</v>
      </c>
      <c r="E16" s="31" t="s">
        <v>61</v>
      </c>
      <c r="F16" s="31" t="s">
        <v>62</v>
      </c>
      <c r="G16" s="31" t="s">
        <v>63</v>
      </c>
      <c r="H16" s="32" t="s">
        <v>64</v>
      </c>
      <c r="I16" s="33"/>
      <c r="J16" s="39"/>
    </row>
    <row r="17" spans="1:12" ht="13.5" x14ac:dyDescent="0.25">
      <c r="A17" s="34">
        <v>240</v>
      </c>
      <c r="B17" s="22" t="s">
        <v>49</v>
      </c>
      <c r="C17" s="35">
        <f>+A17</f>
        <v>240</v>
      </c>
      <c r="D17" s="35" t="s">
        <v>104</v>
      </c>
      <c r="E17" s="36">
        <f>+'[3]Costo Salsa Pistacho'!$E$69</f>
        <v>5.1392759999999997</v>
      </c>
      <c r="F17" s="36">
        <f>IFERROR(E17*C17,"")</f>
        <v>1233.42624</v>
      </c>
      <c r="G17" s="37">
        <f t="shared" ref="G17:G24" si="3">IFERROR(F17/$F$66,"")</f>
        <v>0.91489054051033813</v>
      </c>
      <c r="H17" s="38"/>
      <c r="I17" s="38"/>
      <c r="J17" s="39"/>
    </row>
    <row r="18" spans="1:12" ht="13.5" hidden="1" x14ac:dyDescent="0.25">
      <c r="A18" s="34"/>
      <c r="B18" s="22" t="str">
        <f>IFERROR(VLOOKUP(H18,[1]SEMIELABORADOS!$A$2:$M$6000,2,0),"")</f>
        <v/>
      </c>
      <c r="C18" s="35">
        <f t="shared" ref="C18:C24" si="4">+A18</f>
        <v>0</v>
      </c>
      <c r="D18" s="35" t="str">
        <f>IFERROR(VLOOKUP(H18,[1]SEMIELABORADOS!$A$2:$M$6000,6,0),"")</f>
        <v/>
      </c>
      <c r="E18" s="36" t="str">
        <f>IFERROR(VLOOKUP(H18,[1]SEMIELABORADOS!$A$2:$H$65536,8,0),"")</f>
        <v/>
      </c>
      <c r="F18" s="36" t="str">
        <f t="shared" ref="F18:F24" si="5">IFERROR(E18*C18,"")</f>
        <v/>
      </c>
      <c r="G18" s="37" t="str">
        <f t="shared" si="3"/>
        <v/>
      </c>
      <c r="H18" s="38"/>
      <c r="I18" s="38"/>
      <c r="J18" s="39"/>
    </row>
    <row r="19" spans="1:12" ht="13.5" hidden="1" x14ac:dyDescent="0.25">
      <c r="A19" s="34"/>
      <c r="B19" s="22" t="str">
        <f>IFERROR(VLOOKUP(H19,[1]SEMIELABORADOS!$A$2:$M$6000,2,0),"")</f>
        <v/>
      </c>
      <c r="C19" s="35">
        <f>+A19</f>
        <v>0</v>
      </c>
      <c r="D19" s="35" t="str">
        <f>IFERROR(VLOOKUP(H19,[1]SEMIELABORADOS!$A$2:$M$6000,6,0),"")</f>
        <v/>
      </c>
      <c r="E19" s="36" t="str">
        <f>IFERROR(VLOOKUP(H19,[1]SEMIELABORADOS!$A$2:$H$65536,8,0),"")</f>
        <v/>
      </c>
      <c r="F19" s="36" t="str">
        <f>IFERROR(E19*C19,"")</f>
        <v/>
      </c>
      <c r="G19" s="37" t="str">
        <f t="shared" si="3"/>
        <v/>
      </c>
      <c r="H19" s="38"/>
      <c r="I19" s="38"/>
      <c r="J19" s="39"/>
    </row>
    <row r="20" spans="1:12" ht="13.5" hidden="1" x14ac:dyDescent="0.25">
      <c r="A20" s="34"/>
      <c r="B20" s="22" t="str">
        <f>IFERROR(VLOOKUP(H20,[1]SEMIELABORADOS!$A$2:$M$6000,2,0),"")</f>
        <v/>
      </c>
      <c r="C20" s="35">
        <f>+A20</f>
        <v>0</v>
      </c>
      <c r="D20" s="35" t="str">
        <f>IFERROR(VLOOKUP(H20,[1]SEMIELABORADOS!$A$2:$M$6000,6,0),"")</f>
        <v/>
      </c>
      <c r="E20" s="36" t="str">
        <f>IFERROR(VLOOKUP(H20,[1]SEMIELABORADOS!$A$2:$H$65536,8,0),"")</f>
        <v/>
      </c>
      <c r="F20" s="36" t="str">
        <f>IFERROR(E20*C20,"")</f>
        <v/>
      </c>
      <c r="G20" s="37" t="str">
        <f t="shared" si="3"/>
        <v/>
      </c>
      <c r="H20" s="38"/>
      <c r="I20" s="38"/>
      <c r="J20" s="39"/>
    </row>
    <row r="21" spans="1:12" ht="13.5" hidden="1" x14ac:dyDescent="0.25">
      <c r="A21" s="34"/>
      <c r="B21" s="22" t="str">
        <f>IFERROR(VLOOKUP(H21,[1]SEMIELABORADOS!$A$2:$M$6000,2,0),"")</f>
        <v/>
      </c>
      <c r="C21" s="35">
        <f>+A21</f>
        <v>0</v>
      </c>
      <c r="D21" s="35" t="str">
        <f>IFERROR(VLOOKUP(H21,[1]SEMIELABORADOS!$A$2:$M$6000,6,0),"")</f>
        <v/>
      </c>
      <c r="E21" s="36" t="str">
        <f>IFERROR(VLOOKUP(H21,[1]SEMIELABORADOS!$A$2:$H$65536,8,0),"")</f>
        <v/>
      </c>
      <c r="F21" s="36" t="str">
        <f>IFERROR(E21*C21,"")</f>
        <v/>
      </c>
      <c r="G21" s="37" t="str">
        <f t="shared" si="3"/>
        <v/>
      </c>
      <c r="H21" s="38"/>
      <c r="I21" s="38"/>
      <c r="J21" s="39"/>
    </row>
    <row r="22" spans="1:12" ht="13.5" hidden="1" x14ac:dyDescent="0.25">
      <c r="A22" s="34"/>
      <c r="B22" s="22" t="str">
        <f>IFERROR(VLOOKUP(H22,[1]SEMIELABORADOS!$A$2:$M$6000,2,0),"")</f>
        <v/>
      </c>
      <c r="C22" s="35">
        <f t="shared" si="4"/>
        <v>0</v>
      </c>
      <c r="D22" s="35" t="str">
        <f>IFERROR(VLOOKUP(H22,[1]SEMIELABORADOS!$A$2:$M$6000,6,0),"")</f>
        <v/>
      </c>
      <c r="E22" s="36" t="str">
        <f>IFERROR(VLOOKUP(H22,[1]SEMIELABORADOS!$A$2:$H$65536,8,0),"")</f>
        <v/>
      </c>
      <c r="F22" s="36" t="str">
        <f t="shared" si="5"/>
        <v/>
      </c>
      <c r="G22" s="37" t="str">
        <f t="shared" si="3"/>
        <v/>
      </c>
      <c r="H22" s="38"/>
      <c r="I22" s="38"/>
      <c r="J22" s="39"/>
    </row>
    <row r="23" spans="1:12" ht="13.5" hidden="1" x14ac:dyDescent="0.25">
      <c r="A23" s="34"/>
      <c r="B23" s="22" t="str">
        <f>IFERROR(VLOOKUP(H23,[1]SEMIELABORADOS!$A$2:$M$6000,2,0),"")</f>
        <v/>
      </c>
      <c r="C23" s="35">
        <f t="shared" si="4"/>
        <v>0</v>
      </c>
      <c r="D23" s="35" t="str">
        <f>IFERROR(VLOOKUP(H23,[1]SEMIELABORADOS!$A$2:$M$6000,6,0),"")</f>
        <v/>
      </c>
      <c r="E23" s="36" t="str">
        <f>IFERROR(VLOOKUP(H23,[1]SEMIELABORADOS!$A$2:$H$65536,8,0),"")</f>
        <v/>
      </c>
      <c r="F23" s="36" t="str">
        <f t="shared" si="5"/>
        <v/>
      </c>
      <c r="G23" s="37" t="str">
        <f t="shared" si="3"/>
        <v/>
      </c>
      <c r="H23" s="38"/>
      <c r="I23" s="38"/>
      <c r="J23" s="39"/>
    </row>
    <row r="24" spans="1:12" ht="13.5" hidden="1" x14ac:dyDescent="0.25">
      <c r="A24" s="34"/>
      <c r="B24" s="22" t="str">
        <f>IFERROR(VLOOKUP(H24,[1]SEMIELABORADOS!$A$2:$M$6000,2,0),"")</f>
        <v/>
      </c>
      <c r="C24" s="35">
        <f t="shared" si="4"/>
        <v>0</v>
      </c>
      <c r="D24" s="35" t="str">
        <f>IFERROR(VLOOKUP(H24,[1]SEMIELABORADOS!$A$2:$M$6000,6,0),"")</f>
        <v/>
      </c>
      <c r="E24" s="36" t="str">
        <f>IFERROR(VLOOKUP(H24,[1]SEMIELABORADOS!$A$2:$H$65536,8,0),"")</f>
        <v/>
      </c>
      <c r="F24" s="36" t="str">
        <f t="shared" si="5"/>
        <v/>
      </c>
      <c r="G24" s="37" t="str">
        <f t="shared" si="3"/>
        <v/>
      </c>
      <c r="H24" s="38"/>
      <c r="I24" s="38"/>
      <c r="J24" s="39"/>
    </row>
    <row r="25" spans="1:12" ht="14.25" thickBot="1" x14ac:dyDescent="0.3">
      <c r="A25" s="34"/>
      <c r="C25" s="35"/>
      <c r="D25" s="35"/>
      <c r="E25" s="36"/>
      <c r="F25" s="36"/>
      <c r="G25" s="37"/>
      <c r="H25" s="38"/>
      <c r="I25" s="38"/>
      <c r="J25" s="39"/>
    </row>
    <row r="26" spans="1:12" ht="26.25" thickBot="1" x14ac:dyDescent="0.3">
      <c r="A26" s="29" t="s">
        <v>58</v>
      </c>
      <c r="B26" s="30" t="s">
        <v>66</v>
      </c>
      <c r="C26" s="30" t="s">
        <v>58</v>
      </c>
      <c r="D26" s="31" t="s">
        <v>60</v>
      </c>
      <c r="E26" s="31" t="s">
        <v>61</v>
      </c>
      <c r="F26" s="31" t="s">
        <v>62</v>
      </c>
      <c r="G26" s="31" t="s">
        <v>63</v>
      </c>
      <c r="H26" s="32" t="s">
        <v>64</v>
      </c>
      <c r="I26" s="33"/>
    </row>
    <row r="27" spans="1:12" ht="13.5" x14ac:dyDescent="0.25">
      <c r="A27" s="34">
        <v>1</v>
      </c>
      <c r="B27" s="40" t="str">
        <f>IFERROR(VLOOKUP(H27,'[1]Consolidado MP Planta'!$A$2:$M$823,3,0),"")</f>
        <v>BOLSA 8x12 TRANSPARENTE KILO</v>
      </c>
      <c r="C27" s="35">
        <f t="shared" ref="C27:C32" si="6">+A27</f>
        <v>1</v>
      </c>
      <c r="D27" s="36" t="str">
        <f>IFERROR(VLOOKUP(H27,'[1]Consolidado MP Planta'!$A$2:$M$823,13,0),"")</f>
        <v>Und</v>
      </c>
      <c r="E27" s="36">
        <f>IFERROR(VLOOKUP(H27,'[1]Consolidado MP Planta'!$A$2:$M$823,12,0),"")</f>
        <v>10</v>
      </c>
      <c r="F27" s="36">
        <f t="shared" ref="F27:F32" si="7">IFERROR(C27*E27,"")</f>
        <v>10</v>
      </c>
      <c r="G27" s="37">
        <f t="shared" ref="G27:G32" si="8">IFERROR(F27/$F$66,"")</f>
        <v>7.4174726533330288E-3</v>
      </c>
      <c r="H27" s="41" t="s">
        <v>105</v>
      </c>
      <c r="I27" s="41"/>
      <c r="J27" s="39"/>
      <c r="K27" s="164"/>
      <c r="L27" s="164"/>
    </row>
    <row r="28" spans="1:12" ht="13.5" x14ac:dyDescent="0.25">
      <c r="A28" s="34">
        <v>1</v>
      </c>
      <c r="B28" s="40" t="str">
        <f>IFERROR(VLOOKUP(H28,'[1]Consolidado MP Planta'!$A$2:$M$823,3,0),"")</f>
        <v>ETIQ.FECHA VENCIMIENTO BLANCO (ROLLO)</v>
      </c>
      <c r="C28" s="35">
        <f t="shared" si="6"/>
        <v>1</v>
      </c>
      <c r="D28" s="36" t="str">
        <f>IFERROR(VLOOKUP(H28,'[1]Consolidado MP Planta'!$A$2:$M$823,13,0),"")</f>
        <v>Gramos</v>
      </c>
      <c r="E28" s="36">
        <f>IFERROR(VLOOKUP(H28,'[1]Consolidado MP Planta'!$A$2:$M$823,12,0),"")</f>
        <v>0.33333333333333331</v>
      </c>
      <c r="F28" s="36">
        <f t="shared" si="7"/>
        <v>0.33333333333333331</v>
      </c>
      <c r="G28" s="37">
        <f t="shared" si="8"/>
        <v>2.4724908844443429E-4</v>
      </c>
      <c r="H28" s="41" t="s">
        <v>106</v>
      </c>
      <c r="I28" s="41"/>
      <c r="J28" s="39"/>
      <c r="K28" s="164"/>
      <c r="L28" s="164"/>
    </row>
    <row r="29" spans="1:12" ht="13.5" x14ac:dyDescent="0.25">
      <c r="A29" s="34">
        <v>1</v>
      </c>
      <c r="B29" s="40" t="str">
        <f>IFERROR(VLOOKUP(H29,'[1]Consolidado MP Planta'!$A$2:$M$823,3,0),"")</f>
        <v>ETIQ.BLANCA 1 1/4 * 3/4 (UND)</v>
      </c>
      <c r="C29" s="35">
        <f t="shared" si="6"/>
        <v>1</v>
      </c>
      <c r="D29" s="36" t="str">
        <f>IFERROR(VLOOKUP(H29,'[1]Consolidado MP Planta'!$A$2:$M$823,13,0),"")</f>
        <v>Und</v>
      </c>
      <c r="E29" s="36">
        <f>IFERROR(VLOOKUP(H29,'[1]Consolidado MP Planta'!$A$2:$M$823,12,0),"")</f>
        <v>0.57999999999999996</v>
      </c>
      <c r="F29" s="36">
        <f t="shared" si="7"/>
        <v>0.57999999999999996</v>
      </c>
      <c r="G29" s="37">
        <f t="shared" si="8"/>
        <v>4.3021341389331565E-4</v>
      </c>
      <c r="H29" s="41" t="s">
        <v>107</v>
      </c>
      <c r="I29" s="41"/>
      <c r="J29" s="39"/>
      <c r="K29" s="164"/>
      <c r="L29" s="164"/>
    </row>
    <row r="30" spans="1:12" ht="13.5" hidden="1" x14ac:dyDescent="0.25">
      <c r="A30" s="34"/>
      <c r="B30" s="40" t="str">
        <f>IFERROR(VLOOKUP(H30,'[1]Consolidado MP Planta'!$A$2:$M$823,3,0),"")</f>
        <v/>
      </c>
      <c r="C30" s="35">
        <f t="shared" si="6"/>
        <v>0</v>
      </c>
      <c r="D30" s="36" t="str">
        <f>IFERROR(VLOOKUP(H30,'[1]Consolidado MP Planta'!$A$2:$M$823,13,0),"")</f>
        <v/>
      </c>
      <c r="E30" s="36" t="str">
        <f>IFERROR(VLOOKUP(H30,'[1]Consolidado MP Planta'!$A$2:$M$823,12,0),"")</f>
        <v/>
      </c>
      <c r="F30" s="36" t="str">
        <f t="shared" si="7"/>
        <v/>
      </c>
      <c r="G30" s="37" t="str">
        <f t="shared" si="8"/>
        <v/>
      </c>
      <c r="H30" s="41"/>
      <c r="I30" s="41"/>
      <c r="J30" s="39"/>
      <c r="K30" s="164"/>
      <c r="L30" s="164"/>
    </row>
    <row r="31" spans="1:12" ht="13.5" hidden="1" x14ac:dyDescent="0.25">
      <c r="A31" s="34"/>
      <c r="B31" s="40" t="str">
        <f>IFERROR(VLOOKUP(H31,'[1]Consolidado MP Planta'!$A$2:$M$823,3,0),"")</f>
        <v/>
      </c>
      <c r="C31" s="35">
        <f t="shared" si="6"/>
        <v>0</v>
      </c>
      <c r="D31" s="36" t="str">
        <f>IFERROR(VLOOKUP(H31,'[1]Consolidado MP Planta'!$A$2:$M$823,13,0),"")</f>
        <v/>
      </c>
      <c r="E31" s="36" t="str">
        <f>IFERROR(VLOOKUP(H31,'[1]Consolidado MP Planta'!$A$2:$M$823,12,0),"")</f>
        <v/>
      </c>
      <c r="F31" s="36" t="str">
        <f t="shared" si="7"/>
        <v/>
      </c>
      <c r="G31" s="37" t="str">
        <f t="shared" si="8"/>
        <v/>
      </c>
      <c r="H31" s="41"/>
      <c r="I31" s="41"/>
      <c r="J31" s="39"/>
      <c r="K31" s="42"/>
      <c r="L31" s="43"/>
    </row>
    <row r="32" spans="1:12" ht="13.5" hidden="1" x14ac:dyDescent="0.25">
      <c r="A32" s="34"/>
      <c r="B32" s="40" t="str">
        <f>IFERROR(VLOOKUP(H32,'[1]Consolidado MP Planta'!$A$2:$M$823,3,0),"")</f>
        <v/>
      </c>
      <c r="C32" s="35">
        <f t="shared" si="6"/>
        <v>0</v>
      </c>
      <c r="D32" s="36" t="str">
        <f>IFERROR(VLOOKUP(H32,'[1]Consolidado MP Planta'!$A$2:$M$823,13,0),"")</f>
        <v/>
      </c>
      <c r="E32" s="36" t="str">
        <f>IFERROR(VLOOKUP(H32,'[1]Consolidado MP Planta'!$A$2:$M$823,12,0),"")</f>
        <v/>
      </c>
      <c r="F32" s="36" t="str">
        <f t="shared" si="7"/>
        <v/>
      </c>
      <c r="G32" s="37" t="str">
        <f t="shared" si="8"/>
        <v/>
      </c>
      <c r="H32" s="41"/>
      <c r="I32" s="41"/>
      <c r="J32" s="39"/>
    </row>
    <row r="33" spans="1:13" ht="14.25" thickBot="1" x14ac:dyDescent="0.3">
      <c r="A33" s="34"/>
      <c r="B33" s="40"/>
      <c r="C33" s="35"/>
      <c r="D33" s="36"/>
      <c r="E33" s="36"/>
      <c r="F33" s="36"/>
      <c r="G33" s="37"/>
      <c r="H33" s="41"/>
      <c r="I33" s="41"/>
      <c r="J33" s="39"/>
    </row>
    <row r="34" spans="1:13" ht="26.25" thickBot="1" x14ac:dyDescent="0.25">
      <c r="A34" s="29" t="s">
        <v>58</v>
      </c>
      <c r="B34" s="30" t="s">
        <v>67</v>
      </c>
      <c r="C34" s="30" t="s">
        <v>58</v>
      </c>
      <c r="D34" s="31" t="s">
        <v>60</v>
      </c>
      <c r="E34" s="31" t="s">
        <v>61</v>
      </c>
      <c r="F34" s="31" t="s">
        <v>62</v>
      </c>
      <c r="G34" s="31" t="s">
        <v>63</v>
      </c>
      <c r="H34" s="32" t="s">
        <v>64</v>
      </c>
      <c r="I34" s="41"/>
      <c r="J34" s="39"/>
    </row>
    <row r="35" spans="1:13" ht="13.5" x14ac:dyDescent="0.25">
      <c r="A35" s="34">
        <f>+A17</f>
        <v>240</v>
      </c>
      <c r="B35" s="40" t="s">
        <v>49</v>
      </c>
      <c r="C35" s="35">
        <f>+A35</f>
        <v>240</v>
      </c>
      <c r="D35" s="36" t="s">
        <v>104</v>
      </c>
      <c r="E35" s="36">
        <f>+'[3]Costo Salsa Pistacho'!$E$76</f>
        <v>8.9999999999999993E-3</v>
      </c>
      <c r="F35" s="36">
        <f>IFERROR(E35*C35,"")</f>
        <v>2.1599999999999997</v>
      </c>
      <c r="G35" s="37">
        <f t="shared" ref="G35:G41" si="9">IFERROR(F35/$F$66,"")</f>
        <v>1.6021740931199341E-3</v>
      </c>
      <c r="H35" s="41"/>
      <c r="I35" s="41"/>
      <c r="J35" s="39"/>
    </row>
    <row r="36" spans="1:13" ht="13.5" hidden="1" x14ac:dyDescent="0.25">
      <c r="A36" s="34">
        <f t="shared" ref="A36:A41" si="10">+A18</f>
        <v>0</v>
      </c>
      <c r="B36" s="40" t="str">
        <f>IFERROR(VLOOKUP(H36,[1]SEMIELABORADOS!$A$2:$M$6000,2,0),"")</f>
        <v/>
      </c>
      <c r="C36" s="35">
        <f t="shared" ref="C36:C41" si="11">+A36</f>
        <v>0</v>
      </c>
      <c r="D36" s="36" t="str">
        <f>IFERROR(VLOOKUP(H36,[1]SEMIELABORADOS!$A$2:$M$6000,6,0),"")</f>
        <v/>
      </c>
      <c r="E36" s="36" t="str">
        <f>IFERROR(VLOOKUP(H36,[1]SEMIELABORADOS!$A$2:$M$65536,10,0),"")</f>
        <v/>
      </c>
      <c r="F36" s="36" t="str">
        <f t="shared" ref="F36:F41" si="12">IFERROR(E36*C36,"")</f>
        <v/>
      </c>
      <c r="G36" s="37" t="str">
        <f t="shared" si="9"/>
        <v/>
      </c>
      <c r="H36" s="41"/>
      <c r="I36" s="41"/>
      <c r="J36" s="39"/>
    </row>
    <row r="37" spans="1:13" ht="13.5" hidden="1" x14ac:dyDescent="0.25">
      <c r="A37" s="34">
        <f t="shared" si="10"/>
        <v>0</v>
      </c>
      <c r="B37" s="40" t="str">
        <f>IFERROR(VLOOKUP(H37,[1]SEMIELABORADOS!$A$2:$M$6000,2,0),"")</f>
        <v/>
      </c>
      <c r="C37" s="35">
        <f t="shared" si="11"/>
        <v>0</v>
      </c>
      <c r="D37" s="36" t="str">
        <f>IFERROR(VLOOKUP(H37,[1]SEMIELABORADOS!$A$2:$M$6000,6,0),"")</f>
        <v/>
      </c>
      <c r="E37" s="36" t="str">
        <f>IFERROR(VLOOKUP(H37,[1]SEMIELABORADOS!$A$2:$M$65536,10,0),"")</f>
        <v/>
      </c>
      <c r="F37" s="36" t="str">
        <f t="shared" si="12"/>
        <v/>
      </c>
      <c r="G37" s="37" t="str">
        <f t="shared" si="9"/>
        <v/>
      </c>
      <c r="H37" s="41"/>
      <c r="I37" s="41"/>
      <c r="J37" s="39"/>
    </row>
    <row r="38" spans="1:13" ht="13.5" hidden="1" x14ac:dyDescent="0.25">
      <c r="A38" s="34">
        <f t="shared" si="10"/>
        <v>0</v>
      </c>
      <c r="B38" s="40" t="str">
        <f>IFERROR(VLOOKUP(H38,[1]SEMIELABORADOS!$A$2:$M$6000,2,0),"")</f>
        <v/>
      </c>
      <c r="C38" s="35">
        <f>+A38</f>
        <v>0</v>
      </c>
      <c r="D38" s="36" t="str">
        <f>IFERROR(VLOOKUP(H38,[1]SEMIELABORADOS!$A$2:$M$6000,6,0),"")</f>
        <v/>
      </c>
      <c r="E38" s="36" t="str">
        <f>IFERROR(VLOOKUP(H38,[1]SEMIELABORADOS!$A$2:$M$65536,10,0),"")</f>
        <v/>
      </c>
      <c r="F38" s="36" t="str">
        <f>IFERROR(E38*C38,"")</f>
        <v/>
      </c>
      <c r="G38" s="37" t="str">
        <f t="shared" si="9"/>
        <v/>
      </c>
      <c r="H38" s="41"/>
      <c r="I38" s="41"/>
      <c r="J38" s="39"/>
    </row>
    <row r="39" spans="1:13" ht="13.5" hidden="1" x14ac:dyDescent="0.25">
      <c r="A39" s="34">
        <f t="shared" si="10"/>
        <v>0</v>
      </c>
      <c r="B39" s="40" t="str">
        <f>IFERROR(VLOOKUP(H39,[1]SEMIELABORADOS!$A$2:$M$6000,2,0),"")</f>
        <v/>
      </c>
      <c r="C39" s="35">
        <f>+A39</f>
        <v>0</v>
      </c>
      <c r="D39" s="36" t="str">
        <f>IFERROR(VLOOKUP(H39,[1]SEMIELABORADOS!$A$2:$M$6000,6,0),"")</f>
        <v/>
      </c>
      <c r="E39" s="36" t="str">
        <f>IFERROR(VLOOKUP(H39,[1]SEMIELABORADOS!$A$2:$M$65536,10,0),"")</f>
        <v/>
      </c>
      <c r="F39" s="36" t="str">
        <f>IFERROR(E39*C39,"")</f>
        <v/>
      </c>
      <c r="G39" s="37" t="str">
        <f t="shared" si="9"/>
        <v/>
      </c>
      <c r="H39" s="41"/>
      <c r="I39" s="41"/>
      <c r="J39" s="39"/>
    </row>
    <row r="40" spans="1:13" ht="13.5" hidden="1" x14ac:dyDescent="0.25">
      <c r="A40" s="34">
        <f t="shared" si="10"/>
        <v>0</v>
      </c>
      <c r="B40" s="40" t="str">
        <f>IFERROR(VLOOKUP(H40,[1]SEMIELABORADOS!$A$2:$M$6000,2,0),"")</f>
        <v/>
      </c>
      <c r="C40" s="35">
        <f t="shared" si="11"/>
        <v>0</v>
      </c>
      <c r="D40" s="36" t="str">
        <f>IFERROR(VLOOKUP(H40,[1]SEMIELABORADOS!$A$2:$M$6000,6,0),"")</f>
        <v/>
      </c>
      <c r="E40" s="36" t="str">
        <f>IFERROR(VLOOKUP(H40,[1]SEMIELABORADOS!$A$2:$M$65536,10,0),"")</f>
        <v/>
      </c>
      <c r="F40" s="36" t="str">
        <f t="shared" si="12"/>
        <v/>
      </c>
      <c r="G40" s="37" t="str">
        <f t="shared" si="9"/>
        <v/>
      </c>
      <c r="H40" s="41"/>
      <c r="I40" s="41"/>
      <c r="J40" s="39"/>
    </row>
    <row r="41" spans="1:13" ht="13.5" hidden="1" x14ac:dyDescent="0.25">
      <c r="A41" s="34">
        <f t="shared" si="10"/>
        <v>0</v>
      </c>
      <c r="B41" s="40" t="str">
        <f>IFERROR(VLOOKUP(H41,[1]SEMIELABORADOS!$A$2:$M$6000,2,0),"")</f>
        <v/>
      </c>
      <c r="C41" s="35">
        <f t="shared" si="11"/>
        <v>0</v>
      </c>
      <c r="D41" s="36" t="str">
        <f>IFERROR(VLOOKUP(H41,[1]SEMIELABORADOS!$A$2:$M$6000,6,0),"")</f>
        <v/>
      </c>
      <c r="E41" s="36" t="str">
        <f>IFERROR(VLOOKUP(H41,[1]SEMIELABORADOS!$A$2:$M$65536,10,0),"")</f>
        <v/>
      </c>
      <c r="F41" s="36" t="str">
        <f t="shared" si="12"/>
        <v/>
      </c>
      <c r="G41" s="37" t="str">
        <f t="shared" si="9"/>
        <v/>
      </c>
      <c r="H41" s="41"/>
      <c r="I41" s="41"/>
      <c r="J41" s="39"/>
    </row>
    <row r="42" spans="1:13" ht="14.25" thickBot="1" x14ac:dyDescent="0.3">
      <c r="A42" s="34"/>
      <c r="B42" s="40"/>
      <c r="C42" s="35"/>
      <c r="D42" s="36"/>
      <c r="E42" s="36"/>
      <c r="F42" s="36"/>
      <c r="G42" s="37"/>
      <c r="H42" s="41"/>
      <c r="I42" s="41"/>
      <c r="J42" s="39"/>
    </row>
    <row r="43" spans="1:13" ht="26.25" thickBot="1" x14ac:dyDescent="0.3">
      <c r="A43" s="29" t="s">
        <v>58</v>
      </c>
      <c r="B43" s="30" t="s">
        <v>68</v>
      </c>
      <c r="C43" s="30" t="s">
        <v>58</v>
      </c>
      <c r="D43" s="31" t="s">
        <v>60</v>
      </c>
      <c r="E43" s="31" t="s">
        <v>61</v>
      </c>
      <c r="F43" s="31" t="s">
        <v>62</v>
      </c>
      <c r="G43" s="31" t="s">
        <v>63</v>
      </c>
      <c r="H43" s="32" t="s">
        <v>64</v>
      </c>
      <c r="I43" s="33"/>
      <c r="J43" s="39"/>
    </row>
    <row r="44" spans="1:13" ht="13.5" x14ac:dyDescent="0.25">
      <c r="A44" s="34">
        <f>+A35</f>
        <v>240</v>
      </c>
      <c r="B44" s="40" t="s">
        <v>49</v>
      </c>
      <c r="C44" s="35">
        <f>+A44</f>
        <v>240</v>
      </c>
      <c r="D44" s="36" t="s">
        <v>104</v>
      </c>
      <c r="E44" s="36">
        <f>+'[3]Costo Salsa Pistacho'!$E$74</f>
        <v>1.7999999999999999E-2</v>
      </c>
      <c r="F44" s="36">
        <f>IFERROR(E44*C44,"")</f>
        <v>4.3199999999999994</v>
      </c>
      <c r="G44" s="37">
        <f>IFERROR(F44/$F$66,"")</f>
        <v>3.2043481862398682E-3</v>
      </c>
      <c r="H44" s="41"/>
      <c r="I44" s="33"/>
      <c r="J44" s="39"/>
    </row>
    <row r="45" spans="1:13" ht="13.5" hidden="1" x14ac:dyDescent="0.25">
      <c r="A45" s="34">
        <f t="shared" ref="A45:A50" si="13">+A36</f>
        <v>0</v>
      </c>
      <c r="B45" s="40" t="str">
        <f>IFERROR(VLOOKUP(H45,[1]SEMIELABORADOS!$A$2:$M$6000,2,0),"")</f>
        <v/>
      </c>
      <c r="C45" s="35">
        <f t="shared" ref="C45:C50" si="14">+A45</f>
        <v>0</v>
      </c>
      <c r="D45" s="36" t="str">
        <f>IFERROR(VLOOKUP(H45,[1]SEMIELABORADOS!$A$2:$M$6000,6,0),"")</f>
        <v/>
      </c>
      <c r="E45" s="36" t="str">
        <f>IFERROR(VLOOKUP(H45,[1]SEMIELABORADOS!$A$2:$M$65536,12,0),"")</f>
        <v/>
      </c>
      <c r="F45" s="36" t="str">
        <f t="shared" ref="F45:F50" si="15">IFERROR(E45*C45,"")</f>
        <v/>
      </c>
      <c r="G45" s="37" t="str">
        <f t="shared" ref="G45:G50" si="16">IFERROR(F45/$F$66,"")</f>
        <v/>
      </c>
      <c r="H45" s="41"/>
      <c r="I45" s="33"/>
      <c r="J45" s="39"/>
      <c r="M45" s="44"/>
    </row>
    <row r="46" spans="1:13" ht="13.5" hidden="1" x14ac:dyDescent="0.25">
      <c r="A46" s="34">
        <f t="shared" si="13"/>
        <v>0</v>
      </c>
      <c r="B46" s="40" t="str">
        <f>IFERROR(VLOOKUP(H46,[1]SEMIELABORADOS!$A$2:$M$6000,2,0),"")</f>
        <v/>
      </c>
      <c r="C46" s="35">
        <f t="shared" si="14"/>
        <v>0</v>
      </c>
      <c r="D46" s="36" t="str">
        <f>IFERROR(VLOOKUP(H46,[1]SEMIELABORADOS!$A$2:$M$6000,6,0),"")</f>
        <v/>
      </c>
      <c r="E46" s="36" t="str">
        <f>IFERROR(VLOOKUP(H46,[1]SEMIELABORADOS!$A$2:$M$65536,12,0),"")</f>
        <v/>
      </c>
      <c r="F46" s="36" t="str">
        <f t="shared" si="15"/>
        <v/>
      </c>
      <c r="G46" s="37" t="str">
        <f t="shared" si="16"/>
        <v/>
      </c>
      <c r="H46" s="41"/>
      <c r="I46" s="33"/>
      <c r="J46" s="39"/>
    </row>
    <row r="47" spans="1:13" ht="13.5" hidden="1" x14ac:dyDescent="0.25">
      <c r="A47" s="34">
        <f t="shared" si="13"/>
        <v>0</v>
      </c>
      <c r="B47" s="40" t="str">
        <f>IFERROR(VLOOKUP(H47,[1]SEMIELABORADOS!$A$2:$M$6000,2,0),"")</f>
        <v/>
      </c>
      <c r="C47" s="35">
        <f t="shared" si="14"/>
        <v>0</v>
      </c>
      <c r="D47" s="36" t="str">
        <f>IFERROR(VLOOKUP(H47,[1]SEMIELABORADOS!$A$2:$M$6000,6,0),"")</f>
        <v/>
      </c>
      <c r="E47" s="36" t="str">
        <f>IFERROR(VLOOKUP(H47,[1]SEMIELABORADOS!$A$2:$M$65536,12,0),"")</f>
        <v/>
      </c>
      <c r="F47" s="36" t="str">
        <f t="shared" si="15"/>
        <v/>
      </c>
      <c r="G47" s="37" t="str">
        <f t="shared" si="16"/>
        <v/>
      </c>
      <c r="H47" s="41"/>
      <c r="I47" s="33"/>
      <c r="J47" s="39"/>
    </row>
    <row r="48" spans="1:13" ht="13.5" hidden="1" x14ac:dyDescent="0.25">
      <c r="A48" s="34">
        <f t="shared" si="13"/>
        <v>0</v>
      </c>
      <c r="B48" s="40" t="str">
        <f>IFERROR(VLOOKUP(H48,[1]SEMIELABORADOS!$A$2:$M$6000,2,0),"")</f>
        <v/>
      </c>
      <c r="C48" s="35">
        <f t="shared" si="14"/>
        <v>0</v>
      </c>
      <c r="D48" s="36" t="str">
        <f>IFERROR(VLOOKUP(H48,[1]SEMIELABORADOS!$A$2:$M$6000,6,0),"")</f>
        <v/>
      </c>
      <c r="E48" s="36" t="str">
        <f>IFERROR(VLOOKUP(H48,[1]SEMIELABORADOS!$A$2:$M$65536,12,0),"")</f>
        <v/>
      </c>
      <c r="F48" s="36" t="str">
        <f t="shared" si="15"/>
        <v/>
      </c>
      <c r="G48" s="37" t="str">
        <f t="shared" si="16"/>
        <v/>
      </c>
      <c r="H48" s="41"/>
      <c r="I48" s="33"/>
      <c r="J48" s="39"/>
    </row>
    <row r="49" spans="1:17" ht="13.5" hidden="1" x14ac:dyDescent="0.25">
      <c r="A49" s="34">
        <f t="shared" si="13"/>
        <v>0</v>
      </c>
      <c r="B49" s="40" t="str">
        <f>IFERROR(VLOOKUP(H49,[1]SEMIELABORADOS!$A$2:$M$6000,2,0),"")</f>
        <v/>
      </c>
      <c r="C49" s="35">
        <f t="shared" si="14"/>
        <v>0</v>
      </c>
      <c r="D49" s="36" t="str">
        <f>IFERROR(VLOOKUP(H49,[1]SEMIELABORADOS!$A$2:$M$6000,6,0),"")</f>
        <v/>
      </c>
      <c r="E49" s="36" t="str">
        <f>IFERROR(VLOOKUP(H49,[1]SEMIELABORADOS!$A$2:$M$65536,12,0),"")</f>
        <v/>
      </c>
      <c r="F49" s="36" t="str">
        <f t="shared" si="15"/>
        <v/>
      </c>
      <c r="G49" s="37" t="str">
        <f t="shared" si="16"/>
        <v/>
      </c>
      <c r="H49" s="41"/>
      <c r="I49" s="33"/>
      <c r="J49" s="39"/>
    </row>
    <row r="50" spans="1:17" ht="13.5" hidden="1" x14ac:dyDescent="0.25">
      <c r="A50" s="34">
        <f t="shared" si="13"/>
        <v>0</v>
      </c>
      <c r="B50" s="40" t="str">
        <f>IFERROR(VLOOKUP(H50,[1]SEMIELABORADOS!$A$2:$M$6000,2,0),"")</f>
        <v/>
      </c>
      <c r="C50" s="35">
        <f t="shared" si="14"/>
        <v>0</v>
      </c>
      <c r="D50" s="36" t="str">
        <f>IFERROR(VLOOKUP(H50,[1]SEMIELABORADOS!$A$2:$M$6000,6,0),"")</f>
        <v/>
      </c>
      <c r="E50" s="36" t="str">
        <f>IFERROR(VLOOKUP(H50,[1]SEMIELABORADOS!$A$2:$M$65536,12,0),"")</f>
        <v/>
      </c>
      <c r="F50" s="36" t="str">
        <f t="shared" si="15"/>
        <v/>
      </c>
      <c r="G50" s="37" t="str">
        <f t="shared" si="16"/>
        <v/>
      </c>
      <c r="H50" s="40"/>
      <c r="I50" s="33"/>
      <c r="J50" s="39"/>
    </row>
    <row r="51" spans="1:17" ht="13.5" x14ac:dyDescent="0.25">
      <c r="A51" s="34">
        <v>1</v>
      </c>
      <c r="B51" s="40" t="s">
        <v>69</v>
      </c>
      <c r="C51" s="35">
        <f>+A51</f>
        <v>1</v>
      </c>
      <c r="D51" s="35" t="s">
        <v>70</v>
      </c>
      <c r="E51" s="36">
        <f>+F65</f>
        <v>77</v>
      </c>
      <c r="F51" s="36">
        <f>IFERROR(C51*E51,"")</f>
        <v>77</v>
      </c>
      <c r="G51" s="37">
        <f>IFERROR(F51/$F$66,"")</f>
        <v>5.7114539430664323E-2</v>
      </c>
      <c r="H51" s="45"/>
      <c r="I51" s="45"/>
      <c r="J51" s="39"/>
    </row>
    <row r="52" spans="1:17" ht="14.25" thickBot="1" x14ac:dyDescent="0.3">
      <c r="A52" s="34"/>
      <c r="B52" s="40"/>
      <c r="C52" s="35"/>
      <c r="D52" s="35"/>
      <c r="E52" s="36"/>
      <c r="F52" s="36"/>
      <c r="G52" s="37"/>
      <c r="H52" s="45"/>
      <c r="I52" s="45"/>
      <c r="J52" s="39"/>
    </row>
    <row r="53" spans="1:17" ht="13.5" thickBot="1" x14ac:dyDescent="0.3">
      <c r="A53" s="46"/>
      <c r="B53" s="165" t="s">
        <v>71</v>
      </c>
      <c r="C53" s="165"/>
      <c r="D53" s="165"/>
      <c r="E53" s="165"/>
      <c r="F53" s="48">
        <f>SUM(F8:F14,F17:F24)</f>
        <v>1233.42624</v>
      </c>
      <c r="G53" s="37">
        <f>+F53/$F$66</f>
        <v>0.91489054051033813</v>
      </c>
      <c r="H53" s="49">
        <f>+F53/$D$60</f>
        <v>1233.42624</v>
      </c>
      <c r="I53" s="49"/>
      <c r="J53" s="50"/>
      <c r="K53" s="51"/>
      <c r="L53" s="51"/>
      <c r="M53" s="51"/>
      <c r="N53" s="51"/>
      <c r="O53" s="51"/>
      <c r="P53" s="51"/>
      <c r="Q53" s="52"/>
    </row>
    <row r="54" spans="1:17" x14ac:dyDescent="0.2">
      <c r="A54" s="46"/>
      <c r="B54" s="165" t="s">
        <v>72</v>
      </c>
      <c r="C54" s="165"/>
      <c r="D54" s="165"/>
      <c r="E54" s="165"/>
      <c r="F54" s="48">
        <f>SUM(F27:F32,F35:F41)</f>
        <v>13.073333333333334</v>
      </c>
      <c r="G54" s="37">
        <f>+F54/$F$66</f>
        <v>9.6971092487907144E-3</v>
      </c>
      <c r="H54" s="49">
        <f>+F54/$D$60</f>
        <v>13.073333333333334</v>
      </c>
      <c r="I54" s="49"/>
      <c r="J54" s="53"/>
      <c r="K54" s="166" t="s">
        <v>73</v>
      </c>
      <c r="L54" s="167"/>
      <c r="M54" s="167"/>
      <c r="N54" s="167"/>
      <c r="O54" s="54">
        <f>+F55</f>
        <v>1246.4995733333333</v>
      </c>
      <c r="P54" s="54"/>
      <c r="Q54" s="55"/>
    </row>
    <row r="55" spans="1:17" x14ac:dyDescent="0.2">
      <c r="A55" s="46"/>
      <c r="B55" s="165" t="s">
        <v>74</v>
      </c>
      <c r="C55" s="165"/>
      <c r="D55" s="165"/>
      <c r="E55" s="165"/>
      <c r="F55" s="48">
        <f>+F53+F54</f>
        <v>1246.4995733333333</v>
      </c>
      <c r="G55" s="37">
        <f>+F55/$F$66</f>
        <v>0.92458764975912888</v>
      </c>
      <c r="H55" s="49">
        <f>+F55/$D$60</f>
        <v>1246.4995733333333</v>
      </c>
      <c r="I55" s="49"/>
      <c r="J55" s="56"/>
      <c r="K55" s="57"/>
      <c r="M55" s="58" t="s">
        <v>75</v>
      </c>
      <c r="N55" s="59"/>
      <c r="O55" s="54">
        <f>+H56</f>
        <v>81.319999999999993</v>
      </c>
      <c r="P55" s="54"/>
      <c r="Q55" s="55"/>
    </row>
    <row r="56" spans="1:17" ht="13.5" thickBot="1" x14ac:dyDescent="0.25">
      <c r="A56" s="46"/>
      <c r="B56" s="47"/>
      <c r="C56" s="165" t="s">
        <v>76</v>
      </c>
      <c r="D56" s="165"/>
      <c r="E56" s="165"/>
      <c r="F56" s="48">
        <f>SUM(F44:F51)</f>
        <v>81.319999999999993</v>
      </c>
      <c r="G56" s="37">
        <f>+F56/$F$66</f>
        <v>6.0318887616904189E-2</v>
      </c>
      <c r="H56" s="49">
        <f>+F56/$D$60</f>
        <v>81.319999999999993</v>
      </c>
      <c r="I56" s="49"/>
      <c r="J56" s="56"/>
      <c r="K56" s="57"/>
      <c r="L56" s="57"/>
      <c r="M56" s="57" t="s">
        <v>77</v>
      </c>
      <c r="N56" s="60"/>
      <c r="O56" s="54">
        <f>O54*N56</f>
        <v>0</v>
      </c>
      <c r="P56" s="54"/>
      <c r="Q56" s="55"/>
    </row>
    <row r="57" spans="1:17" ht="13.5" thickBot="1" x14ac:dyDescent="0.25">
      <c r="A57" s="46"/>
      <c r="B57" s="61"/>
      <c r="C57" s="61"/>
      <c r="D57" s="61"/>
      <c r="E57" s="61"/>
      <c r="F57" s="62"/>
      <c r="G57" s="37"/>
      <c r="H57" s="63"/>
      <c r="I57" s="49"/>
      <c r="J57" s="56"/>
      <c r="K57" s="64"/>
      <c r="M57" s="65" t="s">
        <v>78</v>
      </c>
      <c r="N57" s="66"/>
      <c r="O57" s="67">
        <f>SUM(O54:O56)</f>
        <v>1327.8195733333332</v>
      </c>
      <c r="P57" s="68"/>
      <c r="Q57" s="55"/>
    </row>
    <row r="58" spans="1:17" x14ac:dyDescent="0.2">
      <c r="B58" s="158" t="s">
        <v>79</v>
      </c>
      <c r="C58" s="158"/>
      <c r="D58" s="69">
        <v>240</v>
      </c>
      <c r="E58" s="70"/>
      <c r="G58" s="37"/>
      <c r="H58" s="63">
        <f>+H56/77</f>
        <v>1.056103896103896</v>
      </c>
      <c r="I58" s="71"/>
      <c r="J58" s="56"/>
      <c r="K58" s="64"/>
      <c r="L58" s="57"/>
      <c r="M58" s="57" t="s">
        <v>80</v>
      </c>
      <c r="N58" s="72"/>
      <c r="O58" s="54">
        <f>+H59</f>
        <v>87.656623376623372</v>
      </c>
      <c r="P58" s="54"/>
      <c r="Q58" s="55"/>
    </row>
    <row r="59" spans="1:17" x14ac:dyDescent="0.2">
      <c r="B59" s="158" t="s">
        <v>81</v>
      </c>
      <c r="C59" s="158"/>
      <c r="D59" s="73">
        <v>240</v>
      </c>
      <c r="E59" s="70"/>
      <c r="G59" s="37"/>
      <c r="H59" s="63">
        <f>+H58*83</f>
        <v>87.656623376623372</v>
      </c>
      <c r="I59" s="71"/>
      <c r="J59" s="56"/>
      <c r="K59" s="64"/>
      <c r="L59" s="57"/>
      <c r="M59" s="159" t="s">
        <v>78</v>
      </c>
      <c r="N59" s="159"/>
      <c r="O59" s="54">
        <f>SUM(O57:O58)</f>
        <v>1415.4761967099566</v>
      </c>
      <c r="P59" s="54"/>
      <c r="Q59" s="55"/>
    </row>
    <row r="60" spans="1:17" ht="13.5" thickBot="1" x14ac:dyDescent="0.25">
      <c r="B60" s="160" t="s">
        <v>82</v>
      </c>
      <c r="C60" s="160"/>
      <c r="D60" s="69">
        <f>+D58/D59</f>
        <v>1</v>
      </c>
      <c r="E60" s="70"/>
      <c r="F60" s="74"/>
      <c r="G60" s="37"/>
      <c r="H60" s="63"/>
      <c r="I60" s="71"/>
      <c r="J60" s="56"/>
      <c r="K60" s="64"/>
      <c r="L60" s="159"/>
      <c r="M60" s="159"/>
      <c r="N60" s="72"/>
      <c r="O60" s="54">
        <f>+O59*N60</f>
        <v>0</v>
      </c>
      <c r="P60" s="54"/>
      <c r="Q60" s="55"/>
    </row>
    <row r="61" spans="1:17" ht="13.5" thickBot="1" x14ac:dyDescent="0.25">
      <c r="B61" s="160" t="s">
        <v>83</v>
      </c>
      <c r="C61" s="160"/>
      <c r="D61" s="75"/>
      <c r="E61" s="70"/>
      <c r="F61" s="74"/>
      <c r="G61" s="37"/>
      <c r="H61" s="63"/>
      <c r="I61" s="71"/>
      <c r="J61" s="56"/>
      <c r="K61" s="161" t="s">
        <v>84</v>
      </c>
      <c r="L61" s="162"/>
      <c r="M61" s="162"/>
      <c r="N61" s="163"/>
      <c r="O61" s="67">
        <f>SUM(O59:O60)</f>
        <v>1415.4761967099566</v>
      </c>
      <c r="P61" s="76" t="s">
        <v>85</v>
      </c>
      <c r="Q61" s="55"/>
    </row>
    <row r="62" spans="1:17" ht="13.5" thickBot="1" x14ac:dyDescent="0.25">
      <c r="C62" s="46" t="s">
        <v>86</v>
      </c>
      <c r="D62" s="77"/>
      <c r="E62" s="20" t="s">
        <v>87</v>
      </c>
      <c r="F62" s="78" t="s">
        <v>88</v>
      </c>
      <c r="G62" s="37"/>
      <c r="H62" s="63"/>
      <c r="I62" s="71"/>
      <c r="J62" s="79"/>
      <c r="K62" s="80"/>
      <c r="L62" s="147" t="s">
        <v>89</v>
      </c>
      <c r="M62" s="147"/>
      <c r="N62" s="147"/>
      <c r="O62" s="81">
        <f>+O61/D60</f>
        <v>1415.4761967099566</v>
      </c>
      <c r="P62" s="82">
        <f>+O62/D59</f>
        <v>5.8978174862914861</v>
      </c>
      <c r="Q62" s="83"/>
    </row>
    <row r="63" spans="1:17" ht="13.5" thickBot="1" x14ac:dyDescent="0.25">
      <c r="B63" s="148" t="s">
        <v>74</v>
      </c>
      <c r="C63" s="148"/>
      <c r="D63" s="148"/>
      <c r="E63" s="84">
        <f>+F63/F63</f>
        <v>1</v>
      </c>
      <c r="F63" s="85">
        <f>SUM(F55)</f>
        <v>1246.4995733333333</v>
      </c>
      <c r="G63" s="37">
        <f>+F63/$F$66</f>
        <v>0.92458764975912888</v>
      </c>
      <c r="H63" s="63"/>
      <c r="I63" s="71"/>
      <c r="K63" s="149"/>
      <c r="L63" s="150"/>
      <c r="M63" s="150"/>
      <c r="N63" s="150"/>
      <c r="O63" s="86"/>
      <c r="P63" s="87"/>
    </row>
    <row r="64" spans="1:17" ht="13.5" thickBot="1" x14ac:dyDescent="0.3">
      <c r="B64" s="151" t="s">
        <v>90</v>
      </c>
      <c r="C64" s="151"/>
      <c r="D64" s="151"/>
      <c r="E64" s="88">
        <v>0.02</v>
      </c>
      <c r="F64" s="85">
        <f>+F53*E64</f>
        <v>24.6685248</v>
      </c>
      <c r="G64" s="37">
        <f>+F64/$F$66</f>
        <v>1.8297810810206764E-2</v>
      </c>
      <c r="H64" s="49"/>
      <c r="I64" s="71"/>
      <c r="J64" s="89"/>
      <c r="O64" s="90"/>
      <c r="P64" s="47"/>
    </row>
    <row r="65" spans="2:13" ht="13.5" thickBot="1" x14ac:dyDescent="0.3">
      <c r="B65" s="152" t="s">
        <v>91</v>
      </c>
      <c r="C65" s="153"/>
      <c r="D65" s="91">
        <v>1</v>
      </c>
      <c r="E65" s="92">
        <v>77</v>
      </c>
      <c r="F65" s="85">
        <f>+E65*D65</f>
        <v>77</v>
      </c>
      <c r="G65" s="37">
        <f>+F65/$F$66</f>
        <v>5.7114539430664323E-2</v>
      </c>
      <c r="H65" s="49"/>
      <c r="I65" s="49"/>
      <c r="J65" s="39"/>
    </row>
    <row r="66" spans="2:13" ht="13.5" thickBot="1" x14ac:dyDescent="0.3">
      <c r="B66" s="154" t="s">
        <v>92</v>
      </c>
      <c r="C66" s="155"/>
      <c r="D66" s="155"/>
      <c r="E66" s="156"/>
      <c r="F66" s="62">
        <f>SUM(F63:F65)</f>
        <v>1348.1680981333334</v>
      </c>
      <c r="G66" s="37">
        <f>+F66/$F$66</f>
        <v>1</v>
      </c>
      <c r="H66" s="157"/>
      <c r="I66" s="49"/>
      <c r="J66" s="39"/>
      <c r="M66" s="22" t="s">
        <v>93</v>
      </c>
    </row>
    <row r="67" spans="2:13" x14ac:dyDescent="0.25">
      <c r="C67" s="44"/>
      <c r="D67" s="44"/>
      <c r="E67" s="94"/>
      <c r="F67" s="85"/>
      <c r="G67" s="37"/>
      <c r="H67" s="157"/>
      <c r="I67" s="93"/>
      <c r="J67" s="22"/>
      <c r="M67" s="22" t="s">
        <v>94</v>
      </c>
    </row>
    <row r="68" spans="2:13" ht="13.5" thickBot="1" x14ac:dyDescent="0.3">
      <c r="B68" s="142" t="s">
        <v>95</v>
      </c>
      <c r="C68" s="142"/>
      <c r="D68" s="142"/>
      <c r="E68" s="142"/>
      <c r="F68" s="142"/>
      <c r="G68" s="37"/>
      <c r="H68" s="96"/>
      <c r="I68" s="93"/>
      <c r="J68" s="22"/>
      <c r="M68" s="22" t="s">
        <v>96</v>
      </c>
    </row>
    <row r="69" spans="2:13" ht="13.5" thickBot="1" x14ac:dyDescent="0.3">
      <c r="B69" s="97" t="s">
        <v>97</v>
      </c>
      <c r="C69" s="98">
        <f>+F53</f>
        <v>1233.42624</v>
      </c>
      <c r="D69" s="98">
        <f>+D58</f>
        <v>240</v>
      </c>
      <c r="E69" s="99">
        <f>+C69/D69</f>
        <v>5.1392759999999997</v>
      </c>
      <c r="F69" s="37"/>
      <c r="G69" s="96"/>
      <c r="H69" s="39"/>
      <c r="I69" s="96"/>
      <c r="J69" s="22"/>
    </row>
    <row r="70" spans="2:13" x14ac:dyDescent="0.25">
      <c r="B70" s="100"/>
      <c r="C70" s="101"/>
      <c r="D70" s="102"/>
      <c r="E70" s="85"/>
      <c r="F70" s="37"/>
      <c r="G70" s="96"/>
      <c r="H70" s="39"/>
      <c r="I70" s="39"/>
      <c r="J70" s="22"/>
    </row>
    <row r="71" spans="2:13" x14ac:dyDescent="0.25">
      <c r="B71" s="97" t="s">
        <v>98</v>
      </c>
      <c r="C71" s="98">
        <f>SUM(F63:F64)</f>
        <v>1271.1680981333334</v>
      </c>
      <c r="D71" s="98">
        <f>+D58</f>
        <v>240</v>
      </c>
      <c r="E71" s="103">
        <f>+C71/D71</f>
        <v>5.2965337422222225</v>
      </c>
      <c r="F71" s="37"/>
      <c r="G71" s="96"/>
      <c r="H71" s="39"/>
      <c r="I71" s="39"/>
      <c r="J71" s="22"/>
    </row>
    <row r="72" spans="2:13" x14ac:dyDescent="0.25">
      <c r="B72" s="97"/>
      <c r="C72" s="98"/>
      <c r="D72" s="98"/>
      <c r="E72" s="103"/>
      <c r="F72" s="37"/>
      <c r="G72" s="96"/>
      <c r="H72" s="39"/>
      <c r="I72" s="39"/>
      <c r="J72" s="22"/>
    </row>
    <row r="73" spans="2:13" ht="13.5" thickBot="1" x14ac:dyDescent="0.3">
      <c r="B73" s="97" t="s">
        <v>99</v>
      </c>
      <c r="C73" s="98">
        <f>+F65</f>
        <v>77</v>
      </c>
      <c r="D73" s="98">
        <f>+D58</f>
        <v>240</v>
      </c>
      <c r="E73" s="103">
        <f>+C73/D73</f>
        <v>0.32083333333333336</v>
      </c>
      <c r="F73" s="37"/>
      <c r="G73" s="96"/>
      <c r="H73" s="39"/>
      <c r="I73" s="39"/>
      <c r="J73" s="22"/>
    </row>
    <row r="74" spans="2:13" ht="13.5" thickBot="1" x14ac:dyDescent="0.3">
      <c r="B74" s="97" t="s">
        <v>100</v>
      </c>
      <c r="C74" s="98">
        <f>+F56</f>
        <v>81.319999999999993</v>
      </c>
      <c r="D74" s="98">
        <f>+D73</f>
        <v>240</v>
      </c>
      <c r="E74" s="99">
        <f>+C74/D74</f>
        <v>0.33883333333333332</v>
      </c>
      <c r="F74" s="37"/>
      <c r="G74" s="96"/>
      <c r="H74" s="39"/>
      <c r="I74" s="39"/>
      <c r="J74" s="22"/>
    </row>
    <row r="75" spans="2:13" ht="13.5" thickBot="1" x14ac:dyDescent="0.3">
      <c r="B75" s="61"/>
      <c r="C75" s="62"/>
      <c r="D75" s="62"/>
      <c r="E75" s="103"/>
      <c r="F75" s="37"/>
      <c r="G75" s="96"/>
      <c r="H75" s="39"/>
      <c r="I75" s="39"/>
      <c r="J75" s="22"/>
    </row>
    <row r="76" spans="2:13" ht="13.5" thickBot="1" x14ac:dyDescent="0.3">
      <c r="B76" s="97" t="s">
        <v>101</v>
      </c>
      <c r="C76" s="98">
        <f>+F54</f>
        <v>13.073333333333334</v>
      </c>
      <c r="D76" s="98">
        <f>+D74</f>
        <v>240</v>
      </c>
      <c r="E76" s="99">
        <f>+C76/D76</f>
        <v>5.4472222222222227E-2</v>
      </c>
      <c r="F76" s="37"/>
      <c r="G76" s="96"/>
      <c r="H76" s="39"/>
      <c r="I76" s="39"/>
      <c r="J76" s="39"/>
    </row>
    <row r="77" spans="2:13" ht="13.5" thickBot="1" x14ac:dyDescent="0.3">
      <c r="B77" s="61"/>
      <c r="C77" s="62"/>
      <c r="D77" s="62"/>
      <c r="E77" s="103"/>
      <c r="F77" s="37"/>
      <c r="G77" s="96"/>
      <c r="H77" s="39"/>
      <c r="I77" s="39"/>
    </row>
    <row r="78" spans="2:13" ht="13.5" thickBot="1" x14ac:dyDescent="0.3">
      <c r="B78" s="143" t="s">
        <v>102</v>
      </c>
      <c r="C78" s="144"/>
      <c r="D78" s="145"/>
      <c r="E78" s="99">
        <f>+E69+E74</f>
        <v>5.4781093333333333</v>
      </c>
      <c r="G78" s="37"/>
      <c r="H78" s="96"/>
      <c r="I78" s="39"/>
      <c r="J78" s="103"/>
    </row>
    <row r="79" spans="2:13" x14ac:dyDescent="0.25">
      <c r="I79" s="96"/>
      <c r="J79" s="22"/>
    </row>
    <row r="80" spans="2:13" ht="13.5" thickBot="1" x14ac:dyDescent="0.3">
      <c r="B80" s="142" t="s">
        <v>103</v>
      </c>
      <c r="C80" s="142"/>
      <c r="D80" s="142"/>
      <c r="E80" s="142"/>
      <c r="F80" s="142"/>
      <c r="G80" s="37"/>
      <c r="H80" s="96"/>
      <c r="J80" s="22"/>
    </row>
    <row r="81" spans="1:10" ht="13.5" thickBot="1" x14ac:dyDescent="0.3">
      <c r="B81" s="97" t="s">
        <v>97</v>
      </c>
      <c r="C81" s="98">
        <f>+C69</f>
        <v>1233.42624</v>
      </c>
      <c r="D81" s="98">
        <f>+D60</f>
        <v>1</v>
      </c>
      <c r="E81" s="99">
        <f>+C81/D81</f>
        <v>1233.42624</v>
      </c>
      <c r="F81" s="37"/>
      <c r="G81" s="96"/>
      <c r="H81" s="39"/>
      <c r="I81" s="96"/>
      <c r="J81" s="22"/>
    </row>
    <row r="82" spans="1:10" x14ac:dyDescent="0.25">
      <c r="B82" s="100"/>
      <c r="C82" s="101"/>
      <c r="D82" s="102"/>
      <c r="E82" s="85"/>
      <c r="F82" s="37"/>
      <c r="G82" s="96"/>
      <c r="H82" s="39"/>
      <c r="I82" s="39"/>
      <c r="J82" s="22"/>
    </row>
    <row r="83" spans="1:10" x14ac:dyDescent="0.25">
      <c r="B83" s="97" t="s">
        <v>98</v>
      </c>
      <c r="C83" s="98">
        <f>+C71</f>
        <v>1271.1680981333334</v>
      </c>
      <c r="D83" s="98">
        <f>+D60</f>
        <v>1</v>
      </c>
      <c r="E83" s="103">
        <f>+C83/D83</f>
        <v>1271.1680981333334</v>
      </c>
      <c r="F83" s="37"/>
      <c r="G83" s="96"/>
      <c r="H83" s="39"/>
      <c r="I83" s="39"/>
      <c r="J83" s="22"/>
    </row>
    <row r="84" spans="1:10" x14ac:dyDescent="0.25">
      <c r="B84" s="97"/>
      <c r="C84" s="98"/>
      <c r="D84" s="98"/>
      <c r="E84" s="103"/>
      <c r="F84" s="37"/>
      <c r="G84" s="96"/>
      <c r="H84" s="39"/>
      <c r="I84" s="39"/>
      <c r="J84" s="22"/>
    </row>
    <row r="85" spans="1:10" ht="13.5" thickBot="1" x14ac:dyDescent="0.3">
      <c r="B85" s="97" t="s">
        <v>100</v>
      </c>
      <c r="C85" s="98">
        <f>+C73</f>
        <v>77</v>
      </c>
      <c r="D85" s="98">
        <f>+D60</f>
        <v>1</v>
      </c>
      <c r="E85" s="103">
        <f>+C85/D85</f>
        <v>77</v>
      </c>
      <c r="F85" s="105"/>
      <c r="G85" s="95"/>
      <c r="H85" s="21"/>
      <c r="I85" s="39"/>
    </row>
    <row r="86" spans="1:10" ht="13.5" thickBot="1" x14ac:dyDescent="0.3">
      <c r="B86" s="97" t="s">
        <v>100</v>
      </c>
      <c r="C86" s="98">
        <f>+C74</f>
        <v>81.319999999999993</v>
      </c>
      <c r="D86" s="98">
        <f>+D85</f>
        <v>1</v>
      </c>
      <c r="E86" s="99">
        <f>+C86/D86</f>
        <v>81.319999999999993</v>
      </c>
      <c r="F86" s="104"/>
      <c r="G86" s="95"/>
      <c r="H86" s="21"/>
      <c r="I86" s="21"/>
    </row>
    <row r="87" spans="1:10" x14ac:dyDescent="0.25">
      <c r="I87" s="21"/>
    </row>
    <row r="88" spans="1:10" x14ac:dyDescent="0.2">
      <c r="A88" s="146"/>
      <c r="B88" s="146"/>
      <c r="C88" s="106"/>
      <c r="D88" s="106"/>
      <c r="E88" s="107"/>
      <c r="G88" s="108"/>
    </row>
    <row r="89" spans="1:10" x14ac:dyDescent="0.2">
      <c r="A89" s="40"/>
      <c r="B89" s="109"/>
      <c r="C89" s="110"/>
      <c r="D89" s="110"/>
      <c r="E89" s="111"/>
      <c r="G89" s="108"/>
    </row>
    <row r="90" spans="1:10" x14ac:dyDescent="0.2">
      <c r="A90" s="40"/>
      <c r="B90" s="109"/>
      <c r="C90" s="112"/>
      <c r="D90" s="112"/>
      <c r="E90" s="40"/>
      <c r="G90" s="108"/>
    </row>
    <row r="91" spans="1:10" x14ac:dyDescent="0.2">
      <c r="A91" s="40"/>
      <c r="B91" s="109"/>
      <c r="C91" s="113"/>
      <c r="D91" s="113"/>
      <c r="E91" s="40"/>
      <c r="G91" s="108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8D6FFD-CF4E-41C9-8D80-E4EB68819C6D}"/>
</file>

<file path=customXml/itemProps2.xml><?xml version="1.0" encoding="utf-8"?>
<ds:datastoreItem xmlns:ds="http://schemas.openxmlformats.org/officeDocument/2006/customXml" ds:itemID="{35BCD882-AD28-4FB4-A82C-0C735CFE10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E8AEA7B-FD2D-44AA-A640-57C403D1AB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Salsa de Pistacho</vt:lpstr>
      <vt:lpstr>Costo Salsa de Pistacho</vt:lpstr>
      <vt:lpstr>'Salsa de Pistacho'!Área_de_impresión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2025-11-07T21:33:09Z</cp:lastPrinted>
  <dcterms:created xsi:type="dcterms:W3CDTF">2023-12-21T22:47:06Z</dcterms:created>
  <dcterms:modified xsi:type="dcterms:W3CDTF">2025-11-07T21:34:50Z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12458500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
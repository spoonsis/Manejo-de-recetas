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43" documentId="8_{4094BC36-4B46-4BA2-A899-D8ED3648A51A}" xr6:coauthVersionLast="47" xr6:coauthVersionMax="47" xr10:uidLastSave="{0ADC1690-90CE-416F-A4A2-B987031B7247}"/>
  <bookViews>
    <workbookView xWindow="-120" yWindow="-120" windowWidth="20730" windowHeight="11040" tabRatio="957" firstSheet="9" activeTab="9" xr2:uid="{6DA264AB-CE76-4E37-9394-034DF053B11A}"/>
  </bookViews>
  <sheets>
    <sheet name="Costo Pistacho Tostado" sheetId="7" state="hidden" r:id="rId1"/>
    <sheet name="Salsa pistacho" sheetId="3" state="hidden" r:id="rId2"/>
    <sheet name="Relleno suspiro limeño" sheetId="19" state="hidden" r:id="rId3"/>
    <sheet name="Costo Salsa Pistacho" sheetId="8" state="hidden" r:id="rId4"/>
    <sheet name="Mousse pistacho" sheetId="5" state="hidden" r:id="rId5"/>
    <sheet name="Costo Mousse Pistacho" sheetId="9" state="hidden" r:id="rId6"/>
    <sheet name="Crema Chantilly Blanco" sheetId="20" state="hidden" r:id="rId7"/>
    <sheet name="Disco Pistacho" sheetId="2" state="hidden" r:id="rId8"/>
    <sheet name="Costo Crema verde pistacho" sheetId="10" state="hidden" r:id="rId9"/>
    <sheet name="Disco Pistacho 2" sheetId="16" r:id="rId10"/>
    <sheet name="Rosquete Vainilla Dawn " sheetId="21" state="hidden" r:id="rId11"/>
    <sheet name="Batido Nucleo Vainilla Dawn " sheetId="22" state="hidden" r:id="rId12"/>
    <sheet name="Premezcla Batido Nucleo Dawn" sheetId="23" state="hidden" r:id="rId13"/>
    <sheet name="Leches pasteu con agua " sheetId="24" state="hidden" r:id="rId14"/>
    <sheet name="Mezcla leche pasteur" sheetId="25" state="hidden" r:id="rId15"/>
    <sheet name="Caramelo con choc Blanc" sheetId="26" state="hidden" r:id="rId16"/>
    <sheet name="Caramelo Crocante " sheetId="27" state="hidden" r:id="rId17"/>
    <sheet name="Rosquete Turron Almendra " sheetId="28" state="hidden" r:id="rId18"/>
    <sheet name="Batido Turron Almendra" sheetId="29" state="hidden" r:id="rId19"/>
    <sheet name="Premezcla Turron Almendra" sheetId="30" state="hidden" r:id="rId20"/>
    <sheet name="Costo Disco Pistacho" sheetId="11" state="hidden" r:id="rId21"/>
    <sheet name="Torta Pistacho local" sheetId="1" state="hidden" r:id="rId22"/>
    <sheet name="Costo Torta Rossana " sheetId="12" state="hidden" r:id="rId23"/>
    <sheet name="Torta Pistacho Industria " sheetId="13" state="hidden" r:id="rId24"/>
  </sheets>
  <externalReferences>
    <externalReference r:id="rId25"/>
    <externalReference r:id="rId26"/>
  </externalReferences>
  <definedNames>
    <definedName name="_xlnm.Print_Area" localSheetId="21">'Torta Pistacho local'!$A$1:$I$46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30" l="1"/>
  <c r="C23" i="29" l="1"/>
  <c r="C20" i="29"/>
  <c r="I21" i="29" s="1"/>
  <c r="J21" i="29" s="1"/>
  <c r="I13" i="29"/>
  <c r="J13" i="29" s="1"/>
  <c r="I12" i="29"/>
  <c r="J12" i="29" s="1"/>
  <c r="I11" i="29"/>
  <c r="J11" i="29" s="1"/>
  <c r="I10" i="29"/>
  <c r="J10" i="29" s="1"/>
  <c r="C14" i="28"/>
  <c r="C18" i="28" s="1"/>
  <c r="D9" i="28"/>
  <c r="C16" i="28" l="1"/>
  <c r="D20" i="26"/>
  <c r="D18" i="26"/>
  <c r="L13" i="26"/>
  <c r="F65" i="9" l="1"/>
  <c r="D73" i="9"/>
  <c r="D74" i="9" s="1"/>
  <c r="M17" i="8"/>
  <c r="K98" i="7"/>
  <c r="M5" i="7"/>
  <c r="M15" i="12"/>
  <c r="D34" i="13" l="1"/>
  <c r="E30" i="12"/>
  <c r="D30" i="12"/>
  <c r="C30" i="12"/>
  <c r="B30" i="12"/>
  <c r="E29" i="12"/>
  <c r="D29" i="12"/>
  <c r="C29" i="12"/>
  <c r="B29" i="12"/>
  <c r="B27" i="11"/>
  <c r="C27" i="11"/>
  <c r="D27" i="11"/>
  <c r="E27" i="11"/>
  <c r="B28" i="11"/>
  <c r="C28" i="11"/>
  <c r="D28" i="11"/>
  <c r="E28" i="11"/>
  <c r="B29" i="11"/>
  <c r="C29" i="11"/>
  <c r="D29" i="11"/>
  <c r="E29" i="11"/>
  <c r="F29" i="11" s="1"/>
  <c r="B30" i="11"/>
  <c r="C30" i="11"/>
  <c r="D30" i="11"/>
  <c r="E30" i="11"/>
  <c r="B31" i="11"/>
  <c r="C31" i="11"/>
  <c r="D31" i="11"/>
  <c r="E31" i="11"/>
  <c r="F31" i="11" s="1"/>
  <c r="B32" i="11"/>
  <c r="C32" i="11"/>
  <c r="D32" i="11"/>
  <c r="E32" i="11"/>
  <c r="E44" i="10"/>
  <c r="D75" i="12"/>
  <c r="D76" i="12" s="1"/>
  <c r="D78" i="12" s="1"/>
  <c r="D73" i="12"/>
  <c r="D71" i="12"/>
  <c r="F67" i="12"/>
  <c r="C75" i="12" s="1"/>
  <c r="D62" i="12"/>
  <c r="D85" i="12" s="1"/>
  <c r="C53" i="12"/>
  <c r="E52" i="12"/>
  <c r="D52" i="12"/>
  <c r="B52" i="12"/>
  <c r="E51" i="12"/>
  <c r="D51" i="12"/>
  <c r="B51" i="12"/>
  <c r="E50" i="12"/>
  <c r="D50" i="12"/>
  <c r="B50" i="12"/>
  <c r="E43" i="12"/>
  <c r="D43" i="12"/>
  <c r="B43" i="12"/>
  <c r="A43" i="12"/>
  <c r="A52" i="12" s="1"/>
  <c r="C52" i="12" s="1"/>
  <c r="E42" i="12"/>
  <c r="D42" i="12"/>
  <c r="B42" i="12"/>
  <c r="A42" i="12"/>
  <c r="C42" i="12" s="1"/>
  <c r="E41" i="12"/>
  <c r="D41" i="12"/>
  <c r="B41" i="12"/>
  <c r="A41" i="12"/>
  <c r="C41" i="12" s="1"/>
  <c r="A40" i="12"/>
  <c r="C40" i="12" s="1"/>
  <c r="A39" i="12"/>
  <c r="A48" i="12" s="1"/>
  <c r="C48" i="12" s="1"/>
  <c r="A38" i="12"/>
  <c r="A47" i="12" s="1"/>
  <c r="C47" i="12" s="1"/>
  <c r="A37" i="12"/>
  <c r="C37" i="12" s="1"/>
  <c r="E34" i="12"/>
  <c r="D34" i="12"/>
  <c r="C34" i="12"/>
  <c r="B34" i="12"/>
  <c r="E33" i="12"/>
  <c r="F33" i="12" s="1"/>
  <c r="D33" i="12"/>
  <c r="C33" i="12"/>
  <c r="B33" i="12"/>
  <c r="C32" i="12"/>
  <c r="E31" i="12"/>
  <c r="D31" i="12"/>
  <c r="C31" i="12"/>
  <c r="B31" i="12"/>
  <c r="D28" i="12"/>
  <c r="C28" i="12"/>
  <c r="B28" i="12"/>
  <c r="D27" i="12"/>
  <c r="C27" i="12"/>
  <c r="B27" i="12"/>
  <c r="E24" i="12"/>
  <c r="F24" i="12" s="1"/>
  <c r="D24" i="12"/>
  <c r="C24" i="12"/>
  <c r="B24" i="12"/>
  <c r="E23" i="12"/>
  <c r="F23" i="12" s="1"/>
  <c r="D23" i="12"/>
  <c r="C23" i="12"/>
  <c r="B23" i="12"/>
  <c r="E22" i="12"/>
  <c r="F22" i="12" s="1"/>
  <c r="D22" i="12"/>
  <c r="C22" i="12"/>
  <c r="B22" i="12"/>
  <c r="E21" i="12"/>
  <c r="F21" i="12" s="1"/>
  <c r="D21" i="12"/>
  <c r="C21" i="12"/>
  <c r="B21" i="12"/>
  <c r="C20" i="12"/>
  <c r="C19" i="12"/>
  <c r="C18" i="12"/>
  <c r="C17" i="12"/>
  <c r="B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C8" i="12"/>
  <c r="H6" i="12"/>
  <c r="D73" i="11"/>
  <c r="D74" i="11" s="1"/>
  <c r="D76" i="11" s="1"/>
  <c r="D71" i="11"/>
  <c r="D69" i="11"/>
  <c r="F65" i="11"/>
  <c r="E51" i="11" s="1"/>
  <c r="D60" i="11"/>
  <c r="D85" i="11" s="1"/>
  <c r="D86" i="11" s="1"/>
  <c r="C51" i="11"/>
  <c r="E50" i="11"/>
  <c r="E41" i="11"/>
  <c r="A41" i="11"/>
  <c r="C50" i="11" s="1"/>
  <c r="A40" i="11"/>
  <c r="C40" i="11" s="1"/>
  <c r="A39" i="11"/>
  <c r="C39" i="11" s="1"/>
  <c r="A38" i="11"/>
  <c r="C38" i="11" s="1"/>
  <c r="A37" i="11"/>
  <c r="C37" i="11" s="1"/>
  <c r="A36" i="11"/>
  <c r="C36" i="11" s="1"/>
  <c r="A35" i="11"/>
  <c r="A44" i="11" s="1"/>
  <c r="C44" i="11" s="1"/>
  <c r="E24" i="11"/>
  <c r="F24" i="11" s="1"/>
  <c r="D24" i="11"/>
  <c r="C24" i="11"/>
  <c r="B24" i="11"/>
  <c r="E23" i="11"/>
  <c r="C23" i="11"/>
  <c r="C22" i="11"/>
  <c r="C21" i="11"/>
  <c r="C20" i="11"/>
  <c r="C19" i="11"/>
  <c r="C18" i="11"/>
  <c r="F18" i="11" s="1"/>
  <c r="C17" i="11"/>
  <c r="B15" i="11"/>
  <c r="E14" i="11"/>
  <c r="D14" i="11"/>
  <c r="C14" i="11"/>
  <c r="B14" i="11"/>
  <c r="E13" i="11"/>
  <c r="F13" i="11" s="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H6" i="11"/>
  <c r="D73" i="10"/>
  <c r="D74" i="10" s="1"/>
  <c r="D76" i="10" s="1"/>
  <c r="C73" i="10"/>
  <c r="C85" i="10" s="1"/>
  <c r="D71" i="10"/>
  <c r="D69" i="10"/>
  <c r="F65" i="10"/>
  <c r="E51" i="10" s="1"/>
  <c r="D60" i="10"/>
  <c r="D85" i="10" s="1"/>
  <c r="D86" i="10" s="1"/>
  <c r="C51" i="10"/>
  <c r="E50" i="10"/>
  <c r="D50" i="10"/>
  <c r="B50" i="10"/>
  <c r="E49" i="10"/>
  <c r="D49" i="10"/>
  <c r="B49" i="10"/>
  <c r="E48" i="10"/>
  <c r="D48" i="10"/>
  <c r="B48" i="10"/>
  <c r="E47" i="10"/>
  <c r="D47" i="10"/>
  <c r="B47" i="10"/>
  <c r="E46" i="10"/>
  <c r="D46" i="10"/>
  <c r="B46" i="10"/>
  <c r="E45" i="10"/>
  <c r="D45" i="10"/>
  <c r="B45" i="10"/>
  <c r="D44" i="10"/>
  <c r="B44" i="10"/>
  <c r="E41" i="10"/>
  <c r="D41" i="10"/>
  <c r="B41" i="10"/>
  <c r="A41" i="10"/>
  <c r="A50" i="10" s="1"/>
  <c r="C50" i="10" s="1"/>
  <c r="E40" i="10"/>
  <c r="D40" i="10"/>
  <c r="B40" i="10"/>
  <c r="A40" i="10"/>
  <c r="C40" i="10" s="1"/>
  <c r="E39" i="10"/>
  <c r="D39" i="10"/>
  <c r="B39" i="10"/>
  <c r="A39" i="10"/>
  <c r="C39" i="10" s="1"/>
  <c r="E38" i="10"/>
  <c r="D38" i="10"/>
  <c r="C38" i="10"/>
  <c r="B38" i="10"/>
  <c r="A38" i="10"/>
  <c r="A47" i="10" s="1"/>
  <c r="C47" i="10" s="1"/>
  <c r="E37" i="10"/>
  <c r="D37" i="10"/>
  <c r="B37" i="10"/>
  <c r="A37" i="10"/>
  <c r="C37" i="10" s="1"/>
  <c r="E36" i="10"/>
  <c r="D36" i="10"/>
  <c r="B36" i="10"/>
  <c r="A36" i="10"/>
  <c r="C36" i="10" s="1"/>
  <c r="E35" i="10"/>
  <c r="D35" i="10"/>
  <c r="B35" i="10"/>
  <c r="A35" i="10"/>
  <c r="C35" i="10" s="1"/>
  <c r="E32" i="10"/>
  <c r="F32" i="10" s="1"/>
  <c r="D32" i="10"/>
  <c r="C32" i="10"/>
  <c r="B32" i="10"/>
  <c r="E31" i="10"/>
  <c r="D31" i="10"/>
  <c r="C31" i="10"/>
  <c r="B31" i="10"/>
  <c r="E30" i="10"/>
  <c r="F30" i="10" s="1"/>
  <c r="D30" i="10"/>
  <c r="C30" i="10"/>
  <c r="B30" i="10"/>
  <c r="E29" i="10"/>
  <c r="D29" i="10"/>
  <c r="C29" i="10"/>
  <c r="B29" i="10"/>
  <c r="E28" i="10"/>
  <c r="F28" i="10" s="1"/>
  <c r="D28" i="10"/>
  <c r="C28" i="10"/>
  <c r="B28" i="10"/>
  <c r="E27" i="10"/>
  <c r="D27" i="10"/>
  <c r="C27" i="10"/>
  <c r="B27" i="10"/>
  <c r="E24" i="10"/>
  <c r="F24" i="10" s="1"/>
  <c r="D24" i="10"/>
  <c r="C24" i="10"/>
  <c r="B24" i="10"/>
  <c r="E23" i="10"/>
  <c r="F23" i="10" s="1"/>
  <c r="D23" i="10"/>
  <c r="C23" i="10"/>
  <c r="B23" i="10"/>
  <c r="E22" i="10"/>
  <c r="F22" i="10" s="1"/>
  <c r="D22" i="10"/>
  <c r="C22" i="10"/>
  <c r="B22" i="10"/>
  <c r="E21" i="10"/>
  <c r="F21" i="10" s="1"/>
  <c r="D21" i="10"/>
  <c r="C21" i="10"/>
  <c r="B21" i="10"/>
  <c r="E20" i="10"/>
  <c r="F20" i="10" s="1"/>
  <c r="D20" i="10"/>
  <c r="C20" i="10"/>
  <c r="B20" i="10"/>
  <c r="E19" i="10"/>
  <c r="F19" i="10" s="1"/>
  <c r="D19" i="10"/>
  <c r="C19" i="10"/>
  <c r="B19" i="10"/>
  <c r="E18" i="10"/>
  <c r="F18" i="10" s="1"/>
  <c r="D18" i="10"/>
  <c r="C18" i="10"/>
  <c r="B18" i="10"/>
  <c r="D17" i="10"/>
  <c r="C17" i="10"/>
  <c r="B17" i="10"/>
  <c r="B15" i="10"/>
  <c r="E14" i="10"/>
  <c r="F14" i="10" s="1"/>
  <c r="D14" i="10"/>
  <c r="C14" i="10"/>
  <c r="B14" i="10"/>
  <c r="E13" i="10"/>
  <c r="D13" i="10"/>
  <c r="C13" i="10"/>
  <c r="B13" i="10"/>
  <c r="E12" i="10"/>
  <c r="D12" i="10"/>
  <c r="C12" i="10"/>
  <c r="B12" i="10"/>
  <c r="E11" i="10"/>
  <c r="F11" i="10" s="1"/>
  <c r="D11" i="10"/>
  <c r="C11" i="10"/>
  <c r="B11" i="10"/>
  <c r="E10" i="10"/>
  <c r="D10" i="10"/>
  <c r="C10" i="10"/>
  <c r="B10" i="10"/>
  <c r="E9" i="10"/>
  <c r="D9" i="10"/>
  <c r="C9" i="10"/>
  <c r="B9" i="10"/>
  <c r="F8" i="10"/>
  <c r="D8" i="10"/>
  <c r="C8" i="10"/>
  <c r="B8" i="10"/>
  <c r="H6" i="10"/>
  <c r="D76" i="9"/>
  <c r="D71" i="9"/>
  <c r="D69" i="9"/>
  <c r="C73" i="9"/>
  <c r="C85" i="9" s="1"/>
  <c r="D60" i="9"/>
  <c r="D83" i="9" s="1"/>
  <c r="C51" i="9"/>
  <c r="E50" i="9"/>
  <c r="D50" i="9"/>
  <c r="B50" i="9"/>
  <c r="E49" i="9"/>
  <c r="D49" i="9"/>
  <c r="B49" i="9"/>
  <c r="E48" i="9"/>
  <c r="D48" i="9"/>
  <c r="B48" i="9"/>
  <c r="E47" i="9"/>
  <c r="D47" i="9"/>
  <c r="B47" i="9"/>
  <c r="E46" i="9"/>
  <c r="D46" i="9"/>
  <c r="B46" i="9"/>
  <c r="E45" i="9"/>
  <c r="D45" i="9"/>
  <c r="B45" i="9"/>
  <c r="E44" i="9"/>
  <c r="D44" i="9"/>
  <c r="B44" i="9"/>
  <c r="E41" i="9"/>
  <c r="D41" i="9"/>
  <c r="B41" i="9"/>
  <c r="A41" i="9"/>
  <c r="A50" i="9" s="1"/>
  <c r="C50" i="9" s="1"/>
  <c r="E40" i="9"/>
  <c r="D40" i="9"/>
  <c r="B40" i="9"/>
  <c r="A40" i="9"/>
  <c r="C40" i="9" s="1"/>
  <c r="E39" i="9"/>
  <c r="D39" i="9"/>
  <c r="B39" i="9"/>
  <c r="A39" i="9"/>
  <c r="C39" i="9" s="1"/>
  <c r="E38" i="9"/>
  <c r="D38" i="9"/>
  <c r="B38" i="9"/>
  <c r="A38" i="9"/>
  <c r="A47" i="9" s="1"/>
  <c r="C47" i="9" s="1"/>
  <c r="E37" i="9"/>
  <c r="D37" i="9"/>
  <c r="B37" i="9"/>
  <c r="A37" i="9"/>
  <c r="C37" i="9" s="1"/>
  <c r="E36" i="9"/>
  <c r="D36" i="9"/>
  <c r="B36" i="9"/>
  <c r="A36" i="9"/>
  <c r="C36" i="9" s="1"/>
  <c r="E35" i="9"/>
  <c r="F35" i="9" s="1"/>
  <c r="D35" i="9"/>
  <c r="B35" i="9"/>
  <c r="A35" i="9"/>
  <c r="C35" i="9" s="1"/>
  <c r="E32" i="9"/>
  <c r="F32" i="9" s="1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F28" i="9" s="1"/>
  <c r="D28" i="9"/>
  <c r="C28" i="9"/>
  <c r="B28" i="9"/>
  <c r="E27" i="9"/>
  <c r="F27" i="9" s="1"/>
  <c r="D27" i="9"/>
  <c r="C27" i="9"/>
  <c r="B27" i="9"/>
  <c r="E24" i="9"/>
  <c r="F24" i="9" s="1"/>
  <c r="D24" i="9"/>
  <c r="C24" i="9"/>
  <c r="B24" i="9"/>
  <c r="E23" i="9"/>
  <c r="F23" i="9" s="1"/>
  <c r="D23" i="9"/>
  <c r="C23" i="9"/>
  <c r="B23" i="9"/>
  <c r="E22" i="9"/>
  <c r="F22" i="9" s="1"/>
  <c r="D22" i="9"/>
  <c r="C22" i="9"/>
  <c r="B22" i="9"/>
  <c r="E21" i="9"/>
  <c r="F21" i="9" s="1"/>
  <c r="D21" i="9"/>
  <c r="C21" i="9"/>
  <c r="B21" i="9"/>
  <c r="E20" i="9"/>
  <c r="F20" i="9" s="1"/>
  <c r="D20" i="9"/>
  <c r="C20" i="9"/>
  <c r="B20" i="9"/>
  <c r="E19" i="9"/>
  <c r="F19" i="9" s="1"/>
  <c r="D19" i="9"/>
  <c r="C19" i="9"/>
  <c r="B19" i="9"/>
  <c r="E18" i="9"/>
  <c r="F18" i="9" s="1"/>
  <c r="D18" i="9"/>
  <c r="C18" i="9"/>
  <c r="B18" i="9"/>
  <c r="E17" i="9"/>
  <c r="F17" i="9" s="1"/>
  <c r="D17" i="9"/>
  <c r="C17" i="9"/>
  <c r="B17" i="9"/>
  <c r="B15" i="9"/>
  <c r="E14" i="9"/>
  <c r="D14" i="9"/>
  <c r="C14" i="9"/>
  <c r="B14" i="9"/>
  <c r="C13" i="9"/>
  <c r="F13" i="9" s="1"/>
  <c r="C12" i="9"/>
  <c r="F12" i="9" s="1"/>
  <c r="C11" i="9"/>
  <c r="F11" i="9" s="1"/>
  <c r="C10" i="9"/>
  <c r="F10" i="9" s="1"/>
  <c r="C9" i="9"/>
  <c r="F9" i="9" s="1"/>
  <c r="C8" i="9"/>
  <c r="F8" i="9" s="1"/>
  <c r="H6" i="9"/>
  <c r="D85" i="8"/>
  <c r="D86" i="8" s="1"/>
  <c r="D73" i="8"/>
  <c r="D74" i="8" s="1"/>
  <c r="D76" i="8" s="1"/>
  <c r="D71" i="8"/>
  <c r="D69" i="8"/>
  <c r="F65" i="8"/>
  <c r="C73" i="8" s="1"/>
  <c r="C85" i="8" s="1"/>
  <c r="D60" i="8"/>
  <c r="D83" i="8" s="1"/>
  <c r="E51" i="8"/>
  <c r="F51" i="8" s="1"/>
  <c r="C51" i="8"/>
  <c r="E50" i="8"/>
  <c r="D50" i="8"/>
  <c r="B50" i="8"/>
  <c r="E49" i="8"/>
  <c r="D49" i="8"/>
  <c r="B49" i="8"/>
  <c r="E48" i="8"/>
  <c r="D48" i="8"/>
  <c r="B48" i="8"/>
  <c r="E47" i="8"/>
  <c r="D47" i="8"/>
  <c r="B47" i="8"/>
  <c r="A47" i="8"/>
  <c r="C47" i="8" s="1"/>
  <c r="E46" i="8"/>
  <c r="D46" i="8"/>
  <c r="B46" i="8"/>
  <c r="E45" i="8"/>
  <c r="D45" i="8"/>
  <c r="B45" i="8"/>
  <c r="E41" i="8"/>
  <c r="D41" i="8"/>
  <c r="B41" i="8"/>
  <c r="A41" i="8"/>
  <c r="A50" i="8" s="1"/>
  <c r="C50" i="8" s="1"/>
  <c r="E40" i="8"/>
  <c r="D40" i="8"/>
  <c r="B40" i="8"/>
  <c r="A40" i="8"/>
  <c r="C40" i="8" s="1"/>
  <c r="E39" i="8"/>
  <c r="D39" i="8"/>
  <c r="B39" i="8"/>
  <c r="A39" i="8"/>
  <c r="C39" i="8" s="1"/>
  <c r="E38" i="8"/>
  <c r="D38" i="8"/>
  <c r="C38" i="8"/>
  <c r="B38" i="8"/>
  <c r="A38" i="8"/>
  <c r="E37" i="8"/>
  <c r="F37" i="8" s="1"/>
  <c r="D37" i="8"/>
  <c r="B37" i="8"/>
  <c r="A37" i="8"/>
  <c r="C37" i="8" s="1"/>
  <c r="E36" i="8"/>
  <c r="D36" i="8"/>
  <c r="B36" i="8"/>
  <c r="A36" i="8"/>
  <c r="C36" i="8" s="1"/>
  <c r="A35" i="8"/>
  <c r="A44" i="8" s="1"/>
  <c r="C44" i="8" s="1"/>
  <c r="E32" i="8"/>
  <c r="F32" i="8" s="1"/>
  <c r="D32" i="8"/>
  <c r="C32" i="8"/>
  <c r="B32" i="8"/>
  <c r="E31" i="8"/>
  <c r="F31" i="8" s="1"/>
  <c r="D31" i="8"/>
  <c r="C31" i="8"/>
  <c r="B31" i="8"/>
  <c r="E30" i="8"/>
  <c r="F30" i="8" s="1"/>
  <c r="D30" i="8"/>
  <c r="C30" i="8"/>
  <c r="B30" i="8"/>
  <c r="E29" i="8"/>
  <c r="D29" i="8"/>
  <c r="C29" i="8"/>
  <c r="B29" i="8"/>
  <c r="E28" i="8"/>
  <c r="D28" i="8"/>
  <c r="C28" i="8"/>
  <c r="B28" i="8"/>
  <c r="E27" i="8"/>
  <c r="F27" i="8" s="1"/>
  <c r="D27" i="8"/>
  <c r="C27" i="8"/>
  <c r="B27" i="8"/>
  <c r="E24" i="8"/>
  <c r="F24" i="8" s="1"/>
  <c r="D24" i="8"/>
  <c r="C24" i="8"/>
  <c r="B24" i="8"/>
  <c r="E23" i="8"/>
  <c r="F23" i="8" s="1"/>
  <c r="D23" i="8"/>
  <c r="C23" i="8"/>
  <c r="B23" i="8"/>
  <c r="E22" i="8"/>
  <c r="F22" i="8" s="1"/>
  <c r="D22" i="8"/>
  <c r="C22" i="8"/>
  <c r="B22" i="8"/>
  <c r="E21" i="8"/>
  <c r="F21" i="8" s="1"/>
  <c r="D21" i="8"/>
  <c r="C21" i="8"/>
  <c r="B21" i="8"/>
  <c r="E20" i="8"/>
  <c r="F20" i="8" s="1"/>
  <c r="D20" i="8"/>
  <c r="C20" i="8"/>
  <c r="B20" i="8"/>
  <c r="E19" i="8"/>
  <c r="F19" i="8" s="1"/>
  <c r="D19" i="8"/>
  <c r="C19" i="8"/>
  <c r="B19" i="8"/>
  <c r="E18" i="8"/>
  <c r="F18" i="8" s="1"/>
  <c r="D18" i="8"/>
  <c r="C18" i="8"/>
  <c r="B18" i="8"/>
  <c r="C17" i="8"/>
  <c r="F17" i="8" s="1"/>
  <c r="B15" i="8"/>
  <c r="E14" i="8"/>
  <c r="D14" i="8"/>
  <c r="C14" i="8"/>
  <c r="B14" i="8"/>
  <c r="E13" i="8"/>
  <c r="D13" i="8"/>
  <c r="C13" i="8"/>
  <c r="B13" i="8"/>
  <c r="E12" i="8"/>
  <c r="F12" i="8" s="1"/>
  <c r="D12" i="8"/>
  <c r="C12" i="8"/>
  <c r="B12" i="8"/>
  <c r="E11" i="8"/>
  <c r="D11" i="8"/>
  <c r="C11" i="8"/>
  <c r="B11" i="8"/>
  <c r="C10" i="8"/>
  <c r="F10" i="8" s="1"/>
  <c r="C9" i="8"/>
  <c r="F9" i="8" s="1"/>
  <c r="F8" i="8"/>
  <c r="C8" i="8"/>
  <c r="H6" i="8"/>
  <c r="D73" i="7"/>
  <c r="D74" i="7" s="1"/>
  <c r="D76" i="7" s="1"/>
  <c r="D71" i="7"/>
  <c r="D69" i="7"/>
  <c r="F65" i="7"/>
  <c r="E51" i="7" s="1"/>
  <c r="D60" i="7"/>
  <c r="D85" i="7" s="1"/>
  <c r="D86" i="7" s="1"/>
  <c r="C51" i="7"/>
  <c r="E50" i="7"/>
  <c r="D50" i="7"/>
  <c r="B50" i="7"/>
  <c r="E49" i="7"/>
  <c r="D49" i="7"/>
  <c r="B49" i="7"/>
  <c r="E48" i="7"/>
  <c r="D48" i="7"/>
  <c r="B48" i="7"/>
  <c r="E47" i="7"/>
  <c r="D47" i="7"/>
  <c r="B47" i="7"/>
  <c r="E46" i="7"/>
  <c r="D46" i="7"/>
  <c r="B46" i="7"/>
  <c r="E45" i="7"/>
  <c r="D45" i="7"/>
  <c r="B45" i="7"/>
  <c r="E44" i="7"/>
  <c r="D44" i="7"/>
  <c r="B44" i="7"/>
  <c r="E41" i="7"/>
  <c r="D41" i="7"/>
  <c r="B41" i="7"/>
  <c r="A41" i="7"/>
  <c r="A50" i="7" s="1"/>
  <c r="C50" i="7" s="1"/>
  <c r="E40" i="7"/>
  <c r="D40" i="7"/>
  <c r="B40" i="7"/>
  <c r="A40" i="7"/>
  <c r="C40" i="7" s="1"/>
  <c r="E39" i="7"/>
  <c r="D39" i="7"/>
  <c r="B39" i="7"/>
  <c r="A39" i="7"/>
  <c r="C39" i="7" s="1"/>
  <c r="E38" i="7"/>
  <c r="D38" i="7"/>
  <c r="B38" i="7"/>
  <c r="A38" i="7"/>
  <c r="C38" i="7" s="1"/>
  <c r="E37" i="7"/>
  <c r="D37" i="7"/>
  <c r="B37" i="7"/>
  <c r="A37" i="7"/>
  <c r="A46" i="7" s="1"/>
  <c r="C46" i="7" s="1"/>
  <c r="E36" i="7"/>
  <c r="D36" i="7"/>
  <c r="C36" i="7"/>
  <c r="B36" i="7"/>
  <c r="A36" i="7"/>
  <c r="A45" i="7" s="1"/>
  <c r="C45" i="7" s="1"/>
  <c r="E35" i="7"/>
  <c r="F35" i="7" s="1"/>
  <c r="D35" i="7"/>
  <c r="C35" i="7"/>
  <c r="B35" i="7"/>
  <c r="A35" i="7"/>
  <c r="A44" i="7" s="1"/>
  <c r="C44" i="7" s="1"/>
  <c r="E32" i="7"/>
  <c r="D32" i="7"/>
  <c r="C32" i="7"/>
  <c r="B32" i="7"/>
  <c r="E31" i="7"/>
  <c r="F31" i="7" s="1"/>
  <c r="D31" i="7"/>
  <c r="C31" i="7"/>
  <c r="B31" i="7"/>
  <c r="E30" i="7"/>
  <c r="F30" i="7" s="1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4" i="7"/>
  <c r="D24" i="7"/>
  <c r="C24" i="7"/>
  <c r="B24" i="7"/>
  <c r="E23" i="7"/>
  <c r="F23" i="7" s="1"/>
  <c r="D23" i="7"/>
  <c r="C23" i="7"/>
  <c r="B23" i="7"/>
  <c r="E22" i="7"/>
  <c r="F22" i="7" s="1"/>
  <c r="D22" i="7"/>
  <c r="C22" i="7"/>
  <c r="B22" i="7"/>
  <c r="E21" i="7"/>
  <c r="F21" i="7" s="1"/>
  <c r="D21" i="7"/>
  <c r="C21" i="7"/>
  <c r="B21" i="7"/>
  <c r="E20" i="7"/>
  <c r="F20" i="7" s="1"/>
  <c r="D20" i="7"/>
  <c r="C20" i="7"/>
  <c r="B20" i="7"/>
  <c r="E19" i="7"/>
  <c r="F19" i="7" s="1"/>
  <c r="D19" i="7"/>
  <c r="C19" i="7"/>
  <c r="B19" i="7"/>
  <c r="E18" i="7"/>
  <c r="F18" i="7" s="1"/>
  <c r="D18" i="7"/>
  <c r="C18" i="7"/>
  <c r="B18" i="7"/>
  <c r="E17" i="7"/>
  <c r="F17" i="7" s="1"/>
  <c r="D17" i="7"/>
  <c r="C17" i="7"/>
  <c r="B17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F9" i="7" s="1"/>
  <c r="D9" i="7"/>
  <c r="C9" i="7"/>
  <c r="B9" i="7"/>
  <c r="C8" i="7"/>
  <c r="H6" i="7"/>
  <c r="F30" i="9" l="1"/>
  <c r="F11" i="8"/>
  <c r="F14" i="8"/>
  <c r="F13" i="8"/>
  <c r="F28" i="8"/>
  <c r="F32" i="7"/>
  <c r="F11" i="7"/>
  <c r="F28" i="7"/>
  <c r="F13" i="7"/>
  <c r="E73" i="9"/>
  <c r="C35" i="8"/>
  <c r="F31" i="9"/>
  <c r="F14" i="9"/>
  <c r="F53" i="9" s="1"/>
  <c r="F29" i="8"/>
  <c r="F11" i="12"/>
  <c r="F34" i="12"/>
  <c r="F29" i="12"/>
  <c r="F30" i="12"/>
  <c r="D83" i="12"/>
  <c r="F32" i="12"/>
  <c r="E53" i="12"/>
  <c r="F53" i="12" s="1"/>
  <c r="F9" i="12"/>
  <c r="F28" i="12"/>
  <c r="F31" i="12"/>
  <c r="F14" i="12"/>
  <c r="F13" i="12"/>
  <c r="F42" i="12"/>
  <c r="D87" i="12"/>
  <c r="D88" i="12" s="1"/>
  <c r="F27" i="12"/>
  <c r="F12" i="12"/>
  <c r="F8" i="12"/>
  <c r="F10" i="12"/>
  <c r="F41" i="12"/>
  <c r="F52" i="12"/>
  <c r="C43" i="12"/>
  <c r="F43" i="12" s="1"/>
  <c r="C39" i="12"/>
  <c r="C38" i="12"/>
  <c r="F32" i="11"/>
  <c r="F28" i="11"/>
  <c r="F30" i="11"/>
  <c r="F27" i="11"/>
  <c r="F11" i="11"/>
  <c r="F51" i="11"/>
  <c r="F9" i="11"/>
  <c r="F8" i="11"/>
  <c r="F14" i="11"/>
  <c r="F12" i="11"/>
  <c r="A45" i="11"/>
  <c r="C45" i="11" s="1"/>
  <c r="F45" i="11" s="1"/>
  <c r="F23" i="11"/>
  <c r="F10" i="11"/>
  <c r="C35" i="11"/>
  <c r="F35" i="11" s="1"/>
  <c r="F17" i="11"/>
  <c r="F40" i="11"/>
  <c r="F22" i="11"/>
  <c r="C41" i="11"/>
  <c r="F41" i="11" s="1"/>
  <c r="F21" i="11"/>
  <c r="F37" i="10"/>
  <c r="F40" i="10"/>
  <c r="F29" i="10"/>
  <c r="F31" i="10"/>
  <c r="F13" i="10"/>
  <c r="F10" i="10"/>
  <c r="F27" i="10"/>
  <c r="F9" i="10"/>
  <c r="F38" i="10"/>
  <c r="F12" i="10"/>
  <c r="F51" i="10"/>
  <c r="E73" i="10"/>
  <c r="F17" i="10"/>
  <c r="E51" i="9"/>
  <c r="F51" i="9" s="1"/>
  <c r="D81" i="9"/>
  <c r="D85" i="9"/>
  <c r="D86" i="9" s="1"/>
  <c r="F29" i="9"/>
  <c r="F40" i="9"/>
  <c r="C38" i="9"/>
  <c r="F38" i="9" s="1"/>
  <c r="C41" i="9"/>
  <c r="F41" i="9" s="1"/>
  <c r="F50" i="9"/>
  <c r="D81" i="8"/>
  <c r="E85" i="8"/>
  <c r="F38" i="8"/>
  <c r="F40" i="8"/>
  <c r="F47" i="8"/>
  <c r="F50" i="8"/>
  <c r="F35" i="8"/>
  <c r="C73" i="7"/>
  <c r="C85" i="7" s="1"/>
  <c r="F51" i="7"/>
  <c r="E85" i="7"/>
  <c r="F24" i="7"/>
  <c r="F36" i="7"/>
  <c r="F39" i="7"/>
  <c r="F29" i="7"/>
  <c r="F14" i="7"/>
  <c r="F27" i="7"/>
  <c r="C37" i="7"/>
  <c r="F37" i="7" s="1"/>
  <c r="F45" i="7"/>
  <c r="F12" i="7"/>
  <c r="F50" i="7"/>
  <c r="F10" i="7"/>
  <c r="F8" i="7"/>
  <c r="C87" i="12"/>
  <c r="E75" i="12"/>
  <c r="A49" i="12"/>
  <c r="C49" i="12" s="1"/>
  <c r="A51" i="12"/>
  <c r="C51" i="12" s="1"/>
  <c r="F51" i="12" s="1"/>
  <c r="A46" i="12"/>
  <c r="C46" i="12" s="1"/>
  <c r="A50" i="12"/>
  <c r="C50" i="12" s="1"/>
  <c r="F50" i="12" s="1"/>
  <c r="F50" i="11"/>
  <c r="F36" i="11"/>
  <c r="F39" i="11"/>
  <c r="F44" i="11"/>
  <c r="D81" i="11"/>
  <c r="A47" i="11"/>
  <c r="C47" i="11" s="1"/>
  <c r="C73" i="11"/>
  <c r="A49" i="11"/>
  <c r="C49" i="11" s="1"/>
  <c r="F49" i="11" s="1"/>
  <c r="D83" i="11"/>
  <c r="A46" i="11"/>
  <c r="C46" i="11" s="1"/>
  <c r="A48" i="11"/>
  <c r="C48" i="11" s="1"/>
  <c r="F48" i="11" s="1"/>
  <c r="F50" i="10"/>
  <c r="F35" i="10"/>
  <c r="F36" i="10"/>
  <c r="F39" i="10"/>
  <c r="F47" i="10"/>
  <c r="E85" i="10"/>
  <c r="C41" i="10"/>
  <c r="F41" i="10" s="1"/>
  <c r="A45" i="10"/>
  <c r="C45" i="10" s="1"/>
  <c r="F45" i="10" s="1"/>
  <c r="D81" i="10"/>
  <c r="A49" i="10"/>
  <c r="C49" i="10" s="1"/>
  <c r="F49" i="10" s="1"/>
  <c r="D83" i="10"/>
  <c r="A44" i="10"/>
  <c r="C44" i="10" s="1"/>
  <c r="F44" i="10" s="1"/>
  <c r="A46" i="10"/>
  <c r="C46" i="10" s="1"/>
  <c r="F46" i="10" s="1"/>
  <c r="A48" i="10"/>
  <c r="C48" i="10" s="1"/>
  <c r="F48" i="10" s="1"/>
  <c r="F36" i="9"/>
  <c r="F39" i="9"/>
  <c r="F47" i="9"/>
  <c r="F37" i="9"/>
  <c r="A45" i="9"/>
  <c r="C45" i="9" s="1"/>
  <c r="F45" i="9" s="1"/>
  <c r="A49" i="9"/>
  <c r="C49" i="9" s="1"/>
  <c r="F49" i="9" s="1"/>
  <c r="A44" i="9"/>
  <c r="C44" i="9" s="1"/>
  <c r="F44" i="9" s="1"/>
  <c r="A46" i="9"/>
  <c r="C46" i="9" s="1"/>
  <c r="F46" i="9" s="1"/>
  <c r="A48" i="9"/>
  <c r="C48" i="9" s="1"/>
  <c r="F48" i="9" s="1"/>
  <c r="F36" i="8"/>
  <c r="F44" i="8"/>
  <c r="F39" i="8"/>
  <c r="C41" i="8"/>
  <c r="F41" i="8" s="1"/>
  <c r="A45" i="8"/>
  <c r="C45" i="8" s="1"/>
  <c r="F45" i="8" s="1"/>
  <c r="A49" i="8"/>
  <c r="C49" i="8" s="1"/>
  <c r="F49" i="8" s="1"/>
  <c r="E73" i="8"/>
  <c r="A46" i="8"/>
  <c r="C46" i="8" s="1"/>
  <c r="F46" i="8" s="1"/>
  <c r="A48" i="8"/>
  <c r="C48" i="8" s="1"/>
  <c r="F48" i="8" s="1"/>
  <c r="F38" i="7"/>
  <c r="F41" i="7"/>
  <c r="F40" i="7"/>
  <c r="F46" i="7"/>
  <c r="F44" i="7"/>
  <c r="C41" i="7"/>
  <c r="D81" i="7"/>
  <c r="A47" i="7"/>
  <c r="C47" i="7" s="1"/>
  <c r="F47" i="7" s="1"/>
  <c r="A49" i="7"/>
  <c r="C49" i="7" s="1"/>
  <c r="F49" i="7" s="1"/>
  <c r="E73" i="7"/>
  <c r="D83" i="7"/>
  <c r="A48" i="7"/>
  <c r="C48" i="7" s="1"/>
  <c r="F48" i="7" s="1"/>
  <c r="F53" i="8" l="1"/>
  <c r="C69" i="8" s="1"/>
  <c r="E87" i="12"/>
  <c r="F53" i="10"/>
  <c r="C69" i="10" s="1"/>
  <c r="E85" i="9"/>
  <c r="F54" i="9"/>
  <c r="F55" i="9" s="1"/>
  <c r="F53" i="7"/>
  <c r="F64" i="7" s="1"/>
  <c r="C85" i="11"/>
  <c r="E85" i="11" s="1"/>
  <c r="E73" i="11"/>
  <c r="F56" i="10"/>
  <c r="F54" i="10"/>
  <c r="F56" i="9"/>
  <c r="C69" i="9"/>
  <c r="F64" i="9"/>
  <c r="H53" i="9"/>
  <c r="F2" i="9" s="1"/>
  <c r="F54" i="8"/>
  <c r="F56" i="8"/>
  <c r="F56" i="7"/>
  <c r="F54" i="7"/>
  <c r="F64" i="8" l="1"/>
  <c r="H53" i="8"/>
  <c r="F2" i="8" s="1"/>
  <c r="F55" i="8"/>
  <c r="H55" i="8" s="1"/>
  <c r="C76" i="9"/>
  <c r="E76" i="9" s="1"/>
  <c r="E37" i="11" s="1"/>
  <c r="F37" i="11" s="1"/>
  <c r="H54" i="9"/>
  <c r="G2" i="9" s="1"/>
  <c r="H53" i="7"/>
  <c r="F2" i="7" s="1"/>
  <c r="C69" i="7"/>
  <c r="E69" i="7" s="1"/>
  <c r="H53" i="10"/>
  <c r="F2" i="10" s="1"/>
  <c r="F55" i="10"/>
  <c r="O54" i="10" s="1"/>
  <c r="F64" i="10"/>
  <c r="E69" i="10"/>
  <c r="E18" i="12" s="1"/>
  <c r="F18" i="12" s="1"/>
  <c r="C81" i="10"/>
  <c r="E81" i="10" s="1"/>
  <c r="H56" i="10"/>
  <c r="C74" i="10"/>
  <c r="C76" i="10"/>
  <c r="E76" i="10" s="1"/>
  <c r="E38" i="12" s="1"/>
  <c r="F38" i="12" s="1"/>
  <c r="H54" i="10"/>
  <c r="G2" i="10" s="1"/>
  <c r="H55" i="9"/>
  <c r="O54" i="9"/>
  <c r="F63" i="9"/>
  <c r="E69" i="9"/>
  <c r="E19" i="11" s="1"/>
  <c r="F19" i="11" s="1"/>
  <c r="C81" i="9"/>
  <c r="E81" i="9" s="1"/>
  <c r="H56" i="9"/>
  <c r="C74" i="9"/>
  <c r="E74" i="9" s="1"/>
  <c r="H56" i="8"/>
  <c r="C74" i="8"/>
  <c r="E69" i="8"/>
  <c r="C81" i="8"/>
  <c r="E81" i="8" s="1"/>
  <c r="C76" i="8"/>
  <c r="E76" i="8" s="1"/>
  <c r="H54" i="8"/>
  <c r="G2" i="8" s="1"/>
  <c r="C76" i="7"/>
  <c r="E76" i="7" s="1"/>
  <c r="E40" i="12" s="1"/>
  <c r="F40" i="12" s="1"/>
  <c r="H54" i="7"/>
  <c r="G2" i="7" s="1"/>
  <c r="H56" i="7"/>
  <c r="C74" i="7"/>
  <c r="F55" i="7"/>
  <c r="C81" i="7" l="1"/>
  <c r="E81" i="7" s="1"/>
  <c r="F63" i="8"/>
  <c r="C71" i="8" s="1"/>
  <c r="O54" i="8"/>
  <c r="O56" i="8" s="1"/>
  <c r="E19" i="12"/>
  <c r="F19" i="12" s="1"/>
  <c r="E20" i="11"/>
  <c r="F20" i="11" s="1"/>
  <c r="F53" i="11" s="1"/>
  <c r="E20" i="12"/>
  <c r="F20" i="12" s="1"/>
  <c r="E38" i="11"/>
  <c r="F38" i="11" s="1"/>
  <c r="F54" i="11" s="1"/>
  <c r="E39" i="12"/>
  <c r="F39" i="12" s="1"/>
  <c r="H55" i="10"/>
  <c r="F63" i="10"/>
  <c r="C71" i="10" s="1"/>
  <c r="O55" i="10"/>
  <c r="H2" i="10"/>
  <c r="H58" i="10"/>
  <c r="H59" i="10" s="1"/>
  <c r="O58" i="10" s="1"/>
  <c r="O56" i="10"/>
  <c r="C86" i="10"/>
  <c r="E86" i="10" s="1"/>
  <c r="E74" i="10"/>
  <c r="O55" i="9"/>
  <c r="H2" i="9"/>
  <c r="H58" i="9"/>
  <c r="H59" i="9" s="1"/>
  <c r="O58" i="9" s="1"/>
  <c r="C86" i="9"/>
  <c r="E86" i="9" s="1"/>
  <c r="C71" i="9"/>
  <c r="E63" i="9"/>
  <c r="F66" i="9"/>
  <c r="G63" i="9" s="1"/>
  <c r="O56" i="9"/>
  <c r="O55" i="8"/>
  <c r="H58" i="8"/>
  <c r="H59" i="8" s="1"/>
  <c r="O58" i="8" s="1"/>
  <c r="H2" i="8"/>
  <c r="C86" i="8"/>
  <c r="E86" i="8" s="1"/>
  <c r="E74" i="8"/>
  <c r="E47" i="11" s="1"/>
  <c r="O55" i="7"/>
  <c r="H2" i="7"/>
  <c r="H58" i="7"/>
  <c r="H59" i="7" s="1"/>
  <c r="O58" i="7" s="1"/>
  <c r="H55" i="7"/>
  <c r="O54" i="7"/>
  <c r="F63" i="7"/>
  <c r="C86" i="7"/>
  <c r="E86" i="7" s="1"/>
  <c r="E74" i="7"/>
  <c r="F66" i="8" l="1"/>
  <c r="G63" i="8" s="1"/>
  <c r="E63" i="8"/>
  <c r="E78" i="9"/>
  <c r="E46" i="11"/>
  <c r="F46" i="11" s="1"/>
  <c r="E78" i="7"/>
  <c r="E49" i="12"/>
  <c r="F49" i="12" s="1"/>
  <c r="E78" i="10"/>
  <c r="E47" i="12"/>
  <c r="F47" i="12" s="1"/>
  <c r="H54" i="11"/>
  <c r="C76" i="11"/>
  <c r="E76" i="11" s="1"/>
  <c r="F64" i="11"/>
  <c r="F55" i="11"/>
  <c r="H53" i="11"/>
  <c r="C69" i="11"/>
  <c r="E78" i="8"/>
  <c r="F47" i="11"/>
  <c r="E48" i="12"/>
  <c r="F48" i="12" s="1"/>
  <c r="O57" i="10"/>
  <c r="O59" i="10" s="1"/>
  <c r="O60" i="10" s="1"/>
  <c r="O61" i="10" s="1"/>
  <c r="O62" i="10" s="1"/>
  <c r="F66" i="10"/>
  <c r="G31" i="10" s="1"/>
  <c r="E63" i="10"/>
  <c r="O57" i="9"/>
  <c r="O59" i="9" s="1"/>
  <c r="O60" i="9" s="1"/>
  <c r="O61" i="9" s="1"/>
  <c r="O62" i="9" s="1"/>
  <c r="O57" i="8"/>
  <c r="O59" i="8" s="1"/>
  <c r="O60" i="8" s="1"/>
  <c r="C83" i="10"/>
  <c r="E83" i="10" s="1"/>
  <c r="E71" i="10"/>
  <c r="G66" i="9"/>
  <c r="G17" i="9"/>
  <c r="G31" i="9"/>
  <c r="G12" i="9"/>
  <c r="G38" i="9"/>
  <c r="G23" i="9"/>
  <c r="G14" i="9"/>
  <c r="G19" i="9"/>
  <c r="G35" i="9"/>
  <c r="G29" i="9"/>
  <c r="G22" i="9"/>
  <c r="G50" i="9"/>
  <c r="G51" i="9"/>
  <c r="G65" i="9"/>
  <c r="G20" i="9"/>
  <c r="G21" i="9"/>
  <c r="G13" i="9"/>
  <c r="G9" i="9"/>
  <c r="G40" i="9"/>
  <c r="G30" i="9"/>
  <c r="G27" i="9"/>
  <c r="G28" i="9"/>
  <c r="G24" i="9"/>
  <c r="G32" i="9"/>
  <c r="G10" i="9"/>
  <c r="G18" i="9"/>
  <c r="G11" i="9"/>
  <c r="G8" i="9"/>
  <c r="G41" i="9"/>
  <c r="G47" i="9"/>
  <c r="G36" i="9"/>
  <c r="G37" i="9"/>
  <c r="G48" i="9"/>
  <c r="G54" i="9"/>
  <c r="G45" i="9"/>
  <c r="G46" i="9"/>
  <c r="G39" i="9"/>
  <c r="G53" i="9"/>
  <c r="G49" i="9"/>
  <c r="G44" i="9"/>
  <c r="G56" i="9"/>
  <c r="G64" i="9"/>
  <c r="G55" i="9"/>
  <c r="C83" i="9"/>
  <c r="E83" i="9" s="1"/>
  <c r="E71" i="9"/>
  <c r="G24" i="8"/>
  <c r="G31" i="8"/>
  <c r="G51" i="8"/>
  <c r="G10" i="8"/>
  <c r="G8" i="8"/>
  <c r="G40" i="8"/>
  <c r="G21" i="8"/>
  <c r="G22" i="8"/>
  <c r="G13" i="8"/>
  <c r="G37" i="8"/>
  <c r="G23" i="8"/>
  <c r="G35" i="8"/>
  <c r="G28" i="8"/>
  <c r="G39" i="8"/>
  <c r="G36" i="8"/>
  <c r="G48" i="8"/>
  <c r="G45" i="8"/>
  <c r="G54" i="8"/>
  <c r="C83" i="8"/>
  <c r="E83" i="8" s="1"/>
  <c r="E71" i="8"/>
  <c r="O56" i="7"/>
  <c r="O57" i="7" s="1"/>
  <c r="O59" i="7" s="1"/>
  <c r="C71" i="7"/>
  <c r="E63" i="7"/>
  <c r="F66" i="7"/>
  <c r="G63" i="7" s="1"/>
  <c r="G32" i="8" l="1"/>
  <c r="G55" i="8"/>
  <c r="G56" i="8"/>
  <c r="G18" i="8"/>
  <c r="G64" i="8"/>
  <c r="G12" i="8"/>
  <c r="G65" i="8"/>
  <c r="G29" i="8"/>
  <c r="G38" i="8"/>
  <c r="G49" i="8"/>
  <c r="G20" i="8"/>
  <c r="G19" i="8"/>
  <c r="G14" i="8"/>
  <c r="G17" i="8"/>
  <c r="G53" i="8"/>
  <c r="G27" i="8"/>
  <c r="G47" i="8"/>
  <c r="G66" i="8"/>
  <c r="G41" i="8"/>
  <c r="G44" i="8"/>
  <c r="G9" i="8"/>
  <c r="G30" i="8"/>
  <c r="G46" i="8"/>
  <c r="G50" i="8"/>
  <c r="G11" i="8"/>
  <c r="F56" i="11"/>
  <c r="F2" i="11"/>
  <c r="E17" i="12"/>
  <c r="F17" i="12" s="1"/>
  <c r="F55" i="12" s="1"/>
  <c r="F63" i="11"/>
  <c r="O54" i="11"/>
  <c r="H55" i="11"/>
  <c r="G2" i="11"/>
  <c r="E37" i="12"/>
  <c r="F37" i="12" s="1"/>
  <c r="F56" i="12" s="1"/>
  <c r="E69" i="11"/>
  <c r="C81" i="11"/>
  <c r="E81" i="11" s="1"/>
  <c r="G63" i="10"/>
  <c r="G45" i="10"/>
  <c r="G21" i="10"/>
  <c r="G40" i="10"/>
  <c r="G24" i="10"/>
  <c r="G38" i="10"/>
  <c r="G19" i="10"/>
  <c r="G48" i="10"/>
  <c r="G17" i="10"/>
  <c r="G35" i="10"/>
  <c r="G9" i="10"/>
  <c r="G36" i="10"/>
  <c r="G28" i="10"/>
  <c r="G37" i="10"/>
  <c r="G14" i="10"/>
  <c r="G10" i="10"/>
  <c r="G53" i="10"/>
  <c r="G47" i="10"/>
  <c r="G12" i="10"/>
  <c r="G65" i="10"/>
  <c r="G11" i="10"/>
  <c r="G66" i="10"/>
  <c r="G39" i="10"/>
  <c r="G51" i="10"/>
  <c r="G54" i="10"/>
  <c r="G18" i="10"/>
  <c r="G23" i="10"/>
  <c r="G64" i="10"/>
  <c r="G41" i="10"/>
  <c r="G29" i="10"/>
  <c r="G20" i="10"/>
  <c r="G56" i="10"/>
  <c r="G44" i="10"/>
  <c r="G30" i="10"/>
  <c r="G27" i="10"/>
  <c r="G50" i="10"/>
  <c r="G55" i="10"/>
  <c r="G46" i="10"/>
  <c r="G8" i="10"/>
  <c r="G13" i="10"/>
  <c r="G49" i="10"/>
  <c r="G32" i="10"/>
  <c r="G22" i="10"/>
  <c r="O61" i="8"/>
  <c r="O62" i="8" s="1"/>
  <c r="P62" i="8" s="1"/>
  <c r="P62" i="10"/>
  <c r="E2" i="10"/>
  <c r="P62" i="9"/>
  <c r="E2" i="9"/>
  <c r="G66" i="7"/>
  <c r="G65" i="7"/>
  <c r="G22" i="7"/>
  <c r="G20" i="7"/>
  <c r="G27" i="7"/>
  <c r="G31" i="7"/>
  <c r="G8" i="7"/>
  <c r="G39" i="7"/>
  <c r="G18" i="7"/>
  <c r="G45" i="7"/>
  <c r="G21" i="7"/>
  <c r="G10" i="7"/>
  <c r="G36" i="7"/>
  <c r="G17" i="7"/>
  <c r="G24" i="7"/>
  <c r="G19" i="7"/>
  <c r="G35" i="7"/>
  <c r="G12" i="7"/>
  <c r="G51" i="7"/>
  <c r="G23" i="7"/>
  <c r="G14" i="7"/>
  <c r="G30" i="7"/>
  <c r="G32" i="7"/>
  <c r="G9" i="7"/>
  <c r="G11" i="7"/>
  <c r="G37" i="7"/>
  <c r="G50" i="7"/>
  <c r="G29" i="7"/>
  <c r="G13" i="7"/>
  <c r="G28" i="7"/>
  <c r="G49" i="7"/>
  <c r="G48" i="7"/>
  <c r="G44" i="7"/>
  <c r="G38" i="7"/>
  <c r="G41" i="7"/>
  <c r="G53" i="7"/>
  <c r="G47" i="7"/>
  <c r="G40" i="7"/>
  <c r="G46" i="7"/>
  <c r="G54" i="7"/>
  <c r="G56" i="7"/>
  <c r="G64" i="7"/>
  <c r="G55" i="7"/>
  <c r="C83" i="7"/>
  <c r="E83" i="7" s="1"/>
  <c r="E71" i="7"/>
  <c r="O60" i="7"/>
  <c r="O61" i="7" s="1"/>
  <c r="O62" i="7" s="1"/>
  <c r="H56" i="11" l="1"/>
  <c r="C74" i="11"/>
  <c r="C78" i="12"/>
  <c r="E78" i="12" s="1"/>
  <c r="H56" i="12"/>
  <c r="G2" i="12" s="1"/>
  <c r="O56" i="11"/>
  <c r="F66" i="11"/>
  <c r="G63" i="11" s="1"/>
  <c r="C71" i="11"/>
  <c r="E63" i="11"/>
  <c r="H55" i="12"/>
  <c r="F2" i="12" s="1"/>
  <c r="F66" i="12"/>
  <c r="C71" i="12"/>
  <c r="F57" i="12"/>
  <c r="E2" i="8"/>
  <c r="P62" i="7"/>
  <c r="E2" i="7"/>
  <c r="C83" i="11" l="1"/>
  <c r="E83" i="11" s="1"/>
  <c r="E71" i="11"/>
  <c r="G31" i="11"/>
  <c r="G30" i="11"/>
  <c r="G27" i="11"/>
  <c r="G29" i="11"/>
  <c r="G32" i="11"/>
  <c r="G28" i="11"/>
  <c r="G53" i="11"/>
  <c r="G35" i="11"/>
  <c r="G46" i="11"/>
  <c r="G66" i="11"/>
  <c r="G18" i="11"/>
  <c r="G37" i="11"/>
  <c r="G22" i="11"/>
  <c r="G40" i="11"/>
  <c r="G47" i="11"/>
  <c r="G23" i="11"/>
  <c r="G21" i="11"/>
  <c r="G49" i="11"/>
  <c r="G41" i="11"/>
  <c r="G38" i="11"/>
  <c r="G50" i="11"/>
  <c r="G51" i="11"/>
  <c r="G13" i="11"/>
  <c r="G36" i="11"/>
  <c r="G19" i="11"/>
  <c r="G14" i="11"/>
  <c r="G45" i="11"/>
  <c r="G11" i="11"/>
  <c r="G8" i="11"/>
  <c r="G48" i="11"/>
  <c r="G9" i="11"/>
  <c r="G17" i="11"/>
  <c r="G39" i="11"/>
  <c r="G10" i="11"/>
  <c r="G24" i="11"/>
  <c r="G54" i="11"/>
  <c r="G65" i="11"/>
  <c r="G20" i="11"/>
  <c r="G55" i="11"/>
  <c r="G12" i="11"/>
  <c r="G44" i="11"/>
  <c r="G64" i="11"/>
  <c r="G56" i="11"/>
  <c r="C83" i="12"/>
  <c r="E83" i="12" s="1"/>
  <c r="E71" i="12"/>
  <c r="C86" i="11"/>
  <c r="E86" i="11" s="1"/>
  <c r="E74" i="11"/>
  <c r="E78" i="11" s="1"/>
  <c r="O56" i="12"/>
  <c r="F65" i="12"/>
  <c r="H57" i="12"/>
  <c r="E46" i="12"/>
  <c r="F46" i="12" s="1"/>
  <c r="O55" i="11"/>
  <c r="O57" i="11" s="1"/>
  <c r="H2" i="11"/>
  <c r="H58" i="11"/>
  <c r="H59" i="11" s="1"/>
  <c r="O58" i="11" s="1"/>
  <c r="O59" i="11" l="1"/>
  <c r="O60" i="11" s="1"/>
  <c r="O61" i="11" s="1"/>
  <c r="O62" i="11" s="1"/>
  <c r="F58" i="12"/>
  <c r="C73" i="12"/>
  <c r="E65" i="12"/>
  <c r="F68" i="12"/>
  <c r="O58" i="12"/>
  <c r="G17" i="12" l="1"/>
  <c r="G14" i="12"/>
  <c r="G12" i="12"/>
  <c r="G27" i="12"/>
  <c r="G40" i="12"/>
  <c r="G23" i="12"/>
  <c r="G32" i="12"/>
  <c r="G67" i="12"/>
  <c r="G31" i="12"/>
  <c r="G55" i="12"/>
  <c r="G42" i="12"/>
  <c r="G38" i="12"/>
  <c r="G13" i="12"/>
  <c r="G39" i="12"/>
  <c r="G50" i="12"/>
  <c r="G47" i="12"/>
  <c r="G20" i="12"/>
  <c r="G53" i="12"/>
  <c r="G8" i="12"/>
  <c r="G49" i="12"/>
  <c r="G34" i="12"/>
  <c r="G37" i="12"/>
  <c r="G10" i="12"/>
  <c r="G56" i="12"/>
  <c r="G52" i="12"/>
  <c r="G48" i="12"/>
  <c r="G68" i="12"/>
  <c r="G21" i="12"/>
  <c r="G24" i="12"/>
  <c r="G29" i="12"/>
  <c r="G51" i="12"/>
  <c r="G19" i="12"/>
  <c r="G9" i="12"/>
  <c r="G30" i="12"/>
  <c r="G22" i="12"/>
  <c r="G18" i="12"/>
  <c r="G11" i="12"/>
  <c r="G33" i="12"/>
  <c r="G41" i="12"/>
  <c r="G43" i="12"/>
  <c r="G28" i="12"/>
  <c r="G57" i="12"/>
  <c r="G66" i="12"/>
  <c r="E73" i="12"/>
  <c r="C85" i="12"/>
  <c r="E85" i="12" s="1"/>
  <c r="G65" i="12"/>
  <c r="G46" i="12"/>
  <c r="H58" i="12"/>
  <c r="C76" i="12"/>
  <c r="G58" i="12"/>
  <c r="E2" i="11"/>
  <c r="P62" i="11"/>
  <c r="H60" i="12" l="1"/>
  <c r="O57" i="12"/>
  <c r="O59" i="12" s="1"/>
  <c r="H2" i="12"/>
  <c r="E76" i="12"/>
  <c r="E80" i="12" s="1"/>
  <c r="C88" i="12"/>
  <c r="E88" i="12" s="1"/>
  <c r="H61" i="12" l="1"/>
  <c r="O60" i="12" s="1"/>
  <c r="O61" i="12" s="1"/>
  <c r="O62" i="12" s="1"/>
  <c r="O63" i="12" s="1"/>
  <c r="O64" i="12" s="1"/>
  <c r="P64" i="12" s="1"/>
  <c r="E2" i="12" l="1"/>
  <c r="D34" i="1"/>
  <c r="D25" i="2"/>
  <c r="D25" i="5"/>
  <c r="D20" i="3"/>
</calcChain>
</file>

<file path=xl/sharedStrings.xml><?xml version="1.0" encoding="utf-8"?>
<sst xmlns="http://schemas.openxmlformats.org/spreadsheetml/2006/main" count="2069" uniqueCount="475">
  <si>
    <t>CONTROL DE CAMBIOS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</si>
  <si>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</si>
  <si>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</si>
  <si>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</si>
  <si>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</si>
  <si>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</si>
  <si>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</si>
  <si>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</si>
  <si>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 xml:space="preserve">TIEMPO TOTAL DE PREPARACIÓN </t>
  </si>
  <si>
    <t>PESO TOTAL OBTENIDO</t>
  </si>
  <si>
    <t>Unidad</t>
  </si>
  <si>
    <t>Cantidad</t>
  </si>
  <si>
    <t>ETIQUETA ESPECIAL TEMPORADA</t>
  </si>
  <si>
    <t>NUEVO</t>
  </si>
  <si>
    <t>Etiq.Blanca 1 1/4 * 3/4</t>
  </si>
  <si>
    <t>EM10002</t>
  </si>
  <si>
    <t>ETIPLAST</t>
  </si>
  <si>
    <t>ETIQUETA BLANCA 2 5/8X1 15/16</t>
  </si>
  <si>
    <t>EM10011</t>
  </si>
  <si>
    <t>CEMUSA</t>
  </si>
  <si>
    <t>ETIQUETA BLANCA R-153 (UND)</t>
  </si>
  <si>
    <t>EM10124</t>
  </si>
  <si>
    <t>cm</t>
  </si>
  <si>
    <t>Mayca</t>
  </si>
  <si>
    <t>CINTA ADHESIVA TRANSPARENTE 2*100 MTS</t>
  </si>
  <si>
    <t>EM10248</t>
  </si>
  <si>
    <t>Orla Carton 10" Dorada</t>
  </si>
  <si>
    <t>EM10008</t>
  </si>
  <si>
    <t>1950692</t>
  </si>
  <si>
    <t>EXPORT PMT</t>
  </si>
  <si>
    <t>QUEQUERA RED  BASE/DOMO 10 (CAJA:50)</t>
  </si>
  <si>
    <t>EM10009</t>
  </si>
  <si>
    <t>EMPAQUE</t>
  </si>
  <si>
    <t>FAS</t>
  </si>
  <si>
    <t>Fas</t>
  </si>
  <si>
    <t>Encremado</t>
  </si>
  <si>
    <t xml:space="preserve">DECORACIÓN </t>
  </si>
  <si>
    <t xml:space="preserve">1 unidad 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</si>
  <si>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</si>
  <si>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</si>
  <si>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</si>
  <si>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</si>
  <si>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</si>
  <si>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</si>
  <si>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</si>
  <si>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</si>
  <si>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Decoración </t>
  </si>
  <si>
    <t xml:space="preserve">AREA QUE EMPACA: </t>
  </si>
  <si>
    <t xml:space="preserve">Decoración  </t>
  </si>
  <si>
    <t>AREA QUE PRODUCE:</t>
  </si>
  <si>
    <t xml:space="preserve">Esteban Cartin, Gerente de Manofactura </t>
  </si>
  <si>
    <t>Aprobado</t>
  </si>
  <si>
    <t>Juan Pablo Brenes-Chef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</si>
  <si>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</si>
  <si>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</si>
  <si>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</si>
  <si>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</si>
  <si>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</si>
  <si>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</si>
  <si>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Torta Rosanna Pistacho</t>
  </si>
  <si>
    <t>ENSAMBLE DISCO PISTACHO</t>
  </si>
  <si>
    <t>CREMA VERDE PISTACHO</t>
  </si>
  <si>
    <t>SALSA DE PISTACHO</t>
  </si>
  <si>
    <t>PISTACHO TOSTADO</t>
  </si>
  <si>
    <t>PLACA CHOCOLATE ROSANNA</t>
  </si>
  <si>
    <t>PISTACHO ENTERO PELADO</t>
  </si>
  <si>
    <t>NUECES INDUSTRIALES</t>
  </si>
  <si>
    <t>Salsa de pistacho</t>
  </si>
  <si>
    <t>Postres</t>
  </si>
  <si>
    <t>SE00475</t>
  </si>
  <si>
    <t>Relleno Suspiro Limeño</t>
  </si>
  <si>
    <t>Saborizante pistacho concentrado</t>
  </si>
  <si>
    <t>0.25</t>
  </si>
  <si>
    <t>Praline de pistacho</t>
  </si>
  <si>
    <t>Puratos</t>
  </si>
  <si>
    <t>Confite Rosanna pistacho</t>
  </si>
  <si>
    <t>Rosanna</t>
  </si>
  <si>
    <t>13 ud</t>
  </si>
  <si>
    <t>1.- Colocar en la licuadora los confites con una 200g de suspiro y licuar.</t>
  </si>
  <si>
    <t>2.- Luego en la batidora agregar todos los ingredientes y la mezcla anterior y batir hasta incorporar.</t>
  </si>
  <si>
    <t>Mousse pistacho</t>
  </si>
  <si>
    <t>MP10046</t>
  </si>
  <si>
    <t>Queso Crema Panadero</t>
  </si>
  <si>
    <t>Dos pinos</t>
  </si>
  <si>
    <t>MP10050</t>
  </si>
  <si>
    <t>Leche Condensada</t>
  </si>
  <si>
    <t>Nestle</t>
  </si>
  <si>
    <t>Maluquer</t>
  </si>
  <si>
    <t>MP10048</t>
  </si>
  <si>
    <t>Crema Prestige Grand</t>
  </si>
  <si>
    <t>Prestige</t>
  </si>
  <si>
    <t>MP10043</t>
  </si>
  <si>
    <t>Gelatina Pura</t>
  </si>
  <si>
    <t>AGUA POTABLE (PLANTA)</t>
  </si>
  <si>
    <t>SE00462</t>
  </si>
  <si>
    <t>Rosquete nucleo vainilla Dawn redondo 360g</t>
  </si>
  <si>
    <t>100 por capa</t>
  </si>
  <si>
    <t>1/2 TAZA</t>
  </si>
  <si>
    <t>SE00682</t>
  </si>
  <si>
    <t>CARAMELO CON CHOCOLATE BLANCO</t>
  </si>
  <si>
    <t>Juan Pablo Brenes, Chef</t>
  </si>
  <si>
    <t>Esteban Cartin. Gte de Manufactura</t>
  </si>
  <si>
    <r>
      <t xml:space="preserve">AREA QUE EMPACA: </t>
    </r>
    <r>
      <rPr>
        <b/>
        <sz val="10"/>
        <color rgb="FFFF0000"/>
        <rFont val="Arial"/>
        <family val="2"/>
      </rPr>
      <t>Postres</t>
    </r>
  </si>
  <si>
    <t># Codigo Netsuite</t>
  </si>
  <si>
    <t>Tiempo de Horneo:</t>
  </si>
  <si>
    <t>TIEMPO TOTAL DE PREPARACION</t>
  </si>
  <si>
    <t>Horno:</t>
  </si>
  <si>
    <t>Temperatura de Horneo:</t>
  </si>
  <si>
    <t>Otros:</t>
  </si>
  <si>
    <t>Rendimiento Final:</t>
  </si>
  <si>
    <t>4. Por ultimo se tapa con la otra mitad del rosquete y se dejar enfiar por al menos 6 horas.</t>
  </si>
  <si>
    <t>Control de cambios</t>
  </si>
  <si>
    <t>Disco de pistacho</t>
  </si>
  <si>
    <t>SE00254</t>
  </si>
  <si>
    <t>LECHES PASTEURIZADA CON AGUA</t>
  </si>
  <si>
    <t>MOUSSE PISTACHO</t>
  </si>
  <si>
    <t>SALSA PISTACHO</t>
  </si>
  <si>
    <t>SE00509</t>
  </si>
  <si>
    <t>ROSQUETE TURRON DE ALMENDRA</t>
  </si>
  <si>
    <t>1/4 UD</t>
  </si>
  <si>
    <t>1 UNIDAD</t>
  </si>
  <si>
    <t>1.Se corta el rosquete a la mitad, se coloca en un molde de aluminio desmoldable (molde pie de limon) y se moja con 100g de leche en  cada tapa.</t>
  </si>
  <si>
    <t>3. Se le agrega el chocolate blanco con caramelo y el turron en trozos al centro sobre la salsa y se le coloca la otra parte del mousse de pistacho</t>
  </si>
  <si>
    <t>2. Se coloca en la base del rosquete la primer capa de mousse de pistacho dejando un hueco al centro, luego al centro la salsa de pistacho</t>
  </si>
  <si>
    <t>1/3 taza</t>
  </si>
  <si>
    <t>Esteban Cartin, Gte Manufactura</t>
  </si>
  <si>
    <t>Decoración</t>
  </si>
  <si>
    <t>Decoracion</t>
  </si>
  <si>
    <t># Código Netsuite</t>
  </si>
  <si>
    <t>Ensamble</t>
  </si>
  <si>
    <t>Minutos</t>
  </si>
  <si>
    <t>Tanda</t>
  </si>
  <si>
    <t>Otros</t>
  </si>
  <si>
    <t>1.- Desmoldar el disco de pistacho en la orla 10.</t>
  </si>
  <si>
    <t>2.- Encremar de forma lisa con la crema verde pistacho y formar un hueco al centro para colocar la salsa</t>
  </si>
  <si>
    <t>3.- Colocar la salsa de pistacho al centro y en todo el borde agregar el pistacho tostado.</t>
  </si>
  <si>
    <t>4.- En un costado colocar la placa de Rosanna pistacho.</t>
  </si>
  <si>
    <t>5.- Tapar y etiquetar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</si>
  <si>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</si>
  <si>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</si>
  <si>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</si>
  <si>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</si>
  <si>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</si>
  <si>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</si>
  <si>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</si>
  <si>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</si>
  <si>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</si>
  <si>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</si>
  <si>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</si>
  <si>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</si>
  <si>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</si>
  <si>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</si>
  <si>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</si>
  <si>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</si>
  <si>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</si>
  <si>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</si>
  <si>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</si>
  <si>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</si>
  <si>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</si>
  <si>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</si>
  <si>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</si>
  <si>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</si>
  <si>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</si>
  <si>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</si>
  <si>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</si>
  <si>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</si>
  <si>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</si>
  <si>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</si>
  <si>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</si>
  <si>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</si>
  <si>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</si>
  <si>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</si>
  <si>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</si>
  <si>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</si>
  <si>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</si>
  <si>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</si>
  <si>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</si>
  <si>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</si>
  <si>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</si>
  <si>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64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</si>
  <si>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</si>
  <si>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</si>
  <si>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</si>
  <si>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</si>
  <si>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</si>
  <si>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</si>
  <si>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</si>
  <si>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</si>
  <si>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</si>
  <si>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 xml:space="preserve">Gramos </t>
  </si>
  <si>
    <t xml:space="preserve">Nuevos </t>
  </si>
  <si>
    <t>Gramos</t>
  </si>
  <si>
    <t>nuevo</t>
  </si>
  <si>
    <t xml:space="preserve">und </t>
  </si>
  <si>
    <t>95717</t>
  </si>
  <si>
    <t>10400001</t>
  </si>
  <si>
    <t xml:space="preserve">UND </t>
  </si>
  <si>
    <t>UND</t>
  </si>
  <si>
    <t>121603</t>
  </si>
  <si>
    <t>701096</t>
  </si>
  <si>
    <t>0702123</t>
  </si>
  <si>
    <t>0702069</t>
  </si>
  <si>
    <t>DESCRIPCION INSUMO</t>
  </si>
  <si>
    <t>MARCA - PROVEEDOR </t>
  </si>
  <si>
    <t>TEMPORADA</t>
  </si>
  <si>
    <t>PRODUCTO</t>
  </si>
  <si>
    <t>UNIDAD DE MEDIDA</t>
  </si>
  <si>
    <t>PRECIO</t>
  </si>
  <si>
    <t>OJOS HALLOWEN</t>
  </si>
  <si>
    <t>KAROL LEDEZMA</t>
  </si>
  <si>
    <t>HALLOWEN 2025</t>
  </si>
  <si>
    <t>MUFFIN </t>
  </si>
  <si>
    <t>CAJA</t>
  </si>
  <si>
    <t> ₡      8 970,00</t>
  </si>
  <si>
    <t>CONFITURA HALLOWEN</t>
  </si>
  <si>
    <t>UNIVERSAL</t>
  </si>
  <si>
    <t>PAQUETE</t>
  </si>
  <si>
    <t>NAVIDAD 2025</t>
  </si>
  <si>
    <t>TORTA  ROSSANA PISTACHO</t>
  </si>
  <si>
    <t>1 KILO</t>
  </si>
  <si>
    <t> $           25,00</t>
  </si>
  <si>
    <t>MALUQUER</t>
  </si>
  <si>
    <t>1,4 KILO</t>
  </si>
  <si>
    <t>PURATOS </t>
  </si>
  <si>
    <t>KILO</t>
  </si>
  <si>
    <t> ₡   51 300,00</t>
  </si>
  <si>
    <t> ₡   11 430,00</t>
  </si>
  <si>
    <t>PERLAS PEQUEÑASDORADAS</t>
  </si>
  <si>
    <t>MUFFIN CHOCOLATE KIT KAT</t>
  </si>
  <si>
    <t> ₡   23 500,00</t>
  </si>
  <si>
    <t>PERLAS PEQUEÑAS ROJAS</t>
  </si>
  <si>
    <t> ₡   16 000,00</t>
  </si>
  <si>
    <t>tanda</t>
  </si>
  <si>
    <t>1/4 taza</t>
  </si>
  <si>
    <t>ESP-RE-COCS-063</t>
  </si>
  <si>
    <t>01</t>
  </si>
  <si>
    <t xml:space="preserve"> SE00475 Relleno Suspiro Limeño</t>
  </si>
  <si>
    <t>Javier Tong, Chef</t>
  </si>
  <si>
    <t>Cocina</t>
  </si>
  <si>
    <t>Empaque</t>
  </si>
  <si>
    <t>MP10024</t>
  </si>
  <si>
    <t>LECHE EVAPORADA (UND: 1 L)</t>
  </si>
  <si>
    <t>NESTLE</t>
  </si>
  <si>
    <t>11400046</t>
  </si>
  <si>
    <t>LECHE CONDENSADA (PAQ:11 K)</t>
  </si>
  <si>
    <t>1210443</t>
  </si>
  <si>
    <t>MP10037</t>
  </si>
  <si>
    <t>YEMA DE HUEVO PASTEURIZADA (CAJA:2 Kg)</t>
  </si>
  <si>
    <t>INNOVO</t>
  </si>
  <si>
    <t>0510143</t>
  </si>
  <si>
    <t>MP10556</t>
  </si>
  <si>
    <t>GLUCOSA</t>
  </si>
  <si>
    <t>1212412</t>
  </si>
  <si>
    <t>MP10025</t>
  </si>
  <si>
    <t>PRESERVANTE 1017S (PAQ=5 KILO)</t>
  </si>
  <si>
    <t>MAYCA</t>
  </si>
  <si>
    <t>10400008</t>
  </si>
  <si>
    <t>MP10150</t>
  </si>
  <si>
    <t>COLORANTE GEL EGG YELLOW</t>
  </si>
  <si>
    <t/>
  </si>
  <si>
    <t>Min.</t>
  </si>
  <si>
    <t>Und.</t>
  </si>
  <si>
    <t>1.- Colocar en la marmita la leche condensada y la evaporada disolver el preservante y cocinar por 35 minutos a una temperatura de 140 agitacion de un solo sentido con 50 RPM.</t>
  </si>
  <si>
    <t>2,- Una vez pasados los 35 minutos, agregar la glucosa y el colorante</t>
  </si>
  <si>
    <t xml:space="preserve">3,- Apagar el fuego sin parar la agitacción y  temperar las yemas agregandoles una parte de la mezcla caliente. Agregar la yema temperada a la marmita, mezclar para evitar que las yemas se cocinen. </t>
  </si>
  <si>
    <t>El tiempo de cocción será:
35 minutos para 1 tanda
45 minutos 2 tandas
55 minutos 3 tandas</t>
  </si>
  <si>
    <t>ESP-RE-DES-018</t>
  </si>
  <si>
    <t>02</t>
  </si>
  <si>
    <t xml:space="preserve"> Crema Blanca Spoon (20800g)  SE00010</t>
  </si>
  <si>
    <t>MP10047</t>
  </si>
  <si>
    <t>BETTERCREME SUPREMO (UND:4 K)</t>
  </si>
  <si>
    <t>RICHS</t>
  </si>
  <si>
    <t>CREMA PRESTIGE GRAND (UND:4 K)</t>
  </si>
  <si>
    <t>10415</t>
  </si>
  <si>
    <t>AYA</t>
  </si>
  <si>
    <t>MP10008</t>
  </si>
  <si>
    <t>PRESERVANTE 1047S (PAQ=5 KILO)</t>
  </si>
  <si>
    <t>ASEAL</t>
  </si>
  <si>
    <t>ETIQUETA BLANCA 2 5/8X1 15/16 (UND)</t>
  </si>
  <si>
    <t>Etiplas</t>
  </si>
  <si>
    <t>1.- Abrir los galones de crema y verter dentro de la top cream. (Temperatura 5° liquida )</t>
  </si>
  <si>
    <t>2.- Disolver el preservante en el agua. Agregar a la top cream.</t>
  </si>
  <si>
    <t>3.- Batir por 17 minutos. Una ves lista (Temperatura 18° batida) Colocar en una tina plastica, tapar.</t>
  </si>
  <si>
    <t>4.- Etiquetar con nombre y fecha de vencimiento.</t>
  </si>
  <si>
    <t xml:space="preserve">5.- Mantener en refrigeración hasta su uso. </t>
  </si>
  <si>
    <t>2, Actualización tiempo de preparación y procedimiento</t>
  </si>
  <si>
    <t>ESP-RE-BAS-030</t>
  </si>
  <si>
    <t>907000311(SE00462) Rosquete nucleo vainilla Dawn redondo 360g</t>
  </si>
  <si>
    <t>Batidos</t>
  </si>
  <si>
    <t>SE00444</t>
  </si>
  <si>
    <t>BATIDO NUCLEO VAINILLA DAWN</t>
  </si>
  <si>
    <t>902000019</t>
  </si>
  <si>
    <t>MEZCLA P/ENGRASE MOLDES KILO</t>
  </si>
  <si>
    <t>AS00028</t>
  </si>
  <si>
    <t>BOLSA TRANSPARENTE 56X96X1.80 KILO</t>
  </si>
  <si>
    <t>PLASTICOS P</t>
  </si>
  <si>
    <t>0702007</t>
  </si>
  <si>
    <t>EM10004</t>
  </si>
  <si>
    <t>ETIQ.FECHA VENCIMIENTO BLANCO (ROLLO)</t>
  </si>
  <si>
    <t>ETIQ.BLANCA 1 1/4 * 3/4 (UND)</t>
  </si>
  <si>
    <t>Min</t>
  </si>
  <si>
    <t>1.- Pesar 360g de mezcla en los moldes previamente engrasados.</t>
  </si>
  <si>
    <t>2.- Hornear por 31 minutos en el Dicte 1 a 170°C, en el Dicte 2 por 38 minutos a 170°C y en el Marshall por 26 minutos a 175°C.</t>
  </si>
  <si>
    <t>3.- Enfriar, desmoldar, colocar 12 rosquetes por lata, etiquetar con nombre y fecha de producción.</t>
  </si>
  <si>
    <t>ESP-RE-BAS-027</t>
  </si>
  <si>
    <t xml:space="preserve"> SE00444 Batido Nucleo vainilla Dawn</t>
  </si>
  <si>
    <t>SE00443</t>
  </si>
  <si>
    <t>PREMEZCLA BATIDO NUCLEO VAINILLA DAWN</t>
  </si>
  <si>
    <t>MP10005</t>
  </si>
  <si>
    <t xml:space="preserve">HUEVO ENTERO PASTERI INNOVO ( CAJA: 10 K) </t>
  </si>
  <si>
    <t>MP10315</t>
  </si>
  <si>
    <t>PRESERVANTE MIXTO (UND:17 K)</t>
  </si>
  <si>
    <t>PURATOS</t>
  </si>
  <si>
    <t>1, Colocar los liquidos en la batidora, posterior agregar los ingredientes secos</t>
  </si>
  <si>
    <t>2, Batir por 1 min en velocidad 1. Con paleta</t>
  </si>
  <si>
    <t>3, Batir 4 min en velocidad 3. con paleta</t>
  </si>
  <si>
    <t>ESP-RE-PRES-025</t>
  </si>
  <si>
    <t>SE00443 Premezcla Batido Nucleo Vainilla  Dawn</t>
  </si>
  <si>
    <t>Premezclas</t>
  </si>
  <si>
    <t>MP10074</t>
  </si>
  <si>
    <t>AZUCAR BLANCO INDUSTRIAL (SACO:50 K)</t>
  </si>
  <si>
    <t>LAICA</t>
  </si>
  <si>
    <t>MP10142</t>
  </si>
  <si>
    <t>CLARA DE HUEVO DESHIDRATADA</t>
  </si>
  <si>
    <t>MP10478</t>
  </si>
  <si>
    <t>HARINA SILVER CAKE</t>
  </si>
  <si>
    <t>FAHACASA</t>
  </si>
  <si>
    <t>MP10493</t>
  </si>
  <si>
    <t>COCENTRADO VAINILLA DAWN</t>
  </si>
  <si>
    <t>DAWN</t>
  </si>
  <si>
    <t>MP10481</t>
  </si>
  <si>
    <t>GOMA XANTANA</t>
  </si>
  <si>
    <t>MABAKER &amp; CHEF</t>
  </si>
  <si>
    <t>MP10494</t>
  </si>
  <si>
    <t>CMC</t>
  </si>
  <si>
    <t>UNIVERSAL DE ALIMENTOS</t>
  </si>
  <si>
    <t>MP10234</t>
  </si>
  <si>
    <t>LECHE POLVO INDUSTRIAL (SACO:25 KG)</t>
  </si>
  <si>
    <t>DOS PINOS</t>
  </si>
  <si>
    <t>MP10085</t>
  </si>
  <si>
    <t>BICARBONATO DE SODIO (PAQ:2.5 K)</t>
  </si>
  <si>
    <t>MP10517</t>
  </si>
  <si>
    <t>ACTI EGG</t>
  </si>
  <si>
    <t>EM10013</t>
  </si>
  <si>
    <t>BOLSA 17x25 TRANSP KILO</t>
  </si>
  <si>
    <t>EM10133</t>
  </si>
  <si>
    <t>ETIQUETA ROJA LETRA ALERJENO (UND)</t>
  </si>
  <si>
    <t>EM10037</t>
  </si>
  <si>
    <t>BOLSA 8x12 TRANSPARENTE KILO</t>
  </si>
  <si>
    <t>1, En una bolsa 17x25 empacar el azucar. Etiquetar</t>
  </si>
  <si>
    <t>2, En una bolsa 17x25 empacar las harinas, concentrado,cmc, leche en polvo y la goma. Clara de huevo, acti egg. Etiquetar</t>
  </si>
  <si>
    <t>3, En una bolsa 8*12 pesar el preservante y el bicarbonato (se debe pesar justo antes de su uso)</t>
  </si>
  <si>
    <t>4, En una bolsa 8*12 pesar la clara</t>
  </si>
  <si>
    <t>ESP-RE-DES-026</t>
  </si>
  <si>
    <t>Leches pasteurizadas con Agua 320g Spoon 910000003(SE00254)</t>
  </si>
  <si>
    <t>907000001</t>
  </si>
  <si>
    <t>SE00031</t>
  </si>
  <si>
    <t xml:space="preserve">MEZCLA DE LECHE PASTEURIZADA </t>
  </si>
  <si>
    <t>AGUA</t>
  </si>
  <si>
    <t>PRESERVANTE 1017 (PAQ=5 KILO)</t>
  </si>
  <si>
    <t>Aseal</t>
  </si>
  <si>
    <t>Tortas</t>
  </si>
  <si>
    <t>1.- Colocar la mezcla de leches con agua y preservante en un balde.</t>
  </si>
  <si>
    <t>ESP-RE-POS-020</t>
  </si>
  <si>
    <t>Mezcla para Tres Leches Pasteurizada SE00031</t>
  </si>
  <si>
    <t>MP10030</t>
  </si>
  <si>
    <t>LECHE 2% PASTEURIZADA (UND)</t>
  </si>
  <si>
    <t xml:space="preserve">g </t>
  </si>
  <si>
    <t>1110414</t>
  </si>
  <si>
    <t>LECHE EVAPORADA (LITRO)</t>
  </si>
  <si>
    <t>LECHE CONDENSADA</t>
  </si>
  <si>
    <t xml:space="preserve">CREMA PRESTIGE GRAND </t>
  </si>
  <si>
    <t>RICH</t>
  </si>
  <si>
    <t>SE00016</t>
  </si>
  <si>
    <t>AZUCAR BLANCO INDUSTRIAL KILO</t>
  </si>
  <si>
    <t xml:space="preserve">1. Disolver completamente  el preservante en un litro de leche estandar empleando el homogenizador manual. </t>
  </si>
  <si>
    <t>2. Colocar en un bolw con una paleta manual, la leche fluida, la leche evaporada, el litro de leche con el preservante ya disuelto, el azúcar, la crema prestige líquida y  la leche condensada.</t>
  </si>
  <si>
    <t xml:space="preserve">3. Dosificar la mezcla pasteurizada en recipientes de acero inoxidable previamente lavado de acuerdo a INS-LMP-019 Recipiente para el Almacenamiento de Leche Pasteurizada, tapar el recipiente hermeticamente y reservar hasta su uso. </t>
  </si>
  <si>
    <t xml:space="preserve">4. Identificar los recipientes con nombre del producto, fecha de producción y responsable. </t>
  </si>
  <si>
    <t xml:space="preserve">5. Esta mezcla tiene una vida útil de 2 días envasada en recipientes de acero inoxidable herméticamente cerrados y mantenida en refrigeración </t>
  </si>
  <si>
    <t xml:space="preserve">    0ºC y 5ªC.       Terminado el proceso proceder a la limpieza del equipo y a la sanitización.</t>
  </si>
  <si>
    <t xml:space="preserve">2Actualización procedimiento </t>
  </si>
  <si>
    <t>ESP-RE-POS-072</t>
  </si>
  <si>
    <t>1</t>
  </si>
  <si>
    <t xml:space="preserve"> SE00682 CARAMELO CON CHOCOLATE BLANCO</t>
  </si>
  <si>
    <t xml:space="preserve">Postres </t>
  </si>
  <si>
    <t>SE00355</t>
  </si>
  <si>
    <t>Caramelo Crocante</t>
  </si>
  <si>
    <t>MP10143</t>
  </si>
  <si>
    <t>Cobertura Chocolate Blanco Nacional</t>
  </si>
  <si>
    <t>NACIONAL</t>
  </si>
  <si>
    <t>EM10016</t>
  </si>
  <si>
    <t>Bolsa 12X18 Transparente</t>
  </si>
  <si>
    <t>Plasticos P</t>
  </si>
  <si>
    <t>Unid</t>
  </si>
  <si>
    <t>EM10120</t>
  </si>
  <si>
    <t>Etiq.Blanca 1 13/16 * 1 7/8</t>
  </si>
  <si>
    <t>LLEGO C</t>
  </si>
  <si>
    <t>1.Realizar el Brittle de almendras, una vez listo y procesado, derretir chocolate  blanco y mezclarlo muy bien.</t>
  </si>
  <si>
    <t>2. Exparsirlo bien en una bandeja y dejarlo secar.</t>
  </si>
  <si>
    <t>3. Cuando este bien seco. Se vuelve a procesar para que queden pequeños trozos.</t>
  </si>
  <si>
    <t>4. Guardar y etiquetar.</t>
  </si>
  <si>
    <t>ESP-RE-POS-022</t>
  </si>
  <si>
    <t>Caramelo Crocante 1000g Spoon SE00355</t>
  </si>
  <si>
    <t>MP10078</t>
  </si>
  <si>
    <t xml:space="preserve">AZUCAR REFINO INDUSTRIAL </t>
  </si>
  <si>
    <t>BOLSA 12X18 TRANSPARENTE</t>
  </si>
  <si>
    <t>ETIQ.BLANCA 1 13/16 * 1 7/8</t>
  </si>
  <si>
    <t>1.- Derretir el azucar hasta tomar color caramelo. Tener cuidado de no quemar.</t>
  </si>
  <si>
    <t>2.- Retirar del fuego y colocar en una blonda de teflon, dejar enfriar.</t>
  </si>
  <si>
    <t xml:space="preserve">3.- Partir con un maso, trozos pequeños. </t>
  </si>
  <si>
    <t>4.- Enviar a figuras.</t>
  </si>
  <si>
    <t>ESP-RE-BAS-053</t>
  </si>
  <si>
    <t>Rosquete De Turron De Almendras Redondo 330g 903000036</t>
  </si>
  <si>
    <t>Maria Jose Rodriguez, Chef</t>
  </si>
  <si>
    <t>Jorge, Montero. Gte de Manufactura</t>
  </si>
  <si>
    <t>902000010</t>
  </si>
  <si>
    <t>BATIDO TURRON DE ALMENDRAS</t>
  </si>
  <si>
    <t>Spoon</t>
  </si>
  <si>
    <t>PAPEL ENCERADO 10X10 (CAJA)</t>
  </si>
  <si>
    <t>Unids</t>
  </si>
  <si>
    <t>15 Minutos</t>
  </si>
  <si>
    <t>Marshall</t>
  </si>
  <si>
    <t>Unidades</t>
  </si>
  <si>
    <t>170°C</t>
  </si>
  <si>
    <t>PESO POR PORCION</t>
  </si>
  <si>
    <t>1.- Dosificar 330g en moldes engrasados y con papel engrasado en la base.</t>
  </si>
  <si>
    <t>2.- Hornear en el Marshall a 170°C por 35 minutos.</t>
  </si>
  <si>
    <t>ESP-RE-BAS-022</t>
  </si>
  <si>
    <t>06</t>
  </si>
  <si>
    <t>902000010  Batido turron de almendras</t>
  </si>
  <si>
    <t>Juan Pablo Brenes,chef</t>
  </si>
  <si>
    <t>Esteban Cartin, Gerente de Manufactura</t>
  </si>
  <si>
    <t>BATIDOS</t>
  </si>
  <si>
    <t>PREMEZCLA PARA TURRON DE ALMENDRAS</t>
  </si>
  <si>
    <t>SPOON</t>
  </si>
  <si>
    <t>0310107</t>
  </si>
  <si>
    <t>LACTOCREMA GRANEL (CAJA:25 KG)</t>
  </si>
  <si>
    <t>11300009</t>
  </si>
  <si>
    <t xml:space="preserve">CLARA DE HUEVO (CAJA:5 K) </t>
  </si>
  <si>
    <t>11300011</t>
  </si>
  <si>
    <t>YEMA DE HUEVO (UND: 8.34 K)</t>
  </si>
  <si>
    <t>1,- Batir los huevos a velocidad 3 hasta que crezcan. Unos 6 minutos</t>
  </si>
  <si>
    <t xml:space="preserve">2,- bajar  la velocidad a 2 y aadicionar la lactocrema derretida </t>
  </si>
  <si>
    <t xml:space="preserve">3- agregar el azucar rapidamente en velocidad 1 y batir por 10 segundos. Agregar la harina y la almendra majada ligeramente. </t>
  </si>
  <si>
    <t xml:space="preserve">Versión #5, se actualiza instructivo, códigos y procedimeintos </t>
  </si>
  <si>
    <t>Revisión #6: Reactivación de producto.</t>
  </si>
  <si>
    <t>Revisión #7: Se elimina la almendra del batido.</t>
  </si>
  <si>
    <t>ESP-RE-PAPS-047</t>
  </si>
  <si>
    <t>PREMZCLA PARA BATIDO ROSQUETE TURRÓN DE ALMENDRA 901000011</t>
  </si>
  <si>
    <t>Enmanuel Madrigal, Chef</t>
  </si>
  <si>
    <t>Jeffry Rodriguez, Gerente de Manufactura</t>
  </si>
  <si>
    <t>PREMEZCLA</t>
  </si>
  <si>
    <t>510301</t>
  </si>
  <si>
    <t>LAYCA</t>
  </si>
  <si>
    <t>11200064</t>
  </si>
  <si>
    <t>HARINA NACARINA (SACO: 50 K)</t>
  </si>
  <si>
    <t>NACARINA</t>
  </si>
  <si>
    <t>10100046</t>
  </si>
  <si>
    <t>POLVO HORNEAR FLEISHMAN (PAQ:2.5 K)</t>
  </si>
  <si>
    <t>FLEISHMAN</t>
  </si>
  <si>
    <t>1212410</t>
  </si>
  <si>
    <t>ASAEL</t>
  </si>
  <si>
    <t>1950702</t>
  </si>
  <si>
    <t>BOLSA 12x18 TRANSP (KILO)</t>
  </si>
  <si>
    <t xml:space="preserve">1 tanda = 47 rosquetes </t>
  </si>
  <si>
    <t xml:space="preserve">1- Colocar en azúcar en una bolsa 12x18 </t>
  </si>
  <si>
    <t xml:space="preserve">2- Colocar la harina en una bolsa 12x18 junto con el polvo de hornear y preservante, hacer nudo y colocar dentro de la bolsa del azúcar, </t>
  </si>
  <si>
    <t xml:space="preserve">3- Colocar nombre y fecha de vencimiento </t>
  </si>
  <si>
    <t xml:space="preserve">Versión #8, se actualiza instructivo y códigos </t>
  </si>
  <si>
    <t>SE00740</t>
  </si>
  <si>
    <t>SE00739</t>
  </si>
  <si>
    <t>SE00742 Disco de pistacho</t>
  </si>
  <si>
    <r>
      <t xml:space="preserve">AREA QUE EMPACA: </t>
    </r>
    <r>
      <rPr>
        <b/>
        <sz val="16"/>
        <color rgb="FFFF0000"/>
        <rFont val="Arial"/>
        <family val="2"/>
      </rPr>
      <t>Postres</t>
    </r>
  </si>
  <si>
    <t>ESP-RE-POS-104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</si>
</sst>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_(* #,##0.00_);_(* \(#,##0.00\);_(* &quot;-&quot;??_);_(@_)"/>
    <numFmt numFmtId="166" formatCode="[$-409]d\-mmm\-yy;@"/>
    <numFmt numFmtId="167" formatCode="&quot;$&quot;#,##0_);[Red]\(&quot;$&quot;#,##0\)"/>
    <numFmt numFmtId="168" formatCode="_-* #,##0.0\ _€_-;\-* #,##0.0\ _€_-;_-* &quot;-&quot;??\ _€_-;_-@_-"/>
    <numFmt numFmtId="169" formatCode="0.0000"/>
    <numFmt numFmtId="170" formatCode="0.0"/>
    <numFmt numFmtId="171" formatCode="_(* #,##0.000_);_(* \(#,##0.000\);_(* &quot;-&quot;??_);_(@_)"/>
  </numFmts>
  <fonts count="100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4"/>
      <color indexed="8"/>
      <name val="Arial"/>
      <family val="2"/>
    </font>
    <font>
      <sz val="14"/>
      <name val="Century Gothic"/>
      <family val="2"/>
    </font>
    <font>
      <b/>
      <sz val="14"/>
      <name val="Century Gothic"/>
      <family val="2"/>
    </font>
    <font>
      <sz val="14"/>
      <name val="Times New Roman"/>
      <family val="1"/>
    </font>
    <font>
      <sz val="12"/>
      <name val="Arial"/>
      <family val="2"/>
    </font>
    <font>
      <b/>
      <sz val="14"/>
      <color rgb="FFFF0000"/>
      <name val="Arial"/>
      <family val="2"/>
    </font>
    <font>
      <b/>
      <i/>
      <sz val="14"/>
      <name val="Arial"/>
      <family val="2"/>
    </font>
    <font>
      <sz val="10"/>
      <name val="Century Gothic"/>
      <family val="2"/>
    </font>
    <font>
      <sz val="10"/>
      <name val="Aptos Narrow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Century Gothic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sz val="12"/>
      <name val="Aptos"/>
      <family val="2"/>
    </font>
    <font>
      <b/>
      <sz val="11"/>
      <color rgb="FF000000"/>
      <name val="Aptos"/>
      <family val="2"/>
    </font>
    <font>
      <sz val="11"/>
      <color rgb="FF000000"/>
      <name val="Aptos"/>
      <family val="2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theme="1"/>
      <name val="Century Gothic"/>
      <family val="2"/>
    </font>
    <font>
      <sz val="10"/>
      <color indexed="8"/>
      <name val="Century Gothic"/>
      <family val="2"/>
    </font>
    <font>
      <b/>
      <sz val="11"/>
      <name val="Arial"/>
      <family val="2"/>
    </font>
    <font>
      <sz val="11"/>
      <name val="Arial"/>
      <family val="2"/>
    </font>
    <font>
      <sz val="12"/>
      <name val="Century Gothic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sz val="12"/>
      <color theme="1"/>
      <name val="Century Gothic"/>
      <family val="2"/>
    </font>
    <font>
      <sz val="12"/>
      <color rgb="FF000000"/>
      <name val="Century Gothic"/>
      <family val="2"/>
    </font>
    <font>
      <sz val="12"/>
      <color rgb="FF000000"/>
      <name val="Aptos Narrow"/>
      <family val="2"/>
      <scheme val="minor"/>
    </font>
    <font>
      <sz val="12"/>
      <color indexed="8"/>
      <name val="Century Gothic"/>
      <family val="2"/>
    </font>
    <font>
      <sz val="11"/>
      <color indexed="8"/>
      <name val="Times New Roman"/>
      <family val="1"/>
    </font>
    <font>
      <b/>
      <i/>
      <sz val="12"/>
      <name val="Arial"/>
      <family val="2"/>
    </font>
    <font>
      <sz val="9.85"/>
      <color indexed="8"/>
      <name val="Times New Roman"/>
      <family val="1"/>
    </font>
    <font>
      <sz val="11"/>
      <color rgb="FF000000"/>
      <name val="Aptos Narrow"/>
      <family val="2"/>
      <scheme val="minor"/>
    </font>
    <font>
      <sz val="15"/>
      <name val="Century Gothic"/>
      <family val="2"/>
    </font>
    <font>
      <b/>
      <sz val="15"/>
      <name val="Century Gothic"/>
      <family val="2"/>
    </font>
    <font>
      <b/>
      <sz val="15"/>
      <name val="Arial"/>
      <family val="2"/>
    </font>
    <font>
      <b/>
      <sz val="15"/>
      <color rgb="FFFF0000"/>
      <name val="Arial"/>
      <family val="2"/>
    </font>
    <font>
      <b/>
      <sz val="15"/>
      <name val="Times New Roman"/>
      <family val="1"/>
    </font>
    <font>
      <b/>
      <sz val="15"/>
      <color indexed="8"/>
      <name val="Times New Roman"/>
      <family val="1"/>
    </font>
    <font>
      <sz val="15"/>
      <name val="Times New Roman"/>
      <family val="1"/>
    </font>
    <font>
      <sz val="15"/>
      <color indexed="8"/>
      <name val="Times New Roman"/>
      <family val="1"/>
    </font>
    <font>
      <sz val="15"/>
      <name val="Arial"/>
      <family val="2"/>
    </font>
    <font>
      <sz val="15"/>
      <color theme="1"/>
      <name val="Century Gothic"/>
      <family val="2"/>
    </font>
    <font>
      <sz val="15"/>
      <color theme="1"/>
      <name val="Aptos Narrow"/>
      <family val="2"/>
      <scheme val="minor"/>
    </font>
    <font>
      <sz val="15"/>
      <color indexed="8"/>
      <name val="Century Gothic"/>
      <family val="2"/>
    </font>
    <font>
      <sz val="11"/>
      <color rgb="FF000000"/>
      <name val="Calibri"/>
      <family val="2"/>
    </font>
    <font>
      <sz val="11"/>
      <color theme="1"/>
      <name val="Century Gothic"/>
      <family val="2"/>
    </font>
    <font>
      <b/>
      <i/>
      <sz val="12"/>
      <name val="Century Gothic"/>
      <family val="2"/>
    </font>
    <font>
      <b/>
      <sz val="10"/>
      <color rgb="FFFF0000"/>
      <name val="Century Gothic"/>
      <family val="2"/>
    </font>
    <font>
      <sz val="10"/>
      <color theme="1"/>
      <name val="Aptos Narrow"/>
      <family val="2"/>
      <scheme val="minor"/>
    </font>
    <font>
      <sz val="16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sz val="16"/>
      <color rgb="FFFF0000"/>
      <name val="Arial"/>
      <family val="2"/>
    </font>
    <font>
      <sz val="16"/>
      <name val="Times New Roman"/>
      <family val="1"/>
    </font>
    <font>
      <sz val="16"/>
      <name val="Century Gothic"/>
      <family val="2"/>
    </font>
    <font>
      <sz val="16"/>
      <color indexed="8"/>
      <name val="Arial"/>
      <family val="2"/>
    </font>
    <font>
      <sz val="16"/>
      <color rgb="FF000000"/>
      <name val="Arial"/>
      <family val="2"/>
    </font>
    <font>
      <b/>
      <sz val="20"/>
      <name val="Century Gothic"/>
      <family val="2"/>
    </font>
    <font>
      <sz val="11"/>
      <name val="Century Gothic"/>
      <family val="2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F9ED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7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7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</cellStyleXfs>
  <cellXfs count="1515">
    <xf numFmtId="0" fontId="0" fillId="0" borderId="0" xfId="0"/>
    <xf numFmtId="0" fontId="2" fillId="0" borderId="0" xfId="1"/>
    <xf numFmtId="0" fontId="3" fillId="2" borderId="0" xfId="1" applyFont="1" applyFill="1" applyAlignment="1">
      <alignment vertical="center"/>
    </xf>
    <xf numFmtId="0" fontId="4" fillId="0" borderId="0" xfId="0" applyFont="1"/>
    <xf numFmtId="0" fontId="4" fillId="0" borderId="4" xfId="1" applyFont="1" applyBorder="1" applyAlignment="1">
      <alignment horizontal="left" wrapText="1"/>
    </xf>
    <xf numFmtId="0" fontId="4" fillId="0" borderId="5" xfId="1" applyFont="1" applyBorder="1" applyAlignment="1">
      <alignment horizontal="left" wrapText="1"/>
    </xf>
    <xf numFmtId="0" fontId="2" fillId="2" borderId="0" xfId="1" applyFill="1" applyAlignment="1">
      <alignment horizontal="left" indent="1"/>
    </xf>
    <xf numFmtId="0" fontId="4" fillId="0" borderId="15" xfId="1" applyFont="1" applyBorder="1" applyAlignment="1">
      <alignment horizontal="center"/>
    </xf>
    <xf numFmtId="1" fontId="4" fillId="0" borderId="15" xfId="1" applyNumberFormat="1" applyFont="1" applyBorder="1" applyAlignment="1">
      <alignment horizontal="center"/>
    </xf>
    <xf numFmtId="9" fontId="2" fillId="2" borderId="0" xfId="2" applyFill="1"/>
    <xf numFmtId="0" fontId="4" fillId="0" borderId="20" xfId="1" applyFont="1" applyBorder="1" applyAlignment="1">
      <alignment horizontal="center"/>
    </xf>
    <xf numFmtId="1" fontId="4" fillId="0" borderId="20" xfId="1" applyNumberFormat="1" applyFont="1" applyBorder="1" applyAlignment="1">
      <alignment horizontal="center"/>
    </xf>
    <xf numFmtId="0" fontId="5" fillId="0" borderId="20" xfId="1" applyFont="1" applyBorder="1" applyAlignment="1">
      <alignment horizontal="center"/>
    </xf>
    <xf numFmtId="0" fontId="4" fillId="0" borderId="21" xfId="1" applyFont="1" applyBorder="1" applyAlignment="1">
      <alignment horizontal="center"/>
    </xf>
    <xf numFmtId="1" fontId="4" fillId="0" borderId="22" xfId="1" applyNumberFormat="1" applyFont="1" applyBorder="1" applyAlignment="1">
      <alignment horizontal="center"/>
    </xf>
    <xf numFmtId="0" fontId="4" fillId="4" borderId="10" xfId="1" applyFont="1" applyFill="1" applyBorder="1" applyAlignment="1">
      <alignment horizontal="center"/>
    </xf>
    <xf numFmtId="0" fontId="4" fillId="4" borderId="11" xfId="1" applyFont="1" applyFill="1" applyBorder="1"/>
    <xf numFmtId="164" fontId="4" fillId="4" borderId="11" xfId="1" applyNumberFormat="1" applyFont="1" applyFill="1" applyBorder="1" applyAlignment="1">
      <alignment horizontal="center" wrapText="1"/>
    </xf>
    <xf numFmtId="1" fontId="5" fillId="4" borderId="11" xfId="1" applyNumberFormat="1" applyFont="1" applyFill="1" applyBorder="1" applyAlignment="1">
      <alignment horizontal="center"/>
    </xf>
    <xf numFmtId="0" fontId="5" fillId="4" borderId="11" xfId="1" applyFont="1" applyFill="1" applyBorder="1" applyAlignment="1">
      <alignment horizontal="center"/>
    </xf>
    <xf numFmtId="0" fontId="4" fillId="4" borderId="11" xfId="1" applyFont="1" applyFill="1" applyBorder="1" applyAlignment="1">
      <alignment horizontal="center"/>
    </xf>
    <xf numFmtId="0" fontId="4" fillId="4" borderId="12" xfId="1" applyFont="1" applyFill="1" applyBorder="1" applyAlignment="1">
      <alignment horizontal="center"/>
    </xf>
    <xf numFmtId="0" fontId="4" fillId="2" borderId="24" xfId="1" applyFont="1" applyFill="1" applyBorder="1" applyAlignment="1">
      <alignment horizontal="center"/>
    </xf>
    <xf numFmtId="0" fontId="4" fillId="0" borderId="0" xfId="1" applyFont="1"/>
    <xf numFmtId="164" fontId="4" fillId="2" borderId="0" xfId="1" applyNumberFormat="1" applyFont="1" applyFill="1" applyAlignment="1">
      <alignment horizontal="center" wrapText="1"/>
    </xf>
    <xf numFmtId="1" fontId="4" fillId="2" borderId="0" xfId="1" applyNumberFormat="1" applyFont="1" applyFill="1" applyAlignment="1">
      <alignment horizontal="center"/>
    </xf>
    <xf numFmtId="49" fontId="6" fillId="2" borderId="0" xfId="1" applyNumberFormat="1" applyFont="1" applyFill="1" applyAlignment="1">
      <alignment horizontal="center" vertical="center"/>
    </xf>
    <xf numFmtId="49" fontId="6" fillId="2" borderId="25" xfId="1" applyNumberFormat="1" applyFont="1" applyFill="1" applyBorder="1" applyAlignment="1">
      <alignment horizontal="center" vertical="center"/>
    </xf>
    <xf numFmtId="0" fontId="4" fillId="0" borderId="26" xfId="1" applyFont="1" applyBorder="1" applyAlignment="1">
      <alignment horizontal="center"/>
    </xf>
    <xf numFmtId="1" fontId="4" fillId="0" borderId="20" xfId="1" applyNumberFormat="1" applyFont="1" applyBorder="1" applyAlignment="1">
      <alignment horizontal="center" wrapText="1"/>
    </xf>
    <xf numFmtId="1" fontId="7" fillId="0" borderId="20" xfId="1" applyNumberFormat="1" applyFont="1" applyBorder="1" applyAlignment="1">
      <alignment horizontal="center" wrapText="1"/>
    </xf>
    <xf numFmtId="1" fontId="7" fillId="0" borderId="20" xfId="1" applyNumberFormat="1" applyFont="1" applyBorder="1" applyAlignment="1">
      <alignment horizontal="center"/>
    </xf>
    <xf numFmtId="0" fontId="7" fillId="0" borderId="20" xfId="1" applyFont="1" applyBorder="1" applyAlignment="1">
      <alignment horizontal="center"/>
    </xf>
    <xf numFmtId="0" fontId="4" fillId="0" borderId="20" xfId="0" applyFont="1" applyBorder="1"/>
    <xf numFmtId="0" fontId="4" fillId="0" borderId="20" xfId="0" applyFont="1" applyBorder="1" applyAlignment="1">
      <alignment horizontal="center"/>
    </xf>
    <xf numFmtId="0" fontId="7" fillId="5" borderId="20" xfId="0" applyFont="1" applyFill="1" applyBorder="1" applyAlignment="1">
      <alignment horizontal="center"/>
    </xf>
    <xf numFmtId="0" fontId="7" fillId="5" borderId="20" xfId="0" applyFont="1" applyFill="1" applyBorder="1"/>
    <xf numFmtId="0" fontId="5" fillId="6" borderId="26" xfId="1" applyFont="1" applyFill="1" applyBorder="1" applyAlignment="1">
      <alignment horizontal="center"/>
    </xf>
    <xf numFmtId="0" fontId="5" fillId="6" borderId="27" xfId="1" applyFont="1" applyFill="1" applyBorder="1" applyAlignment="1">
      <alignment horizontal="center"/>
    </xf>
    <xf numFmtId="0" fontId="4" fillId="0" borderId="22" xfId="1" applyFont="1" applyBorder="1" applyAlignment="1">
      <alignment horizontal="center"/>
    </xf>
    <xf numFmtId="1" fontId="0" fillId="0" borderId="0" xfId="0" applyNumberFormat="1"/>
    <xf numFmtId="1" fontId="7" fillId="5" borderId="20" xfId="0" applyNumberFormat="1" applyFont="1" applyFill="1" applyBorder="1" applyAlignment="1">
      <alignment horizontal="center"/>
    </xf>
    <xf numFmtId="0" fontId="8" fillId="5" borderId="20" xfId="0" applyFont="1" applyFill="1" applyBorder="1"/>
    <xf numFmtId="1" fontId="9" fillId="0" borderId="20" xfId="1" applyNumberFormat="1" applyFont="1" applyBorder="1" applyAlignment="1">
      <alignment horizontal="center" wrapText="1"/>
    </xf>
    <xf numFmtId="1" fontId="9" fillId="0" borderId="20" xfId="1" applyNumberFormat="1" applyFont="1" applyBorder="1" applyAlignment="1">
      <alignment horizontal="center"/>
    </xf>
    <xf numFmtId="16" fontId="9" fillId="0" borderId="20" xfId="1" applyNumberFormat="1" applyFont="1" applyBorder="1" applyAlignment="1">
      <alignment horizontal="center"/>
    </xf>
    <xf numFmtId="49" fontId="9" fillId="0" borderId="20" xfId="1" applyNumberFormat="1" applyFont="1" applyBorder="1"/>
    <xf numFmtId="49" fontId="9" fillId="0" borderId="19" xfId="1" applyNumberFormat="1" applyFont="1" applyBorder="1" applyAlignment="1">
      <alignment horizontal="center"/>
    </xf>
    <xf numFmtId="49" fontId="9" fillId="0" borderId="28" xfId="1" applyNumberFormat="1" applyFont="1" applyBorder="1" applyAlignment="1">
      <alignment horizontal="center"/>
    </xf>
    <xf numFmtId="0" fontId="4" fillId="0" borderId="19" xfId="0" applyFont="1" applyBorder="1"/>
    <xf numFmtId="0" fontId="4" fillId="7" borderId="20" xfId="0" applyFont="1" applyFill="1" applyBorder="1"/>
    <xf numFmtId="0" fontId="4" fillId="7" borderId="20" xfId="0" applyFont="1" applyFill="1" applyBorder="1" applyAlignment="1">
      <alignment horizontal="center"/>
    </xf>
    <xf numFmtId="0" fontId="4" fillId="0" borderId="20" xfId="1" applyFont="1" applyBorder="1" applyAlignment="1">
      <alignment horizontal="center" vertical="center"/>
    </xf>
    <xf numFmtId="0" fontId="5" fillId="0" borderId="20" xfId="0" applyFont="1" applyBorder="1"/>
    <xf numFmtId="0" fontId="5" fillId="4" borderId="29" xfId="1" applyFont="1" applyFill="1" applyBorder="1" applyAlignment="1">
      <alignment horizontal="center"/>
    </xf>
    <xf numFmtId="1" fontId="5" fillId="4" borderId="15" xfId="1" applyNumberFormat="1" applyFont="1" applyFill="1" applyBorder="1" applyAlignment="1">
      <alignment horizontal="center" wrapText="1"/>
    </xf>
    <xf numFmtId="1" fontId="5" fillId="4" borderId="15" xfId="1" applyNumberFormat="1" applyFont="1" applyFill="1" applyBorder="1" applyAlignment="1">
      <alignment horizontal="center"/>
    </xf>
    <xf numFmtId="1" fontId="5" fillId="4" borderId="30" xfId="1" applyNumberFormat="1" applyFont="1" applyFill="1" applyBorder="1" applyAlignment="1">
      <alignment horizontal="center"/>
    </xf>
    <xf numFmtId="0" fontId="5" fillId="4" borderId="27" xfId="1" applyFont="1" applyFill="1" applyBorder="1" applyAlignment="1">
      <alignment horizontal="center" vertical="center" wrapText="1"/>
    </xf>
    <xf numFmtId="0" fontId="0" fillId="0" borderId="20" xfId="0" applyBorder="1"/>
    <xf numFmtId="14" fontId="11" fillId="2" borderId="20" xfId="3" applyNumberFormat="1" applyFont="1" applyFill="1" applyBorder="1" applyAlignment="1">
      <alignment horizontal="center" vertical="center" wrapText="1"/>
    </xf>
    <xf numFmtId="0" fontId="4" fillId="2" borderId="15" xfId="3" applyFont="1" applyFill="1" applyBorder="1" applyAlignment="1">
      <alignment horizontal="right"/>
    </xf>
    <xf numFmtId="0" fontId="4" fillId="2" borderId="20" xfId="3" applyFont="1" applyFill="1" applyBorder="1" applyAlignment="1">
      <alignment horizontal="right"/>
    </xf>
    <xf numFmtId="49" fontId="7" fillId="2" borderId="26" xfId="3" applyNumberFormat="1" applyFont="1" applyFill="1" applyBorder="1" applyAlignment="1">
      <alignment horizontal="center"/>
    </xf>
    <xf numFmtId="0" fontId="5" fillId="2" borderId="20" xfId="3" applyFont="1" applyFill="1" applyBorder="1" applyAlignment="1">
      <alignment horizontal="right"/>
    </xf>
    <xf numFmtId="0" fontId="7" fillId="2" borderId="38" xfId="3" applyFont="1" applyFill="1" applyBorder="1" applyAlignment="1">
      <alignment horizontal="center"/>
    </xf>
    <xf numFmtId="0" fontId="5" fillId="2" borderId="32" xfId="3" applyFont="1" applyFill="1" applyBorder="1" applyAlignment="1">
      <alignment horizontal="right"/>
    </xf>
    <xf numFmtId="1" fontId="4" fillId="7" borderId="20" xfId="1" applyNumberFormat="1" applyFont="1" applyFill="1" applyBorder="1" applyAlignment="1">
      <alignment horizontal="center"/>
    </xf>
    <xf numFmtId="0" fontId="7" fillId="9" borderId="20" xfId="0" applyFont="1" applyFill="1" applyBorder="1"/>
    <xf numFmtId="0" fontId="4" fillId="6" borderId="20" xfId="0" applyFont="1" applyFill="1" applyBorder="1" applyAlignment="1">
      <alignment horizontal="center"/>
    </xf>
    <xf numFmtId="0" fontId="7" fillId="10" borderId="20" xfId="0" applyFont="1" applyFill="1" applyBorder="1" applyAlignment="1">
      <alignment horizontal="center"/>
    </xf>
    <xf numFmtId="1" fontId="4" fillId="6" borderId="22" xfId="1" applyNumberFormat="1" applyFont="1" applyFill="1" applyBorder="1" applyAlignment="1">
      <alignment horizontal="center"/>
    </xf>
    <xf numFmtId="0" fontId="4" fillId="6" borderId="22" xfId="1" applyFont="1" applyFill="1" applyBorder="1" applyAlignment="1">
      <alignment horizontal="center"/>
    </xf>
    <xf numFmtId="0" fontId="7" fillId="10" borderId="20" xfId="0" applyFont="1" applyFill="1" applyBorder="1"/>
    <xf numFmtId="1" fontId="4" fillId="6" borderId="20" xfId="1" applyNumberFormat="1" applyFont="1" applyFill="1" applyBorder="1" applyAlignment="1">
      <alignment horizontal="center"/>
    </xf>
    <xf numFmtId="0" fontId="4" fillId="6" borderId="20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3" fillId="0" borderId="20" xfId="0" applyFont="1" applyBorder="1" applyAlignment="1">
      <alignment horizontal="center"/>
    </xf>
    <xf numFmtId="0" fontId="13" fillId="0" borderId="20" xfId="0" applyFont="1" applyBorder="1" applyAlignment="1">
      <alignment horizontal="center" wrapText="1"/>
    </xf>
    <xf numFmtId="0" fontId="13" fillId="5" borderId="0" xfId="0" applyFont="1" applyFill="1"/>
    <xf numFmtId="0" fontId="14" fillId="0" borderId="20" xfId="0" applyFont="1" applyBorder="1"/>
    <xf numFmtId="0" fontId="0" fillId="0" borderId="20" xfId="0" applyBorder="1" applyAlignment="1">
      <alignment horizontal="left"/>
    </xf>
    <xf numFmtId="0" fontId="14" fillId="0" borderId="20" xfId="0" applyFont="1" applyBorder="1" applyAlignment="1">
      <alignment horizontal="left"/>
    </xf>
    <xf numFmtId="0" fontId="0" fillId="5" borderId="0" xfId="0" applyFill="1" applyAlignment="1">
      <alignment horizontal="center"/>
    </xf>
    <xf numFmtId="0" fontId="16" fillId="5" borderId="32" xfId="0" applyFont="1" applyFill="1" applyBorder="1" applyAlignment="1">
      <alignment horizontal="right"/>
    </xf>
    <xf numFmtId="0" fontId="13" fillId="5" borderId="38" xfId="0" applyFont="1" applyFill="1" applyBorder="1" applyAlignment="1">
      <alignment horizontal="center"/>
    </xf>
    <xf numFmtId="0" fontId="16" fillId="5" borderId="20" xfId="0" applyFont="1" applyFill="1" applyBorder="1" applyAlignment="1">
      <alignment horizontal="right"/>
    </xf>
    <xf numFmtId="0" fontId="13" fillId="5" borderId="26" xfId="0" applyFont="1" applyFill="1" applyBorder="1" applyAlignment="1">
      <alignment horizontal="center"/>
    </xf>
    <xf numFmtId="0" fontId="13" fillId="5" borderId="23" xfId="0" applyFont="1" applyFill="1" applyBorder="1" applyAlignment="1">
      <alignment horizontal="right"/>
    </xf>
    <xf numFmtId="0" fontId="13" fillId="5" borderId="42" xfId="0" applyFont="1" applyFill="1" applyBorder="1" applyAlignment="1">
      <alignment horizontal="right"/>
    </xf>
    <xf numFmtId="0" fontId="0" fillId="5" borderId="25" xfId="0" applyFill="1" applyBorder="1" applyAlignment="1">
      <alignment horizontal="center"/>
    </xf>
    <xf numFmtId="0" fontId="0" fillId="5" borderId="47" xfId="0" applyFill="1" applyBorder="1" applyAlignment="1">
      <alignment horizontal="right"/>
    </xf>
    <xf numFmtId="0" fontId="0" fillId="5" borderId="47" xfId="0" applyFill="1" applyBorder="1" applyAlignment="1">
      <alignment horizontal="left"/>
    </xf>
    <xf numFmtId="0" fontId="17" fillId="5" borderId="47" xfId="0" applyFont="1" applyFill="1" applyBorder="1" applyAlignment="1">
      <alignment horizontal="right" vertical="top" wrapText="1"/>
    </xf>
    <xf numFmtId="0" fontId="0" fillId="5" borderId="48" xfId="0" applyFill="1" applyBorder="1" applyAlignment="1">
      <alignment horizontal="center" vertical="center" wrapText="1"/>
    </xf>
    <xf numFmtId="0" fontId="16" fillId="12" borderId="38" xfId="0" applyFont="1" applyFill="1" applyBorder="1" applyAlignment="1">
      <alignment horizontal="center" vertical="center" wrapText="1"/>
    </xf>
    <xf numFmtId="0" fontId="16" fillId="12" borderId="30" xfId="0" applyFont="1" applyFill="1" applyBorder="1" applyAlignment="1">
      <alignment horizontal="center"/>
    </xf>
    <xf numFmtId="0" fontId="16" fillId="12" borderId="30" xfId="0" applyFont="1" applyFill="1" applyBorder="1" applyAlignment="1">
      <alignment horizontal="center" wrapText="1"/>
    </xf>
    <xf numFmtId="0" fontId="16" fillId="12" borderId="37" xfId="0" applyFont="1" applyFill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16" fillId="5" borderId="26" xfId="0" applyFont="1" applyFill="1" applyBorder="1" applyAlignment="1">
      <alignment horizontal="center"/>
    </xf>
    <xf numFmtId="0" fontId="13" fillId="5" borderId="20" xfId="0" applyFont="1" applyFill="1" applyBorder="1"/>
    <xf numFmtId="0" fontId="13" fillId="5" borderId="20" xfId="0" applyFont="1" applyFill="1" applyBorder="1" applyAlignment="1">
      <alignment horizontal="center"/>
    </xf>
    <xf numFmtId="0" fontId="13" fillId="5" borderId="26" xfId="0" applyFont="1" applyFill="1" applyBorder="1"/>
    <xf numFmtId="0" fontId="13" fillId="12" borderId="12" xfId="0" applyFont="1" applyFill="1" applyBorder="1" applyAlignment="1">
      <alignment horizontal="center"/>
    </xf>
    <xf numFmtId="0" fontId="13" fillId="12" borderId="11" xfId="0" applyFont="1" applyFill="1" applyBorder="1" applyAlignment="1">
      <alignment horizontal="center"/>
    </xf>
    <xf numFmtId="0" fontId="13" fillId="12" borderId="11" xfId="0" applyFont="1" applyFill="1" applyBorder="1"/>
    <xf numFmtId="0" fontId="16" fillId="12" borderId="11" xfId="0" applyFont="1" applyFill="1" applyBorder="1" applyAlignment="1">
      <alignment horizontal="center"/>
    </xf>
    <xf numFmtId="0" fontId="13" fillId="12" borderId="11" xfId="0" applyFont="1" applyFill="1" applyBorder="1" applyAlignment="1">
      <alignment horizontal="center" wrapText="1"/>
    </xf>
    <xf numFmtId="0" fontId="13" fillId="12" borderId="10" xfId="0" applyFont="1" applyFill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3" fillId="5" borderId="18" xfId="0" applyFont="1" applyFill="1" applyBorder="1" applyAlignment="1">
      <alignment horizontal="left" vertical="top"/>
    </xf>
    <xf numFmtId="0" fontId="13" fillId="5" borderId="8" xfId="0" applyFont="1" applyFill="1" applyBorder="1" applyAlignment="1">
      <alignment horizontal="left" vertical="top"/>
    </xf>
    <xf numFmtId="0" fontId="13" fillId="5" borderId="19" xfId="0" applyFont="1" applyFill="1" applyBorder="1" applyAlignment="1">
      <alignment horizontal="left" vertical="top"/>
    </xf>
    <xf numFmtId="0" fontId="19" fillId="5" borderId="19" xfId="0" applyFont="1" applyFill="1" applyBorder="1" applyAlignment="1">
      <alignment horizontal="center"/>
    </xf>
    <xf numFmtId="0" fontId="19" fillId="5" borderId="20" xfId="0" applyFont="1" applyFill="1" applyBorder="1"/>
    <xf numFmtId="0" fontId="0" fillId="7" borderId="20" xfId="0" applyFill="1" applyBorder="1"/>
    <xf numFmtId="0" fontId="13" fillId="9" borderId="0" xfId="0" applyFont="1" applyFill="1"/>
    <xf numFmtId="0" fontId="13" fillId="9" borderId="0" xfId="0" applyFont="1" applyFill="1" applyAlignment="1">
      <alignment vertical="center"/>
    </xf>
    <xf numFmtId="0" fontId="19" fillId="5" borderId="20" xfId="0" applyFont="1" applyFill="1" applyBorder="1" applyAlignment="1">
      <alignment horizontal="center"/>
    </xf>
    <xf numFmtId="0" fontId="19" fillId="5" borderId="22" xfId="0" applyFont="1" applyFill="1" applyBorder="1"/>
    <xf numFmtId="0" fontId="13" fillId="0" borderId="22" xfId="0" applyFont="1" applyBorder="1" applyAlignment="1">
      <alignment horizontal="center" wrapText="1"/>
    </xf>
    <xf numFmtId="0" fontId="22" fillId="0" borderId="20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21" fillId="0" borderId="20" xfId="0" applyFont="1" applyBorder="1" applyAlignment="1">
      <alignment horizontal="center" wrapText="1"/>
    </xf>
    <xf numFmtId="0" fontId="23" fillId="6" borderId="0" xfId="0" applyFont="1" applyFill="1" applyAlignment="1">
      <alignment vertical="center"/>
    </xf>
    <xf numFmtId="0" fontId="24" fillId="13" borderId="20" xfId="0" applyFont="1" applyFill="1" applyBorder="1" applyAlignment="1">
      <alignment horizontal="center" vertical="center" wrapText="1"/>
    </xf>
    <xf numFmtId="0" fontId="24" fillId="13" borderId="20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43" fontId="24" fillId="0" borderId="20" xfId="4" applyFont="1" applyFill="1" applyBorder="1" applyAlignment="1">
      <alignment horizontal="center" vertical="center"/>
    </xf>
    <xf numFmtId="43" fontId="24" fillId="0" borderId="0" xfId="4" applyFont="1" applyFill="1" applyBorder="1" applyAlignment="1">
      <alignment horizontal="center" vertical="center"/>
    </xf>
    <xf numFmtId="43" fontId="26" fillId="0" borderId="0" xfId="4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166" fontId="29" fillId="0" borderId="0" xfId="0" applyNumberFormat="1" applyFont="1" applyAlignment="1">
      <alignment horizontal="center" vertical="center" wrapText="1"/>
    </xf>
    <xf numFmtId="0" fontId="24" fillId="14" borderId="60" xfId="0" applyFont="1" applyFill="1" applyBorder="1" applyAlignment="1">
      <alignment horizontal="center" vertical="center"/>
    </xf>
    <xf numFmtId="0" fontId="24" fillId="14" borderId="61" xfId="0" applyFont="1" applyFill="1" applyBorder="1" applyAlignment="1">
      <alignment horizontal="center" vertical="center"/>
    </xf>
    <xf numFmtId="0" fontId="24" fillId="14" borderId="61" xfId="0" applyFont="1" applyFill="1" applyBorder="1" applyAlignment="1">
      <alignment horizontal="center" vertical="center" wrapText="1"/>
    </xf>
    <xf numFmtId="0" fontId="24" fillId="14" borderId="62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2" fontId="30" fillId="0" borderId="0" xfId="0" applyNumberFormat="1" applyFont="1" applyAlignment="1">
      <alignment horizontal="center"/>
    </xf>
    <xf numFmtId="4" fontId="30" fillId="0" borderId="0" xfId="5" applyNumberFormat="1" applyFont="1" applyFill="1" applyAlignment="1">
      <alignment horizontal="center" vertical="center"/>
    </xf>
    <xf numFmtId="4" fontId="24" fillId="0" borderId="0" xfId="5" applyNumberFormat="1" applyFont="1" applyFill="1" applyAlignment="1">
      <alignment horizontal="center" vertical="center"/>
    </xf>
    <xf numFmtId="10" fontId="24" fillId="0" borderId="0" xfId="6" applyNumberFormat="1" applyFont="1" applyFill="1" applyAlignment="1">
      <alignment vertical="center"/>
    </xf>
    <xf numFmtId="49" fontId="24" fillId="0" borderId="0" xfId="0" applyNumberFormat="1" applyFont="1" applyAlignment="1">
      <alignment horizontal="center" vertical="center"/>
    </xf>
    <xf numFmtId="10" fontId="25" fillId="0" borderId="0" xfId="6" applyNumberFormat="1" applyFont="1" applyFill="1" applyAlignment="1">
      <alignment vertical="center"/>
    </xf>
    <xf numFmtId="0" fontId="23" fillId="0" borderId="0" xfId="0" applyFont="1"/>
    <xf numFmtId="49" fontId="24" fillId="0" borderId="0" xfId="0" applyNumberFormat="1" applyFont="1" applyAlignment="1">
      <alignment horizontal="center"/>
    </xf>
    <xf numFmtId="167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43" fontId="23" fillId="0" borderId="0" xfId="4" applyFont="1" applyFill="1" applyAlignment="1">
      <alignment vertical="center"/>
    </xf>
    <xf numFmtId="49" fontId="31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right" vertical="center"/>
    </xf>
    <xf numFmtId="4" fontId="24" fillId="0" borderId="0" xfId="4" applyNumberFormat="1" applyFont="1" applyFill="1" applyAlignment="1">
      <alignment vertical="center"/>
    </xf>
    <xf numFmtId="43" fontId="32" fillId="0" borderId="0" xfId="4" applyFont="1" applyFill="1" applyAlignment="1">
      <alignment horizontal="center" vertical="center"/>
    </xf>
    <xf numFmtId="10" fontId="25" fillId="14" borderId="59" xfId="6" applyNumberFormat="1" applyFont="1" applyFill="1" applyBorder="1" applyAlignment="1">
      <alignment vertical="center"/>
    </xf>
    <xf numFmtId="0" fontId="23" fillId="14" borderId="11" xfId="0" applyFont="1" applyFill="1" applyBorder="1" applyAlignment="1">
      <alignment vertical="center"/>
    </xf>
    <xf numFmtId="0" fontId="23" fillId="14" borderId="59" xfId="0" applyFont="1" applyFill="1" applyBorder="1" applyAlignment="1">
      <alignment vertical="center"/>
    </xf>
    <xf numFmtId="43" fontId="32" fillId="14" borderId="63" xfId="4" applyFont="1" applyFill="1" applyBorder="1" applyAlignment="1">
      <alignment horizontal="center" vertical="center"/>
    </xf>
    <xf numFmtId="43" fontId="34" fillId="0" borderId="0" xfId="4" applyFont="1" applyFill="1" applyBorder="1" applyAlignment="1">
      <alignment horizontal="right"/>
    </xf>
    <xf numFmtId="0" fontId="23" fillId="14" borderId="63" xfId="0" applyFont="1" applyFill="1" applyBorder="1" applyAlignment="1">
      <alignment vertical="center"/>
    </xf>
    <xf numFmtId="10" fontId="25" fillId="14" borderId="63" xfId="6" applyNumberFormat="1" applyFont="1" applyFill="1" applyBorder="1" applyAlignment="1">
      <alignment vertical="center"/>
    </xf>
    <xf numFmtId="0" fontId="33" fillId="0" borderId="0" xfId="0" applyFont="1" applyAlignment="1">
      <alignment horizontal="right"/>
    </xf>
    <xf numFmtId="0" fontId="33" fillId="0" borderId="0" xfId="0" applyFont="1"/>
    <xf numFmtId="9" fontId="33" fillId="0" borderId="0" xfId="0" applyNumberFormat="1" applyFont="1"/>
    <xf numFmtId="9" fontId="35" fillId="0" borderId="0" xfId="6" applyFont="1" applyFill="1" applyAlignment="1">
      <alignment horizontal="center"/>
    </xf>
    <xf numFmtId="0" fontId="32" fillId="0" borderId="0" xfId="0" applyFont="1" applyAlignment="1">
      <alignment horizontal="right" vertical="center"/>
    </xf>
    <xf numFmtId="4" fontId="32" fillId="0" borderId="0" xfId="4" applyNumberFormat="1" applyFont="1" applyFill="1" applyAlignment="1">
      <alignment vertical="center"/>
    </xf>
    <xf numFmtId="4" fontId="32" fillId="0" borderId="0" xfId="5" applyNumberFormat="1" applyFont="1" applyAlignment="1">
      <alignment horizontal="center" vertical="center"/>
    </xf>
    <xf numFmtId="0" fontId="36" fillId="0" borderId="0" xfId="0" applyFont="1" applyAlignment="1">
      <alignment horizontal="right"/>
    </xf>
    <xf numFmtId="0" fontId="37" fillId="0" borderId="0" xfId="0" applyFont="1" applyAlignment="1">
      <alignment horizontal="right"/>
    </xf>
    <xf numFmtId="0" fontId="37" fillId="0" borderId="24" xfId="0" applyFont="1" applyBorder="1" applyAlignment="1">
      <alignment horizontal="right"/>
    </xf>
    <xf numFmtId="43" fontId="38" fillId="8" borderId="64" xfId="4" applyFont="1" applyFill="1" applyBorder="1" applyAlignment="1">
      <alignment horizontal="right"/>
    </xf>
    <xf numFmtId="43" fontId="38" fillId="0" borderId="0" xfId="4" applyFont="1" applyFill="1" applyBorder="1" applyAlignment="1">
      <alignment horizontal="right"/>
    </xf>
    <xf numFmtId="43" fontId="24" fillId="0" borderId="20" xfId="4" applyFont="1" applyFill="1" applyBorder="1" applyAlignment="1">
      <alignment vertical="center"/>
    </xf>
    <xf numFmtId="0" fontId="39" fillId="0" borderId="0" xfId="0" applyFont="1" applyAlignment="1">
      <alignment horizontal="left" vertical="center"/>
    </xf>
    <xf numFmtId="4" fontId="32" fillId="0" borderId="0" xfId="5" applyNumberFormat="1" applyFont="1" applyFill="1" applyAlignment="1">
      <alignment horizontal="center" vertical="center"/>
    </xf>
    <xf numFmtId="10" fontId="40" fillId="0" borderId="0" xfId="6" applyNumberFormat="1" applyFont="1" applyFill="1" applyAlignment="1">
      <alignment horizontal="right"/>
    </xf>
    <xf numFmtId="168" fontId="24" fillId="14" borderId="20" xfId="4" applyNumberFormat="1" applyFont="1" applyFill="1" applyBorder="1" applyAlignment="1">
      <alignment vertical="center"/>
    </xf>
    <xf numFmtId="4" fontId="23" fillId="0" borderId="0" xfId="0" applyNumberFormat="1" applyFont="1" applyAlignment="1">
      <alignment horizontal="center" vertical="center"/>
    </xf>
    <xf numFmtId="43" fontId="24" fillId="15" borderId="20" xfId="4" applyFont="1" applyFill="1" applyBorder="1" applyAlignment="1">
      <alignment vertical="center"/>
    </xf>
    <xf numFmtId="165" fontId="41" fillId="0" borderId="0" xfId="0" applyNumberFormat="1" applyFont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4" fontId="24" fillId="0" borderId="0" xfId="0" applyNumberFormat="1" applyFont="1" applyAlignment="1">
      <alignment horizontal="center" vertical="center"/>
    </xf>
    <xf numFmtId="0" fontId="25" fillId="14" borderId="65" xfId="0" applyFont="1" applyFill="1" applyBorder="1" applyAlignment="1">
      <alignment vertical="center"/>
    </xf>
    <xf numFmtId="0" fontId="43" fillId="0" borderId="0" xfId="0" applyFont="1" applyAlignment="1">
      <alignment vertical="center"/>
    </xf>
    <xf numFmtId="2" fontId="40" fillId="0" borderId="0" xfId="4" applyNumberFormat="1" applyFont="1" applyFill="1" applyBorder="1" applyAlignment="1">
      <alignment horizontal="center"/>
    </xf>
    <xf numFmtId="2" fontId="37" fillId="0" borderId="0" xfId="4" applyNumberFormat="1" applyFont="1" applyFill="1" applyBorder="1" applyAlignment="1">
      <alignment horizontal="center"/>
    </xf>
    <xf numFmtId="0" fontId="23" fillId="14" borderId="65" xfId="0" applyFont="1" applyFill="1" applyBorder="1" applyAlignment="1">
      <alignment vertical="center"/>
    </xf>
    <xf numFmtId="10" fontId="23" fillId="0" borderId="0" xfId="6" applyNumberFormat="1" applyFont="1" applyFill="1" applyAlignment="1">
      <alignment vertical="center"/>
    </xf>
    <xf numFmtId="4" fontId="23" fillId="0" borderId="0" xfId="4" applyNumberFormat="1" applyFont="1" applyFill="1" applyAlignment="1">
      <alignment vertical="center"/>
    </xf>
    <xf numFmtId="43" fontId="38" fillId="14" borderId="11" xfId="4" applyFont="1" applyFill="1" applyBorder="1" applyAlignment="1">
      <alignment horizontal="right"/>
    </xf>
    <xf numFmtId="0" fontId="24" fillId="14" borderId="10" xfId="0" applyFont="1" applyFill="1" applyBorder="1" applyAlignment="1">
      <alignment horizontal="right" vertical="center"/>
    </xf>
    <xf numFmtId="10" fontId="44" fillId="0" borderId="0" xfId="4" applyNumberFormat="1" applyFont="1" applyFill="1" applyAlignment="1">
      <alignment vertical="center"/>
    </xf>
    <xf numFmtId="10" fontId="25" fillId="0" borderId="0" xfId="6" applyNumberFormat="1" applyFont="1" applyFill="1" applyBorder="1" applyAlignment="1">
      <alignment vertical="center"/>
    </xf>
    <xf numFmtId="165" fontId="45" fillId="0" borderId="0" xfId="0" applyNumberFormat="1" applyFont="1" applyAlignment="1">
      <alignment horizontal="center" vertical="center"/>
    </xf>
    <xf numFmtId="0" fontId="23" fillId="6" borderId="64" xfId="0" applyFont="1" applyFill="1" applyBorder="1" applyAlignment="1">
      <alignment horizontal="center" vertical="center"/>
    </xf>
    <xf numFmtId="43" fontId="46" fillId="0" borderId="0" xfId="4" applyFont="1" applyFill="1" applyAlignment="1">
      <alignment vertical="center"/>
    </xf>
    <xf numFmtId="4" fontId="47" fillId="0" borderId="0" xfId="5" applyNumberFormat="1" applyFont="1" applyFill="1" applyAlignment="1">
      <alignment horizontal="center" vertical="center" wrapText="1"/>
    </xf>
    <xf numFmtId="9" fontId="23" fillId="0" borderId="0" xfId="4" applyNumberFormat="1" applyFont="1" applyFill="1" applyAlignment="1">
      <alignment vertical="center"/>
    </xf>
    <xf numFmtId="0" fontId="3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31" fillId="0" borderId="0" xfId="0" applyFont="1" applyAlignment="1">
      <alignment horizontal="right" vertical="center"/>
    </xf>
    <xf numFmtId="4" fontId="31" fillId="0" borderId="0" xfId="4" applyNumberFormat="1" applyFont="1" applyFill="1" applyAlignment="1">
      <alignment vertical="center"/>
    </xf>
    <xf numFmtId="4" fontId="24" fillId="17" borderId="64" xfId="4" applyNumberFormat="1" applyFont="1" applyFill="1" applyBorder="1" applyAlignment="1">
      <alignment horizontal="center" vertical="center"/>
    </xf>
    <xf numFmtId="0" fontId="48" fillId="0" borderId="0" xfId="0" applyFont="1" applyAlignment="1">
      <alignment vertical="center"/>
    </xf>
    <xf numFmtId="43" fontId="48" fillId="0" borderId="0" xfId="4" applyFont="1" applyFill="1" applyAlignment="1">
      <alignment vertical="center"/>
    </xf>
    <xf numFmtId="9" fontId="48" fillId="0" borderId="0" xfId="4" applyNumberFormat="1" applyFont="1" applyFill="1" applyAlignment="1">
      <alignment vertical="center"/>
    </xf>
    <xf numFmtId="4" fontId="24" fillId="0" borderId="0" xfId="4" applyNumberFormat="1" applyFont="1" applyFill="1" applyAlignment="1">
      <alignment horizontal="center" vertical="center"/>
    </xf>
    <xf numFmtId="10" fontId="41" fillId="0" borderId="0" xfId="6" applyNumberFormat="1" applyFont="1" applyFill="1" applyAlignment="1">
      <alignment vertical="center"/>
    </xf>
    <xf numFmtId="43" fontId="41" fillId="0" borderId="0" xfId="4" applyFont="1" applyFill="1" applyBorder="1" applyAlignment="1">
      <alignment vertical="center"/>
    </xf>
    <xf numFmtId="4" fontId="23" fillId="0" borderId="0" xfId="0" applyNumberFormat="1" applyFont="1" applyAlignment="1">
      <alignment horizontal="center"/>
    </xf>
    <xf numFmtId="43" fontId="23" fillId="0" borderId="0" xfId="4" applyFont="1" applyFill="1" applyBorder="1"/>
    <xf numFmtId="10" fontId="41" fillId="0" borderId="0" xfId="6" applyNumberFormat="1" applyFont="1" applyFill="1" applyBorder="1" applyAlignment="1">
      <alignment vertical="center"/>
    </xf>
    <xf numFmtId="0" fontId="41" fillId="0" borderId="0" xfId="0" applyFont="1" applyAlignment="1">
      <alignment horizontal="right"/>
    </xf>
    <xf numFmtId="43" fontId="23" fillId="0" borderId="0" xfId="4" applyFont="1" applyFill="1" applyBorder="1" applyAlignment="1">
      <alignment horizontal="center"/>
    </xf>
    <xf numFmtId="9" fontId="51" fillId="0" borderId="0" xfId="0" applyNumberFormat="1" applyFont="1" applyAlignment="1">
      <alignment horizontal="left"/>
    </xf>
    <xf numFmtId="4" fontId="24" fillId="0" borderId="0" xfId="0" applyNumberFormat="1" applyFont="1" applyAlignment="1">
      <alignment horizontal="center"/>
    </xf>
    <xf numFmtId="165" fontId="24" fillId="0" borderId="0" xfId="0" applyNumberFormat="1" applyFont="1"/>
    <xf numFmtId="0" fontId="53" fillId="18" borderId="66" xfId="0" applyFont="1" applyFill="1" applyBorder="1" applyAlignment="1">
      <alignment horizontal="center" vertical="center"/>
    </xf>
    <xf numFmtId="0" fontId="53" fillId="18" borderId="67" xfId="0" applyFont="1" applyFill="1" applyBorder="1" applyAlignment="1">
      <alignment horizontal="center" vertical="center"/>
    </xf>
    <xf numFmtId="0" fontId="54" fillId="18" borderId="68" xfId="0" applyFont="1" applyFill="1" applyBorder="1" applyAlignment="1">
      <alignment horizontal="center" vertical="center"/>
    </xf>
    <xf numFmtId="0" fontId="54" fillId="18" borderId="69" xfId="0" applyFont="1" applyFill="1" applyBorder="1" applyAlignment="1">
      <alignment horizontal="center" vertical="center"/>
    </xf>
    <xf numFmtId="0" fontId="54" fillId="18" borderId="69" xfId="0" applyFont="1" applyFill="1" applyBorder="1" applyAlignment="1">
      <alignment vertical="center"/>
    </xf>
    <xf numFmtId="0" fontId="54" fillId="18" borderId="68" xfId="0" applyFont="1" applyFill="1" applyBorder="1" applyAlignment="1">
      <alignment vertical="center"/>
    </xf>
    <xf numFmtId="0" fontId="54" fillId="19" borderId="68" xfId="0" applyFont="1" applyFill="1" applyBorder="1" applyAlignment="1">
      <alignment vertical="center"/>
    </xf>
    <xf numFmtId="0" fontId="54" fillId="19" borderId="69" xfId="0" applyFont="1" applyFill="1" applyBorder="1" applyAlignment="1">
      <alignment horizontal="center" vertical="center"/>
    </xf>
    <xf numFmtId="0" fontId="54" fillId="19" borderId="69" xfId="0" applyFont="1" applyFill="1" applyBorder="1" applyAlignment="1">
      <alignment vertical="center"/>
    </xf>
    <xf numFmtId="0" fontId="52" fillId="0" borderId="0" xfId="0" applyFont="1" applyAlignment="1">
      <alignment vertical="center"/>
    </xf>
    <xf numFmtId="0" fontId="21" fillId="0" borderId="8" xfId="0" applyFont="1" applyBorder="1" applyAlignment="1">
      <alignment horizontal="left"/>
    </xf>
    <xf numFmtId="0" fontId="16" fillId="2" borderId="32" xfId="3" applyFont="1" applyFill="1" applyBorder="1" applyAlignment="1">
      <alignment horizontal="right"/>
    </xf>
    <xf numFmtId="0" fontId="2" fillId="2" borderId="38" xfId="3" applyFont="1" applyFill="1" applyBorder="1" applyAlignment="1">
      <alignment horizontal="center"/>
    </xf>
    <xf numFmtId="0" fontId="13" fillId="2" borderId="25" xfId="3" applyFont="1" applyFill="1" applyBorder="1" applyAlignment="1">
      <alignment horizontal="center"/>
    </xf>
    <xf numFmtId="0" fontId="16" fillId="2" borderId="20" xfId="3" applyFont="1" applyFill="1" applyBorder="1" applyAlignment="1">
      <alignment horizontal="right"/>
    </xf>
    <xf numFmtId="49" fontId="13" fillId="2" borderId="26" xfId="3" applyNumberFormat="1" applyFont="1" applyFill="1" applyBorder="1" applyAlignment="1">
      <alignment horizontal="center"/>
    </xf>
    <xf numFmtId="0" fontId="13" fillId="2" borderId="22" xfId="3" applyFont="1" applyFill="1" applyBorder="1" applyAlignment="1">
      <alignment horizontal="right"/>
    </xf>
    <xf numFmtId="0" fontId="13" fillId="2" borderId="20" xfId="3" applyFont="1" applyFill="1" applyBorder="1" applyAlignment="1">
      <alignment horizontal="right"/>
    </xf>
    <xf numFmtId="14" fontId="18" fillId="2" borderId="0" xfId="3" applyNumberFormat="1" applyFont="1" applyFill="1" applyAlignment="1">
      <alignment horizontal="center" vertical="center" wrapText="1"/>
    </xf>
    <xf numFmtId="0" fontId="16" fillId="4" borderId="38" xfId="1" applyFont="1" applyFill="1" applyBorder="1" applyAlignment="1">
      <alignment horizontal="center" vertical="center" wrapText="1"/>
    </xf>
    <xf numFmtId="1" fontId="16" fillId="4" borderId="15" xfId="1" applyNumberFormat="1" applyFont="1" applyFill="1" applyBorder="1" applyAlignment="1">
      <alignment horizontal="center"/>
    </xf>
    <xf numFmtId="1" fontId="16" fillId="4" borderId="15" xfId="1" applyNumberFormat="1" applyFont="1" applyFill="1" applyBorder="1" applyAlignment="1">
      <alignment horizontal="center" wrapText="1"/>
    </xf>
    <xf numFmtId="0" fontId="16" fillId="4" borderId="29" xfId="1" applyFont="1" applyFill="1" applyBorder="1" applyAlignment="1">
      <alignment horizontal="center"/>
    </xf>
    <xf numFmtId="0" fontId="20" fillId="0" borderId="28" xfId="1" applyFont="1" applyBorder="1" applyAlignment="1">
      <alignment horizontal="center" vertical="center"/>
    </xf>
    <xf numFmtId="0" fontId="20" fillId="0" borderId="19" xfId="1" applyFont="1" applyBorder="1" applyAlignment="1">
      <alignment horizontal="center" vertical="center"/>
    </xf>
    <xf numFmtId="0" fontId="55" fillId="0" borderId="20" xfId="1" applyFont="1" applyBorder="1" applyAlignment="1">
      <alignment vertical="center"/>
    </xf>
    <xf numFmtId="0" fontId="20" fillId="0" borderId="20" xfId="1" applyFont="1" applyBorder="1" applyAlignment="1">
      <alignment horizontal="center" vertical="center"/>
    </xf>
    <xf numFmtId="1" fontId="20" fillId="0" borderId="20" xfId="1" applyNumberFormat="1" applyFont="1" applyBorder="1" applyAlignment="1">
      <alignment horizontal="center"/>
    </xf>
    <xf numFmtId="1" fontId="20" fillId="0" borderId="20" xfId="1" applyNumberFormat="1" applyFont="1" applyBorder="1" applyAlignment="1">
      <alignment horizontal="center" wrapText="1"/>
    </xf>
    <xf numFmtId="0" fontId="21" fillId="0" borderId="26" xfId="1" applyFont="1" applyBorder="1" applyAlignment="1">
      <alignment horizontal="center"/>
    </xf>
    <xf numFmtId="0" fontId="13" fillId="0" borderId="20" xfId="0" applyFont="1" applyBorder="1" applyAlignment="1">
      <alignment horizontal="center" vertical="top" wrapText="1"/>
    </xf>
    <xf numFmtId="0" fontId="0" fillId="0" borderId="20" xfId="0" applyBorder="1" applyAlignment="1">
      <alignment horizontal="center"/>
    </xf>
    <xf numFmtId="0" fontId="13" fillId="0" borderId="20" xfId="0" applyFont="1" applyBorder="1" applyAlignment="1">
      <alignment horizontal="left" vertical="top" wrapText="1"/>
    </xf>
    <xf numFmtId="16" fontId="13" fillId="0" borderId="32" xfId="1" applyNumberFormat="1" applyFont="1" applyBorder="1" applyAlignment="1">
      <alignment horizontal="center"/>
    </xf>
    <xf numFmtId="0" fontId="13" fillId="6" borderId="32" xfId="1" applyFont="1" applyFill="1" applyBorder="1" applyAlignment="1">
      <alignment horizontal="center"/>
    </xf>
    <xf numFmtId="0" fontId="13" fillId="0" borderId="32" xfId="1" applyFont="1" applyBorder="1" applyAlignment="1">
      <alignment horizontal="center"/>
    </xf>
    <xf numFmtId="0" fontId="1" fillId="0" borderId="20" xfId="12" applyBorder="1" applyAlignment="1">
      <alignment horizontal="center"/>
    </xf>
    <xf numFmtId="0" fontId="0" fillId="0" borderId="20" xfId="12" applyFont="1" applyBorder="1" applyAlignment="1">
      <alignment horizontal="center"/>
    </xf>
    <xf numFmtId="0" fontId="13" fillId="0" borderId="20" xfId="1" applyFont="1" applyBorder="1" applyAlignment="1">
      <alignment horizontal="center"/>
    </xf>
    <xf numFmtId="169" fontId="2" fillId="0" borderId="22" xfId="0" applyNumberFormat="1" applyFont="1" applyBorder="1" applyAlignment="1">
      <alignment horizontal="center" wrapText="1"/>
    </xf>
    <xf numFmtId="0" fontId="2" fillId="6" borderId="28" xfId="1" applyFill="1" applyBorder="1"/>
    <xf numFmtId="0" fontId="2" fillId="6" borderId="19" xfId="1" applyFill="1" applyBorder="1" applyAlignment="1">
      <alignment horizontal="center"/>
    </xf>
    <xf numFmtId="0" fontId="2" fillId="6" borderId="20" xfId="1" applyFill="1" applyBorder="1"/>
    <xf numFmtId="0" fontId="2" fillId="6" borderId="20" xfId="1" applyFill="1" applyBorder="1" applyAlignment="1">
      <alignment horizontal="center"/>
    </xf>
    <xf numFmtId="0" fontId="2" fillId="6" borderId="22" xfId="1" applyFill="1" applyBorder="1" applyAlignment="1">
      <alignment horizontal="center"/>
    </xf>
    <xf numFmtId="0" fontId="2" fillId="0" borderId="22" xfId="1" applyBorder="1" applyAlignment="1">
      <alignment horizontal="center"/>
    </xf>
    <xf numFmtId="0" fontId="2" fillId="6" borderId="28" xfId="1" applyFill="1" applyBorder="1" applyAlignment="1">
      <alignment horizontal="right"/>
    </xf>
    <xf numFmtId="0" fontId="1" fillId="6" borderId="28" xfId="13" applyFill="1" applyBorder="1" applyAlignment="1">
      <alignment horizontal="center"/>
    </xf>
    <xf numFmtId="0" fontId="1" fillId="6" borderId="19" xfId="13" applyFill="1" applyBorder="1" applyAlignment="1">
      <alignment horizontal="center"/>
    </xf>
    <xf numFmtId="0" fontId="1" fillId="6" borderId="20" xfId="13" applyFill="1" applyBorder="1"/>
    <xf numFmtId="0" fontId="1" fillId="0" borderId="20" xfId="13" applyBorder="1" applyAlignment="1">
      <alignment horizontal="center" vertical="center"/>
    </xf>
    <xf numFmtId="1" fontId="2" fillId="0" borderId="20" xfId="1" applyNumberFormat="1" applyBorder="1" applyAlignment="1">
      <alignment horizontal="center"/>
    </xf>
    <xf numFmtId="1" fontId="2" fillId="0" borderId="20" xfId="1" applyNumberFormat="1" applyBorder="1" applyAlignment="1">
      <alignment horizontal="center" wrapText="1"/>
    </xf>
    <xf numFmtId="0" fontId="0" fillId="6" borderId="20" xfId="13" applyFont="1" applyFill="1" applyBorder="1"/>
    <xf numFmtId="1" fontId="2" fillId="0" borderId="22" xfId="0" applyNumberFormat="1" applyFont="1" applyBorder="1" applyAlignment="1">
      <alignment horizontal="center" wrapText="1"/>
    </xf>
    <xf numFmtId="49" fontId="21" fillId="0" borderId="28" xfId="14" applyNumberFormat="1" applyFont="1" applyBorder="1" applyAlignment="1">
      <alignment horizontal="center"/>
    </xf>
    <xf numFmtId="49" fontId="21" fillId="0" borderId="19" xfId="14" applyNumberFormat="1" applyFont="1" applyBorder="1" applyAlignment="1">
      <alignment horizontal="center"/>
    </xf>
    <xf numFmtId="49" fontId="23" fillId="0" borderId="20" xfId="14" applyNumberFormat="1" applyFont="1" applyBorder="1"/>
    <xf numFmtId="0" fontId="21" fillId="0" borderId="20" xfId="14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2" fontId="13" fillId="0" borderId="22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21" fillId="0" borderId="20" xfId="1" applyNumberFormat="1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0" fillId="6" borderId="20" xfId="0" applyFill="1" applyBorder="1"/>
    <xf numFmtId="1" fontId="21" fillId="0" borderId="20" xfId="1" applyNumberFormat="1" applyFont="1" applyBorder="1" applyAlignment="1">
      <alignment horizontal="center" wrapText="1"/>
    </xf>
    <xf numFmtId="49" fontId="21" fillId="0" borderId="28" xfId="1" applyNumberFormat="1" applyFont="1" applyBorder="1" applyAlignment="1">
      <alignment horizontal="center"/>
    </xf>
    <xf numFmtId="49" fontId="21" fillId="0" borderId="19" xfId="1" applyNumberFormat="1" applyFont="1" applyBorder="1" applyAlignment="1">
      <alignment horizontal="center"/>
    </xf>
    <xf numFmtId="0" fontId="56" fillId="6" borderId="20" xfId="1" applyFont="1" applyFill="1" applyBorder="1" applyAlignment="1">
      <alignment horizontal="left"/>
    </xf>
    <xf numFmtId="0" fontId="21" fillId="0" borderId="20" xfId="1" applyFont="1" applyBorder="1" applyAlignment="1">
      <alignment horizontal="center"/>
    </xf>
    <xf numFmtId="170" fontId="21" fillId="0" borderId="20" xfId="1" applyNumberFormat="1" applyFont="1" applyBorder="1" applyAlignment="1">
      <alignment horizontal="center"/>
    </xf>
    <xf numFmtId="0" fontId="2" fillId="0" borderId="28" xfId="15" applyBorder="1" applyAlignment="1">
      <alignment horizontal="center"/>
    </xf>
    <xf numFmtId="0" fontId="2" fillId="0" borderId="20" xfId="1" applyBorder="1" applyAlignment="1">
      <alignment horizontal="center"/>
    </xf>
    <xf numFmtId="0" fontId="2" fillId="6" borderId="20" xfId="15" applyFill="1" applyBorder="1"/>
    <xf numFmtId="16" fontId="21" fillId="0" borderId="20" xfId="15" applyNumberFormat="1" applyFont="1" applyBorder="1" applyAlignment="1">
      <alignment horizontal="center"/>
    </xf>
    <xf numFmtId="0" fontId="2" fillId="0" borderId="20" xfId="15" applyBorder="1" applyAlignment="1">
      <alignment horizontal="center"/>
    </xf>
    <xf numFmtId="16" fontId="21" fillId="0" borderId="20" xfId="0" applyNumberFormat="1" applyFont="1" applyBorder="1" applyAlignment="1">
      <alignment horizontal="center"/>
    </xf>
    <xf numFmtId="1" fontId="21" fillId="0" borderId="20" xfId="15" applyNumberFormat="1" applyFont="1" applyBorder="1" applyAlignment="1">
      <alignment horizontal="center"/>
    </xf>
    <xf numFmtId="1" fontId="21" fillId="0" borderId="20" xfId="15" applyNumberFormat="1" applyFont="1" applyBorder="1" applyAlignment="1">
      <alignment horizontal="center" wrapText="1"/>
    </xf>
    <xf numFmtId="49" fontId="20" fillId="0" borderId="9" xfId="1" applyNumberFormat="1" applyFont="1" applyBorder="1" applyAlignment="1">
      <alignment horizontal="center"/>
    </xf>
    <xf numFmtId="49" fontId="20" fillId="0" borderId="8" xfId="1" applyNumberFormat="1" applyFont="1" applyBorder="1" applyAlignment="1">
      <alignment horizontal="center"/>
    </xf>
    <xf numFmtId="0" fontId="57" fillId="6" borderId="20" xfId="1" applyFont="1" applyFill="1" applyBorder="1" applyAlignment="1">
      <alignment vertical="center"/>
    </xf>
    <xf numFmtId="0" fontId="20" fillId="0" borderId="19" xfId="1" applyFont="1" applyBorder="1" applyAlignment="1">
      <alignment horizontal="center"/>
    </xf>
    <xf numFmtId="0" fontId="10" fillId="6" borderId="20" xfId="1" applyFont="1" applyFill="1" applyBorder="1" applyAlignment="1">
      <alignment horizontal="center"/>
    </xf>
    <xf numFmtId="0" fontId="10" fillId="0" borderId="20" xfId="1" applyFont="1" applyBorder="1" applyAlignment="1">
      <alignment horizontal="center"/>
    </xf>
    <xf numFmtId="0" fontId="58" fillId="6" borderId="28" xfId="1" applyFont="1" applyFill="1" applyBorder="1" applyAlignment="1">
      <alignment horizontal="center"/>
    </xf>
    <xf numFmtId="0" fontId="58" fillId="6" borderId="19" xfId="1" applyFont="1" applyFill="1" applyBorder="1" applyAlignment="1">
      <alignment horizontal="center"/>
    </xf>
    <xf numFmtId="0" fontId="13" fillId="6" borderId="20" xfId="1" applyFont="1" applyFill="1" applyBorder="1" applyAlignment="1">
      <alignment horizontal="left"/>
    </xf>
    <xf numFmtId="0" fontId="13" fillId="0" borderId="20" xfId="1" applyFont="1" applyBorder="1" applyAlignment="1">
      <alignment horizontal="center" vertical="center"/>
    </xf>
    <xf numFmtId="1" fontId="13" fillId="0" borderId="20" xfId="1" applyNumberFormat="1" applyFont="1" applyBorder="1" applyAlignment="1">
      <alignment horizontal="center" vertical="center"/>
    </xf>
    <xf numFmtId="1" fontId="13" fillId="0" borderId="20" xfId="1" applyNumberFormat="1" applyFont="1" applyBorder="1" applyAlignment="1">
      <alignment horizontal="center" vertical="center" wrapText="1"/>
    </xf>
    <xf numFmtId="2" fontId="21" fillId="0" borderId="20" xfId="1" applyNumberFormat="1" applyFont="1" applyBorder="1" applyAlignment="1">
      <alignment horizontal="center"/>
    </xf>
    <xf numFmtId="0" fontId="1" fillId="0" borderId="28" xfId="13" applyBorder="1" applyAlignment="1">
      <alignment horizontal="center"/>
    </xf>
    <xf numFmtId="0" fontId="0" fillId="0" borderId="19" xfId="13" applyFont="1" applyBorder="1" applyAlignment="1">
      <alignment horizontal="center"/>
    </xf>
    <xf numFmtId="0" fontId="1" fillId="0" borderId="20" xfId="13" applyBorder="1"/>
    <xf numFmtId="1" fontId="21" fillId="0" borderId="20" xfId="0" applyNumberFormat="1" applyFont="1" applyBorder="1" applyAlignment="1">
      <alignment horizontal="center"/>
    </xf>
    <xf numFmtId="1" fontId="21" fillId="0" borderId="20" xfId="0" applyNumberFormat="1" applyFont="1" applyBorder="1" applyAlignment="1">
      <alignment horizontal="center" wrapText="1"/>
    </xf>
    <xf numFmtId="0" fontId="0" fillId="6" borderId="20" xfId="0" applyFill="1" applyBorder="1" applyAlignment="1">
      <alignment horizontal="center"/>
    </xf>
    <xf numFmtId="49" fontId="21" fillId="6" borderId="28" xfId="1" applyNumberFormat="1" applyFont="1" applyFill="1" applyBorder="1" applyAlignment="1">
      <alignment horizontal="center"/>
    </xf>
    <xf numFmtId="49" fontId="21" fillId="6" borderId="19" xfId="1" applyNumberFormat="1" applyFont="1" applyFill="1" applyBorder="1" applyAlignment="1">
      <alignment horizontal="center"/>
    </xf>
    <xf numFmtId="49" fontId="23" fillId="6" borderId="20" xfId="1" applyNumberFormat="1" applyFont="1" applyFill="1" applyBorder="1"/>
    <xf numFmtId="0" fontId="22" fillId="0" borderId="20" xfId="1" applyFont="1" applyBorder="1" applyAlignment="1">
      <alignment horizontal="center"/>
    </xf>
    <xf numFmtId="12" fontId="21" fillId="0" borderId="20" xfId="1" applyNumberFormat="1" applyFont="1" applyBorder="1" applyAlignment="1">
      <alignment horizontal="center"/>
    </xf>
    <xf numFmtId="49" fontId="23" fillId="0" borderId="20" xfId="1" applyNumberFormat="1" applyFont="1" applyBorder="1"/>
    <xf numFmtId="1" fontId="22" fillId="0" borderId="20" xfId="1" applyNumberFormat="1" applyFont="1" applyBorder="1" applyAlignment="1">
      <alignment horizontal="center"/>
    </xf>
    <xf numFmtId="49" fontId="59" fillId="2" borderId="25" xfId="1" applyNumberFormat="1" applyFont="1" applyFill="1" applyBorder="1" applyAlignment="1">
      <alignment horizontal="center" vertical="center"/>
    </xf>
    <xf numFmtId="49" fontId="59" fillId="2" borderId="0" xfId="1" applyNumberFormat="1" applyFont="1" applyFill="1" applyAlignment="1">
      <alignment horizontal="center" vertical="center"/>
    </xf>
    <xf numFmtId="0" fontId="13" fillId="2" borderId="0" xfId="1" applyFont="1" applyFill="1"/>
    <xf numFmtId="1" fontId="13" fillId="2" borderId="0" xfId="1" applyNumberFormat="1" applyFont="1" applyFill="1" applyAlignment="1">
      <alignment horizontal="center"/>
    </xf>
    <xf numFmtId="164" fontId="13" fillId="2" borderId="0" xfId="1" applyNumberFormat="1" applyFont="1" applyFill="1" applyAlignment="1">
      <alignment horizontal="center" wrapText="1"/>
    </xf>
    <xf numFmtId="0" fontId="13" fillId="2" borderId="24" xfId="1" applyFont="1" applyFill="1" applyBorder="1" applyAlignment="1">
      <alignment horizontal="center"/>
    </xf>
    <xf numFmtId="0" fontId="13" fillId="4" borderId="12" xfId="1" applyFont="1" applyFill="1" applyBorder="1" applyAlignment="1">
      <alignment horizontal="center"/>
    </xf>
    <xf numFmtId="0" fontId="13" fillId="4" borderId="11" xfId="1" applyFont="1" applyFill="1" applyBorder="1" applyAlignment="1">
      <alignment horizontal="center"/>
    </xf>
    <xf numFmtId="0" fontId="13" fillId="4" borderId="11" xfId="1" applyFont="1" applyFill="1" applyBorder="1"/>
    <xf numFmtId="0" fontId="16" fillId="4" borderId="11" xfId="1" applyFont="1" applyFill="1" applyBorder="1" applyAlignment="1">
      <alignment horizontal="center"/>
    </xf>
    <xf numFmtId="1" fontId="16" fillId="4" borderId="11" xfId="1" applyNumberFormat="1" applyFont="1" applyFill="1" applyBorder="1" applyAlignment="1">
      <alignment horizontal="center"/>
    </xf>
    <xf numFmtId="164" fontId="13" fillId="4" borderId="11" xfId="1" applyNumberFormat="1" applyFont="1" applyFill="1" applyBorder="1" applyAlignment="1">
      <alignment horizontal="center" wrapText="1"/>
    </xf>
    <xf numFmtId="0" fontId="13" fillId="4" borderId="10" xfId="1" applyFont="1" applyFill="1" applyBorder="1" applyAlignment="1">
      <alignment horizontal="center"/>
    </xf>
    <xf numFmtId="1" fontId="2" fillId="0" borderId="22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1" fontId="2" fillId="0" borderId="15" xfId="0" applyNumberFormat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5" fillId="2" borderId="32" xfId="3" applyFont="1" applyFill="1" applyBorder="1" applyAlignment="1">
      <alignment horizontal="right"/>
    </xf>
    <xf numFmtId="0" fontId="62" fillId="2" borderId="38" xfId="3" applyFont="1" applyFill="1" applyBorder="1" applyAlignment="1">
      <alignment horizontal="center"/>
    </xf>
    <xf numFmtId="0" fontId="15" fillId="2" borderId="20" xfId="3" applyFont="1" applyFill="1" applyBorder="1" applyAlignment="1">
      <alignment horizontal="right"/>
    </xf>
    <xf numFmtId="49" fontId="62" fillId="2" borderId="26" xfId="3" applyNumberFormat="1" applyFont="1" applyFill="1" applyBorder="1" applyAlignment="1">
      <alignment horizontal="center"/>
    </xf>
    <xf numFmtId="0" fontId="62" fillId="2" borderId="22" xfId="3" applyFont="1" applyFill="1" applyBorder="1" applyAlignment="1">
      <alignment horizontal="right"/>
    </xf>
    <xf numFmtId="0" fontId="62" fillId="2" borderId="20" xfId="3" applyFont="1" applyFill="1" applyBorder="1" applyAlignment="1">
      <alignment horizontal="right"/>
    </xf>
    <xf numFmtId="14" fontId="64" fillId="2" borderId="0" xfId="3" applyNumberFormat="1" applyFont="1" applyFill="1" applyAlignment="1">
      <alignment horizontal="center" vertical="center" wrapText="1"/>
    </xf>
    <xf numFmtId="0" fontId="15" fillId="4" borderId="38" xfId="1" applyFont="1" applyFill="1" applyBorder="1" applyAlignment="1">
      <alignment horizontal="center" vertical="center" wrapText="1"/>
    </xf>
    <xf numFmtId="1" fontId="15" fillId="4" borderId="15" xfId="1" applyNumberFormat="1" applyFont="1" applyFill="1" applyBorder="1" applyAlignment="1">
      <alignment horizontal="center"/>
    </xf>
    <xf numFmtId="1" fontId="15" fillId="4" borderId="15" xfId="1" applyNumberFormat="1" applyFont="1" applyFill="1" applyBorder="1" applyAlignment="1">
      <alignment horizontal="center" wrapText="1"/>
    </xf>
    <xf numFmtId="0" fontId="15" fillId="4" borderId="29" xfId="1" applyFont="1" applyFill="1" applyBorder="1" applyAlignment="1">
      <alignment horizontal="center"/>
    </xf>
    <xf numFmtId="0" fontId="56" fillId="0" borderId="28" xfId="1" applyFont="1" applyBorder="1" applyAlignment="1">
      <alignment horizontal="center" vertical="center"/>
    </xf>
    <xf numFmtId="0" fontId="56" fillId="0" borderId="19" xfId="1" applyFont="1" applyBorder="1" applyAlignment="1">
      <alignment horizontal="center" vertical="center"/>
    </xf>
    <xf numFmtId="0" fontId="57" fillId="0" borderId="20" xfId="1" applyFont="1" applyBorder="1" applyAlignment="1">
      <alignment vertical="center"/>
    </xf>
    <xf numFmtId="0" fontId="56" fillId="0" borderId="20" xfId="1" applyFont="1" applyBorder="1" applyAlignment="1">
      <alignment horizontal="center" vertical="center"/>
    </xf>
    <xf numFmtId="1" fontId="56" fillId="0" borderId="20" xfId="1" applyNumberFormat="1" applyFont="1" applyBorder="1" applyAlignment="1">
      <alignment horizontal="center"/>
    </xf>
    <xf numFmtId="1" fontId="56" fillId="0" borderId="20" xfId="1" applyNumberFormat="1" applyFont="1" applyBorder="1" applyAlignment="1">
      <alignment horizontal="center" wrapText="1"/>
    </xf>
    <xf numFmtId="0" fontId="22" fillId="0" borderId="26" xfId="1" applyFont="1" applyBorder="1" applyAlignment="1">
      <alignment horizontal="center"/>
    </xf>
    <xf numFmtId="0" fontId="65" fillId="6" borderId="28" xfId="0" applyFont="1" applyFill="1" applyBorder="1" applyAlignment="1">
      <alignment horizontal="center"/>
    </xf>
    <xf numFmtId="0" fontId="65" fillId="6" borderId="20" xfId="0" applyFont="1" applyFill="1" applyBorder="1" applyAlignment="1">
      <alignment horizontal="center"/>
    </xf>
    <xf numFmtId="0" fontId="65" fillId="6" borderId="22" xfId="0" applyFont="1" applyFill="1" applyBorder="1"/>
    <xf numFmtId="0" fontId="62" fillId="6" borderId="19" xfId="0" applyFont="1" applyFill="1" applyBorder="1" applyAlignment="1">
      <alignment horizontal="center"/>
    </xf>
    <xf numFmtId="1" fontId="62" fillId="6" borderId="20" xfId="0" applyNumberFormat="1" applyFont="1" applyFill="1" applyBorder="1" applyAlignment="1">
      <alignment horizontal="center"/>
    </xf>
    <xf numFmtId="1" fontId="62" fillId="6" borderId="20" xfId="0" applyNumberFormat="1" applyFont="1" applyFill="1" applyBorder="1" applyAlignment="1">
      <alignment horizontal="center" wrapText="1"/>
    </xf>
    <xf numFmtId="0" fontId="62" fillId="0" borderId="22" xfId="0" applyFont="1" applyBorder="1" applyAlignment="1">
      <alignment horizontal="center" wrapText="1"/>
    </xf>
    <xf numFmtId="12" fontId="62" fillId="0" borderId="22" xfId="0" applyNumberFormat="1" applyFont="1" applyBorder="1" applyAlignment="1">
      <alignment horizontal="center"/>
    </xf>
    <xf numFmtId="0" fontId="65" fillId="6" borderId="19" xfId="0" applyFont="1" applyFill="1" applyBorder="1" applyAlignment="1">
      <alignment horizontal="center"/>
    </xf>
    <xf numFmtId="0" fontId="65" fillId="6" borderId="20" xfId="0" applyFont="1" applyFill="1" applyBorder="1"/>
    <xf numFmtId="1" fontId="62" fillId="6" borderId="22" xfId="0" applyNumberFormat="1" applyFont="1" applyFill="1" applyBorder="1" applyAlignment="1">
      <alignment horizontal="center"/>
    </xf>
    <xf numFmtId="1" fontId="62" fillId="6" borderId="22" xfId="0" applyNumberFormat="1" applyFont="1" applyFill="1" applyBorder="1" applyAlignment="1">
      <alignment horizontal="center" wrapText="1"/>
    </xf>
    <xf numFmtId="0" fontId="62" fillId="0" borderId="20" xfId="0" applyFont="1" applyBorder="1" applyAlignment="1">
      <alignment horizontal="center"/>
    </xf>
    <xf numFmtId="0" fontId="66" fillId="0" borderId="20" xfId="0" applyFont="1" applyBorder="1" applyAlignment="1">
      <alignment horizontal="center"/>
    </xf>
    <xf numFmtId="0" fontId="66" fillId="0" borderId="20" xfId="0" applyFont="1" applyBorder="1" applyAlignment="1">
      <alignment horizontal="center" vertical="center"/>
    </xf>
    <xf numFmtId="0" fontId="66" fillId="5" borderId="20" xfId="0" applyFont="1" applyFill="1" applyBorder="1"/>
    <xf numFmtId="0" fontId="62" fillId="0" borderId="20" xfId="0" applyFont="1" applyBorder="1" applyAlignment="1">
      <alignment horizontal="center" wrapText="1"/>
    </xf>
    <xf numFmtId="0" fontId="66" fillId="5" borderId="0" xfId="0" applyFont="1" applyFill="1" applyAlignment="1">
      <alignment horizontal="center"/>
    </xf>
    <xf numFmtId="0" fontId="66" fillId="5" borderId="0" xfId="0" applyFont="1" applyFill="1"/>
    <xf numFmtId="0" fontId="15" fillId="5" borderId="20" xfId="0" applyFont="1" applyFill="1" applyBorder="1" applyAlignment="1">
      <alignment horizontal="left"/>
    </xf>
    <xf numFmtId="0" fontId="62" fillId="0" borderId="22" xfId="0" applyFont="1" applyBorder="1" applyAlignment="1">
      <alignment horizontal="center"/>
    </xf>
    <xf numFmtId="0" fontId="66" fillId="5" borderId="20" xfId="0" applyFont="1" applyFill="1" applyBorder="1" applyAlignment="1">
      <alignment horizontal="left" vertical="center"/>
    </xf>
    <xf numFmtId="0" fontId="10" fillId="0" borderId="20" xfId="0" applyFont="1" applyBorder="1"/>
    <xf numFmtId="16" fontId="22" fillId="0" borderId="19" xfId="0" applyNumberFormat="1" applyFont="1" applyBorder="1" applyAlignment="1">
      <alignment horizontal="center"/>
    </xf>
    <xf numFmtId="1" fontId="22" fillId="0" borderId="20" xfId="0" applyNumberFormat="1" applyFont="1" applyBorder="1" applyAlignment="1">
      <alignment horizontal="center"/>
    </xf>
    <xf numFmtId="1" fontId="22" fillId="0" borderId="20" xfId="0" applyNumberFormat="1" applyFont="1" applyBorder="1" applyAlignment="1">
      <alignment horizontal="center" wrapText="1"/>
    </xf>
    <xf numFmtId="49" fontId="22" fillId="0" borderId="28" xfId="1" applyNumberFormat="1" applyFont="1" applyBorder="1" applyAlignment="1">
      <alignment horizontal="center"/>
    </xf>
    <xf numFmtId="49" fontId="22" fillId="0" borderId="19" xfId="1" applyNumberFormat="1" applyFont="1" applyBorder="1" applyAlignment="1">
      <alignment horizontal="center"/>
    </xf>
    <xf numFmtId="170" fontId="22" fillId="0" borderId="20" xfId="1" applyNumberFormat="1" applyFont="1" applyBorder="1" applyAlignment="1">
      <alignment horizontal="center"/>
    </xf>
    <xf numFmtId="1" fontId="22" fillId="0" borderId="20" xfId="1" applyNumberFormat="1" applyFont="1" applyBorder="1" applyAlignment="1">
      <alignment horizontal="center" wrapText="1"/>
    </xf>
    <xf numFmtId="0" fontId="65" fillId="6" borderId="23" xfId="0" applyFont="1" applyFill="1" applyBorder="1" applyAlignment="1">
      <alignment horizontal="center"/>
    </xf>
    <xf numFmtId="1" fontId="62" fillId="0" borderId="20" xfId="0" applyNumberFormat="1" applyFont="1" applyBorder="1" applyAlignment="1">
      <alignment horizontal="center"/>
    </xf>
    <xf numFmtId="1" fontId="62" fillId="6" borderId="20" xfId="1" applyNumberFormat="1" applyFont="1" applyFill="1" applyBorder="1" applyAlignment="1">
      <alignment horizontal="center"/>
    </xf>
    <xf numFmtId="1" fontId="62" fillId="6" borderId="20" xfId="1" applyNumberFormat="1" applyFont="1" applyFill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10" fillId="0" borderId="0" xfId="0" applyFont="1"/>
    <xf numFmtId="16" fontId="62" fillId="6" borderId="20" xfId="0" applyNumberFormat="1" applyFont="1" applyFill="1" applyBorder="1" applyAlignment="1">
      <alignment horizontal="center"/>
    </xf>
    <xf numFmtId="0" fontId="62" fillId="2" borderId="20" xfId="0" applyFont="1" applyFill="1" applyBorder="1" applyAlignment="1">
      <alignment horizontal="center"/>
    </xf>
    <xf numFmtId="1" fontId="62" fillId="0" borderId="22" xfId="0" applyNumberFormat="1" applyFont="1" applyBorder="1" applyAlignment="1">
      <alignment horizontal="center" wrapText="1"/>
    </xf>
    <xf numFmtId="16" fontId="62" fillId="0" borderId="20" xfId="0" applyNumberFormat="1" applyFont="1" applyBorder="1" applyAlignment="1">
      <alignment horizontal="center"/>
    </xf>
    <xf numFmtId="1" fontId="62" fillId="0" borderId="22" xfId="0" applyNumberFormat="1" applyFont="1" applyBorder="1" applyAlignment="1">
      <alignment horizontal="center"/>
    </xf>
    <xf numFmtId="1" fontId="62" fillId="0" borderId="20" xfId="0" applyNumberFormat="1" applyFont="1" applyBorder="1" applyAlignment="1">
      <alignment horizontal="center" wrapText="1"/>
    </xf>
    <xf numFmtId="49" fontId="56" fillId="0" borderId="9" xfId="1" applyNumberFormat="1" applyFont="1" applyBorder="1" applyAlignment="1">
      <alignment horizontal="center"/>
    </xf>
    <xf numFmtId="49" fontId="56" fillId="0" borderId="8" xfId="1" applyNumberFormat="1" applyFont="1" applyBorder="1" applyAlignment="1">
      <alignment horizontal="center"/>
    </xf>
    <xf numFmtId="0" fontId="56" fillId="0" borderId="19" xfId="1" applyFont="1" applyBorder="1" applyAlignment="1">
      <alignment horizontal="center"/>
    </xf>
    <xf numFmtId="170" fontId="56" fillId="0" borderId="20" xfId="1" applyNumberFormat="1" applyFont="1" applyBorder="1" applyAlignment="1">
      <alignment horizontal="center"/>
    </xf>
    <xf numFmtId="49" fontId="22" fillId="0" borderId="20" xfId="1" applyNumberFormat="1" applyFont="1" applyBorder="1" applyAlignment="1">
      <alignment horizontal="center"/>
    </xf>
    <xf numFmtId="49" fontId="22" fillId="0" borderId="20" xfId="1" applyNumberFormat="1" applyFont="1" applyBorder="1"/>
    <xf numFmtId="16" fontId="22" fillId="0" borderId="20" xfId="1" applyNumberFormat="1" applyFont="1" applyBorder="1" applyAlignment="1">
      <alignment horizontal="center"/>
    </xf>
    <xf numFmtId="1" fontId="62" fillId="0" borderId="22" xfId="1" applyNumberFormat="1" applyFont="1" applyBorder="1" applyAlignment="1">
      <alignment horizontal="center"/>
    </xf>
    <xf numFmtId="0" fontId="62" fillId="0" borderId="22" xfId="1" applyFont="1" applyBorder="1" applyAlignment="1">
      <alignment horizontal="center"/>
    </xf>
    <xf numFmtId="171" fontId="15" fillId="6" borderId="20" xfId="4" applyNumberFormat="1" applyFont="1" applyFill="1" applyBorder="1" applyAlignment="1">
      <alignment horizontal="center"/>
    </xf>
    <xf numFmtId="0" fontId="10" fillId="0" borderId="20" xfId="0" applyFont="1" applyBorder="1" applyAlignment="1">
      <alignment horizontal="center" vertical="center"/>
    </xf>
    <xf numFmtId="0" fontId="10" fillId="0" borderId="20" xfId="0" applyFont="1" applyBorder="1" applyAlignment="1">
      <alignment horizontal="left" vertical="center"/>
    </xf>
    <xf numFmtId="0" fontId="22" fillId="0" borderId="30" xfId="0" applyFont="1" applyBorder="1" applyAlignment="1">
      <alignment horizontal="center"/>
    </xf>
    <xf numFmtId="0" fontId="22" fillId="0" borderId="20" xfId="0" applyFont="1" applyBorder="1" applyAlignment="1">
      <alignment horizontal="center" wrapText="1"/>
    </xf>
    <xf numFmtId="1" fontId="10" fillId="0" borderId="20" xfId="0" applyNumberFormat="1" applyFont="1" applyBorder="1" applyAlignment="1">
      <alignment horizontal="left" vertical="center"/>
    </xf>
    <xf numFmtId="12" fontId="22" fillId="0" borderId="20" xfId="1" applyNumberFormat="1" applyFont="1" applyBorder="1" applyAlignment="1">
      <alignment horizontal="center"/>
    </xf>
    <xf numFmtId="0" fontId="22" fillId="6" borderId="28" xfId="0" applyFont="1" applyFill="1" applyBorder="1" applyAlignment="1">
      <alignment horizontal="center"/>
    </xf>
    <xf numFmtId="0" fontId="67" fillId="6" borderId="0" xfId="0" applyFont="1" applyFill="1" applyAlignment="1">
      <alignment horizontal="center"/>
    </xf>
    <xf numFmtId="1" fontId="22" fillId="6" borderId="20" xfId="0" applyNumberFormat="1" applyFont="1" applyFill="1" applyBorder="1"/>
    <xf numFmtId="0" fontId="22" fillId="6" borderId="20" xfId="0" applyFont="1" applyFill="1" applyBorder="1" applyAlignment="1">
      <alignment horizontal="center"/>
    </xf>
    <xf numFmtId="0" fontId="22" fillId="6" borderId="20" xfId="0" applyFont="1" applyFill="1" applyBorder="1" applyAlignment="1">
      <alignment horizontal="center" wrapText="1"/>
    </xf>
    <xf numFmtId="49" fontId="68" fillId="2" borderId="25" xfId="1" applyNumberFormat="1" applyFont="1" applyFill="1" applyBorder="1" applyAlignment="1">
      <alignment horizontal="center" vertical="center"/>
    </xf>
    <xf numFmtId="49" fontId="68" fillId="2" borderId="0" xfId="1" applyNumberFormat="1" applyFont="1" applyFill="1" applyAlignment="1">
      <alignment horizontal="center" vertical="center"/>
    </xf>
    <xf numFmtId="0" fontId="62" fillId="2" borderId="0" xfId="1" applyFont="1" applyFill="1"/>
    <xf numFmtId="1" fontId="62" fillId="2" borderId="0" xfId="1" applyNumberFormat="1" applyFont="1" applyFill="1" applyAlignment="1">
      <alignment horizontal="center"/>
    </xf>
    <xf numFmtId="164" fontId="62" fillId="2" borderId="0" xfId="1" applyNumberFormat="1" applyFont="1" applyFill="1" applyAlignment="1">
      <alignment horizontal="center" wrapText="1"/>
    </xf>
    <xf numFmtId="0" fontId="62" fillId="2" borderId="24" xfId="1" applyFont="1" applyFill="1" applyBorder="1" applyAlignment="1">
      <alignment horizontal="center"/>
    </xf>
    <xf numFmtId="0" fontId="62" fillId="4" borderId="12" xfId="1" applyFont="1" applyFill="1" applyBorder="1" applyAlignment="1">
      <alignment horizontal="center"/>
    </xf>
    <xf numFmtId="0" fontId="62" fillId="4" borderId="11" xfId="1" applyFont="1" applyFill="1" applyBorder="1" applyAlignment="1">
      <alignment horizontal="center"/>
    </xf>
    <xf numFmtId="0" fontId="62" fillId="4" borderId="11" xfId="1" applyFont="1" applyFill="1" applyBorder="1"/>
    <xf numFmtId="0" fontId="15" fillId="4" borderId="11" xfId="1" applyFont="1" applyFill="1" applyBorder="1" applyAlignment="1">
      <alignment horizontal="center"/>
    </xf>
    <xf numFmtId="1" fontId="15" fillId="4" borderId="11" xfId="1" applyNumberFormat="1" applyFont="1" applyFill="1" applyBorder="1" applyAlignment="1">
      <alignment horizontal="center"/>
    </xf>
    <xf numFmtId="164" fontId="62" fillId="4" borderId="11" xfId="1" applyNumberFormat="1" applyFont="1" applyFill="1" applyBorder="1" applyAlignment="1">
      <alignment horizontal="center" wrapText="1"/>
    </xf>
    <xf numFmtId="0" fontId="62" fillId="4" borderId="10" xfId="1" applyFont="1" applyFill="1" applyBorder="1" applyAlignment="1">
      <alignment horizontal="center"/>
    </xf>
    <xf numFmtId="0" fontId="62" fillId="0" borderId="21" xfId="0" applyFont="1" applyBorder="1" applyAlignment="1">
      <alignment horizontal="center"/>
    </xf>
    <xf numFmtId="1" fontId="62" fillId="0" borderId="15" xfId="0" applyNumberFormat="1" applyFont="1" applyBorder="1" applyAlignment="1">
      <alignment horizontal="center"/>
    </xf>
    <xf numFmtId="0" fontId="62" fillId="0" borderId="15" xfId="0" applyFont="1" applyBorder="1" applyAlignment="1">
      <alignment horizontal="center"/>
    </xf>
    <xf numFmtId="0" fontId="13" fillId="2" borderId="38" xfId="3" applyFont="1" applyFill="1" applyBorder="1" applyAlignment="1">
      <alignment horizontal="center"/>
    </xf>
    <xf numFmtId="1" fontId="0" fillId="0" borderId="20" xfId="0" applyNumberFormat="1" applyBorder="1"/>
    <xf numFmtId="0" fontId="13" fillId="0" borderId="20" xfId="0" applyFont="1" applyBorder="1" applyAlignment="1">
      <alignment horizontal="center" vertical="center"/>
    </xf>
    <xf numFmtId="1" fontId="13" fillId="0" borderId="20" xfId="0" applyNumberFormat="1" applyFont="1" applyBorder="1" applyAlignment="1">
      <alignment horizontal="center" vertical="center"/>
    </xf>
    <xf numFmtId="1" fontId="13" fillId="0" borderId="20" xfId="0" applyNumberFormat="1" applyFont="1" applyBorder="1" applyAlignment="1">
      <alignment horizontal="center" vertical="center" wrapText="1"/>
    </xf>
    <xf numFmtId="12" fontId="13" fillId="0" borderId="22" xfId="0" applyNumberFormat="1" applyFont="1" applyBorder="1" applyAlignment="1">
      <alignment horizontal="center"/>
    </xf>
    <xf numFmtId="0" fontId="13" fillId="0" borderId="20" xfId="0" applyFont="1" applyBorder="1" applyAlignment="1">
      <alignment horizontal="left" vertical="center"/>
    </xf>
    <xf numFmtId="0" fontId="0" fillId="0" borderId="19" xfId="0" applyBorder="1" applyAlignment="1">
      <alignment horizontal="center"/>
    </xf>
    <xf numFmtId="0" fontId="13" fillId="6" borderId="20" xfId="1" applyFont="1" applyFill="1" applyBorder="1" applyAlignment="1">
      <alignment horizontal="center"/>
    </xf>
    <xf numFmtId="1" fontId="0" fillId="0" borderId="19" xfId="0" applyNumberFormat="1" applyBorder="1"/>
    <xf numFmtId="0" fontId="58" fillId="6" borderId="28" xfId="0" applyFont="1" applyFill="1" applyBorder="1" applyAlignment="1">
      <alignment horizontal="center"/>
    </xf>
    <xf numFmtId="0" fontId="58" fillId="6" borderId="23" xfId="0" applyFont="1" applyFill="1" applyBorder="1" applyAlignment="1">
      <alignment horizontal="center"/>
    </xf>
    <xf numFmtId="0" fontId="58" fillId="6" borderId="22" xfId="0" applyFont="1" applyFill="1" applyBorder="1"/>
    <xf numFmtId="0" fontId="13" fillId="6" borderId="19" xfId="0" applyFont="1" applyFill="1" applyBorder="1" applyAlignment="1">
      <alignment horizontal="center"/>
    </xf>
    <xf numFmtId="1" fontId="13" fillId="6" borderId="22" xfId="0" applyNumberFormat="1" applyFont="1" applyFill="1" applyBorder="1" applyAlignment="1">
      <alignment horizontal="center"/>
    </xf>
    <xf numFmtId="1" fontId="13" fillId="6" borderId="22" xfId="0" applyNumberFormat="1" applyFont="1" applyFill="1" applyBorder="1" applyAlignment="1">
      <alignment horizontal="center" wrapText="1"/>
    </xf>
    <xf numFmtId="16" fontId="13" fillId="0" borderId="20" xfId="0" applyNumberFormat="1" applyFont="1" applyBorder="1" applyAlignment="1">
      <alignment horizontal="center"/>
    </xf>
    <xf numFmtId="1" fontId="13" fillId="0" borderId="20" xfId="0" applyNumberFormat="1" applyFont="1" applyBorder="1" applyAlignment="1">
      <alignment horizontal="center"/>
    </xf>
    <xf numFmtId="1" fontId="13" fillId="0" borderId="20" xfId="0" applyNumberFormat="1" applyFont="1" applyBorder="1" applyAlignment="1">
      <alignment horizontal="center" wrapText="1"/>
    </xf>
    <xf numFmtId="170" fontId="20" fillId="0" borderId="20" xfId="1" applyNumberFormat="1" applyFont="1" applyBorder="1" applyAlignment="1">
      <alignment horizontal="center"/>
    </xf>
    <xf numFmtId="49" fontId="21" fillId="0" borderId="28" xfId="0" applyNumberFormat="1" applyFont="1" applyBorder="1" applyAlignment="1">
      <alignment horizontal="center"/>
    </xf>
    <xf numFmtId="49" fontId="21" fillId="0" borderId="19" xfId="0" applyNumberFormat="1" applyFont="1" applyBorder="1" applyAlignment="1">
      <alignment horizontal="center"/>
    </xf>
    <xf numFmtId="49" fontId="24" fillId="0" borderId="20" xfId="0" applyNumberFormat="1" applyFont="1" applyBorder="1"/>
    <xf numFmtId="171" fontId="16" fillId="6" borderId="20" xfId="4" applyNumberFormat="1" applyFont="1" applyFill="1" applyBorder="1" applyAlignment="1">
      <alignment horizontal="center"/>
    </xf>
    <xf numFmtId="0" fontId="69" fillId="0" borderId="28" xfId="0" applyFont="1" applyBorder="1" applyAlignment="1">
      <alignment horizontal="center"/>
    </xf>
    <xf numFmtId="0" fontId="69" fillId="0" borderId="19" xfId="0" applyFont="1" applyBorder="1" applyAlignment="1">
      <alignment horizontal="center"/>
    </xf>
    <xf numFmtId="0" fontId="48" fillId="0" borderId="20" xfId="0" applyFont="1" applyBorder="1"/>
    <xf numFmtId="0" fontId="0" fillId="0" borderId="20" xfId="0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13" fillId="0" borderId="20" xfId="0" quotePrefix="1" applyFont="1" applyBorder="1" applyAlignment="1">
      <alignment horizontal="center"/>
    </xf>
    <xf numFmtId="0" fontId="13" fillId="0" borderId="20" xfId="0" quotePrefix="1" applyFont="1" applyBorder="1"/>
    <xf numFmtId="1" fontId="16" fillId="0" borderId="22" xfId="0" applyNumberFormat="1" applyFont="1" applyBorder="1" applyAlignment="1">
      <alignment horizontal="center"/>
    </xf>
    <xf numFmtId="1" fontId="13" fillId="0" borderId="15" xfId="0" applyNumberFormat="1" applyFont="1" applyBorder="1" applyAlignment="1">
      <alignment horizontal="center"/>
    </xf>
    <xf numFmtId="0" fontId="2" fillId="0" borderId="70" xfId="1" applyBorder="1" applyAlignment="1">
      <alignment horizontal="center" vertical="center"/>
    </xf>
    <xf numFmtId="0" fontId="2" fillId="0" borderId="20" xfId="1" applyBorder="1" applyAlignment="1">
      <alignment horizontal="center" vertical="center"/>
    </xf>
    <xf numFmtId="0" fontId="2" fillId="0" borderId="71" xfId="1" applyBorder="1" applyAlignment="1">
      <alignment horizontal="left" vertical="center"/>
    </xf>
    <xf numFmtId="16" fontId="13" fillId="0" borderId="22" xfId="1" applyNumberFormat="1" applyFont="1" applyBorder="1" applyAlignment="1">
      <alignment horizontal="center"/>
    </xf>
    <xf numFmtId="1" fontId="13" fillId="0" borderId="20" xfId="1" applyNumberFormat="1" applyFont="1" applyBorder="1" applyAlignment="1">
      <alignment horizontal="center"/>
    </xf>
    <xf numFmtId="1" fontId="13" fillId="0" borderId="20" xfId="1" applyNumberFormat="1" applyFont="1" applyBorder="1" applyAlignment="1">
      <alignment horizontal="center" wrapText="1"/>
    </xf>
    <xf numFmtId="0" fontId="13" fillId="0" borderId="18" xfId="1" quotePrefix="1" applyFont="1" applyBorder="1" applyAlignment="1">
      <alignment horizontal="center"/>
    </xf>
    <xf numFmtId="0" fontId="13" fillId="0" borderId="20" xfId="1" quotePrefix="1" applyFont="1" applyBorder="1" applyAlignment="1">
      <alignment horizontal="center"/>
    </xf>
    <xf numFmtId="0" fontId="13" fillId="0" borderId="19" xfId="1" quotePrefix="1" applyFont="1" applyBorder="1"/>
    <xf numFmtId="16" fontId="13" fillId="0" borderId="20" xfId="1" applyNumberFormat="1" applyFont="1" applyBorder="1" applyAlignment="1">
      <alignment horizontal="center"/>
    </xf>
    <xf numFmtId="0" fontId="71" fillId="0" borderId="20" xfId="0" applyFont="1" applyBorder="1" applyAlignment="1">
      <alignment horizontal="center" vertical="center"/>
    </xf>
    <xf numFmtId="0" fontId="56" fillId="0" borderId="20" xfId="0" applyFont="1" applyBorder="1"/>
    <xf numFmtId="49" fontId="13" fillId="6" borderId="22" xfId="0" applyNumberFormat="1" applyFont="1" applyFill="1" applyBorder="1" applyAlignment="1">
      <alignment horizontal="center"/>
    </xf>
    <xf numFmtId="1" fontId="13" fillId="6" borderId="20" xfId="1" applyNumberFormat="1" applyFont="1" applyFill="1" applyBorder="1" applyAlignment="1">
      <alignment horizontal="center"/>
    </xf>
    <xf numFmtId="1" fontId="13" fillId="6" borderId="20" xfId="1" applyNumberFormat="1" applyFont="1" applyFill="1" applyBorder="1" applyAlignment="1">
      <alignment horizontal="center" wrapText="1"/>
    </xf>
    <xf numFmtId="49" fontId="21" fillId="0" borderId="20" xfId="0" applyNumberFormat="1" applyFont="1" applyBorder="1" applyAlignment="1">
      <alignment horizontal="center"/>
    </xf>
    <xf numFmtId="49" fontId="23" fillId="0" borderId="20" xfId="0" applyNumberFormat="1" applyFont="1" applyBorder="1"/>
    <xf numFmtId="1" fontId="13" fillId="0" borderId="22" xfId="0" applyNumberFormat="1" applyFont="1" applyBorder="1" applyAlignment="1">
      <alignment horizontal="center"/>
    </xf>
    <xf numFmtId="0" fontId="58" fillId="6" borderId="20" xfId="0" applyFont="1" applyFill="1" applyBorder="1" applyAlignment="1">
      <alignment horizontal="center"/>
    </xf>
    <xf numFmtId="1" fontId="13" fillId="6" borderId="20" xfId="0" applyNumberFormat="1" applyFont="1" applyFill="1" applyBorder="1" applyAlignment="1">
      <alignment horizontal="center"/>
    </xf>
    <xf numFmtId="1" fontId="13" fillId="6" borderId="20" xfId="0" applyNumberFormat="1" applyFont="1" applyFill="1" applyBorder="1" applyAlignment="1">
      <alignment horizontal="center" wrapText="1"/>
    </xf>
    <xf numFmtId="0" fontId="58" fillId="6" borderId="19" xfId="0" applyFont="1" applyFill="1" applyBorder="1" applyAlignment="1">
      <alignment horizontal="center"/>
    </xf>
    <xf numFmtId="0" fontId="58" fillId="6" borderId="20" xfId="0" applyFont="1" applyFill="1" applyBorder="1"/>
    <xf numFmtId="0" fontId="19" fillId="0" borderId="20" xfId="0" applyFont="1" applyBorder="1" applyAlignment="1">
      <alignment horizontal="center"/>
    </xf>
    <xf numFmtId="0" fontId="19" fillId="0" borderId="20" xfId="0" applyFont="1" applyBorder="1" applyAlignment="1">
      <alignment horizontal="center" vertical="center"/>
    </xf>
    <xf numFmtId="0" fontId="19" fillId="5" borderId="0" xfId="0" applyFont="1" applyFill="1" applyAlignment="1">
      <alignment horizontal="center"/>
    </xf>
    <xf numFmtId="0" fontId="19" fillId="5" borderId="0" xfId="0" applyFont="1" applyFill="1"/>
    <xf numFmtId="0" fontId="16" fillId="5" borderId="20" xfId="0" applyFont="1" applyFill="1" applyBorder="1" applyAlignment="1">
      <alignment horizontal="left"/>
    </xf>
    <xf numFmtId="0" fontId="19" fillId="5" borderId="20" xfId="0" applyFont="1" applyFill="1" applyBorder="1" applyAlignment="1">
      <alignment horizontal="left" vertical="center"/>
    </xf>
    <xf numFmtId="16" fontId="13" fillId="6" borderId="20" xfId="0" applyNumberFormat="1" applyFont="1" applyFill="1" applyBorder="1" applyAlignment="1">
      <alignment horizontal="center"/>
    </xf>
    <xf numFmtId="0" fontId="13" fillId="2" borderId="20" xfId="0" applyFont="1" applyFill="1" applyBorder="1" applyAlignment="1">
      <alignment horizontal="center"/>
    </xf>
    <xf numFmtId="1" fontId="13" fillId="0" borderId="22" xfId="0" applyNumberFormat="1" applyFont="1" applyBorder="1" applyAlignment="1">
      <alignment horizontal="center" wrapText="1"/>
    </xf>
    <xf numFmtId="49" fontId="21" fillId="0" borderId="20" xfId="1" applyNumberFormat="1" applyFont="1" applyBorder="1" applyAlignment="1">
      <alignment horizontal="center"/>
    </xf>
    <xf numFmtId="16" fontId="21" fillId="0" borderId="20" xfId="1" applyNumberFormat="1" applyFont="1" applyBorder="1" applyAlignment="1">
      <alignment horizontal="center"/>
    </xf>
    <xf numFmtId="1" fontId="13" fillId="0" borderId="22" xfId="1" applyNumberFormat="1" applyFont="1" applyBorder="1" applyAlignment="1">
      <alignment horizontal="center"/>
    </xf>
    <xf numFmtId="0" fontId="13" fillId="0" borderId="22" xfId="1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2" fillId="0" borderId="20" xfId="0" applyFont="1" applyBorder="1" applyAlignment="1">
      <alignment horizontal="left" vertical="center"/>
    </xf>
    <xf numFmtId="0" fontId="21" fillId="0" borderId="30" xfId="0" applyFont="1" applyBorder="1" applyAlignment="1">
      <alignment horizontal="center"/>
    </xf>
    <xf numFmtId="1" fontId="2" fillId="0" borderId="20" xfId="0" applyNumberFormat="1" applyFont="1" applyBorder="1" applyAlignment="1">
      <alignment horizontal="left" vertical="center"/>
    </xf>
    <xf numFmtId="0" fontId="21" fillId="6" borderId="28" xfId="0" applyFont="1" applyFill="1" applyBorder="1" applyAlignment="1">
      <alignment horizontal="center"/>
    </xf>
    <xf numFmtId="0" fontId="72" fillId="6" borderId="0" xfId="0" applyFont="1" applyFill="1" applyAlignment="1">
      <alignment horizontal="center"/>
    </xf>
    <xf numFmtId="1" fontId="23" fillId="6" borderId="20" xfId="0" applyNumberFormat="1" applyFont="1" applyFill="1" applyBorder="1"/>
    <xf numFmtId="0" fontId="23" fillId="6" borderId="20" xfId="0" applyFont="1" applyFill="1" applyBorder="1" applyAlignment="1">
      <alignment horizontal="center"/>
    </xf>
    <xf numFmtId="0" fontId="74" fillId="2" borderId="32" xfId="3" applyFont="1" applyFill="1" applyBorder="1" applyAlignment="1">
      <alignment horizontal="right"/>
    </xf>
    <xf numFmtId="0" fontId="73" fillId="2" borderId="38" xfId="3" applyFont="1" applyFill="1" applyBorder="1" applyAlignment="1">
      <alignment horizontal="center"/>
    </xf>
    <xf numFmtId="0" fontId="74" fillId="2" borderId="20" xfId="3" applyFont="1" applyFill="1" applyBorder="1" applyAlignment="1">
      <alignment horizontal="right"/>
    </xf>
    <xf numFmtId="49" fontId="73" fillId="2" borderId="26" xfId="3" applyNumberFormat="1" applyFont="1" applyFill="1" applyBorder="1" applyAlignment="1">
      <alignment horizontal="center"/>
    </xf>
    <xf numFmtId="0" fontId="73" fillId="2" borderId="22" xfId="3" applyFont="1" applyFill="1" applyBorder="1" applyAlignment="1">
      <alignment horizontal="right"/>
    </xf>
    <xf numFmtId="0" fontId="73" fillId="2" borderId="20" xfId="3" applyFont="1" applyFill="1" applyBorder="1" applyAlignment="1">
      <alignment horizontal="right"/>
    </xf>
    <xf numFmtId="14" fontId="76" fillId="2" borderId="0" xfId="3" applyNumberFormat="1" applyFont="1" applyFill="1" applyAlignment="1">
      <alignment horizontal="center" vertical="center" wrapText="1"/>
    </xf>
    <xf numFmtId="0" fontId="74" fillId="4" borderId="38" xfId="1" applyFont="1" applyFill="1" applyBorder="1" applyAlignment="1">
      <alignment horizontal="center" vertical="center" wrapText="1"/>
    </xf>
    <xf numFmtId="1" fontId="74" fillId="4" borderId="15" xfId="1" applyNumberFormat="1" applyFont="1" applyFill="1" applyBorder="1" applyAlignment="1">
      <alignment horizontal="center"/>
    </xf>
    <xf numFmtId="1" fontId="74" fillId="4" borderId="15" xfId="1" applyNumberFormat="1" applyFont="1" applyFill="1" applyBorder="1" applyAlignment="1">
      <alignment horizontal="center" wrapText="1"/>
    </xf>
    <xf numFmtId="0" fontId="74" fillId="4" borderId="29" xfId="1" applyFont="1" applyFill="1" applyBorder="1" applyAlignment="1">
      <alignment horizontal="center"/>
    </xf>
    <xf numFmtId="0" fontId="77" fillId="0" borderId="28" xfId="1" applyFont="1" applyBorder="1" applyAlignment="1">
      <alignment horizontal="center" vertical="center"/>
    </xf>
    <xf numFmtId="0" fontId="77" fillId="0" borderId="19" xfId="1" applyFont="1" applyBorder="1" applyAlignment="1">
      <alignment horizontal="center" vertical="center"/>
    </xf>
    <xf numFmtId="0" fontId="78" fillId="0" borderId="20" xfId="1" applyFont="1" applyBorder="1" applyAlignment="1">
      <alignment vertical="center"/>
    </xf>
    <xf numFmtId="0" fontId="77" fillId="0" borderId="20" xfId="1" applyFont="1" applyBorder="1" applyAlignment="1">
      <alignment horizontal="center" vertical="center"/>
    </xf>
    <xf numFmtId="1" fontId="77" fillId="0" borderId="20" xfId="1" applyNumberFormat="1" applyFont="1" applyBorder="1" applyAlignment="1">
      <alignment horizontal="center"/>
    </xf>
    <xf numFmtId="1" fontId="77" fillId="0" borderId="20" xfId="1" applyNumberFormat="1" applyFont="1" applyBorder="1" applyAlignment="1">
      <alignment horizontal="center" wrapText="1"/>
    </xf>
    <xf numFmtId="0" fontId="79" fillId="0" borderId="26" xfId="1" applyFont="1" applyBorder="1" applyAlignment="1">
      <alignment horizontal="center"/>
    </xf>
    <xf numFmtId="49" fontId="80" fillId="6" borderId="20" xfId="1" applyNumberFormat="1" applyFont="1" applyFill="1" applyBorder="1" applyAlignment="1">
      <alignment horizontal="center"/>
    </xf>
    <xf numFmtId="0" fontId="80" fillId="0" borderId="20" xfId="1" applyFont="1" applyBorder="1" applyAlignment="1">
      <alignment horizontal="left" wrapText="1"/>
    </xf>
    <xf numFmtId="16" fontId="79" fillId="0" borderId="20" xfId="1" applyNumberFormat="1" applyFont="1" applyBorder="1" applyAlignment="1">
      <alignment horizontal="center"/>
    </xf>
    <xf numFmtId="1" fontId="79" fillId="0" borderId="20" xfId="1" applyNumberFormat="1" applyFont="1" applyBorder="1" applyAlignment="1">
      <alignment horizontal="center"/>
    </xf>
    <xf numFmtId="1" fontId="79" fillId="0" borderId="20" xfId="1" applyNumberFormat="1" applyFont="1" applyBorder="1" applyAlignment="1">
      <alignment horizontal="center" wrapText="1"/>
    </xf>
    <xf numFmtId="0" fontId="73" fillId="0" borderId="22" xfId="0" applyFont="1" applyBorder="1" applyAlignment="1">
      <alignment horizontal="center" wrapText="1"/>
    </xf>
    <xf numFmtId="12" fontId="73" fillId="0" borderId="22" xfId="0" applyNumberFormat="1" applyFont="1" applyBorder="1" applyAlignment="1">
      <alignment horizontal="center"/>
    </xf>
    <xf numFmtId="0" fontId="81" fillId="0" borderId="20" xfId="0" applyFont="1" applyBorder="1" applyAlignment="1">
      <alignment horizontal="center" vertical="top"/>
    </xf>
    <xf numFmtId="0" fontId="81" fillId="0" borderId="19" xfId="0" applyFont="1" applyBorder="1" applyAlignment="1">
      <alignment horizontal="center" vertical="top"/>
    </xf>
    <xf numFmtId="0" fontId="81" fillId="6" borderId="20" xfId="0" applyFont="1" applyFill="1" applyBorder="1"/>
    <xf numFmtId="16" fontId="79" fillId="2" borderId="20" xfId="0" applyNumberFormat="1" applyFont="1" applyFill="1" applyBorder="1" applyAlignment="1">
      <alignment horizontal="center"/>
    </xf>
    <xf numFmtId="1" fontId="79" fillId="2" borderId="20" xfId="0" applyNumberFormat="1" applyFont="1" applyFill="1" applyBorder="1" applyAlignment="1">
      <alignment horizontal="center"/>
    </xf>
    <xf numFmtId="1" fontId="79" fillId="2" borderId="20" xfId="0" applyNumberFormat="1" applyFont="1" applyFill="1" applyBorder="1" applyAlignment="1">
      <alignment horizontal="center" wrapText="1"/>
    </xf>
    <xf numFmtId="0" fontId="81" fillId="0" borderId="28" xfId="0" quotePrefix="1" applyFont="1" applyBorder="1" applyAlignment="1">
      <alignment horizontal="center"/>
    </xf>
    <xf numFmtId="0" fontId="81" fillId="0" borderId="19" xfId="0" quotePrefix="1" applyFont="1" applyBorder="1" applyAlignment="1">
      <alignment horizontal="center"/>
    </xf>
    <xf numFmtId="0" fontId="81" fillId="0" borderId="20" xfId="0" quotePrefix="1" applyFont="1" applyBorder="1"/>
    <xf numFmtId="0" fontId="79" fillId="0" borderId="20" xfId="0" applyFont="1" applyBorder="1" applyAlignment="1">
      <alignment horizontal="center"/>
    </xf>
    <xf numFmtId="0" fontId="73" fillId="0" borderId="20" xfId="0" applyFont="1" applyBorder="1" applyAlignment="1">
      <alignment horizontal="center"/>
    </xf>
    <xf numFmtId="0" fontId="81" fillId="0" borderId="20" xfId="0" applyFont="1" applyBorder="1" applyAlignment="1">
      <alignment horizontal="center"/>
    </xf>
    <xf numFmtId="0" fontId="79" fillId="0" borderId="20" xfId="1" applyFont="1" applyBorder="1" applyAlignment="1">
      <alignment horizontal="center"/>
    </xf>
    <xf numFmtId="1" fontId="81" fillId="0" borderId="20" xfId="0" applyNumberFormat="1" applyFont="1" applyBorder="1"/>
    <xf numFmtId="0" fontId="81" fillId="0" borderId="20" xfId="0" applyFont="1" applyBorder="1"/>
    <xf numFmtId="0" fontId="73" fillId="6" borderId="20" xfId="1" applyFont="1" applyFill="1" applyBorder="1" applyAlignment="1">
      <alignment horizontal="center"/>
    </xf>
    <xf numFmtId="49" fontId="79" fillId="0" borderId="28" xfId="1" applyNumberFormat="1" applyFont="1" applyBorder="1" applyAlignment="1">
      <alignment horizontal="center"/>
    </xf>
    <xf numFmtId="49" fontId="79" fillId="0" borderId="19" xfId="1" applyNumberFormat="1" applyFont="1" applyBorder="1" applyAlignment="1">
      <alignment horizontal="center"/>
    </xf>
    <xf numFmtId="0" fontId="77" fillId="6" borderId="20" xfId="1" applyFont="1" applyFill="1" applyBorder="1" applyAlignment="1">
      <alignment horizontal="left"/>
    </xf>
    <xf numFmtId="170" fontId="79" fillId="0" borderId="20" xfId="1" applyNumberFormat="1" applyFont="1" applyBorder="1" applyAlignment="1">
      <alignment horizontal="center"/>
    </xf>
    <xf numFmtId="0" fontId="82" fillId="6" borderId="28" xfId="0" applyFont="1" applyFill="1" applyBorder="1" applyAlignment="1">
      <alignment horizontal="center"/>
    </xf>
    <xf numFmtId="0" fontId="82" fillId="6" borderId="23" xfId="0" applyFont="1" applyFill="1" applyBorder="1" applyAlignment="1">
      <alignment horizontal="center"/>
    </xf>
    <xf numFmtId="0" fontId="82" fillId="6" borderId="22" xfId="0" applyFont="1" applyFill="1" applyBorder="1"/>
    <xf numFmtId="0" fontId="73" fillId="6" borderId="19" xfId="0" applyFont="1" applyFill="1" applyBorder="1" applyAlignment="1">
      <alignment horizontal="center"/>
    </xf>
    <xf numFmtId="1" fontId="73" fillId="6" borderId="22" xfId="0" applyNumberFormat="1" applyFont="1" applyFill="1" applyBorder="1" applyAlignment="1">
      <alignment horizontal="center"/>
    </xf>
    <xf numFmtId="1" fontId="73" fillId="6" borderId="22" xfId="0" applyNumberFormat="1" applyFont="1" applyFill="1" applyBorder="1" applyAlignment="1">
      <alignment horizontal="center" wrapText="1"/>
    </xf>
    <xf numFmtId="49" fontId="73" fillId="6" borderId="22" xfId="0" applyNumberFormat="1" applyFont="1" applyFill="1" applyBorder="1" applyAlignment="1">
      <alignment horizontal="center"/>
    </xf>
    <xf numFmtId="1" fontId="73" fillId="6" borderId="20" xfId="1" applyNumberFormat="1" applyFont="1" applyFill="1" applyBorder="1" applyAlignment="1">
      <alignment horizontal="center"/>
    </xf>
    <xf numFmtId="1" fontId="73" fillId="6" borderId="20" xfId="1" applyNumberFormat="1" applyFont="1" applyFill="1" applyBorder="1" applyAlignment="1">
      <alignment horizontal="center" wrapText="1"/>
    </xf>
    <xf numFmtId="1" fontId="73" fillId="6" borderId="20" xfId="0" applyNumberFormat="1" applyFont="1" applyFill="1" applyBorder="1" applyAlignment="1">
      <alignment horizontal="center"/>
    </xf>
    <xf numFmtId="0" fontId="81" fillId="0" borderId="0" xfId="0" applyFont="1" applyAlignment="1">
      <alignment horizontal="center"/>
    </xf>
    <xf numFmtId="0" fontId="81" fillId="0" borderId="0" xfId="0" applyFont="1"/>
    <xf numFmtId="16" fontId="73" fillId="6" borderId="20" xfId="0" applyNumberFormat="1" applyFont="1" applyFill="1" applyBorder="1" applyAlignment="1">
      <alignment horizontal="center"/>
    </xf>
    <xf numFmtId="0" fontId="73" fillId="2" borderId="20" xfId="0" applyFont="1" applyFill="1" applyBorder="1" applyAlignment="1">
      <alignment horizontal="center"/>
    </xf>
    <xf numFmtId="1" fontId="73" fillId="0" borderId="22" xfId="0" applyNumberFormat="1" applyFont="1" applyBorder="1" applyAlignment="1">
      <alignment horizontal="center" wrapText="1"/>
    </xf>
    <xf numFmtId="16" fontId="73" fillId="0" borderId="20" xfId="0" applyNumberFormat="1" applyFont="1" applyBorder="1" applyAlignment="1">
      <alignment horizontal="center"/>
    </xf>
    <xf numFmtId="1" fontId="73" fillId="0" borderId="22" xfId="0" applyNumberFormat="1" applyFont="1" applyBorder="1" applyAlignment="1">
      <alignment horizontal="center"/>
    </xf>
    <xf numFmtId="1" fontId="73" fillId="0" borderId="20" xfId="0" applyNumberFormat="1" applyFont="1" applyBorder="1" applyAlignment="1">
      <alignment horizontal="center"/>
    </xf>
    <xf numFmtId="1" fontId="73" fillId="0" borderId="20" xfId="0" applyNumberFormat="1" applyFont="1" applyBorder="1" applyAlignment="1">
      <alignment horizontal="center" wrapText="1"/>
    </xf>
    <xf numFmtId="49" fontId="77" fillId="0" borderId="9" xfId="1" applyNumberFormat="1" applyFont="1" applyBorder="1" applyAlignment="1">
      <alignment horizontal="center"/>
    </xf>
    <xf numFmtId="49" fontId="77" fillId="0" borderId="8" xfId="1" applyNumberFormat="1" applyFont="1" applyBorder="1" applyAlignment="1">
      <alignment horizontal="center"/>
    </xf>
    <xf numFmtId="0" fontId="78" fillId="6" borderId="20" xfId="1" applyFont="1" applyFill="1" applyBorder="1" applyAlignment="1">
      <alignment vertical="center"/>
    </xf>
    <xf numFmtId="0" fontId="77" fillId="0" borderId="19" xfId="1" applyFont="1" applyBorder="1" applyAlignment="1">
      <alignment horizontal="center"/>
    </xf>
    <xf numFmtId="170" fontId="77" fillId="0" borderId="20" xfId="1" applyNumberFormat="1" applyFont="1" applyBorder="1" applyAlignment="1">
      <alignment horizontal="center"/>
    </xf>
    <xf numFmtId="49" fontId="79" fillId="0" borderId="20" xfId="0" applyNumberFormat="1" applyFont="1" applyBorder="1" applyAlignment="1">
      <alignment horizontal="center"/>
    </xf>
    <xf numFmtId="49" fontId="79" fillId="0" borderId="20" xfId="0" applyNumberFormat="1" applyFont="1" applyBorder="1"/>
    <xf numFmtId="1" fontId="79" fillId="0" borderId="20" xfId="0" applyNumberFormat="1" applyFont="1" applyBorder="1" applyAlignment="1">
      <alignment horizontal="center"/>
    </xf>
    <xf numFmtId="1" fontId="79" fillId="0" borderId="20" xfId="0" applyNumberFormat="1" applyFont="1" applyBorder="1" applyAlignment="1">
      <alignment horizontal="center" wrapText="1"/>
    </xf>
    <xf numFmtId="171" fontId="74" fillId="6" borderId="20" xfId="4" applyNumberFormat="1" applyFont="1" applyFill="1" applyBorder="1" applyAlignment="1">
      <alignment horizontal="center"/>
    </xf>
    <xf numFmtId="0" fontId="83" fillId="0" borderId="20" xfId="13" applyFont="1" applyBorder="1" applyAlignment="1">
      <alignment horizontal="center"/>
    </xf>
    <xf numFmtId="0" fontId="83" fillId="0" borderId="20" xfId="13" applyFont="1" applyBorder="1" applyAlignment="1">
      <alignment horizontal="left"/>
    </xf>
    <xf numFmtId="16" fontId="79" fillId="0" borderId="20" xfId="0" applyNumberFormat="1" applyFont="1" applyBorder="1" applyAlignment="1">
      <alignment horizontal="center"/>
    </xf>
    <xf numFmtId="0" fontId="81" fillId="0" borderId="20" xfId="0" applyFont="1" applyBorder="1" applyAlignment="1">
      <alignment horizontal="center" vertical="center"/>
    </xf>
    <xf numFmtId="0" fontId="81" fillId="0" borderId="20" xfId="0" applyFont="1" applyBorder="1" applyAlignment="1">
      <alignment horizontal="left" vertical="center"/>
    </xf>
    <xf numFmtId="12" fontId="79" fillId="0" borderId="20" xfId="1" applyNumberFormat="1" applyFont="1" applyBorder="1" applyAlignment="1">
      <alignment horizontal="center"/>
    </xf>
    <xf numFmtId="0" fontId="73" fillId="0" borderId="20" xfId="0" quotePrefix="1" applyFont="1" applyBorder="1" applyAlignment="1">
      <alignment horizontal="center"/>
    </xf>
    <xf numFmtId="0" fontId="73" fillId="0" borderId="20" xfId="0" quotePrefix="1" applyFont="1" applyBorder="1"/>
    <xf numFmtId="49" fontId="79" fillId="0" borderId="20" xfId="1" applyNumberFormat="1" applyFont="1" applyBorder="1"/>
    <xf numFmtId="49" fontId="84" fillId="2" borderId="25" xfId="1" applyNumberFormat="1" applyFont="1" applyFill="1" applyBorder="1" applyAlignment="1">
      <alignment horizontal="center" vertical="center"/>
    </xf>
    <xf numFmtId="49" fontId="84" fillId="2" borderId="0" xfId="1" applyNumberFormat="1" applyFont="1" applyFill="1" applyAlignment="1">
      <alignment horizontal="center" vertical="center"/>
    </xf>
    <xf numFmtId="0" fontId="73" fillId="2" borderId="0" xfId="1" applyFont="1" applyFill="1"/>
    <xf numFmtId="1" fontId="73" fillId="2" borderId="0" xfId="1" applyNumberFormat="1" applyFont="1" applyFill="1" applyAlignment="1">
      <alignment horizontal="center"/>
    </xf>
    <xf numFmtId="164" fontId="73" fillId="2" borderId="0" xfId="1" applyNumberFormat="1" applyFont="1" applyFill="1" applyAlignment="1">
      <alignment horizontal="center" wrapText="1"/>
    </xf>
    <xf numFmtId="0" fontId="73" fillId="2" borderId="24" xfId="1" applyFont="1" applyFill="1" applyBorder="1" applyAlignment="1">
      <alignment horizontal="center"/>
    </xf>
    <xf numFmtId="0" fontId="73" fillId="4" borderId="12" xfId="1" applyFont="1" applyFill="1" applyBorder="1" applyAlignment="1">
      <alignment horizontal="center"/>
    </xf>
    <xf numFmtId="0" fontId="73" fillId="4" borderId="11" xfId="1" applyFont="1" applyFill="1" applyBorder="1" applyAlignment="1">
      <alignment horizontal="center"/>
    </xf>
    <xf numFmtId="0" fontId="73" fillId="4" borderId="11" xfId="1" applyFont="1" applyFill="1" applyBorder="1"/>
    <xf numFmtId="0" fontId="74" fillId="4" borderId="11" xfId="1" applyFont="1" applyFill="1" applyBorder="1" applyAlignment="1">
      <alignment horizontal="center"/>
    </xf>
    <xf numFmtId="1" fontId="74" fillId="4" borderId="11" xfId="1" applyNumberFormat="1" applyFont="1" applyFill="1" applyBorder="1" applyAlignment="1">
      <alignment horizontal="center"/>
    </xf>
    <xf numFmtId="164" fontId="73" fillId="4" borderId="11" xfId="1" applyNumberFormat="1" applyFont="1" applyFill="1" applyBorder="1" applyAlignment="1">
      <alignment horizontal="center" wrapText="1"/>
    </xf>
    <xf numFmtId="0" fontId="73" fillId="4" borderId="10" xfId="1" applyFont="1" applyFill="1" applyBorder="1" applyAlignment="1">
      <alignment horizontal="center"/>
    </xf>
    <xf numFmtId="0" fontId="73" fillId="0" borderId="21" xfId="0" applyFont="1" applyBorder="1" applyAlignment="1">
      <alignment horizontal="center"/>
    </xf>
    <xf numFmtId="1" fontId="73" fillId="0" borderId="15" xfId="0" applyNumberFormat="1" applyFont="1" applyBorder="1" applyAlignment="1">
      <alignment horizontal="center"/>
    </xf>
    <xf numFmtId="0" fontId="73" fillId="0" borderId="15" xfId="0" applyFont="1" applyBorder="1" applyAlignment="1">
      <alignment horizontal="center"/>
    </xf>
    <xf numFmtId="0" fontId="17" fillId="2" borderId="32" xfId="3" applyFont="1" applyFill="1" applyBorder="1" applyAlignment="1">
      <alignment horizontal="right"/>
    </xf>
    <xf numFmtId="0" fontId="17" fillId="2" borderId="20" xfId="3" applyFont="1" applyFill="1" applyBorder="1" applyAlignment="1">
      <alignment horizontal="right"/>
    </xf>
    <xf numFmtId="0" fontId="2" fillId="2" borderId="20" xfId="3" applyFont="1" applyFill="1" applyBorder="1" applyAlignment="1">
      <alignment horizontal="right"/>
    </xf>
    <xf numFmtId="0" fontId="2" fillId="2" borderId="15" xfId="3" applyFont="1" applyFill="1" applyBorder="1" applyAlignment="1">
      <alignment horizontal="right"/>
    </xf>
    <xf numFmtId="0" fontId="17" fillId="4" borderId="38" xfId="1" applyFont="1" applyFill="1" applyBorder="1" applyAlignment="1">
      <alignment horizontal="center" vertical="center" wrapText="1"/>
    </xf>
    <xf numFmtId="1" fontId="17" fillId="4" borderId="15" xfId="1" applyNumberFormat="1" applyFont="1" applyFill="1" applyBorder="1" applyAlignment="1">
      <alignment horizontal="center"/>
    </xf>
    <xf numFmtId="1" fontId="17" fillId="4" borderId="15" xfId="1" applyNumberFormat="1" applyFont="1" applyFill="1" applyBorder="1" applyAlignment="1">
      <alignment horizontal="center" wrapText="1"/>
    </xf>
    <xf numFmtId="0" fontId="17" fillId="4" borderId="29" xfId="1" applyFont="1" applyFill="1" applyBorder="1" applyAlignment="1">
      <alignment horizontal="center"/>
    </xf>
    <xf numFmtId="0" fontId="0" fillId="6" borderId="0" xfId="0" applyFill="1"/>
    <xf numFmtId="1" fontId="0" fillId="0" borderId="20" xfId="0" applyNumberFormat="1" applyBorder="1" applyAlignment="1">
      <alignment horizontal="center"/>
    </xf>
    <xf numFmtId="0" fontId="85" fillId="0" borderId="20" xfId="0" applyFont="1" applyBorder="1" applyAlignment="1">
      <alignment horizontal="center"/>
    </xf>
    <xf numFmtId="1" fontId="2" fillId="0" borderId="22" xfId="1" applyNumberFormat="1" applyBorder="1" applyAlignment="1">
      <alignment horizontal="center"/>
    </xf>
    <xf numFmtId="0" fontId="17" fillId="6" borderId="27" xfId="1" applyFont="1" applyFill="1" applyBorder="1" applyAlignment="1">
      <alignment horizontal="center"/>
    </xf>
    <xf numFmtId="0" fontId="0" fillId="6" borderId="0" xfId="0" applyFill="1" applyAlignment="1">
      <alignment wrapText="1"/>
    </xf>
    <xf numFmtId="0" fontId="0" fillId="0" borderId="22" xfId="1" applyFont="1" applyBorder="1" applyAlignment="1">
      <alignment horizontal="center"/>
    </xf>
    <xf numFmtId="49" fontId="3" fillId="2" borderId="25" xfId="1" applyNumberFormat="1" applyFont="1" applyFill="1" applyBorder="1" applyAlignment="1">
      <alignment horizontal="center" vertical="center"/>
    </xf>
    <xf numFmtId="49" fontId="3" fillId="2" borderId="0" xfId="1" applyNumberFormat="1" applyFont="1" applyFill="1" applyAlignment="1">
      <alignment horizontal="center" vertical="center"/>
    </xf>
    <xf numFmtId="1" fontId="2" fillId="2" borderId="0" xfId="1" applyNumberFormat="1" applyFill="1" applyAlignment="1">
      <alignment horizontal="center"/>
    </xf>
    <xf numFmtId="164" fontId="2" fillId="2" borderId="0" xfId="1" applyNumberFormat="1" applyFill="1" applyAlignment="1">
      <alignment horizontal="center" wrapText="1"/>
    </xf>
    <xf numFmtId="0" fontId="2" fillId="2" borderId="24" xfId="1" applyFill="1" applyBorder="1" applyAlignment="1">
      <alignment horizontal="center"/>
    </xf>
    <xf numFmtId="0" fontId="2" fillId="4" borderId="12" xfId="1" applyFill="1" applyBorder="1" applyAlignment="1">
      <alignment horizontal="center"/>
    </xf>
    <xf numFmtId="0" fontId="2" fillId="4" borderId="11" xfId="1" applyFill="1" applyBorder="1" applyAlignment="1">
      <alignment horizontal="center"/>
    </xf>
    <xf numFmtId="0" fontId="2" fillId="4" borderId="11" xfId="1" applyFill="1" applyBorder="1"/>
    <xf numFmtId="0" fontId="17" fillId="4" borderId="11" xfId="1" applyFont="1" applyFill="1" applyBorder="1" applyAlignment="1">
      <alignment horizontal="center"/>
    </xf>
    <xf numFmtId="1" fontId="17" fillId="4" borderId="11" xfId="1" applyNumberFormat="1" applyFont="1" applyFill="1" applyBorder="1" applyAlignment="1">
      <alignment horizontal="center"/>
    </xf>
    <xf numFmtId="164" fontId="2" fillId="4" borderId="11" xfId="1" applyNumberFormat="1" applyFill="1" applyBorder="1" applyAlignment="1">
      <alignment horizontal="center" wrapText="1"/>
    </xf>
    <xf numFmtId="0" fontId="2" fillId="4" borderId="10" xfId="1" applyFill="1" applyBorder="1" applyAlignment="1">
      <alignment horizontal="center"/>
    </xf>
    <xf numFmtId="0" fontId="2" fillId="0" borderId="21" xfId="1" applyBorder="1" applyAlignment="1">
      <alignment horizontal="center"/>
    </xf>
    <xf numFmtId="1" fontId="2" fillId="0" borderId="15" xfId="1" applyNumberFormat="1" applyBorder="1" applyAlignment="1">
      <alignment horizontal="center"/>
    </xf>
    <xf numFmtId="0" fontId="2" fillId="0" borderId="15" xfId="1" applyBorder="1" applyAlignment="1">
      <alignment horizontal="center"/>
    </xf>
    <xf numFmtId="0" fontId="13" fillId="0" borderId="5" xfId="0" applyFont="1" applyBorder="1" applyAlignment="1">
      <alignment horizontal="left"/>
    </xf>
    <xf numFmtId="49" fontId="48" fillId="6" borderId="20" xfId="1" applyNumberFormat="1" applyFont="1" applyFill="1" applyBorder="1" applyAlignment="1">
      <alignment horizontal="center"/>
    </xf>
    <xf numFmtId="0" fontId="48" fillId="0" borderId="20" xfId="1" applyFont="1" applyBorder="1" applyAlignment="1">
      <alignment horizontal="left" wrapText="1"/>
    </xf>
    <xf numFmtId="16" fontId="23" fillId="0" borderId="20" xfId="1" applyNumberFormat="1" applyFont="1" applyBorder="1" applyAlignment="1">
      <alignment horizontal="center"/>
    </xf>
    <xf numFmtId="1" fontId="23" fillId="0" borderId="20" xfId="1" applyNumberFormat="1" applyFont="1" applyBorder="1" applyAlignment="1">
      <alignment horizontal="center"/>
    </xf>
    <xf numFmtId="1" fontId="23" fillId="0" borderId="20" xfId="1" applyNumberFormat="1" applyFont="1" applyBorder="1" applyAlignment="1">
      <alignment horizontal="center" wrapText="1"/>
    </xf>
    <xf numFmtId="0" fontId="0" fillId="0" borderId="20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16" fontId="21" fillId="2" borderId="20" xfId="0" applyNumberFormat="1" applyFont="1" applyFill="1" applyBorder="1" applyAlignment="1">
      <alignment horizontal="center"/>
    </xf>
    <xf numFmtId="1" fontId="22" fillId="2" borderId="20" xfId="0" applyNumberFormat="1" applyFont="1" applyFill="1" applyBorder="1" applyAlignment="1">
      <alignment horizontal="center"/>
    </xf>
    <xf numFmtId="1" fontId="21" fillId="2" borderId="20" xfId="0" applyNumberFormat="1" applyFont="1" applyFill="1" applyBorder="1" applyAlignment="1">
      <alignment horizontal="center" wrapText="1"/>
    </xf>
    <xf numFmtId="0" fontId="2" fillId="0" borderId="28" xfId="0" quotePrefix="1" applyFont="1" applyBorder="1" applyAlignment="1">
      <alignment horizontal="center"/>
    </xf>
    <xf numFmtId="0" fontId="2" fillId="0" borderId="19" xfId="0" quotePrefix="1" applyFont="1" applyBorder="1" applyAlignment="1">
      <alignment horizontal="center"/>
    </xf>
    <xf numFmtId="0" fontId="2" fillId="0" borderId="20" xfId="0" quotePrefix="1" applyFont="1" applyBorder="1"/>
    <xf numFmtId="0" fontId="0" fillId="0" borderId="28" xfId="0" quotePrefix="1" applyBorder="1" applyAlignment="1">
      <alignment horizontal="center"/>
    </xf>
    <xf numFmtId="0" fontId="0" fillId="0" borderId="19" xfId="0" quotePrefix="1" applyBorder="1" applyAlignment="1">
      <alignment horizontal="center"/>
    </xf>
    <xf numFmtId="0" fontId="1" fillId="0" borderId="20" xfId="13" applyBorder="1" applyAlignment="1">
      <alignment horizontal="center"/>
    </xf>
    <xf numFmtId="0" fontId="1" fillId="0" borderId="20" xfId="13" applyBorder="1" applyAlignment="1">
      <alignment horizontal="left"/>
    </xf>
    <xf numFmtId="0" fontId="13" fillId="2" borderId="0" xfId="0" applyFont="1" applyFill="1"/>
    <xf numFmtId="0" fontId="16" fillId="4" borderId="38" xfId="16" applyFont="1" applyFill="1" applyBorder="1" applyAlignment="1">
      <alignment horizontal="center" vertical="center" wrapText="1"/>
    </xf>
    <xf numFmtId="1" fontId="16" fillId="4" borderId="15" xfId="16" applyNumberFormat="1" applyFont="1" applyFill="1" applyBorder="1" applyAlignment="1">
      <alignment horizontal="center"/>
    </xf>
    <xf numFmtId="1" fontId="16" fillId="4" borderId="15" xfId="16" applyNumberFormat="1" applyFont="1" applyFill="1" applyBorder="1" applyAlignment="1">
      <alignment horizontal="center" wrapText="1"/>
    </xf>
    <xf numFmtId="0" fontId="16" fillId="4" borderId="29" xfId="16" applyFont="1" applyFill="1" applyBorder="1" applyAlignment="1">
      <alignment horizontal="center"/>
    </xf>
    <xf numFmtId="49" fontId="21" fillId="0" borderId="50" xfId="16" applyNumberFormat="1" applyFont="1" applyBorder="1" applyAlignment="1">
      <alignment horizontal="center"/>
    </xf>
    <xf numFmtId="49" fontId="23" fillId="0" borderId="22" xfId="16" applyNumberFormat="1" applyFont="1" applyBorder="1"/>
    <xf numFmtId="0" fontId="21" fillId="0" borderId="23" xfId="16" applyFont="1" applyBorder="1" applyAlignment="1">
      <alignment horizontal="center"/>
    </xf>
    <xf numFmtId="1" fontId="20" fillId="0" borderId="22" xfId="16" applyNumberFormat="1" applyFont="1" applyBorder="1" applyAlignment="1">
      <alignment horizontal="center"/>
    </xf>
    <xf numFmtId="1" fontId="21" fillId="0" borderId="22" xfId="16" applyNumberFormat="1" applyFont="1" applyBorder="1" applyAlignment="1">
      <alignment horizontal="center" wrapText="1"/>
    </xf>
    <xf numFmtId="1" fontId="21" fillId="0" borderId="22" xfId="16" applyNumberFormat="1" applyFont="1" applyBorder="1" applyAlignment="1">
      <alignment horizontal="center"/>
    </xf>
    <xf numFmtId="0" fontId="21" fillId="0" borderId="22" xfId="16" applyFont="1" applyBorder="1" applyAlignment="1">
      <alignment horizontal="center"/>
    </xf>
    <xf numFmtId="0" fontId="21" fillId="0" borderId="27" xfId="16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21" fillId="0" borderId="42" xfId="16" applyFont="1" applyBorder="1" applyAlignment="1">
      <alignment horizontal="center"/>
    </xf>
    <xf numFmtId="1" fontId="20" fillId="0" borderId="30" xfId="16" applyNumberFormat="1" applyFont="1" applyBorder="1" applyAlignment="1">
      <alignment horizontal="center"/>
    </xf>
    <xf numFmtId="1" fontId="21" fillId="0" borderId="30" xfId="16" applyNumberFormat="1" applyFont="1" applyBorder="1" applyAlignment="1">
      <alignment horizontal="center" wrapText="1"/>
    </xf>
    <xf numFmtId="1" fontId="21" fillId="0" borderId="20" xfId="16" applyNumberFormat="1" applyFont="1" applyBorder="1" applyAlignment="1">
      <alignment horizontal="center"/>
    </xf>
    <xf numFmtId="0" fontId="21" fillId="0" borderId="20" xfId="16" applyFont="1" applyBorder="1" applyAlignment="1">
      <alignment horizontal="center"/>
    </xf>
    <xf numFmtId="0" fontId="21" fillId="0" borderId="26" xfId="16" applyFont="1" applyBorder="1" applyAlignment="1">
      <alignment horizontal="center"/>
    </xf>
    <xf numFmtId="0" fontId="0" fillId="6" borderId="28" xfId="0" quotePrefix="1" applyFill="1" applyBorder="1" applyAlignment="1">
      <alignment horizontal="center"/>
    </xf>
    <xf numFmtId="0" fontId="0" fillId="6" borderId="20" xfId="0" applyFill="1" applyBorder="1" applyAlignment="1">
      <alignment vertical="center"/>
    </xf>
    <xf numFmtId="16" fontId="22" fillId="0" borderId="19" xfId="16" applyNumberFormat="1" applyFont="1" applyBorder="1" applyAlignment="1">
      <alignment horizontal="center"/>
    </xf>
    <xf numFmtId="1" fontId="56" fillId="0" borderId="20" xfId="16" applyNumberFormat="1" applyFont="1" applyBorder="1" applyAlignment="1">
      <alignment horizontal="center"/>
    </xf>
    <xf numFmtId="49" fontId="21" fillId="0" borderId="28" xfId="16" applyNumberFormat="1" applyFont="1" applyBorder="1" applyAlignment="1">
      <alignment horizontal="center"/>
    </xf>
    <xf numFmtId="49" fontId="23" fillId="0" borderId="20" xfId="16" applyNumberFormat="1" applyFont="1" applyBorder="1"/>
    <xf numFmtId="1" fontId="21" fillId="0" borderId="20" xfId="16" applyNumberFormat="1" applyFont="1" applyBorder="1" applyAlignment="1">
      <alignment horizontal="center" wrapText="1"/>
    </xf>
    <xf numFmtId="49" fontId="59" fillId="2" borderId="3" xfId="16" applyNumberFormat="1" applyFont="1" applyFill="1" applyBorder="1" applyAlignment="1">
      <alignment horizontal="center" vertical="center"/>
    </xf>
    <xf numFmtId="0" fontId="13" fillId="2" borderId="2" xfId="16" applyFont="1" applyFill="1" applyBorder="1"/>
    <xf numFmtId="1" fontId="13" fillId="2" borderId="2" xfId="16" applyNumberFormat="1" applyFont="1" applyFill="1" applyBorder="1" applyAlignment="1">
      <alignment horizontal="center"/>
    </xf>
    <xf numFmtId="164" fontId="13" fillId="2" borderId="2" xfId="16" applyNumberFormat="1" applyFont="1" applyFill="1" applyBorder="1" applyAlignment="1">
      <alignment horizontal="center" wrapText="1"/>
    </xf>
    <xf numFmtId="0" fontId="13" fillId="2" borderId="1" xfId="16" applyFont="1" applyFill="1" applyBorder="1" applyAlignment="1">
      <alignment horizontal="center"/>
    </xf>
    <xf numFmtId="0" fontId="13" fillId="4" borderId="12" xfId="16" applyFont="1" applyFill="1" applyBorder="1" applyAlignment="1">
      <alignment horizontal="center"/>
    </xf>
    <xf numFmtId="0" fontId="13" fillId="4" borderId="11" xfId="16" applyFont="1" applyFill="1" applyBorder="1"/>
    <xf numFmtId="0" fontId="16" fillId="4" borderId="11" xfId="16" applyFont="1" applyFill="1" applyBorder="1" applyAlignment="1">
      <alignment horizontal="center"/>
    </xf>
    <xf numFmtId="1" fontId="16" fillId="4" borderId="11" xfId="16" applyNumberFormat="1" applyFont="1" applyFill="1" applyBorder="1" applyAlignment="1">
      <alignment horizontal="center"/>
    </xf>
    <xf numFmtId="164" fontId="13" fillId="4" borderId="11" xfId="16" applyNumberFormat="1" applyFont="1" applyFill="1" applyBorder="1" applyAlignment="1">
      <alignment horizontal="center" wrapText="1"/>
    </xf>
    <xf numFmtId="0" fontId="13" fillId="4" borderId="10" xfId="16" applyFont="1" applyFill="1" applyBorder="1" applyAlignment="1">
      <alignment horizontal="center"/>
    </xf>
    <xf numFmtId="1" fontId="13" fillId="0" borderId="22" xfId="16" applyNumberFormat="1" applyFont="1" applyBorder="1" applyAlignment="1">
      <alignment horizontal="center"/>
    </xf>
    <xf numFmtId="0" fontId="13" fillId="0" borderId="21" xfId="16" applyFont="1" applyBorder="1" applyAlignment="1">
      <alignment horizontal="center"/>
    </xf>
    <xf numFmtId="0" fontId="13" fillId="0" borderId="20" xfId="16" applyFont="1" applyBorder="1" applyAlignment="1">
      <alignment horizontal="center"/>
    </xf>
    <xf numFmtId="1" fontId="13" fillId="0" borderId="20" xfId="16" applyNumberFormat="1" applyFont="1" applyBorder="1" applyAlignment="1">
      <alignment horizontal="center"/>
    </xf>
    <xf numFmtId="1" fontId="13" fillId="0" borderId="15" xfId="16" applyNumberFormat="1" applyFont="1" applyBorder="1" applyAlignment="1">
      <alignment horizontal="center"/>
    </xf>
    <xf numFmtId="0" fontId="13" fillId="0" borderId="15" xfId="16" applyFont="1" applyBorder="1" applyAlignment="1">
      <alignment horizontal="center"/>
    </xf>
    <xf numFmtId="0" fontId="13" fillId="2" borderId="0" xfId="16" applyFont="1" applyFill="1"/>
    <xf numFmtId="0" fontId="59" fillId="2" borderId="0" xfId="16" applyFont="1" applyFill="1" applyAlignment="1">
      <alignment vertical="center"/>
    </xf>
    <xf numFmtId="0" fontId="59" fillId="2" borderId="0" xfId="0" applyFont="1" applyFill="1" applyAlignment="1">
      <alignment vertical="center"/>
    </xf>
    <xf numFmtId="0" fontId="86" fillId="0" borderId="20" xfId="0" applyFont="1" applyBorder="1" applyAlignment="1">
      <alignment horizontal="right"/>
    </xf>
    <xf numFmtId="0" fontId="86" fillId="0" borderId="15" xfId="0" applyFont="1" applyBorder="1" applyAlignment="1">
      <alignment horizontal="right"/>
    </xf>
    <xf numFmtId="0" fontId="86" fillId="0" borderId="0" xfId="0" applyFont="1"/>
    <xf numFmtId="0" fontId="86" fillId="0" borderId="24" xfId="0" applyFont="1" applyBorder="1"/>
    <xf numFmtId="14" fontId="88" fillId="2" borderId="24" xfId="3" applyNumberFormat="1" applyFont="1" applyFill="1" applyBorder="1" applyAlignment="1">
      <alignment horizontal="center" vertical="center" wrapText="1"/>
    </xf>
    <xf numFmtId="0" fontId="89" fillId="0" borderId="0" xfId="0" applyFont="1"/>
    <xf numFmtId="1" fontId="16" fillId="4" borderId="30" xfId="1" applyNumberFormat="1" applyFont="1" applyFill="1" applyBorder="1" applyAlignment="1">
      <alignment horizontal="center"/>
    </xf>
    <xf numFmtId="1" fontId="16" fillId="4" borderId="30" xfId="1" applyNumberFormat="1" applyFont="1" applyFill="1" applyBorder="1" applyAlignment="1">
      <alignment horizontal="center" wrapText="1"/>
    </xf>
    <xf numFmtId="0" fontId="13" fillId="0" borderId="28" xfId="1" applyFont="1" applyBorder="1" applyAlignment="1">
      <alignment horizontal="center"/>
    </xf>
    <xf numFmtId="0" fontId="13" fillId="0" borderId="20" xfId="1" applyFont="1" applyBorder="1"/>
    <xf numFmtId="0" fontId="58" fillId="0" borderId="20" xfId="0" applyFont="1" applyBorder="1" applyAlignment="1">
      <alignment horizontal="center"/>
    </xf>
    <xf numFmtId="0" fontId="58" fillId="0" borderId="20" xfId="0" applyFont="1" applyBorder="1"/>
    <xf numFmtId="0" fontId="16" fillId="6" borderId="27" xfId="1" applyFont="1" applyFill="1" applyBorder="1" applyAlignment="1">
      <alignment horizontal="center"/>
    </xf>
    <xf numFmtId="43" fontId="89" fillId="0" borderId="0" xfId="4" applyFont="1"/>
    <xf numFmtId="43" fontId="0" fillId="0" borderId="0" xfId="4" applyFont="1"/>
    <xf numFmtId="0" fontId="13" fillId="0" borderId="28" xfId="1" quotePrefix="1" applyFont="1" applyBorder="1" applyAlignment="1">
      <alignment horizontal="right"/>
    </xf>
    <xf numFmtId="0" fontId="13" fillId="0" borderId="20" xfId="1" quotePrefix="1" applyFont="1" applyBorder="1"/>
    <xf numFmtId="0" fontId="13" fillId="0" borderId="26" xfId="1" applyFont="1" applyBorder="1" applyAlignment="1">
      <alignment horizontal="center"/>
    </xf>
    <xf numFmtId="0" fontId="13" fillId="0" borderId="21" xfId="1" applyFont="1" applyBorder="1" applyAlignment="1">
      <alignment horizontal="center"/>
    </xf>
    <xf numFmtId="0" fontId="16" fillId="0" borderId="20" xfId="1" applyFont="1" applyBorder="1" applyAlignment="1">
      <alignment horizontal="center"/>
    </xf>
    <xf numFmtId="1" fontId="13" fillId="0" borderId="15" xfId="1" applyNumberFormat="1" applyFont="1" applyBorder="1" applyAlignment="1">
      <alignment horizontal="center"/>
    </xf>
    <xf numFmtId="0" fontId="13" fillId="0" borderId="15" xfId="1" applyFont="1" applyBorder="1" applyAlignment="1">
      <alignment horizontal="center"/>
    </xf>
    <xf numFmtId="0" fontId="13" fillId="0" borderId="3" xfId="1" applyFont="1" applyBorder="1" applyAlignment="1">
      <alignment horizontal="left"/>
    </xf>
    <xf numFmtId="0" fontId="13" fillId="0" borderId="2" xfId="1" applyFont="1" applyBorder="1" applyAlignment="1">
      <alignment horizontal="left"/>
    </xf>
    <xf numFmtId="0" fontId="13" fillId="0" borderId="1" xfId="1" applyFont="1" applyBorder="1" applyAlignment="1">
      <alignment horizontal="left"/>
    </xf>
    <xf numFmtId="0" fontId="6" fillId="2" borderId="0" xfId="15" applyFont="1" applyFill="1" applyAlignment="1">
      <alignment vertical="center"/>
    </xf>
    <xf numFmtId="0" fontId="91" fillId="2" borderId="32" xfId="3" applyFont="1" applyFill="1" applyBorder="1" applyAlignment="1">
      <alignment horizontal="right"/>
    </xf>
    <xf numFmtId="0" fontId="90" fillId="2" borderId="38" xfId="3" applyFont="1" applyFill="1" applyBorder="1" applyAlignment="1">
      <alignment horizontal="center"/>
    </xf>
    <xf numFmtId="0" fontId="91" fillId="2" borderId="20" xfId="3" applyFont="1" applyFill="1" applyBorder="1" applyAlignment="1">
      <alignment horizontal="right"/>
    </xf>
    <xf numFmtId="49" fontId="90" fillId="2" borderId="26" xfId="3" applyNumberFormat="1" applyFont="1" applyFill="1" applyBorder="1" applyAlignment="1">
      <alignment horizontal="center"/>
    </xf>
    <xf numFmtId="0" fontId="90" fillId="2" borderId="20" xfId="3" applyFont="1" applyFill="1" applyBorder="1" applyAlignment="1">
      <alignment horizontal="right"/>
    </xf>
    <xf numFmtId="0" fontId="90" fillId="2" borderId="15" xfId="3" applyFont="1" applyFill="1" applyBorder="1" applyAlignment="1">
      <alignment horizontal="right"/>
    </xf>
    <xf numFmtId="14" fontId="93" fillId="2" borderId="24" xfId="3" applyNumberFormat="1" applyFont="1" applyFill="1" applyBorder="1" applyAlignment="1">
      <alignment horizontal="center" vertical="center" wrapText="1"/>
    </xf>
    <xf numFmtId="0" fontId="91" fillId="4" borderId="38" xfId="1" applyFont="1" applyFill="1" applyBorder="1" applyAlignment="1">
      <alignment horizontal="center" vertical="center" wrapText="1"/>
    </xf>
    <xf numFmtId="1" fontId="91" fillId="4" borderId="15" xfId="1" applyNumberFormat="1" applyFont="1" applyFill="1" applyBorder="1" applyAlignment="1">
      <alignment horizontal="center"/>
    </xf>
    <xf numFmtId="1" fontId="91" fillId="4" borderId="15" xfId="1" applyNumberFormat="1" applyFont="1" applyFill="1" applyBorder="1" applyAlignment="1">
      <alignment horizontal="center" wrapText="1"/>
    </xf>
    <xf numFmtId="0" fontId="91" fillId="4" borderId="29" xfId="1" applyFont="1" applyFill="1" applyBorder="1" applyAlignment="1">
      <alignment horizontal="center"/>
    </xf>
    <xf numFmtId="0" fontId="90" fillId="0" borderId="50" xfId="1" applyFont="1" applyBorder="1" applyAlignment="1">
      <alignment horizontal="center" vertical="center"/>
    </xf>
    <xf numFmtId="0" fontId="90" fillId="0" borderId="22" xfId="1" applyFont="1" applyBorder="1" applyAlignment="1">
      <alignment horizontal="left" vertical="center"/>
    </xf>
    <xf numFmtId="0" fontId="94" fillId="0" borderId="22" xfId="1" applyFont="1" applyBorder="1" applyAlignment="1">
      <alignment horizontal="center" vertical="center"/>
    </xf>
    <xf numFmtId="1" fontId="95" fillId="0" borderId="22" xfId="1" applyNumberFormat="1" applyFont="1" applyBorder="1" applyAlignment="1">
      <alignment horizontal="center" vertical="center"/>
    </xf>
    <xf numFmtId="1" fontId="94" fillId="0" borderId="22" xfId="1" applyNumberFormat="1" applyFont="1" applyBorder="1" applyAlignment="1">
      <alignment horizontal="center" vertical="center" wrapText="1"/>
    </xf>
    <xf numFmtId="1" fontId="90" fillId="0" borderId="22" xfId="1" applyNumberFormat="1" applyFont="1" applyBorder="1" applyAlignment="1">
      <alignment horizontal="center"/>
    </xf>
    <xf numFmtId="0" fontId="90" fillId="0" borderId="22" xfId="1" applyFont="1" applyBorder="1" applyAlignment="1">
      <alignment horizontal="center"/>
    </xf>
    <xf numFmtId="0" fontId="91" fillId="6" borderId="27" xfId="1" applyFont="1" applyFill="1" applyBorder="1" applyAlignment="1">
      <alignment horizontal="center"/>
    </xf>
    <xf numFmtId="0" fontId="90" fillId="0" borderId="28" xfId="1" applyFont="1" applyBorder="1" applyAlignment="1">
      <alignment horizontal="center" vertical="center"/>
    </xf>
    <xf numFmtId="0" fontId="90" fillId="0" borderId="20" xfId="1" applyFont="1" applyBorder="1" applyAlignment="1">
      <alignment horizontal="center" vertical="center"/>
    </xf>
    <xf numFmtId="0" fontId="94" fillId="0" borderId="20" xfId="1" applyFont="1" applyBorder="1" applyAlignment="1">
      <alignment horizontal="center" vertical="center"/>
    </xf>
    <xf numFmtId="1" fontId="94" fillId="0" borderId="20" xfId="1" applyNumberFormat="1" applyFont="1" applyBorder="1" applyAlignment="1">
      <alignment horizontal="center" vertical="center" wrapText="1"/>
    </xf>
    <xf numFmtId="0" fontId="91" fillId="0" borderId="20" xfId="1" applyFont="1" applyBorder="1" applyAlignment="1">
      <alignment horizontal="center" vertical="center"/>
    </xf>
    <xf numFmtId="0" fontId="90" fillId="0" borderId="20" xfId="1" applyFont="1" applyBorder="1" applyAlignment="1">
      <alignment horizontal="left" vertical="center"/>
    </xf>
    <xf numFmtId="49" fontId="96" fillId="2" borderId="25" xfId="1" applyNumberFormat="1" applyFont="1" applyFill="1" applyBorder="1" applyAlignment="1">
      <alignment horizontal="center" vertical="center"/>
    </xf>
    <xf numFmtId="0" fontId="90" fillId="2" borderId="0" xfId="1" applyFont="1" applyFill="1"/>
    <xf numFmtId="1" fontId="90" fillId="2" borderId="0" xfId="1" applyNumberFormat="1" applyFont="1" applyFill="1" applyAlignment="1">
      <alignment horizontal="center"/>
    </xf>
    <xf numFmtId="164" fontId="90" fillId="2" borderId="0" xfId="1" applyNumberFormat="1" applyFont="1" applyFill="1" applyAlignment="1">
      <alignment horizontal="center" wrapText="1"/>
    </xf>
    <xf numFmtId="0" fontId="90" fillId="2" borderId="24" xfId="1" applyFont="1" applyFill="1" applyBorder="1" applyAlignment="1">
      <alignment horizontal="center"/>
    </xf>
    <xf numFmtId="0" fontId="90" fillId="4" borderId="12" xfId="1" applyFont="1" applyFill="1" applyBorder="1" applyAlignment="1">
      <alignment horizontal="center"/>
    </xf>
    <xf numFmtId="0" fontId="90" fillId="4" borderId="11" xfId="1" applyFont="1" applyFill="1" applyBorder="1"/>
    <xf numFmtId="0" fontId="91" fillId="4" borderId="11" xfId="1" applyFont="1" applyFill="1" applyBorder="1" applyAlignment="1">
      <alignment horizontal="center"/>
    </xf>
    <xf numFmtId="1" fontId="91" fillId="4" borderId="11" xfId="1" applyNumberFormat="1" applyFont="1" applyFill="1" applyBorder="1" applyAlignment="1">
      <alignment horizontal="center"/>
    </xf>
    <xf numFmtId="164" fontId="90" fillId="4" borderId="11" xfId="1" applyNumberFormat="1" applyFont="1" applyFill="1" applyBorder="1" applyAlignment="1">
      <alignment horizontal="center" wrapText="1"/>
    </xf>
    <xf numFmtId="0" fontId="90" fillId="4" borderId="10" xfId="1" applyFont="1" applyFill="1" applyBorder="1" applyAlignment="1">
      <alignment horizontal="center"/>
    </xf>
    <xf numFmtId="0" fontId="90" fillId="0" borderId="21" xfId="1" applyFont="1" applyBorder="1" applyAlignment="1">
      <alignment horizontal="center"/>
    </xf>
    <xf numFmtId="0" fontId="91" fillId="0" borderId="20" xfId="1" applyFont="1" applyBorder="1" applyAlignment="1">
      <alignment horizontal="center"/>
    </xf>
    <xf numFmtId="0" fontId="90" fillId="0" borderId="20" xfId="1" applyFont="1" applyBorder="1" applyAlignment="1">
      <alignment horizontal="center"/>
    </xf>
    <xf numFmtId="1" fontId="90" fillId="0" borderId="20" xfId="1" applyNumberFormat="1" applyFont="1" applyBorder="1" applyAlignment="1">
      <alignment horizontal="center"/>
    </xf>
    <xf numFmtId="9" fontId="2" fillId="2" borderId="0" xfId="2" applyFont="1" applyFill="1"/>
    <xf numFmtId="1" fontId="90" fillId="0" borderId="15" xfId="1" applyNumberFormat="1" applyFont="1" applyBorder="1" applyAlignment="1">
      <alignment horizontal="center"/>
    </xf>
    <xf numFmtId="0" fontId="90" fillId="0" borderId="15" xfId="1" applyFont="1" applyBorder="1" applyAlignment="1">
      <alignment horizontal="center"/>
    </xf>
    <xf numFmtId="0" fontId="2" fillId="2" borderId="0" xfId="1" applyFill="1"/>
    <xf numFmtId="0" fontId="6" fillId="2" borderId="0" xfId="0" applyFont="1" applyFill="1" applyAlignment="1">
      <alignment vertical="center"/>
    </xf>
    <xf numFmtId="0" fontId="4" fillId="2" borderId="0" xfId="0" applyFont="1" applyFill="1"/>
    <xf numFmtId="0" fontId="16" fillId="12" borderId="27" xfId="0" applyFont="1" applyFill="1" applyBorder="1" applyAlignment="1">
      <alignment horizontal="center" vertical="center" wrapText="1"/>
    </xf>
    <xf numFmtId="0" fontId="17" fillId="5" borderId="0" xfId="0" applyFont="1" applyFill="1" applyAlignment="1">
      <alignment horizontal="right" vertical="top" wrapText="1"/>
    </xf>
    <xf numFmtId="0" fontId="90" fillId="0" borderId="20" xfId="0" applyFont="1" applyBorder="1" applyAlignment="1">
      <alignment horizontal="center"/>
    </xf>
    <xf numFmtId="0" fontId="90" fillId="0" borderId="0" xfId="0" applyFont="1" applyAlignment="1">
      <alignment horizontal="center"/>
    </xf>
    <xf numFmtId="0" fontId="90" fillId="0" borderId="0" xfId="0" applyFont="1"/>
    <xf numFmtId="0" fontId="90" fillId="0" borderId="20" xfId="0" applyFont="1" applyBorder="1" applyAlignment="1">
      <alignment horizontal="center" wrapText="1"/>
    </xf>
    <xf numFmtId="0" fontId="91" fillId="5" borderId="26" xfId="0" applyFont="1" applyFill="1" applyBorder="1" applyAlignment="1">
      <alignment horizontal="center"/>
    </xf>
    <xf numFmtId="0" fontId="97" fillId="5" borderId="19" xfId="0" applyFont="1" applyFill="1" applyBorder="1" applyAlignment="1">
      <alignment horizontal="center"/>
    </xf>
    <xf numFmtId="0" fontId="97" fillId="5" borderId="20" xfId="0" applyFont="1" applyFill="1" applyBorder="1"/>
    <xf numFmtId="0" fontId="90" fillId="7" borderId="20" xfId="0" applyFont="1" applyFill="1" applyBorder="1" applyAlignment="1">
      <alignment horizontal="center"/>
    </xf>
    <xf numFmtId="0" fontId="90" fillId="7" borderId="20" xfId="0" applyFont="1" applyFill="1" applyBorder="1"/>
    <xf numFmtId="0" fontId="90" fillId="9" borderId="0" xfId="0" applyFont="1" applyFill="1" applyAlignment="1">
      <alignment horizontal="center"/>
    </xf>
    <xf numFmtId="0" fontId="90" fillId="9" borderId="0" xfId="0" applyFont="1" applyFill="1" applyAlignment="1">
      <alignment vertical="center"/>
    </xf>
    <xf numFmtId="0" fontId="90" fillId="5" borderId="20" xfId="0" applyFont="1" applyFill="1" applyBorder="1"/>
    <xf numFmtId="0" fontId="90" fillId="0" borderId="20" xfId="0" applyFont="1" applyBorder="1" applyAlignment="1">
      <alignment horizontal="left"/>
    </xf>
    <xf numFmtId="0" fontId="97" fillId="5" borderId="20" xfId="0" applyFont="1" applyFill="1" applyBorder="1" applyAlignment="1">
      <alignment horizontal="center"/>
    </xf>
    <xf numFmtId="0" fontId="97" fillId="5" borderId="22" xfId="0" applyFont="1" applyFill="1" applyBorder="1"/>
    <xf numFmtId="0" fontId="90" fillId="0" borderId="20" xfId="0" applyFont="1" applyBorder="1"/>
    <xf numFmtId="0" fontId="90" fillId="5" borderId="20" xfId="0" applyFont="1" applyFill="1" applyBorder="1" applyAlignment="1">
      <alignment horizontal="center"/>
    </xf>
    <xf numFmtId="0" fontId="90" fillId="5" borderId="26" xfId="0" applyFont="1" applyFill="1" applyBorder="1"/>
    <xf numFmtId="0" fontId="90" fillId="12" borderId="12" xfId="0" applyFont="1" applyFill="1" applyBorder="1" applyAlignment="1">
      <alignment horizontal="center"/>
    </xf>
    <xf numFmtId="0" fontId="90" fillId="12" borderId="11" xfId="0" applyFont="1" applyFill="1" applyBorder="1" applyAlignment="1">
      <alignment horizontal="center"/>
    </xf>
    <xf numFmtId="0" fontId="90" fillId="12" borderId="11" xfId="0" applyFont="1" applyFill="1" applyBorder="1"/>
    <xf numFmtId="0" fontId="91" fillId="12" borderId="11" xfId="0" applyFont="1" applyFill="1" applyBorder="1" applyAlignment="1">
      <alignment horizontal="center"/>
    </xf>
    <xf numFmtId="0" fontId="90" fillId="12" borderId="11" xfId="0" applyFont="1" applyFill="1" applyBorder="1" applyAlignment="1">
      <alignment horizontal="center" wrapText="1"/>
    </xf>
    <xf numFmtId="0" fontId="90" fillId="12" borderId="10" xfId="0" applyFont="1" applyFill="1" applyBorder="1" applyAlignment="1">
      <alignment horizontal="center"/>
    </xf>
    <xf numFmtId="0" fontId="90" fillId="0" borderId="22" xfId="0" applyFont="1" applyBorder="1" applyAlignment="1">
      <alignment horizontal="center"/>
    </xf>
    <xf numFmtId="0" fontId="90" fillId="0" borderId="21" xfId="0" applyFont="1" applyBorder="1" applyAlignment="1">
      <alignment horizontal="center"/>
    </xf>
    <xf numFmtId="0" fontId="90" fillId="0" borderId="15" xfId="0" applyFont="1" applyBorder="1" applyAlignment="1">
      <alignment horizontal="center"/>
    </xf>
    <xf numFmtId="0" fontId="90" fillId="5" borderId="18" xfId="0" applyFont="1" applyFill="1" applyBorder="1" applyAlignment="1">
      <alignment horizontal="left" vertical="top"/>
    </xf>
    <xf numFmtId="0" fontId="90" fillId="5" borderId="8" xfId="0" applyFont="1" applyFill="1" applyBorder="1" applyAlignment="1">
      <alignment horizontal="left" vertical="top"/>
    </xf>
    <xf numFmtId="0" fontId="90" fillId="5" borderId="19" xfId="0" applyFont="1" applyFill="1" applyBorder="1" applyAlignment="1">
      <alignment horizontal="left" vertical="top"/>
    </xf>
    <xf numFmtId="0" fontId="90" fillId="0" borderId="22" xfId="0" applyFont="1" applyBorder="1" applyAlignment="1">
      <alignment horizontal="center" wrapText="1"/>
    </xf>
    <xf numFmtId="0" fontId="91" fillId="5" borderId="27" xfId="0" applyFont="1" applyFill="1" applyBorder="1" applyAlignment="1">
      <alignment horizontal="center"/>
    </xf>
    <xf numFmtId="0" fontId="99" fillId="5" borderId="38" xfId="0" applyFont="1" applyFill="1" applyBorder="1" applyAlignment="1">
      <alignment horizontal="center"/>
    </xf>
    <xf numFmtId="0" fontId="99" fillId="5" borderId="26" xfId="0" applyFont="1" applyFill="1" applyBorder="1" applyAlignment="1">
      <alignment horizontal="center"/>
    </xf>
    <xf numFmtId="0" fontId="24" fillId="0" borderId="0" xfId="0" applyFont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right" vertical="center" wrapText="1"/>
    </xf>
    <xf numFmtId="0" fontId="41" fillId="0" borderId="20" xfId="0" applyFont="1" applyBorder="1" applyAlignment="1">
      <alignment horizontal="right" vertical="center"/>
    </xf>
    <xf numFmtId="0" fontId="42" fillId="0" borderId="25" xfId="0" applyFont="1" applyBorder="1" applyAlignment="1">
      <alignment horizontal="right"/>
    </xf>
    <xf numFmtId="0" fontId="42" fillId="0" borderId="0" xfId="0" applyFont="1" applyAlignment="1">
      <alignment horizontal="right"/>
    </xf>
    <xf numFmtId="0" fontId="42" fillId="0" borderId="24" xfId="0" applyFont="1" applyBorder="1" applyAlignment="1">
      <alignment horizontal="right"/>
    </xf>
    <xf numFmtId="0" fontId="24" fillId="0" borderId="0" xfId="0" applyFont="1" applyAlignment="1">
      <alignment horizontal="right" vertical="center"/>
    </xf>
    <xf numFmtId="0" fontId="33" fillId="0" borderId="40" xfId="0" applyFont="1" applyBorder="1" applyAlignment="1">
      <alignment horizontal="right"/>
    </xf>
    <xf numFmtId="0" fontId="33" fillId="0" borderId="47" xfId="0" applyFont="1" applyBorder="1" applyAlignment="1">
      <alignment horizontal="right"/>
    </xf>
    <xf numFmtId="0" fontId="23" fillId="0" borderId="20" xfId="0" applyFont="1" applyBorder="1" applyAlignment="1">
      <alignment horizontal="right" vertical="center"/>
    </xf>
    <xf numFmtId="0" fontId="33" fillId="0" borderId="0" xfId="0" applyFont="1" applyAlignment="1">
      <alignment horizontal="right"/>
    </xf>
    <xf numFmtId="0" fontId="32" fillId="0" borderId="0" xfId="0" applyFont="1" applyAlignment="1">
      <alignment horizontal="center" vertical="center"/>
    </xf>
    <xf numFmtId="0" fontId="49" fillId="0" borderId="12" xfId="0" applyFont="1" applyBorder="1" applyAlignment="1">
      <alignment horizontal="right" vertical="center"/>
    </xf>
    <xf numFmtId="0" fontId="49" fillId="0" borderId="11" xfId="0" applyFont="1" applyBorder="1" applyAlignment="1">
      <alignment horizontal="right" vertical="center"/>
    </xf>
    <xf numFmtId="0" fontId="49" fillId="0" borderId="10" xfId="0" applyFont="1" applyBorder="1" applyAlignment="1">
      <alignment horizontal="right" vertical="center"/>
    </xf>
    <xf numFmtId="0" fontId="50" fillId="0" borderId="0" xfId="0" applyFont="1" applyAlignment="1">
      <alignment horizontal="right"/>
    </xf>
    <xf numFmtId="0" fontId="40" fillId="0" borderId="2" xfId="0" applyFont="1" applyBorder="1" applyAlignment="1">
      <alignment horizontal="right"/>
    </xf>
    <xf numFmtId="0" fontId="32" fillId="0" borderId="0" xfId="0" applyFont="1" applyAlignment="1">
      <alignment horizontal="right" vertical="center"/>
    </xf>
    <xf numFmtId="0" fontId="38" fillId="14" borderId="12" xfId="0" applyFont="1" applyFill="1" applyBorder="1" applyAlignment="1">
      <alignment horizontal="right"/>
    </xf>
    <xf numFmtId="0" fontId="38" fillId="14" borderId="11" xfId="0" applyFont="1" applyFill="1" applyBorder="1" applyAlignment="1">
      <alignment horizontal="right"/>
    </xf>
    <xf numFmtId="0" fontId="23" fillId="0" borderId="0" xfId="0" applyFont="1" applyAlignment="1">
      <alignment horizontal="right" vertical="center"/>
    </xf>
    <xf numFmtId="0" fontId="24" fillId="0" borderId="2" xfId="0" applyFont="1" applyBorder="1" applyAlignment="1">
      <alignment horizontal="right" vertical="center"/>
    </xf>
    <xf numFmtId="0" fontId="24" fillId="0" borderId="1" xfId="0" applyFont="1" applyBorder="1" applyAlignment="1">
      <alignment horizontal="right" vertical="center"/>
    </xf>
    <xf numFmtId="0" fontId="24" fillId="16" borderId="12" xfId="0" applyFont="1" applyFill="1" applyBorder="1" applyAlignment="1">
      <alignment horizontal="right" vertical="center"/>
    </xf>
    <xf numFmtId="0" fontId="24" fillId="16" borderId="11" xfId="0" applyFont="1" applyFill="1" applyBorder="1" applyAlignment="1">
      <alignment horizontal="right" vertical="center"/>
    </xf>
    <xf numFmtId="0" fontId="24" fillId="16" borderId="10" xfId="0" applyFont="1" applyFill="1" applyBorder="1" applyAlignment="1">
      <alignment horizontal="right" vertical="center"/>
    </xf>
    <xf numFmtId="4" fontId="47" fillId="0" borderId="0" xfId="5" applyNumberFormat="1" applyFont="1" applyFill="1" applyAlignment="1">
      <alignment horizontal="center" vertical="center" wrapText="1"/>
    </xf>
    <xf numFmtId="0" fontId="4" fillId="0" borderId="3" xfId="1" applyFont="1" applyBorder="1" applyAlignment="1">
      <alignment horizontal="left"/>
    </xf>
    <xf numFmtId="0" fontId="4" fillId="0" borderId="2" xfId="1" applyFont="1" applyBorder="1" applyAlignment="1">
      <alignment horizontal="left"/>
    </xf>
    <xf numFmtId="0" fontId="4" fillId="0" borderId="1" xfId="1" applyFont="1" applyBorder="1" applyAlignment="1">
      <alignment horizontal="left"/>
    </xf>
    <xf numFmtId="0" fontId="5" fillId="0" borderId="17" xfId="1" applyFont="1" applyBorder="1" applyAlignment="1">
      <alignment horizontal="right"/>
    </xf>
    <xf numFmtId="0" fontId="5" fillId="0" borderId="16" xfId="1" applyFont="1" applyBorder="1" applyAlignment="1">
      <alignment horizontal="right"/>
    </xf>
    <xf numFmtId="0" fontId="5" fillId="0" borderId="15" xfId="1" applyFont="1" applyBorder="1" applyAlignment="1">
      <alignment horizontal="right"/>
    </xf>
    <xf numFmtId="0" fontId="4" fillId="0" borderId="15" xfId="1" applyFont="1" applyBorder="1" applyAlignment="1">
      <alignment horizontal="right"/>
    </xf>
    <xf numFmtId="164" fontId="4" fillId="0" borderId="14" xfId="1" applyNumberFormat="1" applyFont="1" applyBorder="1" applyAlignment="1">
      <alignment horizontal="center"/>
    </xf>
    <xf numFmtId="164" fontId="4" fillId="0" borderId="13" xfId="1" applyNumberFormat="1" applyFont="1" applyBorder="1" applyAlignment="1">
      <alignment horizontal="center"/>
    </xf>
    <xf numFmtId="0" fontId="5" fillId="4" borderId="12" xfId="1" applyFont="1" applyFill="1" applyBorder="1" applyAlignment="1">
      <alignment horizontal="left"/>
    </xf>
    <xf numFmtId="0" fontId="5" fillId="4" borderId="11" xfId="1" applyFont="1" applyFill="1" applyBorder="1" applyAlignment="1">
      <alignment horizontal="left"/>
    </xf>
    <xf numFmtId="0" fontId="5" fillId="4" borderId="10" xfId="1" applyFont="1" applyFill="1" applyBorder="1" applyAlignment="1">
      <alignment horizontal="left"/>
    </xf>
    <xf numFmtId="0" fontId="4" fillId="0" borderId="6" xfId="1" applyFont="1" applyBorder="1" applyAlignment="1">
      <alignment horizontal="left" wrapText="1"/>
    </xf>
    <xf numFmtId="0" fontId="4" fillId="0" borderId="5" xfId="1" applyFont="1" applyBorder="1" applyAlignment="1">
      <alignment horizontal="left" wrapText="1"/>
    </xf>
    <xf numFmtId="0" fontId="4" fillId="0" borderId="4" xfId="1" applyFont="1" applyBorder="1" applyAlignment="1">
      <alignment horizontal="left" wrapText="1"/>
    </xf>
    <xf numFmtId="0" fontId="4" fillId="0" borderId="9" xfId="1" applyFont="1" applyBorder="1" applyAlignment="1">
      <alignment horizontal="left" wrapText="1"/>
    </xf>
    <xf numFmtId="0" fontId="4" fillId="0" borderId="8" xfId="1" applyFont="1" applyBorder="1" applyAlignment="1">
      <alignment horizontal="left" wrapText="1"/>
    </xf>
    <xf numFmtId="0" fontId="4" fillId="0" borderId="7" xfId="1" applyFont="1" applyBorder="1" applyAlignment="1">
      <alignment horizontal="left" wrapText="1"/>
    </xf>
    <xf numFmtId="0" fontId="4" fillId="0" borderId="6" xfId="1" applyFont="1" applyBorder="1" applyAlignment="1">
      <alignment horizontal="left"/>
    </xf>
    <xf numFmtId="0" fontId="4" fillId="0" borderId="5" xfId="1" applyFont="1" applyBorder="1" applyAlignment="1">
      <alignment horizontal="left"/>
    </xf>
    <xf numFmtId="0" fontId="4" fillId="0" borderId="4" xfId="1" applyFont="1" applyBorder="1" applyAlignment="1">
      <alignment horizontal="left"/>
    </xf>
    <xf numFmtId="0" fontId="5" fillId="3" borderId="6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left"/>
    </xf>
    <xf numFmtId="0" fontId="5" fillId="3" borderId="4" xfId="1" applyFont="1" applyFill="1" applyBorder="1" applyAlignment="1">
      <alignment horizontal="left"/>
    </xf>
    <xf numFmtId="0" fontId="5" fillId="0" borderId="9" xfId="1" applyFont="1" applyBorder="1" applyAlignment="1">
      <alignment horizontal="right"/>
    </xf>
    <xf numFmtId="0" fontId="5" fillId="0" borderId="8" xfId="1" applyFont="1" applyBorder="1" applyAlignment="1">
      <alignment horizontal="right"/>
    </xf>
    <xf numFmtId="0" fontId="5" fillId="0" borderId="19" xfId="1" applyFont="1" applyBorder="1" applyAlignment="1">
      <alignment horizontal="right"/>
    </xf>
    <xf numFmtId="0" fontId="4" fillId="0" borderId="20" xfId="1" applyFont="1" applyBorder="1" applyAlignment="1">
      <alignment horizontal="right"/>
    </xf>
    <xf numFmtId="164" fontId="4" fillId="0" borderId="18" xfId="1" applyNumberFormat="1" applyFont="1" applyBorder="1" applyAlignment="1">
      <alignment horizontal="center"/>
    </xf>
    <xf numFmtId="164" fontId="4" fillId="0" borderId="7" xfId="1" applyNumberFormat="1" applyFont="1" applyBorder="1" applyAlignment="1">
      <alignment horizontal="center"/>
    </xf>
    <xf numFmtId="164" fontId="4" fillId="0" borderId="18" xfId="1" applyNumberFormat="1" applyFont="1" applyBorder="1" applyAlignment="1">
      <alignment horizontal="right" wrapText="1"/>
    </xf>
    <xf numFmtId="164" fontId="4" fillId="0" borderId="19" xfId="1" applyNumberFormat="1" applyFont="1" applyBorder="1" applyAlignment="1">
      <alignment horizontal="right" wrapText="1"/>
    </xf>
    <xf numFmtId="0" fontId="5" fillId="0" borderId="6" xfId="1" applyFont="1" applyBorder="1" applyAlignment="1">
      <alignment horizontal="right"/>
    </xf>
    <xf numFmtId="0" fontId="5" fillId="0" borderId="5" xfId="1" applyFont="1" applyBorder="1" applyAlignment="1">
      <alignment horizontal="right"/>
    </xf>
    <xf numFmtId="0" fontId="5" fillId="0" borderId="23" xfId="1" applyFont="1" applyBorder="1" applyAlignment="1">
      <alignment horizontal="right"/>
    </xf>
    <xf numFmtId="164" fontId="4" fillId="0" borderId="22" xfId="1" applyNumberFormat="1" applyFont="1" applyBorder="1" applyAlignment="1">
      <alignment horizontal="right"/>
    </xf>
    <xf numFmtId="0" fontId="4" fillId="2" borderId="21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center"/>
    </xf>
    <xf numFmtId="0" fontId="5" fillId="2" borderId="0" xfId="3" applyFont="1" applyFill="1" applyAlignment="1">
      <alignment horizontal="right"/>
    </xf>
    <xf numFmtId="0" fontId="11" fillId="2" borderId="2" xfId="3" applyFont="1" applyFill="1" applyBorder="1" applyAlignment="1">
      <alignment horizontal="center"/>
    </xf>
    <xf numFmtId="0" fontId="5" fillId="2" borderId="0" xfId="3" applyFont="1" applyFill="1"/>
    <xf numFmtId="0" fontId="5" fillId="4" borderId="33" xfId="1" applyFont="1" applyFill="1" applyBorder="1" applyAlignment="1">
      <alignment horizontal="center" vertical="center"/>
    </xf>
    <xf numFmtId="0" fontId="5" fillId="4" borderId="31" xfId="1" applyFont="1" applyFill="1" applyBorder="1" applyAlignment="1">
      <alignment horizontal="center" vertical="center"/>
    </xf>
    <xf numFmtId="0" fontId="5" fillId="4" borderId="32" xfId="1" applyFont="1" applyFill="1" applyBorder="1" applyAlignment="1">
      <alignment horizontal="center" vertical="center"/>
    </xf>
    <xf numFmtId="0" fontId="5" fillId="4" borderId="30" xfId="1" applyFont="1" applyFill="1" applyBorder="1" applyAlignment="1">
      <alignment horizontal="center" vertical="center"/>
    </xf>
    <xf numFmtId="0" fontId="5" fillId="4" borderId="15" xfId="1" applyFont="1" applyFill="1" applyBorder="1" applyAlignment="1">
      <alignment horizontal="center" vertical="center"/>
    </xf>
    <xf numFmtId="14" fontId="7" fillId="2" borderId="37" xfId="3" applyNumberFormat="1" applyFont="1" applyFill="1" applyBorder="1" applyAlignment="1">
      <alignment horizontal="center" vertical="center" wrapText="1"/>
    </xf>
    <xf numFmtId="14" fontId="7" fillId="2" borderId="34" xfId="3" applyNumberFormat="1" applyFont="1" applyFill="1" applyBorder="1" applyAlignment="1">
      <alignment horizontal="center" vertical="center" wrapText="1"/>
    </xf>
    <xf numFmtId="0" fontId="4" fillId="2" borderId="20" xfId="3" applyFont="1" applyFill="1" applyBorder="1" applyAlignment="1">
      <alignment horizontal="left"/>
    </xf>
    <xf numFmtId="0" fontId="4" fillId="2" borderId="15" xfId="3" applyFont="1" applyFill="1" applyBorder="1" applyAlignment="1">
      <alignment horizontal="left"/>
    </xf>
    <xf numFmtId="0" fontId="4" fillId="2" borderId="40" xfId="3" applyFont="1" applyFill="1" applyBorder="1" applyAlignment="1">
      <alignment horizontal="center"/>
    </xf>
    <xf numFmtId="0" fontId="4" fillId="2" borderId="39" xfId="3" applyFont="1" applyFill="1" applyBorder="1" applyAlignment="1">
      <alignment horizontal="center"/>
    </xf>
    <xf numFmtId="0" fontId="4" fillId="2" borderId="25" xfId="3" applyFont="1" applyFill="1" applyBorder="1" applyAlignment="1">
      <alignment horizontal="center"/>
    </xf>
    <xf numFmtId="0" fontId="4" fillId="2" borderId="36" xfId="3" applyFont="1" applyFill="1" applyBorder="1" applyAlignment="1">
      <alignment horizontal="center"/>
    </xf>
    <xf numFmtId="0" fontId="4" fillId="2" borderId="3" xfId="3" applyFont="1" applyFill="1" applyBorder="1" applyAlignment="1">
      <alignment horizontal="center"/>
    </xf>
    <xf numFmtId="0" fontId="4" fillId="2" borderId="35" xfId="3" applyFont="1" applyFill="1" applyBorder="1" applyAlignment="1">
      <alignment horizontal="center"/>
    </xf>
    <xf numFmtId="0" fontId="5" fillId="2" borderId="32" xfId="3" applyFont="1" applyFill="1" applyBorder="1" applyAlignment="1">
      <alignment horizontal="center"/>
    </xf>
    <xf numFmtId="0" fontId="5" fillId="2" borderId="20" xfId="3" applyFont="1" applyFill="1" applyBorder="1" applyAlignment="1">
      <alignment horizontal="center"/>
    </xf>
    <xf numFmtId="0" fontId="5" fillId="8" borderId="20" xfId="3" applyFont="1" applyFill="1" applyBorder="1" applyAlignment="1">
      <alignment horizontal="center" vertical="center" wrapText="1"/>
    </xf>
    <xf numFmtId="0" fontId="12" fillId="8" borderId="20" xfId="3" applyFont="1" applyFill="1" applyBorder="1" applyAlignment="1">
      <alignment horizontal="center" vertical="center" wrapText="1"/>
    </xf>
    <xf numFmtId="0" fontId="5" fillId="2" borderId="20" xfId="3" applyFont="1" applyFill="1" applyBorder="1" applyAlignment="1">
      <alignment horizontal="right" vertical="top" wrapText="1"/>
    </xf>
    <xf numFmtId="0" fontId="5" fillId="2" borderId="15" xfId="3" applyFont="1" applyFill="1" applyBorder="1" applyAlignment="1">
      <alignment horizontal="right" vertical="top" wrapText="1"/>
    </xf>
    <xf numFmtId="14" fontId="13" fillId="2" borderId="37" xfId="3" applyNumberFormat="1" applyFont="1" applyFill="1" applyBorder="1" applyAlignment="1">
      <alignment horizontal="center" vertical="center" wrapText="1"/>
    </xf>
    <xf numFmtId="14" fontId="13" fillId="2" borderId="34" xfId="3" applyNumberFormat="1" applyFont="1" applyFill="1" applyBorder="1" applyAlignment="1">
      <alignment horizontal="center" vertical="center" wrapText="1"/>
    </xf>
    <xf numFmtId="14" fontId="13" fillId="2" borderId="27" xfId="3" applyNumberFormat="1" applyFont="1" applyFill="1" applyBorder="1" applyAlignment="1">
      <alignment horizontal="center" vertical="center" wrapText="1"/>
    </xf>
    <xf numFmtId="0" fontId="13" fillId="2" borderId="46" xfId="3" applyFont="1" applyFill="1" applyBorder="1" applyAlignment="1">
      <alignment horizontal="left"/>
    </xf>
    <xf numFmtId="0" fontId="13" fillId="2" borderId="45" xfId="3" applyFont="1" applyFill="1" applyBorder="1" applyAlignment="1">
      <alignment horizontal="left"/>
    </xf>
    <xf numFmtId="0" fontId="13" fillId="2" borderId="44" xfId="3" applyFont="1" applyFill="1" applyBorder="1" applyAlignment="1">
      <alignment horizontal="left"/>
    </xf>
    <xf numFmtId="0" fontId="13" fillId="2" borderId="18" xfId="3" applyFont="1" applyFill="1" applyBorder="1" applyAlignment="1">
      <alignment horizontal="left"/>
    </xf>
    <xf numFmtId="0" fontId="13" fillId="2" borderId="8" xfId="3" applyFont="1" applyFill="1" applyBorder="1" applyAlignment="1">
      <alignment horizontal="left"/>
    </xf>
    <xf numFmtId="0" fontId="13" fillId="2" borderId="19" xfId="3" applyFont="1" applyFill="1" applyBorder="1" applyAlignment="1">
      <alignment horizontal="left"/>
    </xf>
    <xf numFmtId="0" fontId="13" fillId="2" borderId="40" xfId="3" applyFont="1" applyFill="1" applyBorder="1" applyAlignment="1">
      <alignment horizontal="center"/>
    </xf>
    <xf numFmtId="0" fontId="13" fillId="2" borderId="47" xfId="3" applyFont="1" applyFill="1" applyBorder="1" applyAlignment="1">
      <alignment horizontal="center"/>
    </xf>
    <xf numFmtId="0" fontId="13" fillId="2" borderId="25" xfId="3" applyFont="1" applyFill="1" applyBorder="1" applyAlignment="1">
      <alignment horizontal="center"/>
    </xf>
    <xf numFmtId="0" fontId="13" fillId="2" borderId="0" xfId="3" applyFont="1" applyFill="1" applyAlignment="1">
      <alignment horizontal="center"/>
    </xf>
    <xf numFmtId="0" fontId="13" fillId="2" borderId="6" xfId="3" applyFont="1" applyFill="1" applyBorder="1" applyAlignment="1">
      <alignment horizontal="center"/>
    </xf>
    <xf numFmtId="0" fontId="13" fillId="2" borderId="5" xfId="3" applyFont="1" applyFill="1" applyBorder="1" applyAlignment="1">
      <alignment horizontal="center"/>
    </xf>
    <xf numFmtId="0" fontId="15" fillId="2" borderId="32" xfId="3" applyFont="1" applyFill="1" applyBorder="1" applyAlignment="1">
      <alignment horizontal="center"/>
    </xf>
    <xf numFmtId="0" fontId="15" fillId="2" borderId="30" xfId="3" applyFont="1" applyFill="1" applyBorder="1" applyAlignment="1">
      <alignment horizontal="center"/>
    </xf>
    <xf numFmtId="0" fontId="8" fillId="8" borderId="60" xfId="3" applyFont="1" applyFill="1" applyBorder="1" applyAlignment="1">
      <alignment horizontal="center"/>
    </xf>
    <xf numFmtId="0" fontId="8" fillId="8" borderId="61" xfId="3" applyFont="1" applyFill="1" applyBorder="1" applyAlignment="1">
      <alignment horizontal="center"/>
    </xf>
    <xf numFmtId="0" fontId="8" fillId="8" borderId="62" xfId="3" applyFont="1" applyFill="1" applyBorder="1" applyAlignment="1">
      <alignment horizontal="center"/>
    </xf>
    <xf numFmtId="0" fontId="16" fillId="2" borderId="42" xfId="3" applyFont="1" applyFill="1" applyBorder="1" applyAlignment="1">
      <alignment horizontal="right" vertical="top" wrapText="1"/>
    </xf>
    <xf numFmtId="0" fontId="16" fillId="2" borderId="36" xfId="3" applyFont="1" applyFill="1" applyBorder="1" applyAlignment="1">
      <alignment horizontal="right" vertical="top" wrapText="1"/>
    </xf>
    <xf numFmtId="0" fontId="16" fillId="2" borderId="35" xfId="3" applyFont="1" applyFill="1" applyBorder="1" applyAlignment="1">
      <alignment horizontal="right" vertical="top" wrapText="1"/>
    </xf>
    <xf numFmtId="0" fontId="18" fillId="2" borderId="2" xfId="3" applyFont="1" applyFill="1" applyBorder="1" applyAlignment="1">
      <alignment horizontal="center"/>
    </xf>
    <xf numFmtId="0" fontId="16" fillId="4" borderId="33" xfId="1" applyFont="1" applyFill="1" applyBorder="1" applyAlignment="1">
      <alignment horizontal="center" vertical="center"/>
    </xf>
    <xf numFmtId="0" fontId="16" fillId="4" borderId="17" xfId="1" applyFont="1" applyFill="1" applyBorder="1" applyAlignment="1">
      <alignment horizontal="center" vertical="center"/>
    </xf>
    <xf numFmtId="0" fontId="16" fillId="4" borderId="33" xfId="1" applyFont="1" applyFill="1" applyBorder="1" applyAlignment="1">
      <alignment horizontal="center" vertical="center" wrapText="1"/>
    </xf>
    <xf numFmtId="0" fontId="16" fillId="4" borderId="17" xfId="1" applyFont="1" applyFill="1" applyBorder="1" applyAlignment="1">
      <alignment horizontal="center" vertical="center" wrapText="1"/>
    </xf>
    <xf numFmtId="0" fontId="16" fillId="4" borderId="32" xfId="1" applyFont="1" applyFill="1" applyBorder="1" applyAlignment="1">
      <alignment horizontal="center" vertical="center"/>
    </xf>
    <xf numFmtId="0" fontId="16" fillId="4" borderId="15" xfId="1" applyFont="1" applyFill="1" applyBorder="1" applyAlignment="1">
      <alignment horizontal="center" vertical="center"/>
    </xf>
    <xf numFmtId="0" fontId="16" fillId="0" borderId="6" xfId="1" applyFont="1" applyBorder="1" applyAlignment="1">
      <alignment horizontal="right"/>
    </xf>
    <xf numFmtId="0" fontId="16" fillId="0" borderId="5" xfId="1" applyFont="1" applyBorder="1" applyAlignment="1">
      <alignment horizontal="right"/>
    </xf>
    <xf numFmtId="0" fontId="16" fillId="0" borderId="23" xfId="1" applyFont="1" applyBorder="1" applyAlignment="1">
      <alignment horizontal="right"/>
    </xf>
    <xf numFmtId="164" fontId="13" fillId="0" borderId="22" xfId="1" applyNumberFormat="1" applyFont="1" applyBorder="1" applyAlignment="1">
      <alignment horizontal="right"/>
    </xf>
    <xf numFmtId="0" fontId="13" fillId="2" borderId="21" xfId="1" applyFont="1" applyFill="1" applyBorder="1" applyAlignment="1">
      <alignment horizontal="center"/>
    </xf>
    <xf numFmtId="0" fontId="13" fillId="2" borderId="4" xfId="1" applyFont="1" applyFill="1" applyBorder="1" applyAlignment="1">
      <alignment horizontal="center"/>
    </xf>
    <xf numFmtId="0" fontId="16" fillId="0" borderId="9" xfId="1" applyFont="1" applyBorder="1" applyAlignment="1">
      <alignment horizontal="right"/>
    </xf>
    <xf numFmtId="0" fontId="16" fillId="0" borderId="8" xfId="1" applyFont="1" applyBorder="1" applyAlignment="1">
      <alignment horizontal="right"/>
    </xf>
    <xf numFmtId="0" fontId="16" fillId="0" borderId="19" xfId="1" applyFont="1" applyBorder="1" applyAlignment="1">
      <alignment horizontal="right"/>
    </xf>
    <xf numFmtId="0" fontId="13" fillId="0" borderId="20" xfId="1" applyFont="1" applyBorder="1" applyAlignment="1">
      <alignment horizontal="right"/>
    </xf>
    <xf numFmtId="164" fontId="13" fillId="0" borderId="18" xfId="1" applyNumberFormat="1" applyFont="1" applyBorder="1" applyAlignment="1">
      <alignment horizontal="center"/>
    </xf>
    <xf numFmtId="164" fontId="13" fillId="0" borderId="7" xfId="1" applyNumberFormat="1" applyFont="1" applyBorder="1" applyAlignment="1">
      <alignment horizontal="center"/>
    </xf>
    <xf numFmtId="164" fontId="13" fillId="0" borderId="18" xfId="1" applyNumberFormat="1" applyFont="1" applyBorder="1" applyAlignment="1">
      <alignment horizontal="right" wrapText="1"/>
    </xf>
    <xf numFmtId="164" fontId="13" fillId="0" borderId="19" xfId="1" applyNumberFormat="1" applyFont="1" applyBorder="1" applyAlignment="1">
      <alignment horizontal="right" wrapText="1"/>
    </xf>
    <xf numFmtId="0" fontId="61" fillId="0" borderId="6" xfId="1" applyFont="1" applyBorder="1" applyAlignment="1">
      <alignment horizontal="left"/>
    </xf>
    <xf numFmtId="0" fontId="61" fillId="0" borderId="5" xfId="1" applyFont="1" applyBorder="1" applyAlignment="1">
      <alignment horizontal="left"/>
    </xf>
    <xf numFmtId="0" fontId="61" fillId="0" borderId="4" xfId="1" applyFont="1" applyBorder="1" applyAlignment="1">
      <alignment horizontal="left"/>
    </xf>
    <xf numFmtId="0" fontId="16" fillId="0" borderId="17" xfId="1" applyFont="1" applyBorder="1" applyAlignment="1">
      <alignment horizontal="right"/>
    </xf>
    <xf numFmtId="0" fontId="16" fillId="0" borderId="16" xfId="1" applyFont="1" applyBorder="1" applyAlignment="1">
      <alignment horizontal="right"/>
    </xf>
    <xf numFmtId="0" fontId="16" fillId="0" borderId="15" xfId="1" applyFont="1" applyBorder="1" applyAlignment="1">
      <alignment horizontal="right"/>
    </xf>
    <xf numFmtId="0" fontId="13" fillId="0" borderId="15" xfId="1" applyFont="1" applyBorder="1" applyAlignment="1">
      <alignment horizontal="right"/>
    </xf>
    <xf numFmtId="164" fontId="13" fillId="0" borderId="14" xfId="1" applyNumberFormat="1" applyFont="1" applyBorder="1" applyAlignment="1">
      <alignment horizontal="center"/>
    </xf>
    <xf numFmtId="164" fontId="13" fillId="0" borderId="13" xfId="1" applyNumberFormat="1" applyFont="1" applyBorder="1" applyAlignment="1">
      <alignment horizontal="center"/>
    </xf>
    <xf numFmtId="0" fontId="16" fillId="4" borderId="12" xfId="1" applyFont="1" applyFill="1" applyBorder="1" applyAlignment="1">
      <alignment horizontal="left"/>
    </xf>
    <xf numFmtId="0" fontId="16" fillId="4" borderId="11" xfId="1" applyFont="1" applyFill="1" applyBorder="1" applyAlignment="1">
      <alignment horizontal="left"/>
    </xf>
    <xf numFmtId="0" fontId="16" fillId="4" borderId="10" xfId="1" applyFont="1" applyFill="1" applyBorder="1" applyAlignment="1">
      <alignment horizontal="left"/>
    </xf>
    <xf numFmtId="0" fontId="13" fillId="0" borderId="6" xfId="1" applyFont="1" applyBorder="1" applyAlignment="1">
      <alignment horizontal="left" wrapText="1"/>
    </xf>
    <xf numFmtId="0" fontId="13" fillId="0" borderId="5" xfId="1" applyFont="1" applyBorder="1" applyAlignment="1">
      <alignment horizontal="left" wrapText="1"/>
    </xf>
    <xf numFmtId="0" fontId="13" fillId="0" borderId="4" xfId="1" applyFont="1" applyBorder="1" applyAlignment="1">
      <alignment horizontal="left" wrapText="1"/>
    </xf>
    <xf numFmtId="0" fontId="13" fillId="0" borderId="9" xfId="1" applyFont="1" applyBorder="1" applyAlignment="1">
      <alignment horizontal="left" wrapText="1"/>
    </xf>
    <xf numFmtId="0" fontId="13" fillId="0" borderId="8" xfId="1" applyFont="1" applyBorder="1" applyAlignment="1">
      <alignment horizontal="left" wrapText="1"/>
    </xf>
    <xf numFmtId="0" fontId="13" fillId="0" borderId="7" xfId="1" applyFont="1" applyBorder="1" applyAlignment="1">
      <alignment horizontal="left" wrapText="1"/>
    </xf>
    <xf numFmtId="0" fontId="21" fillId="0" borderId="9" xfId="0" applyFont="1" applyBorder="1" applyAlignment="1">
      <alignment horizontal="left"/>
    </xf>
    <xf numFmtId="0" fontId="21" fillId="0" borderId="8" xfId="0" applyFont="1" applyBorder="1" applyAlignment="1">
      <alignment horizontal="left"/>
    </xf>
    <xf numFmtId="0" fontId="21" fillId="0" borderId="7" xfId="0" applyFont="1" applyBorder="1" applyAlignment="1">
      <alignment horizontal="left"/>
    </xf>
    <xf numFmtId="0" fontId="60" fillId="0" borderId="6" xfId="1" applyFont="1" applyBorder="1" applyAlignment="1">
      <alignment horizontal="left" wrapText="1"/>
    </xf>
    <xf numFmtId="0" fontId="60" fillId="0" borderId="5" xfId="1" applyFont="1" applyBorder="1" applyAlignment="1">
      <alignment horizontal="left" wrapText="1"/>
    </xf>
    <xf numFmtId="0" fontId="60" fillId="0" borderId="4" xfId="1" applyFont="1" applyBorder="1" applyAlignment="1">
      <alignment horizontal="left" wrapText="1"/>
    </xf>
    <xf numFmtId="0" fontId="61" fillId="0" borderId="3" xfId="1" applyFont="1" applyBorder="1" applyAlignment="1">
      <alignment horizontal="left"/>
    </xf>
    <xf numFmtId="0" fontId="61" fillId="0" borderId="2" xfId="1" applyFont="1" applyBorder="1" applyAlignment="1">
      <alignment horizontal="left"/>
    </xf>
    <xf numFmtId="0" fontId="61" fillId="0" borderId="1" xfId="1" applyFont="1" applyBorder="1" applyAlignment="1">
      <alignment horizontal="left"/>
    </xf>
    <xf numFmtId="0" fontId="13" fillId="0" borderId="53" xfId="1" applyFont="1" applyBorder="1" applyAlignment="1">
      <alignment horizontal="left"/>
    </xf>
    <xf numFmtId="0" fontId="13" fillId="0" borderId="54" xfId="1" applyFont="1" applyBorder="1" applyAlignment="1">
      <alignment horizontal="left"/>
    </xf>
    <xf numFmtId="0" fontId="13" fillId="0" borderId="13" xfId="1" applyFont="1" applyBorder="1" applyAlignment="1">
      <alignment horizontal="left"/>
    </xf>
    <xf numFmtId="0" fontId="16" fillId="20" borderId="58" xfId="3" applyFont="1" applyFill="1" applyBorder="1" applyAlignment="1">
      <alignment horizontal="center"/>
    </xf>
    <xf numFmtId="0" fontId="16" fillId="20" borderId="47" xfId="3" applyFont="1" applyFill="1" applyBorder="1" applyAlignment="1">
      <alignment horizontal="center"/>
    </xf>
    <xf numFmtId="0" fontId="13" fillId="2" borderId="43" xfId="3" applyFont="1" applyFill="1" applyBorder="1" applyAlignment="1">
      <alignment horizontal="left"/>
    </xf>
    <xf numFmtId="0" fontId="13" fillId="2" borderId="0" xfId="3" applyFont="1" applyFill="1" applyAlignment="1">
      <alignment horizontal="left"/>
    </xf>
    <xf numFmtId="14" fontId="62" fillId="2" borderId="37" xfId="3" applyNumberFormat="1" applyFont="1" applyFill="1" applyBorder="1" applyAlignment="1">
      <alignment horizontal="center" vertical="center" wrapText="1"/>
    </xf>
    <xf numFmtId="14" fontId="62" fillId="2" borderId="34" xfId="3" applyNumberFormat="1" applyFont="1" applyFill="1" applyBorder="1" applyAlignment="1">
      <alignment horizontal="center" vertical="center" wrapText="1"/>
    </xf>
    <xf numFmtId="14" fontId="62" fillId="2" borderId="27" xfId="3" applyNumberFormat="1" applyFont="1" applyFill="1" applyBorder="1" applyAlignment="1">
      <alignment horizontal="center" vertical="center" wrapText="1"/>
    </xf>
    <xf numFmtId="0" fontId="62" fillId="2" borderId="46" xfId="3" applyFont="1" applyFill="1" applyBorder="1" applyAlignment="1">
      <alignment horizontal="left"/>
    </xf>
    <xf numFmtId="0" fontId="62" fillId="2" borderId="45" xfId="3" applyFont="1" applyFill="1" applyBorder="1" applyAlignment="1">
      <alignment horizontal="left"/>
    </xf>
    <xf numFmtId="0" fontId="62" fillId="2" borderId="44" xfId="3" applyFont="1" applyFill="1" applyBorder="1" applyAlignment="1">
      <alignment horizontal="left"/>
    </xf>
    <xf numFmtId="0" fontId="62" fillId="2" borderId="18" xfId="3" applyFont="1" applyFill="1" applyBorder="1" applyAlignment="1">
      <alignment horizontal="left"/>
    </xf>
    <xf numFmtId="0" fontId="62" fillId="2" borderId="8" xfId="3" applyFont="1" applyFill="1" applyBorder="1" applyAlignment="1">
      <alignment horizontal="left"/>
    </xf>
    <xf numFmtId="0" fontId="62" fillId="2" borderId="19" xfId="3" applyFont="1" applyFill="1" applyBorder="1" applyAlignment="1">
      <alignment horizontal="left"/>
    </xf>
    <xf numFmtId="0" fontId="62" fillId="2" borderId="40" xfId="3" applyFont="1" applyFill="1" applyBorder="1" applyAlignment="1">
      <alignment horizontal="center"/>
    </xf>
    <xf numFmtId="0" fontId="62" fillId="2" borderId="47" xfId="3" applyFont="1" applyFill="1" applyBorder="1" applyAlignment="1">
      <alignment horizontal="center"/>
    </xf>
    <xf numFmtId="0" fontId="62" fillId="2" borderId="25" xfId="3" applyFont="1" applyFill="1" applyBorder="1" applyAlignment="1">
      <alignment horizontal="center"/>
    </xf>
    <xf numFmtId="0" fontId="62" fillId="2" borderId="0" xfId="3" applyFont="1" applyFill="1" applyAlignment="1">
      <alignment horizontal="center"/>
    </xf>
    <xf numFmtId="0" fontId="62" fillId="2" borderId="6" xfId="3" applyFont="1" applyFill="1" applyBorder="1" applyAlignment="1">
      <alignment horizontal="center"/>
    </xf>
    <xf numFmtId="0" fontId="62" fillId="2" borderId="5" xfId="3" applyFont="1" applyFill="1" applyBorder="1" applyAlignment="1">
      <alignment horizontal="center"/>
    </xf>
    <xf numFmtId="0" fontId="15" fillId="2" borderId="14" xfId="3" applyFont="1" applyFill="1" applyBorder="1" applyAlignment="1">
      <alignment horizontal="center"/>
    </xf>
    <xf numFmtId="0" fontId="15" fillId="2" borderId="54" xfId="3" applyFont="1" applyFill="1" applyBorder="1" applyAlignment="1">
      <alignment horizontal="center"/>
    </xf>
    <xf numFmtId="0" fontId="15" fillId="2" borderId="16" xfId="3" applyFont="1" applyFill="1" applyBorder="1" applyAlignment="1">
      <alignment horizontal="center"/>
    </xf>
    <xf numFmtId="0" fontId="15" fillId="8" borderId="12" xfId="3" applyFont="1" applyFill="1" applyBorder="1" applyAlignment="1">
      <alignment horizontal="center" vertical="center" wrapText="1"/>
    </xf>
    <xf numFmtId="0" fontId="15" fillId="8" borderId="11" xfId="3" applyFont="1" applyFill="1" applyBorder="1" applyAlignment="1">
      <alignment horizontal="center" vertical="center" wrapText="1"/>
    </xf>
    <xf numFmtId="0" fontId="15" fillId="8" borderId="10" xfId="3" applyFont="1" applyFill="1" applyBorder="1" applyAlignment="1">
      <alignment horizontal="center" vertical="center" wrapText="1"/>
    </xf>
    <xf numFmtId="0" fontId="15" fillId="2" borderId="42" xfId="3" applyFont="1" applyFill="1" applyBorder="1" applyAlignment="1">
      <alignment horizontal="right" vertical="top" wrapText="1"/>
    </xf>
    <xf numFmtId="0" fontId="15" fillId="2" borderId="36" xfId="3" applyFont="1" applyFill="1" applyBorder="1" applyAlignment="1">
      <alignment horizontal="right" vertical="top" wrapText="1"/>
    </xf>
    <xf numFmtId="0" fontId="15" fillId="2" borderId="35" xfId="3" applyFont="1" applyFill="1" applyBorder="1" applyAlignment="1">
      <alignment horizontal="right" vertical="top" wrapText="1"/>
    </xf>
    <xf numFmtId="0" fontId="63" fillId="2" borderId="0" xfId="3" applyFont="1" applyFill="1" applyAlignment="1">
      <alignment horizontal="right"/>
    </xf>
    <xf numFmtId="0" fontId="64" fillId="2" borderId="2" xfId="3" applyFont="1" applyFill="1" applyBorder="1" applyAlignment="1">
      <alignment horizontal="center"/>
    </xf>
    <xf numFmtId="0" fontId="63" fillId="2" borderId="0" xfId="3" applyFont="1" applyFill="1"/>
    <xf numFmtId="0" fontId="15" fillId="4" borderId="33" xfId="1" applyFont="1" applyFill="1" applyBorder="1" applyAlignment="1">
      <alignment horizontal="center" vertical="center"/>
    </xf>
    <xf numFmtId="0" fontId="15" fillId="4" borderId="17" xfId="1" applyFont="1" applyFill="1" applyBorder="1" applyAlignment="1">
      <alignment horizontal="center" vertical="center"/>
    </xf>
    <xf numFmtId="0" fontId="15" fillId="4" borderId="33" xfId="1" applyFont="1" applyFill="1" applyBorder="1" applyAlignment="1">
      <alignment horizontal="center" vertical="center" wrapText="1"/>
    </xf>
    <xf numFmtId="0" fontId="15" fillId="4" borderId="17" xfId="1" applyFont="1" applyFill="1" applyBorder="1" applyAlignment="1">
      <alignment horizontal="center" vertical="center" wrapText="1"/>
    </xf>
    <xf numFmtId="0" fontId="15" fillId="4" borderId="32" xfId="1" applyFont="1" applyFill="1" applyBorder="1" applyAlignment="1">
      <alignment horizontal="center" vertical="center"/>
    </xf>
    <xf numFmtId="0" fontId="15" fillId="4" borderId="15" xfId="1" applyFont="1" applyFill="1" applyBorder="1" applyAlignment="1">
      <alignment horizontal="center" vertical="center"/>
    </xf>
    <xf numFmtId="0" fontId="15" fillId="0" borderId="6" xfId="1" applyFont="1" applyBorder="1" applyAlignment="1">
      <alignment horizontal="right"/>
    </xf>
    <xf numFmtId="0" fontId="15" fillId="0" borderId="5" xfId="1" applyFont="1" applyBorder="1" applyAlignment="1">
      <alignment horizontal="right"/>
    </xf>
    <xf numFmtId="0" fontId="15" fillId="0" borderId="23" xfId="1" applyFont="1" applyBorder="1" applyAlignment="1">
      <alignment horizontal="right"/>
    </xf>
    <xf numFmtId="164" fontId="62" fillId="0" borderId="22" xfId="1" applyNumberFormat="1" applyFont="1" applyBorder="1" applyAlignment="1">
      <alignment horizontal="right"/>
    </xf>
    <xf numFmtId="0" fontId="62" fillId="2" borderId="21" xfId="1" applyFont="1" applyFill="1" applyBorder="1" applyAlignment="1">
      <alignment horizontal="center"/>
    </xf>
    <xf numFmtId="0" fontId="62" fillId="2" borderId="4" xfId="1" applyFont="1" applyFill="1" applyBorder="1" applyAlignment="1">
      <alignment horizontal="center"/>
    </xf>
    <xf numFmtId="0" fontId="15" fillId="0" borderId="9" xfId="1" applyFont="1" applyBorder="1" applyAlignment="1">
      <alignment horizontal="right"/>
    </xf>
    <xf numFmtId="0" fontId="15" fillId="0" borderId="8" xfId="1" applyFont="1" applyBorder="1" applyAlignment="1">
      <alignment horizontal="right"/>
    </xf>
    <xf numFmtId="0" fontId="15" fillId="0" borderId="19" xfId="1" applyFont="1" applyBorder="1" applyAlignment="1">
      <alignment horizontal="right"/>
    </xf>
    <xf numFmtId="0" fontId="62" fillId="0" borderId="20" xfId="1" applyFont="1" applyBorder="1" applyAlignment="1">
      <alignment horizontal="right"/>
    </xf>
    <xf numFmtId="164" fontId="62" fillId="0" borderId="18" xfId="1" applyNumberFormat="1" applyFont="1" applyBorder="1" applyAlignment="1">
      <alignment horizontal="center"/>
    </xf>
    <xf numFmtId="164" fontId="62" fillId="0" borderId="7" xfId="1" applyNumberFormat="1" applyFont="1" applyBorder="1" applyAlignment="1">
      <alignment horizontal="center"/>
    </xf>
    <xf numFmtId="0" fontId="22" fillId="0" borderId="6" xfId="0" applyFont="1" applyBorder="1" applyAlignment="1">
      <alignment horizontal="left"/>
    </xf>
    <xf numFmtId="0" fontId="22" fillId="0" borderId="5" xfId="0" applyFont="1" applyBorder="1" applyAlignment="1">
      <alignment horizontal="left"/>
    </xf>
    <xf numFmtId="0" fontId="22" fillId="0" borderId="4" xfId="0" applyFont="1" applyBorder="1" applyAlignment="1">
      <alignment horizontal="left"/>
    </xf>
    <xf numFmtId="164" fontId="62" fillId="0" borderId="18" xfId="1" applyNumberFormat="1" applyFont="1" applyBorder="1" applyAlignment="1">
      <alignment horizontal="right" wrapText="1"/>
    </xf>
    <xf numFmtId="164" fontId="62" fillId="0" borderId="19" xfId="1" applyNumberFormat="1" applyFont="1" applyBorder="1" applyAlignment="1">
      <alignment horizontal="right" wrapText="1"/>
    </xf>
    <xf numFmtId="164" fontId="62" fillId="0" borderId="18" xfId="0" applyNumberFormat="1" applyFont="1" applyBorder="1" applyAlignment="1">
      <alignment horizontal="center" wrapText="1"/>
    </xf>
    <xf numFmtId="164" fontId="62" fillId="0" borderId="7" xfId="0" applyNumberFormat="1" applyFont="1" applyBorder="1" applyAlignment="1">
      <alignment horizontal="center" wrapText="1"/>
    </xf>
    <xf numFmtId="0" fontId="15" fillId="0" borderId="17" xfId="1" applyFont="1" applyBorder="1" applyAlignment="1">
      <alignment horizontal="right"/>
    </xf>
    <xf numFmtId="0" fontId="15" fillId="0" borderId="16" xfId="1" applyFont="1" applyBorder="1" applyAlignment="1">
      <alignment horizontal="right"/>
    </xf>
    <xf numFmtId="0" fontId="15" fillId="0" borderId="15" xfId="1" applyFont="1" applyBorder="1" applyAlignment="1">
      <alignment horizontal="right"/>
    </xf>
    <xf numFmtId="0" fontId="62" fillId="0" borderId="15" xfId="1" applyFont="1" applyBorder="1" applyAlignment="1">
      <alignment horizontal="right"/>
    </xf>
    <xf numFmtId="0" fontId="15" fillId="4" borderId="12" xfId="1" applyFont="1" applyFill="1" applyBorder="1" applyAlignment="1">
      <alignment horizontal="left"/>
    </xf>
    <xf numFmtId="0" fontId="15" fillId="4" borderId="11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0" fontId="56" fillId="0" borderId="9" xfId="0" applyFont="1" applyBorder="1" applyAlignment="1">
      <alignment horizontal="left"/>
    </xf>
    <xf numFmtId="0" fontId="56" fillId="0" borderId="8" xfId="0" applyFont="1" applyBorder="1" applyAlignment="1">
      <alignment horizontal="left"/>
    </xf>
    <xf numFmtId="0" fontId="56" fillId="0" borderId="7" xfId="0" applyFont="1" applyBorder="1" applyAlignment="1">
      <alignment horizontal="left"/>
    </xf>
    <xf numFmtId="0" fontId="15" fillId="20" borderId="58" xfId="3" applyFont="1" applyFill="1" applyBorder="1" applyAlignment="1">
      <alignment horizontal="center"/>
    </xf>
    <xf numFmtId="0" fontId="15" fillId="20" borderId="47" xfId="3" applyFont="1" applyFill="1" applyBorder="1" applyAlignment="1">
      <alignment horizontal="center"/>
    </xf>
    <xf numFmtId="0" fontId="62" fillId="2" borderId="43" xfId="3" applyFont="1" applyFill="1" applyBorder="1" applyAlignment="1">
      <alignment horizontal="left"/>
    </xf>
    <xf numFmtId="0" fontId="62" fillId="2" borderId="0" xfId="3" applyFont="1" applyFill="1" applyAlignment="1">
      <alignment horizontal="left"/>
    </xf>
    <xf numFmtId="0" fontId="62" fillId="0" borderId="28" xfId="0" applyFont="1" applyBorder="1" applyAlignment="1">
      <alignment horizontal="left"/>
    </xf>
    <xf numFmtId="0" fontId="62" fillId="0" borderId="19" xfId="0" applyFont="1" applyBorder="1" applyAlignment="1">
      <alignment horizontal="left"/>
    </xf>
    <xf numFmtId="0" fontId="62" fillId="0" borderId="20" xfId="0" applyFont="1" applyBorder="1" applyAlignment="1">
      <alignment horizontal="left"/>
    </xf>
    <xf numFmtId="0" fontId="62" fillId="0" borderId="26" xfId="0" applyFont="1" applyBorder="1" applyAlignment="1">
      <alignment horizontal="left"/>
    </xf>
    <xf numFmtId="0" fontId="62" fillId="0" borderId="9" xfId="0" applyFont="1" applyBorder="1" applyAlignment="1">
      <alignment horizontal="left" wrapText="1"/>
    </xf>
    <xf numFmtId="0" fontId="62" fillId="0" borderId="8" xfId="0" applyFont="1" applyBorder="1" applyAlignment="1">
      <alignment horizontal="left" wrapText="1"/>
    </xf>
    <xf numFmtId="0" fontId="62" fillId="0" borderId="19" xfId="0" applyFont="1" applyBorder="1" applyAlignment="1">
      <alignment horizontal="left" wrapText="1"/>
    </xf>
    <xf numFmtId="0" fontId="62" fillId="0" borderId="53" xfId="0" applyFont="1" applyBorder="1" applyAlignment="1">
      <alignment horizontal="left"/>
    </xf>
    <xf numFmtId="0" fontId="62" fillId="0" borderId="54" xfId="0" applyFont="1" applyBorder="1" applyAlignment="1">
      <alignment horizontal="left"/>
    </xf>
    <xf numFmtId="0" fontId="62" fillId="0" borderId="13" xfId="0" applyFont="1" applyBorder="1" applyAlignment="1">
      <alignment horizontal="left"/>
    </xf>
    <xf numFmtId="0" fontId="13" fillId="0" borderId="18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13" fillId="7" borderId="18" xfId="0" applyFont="1" applyFill="1" applyBorder="1" applyAlignment="1">
      <alignment horizontal="center"/>
    </xf>
    <xf numFmtId="0" fontId="13" fillId="7" borderId="19" xfId="0" applyFont="1" applyFill="1" applyBorder="1" applyAlignment="1">
      <alignment horizontal="center"/>
    </xf>
    <xf numFmtId="0" fontId="13" fillId="0" borderId="9" xfId="0" applyFont="1" applyBorder="1" applyAlignment="1">
      <alignment horizontal="left" vertical="top" wrapText="1"/>
    </xf>
    <xf numFmtId="0" fontId="13" fillId="0" borderId="8" xfId="0" applyFont="1" applyBorder="1" applyAlignment="1">
      <alignment horizontal="left" vertical="top" wrapText="1"/>
    </xf>
    <xf numFmtId="0" fontId="13" fillId="0" borderId="9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6" fillId="12" borderId="53" xfId="0" applyFont="1" applyFill="1" applyBorder="1" applyAlignment="1">
      <alignment horizontal="center" vertical="center"/>
    </xf>
    <xf numFmtId="0" fontId="16" fillId="12" borderId="54" xfId="0" applyFont="1" applyFill="1" applyBorder="1" applyAlignment="1">
      <alignment horizontal="center" vertical="center"/>
    </xf>
    <xf numFmtId="0" fontId="16" fillId="12" borderId="16" xfId="0" applyFont="1" applyFill="1" applyBorder="1" applyAlignment="1">
      <alignment horizontal="center" vertical="center"/>
    </xf>
    <xf numFmtId="0" fontId="16" fillId="0" borderId="9" xfId="0" applyFont="1" applyBorder="1" applyAlignment="1">
      <alignment horizontal="right"/>
    </xf>
    <xf numFmtId="0" fontId="16" fillId="0" borderId="8" xfId="0" applyFont="1" applyBorder="1" applyAlignment="1">
      <alignment horizontal="right"/>
    </xf>
    <xf numFmtId="0" fontId="16" fillId="0" borderId="19" xfId="0" applyFont="1" applyBorder="1" applyAlignment="1">
      <alignment horizontal="right"/>
    </xf>
    <xf numFmtId="0" fontId="13" fillId="0" borderId="18" xfId="0" applyFont="1" applyBorder="1" applyAlignment="1">
      <alignment horizontal="right"/>
    </xf>
    <xf numFmtId="0" fontId="13" fillId="0" borderId="19" xfId="0" applyFont="1" applyBorder="1" applyAlignment="1">
      <alignment horizontal="right"/>
    </xf>
    <xf numFmtId="0" fontId="13" fillId="0" borderId="8" xfId="0" applyFont="1" applyBorder="1" applyAlignment="1">
      <alignment horizontal="center"/>
    </xf>
    <xf numFmtId="0" fontId="13" fillId="0" borderId="18" xfId="0" applyFont="1" applyBorder="1" applyAlignment="1">
      <alignment horizontal="right" wrapText="1"/>
    </xf>
    <xf numFmtId="0" fontId="13" fillId="0" borderId="19" xfId="0" applyFont="1" applyBorder="1" applyAlignment="1">
      <alignment horizontal="right" wrapText="1"/>
    </xf>
    <xf numFmtId="0" fontId="16" fillId="0" borderId="55" xfId="0" applyFont="1" applyBorder="1" applyAlignment="1">
      <alignment horizontal="right"/>
    </xf>
    <xf numFmtId="0" fontId="16" fillId="0" borderId="45" xfId="0" applyFont="1" applyBorder="1" applyAlignment="1">
      <alignment horizontal="right"/>
    </xf>
    <xf numFmtId="0" fontId="16" fillId="0" borderId="44" xfId="0" applyFont="1" applyBorder="1" applyAlignment="1">
      <alignment horizontal="right"/>
    </xf>
    <xf numFmtId="0" fontId="13" fillId="0" borderId="46" xfId="0" applyFont="1" applyBorder="1" applyAlignment="1">
      <alignment horizontal="right"/>
    </xf>
    <xf numFmtId="0" fontId="13" fillId="0" borderId="44" xfId="0" applyFont="1" applyBorder="1" applyAlignment="1">
      <alignment horizontal="right"/>
    </xf>
    <xf numFmtId="0" fontId="13" fillId="5" borderId="46" xfId="0" applyFont="1" applyFill="1" applyBorder="1" applyAlignment="1">
      <alignment horizontal="center"/>
    </xf>
    <xf numFmtId="0" fontId="13" fillId="5" borderId="45" xfId="0" applyFont="1" applyFill="1" applyBorder="1" applyAlignment="1">
      <alignment horizontal="center"/>
    </xf>
    <xf numFmtId="0" fontId="19" fillId="5" borderId="55" xfId="0" applyFont="1" applyFill="1" applyBorder="1" applyAlignment="1">
      <alignment horizontal="left" vertical="center"/>
    </xf>
    <xf numFmtId="0" fontId="19" fillId="5" borderId="45" xfId="0" applyFont="1" applyFill="1" applyBorder="1" applyAlignment="1">
      <alignment horizontal="left" vertical="center"/>
    </xf>
    <xf numFmtId="0" fontId="19" fillId="5" borderId="44" xfId="0" applyFont="1" applyFill="1" applyBorder="1" applyAlignment="1">
      <alignment horizontal="left" vertical="center"/>
    </xf>
    <xf numFmtId="0" fontId="19" fillId="5" borderId="9" xfId="0" applyFont="1" applyFill="1" applyBorder="1" applyAlignment="1">
      <alignment horizontal="left" vertical="center"/>
    </xf>
    <xf numFmtId="0" fontId="19" fillId="5" borderId="8" xfId="0" applyFont="1" applyFill="1" applyBorder="1" applyAlignment="1">
      <alignment horizontal="left" vertical="center"/>
    </xf>
    <xf numFmtId="0" fontId="19" fillId="5" borderId="19" xfId="0" applyFont="1" applyFill="1" applyBorder="1" applyAlignment="1">
      <alignment horizontal="left" vertical="center"/>
    </xf>
    <xf numFmtId="0" fontId="16" fillId="0" borderId="53" xfId="0" applyFont="1" applyBorder="1" applyAlignment="1">
      <alignment horizontal="right"/>
    </xf>
    <xf numFmtId="0" fontId="16" fillId="0" borderId="54" xfId="0" applyFont="1" applyBorder="1" applyAlignment="1">
      <alignment horizontal="right"/>
    </xf>
    <xf numFmtId="0" fontId="16" fillId="0" borderId="16" xfId="0" applyFont="1" applyBorder="1" applyAlignment="1">
      <alignment horizontal="right"/>
    </xf>
    <xf numFmtId="0" fontId="13" fillId="0" borderId="14" xfId="0" applyFont="1" applyBorder="1" applyAlignment="1">
      <alignment horizontal="right"/>
    </xf>
    <xf numFmtId="0" fontId="13" fillId="0" borderId="16" xfId="0" applyFont="1" applyBorder="1" applyAlignment="1">
      <alignment horizontal="right"/>
    </xf>
    <xf numFmtId="0" fontId="13" fillId="0" borderId="14" xfId="0" applyFont="1" applyBorder="1" applyAlignment="1">
      <alignment horizontal="center"/>
    </xf>
    <xf numFmtId="0" fontId="13" fillId="0" borderId="54" xfId="0" applyFont="1" applyBorder="1" applyAlignment="1">
      <alignment horizontal="center"/>
    </xf>
    <xf numFmtId="0" fontId="16" fillId="12" borderId="12" xfId="0" applyFont="1" applyFill="1" applyBorder="1" applyAlignment="1">
      <alignment horizontal="left"/>
    </xf>
    <xf numFmtId="0" fontId="16" fillId="12" borderId="11" xfId="0" applyFont="1" applyFill="1" applyBorder="1" applyAlignment="1">
      <alignment horizontal="left"/>
    </xf>
    <xf numFmtId="0" fontId="13" fillId="0" borderId="55" xfId="0" applyFont="1" applyBorder="1" applyAlignment="1">
      <alignment horizontal="left" vertical="top" wrapText="1"/>
    </xf>
    <xf numFmtId="0" fontId="13" fillId="0" borderId="45" xfId="0" applyFont="1" applyBorder="1" applyAlignment="1">
      <alignment horizontal="left" vertical="top" wrapText="1"/>
    </xf>
    <xf numFmtId="0" fontId="16" fillId="12" borderId="51" xfId="0" applyFont="1" applyFill="1" applyBorder="1" applyAlignment="1">
      <alignment horizontal="center" vertical="center" wrapText="1"/>
    </xf>
    <xf numFmtId="0" fontId="16" fillId="12" borderId="52" xfId="0" applyFont="1" applyFill="1" applyBorder="1" applyAlignment="1">
      <alignment horizontal="center" vertical="center" wrapText="1"/>
    </xf>
    <xf numFmtId="0" fontId="16" fillId="12" borderId="51" xfId="0" applyFont="1" applyFill="1" applyBorder="1" applyAlignment="1">
      <alignment horizontal="center" vertical="center"/>
    </xf>
    <xf numFmtId="0" fontId="16" fillId="12" borderId="22" xfId="0" applyFont="1" applyFill="1" applyBorder="1" applyAlignment="1">
      <alignment horizontal="center" vertical="center"/>
    </xf>
    <xf numFmtId="0" fontId="16" fillId="12" borderId="46" xfId="0" applyFont="1" applyFill="1" applyBorder="1" applyAlignment="1">
      <alignment horizontal="center" vertical="center"/>
    </xf>
    <xf numFmtId="0" fontId="16" fillId="12" borderId="44" xfId="0" applyFont="1" applyFill="1" applyBorder="1" applyAlignment="1">
      <alignment horizontal="center" vertical="center"/>
    </xf>
    <xf numFmtId="0" fontId="19" fillId="5" borderId="53" xfId="0" applyFont="1" applyFill="1" applyBorder="1" applyAlignment="1">
      <alignment horizontal="left" vertical="center"/>
    </xf>
    <xf numFmtId="0" fontId="19" fillId="5" borderId="54" xfId="0" applyFont="1" applyFill="1" applyBorder="1" applyAlignment="1">
      <alignment horizontal="left" vertical="center"/>
    </xf>
    <xf numFmtId="0" fontId="19" fillId="5" borderId="16" xfId="0" applyFont="1" applyFill="1" applyBorder="1" applyAlignment="1">
      <alignment horizontal="left" vertical="center"/>
    </xf>
    <xf numFmtId="0" fontId="13" fillId="5" borderId="41" xfId="0" applyFont="1" applyFill="1" applyBorder="1" applyAlignment="1">
      <alignment horizontal="center"/>
    </xf>
    <xf numFmtId="0" fontId="13" fillId="5" borderId="42" xfId="0" applyFont="1" applyFill="1" applyBorder="1" applyAlignment="1">
      <alignment horizontal="center"/>
    </xf>
    <xf numFmtId="0" fontId="13" fillId="5" borderId="43" xfId="0" applyFont="1" applyFill="1" applyBorder="1" applyAlignment="1">
      <alignment horizontal="center"/>
    </xf>
    <xf numFmtId="0" fontId="13" fillId="5" borderId="36" xfId="0" applyFont="1" applyFill="1" applyBorder="1" applyAlignment="1">
      <alignment horizontal="center"/>
    </xf>
    <xf numFmtId="0" fontId="13" fillId="5" borderId="21" xfId="0" applyFont="1" applyFill="1" applyBorder="1" applyAlignment="1">
      <alignment horizontal="center"/>
    </xf>
    <xf numFmtId="0" fontId="13" fillId="5" borderId="23" xfId="0" applyFont="1" applyFill="1" applyBorder="1" applyAlignment="1">
      <alignment horizontal="center"/>
    </xf>
    <xf numFmtId="0" fontId="15" fillId="5" borderId="46" xfId="0" applyFont="1" applyFill="1" applyBorder="1" applyAlignment="1">
      <alignment horizontal="center"/>
    </xf>
    <xf numFmtId="0" fontId="15" fillId="5" borderId="45" xfId="0" applyFont="1" applyFill="1" applyBorder="1" applyAlignment="1">
      <alignment horizontal="center"/>
    </xf>
    <xf numFmtId="0" fontId="15" fillId="5" borderId="44" xfId="0" applyFont="1" applyFill="1" applyBorder="1" applyAlignment="1">
      <alignment horizontal="center"/>
    </xf>
    <xf numFmtId="0" fontId="15" fillId="5" borderId="14" xfId="0" applyFont="1" applyFill="1" applyBorder="1" applyAlignment="1">
      <alignment horizontal="center"/>
    </xf>
    <xf numFmtId="0" fontId="15" fillId="5" borderId="54" xfId="0" applyFont="1" applyFill="1" applyBorder="1" applyAlignment="1">
      <alignment horizontal="center"/>
    </xf>
    <xf numFmtId="0" fontId="15" fillId="5" borderId="16" xfId="0" applyFont="1" applyFill="1" applyBorder="1" applyAlignment="1">
      <alignment horizontal="center"/>
    </xf>
    <xf numFmtId="0" fontId="8" fillId="11" borderId="56" xfId="0" applyFont="1" applyFill="1" applyBorder="1" applyAlignment="1">
      <alignment horizontal="center" vertical="center" wrapText="1"/>
    </xf>
    <xf numFmtId="0" fontId="8" fillId="11" borderId="11" xfId="0" applyFont="1" applyFill="1" applyBorder="1" applyAlignment="1">
      <alignment horizontal="center" vertical="center" wrapText="1"/>
    </xf>
    <xf numFmtId="0" fontId="16" fillId="5" borderId="42" xfId="0" applyFont="1" applyFill="1" applyBorder="1" applyAlignment="1">
      <alignment horizontal="right" vertical="top" wrapText="1"/>
    </xf>
    <xf numFmtId="0" fontId="16" fillId="5" borderId="36" xfId="0" applyFont="1" applyFill="1" applyBorder="1" applyAlignment="1">
      <alignment horizontal="right" vertical="top" wrapText="1"/>
    </xf>
    <xf numFmtId="0" fontId="16" fillId="5" borderId="35" xfId="0" applyFont="1" applyFill="1" applyBorder="1" applyAlignment="1">
      <alignment horizontal="right" vertical="top" wrapText="1"/>
    </xf>
    <xf numFmtId="14" fontId="13" fillId="5" borderId="37" xfId="0" applyNumberFormat="1" applyFont="1" applyFill="1" applyBorder="1" applyAlignment="1">
      <alignment horizontal="center" vertical="center" wrapText="1"/>
    </xf>
    <xf numFmtId="14" fontId="13" fillId="5" borderId="34" xfId="0" applyNumberFormat="1" applyFont="1" applyFill="1" applyBorder="1" applyAlignment="1">
      <alignment horizontal="center" vertical="center" wrapText="1"/>
    </xf>
    <xf numFmtId="14" fontId="13" fillId="5" borderId="57" xfId="0" applyNumberFormat="1" applyFont="1" applyFill="1" applyBorder="1" applyAlignment="1">
      <alignment horizontal="center" vertical="center" wrapText="1"/>
    </xf>
    <xf numFmtId="0" fontId="13" fillId="5" borderId="46" xfId="0" applyFont="1" applyFill="1" applyBorder="1" applyAlignment="1">
      <alignment horizontal="left"/>
    </xf>
    <xf numFmtId="0" fontId="13" fillId="5" borderId="45" xfId="0" applyFont="1" applyFill="1" applyBorder="1" applyAlignment="1">
      <alignment horizontal="left"/>
    </xf>
    <xf numFmtId="0" fontId="13" fillId="5" borderId="14" xfId="0" applyFont="1" applyFill="1" applyBorder="1" applyAlignment="1">
      <alignment horizontal="left"/>
    </xf>
    <xf numFmtId="0" fontId="13" fillId="5" borderId="54" xfId="0" applyFont="1" applyFill="1" applyBorder="1" applyAlignment="1">
      <alignment horizontal="left"/>
    </xf>
    <xf numFmtId="0" fontId="5" fillId="5" borderId="3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/>
    </xf>
    <xf numFmtId="0" fontId="18" fillId="5" borderId="2" xfId="0" applyFont="1" applyFill="1" applyBorder="1" applyAlignment="1">
      <alignment horizontal="center"/>
    </xf>
    <xf numFmtId="0" fontId="17" fillId="5" borderId="2" xfId="0" applyFont="1" applyFill="1" applyBorder="1"/>
    <xf numFmtId="0" fontId="16" fillId="12" borderId="49" xfId="0" applyFont="1" applyFill="1" applyBorder="1" applyAlignment="1">
      <alignment horizontal="center" vertical="center"/>
    </xf>
    <xf numFmtId="0" fontId="16" fillId="12" borderId="50" xfId="0" applyFont="1" applyFill="1" applyBorder="1" applyAlignment="1">
      <alignment horizontal="center" vertical="center"/>
    </xf>
    <xf numFmtId="0" fontId="97" fillId="5" borderId="9" xfId="0" applyFont="1" applyFill="1" applyBorder="1" applyAlignment="1">
      <alignment horizontal="left" vertical="center"/>
    </xf>
    <xf numFmtId="0" fontId="97" fillId="5" borderId="8" xfId="0" applyFont="1" applyFill="1" applyBorder="1" applyAlignment="1">
      <alignment horizontal="left" vertical="center"/>
    </xf>
    <xf numFmtId="0" fontId="97" fillId="5" borderId="19" xfId="0" applyFont="1" applyFill="1" applyBorder="1" applyAlignment="1">
      <alignment horizontal="left" vertical="center"/>
    </xf>
    <xf numFmtId="0" fontId="97" fillId="5" borderId="53" xfId="0" applyFont="1" applyFill="1" applyBorder="1" applyAlignment="1">
      <alignment horizontal="left" vertical="center"/>
    </xf>
    <xf numFmtId="0" fontId="97" fillId="5" borderId="54" xfId="0" applyFont="1" applyFill="1" applyBorder="1" applyAlignment="1">
      <alignment horizontal="left" vertical="center"/>
    </xf>
    <xf numFmtId="0" fontId="97" fillId="5" borderId="16" xfId="0" applyFont="1" applyFill="1" applyBorder="1" applyAlignment="1">
      <alignment horizontal="left" vertical="center"/>
    </xf>
    <xf numFmtId="0" fontId="98" fillId="11" borderId="56" xfId="0" applyFont="1" applyFill="1" applyBorder="1" applyAlignment="1">
      <alignment horizontal="center" vertical="center" wrapText="1"/>
    </xf>
    <xf numFmtId="0" fontId="98" fillId="11" borderId="11" xfId="0" applyFont="1" applyFill="1" applyBorder="1" applyAlignment="1">
      <alignment horizontal="center" vertical="center" wrapText="1"/>
    </xf>
    <xf numFmtId="0" fontId="16" fillId="5" borderId="20" xfId="0" applyFont="1" applyFill="1" applyBorder="1" applyAlignment="1">
      <alignment horizontal="right" vertical="top" wrapText="1"/>
    </xf>
    <xf numFmtId="14" fontId="99" fillId="5" borderId="37" xfId="0" applyNumberFormat="1" applyFont="1" applyFill="1" applyBorder="1" applyAlignment="1">
      <alignment horizontal="center" vertical="center" wrapText="1"/>
    </xf>
    <xf numFmtId="14" fontId="99" fillId="5" borderId="34" xfId="0" applyNumberFormat="1" applyFont="1" applyFill="1" applyBorder="1" applyAlignment="1">
      <alignment horizontal="center" vertical="center" wrapText="1"/>
    </xf>
    <xf numFmtId="14" fontId="99" fillId="5" borderId="57" xfId="0" applyNumberFormat="1" applyFont="1" applyFill="1" applyBorder="1" applyAlignment="1">
      <alignment horizontal="center" vertical="center" wrapText="1"/>
    </xf>
    <xf numFmtId="0" fontId="90" fillId="0" borderId="18" xfId="0" applyFont="1" applyBorder="1" applyAlignment="1">
      <alignment horizontal="center"/>
    </xf>
    <xf numFmtId="0" fontId="90" fillId="0" borderId="8" xfId="0" applyFont="1" applyBorder="1" applyAlignment="1">
      <alignment horizontal="center"/>
    </xf>
    <xf numFmtId="0" fontId="91" fillId="5" borderId="20" xfId="0" applyFont="1" applyFill="1" applyBorder="1" applyAlignment="1">
      <alignment horizontal="right"/>
    </xf>
    <xf numFmtId="0" fontId="93" fillId="5" borderId="20" xfId="0" applyFont="1" applyFill="1" applyBorder="1" applyAlignment="1">
      <alignment horizontal="center"/>
    </xf>
    <xf numFmtId="0" fontId="91" fillId="5" borderId="20" xfId="0" applyFont="1" applyFill="1" applyBorder="1"/>
    <xf numFmtId="0" fontId="16" fillId="12" borderId="73" xfId="0" applyFont="1" applyFill="1" applyBorder="1" applyAlignment="1">
      <alignment horizontal="center" vertical="center"/>
    </xf>
    <xf numFmtId="0" fontId="16" fillId="12" borderId="52" xfId="0" applyFont="1" applyFill="1" applyBorder="1" applyAlignment="1">
      <alignment horizontal="center" vertical="center"/>
    </xf>
    <xf numFmtId="0" fontId="16" fillId="12" borderId="21" xfId="0" applyFont="1" applyFill="1" applyBorder="1" applyAlignment="1">
      <alignment horizontal="center" vertical="center"/>
    </xf>
    <xf numFmtId="0" fontId="16" fillId="12" borderId="23" xfId="0" applyFont="1" applyFill="1" applyBorder="1" applyAlignment="1">
      <alignment horizontal="center" vertical="center"/>
    </xf>
    <xf numFmtId="0" fontId="97" fillId="5" borderId="55" xfId="0" applyFont="1" applyFill="1" applyBorder="1" applyAlignment="1">
      <alignment horizontal="left" vertical="center"/>
    </xf>
    <xf numFmtId="0" fontId="97" fillId="5" borderId="45" xfId="0" applyFont="1" applyFill="1" applyBorder="1" applyAlignment="1">
      <alignment horizontal="left" vertical="center"/>
    </xf>
    <xf numFmtId="0" fontId="97" fillId="5" borderId="44" xfId="0" applyFont="1" applyFill="1" applyBorder="1" applyAlignment="1">
      <alignment horizontal="left" vertical="center"/>
    </xf>
    <xf numFmtId="0" fontId="91" fillId="0" borderId="53" xfId="0" applyFont="1" applyBorder="1" applyAlignment="1">
      <alignment horizontal="right"/>
    </xf>
    <xf numFmtId="0" fontId="91" fillId="0" borderId="54" xfId="0" applyFont="1" applyBorder="1" applyAlignment="1">
      <alignment horizontal="right"/>
    </xf>
    <xf numFmtId="0" fontId="91" fillId="0" borderId="16" xfId="0" applyFont="1" applyBorder="1" applyAlignment="1">
      <alignment horizontal="right"/>
    </xf>
    <xf numFmtId="0" fontId="90" fillId="0" borderId="14" xfId="0" applyFont="1" applyBorder="1" applyAlignment="1">
      <alignment horizontal="right"/>
    </xf>
    <xf numFmtId="0" fontId="90" fillId="0" borderId="16" xfId="0" applyFont="1" applyBorder="1" applyAlignment="1">
      <alignment horizontal="right"/>
    </xf>
    <xf numFmtId="0" fontId="90" fillId="0" borderId="14" xfId="0" applyFont="1" applyBorder="1" applyAlignment="1">
      <alignment horizontal="center"/>
    </xf>
    <xf numFmtId="0" fontId="90" fillId="0" borderId="54" xfId="0" applyFont="1" applyBorder="1" applyAlignment="1">
      <alignment horizontal="center"/>
    </xf>
    <xf numFmtId="0" fontId="91" fillId="12" borderId="12" xfId="0" applyFont="1" applyFill="1" applyBorder="1" applyAlignment="1">
      <alignment horizontal="center"/>
    </xf>
    <xf numFmtId="0" fontId="91" fillId="12" borderId="11" xfId="0" applyFont="1" applyFill="1" applyBorder="1" applyAlignment="1">
      <alignment horizontal="center"/>
    </xf>
    <xf numFmtId="0" fontId="90" fillId="0" borderId="55" xfId="0" applyFont="1" applyBorder="1" applyAlignment="1">
      <alignment horizontal="left" vertical="top" wrapText="1"/>
    </xf>
    <xf numFmtId="0" fontId="90" fillId="0" borderId="45" xfId="0" applyFont="1" applyBorder="1" applyAlignment="1">
      <alignment horizontal="left" vertical="top" wrapText="1"/>
    </xf>
    <xf numFmtId="0" fontId="90" fillId="0" borderId="9" xfId="0" applyFont="1" applyBorder="1" applyAlignment="1">
      <alignment horizontal="left" vertical="top" wrapText="1"/>
    </xf>
    <xf numFmtId="0" fontId="90" fillId="0" borderId="8" xfId="0" applyFont="1" applyBorder="1" applyAlignment="1">
      <alignment horizontal="left" vertical="top" wrapText="1"/>
    </xf>
    <xf numFmtId="0" fontId="90" fillId="0" borderId="19" xfId="0" applyFont="1" applyBorder="1" applyAlignment="1">
      <alignment horizontal="center"/>
    </xf>
    <xf numFmtId="0" fontId="90" fillId="0" borderId="9" xfId="0" applyFont="1" applyBorder="1" applyAlignment="1">
      <alignment horizontal="left" vertical="top"/>
    </xf>
    <xf numFmtId="0" fontId="90" fillId="0" borderId="8" xfId="0" applyFont="1" applyBorder="1" applyAlignment="1">
      <alignment horizontal="left" vertical="top"/>
    </xf>
    <xf numFmtId="0" fontId="91" fillId="12" borderId="53" xfId="0" applyFont="1" applyFill="1" applyBorder="1" applyAlignment="1">
      <alignment horizontal="center" vertical="center"/>
    </xf>
    <xf numFmtId="0" fontId="91" fillId="12" borderId="54" xfId="0" applyFont="1" applyFill="1" applyBorder="1" applyAlignment="1">
      <alignment horizontal="center" vertical="center"/>
    </xf>
    <xf numFmtId="0" fontId="91" fillId="12" borderId="16" xfId="0" applyFont="1" applyFill="1" applyBorder="1" applyAlignment="1">
      <alignment horizontal="center" vertical="center"/>
    </xf>
    <xf numFmtId="0" fontId="91" fillId="0" borderId="9" xfId="0" applyFont="1" applyBorder="1" applyAlignment="1">
      <alignment horizontal="right"/>
    </xf>
    <xf numFmtId="0" fontId="91" fillId="0" borderId="8" xfId="0" applyFont="1" applyBorder="1" applyAlignment="1">
      <alignment horizontal="right"/>
    </xf>
    <xf numFmtId="0" fontId="91" fillId="0" borderId="19" xfId="0" applyFont="1" applyBorder="1" applyAlignment="1">
      <alignment horizontal="right"/>
    </xf>
    <xf numFmtId="0" fontId="90" fillId="0" borderId="18" xfId="0" applyFont="1" applyBorder="1" applyAlignment="1">
      <alignment horizontal="right"/>
    </xf>
    <xf numFmtId="0" fontId="90" fillId="0" borderId="19" xfId="0" applyFont="1" applyBorder="1" applyAlignment="1">
      <alignment horizontal="right"/>
    </xf>
    <xf numFmtId="0" fontId="90" fillId="0" borderId="18" xfId="0" applyFont="1" applyBorder="1" applyAlignment="1">
      <alignment horizontal="right" wrapText="1"/>
    </xf>
    <xf numFmtId="0" fontId="90" fillId="0" borderId="19" xfId="0" applyFont="1" applyBorder="1" applyAlignment="1">
      <alignment horizontal="right" wrapText="1"/>
    </xf>
    <xf numFmtId="0" fontId="91" fillId="0" borderId="55" xfId="0" applyFont="1" applyBorder="1" applyAlignment="1">
      <alignment horizontal="right"/>
    </xf>
    <xf numFmtId="0" fontId="91" fillId="0" borderId="45" xfId="0" applyFont="1" applyBorder="1" applyAlignment="1">
      <alignment horizontal="right"/>
    </xf>
    <xf numFmtId="0" fontId="91" fillId="0" borderId="44" xfId="0" applyFont="1" applyBorder="1" applyAlignment="1">
      <alignment horizontal="right"/>
    </xf>
    <xf numFmtId="0" fontId="90" fillId="0" borderId="46" xfId="0" applyFont="1" applyBorder="1" applyAlignment="1">
      <alignment horizontal="right"/>
    </xf>
    <xf numFmtId="0" fontId="90" fillId="0" borderId="44" xfId="0" applyFont="1" applyBorder="1" applyAlignment="1">
      <alignment horizontal="right"/>
    </xf>
    <xf numFmtId="0" fontId="90" fillId="5" borderId="46" xfId="0" applyFont="1" applyFill="1" applyBorder="1" applyAlignment="1">
      <alignment horizontal="center"/>
    </xf>
    <xf numFmtId="0" fontId="90" fillId="5" borderId="45" xfId="0" applyFont="1" applyFill="1" applyBorder="1" applyAlignment="1">
      <alignment horizontal="center"/>
    </xf>
    <xf numFmtId="0" fontId="90" fillId="0" borderId="21" xfId="0" applyFont="1" applyBorder="1" applyAlignment="1">
      <alignment horizontal="center"/>
    </xf>
    <xf numFmtId="0" fontId="90" fillId="0" borderId="23" xfId="0" applyFont="1" applyBorder="1" applyAlignment="1">
      <alignment horizontal="center"/>
    </xf>
    <xf numFmtId="16" fontId="90" fillId="0" borderId="18" xfId="0" applyNumberFormat="1" applyFont="1" applyBorder="1" applyAlignment="1">
      <alignment horizontal="center"/>
    </xf>
    <xf numFmtId="0" fontId="90" fillId="7" borderId="18" xfId="0" applyFont="1" applyFill="1" applyBorder="1" applyAlignment="1">
      <alignment horizontal="center"/>
    </xf>
    <xf numFmtId="0" fontId="90" fillId="7" borderId="19" xfId="0" applyFont="1" applyFill="1" applyBorder="1" applyAlignment="1">
      <alignment horizontal="center"/>
    </xf>
    <xf numFmtId="0" fontId="8" fillId="8" borderId="12" xfId="3" applyFont="1" applyFill="1" applyBorder="1" applyAlignment="1">
      <alignment horizontal="center" vertical="center" wrapText="1"/>
    </xf>
    <xf numFmtId="0" fontId="8" fillId="8" borderId="11" xfId="3" applyFont="1" applyFill="1" applyBorder="1" applyAlignment="1">
      <alignment horizontal="center" vertical="center" wrapText="1"/>
    </xf>
    <xf numFmtId="0" fontId="8" fillId="8" borderId="10" xfId="3" applyFont="1" applyFill="1" applyBorder="1" applyAlignment="1">
      <alignment horizontal="center" vertical="center" wrapText="1"/>
    </xf>
    <xf numFmtId="164" fontId="13" fillId="0" borderId="18" xfId="0" applyNumberFormat="1" applyFont="1" applyBorder="1" applyAlignment="1">
      <alignment horizontal="center" wrapText="1"/>
    </xf>
    <xf numFmtId="164" fontId="13" fillId="0" borderId="7" xfId="0" applyNumberFormat="1" applyFont="1" applyBorder="1" applyAlignment="1">
      <alignment horizontal="center" wrapText="1"/>
    </xf>
    <xf numFmtId="0" fontId="13" fillId="0" borderId="50" xfId="1" applyFont="1" applyBorder="1" applyAlignment="1">
      <alignment horizontal="left"/>
    </xf>
    <xf numFmtId="0" fontId="13" fillId="0" borderId="23" xfId="1" applyFont="1" applyBorder="1" applyAlignment="1">
      <alignment horizontal="left"/>
    </xf>
    <xf numFmtId="0" fontId="13" fillId="0" borderId="22" xfId="1" applyFont="1" applyBorder="1" applyAlignment="1">
      <alignment horizontal="left"/>
    </xf>
    <xf numFmtId="0" fontId="13" fillId="0" borderId="27" xfId="1" applyFont="1" applyBorder="1" applyAlignment="1">
      <alignment horizontal="left"/>
    </xf>
    <xf numFmtId="0" fontId="13" fillId="0" borderId="50" xfId="0" applyFont="1" applyBorder="1" applyAlignment="1">
      <alignment horizontal="left"/>
    </xf>
    <xf numFmtId="0" fontId="13" fillId="0" borderId="23" xfId="0" applyFont="1" applyBorder="1" applyAlignment="1">
      <alignment horizontal="left"/>
    </xf>
    <xf numFmtId="0" fontId="13" fillId="0" borderId="22" xfId="0" applyFont="1" applyBorder="1" applyAlignment="1">
      <alignment horizontal="left"/>
    </xf>
    <xf numFmtId="0" fontId="13" fillId="0" borderId="27" xfId="0" applyFont="1" applyBorder="1" applyAlignment="1">
      <alignment horizontal="left"/>
    </xf>
    <xf numFmtId="0" fontId="13" fillId="0" borderId="50" xfId="0" applyFont="1" applyBorder="1" applyAlignment="1">
      <alignment horizontal="left" wrapText="1"/>
    </xf>
    <xf numFmtId="0" fontId="13" fillId="0" borderId="23" xfId="0" applyFont="1" applyBorder="1" applyAlignment="1">
      <alignment horizontal="left" wrapText="1"/>
    </xf>
    <xf numFmtId="0" fontId="13" fillId="0" borderId="22" xfId="0" applyFont="1" applyBorder="1" applyAlignment="1">
      <alignment horizontal="left" wrapText="1"/>
    </xf>
    <xf numFmtId="0" fontId="13" fillId="0" borderId="27" xfId="0" applyFont="1" applyBorder="1" applyAlignment="1">
      <alignment horizontal="left" wrapText="1"/>
    </xf>
    <xf numFmtId="0" fontId="13" fillId="0" borderId="9" xfId="0" applyFont="1" applyBorder="1" applyAlignment="1">
      <alignment horizontal="left"/>
    </xf>
    <xf numFmtId="0" fontId="13" fillId="0" borderId="8" xfId="0" applyFont="1" applyBorder="1" applyAlignment="1">
      <alignment horizontal="left"/>
    </xf>
    <xf numFmtId="0" fontId="13" fillId="0" borderId="7" xfId="0" applyFont="1" applyBorder="1" applyAlignment="1">
      <alignment horizontal="left"/>
    </xf>
    <xf numFmtId="0" fontId="13" fillId="0" borderId="50" xfId="1" applyFont="1" applyBorder="1" applyAlignment="1">
      <alignment horizontal="left" wrapText="1"/>
    </xf>
    <xf numFmtId="0" fontId="13" fillId="0" borderId="23" xfId="1" applyFont="1" applyBorder="1" applyAlignment="1">
      <alignment horizontal="left" wrapText="1"/>
    </xf>
    <xf numFmtId="0" fontId="13" fillId="0" borderId="22" xfId="1" applyFont="1" applyBorder="1" applyAlignment="1">
      <alignment horizontal="left" wrapText="1"/>
    </xf>
    <xf numFmtId="0" fontId="13" fillId="0" borderId="27" xfId="1" applyFont="1" applyBorder="1" applyAlignment="1">
      <alignment horizontal="left" wrapText="1"/>
    </xf>
    <xf numFmtId="0" fontId="13" fillId="0" borderId="17" xfId="1" applyFont="1" applyBorder="1" applyAlignment="1">
      <alignment horizontal="left"/>
    </xf>
    <xf numFmtId="0" fontId="13" fillId="0" borderId="16" xfId="1" applyFont="1" applyBorder="1" applyAlignment="1">
      <alignment horizontal="left"/>
    </xf>
    <xf numFmtId="0" fontId="13" fillId="0" borderId="15" xfId="1" applyFont="1" applyBorder="1" applyAlignment="1">
      <alignment horizontal="left"/>
    </xf>
    <xf numFmtId="0" fontId="13" fillId="0" borderId="29" xfId="1" applyFont="1" applyBorder="1" applyAlignment="1">
      <alignment horizontal="left"/>
    </xf>
    <xf numFmtId="0" fontId="13" fillId="0" borderId="18" xfId="0" applyFont="1" applyBorder="1" applyAlignment="1">
      <alignment horizontal="left" wrapText="1"/>
    </xf>
    <xf numFmtId="0" fontId="13" fillId="0" borderId="8" xfId="0" applyFont="1" applyBorder="1" applyAlignment="1">
      <alignment horizontal="left" wrapText="1"/>
    </xf>
    <xf numFmtId="0" fontId="13" fillId="0" borderId="19" xfId="0" applyFont="1" applyBorder="1" applyAlignment="1">
      <alignment horizontal="left" wrapText="1"/>
    </xf>
    <xf numFmtId="0" fontId="70" fillId="8" borderId="18" xfId="3" applyFont="1" applyFill="1" applyBorder="1" applyAlignment="1">
      <alignment horizontal="center" vertical="center" wrapText="1"/>
    </xf>
    <xf numFmtId="0" fontId="70" fillId="8" borderId="8" xfId="3" applyFont="1" applyFill="1" applyBorder="1" applyAlignment="1">
      <alignment horizontal="center" vertical="center" wrapText="1"/>
    </xf>
    <xf numFmtId="0" fontId="70" fillId="8" borderId="19" xfId="3" applyFont="1" applyFill="1" applyBorder="1" applyAlignment="1">
      <alignment horizontal="center" vertical="center" wrapText="1"/>
    </xf>
    <xf numFmtId="0" fontId="21" fillId="0" borderId="6" xfId="0" applyFont="1" applyBorder="1" applyAlignment="1">
      <alignment horizontal="left"/>
    </xf>
    <xf numFmtId="0" fontId="21" fillId="0" borderId="5" xfId="0" applyFont="1" applyBorder="1" applyAlignment="1">
      <alignment horizontal="left"/>
    </xf>
    <xf numFmtId="0" fontId="21" fillId="0" borderId="4" xfId="0" applyFont="1" applyBorder="1" applyAlignment="1">
      <alignment horizontal="left"/>
    </xf>
    <xf numFmtId="0" fontId="20" fillId="0" borderId="9" xfId="0" applyFont="1" applyBorder="1" applyAlignment="1">
      <alignment horizontal="left"/>
    </xf>
    <xf numFmtId="0" fontId="20" fillId="0" borderId="8" xfId="0" applyFont="1" applyBorder="1" applyAlignment="1">
      <alignment horizontal="left"/>
    </xf>
    <xf numFmtId="0" fontId="20" fillId="0" borderId="7" xfId="0" applyFont="1" applyBorder="1" applyAlignment="1">
      <alignment horizontal="left"/>
    </xf>
    <xf numFmtId="0" fontId="13" fillId="0" borderId="17" xfId="0" applyFont="1" applyBorder="1" applyAlignment="1">
      <alignment horizontal="left"/>
    </xf>
    <xf numFmtId="0" fontId="13" fillId="0" borderId="16" xfId="0" applyFont="1" applyBorder="1" applyAlignment="1">
      <alignment horizontal="left"/>
    </xf>
    <xf numFmtId="0" fontId="13" fillId="0" borderId="15" xfId="0" applyFont="1" applyBorder="1" applyAlignment="1">
      <alignment horizontal="left"/>
    </xf>
    <xf numFmtId="0" fontId="13" fillId="0" borderId="29" xfId="0" applyFont="1" applyBorder="1" applyAlignment="1">
      <alignment horizontal="left"/>
    </xf>
    <xf numFmtId="0" fontId="13" fillId="0" borderId="9" xfId="0" applyFont="1" applyBorder="1" applyAlignment="1">
      <alignment horizontal="left" wrapText="1"/>
    </xf>
    <xf numFmtId="0" fontId="13" fillId="0" borderId="53" xfId="0" applyFont="1" applyBorder="1" applyAlignment="1">
      <alignment horizontal="left"/>
    </xf>
    <xf numFmtId="0" fontId="13" fillId="0" borderId="54" xfId="0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14" fontId="73" fillId="2" borderId="37" xfId="3" applyNumberFormat="1" applyFont="1" applyFill="1" applyBorder="1" applyAlignment="1">
      <alignment horizontal="center" vertical="center" wrapText="1"/>
    </xf>
    <xf numFmtId="14" fontId="73" fillId="2" borderId="34" xfId="3" applyNumberFormat="1" applyFont="1" applyFill="1" applyBorder="1" applyAlignment="1">
      <alignment horizontal="center" vertical="center" wrapText="1"/>
    </xf>
    <xf numFmtId="14" fontId="73" fillId="2" borderId="27" xfId="3" applyNumberFormat="1" applyFont="1" applyFill="1" applyBorder="1" applyAlignment="1">
      <alignment horizontal="center" vertical="center" wrapText="1"/>
    </xf>
    <xf numFmtId="0" fontId="73" fillId="2" borderId="46" xfId="3" applyFont="1" applyFill="1" applyBorder="1" applyAlignment="1">
      <alignment horizontal="left"/>
    </xf>
    <xf numFmtId="0" fontId="73" fillId="2" borderId="45" xfId="3" applyFont="1" applyFill="1" applyBorder="1" applyAlignment="1">
      <alignment horizontal="left"/>
    </xf>
    <xf numFmtId="0" fontId="73" fillId="2" borderId="44" xfId="3" applyFont="1" applyFill="1" applyBorder="1" applyAlignment="1">
      <alignment horizontal="left"/>
    </xf>
    <xf numFmtId="0" fontId="73" fillId="2" borderId="18" xfId="3" applyFont="1" applyFill="1" applyBorder="1" applyAlignment="1">
      <alignment horizontal="left"/>
    </xf>
    <xf numFmtId="0" fontId="73" fillId="2" borderId="8" xfId="3" applyFont="1" applyFill="1" applyBorder="1" applyAlignment="1">
      <alignment horizontal="left"/>
    </xf>
    <xf numFmtId="0" fontId="73" fillId="2" borderId="19" xfId="3" applyFont="1" applyFill="1" applyBorder="1" applyAlignment="1">
      <alignment horizontal="left"/>
    </xf>
    <xf numFmtId="0" fontId="73" fillId="2" borderId="40" xfId="3" applyFont="1" applyFill="1" applyBorder="1" applyAlignment="1">
      <alignment horizontal="center"/>
    </xf>
    <xf numFmtId="0" fontId="73" fillId="2" borderId="47" xfId="3" applyFont="1" applyFill="1" applyBorder="1" applyAlignment="1">
      <alignment horizontal="center"/>
    </xf>
    <xf numFmtId="0" fontId="73" fillId="2" borderId="25" xfId="3" applyFont="1" applyFill="1" applyBorder="1" applyAlignment="1">
      <alignment horizontal="center"/>
    </xf>
    <xf numFmtId="0" fontId="73" fillId="2" borderId="0" xfId="3" applyFont="1" applyFill="1" applyAlignment="1">
      <alignment horizontal="center"/>
    </xf>
    <xf numFmtId="0" fontId="73" fillId="2" borderId="6" xfId="3" applyFont="1" applyFill="1" applyBorder="1" applyAlignment="1">
      <alignment horizontal="center"/>
    </xf>
    <xf numFmtId="0" fontId="73" fillId="2" borderId="5" xfId="3" applyFont="1" applyFill="1" applyBorder="1" applyAlignment="1">
      <alignment horizontal="center"/>
    </xf>
    <xf numFmtId="0" fontId="74" fillId="2" borderId="32" xfId="3" applyFont="1" applyFill="1" applyBorder="1" applyAlignment="1">
      <alignment horizontal="center"/>
    </xf>
    <xf numFmtId="0" fontId="74" fillId="2" borderId="14" xfId="3" applyFont="1" applyFill="1" applyBorder="1" applyAlignment="1">
      <alignment horizontal="center"/>
    </xf>
    <xf numFmtId="0" fontId="74" fillId="2" borderId="54" xfId="3" applyFont="1" applyFill="1" applyBorder="1" applyAlignment="1">
      <alignment horizontal="center"/>
    </xf>
    <xf numFmtId="0" fontId="74" fillId="2" borderId="16" xfId="3" applyFont="1" applyFill="1" applyBorder="1" applyAlignment="1">
      <alignment horizontal="center"/>
    </xf>
    <xf numFmtId="0" fontId="74" fillId="8" borderId="12" xfId="3" applyFont="1" applyFill="1" applyBorder="1" applyAlignment="1">
      <alignment horizontal="center" vertical="center" wrapText="1"/>
    </xf>
    <xf numFmtId="0" fontId="74" fillId="8" borderId="11" xfId="3" applyFont="1" applyFill="1" applyBorder="1" applyAlignment="1">
      <alignment horizontal="center" vertical="center" wrapText="1"/>
    </xf>
    <xf numFmtId="0" fontId="74" fillId="8" borderId="10" xfId="3" applyFont="1" applyFill="1" applyBorder="1" applyAlignment="1">
      <alignment horizontal="center" vertical="center" wrapText="1"/>
    </xf>
    <xf numFmtId="0" fontId="74" fillId="2" borderId="42" xfId="3" applyFont="1" applyFill="1" applyBorder="1" applyAlignment="1">
      <alignment horizontal="right" vertical="top" wrapText="1"/>
    </xf>
    <xf numFmtId="0" fontId="74" fillId="2" borderId="36" xfId="3" applyFont="1" applyFill="1" applyBorder="1" applyAlignment="1">
      <alignment horizontal="right" vertical="top" wrapText="1"/>
    </xf>
    <xf numFmtId="0" fontId="74" fillId="2" borderId="35" xfId="3" applyFont="1" applyFill="1" applyBorder="1" applyAlignment="1">
      <alignment horizontal="right" vertical="top" wrapText="1"/>
    </xf>
    <xf numFmtId="0" fontId="75" fillId="2" borderId="0" xfId="3" applyFont="1" applyFill="1" applyAlignment="1">
      <alignment horizontal="right"/>
    </xf>
    <xf numFmtId="0" fontId="76" fillId="2" borderId="2" xfId="3" applyFont="1" applyFill="1" applyBorder="1" applyAlignment="1">
      <alignment horizontal="center"/>
    </xf>
    <xf numFmtId="0" fontId="75" fillId="2" borderId="0" xfId="3" applyFont="1" applyFill="1"/>
    <xf numFmtId="0" fontId="74" fillId="4" borderId="33" xfId="1" applyFont="1" applyFill="1" applyBorder="1" applyAlignment="1">
      <alignment horizontal="center" vertical="center"/>
    </xf>
    <xf numFmtId="0" fontId="74" fillId="4" borderId="17" xfId="1" applyFont="1" applyFill="1" applyBorder="1" applyAlignment="1">
      <alignment horizontal="center" vertical="center"/>
    </xf>
    <xf numFmtId="0" fontId="74" fillId="4" borderId="33" xfId="1" applyFont="1" applyFill="1" applyBorder="1" applyAlignment="1">
      <alignment horizontal="center" vertical="center" wrapText="1"/>
    </xf>
    <xf numFmtId="0" fontId="74" fillId="4" borderId="17" xfId="1" applyFont="1" applyFill="1" applyBorder="1" applyAlignment="1">
      <alignment horizontal="center" vertical="center" wrapText="1"/>
    </xf>
    <xf numFmtId="0" fontId="74" fillId="4" borderId="32" xfId="1" applyFont="1" applyFill="1" applyBorder="1" applyAlignment="1">
      <alignment horizontal="center" vertical="center"/>
    </xf>
    <xf numFmtId="0" fontId="74" fillId="4" borderId="15" xfId="1" applyFont="1" applyFill="1" applyBorder="1" applyAlignment="1">
      <alignment horizontal="center" vertical="center"/>
    </xf>
    <xf numFmtId="0" fontId="74" fillId="0" borderId="6" xfId="1" applyFont="1" applyBorder="1" applyAlignment="1">
      <alignment horizontal="right"/>
    </xf>
    <xf numFmtId="0" fontId="74" fillId="0" borderId="5" xfId="1" applyFont="1" applyBorder="1" applyAlignment="1">
      <alignment horizontal="right"/>
    </xf>
    <xf numFmtId="0" fontId="74" fillId="0" borderId="23" xfId="1" applyFont="1" applyBorder="1" applyAlignment="1">
      <alignment horizontal="right"/>
    </xf>
    <xf numFmtId="164" fontId="73" fillId="0" borderId="22" xfId="1" applyNumberFormat="1" applyFont="1" applyBorder="1" applyAlignment="1">
      <alignment horizontal="right"/>
    </xf>
    <xf numFmtId="0" fontId="73" fillId="2" borderId="21" xfId="1" applyFont="1" applyFill="1" applyBorder="1" applyAlignment="1">
      <alignment horizontal="center"/>
    </xf>
    <xf numFmtId="0" fontId="73" fillId="2" borderId="4" xfId="1" applyFont="1" applyFill="1" applyBorder="1" applyAlignment="1">
      <alignment horizontal="center"/>
    </xf>
    <xf numFmtId="0" fontId="74" fillId="0" borderId="9" xfId="1" applyFont="1" applyBorder="1" applyAlignment="1">
      <alignment horizontal="right"/>
    </xf>
    <xf numFmtId="0" fontId="74" fillId="0" borderId="8" xfId="1" applyFont="1" applyBorder="1" applyAlignment="1">
      <alignment horizontal="right"/>
    </xf>
    <xf numFmtId="0" fontId="74" fillId="0" borderId="19" xfId="1" applyFont="1" applyBorder="1" applyAlignment="1">
      <alignment horizontal="right"/>
    </xf>
    <xf numFmtId="0" fontId="73" fillId="0" borderId="20" xfId="1" applyFont="1" applyBorder="1" applyAlignment="1">
      <alignment horizontal="right"/>
    </xf>
    <xf numFmtId="164" fontId="73" fillId="0" borderId="18" xfId="1" applyNumberFormat="1" applyFont="1" applyBorder="1" applyAlignment="1">
      <alignment horizontal="center"/>
    </xf>
    <xf numFmtId="164" fontId="73" fillId="0" borderId="7" xfId="1" applyNumberFormat="1" applyFont="1" applyBorder="1" applyAlignment="1">
      <alignment horizontal="center"/>
    </xf>
    <xf numFmtId="0" fontId="79" fillId="0" borderId="20" xfId="0" applyFont="1" applyBorder="1" applyAlignment="1">
      <alignment horizontal="left" wrapText="1"/>
    </xf>
    <xf numFmtId="164" fontId="73" fillId="0" borderId="18" xfId="1" applyNumberFormat="1" applyFont="1" applyBorder="1" applyAlignment="1">
      <alignment horizontal="right" wrapText="1"/>
    </xf>
    <xf numFmtId="164" fontId="73" fillId="0" borderId="19" xfId="1" applyNumberFormat="1" applyFont="1" applyBorder="1" applyAlignment="1">
      <alignment horizontal="right" wrapText="1"/>
    </xf>
    <xf numFmtId="164" fontId="73" fillId="0" borderId="18" xfId="0" applyNumberFormat="1" applyFont="1" applyBorder="1" applyAlignment="1">
      <alignment horizontal="center" wrapText="1"/>
    </xf>
    <xf numFmtId="164" fontId="73" fillId="0" borderId="7" xfId="0" applyNumberFormat="1" applyFont="1" applyBorder="1" applyAlignment="1">
      <alignment horizontal="center" wrapText="1"/>
    </xf>
    <xf numFmtId="0" fontId="74" fillId="0" borderId="17" xfId="1" applyFont="1" applyBorder="1" applyAlignment="1">
      <alignment horizontal="right"/>
    </xf>
    <xf numFmtId="0" fontId="74" fillId="0" borderId="16" xfId="1" applyFont="1" applyBorder="1" applyAlignment="1">
      <alignment horizontal="right"/>
    </xf>
    <xf numFmtId="0" fontId="74" fillId="0" borderId="15" xfId="1" applyFont="1" applyBorder="1" applyAlignment="1">
      <alignment horizontal="right"/>
    </xf>
    <xf numFmtId="0" fontId="73" fillId="0" borderId="15" xfId="1" applyFont="1" applyBorder="1" applyAlignment="1">
      <alignment horizontal="right"/>
    </xf>
    <xf numFmtId="0" fontId="74" fillId="4" borderId="12" xfId="1" applyFont="1" applyFill="1" applyBorder="1" applyAlignment="1">
      <alignment horizontal="left"/>
    </xf>
    <xf numFmtId="0" fontId="74" fillId="4" borderId="11" xfId="1" applyFont="1" applyFill="1" applyBorder="1" applyAlignment="1">
      <alignment horizontal="left"/>
    </xf>
    <xf numFmtId="0" fontId="74" fillId="4" borderId="10" xfId="1" applyFont="1" applyFill="1" applyBorder="1" applyAlignment="1">
      <alignment horizontal="left"/>
    </xf>
    <xf numFmtId="0" fontId="79" fillId="0" borderId="20" xfId="0" applyFont="1" applyBorder="1" applyAlignment="1">
      <alignment horizontal="left"/>
    </xf>
    <xf numFmtId="0" fontId="74" fillId="20" borderId="58" xfId="3" applyFont="1" applyFill="1" applyBorder="1" applyAlignment="1">
      <alignment horizontal="center"/>
    </xf>
    <xf numFmtId="0" fontId="74" fillId="20" borderId="47" xfId="3" applyFont="1" applyFill="1" applyBorder="1" applyAlignment="1">
      <alignment horizontal="center"/>
    </xf>
    <xf numFmtId="0" fontId="73" fillId="2" borderId="43" xfId="3" applyFont="1" applyFill="1" applyBorder="1" applyAlignment="1">
      <alignment horizontal="left"/>
    </xf>
    <xf numFmtId="0" fontId="73" fillId="2" borderId="0" xfId="3" applyFont="1" applyFill="1" applyAlignment="1">
      <alignment horizontal="left"/>
    </xf>
    <xf numFmtId="0" fontId="74" fillId="0" borderId="6" xfId="1" applyFont="1" applyBorder="1" applyAlignment="1">
      <alignment horizontal="left" wrapText="1"/>
    </xf>
    <xf numFmtId="0" fontId="74" fillId="0" borderId="5" xfId="1" applyFont="1" applyBorder="1" applyAlignment="1">
      <alignment horizontal="left" wrapText="1"/>
    </xf>
    <xf numFmtId="0" fontId="74" fillId="0" borderId="4" xfId="1" applyFont="1" applyBorder="1" applyAlignment="1">
      <alignment horizontal="left" wrapText="1"/>
    </xf>
    <xf numFmtId="0" fontId="77" fillId="0" borderId="9" xfId="0" applyFont="1" applyBorder="1" applyAlignment="1">
      <alignment horizontal="left"/>
    </xf>
    <xf numFmtId="0" fontId="77" fillId="0" borderId="8" xfId="0" applyFont="1" applyBorder="1" applyAlignment="1">
      <alignment horizontal="left"/>
    </xf>
    <xf numFmtId="0" fontId="77" fillId="0" borderId="7" xfId="0" applyFont="1" applyBorder="1" applyAlignment="1">
      <alignment horizontal="left"/>
    </xf>
    <xf numFmtId="0" fontId="0" fillId="2" borderId="20" xfId="3" applyFont="1" applyFill="1" applyBorder="1" applyAlignment="1">
      <alignment horizontal="left"/>
    </xf>
    <xf numFmtId="0" fontId="2" fillId="2" borderId="20" xfId="3" applyFont="1" applyFill="1" applyBorder="1" applyAlignment="1">
      <alignment horizontal="left"/>
    </xf>
    <xf numFmtId="0" fontId="0" fillId="2" borderId="15" xfId="3" applyFont="1" applyFill="1" applyBorder="1" applyAlignment="1">
      <alignment horizontal="left"/>
    </xf>
    <xf numFmtId="0" fontId="2" fillId="2" borderId="15" xfId="3" applyFont="1" applyFill="1" applyBorder="1" applyAlignment="1">
      <alignment horizontal="left"/>
    </xf>
    <xf numFmtId="0" fontId="2" fillId="2" borderId="40" xfId="3" applyFont="1" applyFill="1" applyBorder="1" applyAlignment="1">
      <alignment horizontal="center"/>
    </xf>
    <xf numFmtId="0" fontId="2" fillId="2" borderId="39" xfId="3" applyFont="1" applyFill="1" applyBorder="1" applyAlignment="1">
      <alignment horizontal="center"/>
    </xf>
    <xf numFmtId="0" fontId="2" fillId="2" borderId="25" xfId="3" applyFont="1" applyFill="1" applyBorder="1" applyAlignment="1">
      <alignment horizontal="center"/>
    </xf>
    <xf numFmtId="0" fontId="2" fillId="2" borderId="36" xfId="3" applyFont="1" applyFill="1" applyBorder="1" applyAlignment="1">
      <alignment horizontal="center"/>
    </xf>
    <xf numFmtId="0" fontId="2" fillId="2" borderId="3" xfId="3" applyFont="1" applyFill="1" applyBorder="1" applyAlignment="1">
      <alignment horizontal="center"/>
    </xf>
    <xf numFmtId="0" fontId="2" fillId="2" borderId="35" xfId="3" applyFont="1" applyFill="1" applyBorder="1" applyAlignment="1">
      <alignment horizontal="center"/>
    </xf>
    <xf numFmtId="0" fontId="63" fillId="8" borderId="20" xfId="3" applyFont="1" applyFill="1" applyBorder="1" applyAlignment="1">
      <alignment horizontal="center" vertical="center" wrapText="1"/>
    </xf>
    <xf numFmtId="0" fontId="70" fillId="8" borderId="20" xfId="3" applyFont="1" applyFill="1" applyBorder="1" applyAlignment="1">
      <alignment horizontal="center" vertical="center" wrapText="1"/>
    </xf>
    <xf numFmtId="0" fontId="17" fillId="2" borderId="20" xfId="3" applyFont="1" applyFill="1" applyBorder="1" applyAlignment="1">
      <alignment horizontal="right" vertical="top" wrapText="1"/>
    </xf>
    <xf numFmtId="0" fontId="17" fillId="2" borderId="15" xfId="3" applyFont="1" applyFill="1" applyBorder="1" applyAlignment="1">
      <alignment horizontal="right" vertical="top" wrapText="1"/>
    </xf>
    <xf numFmtId="0" fontId="17" fillId="4" borderId="33" xfId="1" applyFont="1" applyFill="1" applyBorder="1" applyAlignment="1">
      <alignment horizontal="center" vertical="center"/>
    </xf>
    <xf numFmtId="0" fontId="17" fillId="4" borderId="17" xfId="1" applyFont="1" applyFill="1" applyBorder="1" applyAlignment="1">
      <alignment horizontal="center" vertical="center"/>
    </xf>
    <xf numFmtId="0" fontId="17" fillId="4" borderId="31" xfId="1" applyFont="1" applyFill="1" applyBorder="1" applyAlignment="1">
      <alignment horizontal="center" vertical="center"/>
    </xf>
    <xf numFmtId="0" fontId="17" fillId="4" borderId="32" xfId="1" applyFont="1" applyFill="1" applyBorder="1" applyAlignment="1">
      <alignment horizontal="center" vertical="center"/>
    </xf>
    <xf numFmtId="0" fontId="17" fillId="4" borderId="30" xfId="1" applyFont="1" applyFill="1" applyBorder="1" applyAlignment="1">
      <alignment horizontal="center" vertical="center"/>
    </xf>
    <xf numFmtId="0" fontId="17" fillId="4" borderId="15" xfId="1" applyFont="1" applyFill="1" applyBorder="1" applyAlignment="1">
      <alignment horizontal="center" vertical="center"/>
    </xf>
    <xf numFmtId="0" fontId="17" fillId="0" borderId="6" xfId="1" applyFont="1" applyBorder="1" applyAlignment="1">
      <alignment horizontal="right"/>
    </xf>
    <xf numFmtId="0" fontId="17" fillId="0" borderId="5" xfId="1" applyFont="1" applyBorder="1" applyAlignment="1">
      <alignment horizontal="right"/>
    </xf>
    <xf numFmtId="0" fontId="17" fillId="0" borderId="23" xfId="1" applyFont="1" applyBorder="1" applyAlignment="1">
      <alignment horizontal="right"/>
    </xf>
    <xf numFmtId="164" fontId="2" fillId="0" borderId="22" xfId="1" applyNumberFormat="1" applyBorder="1" applyAlignment="1">
      <alignment horizontal="right"/>
    </xf>
    <xf numFmtId="0" fontId="2" fillId="2" borderId="21" xfId="1" applyFill="1" applyBorder="1" applyAlignment="1">
      <alignment horizontal="center"/>
    </xf>
    <xf numFmtId="0" fontId="2" fillId="2" borderId="4" xfId="1" applyFill="1" applyBorder="1" applyAlignment="1">
      <alignment horizontal="center"/>
    </xf>
    <xf numFmtId="0" fontId="17" fillId="0" borderId="9" xfId="1" applyFont="1" applyBorder="1" applyAlignment="1">
      <alignment horizontal="right"/>
    </xf>
    <xf numFmtId="0" fontId="17" fillId="0" borderId="8" xfId="1" applyFont="1" applyBorder="1" applyAlignment="1">
      <alignment horizontal="right"/>
    </xf>
    <xf numFmtId="0" fontId="17" fillId="0" borderId="19" xfId="1" applyFont="1" applyBorder="1" applyAlignment="1">
      <alignment horizontal="right"/>
    </xf>
    <xf numFmtId="0" fontId="2" fillId="0" borderId="20" xfId="1" applyBorder="1" applyAlignment="1">
      <alignment horizontal="right"/>
    </xf>
    <xf numFmtId="164" fontId="2" fillId="0" borderId="18" xfId="1" applyNumberFormat="1" applyBorder="1" applyAlignment="1">
      <alignment horizontal="center"/>
    </xf>
    <xf numFmtId="164" fontId="2" fillId="0" borderId="7" xfId="1" applyNumberFormat="1" applyBorder="1" applyAlignment="1">
      <alignment horizontal="center"/>
    </xf>
    <xf numFmtId="164" fontId="2" fillId="0" borderId="18" xfId="1" applyNumberFormat="1" applyBorder="1" applyAlignment="1">
      <alignment horizontal="right" wrapText="1"/>
    </xf>
    <xf numFmtId="164" fontId="2" fillId="0" borderId="19" xfId="1" applyNumberFormat="1" applyBorder="1" applyAlignment="1">
      <alignment horizontal="right" wrapText="1"/>
    </xf>
    <xf numFmtId="0" fontId="17" fillId="0" borderId="17" xfId="1" applyFont="1" applyBorder="1" applyAlignment="1">
      <alignment horizontal="right"/>
    </xf>
    <xf numFmtId="0" fontId="17" fillId="0" borderId="16" xfId="1" applyFont="1" applyBorder="1" applyAlignment="1">
      <alignment horizontal="right"/>
    </xf>
    <xf numFmtId="0" fontId="17" fillId="0" borderId="15" xfId="1" applyFont="1" applyBorder="1" applyAlignment="1">
      <alignment horizontal="right"/>
    </xf>
    <xf numFmtId="0" fontId="2" fillId="0" borderId="15" xfId="1" applyBorder="1" applyAlignment="1">
      <alignment horizontal="right"/>
    </xf>
    <xf numFmtId="164" fontId="2" fillId="0" borderId="14" xfId="1" applyNumberFormat="1" applyBorder="1" applyAlignment="1">
      <alignment horizontal="center"/>
    </xf>
    <xf numFmtId="164" fontId="2" fillId="0" borderId="13" xfId="1" applyNumberFormat="1" applyBorder="1" applyAlignment="1">
      <alignment horizontal="center"/>
    </xf>
    <xf numFmtId="0" fontId="17" fillId="4" borderId="12" xfId="1" applyFont="1" applyFill="1" applyBorder="1" applyAlignment="1">
      <alignment horizontal="left"/>
    </xf>
    <xf numFmtId="0" fontId="17" fillId="4" borderId="11" xfId="1" applyFont="1" applyFill="1" applyBorder="1" applyAlignment="1">
      <alignment horizontal="left"/>
    </xf>
    <xf numFmtId="0" fontId="17" fillId="4" borderId="10" xfId="1" applyFont="1" applyFill="1" applyBorder="1" applyAlignment="1">
      <alignment horizontal="left"/>
    </xf>
    <xf numFmtId="0" fontId="13" fillId="0" borderId="33" xfId="0" applyFont="1" applyBorder="1" applyAlignment="1">
      <alignment horizontal="left"/>
    </xf>
    <xf numFmtId="0" fontId="13" fillId="0" borderId="44" xfId="0" applyFont="1" applyBorder="1" applyAlignment="1">
      <alignment horizontal="left"/>
    </xf>
    <xf numFmtId="0" fontId="13" fillId="0" borderId="32" xfId="0" applyFont="1" applyBorder="1" applyAlignment="1">
      <alignment horizontal="left"/>
    </xf>
    <xf numFmtId="0" fontId="13" fillId="0" borderId="38" xfId="0" applyFont="1" applyBorder="1" applyAlignment="1">
      <alignment horizontal="left"/>
    </xf>
    <xf numFmtId="0" fontId="13" fillId="0" borderId="28" xfId="0" applyFont="1" applyBorder="1" applyAlignment="1">
      <alignment horizontal="left"/>
    </xf>
    <xf numFmtId="0" fontId="13" fillId="0" borderId="19" xfId="0" applyFont="1" applyBorder="1" applyAlignment="1">
      <alignment horizontal="left"/>
    </xf>
    <xf numFmtId="0" fontId="13" fillId="0" borderId="20" xfId="0" applyFont="1" applyBorder="1" applyAlignment="1">
      <alignment horizontal="left"/>
    </xf>
    <xf numFmtId="0" fontId="13" fillId="0" borderId="26" xfId="0" applyFont="1" applyBorder="1" applyAlignment="1">
      <alignment horizontal="left"/>
    </xf>
    <xf numFmtId="0" fontId="86" fillId="0" borderId="18" xfId="0" applyFont="1" applyBorder="1"/>
    <xf numFmtId="0" fontId="86" fillId="0" borderId="8" xfId="0" applyFont="1" applyBorder="1"/>
    <xf numFmtId="0" fontId="86" fillId="0" borderId="19" xfId="0" applyFont="1" applyBorder="1"/>
    <xf numFmtId="0" fontId="60" fillId="3" borderId="6" xfId="1" applyFont="1" applyFill="1" applyBorder="1" applyAlignment="1">
      <alignment horizontal="left"/>
    </xf>
    <xf numFmtId="0" fontId="60" fillId="3" borderId="5" xfId="1" applyFont="1" applyFill="1" applyBorder="1" applyAlignment="1">
      <alignment horizontal="left"/>
    </xf>
    <xf numFmtId="0" fontId="60" fillId="3" borderId="4" xfId="1" applyFont="1" applyFill="1" applyBorder="1" applyAlignment="1">
      <alignment horizontal="left"/>
    </xf>
    <xf numFmtId="0" fontId="8" fillId="8" borderId="55" xfId="3" applyFont="1" applyFill="1" applyBorder="1" applyAlignment="1">
      <alignment horizontal="center" vertical="center" wrapText="1"/>
    </xf>
    <xf numFmtId="0" fontId="8" fillId="8" borderId="45" xfId="3" applyFont="1" applyFill="1" applyBorder="1" applyAlignment="1">
      <alignment horizontal="center" vertical="center" wrapText="1"/>
    </xf>
    <xf numFmtId="0" fontId="8" fillId="8" borderId="72" xfId="3" applyFont="1" applyFill="1" applyBorder="1" applyAlignment="1">
      <alignment horizontal="center" vertical="center" wrapText="1"/>
    </xf>
    <xf numFmtId="0" fontId="16" fillId="0" borderId="6" xfId="16" applyFont="1" applyBorder="1" applyAlignment="1">
      <alignment horizontal="right"/>
    </xf>
    <xf numFmtId="0" fontId="16" fillId="0" borderId="23" xfId="16" applyFont="1" applyBorder="1" applyAlignment="1">
      <alignment horizontal="right"/>
    </xf>
    <xf numFmtId="164" fontId="13" fillId="0" borderId="22" xfId="16" applyNumberFormat="1" applyFont="1" applyBorder="1" applyAlignment="1">
      <alignment horizontal="right"/>
    </xf>
    <xf numFmtId="0" fontId="13" fillId="2" borderId="21" xfId="16" applyFont="1" applyFill="1" applyBorder="1" applyAlignment="1">
      <alignment horizontal="center"/>
    </xf>
    <xf numFmtId="0" fontId="13" fillId="2" borderId="4" xfId="16" applyFont="1" applyFill="1" applyBorder="1" applyAlignment="1">
      <alignment horizontal="center"/>
    </xf>
    <xf numFmtId="0" fontId="13" fillId="2" borderId="49" xfId="3" applyFont="1" applyFill="1" applyBorder="1" applyAlignment="1">
      <alignment horizontal="center"/>
    </xf>
    <xf numFmtId="0" fontId="13" fillId="2" borderId="73" xfId="3" applyFont="1" applyFill="1" applyBorder="1" applyAlignment="1">
      <alignment horizontal="center"/>
    </xf>
    <xf numFmtId="0" fontId="16" fillId="4" borderId="33" xfId="16" applyFont="1" applyFill="1" applyBorder="1" applyAlignment="1">
      <alignment horizontal="center" vertical="center"/>
    </xf>
    <xf numFmtId="0" fontId="16" fillId="4" borderId="17" xfId="16" applyFont="1" applyFill="1" applyBorder="1" applyAlignment="1">
      <alignment horizontal="center" vertical="center"/>
    </xf>
    <xf numFmtId="0" fontId="16" fillId="4" borderId="32" xfId="16" applyFont="1" applyFill="1" applyBorder="1" applyAlignment="1">
      <alignment horizontal="center" vertical="center"/>
    </xf>
    <xf numFmtId="0" fontId="16" fillId="4" borderId="15" xfId="16" applyFont="1" applyFill="1" applyBorder="1" applyAlignment="1">
      <alignment horizontal="center" vertical="center"/>
    </xf>
    <xf numFmtId="0" fontId="16" fillId="0" borderId="9" xfId="16" applyFont="1" applyBorder="1" applyAlignment="1">
      <alignment horizontal="right"/>
    </xf>
    <xf numFmtId="0" fontId="16" fillId="0" borderId="19" xfId="16" applyFont="1" applyBorder="1" applyAlignment="1">
      <alignment horizontal="right"/>
    </xf>
    <xf numFmtId="0" fontId="13" fillId="0" borderId="20" xfId="16" applyFont="1" applyBorder="1" applyAlignment="1">
      <alignment horizontal="right"/>
    </xf>
    <xf numFmtId="164" fontId="13" fillId="0" borderId="18" xfId="16" applyNumberFormat="1" applyFont="1" applyBorder="1" applyAlignment="1">
      <alignment horizontal="center"/>
    </xf>
    <xf numFmtId="164" fontId="13" fillId="0" borderId="7" xfId="16" applyNumberFormat="1" applyFont="1" applyBorder="1" applyAlignment="1">
      <alignment horizontal="center"/>
    </xf>
    <xf numFmtId="164" fontId="13" fillId="0" borderId="18" xfId="16" applyNumberFormat="1" applyFont="1" applyBorder="1" applyAlignment="1">
      <alignment horizontal="right" wrapText="1"/>
    </xf>
    <xf numFmtId="164" fontId="13" fillId="0" borderId="19" xfId="16" applyNumberFormat="1" applyFont="1" applyBorder="1" applyAlignment="1">
      <alignment horizontal="right" wrapText="1"/>
    </xf>
    <xf numFmtId="0" fontId="16" fillId="0" borderId="17" xfId="16" applyFont="1" applyBorder="1" applyAlignment="1">
      <alignment horizontal="right"/>
    </xf>
    <xf numFmtId="0" fontId="16" fillId="0" borderId="15" xfId="16" applyFont="1" applyBorder="1" applyAlignment="1">
      <alignment horizontal="right"/>
    </xf>
    <xf numFmtId="0" fontId="13" fillId="0" borderId="15" xfId="16" applyFont="1" applyBorder="1" applyAlignment="1">
      <alignment horizontal="right"/>
    </xf>
    <xf numFmtId="164" fontId="13" fillId="0" borderId="14" xfId="16" applyNumberFormat="1" applyFont="1" applyBorder="1" applyAlignment="1">
      <alignment horizontal="center"/>
    </xf>
    <xf numFmtId="164" fontId="13" fillId="0" borderId="13" xfId="16" applyNumberFormat="1" applyFont="1" applyBorder="1" applyAlignment="1">
      <alignment horizontal="center"/>
    </xf>
    <xf numFmtId="0" fontId="16" fillId="4" borderId="40" xfId="16" applyFont="1" applyFill="1" applyBorder="1" applyAlignment="1">
      <alignment horizontal="left"/>
    </xf>
    <xf numFmtId="0" fontId="16" fillId="4" borderId="47" xfId="16" applyFont="1" applyFill="1" applyBorder="1" applyAlignment="1">
      <alignment horizontal="left"/>
    </xf>
    <xf numFmtId="0" fontId="16" fillId="4" borderId="48" xfId="16" applyFont="1" applyFill="1" applyBorder="1" applyAlignment="1">
      <alignment horizontal="left"/>
    </xf>
    <xf numFmtId="0" fontId="13" fillId="0" borderId="28" xfId="16" applyFont="1" applyBorder="1" applyAlignment="1">
      <alignment horizontal="left"/>
    </xf>
    <xf numFmtId="0" fontId="13" fillId="0" borderId="20" xfId="16" applyFont="1" applyBorder="1" applyAlignment="1">
      <alignment horizontal="left"/>
    </xf>
    <xf numFmtId="0" fontId="13" fillId="0" borderId="26" xfId="16" applyFont="1" applyBorder="1" applyAlignment="1">
      <alignment horizontal="left"/>
    </xf>
    <xf numFmtId="0" fontId="13" fillId="0" borderId="17" xfId="16" applyFont="1" applyBorder="1" applyAlignment="1">
      <alignment horizontal="left"/>
    </xf>
    <xf numFmtId="0" fontId="13" fillId="0" borderId="15" xfId="16" applyFont="1" applyBorder="1" applyAlignment="1">
      <alignment horizontal="left"/>
    </xf>
    <xf numFmtId="0" fontId="13" fillId="0" borderId="29" xfId="16" applyFont="1" applyBorder="1" applyAlignment="1">
      <alignment horizontal="left"/>
    </xf>
    <xf numFmtId="14" fontId="13" fillId="2" borderId="26" xfId="3" applyNumberFormat="1" applyFont="1" applyFill="1" applyBorder="1" applyAlignment="1">
      <alignment horizontal="center" vertical="center" wrapText="1"/>
    </xf>
    <xf numFmtId="14" fontId="13" fillId="2" borderId="29" xfId="3" applyNumberFormat="1" applyFont="1" applyFill="1" applyBorder="1" applyAlignment="1">
      <alignment horizontal="center" vertical="center" wrapText="1"/>
    </xf>
    <xf numFmtId="0" fontId="13" fillId="2" borderId="20" xfId="3" applyFont="1" applyFill="1" applyBorder="1" applyAlignment="1">
      <alignment horizontal="left"/>
    </xf>
    <xf numFmtId="0" fontId="13" fillId="2" borderId="15" xfId="3" applyFont="1" applyFill="1" applyBorder="1" applyAlignment="1">
      <alignment horizontal="left"/>
    </xf>
    <xf numFmtId="0" fontId="13" fillId="2" borderId="33" xfId="3" applyFont="1" applyFill="1" applyBorder="1" applyAlignment="1">
      <alignment horizontal="center"/>
    </xf>
    <xf numFmtId="0" fontId="13" fillId="2" borderId="28" xfId="3" applyFont="1" applyFill="1" applyBorder="1" applyAlignment="1">
      <alignment horizontal="center"/>
    </xf>
    <xf numFmtId="0" fontId="13" fillId="2" borderId="17" xfId="3" applyFont="1" applyFill="1" applyBorder="1" applyAlignment="1">
      <alignment horizontal="center"/>
    </xf>
    <xf numFmtId="0" fontId="8" fillId="2" borderId="32" xfId="3" applyFont="1" applyFill="1" applyBorder="1" applyAlignment="1">
      <alignment horizontal="center"/>
    </xf>
    <xf numFmtId="0" fontId="8" fillId="2" borderId="20" xfId="3" applyFont="1" applyFill="1" applyBorder="1" applyAlignment="1">
      <alignment horizontal="center"/>
    </xf>
    <xf numFmtId="0" fontId="87" fillId="8" borderId="20" xfId="3" applyFont="1" applyFill="1" applyBorder="1" applyAlignment="1">
      <alignment horizontal="center" vertical="center" wrapText="1"/>
    </xf>
    <xf numFmtId="0" fontId="16" fillId="2" borderId="20" xfId="3" applyFont="1" applyFill="1" applyBorder="1" applyAlignment="1">
      <alignment horizontal="right" vertical="top" wrapText="1"/>
    </xf>
    <xf numFmtId="0" fontId="16" fillId="2" borderId="15" xfId="3" applyFont="1" applyFill="1" applyBorder="1" applyAlignment="1">
      <alignment horizontal="right" vertical="top" wrapText="1"/>
    </xf>
    <xf numFmtId="0" fontId="8" fillId="2" borderId="25" xfId="3" applyFont="1" applyFill="1" applyBorder="1" applyAlignment="1">
      <alignment horizontal="right"/>
    </xf>
    <xf numFmtId="0" fontId="8" fillId="2" borderId="0" xfId="3" applyFont="1" applyFill="1" applyAlignment="1">
      <alignment horizontal="right"/>
    </xf>
    <xf numFmtId="0" fontId="88" fillId="2" borderId="2" xfId="3" applyFont="1" applyFill="1" applyBorder="1" applyAlignment="1">
      <alignment horizontal="center"/>
    </xf>
    <xf numFmtId="0" fontId="8" fillId="2" borderId="0" xfId="3" applyFont="1" applyFill="1"/>
    <xf numFmtId="0" fontId="16" fillId="4" borderId="31" xfId="1" applyFont="1" applyFill="1" applyBorder="1" applyAlignment="1">
      <alignment horizontal="center" vertical="center"/>
    </xf>
    <xf numFmtId="0" fontId="16" fillId="4" borderId="51" xfId="1" applyFont="1" applyFill="1" applyBorder="1" applyAlignment="1">
      <alignment horizontal="center" vertical="center"/>
    </xf>
    <xf numFmtId="0" fontId="16" fillId="4" borderId="22" xfId="1" applyFont="1" applyFill="1" applyBorder="1" applyAlignment="1">
      <alignment horizontal="center" vertical="center"/>
    </xf>
    <xf numFmtId="0" fontId="16" fillId="4" borderId="30" xfId="1" applyFont="1" applyFill="1" applyBorder="1" applyAlignment="1">
      <alignment horizontal="center" vertical="center"/>
    </xf>
    <xf numFmtId="0" fontId="13" fillId="0" borderId="9" xfId="1" applyFont="1" applyBorder="1" applyAlignment="1">
      <alignment horizontal="left"/>
    </xf>
    <xf numFmtId="0" fontId="13" fillId="0" borderId="8" xfId="1" applyFont="1" applyBorder="1" applyAlignment="1">
      <alignment horizontal="left"/>
    </xf>
    <xf numFmtId="0" fontId="13" fillId="0" borderId="7" xfId="1" applyFont="1" applyBorder="1" applyAlignment="1">
      <alignment horizontal="left"/>
    </xf>
    <xf numFmtId="0" fontId="13" fillId="0" borderId="55" xfId="1" applyFont="1" applyBorder="1" applyAlignment="1">
      <alignment horizontal="left"/>
    </xf>
    <xf numFmtId="0" fontId="13" fillId="0" borderId="45" xfId="1" applyFont="1" applyBorder="1" applyAlignment="1">
      <alignment horizontal="left"/>
    </xf>
    <xf numFmtId="0" fontId="13" fillId="0" borderId="72" xfId="1" applyFont="1" applyBorder="1" applyAlignment="1">
      <alignment horizontal="left"/>
    </xf>
    <xf numFmtId="0" fontId="13" fillId="0" borderId="3" xfId="1" applyFont="1" applyBorder="1" applyAlignment="1">
      <alignment horizontal="left"/>
    </xf>
    <xf numFmtId="0" fontId="13" fillId="0" borderId="2" xfId="1" applyFont="1" applyBorder="1" applyAlignment="1">
      <alignment horizontal="left"/>
    </xf>
    <xf numFmtId="0" fontId="13" fillId="0" borderId="1" xfId="1" applyFont="1" applyBorder="1" applyAlignment="1">
      <alignment horizontal="left"/>
    </xf>
    <xf numFmtId="0" fontId="16" fillId="0" borderId="6" xfId="1" applyFont="1" applyBorder="1" applyAlignment="1">
      <alignment horizontal="left" wrapText="1"/>
    </xf>
    <xf numFmtId="0" fontId="16" fillId="0" borderId="5" xfId="1" applyFont="1" applyBorder="1" applyAlignment="1">
      <alignment horizontal="left" wrapText="1"/>
    </xf>
    <xf numFmtId="0" fontId="16" fillId="0" borderId="4" xfId="1" applyFont="1" applyBorder="1" applyAlignment="1">
      <alignment horizontal="left" wrapText="1"/>
    </xf>
    <xf numFmtId="0" fontId="13" fillId="0" borderId="6" xfId="1" applyFont="1" applyBorder="1" applyAlignment="1">
      <alignment horizontal="left"/>
    </xf>
    <xf numFmtId="0" fontId="13" fillId="0" borderId="5" xfId="1" applyFont="1" applyBorder="1" applyAlignment="1">
      <alignment horizontal="left"/>
    </xf>
    <xf numFmtId="0" fontId="13" fillId="0" borderId="4" xfId="1" applyFont="1" applyBorder="1" applyAlignment="1">
      <alignment horizontal="left"/>
    </xf>
    <xf numFmtId="0" fontId="16" fillId="21" borderId="6" xfId="1" applyFont="1" applyFill="1" applyBorder="1" applyAlignment="1">
      <alignment horizontal="left"/>
    </xf>
    <xf numFmtId="0" fontId="16" fillId="21" borderId="5" xfId="1" applyFont="1" applyFill="1" applyBorder="1" applyAlignment="1">
      <alignment horizontal="left"/>
    </xf>
    <xf numFmtId="0" fontId="16" fillId="21" borderId="4" xfId="1" applyFont="1" applyFill="1" applyBorder="1" applyAlignment="1">
      <alignment horizontal="left"/>
    </xf>
    <xf numFmtId="14" fontId="90" fillId="2" borderId="26" xfId="3" applyNumberFormat="1" applyFont="1" applyFill="1" applyBorder="1" applyAlignment="1">
      <alignment horizontal="center" vertical="center" wrapText="1"/>
    </xf>
    <xf numFmtId="14" fontId="90" fillId="2" borderId="29" xfId="3" applyNumberFormat="1" applyFont="1" applyFill="1" applyBorder="1" applyAlignment="1">
      <alignment horizontal="center" vertical="center" wrapText="1"/>
    </xf>
    <xf numFmtId="0" fontId="90" fillId="2" borderId="20" xfId="3" applyFont="1" applyFill="1" applyBorder="1" applyAlignment="1">
      <alignment horizontal="left"/>
    </xf>
    <xf numFmtId="0" fontId="90" fillId="2" borderId="15" xfId="3" applyFont="1" applyFill="1" applyBorder="1" applyAlignment="1">
      <alignment horizontal="left"/>
    </xf>
    <xf numFmtId="0" fontId="90" fillId="2" borderId="33" xfId="3" applyFont="1" applyFill="1" applyBorder="1" applyAlignment="1">
      <alignment horizontal="center"/>
    </xf>
    <xf numFmtId="0" fontId="90" fillId="2" borderId="28" xfId="3" applyFont="1" applyFill="1" applyBorder="1" applyAlignment="1">
      <alignment horizontal="center"/>
    </xf>
    <xf numFmtId="0" fontId="90" fillId="2" borderId="17" xfId="3" applyFont="1" applyFill="1" applyBorder="1" applyAlignment="1">
      <alignment horizontal="center"/>
    </xf>
    <xf numFmtId="0" fontId="91" fillId="2" borderId="32" xfId="3" applyFont="1" applyFill="1" applyBorder="1" applyAlignment="1">
      <alignment horizontal="center"/>
    </xf>
    <xf numFmtId="0" fontId="91" fillId="2" borderId="20" xfId="3" applyFont="1" applyFill="1" applyBorder="1" applyAlignment="1">
      <alignment horizontal="center"/>
    </xf>
    <xf numFmtId="0" fontId="92" fillId="8" borderId="20" xfId="3" applyFont="1" applyFill="1" applyBorder="1" applyAlignment="1">
      <alignment horizontal="center" vertical="center" wrapText="1"/>
    </xf>
    <xf numFmtId="0" fontId="91" fillId="2" borderId="20" xfId="3" applyFont="1" applyFill="1" applyBorder="1" applyAlignment="1">
      <alignment horizontal="right" vertical="top" wrapText="1"/>
    </xf>
    <xf numFmtId="0" fontId="91" fillId="2" borderId="15" xfId="3" applyFont="1" applyFill="1" applyBorder="1" applyAlignment="1">
      <alignment horizontal="right" vertical="top" wrapText="1"/>
    </xf>
    <xf numFmtId="0" fontId="91" fillId="2" borderId="25" xfId="3" applyFont="1" applyFill="1" applyBorder="1" applyAlignment="1">
      <alignment horizontal="right" vertical="center"/>
    </xf>
    <xf numFmtId="0" fontId="91" fillId="2" borderId="0" xfId="3" applyFont="1" applyFill="1" applyAlignment="1">
      <alignment horizontal="right" vertical="center"/>
    </xf>
    <xf numFmtId="0" fontId="93" fillId="2" borderId="2" xfId="3" applyFont="1" applyFill="1" applyBorder="1" applyAlignment="1">
      <alignment horizontal="center" vertical="center"/>
    </xf>
    <xf numFmtId="0" fontId="91" fillId="2" borderId="0" xfId="3" applyFont="1" applyFill="1" applyAlignment="1">
      <alignment horizontal="center" vertical="center"/>
    </xf>
    <xf numFmtId="0" fontId="91" fillId="4" borderId="33" xfId="1" applyFont="1" applyFill="1" applyBorder="1" applyAlignment="1">
      <alignment horizontal="center" vertical="center"/>
    </xf>
    <xf numFmtId="0" fontId="91" fillId="4" borderId="17" xfId="1" applyFont="1" applyFill="1" applyBorder="1" applyAlignment="1">
      <alignment horizontal="center" vertical="center"/>
    </xf>
    <xf numFmtId="0" fontId="91" fillId="4" borderId="32" xfId="1" applyFont="1" applyFill="1" applyBorder="1" applyAlignment="1">
      <alignment horizontal="center" vertical="center"/>
    </xf>
    <xf numFmtId="0" fontId="91" fillId="4" borderId="15" xfId="1" applyFont="1" applyFill="1" applyBorder="1" applyAlignment="1">
      <alignment horizontal="center" vertical="center"/>
    </xf>
    <xf numFmtId="0" fontId="91" fillId="0" borderId="6" xfId="1" applyFont="1" applyBorder="1" applyAlignment="1">
      <alignment horizontal="right"/>
    </xf>
    <xf numFmtId="0" fontId="91" fillId="0" borderId="23" xfId="1" applyFont="1" applyBorder="1" applyAlignment="1">
      <alignment horizontal="right"/>
    </xf>
    <xf numFmtId="164" fontId="90" fillId="0" borderId="22" xfId="1" applyNumberFormat="1" applyFont="1" applyBorder="1" applyAlignment="1">
      <alignment horizontal="right"/>
    </xf>
    <xf numFmtId="0" fontId="90" fillId="2" borderId="21" xfId="1" applyFont="1" applyFill="1" applyBorder="1" applyAlignment="1">
      <alignment horizontal="center"/>
    </xf>
    <xf numFmtId="0" fontId="90" fillId="2" borderId="4" xfId="1" applyFont="1" applyFill="1" applyBorder="1" applyAlignment="1">
      <alignment horizontal="center"/>
    </xf>
    <xf numFmtId="0" fontId="91" fillId="0" borderId="9" xfId="1" applyFont="1" applyBorder="1" applyAlignment="1">
      <alignment horizontal="right"/>
    </xf>
    <xf numFmtId="0" fontId="91" fillId="0" borderId="19" xfId="1" applyFont="1" applyBorder="1" applyAlignment="1">
      <alignment horizontal="right"/>
    </xf>
    <xf numFmtId="0" fontId="90" fillId="0" borderId="20" xfId="1" applyFont="1" applyBorder="1" applyAlignment="1">
      <alignment horizontal="right"/>
    </xf>
    <xf numFmtId="164" fontId="90" fillId="0" borderId="18" xfId="1" applyNumberFormat="1" applyFont="1" applyBorder="1" applyAlignment="1">
      <alignment horizontal="center"/>
    </xf>
    <xf numFmtId="164" fontId="90" fillId="0" borderId="7" xfId="1" applyNumberFormat="1" applyFont="1" applyBorder="1" applyAlignment="1">
      <alignment horizontal="center"/>
    </xf>
    <xf numFmtId="0" fontId="94" fillId="0" borderId="9" xfId="1" applyFont="1" applyBorder="1" applyAlignment="1">
      <alignment horizontal="left" wrapText="1"/>
    </xf>
    <xf numFmtId="0" fontId="94" fillId="0" borderId="8" xfId="1" applyFont="1" applyBorder="1" applyAlignment="1">
      <alignment horizontal="left" wrapText="1"/>
    </xf>
    <xf numFmtId="0" fontId="94" fillId="0" borderId="7" xfId="1" applyFont="1" applyBorder="1" applyAlignment="1">
      <alignment horizontal="left" wrapText="1"/>
    </xf>
    <xf numFmtId="0" fontId="5" fillId="4" borderId="40" xfId="0" applyFont="1" applyFill="1" applyBorder="1" applyAlignment="1">
      <alignment horizontal="left" vertical="center"/>
    </xf>
    <xf numFmtId="0" fontId="5" fillId="4" borderId="47" xfId="0" applyFont="1" applyFill="1" applyBorder="1" applyAlignment="1">
      <alignment horizontal="left" vertical="center"/>
    </xf>
    <xf numFmtId="0" fontId="5" fillId="4" borderId="48" xfId="0" applyFont="1" applyFill="1" applyBorder="1" applyAlignment="1">
      <alignment horizontal="left" vertical="center"/>
    </xf>
    <xf numFmtId="0" fontId="91" fillId="0" borderId="17" xfId="1" applyFont="1" applyBorder="1" applyAlignment="1">
      <alignment horizontal="right"/>
    </xf>
    <xf numFmtId="0" fontId="91" fillId="0" borderId="15" xfId="1" applyFont="1" applyBorder="1" applyAlignment="1">
      <alignment horizontal="right"/>
    </xf>
    <xf numFmtId="0" fontId="90" fillId="0" borderId="15" xfId="1" applyFont="1" applyBorder="1" applyAlignment="1">
      <alignment horizontal="right"/>
    </xf>
    <xf numFmtId="164" fontId="90" fillId="0" borderId="14" xfId="1" applyNumberFormat="1" applyFont="1" applyBorder="1" applyAlignment="1">
      <alignment horizontal="center"/>
    </xf>
    <xf numFmtId="164" fontId="90" fillId="0" borderId="13" xfId="1" applyNumberFormat="1" applyFont="1" applyBorder="1" applyAlignment="1">
      <alignment horizontal="center"/>
    </xf>
    <xf numFmtId="0" fontId="91" fillId="4" borderId="12" xfId="1" applyFont="1" applyFill="1" applyBorder="1" applyAlignment="1">
      <alignment horizontal="left"/>
    </xf>
    <xf numFmtId="0" fontId="91" fillId="4" borderId="11" xfId="1" applyFont="1" applyFill="1" applyBorder="1" applyAlignment="1">
      <alignment horizontal="left"/>
    </xf>
    <xf numFmtId="0" fontId="91" fillId="4" borderId="10" xfId="1" applyFont="1" applyFill="1" applyBorder="1" applyAlignment="1">
      <alignment horizontal="left"/>
    </xf>
    <xf numFmtId="0" fontId="94" fillId="0" borderId="40" xfId="1" applyFont="1" applyBorder="1" applyAlignment="1">
      <alignment horizontal="left" wrapText="1"/>
    </xf>
    <xf numFmtId="0" fontId="94" fillId="0" borderId="47" xfId="1" applyFont="1" applyBorder="1" applyAlignment="1">
      <alignment horizontal="left" wrapText="1"/>
    </xf>
    <xf numFmtId="0" fontId="94" fillId="0" borderId="48" xfId="1" applyFont="1" applyBorder="1" applyAlignment="1">
      <alignment horizontal="left" wrapText="1"/>
    </xf>
    <xf numFmtId="0" fontId="5" fillId="6" borderId="18" xfId="1" applyFont="1" applyFill="1" applyBorder="1" applyAlignment="1">
      <alignment horizontal="center"/>
    </xf>
    <xf numFmtId="0" fontId="5" fillId="6" borderId="7" xfId="1" applyFont="1" applyFill="1" applyBorder="1" applyAlignment="1">
      <alignment horizontal="center"/>
    </xf>
    <xf numFmtId="1" fontId="4" fillId="0" borderId="46" xfId="1" applyNumberFormat="1" applyFont="1" applyBorder="1" applyAlignment="1">
      <alignment horizontal="center"/>
    </xf>
    <xf numFmtId="1" fontId="4" fillId="0" borderId="44" xfId="1" applyNumberFormat="1" applyFont="1" applyBorder="1" applyAlignment="1">
      <alignment horizontal="center"/>
    </xf>
    <xf numFmtId="1" fontId="4" fillId="0" borderId="18" xfId="1" applyNumberFormat="1" applyFont="1" applyBorder="1" applyAlignment="1">
      <alignment horizontal="center"/>
    </xf>
    <xf numFmtId="1" fontId="4" fillId="0" borderId="19" xfId="1" applyNumberFormat="1" applyFont="1" applyBorder="1" applyAlignment="1">
      <alignment horizontal="center"/>
    </xf>
  </cellXfs>
  <cellStyles count="17">
    <cellStyle name="Millares" xfId="4" builtinId="3"/>
    <cellStyle name="Millares [0]" xfId="5" builtinId="6"/>
    <cellStyle name="Millares [0] 2" xfId="10" xr:uid="{7EDF310F-A3B6-4C51-A7C7-196B6EF779C8}"/>
    <cellStyle name="Millares 2" xfId="9" xr:uid="{31E00204-A9BC-4BD0-8258-DEE040937313}"/>
    <cellStyle name="Millares 3" xfId="7" xr:uid="{BAFA438C-5966-4724-BC0A-B1EC8804B628}"/>
    <cellStyle name="Millares 4" xfId="8" xr:uid="{191EB12E-726D-4CC6-9C6B-C85DD08E516C}"/>
    <cellStyle name="Millares 5" xfId="11" xr:uid="{43DA15C5-1127-4F80-9B0E-3F92B53B9C6D}"/>
    <cellStyle name="Normal" xfId="0" builtinId="0"/>
    <cellStyle name="Normal 2" xfId="1" xr:uid="{5C618424-9E18-44FA-915D-F172CC7E0725}"/>
    <cellStyle name="Normal 2 2" xfId="16" xr:uid="{31D2C5C2-0A09-425F-9FC9-2CE86E0E93EF}"/>
    <cellStyle name="Normal 3" xfId="13" xr:uid="{1035EC0E-7646-40DA-A6C8-0F9C331906EF}"/>
    <cellStyle name="Normal 3 2" xfId="15" xr:uid="{9E8CE4F4-B8D0-41EF-AF70-6C851C661096}"/>
    <cellStyle name="Normal 4" xfId="14" xr:uid="{C5C380A5-2395-43CD-A7F0-BE674B0FD0F0}"/>
    <cellStyle name="Normal 5" xfId="12" xr:uid="{D813F39A-4331-4B75-B41B-8DCA2F93C2CF}"/>
    <cellStyle name="Normal_CRITERIOS DE EVALUACION PT DE GB 2" xfId="3" xr:uid="{17EA69AF-58F7-48BF-A166-3BD81E52BAC4}"/>
    <cellStyle name="Porcentaje" xfId="6" builtinId="5"/>
    <cellStyle name="Porcentaje 2" xfId="2" xr:uid="{FE755F5C-8287-4D3E-A355-FBF9BA8FE0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6</xdr:row>
      <xdr:rowOff>0</xdr:rowOff>
    </xdr:from>
    <xdr:to>
      <xdr:col>15</xdr:col>
      <xdr:colOff>289795</xdr:colOff>
      <xdr:row>15</xdr:row>
      <xdr:rowOff>190608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66F538F-41A6-8EF9-781D-DD658227E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87840" y="1714500"/>
          <a:ext cx="2712955" cy="12421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178593</xdr:colOff>
      <xdr:row>0</xdr:row>
      <xdr:rowOff>166687</xdr:rowOff>
    </xdr:from>
    <xdr:to>
      <xdr:col>1</xdr:col>
      <xdr:colOff>1055943</xdr:colOff>
      <xdr:row>3</xdr:row>
      <xdr:rowOff>154780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6A829039-DF5E-41DB-B4E6-8122DA0FD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593" y="166687"/>
          <a:ext cx="1639350" cy="7500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1</xdr:row>
      <xdr:rowOff>22860</xdr:rowOff>
    </xdr:from>
    <xdr:to>
      <xdr:col>1</xdr:col>
      <xdr:colOff>754380</xdr:colOff>
      <xdr:row>4</xdr:row>
      <xdr:rowOff>15240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0958E88-5EA4-48DF-9B7A-996111657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243840"/>
          <a:ext cx="147828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0</xdr:rowOff>
    </xdr:from>
    <xdr:ext cx="923925" cy="1057275"/>
    <xdr:pic>
      <xdr:nvPicPr>
        <xdr:cNvPr id="2" name="3 Imagen" descr="C:\Users\mbeeche\Desktop\logo de spoon nuevo.gif">
          <a:extLst>
            <a:ext uri="{FF2B5EF4-FFF2-40B4-BE49-F238E27FC236}">
              <a16:creationId xmlns:a16="http://schemas.microsoft.com/office/drawing/2014/main" id="{F0AAA677-FCA4-4097-AEA5-D2C305BE6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923925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716279</xdr:colOff>
      <xdr:row>4</xdr:row>
      <xdr:rowOff>51829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F4DCC6-988B-4825-907B-65E72210A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6279" cy="11033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>
            <v>1000</v>
          </cell>
          <cell r="L11" t="e">
            <v>#DIV/0!</v>
          </cell>
          <cell r="M11" t="str">
            <v>Gramos</v>
          </cell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 t="str">
            <v>Gramos</v>
          </cell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 t="str">
            <v>Gramos</v>
          </cell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 t="str">
            <v>Gramos</v>
          </cell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 t="str">
            <v>Gramos</v>
          </cell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 t="str">
            <v>Gramos</v>
          </cell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 t="str">
            <v>Gramos</v>
          </cell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 t="str">
            <v>Gramos</v>
          </cell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 t="str">
            <v>Gramos</v>
          </cell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 t="str">
            <v>Gramos</v>
          </cell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 t="str">
            <v>Gramos</v>
          </cell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 t="str">
            <v>Gramos</v>
          </cell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 t="str">
            <v>Gramos</v>
          </cell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 t="str">
            <v>Gramos</v>
          </cell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 t="str">
            <v>Und</v>
          </cell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 t="str">
            <v>Und</v>
          </cell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 t="str">
            <v>Und</v>
          </cell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 t="str">
            <v>Und</v>
          </cell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 t="str">
            <v>Und</v>
          </cell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 t="str">
            <v>Und</v>
          </cell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 t="str">
            <v>und</v>
          </cell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>
            <v>10000</v>
          </cell>
          <cell r="L163" t="e">
            <v>#DIV/0!</v>
          </cell>
          <cell r="M163" t="str">
            <v>Cm</v>
          </cell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 t="str">
            <v>Gramos</v>
          </cell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 t="str">
            <v>Gramos</v>
          </cell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 t="str">
            <v>Mililitros</v>
          </cell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 t="str">
            <v>Und</v>
          </cell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 t="str">
            <v>Gramos</v>
          </cell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>
            <v>681</v>
          </cell>
          <cell r="L183" t="e">
            <v>#DIV/0!</v>
          </cell>
          <cell r="M183" t="str">
            <v>Gramos</v>
          </cell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 t="str">
            <v>Gramos</v>
          </cell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 t="str">
            <v>Gramos</v>
          </cell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 t="str">
            <v>Gramos</v>
          </cell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 t="str">
            <v>Mililitros</v>
          </cell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 t="str">
            <v>Gramos</v>
          </cell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 t="str">
            <v>Gramos</v>
          </cell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 t="str">
            <v>Gramos</v>
          </cell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 t="str">
            <v>Gramos</v>
          </cell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>
            <v>1000</v>
          </cell>
          <cell r="L219" t="e">
            <v>#DIV/0!</v>
          </cell>
          <cell r="M219" t="str">
            <v>Gramos</v>
          </cell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 t="str">
            <v>Gramos</v>
          </cell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 t="str">
            <v>Gramos</v>
          </cell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 t="str">
            <v>Gramos</v>
          </cell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 t="str">
            <v>Und</v>
          </cell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>
            <v>25000</v>
          </cell>
          <cell r="L240" t="e">
            <v>#DIV/0!</v>
          </cell>
          <cell r="M240" t="str">
            <v>Gramos</v>
          </cell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 t="str">
            <v>Gramos</v>
          </cell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 t="str">
            <v>Gramos</v>
          </cell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 t="str">
            <v>Gramos</v>
          </cell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>
            <v>25000</v>
          </cell>
          <cell r="L260" t="e">
            <v>#DIV/0!</v>
          </cell>
          <cell r="M260" t="str">
            <v>Gramos</v>
          </cell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 t="str">
            <v>Und</v>
          </cell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>
            <v>125</v>
          </cell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 t="str">
            <v>Und</v>
          </cell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 t="str">
            <v>Und</v>
          </cell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 t="str">
            <v>Und</v>
          </cell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>
            <v>500</v>
          </cell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 t="str">
            <v>Gramos</v>
          </cell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 t="str">
            <v>Und</v>
          </cell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 t="str">
            <v>Und</v>
          </cell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 t="str">
            <v>Und</v>
          </cell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 t="str">
            <v>Gramos</v>
          </cell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 t="str">
            <v>Und</v>
          </cell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 t="str">
            <v>Und</v>
          </cell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 t="str">
            <v>Und</v>
          </cell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 t="str">
            <v>Und</v>
          </cell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 t="str">
            <v>Und</v>
          </cell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 t="str">
            <v>Und</v>
          </cell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 t="str">
            <v>Und</v>
          </cell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 t="str">
            <v>Und</v>
          </cell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 t="str">
            <v>Und</v>
          </cell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 t="str">
            <v>Und</v>
          </cell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 t="str">
            <v>Und</v>
          </cell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 t="str">
            <v>Und</v>
          </cell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 t="str">
            <v>Und</v>
          </cell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 t="str">
            <v>Und</v>
          </cell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 t="str">
            <v>Und</v>
          </cell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 t="str">
            <v>Und</v>
          </cell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 t="str">
            <v>Und</v>
          </cell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 t="str">
            <v>Gramos</v>
          </cell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 t="str">
            <v>Gramos</v>
          </cell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 t="str">
            <v>Gramos</v>
          </cell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 t="str">
            <v>Gramos</v>
          </cell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 t="str">
            <v>Mililitros</v>
          </cell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 t="str">
            <v>Gramos</v>
          </cell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 t="str">
            <v>UND</v>
          </cell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 t="str">
            <v>UND</v>
          </cell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 t="str">
            <v>Mililitros</v>
          </cell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 t="str">
            <v>Gramos</v>
          </cell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>
            <v>1820</v>
          </cell>
          <cell r="L362" t="e">
            <v>#DIV/0!</v>
          </cell>
          <cell r="M362" t="str">
            <v>Gramos</v>
          </cell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>
            <v>3140</v>
          </cell>
          <cell r="L364" t="e">
            <v>#DIV/0!</v>
          </cell>
          <cell r="M364" t="str">
            <v>Gramos</v>
          </cell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 t="str">
            <v>Gramos</v>
          </cell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 t="str">
            <v>Mililitros</v>
          </cell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 t="str">
            <v>und</v>
          </cell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 t="str">
            <v>Gramos</v>
          </cell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>
            <v>1800</v>
          </cell>
          <cell r="L373" t="e">
            <v>#DIV/0!</v>
          </cell>
          <cell r="M373" t="str">
            <v>Gramos</v>
          </cell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 t="str">
            <v>Gramos</v>
          </cell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>
            <v>12000</v>
          </cell>
          <cell r="L378" t="e">
            <v>#DIV/0!</v>
          </cell>
          <cell r="M378" t="str">
            <v>Gramos</v>
          </cell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 t="str">
            <v>Gramos</v>
          </cell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 t="str">
            <v>Gramos</v>
          </cell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 t="str">
            <v>Gramos</v>
          </cell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 t="str">
            <v>und</v>
          </cell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 t="str">
            <v>Gramos</v>
          </cell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 t="str">
            <v>Gramos</v>
          </cell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 t="str">
            <v>Gramos</v>
          </cell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 t="str">
            <v>Gramos</v>
          </cell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 t="str">
            <v>Gramos</v>
          </cell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 t="str">
            <v>Gramos</v>
          </cell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 t="str">
            <v>Gramos</v>
          </cell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 t="str">
            <v>Gramos</v>
          </cell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>
            <v>1000</v>
          </cell>
          <cell r="L399" t="e">
            <v>#DIV/0!</v>
          </cell>
          <cell r="M399" t="str">
            <v>Gramos</v>
          </cell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 t="str">
            <v>Gramos</v>
          </cell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 t="str">
            <v>Gramos</v>
          </cell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 t="str">
            <v>Gramos</v>
          </cell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 t="str">
            <v>Mililitros</v>
          </cell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>
            <v>5000</v>
          </cell>
          <cell r="L405" t="e">
            <v>#DIV/0!</v>
          </cell>
          <cell r="M405" t="str">
            <v>Mililitros</v>
          </cell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 t="str">
            <v>Gramos</v>
          </cell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 t="str">
            <v>Gramos</v>
          </cell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>
            <v>2500</v>
          </cell>
          <cell r="L409" t="e">
            <v>#DIV/0!</v>
          </cell>
          <cell r="M409" t="str">
            <v>Gramos</v>
          </cell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>
            <v>2500</v>
          </cell>
          <cell r="L410" t="e">
            <v>#DIV/0!</v>
          </cell>
          <cell r="M410" t="str">
            <v>Gramos</v>
          </cell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 t="str">
            <v>Gramos</v>
          </cell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 t="str">
            <v>Gramos</v>
          </cell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>
            <v>1000</v>
          </cell>
          <cell r="L415" t="e">
            <v>#DIV/0!</v>
          </cell>
          <cell r="M415" t="str">
            <v>Gramos</v>
          </cell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 t="str">
            <v>Gramos</v>
          </cell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 t="str">
            <v>Gramos</v>
          </cell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 t="str">
            <v>Mililitros</v>
          </cell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>
            <v>3785</v>
          </cell>
          <cell r="L421" t="e">
            <v>#DIV/0!</v>
          </cell>
          <cell r="M421" t="str">
            <v>Gramos</v>
          </cell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 t="str">
            <v>Gramos</v>
          </cell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 t="str">
            <v>Gramos</v>
          </cell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>
            <v>2000</v>
          </cell>
          <cell r="L426" t="e">
            <v>#DIV/0!</v>
          </cell>
          <cell r="M426" t="str">
            <v>Gramos</v>
          </cell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 t="str">
            <v>Mililitros</v>
          </cell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 t="str">
            <v>Mililitros</v>
          </cell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>
            <v>25000</v>
          </cell>
          <cell r="L433" t="e">
            <v>#DIV/0!</v>
          </cell>
          <cell r="M433" t="str">
            <v>Mililitros</v>
          </cell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 t="str">
            <v>Gramos</v>
          </cell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 t="str">
            <v>Gramos</v>
          </cell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 t="str">
            <v>Unidad</v>
          </cell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 t="str">
            <v>Unidad</v>
          </cell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 t="str">
            <v>Gramos</v>
          </cell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 t="str">
            <v>Gramos</v>
          </cell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 t="str">
            <v>Gramos</v>
          </cell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 t="str">
            <v>Gramos</v>
          </cell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 t="str">
            <v>Mililitros</v>
          </cell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 t="str">
            <v>10100270</v>
          </cell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 t="str">
            <v>Mililitros</v>
          </cell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 t="str">
            <v>Mililitros</v>
          </cell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 t="str">
            <v>Mililitros</v>
          </cell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 t="str">
            <v>Unidad</v>
          </cell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 t="str">
            <v>Gramos</v>
          </cell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 t="str">
            <v>Mililitros</v>
          </cell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>
            <v>800</v>
          </cell>
          <cell r="L458" t="e">
            <v>#DIV/0!</v>
          </cell>
          <cell r="M458" t="str">
            <v>Mililitros</v>
          </cell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>
            <v>800</v>
          </cell>
          <cell r="L459" t="e">
            <v>#DIV/0!</v>
          </cell>
          <cell r="M459" t="str">
            <v>Mililitros</v>
          </cell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>
            <v>3785</v>
          </cell>
          <cell r="L460" t="e">
            <v>#DIV/0!</v>
          </cell>
          <cell r="M460" t="str">
            <v>Gramos</v>
          </cell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>
            <v>3785</v>
          </cell>
          <cell r="L461" t="e">
            <v>#DIV/0!</v>
          </cell>
          <cell r="M461" t="str">
            <v>Mililitros</v>
          </cell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>
            <v>1000</v>
          </cell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>
            <v>1</v>
          </cell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>
            <v>1</v>
          </cell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>
            <v>1</v>
          </cell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 t="str">
            <v>Mililitros</v>
          </cell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 t="str">
            <v>Gramos</v>
          </cell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 t="str">
            <v>Gramos</v>
          </cell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 t="str">
            <v>Gramos</v>
          </cell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 t="str">
            <v>Gramos</v>
          </cell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 t="str">
            <v>Gramos</v>
          </cell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 t="str">
            <v>Gramos</v>
          </cell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 t="str">
            <v>Gramos</v>
          </cell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 t="str">
            <v>Gramos</v>
          </cell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 t="str">
            <v>Gramos</v>
          </cell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>
            <v>215</v>
          </cell>
          <cell r="L509" t="e">
            <v>#DIV/0!</v>
          </cell>
          <cell r="M509" t="str">
            <v>Und</v>
          </cell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 t="str">
            <v>Gramos</v>
          </cell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 t="str">
            <v>Und</v>
          </cell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 t="str">
            <v>Und</v>
          </cell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>
            <v>1500</v>
          </cell>
          <cell r="L516" t="e">
            <v>#DIV/0!</v>
          </cell>
          <cell r="M516" t="str">
            <v>Mililitros</v>
          </cell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 t="str">
            <v>Gramos</v>
          </cell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 t="str">
            <v>Gramos</v>
          </cell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 t="str">
            <v>Gramos</v>
          </cell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 t="str">
            <v>Gramos</v>
          </cell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 t="str">
            <v>Gramos</v>
          </cell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 t="str">
            <v>Gramos</v>
          </cell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 t="str">
            <v>Gramos</v>
          </cell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 t="str">
            <v>Gramos</v>
          </cell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 t="str">
            <v>Gramos</v>
          </cell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 t="str">
            <v>Gramos</v>
          </cell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 t="str">
            <v>Gramos</v>
          </cell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 t="str">
            <v>Gramos</v>
          </cell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 t="str">
            <v>Gramos</v>
          </cell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 t="str">
            <v>Gramos</v>
          </cell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 t="str">
            <v>Gramos</v>
          </cell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 t="str">
            <v>Gramos</v>
          </cell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>
            <v>25000</v>
          </cell>
          <cell r="L558" t="e">
            <v>#DIV/0!</v>
          </cell>
          <cell r="M558" t="str">
            <v>Gramos</v>
          </cell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 t="str">
            <v>Gramos</v>
          </cell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 t="str">
            <v>Gramos</v>
          </cell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 t="str">
            <v>Gramos</v>
          </cell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 t="str">
            <v>Gramos</v>
          </cell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 t="str">
            <v>Gramos</v>
          </cell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 t="str">
            <v>Gramos</v>
          </cell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 t="str">
            <v>Gramos</v>
          </cell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 t="str">
            <v>Gramos</v>
          </cell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 t="str">
            <v>Gramos</v>
          </cell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 t="str">
            <v>Gramos</v>
          </cell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 t="str">
            <v>Gramos</v>
          </cell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 t="str">
            <v>Gramos</v>
          </cell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 t="str">
            <v>Gramos</v>
          </cell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>
            <v>1000</v>
          </cell>
          <cell r="L593" t="e">
            <v>#DIV/0!</v>
          </cell>
          <cell r="M593" t="str">
            <v>Mililitros</v>
          </cell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 t="str">
            <v>Mililitros</v>
          </cell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 t="str">
            <v>Und</v>
          </cell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>
            <v>250</v>
          </cell>
          <cell r="L596" t="e">
            <v>#DIV/0!</v>
          </cell>
          <cell r="M596" t="str">
            <v>Gramos</v>
          </cell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 t="str">
            <v>Gramos</v>
          </cell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>
            <v>20</v>
          </cell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>
            <v>20</v>
          </cell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>
            <v>5000</v>
          </cell>
          <cell r="L601" t="e">
            <v>#DIV/0!</v>
          </cell>
          <cell r="M601" t="str">
            <v>Gramos</v>
          </cell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 t="str">
            <v>Gramos</v>
          </cell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>
            <v>1000</v>
          </cell>
          <cell r="L603" t="e">
            <v>#DIV/0!</v>
          </cell>
          <cell r="M603" t="str">
            <v>Gramos</v>
          </cell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>
            <v>1000</v>
          </cell>
          <cell r="L604" t="e">
            <v>#DIV/0!</v>
          </cell>
          <cell r="M604" t="str">
            <v>Gramos</v>
          </cell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>
            <v>454</v>
          </cell>
          <cell r="L605" t="e">
            <v>#DIV/0!</v>
          </cell>
          <cell r="M605" t="str">
            <v>Gramos</v>
          </cell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>
            <v>1000</v>
          </cell>
          <cell r="L606" t="e">
            <v>#DIV/0!</v>
          </cell>
          <cell r="M606" t="str">
            <v>Mililitros</v>
          </cell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>
            <v>1000</v>
          </cell>
          <cell r="L607" t="e">
            <v>#DIV/0!</v>
          </cell>
          <cell r="M607" t="str">
            <v>Mililitros</v>
          </cell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 t="str">
            <v>50100037</v>
          </cell>
          <cell r="E618" t="str">
            <v>EMPAQUES PLANTA</v>
          </cell>
          <cell r="F618" t="str">
            <v>1 CAJA</v>
          </cell>
          <cell r="G618">
            <v>500</v>
          </cell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 t="str">
            <v>Und</v>
          </cell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 t="str">
            <v>Und</v>
          </cell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 t="str">
            <v>Und</v>
          </cell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 t="str">
            <v>Und</v>
          </cell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 t="str">
            <v>Und</v>
          </cell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>
            <v>1</v>
          </cell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 t="str">
            <v>Und</v>
          </cell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 t="str">
            <v>Und</v>
          </cell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 t="str">
            <v>Und</v>
          </cell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>
            <v>500</v>
          </cell>
          <cell r="L636" t="e">
            <v>#DIV/0!</v>
          </cell>
          <cell r="M636" t="str">
            <v>Und</v>
          </cell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 t="str">
            <v>Und</v>
          </cell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 t="str">
            <v>Und</v>
          </cell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 t="str">
            <v>Und</v>
          </cell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 t="str">
            <v>Und</v>
          </cell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 t="str">
            <v>Und</v>
          </cell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 t="str">
            <v>Und</v>
          </cell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 t="str">
            <v>Und</v>
          </cell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 t="str">
            <v>Und</v>
          </cell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 t="str">
            <v>Und</v>
          </cell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 t="str">
            <v>Und</v>
          </cell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 t="str">
            <v>Und</v>
          </cell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 t="str">
            <v>Und</v>
          </cell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 t="str">
            <v>Und</v>
          </cell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 t="str">
            <v>Und</v>
          </cell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 t="str">
            <v>Und</v>
          </cell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 t="str">
            <v>Und</v>
          </cell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 t="str">
            <v>Und</v>
          </cell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>
            <v>100</v>
          </cell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>
            <v>50</v>
          </cell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>
            <v>100</v>
          </cell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>
            <v>1</v>
          </cell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>
            <v>45000</v>
          </cell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 t="str">
            <v>Und</v>
          </cell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 t="str">
            <v>Und</v>
          </cell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 t="str">
            <v>Und</v>
          </cell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 t="str">
            <v>Und</v>
          </cell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 t="str">
            <v>Und</v>
          </cell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 t="str">
            <v>Und</v>
          </cell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 t="str">
            <v>Und</v>
          </cell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 t="str">
            <v>Und</v>
          </cell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>
            <v>500</v>
          </cell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 t="str">
            <v>Und</v>
          </cell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 t="str">
            <v>Und</v>
          </cell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 t="str">
            <v>Und</v>
          </cell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 t="str">
            <v>Mililitros</v>
          </cell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 t="str">
            <v>Mililitros</v>
          </cell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 t="str">
            <v>Mililitros</v>
          </cell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>
            <v>930</v>
          </cell>
          <cell r="L708" t="e">
            <v>#DIV/0!</v>
          </cell>
          <cell r="M708" t="str">
            <v>Mililitros</v>
          </cell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>
            <v>3785</v>
          </cell>
          <cell r="L709" t="e">
            <v>#DIV/0!</v>
          </cell>
          <cell r="M709" t="str">
            <v>Mililitros</v>
          </cell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>
            <v>510</v>
          </cell>
          <cell r="L711" t="e">
            <v>#DIV/0!</v>
          </cell>
          <cell r="M711" t="str">
            <v>Mililitros</v>
          </cell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>
            <v>300</v>
          </cell>
          <cell r="L714" t="e">
            <v>#DIV/0!</v>
          </cell>
          <cell r="M714" t="str">
            <v>Gramos</v>
          </cell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>
            <v>750</v>
          </cell>
          <cell r="L716" t="e">
            <v>#DIV/0!</v>
          </cell>
          <cell r="M716" t="str">
            <v>Mililitros</v>
          </cell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>
            <v>1000</v>
          </cell>
          <cell r="L717" t="e">
            <v>#DIV/0!</v>
          </cell>
          <cell r="M717" t="str">
            <v>Gramos</v>
          </cell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 t="str">
            <v>Gramos</v>
          </cell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 t="str">
            <v>Gramos</v>
          </cell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 t="str">
            <v>Gramos</v>
          </cell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 t="str">
            <v>Gramos</v>
          </cell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 t="str">
            <v>Gramos</v>
          </cell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 t="str">
            <v>Gramos</v>
          </cell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 t="str">
            <v>Gramos</v>
          </cell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 t="str">
            <v>Gramos</v>
          </cell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 t="str">
            <v>Gramos</v>
          </cell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 t="str">
            <v>Gramos</v>
          </cell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 t="str">
            <v>Gramos</v>
          </cell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 t="str">
            <v>Gramos</v>
          </cell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 t="str">
            <v>Gramos</v>
          </cell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>
            <v>1000</v>
          </cell>
          <cell r="L757" t="e">
            <v>#DIV/0!</v>
          </cell>
          <cell r="M757" t="str">
            <v>Gramos</v>
          </cell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 t="str">
            <v>Gramos</v>
          </cell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 t="str">
            <v>Gramos</v>
          </cell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>
            <v>150</v>
          </cell>
          <cell r="L761" t="e">
            <v>#DIV/0!</v>
          </cell>
          <cell r="M761" t="str">
            <v>Gramos</v>
          </cell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>
            <v>566</v>
          </cell>
          <cell r="L762" t="e">
            <v>#DIV/0!</v>
          </cell>
          <cell r="M762" t="str">
            <v>Gramos</v>
          </cell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>
            <v>150</v>
          </cell>
          <cell r="L763" t="e">
            <v>#DIV/0!</v>
          </cell>
          <cell r="M763" t="str">
            <v>Gramos</v>
          </cell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 t="str">
            <v>Gramos</v>
          </cell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>
            <v>126</v>
          </cell>
          <cell r="L765" t="e">
            <v>#DIV/0!</v>
          </cell>
          <cell r="M765" t="str">
            <v>Gramos</v>
          </cell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>
            <v>6</v>
          </cell>
          <cell r="L766" t="e">
            <v>#DIV/0!</v>
          </cell>
          <cell r="M766" t="str">
            <v>Gramos</v>
          </cell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>
            <v>126</v>
          </cell>
          <cell r="L767" t="e">
            <v>#DIV/0!</v>
          </cell>
          <cell r="M767" t="str">
            <v>Gramos</v>
          </cell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>
            <v>12000</v>
          </cell>
          <cell r="L768" t="e">
            <v>#DIV/0!</v>
          </cell>
          <cell r="M768" t="str">
            <v>Mililitros</v>
          </cell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>
            <v>4000</v>
          </cell>
          <cell r="L769" t="e">
            <v>#DIV/0!</v>
          </cell>
          <cell r="M769" t="str">
            <v>Gramos</v>
          </cell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 t="str">
            <v>Gramos</v>
          </cell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 t="str">
            <v>Gramos</v>
          </cell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>
            <v>1</v>
          </cell>
          <cell r="L779" t="e">
            <v>#DIV/0!</v>
          </cell>
          <cell r="M779" t="str">
            <v>Gramos</v>
          </cell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 t="str">
            <v>Centimetros</v>
          </cell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 t="str">
            <v>Centimetros</v>
          </cell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 t="str">
            <v>906000010</v>
          </cell>
          <cell r="E785" t="str">
            <v>ASEO</v>
          </cell>
          <cell r="F785" t="str">
            <v>1 CAJA</v>
          </cell>
          <cell r="G785">
            <v>500</v>
          </cell>
          <cell r="H785" t="str">
            <v>13/06/2020</v>
          </cell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 t="str">
            <v>516000002</v>
          </cell>
          <cell r="E786" t="str">
            <v>MATERIAS PRIMAS PLANTA</v>
          </cell>
          <cell r="F786" t="str">
            <v>LITRO</v>
          </cell>
          <cell r="G786">
            <v>500</v>
          </cell>
          <cell r="H786" t="str">
            <v>26/12/2019</v>
          </cell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 t="str">
            <v>906000010</v>
          </cell>
          <cell r="E787" t="str">
            <v>MANO OBRA</v>
          </cell>
          <cell r="F787" t="str">
            <v>Minuto</v>
          </cell>
          <cell r="G787">
            <v>500</v>
          </cell>
          <cell r="H787" t="str">
            <v>13/06/2020</v>
          </cell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 t="str">
            <v>401000002</v>
          </cell>
          <cell r="E788" t="str">
            <v>EMPAQUES PLANTA</v>
          </cell>
          <cell r="F788" t="str">
            <v>UND</v>
          </cell>
          <cell r="G788">
            <v>500</v>
          </cell>
          <cell r="H788" t="str">
            <v>04/05/2020</v>
          </cell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 t="str">
            <v>401000003</v>
          </cell>
          <cell r="E789" t="str">
            <v>MATERIAS PRIMAS PLANTA</v>
          </cell>
          <cell r="F789" t="str">
            <v>UND</v>
          </cell>
          <cell r="G789">
            <v>500</v>
          </cell>
          <cell r="H789" t="str">
            <v>23/03/2020</v>
          </cell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 t="str">
            <v>401000004</v>
          </cell>
          <cell r="E790" t="str">
            <v>MATERIAS PRIMAS PLANTA</v>
          </cell>
          <cell r="F790" t="str">
            <v>UND</v>
          </cell>
          <cell r="G790">
            <v>500</v>
          </cell>
          <cell r="H790" t="str">
            <v>27/01/2020</v>
          </cell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 t="str">
            <v>401000005</v>
          </cell>
          <cell r="E791" t="str">
            <v>MATERIAS PRIMAS PLANTA</v>
          </cell>
          <cell r="F791" t="str">
            <v>UND</v>
          </cell>
          <cell r="G791">
            <v>500</v>
          </cell>
          <cell r="H791" t="str">
            <v>07/02/2020</v>
          </cell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 t="str">
            <v>401000006</v>
          </cell>
          <cell r="E792" t="str">
            <v>MATERIAS PRIMAS PLANTA</v>
          </cell>
          <cell r="F792" t="str">
            <v>PAQUETE</v>
          </cell>
          <cell r="G792">
            <v>500</v>
          </cell>
          <cell r="H792" t="str">
            <v>27/01/2020</v>
          </cell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 t="str">
            <v>503000036</v>
          </cell>
          <cell r="E793" t="str">
            <v>EMPAQUES PLANTA</v>
          </cell>
          <cell r="F793" t="str">
            <v>rollo</v>
          </cell>
          <cell r="G793">
            <v>500</v>
          </cell>
          <cell r="H793" t="str">
            <v>21/03/2020</v>
          </cell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 t="str">
            <v>EMPAQUES PLANTA</v>
          </cell>
          <cell r="F794" t="str">
            <v>rollo</v>
          </cell>
          <cell r="G794">
            <v>500</v>
          </cell>
          <cell r="H794" t="str">
            <v>17/03/2020</v>
          </cell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 t="str">
            <v>MATERIAS PRIMAS PLANTA</v>
          </cell>
          <cell r="F795" t="str">
            <v>PAQUETE</v>
          </cell>
          <cell r="G795">
            <v>500</v>
          </cell>
          <cell r="H795" t="str">
            <v>28/01/2020</v>
          </cell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 t="str">
            <v>EMPAQUES PLANTA</v>
          </cell>
          <cell r="F796" t="str">
            <v xml:space="preserve">1 UND </v>
          </cell>
          <cell r="G796">
            <v>500</v>
          </cell>
          <cell r="H796" t="str">
            <v>28/01/2020</v>
          </cell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 t="str">
            <v>EMPAQUES PLANTA</v>
          </cell>
          <cell r="F797" t="str">
            <v>1 UND</v>
          </cell>
          <cell r="G797">
            <v>500</v>
          </cell>
          <cell r="H797" t="str">
            <v>28/01/2020</v>
          </cell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 t="str">
            <v>EMPAQUES PLANTA</v>
          </cell>
          <cell r="F798" t="str">
            <v>1 UND</v>
          </cell>
          <cell r="G798">
            <v>500</v>
          </cell>
          <cell r="H798" t="str">
            <v>12/06/2020</v>
          </cell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 t="str">
            <v>EMPAQUES PLANTA</v>
          </cell>
          <cell r="F799" t="str">
            <v>1 UND</v>
          </cell>
          <cell r="G799">
            <v>500</v>
          </cell>
          <cell r="H799" t="str">
            <v>12/06/2020</v>
          </cell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 t="str">
            <v>EMPAQUES PLANTA</v>
          </cell>
          <cell r="F800" t="str">
            <v>1 PAQUETE</v>
          </cell>
          <cell r="G800">
            <v>500</v>
          </cell>
          <cell r="H800" t="str">
            <v>22/02/2020</v>
          </cell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 t="str">
            <v>EMPAQUES PLANTA</v>
          </cell>
          <cell r="F801" t="str">
            <v>1 UND</v>
          </cell>
          <cell r="G801">
            <v>500</v>
          </cell>
          <cell r="H801" t="str">
            <v>26/12/2019</v>
          </cell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 t="str">
            <v>MATERIAS PRIMAS PLANTA</v>
          </cell>
          <cell r="F802" t="str">
            <v>1 SACO</v>
          </cell>
          <cell r="G802">
            <v>500</v>
          </cell>
          <cell r="H802" t="str">
            <v>13/06/2020</v>
          </cell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 t="str">
            <v>MATERIAS PRIMAS PLANTA</v>
          </cell>
          <cell r="F803" t="str">
            <v>1 CAJA</v>
          </cell>
          <cell r="G803">
            <v>500</v>
          </cell>
          <cell r="H803" t="str">
            <v>27/01/2020</v>
          </cell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 t="str">
            <v>ASEO</v>
          </cell>
          <cell r="F804" t="str">
            <v>1 CAJA</v>
          </cell>
          <cell r="G804">
            <v>500</v>
          </cell>
          <cell r="H804" t="str">
            <v>07/02/2020</v>
          </cell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 t="str">
            <v>MATERIAS PRIMAS PLANTA</v>
          </cell>
          <cell r="F805" t="str">
            <v>LITRO</v>
          </cell>
          <cell r="G805">
            <v>500</v>
          </cell>
          <cell r="H805" t="str">
            <v>27/01/2020</v>
          </cell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 t="str">
            <v>MANO OBRA</v>
          </cell>
          <cell r="F806" t="str">
            <v>Minuto</v>
          </cell>
          <cell r="G806">
            <v>500</v>
          </cell>
          <cell r="H806" t="str">
            <v>21/03/2020</v>
          </cell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 t="str">
            <v>EMPAQUES PLANTA</v>
          </cell>
          <cell r="F807" t="str">
            <v>UND</v>
          </cell>
          <cell r="G807">
            <v>500</v>
          </cell>
          <cell r="H807" t="str">
            <v>17/03/2020</v>
          </cell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 t="str">
            <v>MATERIAS PRIMAS PLANTA</v>
          </cell>
          <cell r="F808" t="str">
            <v>1 UND</v>
          </cell>
          <cell r="G808">
            <v>500</v>
          </cell>
          <cell r="H808" t="str">
            <v>28/01/2020</v>
          </cell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 t="str">
            <v>MATERIAS PRIMAS PLANTA</v>
          </cell>
          <cell r="F809" t="str">
            <v>UND</v>
          </cell>
          <cell r="G809">
            <v>500</v>
          </cell>
          <cell r="H809" t="str">
            <v>28/01/2020</v>
          </cell>
          <cell r="I809">
            <v>83</v>
          </cell>
          <cell r="J809">
            <v>0</v>
          </cell>
          <cell r="K809">
            <v>4500</v>
          </cell>
          <cell r="L809">
            <v>0</v>
          </cell>
          <cell r="M809" t="str">
            <v>Und</v>
          </cell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 t="str">
            <v>EMPAQUES PLANTA</v>
          </cell>
          <cell r="F810" t="str">
            <v>CAJA</v>
          </cell>
          <cell r="G810">
            <v>500</v>
          </cell>
          <cell r="H810" t="str">
            <v>28/01/2020</v>
          </cell>
          <cell r="I810">
            <v>20298</v>
          </cell>
          <cell r="J810">
            <v>0</v>
          </cell>
          <cell r="K810">
            <v>4500</v>
          </cell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 t="str">
            <v>MATERIAS PRIMAS PLANTA</v>
          </cell>
          <cell r="F811" t="str">
            <v>PAQUETE</v>
          </cell>
          <cell r="G811">
            <v>500</v>
          </cell>
          <cell r="H811" t="str">
            <v>12/06/2020</v>
          </cell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 t="str">
            <v>MATERIAS PRIMAS PLANTA</v>
          </cell>
          <cell r="F812" t="str">
            <v>UND</v>
          </cell>
          <cell r="G812">
            <v>500</v>
          </cell>
          <cell r="H812" t="str">
            <v>12/06/2020</v>
          </cell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 t="str">
            <v>MATERIAS PRIMAS PLANTA</v>
          </cell>
          <cell r="F813" t="str">
            <v>PAQUETE</v>
          </cell>
          <cell r="G813">
            <v>500</v>
          </cell>
          <cell r="H813" t="str">
            <v>22/02/2020</v>
          </cell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 t="str">
            <v>EMPAQUES PLANTA</v>
          </cell>
          <cell r="F814" t="str">
            <v>1 UND</v>
          </cell>
          <cell r="G814">
            <v>500</v>
          </cell>
          <cell r="H814" t="str">
            <v>26/12/2019</v>
          </cell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 t="str">
            <v>MATERIAS PRIMAS PLANTA</v>
          </cell>
          <cell r="F815" t="str">
            <v>1 SACO</v>
          </cell>
          <cell r="G815">
            <v>500</v>
          </cell>
          <cell r="H815" t="str">
            <v>13/06/2020</v>
          </cell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 t="str">
            <v>MATERIAS PRIMAS PLANTA</v>
          </cell>
          <cell r="F816" t="str">
            <v>1 CAJA</v>
          </cell>
          <cell r="G816">
            <v>500</v>
          </cell>
          <cell r="H816" t="str">
            <v>27/01/2020</v>
          </cell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 t="str">
            <v>ASEO</v>
          </cell>
          <cell r="F817" t="str">
            <v>1 CAJA</v>
          </cell>
          <cell r="G817">
            <v>500</v>
          </cell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 t="str">
            <v>MATERIAS PRIMAS PLANTA</v>
          </cell>
          <cell r="F818" t="str">
            <v>LITRO</v>
          </cell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 t="str">
            <v>MANO OBRA</v>
          </cell>
          <cell r="F819" t="str">
            <v>Minuto</v>
          </cell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 t="str">
            <v>EMPAQUES PLANTA</v>
          </cell>
          <cell r="F820" t="str">
            <v>UND</v>
          </cell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 t="str">
            <v>MATERIAS PRIMAS PLANTA</v>
          </cell>
          <cell r="F821" t="str">
            <v>UND</v>
          </cell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 t="str">
            <v>MATERIAS PRIMAS PLANTA</v>
          </cell>
          <cell r="F822" t="str">
            <v>UND</v>
          </cell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655.14477173718615</v>
          </cell>
          <cell r="H362">
            <v>655.14477173718615</v>
          </cell>
          <cell r="I362">
            <v>10.917717961890375</v>
          </cell>
          <cell r="J362">
            <v>10.917717961890375</v>
          </cell>
          <cell r="K362">
            <v>127.93610666011948</v>
          </cell>
          <cell r="L362">
            <v>127.93610666011948</v>
          </cell>
          <cell r="M362">
            <v>793.99859635919597</v>
          </cell>
        </row>
        <row r="363">
          <cell r="A363" t="str">
            <v>907000251</v>
          </cell>
          <cell r="B363" t="str">
            <v>Rosquete Vainilla Pastelero Real 550g</v>
          </cell>
          <cell r="C363">
            <v>0</v>
          </cell>
          <cell r="D363">
            <v>0</v>
          </cell>
          <cell r="E363" t="str">
            <v>Und</v>
          </cell>
          <cell r="F363" t="str">
            <v>Und</v>
          </cell>
          <cell r="G363">
            <v>570.67868233671038</v>
          </cell>
          <cell r="H363">
            <v>570.67868233671038</v>
          </cell>
          <cell r="I363">
            <v>27.589509639969808</v>
          </cell>
          <cell r="J363">
            <v>27.589509639969808</v>
          </cell>
          <cell r="K363">
            <v>125.82975090721573</v>
          </cell>
          <cell r="L363">
            <v>125.82975090721573</v>
          </cell>
          <cell r="M363">
            <v>724.09794288389594</v>
          </cell>
        </row>
        <row r="364">
          <cell r="A364" t="str">
            <v>907000255</v>
          </cell>
          <cell r="B364" t="str">
            <v/>
          </cell>
          <cell r="C364" t="str">
            <v/>
          </cell>
          <cell r="D364" t="str">
            <v/>
          </cell>
          <cell r="E364" t="str">
            <v>Und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</row>
        <row r="375">
          <cell r="B375" t="str">
            <v/>
          </cell>
          <cell r="C375" t="str">
            <v/>
          </cell>
          <cell r="D375" t="str">
            <v/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</row>
        <row r="382">
          <cell r="G382" t="str">
            <v xml:space="preserve"> </v>
          </cell>
        </row>
        <row r="383">
          <cell r="G383" t="str">
            <v xml:space="preserve"> </v>
          </cell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23989-F35D-4561-BA64-98107F704AA4}">
  <dimension ref="A1:Q104"/>
  <sheetViews>
    <sheetView topLeftCell="A54" workbookViewId="0">
      <selection activeCell="B66" sqref="B66:E66"/>
    </sheetView>
  </sheetViews>
  <sheetFormatPr baseColWidth="10" defaultColWidth="8.42578125" defaultRowHeight="12.75" x14ac:dyDescent="0.2"/>
  <cols>
    <col min="1" max="1" width="10" style="132" bestFit="1" customWidth="1"/>
    <col min="2" max="2" width="44.28515625" style="132" bestFit="1" customWidth="1"/>
    <col min="3" max="3" width="10.42578125" style="132" bestFit="1" customWidth="1"/>
    <col min="4" max="4" width="10.42578125" style="132" customWidth="1"/>
    <col min="5" max="5" width="11" style="132" customWidth="1"/>
    <col min="6" max="6" width="9.5703125" style="132" bestFit="1" customWidth="1"/>
    <col min="7" max="7" width="16.28515625" style="214" customWidth="1"/>
    <col min="8" max="8" width="10.42578125" style="205" bestFit="1" customWidth="1"/>
    <col min="9" max="9" width="4.5703125" style="205" customWidth="1"/>
    <col min="10" max="10" width="1.85546875" style="131" customWidth="1"/>
    <col min="11" max="11" width="7" style="132" bestFit="1" customWidth="1"/>
    <col min="12" max="12" width="6.28515625" style="132" customWidth="1"/>
    <col min="13" max="13" width="20.42578125" style="132" customWidth="1"/>
    <col min="14" max="14" width="6.42578125" style="132" bestFit="1" customWidth="1"/>
    <col min="15" max="16" width="8.42578125" style="132"/>
    <col min="17" max="17" width="3.28515625" style="132" customWidth="1"/>
    <col min="18" max="16384" width="8.42578125" style="132"/>
  </cols>
  <sheetData>
    <row r="1" spans="1:13" ht="27.75" customHeight="1" x14ac:dyDescent="0.2">
      <c r="A1" s="127"/>
      <c r="B1" s="127"/>
      <c r="C1" s="127"/>
      <c r="D1" s="127"/>
      <c r="E1" s="128" t="s">
        <v>138</v>
      </c>
      <c r="F1" s="129" t="s">
        <v>139</v>
      </c>
      <c r="G1" s="129" t="s">
        <v>140</v>
      </c>
      <c r="H1" s="129" t="s">
        <v>141</v>
      </c>
      <c r="I1" s="130"/>
    </row>
    <row r="2" spans="1:13" ht="30.75" customHeight="1" x14ac:dyDescent="0.2">
      <c r="A2" s="127"/>
      <c r="B2" s="127"/>
      <c r="C2" s="127"/>
      <c r="D2" s="127"/>
      <c r="E2" s="133">
        <f>IFERROR(O62,"")</f>
        <v>12891</v>
      </c>
      <c r="F2" s="133">
        <f>IFERROR(H53,"")</f>
        <v>12750</v>
      </c>
      <c r="G2" s="133">
        <f>IFERROR(H54,"")</f>
        <v>0</v>
      </c>
      <c r="H2" s="133">
        <f>IFERROR(H56,"")</f>
        <v>77</v>
      </c>
      <c r="I2" s="134"/>
    </row>
    <row r="3" spans="1:13" ht="15" customHeight="1" x14ac:dyDescent="0.2">
      <c r="A3" s="127"/>
      <c r="B3" s="127"/>
      <c r="C3" s="127"/>
      <c r="D3" s="127"/>
      <c r="E3" s="127"/>
      <c r="F3" s="135"/>
      <c r="G3" s="135"/>
      <c r="H3" s="135"/>
      <c r="I3" s="135"/>
    </row>
    <row r="4" spans="1:13" ht="24.75" customHeight="1" thickBot="1" x14ac:dyDescent="0.25">
      <c r="A4" s="825"/>
      <c r="B4" s="825"/>
      <c r="C4" s="825"/>
      <c r="D4" s="825"/>
      <c r="E4" s="825"/>
      <c r="F4" s="825"/>
      <c r="G4" s="825"/>
      <c r="H4" s="825"/>
      <c r="I4" s="136"/>
      <c r="M4" s="132">
        <v>25</v>
      </c>
    </row>
    <row r="5" spans="1:13" ht="19.5" customHeight="1" thickBot="1" x14ac:dyDescent="0.25">
      <c r="A5" s="826" t="s">
        <v>142</v>
      </c>
      <c r="B5" s="827"/>
      <c r="C5" s="827"/>
      <c r="D5" s="827"/>
      <c r="E5" s="827"/>
      <c r="F5" s="827"/>
      <c r="G5" s="827"/>
      <c r="H5" s="828"/>
      <c r="I5" s="137"/>
      <c r="M5" s="132">
        <f>+M4*510</f>
        <v>12750</v>
      </c>
    </row>
    <row r="6" spans="1:13" ht="19.5" thickBot="1" x14ac:dyDescent="0.25">
      <c r="A6" s="137"/>
      <c r="B6" s="137"/>
      <c r="C6" s="137"/>
      <c r="D6" s="137"/>
      <c r="E6" s="137"/>
      <c r="F6" s="829" t="s">
        <v>143</v>
      </c>
      <c r="G6" s="829"/>
      <c r="H6" s="138">
        <f ca="1">TODAY()</f>
        <v>45890</v>
      </c>
      <c r="I6" s="138"/>
    </row>
    <row r="7" spans="1:13" ht="26.25" thickBot="1" x14ac:dyDescent="0.25">
      <c r="A7" s="139" t="s">
        <v>144</v>
      </c>
      <c r="B7" s="140" t="s">
        <v>145</v>
      </c>
      <c r="C7" s="140" t="s">
        <v>144</v>
      </c>
      <c r="D7" s="141" t="s">
        <v>146</v>
      </c>
      <c r="E7" s="141" t="s">
        <v>147</v>
      </c>
      <c r="F7" s="141" t="s">
        <v>148</v>
      </c>
      <c r="G7" s="141" t="s">
        <v>149</v>
      </c>
      <c r="H7" s="142" t="s">
        <v>150</v>
      </c>
      <c r="I7" s="143"/>
    </row>
    <row r="8" spans="1:13" ht="14.25" thickBot="1" x14ac:dyDescent="0.3">
      <c r="A8" s="144">
        <v>1000</v>
      </c>
      <c r="B8" s="132" t="s">
        <v>65</v>
      </c>
      <c r="C8" s="145">
        <f>+A8</f>
        <v>1000</v>
      </c>
      <c r="D8" s="146" t="s">
        <v>189</v>
      </c>
      <c r="E8" s="146">
        <v>12.75</v>
      </c>
      <c r="F8" s="146">
        <f>IFERROR(C8*E8,"")</f>
        <v>12750</v>
      </c>
      <c r="G8" s="147">
        <f t="shared" ref="G8:G14" si="0">IFERROR(F8/$F$66,"")</f>
        <v>0.97462161748968046</v>
      </c>
      <c r="H8" s="148" t="s">
        <v>190</v>
      </c>
      <c r="I8" s="148"/>
      <c r="J8" s="149"/>
    </row>
    <row r="9" spans="1:13" ht="13.5" hidden="1" x14ac:dyDescent="0.25">
      <c r="A9" s="144"/>
      <c r="B9" s="132" t="str">
        <f>IFERROR(VLOOKUP(H9,'[1]Consolidado MP Planta'!$A$2:$M$823,3,0),"")</f>
        <v/>
      </c>
      <c r="C9" s="145">
        <f t="shared" ref="C9:C14" si="1">+A9</f>
        <v>0</v>
      </c>
      <c r="D9" s="146" t="str">
        <f>IFERROR(VLOOKUP(H9,'[1]Consolidado MP Planta'!$A$2:$M$823,13,0),"")</f>
        <v/>
      </c>
      <c r="E9" s="146" t="str">
        <f>IFERROR(VLOOKUP(H9,'[1]Consolidado MP Planta'!$A$2:$M$823,12,0),"")</f>
        <v/>
      </c>
      <c r="F9" s="146" t="str">
        <f t="shared" ref="F9:F14" si="2">IFERROR(C9*E9,"")</f>
        <v/>
      </c>
      <c r="G9" s="147" t="str">
        <f t="shared" si="0"/>
        <v/>
      </c>
      <c r="H9" s="148"/>
      <c r="I9" s="148"/>
      <c r="J9" s="149"/>
    </row>
    <row r="10" spans="1:13" ht="13.5" hidden="1" x14ac:dyDescent="0.25">
      <c r="A10" s="144"/>
      <c r="B10" s="132" t="str">
        <f>IFERROR(VLOOKUP(H10,'[1]Consolidado MP Planta'!$A$2:$M$823,3,0),"")</f>
        <v/>
      </c>
      <c r="C10" s="145">
        <f t="shared" si="1"/>
        <v>0</v>
      </c>
      <c r="D10" s="146" t="str">
        <f>IFERROR(VLOOKUP(H10,'[1]Consolidado MP Planta'!$A$2:$M$823,13,0),"")</f>
        <v/>
      </c>
      <c r="E10" s="146" t="str">
        <f>IFERROR(VLOOKUP(H10,'[1]Consolidado MP Planta'!$A$2:$M$823,12,0),"")</f>
        <v/>
      </c>
      <c r="F10" s="146" t="str">
        <f t="shared" si="2"/>
        <v/>
      </c>
      <c r="G10" s="147" t="str">
        <f t="shared" si="0"/>
        <v/>
      </c>
      <c r="H10" s="148"/>
      <c r="I10" s="148"/>
      <c r="J10" s="149"/>
    </row>
    <row r="11" spans="1:13" ht="13.5" hidden="1" x14ac:dyDescent="0.25">
      <c r="A11" s="144"/>
      <c r="B11" s="132" t="str">
        <f>IFERROR(VLOOKUP(H11,'[1]Consolidado MP Planta'!$A$2:$M$823,3,0),"")</f>
        <v/>
      </c>
      <c r="C11" s="145">
        <f t="shared" si="1"/>
        <v>0</v>
      </c>
      <c r="D11" s="146" t="str">
        <f>IFERROR(VLOOKUP(H11,'[1]Consolidado MP Planta'!$A$2:$M$823,13,0),"")</f>
        <v/>
      </c>
      <c r="E11" s="146" t="str">
        <f>IFERROR(VLOOKUP(H11,'[1]Consolidado MP Planta'!$A$2:$M$823,12,0),"")</f>
        <v/>
      </c>
      <c r="F11" s="146" t="str">
        <f t="shared" si="2"/>
        <v/>
      </c>
      <c r="G11" s="147" t="str">
        <f t="shared" si="0"/>
        <v/>
      </c>
      <c r="H11" s="148"/>
      <c r="I11" s="148"/>
      <c r="J11" s="149"/>
    </row>
    <row r="12" spans="1:13" ht="13.5" hidden="1" x14ac:dyDescent="0.25">
      <c r="A12" s="144"/>
      <c r="B12" s="132" t="str">
        <f>IFERROR(VLOOKUP(H12,'[1]Consolidado MP Planta'!$A$2:$M$823,3,0),"")</f>
        <v/>
      </c>
      <c r="C12" s="145">
        <f t="shared" si="1"/>
        <v>0</v>
      </c>
      <c r="D12" s="146" t="str">
        <f>IFERROR(VLOOKUP(H12,'[1]Consolidado MP Planta'!$A$2:$M$823,13,0),"")</f>
        <v/>
      </c>
      <c r="E12" s="146" t="str">
        <f>IFERROR(VLOOKUP(H12,'[1]Consolidado MP Planta'!$A$2:$M$823,12,0),"")</f>
        <v/>
      </c>
      <c r="F12" s="146" t="str">
        <f t="shared" si="2"/>
        <v/>
      </c>
      <c r="G12" s="147" t="str">
        <f t="shared" si="0"/>
        <v/>
      </c>
      <c r="H12" s="148"/>
      <c r="I12" s="148"/>
      <c r="J12" s="149"/>
    </row>
    <row r="13" spans="1:13" ht="13.5" hidden="1" x14ac:dyDescent="0.25">
      <c r="A13" s="144"/>
      <c r="B13" s="132" t="str">
        <f>IFERROR(VLOOKUP(H13,'[1]Consolidado MP Planta'!$A$2:$M$823,3,0),"")</f>
        <v/>
      </c>
      <c r="C13" s="145">
        <f t="shared" si="1"/>
        <v>0</v>
      </c>
      <c r="D13" s="146" t="str">
        <f>IFERROR(VLOOKUP(H13,'[1]Consolidado MP Planta'!$A$2:$M$823,13,0),"")</f>
        <v/>
      </c>
      <c r="E13" s="146" t="str">
        <f>IFERROR(VLOOKUP(H13,'[1]Consolidado MP Planta'!$A$2:$M$823,12,0),"")</f>
        <v/>
      </c>
      <c r="F13" s="146" t="str">
        <f t="shared" si="2"/>
        <v/>
      </c>
      <c r="G13" s="147" t="str">
        <f t="shared" si="0"/>
        <v/>
      </c>
      <c r="H13" s="148"/>
      <c r="I13" s="148"/>
      <c r="J13" s="149"/>
    </row>
    <row r="14" spans="1:13" ht="13.5" hidden="1" x14ac:dyDescent="0.25">
      <c r="A14" s="144"/>
      <c r="B14" s="132" t="str">
        <f>IFERROR(VLOOKUP(H14,'[1]Consolidado MP Planta'!$A$2:$M$823,3,0),"")</f>
        <v/>
      </c>
      <c r="C14" s="145">
        <f t="shared" si="1"/>
        <v>0</v>
      </c>
      <c r="D14" s="146" t="str">
        <f>IFERROR(VLOOKUP(H14,'[1]Consolidado MP Planta'!$A$2:$M$823,13,0),"")</f>
        <v/>
      </c>
      <c r="E14" s="146" t="str">
        <f>IFERROR(VLOOKUP(H14,'[1]Consolidado MP Planta'!$A$2:$M$823,12,0),"")</f>
        <v/>
      </c>
      <c r="F14" s="146" t="str">
        <f t="shared" si="2"/>
        <v/>
      </c>
      <c r="G14" s="147" t="str">
        <f t="shared" si="0"/>
        <v/>
      </c>
      <c r="H14" s="148"/>
      <c r="I14" s="148"/>
      <c r="J14" s="149"/>
    </row>
    <row r="15" spans="1:13" ht="14.25" hidden="1" thickBot="1" x14ac:dyDescent="0.3">
      <c r="A15" s="144"/>
      <c r="B15" s="132" t="str">
        <f>IFERROR(VLOOKUP(H15,'[2]ARTICULOS MP PLANTA'!$A$2:$G$589,2,0),"")</f>
        <v/>
      </c>
      <c r="C15" s="145"/>
      <c r="D15" s="146"/>
      <c r="E15" s="146"/>
      <c r="F15" s="146"/>
      <c r="G15" s="147"/>
      <c r="H15" s="148"/>
      <c r="I15" s="148"/>
      <c r="J15" s="149"/>
    </row>
    <row r="16" spans="1:13" ht="26.25" hidden="1" thickBot="1" x14ac:dyDescent="0.25">
      <c r="A16" s="139" t="s">
        <v>144</v>
      </c>
      <c r="B16" s="140" t="s">
        <v>151</v>
      </c>
      <c r="C16" s="140" t="s">
        <v>144</v>
      </c>
      <c r="D16" s="141" t="s">
        <v>146</v>
      </c>
      <c r="E16" s="141" t="s">
        <v>147</v>
      </c>
      <c r="F16" s="141" t="s">
        <v>148</v>
      </c>
      <c r="G16" s="141" t="s">
        <v>149</v>
      </c>
      <c r="H16" s="142" t="s">
        <v>150</v>
      </c>
      <c r="I16" s="143"/>
      <c r="J16" s="149"/>
    </row>
    <row r="17" spans="1:12" ht="13.5" hidden="1" x14ac:dyDescent="0.25">
      <c r="A17" s="144"/>
      <c r="B17" s="132" t="str">
        <f>IFERROR(VLOOKUP(H17,[1]SEMIELABORADOS!$A$2:$M$6000,2,0),"")</f>
        <v/>
      </c>
      <c r="C17" s="145">
        <f>+A17</f>
        <v>0</v>
      </c>
      <c r="D17" s="145" t="str">
        <f>IFERROR(VLOOKUP(H17,[1]SEMIELABORADOS!$A$2:$M$6000,6,0),"")</f>
        <v/>
      </c>
      <c r="E17" s="146" t="str">
        <f>IFERROR(VLOOKUP(H17,[1]SEMIELABORADOS!$A$2:$H$65536,8,0),"")</f>
        <v/>
      </c>
      <c r="F17" s="146" t="str">
        <f>IFERROR(E17*C17,"")</f>
        <v/>
      </c>
      <c r="G17" s="147" t="str">
        <f t="shared" ref="G17:G24" si="3">IFERROR(F17/$F$66,"")</f>
        <v/>
      </c>
      <c r="H17" s="148"/>
      <c r="I17" s="148"/>
      <c r="J17" s="149"/>
    </row>
    <row r="18" spans="1:12" ht="13.5" hidden="1" x14ac:dyDescent="0.25">
      <c r="A18" s="144"/>
      <c r="B18" s="132" t="str">
        <f>IFERROR(VLOOKUP(H18,[1]SEMIELABORADOS!$A$2:$M$6000,2,0),"")</f>
        <v/>
      </c>
      <c r="C18" s="145">
        <f t="shared" ref="C18:C24" si="4">+A18</f>
        <v>0</v>
      </c>
      <c r="D18" s="145" t="str">
        <f>IFERROR(VLOOKUP(H18,[1]SEMIELABORADOS!$A$2:$M$6000,6,0),"")</f>
        <v/>
      </c>
      <c r="E18" s="146" t="str">
        <f>IFERROR(VLOOKUP(H18,[1]SEMIELABORADOS!$A$2:$H$65536,8,0),"")</f>
        <v/>
      </c>
      <c r="F18" s="146" t="str">
        <f t="shared" ref="F18:F24" si="5">IFERROR(E18*C18,"")</f>
        <v/>
      </c>
      <c r="G18" s="147" t="str">
        <f t="shared" si="3"/>
        <v/>
      </c>
      <c r="H18" s="148"/>
      <c r="I18" s="148"/>
      <c r="J18" s="149"/>
    </row>
    <row r="19" spans="1:12" ht="13.5" hidden="1" x14ac:dyDescent="0.25">
      <c r="A19" s="144"/>
      <c r="B19" s="132" t="str">
        <f>IFERROR(VLOOKUP(H19,[1]SEMIELABORADOS!$A$2:$M$6000,2,0),"")</f>
        <v/>
      </c>
      <c r="C19" s="145">
        <f>+A19</f>
        <v>0</v>
      </c>
      <c r="D19" s="145" t="str">
        <f>IFERROR(VLOOKUP(H19,[1]SEMIELABORADOS!$A$2:$M$6000,6,0),"")</f>
        <v/>
      </c>
      <c r="E19" s="146" t="str">
        <f>IFERROR(VLOOKUP(H19,[1]SEMIELABORADOS!$A$2:$H$65536,8,0),"")</f>
        <v/>
      </c>
      <c r="F19" s="146" t="str">
        <f>IFERROR(E19*C19,"")</f>
        <v/>
      </c>
      <c r="G19" s="147" t="str">
        <f t="shared" si="3"/>
        <v/>
      </c>
      <c r="H19" s="148"/>
      <c r="I19" s="148"/>
      <c r="J19" s="149"/>
    </row>
    <row r="20" spans="1:12" ht="13.5" hidden="1" x14ac:dyDescent="0.25">
      <c r="A20" s="144"/>
      <c r="B20" s="132" t="str">
        <f>IFERROR(VLOOKUP(H20,[1]SEMIELABORADOS!$A$2:$M$6000,2,0),"")</f>
        <v/>
      </c>
      <c r="C20" s="145">
        <f>+A20</f>
        <v>0</v>
      </c>
      <c r="D20" s="145" t="str">
        <f>IFERROR(VLOOKUP(H20,[1]SEMIELABORADOS!$A$2:$M$6000,6,0),"")</f>
        <v/>
      </c>
      <c r="E20" s="146" t="str">
        <f>IFERROR(VLOOKUP(H20,[1]SEMIELABORADOS!$A$2:$H$65536,8,0),"")</f>
        <v/>
      </c>
      <c r="F20" s="146" t="str">
        <f>IFERROR(E20*C20,"")</f>
        <v/>
      </c>
      <c r="G20" s="147" t="str">
        <f t="shared" si="3"/>
        <v/>
      </c>
      <c r="H20" s="148"/>
      <c r="I20" s="148"/>
      <c r="J20" s="149"/>
    </row>
    <row r="21" spans="1:12" ht="13.5" hidden="1" x14ac:dyDescent="0.25">
      <c r="A21" s="144"/>
      <c r="B21" s="132" t="str">
        <f>IFERROR(VLOOKUP(H21,[1]SEMIELABORADOS!$A$2:$M$6000,2,0),"")</f>
        <v/>
      </c>
      <c r="C21" s="145">
        <f>+A21</f>
        <v>0</v>
      </c>
      <c r="D21" s="145" t="str">
        <f>IFERROR(VLOOKUP(H21,[1]SEMIELABORADOS!$A$2:$M$6000,6,0),"")</f>
        <v/>
      </c>
      <c r="E21" s="146" t="str">
        <f>IFERROR(VLOOKUP(H21,[1]SEMIELABORADOS!$A$2:$H$65536,8,0),"")</f>
        <v/>
      </c>
      <c r="F21" s="146" t="str">
        <f>IFERROR(E21*C21,"")</f>
        <v/>
      </c>
      <c r="G21" s="147" t="str">
        <f t="shared" si="3"/>
        <v/>
      </c>
      <c r="H21" s="148"/>
      <c r="I21" s="148"/>
      <c r="J21" s="149"/>
    </row>
    <row r="22" spans="1:12" ht="13.5" hidden="1" x14ac:dyDescent="0.25">
      <c r="A22" s="144"/>
      <c r="B22" s="132" t="str">
        <f>IFERROR(VLOOKUP(H22,[1]SEMIELABORADOS!$A$2:$M$6000,2,0),"")</f>
        <v/>
      </c>
      <c r="C22" s="145">
        <f t="shared" si="4"/>
        <v>0</v>
      </c>
      <c r="D22" s="145" t="str">
        <f>IFERROR(VLOOKUP(H22,[1]SEMIELABORADOS!$A$2:$M$6000,6,0),"")</f>
        <v/>
      </c>
      <c r="E22" s="146" t="str">
        <f>IFERROR(VLOOKUP(H22,[1]SEMIELABORADOS!$A$2:$H$65536,8,0),"")</f>
        <v/>
      </c>
      <c r="F22" s="146" t="str">
        <f t="shared" si="5"/>
        <v/>
      </c>
      <c r="G22" s="147" t="str">
        <f t="shared" si="3"/>
        <v/>
      </c>
      <c r="H22" s="148"/>
      <c r="I22" s="148"/>
      <c r="J22" s="149"/>
    </row>
    <row r="23" spans="1:12" ht="13.5" hidden="1" x14ac:dyDescent="0.25">
      <c r="A23" s="144"/>
      <c r="B23" s="132" t="str">
        <f>IFERROR(VLOOKUP(H23,[1]SEMIELABORADOS!$A$2:$M$6000,2,0),"")</f>
        <v/>
      </c>
      <c r="C23" s="145">
        <f t="shared" si="4"/>
        <v>0</v>
      </c>
      <c r="D23" s="145" t="str">
        <f>IFERROR(VLOOKUP(H23,[1]SEMIELABORADOS!$A$2:$M$6000,6,0),"")</f>
        <v/>
      </c>
      <c r="E23" s="146" t="str">
        <f>IFERROR(VLOOKUP(H23,[1]SEMIELABORADOS!$A$2:$H$65536,8,0),"")</f>
        <v/>
      </c>
      <c r="F23" s="146" t="str">
        <f t="shared" si="5"/>
        <v/>
      </c>
      <c r="G23" s="147" t="str">
        <f t="shared" si="3"/>
        <v/>
      </c>
      <c r="H23" s="148"/>
      <c r="I23" s="148"/>
      <c r="J23" s="149"/>
    </row>
    <row r="24" spans="1:12" ht="13.5" hidden="1" x14ac:dyDescent="0.25">
      <c r="A24" s="144"/>
      <c r="B24" s="132" t="str">
        <f>IFERROR(VLOOKUP(H24,[1]SEMIELABORADOS!$A$2:$M$6000,2,0),"")</f>
        <v/>
      </c>
      <c r="C24" s="145">
        <f t="shared" si="4"/>
        <v>0</v>
      </c>
      <c r="D24" s="145" t="str">
        <f>IFERROR(VLOOKUP(H24,[1]SEMIELABORADOS!$A$2:$M$6000,6,0),"")</f>
        <v/>
      </c>
      <c r="E24" s="146" t="str">
        <f>IFERROR(VLOOKUP(H24,[1]SEMIELABORADOS!$A$2:$H$65536,8,0),"")</f>
        <v/>
      </c>
      <c r="F24" s="146" t="str">
        <f t="shared" si="5"/>
        <v/>
      </c>
      <c r="G24" s="147" t="str">
        <f t="shared" si="3"/>
        <v/>
      </c>
      <c r="H24" s="148"/>
      <c r="I24" s="148"/>
      <c r="J24" s="149"/>
    </row>
    <row r="25" spans="1:12" ht="14.25" hidden="1" thickBot="1" x14ac:dyDescent="0.3">
      <c r="A25" s="144"/>
      <c r="C25" s="145"/>
      <c r="D25" s="145"/>
      <c r="E25" s="146"/>
      <c r="F25" s="146"/>
      <c r="G25" s="147"/>
      <c r="H25" s="148"/>
      <c r="I25" s="148"/>
      <c r="J25" s="149"/>
    </row>
    <row r="26" spans="1:12" ht="26.25" hidden="1" thickBot="1" x14ac:dyDescent="0.25">
      <c r="A26" s="139" t="s">
        <v>144</v>
      </c>
      <c r="B26" s="140" t="s">
        <v>32</v>
      </c>
      <c r="C26" s="140" t="s">
        <v>144</v>
      </c>
      <c r="D26" s="141" t="s">
        <v>146</v>
      </c>
      <c r="E26" s="141" t="s">
        <v>147</v>
      </c>
      <c r="F26" s="141" t="s">
        <v>148</v>
      </c>
      <c r="G26" s="141" t="s">
        <v>149</v>
      </c>
      <c r="H26" s="142" t="s">
        <v>150</v>
      </c>
      <c r="I26" s="143"/>
    </row>
    <row r="27" spans="1:12" ht="13.5" hidden="1" x14ac:dyDescent="0.25">
      <c r="A27" s="144">
        <v>0</v>
      </c>
      <c r="B27" s="150" t="str">
        <f>IFERROR(VLOOKUP(H27,'[1]Consolidado MP Planta'!$A$2:$M$823,3,0),"")</f>
        <v/>
      </c>
      <c r="C27" s="145">
        <f t="shared" ref="C27:C32" si="6">+A27</f>
        <v>0</v>
      </c>
      <c r="D27" s="146" t="str">
        <f>IFERROR(VLOOKUP(H27,'[1]Consolidado MP Planta'!$A$2:$M$823,13,0),"")</f>
        <v/>
      </c>
      <c r="E27" s="146" t="str">
        <f>IFERROR(VLOOKUP(H27,'[1]Consolidado MP Planta'!$A$2:$M$823,12,0),"")</f>
        <v/>
      </c>
      <c r="F27" s="146" t="str">
        <f t="shared" ref="F27:F32" si="7">IFERROR(C27*E27,"")</f>
        <v/>
      </c>
      <c r="G27" s="147" t="str">
        <f t="shared" ref="G27:G32" si="8">IFERROR(F27/$F$66,"")</f>
        <v/>
      </c>
      <c r="H27" s="151"/>
      <c r="I27" s="151"/>
      <c r="J27" s="149"/>
      <c r="K27" s="824"/>
      <c r="L27" s="824"/>
    </row>
    <row r="28" spans="1:12" ht="13.5" hidden="1" x14ac:dyDescent="0.25">
      <c r="A28" s="144"/>
      <c r="B28" s="150" t="str">
        <f>IFERROR(VLOOKUP(H28,'[1]Consolidado MP Planta'!$A$2:$M$823,3,0),"")</f>
        <v/>
      </c>
      <c r="C28" s="145">
        <f t="shared" si="6"/>
        <v>0</v>
      </c>
      <c r="D28" s="146" t="str">
        <f>IFERROR(VLOOKUP(H28,'[1]Consolidado MP Planta'!$A$2:$M$823,13,0),"")</f>
        <v/>
      </c>
      <c r="E28" s="146" t="str">
        <f>IFERROR(VLOOKUP(H28,'[1]Consolidado MP Planta'!$A$2:$M$823,12,0),"")</f>
        <v/>
      </c>
      <c r="F28" s="146" t="str">
        <f t="shared" si="7"/>
        <v/>
      </c>
      <c r="G28" s="147" t="str">
        <f t="shared" si="8"/>
        <v/>
      </c>
      <c r="H28" s="151"/>
      <c r="I28" s="151"/>
      <c r="J28" s="149"/>
      <c r="K28" s="824"/>
      <c r="L28" s="824"/>
    </row>
    <row r="29" spans="1:12" ht="13.5" hidden="1" x14ac:dyDescent="0.25">
      <c r="A29" s="144"/>
      <c r="B29" s="150" t="str">
        <f>IFERROR(VLOOKUP(H29,'[1]Consolidado MP Planta'!$A$2:$M$823,3,0),"")</f>
        <v/>
      </c>
      <c r="C29" s="145">
        <f t="shared" si="6"/>
        <v>0</v>
      </c>
      <c r="D29" s="146" t="str">
        <f>IFERROR(VLOOKUP(H29,'[1]Consolidado MP Planta'!$A$2:$M$823,13,0),"")</f>
        <v/>
      </c>
      <c r="E29" s="146" t="str">
        <f>IFERROR(VLOOKUP(H29,'[1]Consolidado MP Planta'!$A$2:$M$823,12,0),"")</f>
        <v/>
      </c>
      <c r="F29" s="146" t="str">
        <f t="shared" si="7"/>
        <v/>
      </c>
      <c r="G29" s="147" t="str">
        <f t="shared" si="8"/>
        <v/>
      </c>
      <c r="H29" s="151"/>
      <c r="I29" s="151"/>
      <c r="J29" s="149"/>
      <c r="K29" s="824"/>
      <c r="L29" s="824"/>
    </row>
    <row r="30" spans="1:12" ht="13.5" hidden="1" x14ac:dyDescent="0.25">
      <c r="A30" s="144"/>
      <c r="B30" s="150" t="str">
        <f>IFERROR(VLOOKUP(H30,'[1]Consolidado MP Planta'!$A$2:$M$823,3,0),"")</f>
        <v/>
      </c>
      <c r="C30" s="145">
        <f t="shared" si="6"/>
        <v>0</v>
      </c>
      <c r="D30" s="146" t="str">
        <f>IFERROR(VLOOKUP(H30,'[1]Consolidado MP Planta'!$A$2:$M$823,13,0),"")</f>
        <v/>
      </c>
      <c r="E30" s="146" t="str">
        <f>IFERROR(VLOOKUP(H30,'[1]Consolidado MP Planta'!$A$2:$M$823,12,0),"")</f>
        <v/>
      </c>
      <c r="F30" s="146" t="str">
        <f t="shared" si="7"/>
        <v/>
      </c>
      <c r="G30" s="147" t="str">
        <f t="shared" si="8"/>
        <v/>
      </c>
      <c r="H30" s="151"/>
      <c r="I30" s="151"/>
      <c r="J30" s="149"/>
      <c r="K30" s="824"/>
      <c r="L30" s="824"/>
    </row>
    <row r="31" spans="1:12" ht="13.5" hidden="1" x14ac:dyDescent="0.25">
      <c r="A31" s="144"/>
      <c r="B31" s="150" t="str">
        <f>IFERROR(VLOOKUP(H31,'[1]Consolidado MP Planta'!$A$2:$M$823,3,0),"")</f>
        <v/>
      </c>
      <c r="C31" s="145">
        <f t="shared" si="6"/>
        <v>0</v>
      </c>
      <c r="D31" s="146" t="str">
        <f>IFERROR(VLOOKUP(H31,'[1]Consolidado MP Planta'!$A$2:$M$823,13,0),"")</f>
        <v/>
      </c>
      <c r="E31" s="146" t="str">
        <f>IFERROR(VLOOKUP(H31,'[1]Consolidado MP Planta'!$A$2:$M$823,12,0),"")</f>
        <v/>
      </c>
      <c r="F31" s="146" t="str">
        <f t="shared" si="7"/>
        <v/>
      </c>
      <c r="G31" s="147" t="str">
        <f t="shared" si="8"/>
        <v/>
      </c>
      <c r="H31" s="151"/>
      <c r="I31" s="151"/>
      <c r="J31" s="149"/>
      <c r="K31" s="152"/>
      <c r="L31" s="153"/>
    </row>
    <row r="32" spans="1:12" ht="13.5" hidden="1" x14ac:dyDescent="0.25">
      <c r="A32" s="144"/>
      <c r="B32" s="150" t="str">
        <f>IFERROR(VLOOKUP(H32,'[1]Consolidado MP Planta'!$A$2:$M$823,3,0),"")</f>
        <v/>
      </c>
      <c r="C32" s="145">
        <f t="shared" si="6"/>
        <v>0</v>
      </c>
      <c r="D32" s="146" t="str">
        <f>IFERROR(VLOOKUP(H32,'[1]Consolidado MP Planta'!$A$2:$M$823,13,0),"")</f>
        <v/>
      </c>
      <c r="E32" s="146" t="str">
        <f>IFERROR(VLOOKUP(H32,'[1]Consolidado MP Planta'!$A$2:$M$823,12,0),"")</f>
        <v/>
      </c>
      <c r="F32" s="146" t="str">
        <f t="shared" si="7"/>
        <v/>
      </c>
      <c r="G32" s="147" t="str">
        <f t="shared" si="8"/>
        <v/>
      </c>
      <c r="H32" s="151"/>
      <c r="I32" s="151"/>
      <c r="J32" s="149"/>
    </row>
    <row r="33" spans="1:13" ht="14.25" hidden="1" thickBot="1" x14ac:dyDescent="0.3">
      <c r="A33" s="144"/>
      <c r="B33" s="150"/>
      <c r="C33" s="145"/>
      <c r="D33" s="146"/>
      <c r="E33" s="146"/>
      <c r="F33" s="146"/>
      <c r="G33" s="147"/>
      <c r="H33" s="151"/>
      <c r="I33" s="151"/>
      <c r="J33" s="149"/>
    </row>
    <row r="34" spans="1:13" ht="26.25" hidden="1" thickBot="1" x14ac:dyDescent="0.25">
      <c r="A34" s="139" t="s">
        <v>144</v>
      </c>
      <c r="B34" s="140" t="s">
        <v>152</v>
      </c>
      <c r="C34" s="140" t="s">
        <v>144</v>
      </c>
      <c r="D34" s="141" t="s">
        <v>146</v>
      </c>
      <c r="E34" s="141" t="s">
        <v>147</v>
      </c>
      <c r="F34" s="141" t="s">
        <v>148</v>
      </c>
      <c r="G34" s="141" t="s">
        <v>149</v>
      </c>
      <c r="H34" s="142" t="s">
        <v>150</v>
      </c>
      <c r="I34" s="151"/>
      <c r="J34" s="149"/>
    </row>
    <row r="35" spans="1:13" ht="13.5" hidden="1" x14ac:dyDescent="0.25">
      <c r="A35" s="144">
        <f>+A17</f>
        <v>0</v>
      </c>
      <c r="B35" s="150" t="str">
        <f>IFERROR(VLOOKUP(H35,[1]SEMIELABORADOS!$A$2:$M$6000,2,0),"")</f>
        <v/>
      </c>
      <c r="C35" s="145">
        <f>+A35</f>
        <v>0</v>
      </c>
      <c r="D35" s="146" t="str">
        <f>IFERROR(VLOOKUP(H35,[1]SEMIELABORADOS!$A$2:$M$6000,6,0),"")</f>
        <v/>
      </c>
      <c r="E35" s="146" t="str">
        <f>IFERROR(VLOOKUP(H35,[1]SEMIELABORADOS!$A$2:$M$65536,10,0),"")</f>
        <v/>
      </c>
      <c r="F35" s="146" t="str">
        <f>IFERROR(E35*C35,"")</f>
        <v/>
      </c>
      <c r="G35" s="147" t="str">
        <f t="shared" ref="G35:G41" si="9">IFERROR(F35/$F$66,"")</f>
        <v/>
      </c>
      <c r="H35" s="151"/>
      <c r="I35" s="151"/>
      <c r="J35" s="149"/>
    </row>
    <row r="36" spans="1:13" ht="13.5" hidden="1" x14ac:dyDescent="0.25">
      <c r="A36" s="144">
        <f t="shared" ref="A36:A41" si="10">+A18</f>
        <v>0</v>
      </c>
      <c r="B36" s="150" t="str">
        <f>IFERROR(VLOOKUP(H36,[1]SEMIELABORADOS!$A$2:$M$6000,2,0),"")</f>
        <v/>
      </c>
      <c r="C36" s="145">
        <f t="shared" ref="C36:C41" si="11">+A36</f>
        <v>0</v>
      </c>
      <c r="D36" s="146" t="str">
        <f>IFERROR(VLOOKUP(H36,[1]SEMIELABORADOS!$A$2:$M$6000,6,0),"")</f>
        <v/>
      </c>
      <c r="E36" s="146" t="str">
        <f>IFERROR(VLOOKUP(H36,[1]SEMIELABORADOS!$A$2:$M$65536,10,0),"")</f>
        <v/>
      </c>
      <c r="F36" s="146" t="str">
        <f t="shared" ref="F36:F41" si="12">IFERROR(E36*C36,"")</f>
        <v/>
      </c>
      <c r="G36" s="147" t="str">
        <f t="shared" si="9"/>
        <v/>
      </c>
      <c r="H36" s="151"/>
      <c r="I36" s="151"/>
      <c r="J36" s="149"/>
    </row>
    <row r="37" spans="1:13" ht="13.5" hidden="1" x14ac:dyDescent="0.25">
      <c r="A37" s="144">
        <f t="shared" si="10"/>
        <v>0</v>
      </c>
      <c r="B37" s="150" t="str">
        <f>IFERROR(VLOOKUP(H37,[1]SEMIELABORADOS!$A$2:$M$6000,2,0),"")</f>
        <v/>
      </c>
      <c r="C37" s="145">
        <f t="shared" si="11"/>
        <v>0</v>
      </c>
      <c r="D37" s="146" t="str">
        <f>IFERROR(VLOOKUP(H37,[1]SEMIELABORADOS!$A$2:$M$6000,6,0),"")</f>
        <v/>
      </c>
      <c r="E37" s="146" t="str">
        <f>IFERROR(VLOOKUP(H37,[1]SEMIELABORADOS!$A$2:$M$65536,10,0),"")</f>
        <v/>
      </c>
      <c r="F37" s="146" t="str">
        <f t="shared" si="12"/>
        <v/>
      </c>
      <c r="G37" s="147" t="str">
        <f t="shared" si="9"/>
        <v/>
      </c>
      <c r="H37" s="151"/>
      <c r="I37" s="151"/>
      <c r="J37" s="149"/>
    </row>
    <row r="38" spans="1:13" ht="13.5" hidden="1" x14ac:dyDescent="0.25">
      <c r="A38" s="144">
        <f t="shared" si="10"/>
        <v>0</v>
      </c>
      <c r="B38" s="150" t="str">
        <f>IFERROR(VLOOKUP(H38,[1]SEMIELABORADOS!$A$2:$M$6000,2,0),"")</f>
        <v/>
      </c>
      <c r="C38" s="145">
        <f>+A38</f>
        <v>0</v>
      </c>
      <c r="D38" s="146" t="str">
        <f>IFERROR(VLOOKUP(H38,[1]SEMIELABORADOS!$A$2:$M$6000,6,0),"")</f>
        <v/>
      </c>
      <c r="E38" s="146" t="str">
        <f>IFERROR(VLOOKUP(H38,[1]SEMIELABORADOS!$A$2:$M$65536,10,0),"")</f>
        <v/>
      </c>
      <c r="F38" s="146" t="str">
        <f>IFERROR(E38*C38,"")</f>
        <v/>
      </c>
      <c r="G38" s="147" t="str">
        <f t="shared" si="9"/>
        <v/>
      </c>
      <c r="H38" s="151"/>
      <c r="I38" s="151"/>
      <c r="J38" s="149"/>
    </row>
    <row r="39" spans="1:13" ht="13.5" hidden="1" x14ac:dyDescent="0.25">
      <c r="A39" s="144">
        <f t="shared" si="10"/>
        <v>0</v>
      </c>
      <c r="B39" s="150" t="str">
        <f>IFERROR(VLOOKUP(H39,[1]SEMIELABORADOS!$A$2:$M$6000,2,0),"")</f>
        <v/>
      </c>
      <c r="C39" s="145">
        <f>+A39</f>
        <v>0</v>
      </c>
      <c r="D39" s="146" t="str">
        <f>IFERROR(VLOOKUP(H39,[1]SEMIELABORADOS!$A$2:$M$6000,6,0),"")</f>
        <v/>
      </c>
      <c r="E39" s="146" t="str">
        <f>IFERROR(VLOOKUP(H39,[1]SEMIELABORADOS!$A$2:$M$65536,10,0),"")</f>
        <v/>
      </c>
      <c r="F39" s="146" t="str">
        <f>IFERROR(E39*C39,"")</f>
        <v/>
      </c>
      <c r="G39" s="147" t="str">
        <f t="shared" si="9"/>
        <v/>
      </c>
      <c r="H39" s="151"/>
      <c r="I39" s="151"/>
      <c r="J39" s="149"/>
    </row>
    <row r="40" spans="1:13" ht="13.5" hidden="1" x14ac:dyDescent="0.25">
      <c r="A40" s="144">
        <f t="shared" si="10"/>
        <v>0</v>
      </c>
      <c r="B40" s="150" t="str">
        <f>IFERROR(VLOOKUP(H40,[1]SEMIELABORADOS!$A$2:$M$6000,2,0),"")</f>
        <v/>
      </c>
      <c r="C40" s="145">
        <f t="shared" si="11"/>
        <v>0</v>
      </c>
      <c r="D40" s="146" t="str">
        <f>IFERROR(VLOOKUP(H40,[1]SEMIELABORADOS!$A$2:$M$6000,6,0),"")</f>
        <v/>
      </c>
      <c r="E40" s="146" t="str">
        <f>IFERROR(VLOOKUP(H40,[1]SEMIELABORADOS!$A$2:$M$65536,10,0),"")</f>
        <v/>
      </c>
      <c r="F40" s="146" t="str">
        <f t="shared" si="12"/>
        <v/>
      </c>
      <c r="G40" s="147" t="str">
        <f t="shared" si="9"/>
        <v/>
      </c>
      <c r="H40" s="151"/>
      <c r="I40" s="151"/>
      <c r="J40" s="149"/>
    </row>
    <row r="41" spans="1:13" ht="13.5" hidden="1" x14ac:dyDescent="0.25">
      <c r="A41" s="144">
        <f t="shared" si="10"/>
        <v>0</v>
      </c>
      <c r="B41" s="150" t="str">
        <f>IFERROR(VLOOKUP(H41,[1]SEMIELABORADOS!$A$2:$M$6000,2,0),"")</f>
        <v/>
      </c>
      <c r="C41" s="145">
        <f t="shared" si="11"/>
        <v>0</v>
      </c>
      <c r="D41" s="146" t="str">
        <f>IFERROR(VLOOKUP(H41,[1]SEMIELABORADOS!$A$2:$M$6000,6,0),"")</f>
        <v/>
      </c>
      <c r="E41" s="146" t="str">
        <f>IFERROR(VLOOKUP(H41,[1]SEMIELABORADOS!$A$2:$M$65536,10,0),"")</f>
        <v/>
      </c>
      <c r="F41" s="146" t="str">
        <f t="shared" si="12"/>
        <v/>
      </c>
      <c r="G41" s="147" t="str">
        <f t="shared" si="9"/>
        <v/>
      </c>
      <c r="H41" s="151"/>
      <c r="I41" s="151"/>
      <c r="J41" s="149"/>
    </row>
    <row r="42" spans="1:13" ht="14.25" hidden="1" thickBot="1" x14ac:dyDescent="0.3">
      <c r="A42" s="144"/>
      <c r="B42" s="150"/>
      <c r="C42" s="145"/>
      <c r="D42" s="146"/>
      <c r="E42" s="146"/>
      <c r="F42" s="146"/>
      <c r="G42" s="147"/>
      <c r="H42" s="151"/>
      <c r="I42" s="151"/>
      <c r="J42" s="149"/>
    </row>
    <row r="43" spans="1:13" ht="26.25" thickBot="1" x14ac:dyDescent="0.25">
      <c r="A43" s="139" t="s">
        <v>144</v>
      </c>
      <c r="B43" s="140" t="s">
        <v>153</v>
      </c>
      <c r="C43" s="140" t="s">
        <v>144</v>
      </c>
      <c r="D43" s="141" t="s">
        <v>146</v>
      </c>
      <c r="E43" s="141" t="s">
        <v>147</v>
      </c>
      <c r="F43" s="141" t="s">
        <v>148</v>
      </c>
      <c r="G43" s="141" t="s">
        <v>149</v>
      </c>
      <c r="H43" s="142" t="s">
        <v>150</v>
      </c>
      <c r="I43" s="143"/>
      <c r="J43" s="149"/>
    </row>
    <row r="44" spans="1:13" ht="13.5" hidden="1" x14ac:dyDescent="0.25">
      <c r="A44" s="144">
        <f>+A35</f>
        <v>0</v>
      </c>
      <c r="B44" s="150" t="str">
        <f>IFERROR(VLOOKUP(H44,[1]SEMIELABORADOS!$A$2:$M$6000,2,0),"")</f>
        <v/>
      </c>
      <c r="C44" s="145">
        <f>+A44</f>
        <v>0</v>
      </c>
      <c r="D44" s="146" t="str">
        <f>IFERROR(VLOOKUP(H44,[1]SEMIELABORADOS!$A$2:$M$6000,6,0),"")</f>
        <v/>
      </c>
      <c r="E44" s="146" t="str">
        <f>IFERROR(VLOOKUP(H44,[1]SEMIELABORADOS!$A$2:$M$65536,12,0),"")</f>
        <v/>
      </c>
      <c r="F44" s="146" t="str">
        <f>IFERROR(E44*C44,"")</f>
        <v/>
      </c>
      <c r="G44" s="147" t="str">
        <f>IFERROR(F44/$F$66,"")</f>
        <v/>
      </c>
      <c r="H44" s="151"/>
      <c r="I44" s="143"/>
      <c r="J44" s="149"/>
    </row>
    <row r="45" spans="1:13" ht="13.5" hidden="1" x14ac:dyDescent="0.25">
      <c r="A45" s="144">
        <f t="shared" ref="A45:A50" si="13">+A36</f>
        <v>0</v>
      </c>
      <c r="B45" s="150" t="str">
        <f>IFERROR(VLOOKUP(H45,[1]SEMIELABORADOS!$A$2:$M$6000,2,0),"")</f>
        <v/>
      </c>
      <c r="C45" s="145">
        <f t="shared" ref="C45:C50" si="14">+A45</f>
        <v>0</v>
      </c>
      <c r="D45" s="146" t="str">
        <f>IFERROR(VLOOKUP(H45,[1]SEMIELABORADOS!$A$2:$M$6000,6,0),"")</f>
        <v/>
      </c>
      <c r="E45" s="146" t="str">
        <f>IFERROR(VLOOKUP(H45,[1]SEMIELABORADOS!$A$2:$M$65536,12,0),"")</f>
        <v/>
      </c>
      <c r="F45" s="146" t="str">
        <f t="shared" ref="F45:F50" si="15">IFERROR(E45*C45,"")</f>
        <v/>
      </c>
      <c r="G45" s="147" t="str">
        <f t="shared" ref="G45:G50" si="16">IFERROR(F45/$F$66,"")</f>
        <v/>
      </c>
      <c r="H45" s="151"/>
      <c r="I45" s="143"/>
      <c r="J45" s="149"/>
      <c r="M45" s="154"/>
    </row>
    <row r="46" spans="1:13" ht="13.5" hidden="1" x14ac:dyDescent="0.25">
      <c r="A46" s="144">
        <f t="shared" si="13"/>
        <v>0</v>
      </c>
      <c r="B46" s="150" t="str">
        <f>IFERROR(VLOOKUP(H46,[1]SEMIELABORADOS!$A$2:$M$6000,2,0),"")</f>
        <v/>
      </c>
      <c r="C46" s="145">
        <f t="shared" si="14"/>
        <v>0</v>
      </c>
      <c r="D46" s="146" t="str">
        <f>IFERROR(VLOOKUP(H46,[1]SEMIELABORADOS!$A$2:$M$6000,6,0),"")</f>
        <v/>
      </c>
      <c r="E46" s="146" t="str">
        <f>IFERROR(VLOOKUP(H46,[1]SEMIELABORADOS!$A$2:$M$65536,12,0),"")</f>
        <v/>
      </c>
      <c r="F46" s="146" t="str">
        <f t="shared" si="15"/>
        <v/>
      </c>
      <c r="G46" s="147" t="str">
        <f t="shared" si="16"/>
        <v/>
      </c>
      <c r="H46" s="151"/>
      <c r="I46" s="143"/>
      <c r="J46" s="149"/>
    </row>
    <row r="47" spans="1:13" ht="13.5" hidden="1" x14ac:dyDescent="0.25">
      <c r="A47" s="144">
        <f t="shared" si="13"/>
        <v>0</v>
      </c>
      <c r="B47" s="150" t="str">
        <f>IFERROR(VLOOKUP(H47,[1]SEMIELABORADOS!$A$2:$M$6000,2,0),"")</f>
        <v/>
      </c>
      <c r="C47" s="145">
        <f t="shared" si="14"/>
        <v>0</v>
      </c>
      <c r="D47" s="146" t="str">
        <f>IFERROR(VLOOKUP(H47,[1]SEMIELABORADOS!$A$2:$M$6000,6,0),"")</f>
        <v/>
      </c>
      <c r="E47" s="146" t="str">
        <f>IFERROR(VLOOKUP(H47,[1]SEMIELABORADOS!$A$2:$M$65536,12,0),"")</f>
        <v/>
      </c>
      <c r="F47" s="146" t="str">
        <f t="shared" si="15"/>
        <v/>
      </c>
      <c r="G47" s="147" t="str">
        <f t="shared" si="16"/>
        <v/>
      </c>
      <c r="H47" s="151"/>
      <c r="I47" s="143"/>
      <c r="J47" s="149"/>
    </row>
    <row r="48" spans="1:13" ht="13.5" hidden="1" x14ac:dyDescent="0.25">
      <c r="A48" s="144">
        <f t="shared" si="13"/>
        <v>0</v>
      </c>
      <c r="B48" s="150" t="str">
        <f>IFERROR(VLOOKUP(H48,[1]SEMIELABORADOS!$A$2:$M$6000,2,0),"")</f>
        <v/>
      </c>
      <c r="C48" s="145">
        <f t="shared" si="14"/>
        <v>0</v>
      </c>
      <c r="D48" s="146" t="str">
        <f>IFERROR(VLOOKUP(H48,[1]SEMIELABORADOS!$A$2:$M$6000,6,0),"")</f>
        <v/>
      </c>
      <c r="E48" s="146" t="str">
        <f>IFERROR(VLOOKUP(H48,[1]SEMIELABORADOS!$A$2:$M$65536,12,0),"")</f>
        <v/>
      </c>
      <c r="F48" s="146" t="str">
        <f t="shared" si="15"/>
        <v/>
      </c>
      <c r="G48" s="147" t="str">
        <f t="shared" si="16"/>
        <v/>
      </c>
      <c r="H48" s="151"/>
      <c r="I48" s="143"/>
      <c r="J48" s="149"/>
    </row>
    <row r="49" spans="1:17" ht="13.5" hidden="1" x14ac:dyDescent="0.25">
      <c r="A49" s="144">
        <f t="shared" si="13"/>
        <v>0</v>
      </c>
      <c r="B49" s="150" t="str">
        <f>IFERROR(VLOOKUP(H49,[1]SEMIELABORADOS!$A$2:$M$6000,2,0),"")</f>
        <v/>
      </c>
      <c r="C49" s="145">
        <f t="shared" si="14"/>
        <v>0</v>
      </c>
      <c r="D49" s="146" t="str">
        <f>IFERROR(VLOOKUP(H49,[1]SEMIELABORADOS!$A$2:$M$6000,6,0),"")</f>
        <v/>
      </c>
      <c r="E49" s="146" t="str">
        <f>IFERROR(VLOOKUP(H49,[1]SEMIELABORADOS!$A$2:$M$65536,12,0),"")</f>
        <v/>
      </c>
      <c r="F49" s="146" t="str">
        <f t="shared" si="15"/>
        <v/>
      </c>
      <c r="G49" s="147" t="str">
        <f t="shared" si="16"/>
        <v/>
      </c>
      <c r="H49" s="151"/>
      <c r="I49" s="143"/>
      <c r="J49" s="149"/>
    </row>
    <row r="50" spans="1:17" ht="13.5" hidden="1" x14ac:dyDescent="0.25">
      <c r="A50" s="144">
        <f t="shared" si="13"/>
        <v>0</v>
      </c>
      <c r="B50" s="150" t="str">
        <f>IFERROR(VLOOKUP(H50,[1]SEMIELABORADOS!$A$2:$M$6000,2,0),"")</f>
        <v/>
      </c>
      <c r="C50" s="145">
        <f t="shared" si="14"/>
        <v>0</v>
      </c>
      <c r="D50" s="146" t="str">
        <f>IFERROR(VLOOKUP(H50,[1]SEMIELABORADOS!$A$2:$M$6000,6,0),"")</f>
        <v/>
      </c>
      <c r="E50" s="146" t="str">
        <f>IFERROR(VLOOKUP(H50,[1]SEMIELABORADOS!$A$2:$M$65536,12,0),"")</f>
        <v/>
      </c>
      <c r="F50" s="146" t="str">
        <f t="shared" si="15"/>
        <v/>
      </c>
      <c r="G50" s="147" t="str">
        <f t="shared" si="16"/>
        <v/>
      </c>
      <c r="H50" s="150"/>
      <c r="I50" s="143"/>
      <c r="J50" s="149"/>
    </row>
    <row r="51" spans="1:17" ht="13.5" x14ac:dyDescent="0.25">
      <c r="A51" s="144">
        <v>1</v>
      </c>
      <c r="B51" s="150" t="s">
        <v>154</v>
      </c>
      <c r="C51" s="145">
        <f>+A51</f>
        <v>1</v>
      </c>
      <c r="D51" s="145" t="s">
        <v>155</v>
      </c>
      <c r="E51" s="146">
        <f>+F65</f>
        <v>77</v>
      </c>
      <c r="F51" s="146">
        <f>IFERROR(C51*E51,"")</f>
        <v>77</v>
      </c>
      <c r="G51" s="147">
        <f>IFERROR(F51/$F$66,"")</f>
        <v>5.8859501605259138E-3</v>
      </c>
      <c r="H51" s="155"/>
      <c r="I51" s="155"/>
      <c r="J51" s="149"/>
    </row>
    <row r="52" spans="1:17" ht="14.25" thickBot="1" x14ac:dyDescent="0.3">
      <c r="A52" s="144"/>
      <c r="B52" s="150"/>
      <c r="C52" s="145"/>
      <c r="D52" s="145"/>
      <c r="E52" s="146"/>
      <c r="F52" s="146"/>
      <c r="G52" s="147"/>
      <c r="H52" s="155"/>
      <c r="I52" s="155"/>
      <c r="J52" s="149"/>
    </row>
    <row r="53" spans="1:17" ht="13.5" thickBot="1" x14ac:dyDescent="0.25">
      <c r="A53" s="156"/>
      <c r="B53" s="834" t="s">
        <v>156</v>
      </c>
      <c r="C53" s="834"/>
      <c r="D53" s="834"/>
      <c r="E53" s="834"/>
      <c r="F53" s="158">
        <f>SUM(F8:F14,F17:F24)</f>
        <v>12750</v>
      </c>
      <c r="G53" s="147">
        <f>+F53/$F$66</f>
        <v>0.97462161748968046</v>
      </c>
      <c r="H53" s="159">
        <f>+F53/$D$60</f>
        <v>12750</v>
      </c>
      <c r="I53" s="159"/>
      <c r="J53" s="160"/>
      <c r="K53" s="161"/>
      <c r="L53" s="161"/>
      <c r="M53" s="161"/>
      <c r="N53" s="161"/>
      <c r="O53" s="161"/>
      <c r="P53" s="161"/>
      <c r="Q53" s="162"/>
    </row>
    <row r="54" spans="1:17" x14ac:dyDescent="0.2">
      <c r="A54" s="156"/>
      <c r="B54" s="834" t="s">
        <v>157</v>
      </c>
      <c r="C54" s="834"/>
      <c r="D54" s="834"/>
      <c r="E54" s="834"/>
      <c r="F54" s="158">
        <f>SUM(F27:F32,F35:F41)</f>
        <v>0</v>
      </c>
      <c r="G54" s="147">
        <f>+F54/$F$66</f>
        <v>0</v>
      </c>
      <c r="H54" s="159">
        <f>+F54/$D$60</f>
        <v>0</v>
      </c>
      <c r="I54" s="159"/>
      <c r="J54" s="163"/>
      <c r="K54" s="835" t="s">
        <v>158</v>
      </c>
      <c r="L54" s="836"/>
      <c r="M54" s="836"/>
      <c r="N54" s="836"/>
      <c r="O54" s="164">
        <f>+F55</f>
        <v>12750</v>
      </c>
      <c r="P54" s="164"/>
      <c r="Q54" s="165"/>
    </row>
    <row r="55" spans="1:17" x14ac:dyDescent="0.2">
      <c r="A55" s="156"/>
      <c r="B55" s="834" t="s">
        <v>159</v>
      </c>
      <c r="C55" s="834"/>
      <c r="D55" s="834"/>
      <c r="E55" s="834"/>
      <c r="F55" s="158">
        <f>+F53+F54</f>
        <v>12750</v>
      </c>
      <c r="G55" s="147">
        <f>+F55/$F$66</f>
        <v>0.97462161748968046</v>
      </c>
      <c r="H55" s="159">
        <f>+F55/$D$60</f>
        <v>12750</v>
      </c>
      <c r="I55" s="159"/>
      <c r="J55" s="166"/>
      <c r="K55" s="167"/>
      <c r="M55" s="168" t="s">
        <v>160</v>
      </c>
      <c r="N55" s="169"/>
      <c r="O55" s="164">
        <f>+H56</f>
        <v>77</v>
      </c>
      <c r="P55" s="164"/>
      <c r="Q55" s="165"/>
    </row>
    <row r="56" spans="1:17" ht="13.5" thickBot="1" x14ac:dyDescent="0.25">
      <c r="A56" s="156"/>
      <c r="B56" s="157"/>
      <c r="C56" s="834" t="s">
        <v>161</v>
      </c>
      <c r="D56" s="834"/>
      <c r="E56" s="834"/>
      <c r="F56" s="158">
        <f>SUM(F44:F51)</f>
        <v>77</v>
      </c>
      <c r="G56" s="147">
        <f>+F56/$F$66</f>
        <v>5.8859501605259138E-3</v>
      </c>
      <c r="H56" s="159">
        <f>+F56/$D$60</f>
        <v>77</v>
      </c>
      <c r="I56" s="159"/>
      <c r="J56" s="166"/>
      <c r="K56" s="167"/>
      <c r="L56" s="167"/>
      <c r="M56" s="167" t="s">
        <v>162</v>
      </c>
      <c r="N56" s="170"/>
      <c r="O56" s="164">
        <f>O54*N56</f>
        <v>0</v>
      </c>
      <c r="P56" s="164"/>
      <c r="Q56" s="165"/>
    </row>
    <row r="57" spans="1:17" ht="13.5" thickBot="1" x14ac:dyDescent="0.25">
      <c r="A57" s="156"/>
      <c r="B57" s="171"/>
      <c r="C57" s="171"/>
      <c r="D57" s="171"/>
      <c r="E57" s="171"/>
      <c r="F57" s="172"/>
      <c r="G57" s="147"/>
      <c r="H57" s="173"/>
      <c r="I57" s="159"/>
      <c r="J57" s="166"/>
      <c r="K57" s="174"/>
      <c r="M57" s="175" t="s">
        <v>163</v>
      </c>
      <c r="N57" s="176"/>
      <c r="O57" s="177">
        <f>SUM(O54:O56)</f>
        <v>12827</v>
      </c>
      <c r="P57" s="178"/>
      <c r="Q57" s="165"/>
    </row>
    <row r="58" spans="1:17" x14ac:dyDescent="0.2">
      <c r="B58" s="837" t="s">
        <v>164</v>
      </c>
      <c r="C58" s="837"/>
      <c r="D58" s="179">
        <v>950</v>
      </c>
      <c r="E58" s="180"/>
      <c r="G58" s="147"/>
      <c r="H58" s="173">
        <f>+H56/77</f>
        <v>1</v>
      </c>
      <c r="I58" s="181"/>
      <c r="J58" s="166"/>
      <c r="K58" s="174"/>
      <c r="L58" s="167"/>
      <c r="M58" s="167" t="s">
        <v>165</v>
      </c>
      <c r="N58" s="182"/>
      <c r="O58" s="164">
        <f>+H59</f>
        <v>64</v>
      </c>
      <c r="P58" s="164"/>
      <c r="Q58" s="165"/>
    </row>
    <row r="59" spans="1:17" x14ac:dyDescent="0.2">
      <c r="B59" s="837" t="s">
        <v>166</v>
      </c>
      <c r="C59" s="837"/>
      <c r="D59" s="183">
        <v>950</v>
      </c>
      <c r="E59" s="180"/>
      <c r="G59" s="147"/>
      <c r="H59" s="173">
        <f>+H58*64</f>
        <v>64</v>
      </c>
      <c r="I59" s="181"/>
      <c r="J59" s="166"/>
      <c r="K59" s="174"/>
      <c r="L59" s="167"/>
      <c r="M59" s="838" t="s">
        <v>163</v>
      </c>
      <c r="N59" s="838"/>
      <c r="O59" s="164">
        <f>SUM(O57:O58)</f>
        <v>12891</v>
      </c>
      <c r="P59" s="164"/>
      <c r="Q59" s="165"/>
    </row>
    <row r="60" spans="1:17" ht="13.5" thickBot="1" x14ac:dyDescent="0.25">
      <c r="B60" s="830" t="s">
        <v>167</v>
      </c>
      <c r="C60" s="830"/>
      <c r="D60" s="179">
        <f>+D58/D59</f>
        <v>1</v>
      </c>
      <c r="E60" s="180"/>
      <c r="F60" s="184"/>
      <c r="G60" s="147"/>
      <c r="H60" s="173"/>
      <c r="I60" s="181"/>
      <c r="J60" s="166"/>
      <c r="K60" s="174"/>
      <c r="L60" s="838"/>
      <c r="M60" s="838"/>
      <c r="N60" s="182"/>
      <c r="O60" s="164">
        <f>+O59*N60</f>
        <v>0</v>
      </c>
      <c r="P60" s="164"/>
      <c r="Q60" s="165"/>
    </row>
    <row r="61" spans="1:17" ht="13.5" thickBot="1" x14ac:dyDescent="0.25">
      <c r="B61" s="830" t="s">
        <v>168</v>
      </c>
      <c r="C61" s="830"/>
      <c r="D61" s="185"/>
      <c r="E61" s="180"/>
      <c r="F61" s="184"/>
      <c r="G61" s="147"/>
      <c r="H61" s="173"/>
      <c r="I61" s="181"/>
      <c r="J61" s="166"/>
      <c r="K61" s="831" t="s">
        <v>169</v>
      </c>
      <c r="L61" s="832"/>
      <c r="M61" s="832"/>
      <c r="N61" s="833"/>
      <c r="O61" s="177">
        <f>SUM(O59:O60)</f>
        <v>12891</v>
      </c>
      <c r="P61" s="186" t="s">
        <v>170</v>
      </c>
      <c r="Q61" s="165"/>
    </row>
    <row r="62" spans="1:17" ht="13.5" thickBot="1" x14ac:dyDescent="0.25">
      <c r="C62" s="156" t="s">
        <v>171</v>
      </c>
      <c r="D62" s="187"/>
      <c r="E62" s="130" t="s">
        <v>172</v>
      </c>
      <c r="F62" s="188" t="s">
        <v>173</v>
      </c>
      <c r="G62" s="147"/>
      <c r="H62" s="173"/>
      <c r="I62" s="181"/>
      <c r="J62" s="189"/>
      <c r="K62" s="190"/>
      <c r="L62" s="844" t="s">
        <v>174</v>
      </c>
      <c r="M62" s="844"/>
      <c r="N62" s="844"/>
      <c r="O62" s="191">
        <f>+O61/D60</f>
        <v>12891</v>
      </c>
      <c r="P62" s="192">
        <f>+O62/D59</f>
        <v>13.569473684210527</v>
      </c>
      <c r="Q62" s="193"/>
    </row>
    <row r="63" spans="1:17" ht="13.5" thickBot="1" x14ac:dyDescent="0.25">
      <c r="B63" s="845" t="s">
        <v>159</v>
      </c>
      <c r="C63" s="845"/>
      <c r="D63" s="845"/>
      <c r="E63" s="194">
        <f>+F63/F63</f>
        <v>1</v>
      </c>
      <c r="F63" s="195">
        <f>SUM(F55)</f>
        <v>12750</v>
      </c>
      <c r="G63" s="147">
        <f>+F63/$F$66</f>
        <v>0.97462161748968046</v>
      </c>
      <c r="H63" s="173"/>
      <c r="I63" s="181"/>
      <c r="K63" s="846"/>
      <c r="L63" s="847"/>
      <c r="M63" s="847"/>
      <c r="N63" s="847"/>
      <c r="O63" s="196"/>
      <c r="P63" s="197"/>
    </row>
    <row r="64" spans="1:17" ht="13.5" thickBot="1" x14ac:dyDescent="0.25">
      <c r="B64" s="848" t="s">
        <v>175</v>
      </c>
      <c r="C64" s="848"/>
      <c r="D64" s="848"/>
      <c r="E64" s="198">
        <v>0.02</v>
      </c>
      <c r="F64" s="195">
        <f>+F53*E64</f>
        <v>255</v>
      </c>
      <c r="G64" s="147">
        <f>+F64/$F$66</f>
        <v>1.9492432349793611E-2</v>
      </c>
      <c r="H64" s="159"/>
      <c r="I64" s="181"/>
      <c r="J64" s="199"/>
      <c r="O64" s="200"/>
      <c r="P64" s="157"/>
    </row>
    <row r="65" spans="2:13" ht="13.5" thickBot="1" x14ac:dyDescent="0.25">
      <c r="B65" s="849" t="s">
        <v>176</v>
      </c>
      <c r="C65" s="850"/>
      <c r="D65" s="201">
        <v>1</v>
      </c>
      <c r="E65" s="202">
        <v>77</v>
      </c>
      <c r="F65" s="195">
        <f>+E65*D65</f>
        <v>77</v>
      </c>
      <c r="G65" s="147">
        <f>+F65/$F$66</f>
        <v>5.8859501605259138E-3</v>
      </c>
      <c r="H65" s="159"/>
      <c r="I65" s="159"/>
      <c r="J65" s="149"/>
    </row>
    <row r="66" spans="2:13" ht="13.5" thickBot="1" x14ac:dyDescent="0.25">
      <c r="B66" s="851" t="s">
        <v>177</v>
      </c>
      <c r="C66" s="852"/>
      <c r="D66" s="852"/>
      <c r="E66" s="853"/>
      <c r="F66" s="172">
        <f>SUM(F63:F65)</f>
        <v>13082</v>
      </c>
      <c r="G66" s="147">
        <f>+F66/$F$66</f>
        <v>1</v>
      </c>
      <c r="H66" s="854"/>
      <c r="I66" s="159"/>
      <c r="J66" s="149"/>
      <c r="M66" s="132" t="s">
        <v>178</v>
      </c>
    </row>
    <row r="67" spans="2:13" x14ac:dyDescent="0.2">
      <c r="C67" s="154"/>
      <c r="D67" s="154"/>
      <c r="E67" s="204"/>
      <c r="F67" s="195"/>
      <c r="G67" s="147"/>
      <c r="H67" s="854"/>
      <c r="I67" s="203"/>
      <c r="J67" s="132"/>
      <c r="M67" s="132" t="s">
        <v>179</v>
      </c>
    </row>
    <row r="68" spans="2:13" ht="13.5" thickBot="1" x14ac:dyDescent="0.25">
      <c r="B68" s="839" t="s">
        <v>180</v>
      </c>
      <c r="C68" s="839"/>
      <c r="D68" s="839"/>
      <c r="E68" s="839"/>
      <c r="F68" s="839"/>
      <c r="G68" s="147"/>
      <c r="H68" s="206"/>
      <c r="I68" s="203"/>
      <c r="J68" s="132"/>
      <c r="M68" s="132" t="s">
        <v>181</v>
      </c>
    </row>
    <row r="69" spans="2:13" ht="13.5" thickBot="1" x14ac:dyDescent="0.25">
      <c r="B69" s="207" t="s">
        <v>182</v>
      </c>
      <c r="C69" s="208">
        <f>+F53</f>
        <v>12750</v>
      </c>
      <c r="D69" s="208">
        <f>+D58</f>
        <v>950</v>
      </c>
      <c r="E69" s="209">
        <f>+C69/D69</f>
        <v>13.421052631578947</v>
      </c>
      <c r="F69" s="147"/>
      <c r="G69" s="206"/>
      <c r="H69" s="149"/>
      <c r="I69" s="206"/>
      <c r="J69" s="132"/>
    </row>
    <row r="70" spans="2:13" x14ac:dyDescent="0.2">
      <c r="B70" s="210"/>
      <c r="C70" s="211"/>
      <c r="D70" s="212"/>
      <c r="E70" s="195"/>
      <c r="F70" s="147"/>
      <c r="G70" s="206"/>
      <c r="H70" s="149"/>
      <c r="I70" s="149"/>
      <c r="J70" s="132"/>
    </row>
    <row r="71" spans="2:13" x14ac:dyDescent="0.2">
      <c r="B71" s="207" t="s">
        <v>183</v>
      </c>
      <c r="C71" s="208">
        <f>SUM(F63:F64)</f>
        <v>13005</v>
      </c>
      <c r="D71" s="208">
        <f>+D58</f>
        <v>950</v>
      </c>
      <c r="E71" s="213">
        <f>+C71/D71</f>
        <v>13.689473684210526</v>
      </c>
      <c r="F71" s="147"/>
      <c r="G71" s="206"/>
      <c r="H71" s="149"/>
      <c r="I71" s="149"/>
      <c r="J71" s="132"/>
    </row>
    <row r="72" spans="2:13" x14ac:dyDescent="0.2">
      <c r="B72" s="207"/>
      <c r="C72" s="208"/>
      <c r="D72" s="208"/>
      <c r="E72" s="213"/>
      <c r="F72" s="147"/>
      <c r="G72" s="206"/>
      <c r="H72" s="149"/>
      <c r="I72" s="149"/>
      <c r="J72" s="132"/>
    </row>
    <row r="73" spans="2:13" ht="13.5" thickBot="1" x14ac:dyDescent="0.25">
      <c r="B73" s="207" t="s">
        <v>184</v>
      </c>
      <c r="C73" s="208">
        <f>+F65</f>
        <v>77</v>
      </c>
      <c r="D73" s="208">
        <f>+D58</f>
        <v>950</v>
      </c>
      <c r="E73" s="213">
        <f>+C73/D73</f>
        <v>8.1052631578947362E-2</v>
      </c>
      <c r="F73" s="147"/>
      <c r="G73" s="206"/>
      <c r="H73" s="149"/>
      <c r="I73" s="149"/>
      <c r="J73" s="132"/>
    </row>
    <row r="74" spans="2:13" ht="13.5" thickBot="1" x14ac:dyDescent="0.25">
      <c r="B74" s="207" t="s">
        <v>185</v>
      </c>
      <c r="C74" s="208">
        <f>+F56</f>
        <v>77</v>
      </c>
      <c r="D74" s="208">
        <f>+D73</f>
        <v>950</v>
      </c>
      <c r="E74" s="209">
        <f>+C74/D74</f>
        <v>8.1052631578947362E-2</v>
      </c>
      <c r="F74" s="147"/>
      <c r="G74" s="206"/>
      <c r="H74" s="149"/>
      <c r="I74" s="149"/>
      <c r="J74" s="132"/>
    </row>
    <row r="75" spans="2:13" ht="13.5" thickBot="1" x14ac:dyDescent="0.25">
      <c r="B75" s="171"/>
      <c r="C75" s="172"/>
      <c r="D75" s="172"/>
      <c r="E75" s="213"/>
      <c r="F75" s="147"/>
      <c r="G75" s="206"/>
      <c r="H75" s="149"/>
      <c r="I75" s="149"/>
      <c r="J75" s="132"/>
    </row>
    <row r="76" spans="2:13" ht="13.5" thickBot="1" x14ac:dyDescent="0.25">
      <c r="B76" s="207" t="s">
        <v>186</v>
      </c>
      <c r="C76" s="208">
        <f>+F54</f>
        <v>0</v>
      </c>
      <c r="D76" s="208">
        <f>+D74</f>
        <v>950</v>
      </c>
      <c r="E76" s="209">
        <f>+C76/D76</f>
        <v>0</v>
      </c>
      <c r="F76" s="147"/>
      <c r="G76" s="206"/>
      <c r="H76" s="149"/>
      <c r="I76" s="149"/>
      <c r="J76" s="149"/>
    </row>
    <row r="77" spans="2:13" ht="13.5" thickBot="1" x14ac:dyDescent="0.25">
      <c r="B77" s="171"/>
      <c r="C77" s="172"/>
      <c r="D77" s="172"/>
      <c r="E77" s="213"/>
      <c r="F77" s="147"/>
      <c r="G77" s="206"/>
      <c r="H77" s="149"/>
      <c r="I77" s="149"/>
    </row>
    <row r="78" spans="2:13" ht="13.5" thickBot="1" x14ac:dyDescent="0.25">
      <c r="B78" s="840" t="s">
        <v>187</v>
      </c>
      <c r="C78" s="841"/>
      <c r="D78" s="842"/>
      <c r="E78" s="209">
        <f>+E69+E74</f>
        <v>13.502105263157894</v>
      </c>
      <c r="G78" s="147"/>
      <c r="H78" s="206"/>
      <c r="I78" s="149"/>
      <c r="J78" s="213"/>
    </row>
    <row r="79" spans="2:13" x14ac:dyDescent="0.2">
      <c r="I79" s="206"/>
      <c r="J79" s="132"/>
    </row>
    <row r="80" spans="2:13" ht="13.5" thickBot="1" x14ac:dyDescent="0.25">
      <c r="B80" s="839" t="s">
        <v>188</v>
      </c>
      <c r="C80" s="839"/>
      <c r="D80" s="839"/>
      <c r="E80" s="839"/>
      <c r="F80" s="839"/>
      <c r="G80" s="147"/>
      <c r="H80" s="206"/>
      <c r="J80" s="132"/>
    </row>
    <row r="81" spans="1:10" ht="13.5" thickBot="1" x14ac:dyDescent="0.25">
      <c r="B81" s="207" t="s">
        <v>182</v>
      </c>
      <c r="C81" s="208">
        <f>+C69</f>
        <v>12750</v>
      </c>
      <c r="D81" s="208">
        <f>+D60</f>
        <v>1</v>
      </c>
      <c r="E81" s="209">
        <f>+C81/D81</f>
        <v>12750</v>
      </c>
      <c r="F81" s="147"/>
      <c r="G81" s="206"/>
      <c r="H81" s="149"/>
      <c r="I81" s="206"/>
      <c r="J81" s="132"/>
    </row>
    <row r="82" spans="1:10" x14ac:dyDescent="0.2">
      <c r="B82" s="210"/>
      <c r="C82" s="211"/>
      <c r="D82" s="212"/>
      <c r="E82" s="195"/>
      <c r="F82" s="147"/>
      <c r="G82" s="206"/>
      <c r="H82" s="149"/>
      <c r="I82" s="149"/>
      <c r="J82" s="132"/>
    </row>
    <row r="83" spans="1:10" x14ac:dyDescent="0.2">
      <c r="B83" s="207" t="s">
        <v>183</v>
      </c>
      <c r="C83" s="208">
        <f>+C71</f>
        <v>13005</v>
      </c>
      <c r="D83" s="208">
        <f>+D60</f>
        <v>1</v>
      </c>
      <c r="E83" s="213">
        <f>+C83/D83</f>
        <v>13005</v>
      </c>
      <c r="F83" s="147"/>
      <c r="G83" s="206"/>
      <c r="H83" s="149"/>
      <c r="I83" s="149"/>
      <c r="J83" s="132"/>
    </row>
    <row r="84" spans="1:10" x14ac:dyDescent="0.2">
      <c r="B84" s="207"/>
      <c r="C84" s="208"/>
      <c r="D84" s="208"/>
      <c r="E84" s="213"/>
      <c r="F84" s="147"/>
      <c r="G84" s="206"/>
      <c r="H84" s="149"/>
      <c r="I84" s="149"/>
      <c r="J84" s="132"/>
    </row>
    <row r="85" spans="1:10" ht="13.5" thickBot="1" x14ac:dyDescent="0.25">
      <c r="B85" s="207" t="s">
        <v>185</v>
      </c>
      <c r="C85" s="208">
        <f>+C73</f>
        <v>77</v>
      </c>
      <c r="D85" s="208">
        <f>+D60</f>
        <v>1</v>
      </c>
      <c r="E85" s="213">
        <f>+C85/D85</f>
        <v>77</v>
      </c>
      <c r="F85" s="215"/>
      <c r="G85" s="205"/>
      <c r="H85" s="131"/>
      <c r="I85" s="149"/>
    </row>
    <row r="86" spans="1:10" ht="13.5" thickBot="1" x14ac:dyDescent="0.25">
      <c r="B86" s="207" t="s">
        <v>185</v>
      </c>
      <c r="C86" s="208">
        <f>+C74</f>
        <v>77</v>
      </c>
      <c r="D86" s="208">
        <f>+D85</f>
        <v>1</v>
      </c>
      <c r="E86" s="209">
        <f>+C86/D86</f>
        <v>77</v>
      </c>
      <c r="F86" s="214"/>
      <c r="G86" s="205"/>
      <c r="H86" s="131"/>
      <c r="I86" s="131"/>
    </row>
    <row r="87" spans="1:10" x14ac:dyDescent="0.2">
      <c r="I87" s="131"/>
    </row>
    <row r="88" spans="1:10" x14ac:dyDescent="0.2">
      <c r="A88" s="843"/>
      <c r="B88" s="843"/>
      <c r="C88" s="216"/>
      <c r="D88" s="216"/>
      <c r="E88" s="217"/>
      <c r="G88" s="218"/>
    </row>
    <row r="89" spans="1:10" x14ac:dyDescent="0.2">
      <c r="A89" s="150"/>
      <c r="B89" s="219"/>
      <c r="C89" s="220"/>
      <c r="D89" s="220"/>
      <c r="E89" s="221"/>
      <c r="G89" s="218"/>
    </row>
    <row r="90" spans="1:10" x14ac:dyDescent="0.2">
      <c r="A90" s="150"/>
      <c r="B90" s="219"/>
      <c r="C90" s="222"/>
      <c r="D90" s="222"/>
      <c r="E90" s="150"/>
      <c r="G90" s="218"/>
    </row>
    <row r="91" spans="1:10" x14ac:dyDescent="0.2">
      <c r="A91" s="150"/>
      <c r="B91" s="219"/>
      <c r="C91" s="223"/>
      <c r="D91" s="223"/>
      <c r="E91" s="150"/>
      <c r="G91" s="218"/>
    </row>
    <row r="92" spans="1:10" ht="13.5" thickBot="1" x14ac:dyDescent="0.25"/>
    <row r="93" spans="1:10" ht="15.75" thickBot="1" x14ac:dyDescent="0.25">
      <c r="B93" s="224" t="s">
        <v>202</v>
      </c>
      <c r="C93" s="225" t="s">
        <v>203</v>
      </c>
      <c r="D93" s="225" t="s">
        <v>204</v>
      </c>
      <c r="E93" s="225" t="s">
        <v>205</v>
      </c>
      <c r="F93" s="225" t="s">
        <v>206</v>
      </c>
      <c r="G93" s="225" t="s">
        <v>207</v>
      </c>
    </row>
    <row r="94" spans="1:10" ht="15.75" thickBot="1" x14ac:dyDescent="0.25">
      <c r="B94" s="226"/>
      <c r="C94" s="227"/>
      <c r="D94" s="227"/>
      <c r="E94" s="228"/>
      <c r="F94" s="228"/>
      <c r="G94" s="228"/>
    </row>
    <row r="95" spans="1:10" ht="15.75" thickBot="1" x14ac:dyDescent="0.25">
      <c r="B95" s="229" t="s">
        <v>208</v>
      </c>
      <c r="C95" s="227" t="s">
        <v>209</v>
      </c>
      <c r="D95" s="228" t="s">
        <v>210</v>
      </c>
      <c r="E95" s="228" t="s">
        <v>211</v>
      </c>
      <c r="F95" s="228" t="s">
        <v>212</v>
      </c>
      <c r="G95" s="228" t="s">
        <v>213</v>
      </c>
    </row>
    <row r="96" spans="1:10" ht="15.75" thickBot="1" x14ac:dyDescent="0.25">
      <c r="B96" s="229" t="s">
        <v>214</v>
      </c>
      <c r="C96" s="227" t="s">
        <v>215</v>
      </c>
      <c r="D96" s="228" t="s">
        <v>210</v>
      </c>
      <c r="E96" s="228" t="s">
        <v>211</v>
      </c>
      <c r="F96" s="228" t="s">
        <v>216</v>
      </c>
      <c r="G96" s="228">
        <v>13141.59</v>
      </c>
    </row>
    <row r="97" spans="2:11" ht="15.75" thickBot="1" x14ac:dyDescent="0.25">
      <c r="B97" s="229" t="s">
        <v>65</v>
      </c>
      <c r="C97" s="227" t="s">
        <v>66</v>
      </c>
      <c r="D97" s="228" t="s">
        <v>217</v>
      </c>
      <c r="E97" s="228" t="s">
        <v>218</v>
      </c>
      <c r="F97" s="228" t="s">
        <v>219</v>
      </c>
      <c r="G97" s="228" t="s">
        <v>220</v>
      </c>
    </row>
    <row r="98" spans="2:11" ht="15.75" thickBot="1" x14ac:dyDescent="0.25">
      <c r="B98" s="229" t="s">
        <v>71</v>
      </c>
      <c r="C98" s="227" t="s">
        <v>221</v>
      </c>
      <c r="D98" s="228" t="s">
        <v>217</v>
      </c>
      <c r="E98" s="228" t="s">
        <v>218</v>
      </c>
      <c r="F98" s="228" t="s">
        <v>222</v>
      </c>
      <c r="G98" s="228">
        <v>7683.18</v>
      </c>
      <c r="K98" s="132">
        <f>7683.18/1400</f>
        <v>5.4879857142857142</v>
      </c>
    </row>
    <row r="99" spans="2:11" ht="15.75" thickBot="1" x14ac:dyDescent="0.25">
      <c r="B99" s="229" t="s">
        <v>73</v>
      </c>
      <c r="C99" s="227" t="s">
        <v>223</v>
      </c>
      <c r="D99" s="228" t="s">
        <v>217</v>
      </c>
      <c r="E99" s="228" t="s">
        <v>218</v>
      </c>
      <c r="F99" s="228" t="s">
        <v>224</v>
      </c>
      <c r="G99" s="228" t="s">
        <v>225</v>
      </c>
    </row>
    <row r="100" spans="2:11" ht="15.75" thickBot="1" x14ac:dyDescent="0.25">
      <c r="B100" s="229" t="s">
        <v>75</v>
      </c>
      <c r="C100" s="227"/>
      <c r="D100" s="228" t="s">
        <v>217</v>
      </c>
      <c r="E100" s="228" t="s">
        <v>218</v>
      </c>
      <c r="F100" s="228" t="s">
        <v>224</v>
      </c>
      <c r="G100" s="228" t="s">
        <v>226</v>
      </c>
    </row>
    <row r="101" spans="2:11" ht="15.75" thickBot="1" x14ac:dyDescent="0.25">
      <c r="B101" s="230" t="s">
        <v>64</v>
      </c>
      <c r="C101" s="231"/>
      <c r="D101" s="232" t="s">
        <v>217</v>
      </c>
      <c r="E101" s="232" t="s">
        <v>218</v>
      </c>
      <c r="F101" s="232"/>
      <c r="G101" s="232"/>
    </row>
    <row r="102" spans="2:11" ht="15.75" thickBot="1" x14ac:dyDescent="0.25">
      <c r="B102" s="229" t="s">
        <v>227</v>
      </c>
      <c r="C102" s="227"/>
      <c r="D102" s="228" t="s">
        <v>217</v>
      </c>
      <c r="E102" s="228" t="s">
        <v>228</v>
      </c>
      <c r="F102" s="228" t="s">
        <v>224</v>
      </c>
      <c r="G102" s="228" t="s">
        <v>229</v>
      </c>
    </row>
    <row r="103" spans="2:11" ht="15.75" thickBot="1" x14ac:dyDescent="0.25">
      <c r="B103" s="229" t="s">
        <v>230</v>
      </c>
      <c r="C103" s="227"/>
      <c r="D103" s="228" t="s">
        <v>217</v>
      </c>
      <c r="E103" s="228" t="s">
        <v>228</v>
      </c>
      <c r="F103" s="228" t="s">
        <v>224</v>
      </c>
      <c r="G103" s="228" t="s">
        <v>231</v>
      </c>
    </row>
    <row r="104" spans="2:11" ht="15.75" x14ac:dyDescent="0.2">
      <c r="B104" s="233"/>
      <c r="C104"/>
      <c r="D104"/>
      <c r="E104"/>
      <c r="F104"/>
      <c r="G104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C235-A11F-497A-952F-DEDD0258CAF9}">
  <dimension ref="A1:I32"/>
  <sheetViews>
    <sheetView topLeftCell="A5" workbookViewId="0">
      <selection activeCell="C12" sqref="C12"/>
    </sheetView>
  </sheetViews>
  <sheetFormatPr baseColWidth="10" defaultRowHeight="12.75" x14ac:dyDescent="0.2"/>
  <cols>
    <col min="2" max="2" width="14.5703125" customWidth="1"/>
    <col min="3" max="3" width="43" customWidth="1"/>
    <col min="8" max="8" width="22.42578125" customWidth="1"/>
    <col min="9" max="9" width="19" customWidth="1"/>
  </cols>
  <sheetData>
    <row r="1" spans="1:9" ht="18" x14ac:dyDescent="0.25">
      <c r="A1" s="905"/>
      <c r="B1" s="906"/>
      <c r="C1" s="911" t="s">
        <v>58</v>
      </c>
      <c r="D1" s="911"/>
      <c r="E1" s="911"/>
      <c r="F1" s="911"/>
      <c r="G1" s="911"/>
      <c r="H1" s="66" t="s">
        <v>57</v>
      </c>
      <c r="I1" s="65"/>
    </row>
    <row r="2" spans="1:9" ht="18" x14ac:dyDescent="0.25">
      <c r="A2" s="907"/>
      <c r="B2" s="908"/>
      <c r="C2" s="912" t="s">
        <v>56</v>
      </c>
      <c r="D2" s="912"/>
      <c r="E2" s="912"/>
      <c r="F2" s="912"/>
      <c r="G2" s="912"/>
      <c r="H2" s="64" t="s">
        <v>55</v>
      </c>
      <c r="I2" s="63"/>
    </row>
    <row r="3" spans="1:9" ht="18.75" x14ac:dyDescent="0.2">
      <c r="A3" s="907"/>
      <c r="B3" s="908"/>
      <c r="C3" s="913" t="s">
        <v>67</v>
      </c>
      <c r="D3" s="914"/>
      <c r="E3" s="914"/>
      <c r="F3" s="914"/>
      <c r="G3" s="914"/>
      <c r="H3" s="915" t="s">
        <v>54</v>
      </c>
      <c r="I3" s="901"/>
    </row>
    <row r="4" spans="1:9" ht="18" x14ac:dyDescent="0.25">
      <c r="A4" s="907"/>
      <c r="B4" s="908"/>
      <c r="C4" s="62" t="s">
        <v>53</v>
      </c>
      <c r="D4" s="903" t="s">
        <v>52</v>
      </c>
      <c r="E4" s="903"/>
      <c r="F4" s="903"/>
      <c r="G4" s="903"/>
      <c r="H4" s="915"/>
      <c r="I4" s="902"/>
    </row>
    <row r="5" spans="1:9" ht="18.75" thickBot="1" x14ac:dyDescent="0.3">
      <c r="A5" s="909"/>
      <c r="B5" s="910"/>
      <c r="C5" s="61" t="s">
        <v>51</v>
      </c>
      <c r="D5" s="904" t="s">
        <v>50</v>
      </c>
      <c r="E5" s="904"/>
      <c r="F5" s="904"/>
      <c r="G5" s="904"/>
      <c r="H5" s="916"/>
      <c r="I5" s="902"/>
    </row>
    <row r="6" spans="1:9" ht="18.75" thickBot="1" x14ac:dyDescent="0.3">
      <c r="A6" s="893" t="s">
        <v>49</v>
      </c>
      <c r="B6" s="893"/>
      <c r="C6" s="893"/>
      <c r="D6" s="894" t="s">
        <v>68</v>
      </c>
      <c r="E6" s="894"/>
      <c r="F6" s="894"/>
      <c r="G6" s="895" t="s">
        <v>47</v>
      </c>
      <c r="H6" s="895"/>
      <c r="I6" s="60" t="s">
        <v>68</v>
      </c>
    </row>
    <row r="7" spans="1:9" ht="36" x14ac:dyDescent="0.2">
      <c r="A7" s="896" t="s">
        <v>45</v>
      </c>
      <c r="B7" s="896" t="s">
        <v>45</v>
      </c>
      <c r="C7" s="898" t="s">
        <v>44</v>
      </c>
      <c r="D7" s="898" t="s">
        <v>43</v>
      </c>
      <c r="E7" s="898" t="s">
        <v>42</v>
      </c>
      <c r="F7" s="898"/>
      <c r="G7" s="898" t="s">
        <v>41</v>
      </c>
      <c r="H7" s="898"/>
      <c r="I7" s="58" t="s">
        <v>40</v>
      </c>
    </row>
    <row r="8" spans="1:9" ht="36.75" thickBot="1" x14ac:dyDescent="0.3">
      <c r="A8" s="897"/>
      <c r="B8" s="897"/>
      <c r="C8" s="899"/>
      <c r="D8" s="900"/>
      <c r="E8" s="57" t="s">
        <v>11</v>
      </c>
      <c r="F8" s="55" t="s">
        <v>39</v>
      </c>
      <c r="G8" s="56" t="s">
        <v>11</v>
      </c>
      <c r="H8" s="55" t="s">
        <v>39</v>
      </c>
      <c r="I8" s="54" t="s">
        <v>38</v>
      </c>
    </row>
    <row r="9" spans="1:9" ht="18" x14ac:dyDescent="0.25">
      <c r="A9" s="35"/>
      <c r="B9" s="3" t="s">
        <v>69</v>
      </c>
      <c r="C9" s="3" t="s">
        <v>70</v>
      </c>
      <c r="D9" s="35" t="s">
        <v>33</v>
      </c>
      <c r="E9" s="35">
        <v>800</v>
      </c>
      <c r="F9" s="35" t="s">
        <v>2</v>
      </c>
      <c r="G9" s="14"/>
      <c r="H9" s="39"/>
      <c r="I9" s="38"/>
    </row>
    <row r="10" spans="1:9" ht="18" x14ac:dyDescent="0.25">
      <c r="A10" s="34"/>
      <c r="B10" s="51" t="s">
        <v>13</v>
      </c>
      <c r="C10" s="50" t="s">
        <v>71</v>
      </c>
      <c r="D10" s="35"/>
      <c r="E10" s="35" t="s">
        <v>72</v>
      </c>
      <c r="F10" s="35" t="s">
        <v>2</v>
      </c>
      <c r="G10" s="14"/>
      <c r="H10" s="39"/>
      <c r="I10" s="38"/>
    </row>
    <row r="11" spans="1:9" ht="18" x14ac:dyDescent="0.25">
      <c r="A11" s="35"/>
      <c r="B11" s="51" t="s">
        <v>13</v>
      </c>
      <c r="C11" s="68" t="s">
        <v>73</v>
      </c>
      <c r="D11" s="35" t="s">
        <v>74</v>
      </c>
      <c r="E11" s="35">
        <v>50</v>
      </c>
      <c r="F11" s="35" t="s">
        <v>2</v>
      </c>
      <c r="G11" s="11"/>
      <c r="H11" s="10"/>
      <c r="I11" s="38"/>
    </row>
    <row r="12" spans="1:9" ht="18" x14ac:dyDescent="0.25">
      <c r="A12" s="35"/>
      <c r="B12" s="51" t="s">
        <v>13</v>
      </c>
      <c r="C12" s="68" t="s">
        <v>75</v>
      </c>
      <c r="D12" s="35" t="s">
        <v>76</v>
      </c>
      <c r="E12" s="35">
        <v>65</v>
      </c>
      <c r="F12" s="35" t="s">
        <v>2</v>
      </c>
      <c r="G12" s="67" t="s">
        <v>77</v>
      </c>
      <c r="H12" s="10"/>
      <c r="I12" s="38"/>
    </row>
    <row r="13" spans="1:9" ht="18" x14ac:dyDescent="0.25">
      <c r="A13" s="33"/>
      <c r="B13" s="34"/>
      <c r="C13" s="33"/>
      <c r="D13" s="32"/>
      <c r="E13" s="31"/>
      <c r="F13" s="30"/>
      <c r="G13" s="29"/>
      <c r="H13" s="29"/>
      <c r="I13" s="28"/>
    </row>
    <row r="14" spans="1:9" ht="18.75" thickBot="1" x14ac:dyDescent="0.3">
      <c r="A14" s="27"/>
      <c r="B14" s="26"/>
      <c r="C14" s="23"/>
      <c r="D14" s="23"/>
      <c r="E14" s="25"/>
      <c r="F14" s="24"/>
      <c r="G14" s="23"/>
      <c r="H14" s="23"/>
      <c r="I14" s="22"/>
    </row>
    <row r="15" spans="1:9" ht="18.75" thickBot="1" x14ac:dyDescent="0.3">
      <c r="A15" s="21"/>
      <c r="B15" s="20"/>
      <c r="C15" s="16"/>
      <c r="D15" s="19" t="s">
        <v>11</v>
      </c>
      <c r="E15" s="18" t="s">
        <v>10</v>
      </c>
      <c r="F15" s="17"/>
      <c r="G15" s="16"/>
      <c r="H15" s="16"/>
      <c r="I15" s="15"/>
    </row>
    <row r="16" spans="1:9" ht="18" x14ac:dyDescent="0.25">
      <c r="A16" s="887" t="s">
        <v>9</v>
      </c>
      <c r="B16" s="888"/>
      <c r="C16" s="889"/>
      <c r="D16" s="14">
        <v>850</v>
      </c>
      <c r="E16" s="13" t="s">
        <v>2</v>
      </c>
      <c r="F16" s="890"/>
      <c r="G16" s="890"/>
      <c r="H16" s="891"/>
      <c r="I16" s="892"/>
    </row>
    <row r="17" spans="1:9" ht="18" x14ac:dyDescent="0.25">
      <c r="A17" s="879" t="s">
        <v>8</v>
      </c>
      <c r="B17" s="880"/>
      <c r="C17" s="881"/>
      <c r="D17" s="12">
        <v>4</v>
      </c>
      <c r="E17" s="10" t="s">
        <v>7</v>
      </c>
      <c r="F17" s="882"/>
      <c r="G17" s="882"/>
      <c r="H17" s="883"/>
      <c r="I17" s="884"/>
    </row>
    <row r="18" spans="1:9" ht="18" x14ac:dyDescent="0.25">
      <c r="A18" s="879" t="s">
        <v>6</v>
      </c>
      <c r="B18" s="880"/>
      <c r="C18" s="881"/>
      <c r="D18" s="11">
        <v>1</v>
      </c>
      <c r="E18" s="10" t="s">
        <v>5</v>
      </c>
      <c r="F18" s="882"/>
      <c r="G18" s="882"/>
      <c r="H18" s="883"/>
      <c r="I18" s="884"/>
    </row>
    <row r="19" spans="1:9" ht="18" x14ac:dyDescent="0.25">
      <c r="A19" s="879" t="s">
        <v>4</v>
      </c>
      <c r="B19" s="880"/>
      <c r="C19" s="881"/>
      <c r="D19" s="11">
        <v>850</v>
      </c>
      <c r="E19" s="10" t="s">
        <v>2</v>
      </c>
      <c r="F19" s="885"/>
      <c r="G19" s="886"/>
      <c r="H19" s="883"/>
      <c r="I19" s="884"/>
    </row>
    <row r="20" spans="1:9" ht="18.75" thickBot="1" x14ac:dyDescent="0.3">
      <c r="A20" s="858" t="s">
        <v>3</v>
      </c>
      <c r="B20" s="859"/>
      <c r="C20" s="860"/>
      <c r="D20" s="8">
        <f>SUM(E9:E12)-D16</f>
        <v>65</v>
      </c>
      <c r="E20" s="7" t="s">
        <v>2</v>
      </c>
      <c r="F20" s="861"/>
      <c r="G20" s="861"/>
      <c r="H20" s="862"/>
      <c r="I20" s="863"/>
    </row>
    <row r="21" spans="1:9" ht="18.75" thickBot="1" x14ac:dyDescent="0.3">
      <c r="A21" s="864" t="s">
        <v>1</v>
      </c>
      <c r="B21" s="865"/>
      <c r="C21" s="865"/>
      <c r="D21" s="865"/>
      <c r="E21" s="865"/>
      <c r="F21" s="865"/>
      <c r="G21" s="865"/>
      <c r="H21" s="865"/>
      <c r="I21" s="866"/>
    </row>
    <row r="22" spans="1:9" ht="18" x14ac:dyDescent="0.25">
      <c r="A22" s="867" t="s">
        <v>78</v>
      </c>
      <c r="B22" s="868"/>
      <c r="C22" s="868"/>
      <c r="D22" s="868"/>
      <c r="E22" s="868"/>
      <c r="F22" s="868"/>
      <c r="G22" s="868"/>
      <c r="H22" s="868"/>
      <c r="I22" s="869"/>
    </row>
    <row r="23" spans="1:9" ht="18" x14ac:dyDescent="0.25">
      <c r="A23" s="3" t="s">
        <v>79</v>
      </c>
      <c r="B23" s="5"/>
      <c r="C23" s="5"/>
      <c r="D23" s="5"/>
      <c r="E23" s="3"/>
      <c r="F23" s="5"/>
      <c r="G23" s="4"/>
      <c r="H23" s="3"/>
      <c r="I23" s="3"/>
    </row>
    <row r="24" spans="1:9" ht="18" x14ac:dyDescent="0.25">
      <c r="A24" s="870"/>
      <c r="B24" s="871"/>
      <c r="C24" s="871"/>
      <c r="D24" s="871"/>
      <c r="E24" s="871"/>
      <c r="F24" s="871"/>
      <c r="G24" s="871"/>
      <c r="H24" s="871"/>
      <c r="I24" s="872"/>
    </row>
    <row r="25" spans="1:9" ht="18" x14ac:dyDescent="0.25">
      <c r="A25" s="870"/>
      <c r="B25" s="871"/>
      <c r="C25" s="871"/>
      <c r="D25" s="871"/>
      <c r="E25" s="871"/>
      <c r="F25" s="871"/>
      <c r="G25" s="871"/>
      <c r="H25" s="871"/>
      <c r="I25" s="872"/>
    </row>
    <row r="26" spans="1:9" ht="18" x14ac:dyDescent="0.25">
      <c r="A26" s="870"/>
      <c r="B26" s="871"/>
      <c r="C26" s="871"/>
      <c r="D26" s="871"/>
      <c r="E26" s="871"/>
      <c r="F26" s="871"/>
      <c r="G26" s="871"/>
      <c r="H26" s="871"/>
      <c r="I26" s="872"/>
    </row>
    <row r="27" spans="1:9" ht="18" x14ac:dyDescent="0.25">
      <c r="A27" s="870"/>
      <c r="B27" s="871"/>
      <c r="C27" s="871"/>
      <c r="D27" s="871"/>
      <c r="E27" s="871"/>
      <c r="F27" s="871"/>
      <c r="G27" s="871"/>
      <c r="H27" s="871"/>
      <c r="I27" s="872"/>
    </row>
    <row r="28" spans="1:9" ht="18" x14ac:dyDescent="0.25">
      <c r="A28" s="873"/>
      <c r="B28" s="874"/>
      <c r="C28" s="874"/>
      <c r="D28" s="874"/>
      <c r="E28" s="874"/>
      <c r="F28" s="874"/>
      <c r="G28" s="874"/>
      <c r="H28" s="874"/>
      <c r="I28" s="875"/>
    </row>
    <row r="29" spans="1:9" ht="18" x14ac:dyDescent="0.25">
      <c r="A29" s="876" t="s">
        <v>0</v>
      </c>
      <c r="B29" s="877"/>
      <c r="C29" s="877"/>
      <c r="D29" s="877"/>
      <c r="E29" s="877"/>
      <c r="F29" s="877"/>
      <c r="G29" s="877"/>
      <c r="H29" s="877"/>
      <c r="I29" s="878"/>
    </row>
    <row r="30" spans="1:9" ht="18.75" thickBot="1" x14ac:dyDescent="0.3">
      <c r="A30" s="855"/>
      <c r="B30" s="856"/>
      <c r="C30" s="856"/>
      <c r="D30" s="856"/>
      <c r="E30" s="856"/>
      <c r="F30" s="856"/>
      <c r="G30" s="856"/>
      <c r="H30" s="856"/>
      <c r="I30" s="857"/>
    </row>
    <row r="32" spans="1:9" x14ac:dyDescent="0.2">
      <c r="A32" s="2"/>
      <c r="B32" s="2"/>
      <c r="C32" s="2"/>
      <c r="D32" s="1"/>
      <c r="E32" s="1"/>
      <c r="F32" s="1"/>
      <c r="G32" s="1"/>
      <c r="H32" s="1"/>
      <c r="I32" s="1"/>
    </row>
  </sheetData>
  <mergeCells count="41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16:C16"/>
    <mergeCell ref="F16:G16"/>
    <mergeCell ref="H16:I16"/>
    <mergeCell ref="A17:C17"/>
    <mergeCell ref="F17:G17"/>
    <mergeCell ref="H17:I17"/>
    <mergeCell ref="A18:C18"/>
    <mergeCell ref="F18:G18"/>
    <mergeCell ref="H18:I18"/>
    <mergeCell ref="A19:C19"/>
    <mergeCell ref="F19:G19"/>
    <mergeCell ref="H19:I19"/>
    <mergeCell ref="A30:I30"/>
    <mergeCell ref="A20:C20"/>
    <mergeCell ref="F20:G20"/>
    <mergeCell ref="H20:I20"/>
    <mergeCell ref="A21:I21"/>
    <mergeCell ref="A22:I22"/>
    <mergeCell ref="A24:I24"/>
    <mergeCell ref="A25:I25"/>
    <mergeCell ref="A26:I26"/>
    <mergeCell ref="A27:I27"/>
    <mergeCell ref="A28:I28"/>
    <mergeCell ref="A29:I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91E3A-7599-462E-9F89-1D4697344158}">
  <dimension ref="A1:I64"/>
  <sheetViews>
    <sheetView workbookViewId="0">
      <selection activeCell="D17" sqref="D17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20.42578125" bestFit="1" customWidth="1"/>
  </cols>
  <sheetData>
    <row r="1" spans="1:9" ht="15" x14ac:dyDescent="0.2">
      <c r="A1" s="926"/>
      <c r="B1" s="927"/>
      <c r="C1" s="932" t="s">
        <v>58</v>
      </c>
      <c r="D1" s="932"/>
      <c r="E1" s="932"/>
      <c r="F1" s="932"/>
      <c r="G1" s="932"/>
      <c r="H1" s="235" t="s">
        <v>57</v>
      </c>
      <c r="I1" s="236" t="s">
        <v>234</v>
      </c>
    </row>
    <row r="2" spans="1:9" ht="16.5" thickBot="1" x14ac:dyDescent="0.3">
      <c r="A2" s="928"/>
      <c r="B2" s="929"/>
      <c r="C2" s="933" t="s">
        <v>56</v>
      </c>
      <c r="D2" s="933"/>
      <c r="E2" s="933"/>
      <c r="F2" s="933"/>
      <c r="G2" s="933"/>
      <c r="H2" s="238" t="s">
        <v>55</v>
      </c>
      <c r="I2" s="239" t="s">
        <v>235</v>
      </c>
    </row>
    <row r="3" spans="1:9" ht="16.149999999999999" customHeight="1" thickBot="1" x14ac:dyDescent="0.3">
      <c r="A3" s="928"/>
      <c r="B3" s="929"/>
      <c r="C3" s="934" t="s">
        <v>236</v>
      </c>
      <c r="D3" s="935"/>
      <c r="E3" s="935"/>
      <c r="F3" s="935"/>
      <c r="G3" s="936"/>
      <c r="H3" s="937" t="s">
        <v>54</v>
      </c>
      <c r="I3" s="917">
        <v>45609</v>
      </c>
    </row>
    <row r="4" spans="1:9" ht="13.5" x14ac:dyDescent="0.25">
      <c r="A4" s="928"/>
      <c r="B4" s="929"/>
      <c r="C4" s="240" t="s">
        <v>53</v>
      </c>
      <c r="D4" s="920" t="s">
        <v>237</v>
      </c>
      <c r="E4" s="921"/>
      <c r="F4" s="921"/>
      <c r="G4" s="922"/>
      <c r="H4" s="938"/>
      <c r="I4" s="918"/>
    </row>
    <row r="5" spans="1:9" ht="14.25" thickBot="1" x14ac:dyDescent="0.3">
      <c r="A5" s="930"/>
      <c r="B5" s="931"/>
      <c r="C5" s="241" t="s">
        <v>51</v>
      </c>
      <c r="D5" s="923" t="s">
        <v>125</v>
      </c>
      <c r="E5" s="924"/>
      <c r="F5" s="924"/>
      <c r="G5" s="925"/>
      <c r="H5" s="939"/>
      <c r="I5" s="919"/>
    </row>
    <row r="6" spans="1:9" ht="18.75" thickBot="1" x14ac:dyDescent="0.3">
      <c r="A6" s="893" t="s">
        <v>49</v>
      </c>
      <c r="B6" s="893"/>
      <c r="C6" s="893"/>
      <c r="D6" s="940" t="s">
        <v>238</v>
      </c>
      <c r="E6" s="940"/>
      <c r="F6" s="940"/>
      <c r="G6" s="895" t="s">
        <v>47</v>
      </c>
      <c r="H6" s="895"/>
      <c r="I6" s="242" t="s">
        <v>239</v>
      </c>
    </row>
    <row r="7" spans="1:9" x14ac:dyDescent="0.2">
      <c r="A7" s="941" t="s">
        <v>45</v>
      </c>
      <c r="B7" s="943" t="s">
        <v>128</v>
      </c>
      <c r="C7" s="945" t="s">
        <v>44</v>
      </c>
      <c r="D7" s="945" t="s">
        <v>43</v>
      </c>
      <c r="E7" s="945" t="s">
        <v>42</v>
      </c>
      <c r="F7" s="945"/>
      <c r="G7" s="945" t="s">
        <v>41</v>
      </c>
      <c r="H7" s="945"/>
      <c r="I7" s="243" t="s">
        <v>40</v>
      </c>
    </row>
    <row r="8" spans="1:9" ht="26.25" thickBot="1" x14ac:dyDescent="0.25">
      <c r="A8" s="942"/>
      <c r="B8" s="944"/>
      <c r="C8" s="946"/>
      <c r="D8" s="946"/>
      <c r="E8" s="244" t="s">
        <v>11</v>
      </c>
      <c r="F8" s="245" t="s">
        <v>39</v>
      </c>
      <c r="G8" s="244" t="s">
        <v>11</v>
      </c>
      <c r="H8" s="245" t="s">
        <v>39</v>
      </c>
      <c r="I8" s="246" t="s">
        <v>38</v>
      </c>
    </row>
    <row r="9" spans="1:9" ht="15.75" thickBot="1" x14ac:dyDescent="0.3">
      <c r="A9" s="247"/>
      <c r="B9" s="248"/>
      <c r="C9" s="249" t="s">
        <v>129</v>
      </c>
      <c r="D9" s="250"/>
      <c r="E9" s="251"/>
      <c r="F9" s="252"/>
      <c r="G9" s="251"/>
      <c r="H9" s="252"/>
      <c r="I9" s="253"/>
    </row>
    <row r="10" spans="1:9" ht="16.149999999999999" customHeight="1" thickBot="1" x14ac:dyDescent="0.3">
      <c r="A10" s="254">
        <v>1110414</v>
      </c>
      <c r="B10" s="255" t="s">
        <v>240</v>
      </c>
      <c r="C10" s="256" t="s">
        <v>241</v>
      </c>
      <c r="D10" s="257" t="s">
        <v>242</v>
      </c>
      <c r="E10" s="258">
        <v>15200</v>
      </c>
      <c r="F10" s="259" t="s">
        <v>2</v>
      </c>
      <c r="G10" s="260"/>
      <c r="H10" s="261"/>
      <c r="I10" s="253"/>
    </row>
    <row r="11" spans="1:9" ht="15" x14ac:dyDescent="0.25">
      <c r="A11" s="254" t="s">
        <v>243</v>
      </c>
      <c r="B11" s="255" t="s">
        <v>84</v>
      </c>
      <c r="C11" s="256" t="s">
        <v>244</v>
      </c>
      <c r="D11" s="257" t="s">
        <v>242</v>
      </c>
      <c r="E11" s="262">
        <v>15200</v>
      </c>
      <c r="F11" s="262" t="s">
        <v>2</v>
      </c>
      <c r="G11" s="263"/>
      <c r="H11" s="261"/>
      <c r="I11" s="253"/>
    </row>
    <row r="12" spans="1:9" ht="15" x14ac:dyDescent="0.25">
      <c r="A12" s="254" t="s">
        <v>245</v>
      </c>
      <c r="B12" s="255" t="s">
        <v>246</v>
      </c>
      <c r="C12" s="256" t="s">
        <v>247</v>
      </c>
      <c r="D12" s="262" t="s">
        <v>248</v>
      </c>
      <c r="E12" s="262">
        <v>3040</v>
      </c>
      <c r="F12" s="262" t="s">
        <v>2</v>
      </c>
      <c r="G12" s="263"/>
      <c r="H12" s="261"/>
      <c r="I12" s="253"/>
    </row>
    <row r="13" spans="1:9" ht="15" x14ac:dyDescent="0.25">
      <c r="A13" s="254" t="s">
        <v>249</v>
      </c>
      <c r="B13" s="255" t="s">
        <v>250</v>
      </c>
      <c r="C13" s="256" t="s">
        <v>251</v>
      </c>
      <c r="D13" s="262" t="s">
        <v>13</v>
      </c>
      <c r="E13" s="262">
        <v>380</v>
      </c>
      <c r="F13" s="262" t="s">
        <v>2</v>
      </c>
      <c r="G13" s="263"/>
      <c r="H13" s="261"/>
      <c r="I13" s="253"/>
    </row>
    <row r="14" spans="1:9" ht="15" x14ac:dyDescent="0.25">
      <c r="A14" s="254" t="s">
        <v>252</v>
      </c>
      <c r="B14" s="255" t="s">
        <v>253</v>
      </c>
      <c r="C14" s="256" t="s">
        <v>254</v>
      </c>
      <c r="D14" s="262" t="s">
        <v>255</v>
      </c>
      <c r="E14" s="262">
        <v>56</v>
      </c>
      <c r="F14" s="262" t="s">
        <v>2</v>
      </c>
      <c r="G14" s="263"/>
      <c r="H14" s="261"/>
      <c r="I14" s="253"/>
    </row>
    <row r="15" spans="1:9" ht="15" x14ac:dyDescent="0.25">
      <c r="A15" s="255" t="s">
        <v>256</v>
      </c>
      <c r="B15" s="255" t="s">
        <v>257</v>
      </c>
      <c r="C15" s="81" t="s">
        <v>258</v>
      </c>
      <c r="D15" s="262" t="s">
        <v>255</v>
      </c>
      <c r="E15" s="262">
        <v>4</v>
      </c>
      <c r="F15" s="262" t="s">
        <v>2</v>
      </c>
      <c r="G15" s="263"/>
      <c r="H15" s="261"/>
      <c r="I15" s="253"/>
    </row>
    <row r="16" spans="1:9" ht="15" x14ac:dyDescent="0.25">
      <c r="A16" s="264"/>
      <c r="B16" s="265"/>
      <c r="C16" s="266"/>
      <c r="D16" s="267"/>
      <c r="E16" s="268"/>
      <c r="F16" s="269"/>
      <c r="G16" s="263"/>
      <c r="H16" s="261"/>
      <c r="I16" s="253"/>
    </row>
    <row r="17" spans="1:9" ht="15" x14ac:dyDescent="0.25">
      <c r="A17" s="270"/>
      <c r="B17" s="265"/>
      <c r="C17" s="266"/>
      <c r="D17" s="268"/>
      <c r="E17" s="268"/>
      <c r="F17" s="269"/>
      <c r="G17" s="263"/>
      <c r="H17" s="261"/>
      <c r="I17" s="253"/>
    </row>
    <row r="18" spans="1:9" ht="15" x14ac:dyDescent="0.25">
      <c r="A18" s="270"/>
      <c r="B18" s="265"/>
      <c r="C18" s="266"/>
      <c r="D18" s="268"/>
      <c r="E18" s="268"/>
      <c r="F18" s="269"/>
      <c r="G18" s="263"/>
      <c r="H18" s="261"/>
      <c r="I18" s="253"/>
    </row>
    <row r="19" spans="1:9" ht="15" x14ac:dyDescent="0.25">
      <c r="A19" s="270"/>
      <c r="B19" s="265"/>
      <c r="C19" s="266"/>
      <c r="D19" s="267"/>
      <c r="E19" s="268"/>
      <c r="F19" s="269"/>
      <c r="G19" s="263"/>
      <c r="H19" s="261"/>
      <c r="I19" s="253"/>
    </row>
    <row r="20" spans="1:9" ht="15" x14ac:dyDescent="0.25">
      <c r="A20" s="271"/>
      <c r="B20" s="272"/>
      <c r="C20" s="273"/>
      <c r="D20" s="274"/>
      <c r="E20" s="275"/>
      <c r="F20" s="276"/>
      <c r="G20" s="263"/>
      <c r="H20" s="269"/>
      <c r="I20" s="253"/>
    </row>
    <row r="21" spans="1:9" ht="15" x14ac:dyDescent="0.25">
      <c r="A21" s="271"/>
      <c r="B21" s="272"/>
      <c r="C21" s="277"/>
      <c r="D21" s="274"/>
      <c r="E21" s="278"/>
      <c r="F21" s="278"/>
      <c r="G21" s="263"/>
      <c r="H21" s="269"/>
      <c r="I21" s="253"/>
    </row>
    <row r="22" spans="1:9" ht="15" x14ac:dyDescent="0.25">
      <c r="A22" s="279"/>
      <c r="B22" s="280"/>
      <c r="C22" s="281"/>
      <c r="D22" s="282"/>
      <c r="E22" s="283"/>
      <c r="F22" s="283"/>
      <c r="G22" s="284"/>
      <c r="H22" s="269"/>
      <c r="I22" s="253"/>
    </row>
    <row r="23" spans="1:9" ht="15" x14ac:dyDescent="0.25">
      <c r="A23" s="279"/>
      <c r="B23" s="280"/>
      <c r="C23" s="281"/>
      <c r="D23" s="282"/>
      <c r="E23" s="283"/>
      <c r="F23" s="283"/>
      <c r="G23" s="284"/>
      <c r="H23" s="269"/>
      <c r="I23" s="253"/>
    </row>
    <row r="24" spans="1:9" ht="15" x14ac:dyDescent="0.25">
      <c r="A24" s="279"/>
      <c r="B24" s="280"/>
      <c r="C24" s="281"/>
      <c r="D24" s="282"/>
      <c r="E24" s="283"/>
      <c r="F24" s="283"/>
      <c r="G24" s="284"/>
      <c r="H24" s="269"/>
      <c r="I24" s="253"/>
    </row>
    <row r="25" spans="1:9" ht="15.75" x14ac:dyDescent="0.25">
      <c r="A25" s="285"/>
      <c r="B25" s="285"/>
      <c r="D25" s="286"/>
      <c r="E25" s="287"/>
      <c r="F25" s="287"/>
      <c r="G25" s="251"/>
      <c r="H25" s="269"/>
      <c r="I25" s="253"/>
    </row>
    <row r="26" spans="1:9" ht="15" x14ac:dyDescent="0.25">
      <c r="A26" s="255"/>
      <c r="B26" s="255"/>
      <c r="C26" s="288"/>
      <c r="D26" s="286"/>
      <c r="E26" s="286"/>
      <c r="F26" s="289"/>
      <c r="G26" s="251"/>
      <c r="H26" s="269"/>
      <c r="I26" s="253"/>
    </row>
    <row r="27" spans="1:9" ht="15.75" x14ac:dyDescent="0.25">
      <c r="A27" s="290"/>
      <c r="B27" s="291"/>
      <c r="C27" s="292" t="s">
        <v>126</v>
      </c>
      <c r="D27" s="293" t="s">
        <v>259</v>
      </c>
      <c r="E27" s="294"/>
      <c r="F27" s="289"/>
      <c r="G27" s="251"/>
      <c r="H27" s="269"/>
      <c r="I27" s="253"/>
    </row>
    <row r="28" spans="1:9" ht="15" x14ac:dyDescent="0.25">
      <c r="A28" s="295"/>
      <c r="B28" s="296"/>
      <c r="C28" s="297"/>
      <c r="D28" s="298" t="s">
        <v>259</v>
      </c>
      <c r="E28" s="286"/>
      <c r="F28" s="289"/>
      <c r="G28" s="251"/>
      <c r="H28" s="269"/>
      <c r="I28" s="253"/>
    </row>
    <row r="29" spans="1:9" ht="15" x14ac:dyDescent="0.25">
      <c r="A29" s="255"/>
      <c r="B29" s="255"/>
      <c r="C29" s="288"/>
      <c r="D29" s="298" t="s">
        <v>259</v>
      </c>
      <c r="E29" s="286"/>
      <c r="F29" s="289"/>
      <c r="G29" s="251"/>
      <c r="H29" s="269"/>
      <c r="I29" s="253"/>
    </row>
    <row r="30" spans="1:9" ht="15" x14ac:dyDescent="0.25">
      <c r="A30" s="299"/>
      <c r="B30" s="299"/>
      <c r="C30" s="297"/>
      <c r="D30" s="298" t="s">
        <v>259</v>
      </c>
      <c r="E30" s="286"/>
      <c r="F30" s="289"/>
      <c r="G30" s="251"/>
      <c r="H30" s="269"/>
      <c r="I30" s="253"/>
    </row>
    <row r="31" spans="1:9" ht="15" x14ac:dyDescent="0.25">
      <c r="A31" s="255"/>
      <c r="B31" s="255"/>
      <c r="C31" s="288"/>
      <c r="D31" s="286" t="s">
        <v>259</v>
      </c>
      <c r="E31" s="293"/>
      <c r="F31" s="289"/>
      <c r="G31" s="251"/>
      <c r="H31" s="269"/>
      <c r="I31" s="253"/>
    </row>
    <row r="32" spans="1:9" ht="15" x14ac:dyDescent="0.25">
      <c r="A32" s="255"/>
      <c r="B32" s="255"/>
      <c r="C32" s="288"/>
      <c r="D32" s="300" t="s">
        <v>259</v>
      </c>
      <c r="E32" s="301"/>
      <c r="F32" s="302"/>
      <c r="G32" s="251"/>
      <c r="H32" s="269"/>
      <c r="I32" s="253"/>
    </row>
    <row r="33" spans="1:9" ht="15.75" x14ac:dyDescent="0.25">
      <c r="A33" s="303"/>
      <c r="B33" s="304"/>
      <c r="C33" s="305" t="s">
        <v>239</v>
      </c>
      <c r="D33" s="306" t="s">
        <v>259</v>
      </c>
      <c r="E33" s="251"/>
      <c r="F33" s="252"/>
      <c r="G33" s="251"/>
      <c r="H33" s="269"/>
      <c r="I33" s="253"/>
    </row>
    <row r="34" spans="1:9" ht="15.75" x14ac:dyDescent="0.25">
      <c r="A34" s="264"/>
      <c r="B34" s="265"/>
      <c r="C34" s="266"/>
      <c r="D34" s="267"/>
      <c r="E34" s="307"/>
      <c r="F34" s="308"/>
      <c r="G34" s="263"/>
      <c r="H34" s="269"/>
      <c r="I34" s="253"/>
    </row>
    <row r="35" spans="1:9" ht="15" x14ac:dyDescent="0.25">
      <c r="A35" s="309"/>
      <c r="B35" s="310"/>
      <c r="C35" s="311"/>
      <c r="D35" s="312"/>
      <c r="E35" s="313"/>
      <c r="F35" s="314"/>
      <c r="G35" s="315"/>
      <c r="H35" s="269"/>
      <c r="I35" s="253"/>
    </row>
    <row r="36" spans="1:9" ht="15" x14ac:dyDescent="0.25">
      <c r="A36" s="316"/>
      <c r="B36" s="317"/>
      <c r="C36" s="318"/>
      <c r="D36" s="274"/>
      <c r="E36" s="319"/>
      <c r="F36" s="320"/>
      <c r="G36" s="251"/>
      <c r="H36" s="269"/>
      <c r="I36" s="253"/>
    </row>
    <row r="37" spans="1:9" ht="15" x14ac:dyDescent="0.25">
      <c r="A37" s="321"/>
      <c r="B37" s="321"/>
      <c r="C37" s="288"/>
      <c r="D37" s="293"/>
      <c r="E37" s="286"/>
      <c r="F37" s="289"/>
      <c r="G37" s="251"/>
      <c r="H37" s="252"/>
      <c r="I37" s="253"/>
    </row>
    <row r="38" spans="1:9" ht="15" x14ac:dyDescent="0.25">
      <c r="A38" s="322"/>
      <c r="B38" s="323"/>
      <c r="C38" s="324"/>
      <c r="D38" s="293"/>
      <c r="E38" s="286"/>
      <c r="F38" s="289"/>
      <c r="G38" s="251"/>
      <c r="H38" s="252"/>
      <c r="I38" s="253"/>
    </row>
    <row r="39" spans="1:9" ht="15.75" x14ac:dyDescent="0.25">
      <c r="A39" s="322"/>
      <c r="B39" s="323"/>
      <c r="C39" s="324"/>
      <c r="D39" s="325"/>
      <c r="E39" s="286"/>
      <c r="F39" s="289"/>
      <c r="G39" s="326"/>
      <c r="H39" s="293"/>
      <c r="I39" s="253"/>
    </row>
    <row r="40" spans="1:9" ht="15.75" x14ac:dyDescent="0.25">
      <c r="A40" s="290"/>
      <c r="B40" s="291"/>
      <c r="C40" s="327"/>
      <c r="D40" s="325"/>
      <c r="E40" s="286"/>
      <c r="F40" s="289"/>
      <c r="G40" s="286"/>
      <c r="H40" s="293"/>
      <c r="I40" s="253"/>
    </row>
    <row r="41" spans="1:9" ht="15.75" x14ac:dyDescent="0.25">
      <c r="A41" s="290"/>
      <c r="B41" s="291"/>
      <c r="C41" s="327"/>
      <c r="D41" s="325"/>
      <c r="E41" s="286"/>
      <c r="F41" s="289"/>
      <c r="G41" s="328"/>
      <c r="H41" s="289"/>
      <c r="I41" s="253"/>
    </row>
    <row r="42" spans="1:9" ht="15.75" x14ac:dyDescent="0.25">
      <c r="A42" s="290"/>
      <c r="B42" s="291"/>
      <c r="C42" s="327"/>
      <c r="D42" s="293"/>
      <c r="E42" s="293"/>
      <c r="F42" s="289"/>
      <c r="G42" s="325"/>
      <c r="H42" s="325"/>
      <c r="I42" s="253"/>
    </row>
    <row r="43" spans="1:9" ht="14.25" thickBot="1" x14ac:dyDescent="0.3">
      <c r="A43" s="329"/>
      <c r="B43" s="330"/>
      <c r="C43" s="331"/>
      <c r="D43" s="331"/>
      <c r="E43" s="332"/>
      <c r="F43" s="333"/>
      <c r="G43" s="331"/>
      <c r="H43" s="331"/>
      <c r="I43" s="334"/>
    </row>
    <row r="44" spans="1:9" ht="14.25" thickBot="1" x14ac:dyDescent="0.3">
      <c r="A44" s="335"/>
      <c r="B44" s="336"/>
      <c r="C44" s="337"/>
      <c r="D44" s="338" t="s">
        <v>11</v>
      </c>
      <c r="E44" s="339" t="s">
        <v>10</v>
      </c>
      <c r="F44" s="340"/>
      <c r="G44" s="337"/>
      <c r="H44" s="337"/>
      <c r="I44" s="341"/>
    </row>
    <row r="45" spans="1:9" ht="13.5" x14ac:dyDescent="0.25">
      <c r="A45" s="947" t="s">
        <v>9</v>
      </c>
      <c r="B45" s="948"/>
      <c r="C45" s="949"/>
      <c r="D45" s="342">
        <v>26540</v>
      </c>
      <c r="E45" s="343" t="s">
        <v>2</v>
      </c>
      <c r="F45" s="950" t="s">
        <v>104</v>
      </c>
      <c r="G45" s="950"/>
      <c r="H45" s="951"/>
      <c r="I45" s="952"/>
    </row>
    <row r="46" spans="1:9" ht="13.5" x14ac:dyDescent="0.25">
      <c r="A46" s="953" t="s">
        <v>105</v>
      </c>
      <c r="B46" s="954"/>
      <c r="C46" s="955"/>
      <c r="D46" s="344">
        <v>15</v>
      </c>
      <c r="E46" s="345" t="s">
        <v>260</v>
      </c>
      <c r="F46" s="956" t="s">
        <v>106</v>
      </c>
      <c r="G46" s="956"/>
      <c r="H46" s="957"/>
      <c r="I46" s="958"/>
    </row>
    <row r="47" spans="1:9" ht="13.5" x14ac:dyDescent="0.25">
      <c r="A47" s="953" t="s">
        <v>6</v>
      </c>
      <c r="B47" s="954"/>
      <c r="C47" s="955"/>
      <c r="D47" s="345">
        <v>1</v>
      </c>
      <c r="E47" s="345" t="s">
        <v>261</v>
      </c>
      <c r="F47" s="956" t="s">
        <v>107</v>
      </c>
      <c r="G47" s="956"/>
      <c r="H47" s="957"/>
      <c r="I47" s="958"/>
    </row>
    <row r="48" spans="1:9" ht="13.5" x14ac:dyDescent="0.25">
      <c r="A48" s="953" t="s">
        <v>4</v>
      </c>
      <c r="B48" s="954"/>
      <c r="C48" s="955"/>
      <c r="D48" s="345">
        <v>26540</v>
      </c>
      <c r="E48" s="345" t="s">
        <v>2</v>
      </c>
      <c r="F48" s="959" t="s">
        <v>132</v>
      </c>
      <c r="G48" s="960"/>
      <c r="H48" s="957"/>
      <c r="I48" s="958"/>
    </row>
    <row r="49" spans="1:9" ht="14.25" thickBot="1" x14ac:dyDescent="0.3">
      <c r="A49" s="964" t="s">
        <v>3</v>
      </c>
      <c r="B49" s="965"/>
      <c r="C49" s="966"/>
      <c r="D49" s="346">
        <v>7340</v>
      </c>
      <c r="E49" s="347" t="s">
        <v>2</v>
      </c>
      <c r="F49" s="967"/>
      <c r="G49" s="967"/>
      <c r="H49" s="968"/>
      <c r="I49" s="969"/>
    </row>
    <row r="50" spans="1:9" ht="13.5" thickBot="1" x14ac:dyDescent="0.25">
      <c r="A50" s="970" t="s">
        <v>1</v>
      </c>
      <c r="B50" s="971"/>
      <c r="C50" s="971"/>
      <c r="D50" s="971"/>
      <c r="E50" s="971"/>
      <c r="F50" s="971"/>
      <c r="G50" s="971"/>
      <c r="H50" s="971"/>
      <c r="I50" s="972"/>
    </row>
    <row r="51" spans="1:9" ht="13.5" x14ac:dyDescent="0.25">
      <c r="A51" s="973" t="s">
        <v>262</v>
      </c>
      <c r="B51" s="974"/>
      <c r="C51" s="974"/>
      <c r="D51" s="974"/>
      <c r="E51" s="974"/>
      <c r="F51" s="974"/>
      <c r="G51" s="974"/>
      <c r="H51" s="974"/>
      <c r="I51" s="975"/>
    </row>
    <row r="52" spans="1:9" ht="13.5" x14ac:dyDescent="0.25">
      <c r="A52" s="976" t="s">
        <v>263</v>
      </c>
      <c r="B52" s="977"/>
      <c r="C52" s="977"/>
      <c r="D52" s="977"/>
      <c r="E52" s="977"/>
      <c r="F52" s="977"/>
      <c r="G52" s="977"/>
      <c r="H52" s="977"/>
      <c r="I52" s="978"/>
    </row>
    <row r="53" spans="1:9" ht="13.5" x14ac:dyDescent="0.25">
      <c r="A53" s="976" t="s">
        <v>264</v>
      </c>
      <c r="B53" s="977"/>
      <c r="C53" s="977"/>
      <c r="D53" s="977"/>
      <c r="E53" s="977"/>
      <c r="F53" s="977"/>
      <c r="G53" s="977"/>
      <c r="H53" s="977"/>
      <c r="I53" s="978"/>
    </row>
    <row r="54" spans="1:9" ht="13.5" x14ac:dyDescent="0.25">
      <c r="A54" s="976" t="s">
        <v>265</v>
      </c>
      <c r="B54" s="977"/>
      <c r="C54" s="977"/>
      <c r="D54" s="977"/>
      <c r="E54" s="977"/>
      <c r="F54" s="977"/>
      <c r="G54" s="977"/>
      <c r="H54" s="977"/>
      <c r="I54" s="978"/>
    </row>
    <row r="55" spans="1:9" ht="15" x14ac:dyDescent="0.25">
      <c r="A55" s="979"/>
      <c r="B55" s="980"/>
      <c r="C55" s="980"/>
      <c r="D55" s="980"/>
      <c r="E55" s="980"/>
      <c r="F55" s="980"/>
      <c r="G55" s="980"/>
      <c r="H55" s="980"/>
      <c r="I55" s="981"/>
    </row>
    <row r="56" spans="1:9" ht="15" x14ac:dyDescent="0.25">
      <c r="A56" s="982"/>
      <c r="B56" s="983"/>
      <c r="C56" s="983"/>
      <c r="D56" s="983"/>
      <c r="E56" s="983"/>
      <c r="F56" s="983"/>
      <c r="G56" s="983"/>
      <c r="H56" s="983"/>
      <c r="I56" s="984"/>
    </row>
    <row r="57" spans="1:9" ht="14.25" x14ac:dyDescent="0.2">
      <c r="A57" s="961"/>
      <c r="B57" s="962"/>
      <c r="C57" s="962"/>
      <c r="D57" s="962"/>
      <c r="E57" s="962"/>
      <c r="F57" s="962"/>
      <c r="G57" s="962"/>
      <c r="H57" s="962"/>
      <c r="I57" s="963"/>
    </row>
    <row r="58" spans="1:9" ht="14.25" x14ac:dyDescent="0.2">
      <c r="A58" s="961"/>
      <c r="B58" s="962"/>
      <c r="C58" s="962"/>
      <c r="D58" s="962"/>
      <c r="E58" s="962"/>
      <c r="F58" s="962"/>
      <c r="G58" s="962"/>
      <c r="H58" s="962"/>
      <c r="I58" s="963"/>
    </row>
    <row r="59" spans="1:9" ht="18" customHeight="1" thickBot="1" x14ac:dyDescent="0.25">
      <c r="A59" s="985"/>
      <c r="B59" s="986"/>
      <c r="C59" s="986"/>
      <c r="D59" s="986"/>
      <c r="E59" s="986"/>
      <c r="F59" s="986"/>
      <c r="G59" s="986"/>
      <c r="H59" s="986"/>
      <c r="I59" s="987"/>
    </row>
    <row r="60" spans="1:9" ht="15" x14ac:dyDescent="0.25">
      <c r="A60" s="234"/>
      <c r="B60" s="234"/>
      <c r="C60" s="234"/>
      <c r="D60" s="234"/>
      <c r="E60" s="234"/>
      <c r="F60" s="234"/>
      <c r="G60" s="234"/>
      <c r="H60" s="234"/>
      <c r="I60" s="234"/>
    </row>
    <row r="61" spans="1:9" ht="14.25" thickBot="1" x14ac:dyDescent="0.3">
      <c r="A61" s="988"/>
      <c r="B61" s="989"/>
      <c r="C61" s="989"/>
      <c r="D61" s="989"/>
      <c r="E61" s="989"/>
      <c r="F61" s="989"/>
      <c r="G61" s="989"/>
      <c r="H61" s="989"/>
      <c r="I61" s="990"/>
    </row>
    <row r="62" spans="1:9" x14ac:dyDescent="0.2">
      <c r="A62" s="991" t="s">
        <v>0</v>
      </c>
      <c r="B62" s="992"/>
      <c r="C62" s="992"/>
      <c r="D62" s="992"/>
      <c r="E62" s="992"/>
      <c r="F62" s="992"/>
      <c r="G62" s="992"/>
      <c r="H62" s="992"/>
      <c r="I62" s="992"/>
    </row>
    <row r="63" spans="1:9" ht="13.5" x14ac:dyDescent="0.25">
      <c r="A63" s="993"/>
      <c r="B63" s="994"/>
      <c r="C63" s="994"/>
      <c r="D63" s="994"/>
      <c r="E63" s="994"/>
      <c r="F63" s="994"/>
      <c r="G63" s="994"/>
      <c r="H63" s="994"/>
      <c r="I63" s="994"/>
    </row>
    <row r="64" spans="1:9" ht="13.5" x14ac:dyDescent="0.25">
      <c r="A64" s="993"/>
      <c r="B64" s="994"/>
      <c r="C64" s="994"/>
      <c r="D64" s="994"/>
      <c r="E64" s="994"/>
      <c r="F64" s="994"/>
      <c r="G64" s="994"/>
      <c r="H64" s="994"/>
      <c r="I64" s="994"/>
    </row>
  </sheetData>
  <mergeCells count="46">
    <mergeCell ref="A59:I59"/>
    <mergeCell ref="A61:I61"/>
    <mergeCell ref="A62:I62"/>
    <mergeCell ref="A63:I63"/>
    <mergeCell ref="A64:I64"/>
    <mergeCell ref="A58:I58"/>
    <mergeCell ref="A49:C49"/>
    <mergeCell ref="F49:G49"/>
    <mergeCell ref="H49:I49"/>
    <mergeCell ref="A50:I50"/>
    <mergeCell ref="A51:I51"/>
    <mergeCell ref="A52:I52"/>
    <mergeCell ref="A53:I53"/>
    <mergeCell ref="A54:I54"/>
    <mergeCell ref="A55:I55"/>
    <mergeCell ref="A56:I56"/>
    <mergeCell ref="A57:I57"/>
    <mergeCell ref="A47:C47"/>
    <mergeCell ref="F47:G47"/>
    <mergeCell ref="H47:I47"/>
    <mergeCell ref="A48:C48"/>
    <mergeCell ref="F48:G48"/>
    <mergeCell ref="H48:I48"/>
    <mergeCell ref="A45:C45"/>
    <mergeCell ref="F45:G45"/>
    <mergeCell ref="H45:I45"/>
    <mergeCell ref="A46:C46"/>
    <mergeCell ref="F46:G46"/>
    <mergeCell ref="H46:I4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950A4-64DC-4773-AB74-2205C5B56B7D}">
  <dimension ref="A1:Q91"/>
  <sheetViews>
    <sheetView workbookViewId="0">
      <selection activeCell="M34" sqref="M34"/>
    </sheetView>
  </sheetViews>
  <sheetFormatPr baseColWidth="10" defaultColWidth="8.42578125" defaultRowHeight="12.75" x14ac:dyDescent="0.2"/>
  <cols>
    <col min="1" max="1" width="10" style="132" bestFit="1" customWidth="1"/>
    <col min="2" max="2" width="44.28515625" style="132" bestFit="1" customWidth="1"/>
    <col min="3" max="3" width="10.42578125" style="132" bestFit="1" customWidth="1"/>
    <col min="4" max="4" width="10.42578125" style="132" customWidth="1"/>
    <col min="5" max="5" width="11" style="132" customWidth="1"/>
    <col min="6" max="6" width="9.5703125" style="132" bestFit="1" customWidth="1"/>
    <col min="7" max="7" width="10.85546875" style="214" customWidth="1"/>
    <col min="8" max="8" width="10.42578125" style="205" bestFit="1" customWidth="1"/>
    <col min="9" max="9" width="4.5703125" style="205" customWidth="1"/>
    <col min="10" max="10" width="1.85546875" style="131" customWidth="1"/>
    <col min="11" max="11" width="7" style="132" bestFit="1" customWidth="1"/>
    <col min="12" max="12" width="6.28515625" style="132" customWidth="1"/>
    <col min="13" max="13" width="20.42578125" style="132" customWidth="1"/>
    <col min="14" max="14" width="6.42578125" style="132" bestFit="1" customWidth="1"/>
    <col min="15" max="16" width="8.42578125" style="132"/>
    <col min="17" max="17" width="3.28515625" style="132" customWidth="1"/>
    <col min="18" max="16384" width="8.42578125" style="132"/>
  </cols>
  <sheetData>
    <row r="1" spans="1:10" ht="27.75" customHeight="1" x14ac:dyDescent="0.2">
      <c r="A1" s="127"/>
      <c r="B1" s="127"/>
      <c r="C1" s="127"/>
      <c r="D1" s="127"/>
      <c r="E1" s="128" t="s">
        <v>138</v>
      </c>
      <c r="F1" s="129" t="s">
        <v>139</v>
      </c>
      <c r="G1" s="129" t="s">
        <v>140</v>
      </c>
      <c r="H1" s="129" t="s">
        <v>141</v>
      </c>
      <c r="I1" s="130"/>
    </row>
    <row r="2" spans="1:10" ht="30.75" customHeight="1" x14ac:dyDescent="0.2">
      <c r="A2" s="127"/>
      <c r="B2" s="127"/>
      <c r="C2" s="127"/>
      <c r="D2" s="127"/>
      <c r="E2" s="133">
        <f>IFERROR(O62,"")</f>
        <v>51812.370389610383</v>
      </c>
      <c r="F2" s="133">
        <f>IFERROR(H53,"")</f>
        <v>51392.759999999995</v>
      </c>
      <c r="G2" s="133">
        <f>IFERROR(H54,"")</f>
        <v>90</v>
      </c>
      <c r="H2" s="133">
        <f>IFERROR(H56,"")</f>
        <v>180</v>
      </c>
      <c r="I2" s="134"/>
    </row>
    <row r="3" spans="1:10" ht="15" customHeight="1" x14ac:dyDescent="0.2">
      <c r="A3" s="127"/>
      <c r="B3" s="127"/>
      <c r="C3" s="127"/>
      <c r="D3" s="127"/>
      <c r="E3" s="127"/>
      <c r="F3" s="135"/>
      <c r="G3" s="135"/>
      <c r="H3" s="135"/>
      <c r="I3" s="135"/>
    </row>
    <row r="4" spans="1:10" ht="24.75" customHeight="1" thickBot="1" x14ac:dyDescent="0.25">
      <c r="A4" s="825"/>
      <c r="B4" s="825"/>
      <c r="C4" s="825"/>
      <c r="D4" s="825"/>
      <c r="E4" s="825"/>
      <c r="F4" s="825"/>
      <c r="G4" s="825"/>
      <c r="H4" s="825"/>
      <c r="I4" s="136"/>
    </row>
    <row r="5" spans="1:10" ht="19.5" customHeight="1" thickBot="1" x14ac:dyDescent="0.25">
      <c r="A5" s="826" t="s">
        <v>142</v>
      </c>
      <c r="B5" s="827"/>
      <c r="C5" s="827"/>
      <c r="D5" s="827"/>
      <c r="E5" s="827"/>
      <c r="F5" s="827"/>
      <c r="G5" s="827"/>
      <c r="H5" s="828"/>
      <c r="I5" s="137"/>
    </row>
    <row r="6" spans="1:10" ht="19.5" thickBot="1" x14ac:dyDescent="0.25">
      <c r="A6" s="137"/>
      <c r="B6" s="137"/>
      <c r="C6" s="137"/>
      <c r="D6" s="137"/>
      <c r="E6" s="137"/>
      <c r="F6" s="829" t="s">
        <v>143</v>
      </c>
      <c r="G6" s="829"/>
      <c r="H6" s="138">
        <f ca="1">TODAY()</f>
        <v>45890</v>
      </c>
      <c r="I6" s="138"/>
    </row>
    <row r="7" spans="1:10" ht="26.25" thickBot="1" x14ac:dyDescent="0.25">
      <c r="A7" s="139" t="s">
        <v>144</v>
      </c>
      <c r="B7" s="140" t="s">
        <v>145</v>
      </c>
      <c r="C7" s="140" t="s">
        <v>144</v>
      </c>
      <c r="D7" s="141" t="s">
        <v>146</v>
      </c>
      <c r="E7" s="141" t="s">
        <v>147</v>
      </c>
      <c r="F7" s="141" t="s">
        <v>148</v>
      </c>
      <c r="G7" s="141" t="s">
        <v>149</v>
      </c>
      <c r="H7" s="142" t="s">
        <v>150</v>
      </c>
      <c r="I7" s="143"/>
    </row>
    <row r="8" spans="1:10" ht="13.5" x14ac:dyDescent="0.25">
      <c r="A8" s="144">
        <v>3</v>
      </c>
      <c r="B8" s="132" t="s">
        <v>71</v>
      </c>
      <c r="C8" s="145">
        <f>+A8</f>
        <v>3</v>
      </c>
      <c r="D8" s="146" t="s">
        <v>191</v>
      </c>
      <c r="E8" s="146">
        <v>5.48</v>
      </c>
      <c r="F8" s="146">
        <f>IFERROR(C8*E8,"")</f>
        <v>16.440000000000001</v>
      </c>
      <c r="G8" s="147">
        <f t="shared" ref="G8:G14" si="0">IFERROR(F8/$F$66,"")</f>
        <v>3.1307955424601471E-4</v>
      </c>
      <c r="H8" s="148" t="s">
        <v>192</v>
      </c>
      <c r="I8" s="148"/>
      <c r="J8" s="149"/>
    </row>
    <row r="9" spans="1:10" ht="13.5" x14ac:dyDescent="0.25">
      <c r="A9" s="144">
        <v>580</v>
      </c>
      <c r="B9" s="132" t="s">
        <v>73</v>
      </c>
      <c r="C9" s="145">
        <f t="shared" ref="C9:C14" si="1">+A9</f>
        <v>580</v>
      </c>
      <c r="D9" s="146" t="s">
        <v>191</v>
      </c>
      <c r="E9" s="146">
        <v>34.200000000000003</v>
      </c>
      <c r="F9" s="146">
        <f t="shared" ref="F9:F14" si="2">IFERROR(C9*E9,"")</f>
        <v>19836</v>
      </c>
      <c r="G9" s="147">
        <f t="shared" si="0"/>
        <v>0.37775219209391403</v>
      </c>
      <c r="H9" s="148"/>
      <c r="I9" s="148"/>
      <c r="J9" s="149"/>
    </row>
    <row r="10" spans="1:10" ht="13.5" x14ac:dyDescent="0.25">
      <c r="A10" s="144">
        <v>153</v>
      </c>
      <c r="B10" s="132" t="s">
        <v>75</v>
      </c>
      <c r="C10" s="145">
        <f t="shared" si="1"/>
        <v>153</v>
      </c>
      <c r="D10" s="146" t="s">
        <v>193</v>
      </c>
      <c r="E10" s="146">
        <v>71.44</v>
      </c>
      <c r="F10" s="146">
        <f t="shared" si="2"/>
        <v>10930.32</v>
      </c>
      <c r="G10" s="147">
        <f t="shared" si="0"/>
        <v>0.20815448378140505</v>
      </c>
      <c r="H10" s="148"/>
      <c r="I10" s="148"/>
      <c r="J10" s="149"/>
    </row>
    <row r="11" spans="1:10" ht="13.5" hidden="1" x14ac:dyDescent="0.25">
      <c r="A11" s="144"/>
      <c r="B11" s="132" t="str">
        <f>IFERROR(VLOOKUP(H11,'[1]Consolidado MP Planta'!$A$2:$M$823,3,0),"")</f>
        <v/>
      </c>
      <c r="C11" s="145">
        <f t="shared" si="1"/>
        <v>0</v>
      </c>
      <c r="D11" s="146" t="str">
        <f>IFERROR(VLOOKUP(H11,'[1]Consolidado MP Planta'!$A$2:$M$823,13,0),"")</f>
        <v/>
      </c>
      <c r="E11" s="146" t="str">
        <f>IFERROR(VLOOKUP(H11,'[1]Consolidado MP Planta'!$A$2:$M$823,12,0),"")</f>
        <v/>
      </c>
      <c r="F11" s="146" t="str">
        <f t="shared" si="2"/>
        <v/>
      </c>
      <c r="G11" s="147" t="str">
        <f t="shared" si="0"/>
        <v/>
      </c>
      <c r="H11" s="148"/>
      <c r="I11" s="148"/>
      <c r="J11" s="149"/>
    </row>
    <row r="12" spans="1:10" ht="13.5" hidden="1" x14ac:dyDescent="0.25">
      <c r="A12" s="144"/>
      <c r="B12" s="132" t="str">
        <f>IFERROR(VLOOKUP(H12,'[1]Consolidado MP Planta'!$A$2:$M$823,3,0),"")</f>
        <v/>
      </c>
      <c r="C12" s="145">
        <f t="shared" si="1"/>
        <v>0</v>
      </c>
      <c r="D12" s="146" t="str">
        <f>IFERROR(VLOOKUP(H12,'[1]Consolidado MP Planta'!$A$2:$M$823,13,0),"")</f>
        <v/>
      </c>
      <c r="E12" s="146" t="str">
        <f>IFERROR(VLOOKUP(H12,'[1]Consolidado MP Planta'!$A$2:$M$823,12,0),"")</f>
        <v/>
      </c>
      <c r="F12" s="146" t="str">
        <f t="shared" si="2"/>
        <v/>
      </c>
      <c r="G12" s="147" t="str">
        <f t="shared" si="0"/>
        <v/>
      </c>
      <c r="H12" s="148"/>
      <c r="I12" s="148"/>
      <c r="J12" s="149"/>
    </row>
    <row r="13" spans="1:10" ht="13.5" hidden="1" x14ac:dyDescent="0.25">
      <c r="A13" s="144"/>
      <c r="B13" s="132" t="str">
        <f>IFERROR(VLOOKUP(H13,'[1]Consolidado MP Planta'!$A$2:$M$823,3,0),"")</f>
        <v/>
      </c>
      <c r="C13" s="145">
        <f t="shared" si="1"/>
        <v>0</v>
      </c>
      <c r="D13" s="146" t="str">
        <f>IFERROR(VLOOKUP(H13,'[1]Consolidado MP Planta'!$A$2:$M$823,13,0),"")</f>
        <v/>
      </c>
      <c r="E13" s="146" t="str">
        <f>IFERROR(VLOOKUP(H13,'[1]Consolidado MP Planta'!$A$2:$M$823,12,0),"")</f>
        <v/>
      </c>
      <c r="F13" s="146" t="str">
        <f t="shared" si="2"/>
        <v/>
      </c>
      <c r="G13" s="147" t="str">
        <f t="shared" si="0"/>
        <v/>
      </c>
      <c r="H13" s="148"/>
      <c r="I13" s="148"/>
      <c r="J13" s="149"/>
    </row>
    <row r="14" spans="1:10" ht="13.5" hidden="1" x14ac:dyDescent="0.25">
      <c r="A14" s="144"/>
      <c r="B14" s="132" t="str">
        <f>IFERROR(VLOOKUP(H14,'[1]Consolidado MP Planta'!$A$2:$M$823,3,0),"")</f>
        <v/>
      </c>
      <c r="C14" s="145">
        <f t="shared" si="1"/>
        <v>0</v>
      </c>
      <c r="D14" s="146" t="str">
        <f>IFERROR(VLOOKUP(H14,'[1]Consolidado MP Planta'!$A$2:$M$823,13,0),"")</f>
        <v/>
      </c>
      <c r="E14" s="146" t="str">
        <f>IFERROR(VLOOKUP(H14,'[1]Consolidado MP Planta'!$A$2:$M$823,12,0),"")</f>
        <v/>
      </c>
      <c r="F14" s="146" t="str">
        <f t="shared" si="2"/>
        <v/>
      </c>
      <c r="G14" s="147" t="str">
        <f t="shared" si="0"/>
        <v/>
      </c>
      <c r="H14" s="148"/>
      <c r="I14" s="148"/>
      <c r="J14" s="149"/>
    </row>
    <row r="15" spans="1:10" ht="14.25" thickBot="1" x14ac:dyDescent="0.3">
      <c r="A15" s="144"/>
      <c r="B15" s="132" t="str">
        <f>IFERROR(VLOOKUP(H15,'[2]ARTICULOS MP PLANTA'!$A$2:$G$589,2,0),"")</f>
        <v/>
      </c>
      <c r="C15" s="145"/>
      <c r="D15" s="146"/>
      <c r="E15" s="146"/>
      <c r="F15" s="146"/>
      <c r="G15" s="147"/>
      <c r="H15" s="148"/>
      <c r="I15" s="148"/>
      <c r="J15" s="149"/>
    </row>
    <row r="16" spans="1:10" ht="26.25" thickBot="1" x14ac:dyDescent="0.25">
      <c r="A16" s="139" t="s">
        <v>144</v>
      </c>
      <c r="B16" s="140" t="s">
        <v>151</v>
      </c>
      <c r="C16" s="140" t="s">
        <v>144</v>
      </c>
      <c r="D16" s="141" t="s">
        <v>146</v>
      </c>
      <c r="E16" s="141" t="s">
        <v>147</v>
      </c>
      <c r="F16" s="141" t="s">
        <v>148</v>
      </c>
      <c r="G16" s="141" t="s">
        <v>149</v>
      </c>
      <c r="H16" s="142" t="s">
        <v>150</v>
      </c>
      <c r="I16" s="143"/>
      <c r="J16" s="149"/>
    </row>
    <row r="17" spans="1:13" ht="13.5" x14ac:dyDescent="0.25">
      <c r="A17" s="144">
        <v>9000</v>
      </c>
      <c r="B17" s="132" t="s">
        <v>70</v>
      </c>
      <c r="C17" s="145">
        <f>+A17</f>
        <v>9000</v>
      </c>
      <c r="D17" s="145" t="s">
        <v>191</v>
      </c>
      <c r="E17" s="146">
        <v>2.29</v>
      </c>
      <c r="F17" s="146">
        <f>IFERROR(E17*C17,"")</f>
        <v>20610</v>
      </c>
      <c r="G17" s="147">
        <f t="shared" ref="G17:G24" si="3">IFERROR(F17/$F$66,"")</f>
        <v>0.39249206891790522</v>
      </c>
      <c r="H17" s="148" t="s">
        <v>69</v>
      </c>
      <c r="I17" s="148"/>
      <c r="J17" s="149"/>
      <c r="M17" s="132">
        <f>11430/160</f>
        <v>71.4375</v>
      </c>
    </row>
    <row r="18" spans="1:13" ht="13.5" hidden="1" x14ac:dyDescent="0.25">
      <c r="A18" s="144"/>
      <c r="B18" s="132" t="str">
        <f>IFERROR(VLOOKUP(H18,[1]SEMIELABORADOS!$A$2:$M$6000,2,0),"")</f>
        <v/>
      </c>
      <c r="C18" s="145">
        <f t="shared" ref="C18:C24" si="4">+A18</f>
        <v>0</v>
      </c>
      <c r="D18" s="145" t="str">
        <f>IFERROR(VLOOKUP(H18,[1]SEMIELABORADOS!$A$2:$M$6000,6,0),"")</f>
        <v/>
      </c>
      <c r="E18" s="146" t="str">
        <f>IFERROR(VLOOKUP(H18,[1]SEMIELABORADOS!$A$2:$H$65536,8,0),"")</f>
        <v/>
      </c>
      <c r="F18" s="146" t="str">
        <f t="shared" ref="F18:F24" si="5">IFERROR(E18*C18,"")</f>
        <v/>
      </c>
      <c r="G18" s="147" t="str">
        <f t="shared" si="3"/>
        <v/>
      </c>
      <c r="H18" s="148"/>
      <c r="I18" s="148"/>
      <c r="J18" s="149"/>
    </row>
    <row r="19" spans="1:13" ht="13.5" hidden="1" x14ac:dyDescent="0.25">
      <c r="A19" s="144"/>
      <c r="B19" s="132" t="str">
        <f>IFERROR(VLOOKUP(H19,[1]SEMIELABORADOS!$A$2:$M$6000,2,0),"")</f>
        <v/>
      </c>
      <c r="C19" s="145">
        <f>+A19</f>
        <v>0</v>
      </c>
      <c r="D19" s="145" t="str">
        <f>IFERROR(VLOOKUP(H19,[1]SEMIELABORADOS!$A$2:$M$6000,6,0),"")</f>
        <v/>
      </c>
      <c r="E19" s="146" t="str">
        <f>IFERROR(VLOOKUP(H19,[1]SEMIELABORADOS!$A$2:$H$65536,8,0),"")</f>
        <v/>
      </c>
      <c r="F19" s="146" t="str">
        <f>IFERROR(E19*C19,"")</f>
        <v/>
      </c>
      <c r="G19" s="147" t="str">
        <f t="shared" si="3"/>
        <v/>
      </c>
      <c r="H19" s="148"/>
      <c r="I19" s="148"/>
      <c r="J19" s="149"/>
    </row>
    <row r="20" spans="1:13" ht="13.5" hidden="1" x14ac:dyDescent="0.25">
      <c r="A20" s="144"/>
      <c r="B20" s="132" t="str">
        <f>IFERROR(VLOOKUP(H20,[1]SEMIELABORADOS!$A$2:$M$6000,2,0),"")</f>
        <v/>
      </c>
      <c r="C20" s="145">
        <f>+A20</f>
        <v>0</v>
      </c>
      <c r="D20" s="145" t="str">
        <f>IFERROR(VLOOKUP(H20,[1]SEMIELABORADOS!$A$2:$M$6000,6,0),"")</f>
        <v/>
      </c>
      <c r="E20" s="146" t="str">
        <f>IFERROR(VLOOKUP(H20,[1]SEMIELABORADOS!$A$2:$H$65536,8,0),"")</f>
        <v/>
      </c>
      <c r="F20" s="146" t="str">
        <f>IFERROR(E20*C20,"")</f>
        <v/>
      </c>
      <c r="G20" s="147" t="str">
        <f t="shared" si="3"/>
        <v/>
      </c>
      <c r="H20" s="148"/>
      <c r="I20" s="148"/>
      <c r="J20" s="149"/>
    </row>
    <row r="21" spans="1:13" ht="13.5" hidden="1" x14ac:dyDescent="0.25">
      <c r="A21" s="144"/>
      <c r="B21" s="132" t="str">
        <f>IFERROR(VLOOKUP(H21,[1]SEMIELABORADOS!$A$2:$M$6000,2,0),"")</f>
        <v/>
      </c>
      <c r="C21" s="145">
        <f>+A21</f>
        <v>0</v>
      </c>
      <c r="D21" s="145" t="str">
        <f>IFERROR(VLOOKUP(H21,[1]SEMIELABORADOS!$A$2:$M$6000,6,0),"")</f>
        <v/>
      </c>
      <c r="E21" s="146" t="str">
        <f>IFERROR(VLOOKUP(H21,[1]SEMIELABORADOS!$A$2:$H$65536,8,0),"")</f>
        <v/>
      </c>
      <c r="F21" s="146" t="str">
        <f>IFERROR(E21*C21,"")</f>
        <v/>
      </c>
      <c r="G21" s="147" t="str">
        <f t="shared" si="3"/>
        <v/>
      </c>
      <c r="H21" s="148"/>
      <c r="I21" s="148"/>
      <c r="J21" s="149"/>
    </row>
    <row r="22" spans="1:13" ht="13.5" hidden="1" x14ac:dyDescent="0.25">
      <c r="A22" s="144"/>
      <c r="B22" s="132" t="str">
        <f>IFERROR(VLOOKUP(H22,[1]SEMIELABORADOS!$A$2:$M$6000,2,0),"")</f>
        <v/>
      </c>
      <c r="C22" s="145">
        <f t="shared" si="4"/>
        <v>0</v>
      </c>
      <c r="D22" s="145" t="str">
        <f>IFERROR(VLOOKUP(H22,[1]SEMIELABORADOS!$A$2:$M$6000,6,0),"")</f>
        <v/>
      </c>
      <c r="E22" s="146" t="str">
        <f>IFERROR(VLOOKUP(H22,[1]SEMIELABORADOS!$A$2:$H$65536,8,0),"")</f>
        <v/>
      </c>
      <c r="F22" s="146" t="str">
        <f t="shared" si="5"/>
        <v/>
      </c>
      <c r="G22" s="147" t="str">
        <f t="shared" si="3"/>
        <v/>
      </c>
      <c r="H22" s="148"/>
      <c r="I22" s="148"/>
      <c r="J22" s="149"/>
    </row>
    <row r="23" spans="1:13" ht="13.5" hidden="1" x14ac:dyDescent="0.25">
      <c r="A23" s="144"/>
      <c r="B23" s="132" t="str">
        <f>IFERROR(VLOOKUP(H23,[1]SEMIELABORADOS!$A$2:$M$6000,2,0),"")</f>
        <v/>
      </c>
      <c r="C23" s="145">
        <f t="shared" si="4"/>
        <v>0</v>
      </c>
      <c r="D23" s="145" t="str">
        <f>IFERROR(VLOOKUP(H23,[1]SEMIELABORADOS!$A$2:$M$6000,6,0),"")</f>
        <v/>
      </c>
      <c r="E23" s="146" t="str">
        <f>IFERROR(VLOOKUP(H23,[1]SEMIELABORADOS!$A$2:$H$65536,8,0),"")</f>
        <v/>
      </c>
      <c r="F23" s="146" t="str">
        <f t="shared" si="5"/>
        <v/>
      </c>
      <c r="G23" s="147" t="str">
        <f t="shared" si="3"/>
        <v/>
      </c>
      <c r="H23" s="148"/>
      <c r="I23" s="148"/>
      <c r="J23" s="149"/>
    </row>
    <row r="24" spans="1:13" ht="13.5" hidden="1" x14ac:dyDescent="0.25">
      <c r="A24" s="144"/>
      <c r="B24" s="132" t="str">
        <f>IFERROR(VLOOKUP(H24,[1]SEMIELABORADOS!$A$2:$M$6000,2,0),"")</f>
        <v/>
      </c>
      <c r="C24" s="145">
        <f t="shared" si="4"/>
        <v>0</v>
      </c>
      <c r="D24" s="145" t="str">
        <f>IFERROR(VLOOKUP(H24,[1]SEMIELABORADOS!$A$2:$M$6000,6,0),"")</f>
        <v/>
      </c>
      <c r="E24" s="146" t="str">
        <f>IFERROR(VLOOKUP(H24,[1]SEMIELABORADOS!$A$2:$H$65536,8,0),"")</f>
        <v/>
      </c>
      <c r="F24" s="146" t="str">
        <f t="shared" si="5"/>
        <v/>
      </c>
      <c r="G24" s="147" t="str">
        <f t="shared" si="3"/>
        <v/>
      </c>
      <c r="H24" s="148"/>
      <c r="I24" s="148"/>
      <c r="J24" s="149"/>
    </row>
    <row r="25" spans="1:13" ht="14.25" thickBot="1" x14ac:dyDescent="0.3">
      <c r="A25" s="144"/>
      <c r="C25" s="145"/>
      <c r="D25" s="145"/>
      <c r="E25" s="146"/>
      <c r="F25" s="146"/>
      <c r="G25" s="147"/>
      <c r="H25" s="148"/>
      <c r="I25" s="148"/>
      <c r="J25" s="149"/>
    </row>
    <row r="26" spans="1:13" ht="26.25" hidden="1" thickBot="1" x14ac:dyDescent="0.25">
      <c r="A26" s="139" t="s">
        <v>144</v>
      </c>
      <c r="B26" s="140" t="s">
        <v>32</v>
      </c>
      <c r="C26" s="140" t="s">
        <v>144</v>
      </c>
      <c r="D26" s="141" t="s">
        <v>146</v>
      </c>
      <c r="E26" s="141" t="s">
        <v>147</v>
      </c>
      <c r="F26" s="141" t="s">
        <v>148</v>
      </c>
      <c r="G26" s="141" t="s">
        <v>149</v>
      </c>
      <c r="H26" s="142" t="s">
        <v>150</v>
      </c>
      <c r="I26" s="143"/>
    </row>
    <row r="27" spans="1:13" ht="13.5" hidden="1" x14ac:dyDescent="0.25">
      <c r="A27" s="144">
        <v>0</v>
      </c>
      <c r="B27" s="150" t="str">
        <f>IFERROR(VLOOKUP(H27,'[1]Consolidado MP Planta'!$A$2:$M$823,3,0),"")</f>
        <v/>
      </c>
      <c r="C27" s="145">
        <f t="shared" ref="C27:C32" si="6">+A27</f>
        <v>0</v>
      </c>
      <c r="D27" s="146" t="str">
        <f>IFERROR(VLOOKUP(H27,'[1]Consolidado MP Planta'!$A$2:$M$823,13,0),"")</f>
        <v/>
      </c>
      <c r="E27" s="146" t="str">
        <f>IFERROR(VLOOKUP(H27,'[1]Consolidado MP Planta'!$A$2:$M$823,12,0),"")</f>
        <v/>
      </c>
      <c r="F27" s="146" t="str">
        <f t="shared" ref="F27:F32" si="7">IFERROR(C27*E27,"")</f>
        <v/>
      </c>
      <c r="G27" s="147" t="str">
        <f t="shared" ref="G27:G32" si="8">IFERROR(F27/$F$66,"")</f>
        <v/>
      </c>
      <c r="H27" s="151"/>
      <c r="I27" s="151"/>
      <c r="J27" s="149"/>
      <c r="K27" s="824"/>
      <c r="L27" s="824"/>
    </row>
    <row r="28" spans="1:13" ht="13.5" hidden="1" x14ac:dyDescent="0.25">
      <c r="A28" s="144"/>
      <c r="B28" s="150" t="str">
        <f>IFERROR(VLOOKUP(H28,'[1]Consolidado MP Planta'!$A$2:$M$823,3,0),"")</f>
        <v/>
      </c>
      <c r="C28" s="145">
        <f t="shared" si="6"/>
        <v>0</v>
      </c>
      <c r="D28" s="146" t="str">
        <f>IFERROR(VLOOKUP(H28,'[1]Consolidado MP Planta'!$A$2:$M$823,13,0),"")</f>
        <v/>
      </c>
      <c r="E28" s="146" t="str">
        <f>IFERROR(VLOOKUP(H28,'[1]Consolidado MP Planta'!$A$2:$M$823,12,0),"")</f>
        <v/>
      </c>
      <c r="F28" s="146" t="str">
        <f t="shared" si="7"/>
        <v/>
      </c>
      <c r="G28" s="147" t="str">
        <f t="shared" si="8"/>
        <v/>
      </c>
      <c r="H28" s="151"/>
      <c r="I28" s="151"/>
      <c r="J28" s="149"/>
      <c r="K28" s="824"/>
      <c r="L28" s="824"/>
    </row>
    <row r="29" spans="1:13" ht="13.5" hidden="1" x14ac:dyDescent="0.25">
      <c r="A29" s="144"/>
      <c r="B29" s="150" t="str">
        <f>IFERROR(VLOOKUP(H29,'[1]Consolidado MP Planta'!$A$2:$M$823,3,0),"")</f>
        <v/>
      </c>
      <c r="C29" s="145">
        <f t="shared" si="6"/>
        <v>0</v>
      </c>
      <c r="D29" s="146" t="str">
        <f>IFERROR(VLOOKUP(H29,'[1]Consolidado MP Planta'!$A$2:$M$823,13,0),"")</f>
        <v/>
      </c>
      <c r="E29" s="146" t="str">
        <f>IFERROR(VLOOKUP(H29,'[1]Consolidado MP Planta'!$A$2:$M$823,12,0),"")</f>
        <v/>
      </c>
      <c r="F29" s="146" t="str">
        <f t="shared" si="7"/>
        <v/>
      </c>
      <c r="G29" s="147" t="str">
        <f t="shared" si="8"/>
        <v/>
      </c>
      <c r="H29" s="151"/>
      <c r="I29" s="151"/>
      <c r="J29" s="149"/>
      <c r="K29" s="824"/>
      <c r="L29" s="824"/>
    </row>
    <row r="30" spans="1:13" ht="13.5" hidden="1" x14ac:dyDescent="0.25">
      <c r="A30" s="144"/>
      <c r="B30" s="150" t="str">
        <f>IFERROR(VLOOKUP(H30,'[1]Consolidado MP Planta'!$A$2:$M$823,3,0),"")</f>
        <v/>
      </c>
      <c r="C30" s="145">
        <f t="shared" si="6"/>
        <v>0</v>
      </c>
      <c r="D30" s="146" t="str">
        <f>IFERROR(VLOOKUP(H30,'[1]Consolidado MP Planta'!$A$2:$M$823,13,0),"")</f>
        <v/>
      </c>
      <c r="E30" s="146" t="str">
        <f>IFERROR(VLOOKUP(H30,'[1]Consolidado MP Planta'!$A$2:$M$823,12,0),"")</f>
        <v/>
      </c>
      <c r="F30" s="146" t="str">
        <f t="shared" si="7"/>
        <v/>
      </c>
      <c r="G30" s="147" t="str">
        <f t="shared" si="8"/>
        <v/>
      </c>
      <c r="H30" s="151"/>
      <c r="I30" s="151"/>
      <c r="J30" s="149"/>
      <c r="K30" s="824"/>
      <c r="L30" s="824"/>
    </row>
    <row r="31" spans="1:13" ht="13.5" hidden="1" x14ac:dyDescent="0.25">
      <c r="A31" s="144"/>
      <c r="B31" s="150" t="str">
        <f>IFERROR(VLOOKUP(H31,'[1]Consolidado MP Planta'!$A$2:$M$823,3,0),"")</f>
        <v/>
      </c>
      <c r="C31" s="145">
        <f t="shared" si="6"/>
        <v>0</v>
      </c>
      <c r="D31" s="146" t="str">
        <f>IFERROR(VLOOKUP(H31,'[1]Consolidado MP Planta'!$A$2:$M$823,13,0),"")</f>
        <v/>
      </c>
      <c r="E31" s="146" t="str">
        <f>IFERROR(VLOOKUP(H31,'[1]Consolidado MP Planta'!$A$2:$M$823,12,0),"")</f>
        <v/>
      </c>
      <c r="F31" s="146" t="str">
        <f t="shared" si="7"/>
        <v/>
      </c>
      <c r="G31" s="147" t="str">
        <f t="shared" si="8"/>
        <v/>
      </c>
      <c r="H31" s="151"/>
      <c r="I31" s="151"/>
      <c r="J31" s="149"/>
      <c r="K31" s="152"/>
      <c r="L31" s="153"/>
    </row>
    <row r="32" spans="1:13" ht="13.5" hidden="1" x14ac:dyDescent="0.25">
      <c r="A32" s="144"/>
      <c r="B32" s="150" t="str">
        <f>IFERROR(VLOOKUP(H32,'[1]Consolidado MP Planta'!$A$2:$M$823,3,0),"")</f>
        <v/>
      </c>
      <c r="C32" s="145">
        <f t="shared" si="6"/>
        <v>0</v>
      </c>
      <c r="D32" s="146" t="str">
        <f>IFERROR(VLOOKUP(H32,'[1]Consolidado MP Planta'!$A$2:$M$823,13,0),"")</f>
        <v/>
      </c>
      <c r="E32" s="146" t="str">
        <f>IFERROR(VLOOKUP(H32,'[1]Consolidado MP Planta'!$A$2:$M$823,12,0),"")</f>
        <v/>
      </c>
      <c r="F32" s="146" t="str">
        <f t="shared" si="7"/>
        <v/>
      </c>
      <c r="G32" s="147" t="str">
        <f t="shared" si="8"/>
        <v/>
      </c>
      <c r="H32" s="151"/>
      <c r="I32" s="151"/>
      <c r="J32" s="149"/>
    </row>
    <row r="33" spans="1:13" ht="14.25" hidden="1" thickBot="1" x14ac:dyDescent="0.3">
      <c r="A33" s="144"/>
      <c r="B33" s="150"/>
      <c r="C33" s="145"/>
      <c r="D33" s="146"/>
      <c r="E33" s="146"/>
      <c r="F33" s="146"/>
      <c r="G33" s="147"/>
      <c r="H33" s="151"/>
      <c r="I33" s="151"/>
      <c r="J33" s="149"/>
    </row>
    <row r="34" spans="1:13" ht="26.25" thickBot="1" x14ac:dyDescent="0.25">
      <c r="A34" s="139" t="s">
        <v>144</v>
      </c>
      <c r="B34" s="140" t="s">
        <v>152</v>
      </c>
      <c r="C34" s="140" t="s">
        <v>144</v>
      </c>
      <c r="D34" s="141" t="s">
        <v>146</v>
      </c>
      <c r="E34" s="141" t="s">
        <v>147</v>
      </c>
      <c r="F34" s="141" t="s">
        <v>148</v>
      </c>
      <c r="G34" s="141" t="s">
        <v>149</v>
      </c>
      <c r="H34" s="142" t="s">
        <v>150</v>
      </c>
      <c r="I34" s="151"/>
      <c r="J34" s="149"/>
    </row>
    <row r="35" spans="1:13" ht="13.5" x14ac:dyDescent="0.25">
      <c r="A35" s="144">
        <f>+A17</f>
        <v>9000</v>
      </c>
      <c r="B35" s="132" t="s">
        <v>70</v>
      </c>
      <c r="C35" s="145">
        <f>+A35</f>
        <v>9000</v>
      </c>
      <c r="D35" s="145" t="s">
        <v>191</v>
      </c>
      <c r="E35" s="146">
        <v>0.01</v>
      </c>
      <c r="F35" s="146">
        <f>IFERROR(E35*C35,"")</f>
        <v>90</v>
      </c>
      <c r="G35" s="147">
        <f t="shared" ref="G35:G41" si="9">IFERROR(F35/$F$66,"")</f>
        <v>1.7139391655803722E-3</v>
      </c>
      <c r="H35" s="148" t="s">
        <v>69</v>
      </c>
      <c r="I35" s="151"/>
      <c r="J35" s="149"/>
    </row>
    <row r="36" spans="1:13" ht="13.5" hidden="1" x14ac:dyDescent="0.25">
      <c r="A36" s="144">
        <f t="shared" ref="A36:A41" si="10">+A18</f>
        <v>0</v>
      </c>
      <c r="B36" s="150" t="str">
        <f>IFERROR(VLOOKUP(H36,[1]SEMIELABORADOS!$A$2:$M$6000,2,0),"")</f>
        <v/>
      </c>
      <c r="C36" s="145">
        <f t="shared" ref="C36:C41" si="11">+A36</f>
        <v>0</v>
      </c>
      <c r="D36" s="146" t="str">
        <f>IFERROR(VLOOKUP(H36,[1]SEMIELABORADOS!$A$2:$M$6000,6,0),"")</f>
        <v/>
      </c>
      <c r="E36" s="146" t="str">
        <f>IFERROR(VLOOKUP(H36,[1]SEMIELABORADOS!$A$2:$M$65536,10,0),"")</f>
        <v/>
      </c>
      <c r="F36" s="146" t="str">
        <f t="shared" ref="F36:F41" si="12">IFERROR(E36*C36,"")</f>
        <v/>
      </c>
      <c r="G36" s="147" t="str">
        <f t="shared" si="9"/>
        <v/>
      </c>
      <c r="H36" s="151"/>
      <c r="I36" s="151"/>
      <c r="J36" s="149"/>
    </row>
    <row r="37" spans="1:13" ht="13.5" hidden="1" x14ac:dyDescent="0.25">
      <c r="A37" s="144">
        <f t="shared" si="10"/>
        <v>0</v>
      </c>
      <c r="B37" s="150" t="str">
        <f>IFERROR(VLOOKUP(H37,[1]SEMIELABORADOS!$A$2:$M$6000,2,0),"")</f>
        <v/>
      </c>
      <c r="C37" s="145">
        <f t="shared" si="11"/>
        <v>0</v>
      </c>
      <c r="D37" s="146" t="str">
        <f>IFERROR(VLOOKUP(H37,[1]SEMIELABORADOS!$A$2:$M$6000,6,0),"")</f>
        <v/>
      </c>
      <c r="E37" s="146" t="str">
        <f>IFERROR(VLOOKUP(H37,[1]SEMIELABORADOS!$A$2:$M$65536,10,0),"")</f>
        <v/>
      </c>
      <c r="F37" s="146" t="str">
        <f t="shared" si="12"/>
        <v/>
      </c>
      <c r="G37" s="147" t="str">
        <f t="shared" si="9"/>
        <v/>
      </c>
      <c r="H37" s="151"/>
      <c r="I37" s="151"/>
      <c r="J37" s="149"/>
    </row>
    <row r="38" spans="1:13" ht="13.5" hidden="1" x14ac:dyDescent="0.25">
      <c r="A38" s="144">
        <f t="shared" si="10"/>
        <v>0</v>
      </c>
      <c r="B38" s="150" t="str">
        <f>IFERROR(VLOOKUP(H38,[1]SEMIELABORADOS!$A$2:$M$6000,2,0),"")</f>
        <v/>
      </c>
      <c r="C38" s="145">
        <f>+A38</f>
        <v>0</v>
      </c>
      <c r="D38" s="146" t="str">
        <f>IFERROR(VLOOKUP(H38,[1]SEMIELABORADOS!$A$2:$M$6000,6,0),"")</f>
        <v/>
      </c>
      <c r="E38" s="146" t="str">
        <f>IFERROR(VLOOKUP(H38,[1]SEMIELABORADOS!$A$2:$M$65536,10,0),"")</f>
        <v/>
      </c>
      <c r="F38" s="146" t="str">
        <f>IFERROR(E38*C38,"")</f>
        <v/>
      </c>
      <c r="G38" s="147" t="str">
        <f t="shared" si="9"/>
        <v/>
      </c>
      <c r="H38" s="151"/>
      <c r="I38" s="151"/>
      <c r="J38" s="149"/>
    </row>
    <row r="39" spans="1:13" ht="13.5" hidden="1" x14ac:dyDescent="0.25">
      <c r="A39" s="144">
        <f t="shared" si="10"/>
        <v>0</v>
      </c>
      <c r="B39" s="150" t="str">
        <f>IFERROR(VLOOKUP(H39,[1]SEMIELABORADOS!$A$2:$M$6000,2,0),"")</f>
        <v/>
      </c>
      <c r="C39" s="145">
        <f>+A39</f>
        <v>0</v>
      </c>
      <c r="D39" s="146" t="str">
        <f>IFERROR(VLOOKUP(H39,[1]SEMIELABORADOS!$A$2:$M$6000,6,0),"")</f>
        <v/>
      </c>
      <c r="E39" s="146" t="str">
        <f>IFERROR(VLOOKUP(H39,[1]SEMIELABORADOS!$A$2:$M$65536,10,0),"")</f>
        <v/>
      </c>
      <c r="F39" s="146" t="str">
        <f>IFERROR(E39*C39,"")</f>
        <v/>
      </c>
      <c r="G39" s="147" t="str">
        <f t="shared" si="9"/>
        <v/>
      </c>
      <c r="H39" s="151"/>
      <c r="I39" s="151"/>
      <c r="J39" s="149"/>
    </row>
    <row r="40" spans="1:13" ht="13.5" hidden="1" x14ac:dyDescent="0.25">
      <c r="A40" s="144">
        <f t="shared" si="10"/>
        <v>0</v>
      </c>
      <c r="B40" s="150" t="str">
        <f>IFERROR(VLOOKUP(H40,[1]SEMIELABORADOS!$A$2:$M$6000,2,0),"")</f>
        <v/>
      </c>
      <c r="C40" s="145">
        <f t="shared" si="11"/>
        <v>0</v>
      </c>
      <c r="D40" s="146" t="str">
        <f>IFERROR(VLOOKUP(H40,[1]SEMIELABORADOS!$A$2:$M$6000,6,0),"")</f>
        <v/>
      </c>
      <c r="E40" s="146" t="str">
        <f>IFERROR(VLOOKUP(H40,[1]SEMIELABORADOS!$A$2:$M$65536,10,0),"")</f>
        <v/>
      </c>
      <c r="F40" s="146" t="str">
        <f t="shared" si="12"/>
        <v/>
      </c>
      <c r="G40" s="147" t="str">
        <f t="shared" si="9"/>
        <v/>
      </c>
      <c r="H40" s="151"/>
      <c r="I40" s="151"/>
      <c r="J40" s="149"/>
    </row>
    <row r="41" spans="1:13" ht="13.5" hidden="1" x14ac:dyDescent="0.25">
      <c r="A41" s="144">
        <f t="shared" si="10"/>
        <v>0</v>
      </c>
      <c r="B41" s="150" t="str">
        <f>IFERROR(VLOOKUP(H41,[1]SEMIELABORADOS!$A$2:$M$6000,2,0),"")</f>
        <v/>
      </c>
      <c r="C41" s="145">
        <f t="shared" si="11"/>
        <v>0</v>
      </c>
      <c r="D41" s="146" t="str">
        <f>IFERROR(VLOOKUP(H41,[1]SEMIELABORADOS!$A$2:$M$6000,6,0),"")</f>
        <v/>
      </c>
      <c r="E41" s="146" t="str">
        <f>IFERROR(VLOOKUP(H41,[1]SEMIELABORADOS!$A$2:$M$65536,10,0),"")</f>
        <v/>
      </c>
      <c r="F41" s="146" t="str">
        <f t="shared" si="12"/>
        <v/>
      </c>
      <c r="G41" s="147" t="str">
        <f t="shared" si="9"/>
        <v/>
      </c>
      <c r="H41" s="151"/>
      <c r="I41" s="151"/>
      <c r="J41" s="149"/>
    </row>
    <row r="42" spans="1:13" ht="14.25" thickBot="1" x14ac:dyDescent="0.3">
      <c r="A42" s="144"/>
      <c r="B42" s="150"/>
      <c r="C42" s="145"/>
      <c r="D42" s="146"/>
      <c r="E42" s="146"/>
      <c r="F42" s="146"/>
      <c r="G42" s="147"/>
      <c r="H42" s="151"/>
      <c r="I42" s="151"/>
      <c r="J42" s="149"/>
    </row>
    <row r="43" spans="1:13" ht="26.25" thickBot="1" x14ac:dyDescent="0.25">
      <c r="A43" s="139" t="s">
        <v>144</v>
      </c>
      <c r="B43" s="140" t="s">
        <v>153</v>
      </c>
      <c r="C43" s="140" t="s">
        <v>144</v>
      </c>
      <c r="D43" s="141" t="s">
        <v>146</v>
      </c>
      <c r="E43" s="141" t="s">
        <v>147</v>
      </c>
      <c r="F43" s="141" t="s">
        <v>148</v>
      </c>
      <c r="G43" s="141" t="s">
        <v>149</v>
      </c>
      <c r="H43" s="142" t="s">
        <v>150</v>
      </c>
      <c r="I43" s="143"/>
      <c r="J43" s="149"/>
    </row>
    <row r="44" spans="1:13" ht="13.5" x14ac:dyDescent="0.25">
      <c r="A44" s="144">
        <f>+A35</f>
        <v>9000</v>
      </c>
      <c r="B44" s="132" t="s">
        <v>70</v>
      </c>
      <c r="C44" s="145">
        <f>+A44</f>
        <v>9000</v>
      </c>
      <c r="D44" s="145" t="s">
        <v>191</v>
      </c>
      <c r="E44" s="146">
        <v>0.02</v>
      </c>
      <c r="F44" s="146">
        <f>IFERROR(E44*C44,"")</f>
        <v>180</v>
      </c>
      <c r="G44" s="147">
        <f>IFERROR(F44/$F$66,"")</f>
        <v>3.4278783311607443E-3</v>
      </c>
      <c r="H44" s="148" t="s">
        <v>69</v>
      </c>
      <c r="I44" s="143"/>
      <c r="J44" s="149"/>
    </row>
    <row r="45" spans="1:13" ht="13.5" hidden="1" x14ac:dyDescent="0.25">
      <c r="A45" s="144">
        <f t="shared" ref="A45:A50" si="13">+A36</f>
        <v>0</v>
      </c>
      <c r="B45" s="150" t="str">
        <f>IFERROR(VLOOKUP(H45,[1]SEMIELABORADOS!$A$2:$M$6000,2,0),"")</f>
        <v/>
      </c>
      <c r="C45" s="145">
        <f t="shared" ref="C45:C50" si="14">+A45</f>
        <v>0</v>
      </c>
      <c r="D45" s="146" t="str">
        <f>IFERROR(VLOOKUP(H45,[1]SEMIELABORADOS!$A$2:$M$6000,6,0),"")</f>
        <v/>
      </c>
      <c r="E45" s="146" t="str">
        <f>IFERROR(VLOOKUP(H45,[1]SEMIELABORADOS!$A$2:$M$65536,12,0),"")</f>
        <v/>
      </c>
      <c r="F45" s="146" t="str">
        <f t="shared" ref="F45:F50" si="15">IFERROR(E45*C45,"")</f>
        <v/>
      </c>
      <c r="G45" s="147" t="str">
        <f t="shared" ref="G45:G50" si="16">IFERROR(F45/$F$66,"")</f>
        <v/>
      </c>
      <c r="H45" s="151"/>
      <c r="I45" s="143"/>
      <c r="J45" s="149"/>
      <c r="M45" s="154"/>
    </row>
    <row r="46" spans="1:13" ht="13.5" hidden="1" x14ac:dyDescent="0.25">
      <c r="A46" s="144">
        <f t="shared" si="13"/>
        <v>0</v>
      </c>
      <c r="B46" s="150" t="str">
        <f>IFERROR(VLOOKUP(H46,[1]SEMIELABORADOS!$A$2:$M$6000,2,0),"")</f>
        <v/>
      </c>
      <c r="C46" s="145">
        <f t="shared" si="14"/>
        <v>0</v>
      </c>
      <c r="D46" s="146" t="str">
        <f>IFERROR(VLOOKUP(H46,[1]SEMIELABORADOS!$A$2:$M$6000,6,0),"")</f>
        <v/>
      </c>
      <c r="E46" s="146" t="str">
        <f>IFERROR(VLOOKUP(H46,[1]SEMIELABORADOS!$A$2:$M$65536,12,0),"")</f>
        <v/>
      </c>
      <c r="F46" s="146" t="str">
        <f t="shared" si="15"/>
        <v/>
      </c>
      <c r="G46" s="147" t="str">
        <f t="shared" si="16"/>
        <v/>
      </c>
      <c r="H46" s="151"/>
      <c r="I46" s="143"/>
      <c r="J46" s="149"/>
    </row>
    <row r="47" spans="1:13" ht="13.5" hidden="1" x14ac:dyDescent="0.25">
      <c r="A47" s="144">
        <f t="shared" si="13"/>
        <v>0</v>
      </c>
      <c r="B47" s="150" t="str">
        <f>IFERROR(VLOOKUP(H47,[1]SEMIELABORADOS!$A$2:$M$6000,2,0),"")</f>
        <v/>
      </c>
      <c r="C47" s="145">
        <f t="shared" si="14"/>
        <v>0</v>
      </c>
      <c r="D47" s="146" t="str">
        <f>IFERROR(VLOOKUP(H47,[1]SEMIELABORADOS!$A$2:$M$6000,6,0),"")</f>
        <v/>
      </c>
      <c r="E47" s="146" t="str">
        <f>IFERROR(VLOOKUP(H47,[1]SEMIELABORADOS!$A$2:$M$65536,12,0),"")</f>
        <v/>
      </c>
      <c r="F47" s="146" t="str">
        <f t="shared" si="15"/>
        <v/>
      </c>
      <c r="G47" s="147" t="str">
        <f t="shared" si="16"/>
        <v/>
      </c>
      <c r="H47" s="151"/>
      <c r="I47" s="143"/>
      <c r="J47" s="149"/>
    </row>
    <row r="48" spans="1:13" ht="13.5" hidden="1" x14ac:dyDescent="0.25">
      <c r="A48" s="144">
        <f t="shared" si="13"/>
        <v>0</v>
      </c>
      <c r="B48" s="150" t="str">
        <f>IFERROR(VLOOKUP(H48,[1]SEMIELABORADOS!$A$2:$M$6000,2,0),"")</f>
        <v/>
      </c>
      <c r="C48" s="145">
        <f t="shared" si="14"/>
        <v>0</v>
      </c>
      <c r="D48" s="146" t="str">
        <f>IFERROR(VLOOKUP(H48,[1]SEMIELABORADOS!$A$2:$M$6000,6,0),"")</f>
        <v/>
      </c>
      <c r="E48" s="146" t="str">
        <f>IFERROR(VLOOKUP(H48,[1]SEMIELABORADOS!$A$2:$M$65536,12,0),"")</f>
        <v/>
      </c>
      <c r="F48" s="146" t="str">
        <f t="shared" si="15"/>
        <v/>
      </c>
      <c r="G48" s="147" t="str">
        <f t="shared" si="16"/>
        <v/>
      </c>
      <c r="H48" s="151"/>
      <c r="I48" s="143"/>
      <c r="J48" s="149"/>
    </row>
    <row r="49" spans="1:17" ht="13.5" hidden="1" x14ac:dyDescent="0.25">
      <c r="A49" s="144">
        <f t="shared" si="13"/>
        <v>0</v>
      </c>
      <c r="B49" s="150" t="str">
        <f>IFERROR(VLOOKUP(H49,[1]SEMIELABORADOS!$A$2:$M$6000,2,0),"")</f>
        <v/>
      </c>
      <c r="C49" s="145">
        <f t="shared" si="14"/>
        <v>0</v>
      </c>
      <c r="D49" s="146" t="str">
        <f>IFERROR(VLOOKUP(H49,[1]SEMIELABORADOS!$A$2:$M$6000,6,0),"")</f>
        <v/>
      </c>
      <c r="E49" s="146" t="str">
        <f>IFERROR(VLOOKUP(H49,[1]SEMIELABORADOS!$A$2:$M$65536,12,0),"")</f>
        <v/>
      </c>
      <c r="F49" s="146" t="str">
        <f t="shared" si="15"/>
        <v/>
      </c>
      <c r="G49" s="147" t="str">
        <f t="shared" si="16"/>
        <v/>
      </c>
      <c r="H49" s="151"/>
      <c r="I49" s="143"/>
      <c r="J49" s="149"/>
    </row>
    <row r="50" spans="1:17" ht="13.5" hidden="1" x14ac:dyDescent="0.25">
      <c r="A50" s="144">
        <f t="shared" si="13"/>
        <v>0</v>
      </c>
      <c r="B50" s="150" t="str">
        <f>IFERROR(VLOOKUP(H50,[1]SEMIELABORADOS!$A$2:$M$6000,2,0),"")</f>
        <v/>
      </c>
      <c r="C50" s="145">
        <f t="shared" si="14"/>
        <v>0</v>
      </c>
      <c r="D50" s="146" t="str">
        <f>IFERROR(VLOOKUP(H50,[1]SEMIELABORADOS!$A$2:$M$6000,6,0),"")</f>
        <v/>
      </c>
      <c r="E50" s="146" t="str">
        <f>IFERROR(VLOOKUP(H50,[1]SEMIELABORADOS!$A$2:$M$65536,12,0),"")</f>
        <v/>
      </c>
      <c r="F50" s="146" t="str">
        <f t="shared" si="15"/>
        <v/>
      </c>
      <c r="G50" s="147" t="str">
        <f t="shared" si="16"/>
        <v/>
      </c>
      <c r="H50" s="150"/>
      <c r="I50" s="143"/>
      <c r="J50" s="149"/>
    </row>
    <row r="51" spans="1:17" ht="13.5" x14ac:dyDescent="0.25">
      <c r="A51" s="144">
        <v>1</v>
      </c>
      <c r="B51" s="150" t="s">
        <v>154</v>
      </c>
      <c r="C51" s="145">
        <f>+A51</f>
        <v>1</v>
      </c>
      <c r="D51" s="145" t="s">
        <v>155</v>
      </c>
      <c r="E51" s="146">
        <f>+F65</f>
        <v>0</v>
      </c>
      <c r="F51" s="146">
        <f>IFERROR(C51*E51,"")</f>
        <v>0</v>
      </c>
      <c r="G51" s="147">
        <f>IFERROR(F51/$F$66,"")</f>
        <v>0</v>
      </c>
      <c r="H51" s="155"/>
      <c r="I51" s="155"/>
      <c r="J51" s="149"/>
    </row>
    <row r="52" spans="1:17" ht="14.25" thickBot="1" x14ac:dyDescent="0.3">
      <c r="A52" s="144"/>
      <c r="B52" s="150"/>
      <c r="C52" s="145"/>
      <c r="D52" s="145"/>
      <c r="E52" s="146"/>
      <c r="F52" s="146"/>
      <c r="G52" s="147"/>
      <c r="H52" s="155"/>
      <c r="I52" s="155"/>
      <c r="J52" s="149"/>
    </row>
    <row r="53" spans="1:17" ht="13.5" thickBot="1" x14ac:dyDescent="0.25">
      <c r="A53" s="156"/>
      <c r="B53" s="834" t="s">
        <v>156</v>
      </c>
      <c r="C53" s="834"/>
      <c r="D53" s="834"/>
      <c r="E53" s="834"/>
      <c r="F53" s="158">
        <f>SUM(F8:F14,F17:F24)</f>
        <v>51392.759999999995</v>
      </c>
      <c r="G53" s="147">
        <f>+F53/$F$66</f>
        <v>0.97871182434747028</v>
      </c>
      <c r="H53" s="159">
        <f>+F53/$D$60</f>
        <v>51392.759999999995</v>
      </c>
      <c r="I53" s="159"/>
      <c r="J53" s="160"/>
      <c r="K53" s="161"/>
      <c r="L53" s="161"/>
      <c r="M53" s="161"/>
      <c r="N53" s="161"/>
      <c r="O53" s="161"/>
      <c r="P53" s="161"/>
      <c r="Q53" s="162"/>
    </row>
    <row r="54" spans="1:17" x14ac:dyDescent="0.2">
      <c r="A54" s="156"/>
      <c r="B54" s="834" t="s">
        <v>157</v>
      </c>
      <c r="C54" s="834"/>
      <c r="D54" s="834"/>
      <c r="E54" s="834"/>
      <c r="F54" s="158">
        <f>SUM(F27:F32,F35:F41)</f>
        <v>90</v>
      </c>
      <c r="G54" s="147">
        <f>+F54/$F$66</f>
        <v>1.7139391655803722E-3</v>
      </c>
      <c r="H54" s="159">
        <f>+F54/$D$60</f>
        <v>90</v>
      </c>
      <c r="I54" s="159"/>
      <c r="J54" s="163"/>
      <c r="K54" s="835" t="s">
        <v>158</v>
      </c>
      <c r="L54" s="836"/>
      <c r="M54" s="836"/>
      <c r="N54" s="836"/>
      <c r="O54" s="164">
        <f>+F55</f>
        <v>51482.759999999995</v>
      </c>
      <c r="P54" s="164"/>
      <c r="Q54" s="165"/>
    </row>
    <row r="55" spans="1:17" x14ac:dyDescent="0.2">
      <c r="A55" s="156"/>
      <c r="B55" s="834" t="s">
        <v>159</v>
      </c>
      <c r="C55" s="834"/>
      <c r="D55" s="834"/>
      <c r="E55" s="834"/>
      <c r="F55" s="158">
        <f>+F53+F54</f>
        <v>51482.759999999995</v>
      </c>
      <c r="G55" s="147">
        <f>+F55/$F$66</f>
        <v>0.98042576351305066</v>
      </c>
      <c r="H55" s="159">
        <f>+F55/$D$60</f>
        <v>51482.759999999995</v>
      </c>
      <c r="I55" s="159"/>
      <c r="J55" s="166"/>
      <c r="K55" s="167"/>
      <c r="M55" s="168" t="s">
        <v>160</v>
      </c>
      <c r="N55" s="169"/>
      <c r="O55" s="164">
        <f>+H56</f>
        <v>180</v>
      </c>
      <c r="P55" s="164"/>
      <c r="Q55" s="165"/>
    </row>
    <row r="56" spans="1:17" ht="13.5" thickBot="1" x14ac:dyDescent="0.25">
      <c r="A56" s="156"/>
      <c r="B56" s="157"/>
      <c r="C56" s="834" t="s">
        <v>161</v>
      </c>
      <c r="D56" s="834"/>
      <c r="E56" s="834"/>
      <c r="F56" s="158">
        <f>SUM(F44:F51)</f>
        <v>180</v>
      </c>
      <c r="G56" s="147">
        <f>+F56/$F$66</f>
        <v>3.4278783311607443E-3</v>
      </c>
      <c r="H56" s="159">
        <f>+F56/$D$60</f>
        <v>180</v>
      </c>
      <c r="I56" s="159"/>
      <c r="J56" s="166"/>
      <c r="K56" s="167"/>
      <c r="L56" s="167"/>
      <c r="M56" s="167" t="s">
        <v>162</v>
      </c>
      <c r="N56" s="170"/>
      <c r="O56" s="164">
        <f>O54*N56</f>
        <v>0</v>
      </c>
      <c r="P56" s="164"/>
      <c r="Q56" s="165"/>
    </row>
    <row r="57" spans="1:17" ht="13.5" thickBot="1" x14ac:dyDescent="0.25">
      <c r="A57" s="156"/>
      <c r="B57" s="171"/>
      <c r="C57" s="171"/>
      <c r="D57" s="171"/>
      <c r="E57" s="171"/>
      <c r="F57" s="172"/>
      <c r="G57" s="147"/>
      <c r="H57" s="173"/>
      <c r="I57" s="159"/>
      <c r="J57" s="166"/>
      <c r="K57" s="174"/>
      <c r="M57" s="175" t="s">
        <v>163</v>
      </c>
      <c r="N57" s="176"/>
      <c r="O57" s="177">
        <f>SUM(O54:O56)</f>
        <v>51662.759999999995</v>
      </c>
      <c r="P57" s="178"/>
      <c r="Q57" s="165"/>
    </row>
    <row r="58" spans="1:17" x14ac:dyDescent="0.2">
      <c r="B58" s="837" t="s">
        <v>164</v>
      </c>
      <c r="C58" s="837"/>
      <c r="D58" s="179">
        <v>10000</v>
      </c>
      <c r="E58" s="180"/>
      <c r="G58" s="147"/>
      <c r="H58" s="173">
        <f>+H56/77</f>
        <v>2.3376623376623376</v>
      </c>
      <c r="I58" s="181"/>
      <c r="J58" s="166"/>
      <c r="K58" s="174"/>
      <c r="L58" s="167"/>
      <c r="M58" s="167" t="s">
        <v>165</v>
      </c>
      <c r="N58" s="182"/>
      <c r="O58" s="164">
        <f>+H59</f>
        <v>149.6103896103896</v>
      </c>
      <c r="P58" s="164"/>
      <c r="Q58" s="165"/>
    </row>
    <row r="59" spans="1:17" x14ac:dyDescent="0.2">
      <c r="B59" s="837" t="s">
        <v>166</v>
      </c>
      <c r="C59" s="837"/>
      <c r="D59" s="183">
        <v>10000</v>
      </c>
      <c r="E59" s="180"/>
      <c r="G59" s="147"/>
      <c r="H59" s="173">
        <f>+H58*64</f>
        <v>149.6103896103896</v>
      </c>
      <c r="I59" s="181"/>
      <c r="J59" s="166"/>
      <c r="K59" s="174"/>
      <c r="L59" s="167"/>
      <c r="M59" s="838" t="s">
        <v>163</v>
      </c>
      <c r="N59" s="838"/>
      <c r="O59" s="164">
        <f>SUM(O57:O58)</f>
        <v>51812.370389610383</v>
      </c>
      <c r="P59" s="164"/>
      <c r="Q59" s="165"/>
    </row>
    <row r="60" spans="1:17" ht="13.5" thickBot="1" x14ac:dyDescent="0.25">
      <c r="B60" s="830" t="s">
        <v>167</v>
      </c>
      <c r="C60" s="830"/>
      <c r="D60" s="179">
        <f>+D58/D59</f>
        <v>1</v>
      </c>
      <c r="E60" s="180"/>
      <c r="F60" s="184"/>
      <c r="G60" s="147"/>
      <c r="H60" s="173"/>
      <c r="I60" s="181"/>
      <c r="J60" s="166"/>
      <c r="K60" s="174"/>
      <c r="L60" s="838"/>
      <c r="M60" s="838"/>
      <c r="N60" s="182"/>
      <c r="O60" s="164">
        <f>+O59*N60</f>
        <v>0</v>
      </c>
      <c r="P60" s="164"/>
      <c r="Q60" s="165"/>
    </row>
    <row r="61" spans="1:17" ht="13.5" thickBot="1" x14ac:dyDescent="0.25">
      <c r="B61" s="830" t="s">
        <v>168</v>
      </c>
      <c r="C61" s="830"/>
      <c r="D61" s="185"/>
      <c r="E61" s="180"/>
      <c r="F61" s="184"/>
      <c r="G61" s="147"/>
      <c r="H61" s="173"/>
      <c r="I61" s="181"/>
      <c r="J61" s="166"/>
      <c r="K61" s="831" t="s">
        <v>169</v>
      </c>
      <c r="L61" s="832"/>
      <c r="M61" s="832"/>
      <c r="N61" s="833"/>
      <c r="O61" s="177">
        <f>SUM(O59:O60)</f>
        <v>51812.370389610383</v>
      </c>
      <c r="P61" s="186" t="s">
        <v>170</v>
      </c>
      <c r="Q61" s="165"/>
    </row>
    <row r="62" spans="1:17" ht="13.5" thickBot="1" x14ac:dyDescent="0.25">
      <c r="C62" s="156" t="s">
        <v>171</v>
      </c>
      <c r="D62" s="187"/>
      <c r="E62" s="130" t="s">
        <v>172</v>
      </c>
      <c r="F62" s="188" t="s">
        <v>173</v>
      </c>
      <c r="G62" s="147"/>
      <c r="H62" s="173"/>
      <c r="I62" s="181"/>
      <c r="J62" s="189"/>
      <c r="K62" s="190"/>
      <c r="L62" s="844" t="s">
        <v>174</v>
      </c>
      <c r="M62" s="844"/>
      <c r="N62" s="844"/>
      <c r="O62" s="191">
        <f>+O61/D60</f>
        <v>51812.370389610383</v>
      </c>
      <c r="P62" s="192">
        <f>+O62/D59</f>
        <v>5.1812370389610383</v>
      </c>
      <c r="Q62" s="193"/>
    </row>
    <row r="63" spans="1:17" ht="13.5" thickBot="1" x14ac:dyDescent="0.25">
      <c r="B63" s="845" t="s">
        <v>159</v>
      </c>
      <c r="C63" s="845"/>
      <c r="D63" s="845"/>
      <c r="E63" s="194">
        <f>+F63/F63</f>
        <v>1</v>
      </c>
      <c r="F63" s="195">
        <f>SUM(F55)</f>
        <v>51482.759999999995</v>
      </c>
      <c r="G63" s="147">
        <f>+F63/$F$66</f>
        <v>0.98042576351305066</v>
      </c>
      <c r="H63" s="173"/>
      <c r="I63" s="181"/>
      <c r="K63" s="846"/>
      <c r="L63" s="847"/>
      <c r="M63" s="847"/>
      <c r="N63" s="847"/>
      <c r="O63" s="196"/>
      <c r="P63" s="197"/>
    </row>
    <row r="64" spans="1:17" ht="13.5" thickBot="1" x14ac:dyDescent="0.25">
      <c r="B64" s="848" t="s">
        <v>175</v>
      </c>
      <c r="C64" s="848"/>
      <c r="D64" s="848"/>
      <c r="E64" s="198">
        <v>0.02</v>
      </c>
      <c r="F64" s="195">
        <f>+F53*E64</f>
        <v>1027.8552</v>
      </c>
      <c r="G64" s="147">
        <f>+F64/$F$66</f>
        <v>1.9574236486949406E-2</v>
      </c>
      <c r="H64" s="159"/>
      <c r="I64" s="181"/>
      <c r="J64" s="199"/>
      <c r="O64" s="200"/>
      <c r="P64" s="157"/>
    </row>
    <row r="65" spans="2:13" ht="13.5" thickBot="1" x14ac:dyDescent="0.25">
      <c r="B65" s="849" t="s">
        <v>176</v>
      </c>
      <c r="C65" s="850"/>
      <c r="D65" s="201">
        <v>0</v>
      </c>
      <c r="E65" s="202">
        <v>77</v>
      </c>
      <c r="F65" s="195">
        <f>+E65*D65</f>
        <v>0</v>
      </c>
      <c r="G65" s="147">
        <f>+F65/$F$66</f>
        <v>0</v>
      </c>
      <c r="H65" s="159"/>
      <c r="I65" s="159"/>
      <c r="J65" s="149"/>
    </row>
    <row r="66" spans="2:13" ht="13.5" thickBot="1" x14ac:dyDescent="0.25">
      <c r="B66" s="851" t="s">
        <v>177</v>
      </c>
      <c r="C66" s="852"/>
      <c r="D66" s="852"/>
      <c r="E66" s="853"/>
      <c r="F66" s="172">
        <f>SUM(F63:F65)</f>
        <v>52510.615199999993</v>
      </c>
      <c r="G66" s="147">
        <f>+F66/$F$66</f>
        <v>1</v>
      </c>
      <c r="H66" s="854"/>
      <c r="I66" s="159"/>
      <c r="J66" s="149"/>
      <c r="M66" s="132" t="s">
        <v>178</v>
      </c>
    </row>
    <row r="67" spans="2:13" x14ac:dyDescent="0.2">
      <c r="C67" s="154"/>
      <c r="D67" s="154"/>
      <c r="E67" s="204"/>
      <c r="F67" s="195"/>
      <c r="G67" s="147"/>
      <c r="H67" s="854"/>
      <c r="I67" s="203"/>
      <c r="J67" s="132"/>
      <c r="M67" s="132" t="s">
        <v>179</v>
      </c>
    </row>
    <row r="68" spans="2:13" ht="13.5" thickBot="1" x14ac:dyDescent="0.25">
      <c r="B68" s="839" t="s">
        <v>180</v>
      </c>
      <c r="C68" s="839"/>
      <c r="D68" s="839"/>
      <c r="E68" s="839"/>
      <c r="F68" s="839"/>
      <c r="G68" s="147"/>
      <c r="H68" s="206"/>
      <c r="I68" s="203"/>
      <c r="J68" s="132"/>
      <c r="M68" s="132" t="s">
        <v>181</v>
      </c>
    </row>
    <row r="69" spans="2:13" ht="13.5" thickBot="1" x14ac:dyDescent="0.25">
      <c r="B69" s="207" t="s">
        <v>182</v>
      </c>
      <c r="C69" s="208">
        <f>+F53</f>
        <v>51392.759999999995</v>
      </c>
      <c r="D69" s="208">
        <f>+D58</f>
        <v>10000</v>
      </c>
      <c r="E69" s="209">
        <f>+C69/D69</f>
        <v>5.1392759999999997</v>
      </c>
      <c r="F69" s="147"/>
      <c r="G69" s="206"/>
      <c r="H69" s="149"/>
      <c r="I69" s="206"/>
      <c r="J69" s="132"/>
    </row>
    <row r="70" spans="2:13" x14ac:dyDescent="0.2">
      <c r="B70" s="210"/>
      <c r="C70" s="211"/>
      <c r="D70" s="212"/>
      <c r="E70" s="195"/>
      <c r="F70" s="147"/>
      <c r="G70" s="206"/>
      <c r="H70" s="149"/>
      <c r="I70" s="149"/>
      <c r="J70" s="132"/>
    </row>
    <row r="71" spans="2:13" x14ac:dyDescent="0.2">
      <c r="B71" s="207" t="s">
        <v>183</v>
      </c>
      <c r="C71" s="208">
        <f>SUM(F63:F64)</f>
        <v>52510.615199999993</v>
      </c>
      <c r="D71" s="208">
        <f>+D58</f>
        <v>10000</v>
      </c>
      <c r="E71" s="213">
        <f>+C71/D71</f>
        <v>5.2510615199999995</v>
      </c>
      <c r="F71" s="147"/>
      <c r="G71" s="206"/>
      <c r="H71" s="149"/>
      <c r="I71" s="149"/>
      <c r="J71" s="132"/>
    </row>
    <row r="72" spans="2:13" x14ac:dyDescent="0.2">
      <c r="B72" s="207"/>
      <c r="C72" s="208"/>
      <c r="D72" s="208"/>
      <c r="E72" s="213"/>
      <c r="F72" s="147"/>
      <c r="G72" s="206"/>
      <c r="H72" s="149"/>
      <c r="I72" s="149"/>
      <c r="J72" s="132"/>
    </row>
    <row r="73" spans="2:13" ht="13.5" thickBot="1" x14ac:dyDescent="0.25">
      <c r="B73" s="207" t="s">
        <v>184</v>
      </c>
      <c r="C73" s="208">
        <f>+F65</f>
        <v>0</v>
      </c>
      <c r="D73" s="208">
        <f>+D58</f>
        <v>10000</v>
      </c>
      <c r="E73" s="213">
        <f>+C73/D73</f>
        <v>0</v>
      </c>
      <c r="F73" s="147"/>
      <c r="G73" s="206"/>
      <c r="H73" s="149"/>
      <c r="I73" s="149"/>
      <c r="J73" s="132"/>
    </row>
    <row r="74" spans="2:13" ht="13.5" thickBot="1" x14ac:dyDescent="0.25">
      <c r="B74" s="207" t="s">
        <v>185</v>
      </c>
      <c r="C74" s="208">
        <f>+F56</f>
        <v>180</v>
      </c>
      <c r="D74" s="208">
        <f>+D73</f>
        <v>10000</v>
      </c>
      <c r="E74" s="209">
        <f>+C74/D74</f>
        <v>1.7999999999999999E-2</v>
      </c>
      <c r="F74" s="147"/>
      <c r="G74" s="206"/>
      <c r="H74" s="149"/>
      <c r="I74" s="149"/>
      <c r="J74" s="132"/>
    </row>
    <row r="75" spans="2:13" ht="13.5" thickBot="1" x14ac:dyDescent="0.25">
      <c r="B75" s="171"/>
      <c r="C75" s="172"/>
      <c r="D75" s="172"/>
      <c r="E75" s="213"/>
      <c r="F75" s="147"/>
      <c r="G75" s="206"/>
      <c r="H75" s="149"/>
      <c r="I75" s="149"/>
      <c r="J75" s="132"/>
    </row>
    <row r="76" spans="2:13" ht="13.5" thickBot="1" x14ac:dyDescent="0.25">
      <c r="B76" s="207" t="s">
        <v>186</v>
      </c>
      <c r="C76" s="208">
        <f>+F54</f>
        <v>90</v>
      </c>
      <c r="D76" s="208">
        <f>+D74</f>
        <v>10000</v>
      </c>
      <c r="E76" s="209">
        <f>+C76/D76</f>
        <v>8.9999999999999993E-3</v>
      </c>
      <c r="F76" s="147"/>
      <c r="G76" s="206"/>
      <c r="H76" s="149"/>
      <c r="I76" s="149"/>
      <c r="J76" s="149"/>
    </row>
    <row r="77" spans="2:13" ht="13.5" thickBot="1" x14ac:dyDescent="0.25">
      <c r="B77" s="171"/>
      <c r="C77" s="172"/>
      <c r="D77" s="172"/>
      <c r="E77" s="213"/>
      <c r="F77" s="147"/>
      <c r="G77" s="206"/>
      <c r="H77" s="149"/>
      <c r="I77" s="149"/>
    </row>
    <row r="78" spans="2:13" ht="13.5" thickBot="1" x14ac:dyDescent="0.25">
      <c r="B78" s="840" t="s">
        <v>187</v>
      </c>
      <c r="C78" s="841"/>
      <c r="D78" s="842"/>
      <c r="E78" s="209">
        <f>+E69+E74</f>
        <v>5.1572759999999995</v>
      </c>
      <c r="G78" s="147"/>
      <c r="H78" s="206"/>
      <c r="I78" s="149"/>
      <c r="J78" s="213"/>
    </row>
    <row r="79" spans="2:13" x14ac:dyDescent="0.2">
      <c r="I79" s="206"/>
      <c r="J79" s="132"/>
    </row>
    <row r="80" spans="2:13" ht="13.5" thickBot="1" x14ac:dyDescent="0.25">
      <c r="B80" s="839" t="s">
        <v>188</v>
      </c>
      <c r="C80" s="839"/>
      <c r="D80" s="839"/>
      <c r="E80" s="839"/>
      <c r="F80" s="839"/>
      <c r="G80" s="147"/>
      <c r="H80" s="206"/>
      <c r="J80" s="132"/>
    </row>
    <row r="81" spans="1:10" ht="13.5" thickBot="1" x14ac:dyDescent="0.25">
      <c r="B81" s="207" t="s">
        <v>182</v>
      </c>
      <c r="C81" s="208">
        <f>+C69</f>
        <v>51392.759999999995</v>
      </c>
      <c r="D81" s="208">
        <f>+D60</f>
        <v>1</v>
      </c>
      <c r="E81" s="209">
        <f>+C81/D81</f>
        <v>51392.759999999995</v>
      </c>
      <c r="F81" s="147"/>
      <c r="G81" s="206"/>
      <c r="H81" s="149"/>
      <c r="I81" s="206"/>
      <c r="J81" s="132"/>
    </row>
    <row r="82" spans="1:10" x14ac:dyDescent="0.2">
      <c r="B82" s="210"/>
      <c r="C82" s="211"/>
      <c r="D82" s="212"/>
      <c r="E82" s="195"/>
      <c r="F82" s="147"/>
      <c r="G82" s="206"/>
      <c r="H82" s="149"/>
      <c r="I82" s="149"/>
      <c r="J82" s="132"/>
    </row>
    <row r="83" spans="1:10" x14ac:dyDescent="0.2">
      <c r="B83" s="207" t="s">
        <v>183</v>
      </c>
      <c r="C83" s="208">
        <f>+C71</f>
        <v>52510.615199999993</v>
      </c>
      <c r="D83" s="208">
        <f>+D60</f>
        <v>1</v>
      </c>
      <c r="E83" s="213">
        <f>+C83/D83</f>
        <v>52510.615199999993</v>
      </c>
      <c r="F83" s="147"/>
      <c r="G83" s="206"/>
      <c r="H83" s="149"/>
      <c r="I83" s="149"/>
      <c r="J83" s="132"/>
    </row>
    <row r="84" spans="1:10" x14ac:dyDescent="0.2">
      <c r="B84" s="207"/>
      <c r="C84" s="208"/>
      <c r="D84" s="208"/>
      <c r="E84" s="213"/>
      <c r="F84" s="147"/>
      <c r="G84" s="206"/>
      <c r="H84" s="149"/>
      <c r="I84" s="149"/>
      <c r="J84" s="132"/>
    </row>
    <row r="85" spans="1:10" ht="13.5" thickBot="1" x14ac:dyDescent="0.25">
      <c r="B85" s="207" t="s">
        <v>185</v>
      </c>
      <c r="C85" s="208">
        <f>+C73</f>
        <v>0</v>
      </c>
      <c r="D85" s="208">
        <f>+D60</f>
        <v>1</v>
      </c>
      <c r="E85" s="213">
        <f>+C85/D85</f>
        <v>0</v>
      </c>
      <c r="F85" s="215"/>
      <c r="G85" s="205"/>
      <c r="H85" s="131"/>
      <c r="I85" s="149"/>
    </row>
    <row r="86" spans="1:10" ht="13.5" thickBot="1" x14ac:dyDescent="0.25">
      <c r="B86" s="207" t="s">
        <v>185</v>
      </c>
      <c r="C86" s="208">
        <f>+C74</f>
        <v>180</v>
      </c>
      <c r="D86" s="208">
        <f>+D85</f>
        <v>1</v>
      </c>
      <c r="E86" s="209">
        <f>+C86/D86</f>
        <v>180</v>
      </c>
      <c r="F86" s="214"/>
      <c r="G86" s="205"/>
      <c r="H86" s="131"/>
      <c r="I86" s="131"/>
    </row>
    <row r="87" spans="1:10" x14ac:dyDescent="0.2">
      <c r="I87" s="131"/>
    </row>
    <row r="88" spans="1:10" x14ac:dyDescent="0.2">
      <c r="A88" s="843"/>
      <c r="B88" s="843"/>
      <c r="C88" s="216"/>
      <c r="D88" s="216"/>
      <c r="E88" s="217"/>
      <c r="G88" s="218"/>
    </row>
    <row r="89" spans="1:10" x14ac:dyDescent="0.2">
      <c r="A89" s="150"/>
      <c r="B89" s="219"/>
      <c r="C89" s="220"/>
      <c r="D89" s="220"/>
      <c r="E89" s="221"/>
      <c r="G89" s="218"/>
    </row>
    <row r="90" spans="1:10" x14ac:dyDescent="0.2">
      <c r="A90" s="150"/>
      <c r="B90" s="219"/>
      <c r="C90" s="222"/>
      <c r="D90" s="222"/>
      <c r="E90" s="150"/>
      <c r="G90" s="218"/>
    </row>
    <row r="91" spans="1:10" x14ac:dyDescent="0.2">
      <c r="A91" s="150"/>
      <c r="B91" s="219"/>
      <c r="C91" s="223"/>
      <c r="D91" s="223"/>
      <c r="E91" s="150"/>
      <c r="G91" s="218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56F99-2378-4D48-A1C8-08524348D15B}">
  <dimension ref="A1:I35"/>
  <sheetViews>
    <sheetView topLeftCell="A5" workbookViewId="0">
      <selection activeCell="C13" sqref="C13"/>
    </sheetView>
  </sheetViews>
  <sheetFormatPr baseColWidth="10" defaultRowHeight="12.75" x14ac:dyDescent="0.2"/>
  <cols>
    <col min="2" max="2" width="15.5703125" customWidth="1"/>
    <col min="3" max="3" width="40.28515625" customWidth="1"/>
    <col min="4" max="4" width="15.85546875" customWidth="1"/>
    <col min="7" max="7" width="16.28515625" customWidth="1"/>
    <col min="8" max="8" width="23" customWidth="1"/>
  </cols>
  <sheetData>
    <row r="1" spans="1:9" ht="18" x14ac:dyDescent="0.25">
      <c r="A1" s="905"/>
      <c r="B1" s="906"/>
      <c r="C1" s="911" t="s">
        <v>58</v>
      </c>
      <c r="D1" s="911"/>
      <c r="E1" s="911"/>
      <c r="F1" s="911"/>
      <c r="G1" s="911"/>
      <c r="H1" s="66" t="s">
        <v>57</v>
      </c>
      <c r="I1" s="65"/>
    </row>
    <row r="2" spans="1:9" ht="18" x14ac:dyDescent="0.25">
      <c r="A2" s="907"/>
      <c r="B2" s="908"/>
      <c r="C2" s="912" t="s">
        <v>56</v>
      </c>
      <c r="D2" s="912"/>
      <c r="E2" s="912"/>
      <c r="F2" s="912"/>
      <c r="G2" s="912"/>
      <c r="H2" s="64" t="s">
        <v>55</v>
      </c>
      <c r="I2" s="63"/>
    </row>
    <row r="3" spans="1:9" ht="18.75" x14ac:dyDescent="0.2">
      <c r="A3" s="907"/>
      <c r="B3" s="908"/>
      <c r="C3" s="913" t="s">
        <v>80</v>
      </c>
      <c r="D3" s="914"/>
      <c r="E3" s="914"/>
      <c r="F3" s="914"/>
      <c r="G3" s="914"/>
      <c r="H3" s="915" t="s">
        <v>54</v>
      </c>
      <c r="I3" s="901"/>
    </row>
    <row r="4" spans="1:9" ht="18" x14ac:dyDescent="0.25">
      <c r="A4" s="907"/>
      <c r="B4" s="908"/>
      <c r="C4" s="62" t="s">
        <v>53</v>
      </c>
      <c r="D4" s="903" t="s">
        <v>52</v>
      </c>
      <c r="E4" s="903"/>
      <c r="F4" s="903"/>
      <c r="G4" s="903"/>
      <c r="H4" s="915"/>
      <c r="I4" s="902"/>
    </row>
    <row r="5" spans="1:9" ht="18.75" thickBot="1" x14ac:dyDescent="0.3">
      <c r="A5" s="909"/>
      <c r="B5" s="910"/>
      <c r="C5" s="61" t="s">
        <v>51</v>
      </c>
      <c r="D5" s="904" t="s">
        <v>50</v>
      </c>
      <c r="E5" s="904"/>
      <c r="F5" s="904"/>
      <c r="G5" s="904"/>
      <c r="H5" s="916"/>
      <c r="I5" s="902"/>
    </row>
    <row r="6" spans="1:9" ht="36.75" thickBot="1" x14ac:dyDescent="0.3">
      <c r="A6" s="893" t="s">
        <v>49</v>
      </c>
      <c r="B6" s="893"/>
      <c r="C6" s="893"/>
      <c r="D6" s="894" t="s">
        <v>68</v>
      </c>
      <c r="E6" s="894"/>
      <c r="F6" s="894"/>
      <c r="G6" s="895" t="s">
        <v>47</v>
      </c>
      <c r="H6" s="895"/>
      <c r="I6" s="60" t="s">
        <v>68</v>
      </c>
    </row>
    <row r="7" spans="1:9" ht="54" x14ac:dyDescent="0.2">
      <c r="A7" s="896" t="s">
        <v>45</v>
      </c>
      <c r="B7" s="896" t="s">
        <v>45</v>
      </c>
      <c r="C7" s="898" t="s">
        <v>44</v>
      </c>
      <c r="D7" s="898" t="s">
        <v>43</v>
      </c>
      <c r="E7" s="898" t="s">
        <v>42</v>
      </c>
      <c r="F7" s="898"/>
      <c r="G7" s="898" t="s">
        <v>41</v>
      </c>
      <c r="H7" s="898"/>
      <c r="I7" s="58" t="s">
        <v>40</v>
      </c>
    </row>
    <row r="8" spans="1:9" ht="36.75" thickBot="1" x14ac:dyDescent="0.3">
      <c r="A8" s="897"/>
      <c r="B8" s="897"/>
      <c r="C8" s="899"/>
      <c r="D8" s="900"/>
      <c r="E8" s="57" t="s">
        <v>11</v>
      </c>
      <c r="F8" s="55" t="s">
        <v>39</v>
      </c>
      <c r="G8" s="56" t="s">
        <v>11</v>
      </c>
      <c r="H8" s="55" t="s">
        <v>39</v>
      </c>
      <c r="I8" s="54" t="s">
        <v>38</v>
      </c>
    </row>
    <row r="9" spans="1:9" ht="18" x14ac:dyDescent="0.25">
      <c r="A9" s="35"/>
      <c r="B9" s="76" t="s">
        <v>81</v>
      </c>
      <c r="C9" s="3" t="s">
        <v>82</v>
      </c>
      <c r="D9" s="35" t="s">
        <v>83</v>
      </c>
      <c r="E9" s="35">
        <v>300</v>
      </c>
      <c r="F9" s="35" t="s">
        <v>2</v>
      </c>
      <c r="G9" s="14"/>
      <c r="H9" s="39"/>
      <c r="I9" s="38"/>
    </row>
    <row r="10" spans="1:9" ht="18" x14ac:dyDescent="0.25">
      <c r="A10" s="34"/>
      <c r="B10" s="76" t="s">
        <v>84</v>
      </c>
      <c r="C10" s="3" t="s">
        <v>85</v>
      </c>
      <c r="D10" s="70" t="s">
        <v>86</v>
      </c>
      <c r="E10" s="70">
        <v>200</v>
      </c>
      <c r="F10" s="70" t="s">
        <v>2</v>
      </c>
      <c r="G10" s="71"/>
      <c r="H10" s="72"/>
      <c r="I10" s="38"/>
    </row>
    <row r="11" spans="1:9" ht="18" x14ac:dyDescent="0.25">
      <c r="A11" s="35"/>
      <c r="B11" s="51" t="s">
        <v>13</v>
      </c>
      <c r="C11" s="50" t="s">
        <v>71</v>
      </c>
      <c r="D11" s="70" t="s">
        <v>87</v>
      </c>
      <c r="E11" s="70" t="s">
        <v>72</v>
      </c>
      <c r="F11" s="70" t="s">
        <v>2</v>
      </c>
      <c r="G11" s="74"/>
      <c r="H11" s="75"/>
      <c r="I11" s="38"/>
    </row>
    <row r="12" spans="1:9" ht="18" x14ac:dyDescent="0.25">
      <c r="A12" s="35"/>
      <c r="B12" s="51" t="s">
        <v>13</v>
      </c>
      <c r="C12" s="68" t="s">
        <v>73</v>
      </c>
      <c r="D12" s="35" t="s">
        <v>74</v>
      </c>
      <c r="E12" s="70">
        <v>50</v>
      </c>
      <c r="F12" s="70" t="s">
        <v>2</v>
      </c>
      <c r="G12" s="74"/>
      <c r="H12" s="75"/>
      <c r="I12" s="38"/>
    </row>
    <row r="13" spans="1:9" ht="18" x14ac:dyDescent="0.25">
      <c r="A13" s="35"/>
      <c r="B13" s="76" t="s">
        <v>88</v>
      </c>
      <c r="C13" s="3" t="s">
        <v>89</v>
      </c>
      <c r="D13" s="70" t="s">
        <v>90</v>
      </c>
      <c r="E13" s="70">
        <v>240</v>
      </c>
      <c r="F13" s="70" t="s">
        <v>2</v>
      </c>
      <c r="G13" s="74"/>
      <c r="H13" s="75"/>
      <c r="I13" s="38"/>
    </row>
    <row r="14" spans="1:9" ht="18" x14ac:dyDescent="0.25">
      <c r="A14" s="35"/>
      <c r="B14" s="76" t="s">
        <v>91</v>
      </c>
      <c r="C14" s="3" t="s">
        <v>92</v>
      </c>
      <c r="D14" s="70" t="s">
        <v>23</v>
      </c>
      <c r="E14" s="70">
        <v>12</v>
      </c>
      <c r="F14" s="70" t="s">
        <v>2</v>
      </c>
      <c r="G14" s="74"/>
      <c r="H14" s="75"/>
      <c r="I14" s="38"/>
    </row>
    <row r="15" spans="1:9" ht="18" x14ac:dyDescent="0.25">
      <c r="A15" s="34">
        <v>10415</v>
      </c>
      <c r="B15" s="34"/>
      <c r="C15" s="33" t="s">
        <v>93</v>
      </c>
      <c r="D15" s="70" t="s">
        <v>33</v>
      </c>
      <c r="E15" s="70">
        <v>10</v>
      </c>
      <c r="F15" s="70" t="s">
        <v>2</v>
      </c>
      <c r="G15" s="74"/>
      <c r="H15" s="75"/>
      <c r="I15" s="38"/>
    </row>
    <row r="16" spans="1:9" ht="18" x14ac:dyDescent="0.25">
      <c r="A16" s="35"/>
      <c r="B16" s="69"/>
      <c r="C16" s="73"/>
      <c r="D16" s="70"/>
      <c r="E16" s="70"/>
      <c r="F16" s="70"/>
      <c r="G16" s="74"/>
      <c r="H16" s="75"/>
      <c r="I16" s="38"/>
    </row>
    <row r="17" spans="1:9" ht="18" x14ac:dyDescent="0.25">
      <c r="A17" s="35"/>
      <c r="B17" s="69"/>
      <c r="C17" s="73"/>
      <c r="D17" s="70"/>
      <c r="E17" s="70"/>
      <c r="F17" s="70"/>
      <c r="G17" s="74"/>
      <c r="H17" s="75"/>
      <c r="I17" s="38"/>
    </row>
    <row r="18" spans="1:9" ht="18" x14ac:dyDescent="0.25">
      <c r="A18" s="33"/>
      <c r="B18" s="34"/>
      <c r="C18" s="33"/>
      <c r="D18" s="32"/>
      <c r="E18" s="31"/>
      <c r="F18" s="30"/>
      <c r="G18" s="29"/>
      <c r="H18" s="29"/>
      <c r="I18" s="28"/>
    </row>
    <row r="19" spans="1:9" ht="18.75" thickBot="1" x14ac:dyDescent="0.3">
      <c r="A19" s="27"/>
      <c r="B19" s="26"/>
      <c r="C19" s="23"/>
      <c r="D19" s="23"/>
      <c r="E19" s="25"/>
      <c r="F19" s="24"/>
      <c r="G19" s="23"/>
      <c r="H19" s="23"/>
      <c r="I19" s="22"/>
    </row>
    <row r="20" spans="1:9" ht="18.75" thickBot="1" x14ac:dyDescent="0.3">
      <c r="A20" s="21"/>
      <c r="B20" s="20"/>
      <c r="C20" s="16"/>
      <c r="D20" s="19" t="s">
        <v>11</v>
      </c>
      <c r="E20" s="18" t="s">
        <v>10</v>
      </c>
      <c r="F20" s="17"/>
      <c r="G20" s="16"/>
      <c r="H20" s="16"/>
      <c r="I20" s="15"/>
    </row>
    <row r="21" spans="1:9" ht="18" x14ac:dyDescent="0.25">
      <c r="A21" s="887" t="s">
        <v>9</v>
      </c>
      <c r="B21" s="888"/>
      <c r="C21" s="889"/>
      <c r="D21" s="14">
        <v>800</v>
      </c>
      <c r="E21" s="13" t="s">
        <v>2</v>
      </c>
      <c r="F21" s="890"/>
      <c r="G21" s="890"/>
      <c r="H21" s="891"/>
      <c r="I21" s="892"/>
    </row>
    <row r="22" spans="1:9" ht="18" x14ac:dyDescent="0.25">
      <c r="A22" s="879" t="s">
        <v>8</v>
      </c>
      <c r="B22" s="880"/>
      <c r="C22" s="881"/>
      <c r="D22" s="12">
        <v>4</v>
      </c>
      <c r="E22" s="10" t="s">
        <v>7</v>
      </c>
      <c r="F22" s="882"/>
      <c r="G22" s="882"/>
      <c r="H22" s="883"/>
      <c r="I22" s="884"/>
    </row>
    <row r="23" spans="1:9" ht="18" x14ac:dyDescent="0.25">
      <c r="A23" s="879" t="s">
        <v>6</v>
      </c>
      <c r="B23" s="880"/>
      <c r="C23" s="881"/>
      <c r="D23" s="11">
        <v>1</v>
      </c>
      <c r="E23" s="10" t="s">
        <v>5</v>
      </c>
      <c r="F23" s="882"/>
      <c r="G23" s="882"/>
      <c r="H23" s="883"/>
      <c r="I23" s="884"/>
    </row>
    <row r="24" spans="1:9" ht="18" x14ac:dyDescent="0.25">
      <c r="A24" s="879" t="s">
        <v>4</v>
      </c>
      <c r="B24" s="880"/>
      <c r="C24" s="881"/>
      <c r="D24" s="11">
        <v>800</v>
      </c>
      <c r="E24" s="10" t="s">
        <v>2</v>
      </c>
      <c r="F24" s="885"/>
      <c r="G24" s="886"/>
      <c r="H24" s="883"/>
      <c r="I24" s="884"/>
    </row>
    <row r="25" spans="1:9" ht="18.75" thickBot="1" x14ac:dyDescent="0.3">
      <c r="A25" s="858" t="s">
        <v>3</v>
      </c>
      <c r="B25" s="859"/>
      <c r="C25" s="860"/>
      <c r="D25" s="8">
        <f>SUM(E9:E15)-D21</f>
        <v>12</v>
      </c>
      <c r="E25" s="7" t="s">
        <v>2</v>
      </c>
      <c r="F25" s="861"/>
      <c r="G25" s="861"/>
      <c r="H25" s="862"/>
      <c r="I25" s="863"/>
    </row>
    <row r="26" spans="1:9" ht="18.75" thickBot="1" x14ac:dyDescent="0.3">
      <c r="A26" s="864" t="s">
        <v>1</v>
      </c>
      <c r="B26" s="865"/>
      <c r="C26" s="865"/>
      <c r="D26" s="865"/>
      <c r="E26" s="865"/>
      <c r="F26" s="865"/>
      <c r="G26" s="865"/>
      <c r="H26" s="865"/>
      <c r="I26" s="866"/>
    </row>
    <row r="27" spans="1:9" ht="18" x14ac:dyDescent="0.25">
      <c r="A27" s="867" t="s">
        <v>78</v>
      </c>
      <c r="B27" s="868"/>
      <c r="C27" s="868"/>
      <c r="D27" s="868"/>
      <c r="E27" s="868"/>
      <c r="F27" s="868"/>
      <c r="G27" s="868"/>
      <c r="H27" s="868"/>
      <c r="I27" s="869"/>
    </row>
    <row r="28" spans="1:9" ht="18" x14ac:dyDescent="0.25">
      <c r="A28" s="3" t="s">
        <v>79</v>
      </c>
      <c r="B28" s="5"/>
      <c r="C28" s="5"/>
      <c r="D28" s="5"/>
      <c r="E28" s="3"/>
      <c r="F28" s="5"/>
      <c r="G28" s="4"/>
      <c r="H28" s="3"/>
      <c r="I28" s="3"/>
    </row>
    <row r="29" spans="1:9" ht="18" x14ac:dyDescent="0.25">
      <c r="A29" s="870"/>
      <c r="B29" s="871"/>
      <c r="C29" s="871"/>
      <c r="D29" s="871"/>
      <c r="E29" s="871"/>
      <c r="F29" s="871"/>
      <c r="G29" s="871"/>
      <c r="H29" s="871"/>
      <c r="I29" s="872"/>
    </row>
    <row r="30" spans="1:9" ht="18" x14ac:dyDescent="0.25">
      <c r="A30" s="870"/>
      <c r="B30" s="871"/>
      <c r="C30" s="871"/>
      <c r="D30" s="871"/>
      <c r="E30" s="871"/>
      <c r="F30" s="871"/>
      <c r="G30" s="871"/>
      <c r="H30" s="871"/>
      <c r="I30" s="872"/>
    </row>
    <row r="31" spans="1:9" ht="18" x14ac:dyDescent="0.25">
      <c r="A31" s="870"/>
      <c r="B31" s="871"/>
      <c r="C31" s="871"/>
      <c r="D31" s="871"/>
      <c r="E31" s="871"/>
      <c r="F31" s="871"/>
      <c r="G31" s="871"/>
      <c r="H31" s="871"/>
      <c r="I31" s="872"/>
    </row>
    <row r="32" spans="1:9" ht="18" x14ac:dyDescent="0.25">
      <c r="A32" s="870"/>
      <c r="B32" s="871"/>
      <c r="C32" s="871"/>
      <c r="D32" s="871"/>
      <c r="E32" s="871"/>
      <c r="F32" s="871"/>
      <c r="G32" s="871"/>
      <c r="H32" s="871"/>
      <c r="I32" s="872"/>
    </row>
    <row r="33" spans="1:9" ht="18" x14ac:dyDescent="0.25">
      <c r="A33" s="873"/>
      <c r="B33" s="874"/>
      <c r="C33" s="874"/>
      <c r="D33" s="874"/>
      <c r="E33" s="874"/>
      <c r="F33" s="874"/>
      <c r="G33" s="874"/>
      <c r="H33" s="874"/>
      <c r="I33" s="875"/>
    </row>
    <row r="34" spans="1:9" ht="18" x14ac:dyDescent="0.25">
      <c r="A34" s="876" t="s">
        <v>0</v>
      </c>
      <c r="B34" s="877"/>
      <c r="C34" s="877"/>
      <c r="D34" s="877"/>
      <c r="E34" s="877"/>
      <c r="F34" s="877"/>
      <c r="G34" s="877"/>
      <c r="H34" s="877"/>
      <c r="I34" s="878"/>
    </row>
    <row r="35" spans="1:9" ht="18.75" thickBot="1" x14ac:dyDescent="0.3">
      <c r="A35" s="855"/>
      <c r="B35" s="856"/>
      <c r="C35" s="856"/>
      <c r="D35" s="856"/>
      <c r="E35" s="856"/>
      <c r="F35" s="856"/>
      <c r="G35" s="856"/>
      <c r="H35" s="856"/>
      <c r="I35" s="857"/>
    </row>
  </sheetData>
  <mergeCells count="41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1:C21"/>
    <mergeCell ref="F21:G21"/>
    <mergeCell ref="H21:I21"/>
    <mergeCell ref="A22:C22"/>
    <mergeCell ref="F22:G22"/>
    <mergeCell ref="H22:I22"/>
    <mergeCell ref="A23:C23"/>
    <mergeCell ref="F23:G23"/>
    <mergeCell ref="H23:I23"/>
    <mergeCell ref="A24:C24"/>
    <mergeCell ref="F24:G24"/>
    <mergeCell ref="H24:I24"/>
    <mergeCell ref="A35:I35"/>
    <mergeCell ref="A25:C25"/>
    <mergeCell ref="F25:G25"/>
    <mergeCell ref="H25:I25"/>
    <mergeCell ref="A26:I26"/>
    <mergeCell ref="A27:I27"/>
    <mergeCell ref="A29:I29"/>
    <mergeCell ref="A30:I30"/>
    <mergeCell ref="A31:I31"/>
    <mergeCell ref="A32:I32"/>
    <mergeCell ref="A33:I33"/>
    <mergeCell ref="A34:I3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1A1F3-8E67-42C8-96A9-8696C8CB93C8}">
  <dimension ref="A1:Q91"/>
  <sheetViews>
    <sheetView topLeftCell="A52" workbookViewId="0">
      <selection activeCell="B66" sqref="B66:E66"/>
    </sheetView>
  </sheetViews>
  <sheetFormatPr baseColWidth="10" defaultColWidth="8.42578125" defaultRowHeight="12.75" x14ac:dyDescent="0.2"/>
  <cols>
    <col min="1" max="1" width="10" style="132" bestFit="1" customWidth="1"/>
    <col min="2" max="2" width="44.28515625" style="132" bestFit="1" customWidth="1"/>
    <col min="3" max="3" width="10.42578125" style="132" bestFit="1" customWidth="1"/>
    <col min="4" max="4" width="10.42578125" style="132" customWidth="1"/>
    <col min="5" max="5" width="11" style="132" customWidth="1"/>
    <col min="6" max="6" width="9.5703125" style="132" bestFit="1" customWidth="1"/>
    <col min="7" max="7" width="10.85546875" style="214" customWidth="1"/>
    <col min="8" max="8" width="10.42578125" style="205" bestFit="1" customWidth="1"/>
    <col min="9" max="9" width="4.5703125" style="205" customWidth="1"/>
    <col min="10" max="10" width="1.85546875" style="131" customWidth="1"/>
    <col min="11" max="11" width="7" style="132" bestFit="1" customWidth="1"/>
    <col min="12" max="12" width="6.28515625" style="132" customWidth="1"/>
    <col min="13" max="13" width="20.42578125" style="132" customWidth="1"/>
    <col min="14" max="14" width="6.42578125" style="132" bestFit="1" customWidth="1"/>
    <col min="15" max="16" width="8.42578125" style="132"/>
    <col min="17" max="17" width="3.28515625" style="132" customWidth="1"/>
    <col min="18" max="16384" width="8.42578125" style="132"/>
  </cols>
  <sheetData>
    <row r="1" spans="1:10" ht="27.75" customHeight="1" x14ac:dyDescent="0.2">
      <c r="A1" s="127"/>
      <c r="B1" s="127"/>
      <c r="C1" s="127"/>
      <c r="D1" s="127"/>
      <c r="E1" s="128" t="s">
        <v>138</v>
      </c>
      <c r="F1" s="129" t="s">
        <v>139</v>
      </c>
      <c r="G1" s="129" t="s">
        <v>140</v>
      </c>
      <c r="H1" s="129" t="s">
        <v>141</v>
      </c>
      <c r="I1" s="130"/>
    </row>
    <row r="2" spans="1:10" ht="30.75" customHeight="1" x14ac:dyDescent="0.2">
      <c r="A2" s="127"/>
      <c r="B2" s="127"/>
      <c r="C2" s="127"/>
      <c r="D2" s="127"/>
      <c r="E2" s="133">
        <f>IFERROR(O62,"")</f>
        <v>45490.44</v>
      </c>
      <c r="F2" s="133">
        <f>IFERROR(H53,"")</f>
        <v>44080.44</v>
      </c>
      <c r="G2" s="133">
        <f>IFERROR(H54,"")</f>
        <v>0</v>
      </c>
      <c r="H2" s="133">
        <f>IFERROR(H56,"")</f>
        <v>770</v>
      </c>
      <c r="I2" s="134"/>
    </row>
    <row r="3" spans="1:10" ht="15" customHeight="1" x14ac:dyDescent="0.2">
      <c r="A3" s="127"/>
      <c r="B3" s="127"/>
      <c r="C3" s="127"/>
      <c r="D3" s="127"/>
      <c r="E3" s="127"/>
      <c r="F3" s="135"/>
      <c r="G3" s="135"/>
      <c r="H3" s="135"/>
      <c r="I3" s="135"/>
    </row>
    <row r="4" spans="1:10" ht="24.75" customHeight="1" thickBot="1" x14ac:dyDescent="0.25">
      <c r="A4" s="825"/>
      <c r="B4" s="825"/>
      <c r="C4" s="825"/>
      <c r="D4" s="825"/>
      <c r="E4" s="825"/>
      <c r="F4" s="825"/>
      <c r="G4" s="825"/>
      <c r="H4" s="825"/>
      <c r="I4" s="136"/>
    </row>
    <row r="5" spans="1:10" ht="19.5" customHeight="1" thickBot="1" x14ac:dyDescent="0.25">
      <c r="A5" s="826" t="s">
        <v>142</v>
      </c>
      <c r="B5" s="827"/>
      <c r="C5" s="827"/>
      <c r="D5" s="827"/>
      <c r="E5" s="827"/>
      <c r="F5" s="827"/>
      <c r="G5" s="827"/>
      <c r="H5" s="828"/>
      <c r="I5" s="137"/>
    </row>
    <row r="6" spans="1:10" ht="19.5" thickBot="1" x14ac:dyDescent="0.25">
      <c r="A6" s="137"/>
      <c r="B6" s="137"/>
      <c r="C6" s="137"/>
      <c r="D6" s="137"/>
      <c r="E6" s="137"/>
      <c r="F6" s="829" t="s">
        <v>143</v>
      </c>
      <c r="G6" s="829"/>
      <c r="H6" s="138">
        <f ca="1">TODAY()</f>
        <v>45890</v>
      </c>
      <c r="I6" s="138"/>
    </row>
    <row r="7" spans="1:10" ht="26.25" thickBot="1" x14ac:dyDescent="0.25">
      <c r="A7" s="139" t="s">
        <v>144</v>
      </c>
      <c r="B7" s="140" t="s">
        <v>145</v>
      </c>
      <c r="C7" s="140" t="s">
        <v>144</v>
      </c>
      <c r="D7" s="141" t="s">
        <v>146</v>
      </c>
      <c r="E7" s="141" t="s">
        <v>147</v>
      </c>
      <c r="F7" s="141" t="s">
        <v>148</v>
      </c>
      <c r="G7" s="141" t="s">
        <v>149</v>
      </c>
      <c r="H7" s="142" t="s">
        <v>150</v>
      </c>
      <c r="I7" s="143"/>
    </row>
    <row r="8" spans="1:10" ht="13.5" x14ac:dyDescent="0.25">
      <c r="A8" s="144">
        <v>3750</v>
      </c>
      <c r="B8" s="132" t="s">
        <v>82</v>
      </c>
      <c r="C8" s="145">
        <f>+A8</f>
        <v>3750</v>
      </c>
      <c r="D8" s="146" t="s">
        <v>191</v>
      </c>
      <c r="E8" s="146">
        <v>3.07</v>
      </c>
      <c r="F8" s="146">
        <f>IFERROR(C8*E8,"")</f>
        <v>11512.5</v>
      </c>
      <c r="G8" s="147">
        <f t="shared" ref="G8:G14" si="0">IFERROR(F8/$F$66,"")</f>
        <v>0.25173812024796055</v>
      </c>
      <c r="H8" s="148" t="s">
        <v>81</v>
      </c>
      <c r="I8" s="148"/>
      <c r="J8" s="149"/>
    </row>
    <row r="9" spans="1:10" ht="13.5" x14ac:dyDescent="0.25">
      <c r="A9" s="144">
        <v>2500</v>
      </c>
      <c r="B9" s="132" t="s">
        <v>85</v>
      </c>
      <c r="C9" s="145">
        <f t="shared" ref="C9:C14" si="1">+A9</f>
        <v>2500</v>
      </c>
      <c r="D9" s="146" t="s">
        <v>191</v>
      </c>
      <c r="E9" s="146">
        <v>2.2200000000000002</v>
      </c>
      <c r="F9" s="146">
        <f t="shared" ref="F9:F14" si="2">IFERROR(C9*E9,"")</f>
        <v>5550.0000000000009</v>
      </c>
      <c r="G9" s="147">
        <f t="shared" si="0"/>
        <v>0.12135909380031976</v>
      </c>
      <c r="H9" s="148" t="s">
        <v>84</v>
      </c>
      <c r="I9" s="148"/>
      <c r="J9" s="149"/>
    </row>
    <row r="10" spans="1:10" ht="13.5" x14ac:dyDescent="0.25">
      <c r="A10" s="144">
        <v>3</v>
      </c>
      <c r="B10" s="132" t="s">
        <v>71</v>
      </c>
      <c r="C10" s="145">
        <f t="shared" si="1"/>
        <v>3</v>
      </c>
      <c r="D10" s="146" t="s">
        <v>191</v>
      </c>
      <c r="E10" s="146">
        <v>5.48</v>
      </c>
      <c r="F10" s="146">
        <f>IFERROR(C10*E10,"")</f>
        <v>16.440000000000001</v>
      </c>
      <c r="G10" s="147">
        <f t="shared" si="0"/>
        <v>3.5948531568959577E-4</v>
      </c>
      <c r="H10" s="148" t="s">
        <v>13</v>
      </c>
      <c r="I10" s="148"/>
      <c r="J10" s="149"/>
    </row>
    <row r="11" spans="1:10" ht="13.5" x14ac:dyDescent="0.25">
      <c r="A11" s="144">
        <v>550</v>
      </c>
      <c r="B11" s="132" t="s">
        <v>73</v>
      </c>
      <c r="C11" s="145">
        <f t="shared" si="1"/>
        <v>550</v>
      </c>
      <c r="D11" s="146" t="s">
        <v>191</v>
      </c>
      <c r="E11" s="146">
        <v>34.200000000000003</v>
      </c>
      <c r="F11" s="146">
        <f t="shared" si="2"/>
        <v>18810</v>
      </c>
      <c r="G11" s="147">
        <f t="shared" si="0"/>
        <v>0.41130892871784042</v>
      </c>
      <c r="H11" s="148" t="s">
        <v>13</v>
      </c>
      <c r="I11" s="148"/>
      <c r="J11" s="149"/>
    </row>
    <row r="12" spans="1:10" ht="13.5" x14ac:dyDescent="0.25">
      <c r="A12" s="144">
        <v>3000</v>
      </c>
      <c r="B12" s="132" t="s">
        <v>89</v>
      </c>
      <c r="C12" s="145">
        <f t="shared" si="1"/>
        <v>3000</v>
      </c>
      <c r="D12" s="146" t="s">
        <v>191</v>
      </c>
      <c r="E12" s="146">
        <v>2.08</v>
      </c>
      <c r="F12" s="146">
        <f t="shared" si="2"/>
        <v>6240</v>
      </c>
      <c r="G12" s="147">
        <f t="shared" si="0"/>
        <v>0.13644698113765677</v>
      </c>
      <c r="H12" s="148" t="s">
        <v>88</v>
      </c>
      <c r="I12" s="148"/>
      <c r="J12" s="149"/>
    </row>
    <row r="13" spans="1:10" ht="13.5" x14ac:dyDescent="0.25">
      <c r="A13" s="144">
        <v>150</v>
      </c>
      <c r="B13" s="132" t="s">
        <v>92</v>
      </c>
      <c r="C13" s="145">
        <f t="shared" si="1"/>
        <v>150</v>
      </c>
      <c r="D13" s="146" t="s">
        <v>191</v>
      </c>
      <c r="E13" s="146">
        <v>13.01</v>
      </c>
      <c r="F13" s="146">
        <f t="shared" si="2"/>
        <v>1951.5</v>
      </c>
      <c r="G13" s="147">
        <f t="shared" si="0"/>
        <v>4.267248136059891E-2</v>
      </c>
      <c r="H13" s="148" t="s">
        <v>91</v>
      </c>
      <c r="I13" s="148"/>
      <c r="J13" s="149"/>
    </row>
    <row r="14" spans="1:10" ht="13.5" x14ac:dyDescent="0.25">
      <c r="A14" s="144"/>
      <c r="B14" s="132" t="str">
        <f>IFERROR(VLOOKUP(H14,'[1]Consolidado MP Planta'!$A$2:$M$823,3,0),"")</f>
        <v/>
      </c>
      <c r="C14" s="145">
        <f t="shared" si="1"/>
        <v>0</v>
      </c>
      <c r="D14" s="146" t="str">
        <f>IFERROR(VLOOKUP(H14,'[1]Consolidado MP Planta'!$A$2:$M$823,13,0),"")</f>
        <v/>
      </c>
      <c r="E14" s="146" t="str">
        <f>IFERROR(VLOOKUP(H14,'[1]Consolidado MP Planta'!$A$2:$M$823,12,0),"")</f>
        <v/>
      </c>
      <c r="F14" s="146" t="str">
        <f t="shared" si="2"/>
        <v/>
      </c>
      <c r="G14" s="147" t="str">
        <f t="shared" si="0"/>
        <v/>
      </c>
      <c r="H14" s="148"/>
      <c r="I14" s="148"/>
      <c r="J14" s="149"/>
    </row>
    <row r="15" spans="1:10" ht="14.25" thickBot="1" x14ac:dyDescent="0.3">
      <c r="A15" s="144"/>
      <c r="B15" s="132" t="str">
        <f>IFERROR(VLOOKUP(H15,'[2]ARTICULOS MP PLANTA'!$A$2:$G$589,2,0),"")</f>
        <v/>
      </c>
      <c r="C15" s="145"/>
      <c r="D15" s="146"/>
      <c r="E15" s="146"/>
      <c r="F15" s="146"/>
      <c r="G15" s="147"/>
      <c r="H15" s="148"/>
      <c r="I15" s="148"/>
      <c r="J15" s="149"/>
    </row>
    <row r="16" spans="1:10" ht="26.25" hidden="1" thickBot="1" x14ac:dyDescent="0.25">
      <c r="A16" s="139" t="s">
        <v>144</v>
      </c>
      <c r="B16" s="140" t="s">
        <v>151</v>
      </c>
      <c r="C16" s="140" t="s">
        <v>144</v>
      </c>
      <c r="D16" s="141" t="s">
        <v>146</v>
      </c>
      <c r="E16" s="141" t="s">
        <v>147</v>
      </c>
      <c r="F16" s="141" t="s">
        <v>148</v>
      </c>
      <c r="G16" s="141" t="s">
        <v>149</v>
      </c>
      <c r="H16" s="142" t="s">
        <v>150</v>
      </c>
      <c r="I16" s="143"/>
      <c r="J16" s="149"/>
    </row>
    <row r="17" spans="1:12" ht="13.5" hidden="1" x14ac:dyDescent="0.25">
      <c r="A17" s="144"/>
      <c r="B17" s="132" t="str">
        <f>IFERROR(VLOOKUP(H17,[1]SEMIELABORADOS!$A$2:$M$6000,2,0),"")</f>
        <v/>
      </c>
      <c r="C17" s="145">
        <f>+A17</f>
        <v>0</v>
      </c>
      <c r="D17" s="145" t="str">
        <f>IFERROR(VLOOKUP(H17,[1]SEMIELABORADOS!$A$2:$M$6000,6,0),"")</f>
        <v/>
      </c>
      <c r="E17" s="146" t="str">
        <f>IFERROR(VLOOKUP(H17,[1]SEMIELABORADOS!$A$2:$H$65536,8,0),"")</f>
        <v/>
      </c>
      <c r="F17" s="146" t="str">
        <f>IFERROR(E17*C17,"")</f>
        <v/>
      </c>
      <c r="G17" s="147" t="str">
        <f t="shared" ref="G17:G24" si="3">IFERROR(F17/$F$66,"")</f>
        <v/>
      </c>
      <c r="H17" s="148"/>
      <c r="I17" s="148"/>
      <c r="J17" s="149"/>
    </row>
    <row r="18" spans="1:12" ht="13.5" hidden="1" x14ac:dyDescent="0.25">
      <c r="A18" s="144"/>
      <c r="B18" s="132" t="str">
        <f>IFERROR(VLOOKUP(H18,[1]SEMIELABORADOS!$A$2:$M$6000,2,0),"")</f>
        <v/>
      </c>
      <c r="C18" s="145">
        <f t="shared" ref="C18:C24" si="4">+A18</f>
        <v>0</v>
      </c>
      <c r="D18" s="145" t="str">
        <f>IFERROR(VLOOKUP(H18,[1]SEMIELABORADOS!$A$2:$M$6000,6,0),"")</f>
        <v/>
      </c>
      <c r="E18" s="146" t="str">
        <f>IFERROR(VLOOKUP(H18,[1]SEMIELABORADOS!$A$2:$H$65536,8,0),"")</f>
        <v/>
      </c>
      <c r="F18" s="146" t="str">
        <f t="shared" ref="F18:F24" si="5">IFERROR(E18*C18,"")</f>
        <v/>
      </c>
      <c r="G18" s="147" t="str">
        <f t="shared" si="3"/>
        <v/>
      </c>
      <c r="H18" s="148"/>
      <c r="I18" s="148"/>
      <c r="J18" s="149"/>
    </row>
    <row r="19" spans="1:12" ht="13.5" hidden="1" x14ac:dyDescent="0.25">
      <c r="A19" s="144"/>
      <c r="B19" s="132" t="str">
        <f>IFERROR(VLOOKUP(H19,[1]SEMIELABORADOS!$A$2:$M$6000,2,0),"")</f>
        <v/>
      </c>
      <c r="C19" s="145">
        <f>+A19</f>
        <v>0</v>
      </c>
      <c r="D19" s="145" t="str">
        <f>IFERROR(VLOOKUP(H19,[1]SEMIELABORADOS!$A$2:$M$6000,6,0),"")</f>
        <v/>
      </c>
      <c r="E19" s="146" t="str">
        <f>IFERROR(VLOOKUP(H19,[1]SEMIELABORADOS!$A$2:$H$65536,8,0),"")</f>
        <v/>
      </c>
      <c r="F19" s="146" t="str">
        <f>IFERROR(E19*C19,"")</f>
        <v/>
      </c>
      <c r="G19" s="147" t="str">
        <f t="shared" si="3"/>
        <v/>
      </c>
      <c r="H19" s="148"/>
      <c r="I19" s="148"/>
      <c r="J19" s="149"/>
    </row>
    <row r="20" spans="1:12" ht="13.5" hidden="1" x14ac:dyDescent="0.25">
      <c r="A20" s="144"/>
      <c r="B20" s="132" t="str">
        <f>IFERROR(VLOOKUP(H20,[1]SEMIELABORADOS!$A$2:$M$6000,2,0),"")</f>
        <v/>
      </c>
      <c r="C20" s="145">
        <f>+A20</f>
        <v>0</v>
      </c>
      <c r="D20" s="145" t="str">
        <f>IFERROR(VLOOKUP(H20,[1]SEMIELABORADOS!$A$2:$M$6000,6,0),"")</f>
        <v/>
      </c>
      <c r="E20" s="146" t="str">
        <f>IFERROR(VLOOKUP(H20,[1]SEMIELABORADOS!$A$2:$H$65536,8,0),"")</f>
        <v/>
      </c>
      <c r="F20" s="146" t="str">
        <f>IFERROR(E20*C20,"")</f>
        <v/>
      </c>
      <c r="G20" s="147" t="str">
        <f t="shared" si="3"/>
        <v/>
      </c>
      <c r="H20" s="148"/>
      <c r="I20" s="148"/>
      <c r="J20" s="149"/>
    </row>
    <row r="21" spans="1:12" ht="13.5" hidden="1" x14ac:dyDescent="0.25">
      <c r="A21" s="144"/>
      <c r="B21" s="132" t="str">
        <f>IFERROR(VLOOKUP(H21,[1]SEMIELABORADOS!$A$2:$M$6000,2,0),"")</f>
        <v/>
      </c>
      <c r="C21" s="145">
        <f>+A21</f>
        <v>0</v>
      </c>
      <c r="D21" s="145" t="str">
        <f>IFERROR(VLOOKUP(H21,[1]SEMIELABORADOS!$A$2:$M$6000,6,0),"")</f>
        <v/>
      </c>
      <c r="E21" s="146" t="str">
        <f>IFERROR(VLOOKUP(H21,[1]SEMIELABORADOS!$A$2:$H$65536,8,0),"")</f>
        <v/>
      </c>
      <c r="F21" s="146" t="str">
        <f>IFERROR(E21*C21,"")</f>
        <v/>
      </c>
      <c r="G21" s="147" t="str">
        <f t="shared" si="3"/>
        <v/>
      </c>
      <c r="H21" s="148"/>
      <c r="I21" s="148"/>
      <c r="J21" s="149"/>
    </row>
    <row r="22" spans="1:12" ht="13.5" hidden="1" x14ac:dyDescent="0.25">
      <c r="A22" s="144"/>
      <c r="B22" s="132" t="str">
        <f>IFERROR(VLOOKUP(H22,[1]SEMIELABORADOS!$A$2:$M$6000,2,0),"")</f>
        <v/>
      </c>
      <c r="C22" s="145">
        <f t="shared" si="4"/>
        <v>0</v>
      </c>
      <c r="D22" s="145" t="str">
        <f>IFERROR(VLOOKUP(H22,[1]SEMIELABORADOS!$A$2:$M$6000,6,0),"")</f>
        <v/>
      </c>
      <c r="E22" s="146" t="str">
        <f>IFERROR(VLOOKUP(H22,[1]SEMIELABORADOS!$A$2:$H$65536,8,0),"")</f>
        <v/>
      </c>
      <c r="F22" s="146" t="str">
        <f t="shared" si="5"/>
        <v/>
      </c>
      <c r="G22" s="147" t="str">
        <f t="shared" si="3"/>
        <v/>
      </c>
      <c r="H22" s="148"/>
      <c r="I22" s="148"/>
      <c r="J22" s="149"/>
    </row>
    <row r="23" spans="1:12" ht="13.5" hidden="1" x14ac:dyDescent="0.25">
      <c r="A23" s="144"/>
      <c r="B23" s="132" t="str">
        <f>IFERROR(VLOOKUP(H23,[1]SEMIELABORADOS!$A$2:$M$6000,2,0),"")</f>
        <v/>
      </c>
      <c r="C23" s="145">
        <f t="shared" si="4"/>
        <v>0</v>
      </c>
      <c r="D23" s="145" t="str">
        <f>IFERROR(VLOOKUP(H23,[1]SEMIELABORADOS!$A$2:$M$6000,6,0),"")</f>
        <v/>
      </c>
      <c r="E23" s="146" t="str">
        <f>IFERROR(VLOOKUP(H23,[1]SEMIELABORADOS!$A$2:$H$65536,8,0),"")</f>
        <v/>
      </c>
      <c r="F23" s="146" t="str">
        <f t="shared" si="5"/>
        <v/>
      </c>
      <c r="G23" s="147" t="str">
        <f t="shared" si="3"/>
        <v/>
      </c>
      <c r="H23" s="148"/>
      <c r="I23" s="148"/>
      <c r="J23" s="149"/>
    </row>
    <row r="24" spans="1:12" ht="13.5" hidden="1" x14ac:dyDescent="0.25">
      <c r="A24" s="144"/>
      <c r="B24" s="132" t="str">
        <f>IFERROR(VLOOKUP(H24,[1]SEMIELABORADOS!$A$2:$M$6000,2,0),"")</f>
        <v/>
      </c>
      <c r="C24" s="145">
        <f t="shared" si="4"/>
        <v>0</v>
      </c>
      <c r="D24" s="145" t="str">
        <f>IFERROR(VLOOKUP(H24,[1]SEMIELABORADOS!$A$2:$M$6000,6,0),"")</f>
        <v/>
      </c>
      <c r="E24" s="146" t="str">
        <f>IFERROR(VLOOKUP(H24,[1]SEMIELABORADOS!$A$2:$H$65536,8,0),"")</f>
        <v/>
      </c>
      <c r="F24" s="146" t="str">
        <f t="shared" si="5"/>
        <v/>
      </c>
      <c r="G24" s="147" t="str">
        <f t="shared" si="3"/>
        <v/>
      </c>
      <c r="H24" s="148"/>
      <c r="I24" s="148"/>
      <c r="J24" s="149"/>
    </row>
    <row r="25" spans="1:12" ht="14.25" hidden="1" thickBot="1" x14ac:dyDescent="0.3">
      <c r="A25" s="144"/>
      <c r="C25" s="145"/>
      <c r="D25" s="145"/>
      <c r="E25" s="146"/>
      <c r="F25" s="146"/>
      <c r="G25" s="147"/>
      <c r="H25" s="148"/>
      <c r="I25" s="148"/>
      <c r="J25" s="149"/>
    </row>
    <row r="26" spans="1:12" ht="26.25" hidden="1" thickBot="1" x14ac:dyDescent="0.25">
      <c r="A26" s="139" t="s">
        <v>144</v>
      </c>
      <c r="B26" s="140" t="s">
        <v>32</v>
      </c>
      <c r="C26" s="140" t="s">
        <v>144</v>
      </c>
      <c r="D26" s="141" t="s">
        <v>146</v>
      </c>
      <c r="E26" s="141" t="s">
        <v>147</v>
      </c>
      <c r="F26" s="141" t="s">
        <v>148</v>
      </c>
      <c r="G26" s="141" t="s">
        <v>149</v>
      </c>
      <c r="H26" s="142" t="s">
        <v>150</v>
      </c>
      <c r="I26" s="143"/>
    </row>
    <row r="27" spans="1:12" ht="13.5" hidden="1" x14ac:dyDescent="0.25">
      <c r="A27" s="144">
        <v>0</v>
      </c>
      <c r="B27" s="150" t="str">
        <f>IFERROR(VLOOKUP(H27,'[1]Consolidado MP Planta'!$A$2:$M$823,3,0),"")</f>
        <v/>
      </c>
      <c r="C27" s="145">
        <f t="shared" ref="C27:C32" si="6">+A27</f>
        <v>0</v>
      </c>
      <c r="D27" s="146" t="str">
        <f>IFERROR(VLOOKUP(H27,'[1]Consolidado MP Planta'!$A$2:$M$823,13,0),"")</f>
        <v/>
      </c>
      <c r="E27" s="146" t="str">
        <f>IFERROR(VLOOKUP(H27,'[1]Consolidado MP Planta'!$A$2:$M$823,12,0),"")</f>
        <v/>
      </c>
      <c r="F27" s="146" t="str">
        <f t="shared" ref="F27:F32" si="7">IFERROR(C27*E27,"")</f>
        <v/>
      </c>
      <c r="G27" s="147" t="str">
        <f t="shared" ref="G27:G32" si="8">IFERROR(F27/$F$66,"")</f>
        <v/>
      </c>
      <c r="H27" s="151"/>
      <c r="I27" s="151"/>
      <c r="J27" s="149"/>
      <c r="K27" s="824"/>
      <c r="L27" s="824"/>
    </row>
    <row r="28" spans="1:12" ht="13.5" hidden="1" x14ac:dyDescent="0.25">
      <c r="A28" s="144"/>
      <c r="B28" s="150" t="str">
        <f>IFERROR(VLOOKUP(H28,'[1]Consolidado MP Planta'!$A$2:$M$823,3,0),"")</f>
        <v/>
      </c>
      <c r="C28" s="145">
        <f t="shared" si="6"/>
        <v>0</v>
      </c>
      <c r="D28" s="146" t="str">
        <f>IFERROR(VLOOKUP(H28,'[1]Consolidado MP Planta'!$A$2:$M$823,13,0),"")</f>
        <v/>
      </c>
      <c r="E28" s="146" t="str">
        <f>IFERROR(VLOOKUP(H28,'[1]Consolidado MP Planta'!$A$2:$M$823,12,0),"")</f>
        <v/>
      </c>
      <c r="F28" s="146" t="str">
        <f t="shared" si="7"/>
        <v/>
      </c>
      <c r="G28" s="147" t="str">
        <f t="shared" si="8"/>
        <v/>
      </c>
      <c r="H28" s="151"/>
      <c r="I28" s="151"/>
      <c r="J28" s="149"/>
      <c r="K28" s="824"/>
      <c r="L28" s="824"/>
    </row>
    <row r="29" spans="1:12" ht="13.5" hidden="1" x14ac:dyDescent="0.25">
      <c r="A29" s="144"/>
      <c r="B29" s="150" t="str">
        <f>IFERROR(VLOOKUP(H29,'[1]Consolidado MP Planta'!$A$2:$M$823,3,0),"")</f>
        <v/>
      </c>
      <c r="C29" s="145">
        <f t="shared" si="6"/>
        <v>0</v>
      </c>
      <c r="D29" s="146" t="str">
        <f>IFERROR(VLOOKUP(H29,'[1]Consolidado MP Planta'!$A$2:$M$823,13,0),"")</f>
        <v/>
      </c>
      <c r="E29" s="146" t="str">
        <f>IFERROR(VLOOKUP(H29,'[1]Consolidado MP Planta'!$A$2:$M$823,12,0),"")</f>
        <v/>
      </c>
      <c r="F29" s="146" t="str">
        <f t="shared" si="7"/>
        <v/>
      </c>
      <c r="G29" s="147" t="str">
        <f t="shared" si="8"/>
        <v/>
      </c>
      <c r="H29" s="151"/>
      <c r="I29" s="151"/>
      <c r="J29" s="149"/>
      <c r="K29" s="824"/>
      <c r="L29" s="824"/>
    </row>
    <row r="30" spans="1:12" ht="13.5" hidden="1" x14ac:dyDescent="0.25">
      <c r="A30" s="144"/>
      <c r="B30" s="150" t="str">
        <f>IFERROR(VLOOKUP(H30,'[1]Consolidado MP Planta'!$A$2:$M$823,3,0),"")</f>
        <v/>
      </c>
      <c r="C30" s="145">
        <f t="shared" si="6"/>
        <v>0</v>
      </c>
      <c r="D30" s="146" t="str">
        <f>IFERROR(VLOOKUP(H30,'[1]Consolidado MP Planta'!$A$2:$M$823,13,0),"")</f>
        <v/>
      </c>
      <c r="E30" s="146" t="str">
        <f>IFERROR(VLOOKUP(H30,'[1]Consolidado MP Planta'!$A$2:$M$823,12,0),"")</f>
        <v/>
      </c>
      <c r="F30" s="146" t="str">
        <f t="shared" si="7"/>
        <v/>
      </c>
      <c r="G30" s="147" t="str">
        <f t="shared" si="8"/>
        <v/>
      </c>
      <c r="H30" s="151"/>
      <c r="I30" s="151"/>
      <c r="J30" s="149"/>
      <c r="K30" s="824"/>
      <c r="L30" s="824"/>
    </row>
    <row r="31" spans="1:12" ht="13.5" hidden="1" x14ac:dyDescent="0.25">
      <c r="A31" s="144"/>
      <c r="B31" s="150" t="str">
        <f>IFERROR(VLOOKUP(H31,'[1]Consolidado MP Planta'!$A$2:$M$823,3,0),"")</f>
        <v/>
      </c>
      <c r="C31" s="145">
        <f t="shared" si="6"/>
        <v>0</v>
      </c>
      <c r="D31" s="146" t="str">
        <f>IFERROR(VLOOKUP(H31,'[1]Consolidado MP Planta'!$A$2:$M$823,13,0),"")</f>
        <v/>
      </c>
      <c r="E31" s="146" t="str">
        <f>IFERROR(VLOOKUP(H31,'[1]Consolidado MP Planta'!$A$2:$M$823,12,0),"")</f>
        <v/>
      </c>
      <c r="F31" s="146" t="str">
        <f t="shared" si="7"/>
        <v/>
      </c>
      <c r="G31" s="147" t="str">
        <f t="shared" si="8"/>
        <v/>
      </c>
      <c r="H31" s="151"/>
      <c r="I31" s="151"/>
      <c r="J31" s="149"/>
      <c r="K31" s="152"/>
      <c r="L31" s="153"/>
    </row>
    <row r="32" spans="1:12" ht="13.5" hidden="1" x14ac:dyDescent="0.25">
      <c r="A32" s="144"/>
      <c r="B32" s="150" t="str">
        <f>IFERROR(VLOOKUP(H32,'[1]Consolidado MP Planta'!$A$2:$M$823,3,0),"")</f>
        <v/>
      </c>
      <c r="C32" s="145">
        <f t="shared" si="6"/>
        <v>0</v>
      </c>
      <c r="D32" s="146" t="str">
        <f>IFERROR(VLOOKUP(H32,'[1]Consolidado MP Planta'!$A$2:$M$823,13,0),"")</f>
        <v/>
      </c>
      <c r="E32" s="146" t="str">
        <f>IFERROR(VLOOKUP(H32,'[1]Consolidado MP Planta'!$A$2:$M$823,12,0),"")</f>
        <v/>
      </c>
      <c r="F32" s="146" t="str">
        <f t="shared" si="7"/>
        <v/>
      </c>
      <c r="G32" s="147" t="str">
        <f t="shared" si="8"/>
        <v/>
      </c>
      <c r="H32" s="151"/>
      <c r="I32" s="151"/>
      <c r="J32" s="149"/>
    </row>
    <row r="33" spans="1:13" ht="14.25" hidden="1" thickBot="1" x14ac:dyDescent="0.3">
      <c r="A33" s="144"/>
      <c r="B33" s="150"/>
      <c r="C33" s="145"/>
      <c r="D33" s="146"/>
      <c r="E33" s="146"/>
      <c r="F33" s="146"/>
      <c r="G33" s="147"/>
      <c r="H33" s="151"/>
      <c r="I33" s="151"/>
      <c r="J33" s="149"/>
    </row>
    <row r="34" spans="1:13" ht="26.25" hidden="1" thickBot="1" x14ac:dyDescent="0.25">
      <c r="A34" s="139" t="s">
        <v>144</v>
      </c>
      <c r="B34" s="140" t="s">
        <v>152</v>
      </c>
      <c r="C34" s="140" t="s">
        <v>144</v>
      </c>
      <c r="D34" s="141" t="s">
        <v>146</v>
      </c>
      <c r="E34" s="141" t="s">
        <v>147</v>
      </c>
      <c r="F34" s="141" t="s">
        <v>148</v>
      </c>
      <c r="G34" s="141" t="s">
        <v>149</v>
      </c>
      <c r="H34" s="142" t="s">
        <v>150</v>
      </c>
      <c r="I34" s="151"/>
      <c r="J34" s="149"/>
    </row>
    <row r="35" spans="1:13" ht="13.5" hidden="1" x14ac:dyDescent="0.25">
      <c r="A35" s="144">
        <f>+A17</f>
        <v>0</v>
      </c>
      <c r="B35" s="150" t="str">
        <f>IFERROR(VLOOKUP(H35,[1]SEMIELABORADOS!$A$2:$M$6000,2,0),"")</f>
        <v/>
      </c>
      <c r="C35" s="145">
        <f>+A35</f>
        <v>0</v>
      </c>
      <c r="D35" s="146" t="str">
        <f>IFERROR(VLOOKUP(H35,[1]SEMIELABORADOS!$A$2:$M$6000,6,0),"")</f>
        <v/>
      </c>
      <c r="E35" s="146" t="str">
        <f>IFERROR(VLOOKUP(H35,[1]SEMIELABORADOS!$A$2:$M$65536,10,0),"")</f>
        <v/>
      </c>
      <c r="F35" s="146" t="str">
        <f>IFERROR(E35*C35,"")</f>
        <v/>
      </c>
      <c r="G35" s="147" t="str">
        <f t="shared" ref="G35:G41" si="9">IFERROR(F35/$F$66,"")</f>
        <v/>
      </c>
      <c r="H35" s="151"/>
      <c r="I35" s="151"/>
      <c r="J35" s="149"/>
    </row>
    <row r="36" spans="1:13" ht="13.5" hidden="1" x14ac:dyDescent="0.25">
      <c r="A36" s="144">
        <f t="shared" ref="A36:A41" si="10">+A18</f>
        <v>0</v>
      </c>
      <c r="B36" s="150" t="str">
        <f>IFERROR(VLOOKUP(H36,[1]SEMIELABORADOS!$A$2:$M$6000,2,0),"")</f>
        <v/>
      </c>
      <c r="C36" s="145">
        <f t="shared" ref="C36:C41" si="11">+A36</f>
        <v>0</v>
      </c>
      <c r="D36" s="146" t="str">
        <f>IFERROR(VLOOKUP(H36,[1]SEMIELABORADOS!$A$2:$M$6000,6,0),"")</f>
        <v/>
      </c>
      <c r="E36" s="146" t="str">
        <f>IFERROR(VLOOKUP(H36,[1]SEMIELABORADOS!$A$2:$M$65536,10,0),"")</f>
        <v/>
      </c>
      <c r="F36" s="146" t="str">
        <f t="shared" ref="F36:F41" si="12">IFERROR(E36*C36,"")</f>
        <v/>
      </c>
      <c r="G36" s="147" t="str">
        <f t="shared" si="9"/>
        <v/>
      </c>
      <c r="H36" s="151"/>
      <c r="I36" s="151"/>
      <c r="J36" s="149"/>
    </row>
    <row r="37" spans="1:13" ht="13.5" hidden="1" x14ac:dyDescent="0.25">
      <c r="A37" s="144">
        <f t="shared" si="10"/>
        <v>0</v>
      </c>
      <c r="B37" s="150" t="str">
        <f>IFERROR(VLOOKUP(H37,[1]SEMIELABORADOS!$A$2:$M$6000,2,0),"")</f>
        <v/>
      </c>
      <c r="C37" s="145">
        <f t="shared" si="11"/>
        <v>0</v>
      </c>
      <c r="D37" s="146" t="str">
        <f>IFERROR(VLOOKUP(H37,[1]SEMIELABORADOS!$A$2:$M$6000,6,0),"")</f>
        <v/>
      </c>
      <c r="E37" s="146" t="str">
        <f>IFERROR(VLOOKUP(H37,[1]SEMIELABORADOS!$A$2:$M$65536,10,0),"")</f>
        <v/>
      </c>
      <c r="F37" s="146" t="str">
        <f t="shared" si="12"/>
        <v/>
      </c>
      <c r="G37" s="147" t="str">
        <f t="shared" si="9"/>
        <v/>
      </c>
      <c r="H37" s="151"/>
      <c r="I37" s="151"/>
      <c r="J37" s="149"/>
    </row>
    <row r="38" spans="1:13" ht="13.5" hidden="1" x14ac:dyDescent="0.25">
      <c r="A38" s="144">
        <f t="shared" si="10"/>
        <v>0</v>
      </c>
      <c r="B38" s="150" t="str">
        <f>IFERROR(VLOOKUP(H38,[1]SEMIELABORADOS!$A$2:$M$6000,2,0),"")</f>
        <v/>
      </c>
      <c r="C38" s="145">
        <f>+A38</f>
        <v>0</v>
      </c>
      <c r="D38" s="146" t="str">
        <f>IFERROR(VLOOKUP(H38,[1]SEMIELABORADOS!$A$2:$M$6000,6,0),"")</f>
        <v/>
      </c>
      <c r="E38" s="146" t="str">
        <f>IFERROR(VLOOKUP(H38,[1]SEMIELABORADOS!$A$2:$M$65536,10,0),"")</f>
        <v/>
      </c>
      <c r="F38" s="146" t="str">
        <f>IFERROR(E38*C38,"")</f>
        <v/>
      </c>
      <c r="G38" s="147" t="str">
        <f t="shared" si="9"/>
        <v/>
      </c>
      <c r="H38" s="151"/>
      <c r="I38" s="151"/>
      <c r="J38" s="149"/>
    </row>
    <row r="39" spans="1:13" ht="13.5" hidden="1" x14ac:dyDescent="0.25">
      <c r="A39" s="144">
        <f t="shared" si="10"/>
        <v>0</v>
      </c>
      <c r="B39" s="150" t="str">
        <f>IFERROR(VLOOKUP(H39,[1]SEMIELABORADOS!$A$2:$M$6000,2,0),"")</f>
        <v/>
      </c>
      <c r="C39" s="145">
        <f>+A39</f>
        <v>0</v>
      </c>
      <c r="D39" s="146" t="str">
        <f>IFERROR(VLOOKUP(H39,[1]SEMIELABORADOS!$A$2:$M$6000,6,0),"")</f>
        <v/>
      </c>
      <c r="E39" s="146" t="str">
        <f>IFERROR(VLOOKUP(H39,[1]SEMIELABORADOS!$A$2:$M$65536,10,0),"")</f>
        <v/>
      </c>
      <c r="F39" s="146" t="str">
        <f>IFERROR(E39*C39,"")</f>
        <v/>
      </c>
      <c r="G39" s="147" t="str">
        <f t="shared" si="9"/>
        <v/>
      </c>
      <c r="H39" s="151"/>
      <c r="I39" s="151"/>
      <c r="J39" s="149"/>
    </row>
    <row r="40" spans="1:13" ht="13.5" hidden="1" x14ac:dyDescent="0.25">
      <c r="A40" s="144">
        <f t="shared" si="10"/>
        <v>0</v>
      </c>
      <c r="B40" s="150" t="str">
        <f>IFERROR(VLOOKUP(H40,[1]SEMIELABORADOS!$A$2:$M$6000,2,0),"")</f>
        <v/>
      </c>
      <c r="C40" s="145">
        <f t="shared" si="11"/>
        <v>0</v>
      </c>
      <c r="D40" s="146" t="str">
        <f>IFERROR(VLOOKUP(H40,[1]SEMIELABORADOS!$A$2:$M$6000,6,0),"")</f>
        <v/>
      </c>
      <c r="E40" s="146" t="str">
        <f>IFERROR(VLOOKUP(H40,[1]SEMIELABORADOS!$A$2:$M$65536,10,0),"")</f>
        <v/>
      </c>
      <c r="F40" s="146" t="str">
        <f t="shared" si="12"/>
        <v/>
      </c>
      <c r="G40" s="147" t="str">
        <f t="shared" si="9"/>
        <v/>
      </c>
      <c r="H40" s="151"/>
      <c r="I40" s="151"/>
      <c r="J40" s="149"/>
    </row>
    <row r="41" spans="1:13" ht="13.5" hidden="1" x14ac:dyDescent="0.25">
      <c r="A41" s="144">
        <f t="shared" si="10"/>
        <v>0</v>
      </c>
      <c r="B41" s="150" t="str">
        <f>IFERROR(VLOOKUP(H41,[1]SEMIELABORADOS!$A$2:$M$6000,2,0),"")</f>
        <v/>
      </c>
      <c r="C41" s="145">
        <f t="shared" si="11"/>
        <v>0</v>
      </c>
      <c r="D41" s="146" t="str">
        <f>IFERROR(VLOOKUP(H41,[1]SEMIELABORADOS!$A$2:$M$6000,6,0),"")</f>
        <v/>
      </c>
      <c r="E41" s="146" t="str">
        <f>IFERROR(VLOOKUP(H41,[1]SEMIELABORADOS!$A$2:$M$65536,10,0),"")</f>
        <v/>
      </c>
      <c r="F41" s="146" t="str">
        <f t="shared" si="12"/>
        <v/>
      </c>
      <c r="G41" s="147" t="str">
        <f t="shared" si="9"/>
        <v/>
      </c>
      <c r="H41" s="151"/>
      <c r="I41" s="151"/>
      <c r="J41" s="149"/>
    </row>
    <row r="42" spans="1:13" ht="14.25" hidden="1" thickBot="1" x14ac:dyDescent="0.3">
      <c r="A42" s="144"/>
      <c r="B42" s="150"/>
      <c r="C42" s="145"/>
      <c r="D42" s="146"/>
      <c r="E42" s="146"/>
      <c r="F42" s="146"/>
      <c r="G42" s="147"/>
      <c r="H42" s="151"/>
      <c r="I42" s="151"/>
      <c r="J42" s="149"/>
    </row>
    <row r="43" spans="1:13" ht="26.25" thickBot="1" x14ac:dyDescent="0.25">
      <c r="A43" s="139" t="s">
        <v>144</v>
      </c>
      <c r="B43" s="140" t="s">
        <v>153</v>
      </c>
      <c r="C43" s="140" t="s">
        <v>144</v>
      </c>
      <c r="D43" s="141" t="s">
        <v>146</v>
      </c>
      <c r="E43" s="141" t="s">
        <v>147</v>
      </c>
      <c r="F43" s="141" t="s">
        <v>148</v>
      </c>
      <c r="G43" s="141" t="s">
        <v>149</v>
      </c>
      <c r="H43" s="142" t="s">
        <v>150</v>
      </c>
      <c r="I43" s="143"/>
      <c r="J43" s="149"/>
    </row>
    <row r="44" spans="1:13" ht="13.5" hidden="1" x14ac:dyDescent="0.25">
      <c r="A44" s="144">
        <f>+A35</f>
        <v>0</v>
      </c>
      <c r="B44" s="150" t="str">
        <f>IFERROR(VLOOKUP(H44,[1]SEMIELABORADOS!$A$2:$M$6000,2,0),"")</f>
        <v/>
      </c>
      <c r="C44" s="145">
        <f>+A44</f>
        <v>0</v>
      </c>
      <c r="D44" s="146" t="str">
        <f>IFERROR(VLOOKUP(H44,[1]SEMIELABORADOS!$A$2:$M$6000,6,0),"")</f>
        <v/>
      </c>
      <c r="E44" s="146" t="str">
        <f>IFERROR(VLOOKUP(H44,[1]SEMIELABORADOS!$A$2:$M$65536,12,0),"")</f>
        <v/>
      </c>
      <c r="F44" s="146" t="str">
        <f>IFERROR(E44*C44,"")</f>
        <v/>
      </c>
      <c r="G44" s="147" t="str">
        <f>IFERROR(F44/$F$66,"")</f>
        <v/>
      </c>
      <c r="H44" s="151"/>
      <c r="I44" s="143"/>
      <c r="J44" s="149"/>
    </row>
    <row r="45" spans="1:13" ht="13.5" hidden="1" x14ac:dyDescent="0.25">
      <c r="A45" s="144">
        <f t="shared" ref="A45:A50" si="13">+A36</f>
        <v>0</v>
      </c>
      <c r="B45" s="150" t="str">
        <f>IFERROR(VLOOKUP(H45,[1]SEMIELABORADOS!$A$2:$M$6000,2,0),"")</f>
        <v/>
      </c>
      <c r="C45" s="145">
        <f t="shared" ref="C45:C50" si="14">+A45</f>
        <v>0</v>
      </c>
      <c r="D45" s="146" t="str">
        <f>IFERROR(VLOOKUP(H45,[1]SEMIELABORADOS!$A$2:$M$6000,6,0),"")</f>
        <v/>
      </c>
      <c r="E45" s="146" t="str">
        <f>IFERROR(VLOOKUP(H45,[1]SEMIELABORADOS!$A$2:$M$65536,12,0),"")</f>
        <v/>
      </c>
      <c r="F45" s="146" t="str">
        <f t="shared" ref="F45:F50" si="15">IFERROR(E45*C45,"")</f>
        <v/>
      </c>
      <c r="G45" s="147" t="str">
        <f t="shared" ref="G45:G50" si="16">IFERROR(F45/$F$66,"")</f>
        <v/>
      </c>
      <c r="H45" s="151"/>
      <c r="I45" s="143"/>
      <c r="J45" s="149"/>
      <c r="M45" s="154"/>
    </row>
    <row r="46" spans="1:13" ht="13.5" hidden="1" x14ac:dyDescent="0.25">
      <c r="A46" s="144">
        <f t="shared" si="13"/>
        <v>0</v>
      </c>
      <c r="B46" s="150" t="str">
        <f>IFERROR(VLOOKUP(H46,[1]SEMIELABORADOS!$A$2:$M$6000,2,0),"")</f>
        <v/>
      </c>
      <c r="C46" s="145">
        <f t="shared" si="14"/>
        <v>0</v>
      </c>
      <c r="D46" s="146" t="str">
        <f>IFERROR(VLOOKUP(H46,[1]SEMIELABORADOS!$A$2:$M$6000,6,0),"")</f>
        <v/>
      </c>
      <c r="E46" s="146" t="str">
        <f>IFERROR(VLOOKUP(H46,[1]SEMIELABORADOS!$A$2:$M$65536,12,0),"")</f>
        <v/>
      </c>
      <c r="F46" s="146" t="str">
        <f t="shared" si="15"/>
        <v/>
      </c>
      <c r="G46" s="147" t="str">
        <f t="shared" si="16"/>
        <v/>
      </c>
      <c r="H46" s="151"/>
      <c r="I46" s="143"/>
      <c r="J46" s="149"/>
    </row>
    <row r="47" spans="1:13" ht="13.5" hidden="1" x14ac:dyDescent="0.25">
      <c r="A47" s="144">
        <f t="shared" si="13"/>
        <v>0</v>
      </c>
      <c r="B47" s="150" t="str">
        <f>IFERROR(VLOOKUP(H47,[1]SEMIELABORADOS!$A$2:$M$6000,2,0),"")</f>
        <v/>
      </c>
      <c r="C47" s="145">
        <f t="shared" si="14"/>
        <v>0</v>
      </c>
      <c r="D47" s="146" t="str">
        <f>IFERROR(VLOOKUP(H47,[1]SEMIELABORADOS!$A$2:$M$6000,6,0),"")</f>
        <v/>
      </c>
      <c r="E47" s="146" t="str">
        <f>IFERROR(VLOOKUP(H47,[1]SEMIELABORADOS!$A$2:$M$65536,12,0),"")</f>
        <v/>
      </c>
      <c r="F47" s="146" t="str">
        <f t="shared" si="15"/>
        <v/>
      </c>
      <c r="G47" s="147" t="str">
        <f t="shared" si="16"/>
        <v/>
      </c>
      <c r="H47" s="151"/>
      <c r="I47" s="143"/>
      <c r="J47" s="149"/>
    </row>
    <row r="48" spans="1:13" ht="13.5" hidden="1" x14ac:dyDescent="0.25">
      <c r="A48" s="144">
        <f t="shared" si="13"/>
        <v>0</v>
      </c>
      <c r="B48" s="150" t="str">
        <f>IFERROR(VLOOKUP(H48,[1]SEMIELABORADOS!$A$2:$M$6000,2,0),"")</f>
        <v/>
      </c>
      <c r="C48" s="145">
        <f t="shared" si="14"/>
        <v>0</v>
      </c>
      <c r="D48" s="146" t="str">
        <f>IFERROR(VLOOKUP(H48,[1]SEMIELABORADOS!$A$2:$M$6000,6,0),"")</f>
        <v/>
      </c>
      <c r="E48" s="146" t="str">
        <f>IFERROR(VLOOKUP(H48,[1]SEMIELABORADOS!$A$2:$M$65536,12,0),"")</f>
        <v/>
      </c>
      <c r="F48" s="146" t="str">
        <f t="shared" si="15"/>
        <v/>
      </c>
      <c r="G48" s="147" t="str">
        <f t="shared" si="16"/>
        <v/>
      </c>
      <c r="H48" s="151"/>
      <c r="I48" s="143"/>
      <c r="J48" s="149"/>
    </row>
    <row r="49" spans="1:17" ht="13.5" hidden="1" x14ac:dyDescent="0.25">
      <c r="A49" s="144">
        <f t="shared" si="13"/>
        <v>0</v>
      </c>
      <c r="B49" s="150" t="str">
        <f>IFERROR(VLOOKUP(H49,[1]SEMIELABORADOS!$A$2:$M$6000,2,0),"")</f>
        <v/>
      </c>
      <c r="C49" s="145">
        <f t="shared" si="14"/>
        <v>0</v>
      </c>
      <c r="D49" s="146" t="str">
        <f>IFERROR(VLOOKUP(H49,[1]SEMIELABORADOS!$A$2:$M$6000,6,0),"")</f>
        <v/>
      </c>
      <c r="E49" s="146" t="str">
        <f>IFERROR(VLOOKUP(H49,[1]SEMIELABORADOS!$A$2:$M$65536,12,0),"")</f>
        <v/>
      </c>
      <c r="F49" s="146" t="str">
        <f t="shared" si="15"/>
        <v/>
      </c>
      <c r="G49" s="147" t="str">
        <f t="shared" si="16"/>
        <v/>
      </c>
      <c r="H49" s="151"/>
      <c r="I49" s="143"/>
      <c r="J49" s="149"/>
    </row>
    <row r="50" spans="1:17" ht="13.5" hidden="1" x14ac:dyDescent="0.25">
      <c r="A50" s="144">
        <f t="shared" si="13"/>
        <v>0</v>
      </c>
      <c r="B50" s="150" t="str">
        <f>IFERROR(VLOOKUP(H50,[1]SEMIELABORADOS!$A$2:$M$6000,2,0),"")</f>
        <v/>
      </c>
      <c r="C50" s="145">
        <f t="shared" si="14"/>
        <v>0</v>
      </c>
      <c r="D50" s="146" t="str">
        <f>IFERROR(VLOOKUP(H50,[1]SEMIELABORADOS!$A$2:$M$6000,6,0),"")</f>
        <v/>
      </c>
      <c r="E50" s="146" t="str">
        <f>IFERROR(VLOOKUP(H50,[1]SEMIELABORADOS!$A$2:$M$65536,12,0),"")</f>
        <v/>
      </c>
      <c r="F50" s="146" t="str">
        <f t="shared" si="15"/>
        <v/>
      </c>
      <c r="G50" s="147" t="str">
        <f t="shared" si="16"/>
        <v/>
      </c>
      <c r="H50" s="150"/>
      <c r="I50" s="143"/>
      <c r="J50" s="149"/>
    </row>
    <row r="51" spans="1:17" ht="13.5" x14ac:dyDescent="0.25">
      <c r="A51" s="144">
        <v>1</v>
      </c>
      <c r="B51" s="150" t="s">
        <v>154</v>
      </c>
      <c r="C51" s="145">
        <f>+A51</f>
        <v>1</v>
      </c>
      <c r="D51" s="145" t="s">
        <v>155</v>
      </c>
      <c r="E51" s="146">
        <f>+F65</f>
        <v>770</v>
      </c>
      <c r="F51" s="146">
        <f>IFERROR(C51*E51,"")</f>
        <v>770</v>
      </c>
      <c r="G51" s="147">
        <f>IFERROR(F51/$F$66,"")</f>
        <v>1.6837207608332648E-2</v>
      </c>
      <c r="H51" s="155"/>
      <c r="I51" s="155"/>
      <c r="J51" s="149"/>
    </row>
    <row r="52" spans="1:17" ht="14.25" thickBot="1" x14ac:dyDescent="0.3">
      <c r="A52" s="144"/>
      <c r="B52" s="150"/>
      <c r="C52" s="145"/>
      <c r="D52" s="145"/>
      <c r="E52" s="146"/>
      <c r="F52" s="146"/>
      <c r="G52" s="147"/>
      <c r="H52" s="155"/>
      <c r="I52" s="155"/>
      <c r="J52" s="149"/>
    </row>
    <row r="53" spans="1:17" ht="13.5" thickBot="1" x14ac:dyDescent="0.25">
      <c r="A53" s="156"/>
      <c r="B53" s="834" t="s">
        <v>156</v>
      </c>
      <c r="C53" s="834"/>
      <c r="D53" s="834"/>
      <c r="E53" s="834"/>
      <c r="F53" s="158">
        <f>SUM(F8:F14,F17:F24)</f>
        <v>44080.44</v>
      </c>
      <c r="G53" s="147">
        <f>+F53/$F$66</f>
        <v>0.963885090580066</v>
      </c>
      <c r="H53" s="159">
        <f>+F53/$D$60</f>
        <v>44080.44</v>
      </c>
      <c r="I53" s="159"/>
      <c r="J53" s="160"/>
      <c r="K53" s="161"/>
      <c r="L53" s="161"/>
      <c r="M53" s="161"/>
      <c r="N53" s="161"/>
      <c r="O53" s="161"/>
      <c r="P53" s="161"/>
      <c r="Q53" s="162"/>
    </row>
    <row r="54" spans="1:17" x14ac:dyDescent="0.2">
      <c r="A54" s="156"/>
      <c r="B54" s="834" t="s">
        <v>157</v>
      </c>
      <c r="C54" s="834"/>
      <c r="D54" s="834"/>
      <c r="E54" s="834"/>
      <c r="F54" s="158">
        <f>SUM(F27:F32,F35:F41)</f>
        <v>0</v>
      </c>
      <c r="G54" s="147">
        <f>+F54/$F$66</f>
        <v>0</v>
      </c>
      <c r="H54" s="159">
        <f>+F54/$D$60</f>
        <v>0</v>
      </c>
      <c r="I54" s="159"/>
      <c r="J54" s="163"/>
      <c r="K54" s="835" t="s">
        <v>158</v>
      </c>
      <c r="L54" s="836"/>
      <c r="M54" s="836"/>
      <c r="N54" s="836"/>
      <c r="O54" s="164">
        <f>+F55</f>
        <v>44080.44</v>
      </c>
      <c r="P54" s="164"/>
      <c r="Q54" s="165"/>
    </row>
    <row r="55" spans="1:17" x14ac:dyDescent="0.2">
      <c r="A55" s="156"/>
      <c r="B55" s="834" t="s">
        <v>159</v>
      </c>
      <c r="C55" s="834"/>
      <c r="D55" s="834"/>
      <c r="E55" s="834"/>
      <c r="F55" s="158">
        <f>+F53+F54</f>
        <v>44080.44</v>
      </c>
      <c r="G55" s="147">
        <f>+F55/$F$66</f>
        <v>0.963885090580066</v>
      </c>
      <c r="H55" s="159">
        <f>+F55/$D$60</f>
        <v>44080.44</v>
      </c>
      <c r="I55" s="159"/>
      <c r="J55" s="166"/>
      <c r="K55" s="167"/>
      <c r="M55" s="168" t="s">
        <v>160</v>
      </c>
      <c r="N55" s="169"/>
      <c r="O55" s="164">
        <f>+H56</f>
        <v>770</v>
      </c>
      <c r="P55" s="164"/>
      <c r="Q55" s="165"/>
    </row>
    <row r="56" spans="1:17" ht="13.5" thickBot="1" x14ac:dyDescent="0.25">
      <c r="A56" s="156"/>
      <c r="B56" s="157"/>
      <c r="C56" s="834" t="s">
        <v>161</v>
      </c>
      <c r="D56" s="834"/>
      <c r="E56" s="834"/>
      <c r="F56" s="158">
        <f>SUM(F44:F51)</f>
        <v>770</v>
      </c>
      <c r="G56" s="147">
        <f>+F56/$F$66</f>
        <v>1.6837207608332648E-2</v>
      </c>
      <c r="H56" s="159">
        <f>+F56/$D$60</f>
        <v>770</v>
      </c>
      <c r="I56" s="159"/>
      <c r="J56" s="166"/>
      <c r="K56" s="167"/>
      <c r="L56" s="167"/>
      <c r="M56" s="167" t="s">
        <v>162</v>
      </c>
      <c r="N56" s="170"/>
      <c r="O56" s="164">
        <f>O54*N56</f>
        <v>0</v>
      </c>
      <c r="P56" s="164"/>
      <c r="Q56" s="165"/>
    </row>
    <row r="57" spans="1:17" ht="13.5" thickBot="1" x14ac:dyDescent="0.25">
      <c r="A57" s="156"/>
      <c r="B57" s="171"/>
      <c r="C57" s="171"/>
      <c r="D57" s="171"/>
      <c r="E57" s="171"/>
      <c r="F57" s="172"/>
      <c r="G57" s="147"/>
      <c r="H57" s="173"/>
      <c r="I57" s="159"/>
      <c r="J57" s="166"/>
      <c r="K57" s="174"/>
      <c r="M57" s="175" t="s">
        <v>163</v>
      </c>
      <c r="N57" s="176"/>
      <c r="O57" s="177">
        <f>SUM(O54:O56)</f>
        <v>44850.44</v>
      </c>
      <c r="P57" s="178"/>
      <c r="Q57" s="165"/>
    </row>
    <row r="58" spans="1:17" x14ac:dyDescent="0.2">
      <c r="B58" s="837" t="s">
        <v>164</v>
      </c>
      <c r="C58" s="837"/>
      <c r="D58" s="179">
        <v>10000</v>
      </c>
      <c r="E58" s="180"/>
      <c r="G58" s="147"/>
      <c r="H58" s="173">
        <f>+H56/77</f>
        <v>10</v>
      </c>
      <c r="I58" s="181"/>
      <c r="J58" s="166"/>
      <c r="K58" s="174"/>
      <c r="L58" s="167"/>
      <c r="M58" s="167" t="s">
        <v>165</v>
      </c>
      <c r="N58" s="182"/>
      <c r="O58" s="164">
        <f>+H59</f>
        <v>640</v>
      </c>
      <c r="P58" s="164"/>
      <c r="Q58" s="165"/>
    </row>
    <row r="59" spans="1:17" x14ac:dyDescent="0.2">
      <c r="B59" s="837" t="s">
        <v>166</v>
      </c>
      <c r="C59" s="837"/>
      <c r="D59" s="183">
        <v>10000</v>
      </c>
      <c r="E59" s="180"/>
      <c r="G59" s="147"/>
      <c r="H59" s="173">
        <f>+H58*64</f>
        <v>640</v>
      </c>
      <c r="I59" s="181"/>
      <c r="J59" s="166"/>
      <c r="K59" s="174"/>
      <c r="L59" s="167"/>
      <c r="M59" s="838" t="s">
        <v>163</v>
      </c>
      <c r="N59" s="838"/>
      <c r="O59" s="164">
        <f>SUM(O57:O58)</f>
        <v>45490.44</v>
      </c>
      <c r="P59" s="164"/>
      <c r="Q59" s="165"/>
    </row>
    <row r="60" spans="1:17" ht="13.5" thickBot="1" x14ac:dyDescent="0.25">
      <c r="B60" s="830" t="s">
        <v>167</v>
      </c>
      <c r="C60" s="830"/>
      <c r="D60" s="179">
        <f>+D58/D59</f>
        <v>1</v>
      </c>
      <c r="E60" s="180"/>
      <c r="F60" s="184"/>
      <c r="G60" s="147"/>
      <c r="H60" s="173"/>
      <c r="I60" s="181"/>
      <c r="J60" s="166"/>
      <c r="K60" s="174"/>
      <c r="L60" s="838"/>
      <c r="M60" s="838"/>
      <c r="N60" s="182"/>
      <c r="O60" s="164">
        <f>+O59*N60</f>
        <v>0</v>
      </c>
      <c r="P60" s="164"/>
      <c r="Q60" s="165"/>
    </row>
    <row r="61" spans="1:17" ht="13.5" thickBot="1" x14ac:dyDescent="0.25">
      <c r="B61" s="830" t="s">
        <v>168</v>
      </c>
      <c r="C61" s="830"/>
      <c r="D61" s="185"/>
      <c r="E61" s="180"/>
      <c r="F61" s="184"/>
      <c r="G61" s="147"/>
      <c r="H61" s="173"/>
      <c r="I61" s="181"/>
      <c r="J61" s="166"/>
      <c r="K61" s="831" t="s">
        <v>169</v>
      </c>
      <c r="L61" s="832"/>
      <c r="M61" s="832"/>
      <c r="N61" s="833"/>
      <c r="O61" s="177">
        <f>SUM(O59:O60)</f>
        <v>45490.44</v>
      </c>
      <c r="P61" s="186" t="s">
        <v>170</v>
      </c>
      <c r="Q61" s="165"/>
    </row>
    <row r="62" spans="1:17" ht="13.5" thickBot="1" x14ac:dyDescent="0.25">
      <c r="C62" s="156" t="s">
        <v>171</v>
      </c>
      <c r="D62" s="187"/>
      <c r="E62" s="130" t="s">
        <v>172</v>
      </c>
      <c r="F62" s="188" t="s">
        <v>173</v>
      </c>
      <c r="G62" s="147"/>
      <c r="H62" s="173"/>
      <c r="I62" s="181"/>
      <c r="J62" s="189"/>
      <c r="K62" s="190"/>
      <c r="L62" s="844" t="s">
        <v>174</v>
      </c>
      <c r="M62" s="844"/>
      <c r="N62" s="844"/>
      <c r="O62" s="191">
        <f>+O61/D60</f>
        <v>45490.44</v>
      </c>
      <c r="P62" s="192">
        <f>+O62/D59</f>
        <v>4.5490440000000003</v>
      </c>
      <c r="Q62" s="193"/>
    </row>
    <row r="63" spans="1:17" ht="13.5" thickBot="1" x14ac:dyDescent="0.25">
      <c r="B63" s="845" t="s">
        <v>159</v>
      </c>
      <c r="C63" s="845"/>
      <c r="D63" s="845"/>
      <c r="E63" s="194">
        <f>+F63/F63</f>
        <v>1</v>
      </c>
      <c r="F63" s="195">
        <f>SUM(F55)</f>
        <v>44080.44</v>
      </c>
      <c r="G63" s="147">
        <f>+F63/$F$66</f>
        <v>0.963885090580066</v>
      </c>
      <c r="H63" s="173"/>
      <c r="I63" s="181"/>
      <c r="K63" s="846"/>
      <c r="L63" s="847"/>
      <c r="M63" s="847"/>
      <c r="N63" s="847"/>
      <c r="O63" s="196"/>
      <c r="P63" s="197"/>
    </row>
    <row r="64" spans="1:17" ht="13.5" thickBot="1" x14ac:dyDescent="0.25">
      <c r="B64" s="848" t="s">
        <v>175</v>
      </c>
      <c r="C64" s="848"/>
      <c r="D64" s="848"/>
      <c r="E64" s="198">
        <v>0.02</v>
      </c>
      <c r="F64" s="195">
        <f>+F53*E64</f>
        <v>881.60880000000009</v>
      </c>
      <c r="G64" s="147">
        <f>+F64/$F$66</f>
        <v>1.9277701811601322E-2</v>
      </c>
      <c r="H64" s="159"/>
      <c r="I64" s="181"/>
      <c r="J64" s="199"/>
      <c r="O64" s="200"/>
      <c r="P64" s="157"/>
    </row>
    <row r="65" spans="2:13" ht="13.5" thickBot="1" x14ac:dyDescent="0.25">
      <c r="B65" s="849" t="s">
        <v>176</v>
      </c>
      <c r="C65" s="850"/>
      <c r="D65" s="201">
        <v>10</v>
      </c>
      <c r="E65" s="202">
        <v>77</v>
      </c>
      <c r="F65" s="195">
        <f>+E65*D65</f>
        <v>770</v>
      </c>
      <c r="G65" s="147">
        <f>+F65/$F$66</f>
        <v>1.6837207608332648E-2</v>
      </c>
      <c r="H65" s="159"/>
      <c r="I65" s="159"/>
      <c r="J65" s="149"/>
    </row>
    <row r="66" spans="2:13" ht="13.5" thickBot="1" x14ac:dyDescent="0.25">
      <c r="B66" s="851" t="s">
        <v>177</v>
      </c>
      <c r="C66" s="852"/>
      <c r="D66" s="852"/>
      <c r="E66" s="853"/>
      <c r="F66" s="172">
        <f>SUM(F63:F65)</f>
        <v>45732.048800000004</v>
      </c>
      <c r="G66" s="147">
        <f>+F66/$F$66</f>
        <v>1</v>
      </c>
      <c r="H66" s="854"/>
      <c r="I66" s="159"/>
      <c r="J66" s="149"/>
      <c r="M66" s="132" t="s">
        <v>178</v>
      </c>
    </row>
    <row r="67" spans="2:13" x14ac:dyDescent="0.2">
      <c r="C67" s="154"/>
      <c r="D67" s="154"/>
      <c r="E67" s="204"/>
      <c r="F67" s="195"/>
      <c r="G67" s="147"/>
      <c r="H67" s="854"/>
      <c r="I67" s="203"/>
      <c r="J67" s="132"/>
      <c r="M67" s="132" t="s">
        <v>179</v>
      </c>
    </row>
    <row r="68" spans="2:13" ht="13.5" thickBot="1" x14ac:dyDescent="0.25">
      <c r="B68" s="839" t="s">
        <v>180</v>
      </c>
      <c r="C68" s="839"/>
      <c r="D68" s="839"/>
      <c r="E68" s="839"/>
      <c r="F68" s="839"/>
      <c r="G68" s="147"/>
      <c r="H68" s="206"/>
      <c r="I68" s="203"/>
      <c r="J68" s="132"/>
      <c r="M68" s="132" t="s">
        <v>181</v>
      </c>
    </row>
    <row r="69" spans="2:13" ht="13.5" thickBot="1" x14ac:dyDescent="0.25">
      <c r="B69" s="207" t="s">
        <v>182</v>
      </c>
      <c r="C69" s="208">
        <f>+F53</f>
        <v>44080.44</v>
      </c>
      <c r="D69" s="208">
        <f>+D58</f>
        <v>10000</v>
      </c>
      <c r="E69" s="209">
        <f>+C69/D69</f>
        <v>4.4080440000000003</v>
      </c>
      <c r="F69" s="147"/>
      <c r="G69" s="206"/>
      <c r="H69" s="149"/>
      <c r="I69" s="206"/>
      <c r="J69" s="132"/>
    </row>
    <row r="70" spans="2:13" x14ac:dyDescent="0.2">
      <c r="B70" s="210"/>
      <c r="C70" s="211"/>
      <c r="D70" s="212"/>
      <c r="E70" s="195"/>
      <c r="F70" s="147"/>
      <c r="G70" s="206"/>
      <c r="H70" s="149"/>
      <c r="I70" s="149"/>
      <c r="J70" s="132"/>
    </row>
    <row r="71" spans="2:13" x14ac:dyDescent="0.2">
      <c r="B71" s="207" t="s">
        <v>183</v>
      </c>
      <c r="C71" s="208">
        <f>SUM(F63:F64)</f>
        <v>44962.048800000004</v>
      </c>
      <c r="D71" s="208">
        <f>+D58</f>
        <v>10000</v>
      </c>
      <c r="E71" s="213">
        <f>+C71/D71</f>
        <v>4.4962048800000005</v>
      </c>
      <c r="F71" s="147"/>
      <c r="G71" s="206"/>
      <c r="H71" s="149"/>
      <c r="I71" s="149"/>
      <c r="J71" s="132"/>
    </row>
    <row r="72" spans="2:13" x14ac:dyDescent="0.2">
      <c r="B72" s="207"/>
      <c r="C72" s="208"/>
      <c r="D72" s="208"/>
      <c r="E72" s="213"/>
      <c r="F72" s="147"/>
      <c r="G72" s="206"/>
      <c r="H72" s="149"/>
      <c r="I72" s="149"/>
      <c r="J72" s="132"/>
    </row>
    <row r="73" spans="2:13" ht="13.5" thickBot="1" x14ac:dyDescent="0.25">
      <c r="B73" s="207" t="s">
        <v>184</v>
      </c>
      <c r="C73" s="208">
        <f>+F65</f>
        <v>770</v>
      </c>
      <c r="D73" s="208">
        <f>+D58</f>
        <v>10000</v>
      </c>
      <c r="E73" s="213">
        <f>+C73/D73</f>
        <v>7.6999999999999999E-2</v>
      </c>
      <c r="F73" s="147"/>
      <c r="G73" s="206"/>
      <c r="H73" s="149"/>
      <c r="I73" s="149"/>
      <c r="J73" s="132"/>
    </row>
    <row r="74" spans="2:13" ht="13.5" thickBot="1" x14ac:dyDescent="0.25">
      <c r="B74" s="207" t="s">
        <v>185</v>
      </c>
      <c r="C74" s="208">
        <f>+F56</f>
        <v>770</v>
      </c>
      <c r="D74" s="208">
        <f>+D73</f>
        <v>10000</v>
      </c>
      <c r="E74" s="209">
        <f>+C74/D74</f>
        <v>7.6999999999999999E-2</v>
      </c>
      <c r="F74" s="147"/>
      <c r="G74" s="206"/>
      <c r="H74" s="149"/>
      <c r="I74" s="149"/>
      <c r="J74" s="132"/>
    </row>
    <row r="75" spans="2:13" ht="13.5" thickBot="1" x14ac:dyDescent="0.25">
      <c r="B75" s="171"/>
      <c r="C75" s="172"/>
      <c r="D75" s="172"/>
      <c r="E75" s="213"/>
      <c r="F75" s="147"/>
      <c r="G75" s="206"/>
      <c r="H75" s="149"/>
      <c r="I75" s="149"/>
      <c r="J75" s="132"/>
    </row>
    <row r="76" spans="2:13" ht="13.5" thickBot="1" x14ac:dyDescent="0.25">
      <c r="B76" s="207" t="s">
        <v>186</v>
      </c>
      <c r="C76" s="208">
        <f>+F54</f>
        <v>0</v>
      </c>
      <c r="D76" s="208">
        <f>+D74</f>
        <v>10000</v>
      </c>
      <c r="E76" s="209">
        <f>+C76/D76</f>
        <v>0</v>
      </c>
      <c r="F76" s="147"/>
      <c r="G76" s="206"/>
      <c r="H76" s="149"/>
      <c r="I76" s="149"/>
      <c r="J76" s="149"/>
    </row>
    <row r="77" spans="2:13" ht="13.5" thickBot="1" x14ac:dyDescent="0.25">
      <c r="B77" s="171"/>
      <c r="C77" s="172"/>
      <c r="D77" s="172"/>
      <c r="E77" s="213"/>
      <c r="F77" s="147"/>
      <c r="G77" s="206"/>
      <c r="H77" s="149"/>
      <c r="I77" s="149"/>
    </row>
    <row r="78" spans="2:13" ht="13.5" thickBot="1" x14ac:dyDescent="0.25">
      <c r="B78" s="840" t="s">
        <v>187</v>
      </c>
      <c r="C78" s="841"/>
      <c r="D78" s="842"/>
      <c r="E78" s="209">
        <f>+E69+E74</f>
        <v>4.4850440000000003</v>
      </c>
      <c r="G78" s="147"/>
      <c r="H78" s="206"/>
      <c r="I78" s="149"/>
      <c r="J78" s="213"/>
    </row>
    <row r="79" spans="2:13" x14ac:dyDescent="0.2">
      <c r="I79" s="206"/>
      <c r="J79" s="132"/>
    </row>
    <row r="80" spans="2:13" ht="13.5" thickBot="1" x14ac:dyDescent="0.25">
      <c r="B80" s="839" t="s">
        <v>188</v>
      </c>
      <c r="C80" s="839"/>
      <c r="D80" s="839"/>
      <c r="E80" s="839"/>
      <c r="F80" s="839"/>
      <c r="G80" s="147"/>
      <c r="H80" s="206"/>
      <c r="J80" s="132"/>
    </row>
    <row r="81" spans="1:10" ht="13.5" thickBot="1" x14ac:dyDescent="0.25">
      <c r="B81" s="207" t="s">
        <v>182</v>
      </c>
      <c r="C81" s="208">
        <f>+C69</f>
        <v>44080.44</v>
      </c>
      <c r="D81" s="208">
        <f>+D60</f>
        <v>1</v>
      </c>
      <c r="E81" s="209">
        <f>+C81/D81</f>
        <v>44080.44</v>
      </c>
      <c r="F81" s="147"/>
      <c r="G81" s="206"/>
      <c r="H81" s="149"/>
      <c r="I81" s="206"/>
      <c r="J81" s="132"/>
    </row>
    <row r="82" spans="1:10" x14ac:dyDescent="0.2">
      <c r="B82" s="210"/>
      <c r="C82" s="211"/>
      <c r="D82" s="212"/>
      <c r="E82" s="195"/>
      <c r="F82" s="147"/>
      <c r="G82" s="206"/>
      <c r="H82" s="149"/>
      <c r="I82" s="149"/>
      <c r="J82" s="132"/>
    </row>
    <row r="83" spans="1:10" x14ac:dyDescent="0.2">
      <c r="B83" s="207" t="s">
        <v>183</v>
      </c>
      <c r="C83" s="208">
        <f>+C71</f>
        <v>44962.048800000004</v>
      </c>
      <c r="D83" s="208">
        <f>+D60</f>
        <v>1</v>
      </c>
      <c r="E83" s="213">
        <f>+C83/D83</f>
        <v>44962.048800000004</v>
      </c>
      <c r="F83" s="147"/>
      <c r="G83" s="206"/>
      <c r="H83" s="149"/>
      <c r="I83" s="149"/>
      <c r="J83" s="132"/>
    </row>
    <row r="84" spans="1:10" x14ac:dyDescent="0.2">
      <c r="B84" s="207"/>
      <c r="C84" s="208"/>
      <c r="D84" s="208"/>
      <c r="E84" s="213"/>
      <c r="F84" s="147"/>
      <c r="G84" s="206"/>
      <c r="H84" s="149"/>
      <c r="I84" s="149"/>
      <c r="J84" s="132"/>
    </row>
    <row r="85" spans="1:10" ht="13.5" thickBot="1" x14ac:dyDescent="0.25">
      <c r="B85" s="207" t="s">
        <v>185</v>
      </c>
      <c r="C85" s="208">
        <f>+C73</f>
        <v>770</v>
      </c>
      <c r="D85" s="208">
        <f>+D60</f>
        <v>1</v>
      </c>
      <c r="E85" s="213">
        <f>+C85/D85</f>
        <v>770</v>
      </c>
      <c r="F85" s="215"/>
      <c r="G85" s="205"/>
      <c r="H85" s="131"/>
      <c r="I85" s="149"/>
    </row>
    <row r="86" spans="1:10" ht="13.5" thickBot="1" x14ac:dyDescent="0.25">
      <c r="B86" s="207" t="s">
        <v>185</v>
      </c>
      <c r="C86" s="208">
        <f>+C74</f>
        <v>770</v>
      </c>
      <c r="D86" s="208">
        <f>+D85</f>
        <v>1</v>
      </c>
      <c r="E86" s="209">
        <f>+C86/D86</f>
        <v>770</v>
      </c>
      <c r="F86" s="214"/>
      <c r="G86" s="205"/>
      <c r="H86" s="131"/>
      <c r="I86" s="131"/>
    </row>
    <row r="87" spans="1:10" x14ac:dyDescent="0.2">
      <c r="I87" s="131"/>
    </row>
    <row r="88" spans="1:10" x14ac:dyDescent="0.2">
      <c r="A88" s="843"/>
      <c r="B88" s="843"/>
      <c r="C88" s="216"/>
      <c r="D88" s="216"/>
      <c r="E88" s="217"/>
      <c r="G88" s="218"/>
    </row>
    <row r="89" spans="1:10" x14ac:dyDescent="0.2">
      <c r="A89" s="150"/>
      <c r="B89" s="219"/>
      <c r="C89" s="220"/>
      <c r="D89" s="220"/>
      <c r="E89" s="221"/>
      <c r="G89" s="218"/>
    </row>
    <row r="90" spans="1:10" x14ac:dyDescent="0.2">
      <c r="A90" s="150"/>
      <c r="B90" s="219"/>
      <c r="C90" s="222"/>
      <c r="D90" s="222"/>
      <c r="E90" s="150"/>
      <c r="G90" s="218"/>
    </row>
    <row r="91" spans="1:10" x14ac:dyDescent="0.2">
      <c r="A91" s="150"/>
      <c r="B91" s="219"/>
      <c r="C91" s="223"/>
      <c r="D91" s="223"/>
      <c r="E91" s="150"/>
      <c r="G91" s="218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36180-FE48-4408-8FD6-C766AD7F578E}">
  <dimension ref="A1:I58"/>
  <sheetViews>
    <sheetView workbookViewId="0">
      <selection activeCell="C13" sqref="C13"/>
    </sheetView>
  </sheetViews>
  <sheetFormatPr baseColWidth="10" defaultRowHeight="12.75" x14ac:dyDescent="0.2"/>
  <cols>
    <col min="2" max="2" width="13.42578125" bestFit="1" customWidth="1"/>
    <col min="3" max="3" width="47.42578125" customWidth="1"/>
    <col min="4" max="4" width="30.28515625" customWidth="1"/>
    <col min="8" max="8" width="33.7109375" bestFit="1" customWidth="1"/>
    <col min="9" max="9" width="21.85546875" bestFit="1" customWidth="1"/>
  </cols>
  <sheetData>
    <row r="1" spans="1:9" ht="17.25" x14ac:dyDescent="0.3">
      <c r="A1" s="1004"/>
      <c r="B1" s="1005"/>
      <c r="C1" s="932" t="s">
        <v>58</v>
      </c>
      <c r="D1" s="932"/>
      <c r="E1" s="932"/>
      <c r="F1" s="932"/>
      <c r="G1" s="932"/>
      <c r="H1" s="348" t="s">
        <v>57</v>
      </c>
      <c r="I1" s="349" t="s">
        <v>266</v>
      </c>
    </row>
    <row r="2" spans="1:9" ht="18" customHeight="1" thickBot="1" x14ac:dyDescent="0.35">
      <c r="A2" s="1006"/>
      <c r="B2" s="1007"/>
      <c r="C2" s="1010" t="s">
        <v>56</v>
      </c>
      <c r="D2" s="1011"/>
      <c r="E2" s="1011"/>
      <c r="F2" s="1011"/>
      <c r="G2" s="1012"/>
      <c r="H2" s="350" t="s">
        <v>55</v>
      </c>
      <c r="I2" s="351" t="s">
        <v>267</v>
      </c>
    </row>
    <row r="3" spans="1:9" ht="31.5" customHeight="1" thickBot="1" x14ac:dyDescent="0.25">
      <c r="A3" s="1006"/>
      <c r="B3" s="1007"/>
      <c r="C3" s="1013" t="s">
        <v>268</v>
      </c>
      <c r="D3" s="1014"/>
      <c r="E3" s="1014"/>
      <c r="F3" s="1014"/>
      <c r="G3" s="1015"/>
      <c r="H3" s="1016" t="s">
        <v>54</v>
      </c>
      <c r="I3" s="995">
        <v>45613</v>
      </c>
    </row>
    <row r="4" spans="1:9" ht="18" customHeight="1" x14ac:dyDescent="0.3">
      <c r="A4" s="1006"/>
      <c r="B4" s="1007"/>
      <c r="C4" s="352" t="s">
        <v>53</v>
      </c>
      <c r="D4" s="998" t="s">
        <v>237</v>
      </c>
      <c r="E4" s="999"/>
      <c r="F4" s="999"/>
      <c r="G4" s="1000"/>
      <c r="H4" s="1017"/>
      <c r="I4" s="996"/>
    </row>
    <row r="5" spans="1:9" ht="18" thickBot="1" x14ac:dyDescent="0.35">
      <c r="A5" s="1008"/>
      <c r="B5" s="1009"/>
      <c r="C5" s="353" t="s">
        <v>51</v>
      </c>
      <c r="D5" s="1001" t="s">
        <v>125</v>
      </c>
      <c r="E5" s="1002"/>
      <c r="F5" s="1002"/>
      <c r="G5" s="1003"/>
      <c r="H5" s="1018"/>
      <c r="I5" s="997"/>
    </row>
    <row r="6" spans="1:9" ht="16.5" thickBot="1" x14ac:dyDescent="0.3">
      <c r="A6" s="1019" t="s">
        <v>49</v>
      </c>
      <c r="B6" s="1019"/>
      <c r="C6" s="1019"/>
      <c r="D6" s="1020" t="s">
        <v>126</v>
      </c>
      <c r="E6" s="1020"/>
      <c r="F6" s="1020"/>
      <c r="G6" s="1021" t="s">
        <v>47</v>
      </c>
      <c r="H6" s="1021"/>
      <c r="I6" s="354" t="s">
        <v>127</v>
      </c>
    </row>
    <row r="7" spans="1:9" ht="15" x14ac:dyDescent="0.2">
      <c r="A7" s="1022" t="s">
        <v>45</v>
      </c>
      <c r="B7" s="1024" t="s">
        <v>128</v>
      </c>
      <c r="C7" s="1026" t="s">
        <v>44</v>
      </c>
      <c r="D7" s="1026" t="s">
        <v>43</v>
      </c>
      <c r="E7" s="1026" t="s">
        <v>42</v>
      </c>
      <c r="F7" s="1026"/>
      <c r="G7" s="1026" t="s">
        <v>41</v>
      </c>
      <c r="H7" s="1026"/>
      <c r="I7" s="355" t="s">
        <v>40</v>
      </c>
    </row>
    <row r="8" spans="1:9" ht="30.75" thickBot="1" x14ac:dyDescent="0.25">
      <c r="A8" s="1023"/>
      <c r="B8" s="1025"/>
      <c r="C8" s="1027"/>
      <c r="D8" s="1027"/>
      <c r="E8" s="356" t="s">
        <v>11</v>
      </c>
      <c r="F8" s="357" t="s">
        <v>39</v>
      </c>
      <c r="G8" s="356" t="s">
        <v>11</v>
      </c>
      <c r="H8" s="357" t="s">
        <v>39</v>
      </c>
      <c r="I8" s="358" t="s">
        <v>38</v>
      </c>
    </row>
    <row r="9" spans="1:9" ht="15.75" x14ac:dyDescent="0.25">
      <c r="A9" s="359"/>
      <c r="B9" s="360"/>
      <c r="C9" s="361" t="s">
        <v>129</v>
      </c>
      <c r="D9" s="362"/>
      <c r="E9" s="363"/>
      <c r="F9" s="364"/>
      <c r="G9" s="363"/>
      <c r="H9" s="364"/>
      <c r="I9" s="365"/>
    </row>
    <row r="10" spans="1:9" ht="18" customHeight="1" x14ac:dyDescent="0.3">
      <c r="A10" s="366">
        <v>310148</v>
      </c>
      <c r="B10" s="367" t="s">
        <v>269</v>
      </c>
      <c r="C10" s="368" t="s">
        <v>270</v>
      </c>
      <c r="D10" s="369" t="s">
        <v>271</v>
      </c>
      <c r="E10" s="370">
        <v>12800</v>
      </c>
      <c r="F10" s="371" t="s">
        <v>2</v>
      </c>
      <c r="G10" s="372"/>
      <c r="H10" s="373"/>
      <c r="I10" s="365"/>
    </row>
    <row r="11" spans="1:9" ht="17.25" x14ac:dyDescent="0.3">
      <c r="A11" s="366">
        <v>11400031</v>
      </c>
      <c r="B11" s="374" t="s">
        <v>88</v>
      </c>
      <c r="C11" s="375" t="s">
        <v>272</v>
      </c>
      <c r="D11" s="369" t="s">
        <v>271</v>
      </c>
      <c r="E11" s="376">
        <v>3200</v>
      </c>
      <c r="F11" s="377" t="s">
        <v>2</v>
      </c>
      <c r="G11" s="372"/>
      <c r="H11" s="373"/>
      <c r="I11" s="365"/>
    </row>
    <row r="12" spans="1:9" ht="17.25" x14ac:dyDescent="0.3">
      <c r="A12" s="366" t="s">
        <v>273</v>
      </c>
      <c r="B12" s="374"/>
      <c r="C12" s="375" t="s">
        <v>93</v>
      </c>
      <c r="D12" s="369" t="s">
        <v>274</v>
      </c>
      <c r="E12" s="376">
        <v>800</v>
      </c>
      <c r="F12" s="377" t="s">
        <v>2</v>
      </c>
      <c r="G12" s="378"/>
      <c r="H12" s="373"/>
      <c r="I12" s="365"/>
    </row>
    <row r="13" spans="1:9" ht="17.25" x14ac:dyDescent="0.3">
      <c r="A13" s="366">
        <v>1212410</v>
      </c>
      <c r="B13" s="374" t="s">
        <v>275</v>
      </c>
      <c r="C13" s="375" t="s">
        <v>276</v>
      </c>
      <c r="D13" s="369" t="s">
        <v>277</v>
      </c>
      <c r="E13" s="376">
        <v>12</v>
      </c>
      <c r="F13" s="377" t="s">
        <v>2</v>
      </c>
      <c r="G13" s="378"/>
      <c r="H13" s="373"/>
      <c r="I13" s="365"/>
    </row>
    <row r="14" spans="1:9" ht="17.25" x14ac:dyDescent="0.3">
      <c r="A14" s="379"/>
      <c r="B14" s="380"/>
      <c r="C14" s="381"/>
      <c r="D14" s="378"/>
      <c r="E14" s="378"/>
      <c r="F14" s="382"/>
      <c r="G14" s="378"/>
      <c r="H14" s="373"/>
      <c r="I14" s="365"/>
    </row>
    <row r="15" spans="1:9" ht="17.25" x14ac:dyDescent="0.3">
      <c r="A15" s="383"/>
      <c r="B15" s="380"/>
      <c r="C15" s="384"/>
      <c r="D15" s="378"/>
      <c r="E15" s="378"/>
      <c r="F15" s="382"/>
      <c r="G15" s="378"/>
      <c r="H15" s="373"/>
      <c r="I15" s="365"/>
    </row>
    <row r="16" spans="1:9" ht="17.25" x14ac:dyDescent="0.3">
      <c r="A16" s="378"/>
      <c r="B16" s="378"/>
      <c r="C16" s="385"/>
      <c r="D16" s="386"/>
      <c r="E16" s="386"/>
      <c r="F16" s="372"/>
      <c r="G16" s="378"/>
      <c r="H16" s="373"/>
      <c r="I16" s="365"/>
    </row>
    <row r="17" spans="1:9" ht="17.25" x14ac:dyDescent="0.3">
      <c r="A17" s="380"/>
      <c r="B17" s="380"/>
      <c r="C17" s="387"/>
      <c r="D17" s="378"/>
      <c r="E17" s="378"/>
      <c r="F17" s="382"/>
      <c r="G17" s="378"/>
      <c r="H17" s="373"/>
      <c r="I17" s="365"/>
    </row>
    <row r="18" spans="1:9" ht="17.25" x14ac:dyDescent="0.3">
      <c r="A18" s="379"/>
      <c r="B18" s="380"/>
      <c r="C18" s="381"/>
      <c r="D18" s="378"/>
      <c r="E18" s="378"/>
      <c r="F18" s="382"/>
      <c r="G18" s="378"/>
      <c r="H18" s="373"/>
      <c r="I18" s="365"/>
    </row>
    <row r="19" spans="1:9" ht="17.25" x14ac:dyDescent="0.3">
      <c r="A19" s="287"/>
      <c r="B19" s="287"/>
      <c r="C19" s="388"/>
      <c r="D19" s="389"/>
      <c r="E19" s="390"/>
      <c r="F19" s="391"/>
      <c r="G19" s="363"/>
      <c r="H19" s="373"/>
      <c r="I19" s="365"/>
    </row>
    <row r="20" spans="1:9" ht="15.75" x14ac:dyDescent="0.25">
      <c r="A20" s="392"/>
      <c r="B20" s="393"/>
      <c r="C20" s="292" t="s">
        <v>126</v>
      </c>
      <c r="D20" s="325"/>
      <c r="E20" s="394"/>
      <c r="F20" s="395"/>
      <c r="G20" s="363"/>
      <c r="H20" s="364"/>
      <c r="I20" s="365"/>
    </row>
    <row r="21" spans="1:9" ht="17.25" x14ac:dyDescent="0.3">
      <c r="A21" s="366"/>
      <c r="B21" s="396"/>
      <c r="C21" s="368"/>
      <c r="D21" s="369"/>
      <c r="E21" s="376"/>
      <c r="F21" s="377"/>
      <c r="G21" s="363"/>
      <c r="H21" s="364"/>
      <c r="I21" s="365"/>
    </row>
    <row r="22" spans="1:9" ht="17.25" x14ac:dyDescent="0.3">
      <c r="A22" s="366"/>
      <c r="B22" s="396"/>
      <c r="C22" s="368"/>
      <c r="D22" s="369"/>
      <c r="E22" s="397"/>
      <c r="F22" s="377"/>
      <c r="G22" s="363"/>
      <c r="H22" s="364"/>
      <c r="I22" s="365"/>
    </row>
    <row r="23" spans="1:9" ht="17.25" x14ac:dyDescent="0.3">
      <c r="A23" s="366"/>
      <c r="B23" s="396"/>
      <c r="C23" s="368"/>
      <c r="D23" s="369"/>
      <c r="E23" s="376"/>
      <c r="F23" s="377"/>
      <c r="G23" s="363"/>
      <c r="H23" s="364"/>
      <c r="I23" s="365"/>
    </row>
    <row r="24" spans="1:9" ht="17.25" x14ac:dyDescent="0.3">
      <c r="A24" s="366"/>
      <c r="B24" s="396"/>
      <c r="C24" s="368"/>
      <c r="D24" s="369"/>
      <c r="E24" s="398"/>
      <c r="F24" s="399"/>
      <c r="G24" s="363"/>
      <c r="H24" s="364"/>
      <c r="I24" s="365"/>
    </row>
    <row r="25" spans="1:9" ht="17.25" x14ac:dyDescent="0.3">
      <c r="A25" s="366"/>
      <c r="B25" s="396"/>
      <c r="C25" s="368"/>
      <c r="D25" s="369"/>
      <c r="E25" s="370"/>
      <c r="F25" s="399"/>
      <c r="G25" s="363"/>
      <c r="H25" s="364"/>
      <c r="I25" s="365"/>
    </row>
    <row r="26" spans="1:9" ht="17.25" x14ac:dyDescent="0.3">
      <c r="A26" s="400"/>
      <c r="B26" s="400"/>
      <c r="C26" s="401"/>
      <c r="D26" s="402"/>
      <c r="E26" s="403"/>
      <c r="F26" s="404"/>
      <c r="G26" s="363"/>
      <c r="H26" s="364"/>
      <c r="I26" s="365"/>
    </row>
    <row r="27" spans="1:9" ht="17.25" x14ac:dyDescent="0.3">
      <c r="A27" s="287"/>
      <c r="B27" s="287"/>
      <c r="C27" s="388"/>
      <c r="D27" s="405"/>
      <c r="E27" s="406"/>
      <c r="F27" s="404"/>
      <c r="G27" s="363"/>
      <c r="H27" s="364"/>
      <c r="I27" s="365"/>
    </row>
    <row r="28" spans="1:9" ht="17.25" x14ac:dyDescent="0.3">
      <c r="A28" s="287"/>
      <c r="B28" s="287"/>
      <c r="C28" s="388"/>
      <c r="D28" s="405"/>
      <c r="E28" s="397"/>
      <c r="F28" s="407"/>
      <c r="G28" s="363"/>
      <c r="H28" s="364"/>
      <c r="I28" s="365"/>
    </row>
    <row r="29" spans="1:9" ht="15.75" x14ac:dyDescent="0.25">
      <c r="A29" s="408"/>
      <c r="B29" s="409"/>
      <c r="C29" s="305" t="s">
        <v>239</v>
      </c>
      <c r="D29" s="410"/>
      <c r="E29" s="411"/>
      <c r="F29" s="364"/>
      <c r="G29" s="363"/>
      <c r="H29" s="401"/>
      <c r="I29" s="365"/>
    </row>
    <row r="30" spans="1:9" ht="17.25" x14ac:dyDescent="0.3">
      <c r="A30" s="412">
        <v>702123</v>
      </c>
      <c r="B30" s="412" t="s">
        <v>18</v>
      </c>
      <c r="C30" s="413" t="s">
        <v>278</v>
      </c>
      <c r="D30" s="414" t="s">
        <v>279</v>
      </c>
      <c r="E30" s="415">
        <v>1</v>
      </c>
      <c r="F30" s="416" t="s">
        <v>5</v>
      </c>
      <c r="G30" s="417"/>
      <c r="H30" s="364"/>
      <c r="I30" s="365"/>
    </row>
    <row r="31" spans="1:9" ht="17.25" x14ac:dyDescent="0.3">
      <c r="A31" s="412"/>
      <c r="B31" s="412"/>
      <c r="C31" s="413"/>
      <c r="D31" s="414"/>
      <c r="E31" s="415"/>
      <c r="F31" s="416"/>
      <c r="G31" s="417"/>
      <c r="H31" s="364"/>
      <c r="I31" s="365"/>
    </row>
    <row r="32" spans="1:9" ht="17.25" x14ac:dyDescent="0.3">
      <c r="A32" s="412"/>
      <c r="B32" s="412"/>
      <c r="C32" s="413"/>
      <c r="D32" s="414"/>
      <c r="E32" s="415"/>
      <c r="F32" s="416"/>
      <c r="G32" s="417"/>
      <c r="H32" s="364"/>
      <c r="I32" s="365"/>
    </row>
    <row r="33" spans="1:9" ht="15.75" x14ac:dyDescent="0.25">
      <c r="A33" s="418"/>
      <c r="B33" s="418"/>
      <c r="C33" s="419"/>
      <c r="D33" s="124"/>
      <c r="E33" s="420"/>
      <c r="F33" s="421"/>
      <c r="G33" s="363"/>
      <c r="H33" s="364"/>
      <c r="I33" s="365"/>
    </row>
    <row r="34" spans="1:9" ht="15.75" x14ac:dyDescent="0.25">
      <c r="A34" s="418"/>
      <c r="B34" s="418"/>
      <c r="C34" s="422"/>
      <c r="D34" s="124"/>
      <c r="E34" s="124"/>
      <c r="F34" s="421"/>
      <c r="G34" s="363"/>
      <c r="H34" s="364"/>
      <c r="I34" s="365"/>
    </row>
    <row r="35" spans="1:9" ht="15.75" x14ac:dyDescent="0.25">
      <c r="A35" s="418"/>
      <c r="B35" s="418"/>
      <c r="C35" s="422"/>
      <c r="D35" s="124"/>
      <c r="E35" s="124"/>
      <c r="F35" s="421"/>
      <c r="G35" s="423"/>
      <c r="H35" s="364"/>
      <c r="I35" s="365"/>
    </row>
    <row r="36" spans="1:9" ht="15.75" x14ac:dyDescent="0.25">
      <c r="A36" s="424"/>
      <c r="B36" s="425"/>
      <c r="C36" s="426"/>
      <c r="D36" s="427"/>
      <c r="E36" s="427"/>
      <c r="F36" s="428"/>
      <c r="G36" s="328"/>
      <c r="H36" s="364"/>
      <c r="I36" s="365"/>
    </row>
    <row r="37" spans="1:9" ht="15.75" x14ac:dyDescent="0.25">
      <c r="A37" s="392"/>
      <c r="B37" s="393"/>
      <c r="C37" s="413"/>
      <c r="D37" s="124"/>
      <c r="E37" s="328"/>
      <c r="F37" s="395"/>
      <c r="G37" s="328"/>
      <c r="H37" s="364"/>
      <c r="I37" s="365"/>
    </row>
    <row r="38" spans="1:9" ht="15.75" x14ac:dyDescent="0.25">
      <c r="A38" s="392"/>
      <c r="B38" s="393"/>
      <c r="C38" s="413"/>
      <c r="D38" s="325"/>
      <c r="E38" s="325"/>
      <c r="F38" s="395"/>
      <c r="G38" s="325"/>
      <c r="H38" s="325"/>
      <c r="I38" s="365"/>
    </row>
    <row r="39" spans="1:9" ht="18" thickBot="1" x14ac:dyDescent="0.35">
      <c r="A39" s="429"/>
      <c r="B39" s="430"/>
      <c r="C39" s="431"/>
      <c r="D39" s="431"/>
      <c r="E39" s="432"/>
      <c r="F39" s="433"/>
      <c r="G39" s="431"/>
      <c r="H39" s="431"/>
      <c r="I39" s="434"/>
    </row>
    <row r="40" spans="1:9" ht="18" thickBot="1" x14ac:dyDescent="0.35">
      <c r="A40" s="435"/>
      <c r="B40" s="436"/>
      <c r="C40" s="437"/>
      <c r="D40" s="438" t="s">
        <v>11</v>
      </c>
      <c r="E40" s="439" t="s">
        <v>10</v>
      </c>
      <c r="F40" s="440"/>
      <c r="G40" s="437"/>
      <c r="H40" s="437"/>
      <c r="I40" s="441"/>
    </row>
    <row r="41" spans="1:9" ht="17.25" x14ac:dyDescent="0.3">
      <c r="A41" s="1028" t="s">
        <v>9</v>
      </c>
      <c r="B41" s="1029"/>
      <c r="C41" s="1030"/>
      <c r="D41" s="406">
        <v>16597</v>
      </c>
      <c r="E41" s="442" t="s">
        <v>2</v>
      </c>
      <c r="F41" s="1031" t="s">
        <v>104</v>
      </c>
      <c r="G41" s="1031"/>
      <c r="H41" s="1032"/>
      <c r="I41" s="1033"/>
    </row>
    <row r="42" spans="1:9" ht="17.25" x14ac:dyDescent="0.3">
      <c r="A42" s="1034" t="s">
        <v>105</v>
      </c>
      <c r="B42" s="1035"/>
      <c r="C42" s="1036"/>
      <c r="D42" s="378">
        <v>17</v>
      </c>
      <c r="E42" s="378" t="s">
        <v>7</v>
      </c>
      <c r="F42" s="1037" t="s">
        <v>106</v>
      </c>
      <c r="G42" s="1037"/>
      <c r="H42" s="1038"/>
      <c r="I42" s="1039"/>
    </row>
    <row r="43" spans="1:9" ht="17.25" x14ac:dyDescent="0.3">
      <c r="A43" s="1034" t="s">
        <v>6</v>
      </c>
      <c r="B43" s="1035"/>
      <c r="C43" s="1036"/>
      <c r="D43" s="378">
        <v>1</v>
      </c>
      <c r="E43" s="378" t="s">
        <v>131</v>
      </c>
      <c r="F43" s="1037" t="s">
        <v>107</v>
      </c>
      <c r="G43" s="1037"/>
      <c r="H43" s="1038"/>
      <c r="I43" s="1039"/>
    </row>
    <row r="44" spans="1:9" ht="17.25" x14ac:dyDescent="0.3">
      <c r="A44" s="1034" t="s">
        <v>4</v>
      </c>
      <c r="B44" s="1035"/>
      <c r="C44" s="1036"/>
      <c r="D44" s="397">
        <v>16597</v>
      </c>
      <c r="E44" s="378" t="s">
        <v>2</v>
      </c>
      <c r="F44" s="1043" t="s">
        <v>132</v>
      </c>
      <c r="G44" s="1044"/>
      <c r="H44" s="1045"/>
      <c r="I44" s="1046"/>
    </row>
    <row r="45" spans="1:9" ht="18" thickBot="1" x14ac:dyDescent="0.35">
      <c r="A45" s="1047" t="s">
        <v>3</v>
      </c>
      <c r="B45" s="1048"/>
      <c r="C45" s="1049"/>
      <c r="D45" s="443">
        <v>215</v>
      </c>
      <c r="E45" s="444" t="s">
        <v>2</v>
      </c>
      <c r="F45" s="1050"/>
      <c r="G45" s="1050"/>
      <c r="H45" s="1038"/>
      <c r="I45" s="1039"/>
    </row>
    <row r="46" spans="1:9" ht="15.75" thickBot="1" x14ac:dyDescent="0.25">
      <c r="A46" s="1051" t="s">
        <v>1</v>
      </c>
      <c r="B46" s="1052"/>
      <c r="C46" s="1052"/>
      <c r="D46" s="1052"/>
      <c r="E46" s="1052"/>
      <c r="F46" s="1052"/>
      <c r="G46" s="1052"/>
      <c r="H46" s="1052"/>
      <c r="I46" s="1053"/>
    </row>
    <row r="47" spans="1:9" ht="18.399999999999999" customHeight="1" x14ac:dyDescent="0.25">
      <c r="A47" s="1040" t="s">
        <v>280</v>
      </c>
      <c r="B47" s="1041"/>
      <c r="C47" s="1041"/>
      <c r="D47" s="1041"/>
      <c r="E47" s="1041"/>
      <c r="F47" s="1041"/>
      <c r="G47" s="1041"/>
      <c r="H47" s="1041"/>
      <c r="I47" s="1042"/>
    </row>
    <row r="48" spans="1:9" ht="14.65" customHeight="1" x14ac:dyDescent="0.25">
      <c r="A48" s="1040" t="s">
        <v>281</v>
      </c>
      <c r="B48" s="1041"/>
      <c r="C48" s="1041"/>
      <c r="D48" s="1041"/>
      <c r="E48" s="1041"/>
      <c r="F48" s="1041"/>
      <c r="G48" s="1041"/>
      <c r="H48" s="1041"/>
      <c r="I48" s="1042"/>
    </row>
    <row r="49" spans="1:9" ht="14.65" customHeight="1" x14ac:dyDescent="0.25">
      <c r="A49" s="1040" t="s">
        <v>282</v>
      </c>
      <c r="B49" s="1041"/>
      <c r="C49" s="1041"/>
      <c r="D49" s="1041"/>
      <c r="E49" s="1041"/>
      <c r="F49" s="1041"/>
      <c r="G49" s="1041"/>
      <c r="H49" s="1041"/>
      <c r="I49" s="1042"/>
    </row>
    <row r="50" spans="1:9" ht="14.65" customHeight="1" x14ac:dyDescent="0.25">
      <c r="A50" s="1040" t="s">
        <v>283</v>
      </c>
      <c r="B50" s="1041"/>
      <c r="C50" s="1041"/>
      <c r="D50" s="1041"/>
      <c r="E50" s="1041"/>
      <c r="F50" s="1041"/>
      <c r="G50" s="1041"/>
      <c r="H50" s="1041"/>
      <c r="I50" s="1042"/>
    </row>
    <row r="51" spans="1:9" ht="14.65" customHeight="1" x14ac:dyDescent="0.25">
      <c r="A51" s="1040" t="s">
        <v>284</v>
      </c>
      <c r="B51" s="1041"/>
      <c r="C51" s="1041"/>
      <c r="D51" s="1041"/>
      <c r="E51" s="1041"/>
      <c r="F51" s="1041"/>
      <c r="G51" s="1041"/>
      <c r="H51" s="1041"/>
      <c r="I51" s="1042"/>
    </row>
    <row r="52" spans="1:9" ht="14.65" customHeight="1" x14ac:dyDescent="0.3">
      <c r="A52" s="1061"/>
      <c r="B52" s="1062"/>
      <c r="C52" s="1063"/>
      <c r="D52" s="1063"/>
      <c r="E52" s="1063"/>
      <c r="F52" s="1063"/>
      <c r="G52" s="1063"/>
      <c r="H52" s="1063"/>
      <c r="I52" s="1064"/>
    </row>
    <row r="53" spans="1:9" ht="18" customHeight="1" x14ac:dyDescent="0.3">
      <c r="A53" s="1065"/>
      <c r="B53" s="1066"/>
      <c r="C53" s="1066"/>
      <c r="D53" s="1066"/>
      <c r="E53" s="1066"/>
      <c r="F53" s="1066"/>
      <c r="G53" s="1066"/>
      <c r="H53" s="1066"/>
      <c r="I53" s="1067"/>
    </row>
    <row r="54" spans="1:9" ht="18" thickBot="1" x14ac:dyDescent="0.35">
      <c r="A54" s="1068"/>
      <c r="B54" s="1069"/>
      <c r="C54" s="1069"/>
      <c r="D54" s="1069"/>
      <c r="E54" s="1069"/>
      <c r="F54" s="1069"/>
      <c r="G54" s="1069"/>
      <c r="H54" s="1069"/>
      <c r="I54" s="1070"/>
    </row>
    <row r="55" spans="1:9" ht="16.5" thickBot="1" x14ac:dyDescent="0.3">
      <c r="A55" s="1054"/>
      <c r="B55" s="1055"/>
      <c r="C55" s="1055"/>
      <c r="D55" s="1055"/>
      <c r="E55" s="1055"/>
      <c r="F55" s="1055"/>
      <c r="G55" s="1055"/>
      <c r="H55" s="1055"/>
      <c r="I55" s="1056"/>
    </row>
    <row r="56" spans="1:9" ht="15" x14ac:dyDescent="0.2">
      <c r="A56" s="1057" t="s">
        <v>0</v>
      </c>
      <c r="B56" s="1058"/>
      <c r="C56" s="1058"/>
      <c r="D56" s="1058"/>
      <c r="E56" s="1058"/>
      <c r="F56" s="1058"/>
      <c r="G56" s="1058"/>
      <c r="H56" s="1058"/>
      <c r="I56" s="1058"/>
    </row>
    <row r="57" spans="1:9" ht="17.25" x14ac:dyDescent="0.3">
      <c r="A57" s="1001" t="s">
        <v>285</v>
      </c>
      <c r="B57" s="1002"/>
      <c r="C57" s="1002"/>
      <c r="D57" s="1002"/>
      <c r="E57" s="1002"/>
      <c r="F57" s="1002"/>
      <c r="G57" s="1002"/>
      <c r="H57" s="1002"/>
      <c r="I57" s="1003"/>
    </row>
    <row r="58" spans="1:9" ht="17.25" x14ac:dyDescent="0.3">
      <c r="A58" s="1059"/>
      <c r="B58" s="1060"/>
      <c r="C58" s="1060"/>
      <c r="D58" s="1060"/>
      <c r="E58" s="1060"/>
      <c r="F58" s="1060"/>
      <c r="G58" s="1060"/>
      <c r="H58" s="1060"/>
      <c r="I58" s="1060"/>
    </row>
  </sheetData>
  <mergeCells count="45">
    <mergeCell ref="A55:I55"/>
    <mergeCell ref="A56:I56"/>
    <mergeCell ref="A57:I57"/>
    <mergeCell ref="A58:I58"/>
    <mergeCell ref="A49:I49"/>
    <mergeCell ref="A50:I50"/>
    <mergeCell ref="A51:I51"/>
    <mergeCell ref="A52:I52"/>
    <mergeCell ref="A53:I53"/>
    <mergeCell ref="A54:I54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41:C41"/>
    <mergeCell ref="F41:G41"/>
    <mergeCell ref="H41:I41"/>
    <mergeCell ref="A42:C42"/>
    <mergeCell ref="F42:G42"/>
    <mergeCell ref="H42:I4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68E95-DD8D-4301-875D-A64FF4A3AC1E}">
  <dimension ref="A1:I40"/>
  <sheetViews>
    <sheetView workbookViewId="0">
      <selection activeCell="C15" sqref="C15"/>
    </sheetView>
  </sheetViews>
  <sheetFormatPr baseColWidth="10" defaultRowHeight="12.75" x14ac:dyDescent="0.2"/>
  <cols>
    <col min="1" max="1" width="9.7109375" customWidth="1"/>
    <col min="2" max="2" width="11" customWidth="1"/>
    <col min="3" max="3" width="48.85546875" customWidth="1"/>
  </cols>
  <sheetData>
    <row r="1" spans="1:9" ht="15.75" x14ac:dyDescent="0.25">
      <c r="A1" s="1123"/>
      <c r="B1" s="1124"/>
      <c r="C1" s="1129" t="s">
        <v>58</v>
      </c>
      <c r="D1" s="1130"/>
      <c r="E1" s="1130"/>
      <c r="F1" s="1130"/>
      <c r="G1" s="1131"/>
      <c r="H1" s="84" t="s">
        <v>57</v>
      </c>
      <c r="I1" s="85"/>
    </row>
    <row r="2" spans="1:9" ht="16.5" thickBot="1" x14ac:dyDescent="0.3">
      <c r="A2" s="1125"/>
      <c r="B2" s="1126"/>
      <c r="C2" s="1132" t="s">
        <v>56</v>
      </c>
      <c r="D2" s="1133"/>
      <c r="E2" s="1133"/>
      <c r="F2" s="1133"/>
      <c r="G2" s="1134"/>
      <c r="H2" s="86" t="s">
        <v>55</v>
      </c>
      <c r="I2" s="87"/>
    </row>
    <row r="3" spans="1:9" ht="18.75" thickBot="1" x14ac:dyDescent="0.25">
      <c r="A3" s="1125"/>
      <c r="B3" s="1126"/>
      <c r="C3" s="1135" t="s">
        <v>112</v>
      </c>
      <c r="D3" s="1136"/>
      <c r="E3" s="1136"/>
      <c r="F3" s="1136"/>
      <c r="G3" s="1136"/>
      <c r="H3" s="1137" t="s">
        <v>54</v>
      </c>
      <c r="I3" s="1140"/>
    </row>
    <row r="4" spans="1:9" ht="13.5" x14ac:dyDescent="0.25">
      <c r="A4" s="1125"/>
      <c r="B4" s="1126"/>
      <c r="C4" s="88" t="s">
        <v>53</v>
      </c>
      <c r="D4" s="1143" t="s">
        <v>100</v>
      </c>
      <c r="E4" s="1144"/>
      <c r="F4" s="1144"/>
      <c r="G4" s="1144"/>
      <c r="H4" s="1138"/>
      <c r="I4" s="1141"/>
    </row>
    <row r="5" spans="1:9" ht="14.25" thickBot="1" x14ac:dyDescent="0.3">
      <c r="A5" s="1127"/>
      <c r="B5" s="1128"/>
      <c r="C5" s="89" t="s">
        <v>51</v>
      </c>
      <c r="D5" s="1145" t="s">
        <v>101</v>
      </c>
      <c r="E5" s="1146"/>
      <c r="F5" s="1146"/>
      <c r="G5" s="1146"/>
      <c r="H5" s="1139"/>
      <c r="I5" s="1142"/>
    </row>
    <row r="6" spans="1:9" x14ac:dyDescent="0.2">
      <c r="A6" s="90"/>
      <c r="B6" s="83"/>
      <c r="C6" s="91"/>
      <c r="D6" s="92"/>
      <c r="E6" s="92"/>
      <c r="F6" s="92"/>
      <c r="G6" s="92"/>
      <c r="H6" s="93"/>
      <c r="I6" s="94"/>
    </row>
    <row r="7" spans="1:9" ht="18.75" thickBot="1" x14ac:dyDescent="0.3">
      <c r="A7" s="1147" t="s">
        <v>49</v>
      </c>
      <c r="B7" s="1148"/>
      <c r="C7" s="1148"/>
      <c r="D7" s="1149" t="s">
        <v>68</v>
      </c>
      <c r="E7" s="1149"/>
      <c r="F7" s="1149"/>
      <c r="G7" s="1150" t="s">
        <v>102</v>
      </c>
      <c r="H7" s="1150"/>
      <c r="I7" s="1150"/>
    </row>
    <row r="8" spans="1:9" ht="25.5" x14ac:dyDescent="0.2">
      <c r="A8" s="1151" t="s">
        <v>45</v>
      </c>
      <c r="B8" s="1114" t="s">
        <v>103</v>
      </c>
      <c r="C8" s="1116" t="s">
        <v>44</v>
      </c>
      <c r="D8" s="1116" t="s">
        <v>43</v>
      </c>
      <c r="E8" s="1118" t="s">
        <v>42</v>
      </c>
      <c r="F8" s="1119"/>
      <c r="G8" s="1118" t="s">
        <v>41</v>
      </c>
      <c r="H8" s="1119"/>
      <c r="I8" s="95" t="s">
        <v>40</v>
      </c>
    </row>
    <row r="9" spans="1:9" ht="25.5" x14ac:dyDescent="0.2">
      <c r="A9" s="1152"/>
      <c r="B9" s="1115"/>
      <c r="C9" s="1117"/>
      <c r="D9" s="1117"/>
      <c r="E9" s="96" t="s">
        <v>11</v>
      </c>
      <c r="F9" s="97" t="s">
        <v>39</v>
      </c>
      <c r="G9" s="96" t="s">
        <v>11</v>
      </c>
      <c r="H9" s="97" t="s">
        <v>39</v>
      </c>
      <c r="I9" s="98" t="s">
        <v>38</v>
      </c>
    </row>
    <row r="10" spans="1:9" ht="13.5" x14ac:dyDescent="0.25">
      <c r="A10" s="79"/>
      <c r="B10" s="79"/>
      <c r="C10" s="79"/>
      <c r="D10" s="79"/>
      <c r="E10" s="79"/>
      <c r="F10" s="79"/>
      <c r="G10" s="79"/>
      <c r="H10" s="79"/>
      <c r="I10" s="79"/>
    </row>
    <row r="11" spans="1:9" ht="13.5" x14ac:dyDescent="0.25">
      <c r="A11" s="99"/>
      <c r="B11" t="s">
        <v>94</v>
      </c>
      <c r="C11" t="s">
        <v>95</v>
      </c>
      <c r="D11" s="77" t="s">
        <v>33</v>
      </c>
      <c r="E11" s="77">
        <v>320</v>
      </c>
      <c r="F11" s="78" t="s">
        <v>2</v>
      </c>
      <c r="G11" s="1071" t="s">
        <v>120</v>
      </c>
      <c r="H11" s="1072"/>
      <c r="I11" s="100"/>
    </row>
    <row r="12" spans="1:9" ht="13.5" x14ac:dyDescent="0.25">
      <c r="A12" s="99"/>
      <c r="B12" s="116" t="s">
        <v>113</v>
      </c>
      <c r="C12" s="117" t="s">
        <v>114</v>
      </c>
      <c r="D12" s="77" t="s">
        <v>33</v>
      </c>
      <c r="E12" s="77">
        <v>200</v>
      </c>
      <c r="F12" s="78" t="s">
        <v>2</v>
      </c>
      <c r="G12" s="1071" t="s">
        <v>96</v>
      </c>
      <c r="H12" s="1072"/>
      <c r="I12" s="100"/>
    </row>
    <row r="13" spans="1:9" ht="13.5" x14ac:dyDescent="0.25">
      <c r="A13" s="99"/>
      <c r="B13" s="118" t="s">
        <v>13</v>
      </c>
      <c r="C13" s="118" t="s">
        <v>115</v>
      </c>
      <c r="D13" s="77" t="s">
        <v>33</v>
      </c>
      <c r="E13" s="77">
        <v>300</v>
      </c>
      <c r="F13" s="78" t="s">
        <v>2</v>
      </c>
      <c r="G13" s="1071"/>
      <c r="H13" s="1072"/>
      <c r="I13" s="100"/>
    </row>
    <row r="14" spans="1:9" ht="13.5" x14ac:dyDescent="0.25">
      <c r="A14" s="99"/>
      <c r="B14" s="119" t="s">
        <v>13</v>
      </c>
      <c r="C14" s="120" t="s">
        <v>116</v>
      </c>
      <c r="D14" s="77" t="s">
        <v>33</v>
      </c>
      <c r="E14" s="77">
        <v>130</v>
      </c>
      <c r="F14" s="78" t="s">
        <v>2</v>
      </c>
      <c r="G14" s="1071" t="s">
        <v>97</v>
      </c>
      <c r="H14" s="1072"/>
      <c r="I14" s="101"/>
    </row>
    <row r="15" spans="1:9" ht="13.5" x14ac:dyDescent="0.25">
      <c r="A15" s="99"/>
      <c r="B15" s="80" t="s">
        <v>98</v>
      </c>
      <c r="C15" s="82" t="s">
        <v>99</v>
      </c>
      <c r="D15" s="77" t="s">
        <v>33</v>
      </c>
      <c r="E15" s="77">
        <v>90</v>
      </c>
      <c r="F15" s="78" t="s">
        <v>2</v>
      </c>
      <c r="G15" s="1071" t="s">
        <v>97</v>
      </c>
      <c r="H15" s="1072"/>
      <c r="I15" s="100"/>
    </row>
    <row r="16" spans="1:9" ht="13.5" x14ac:dyDescent="0.25">
      <c r="A16" s="99"/>
      <c r="B16" s="121" t="s">
        <v>117</v>
      </c>
      <c r="C16" s="122" t="s">
        <v>118</v>
      </c>
      <c r="D16" s="77" t="s">
        <v>33</v>
      </c>
      <c r="E16" s="77">
        <v>75</v>
      </c>
      <c r="F16" s="78" t="s">
        <v>2</v>
      </c>
      <c r="G16" s="1073" t="s">
        <v>119</v>
      </c>
      <c r="H16" s="1074"/>
      <c r="I16" s="100"/>
    </row>
    <row r="17" spans="1:9" ht="13.5" x14ac:dyDescent="0.25">
      <c r="A17" s="99"/>
      <c r="B17" s="118" t="s">
        <v>13</v>
      </c>
      <c r="C17" s="118" t="s">
        <v>115</v>
      </c>
      <c r="D17" s="77" t="s">
        <v>33</v>
      </c>
      <c r="E17" s="77">
        <v>100</v>
      </c>
      <c r="F17" s="78" t="s">
        <v>2</v>
      </c>
      <c r="G17" s="1071"/>
      <c r="H17" s="1072"/>
      <c r="I17" s="100"/>
    </row>
    <row r="18" spans="1:9" ht="13.5" x14ac:dyDescent="0.25">
      <c r="A18" s="99"/>
      <c r="B18" s="82"/>
      <c r="C18" s="82"/>
      <c r="D18" s="77"/>
      <c r="E18" s="77"/>
      <c r="F18" s="78"/>
      <c r="G18" s="77"/>
      <c r="H18" s="78"/>
      <c r="I18" s="100"/>
    </row>
    <row r="19" spans="1:9" ht="14.25" thickBot="1" x14ac:dyDescent="0.3">
      <c r="A19" s="99"/>
      <c r="B19" s="81"/>
      <c r="C19" s="59"/>
      <c r="D19" s="77"/>
      <c r="E19" s="102"/>
      <c r="F19" s="78"/>
      <c r="G19" s="102"/>
      <c r="H19" s="78"/>
      <c r="I19" s="103"/>
    </row>
    <row r="20" spans="1:9" ht="14.25" thickBot="1" x14ac:dyDescent="0.3">
      <c r="A20" s="104"/>
      <c r="B20" s="105"/>
      <c r="C20" s="106"/>
      <c r="D20" s="107" t="s">
        <v>11</v>
      </c>
      <c r="E20" s="107" t="s">
        <v>10</v>
      </c>
      <c r="F20" s="108"/>
      <c r="G20" s="106"/>
      <c r="H20" s="106"/>
      <c r="I20" s="109"/>
    </row>
    <row r="21" spans="1:9" ht="13.5" x14ac:dyDescent="0.25">
      <c r="A21" s="1090" t="s">
        <v>9</v>
      </c>
      <c r="B21" s="1091"/>
      <c r="C21" s="1092"/>
      <c r="D21" s="110">
        <v>1200</v>
      </c>
      <c r="E21" s="111" t="s">
        <v>2</v>
      </c>
      <c r="F21" s="1093" t="s">
        <v>104</v>
      </c>
      <c r="G21" s="1094"/>
      <c r="H21" s="1095"/>
      <c r="I21" s="1096"/>
    </row>
    <row r="22" spans="1:9" ht="13.5" x14ac:dyDescent="0.25">
      <c r="A22" s="1082" t="s">
        <v>105</v>
      </c>
      <c r="B22" s="1083"/>
      <c r="C22" s="1084"/>
      <c r="D22" s="77">
        <v>4</v>
      </c>
      <c r="E22" s="77" t="s">
        <v>7</v>
      </c>
      <c r="F22" s="1085" t="s">
        <v>106</v>
      </c>
      <c r="G22" s="1086"/>
      <c r="H22" s="1071"/>
      <c r="I22" s="1087"/>
    </row>
    <row r="23" spans="1:9" ht="13.5" x14ac:dyDescent="0.25">
      <c r="A23" s="1082" t="s">
        <v>6</v>
      </c>
      <c r="B23" s="1083"/>
      <c r="C23" s="1084"/>
      <c r="D23" s="77">
        <v>1</v>
      </c>
      <c r="E23" s="77" t="s">
        <v>5</v>
      </c>
      <c r="F23" s="1085" t="s">
        <v>107</v>
      </c>
      <c r="G23" s="1086"/>
      <c r="H23" s="1071"/>
      <c r="I23" s="1087"/>
    </row>
    <row r="24" spans="1:9" ht="13.5" customHeight="1" x14ac:dyDescent="0.25">
      <c r="A24" s="1082" t="s">
        <v>4</v>
      </c>
      <c r="B24" s="1083"/>
      <c r="C24" s="1084"/>
      <c r="D24" s="77">
        <v>1200</v>
      </c>
      <c r="E24" s="77" t="s">
        <v>2</v>
      </c>
      <c r="F24" s="1088" t="s">
        <v>108</v>
      </c>
      <c r="G24" s="1089"/>
      <c r="H24" s="1071"/>
      <c r="I24" s="1087"/>
    </row>
    <row r="25" spans="1:9" ht="14.25" thickBot="1" x14ac:dyDescent="0.3">
      <c r="A25" s="1103" t="s">
        <v>3</v>
      </c>
      <c r="B25" s="1104"/>
      <c r="C25" s="1105"/>
      <c r="D25" s="112">
        <f>SUM(E11:E17)-D21</f>
        <v>15</v>
      </c>
      <c r="E25" s="112" t="s">
        <v>2</v>
      </c>
      <c r="F25" s="1106" t="s">
        <v>109</v>
      </c>
      <c r="G25" s="1107"/>
      <c r="H25" s="1108"/>
      <c r="I25" s="1109"/>
    </row>
    <row r="26" spans="1:9" ht="13.5" thickBot="1" x14ac:dyDescent="0.25">
      <c r="A26" s="1110" t="s">
        <v>1</v>
      </c>
      <c r="B26" s="1111"/>
      <c r="C26" s="1111"/>
      <c r="D26" s="1111"/>
      <c r="E26" s="1111"/>
      <c r="F26" s="1111"/>
      <c r="G26" s="1111"/>
      <c r="H26" s="1111"/>
      <c r="I26" s="1111"/>
    </row>
    <row r="27" spans="1:9" ht="33" customHeight="1" x14ac:dyDescent="0.2">
      <c r="A27" s="1112" t="s">
        <v>121</v>
      </c>
      <c r="B27" s="1113"/>
      <c r="C27" s="1113"/>
      <c r="D27" s="1113"/>
      <c r="E27" s="1113"/>
      <c r="F27" s="1113"/>
      <c r="G27" s="1113"/>
      <c r="H27" s="1113"/>
      <c r="I27" s="1113"/>
    </row>
    <row r="28" spans="1:9" ht="18.75" customHeight="1" x14ac:dyDescent="0.2">
      <c r="A28" s="1075" t="s">
        <v>123</v>
      </c>
      <c r="B28" s="1076"/>
      <c r="C28" s="1076"/>
      <c r="D28" s="1076"/>
      <c r="E28" s="1076"/>
      <c r="F28" s="1076"/>
      <c r="G28" s="1076"/>
      <c r="H28" s="1076"/>
      <c r="I28" s="1076"/>
    </row>
    <row r="29" spans="1:9" ht="24" customHeight="1" x14ac:dyDescent="0.2">
      <c r="A29" s="1075" t="s">
        <v>122</v>
      </c>
      <c r="B29" s="1076"/>
      <c r="C29" s="1076"/>
      <c r="D29" s="1076"/>
      <c r="E29" s="1076"/>
      <c r="F29" s="1076"/>
      <c r="G29" s="1076"/>
      <c r="H29" s="1076"/>
      <c r="I29" s="1076"/>
    </row>
    <row r="30" spans="1:9" ht="13.5" x14ac:dyDescent="0.2">
      <c r="A30" s="1077" t="s">
        <v>110</v>
      </c>
      <c r="B30" s="1078"/>
      <c r="C30" s="1078"/>
      <c r="D30" s="1078"/>
      <c r="E30" s="1078"/>
      <c r="F30" s="1078"/>
      <c r="G30" s="1078"/>
      <c r="H30" s="1078"/>
      <c r="I30" s="1078"/>
    </row>
    <row r="31" spans="1:9" ht="13.5" x14ac:dyDescent="0.2">
      <c r="A31" s="1077"/>
      <c r="B31" s="1078"/>
      <c r="C31" s="1078"/>
      <c r="D31" s="1078"/>
      <c r="E31" s="1078"/>
      <c r="F31" s="1078"/>
      <c r="G31" s="1078"/>
      <c r="H31" s="1078"/>
      <c r="I31" s="1078"/>
    </row>
    <row r="32" spans="1:9" ht="13.5" x14ac:dyDescent="0.2">
      <c r="A32" s="113"/>
      <c r="B32" s="114"/>
      <c r="C32" s="114"/>
      <c r="D32" s="114"/>
      <c r="E32" s="114"/>
      <c r="F32" s="114"/>
      <c r="G32" s="114"/>
      <c r="H32" s="114"/>
      <c r="I32" s="115"/>
    </row>
    <row r="33" spans="1:9" ht="13.5" thickBot="1" x14ac:dyDescent="0.25">
      <c r="A33" s="1079" t="s">
        <v>111</v>
      </c>
      <c r="B33" s="1080"/>
      <c r="C33" s="1080"/>
      <c r="D33" s="1080"/>
      <c r="E33" s="1080"/>
      <c r="F33" s="1080"/>
      <c r="G33" s="1080"/>
      <c r="H33" s="1080"/>
      <c r="I33" s="1081"/>
    </row>
    <row r="34" spans="1:9" ht="13.5" x14ac:dyDescent="0.2">
      <c r="A34" s="1097"/>
      <c r="B34" s="1098"/>
      <c r="C34" s="1098"/>
      <c r="D34" s="1098"/>
      <c r="E34" s="1098"/>
      <c r="F34" s="1098"/>
      <c r="G34" s="1098"/>
      <c r="H34" s="1098"/>
      <c r="I34" s="1099"/>
    </row>
    <row r="35" spans="1:9" ht="13.5" x14ac:dyDescent="0.2">
      <c r="A35" s="1100"/>
      <c r="B35" s="1101"/>
      <c r="C35" s="1101"/>
      <c r="D35" s="1101"/>
      <c r="E35" s="1101"/>
      <c r="F35" s="1101"/>
      <c r="G35" s="1101"/>
      <c r="H35" s="1101"/>
      <c r="I35" s="1102"/>
    </row>
    <row r="36" spans="1:9" ht="13.5" x14ac:dyDescent="0.2">
      <c r="A36" s="1100"/>
      <c r="B36" s="1101"/>
      <c r="C36" s="1101"/>
      <c r="D36" s="1101"/>
      <c r="E36" s="1101"/>
      <c r="F36" s="1101"/>
      <c r="G36" s="1101"/>
      <c r="H36" s="1101"/>
      <c r="I36" s="1102"/>
    </row>
    <row r="37" spans="1:9" ht="13.5" x14ac:dyDescent="0.2">
      <c r="A37" s="1100"/>
      <c r="B37" s="1101"/>
      <c r="C37" s="1101"/>
      <c r="D37" s="1101"/>
      <c r="E37" s="1101"/>
      <c r="F37" s="1101"/>
      <c r="G37" s="1101"/>
      <c r="H37" s="1101"/>
      <c r="I37" s="1102"/>
    </row>
    <row r="38" spans="1:9" ht="14.25" thickBot="1" x14ac:dyDescent="0.25">
      <c r="A38" s="1120"/>
      <c r="B38" s="1121"/>
      <c r="C38" s="1121"/>
      <c r="D38" s="1121"/>
      <c r="E38" s="1121"/>
      <c r="F38" s="1121"/>
      <c r="G38" s="1121"/>
      <c r="H38" s="1121"/>
      <c r="I38" s="1122"/>
    </row>
    <row r="40" spans="1:9" x14ac:dyDescent="0.2">
      <c r="A40" s="2"/>
      <c r="B40" s="2"/>
      <c r="C40" s="2"/>
      <c r="D40" s="1"/>
      <c r="E40" s="1"/>
      <c r="F40" s="1"/>
      <c r="G40" s="1"/>
      <c r="H40" s="1"/>
      <c r="I40" s="1"/>
    </row>
  </sheetData>
  <mergeCells count="51">
    <mergeCell ref="A37:I37"/>
    <mergeCell ref="A38:I38"/>
    <mergeCell ref="A36:I36"/>
    <mergeCell ref="A1:B5"/>
    <mergeCell ref="C1:G1"/>
    <mergeCell ref="C2:G2"/>
    <mergeCell ref="C3:G3"/>
    <mergeCell ref="H3:H5"/>
    <mergeCell ref="I3:I5"/>
    <mergeCell ref="D4:G4"/>
    <mergeCell ref="D5:G5"/>
    <mergeCell ref="H22:I22"/>
    <mergeCell ref="A7:C7"/>
    <mergeCell ref="D7:F7"/>
    <mergeCell ref="G7:I7"/>
    <mergeCell ref="A8:A9"/>
    <mergeCell ref="B8:B9"/>
    <mergeCell ref="C8:C9"/>
    <mergeCell ref="D8:D9"/>
    <mergeCell ref="E8:F8"/>
    <mergeCell ref="G8:H8"/>
    <mergeCell ref="A34:I34"/>
    <mergeCell ref="A35:I35"/>
    <mergeCell ref="A25:C25"/>
    <mergeCell ref="F25:G25"/>
    <mergeCell ref="H25:I25"/>
    <mergeCell ref="A26:I26"/>
    <mergeCell ref="A27:I27"/>
    <mergeCell ref="A28:I28"/>
    <mergeCell ref="G17:H17"/>
    <mergeCell ref="A29:I29"/>
    <mergeCell ref="A30:I30"/>
    <mergeCell ref="A31:I31"/>
    <mergeCell ref="A33:I33"/>
    <mergeCell ref="A23:C23"/>
    <mergeCell ref="F23:G23"/>
    <mergeCell ref="H23:I23"/>
    <mergeCell ref="A24:C24"/>
    <mergeCell ref="F24:G24"/>
    <mergeCell ref="H24:I24"/>
    <mergeCell ref="A21:C21"/>
    <mergeCell ref="F21:G21"/>
    <mergeCell ref="H21:I21"/>
    <mergeCell ref="A22:C22"/>
    <mergeCell ref="F22:G22"/>
    <mergeCell ref="G11:H11"/>
    <mergeCell ref="G14:H14"/>
    <mergeCell ref="G15:H15"/>
    <mergeCell ref="G16:H16"/>
    <mergeCell ref="G13:H13"/>
    <mergeCell ref="G12:H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AFC44-6B85-473D-A4A4-CBD06F161FFF}">
  <dimension ref="A1:Q91"/>
  <sheetViews>
    <sheetView workbookViewId="0">
      <selection activeCell="A35" sqref="A35"/>
    </sheetView>
  </sheetViews>
  <sheetFormatPr baseColWidth="10" defaultColWidth="8.42578125" defaultRowHeight="12.75" x14ac:dyDescent="0.2"/>
  <cols>
    <col min="1" max="1" width="10" style="132" bestFit="1" customWidth="1"/>
    <col min="2" max="2" width="44.28515625" style="132" bestFit="1" customWidth="1"/>
    <col min="3" max="3" width="10.42578125" style="132" bestFit="1" customWidth="1"/>
    <col min="4" max="4" width="10.42578125" style="132" customWidth="1"/>
    <col min="5" max="5" width="11" style="132" customWidth="1"/>
    <col min="6" max="6" width="9.5703125" style="132" bestFit="1" customWidth="1"/>
    <col min="7" max="7" width="10.85546875" style="214" customWidth="1"/>
    <col min="8" max="8" width="10.42578125" style="205" bestFit="1" customWidth="1"/>
    <col min="9" max="9" width="4.5703125" style="205" customWidth="1"/>
    <col min="10" max="10" width="1.85546875" style="131" customWidth="1"/>
    <col min="11" max="11" width="7" style="132" bestFit="1" customWidth="1"/>
    <col min="12" max="12" width="6.28515625" style="132" customWidth="1"/>
    <col min="13" max="13" width="20.42578125" style="132" customWidth="1"/>
    <col min="14" max="14" width="6.42578125" style="132" bestFit="1" customWidth="1"/>
    <col min="15" max="16" width="8.42578125" style="132"/>
    <col min="17" max="17" width="3.28515625" style="132" customWidth="1"/>
    <col min="18" max="16384" width="8.42578125" style="132"/>
  </cols>
  <sheetData>
    <row r="1" spans="1:10" ht="27.75" customHeight="1" x14ac:dyDescent="0.2">
      <c r="A1" s="127"/>
      <c r="B1" s="127"/>
      <c r="C1" s="127"/>
      <c r="D1" s="127"/>
      <c r="E1" s="128" t="s">
        <v>138</v>
      </c>
      <c r="F1" s="129" t="s">
        <v>139</v>
      </c>
      <c r="G1" s="129" t="s">
        <v>140</v>
      </c>
      <c r="H1" s="129" t="s">
        <v>141</v>
      </c>
      <c r="I1" s="130"/>
    </row>
    <row r="2" spans="1:10" ht="30.75" customHeight="1" x14ac:dyDescent="0.2">
      <c r="A2" s="127"/>
      <c r="B2" s="127"/>
      <c r="C2" s="127"/>
      <c r="D2" s="127"/>
      <c r="E2" s="133">
        <f>IFERROR(O62,"")</f>
        <v>3091.3769564525473</v>
      </c>
      <c r="F2" s="133">
        <f>IFERROR(H53,"")</f>
        <v>2188.44</v>
      </c>
      <c r="G2" s="133">
        <f>IFERROR(H54,"")</f>
        <v>2.7884615384615379E-2</v>
      </c>
      <c r="H2" s="133">
        <f>IFERROR(H56,"")</f>
        <v>493.07800376923075</v>
      </c>
      <c r="I2" s="134"/>
    </row>
    <row r="3" spans="1:10" ht="15" customHeight="1" x14ac:dyDescent="0.2">
      <c r="A3" s="127"/>
      <c r="B3" s="127"/>
      <c r="C3" s="127"/>
      <c r="D3" s="127"/>
      <c r="E3" s="127"/>
      <c r="F3" s="135"/>
      <c r="G3" s="135"/>
      <c r="H3" s="135"/>
      <c r="I3" s="135"/>
    </row>
    <row r="4" spans="1:10" ht="24.75" customHeight="1" thickBot="1" x14ac:dyDescent="0.25">
      <c r="A4" s="825"/>
      <c r="B4" s="825"/>
      <c r="C4" s="825"/>
      <c r="D4" s="825"/>
      <c r="E4" s="825"/>
      <c r="F4" s="825"/>
      <c r="G4" s="825"/>
      <c r="H4" s="825"/>
      <c r="I4" s="136"/>
    </row>
    <row r="5" spans="1:10" ht="19.5" customHeight="1" thickBot="1" x14ac:dyDescent="0.25">
      <c r="A5" s="826" t="s">
        <v>142</v>
      </c>
      <c r="B5" s="827"/>
      <c r="C5" s="827"/>
      <c r="D5" s="827"/>
      <c r="E5" s="827"/>
      <c r="F5" s="827"/>
      <c r="G5" s="827"/>
      <c r="H5" s="828"/>
      <c r="I5" s="137"/>
    </row>
    <row r="6" spans="1:10" ht="19.5" thickBot="1" x14ac:dyDescent="0.25">
      <c r="A6" s="137"/>
      <c r="B6" s="137"/>
      <c r="C6" s="137"/>
      <c r="D6" s="137"/>
      <c r="E6" s="137"/>
      <c r="F6" s="829" t="s">
        <v>143</v>
      </c>
      <c r="G6" s="829"/>
      <c r="H6" s="138">
        <f ca="1">TODAY()</f>
        <v>45890</v>
      </c>
      <c r="I6" s="138"/>
    </row>
    <row r="7" spans="1:10" ht="26.25" thickBot="1" x14ac:dyDescent="0.25">
      <c r="A7" s="139" t="s">
        <v>144</v>
      </c>
      <c r="B7" s="140" t="s">
        <v>145</v>
      </c>
      <c r="C7" s="140" t="s">
        <v>144</v>
      </c>
      <c r="D7" s="141" t="s">
        <v>146</v>
      </c>
      <c r="E7" s="141" t="s">
        <v>147</v>
      </c>
      <c r="F7" s="141" t="s">
        <v>148</v>
      </c>
      <c r="G7" s="141" t="s">
        <v>149</v>
      </c>
      <c r="H7" s="142" t="s">
        <v>150</v>
      </c>
      <c r="I7" s="143"/>
    </row>
    <row r="8" spans="1:10" ht="13.5" x14ac:dyDescent="0.25">
      <c r="A8" s="144">
        <v>1</v>
      </c>
      <c r="B8" s="132" t="str">
        <f>IFERROR(VLOOKUP(H8,'[1]Consolidado MP Planta'!$A$2:$M$823,3,0),"")</f>
        <v>COLORANTE GEL ELECTRIC GREEN (UD=130ml)</v>
      </c>
      <c r="C8" s="145">
        <f>+A8</f>
        <v>1</v>
      </c>
      <c r="D8" s="146" t="str">
        <f>IFERROR(VLOOKUP(H8,'[1]Consolidado MP Planta'!$A$2:$M$823,13,0),"")</f>
        <v>Mililitros</v>
      </c>
      <c r="E8" s="146">
        <v>18.440000000000001</v>
      </c>
      <c r="F8" s="146">
        <f>IFERROR(C8*E8,"")</f>
        <v>18.440000000000001</v>
      </c>
      <c r="G8" s="147">
        <f t="shared" ref="G8:G14" si="0">IFERROR(F8/$F$66,"")</f>
        <v>7.9853226491901491E-3</v>
      </c>
      <c r="H8" s="148" t="s">
        <v>195</v>
      </c>
      <c r="I8" s="148"/>
      <c r="J8" s="149"/>
    </row>
    <row r="9" spans="1:10" ht="13.5" hidden="1" x14ac:dyDescent="0.25">
      <c r="A9" s="144"/>
      <c r="B9" s="132" t="str">
        <f>IFERROR(VLOOKUP(H9,'[1]Consolidado MP Planta'!$A$2:$M$823,3,0),"")</f>
        <v/>
      </c>
      <c r="C9" s="145">
        <f t="shared" ref="C9:C14" si="1">+A9</f>
        <v>0</v>
      </c>
      <c r="D9" s="146" t="str">
        <f>IFERROR(VLOOKUP(H9,'[1]Consolidado MP Planta'!$A$2:$M$823,13,0),"")</f>
        <v/>
      </c>
      <c r="E9" s="146" t="str">
        <f>IFERROR(VLOOKUP(H9,'[1]Consolidado MP Planta'!$A$2:$M$823,12,0),"")</f>
        <v/>
      </c>
      <c r="F9" s="146" t="str">
        <f t="shared" ref="F9:F14" si="2">IFERROR(C9*E9,"")</f>
        <v/>
      </c>
      <c r="G9" s="147" t="str">
        <f t="shared" si="0"/>
        <v/>
      </c>
      <c r="H9" s="148"/>
      <c r="I9" s="148"/>
      <c r="J9" s="149"/>
    </row>
    <row r="10" spans="1:10" ht="13.5" hidden="1" x14ac:dyDescent="0.25">
      <c r="A10" s="144"/>
      <c r="B10" s="132" t="str">
        <f>IFERROR(VLOOKUP(H10,'[1]Consolidado MP Planta'!$A$2:$M$823,3,0),"")</f>
        <v/>
      </c>
      <c r="C10" s="145">
        <f t="shared" si="1"/>
        <v>0</v>
      </c>
      <c r="D10" s="146" t="str">
        <f>IFERROR(VLOOKUP(H10,'[1]Consolidado MP Planta'!$A$2:$M$823,13,0),"")</f>
        <v/>
      </c>
      <c r="E10" s="146" t="str">
        <f>IFERROR(VLOOKUP(H10,'[1]Consolidado MP Planta'!$A$2:$M$823,12,0),"")</f>
        <v/>
      </c>
      <c r="F10" s="146" t="str">
        <f t="shared" si="2"/>
        <v/>
      </c>
      <c r="G10" s="147" t="str">
        <f t="shared" si="0"/>
        <v/>
      </c>
      <c r="H10" s="148"/>
      <c r="I10" s="148"/>
      <c r="J10" s="149"/>
    </row>
    <row r="11" spans="1:10" ht="13.5" hidden="1" x14ac:dyDescent="0.25">
      <c r="A11" s="144"/>
      <c r="B11" s="132" t="str">
        <f>IFERROR(VLOOKUP(H11,'[1]Consolidado MP Planta'!$A$2:$M$823,3,0),"")</f>
        <v/>
      </c>
      <c r="C11" s="145">
        <f t="shared" si="1"/>
        <v>0</v>
      </c>
      <c r="D11" s="146" t="str">
        <f>IFERROR(VLOOKUP(H11,'[1]Consolidado MP Planta'!$A$2:$M$823,13,0),"")</f>
        <v/>
      </c>
      <c r="E11" s="146" t="str">
        <f>IFERROR(VLOOKUP(H11,'[1]Consolidado MP Planta'!$A$2:$M$823,12,0),"")</f>
        <v/>
      </c>
      <c r="F11" s="146" t="str">
        <f t="shared" si="2"/>
        <v/>
      </c>
      <c r="G11" s="147" t="str">
        <f t="shared" si="0"/>
        <v/>
      </c>
      <c r="H11" s="148"/>
      <c r="I11" s="148"/>
      <c r="J11" s="149"/>
    </row>
    <row r="12" spans="1:10" ht="13.5" hidden="1" x14ac:dyDescent="0.25">
      <c r="A12" s="144"/>
      <c r="B12" s="132" t="str">
        <f>IFERROR(VLOOKUP(H12,'[1]Consolidado MP Planta'!$A$2:$M$823,3,0),"")</f>
        <v/>
      </c>
      <c r="C12" s="145">
        <f t="shared" si="1"/>
        <v>0</v>
      </c>
      <c r="D12" s="146" t="str">
        <f>IFERROR(VLOOKUP(H12,'[1]Consolidado MP Planta'!$A$2:$M$823,13,0),"")</f>
        <v/>
      </c>
      <c r="E12" s="146" t="str">
        <f>IFERROR(VLOOKUP(H12,'[1]Consolidado MP Planta'!$A$2:$M$823,12,0),"")</f>
        <v/>
      </c>
      <c r="F12" s="146" t="str">
        <f t="shared" si="2"/>
        <v/>
      </c>
      <c r="G12" s="147" t="str">
        <f t="shared" si="0"/>
        <v/>
      </c>
      <c r="H12" s="148"/>
      <c r="I12" s="148"/>
      <c r="J12" s="149"/>
    </row>
    <row r="13" spans="1:10" ht="13.5" hidden="1" x14ac:dyDescent="0.25">
      <c r="A13" s="144"/>
      <c r="B13" s="132" t="str">
        <f>IFERROR(VLOOKUP(H13,'[1]Consolidado MP Planta'!$A$2:$M$823,3,0),"")</f>
        <v/>
      </c>
      <c r="C13" s="145">
        <f t="shared" si="1"/>
        <v>0</v>
      </c>
      <c r="D13" s="146" t="str">
        <f>IFERROR(VLOOKUP(H13,'[1]Consolidado MP Planta'!$A$2:$M$823,13,0),"")</f>
        <v/>
      </c>
      <c r="E13" s="146" t="str">
        <f>IFERROR(VLOOKUP(H13,'[1]Consolidado MP Planta'!$A$2:$M$823,12,0),"")</f>
        <v/>
      </c>
      <c r="F13" s="146" t="str">
        <f t="shared" si="2"/>
        <v/>
      </c>
      <c r="G13" s="147" t="str">
        <f t="shared" si="0"/>
        <v/>
      </c>
      <c r="H13" s="148"/>
      <c r="I13" s="148"/>
      <c r="J13" s="149"/>
    </row>
    <row r="14" spans="1:10" ht="13.5" hidden="1" x14ac:dyDescent="0.25">
      <c r="A14" s="144"/>
      <c r="B14" s="132" t="str">
        <f>IFERROR(VLOOKUP(H14,'[1]Consolidado MP Planta'!$A$2:$M$823,3,0),"")</f>
        <v/>
      </c>
      <c r="C14" s="145">
        <f t="shared" si="1"/>
        <v>0</v>
      </c>
      <c r="D14" s="146" t="str">
        <f>IFERROR(VLOOKUP(H14,'[1]Consolidado MP Planta'!$A$2:$M$823,13,0),"")</f>
        <v/>
      </c>
      <c r="E14" s="146" t="str">
        <f>IFERROR(VLOOKUP(H14,'[1]Consolidado MP Planta'!$A$2:$M$823,12,0),"")</f>
        <v/>
      </c>
      <c r="F14" s="146" t="str">
        <f t="shared" si="2"/>
        <v/>
      </c>
      <c r="G14" s="147" t="str">
        <f t="shared" si="0"/>
        <v/>
      </c>
      <c r="H14" s="148"/>
      <c r="I14" s="148"/>
      <c r="J14" s="149"/>
    </row>
    <row r="15" spans="1:10" ht="14.25" thickBot="1" x14ac:dyDescent="0.3">
      <c r="A15" s="144"/>
      <c r="B15" s="132" t="str">
        <f>IFERROR(VLOOKUP(H15,'[2]ARTICULOS MP PLANTA'!$A$2:$G$589,2,0),"")</f>
        <v/>
      </c>
      <c r="C15" s="145"/>
      <c r="D15" s="146"/>
      <c r="E15" s="146"/>
      <c r="F15" s="146"/>
      <c r="G15" s="147"/>
      <c r="H15" s="148"/>
      <c r="I15" s="148"/>
      <c r="J15" s="149"/>
    </row>
    <row r="16" spans="1:10" ht="26.25" thickBot="1" x14ac:dyDescent="0.25">
      <c r="A16" s="139" t="s">
        <v>144</v>
      </c>
      <c r="B16" s="140" t="s">
        <v>151</v>
      </c>
      <c r="C16" s="140" t="s">
        <v>144</v>
      </c>
      <c r="D16" s="141" t="s">
        <v>146</v>
      </c>
      <c r="E16" s="141" t="s">
        <v>147</v>
      </c>
      <c r="F16" s="141" t="s">
        <v>148</v>
      </c>
      <c r="G16" s="141" t="s">
        <v>149</v>
      </c>
      <c r="H16" s="142" t="s">
        <v>150</v>
      </c>
      <c r="I16" s="143"/>
      <c r="J16" s="149"/>
    </row>
    <row r="17" spans="1:12" ht="13.5" x14ac:dyDescent="0.25">
      <c r="A17" s="144">
        <v>1000</v>
      </c>
      <c r="B17" s="132" t="str">
        <f>IFERROR(VLOOKUP(H17,[1]SEMIELABORADOS!$A$2:$M$6000,2,0),"")</f>
        <v>CREMA CHANTILLY BLANCA SPOON-IND KILO</v>
      </c>
      <c r="C17" s="145">
        <f>+A17</f>
        <v>1000</v>
      </c>
      <c r="D17" s="145" t="str">
        <f>IFERROR(VLOOKUP(H17,[1]SEMIELABORADOS!$A$2:$M$6000,6,0),"")</f>
        <v>Gramo</v>
      </c>
      <c r="E17" s="146">
        <v>2.17</v>
      </c>
      <c r="F17" s="146">
        <f>IFERROR(E17*C17,"")</f>
        <v>2170</v>
      </c>
      <c r="G17" s="147">
        <f t="shared" ref="G17:G24" si="3">IFERROR(F17/$F$66,"")</f>
        <v>0.93970445492096655</v>
      </c>
      <c r="H17" s="148" t="s">
        <v>194</v>
      </c>
      <c r="I17" s="148"/>
      <c r="J17" s="149"/>
    </row>
    <row r="18" spans="1:12" ht="13.5" hidden="1" x14ac:dyDescent="0.25">
      <c r="A18" s="144"/>
      <c r="B18" s="132" t="str">
        <f>IFERROR(VLOOKUP(H18,[1]SEMIELABORADOS!$A$2:$M$6000,2,0),"")</f>
        <v/>
      </c>
      <c r="C18" s="145">
        <f t="shared" ref="C18:C24" si="4">+A18</f>
        <v>0</v>
      </c>
      <c r="D18" s="145" t="str">
        <f>IFERROR(VLOOKUP(H18,[1]SEMIELABORADOS!$A$2:$M$6000,6,0),"")</f>
        <v/>
      </c>
      <c r="E18" s="146" t="str">
        <f>IFERROR(VLOOKUP(H18,[1]SEMIELABORADOS!$A$2:$H$65536,8,0),"")</f>
        <v/>
      </c>
      <c r="F18" s="146" t="str">
        <f t="shared" ref="F18:F24" si="5">IFERROR(E18*C18,"")</f>
        <v/>
      </c>
      <c r="G18" s="147" t="str">
        <f t="shared" si="3"/>
        <v/>
      </c>
      <c r="H18" s="148"/>
      <c r="I18" s="148"/>
      <c r="J18" s="149"/>
    </row>
    <row r="19" spans="1:12" ht="13.5" hidden="1" x14ac:dyDescent="0.25">
      <c r="A19" s="144"/>
      <c r="B19" s="132" t="str">
        <f>IFERROR(VLOOKUP(H19,[1]SEMIELABORADOS!$A$2:$M$6000,2,0),"")</f>
        <v/>
      </c>
      <c r="C19" s="145">
        <f>+A19</f>
        <v>0</v>
      </c>
      <c r="D19" s="145" t="str">
        <f>IFERROR(VLOOKUP(H19,[1]SEMIELABORADOS!$A$2:$M$6000,6,0),"")</f>
        <v/>
      </c>
      <c r="E19" s="146" t="str">
        <f>IFERROR(VLOOKUP(H19,[1]SEMIELABORADOS!$A$2:$H$65536,8,0),"")</f>
        <v/>
      </c>
      <c r="F19" s="146" t="str">
        <f>IFERROR(E19*C19,"")</f>
        <v/>
      </c>
      <c r="G19" s="147" t="str">
        <f t="shared" si="3"/>
        <v/>
      </c>
      <c r="H19" s="148"/>
      <c r="I19" s="148"/>
      <c r="J19" s="149"/>
    </row>
    <row r="20" spans="1:12" ht="13.5" hidden="1" x14ac:dyDescent="0.25">
      <c r="A20" s="144"/>
      <c r="B20" s="132" t="str">
        <f>IFERROR(VLOOKUP(H20,[1]SEMIELABORADOS!$A$2:$M$6000,2,0),"")</f>
        <v/>
      </c>
      <c r="C20" s="145">
        <f>+A20</f>
        <v>0</v>
      </c>
      <c r="D20" s="145" t="str">
        <f>IFERROR(VLOOKUP(H20,[1]SEMIELABORADOS!$A$2:$M$6000,6,0),"")</f>
        <v/>
      </c>
      <c r="E20" s="146" t="str">
        <f>IFERROR(VLOOKUP(H20,[1]SEMIELABORADOS!$A$2:$H$65536,8,0),"")</f>
        <v/>
      </c>
      <c r="F20" s="146" t="str">
        <f>IFERROR(E20*C20,"")</f>
        <v/>
      </c>
      <c r="G20" s="147" t="str">
        <f t="shared" si="3"/>
        <v/>
      </c>
      <c r="H20" s="148"/>
      <c r="I20" s="148"/>
      <c r="J20" s="149"/>
    </row>
    <row r="21" spans="1:12" ht="13.5" hidden="1" x14ac:dyDescent="0.25">
      <c r="A21" s="144"/>
      <c r="B21" s="132" t="str">
        <f>IFERROR(VLOOKUP(H21,[1]SEMIELABORADOS!$A$2:$M$6000,2,0),"")</f>
        <v/>
      </c>
      <c r="C21" s="145">
        <f>+A21</f>
        <v>0</v>
      </c>
      <c r="D21" s="145" t="str">
        <f>IFERROR(VLOOKUP(H21,[1]SEMIELABORADOS!$A$2:$M$6000,6,0),"")</f>
        <v/>
      </c>
      <c r="E21" s="146" t="str">
        <f>IFERROR(VLOOKUP(H21,[1]SEMIELABORADOS!$A$2:$H$65536,8,0),"")</f>
        <v/>
      </c>
      <c r="F21" s="146" t="str">
        <f>IFERROR(E21*C21,"")</f>
        <v/>
      </c>
      <c r="G21" s="147" t="str">
        <f t="shared" si="3"/>
        <v/>
      </c>
      <c r="H21" s="148"/>
      <c r="I21" s="148"/>
      <c r="J21" s="149"/>
    </row>
    <row r="22" spans="1:12" ht="13.5" hidden="1" x14ac:dyDescent="0.25">
      <c r="A22" s="144"/>
      <c r="B22" s="132" t="str">
        <f>IFERROR(VLOOKUP(H22,[1]SEMIELABORADOS!$A$2:$M$6000,2,0),"")</f>
        <v/>
      </c>
      <c r="C22" s="145">
        <f t="shared" si="4"/>
        <v>0</v>
      </c>
      <c r="D22" s="145" t="str">
        <f>IFERROR(VLOOKUP(H22,[1]SEMIELABORADOS!$A$2:$M$6000,6,0),"")</f>
        <v/>
      </c>
      <c r="E22" s="146" t="str">
        <f>IFERROR(VLOOKUP(H22,[1]SEMIELABORADOS!$A$2:$H$65536,8,0),"")</f>
        <v/>
      </c>
      <c r="F22" s="146" t="str">
        <f t="shared" si="5"/>
        <v/>
      </c>
      <c r="G22" s="147" t="str">
        <f t="shared" si="3"/>
        <v/>
      </c>
      <c r="H22" s="148"/>
      <c r="I22" s="148"/>
      <c r="J22" s="149"/>
    </row>
    <row r="23" spans="1:12" ht="13.5" hidden="1" x14ac:dyDescent="0.25">
      <c r="A23" s="144"/>
      <c r="B23" s="132" t="str">
        <f>IFERROR(VLOOKUP(H23,[1]SEMIELABORADOS!$A$2:$M$6000,2,0),"")</f>
        <v/>
      </c>
      <c r="C23" s="145">
        <f t="shared" si="4"/>
        <v>0</v>
      </c>
      <c r="D23" s="145" t="str">
        <f>IFERROR(VLOOKUP(H23,[1]SEMIELABORADOS!$A$2:$M$6000,6,0),"")</f>
        <v/>
      </c>
      <c r="E23" s="146" t="str">
        <f>IFERROR(VLOOKUP(H23,[1]SEMIELABORADOS!$A$2:$H$65536,8,0),"")</f>
        <v/>
      </c>
      <c r="F23" s="146" t="str">
        <f t="shared" si="5"/>
        <v/>
      </c>
      <c r="G23" s="147" t="str">
        <f t="shared" si="3"/>
        <v/>
      </c>
      <c r="H23" s="148"/>
      <c r="I23" s="148"/>
      <c r="J23" s="149"/>
    </row>
    <row r="24" spans="1:12" ht="13.5" hidden="1" x14ac:dyDescent="0.25">
      <c r="A24" s="144"/>
      <c r="B24" s="132" t="str">
        <f>IFERROR(VLOOKUP(H24,[1]SEMIELABORADOS!$A$2:$M$6000,2,0),"")</f>
        <v/>
      </c>
      <c r="C24" s="145">
        <f t="shared" si="4"/>
        <v>0</v>
      </c>
      <c r="D24" s="145" t="str">
        <f>IFERROR(VLOOKUP(H24,[1]SEMIELABORADOS!$A$2:$M$6000,6,0),"")</f>
        <v/>
      </c>
      <c r="E24" s="146" t="str">
        <f>IFERROR(VLOOKUP(H24,[1]SEMIELABORADOS!$A$2:$H$65536,8,0),"")</f>
        <v/>
      </c>
      <c r="F24" s="146" t="str">
        <f t="shared" si="5"/>
        <v/>
      </c>
      <c r="G24" s="147" t="str">
        <f t="shared" si="3"/>
        <v/>
      </c>
      <c r="H24" s="148"/>
      <c r="I24" s="148"/>
      <c r="J24" s="149"/>
    </row>
    <row r="25" spans="1:12" ht="14.25" thickBot="1" x14ac:dyDescent="0.3">
      <c r="A25" s="144"/>
      <c r="C25" s="145"/>
      <c r="D25" s="145"/>
      <c r="E25" s="146"/>
      <c r="F25" s="146"/>
      <c r="G25" s="147"/>
      <c r="H25" s="148"/>
      <c r="I25" s="148"/>
      <c r="J25" s="149"/>
    </row>
    <row r="26" spans="1:12" ht="26.25" hidden="1" thickBot="1" x14ac:dyDescent="0.25">
      <c r="A26" s="139" t="s">
        <v>144</v>
      </c>
      <c r="B26" s="140" t="s">
        <v>32</v>
      </c>
      <c r="C26" s="140" t="s">
        <v>144</v>
      </c>
      <c r="D26" s="141" t="s">
        <v>146</v>
      </c>
      <c r="E26" s="141" t="s">
        <v>147</v>
      </c>
      <c r="F26" s="141" t="s">
        <v>148</v>
      </c>
      <c r="G26" s="141" t="s">
        <v>149</v>
      </c>
      <c r="H26" s="142" t="s">
        <v>150</v>
      </c>
      <c r="I26" s="143"/>
    </row>
    <row r="27" spans="1:12" ht="13.5" hidden="1" x14ac:dyDescent="0.25">
      <c r="A27" s="144">
        <v>0</v>
      </c>
      <c r="B27" s="150" t="str">
        <f>IFERROR(VLOOKUP(H27,'[1]Consolidado MP Planta'!$A$2:$M$823,3,0),"")</f>
        <v/>
      </c>
      <c r="C27" s="145">
        <f t="shared" ref="C27:C32" si="6">+A27</f>
        <v>0</v>
      </c>
      <c r="D27" s="146" t="str">
        <f>IFERROR(VLOOKUP(H27,'[1]Consolidado MP Planta'!$A$2:$M$823,13,0),"")</f>
        <v/>
      </c>
      <c r="E27" s="146" t="str">
        <f>IFERROR(VLOOKUP(H27,'[1]Consolidado MP Planta'!$A$2:$M$823,12,0),"")</f>
        <v/>
      </c>
      <c r="F27" s="146" t="str">
        <f t="shared" ref="F27:F32" si="7">IFERROR(C27*E27,"")</f>
        <v/>
      </c>
      <c r="G27" s="147" t="str">
        <f t="shared" ref="G27:G32" si="8">IFERROR(F27/$F$66,"")</f>
        <v/>
      </c>
      <c r="H27" s="151"/>
      <c r="I27" s="151"/>
      <c r="J27" s="149"/>
      <c r="K27" s="824"/>
      <c r="L27" s="824"/>
    </row>
    <row r="28" spans="1:12" ht="13.5" hidden="1" x14ac:dyDescent="0.25">
      <c r="A28" s="144"/>
      <c r="B28" s="150" t="str">
        <f>IFERROR(VLOOKUP(H28,'[1]Consolidado MP Planta'!$A$2:$M$823,3,0),"")</f>
        <v/>
      </c>
      <c r="C28" s="145">
        <f t="shared" si="6"/>
        <v>0</v>
      </c>
      <c r="D28" s="146" t="str">
        <f>IFERROR(VLOOKUP(H28,'[1]Consolidado MP Planta'!$A$2:$M$823,13,0),"")</f>
        <v/>
      </c>
      <c r="E28" s="146" t="str">
        <f>IFERROR(VLOOKUP(H28,'[1]Consolidado MP Planta'!$A$2:$M$823,12,0),"")</f>
        <v/>
      </c>
      <c r="F28" s="146" t="str">
        <f t="shared" si="7"/>
        <v/>
      </c>
      <c r="G28" s="147" t="str">
        <f t="shared" si="8"/>
        <v/>
      </c>
      <c r="H28" s="151"/>
      <c r="I28" s="151"/>
      <c r="J28" s="149"/>
      <c r="K28" s="824"/>
      <c r="L28" s="824"/>
    </row>
    <row r="29" spans="1:12" ht="13.5" hidden="1" x14ac:dyDescent="0.25">
      <c r="A29" s="144"/>
      <c r="B29" s="150" t="str">
        <f>IFERROR(VLOOKUP(H29,'[1]Consolidado MP Planta'!$A$2:$M$823,3,0),"")</f>
        <v/>
      </c>
      <c r="C29" s="145">
        <f t="shared" si="6"/>
        <v>0</v>
      </c>
      <c r="D29" s="146" t="str">
        <f>IFERROR(VLOOKUP(H29,'[1]Consolidado MP Planta'!$A$2:$M$823,13,0),"")</f>
        <v/>
      </c>
      <c r="E29" s="146" t="str">
        <f>IFERROR(VLOOKUP(H29,'[1]Consolidado MP Planta'!$A$2:$M$823,12,0),"")</f>
        <v/>
      </c>
      <c r="F29" s="146" t="str">
        <f t="shared" si="7"/>
        <v/>
      </c>
      <c r="G29" s="147" t="str">
        <f t="shared" si="8"/>
        <v/>
      </c>
      <c r="H29" s="151"/>
      <c r="I29" s="151"/>
      <c r="J29" s="149"/>
      <c r="K29" s="824"/>
      <c r="L29" s="824"/>
    </row>
    <row r="30" spans="1:12" ht="13.5" hidden="1" x14ac:dyDescent="0.25">
      <c r="A30" s="144"/>
      <c r="B30" s="150" t="str">
        <f>IFERROR(VLOOKUP(H30,'[1]Consolidado MP Planta'!$A$2:$M$823,3,0),"")</f>
        <v/>
      </c>
      <c r="C30" s="145">
        <f t="shared" si="6"/>
        <v>0</v>
      </c>
      <c r="D30" s="146" t="str">
        <f>IFERROR(VLOOKUP(H30,'[1]Consolidado MP Planta'!$A$2:$M$823,13,0),"")</f>
        <v/>
      </c>
      <c r="E30" s="146" t="str">
        <f>IFERROR(VLOOKUP(H30,'[1]Consolidado MP Planta'!$A$2:$M$823,12,0),"")</f>
        <v/>
      </c>
      <c r="F30" s="146" t="str">
        <f t="shared" si="7"/>
        <v/>
      </c>
      <c r="G30" s="147" t="str">
        <f t="shared" si="8"/>
        <v/>
      </c>
      <c r="H30" s="151"/>
      <c r="I30" s="151"/>
      <c r="J30" s="149"/>
      <c r="K30" s="824"/>
      <c r="L30" s="824"/>
    </row>
    <row r="31" spans="1:12" ht="13.5" hidden="1" x14ac:dyDescent="0.25">
      <c r="A31" s="144"/>
      <c r="B31" s="150" t="str">
        <f>IFERROR(VLOOKUP(H31,'[1]Consolidado MP Planta'!$A$2:$M$823,3,0),"")</f>
        <v/>
      </c>
      <c r="C31" s="145">
        <f t="shared" si="6"/>
        <v>0</v>
      </c>
      <c r="D31" s="146" t="str">
        <f>IFERROR(VLOOKUP(H31,'[1]Consolidado MP Planta'!$A$2:$M$823,13,0),"")</f>
        <v/>
      </c>
      <c r="E31" s="146" t="str">
        <f>IFERROR(VLOOKUP(H31,'[1]Consolidado MP Planta'!$A$2:$M$823,12,0),"")</f>
        <v/>
      </c>
      <c r="F31" s="146" t="str">
        <f t="shared" si="7"/>
        <v/>
      </c>
      <c r="G31" s="147" t="str">
        <f t="shared" si="8"/>
        <v/>
      </c>
      <c r="H31" s="151"/>
      <c r="I31" s="151"/>
      <c r="J31" s="149"/>
      <c r="K31" s="152"/>
      <c r="L31" s="153"/>
    </row>
    <row r="32" spans="1:12" ht="13.5" hidden="1" x14ac:dyDescent="0.25">
      <c r="A32" s="144"/>
      <c r="B32" s="150" t="str">
        <f>IFERROR(VLOOKUP(H32,'[1]Consolidado MP Planta'!$A$2:$M$823,3,0),"")</f>
        <v/>
      </c>
      <c r="C32" s="145">
        <f t="shared" si="6"/>
        <v>0</v>
      </c>
      <c r="D32" s="146" t="str">
        <f>IFERROR(VLOOKUP(H32,'[1]Consolidado MP Planta'!$A$2:$M$823,13,0),"")</f>
        <v/>
      </c>
      <c r="E32" s="146" t="str">
        <f>IFERROR(VLOOKUP(H32,'[1]Consolidado MP Planta'!$A$2:$M$823,12,0),"")</f>
        <v/>
      </c>
      <c r="F32" s="146" t="str">
        <f t="shared" si="7"/>
        <v/>
      </c>
      <c r="G32" s="147" t="str">
        <f t="shared" si="8"/>
        <v/>
      </c>
      <c r="H32" s="151"/>
      <c r="I32" s="151"/>
      <c r="J32" s="149"/>
    </row>
    <row r="33" spans="1:13" ht="14.25" hidden="1" thickBot="1" x14ac:dyDescent="0.3">
      <c r="A33" s="144"/>
      <c r="B33" s="150"/>
      <c r="C33" s="145"/>
      <c r="D33" s="146"/>
      <c r="E33" s="146"/>
      <c r="F33" s="146"/>
      <c r="G33" s="147"/>
      <c r="H33" s="151"/>
      <c r="I33" s="151"/>
      <c r="J33" s="149"/>
    </row>
    <row r="34" spans="1:13" ht="26.25" thickBot="1" x14ac:dyDescent="0.25">
      <c r="A34" s="139" t="s">
        <v>144</v>
      </c>
      <c r="B34" s="140" t="s">
        <v>152</v>
      </c>
      <c r="C34" s="140" t="s">
        <v>144</v>
      </c>
      <c r="D34" s="141" t="s">
        <v>146</v>
      </c>
      <c r="E34" s="141" t="s">
        <v>147</v>
      </c>
      <c r="F34" s="141" t="s">
        <v>148</v>
      </c>
      <c r="G34" s="141" t="s">
        <v>149</v>
      </c>
      <c r="H34" s="142" t="s">
        <v>150</v>
      </c>
      <c r="I34" s="151"/>
      <c r="J34" s="149"/>
    </row>
    <row r="35" spans="1:13" ht="13.5" x14ac:dyDescent="0.25">
      <c r="A35" s="144">
        <f>+A17</f>
        <v>1000</v>
      </c>
      <c r="B35" s="150" t="str">
        <f>IFERROR(VLOOKUP(H35,[1]SEMIELABORADOS!$A$2:$M$6000,2,0),"")</f>
        <v>CREMA CHANTILLY BLANCA SPOON-IND KILO</v>
      </c>
      <c r="C35" s="145">
        <f>+A35</f>
        <v>1000</v>
      </c>
      <c r="D35" s="146" t="str">
        <f>IFERROR(VLOOKUP(H35,[1]SEMIELABORADOS!$A$2:$M$6000,6,0),"")</f>
        <v>Gramo</v>
      </c>
      <c r="E35" s="146">
        <f>IFERROR(VLOOKUP(H35,[1]SEMIELABORADOS!$A$2:$M$65536,10,0),"")</f>
        <v>2.7884615384615379E-5</v>
      </c>
      <c r="F35" s="146">
        <f>IFERROR(E35*C35,"")</f>
        <v>2.7884615384615379E-2</v>
      </c>
      <c r="G35" s="147">
        <f t="shared" ref="G35:G41" si="9">IFERROR(F35/$F$66,"")</f>
        <v>1.2075252212295298E-5</v>
      </c>
      <c r="H35" s="148" t="s">
        <v>194</v>
      </c>
      <c r="I35" s="151"/>
      <c r="J35" s="149"/>
    </row>
    <row r="36" spans="1:13" ht="13.5" hidden="1" x14ac:dyDescent="0.25">
      <c r="A36" s="144">
        <f t="shared" ref="A36:A41" si="10">+A18</f>
        <v>0</v>
      </c>
      <c r="B36" s="150" t="str">
        <f>IFERROR(VLOOKUP(H36,[1]SEMIELABORADOS!$A$2:$M$6000,2,0),"")</f>
        <v/>
      </c>
      <c r="C36" s="145">
        <f t="shared" ref="C36:C41" si="11">+A36</f>
        <v>0</v>
      </c>
      <c r="D36" s="146" t="str">
        <f>IFERROR(VLOOKUP(H36,[1]SEMIELABORADOS!$A$2:$M$6000,6,0),"")</f>
        <v/>
      </c>
      <c r="E36" s="146" t="str">
        <f>IFERROR(VLOOKUP(H36,[1]SEMIELABORADOS!$A$2:$M$65536,10,0),"")</f>
        <v/>
      </c>
      <c r="F36" s="146" t="str">
        <f t="shared" ref="F36:F41" si="12">IFERROR(E36*C36,"")</f>
        <v/>
      </c>
      <c r="G36" s="147" t="str">
        <f t="shared" si="9"/>
        <v/>
      </c>
      <c r="H36" s="151"/>
      <c r="I36" s="151"/>
      <c r="J36" s="149"/>
    </row>
    <row r="37" spans="1:13" ht="13.5" hidden="1" x14ac:dyDescent="0.25">
      <c r="A37" s="144">
        <f t="shared" si="10"/>
        <v>0</v>
      </c>
      <c r="B37" s="150" t="str">
        <f>IFERROR(VLOOKUP(H37,[1]SEMIELABORADOS!$A$2:$M$6000,2,0),"")</f>
        <v/>
      </c>
      <c r="C37" s="145">
        <f t="shared" si="11"/>
        <v>0</v>
      </c>
      <c r="D37" s="146" t="str">
        <f>IFERROR(VLOOKUP(H37,[1]SEMIELABORADOS!$A$2:$M$6000,6,0),"")</f>
        <v/>
      </c>
      <c r="E37" s="146" t="str">
        <f>IFERROR(VLOOKUP(H37,[1]SEMIELABORADOS!$A$2:$M$65536,10,0),"")</f>
        <v/>
      </c>
      <c r="F37" s="146" t="str">
        <f t="shared" si="12"/>
        <v/>
      </c>
      <c r="G37" s="147" t="str">
        <f t="shared" si="9"/>
        <v/>
      </c>
      <c r="H37" s="151"/>
      <c r="I37" s="151"/>
      <c r="J37" s="149"/>
    </row>
    <row r="38" spans="1:13" ht="13.5" hidden="1" x14ac:dyDescent="0.25">
      <c r="A38" s="144">
        <f t="shared" si="10"/>
        <v>0</v>
      </c>
      <c r="B38" s="150" t="str">
        <f>IFERROR(VLOOKUP(H38,[1]SEMIELABORADOS!$A$2:$M$6000,2,0),"")</f>
        <v/>
      </c>
      <c r="C38" s="145">
        <f>+A38</f>
        <v>0</v>
      </c>
      <c r="D38" s="146" t="str">
        <f>IFERROR(VLOOKUP(H38,[1]SEMIELABORADOS!$A$2:$M$6000,6,0),"")</f>
        <v/>
      </c>
      <c r="E38" s="146" t="str">
        <f>IFERROR(VLOOKUP(H38,[1]SEMIELABORADOS!$A$2:$M$65536,10,0),"")</f>
        <v/>
      </c>
      <c r="F38" s="146" t="str">
        <f>IFERROR(E38*C38,"")</f>
        <v/>
      </c>
      <c r="G38" s="147" t="str">
        <f t="shared" si="9"/>
        <v/>
      </c>
      <c r="H38" s="151"/>
      <c r="I38" s="151"/>
      <c r="J38" s="149"/>
    </row>
    <row r="39" spans="1:13" ht="13.5" hidden="1" x14ac:dyDescent="0.25">
      <c r="A39" s="144">
        <f t="shared" si="10"/>
        <v>0</v>
      </c>
      <c r="B39" s="150" t="str">
        <f>IFERROR(VLOOKUP(H39,[1]SEMIELABORADOS!$A$2:$M$6000,2,0),"")</f>
        <v/>
      </c>
      <c r="C39" s="145">
        <f>+A39</f>
        <v>0</v>
      </c>
      <c r="D39" s="146" t="str">
        <f>IFERROR(VLOOKUP(H39,[1]SEMIELABORADOS!$A$2:$M$6000,6,0),"")</f>
        <v/>
      </c>
      <c r="E39" s="146" t="str">
        <f>IFERROR(VLOOKUP(H39,[1]SEMIELABORADOS!$A$2:$M$65536,10,0),"")</f>
        <v/>
      </c>
      <c r="F39" s="146" t="str">
        <f>IFERROR(E39*C39,"")</f>
        <v/>
      </c>
      <c r="G39" s="147" t="str">
        <f t="shared" si="9"/>
        <v/>
      </c>
      <c r="H39" s="151"/>
      <c r="I39" s="151"/>
      <c r="J39" s="149"/>
    </row>
    <row r="40" spans="1:13" ht="13.5" hidden="1" x14ac:dyDescent="0.25">
      <c r="A40" s="144">
        <f t="shared" si="10"/>
        <v>0</v>
      </c>
      <c r="B40" s="150" t="str">
        <f>IFERROR(VLOOKUP(H40,[1]SEMIELABORADOS!$A$2:$M$6000,2,0),"")</f>
        <v/>
      </c>
      <c r="C40" s="145">
        <f t="shared" si="11"/>
        <v>0</v>
      </c>
      <c r="D40" s="146" t="str">
        <f>IFERROR(VLOOKUP(H40,[1]SEMIELABORADOS!$A$2:$M$6000,6,0),"")</f>
        <v/>
      </c>
      <c r="E40" s="146" t="str">
        <f>IFERROR(VLOOKUP(H40,[1]SEMIELABORADOS!$A$2:$M$65536,10,0),"")</f>
        <v/>
      </c>
      <c r="F40" s="146" t="str">
        <f t="shared" si="12"/>
        <v/>
      </c>
      <c r="G40" s="147" t="str">
        <f t="shared" si="9"/>
        <v/>
      </c>
      <c r="H40" s="151"/>
      <c r="I40" s="151"/>
      <c r="J40" s="149"/>
    </row>
    <row r="41" spans="1:13" ht="13.5" hidden="1" x14ac:dyDescent="0.25">
      <c r="A41" s="144">
        <f t="shared" si="10"/>
        <v>0</v>
      </c>
      <c r="B41" s="150" t="str">
        <f>IFERROR(VLOOKUP(H41,[1]SEMIELABORADOS!$A$2:$M$6000,2,0),"")</f>
        <v/>
      </c>
      <c r="C41" s="145">
        <f t="shared" si="11"/>
        <v>0</v>
      </c>
      <c r="D41" s="146" t="str">
        <f>IFERROR(VLOOKUP(H41,[1]SEMIELABORADOS!$A$2:$M$6000,6,0),"")</f>
        <v/>
      </c>
      <c r="E41" s="146" t="str">
        <f>IFERROR(VLOOKUP(H41,[1]SEMIELABORADOS!$A$2:$M$65536,10,0),"")</f>
        <v/>
      </c>
      <c r="F41" s="146" t="str">
        <f t="shared" si="12"/>
        <v/>
      </c>
      <c r="G41" s="147" t="str">
        <f t="shared" si="9"/>
        <v/>
      </c>
      <c r="H41" s="151"/>
      <c r="I41" s="151"/>
      <c r="J41" s="149"/>
    </row>
    <row r="42" spans="1:13" ht="14.25" thickBot="1" x14ac:dyDescent="0.3">
      <c r="A42" s="144"/>
      <c r="B42" s="150"/>
      <c r="C42" s="145"/>
      <c r="D42" s="146"/>
      <c r="E42" s="146"/>
      <c r="F42" s="146"/>
      <c r="G42" s="147"/>
      <c r="H42" s="151"/>
      <c r="I42" s="151"/>
      <c r="J42" s="149"/>
    </row>
    <row r="43" spans="1:13" ht="26.25" thickBot="1" x14ac:dyDescent="0.25">
      <c r="A43" s="139" t="s">
        <v>144</v>
      </c>
      <c r="B43" s="140" t="s">
        <v>153</v>
      </c>
      <c r="C43" s="140" t="s">
        <v>144</v>
      </c>
      <c r="D43" s="141" t="s">
        <v>146</v>
      </c>
      <c r="E43" s="141" t="s">
        <v>147</v>
      </c>
      <c r="F43" s="141" t="s">
        <v>148</v>
      </c>
      <c r="G43" s="141" t="s">
        <v>149</v>
      </c>
      <c r="H43" s="142" t="s">
        <v>150</v>
      </c>
      <c r="I43" s="143"/>
      <c r="J43" s="149"/>
    </row>
    <row r="44" spans="1:13" ht="13.5" x14ac:dyDescent="0.25">
      <c r="A44" s="144">
        <f>+A35</f>
        <v>1000</v>
      </c>
      <c r="B44" s="150" t="str">
        <f>IFERROR(VLOOKUP(H44,[1]SEMIELABORADOS!$A$2:$M$6000,2,0),"")</f>
        <v>CREMA CHANTILLY BLANCA SPOON-IND KILO</v>
      </c>
      <c r="C44" s="145">
        <f>+A44</f>
        <v>1000</v>
      </c>
      <c r="D44" s="146" t="str">
        <f>IFERROR(VLOOKUP(H44,[1]SEMIELABORADOS!$A$2:$M$6000,6,0),"")</f>
        <v>Gramo</v>
      </c>
      <c r="E44" s="146">
        <f>IFERROR(VLOOKUP(H44,[1]SEMIELABORADOS!$A$2:$M$65536,12,0),"")</f>
        <v>0.41607800376923076</v>
      </c>
      <c r="F44" s="146">
        <f>IFERROR(E44*C44,"")</f>
        <v>416.07800376923075</v>
      </c>
      <c r="G44" s="147">
        <f>IFERROR(F44/$F$66,"")</f>
        <v>0.18017988651454786</v>
      </c>
      <c r="H44" s="148" t="s">
        <v>194</v>
      </c>
      <c r="I44" s="143"/>
      <c r="J44" s="149"/>
    </row>
    <row r="45" spans="1:13" ht="13.5" hidden="1" x14ac:dyDescent="0.25">
      <c r="A45" s="144">
        <f t="shared" ref="A45:A50" si="13">+A36</f>
        <v>0</v>
      </c>
      <c r="B45" s="150" t="str">
        <f>IFERROR(VLOOKUP(H45,[1]SEMIELABORADOS!$A$2:$M$6000,2,0),"")</f>
        <v/>
      </c>
      <c r="C45" s="145">
        <f t="shared" ref="C45:C50" si="14">+A45</f>
        <v>0</v>
      </c>
      <c r="D45" s="146" t="str">
        <f>IFERROR(VLOOKUP(H45,[1]SEMIELABORADOS!$A$2:$M$6000,6,0),"")</f>
        <v/>
      </c>
      <c r="E45" s="146" t="str">
        <f>IFERROR(VLOOKUP(H45,[1]SEMIELABORADOS!$A$2:$M$65536,12,0),"")</f>
        <v/>
      </c>
      <c r="F45" s="146" t="str">
        <f t="shared" ref="F45:F50" si="15">IFERROR(E45*C45,"")</f>
        <v/>
      </c>
      <c r="G45" s="147" t="str">
        <f t="shared" ref="G45:G50" si="16">IFERROR(F45/$F$66,"")</f>
        <v/>
      </c>
      <c r="H45" s="151"/>
      <c r="I45" s="143"/>
      <c r="J45" s="149"/>
      <c r="M45" s="154"/>
    </row>
    <row r="46" spans="1:13" ht="13.5" hidden="1" x14ac:dyDescent="0.25">
      <c r="A46" s="144">
        <f t="shared" si="13"/>
        <v>0</v>
      </c>
      <c r="B46" s="150" t="str">
        <f>IFERROR(VLOOKUP(H46,[1]SEMIELABORADOS!$A$2:$M$6000,2,0),"")</f>
        <v/>
      </c>
      <c r="C46" s="145">
        <f t="shared" si="14"/>
        <v>0</v>
      </c>
      <c r="D46" s="146" t="str">
        <f>IFERROR(VLOOKUP(H46,[1]SEMIELABORADOS!$A$2:$M$6000,6,0),"")</f>
        <v/>
      </c>
      <c r="E46" s="146" t="str">
        <f>IFERROR(VLOOKUP(H46,[1]SEMIELABORADOS!$A$2:$M$65536,12,0),"")</f>
        <v/>
      </c>
      <c r="F46" s="146" t="str">
        <f t="shared" si="15"/>
        <v/>
      </c>
      <c r="G46" s="147" t="str">
        <f t="shared" si="16"/>
        <v/>
      </c>
      <c r="H46" s="151"/>
      <c r="I46" s="143"/>
      <c r="J46" s="149"/>
    </row>
    <row r="47" spans="1:13" ht="13.5" hidden="1" x14ac:dyDescent="0.25">
      <c r="A47" s="144">
        <f t="shared" si="13"/>
        <v>0</v>
      </c>
      <c r="B47" s="150" t="str">
        <f>IFERROR(VLOOKUP(H47,[1]SEMIELABORADOS!$A$2:$M$6000,2,0),"")</f>
        <v/>
      </c>
      <c r="C47" s="145">
        <f t="shared" si="14"/>
        <v>0</v>
      </c>
      <c r="D47" s="146" t="str">
        <f>IFERROR(VLOOKUP(H47,[1]SEMIELABORADOS!$A$2:$M$6000,6,0),"")</f>
        <v/>
      </c>
      <c r="E47" s="146" t="str">
        <f>IFERROR(VLOOKUP(H47,[1]SEMIELABORADOS!$A$2:$M$65536,12,0),"")</f>
        <v/>
      </c>
      <c r="F47" s="146" t="str">
        <f t="shared" si="15"/>
        <v/>
      </c>
      <c r="G47" s="147" t="str">
        <f t="shared" si="16"/>
        <v/>
      </c>
      <c r="H47" s="151"/>
      <c r="I47" s="143"/>
      <c r="J47" s="149"/>
    </row>
    <row r="48" spans="1:13" ht="13.5" hidden="1" x14ac:dyDescent="0.25">
      <c r="A48" s="144">
        <f t="shared" si="13"/>
        <v>0</v>
      </c>
      <c r="B48" s="150" t="str">
        <f>IFERROR(VLOOKUP(H48,[1]SEMIELABORADOS!$A$2:$M$6000,2,0),"")</f>
        <v/>
      </c>
      <c r="C48" s="145">
        <f t="shared" si="14"/>
        <v>0</v>
      </c>
      <c r="D48" s="146" t="str">
        <f>IFERROR(VLOOKUP(H48,[1]SEMIELABORADOS!$A$2:$M$6000,6,0),"")</f>
        <v/>
      </c>
      <c r="E48" s="146" t="str">
        <f>IFERROR(VLOOKUP(H48,[1]SEMIELABORADOS!$A$2:$M$65536,12,0),"")</f>
        <v/>
      </c>
      <c r="F48" s="146" t="str">
        <f t="shared" si="15"/>
        <v/>
      </c>
      <c r="G48" s="147" t="str">
        <f t="shared" si="16"/>
        <v/>
      </c>
      <c r="H48" s="151"/>
      <c r="I48" s="143"/>
      <c r="J48" s="149"/>
    </row>
    <row r="49" spans="1:17" ht="13.5" hidden="1" x14ac:dyDescent="0.25">
      <c r="A49" s="144">
        <f t="shared" si="13"/>
        <v>0</v>
      </c>
      <c r="B49" s="150" t="str">
        <f>IFERROR(VLOOKUP(H49,[1]SEMIELABORADOS!$A$2:$M$6000,2,0),"")</f>
        <v/>
      </c>
      <c r="C49" s="145">
        <f t="shared" si="14"/>
        <v>0</v>
      </c>
      <c r="D49" s="146" t="str">
        <f>IFERROR(VLOOKUP(H49,[1]SEMIELABORADOS!$A$2:$M$6000,6,0),"")</f>
        <v/>
      </c>
      <c r="E49" s="146" t="str">
        <f>IFERROR(VLOOKUP(H49,[1]SEMIELABORADOS!$A$2:$M$65536,12,0),"")</f>
        <v/>
      </c>
      <c r="F49" s="146" t="str">
        <f t="shared" si="15"/>
        <v/>
      </c>
      <c r="G49" s="147" t="str">
        <f t="shared" si="16"/>
        <v/>
      </c>
      <c r="H49" s="151"/>
      <c r="I49" s="143"/>
      <c r="J49" s="149"/>
    </row>
    <row r="50" spans="1:17" ht="13.5" hidden="1" x14ac:dyDescent="0.25">
      <c r="A50" s="144">
        <f t="shared" si="13"/>
        <v>0</v>
      </c>
      <c r="B50" s="150" t="str">
        <f>IFERROR(VLOOKUP(H50,[1]SEMIELABORADOS!$A$2:$M$6000,2,0),"")</f>
        <v/>
      </c>
      <c r="C50" s="145">
        <f t="shared" si="14"/>
        <v>0</v>
      </c>
      <c r="D50" s="146" t="str">
        <f>IFERROR(VLOOKUP(H50,[1]SEMIELABORADOS!$A$2:$M$6000,6,0),"")</f>
        <v/>
      </c>
      <c r="E50" s="146" t="str">
        <f>IFERROR(VLOOKUP(H50,[1]SEMIELABORADOS!$A$2:$M$65536,12,0),"")</f>
        <v/>
      </c>
      <c r="F50" s="146" t="str">
        <f t="shared" si="15"/>
        <v/>
      </c>
      <c r="G50" s="147" t="str">
        <f t="shared" si="16"/>
        <v/>
      </c>
      <c r="H50" s="150"/>
      <c r="I50" s="143"/>
      <c r="J50" s="149"/>
    </row>
    <row r="51" spans="1:17" ht="13.5" x14ac:dyDescent="0.25">
      <c r="A51" s="144">
        <v>1</v>
      </c>
      <c r="B51" s="150" t="s">
        <v>154</v>
      </c>
      <c r="C51" s="145">
        <f>+A51</f>
        <v>1</v>
      </c>
      <c r="D51" s="145" t="s">
        <v>155</v>
      </c>
      <c r="E51" s="146">
        <f>+F65</f>
        <v>77</v>
      </c>
      <c r="F51" s="146">
        <f>IFERROR(C51*E51,"")</f>
        <v>77</v>
      </c>
      <c r="G51" s="147">
        <f>IFERROR(F51/$F$66,"")</f>
        <v>3.3344351626227849E-2</v>
      </c>
      <c r="H51" s="155"/>
      <c r="I51" s="155"/>
      <c r="J51" s="149"/>
    </row>
    <row r="52" spans="1:17" ht="14.25" thickBot="1" x14ac:dyDescent="0.3">
      <c r="A52" s="144"/>
      <c r="B52" s="150"/>
      <c r="C52" s="145"/>
      <c r="D52" s="145"/>
      <c r="E52" s="146"/>
      <c r="F52" s="146"/>
      <c r="G52" s="147"/>
      <c r="H52" s="155"/>
      <c r="I52" s="155"/>
      <c r="J52" s="149"/>
    </row>
    <row r="53" spans="1:17" ht="13.5" thickBot="1" x14ac:dyDescent="0.25">
      <c r="A53" s="156"/>
      <c r="B53" s="834" t="s">
        <v>156</v>
      </c>
      <c r="C53" s="834"/>
      <c r="D53" s="834"/>
      <c r="E53" s="834"/>
      <c r="F53" s="158">
        <f>SUM(F8:F14,F17:F24)</f>
        <v>2188.44</v>
      </c>
      <c r="G53" s="147">
        <f>+F53/$F$66</f>
        <v>0.94768977757015682</v>
      </c>
      <c r="H53" s="159">
        <f>+F53/$D$60</f>
        <v>2188.44</v>
      </c>
      <c r="I53" s="159"/>
      <c r="J53" s="160"/>
      <c r="K53" s="161"/>
      <c r="L53" s="161"/>
      <c r="M53" s="161"/>
      <c r="N53" s="161"/>
      <c r="O53" s="161"/>
      <c r="P53" s="161"/>
      <c r="Q53" s="162"/>
    </row>
    <row r="54" spans="1:17" x14ac:dyDescent="0.2">
      <c r="A54" s="156"/>
      <c r="B54" s="834" t="s">
        <v>157</v>
      </c>
      <c r="C54" s="834"/>
      <c r="D54" s="834"/>
      <c r="E54" s="834"/>
      <c r="F54" s="158">
        <f>SUM(F27:F32,F35:F41)</f>
        <v>2.7884615384615379E-2</v>
      </c>
      <c r="G54" s="147">
        <f>+F54/$F$66</f>
        <v>1.2075252212295298E-5</v>
      </c>
      <c r="H54" s="159">
        <f>+F54/$D$60</f>
        <v>2.7884615384615379E-2</v>
      </c>
      <c r="I54" s="159"/>
      <c r="J54" s="163"/>
      <c r="K54" s="835" t="s">
        <v>158</v>
      </c>
      <c r="L54" s="836"/>
      <c r="M54" s="836"/>
      <c r="N54" s="836"/>
      <c r="O54" s="164">
        <f>+F55</f>
        <v>2188.4678846153847</v>
      </c>
      <c r="P54" s="164"/>
      <c r="Q54" s="165"/>
    </row>
    <row r="55" spans="1:17" x14ac:dyDescent="0.2">
      <c r="A55" s="156"/>
      <c r="B55" s="834" t="s">
        <v>159</v>
      </c>
      <c r="C55" s="834"/>
      <c r="D55" s="834"/>
      <c r="E55" s="834"/>
      <c r="F55" s="158">
        <f>+F53+F54</f>
        <v>2188.4678846153847</v>
      </c>
      <c r="G55" s="147">
        <f>+F55/$F$66</f>
        <v>0.94770185282236907</v>
      </c>
      <c r="H55" s="159">
        <f>+F55/$D$60</f>
        <v>2188.4678846153847</v>
      </c>
      <c r="I55" s="159"/>
      <c r="J55" s="166"/>
      <c r="K55" s="167"/>
      <c r="M55" s="168" t="s">
        <v>160</v>
      </c>
      <c r="N55" s="169"/>
      <c r="O55" s="164">
        <f>+H56</f>
        <v>493.07800376923075</v>
      </c>
      <c r="P55" s="164"/>
      <c r="Q55" s="165"/>
    </row>
    <row r="56" spans="1:17" ht="13.5" thickBot="1" x14ac:dyDescent="0.25">
      <c r="A56" s="156"/>
      <c r="B56" s="157"/>
      <c r="C56" s="834" t="s">
        <v>161</v>
      </c>
      <c r="D56" s="834"/>
      <c r="E56" s="834"/>
      <c r="F56" s="158">
        <f>SUM(F44:F51)</f>
        <v>493.07800376923075</v>
      </c>
      <c r="G56" s="147">
        <f>+F56/$F$66</f>
        <v>0.2135242381407757</v>
      </c>
      <c r="H56" s="159">
        <f>+F56/$D$60</f>
        <v>493.07800376923075</v>
      </c>
      <c r="I56" s="159"/>
      <c r="J56" s="166"/>
      <c r="K56" s="167"/>
      <c r="L56" s="167"/>
      <c r="M56" s="167" t="s">
        <v>162</v>
      </c>
      <c r="N56" s="170"/>
      <c r="O56" s="164">
        <f>O54*N56</f>
        <v>0</v>
      </c>
      <c r="P56" s="164"/>
      <c r="Q56" s="165"/>
    </row>
    <row r="57" spans="1:17" ht="13.5" thickBot="1" x14ac:dyDescent="0.25">
      <c r="A57" s="156"/>
      <c r="B57" s="171"/>
      <c r="C57" s="171"/>
      <c r="D57" s="171"/>
      <c r="E57" s="171"/>
      <c r="F57" s="172"/>
      <c r="G57" s="147"/>
      <c r="H57" s="173"/>
      <c r="I57" s="159"/>
      <c r="J57" s="166"/>
      <c r="K57" s="174"/>
      <c r="M57" s="175" t="s">
        <v>163</v>
      </c>
      <c r="N57" s="176"/>
      <c r="O57" s="177">
        <f>SUM(O54:O56)</f>
        <v>2681.5458883846154</v>
      </c>
      <c r="P57" s="178"/>
      <c r="Q57" s="165"/>
    </row>
    <row r="58" spans="1:17" x14ac:dyDescent="0.2">
      <c r="B58" s="837" t="s">
        <v>164</v>
      </c>
      <c r="C58" s="837"/>
      <c r="D58" s="179">
        <v>1000</v>
      </c>
      <c r="E58" s="180"/>
      <c r="G58" s="147"/>
      <c r="H58" s="173">
        <f>+H56/77</f>
        <v>6.4036104385614383</v>
      </c>
      <c r="I58" s="181"/>
      <c r="J58" s="166"/>
      <c r="K58" s="174"/>
      <c r="L58" s="167"/>
      <c r="M58" s="167" t="s">
        <v>165</v>
      </c>
      <c r="N58" s="182"/>
      <c r="O58" s="164">
        <f>+H59</f>
        <v>409.83106806793205</v>
      </c>
      <c r="P58" s="164"/>
      <c r="Q58" s="165"/>
    </row>
    <row r="59" spans="1:17" x14ac:dyDescent="0.2">
      <c r="B59" s="837" t="s">
        <v>166</v>
      </c>
      <c r="C59" s="837"/>
      <c r="D59" s="183">
        <v>1000</v>
      </c>
      <c r="E59" s="180"/>
      <c r="G59" s="147"/>
      <c r="H59" s="173">
        <f>+H58*64</f>
        <v>409.83106806793205</v>
      </c>
      <c r="I59" s="181"/>
      <c r="J59" s="166"/>
      <c r="K59" s="174"/>
      <c r="L59" s="167"/>
      <c r="M59" s="838" t="s">
        <v>163</v>
      </c>
      <c r="N59" s="838"/>
      <c r="O59" s="164">
        <f>SUM(O57:O58)</f>
        <v>3091.3769564525473</v>
      </c>
      <c r="P59" s="164"/>
      <c r="Q59" s="165"/>
    </row>
    <row r="60" spans="1:17" ht="13.5" thickBot="1" x14ac:dyDescent="0.25">
      <c r="B60" s="830" t="s">
        <v>167</v>
      </c>
      <c r="C60" s="830"/>
      <c r="D60" s="179">
        <f>+D58/D59</f>
        <v>1</v>
      </c>
      <c r="E60" s="180"/>
      <c r="F60" s="184"/>
      <c r="G60" s="147"/>
      <c r="H60" s="173"/>
      <c r="I60" s="181"/>
      <c r="J60" s="166"/>
      <c r="K60" s="174"/>
      <c r="L60" s="838"/>
      <c r="M60" s="838"/>
      <c r="N60" s="182"/>
      <c r="O60" s="164">
        <f>+O59*N60</f>
        <v>0</v>
      </c>
      <c r="P60" s="164"/>
      <c r="Q60" s="165"/>
    </row>
    <row r="61" spans="1:17" ht="13.5" thickBot="1" x14ac:dyDescent="0.25">
      <c r="B61" s="830" t="s">
        <v>168</v>
      </c>
      <c r="C61" s="830"/>
      <c r="D61" s="185"/>
      <c r="E61" s="180"/>
      <c r="F61" s="184"/>
      <c r="G61" s="147"/>
      <c r="H61" s="173"/>
      <c r="I61" s="181"/>
      <c r="J61" s="166"/>
      <c r="K61" s="831" t="s">
        <v>169</v>
      </c>
      <c r="L61" s="832"/>
      <c r="M61" s="832"/>
      <c r="N61" s="833"/>
      <c r="O61" s="177">
        <f>SUM(O59:O60)</f>
        <v>3091.3769564525473</v>
      </c>
      <c r="P61" s="186" t="s">
        <v>170</v>
      </c>
      <c r="Q61" s="165"/>
    </row>
    <row r="62" spans="1:17" ht="13.5" thickBot="1" x14ac:dyDescent="0.25">
      <c r="C62" s="156" t="s">
        <v>171</v>
      </c>
      <c r="D62" s="187"/>
      <c r="E62" s="130" t="s">
        <v>172</v>
      </c>
      <c r="F62" s="188" t="s">
        <v>173</v>
      </c>
      <c r="G62" s="147"/>
      <c r="H62" s="173"/>
      <c r="I62" s="181"/>
      <c r="J62" s="189"/>
      <c r="K62" s="190"/>
      <c r="L62" s="844" t="s">
        <v>174</v>
      </c>
      <c r="M62" s="844"/>
      <c r="N62" s="844"/>
      <c r="O62" s="191">
        <f>+O61/D60</f>
        <v>3091.3769564525473</v>
      </c>
      <c r="P62" s="192">
        <f>+O62/D59</f>
        <v>3.0913769564525473</v>
      </c>
      <c r="Q62" s="193"/>
    </row>
    <row r="63" spans="1:17" ht="13.5" thickBot="1" x14ac:dyDescent="0.25">
      <c r="B63" s="845" t="s">
        <v>159</v>
      </c>
      <c r="C63" s="845"/>
      <c r="D63" s="845"/>
      <c r="E63" s="194">
        <f>+F63/F63</f>
        <v>1</v>
      </c>
      <c r="F63" s="195">
        <f>SUM(F55)</f>
        <v>2188.4678846153847</v>
      </c>
      <c r="G63" s="147">
        <f>+F63/$F$66</f>
        <v>0.94770185282236907</v>
      </c>
      <c r="H63" s="173"/>
      <c r="I63" s="181"/>
      <c r="K63" s="846"/>
      <c r="L63" s="847"/>
      <c r="M63" s="847"/>
      <c r="N63" s="847"/>
      <c r="O63" s="196"/>
      <c r="P63" s="197"/>
    </row>
    <row r="64" spans="1:17" ht="13.5" thickBot="1" x14ac:dyDescent="0.25">
      <c r="B64" s="848" t="s">
        <v>175</v>
      </c>
      <c r="C64" s="848"/>
      <c r="D64" s="848"/>
      <c r="E64" s="198">
        <v>0.02</v>
      </c>
      <c r="F64" s="195">
        <f>+F53*E64</f>
        <v>43.768799999999999</v>
      </c>
      <c r="G64" s="147">
        <f>+F64/$F$66</f>
        <v>1.8953795551403134E-2</v>
      </c>
      <c r="H64" s="159"/>
      <c r="I64" s="181"/>
      <c r="J64" s="199"/>
      <c r="O64" s="200"/>
      <c r="P64" s="157"/>
    </row>
    <row r="65" spans="2:13" ht="13.5" thickBot="1" x14ac:dyDescent="0.25">
      <c r="B65" s="849" t="s">
        <v>176</v>
      </c>
      <c r="C65" s="850"/>
      <c r="D65" s="201">
        <v>1</v>
      </c>
      <c r="E65" s="202">
        <v>77</v>
      </c>
      <c r="F65" s="195">
        <f>+E65*D65</f>
        <v>77</v>
      </c>
      <c r="G65" s="147">
        <f>+F65/$F$66</f>
        <v>3.3344351626227849E-2</v>
      </c>
      <c r="H65" s="159"/>
      <c r="I65" s="159"/>
      <c r="J65" s="149"/>
    </row>
    <row r="66" spans="2:13" ht="13.5" thickBot="1" x14ac:dyDescent="0.25">
      <c r="B66" s="851" t="s">
        <v>177</v>
      </c>
      <c r="C66" s="852"/>
      <c r="D66" s="852"/>
      <c r="E66" s="853"/>
      <c r="F66" s="172">
        <f>SUM(F63:F65)</f>
        <v>2309.2366846153845</v>
      </c>
      <c r="G66" s="147">
        <f>+F66/$F$66</f>
        <v>1</v>
      </c>
      <c r="H66" s="854"/>
      <c r="I66" s="159"/>
      <c r="J66" s="149"/>
      <c r="M66" s="132" t="s">
        <v>178</v>
      </c>
    </row>
    <row r="67" spans="2:13" x14ac:dyDescent="0.2">
      <c r="C67" s="154"/>
      <c r="D67" s="154"/>
      <c r="E67" s="204"/>
      <c r="F67" s="195"/>
      <c r="G67" s="147"/>
      <c r="H67" s="854"/>
      <c r="I67" s="203"/>
      <c r="J67" s="132"/>
      <c r="M67" s="132" t="s">
        <v>179</v>
      </c>
    </row>
    <row r="68" spans="2:13" ht="13.5" thickBot="1" x14ac:dyDescent="0.25">
      <c r="B68" s="839" t="s">
        <v>180</v>
      </c>
      <c r="C68" s="839"/>
      <c r="D68" s="839"/>
      <c r="E68" s="839"/>
      <c r="F68" s="839"/>
      <c r="G68" s="147"/>
      <c r="H68" s="206"/>
      <c r="I68" s="203"/>
      <c r="J68" s="132"/>
      <c r="M68" s="132" t="s">
        <v>181</v>
      </c>
    </row>
    <row r="69" spans="2:13" ht="13.5" thickBot="1" x14ac:dyDescent="0.25">
      <c r="B69" s="207" t="s">
        <v>182</v>
      </c>
      <c r="C69" s="208">
        <f>+F53</f>
        <v>2188.44</v>
      </c>
      <c r="D69" s="208">
        <f>+D58</f>
        <v>1000</v>
      </c>
      <c r="E69" s="209">
        <f>+C69/D69</f>
        <v>2.1884399999999999</v>
      </c>
      <c r="F69" s="147"/>
      <c r="G69" s="206"/>
      <c r="H69" s="149"/>
      <c r="I69" s="206"/>
      <c r="J69" s="132"/>
    </row>
    <row r="70" spans="2:13" x14ac:dyDescent="0.2">
      <c r="B70" s="210"/>
      <c r="C70" s="211"/>
      <c r="D70" s="212"/>
      <c r="E70" s="195"/>
      <c r="F70" s="147"/>
      <c r="G70" s="206"/>
      <c r="H70" s="149"/>
      <c r="I70" s="149"/>
      <c r="J70" s="132"/>
    </row>
    <row r="71" spans="2:13" x14ac:dyDescent="0.2">
      <c r="B71" s="207" t="s">
        <v>183</v>
      </c>
      <c r="C71" s="208">
        <f>SUM(F63:F64)</f>
        <v>2232.2366846153845</v>
      </c>
      <c r="D71" s="208">
        <f>+D58</f>
        <v>1000</v>
      </c>
      <c r="E71" s="213">
        <f>+C71/D71</f>
        <v>2.2322366846153847</v>
      </c>
      <c r="F71" s="147"/>
      <c r="G71" s="206"/>
      <c r="H71" s="149"/>
      <c r="I71" s="149"/>
      <c r="J71" s="132"/>
    </row>
    <row r="72" spans="2:13" x14ac:dyDescent="0.2">
      <c r="B72" s="207"/>
      <c r="C72" s="208"/>
      <c r="D72" s="208"/>
      <c r="E72" s="213"/>
      <c r="F72" s="147"/>
      <c r="G72" s="206"/>
      <c r="H72" s="149"/>
      <c r="I72" s="149"/>
      <c r="J72" s="132"/>
    </row>
    <row r="73" spans="2:13" ht="13.5" thickBot="1" x14ac:dyDescent="0.25">
      <c r="B73" s="207" t="s">
        <v>184</v>
      </c>
      <c r="C73" s="208">
        <f>+F65</f>
        <v>77</v>
      </c>
      <c r="D73" s="208">
        <f>+D58</f>
        <v>1000</v>
      </c>
      <c r="E73" s="213">
        <f>+C73/D73</f>
        <v>7.6999999999999999E-2</v>
      </c>
      <c r="F73" s="147"/>
      <c r="G73" s="206"/>
      <c r="H73" s="149"/>
      <c r="I73" s="149"/>
      <c r="J73" s="132"/>
    </row>
    <row r="74" spans="2:13" ht="13.5" thickBot="1" x14ac:dyDescent="0.25">
      <c r="B74" s="207" t="s">
        <v>185</v>
      </c>
      <c r="C74" s="208">
        <f>+F56</f>
        <v>493.07800376923075</v>
      </c>
      <c r="D74" s="208">
        <f>+D73</f>
        <v>1000</v>
      </c>
      <c r="E74" s="209">
        <f>+C74/D74</f>
        <v>0.49307800376923072</v>
      </c>
      <c r="F74" s="147"/>
      <c r="G74" s="206"/>
      <c r="H74" s="149"/>
      <c r="I74" s="149"/>
      <c r="J74" s="132"/>
    </row>
    <row r="75" spans="2:13" ht="13.5" thickBot="1" x14ac:dyDescent="0.25">
      <c r="B75" s="171"/>
      <c r="C75" s="172"/>
      <c r="D75" s="172"/>
      <c r="E75" s="213"/>
      <c r="F75" s="147"/>
      <c r="G75" s="206"/>
      <c r="H75" s="149"/>
      <c r="I75" s="149"/>
      <c r="J75" s="132"/>
    </row>
    <row r="76" spans="2:13" ht="13.5" thickBot="1" x14ac:dyDescent="0.25">
      <c r="B76" s="207" t="s">
        <v>186</v>
      </c>
      <c r="C76" s="208">
        <f>+F54</f>
        <v>2.7884615384615379E-2</v>
      </c>
      <c r="D76" s="208">
        <f>+D74</f>
        <v>1000</v>
      </c>
      <c r="E76" s="209">
        <f>+C76/D76</f>
        <v>2.7884615384615379E-5</v>
      </c>
      <c r="F76" s="147"/>
      <c r="G76" s="206"/>
      <c r="H76" s="149"/>
      <c r="I76" s="149"/>
      <c r="J76" s="149"/>
    </row>
    <row r="77" spans="2:13" ht="13.5" thickBot="1" x14ac:dyDescent="0.25">
      <c r="B77" s="171"/>
      <c r="C77" s="172"/>
      <c r="D77" s="172"/>
      <c r="E77" s="213"/>
      <c r="F77" s="147"/>
      <c r="G77" s="206"/>
      <c r="H77" s="149"/>
      <c r="I77" s="149"/>
    </row>
    <row r="78" spans="2:13" ht="13.5" thickBot="1" x14ac:dyDescent="0.25">
      <c r="B78" s="840" t="s">
        <v>187</v>
      </c>
      <c r="C78" s="841"/>
      <c r="D78" s="842"/>
      <c r="E78" s="209">
        <f>+E69+E74</f>
        <v>2.6815180037692308</v>
      </c>
      <c r="G78" s="147"/>
      <c r="H78" s="206"/>
      <c r="I78" s="149"/>
      <c r="J78" s="213"/>
    </row>
    <row r="79" spans="2:13" x14ac:dyDescent="0.2">
      <c r="I79" s="206"/>
      <c r="J79" s="132"/>
    </row>
    <row r="80" spans="2:13" ht="13.5" thickBot="1" x14ac:dyDescent="0.25">
      <c r="B80" s="839" t="s">
        <v>188</v>
      </c>
      <c r="C80" s="839"/>
      <c r="D80" s="839"/>
      <c r="E80" s="839"/>
      <c r="F80" s="839"/>
      <c r="G80" s="147"/>
      <c r="H80" s="206"/>
      <c r="J80" s="132"/>
    </row>
    <row r="81" spans="1:10" ht="13.5" thickBot="1" x14ac:dyDescent="0.25">
      <c r="B81" s="207" t="s">
        <v>182</v>
      </c>
      <c r="C81" s="208">
        <f>+C69</f>
        <v>2188.44</v>
      </c>
      <c r="D81" s="208">
        <f>+D60</f>
        <v>1</v>
      </c>
      <c r="E81" s="209">
        <f>+C81/D81</f>
        <v>2188.44</v>
      </c>
      <c r="F81" s="147"/>
      <c r="G81" s="206"/>
      <c r="H81" s="149"/>
      <c r="I81" s="206"/>
      <c r="J81" s="132"/>
    </row>
    <row r="82" spans="1:10" x14ac:dyDescent="0.2">
      <c r="B82" s="210"/>
      <c r="C82" s="211"/>
      <c r="D82" s="212"/>
      <c r="E82" s="195"/>
      <c r="F82" s="147"/>
      <c r="G82" s="206"/>
      <c r="H82" s="149"/>
      <c r="I82" s="149"/>
      <c r="J82" s="132"/>
    </row>
    <row r="83" spans="1:10" x14ac:dyDescent="0.2">
      <c r="B83" s="207" t="s">
        <v>183</v>
      </c>
      <c r="C83" s="208">
        <f>+C71</f>
        <v>2232.2366846153845</v>
      </c>
      <c r="D83" s="208">
        <f>+D60</f>
        <v>1</v>
      </c>
      <c r="E83" s="213">
        <f>+C83/D83</f>
        <v>2232.2366846153845</v>
      </c>
      <c r="F83" s="147"/>
      <c r="G83" s="206"/>
      <c r="H83" s="149"/>
      <c r="I83" s="149"/>
      <c r="J83" s="132"/>
    </row>
    <row r="84" spans="1:10" x14ac:dyDescent="0.2">
      <c r="B84" s="207"/>
      <c r="C84" s="208"/>
      <c r="D84" s="208"/>
      <c r="E84" s="213"/>
      <c r="F84" s="147"/>
      <c r="G84" s="206"/>
      <c r="H84" s="149"/>
      <c r="I84" s="149"/>
      <c r="J84" s="132"/>
    </row>
    <row r="85" spans="1:10" ht="13.5" thickBot="1" x14ac:dyDescent="0.25">
      <c r="B85" s="207" t="s">
        <v>185</v>
      </c>
      <c r="C85" s="208">
        <f>+C73</f>
        <v>77</v>
      </c>
      <c r="D85" s="208">
        <f>+D60</f>
        <v>1</v>
      </c>
      <c r="E85" s="213">
        <f>+C85/D85</f>
        <v>77</v>
      </c>
      <c r="F85" s="215"/>
      <c r="G85" s="205"/>
      <c r="H85" s="131"/>
      <c r="I85" s="149"/>
    </row>
    <row r="86" spans="1:10" ht="13.5" thickBot="1" x14ac:dyDescent="0.25">
      <c r="B86" s="207" t="s">
        <v>185</v>
      </c>
      <c r="C86" s="208">
        <f>+C74</f>
        <v>493.07800376923075</v>
      </c>
      <c r="D86" s="208">
        <f>+D85</f>
        <v>1</v>
      </c>
      <c r="E86" s="209">
        <f>+C86/D86</f>
        <v>493.07800376923075</v>
      </c>
      <c r="F86" s="214"/>
      <c r="G86" s="205"/>
      <c r="H86" s="131"/>
      <c r="I86" s="131"/>
    </row>
    <row r="87" spans="1:10" x14ac:dyDescent="0.2">
      <c r="I87" s="131"/>
    </row>
    <row r="88" spans="1:10" x14ac:dyDescent="0.2">
      <c r="A88" s="843"/>
      <c r="B88" s="843"/>
      <c r="C88" s="216"/>
      <c r="D88" s="216"/>
      <c r="E88" s="217"/>
      <c r="G88" s="218"/>
    </row>
    <row r="89" spans="1:10" x14ac:dyDescent="0.2">
      <c r="A89" s="150"/>
      <c r="B89" s="219"/>
      <c r="C89" s="220"/>
      <c r="D89" s="220"/>
      <c r="E89" s="221"/>
      <c r="G89" s="218"/>
    </row>
    <row r="90" spans="1:10" x14ac:dyDescent="0.2">
      <c r="A90" s="150"/>
      <c r="B90" s="219"/>
      <c r="C90" s="222"/>
      <c r="D90" s="222"/>
      <c r="E90" s="150"/>
      <c r="G90" s="218"/>
    </row>
    <row r="91" spans="1:10" x14ac:dyDescent="0.2">
      <c r="A91" s="150"/>
      <c r="B91" s="219"/>
      <c r="C91" s="223"/>
      <c r="D91" s="223"/>
      <c r="E91" s="150"/>
      <c r="G91" s="218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35B60-E3CC-47BB-92AC-A68304B59550}">
  <sheetPr>
    <pageSetUpPr fitToPage="1"/>
  </sheetPr>
  <dimension ref="A1:I40"/>
  <sheetViews>
    <sheetView tabSelected="1" zoomScale="80" zoomScaleNormal="80" workbookViewId="0">
      <selection activeCell="G12" sqref="G12:H12"/>
    </sheetView>
  </sheetViews>
  <sheetFormatPr baseColWidth="10" defaultRowHeight="12.75" x14ac:dyDescent="0.2"/>
  <cols>
    <col min="2" max="2" width="18.5703125" bestFit="1" customWidth="1"/>
    <col min="3" max="3" width="62.85546875" bestFit="1" customWidth="1"/>
    <col min="4" max="4" width="14.140625" bestFit="1" customWidth="1"/>
    <col min="6" max="6" width="15.7109375" bestFit="1" customWidth="1"/>
    <col min="7" max="7" width="17.5703125" customWidth="1"/>
    <col min="8" max="8" width="14.85546875" customWidth="1"/>
    <col min="9" max="9" width="17.42578125" customWidth="1"/>
  </cols>
  <sheetData>
    <row r="1" spans="1:9" ht="16.5" x14ac:dyDescent="0.3">
      <c r="A1" s="1123"/>
      <c r="B1" s="1124"/>
      <c r="C1" s="1129" t="s">
        <v>58</v>
      </c>
      <c r="D1" s="1130"/>
      <c r="E1" s="1130"/>
      <c r="F1" s="1130"/>
      <c r="G1" s="1131"/>
      <c r="H1" s="84" t="s">
        <v>57</v>
      </c>
      <c r="I1" s="822" t="s">
        <v>474</v>
      </c>
    </row>
    <row r="2" spans="1:9" ht="17.25" thickBot="1" x14ac:dyDescent="0.35">
      <c r="A2" s="1125"/>
      <c r="B2" s="1126"/>
      <c r="C2" s="1132" t="s">
        <v>56</v>
      </c>
      <c r="D2" s="1133"/>
      <c r="E2" s="1133"/>
      <c r="F2" s="1133"/>
      <c r="G2" s="1134"/>
      <c r="H2" s="86" t="s">
        <v>55</v>
      </c>
      <c r="I2" s="823">
        <v>1</v>
      </c>
    </row>
    <row r="3" spans="1:9" ht="26.25" thickBot="1" x14ac:dyDescent="0.25">
      <c r="A3" s="1125"/>
      <c r="B3" s="1126"/>
      <c r="C3" s="1159" t="s">
        <v>472</v>
      </c>
      <c r="D3" s="1160"/>
      <c r="E3" s="1160"/>
      <c r="F3" s="1160"/>
      <c r="G3" s="1160"/>
      <c r="H3" s="1161" t="s">
        <v>54</v>
      </c>
      <c r="I3" s="1162">
        <v>45889</v>
      </c>
    </row>
    <row r="4" spans="1:9" ht="13.5" x14ac:dyDescent="0.25">
      <c r="A4" s="1125"/>
      <c r="B4" s="1126"/>
      <c r="C4" s="88" t="s">
        <v>53</v>
      </c>
      <c r="D4" s="1143" t="s">
        <v>100</v>
      </c>
      <c r="E4" s="1144"/>
      <c r="F4" s="1144"/>
      <c r="G4" s="1144"/>
      <c r="H4" s="1161"/>
      <c r="I4" s="1163"/>
    </row>
    <row r="5" spans="1:9" ht="14.25" thickBot="1" x14ac:dyDescent="0.3">
      <c r="A5" s="1127"/>
      <c r="B5" s="1128"/>
      <c r="C5" s="89" t="s">
        <v>51</v>
      </c>
      <c r="D5" s="1145" t="s">
        <v>101</v>
      </c>
      <c r="E5" s="1146"/>
      <c r="F5" s="1146"/>
      <c r="G5" s="1146"/>
      <c r="H5" s="1161"/>
      <c r="I5" s="1164"/>
    </row>
    <row r="6" spans="1:9" x14ac:dyDescent="0.2">
      <c r="A6" s="90"/>
      <c r="B6" s="83"/>
      <c r="C6" s="91"/>
      <c r="D6" s="92"/>
      <c r="E6" s="92"/>
      <c r="F6" s="92"/>
      <c r="G6" s="92"/>
      <c r="H6" s="789"/>
      <c r="I6" s="94"/>
    </row>
    <row r="7" spans="1:9" ht="20.25" x14ac:dyDescent="0.3">
      <c r="A7" s="1167" t="s">
        <v>49</v>
      </c>
      <c r="B7" s="1167"/>
      <c r="C7" s="1167"/>
      <c r="D7" s="1168" t="s">
        <v>68</v>
      </c>
      <c r="E7" s="1168"/>
      <c r="F7" s="1168"/>
      <c r="G7" s="1169" t="s">
        <v>473</v>
      </c>
      <c r="H7" s="1169"/>
      <c r="I7" s="1169"/>
    </row>
    <row r="8" spans="1:9" ht="25.5" x14ac:dyDescent="0.2">
      <c r="A8" s="1170" t="s">
        <v>45</v>
      </c>
      <c r="B8" s="1115" t="s">
        <v>103</v>
      </c>
      <c r="C8" s="1171" t="s">
        <v>44</v>
      </c>
      <c r="D8" s="1171" t="s">
        <v>43</v>
      </c>
      <c r="E8" s="1172" t="s">
        <v>42</v>
      </c>
      <c r="F8" s="1173"/>
      <c r="G8" s="1172" t="s">
        <v>41</v>
      </c>
      <c r="H8" s="1173"/>
      <c r="I8" s="788" t="s">
        <v>40</v>
      </c>
    </row>
    <row r="9" spans="1:9" ht="25.5" x14ac:dyDescent="0.2">
      <c r="A9" s="1170"/>
      <c r="B9" s="1115"/>
      <c r="C9" s="1171"/>
      <c r="D9" s="1171"/>
      <c r="E9" s="96" t="s">
        <v>11</v>
      </c>
      <c r="F9" s="97" t="s">
        <v>39</v>
      </c>
      <c r="G9" s="96" t="s">
        <v>11</v>
      </c>
      <c r="H9" s="97" t="s">
        <v>39</v>
      </c>
      <c r="I9" s="98" t="s">
        <v>38</v>
      </c>
    </row>
    <row r="10" spans="1:9" ht="20.25" x14ac:dyDescent="0.3">
      <c r="A10" s="801"/>
      <c r="B10" s="801"/>
      <c r="C10" s="801"/>
      <c r="D10" s="801"/>
      <c r="E10" s="801"/>
      <c r="F10" s="801"/>
      <c r="G10" s="801"/>
      <c r="H10" s="801"/>
      <c r="I10" s="801"/>
    </row>
    <row r="11" spans="1:9" ht="20.25" x14ac:dyDescent="0.3">
      <c r="A11" s="814"/>
      <c r="B11" s="791" t="s">
        <v>94</v>
      </c>
      <c r="C11" s="792" t="s">
        <v>95</v>
      </c>
      <c r="D11" s="814" t="s">
        <v>33</v>
      </c>
      <c r="E11" s="814">
        <v>320</v>
      </c>
      <c r="F11" s="820" t="s">
        <v>2</v>
      </c>
      <c r="G11" s="1210" t="s">
        <v>120</v>
      </c>
      <c r="H11" s="1211"/>
      <c r="I11" s="821"/>
    </row>
    <row r="12" spans="1:9" ht="20.25" x14ac:dyDescent="0.3">
      <c r="A12" s="790"/>
      <c r="B12" s="795" t="s">
        <v>113</v>
      </c>
      <c r="C12" s="796" t="s">
        <v>114</v>
      </c>
      <c r="D12" s="790" t="s">
        <v>33</v>
      </c>
      <c r="E12" s="790">
        <v>200</v>
      </c>
      <c r="F12" s="793" t="s">
        <v>2</v>
      </c>
      <c r="G12" s="1165" t="s">
        <v>96</v>
      </c>
      <c r="H12" s="1190"/>
      <c r="I12" s="794"/>
    </row>
    <row r="13" spans="1:9" ht="20.25" x14ac:dyDescent="0.3">
      <c r="A13" s="790"/>
      <c r="B13" s="797" t="s">
        <v>470</v>
      </c>
      <c r="C13" s="798" t="s">
        <v>115</v>
      </c>
      <c r="D13" s="790" t="s">
        <v>33</v>
      </c>
      <c r="E13" s="790">
        <v>300</v>
      </c>
      <c r="F13" s="793" t="s">
        <v>2</v>
      </c>
      <c r="G13" s="1165"/>
      <c r="H13" s="1190"/>
      <c r="I13" s="794"/>
    </row>
    <row r="14" spans="1:9" ht="20.25" x14ac:dyDescent="0.3">
      <c r="A14" s="790"/>
      <c r="B14" s="799" t="s">
        <v>471</v>
      </c>
      <c r="C14" s="800" t="s">
        <v>116</v>
      </c>
      <c r="D14" s="790" t="s">
        <v>33</v>
      </c>
      <c r="E14" s="790">
        <v>130</v>
      </c>
      <c r="F14" s="793" t="s">
        <v>2</v>
      </c>
      <c r="G14" s="1165" t="s">
        <v>97</v>
      </c>
      <c r="H14" s="1190"/>
      <c r="I14" s="801"/>
    </row>
    <row r="15" spans="1:9" ht="20.25" x14ac:dyDescent="0.3">
      <c r="A15" s="790"/>
      <c r="B15" s="790" t="s">
        <v>98</v>
      </c>
      <c r="C15" s="802" t="s">
        <v>99</v>
      </c>
      <c r="D15" s="790" t="s">
        <v>33</v>
      </c>
      <c r="E15" s="790">
        <v>45</v>
      </c>
      <c r="F15" s="793" t="s">
        <v>2</v>
      </c>
      <c r="G15" s="1212" t="s">
        <v>233</v>
      </c>
      <c r="H15" s="1190"/>
      <c r="I15" s="794"/>
    </row>
    <row r="16" spans="1:9" ht="20.25" x14ac:dyDescent="0.3">
      <c r="A16" s="790"/>
      <c r="B16" s="803" t="s">
        <v>117</v>
      </c>
      <c r="C16" s="804" t="s">
        <v>118</v>
      </c>
      <c r="D16" s="790" t="s">
        <v>33</v>
      </c>
      <c r="E16" s="790">
        <v>75</v>
      </c>
      <c r="F16" s="793" t="s">
        <v>2</v>
      </c>
      <c r="G16" s="1213" t="s">
        <v>119</v>
      </c>
      <c r="H16" s="1214"/>
      <c r="I16" s="794"/>
    </row>
    <row r="17" spans="1:9" ht="20.25" x14ac:dyDescent="0.3">
      <c r="A17" s="790"/>
      <c r="B17" s="797" t="s">
        <v>470</v>
      </c>
      <c r="C17" s="798" t="s">
        <v>115</v>
      </c>
      <c r="D17" s="790" t="s">
        <v>33</v>
      </c>
      <c r="E17" s="790">
        <v>100</v>
      </c>
      <c r="F17" s="793" t="s">
        <v>2</v>
      </c>
      <c r="G17" s="1165"/>
      <c r="H17" s="1190"/>
      <c r="I17" s="794"/>
    </row>
    <row r="18" spans="1:9" ht="20.25" x14ac:dyDescent="0.3">
      <c r="A18" s="790"/>
      <c r="B18" s="802"/>
      <c r="C18" s="802"/>
      <c r="D18" s="790"/>
      <c r="E18" s="790"/>
      <c r="F18" s="793"/>
      <c r="G18" s="790"/>
      <c r="H18" s="793"/>
      <c r="I18" s="794"/>
    </row>
    <row r="19" spans="1:9" ht="21" thickBot="1" x14ac:dyDescent="0.35">
      <c r="A19" s="790"/>
      <c r="B19" s="802"/>
      <c r="C19" s="805"/>
      <c r="D19" s="790"/>
      <c r="E19" s="806"/>
      <c r="F19" s="793"/>
      <c r="G19" s="806"/>
      <c r="H19" s="793"/>
      <c r="I19" s="807"/>
    </row>
    <row r="20" spans="1:9" ht="21" thickBot="1" x14ac:dyDescent="0.35">
      <c r="A20" s="808"/>
      <c r="B20" s="809"/>
      <c r="C20" s="810"/>
      <c r="D20" s="811" t="s">
        <v>11</v>
      </c>
      <c r="E20" s="811" t="s">
        <v>10</v>
      </c>
      <c r="F20" s="812"/>
      <c r="G20" s="810"/>
      <c r="H20" s="810"/>
      <c r="I20" s="813"/>
    </row>
    <row r="21" spans="1:9" ht="20.25" x14ac:dyDescent="0.3">
      <c r="A21" s="1203" t="s">
        <v>9</v>
      </c>
      <c r="B21" s="1204"/>
      <c r="C21" s="1205"/>
      <c r="D21" s="814">
        <v>1100</v>
      </c>
      <c r="E21" s="815" t="s">
        <v>2</v>
      </c>
      <c r="F21" s="1206" t="s">
        <v>104</v>
      </c>
      <c r="G21" s="1207"/>
      <c r="H21" s="1208"/>
      <c r="I21" s="1209"/>
    </row>
    <row r="22" spans="1:9" ht="20.25" x14ac:dyDescent="0.3">
      <c r="A22" s="1196" t="s">
        <v>105</v>
      </c>
      <c r="B22" s="1197"/>
      <c r="C22" s="1198"/>
      <c r="D22" s="790">
        <v>4</v>
      </c>
      <c r="E22" s="790" t="s">
        <v>7</v>
      </c>
      <c r="F22" s="1199" t="s">
        <v>106</v>
      </c>
      <c r="G22" s="1200"/>
      <c r="H22" s="1165"/>
      <c r="I22" s="1166"/>
    </row>
    <row r="23" spans="1:9" ht="20.25" x14ac:dyDescent="0.3">
      <c r="A23" s="1196" t="s">
        <v>6</v>
      </c>
      <c r="B23" s="1197"/>
      <c r="C23" s="1198"/>
      <c r="D23" s="790">
        <v>1</v>
      </c>
      <c r="E23" s="790" t="s">
        <v>5</v>
      </c>
      <c r="F23" s="1199" t="s">
        <v>107</v>
      </c>
      <c r="G23" s="1200"/>
      <c r="H23" s="1165"/>
      <c r="I23" s="1166"/>
    </row>
    <row r="24" spans="1:9" ht="20.25" x14ac:dyDescent="0.3">
      <c r="A24" s="1196" t="s">
        <v>4</v>
      </c>
      <c r="B24" s="1197"/>
      <c r="C24" s="1198"/>
      <c r="D24" s="790">
        <v>1100</v>
      </c>
      <c r="E24" s="790" t="s">
        <v>2</v>
      </c>
      <c r="F24" s="1201" t="s">
        <v>108</v>
      </c>
      <c r="G24" s="1202"/>
      <c r="H24" s="1165"/>
      <c r="I24" s="1166"/>
    </row>
    <row r="25" spans="1:9" ht="21" thickBot="1" x14ac:dyDescent="0.35">
      <c r="A25" s="1177" t="s">
        <v>3</v>
      </c>
      <c r="B25" s="1178"/>
      <c r="C25" s="1179"/>
      <c r="D25" s="816">
        <v>70</v>
      </c>
      <c r="E25" s="816" t="s">
        <v>2</v>
      </c>
      <c r="F25" s="1180" t="s">
        <v>109</v>
      </c>
      <c r="G25" s="1181"/>
      <c r="H25" s="1182"/>
      <c r="I25" s="1183"/>
    </row>
    <row r="26" spans="1:9" ht="21" thickBot="1" x14ac:dyDescent="0.35">
      <c r="A26" s="1184" t="s">
        <v>1</v>
      </c>
      <c r="B26" s="1185"/>
      <c r="C26" s="1185"/>
      <c r="D26" s="1185"/>
      <c r="E26" s="1185"/>
      <c r="F26" s="1185"/>
      <c r="G26" s="1185"/>
      <c r="H26" s="1185"/>
      <c r="I26" s="1185"/>
    </row>
    <row r="27" spans="1:9" ht="45.75" customHeight="1" x14ac:dyDescent="0.2">
      <c r="A27" s="1186" t="s">
        <v>121</v>
      </c>
      <c r="B27" s="1187"/>
      <c r="C27" s="1187"/>
      <c r="D27" s="1187"/>
      <c r="E27" s="1187"/>
      <c r="F27" s="1187"/>
      <c r="G27" s="1187"/>
      <c r="H27" s="1187"/>
      <c r="I27" s="1187"/>
    </row>
    <row r="28" spans="1:9" ht="42.75" customHeight="1" x14ac:dyDescent="0.2">
      <c r="A28" s="1188" t="s">
        <v>123</v>
      </c>
      <c r="B28" s="1189"/>
      <c r="C28" s="1189"/>
      <c r="D28" s="1189"/>
      <c r="E28" s="1189"/>
      <c r="F28" s="1189"/>
      <c r="G28" s="1189"/>
      <c r="H28" s="1189"/>
      <c r="I28" s="1189"/>
    </row>
    <row r="29" spans="1:9" ht="49.5" customHeight="1" x14ac:dyDescent="0.2">
      <c r="A29" s="1188" t="s">
        <v>122</v>
      </c>
      <c r="B29" s="1189"/>
      <c r="C29" s="1189"/>
      <c r="D29" s="1189"/>
      <c r="E29" s="1189"/>
      <c r="F29" s="1189"/>
      <c r="G29" s="1189"/>
      <c r="H29" s="1189"/>
      <c r="I29" s="1189"/>
    </row>
    <row r="30" spans="1:9" ht="20.25" x14ac:dyDescent="0.2">
      <c r="A30" s="1191" t="s">
        <v>110</v>
      </c>
      <c r="B30" s="1192"/>
      <c r="C30" s="1192"/>
      <c r="D30" s="1192"/>
      <c r="E30" s="1192"/>
      <c r="F30" s="1192"/>
      <c r="G30" s="1192"/>
      <c r="H30" s="1192"/>
      <c r="I30" s="1192"/>
    </row>
    <row r="31" spans="1:9" ht="20.25" x14ac:dyDescent="0.2">
      <c r="A31" s="1191"/>
      <c r="B31" s="1192"/>
      <c r="C31" s="1192"/>
      <c r="D31" s="1192"/>
      <c r="E31" s="1192"/>
      <c r="F31" s="1192"/>
      <c r="G31" s="1192"/>
      <c r="H31" s="1192"/>
      <c r="I31" s="1192"/>
    </row>
    <row r="32" spans="1:9" ht="20.25" x14ac:dyDescent="0.2">
      <c r="A32" s="817"/>
      <c r="B32" s="818"/>
      <c r="C32" s="818"/>
      <c r="D32" s="818"/>
      <c r="E32" s="818"/>
      <c r="F32" s="818"/>
      <c r="G32" s="818"/>
      <c r="H32" s="818"/>
      <c r="I32" s="819"/>
    </row>
    <row r="33" spans="1:9" ht="21" thickBot="1" x14ac:dyDescent="0.25">
      <c r="A33" s="1193" t="s">
        <v>111</v>
      </c>
      <c r="B33" s="1194"/>
      <c r="C33" s="1194"/>
      <c r="D33" s="1194"/>
      <c r="E33" s="1194"/>
      <c r="F33" s="1194"/>
      <c r="G33" s="1194"/>
      <c r="H33" s="1194"/>
      <c r="I33" s="1195"/>
    </row>
    <row r="34" spans="1:9" ht="20.25" x14ac:dyDescent="0.2">
      <c r="A34" s="1174"/>
      <c r="B34" s="1175"/>
      <c r="C34" s="1175"/>
      <c r="D34" s="1175"/>
      <c r="E34" s="1175"/>
      <c r="F34" s="1175"/>
      <c r="G34" s="1175"/>
      <c r="H34" s="1175"/>
      <c r="I34" s="1176"/>
    </row>
    <row r="35" spans="1:9" ht="20.25" x14ac:dyDescent="0.2">
      <c r="A35" s="1153"/>
      <c r="B35" s="1154"/>
      <c r="C35" s="1154"/>
      <c r="D35" s="1154"/>
      <c r="E35" s="1154"/>
      <c r="F35" s="1154"/>
      <c r="G35" s="1154"/>
      <c r="H35" s="1154"/>
      <c r="I35" s="1155"/>
    </row>
    <row r="36" spans="1:9" ht="20.25" x14ac:dyDescent="0.2">
      <c r="A36" s="1153"/>
      <c r="B36" s="1154"/>
      <c r="C36" s="1154"/>
      <c r="D36" s="1154"/>
      <c r="E36" s="1154"/>
      <c r="F36" s="1154"/>
      <c r="G36" s="1154"/>
      <c r="H36" s="1154"/>
      <c r="I36" s="1155"/>
    </row>
    <row r="37" spans="1:9" ht="20.25" x14ac:dyDescent="0.2">
      <c r="A37" s="1153"/>
      <c r="B37" s="1154"/>
      <c r="C37" s="1154"/>
      <c r="D37" s="1154"/>
      <c r="E37" s="1154"/>
      <c r="F37" s="1154"/>
      <c r="G37" s="1154"/>
      <c r="H37" s="1154"/>
      <c r="I37" s="1155"/>
    </row>
    <row r="38" spans="1:9" ht="21" thickBot="1" x14ac:dyDescent="0.25">
      <c r="A38" s="1156"/>
      <c r="B38" s="1157"/>
      <c r="C38" s="1157"/>
      <c r="D38" s="1157"/>
      <c r="E38" s="1157"/>
      <c r="F38" s="1157"/>
      <c r="G38" s="1157"/>
      <c r="H38" s="1157"/>
      <c r="I38" s="1158"/>
    </row>
    <row r="40" spans="1:9" x14ac:dyDescent="0.2">
      <c r="A40" s="2"/>
      <c r="B40" s="2"/>
      <c r="C40" s="2"/>
      <c r="D40" s="1"/>
      <c r="E40" s="1"/>
      <c r="F40" s="1"/>
      <c r="G40" s="1"/>
      <c r="H40" s="1"/>
      <c r="I40" s="1"/>
    </row>
  </sheetData>
  <mergeCells count="51">
    <mergeCell ref="G11:H11"/>
    <mergeCell ref="G14:H14"/>
    <mergeCell ref="G15:H15"/>
    <mergeCell ref="G16:H16"/>
    <mergeCell ref="G13:H13"/>
    <mergeCell ref="G12:H12"/>
    <mergeCell ref="G17:H17"/>
    <mergeCell ref="A29:I29"/>
    <mergeCell ref="A30:I30"/>
    <mergeCell ref="A31:I31"/>
    <mergeCell ref="A33:I33"/>
    <mergeCell ref="A23:C23"/>
    <mergeCell ref="F23:G23"/>
    <mergeCell ref="H23:I23"/>
    <mergeCell ref="A24:C24"/>
    <mergeCell ref="F24:G24"/>
    <mergeCell ref="H24:I24"/>
    <mergeCell ref="A21:C21"/>
    <mergeCell ref="F21:G21"/>
    <mergeCell ref="H21:I21"/>
    <mergeCell ref="A22:C22"/>
    <mergeCell ref="F22:G22"/>
    <mergeCell ref="A34:I34"/>
    <mergeCell ref="A35:I35"/>
    <mergeCell ref="A25:C25"/>
    <mergeCell ref="F25:G25"/>
    <mergeCell ref="H25:I25"/>
    <mergeCell ref="A26:I26"/>
    <mergeCell ref="A27:I27"/>
    <mergeCell ref="A28:I28"/>
    <mergeCell ref="B8:B9"/>
    <mergeCell ref="C8:C9"/>
    <mergeCell ref="D8:D9"/>
    <mergeCell ref="E8:F8"/>
    <mergeCell ref="G8:H8"/>
    <mergeCell ref="A37:I37"/>
    <mergeCell ref="A38:I38"/>
    <mergeCell ref="A36:I36"/>
    <mergeCell ref="A1:B5"/>
    <mergeCell ref="C1:G1"/>
    <mergeCell ref="C2:G2"/>
    <mergeCell ref="C3:G3"/>
    <mergeCell ref="H3:H5"/>
    <mergeCell ref="I3:I5"/>
    <mergeCell ref="D4:G4"/>
    <mergeCell ref="D5:G5"/>
    <mergeCell ref="H22:I22"/>
    <mergeCell ref="A7:C7"/>
    <mergeCell ref="D7:F7"/>
    <mergeCell ref="G7:I7"/>
    <mergeCell ref="A8:A9"/>
  </mergeCells>
  <pageMargins left="0.7" right="0.7" top="0.75" bottom="0.75" header="0.3" footer="0.3"/>
  <pageSetup scale="5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9DD54-59F2-4215-AA03-09B582EAFE78}">
  <dimension ref="A1:I57"/>
  <sheetViews>
    <sheetView workbookViewId="0">
      <selection activeCell="C14" sqref="C14"/>
    </sheetView>
  </sheetViews>
  <sheetFormatPr baseColWidth="10" defaultRowHeight="12.75" x14ac:dyDescent="0.2"/>
  <cols>
    <col min="1" max="1" width="12.42578125" bestFit="1" customWidth="1"/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926"/>
      <c r="B1" s="927"/>
      <c r="C1" s="932" t="s">
        <v>58</v>
      </c>
      <c r="D1" s="932"/>
      <c r="E1" s="932"/>
      <c r="F1" s="932"/>
      <c r="G1" s="932"/>
      <c r="H1" s="235" t="s">
        <v>57</v>
      </c>
      <c r="I1" s="445" t="s">
        <v>286</v>
      </c>
    </row>
    <row r="2" spans="1:9" ht="18" customHeight="1" thickBot="1" x14ac:dyDescent="0.3">
      <c r="A2" s="928"/>
      <c r="B2" s="929"/>
      <c r="C2" s="1010" t="s">
        <v>56</v>
      </c>
      <c r="D2" s="1011"/>
      <c r="E2" s="1011"/>
      <c r="F2" s="1011"/>
      <c r="G2" s="1012"/>
      <c r="H2" s="238" t="s">
        <v>55</v>
      </c>
      <c r="I2" s="239" t="s">
        <v>235</v>
      </c>
    </row>
    <row r="3" spans="1:9" ht="31.5" customHeight="1" thickBot="1" x14ac:dyDescent="0.25">
      <c r="A3" s="928"/>
      <c r="B3" s="929"/>
      <c r="C3" s="1215" t="s">
        <v>287</v>
      </c>
      <c r="D3" s="1216"/>
      <c r="E3" s="1216"/>
      <c r="F3" s="1216"/>
      <c r="G3" s="1217"/>
      <c r="H3" s="937" t="s">
        <v>54</v>
      </c>
      <c r="I3" s="917">
        <v>45619</v>
      </c>
    </row>
    <row r="4" spans="1:9" ht="18" customHeight="1" x14ac:dyDescent="0.25">
      <c r="A4" s="928"/>
      <c r="B4" s="929"/>
      <c r="C4" s="240" t="s">
        <v>53</v>
      </c>
      <c r="D4" s="920" t="s">
        <v>237</v>
      </c>
      <c r="E4" s="921"/>
      <c r="F4" s="921"/>
      <c r="G4" s="922"/>
      <c r="H4" s="938"/>
      <c r="I4" s="918"/>
    </row>
    <row r="5" spans="1:9" ht="14.25" thickBot="1" x14ac:dyDescent="0.3">
      <c r="A5" s="930"/>
      <c r="B5" s="931"/>
      <c r="C5" s="241" t="s">
        <v>51</v>
      </c>
      <c r="D5" s="923" t="s">
        <v>125</v>
      </c>
      <c r="E5" s="924"/>
      <c r="F5" s="924"/>
      <c r="G5" s="925"/>
      <c r="H5" s="939"/>
      <c r="I5" s="919"/>
    </row>
    <row r="6" spans="1:9" ht="18.75" thickBot="1" x14ac:dyDescent="0.3">
      <c r="A6" s="893" t="s">
        <v>49</v>
      </c>
      <c r="B6" s="893"/>
      <c r="C6" s="893"/>
      <c r="D6" s="940" t="s">
        <v>288</v>
      </c>
      <c r="E6" s="940"/>
      <c r="F6" s="940"/>
      <c r="G6" s="895" t="s">
        <v>47</v>
      </c>
      <c r="H6" s="895"/>
      <c r="I6" s="242" t="s">
        <v>288</v>
      </c>
    </row>
    <row r="7" spans="1:9" x14ac:dyDescent="0.2">
      <c r="A7" s="941" t="s">
        <v>45</v>
      </c>
      <c r="B7" s="943" t="s">
        <v>128</v>
      </c>
      <c r="C7" s="945" t="s">
        <v>44</v>
      </c>
      <c r="D7" s="945" t="s">
        <v>43</v>
      </c>
      <c r="E7" s="945" t="s">
        <v>42</v>
      </c>
      <c r="F7" s="945"/>
      <c r="G7" s="945" t="s">
        <v>41</v>
      </c>
      <c r="H7" s="945"/>
      <c r="I7" s="243" t="s">
        <v>40</v>
      </c>
    </row>
    <row r="8" spans="1:9" ht="26.25" thickBot="1" x14ac:dyDescent="0.25">
      <c r="A8" s="942"/>
      <c r="B8" s="944"/>
      <c r="C8" s="946"/>
      <c r="D8" s="946"/>
      <c r="E8" s="244" t="s">
        <v>11</v>
      </c>
      <c r="F8" s="245" t="s">
        <v>39</v>
      </c>
      <c r="G8" s="244" t="s">
        <v>11</v>
      </c>
      <c r="H8" s="245" t="s">
        <v>39</v>
      </c>
      <c r="I8" s="246" t="s">
        <v>38</v>
      </c>
    </row>
    <row r="9" spans="1:9" ht="18.600000000000001" customHeight="1" x14ac:dyDescent="0.25">
      <c r="A9" s="247"/>
      <c r="B9" s="248"/>
      <c r="C9" s="249" t="s">
        <v>129</v>
      </c>
      <c r="D9" s="250"/>
      <c r="E9" s="251"/>
      <c r="F9" s="252"/>
      <c r="G9" s="251"/>
      <c r="H9" s="252"/>
      <c r="I9" s="253"/>
    </row>
    <row r="10" spans="1:9" ht="18" customHeight="1" x14ac:dyDescent="0.25">
      <c r="A10" s="446">
        <v>907000306</v>
      </c>
      <c r="B10" s="255" t="s">
        <v>289</v>
      </c>
      <c r="C10" s="59" t="s">
        <v>290</v>
      </c>
      <c r="D10" s="447" t="s">
        <v>33</v>
      </c>
      <c r="E10" s="448">
        <v>24000</v>
      </c>
      <c r="F10" s="449" t="s">
        <v>2</v>
      </c>
      <c r="G10" s="123"/>
      <c r="H10" s="450"/>
      <c r="I10" s="253"/>
    </row>
    <row r="11" spans="1:9" ht="15" x14ac:dyDescent="0.25">
      <c r="A11" s="447"/>
      <c r="B11" s="447"/>
      <c r="C11" s="451"/>
      <c r="D11" s="447"/>
      <c r="E11" s="448"/>
      <c r="F11" s="449"/>
      <c r="G11" s="123"/>
      <c r="H11" s="450"/>
      <c r="I11" s="253"/>
    </row>
    <row r="12" spans="1:9" ht="15" x14ac:dyDescent="0.25">
      <c r="A12" s="447"/>
      <c r="B12" s="447"/>
      <c r="C12" s="451"/>
      <c r="D12" s="447"/>
      <c r="E12" s="448"/>
      <c r="F12" s="449"/>
      <c r="G12" s="123"/>
      <c r="H12" s="450"/>
      <c r="I12" s="253"/>
    </row>
    <row r="13" spans="1:9" ht="15" x14ac:dyDescent="0.25">
      <c r="A13" s="447"/>
      <c r="B13" s="447"/>
      <c r="C13" s="451"/>
      <c r="D13" s="447"/>
      <c r="E13" s="448"/>
      <c r="F13" s="449"/>
      <c r="G13" s="123"/>
      <c r="H13" s="450"/>
      <c r="I13" s="253"/>
    </row>
    <row r="14" spans="1:9" ht="15" x14ac:dyDescent="0.25">
      <c r="A14" s="447"/>
      <c r="B14" s="447"/>
      <c r="C14" s="451"/>
      <c r="D14" s="447"/>
      <c r="E14" s="448"/>
      <c r="F14" s="449"/>
      <c r="G14" s="123"/>
      <c r="H14" s="450"/>
      <c r="I14" s="253"/>
    </row>
    <row r="15" spans="1:9" ht="15" x14ac:dyDescent="0.25">
      <c r="A15" s="447"/>
      <c r="B15" s="447"/>
      <c r="C15" s="451"/>
      <c r="D15" s="447"/>
      <c r="E15" s="448"/>
      <c r="F15" s="449"/>
      <c r="G15" s="123"/>
      <c r="H15" s="450"/>
      <c r="I15" s="253"/>
    </row>
    <row r="16" spans="1:9" ht="15" x14ac:dyDescent="0.25">
      <c r="A16" s="447"/>
      <c r="B16" s="447"/>
      <c r="C16" s="451"/>
      <c r="D16" s="447"/>
      <c r="E16" s="448"/>
      <c r="F16" s="449"/>
      <c r="G16" s="123"/>
      <c r="H16" s="450"/>
      <c r="I16" s="253"/>
    </row>
    <row r="17" spans="1:9" ht="15" x14ac:dyDescent="0.25">
      <c r="A17" s="447"/>
      <c r="B17" s="447"/>
      <c r="C17" s="451"/>
      <c r="D17" s="447"/>
      <c r="E17" s="448"/>
      <c r="F17" s="449"/>
      <c r="G17" s="123"/>
      <c r="H17" s="450"/>
      <c r="I17" s="253"/>
    </row>
    <row r="18" spans="1:9" ht="15" x14ac:dyDescent="0.25">
      <c r="A18" s="447"/>
      <c r="B18" s="447"/>
      <c r="C18" s="451"/>
      <c r="D18" s="447"/>
      <c r="E18" s="448"/>
      <c r="F18" s="449"/>
      <c r="G18" s="123"/>
      <c r="H18" s="450"/>
      <c r="I18" s="253"/>
    </row>
    <row r="19" spans="1:9" ht="15" x14ac:dyDescent="0.25">
      <c r="A19" s="447"/>
      <c r="B19" s="447"/>
      <c r="C19" s="451"/>
      <c r="D19" s="447"/>
      <c r="E19" s="448"/>
      <c r="F19" s="449"/>
      <c r="G19" s="123"/>
      <c r="H19" s="450"/>
      <c r="I19" s="253"/>
    </row>
    <row r="20" spans="1:9" ht="15.75" x14ac:dyDescent="0.25">
      <c r="A20" s="452"/>
      <c r="B20" s="452"/>
      <c r="C20" s="59"/>
      <c r="D20" s="124"/>
      <c r="E20" s="124"/>
      <c r="F20" s="124"/>
      <c r="G20" s="77"/>
      <c r="H20" s="450"/>
      <c r="I20" s="253"/>
    </row>
    <row r="21" spans="1:9" ht="15.75" x14ac:dyDescent="0.25">
      <c r="A21" s="290"/>
      <c r="B21" s="291"/>
      <c r="C21" s="292" t="s">
        <v>126</v>
      </c>
      <c r="D21" s="124"/>
      <c r="E21" s="124"/>
      <c r="F21" s="124"/>
      <c r="G21" s="77"/>
      <c r="H21" s="450"/>
      <c r="I21" s="253"/>
    </row>
    <row r="22" spans="1:9" ht="15" x14ac:dyDescent="0.25">
      <c r="A22" s="446"/>
      <c r="B22" s="255"/>
      <c r="C22" s="59"/>
      <c r="D22" s="453"/>
      <c r="E22" s="453"/>
      <c r="F22" s="453"/>
      <c r="G22" s="251"/>
      <c r="H22" s="450"/>
      <c r="I22" s="253"/>
    </row>
    <row r="23" spans="1:9" ht="15" x14ac:dyDescent="0.25">
      <c r="A23" s="454"/>
      <c r="B23" s="452"/>
      <c r="C23" s="59"/>
      <c r="D23" s="453"/>
      <c r="E23" s="453"/>
      <c r="F23" s="453"/>
      <c r="G23" s="251"/>
      <c r="H23" s="450"/>
      <c r="I23" s="253"/>
    </row>
    <row r="24" spans="1:9" ht="15" x14ac:dyDescent="0.25">
      <c r="A24" s="454"/>
      <c r="B24" s="452"/>
      <c r="C24" s="59"/>
      <c r="D24" s="453"/>
      <c r="E24" s="453"/>
      <c r="F24" s="453"/>
      <c r="G24" s="251"/>
      <c r="H24" s="450"/>
      <c r="I24" s="253"/>
    </row>
    <row r="25" spans="1:9" ht="15.75" x14ac:dyDescent="0.25">
      <c r="A25" s="290"/>
      <c r="B25" s="291"/>
      <c r="C25" s="292"/>
      <c r="D25" s="293"/>
      <c r="E25" s="294"/>
      <c r="F25" s="289"/>
      <c r="G25" s="251"/>
      <c r="H25" s="450"/>
      <c r="I25" s="253"/>
    </row>
    <row r="26" spans="1:9" ht="15" x14ac:dyDescent="0.25">
      <c r="A26" s="455"/>
      <c r="B26" s="456"/>
      <c r="C26" s="457"/>
      <c r="D26" s="458"/>
      <c r="E26" s="459"/>
      <c r="F26" s="460"/>
      <c r="G26" s="251"/>
      <c r="H26" s="450"/>
      <c r="I26" s="253"/>
    </row>
    <row r="27" spans="1:9" ht="15" x14ac:dyDescent="0.25">
      <c r="A27" s="255"/>
      <c r="B27" s="255"/>
      <c r="C27" s="59"/>
      <c r="D27" s="461"/>
      <c r="E27" s="462"/>
      <c r="F27" s="463"/>
      <c r="G27" s="251"/>
      <c r="H27" s="450"/>
      <c r="I27" s="253"/>
    </row>
    <row r="28" spans="1:9" ht="15.75" x14ac:dyDescent="0.25">
      <c r="A28" s="303"/>
      <c r="B28" s="304"/>
      <c r="C28" s="305" t="s">
        <v>239</v>
      </c>
      <c r="D28" s="306"/>
      <c r="E28" s="464"/>
      <c r="F28" s="252"/>
      <c r="G28" s="251"/>
      <c r="H28" s="450"/>
      <c r="I28" s="253"/>
    </row>
    <row r="29" spans="1:9" ht="15" x14ac:dyDescent="0.25">
      <c r="A29" s="465" t="s">
        <v>291</v>
      </c>
      <c r="B29" s="466"/>
      <c r="C29" s="467" t="s">
        <v>292</v>
      </c>
      <c r="D29" s="125" t="s">
        <v>33</v>
      </c>
      <c r="E29" s="319">
        <v>650</v>
      </c>
      <c r="F29" s="320" t="s">
        <v>2</v>
      </c>
      <c r="G29" s="468"/>
      <c r="H29" s="450"/>
      <c r="I29" s="253"/>
    </row>
    <row r="30" spans="1:9" ht="15" x14ac:dyDescent="0.25">
      <c r="A30" s="465">
        <v>1950928</v>
      </c>
      <c r="B30" s="466" t="s">
        <v>293</v>
      </c>
      <c r="C30" s="467" t="s">
        <v>294</v>
      </c>
      <c r="D30" s="125" t="s">
        <v>295</v>
      </c>
      <c r="E30" s="319">
        <v>6</v>
      </c>
      <c r="F30" s="320" t="s">
        <v>5</v>
      </c>
      <c r="G30" s="468"/>
      <c r="H30" s="450"/>
      <c r="I30" s="253"/>
    </row>
    <row r="31" spans="1:9" ht="15" x14ac:dyDescent="0.25">
      <c r="A31" s="469" t="s">
        <v>296</v>
      </c>
      <c r="B31" s="470" t="s">
        <v>297</v>
      </c>
      <c r="C31" s="471" t="s">
        <v>298</v>
      </c>
      <c r="D31" s="125" t="s">
        <v>16</v>
      </c>
      <c r="E31" s="319">
        <v>6</v>
      </c>
      <c r="F31" s="320" t="s">
        <v>5</v>
      </c>
      <c r="G31" s="468"/>
      <c r="H31" s="450"/>
      <c r="I31" s="253"/>
    </row>
    <row r="32" spans="1:9" ht="15" x14ac:dyDescent="0.25">
      <c r="A32" s="472">
        <v>702069</v>
      </c>
      <c r="B32" s="472" t="s">
        <v>15</v>
      </c>
      <c r="C32" s="473" t="s">
        <v>299</v>
      </c>
      <c r="D32" s="125" t="s">
        <v>19</v>
      </c>
      <c r="E32" s="319">
        <v>6</v>
      </c>
      <c r="F32" s="320" t="s">
        <v>5</v>
      </c>
      <c r="G32" s="251"/>
      <c r="H32" s="450"/>
      <c r="I32" s="253"/>
    </row>
    <row r="33" spans="1:9" ht="15" x14ac:dyDescent="0.25">
      <c r="A33" s="472"/>
      <c r="B33" s="472"/>
      <c r="C33" s="473"/>
      <c r="D33" s="125"/>
      <c r="E33" s="319"/>
      <c r="F33" s="320"/>
      <c r="G33" s="251"/>
      <c r="H33" s="450"/>
      <c r="I33" s="253"/>
    </row>
    <row r="34" spans="1:9" ht="15" x14ac:dyDescent="0.25">
      <c r="A34" s="472"/>
      <c r="B34" s="472"/>
      <c r="C34" s="473"/>
      <c r="D34" s="125"/>
      <c r="E34" s="319"/>
      <c r="F34" s="320"/>
      <c r="G34" s="326"/>
      <c r="H34" s="450"/>
      <c r="I34" s="253"/>
    </row>
    <row r="35" spans="1:9" ht="15.75" x14ac:dyDescent="0.25">
      <c r="A35" s="472"/>
      <c r="B35" s="472"/>
      <c r="C35" s="473"/>
      <c r="D35" s="124"/>
      <c r="E35" s="319"/>
      <c r="F35" s="320"/>
      <c r="G35" s="286"/>
      <c r="H35" s="450"/>
      <c r="I35" s="253"/>
    </row>
    <row r="36" spans="1:9" ht="15" x14ac:dyDescent="0.25">
      <c r="A36" s="474"/>
      <c r="B36" s="474"/>
      <c r="C36" s="475"/>
      <c r="D36" s="125"/>
      <c r="E36" s="463"/>
      <c r="F36" s="463"/>
      <c r="G36" s="286"/>
      <c r="H36" s="252"/>
      <c r="I36" s="253"/>
    </row>
    <row r="37" spans="1:9" ht="14.25" thickBot="1" x14ac:dyDescent="0.3">
      <c r="A37" s="329"/>
      <c r="B37" s="330"/>
      <c r="C37" s="331" t="s">
        <v>259</v>
      </c>
      <c r="D37" s="331"/>
      <c r="E37" s="332"/>
      <c r="F37" s="333"/>
      <c r="G37" s="331"/>
      <c r="H37" s="331"/>
      <c r="I37" s="334"/>
    </row>
    <row r="38" spans="1:9" ht="14.25" thickBot="1" x14ac:dyDescent="0.3">
      <c r="A38" s="335"/>
      <c r="B38" s="336"/>
      <c r="C38" s="337" t="s">
        <v>259</v>
      </c>
      <c r="D38" s="338" t="s">
        <v>11</v>
      </c>
      <c r="E38" s="339" t="s">
        <v>10</v>
      </c>
      <c r="F38" s="340"/>
      <c r="G38" s="337"/>
      <c r="H38" s="337"/>
      <c r="I38" s="341"/>
    </row>
    <row r="39" spans="1:9" ht="13.5" x14ac:dyDescent="0.25">
      <c r="A39" s="947" t="s">
        <v>9</v>
      </c>
      <c r="B39" s="948"/>
      <c r="C39" s="949"/>
      <c r="D39" s="476">
        <v>23400</v>
      </c>
      <c r="E39" s="111" t="s">
        <v>2</v>
      </c>
      <c r="F39" s="950" t="s">
        <v>104</v>
      </c>
      <c r="G39" s="950"/>
      <c r="H39" s="951"/>
      <c r="I39" s="952"/>
    </row>
    <row r="40" spans="1:9" ht="13.5" x14ac:dyDescent="0.25">
      <c r="A40" s="953" t="s">
        <v>105</v>
      </c>
      <c r="B40" s="954"/>
      <c r="C40" s="955"/>
      <c r="D40" s="77">
        <v>14</v>
      </c>
      <c r="E40" s="77" t="s">
        <v>300</v>
      </c>
      <c r="F40" s="956" t="s">
        <v>106</v>
      </c>
      <c r="G40" s="956"/>
      <c r="H40" s="957"/>
      <c r="I40" s="958"/>
    </row>
    <row r="41" spans="1:9" ht="13.5" x14ac:dyDescent="0.25">
      <c r="A41" s="953" t="s">
        <v>6</v>
      </c>
      <c r="B41" s="954"/>
      <c r="C41" s="955"/>
      <c r="D41" s="462">
        <v>65</v>
      </c>
      <c r="E41" s="77" t="s">
        <v>5</v>
      </c>
      <c r="F41" s="956" t="s">
        <v>107</v>
      </c>
      <c r="G41" s="956"/>
      <c r="H41" s="957"/>
      <c r="I41" s="958"/>
    </row>
    <row r="42" spans="1:9" ht="13.5" x14ac:dyDescent="0.25">
      <c r="A42" s="953" t="s">
        <v>4</v>
      </c>
      <c r="B42" s="954"/>
      <c r="C42" s="955"/>
      <c r="D42" s="462">
        <v>360</v>
      </c>
      <c r="E42" s="77" t="s">
        <v>2</v>
      </c>
      <c r="F42" s="959" t="s">
        <v>132</v>
      </c>
      <c r="G42" s="960"/>
      <c r="H42" s="1218"/>
      <c r="I42" s="1219"/>
    </row>
    <row r="43" spans="1:9" ht="14.25" thickBot="1" x14ac:dyDescent="0.3">
      <c r="A43" s="964" t="s">
        <v>3</v>
      </c>
      <c r="B43" s="965"/>
      <c r="C43" s="966"/>
      <c r="D43" s="477">
        <v>600</v>
      </c>
      <c r="E43" s="112" t="s">
        <v>2</v>
      </c>
      <c r="F43" s="967"/>
      <c r="G43" s="967"/>
      <c r="H43" s="957"/>
      <c r="I43" s="958"/>
    </row>
    <row r="44" spans="1:9" ht="13.5" thickBot="1" x14ac:dyDescent="0.25">
      <c r="A44" s="970" t="s">
        <v>1</v>
      </c>
      <c r="B44" s="971"/>
      <c r="C44" s="971"/>
      <c r="D44" s="971"/>
      <c r="E44" s="971"/>
      <c r="F44" s="971"/>
      <c r="G44" s="971"/>
      <c r="H44" s="971"/>
      <c r="I44" s="972"/>
    </row>
    <row r="45" spans="1:9" ht="14.45" customHeight="1" x14ac:dyDescent="0.25">
      <c r="A45" s="1224" t="s">
        <v>301</v>
      </c>
      <c r="B45" s="1225"/>
      <c r="C45" s="1226"/>
      <c r="D45" s="1226"/>
      <c r="E45" s="1226"/>
      <c r="F45" s="1226"/>
      <c r="G45" s="1226"/>
      <c r="H45" s="1226"/>
      <c r="I45" s="1227"/>
    </row>
    <row r="46" spans="1:9" ht="15.6" customHeight="1" x14ac:dyDescent="0.25">
      <c r="A46" s="1228" t="s">
        <v>302</v>
      </c>
      <c r="B46" s="1229"/>
      <c r="C46" s="1230"/>
      <c r="D46" s="1230"/>
      <c r="E46" s="1230"/>
      <c r="F46" s="1230"/>
      <c r="G46" s="1230"/>
      <c r="H46" s="1230"/>
      <c r="I46" s="1231"/>
    </row>
    <row r="47" spans="1:9" ht="14.45" customHeight="1" x14ac:dyDescent="0.25">
      <c r="A47" s="1232" t="s">
        <v>303</v>
      </c>
      <c r="B47" s="1233"/>
      <c r="C47" s="1233"/>
      <c r="D47" s="1233"/>
      <c r="E47" s="1233"/>
      <c r="F47" s="1233"/>
      <c r="G47" s="1233"/>
      <c r="H47" s="1233"/>
      <c r="I47" s="1234"/>
    </row>
    <row r="48" spans="1:9" ht="15" x14ac:dyDescent="0.25">
      <c r="A48" s="982"/>
      <c r="B48" s="983"/>
      <c r="C48" s="983"/>
      <c r="D48" s="983"/>
      <c r="E48" s="983"/>
      <c r="F48" s="983"/>
      <c r="G48" s="983"/>
      <c r="H48" s="983"/>
      <c r="I48" s="984"/>
    </row>
    <row r="49" spans="1:9" ht="15" x14ac:dyDescent="0.25">
      <c r="A49" s="982"/>
      <c r="B49" s="983"/>
      <c r="C49" s="983"/>
      <c r="D49" s="983"/>
      <c r="E49" s="983"/>
      <c r="F49" s="983"/>
      <c r="G49" s="983"/>
      <c r="H49" s="983"/>
      <c r="I49" s="984"/>
    </row>
    <row r="50" spans="1:9" ht="14.45" customHeight="1" x14ac:dyDescent="0.25">
      <c r="A50" s="1220"/>
      <c r="B50" s="1221"/>
      <c r="C50" s="1222"/>
      <c r="D50" s="1222"/>
      <c r="E50" s="1222"/>
      <c r="F50" s="1222"/>
      <c r="G50" s="1222"/>
      <c r="H50" s="1222"/>
      <c r="I50" s="1223"/>
    </row>
    <row r="51" spans="1:9" ht="14.45" customHeight="1" x14ac:dyDescent="0.25">
      <c r="A51" s="1235"/>
      <c r="B51" s="1236"/>
      <c r="C51" s="1237"/>
      <c r="D51" s="1237"/>
      <c r="E51" s="1237"/>
      <c r="F51" s="1237"/>
      <c r="G51" s="1237"/>
      <c r="H51" s="1237"/>
      <c r="I51" s="1238"/>
    </row>
    <row r="52" spans="1:9" ht="18" customHeight="1" x14ac:dyDescent="0.25">
      <c r="A52" s="1220"/>
      <c r="B52" s="1221"/>
      <c r="C52" s="1222"/>
      <c r="D52" s="1222"/>
      <c r="E52" s="1222"/>
      <c r="F52" s="1222"/>
      <c r="G52" s="1222"/>
      <c r="H52" s="1222"/>
      <c r="I52" s="1223"/>
    </row>
    <row r="53" spans="1:9" ht="14.45" customHeight="1" thickBot="1" x14ac:dyDescent="0.3">
      <c r="A53" s="1239"/>
      <c r="B53" s="1240"/>
      <c r="C53" s="1241"/>
      <c r="D53" s="1241"/>
      <c r="E53" s="1241"/>
      <c r="F53" s="1241"/>
      <c r="G53" s="1241"/>
      <c r="H53" s="1241"/>
      <c r="I53" s="1242"/>
    </row>
    <row r="54" spans="1:9" ht="14.45" customHeight="1" thickBot="1" x14ac:dyDescent="0.3">
      <c r="A54" s="1243"/>
      <c r="B54" s="1244"/>
      <c r="C54" s="1244"/>
      <c r="D54" s="1244"/>
      <c r="E54" s="1244"/>
      <c r="F54" s="1244"/>
      <c r="G54" s="1244"/>
      <c r="H54" s="1244"/>
      <c r="I54" s="1245"/>
    </row>
    <row r="55" spans="1:9" ht="14.45" customHeight="1" x14ac:dyDescent="0.2">
      <c r="A55" s="991" t="s">
        <v>0</v>
      </c>
      <c r="B55" s="992"/>
      <c r="C55" s="992"/>
      <c r="D55" s="992"/>
      <c r="E55" s="992"/>
      <c r="F55" s="992"/>
      <c r="G55" s="992"/>
      <c r="H55" s="992"/>
      <c r="I55" s="992"/>
    </row>
    <row r="56" spans="1:9" ht="13.5" x14ac:dyDescent="0.25">
      <c r="A56" s="993"/>
      <c r="B56" s="994"/>
      <c r="C56" s="994"/>
      <c r="D56" s="994"/>
      <c r="E56" s="994"/>
      <c r="F56" s="994"/>
      <c r="G56" s="994"/>
      <c r="H56" s="994"/>
      <c r="I56" s="994"/>
    </row>
    <row r="57" spans="1:9" ht="13.5" x14ac:dyDescent="0.25">
      <c r="A57" s="993"/>
      <c r="B57" s="994"/>
      <c r="C57" s="994"/>
      <c r="D57" s="994"/>
      <c r="E57" s="994"/>
      <c r="F57" s="994"/>
      <c r="G57" s="994"/>
      <c r="H57" s="994"/>
      <c r="I57" s="994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83AC7-7503-4789-88E0-EFDC5A819247}">
  <dimension ref="A1:I57"/>
  <sheetViews>
    <sheetView workbookViewId="0">
      <selection activeCell="B10" sqref="B10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926"/>
      <c r="B1" s="927"/>
      <c r="C1" s="932" t="s">
        <v>58</v>
      </c>
      <c r="D1" s="932"/>
      <c r="E1" s="932"/>
      <c r="F1" s="932"/>
      <c r="G1" s="932"/>
      <c r="H1" s="235" t="s">
        <v>57</v>
      </c>
      <c r="I1" s="445" t="s">
        <v>304</v>
      </c>
    </row>
    <row r="2" spans="1:9" ht="18" customHeight="1" thickBot="1" x14ac:dyDescent="0.3">
      <c r="A2" s="928"/>
      <c r="B2" s="929"/>
      <c r="C2" s="1010" t="s">
        <v>56</v>
      </c>
      <c r="D2" s="1011"/>
      <c r="E2" s="1011"/>
      <c r="F2" s="1011"/>
      <c r="G2" s="1012"/>
      <c r="H2" s="238" t="s">
        <v>55</v>
      </c>
      <c r="I2" s="239" t="s">
        <v>235</v>
      </c>
    </row>
    <row r="3" spans="1:9" ht="31.5" customHeight="1" thickBot="1" x14ac:dyDescent="0.25">
      <c r="A3" s="928"/>
      <c r="B3" s="929"/>
      <c r="C3" s="1246" t="s">
        <v>305</v>
      </c>
      <c r="D3" s="1247"/>
      <c r="E3" s="1247"/>
      <c r="F3" s="1247"/>
      <c r="G3" s="1248"/>
      <c r="H3" s="937" t="s">
        <v>54</v>
      </c>
      <c r="I3" s="917">
        <v>45619</v>
      </c>
    </row>
    <row r="4" spans="1:9" ht="18" customHeight="1" x14ac:dyDescent="0.25">
      <c r="A4" s="928"/>
      <c r="B4" s="929"/>
      <c r="C4" s="240" t="s">
        <v>53</v>
      </c>
      <c r="D4" s="920" t="s">
        <v>237</v>
      </c>
      <c r="E4" s="921"/>
      <c r="F4" s="921"/>
      <c r="G4" s="922"/>
      <c r="H4" s="938"/>
      <c r="I4" s="918"/>
    </row>
    <row r="5" spans="1:9" ht="14.25" thickBot="1" x14ac:dyDescent="0.3">
      <c r="A5" s="930"/>
      <c r="B5" s="931"/>
      <c r="C5" s="241" t="s">
        <v>51</v>
      </c>
      <c r="D5" s="923" t="s">
        <v>125</v>
      </c>
      <c r="E5" s="924"/>
      <c r="F5" s="924"/>
      <c r="G5" s="925"/>
      <c r="H5" s="939"/>
      <c r="I5" s="919"/>
    </row>
    <row r="6" spans="1:9" ht="18.75" thickBot="1" x14ac:dyDescent="0.3">
      <c r="A6" s="893" t="s">
        <v>49</v>
      </c>
      <c r="B6" s="893"/>
      <c r="C6" s="893"/>
      <c r="D6" s="940" t="s">
        <v>288</v>
      </c>
      <c r="E6" s="940"/>
      <c r="F6" s="940"/>
      <c r="G6" s="895" t="s">
        <v>47</v>
      </c>
      <c r="H6" s="895"/>
      <c r="I6" s="242" t="s">
        <v>288</v>
      </c>
    </row>
    <row r="7" spans="1:9" x14ac:dyDescent="0.2">
      <c r="A7" s="941" t="s">
        <v>45</v>
      </c>
      <c r="B7" s="943" t="s">
        <v>128</v>
      </c>
      <c r="C7" s="945" t="s">
        <v>44</v>
      </c>
      <c r="D7" s="945" t="s">
        <v>43</v>
      </c>
      <c r="E7" s="945" t="s">
        <v>42</v>
      </c>
      <c r="F7" s="945"/>
      <c r="G7" s="945" t="s">
        <v>41</v>
      </c>
      <c r="H7" s="945"/>
      <c r="I7" s="243" t="s">
        <v>40</v>
      </c>
    </row>
    <row r="8" spans="1:9" ht="26.25" thickBot="1" x14ac:dyDescent="0.25">
      <c r="A8" s="942"/>
      <c r="B8" s="944"/>
      <c r="C8" s="946"/>
      <c r="D8" s="946"/>
      <c r="E8" s="244" t="s">
        <v>11</v>
      </c>
      <c r="F8" s="245" t="s">
        <v>39</v>
      </c>
      <c r="G8" s="244" t="s">
        <v>11</v>
      </c>
      <c r="H8" s="245" t="s">
        <v>39</v>
      </c>
      <c r="I8" s="246" t="s">
        <v>38</v>
      </c>
    </row>
    <row r="9" spans="1:9" ht="18.399999999999999" customHeight="1" x14ac:dyDescent="0.25">
      <c r="A9" s="247"/>
      <c r="B9" s="248"/>
      <c r="C9" s="249" t="s">
        <v>129</v>
      </c>
      <c r="D9" s="250"/>
      <c r="E9" s="251"/>
      <c r="F9" s="252"/>
      <c r="G9" s="251"/>
      <c r="H9" s="252"/>
      <c r="I9" s="253"/>
    </row>
    <row r="10" spans="1:9" ht="18" customHeight="1" x14ac:dyDescent="0.25">
      <c r="A10" s="446">
        <v>906000138</v>
      </c>
      <c r="B10" s="255" t="s">
        <v>306</v>
      </c>
      <c r="C10" s="59" t="s">
        <v>307</v>
      </c>
      <c r="D10" s="447" t="s">
        <v>33</v>
      </c>
      <c r="E10" s="448">
        <v>14195</v>
      </c>
      <c r="F10" s="449" t="s">
        <v>2</v>
      </c>
      <c r="G10" s="123"/>
      <c r="H10" s="450"/>
      <c r="I10" s="253"/>
    </row>
    <row r="11" spans="1:9" ht="15" x14ac:dyDescent="0.25">
      <c r="A11" s="447">
        <v>1210482</v>
      </c>
      <c r="B11" s="447" t="s">
        <v>308</v>
      </c>
      <c r="C11" s="451" t="s">
        <v>309</v>
      </c>
      <c r="D11" s="447" t="s">
        <v>248</v>
      </c>
      <c r="E11" s="448">
        <v>7700</v>
      </c>
      <c r="F11" s="449" t="s">
        <v>2</v>
      </c>
      <c r="G11" s="123"/>
      <c r="H11" s="450"/>
      <c r="I11" s="253"/>
    </row>
    <row r="12" spans="1:9" ht="15" x14ac:dyDescent="0.25">
      <c r="A12" s="447" t="s">
        <v>273</v>
      </c>
      <c r="B12" s="447"/>
      <c r="C12" s="451" t="s">
        <v>93</v>
      </c>
      <c r="D12" s="447" t="s">
        <v>33</v>
      </c>
      <c r="E12" s="448">
        <v>3090</v>
      </c>
      <c r="F12" s="449" t="s">
        <v>2</v>
      </c>
      <c r="G12" s="123"/>
      <c r="H12" s="450"/>
      <c r="I12" s="253"/>
    </row>
    <row r="13" spans="1:9" ht="15" x14ac:dyDescent="0.25">
      <c r="A13" s="447">
        <v>1212437</v>
      </c>
      <c r="B13" s="447" t="s">
        <v>310</v>
      </c>
      <c r="C13" s="451" t="s">
        <v>311</v>
      </c>
      <c r="D13" s="447" t="s">
        <v>312</v>
      </c>
      <c r="E13" s="448">
        <v>390</v>
      </c>
      <c r="F13" s="449" t="s">
        <v>2</v>
      </c>
      <c r="G13" s="123"/>
      <c r="H13" s="450"/>
      <c r="I13" s="253"/>
    </row>
    <row r="14" spans="1:9" ht="15" x14ac:dyDescent="0.25">
      <c r="A14" s="447"/>
      <c r="B14" s="447"/>
      <c r="C14" s="451"/>
      <c r="D14" s="447"/>
      <c r="E14" s="448"/>
      <c r="F14" s="449"/>
      <c r="G14" s="123"/>
      <c r="H14" s="450"/>
      <c r="I14" s="253"/>
    </row>
    <row r="15" spans="1:9" ht="15" x14ac:dyDescent="0.25">
      <c r="A15" s="447"/>
      <c r="B15" s="447"/>
      <c r="C15" s="451"/>
      <c r="D15" s="447"/>
      <c r="E15" s="448"/>
      <c r="F15" s="449"/>
      <c r="G15" s="123"/>
      <c r="H15" s="450"/>
      <c r="I15" s="253"/>
    </row>
    <row r="16" spans="1:9" ht="15" x14ac:dyDescent="0.25">
      <c r="A16" s="447"/>
      <c r="B16" s="447"/>
      <c r="C16" s="451"/>
      <c r="D16" s="447"/>
      <c r="E16" s="448"/>
      <c r="F16" s="449"/>
      <c r="G16" s="123"/>
      <c r="H16" s="450"/>
      <c r="I16" s="253"/>
    </row>
    <row r="17" spans="1:9" ht="15" x14ac:dyDescent="0.25">
      <c r="A17" s="447"/>
      <c r="B17" s="447"/>
      <c r="C17" s="451"/>
      <c r="D17" s="447"/>
      <c r="E17" s="448"/>
      <c r="F17" s="449"/>
      <c r="G17" s="123"/>
      <c r="H17" s="450"/>
      <c r="I17" s="253"/>
    </row>
    <row r="18" spans="1:9" ht="15" x14ac:dyDescent="0.25">
      <c r="A18" s="447"/>
      <c r="B18" s="447"/>
      <c r="C18" s="451"/>
      <c r="D18" s="447"/>
      <c r="E18" s="448"/>
      <c r="F18" s="449"/>
      <c r="G18" s="123"/>
      <c r="H18" s="450"/>
      <c r="I18" s="253"/>
    </row>
    <row r="19" spans="1:9" ht="15" x14ac:dyDescent="0.25">
      <c r="A19" s="447"/>
      <c r="B19" s="447"/>
      <c r="C19" s="451"/>
      <c r="D19" s="447"/>
      <c r="E19" s="448"/>
      <c r="F19" s="449"/>
      <c r="G19" s="123"/>
      <c r="H19" s="450"/>
      <c r="I19" s="253"/>
    </row>
    <row r="20" spans="1:9" ht="15.75" x14ac:dyDescent="0.25">
      <c r="A20" s="452"/>
      <c r="B20" s="452"/>
      <c r="C20" s="59"/>
      <c r="D20" s="124"/>
      <c r="E20" s="124"/>
      <c r="F20" s="124"/>
      <c r="G20" s="77"/>
      <c r="H20" s="450"/>
      <c r="I20" s="253"/>
    </row>
    <row r="21" spans="1:9" ht="15.75" x14ac:dyDescent="0.25">
      <c r="A21" s="290"/>
      <c r="B21" s="291"/>
      <c r="C21" s="292" t="s">
        <v>126</v>
      </c>
      <c r="D21" s="124"/>
      <c r="E21" s="124"/>
      <c r="F21" s="124"/>
      <c r="G21" s="77"/>
      <c r="H21" s="450"/>
      <c r="I21" s="253"/>
    </row>
    <row r="22" spans="1:9" ht="15" x14ac:dyDescent="0.25">
      <c r="A22" s="446"/>
      <c r="B22" s="255"/>
      <c r="C22" s="59"/>
      <c r="D22" s="453"/>
      <c r="E22" s="453"/>
      <c r="F22" s="453"/>
      <c r="G22" s="251"/>
      <c r="H22" s="450"/>
      <c r="I22" s="253"/>
    </row>
    <row r="23" spans="1:9" ht="15" x14ac:dyDescent="0.25">
      <c r="A23" s="454"/>
      <c r="B23" s="452"/>
      <c r="C23" s="59"/>
      <c r="D23" s="453"/>
      <c r="E23" s="453"/>
      <c r="F23" s="453"/>
      <c r="G23" s="251"/>
      <c r="H23" s="450"/>
      <c r="I23" s="253"/>
    </row>
    <row r="24" spans="1:9" ht="15" x14ac:dyDescent="0.25">
      <c r="A24" s="454"/>
      <c r="B24" s="452"/>
      <c r="C24" s="59"/>
      <c r="D24" s="453"/>
      <c r="E24" s="453"/>
      <c r="F24" s="453"/>
      <c r="G24" s="251"/>
      <c r="H24" s="450"/>
      <c r="I24" s="253"/>
    </row>
    <row r="25" spans="1:9" ht="15.75" x14ac:dyDescent="0.25">
      <c r="A25" s="290"/>
      <c r="B25" s="291"/>
      <c r="C25" s="292"/>
      <c r="D25" s="293"/>
      <c r="E25" s="294"/>
      <c r="F25" s="289"/>
      <c r="G25" s="251"/>
      <c r="H25" s="450"/>
      <c r="I25" s="253"/>
    </row>
    <row r="26" spans="1:9" ht="15" x14ac:dyDescent="0.25">
      <c r="A26" s="455"/>
      <c r="B26" s="456"/>
      <c r="C26" s="457"/>
      <c r="D26" s="458"/>
      <c r="E26" s="459"/>
      <c r="F26" s="460"/>
      <c r="G26" s="251"/>
      <c r="H26" s="450"/>
      <c r="I26" s="253"/>
    </row>
    <row r="27" spans="1:9" ht="15" x14ac:dyDescent="0.25">
      <c r="A27" s="255"/>
      <c r="B27" s="255"/>
      <c r="C27" s="59"/>
      <c r="D27" s="461"/>
      <c r="E27" s="462"/>
      <c r="F27" s="463"/>
      <c r="G27" s="251"/>
      <c r="H27" s="450"/>
      <c r="I27" s="253"/>
    </row>
    <row r="28" spans="1:9" ht="15.75" x14ac:dyDescent="0.25">
      <c r="A28" s="303"/>
      <c r="B28" s="304"/>
      <c r="C28" s="305" t="s">
        <v>239</v>
      </c>
      <c r="D28" s="306"/>
      <c r="E28" s="464"/>
      <c r="F28" s="252"/>
      <c r="G28" s="251"/>
      <c r="H28" s="450"/>
      <c r="I28" s="253"/>
    </row>
    <row r="29" spans="1:9" ht="15" x14ac:dyDescent="0.25">
      <c r="A29" s="465"/>
      <c r="B29" s="466"/>
      <c r="C29" s="467"/>
      <c r="D29" s="125"/>
      <c r="E29" s="319"/>
      <c r="F29" s="320"/>
      <c r="G29" s="468"/>
      <c r="H29" s="450"/>
      <c r="I29" s="253"/>
    </row>
    <row r="30" spans="1:9" ht="15" x14ac:dyDescent="0.25">
      <c r="A30" s="465"/>
      <c r="B30" s="466"/>
      <c r="C30" s="467"/>
      <c r="D30" s="125"/>
      <c r="E30" s="319"/>
      <c r="F30" s="320"/>
      <c r="G30" s="468"/>
      <c r="H30" s="450"/>
      <c r="I30" s="253"/>
    </row>
    <row r="31" spans="1:9" ht="15" x14ac:dyDescent="0.25">
      <c r="A31" s="469"/>
      <c r="B31" s="470"/>
      <c r="C31" s="471"/>
      <c r="D31" s="125"/>
      <c r="E31" s="319"/>
      <c r="F31" s="320"/>
      <c r="G31" s="468"/>
      <c r="H31" s="450"/>
      <c r="I31" s="253"/>
    </row>
    <row r="32" spans="1:9" ht="15" x14ac:dyDescent="0.25">
      <c r="A32" s="472"/>
      <c r="B32" s="472"/>
      <c r="C32" s="473"/>
      <c r="D32" s="125"/>
      <c r="E32" s="319"/>
      <c r="F32" s="320"/>
      <c r="G32" s="251"/>
      <c r="H32" s="450"/>
      <c r="I32" s="253"/>
    </row>
    <row r="33" spans="1:9" ht="15" x14ac:dyDescent="0.25">
      <c r="A33" s="472"/>
      <c r="B33" s="472"/>
      <c r="C33" s="473"/>
      <c r="D33" s="125"/>
      <c r="E33" s="319"/>
      <c r="F33" s="320"/>
      <c r="G33" s="251"/>
      <c r="H33" s="450"/>
      <c r="I33" s="253"/>
    </row>
    <row r="34" spans="1:9" ht="15" x14ac:dyDescent="0.25">
      <c r="A34" s="472"/>
      <c r="B34" s="472"/>
      <c r="C34" s="473"/>
      <c r="D34" s="125"/>
      <c r="E34" s="319"/>
      <c r="F34" s="320"/>
      <c r="G34" s="326"/>
      <c r="H34" s="450"/>
      <c r="I34" s="253"/>
    </row>
    <row r="35" spans="1:9" ht="15.75" x14ac:dyDescent="0.25">
      <c r="A35" s="472"/>
      <c r="B35" s="472"/>
      <c r="C35" s="473"/>
      <c r="D35" s="124"/>
      <c r="E35" s="319"/>
      <c r="F35" s="320"/>
      <c r="G35" s="286"/>
      <c r="H35" s="450"/>
      <c r="I35" s="253"/>
    </row>
    <row r="36" spans="1:9" ht="15" x14ac:dyDescent="0.25">
      <c r="A36" s="474"/>
      <c r="B36" s="474"/>
      <c r="C36" s="475"/>
      <c r="D36" s="125"/>
      <c r="E36" s="463"/>
      <c r="F36" s="463"/>
      <c r="G36" s="286"/>
      <c r="H36" s="252"/>
      <c r="I36" s="253"/>
    </row>
    <row r="37" spans="1:9" ht="14.25" thickBot="1" x14ac:dyDescent="0.3">
      <c r="A37" s="329"/>
      <c r="B37" s="330"/>
      <c r="C37" s="331" t="s">
        <v>259</v>
      </c>
      <c r="D37" s="331"/>
      <c r="E37" s="332"/>
      <c r="F37" s="333"/>
      <c r="G37" s="331"/>
      <c r="H37" s="331"/>
      <c r="I37" s="334"/>
    </row>
    <row r="38" spans="1:9" ht="14.25" thickBot="1" x14ac:dyDescent="0.3">
      <c r="A38" s="335"/>
      <c r="B38" s="336"/>
      <c r="C38" s="337" t="s">
        <v>259</v>
      </c>
      <c r="D38" s="338" t="s">
        <v>11</v>
      </c>
      <c r="E38" s="339" t="s">
        <v>10</v>
      </c>
      <c r="F38" s="340"/>
      <c r="G38" s="337"/>
      <c r="H38" s="337"/>
      <c r="I38" s="341"/>
    </row>
    <row r="39" spans="1:9" ht="13.5" x14ac:dyDescent="0.25">
      <c r="A39" s="947" t="s">
        <v>9</v>
      </c>
      <c r="B39" s="948"/>
      <c r="C39" s="949"/>
      <c r="D39" s="476">
        <v>24000</v>
      </c>
      <c r="E39" s="111" t="s">
        <v>2</v>
      </c>
      <c r="F39" s="950" t="s">
        <v>104</v>
      </c>
      <c r="G39" s="950"/>
      <c r="H39" s="951"/>
      <c r="I39" s="952"/>
    </row>
    <row r="40" spans="1:9" ht="13.5" x14ac:dyDescent="0.25">
      <c r="A40" s="953" t="s">
        <v>105</v>
      </c>
      <c r="B40" s="954"/>
      <c r="C40" s="955"/>
      <c r="D40" s="77">
        <v>10</v>
      </c>
      <c r="E40" s="77" t="s">
        <v>7</v>
      </c>
      <c r="F40" s="956" t="s">
        <v>106</v>
      </c>
      <c r="G40" s="956"/>
      <c r="H40" s="957"/>
      <c r="I40" s="958"/>
    </row>
    <row r="41" spans="1:9" ht="13.5" x14ac:dyDescent="0.25">
      <c r="A41" s="953" t="s">
        <v>6</v>
      </c>
      <c r="B41" s="954"/>
      <c r="C41" s="955"/>
      <c r="D41" s="462">
        <v>1</v>
      </c>
      <c r="E41" s="77" t="s">
        <v>131</v>
      </c>
      <c r="F41" s="956" t="s">
        <v>107</v>
      </c>
      <c r="G41" s="956"/>
      <c r="H41" s="957"/>
      <c r="I41" s="958"/>
    </row>
    <row r="42" spans="1:9" ht="13.5" x14ac:dyDescent="0.25">
      <c r="A42" s="953" t="s">
        <v>4</v>
      </c>
      <c r="B42" s="954"/>
      <c r="C42" s="955"/>
      <c r="D42" s="462">
        <v>24000</v>
      </c>
      <c r="E42" s="77" t="s">
        <v>2</v>
      </c>
      <c r="F42" s="959" t="s">
        <v>132</v>
      </c>
      <c r="G42" s="960"/>
      <c r="H42" s="1218"/>
      <c r="I42" s="1219"/>
    </row>
    <row r="43" spans="1:9" ht="14.25" thickBot="1" x14ac:dyDescent="0.3">
      <c r="A43" s="964" t="s">
        <v>3</v>
      </c>
      <c r="B43" s="965"/>
      <c r="C43" s="966"/>
      <c r="D43" s="477">
        <v>1375</v>
      </c>
      <c r="E43" s="112" t="s">
        <v>2</v>
      </c>
      <c r="F43" s="967"/>
      <c r="G43" s="967"/>
      <c r="H43" s="957"/>
      <c r="I43" s="958"/>
    </row>
    <row r="44" spans="1:9" ht="13.5" thickBot="1" x14ac:dyDescent="0.25">
      <c r="A44" s="970" t="s">
        <v>1</v>
      </c>
      <c r="B44" s="971"/>
      <c r="C44" s="971"/>
      <c r="D44" s="971"/>
      <c r="E44" s="971"/>
      <c r="F44" s="971"/>
      <c r="G44" s="971"/>
      <c r="H44" s="971"/>
      <c r="I44" s="972"/>
    </row>
    <row r="45" spans="1:9" ht="14.65" customHeight="1" x14ac:dyDescent="0.25">
      <c r="A45" s="982"/>
      <c r="B45" s="983"/>
      <c r="C45" s="983"/>
      <c r="D45" s="983"/>
      <c r="E45" s="983"/>
      <c r="F45" s="983"/>
      <c r="G45" s="983"/>
      <c r="H45" s="983"/>
      <c r="I45" s="984"/>
    </row>
    <row r="46" spans="1:9" ht="15.4" customHeight="1" x14ac:dyDescent="0.25">
      <c r="A46" s="982" t="s">
        <v>313</v>
      </c>
      <c r="B46" s="983"/>
      <c r="C46" s="983"/>
      <c r="D46" s="983"/>
      <c r="E46" s="983"/>
      <c r="F46" s="983"/>
      <c r="G46" s="983"/>
      <c r="H46" s="983"/>
      <c r="I46" s="984"/>
    </row>
    <row r="47" spans="1:9" ht="14.65" customHeight="1" x14ac:dyDescent="0.25">
      <c r="A47" s="982" t="s">
        <v>314</v>
      </c>
      <c r="B47" s="983"/>
      <c r="C47" s="983"/>
      <c r="D47" s="983"/>
      <c r="E47" s="983"/>
      <c r="F47" s="983"/>
      <c r="G47" s="983"/>
      <c r="H47" s="983"/>
      <c r="I47" s="984"/>
    </row>
    <row r="48" spans="1:9" ht="15" x14ac:dyDescent="0.25">
      <c r="A48" s="982" t="s">
        <v>315</v>
      </c>
      <c r="B48" s="983"/>
      <c r="C48" s="983"/>
      <c r="D48" s="983"/>
      <c r="E48" s="983"/>
      <c r="F48" s="983"/>
      <c r="G48" s="983"/>
      <c r="H48" s="983"/>
      <c r="I48" s="984"/>
    </row>
    <row r="49" spans="1:9" ht="15" x14ac:dyDescent="0.25">
      <c r="A49" s="982"/>
      <c r="B49" s="983"/>
      <c r="C49" s="983"/>
      <c r="D49" s="983"/>
      <c r="E49" s="983"/>
      <c r="F49" s="983"/>
      <c r="G49" s="983"/>
      <c r="H49" s="983"/>
      <c r="I49" s="984"/>
    </row>
    <row r="50" spans="1:9" ht="14.65" customHeight="1" x14ac:dyDescent="0.25">
      <c r="A50" s="1220"/>
      <c r="B50" s="1221"/>
      <c r="C50" s="1222"/>
      <c r="D50" s="1222"/>
      <c r="E50" s="1222"/>
      <c r="F50" s="1222"/>
      <c r="G50" s="1222"/>
      <c r="H50" s="1222"/>
      <c r="I50" s="1223"/>
    </row>
    <row r="51" spans="1:9" ht="14.65" customHeight="1" x14ac:dyDescent="0.25">
      <c r="A51" s="1235"/>
      <c r="B51" s="1236"/>
      <c r="C51" s="1237"/>
      <c r="D51" s="1237"/>
      <c r="E51" s="1237"/>
      <c r="F51" s="1237"/>
      <c r="G51" s="1237"/>
      <c r="H51" s="1237"/>
      <c r="I51" s="1238"/>
    </row>
    <row r="52" spans="1:9" ht="18" customHeight="1" x14ac:dyDescent="0.25">
      <c r="A52" s="1220"/>
      <c r="B52" s="1221"/>
      <c r="C52" s="1222"/>
      <c r="D52" s="1222"/>
      <c r="E52" s="1222"/>
      <c r="F52" s="1222"/>
      <c r="G52" s="1222"/>
      <c r="H52" s="1222"/>
      <c r="I52" s="1223"/>
    </row>
    <row r="53" spans="1:9" ht="14.65" customHeight="1" thickBot="1" x14ac:dyDescent="0.3">
      <c r="A53" s="1239"/>
      <c r="B53" s="1240"/>
      <c r="C53" s="1241"/>
      <c r="D53" s="1241"/>
      <c r="E53" s="1241"/>
      <c r="F53" s="1241"/>
      <c r="G53" s="1241"/>
      <c r="H53" s="1241"/>
      <c r="I53" s="1242"/>
    </row>
    <row r="54" spans="1:9" ht="14.65" customHeight="1" thickBot="1" x14ac:dyDescent="0.3">
      <c r="A54" s="1243"/>
      <c r="B54" s="1244"/>
      <c r="C54" s="1244"/>
      <c r="D54" s="1244"/>
      <c r="E54" s="1244"/>
      <c r="F54" s="1244"/>
      <c r="G54" s="1244"/>
      <c r="H54" s="1244"/>
      <c r="I54" s="1245"/>
    </row>
    <row r="55" spans="1:9" ht="14.65" customHeight="1" x14ac:dyDescent="0.2">
      <c r="A55" s="991" t="s">
        <v>0</v>
      </c>
      <c r="B55" s="992"/>
      <c r="C55" s="992"/>
      <c r="D55" s="992"/>
      <c r="E55" s="992"/>
      <c r="F55" s="992"/>
      <c r="G55" s="992"/>
      <c r="H55" s="992"/>
      <c r="I55" s="992"/>
    </row>
    <row r="56" spans="1:9" ht="13.5" x14ac:dyDescent="0.25">
      <c r="A56" s="993"/>
      <c r="B56" s="994"/>
      <c r="C56" s="994"/>
      <c r="D56" s="994"/>
      <c r="E56" s="994"/>
      <c r="F56" s="994"/>
      <c r="G56" s="994"/>
      <c r="H56" s="994"/>
      <c r="I56" s="994"/>
    </row>
    <row r="57" spans="1:9" ht="13.5" x14ac:dyDescent="0.25">
      <c r="A57" s="993"/>
      <c r="B57" s="994"/>
      <c r="C57" s="994"/>
      <c r="D57" s="994"/>
      <c r="E57" s="994"/>
      <c r="F57" s="994"/>
      <c r="G57" s="994"/>
      <c r="H57" s="994"/>
      <c r="I57" s="994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E45DF-690E-46C8-91E5-FB4B3A516DA9}">
  <dimension ref="A1:I59"/>
  <sheetViews>
    <sheetView workbookViewId="0">
      <selection activeCell="H18" sqref="H18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926"/>
      <c r="B1" s="927"/>
      <c r="C1" s="932" t="s">
        <v>58</v>
      </c>
      <c r="D1" s="932"/>
      <c r="E1" s="932"/>
      <c r="F1" s="932"/>
      <c r="G1" s="932"/>
      <c r="H1" s="235" t="s">
        <v>57</v>
      </c>
      <c r="I1" s="445" t="s">
        <v>316</v>
      </c>
    </row>
    <row r="2" spans="1:9" ht="18" customHeight="1" thickBot="1" x14ac:dyDescent="0.3">
      <c r="A2" s="928"/>
      <c r="B2" s="929"/>
      <c r="C2" s="1010" t="s">
        <v>56</v>
      </c>
      <c r="D2" s="1011"/>
      <c r="E2" s="1011"/>
      <c r="F2" s="1011"/>
      <c r="G2" s="1012"/>
      <c r="H2" s="238" t="s">
        <v>55</v>
      </c>
      <c r="I2" s="239" t="s">
        <v>235</v>
      </c>
    </row>
    <row r="3" spans="1:9" ht="31.5" customHeight="1" thickBot="1" x14ac:dyDescent="0.25">
      <c r="A3" s="928"/>
      <c r="B3" s="929"/>
      <c r="C3" s="1246" t="s">
        <v>317</v>
      </c>
      <c r="D3" s="1247"/>
      <c r="E3" s="1247"/>
      <c r="F3" s="1247"/>
      <c r="G3" s="1248"/>
      <c r="H3" s="937" t="s">
        <v>54</v>
      </c>
      <c r="I3" s="917">
        <v>45617</v>
      </c>
    </row>
    <row r="4" spans="1:9" ht="18" customHeight="1" x14ac:dyDescent="0.25">
      <c r="A4" s="928"/>
      <c r="B4" s="929"/>
      <c r="C4" s="240" t="s">
        <v>53</v>
      </c>
      <c r="D4" s="920" t="s">
        <v>237</v>
      </c>
      <c r="E4" s="921"/>
      <c r="F4" s="921"/>
      <c r="G4" s="922"/>
      <c r="H4" s="938"/>
      <c r="I4" s="918"/>
    </row>
    <row r="5" spans="1:9" ht="14.25" thickBot="1" x14ac:dyDescent="0.3">
      <c r="A5" s="930"/>
      <c r="B5" s="931"/>
      <c r="C5" s="241" t="s">
        <v>51</v>
      </c>
      <c r="D5" s="923" t="s">
        <v>125</v>
      </c>
      <c r="E5" s="924"/>
      <c r="F5" s="924"/>
      <c r="G5" s="925"/>
      <c r="H5" s="939"/>
      <c r="I5" s="919"/>
    </row>
    <row r="6" spans="1:9" ht="18.75" thickBot="1" x14ac:dyDescent="0.3">
      <c r="A6" s="893" t="s">
        <v>49</v>
      </c>
      <c r="B6" s="893"/>
      <c r="C6" s="893"/>
      <c r="D6" s="940" t="s">
        <v>318</v>
      </c>
      <c r="E6" s="940"/>
      <c r="F6" s="940"/>
      <c r="G6" s="895" t="s">
        <v>47</v>
      </c>
      <c r="H6" s="895"/>
      <c r="I6" s="242" t="s">
        <v>318</v>
      </c>
    </row>
    <row r="7" spans="1:9" x14ac:dyDescent="0.2">
      <c r="A7" s="941" t="s">
        <v>45</v>
      </c>
      <c r="B7" s="943" t="s">
        <v>128</v>
      </c>
      <c r="C7" s="945" t="s">
        <v>44</v>
      </c>
      <c r="D7" s="945" t="s">
        <v>43</v>
      </c>
      <c r="E7" s="945" t="s">
        <v>42</v>
      </c>
      <c r="F7" s="945"/>
      <c r="G7" s="945" t="s">
        <v>41</v>
      </c>
      <c r="H7" s="945"/>
      <c r="I7" s="243" t="s">
        <v>40</v>
      </c>
    </row>
    <row r="8" spans="1:9" ht="26.25" thickBot="1" x14ac:dyDescent="0.25">
      <c r="A8" s="942"/>
      <c r="B8" s="944"/>
      <c r="C8" s="946"/>
      <c r="D8" s="946"/>
      <c r="E8" s="244" t="s">
        <v>11</v>
      </c>
      <c r="F8" s="245" t="s">
        <v>39</v>
      </c>
      <c r="G8" s="244" t="s">
        <v>11</v>
      </c>
      <c r="H8" s="245" t="s">
        <v>39</v>
      </c>
      <c r="I8" s="246" t="s">
        <v>38</v>
      </c>
    </row>
    <row r="9" spans="1:9" ht="18.600000000000001" customHeight="1" x14ac:dyDescent="0.25">
      <c r="A9" s="247"/>
      <c r="B9" s="248"/>
      <c r="C9" s="249" t="s">
        <v>129</v>
      </c>
      <c r="D9" s="250"/>
      <c r="E9" s="251"/>
      <c r="F9" s="252"/>
      <c r="G9" s="251"/>
      <c r="H9" s="252"/>
      <c r="I9" s="253"/>
    </row>
    <row r="10" spans="1:9" ht="18" customHeight="1" x14ac:dyDescent="0.25">
      <c r="A10" s="478">
        <v>510301</v>
      </c>
      <c r="B10" s="479" t="s">
        <v>319</v>
      </c>
      <c r="C10" s="480" t="s">
        <v>320</v>
      </c>
      <c r="D10" s="481" t="s">
        <v>321</v>
      </c>
      <c r="E10" s="482">
        <v>5820</v>
      </c>
      <c r="F10" s="483" t="s">
        <v>2</v>
      </c>
      <c r="G10" s="123"/>
      <c r="H10" s="450"/>
      <c r="I10" s="253"/>
    </row>
    <row r="11" spans="1:9" ht="15" x14ac:dyDescent="0.25">
      <c r="A11" s="478">
        <v>1210445</v>
      </c>
      <c r="B11" s="255" t="s">
        <v>322</v>
      </c>
      <c r="C11" s="480" t="s">
        <v>323</v>
      </c>
      <c r="D11" s="481"/>
      <c r="E11" s="482">
        <v>350</v>
      </c>
      <c r="F11" s="483" t="s">
        <v>2</v>
      </c>
      <c r="G11" s="123"/>
      <c r="H11" s="450"/>
      <c r="I11" s="253"/>
    </row>
    <row r="12" spans="1:9" ht="15" x14ac:dyDescent="0.25">
      <c r="A12" s="484">
        <v>11200072</v>
      </c>
      <c r="B12" s="485" t="s">
        <v>324</v>
      </c>
      <c r="C12" s="486" t="s">
        <v>325</v>
      </c>
      <c r="D12" s="487" t="s">
        <v>326</v>
      </c>
      <c r="E12" s="482">
        <v>3622</v>
      </c>
      <c r="F12" s="483" t="s">
        <v>2</v>
      </c>
      <c r="G12" s="77"/>
      <c r="H12" s="450"/>
      <c r="I12" s="253"/>
    </row>
    <row r="13" spans="1:9" ht="15.75" x14ac:dyDescent="0.25">
      <c r="A13" s="255">
        <v>11200087</v>
      </c>
      <c r="B13" s="255" t="s">
        <v>327</v>
      </c>
      <c r="C13" s="81" t="s">
        <v>328</v>
      </c>
      <c r="D13" s="124" t="s">
        <v>329</v>
      </c>
      <c r="E13" s="124">
        <v>3492</v>
      </c>
      <c r="F13" s="124" t="s">
        <v>2</v>
      </c>
      <c r="G13" s="77"/>
      <c r="H13" s="450"/>
      <c r="I13" s="253"/>
    </row>
    <row r="14" spans="1:9" ht="15.75" x14ac:dyDescent="0.25">
      <c r="A14" s="488">
        <v>1160001</v>
      </c>
      <c r="B14" s="488" t="s">
        <v>330</v>
      </c>
      <c r="C14" s="489" t="s">
        <v>331</v>
      </c>
      <c r="D14" s="124" t="s">
        <v>332</v>
      </c>
      <c r="E14" s="124">
        <v>60</v>
      </c>
      <c r="F14" s="124" t="s">
        <v>2</v>
      </c>
      <c r="G14" s="77"/>
      <c r="H14" s="450"/>
      <c r="I14" s="253"/>
    </row>
    <row r="15" spans="1:9" ht="15.75" x14ac:dyDescent="0.25">
      <c r="A15" s="488">
        <v>1212410</v>
      </c>
      <c r="B15" s="488" t="s">
        <v>275</v>
      </c>
      <c r="C15" s="489" t="s">
        <v>276</v>
      </c>
      <c r="D15" s="124" t="s">
        <v>277</v>
      </c>
      <c r="E15" s="124">
        <v>38</v>
      </c>
      <c r="F15" s="124" t="s">
        <v>2</v>
      </c>
      <c r="G15" s="77"/>
      <c r="H15" s="450"/>
      <c r="I15" s="253"/>
    </row>
    <row r="16" spans="1:9" ht="15.75" x14ac:dyDescent="0.25">
      <c r="A16" s="488">
        <v>10100337</v>
      </c>
      <c r="B16" s="488" t="s">
        <v>333</v>
      </c>
      <c r="C16" s="489" t="s">
        <v>334</v>
      </c>
      <c r="D16" s="124" t="s">
        <v>335</v>
      </c>
      <c r="E16" s="124">
        <v>30</v>
      </c>
      <c r="F16" s="124" t="s">
        <v>2</v>
      </c>
      <c r="G16" s="77"/>
      <c r="H16" s="450"/>
      <c r="I16" s="253"/>
    </row>
    <row r="17" spans="1:9" ht="15.75" x14ac:dyDescent="0.25">
      <c r="A17" s="488">
        <v>310145</v>
      </c>
      <c r="B17" s="488" t="s">
        <v>336</v>
      </c>
      <c r="C17" s="489" t="s">
        <v>337</v>
      </c>
      <c r="D17" s="124" t="s">
        <v>338</v>
      </c>
      <c r="E17" s="124">
        <v>518</v>
      </c>
      <c r="F17" s="124" t="s">
        <v>2</v>
      </c>
      <c r="G17" s="77"/>
      <c r="H17" s="450"/>
      <c r="I17" s="253"/>
    </row>
    <row r="18" spans="1:9" ht="15.75" x14ac:dyDescent="0.25">
      <c r="A18" s="488">
        <v>503000036</v>
      </c>
      <c r="B18" s="488" t="s">
        <v>339</v>
      </c>
      <c r="C18" s="489" t="s">
        <v>340</v>
      </c>
      <c r="D18" s="124"/>
      <c r="E18" s="124">
        <v>65</v>
      </c>
      <c r="F18" s="124" t="s">
        <v>2</v>
      </c>
      <c r="G18" s="77"/>
      <c r="H18" s="450"/>
      <c r="I18" s="253"/>
    </row>
    <row r="19" spans="1:9" ht="15.75" x14ac:dyDescent="0.25">
      <c r="A19" s="255">
        <v>11300012</v>
      </c>
      <c r="B19" s="255" t="s">
        <v>341</v>
      </c>
      <c r="C19" s="59" t="s">
        <v>342</v>
      </c>
      <c r="D19" s="124" t="s">
        <v>312</v>
      </c>
      <c r="E19" s="124">
        <v>200</v>
      </c>
      <c r="F19" s="124" t="s">
        <v>2</v>
      </c>
      <c r="G19" s="77"/>
      <c r="H19" s="450"/>
      <c r="I19" s="253"/>
    </row>
    <row r="20" spans="1:9" ht="15.75" x14ac:dyDescent="0.25">
      <c r="A20" s="255"/>
      <c r="B20" s="255"/>
      <c r="C20" s="59"/>
      <c r="D20" s="124"/>
      <c r="E20" s="124"/>
      <c r="F20" s="124"/>
      <c r="G20" s="77"/>
      <c r="H20" s="450"/>
      <c r="I20" s="253"/>
    </row>
    <row r="21" spans="1:9" ht="15.75" x14ac:dyDescent="0.25">
      <c r="A21" s="290"/>
      <c r="B21" s="291"/>
      <c r="C21" s="292" t="s">
        <v>126</v>
      </c>
      <c r="D21" s="124"/>
      <c r="E21" s="124"/>
      <c r="F21" s="124"/>
      <c r="G21" s="77"/>
      <c r="H21" s="450"/>
      <c r="I21" s="253"/>
    </row>
    <row r="22" spans="1:9" ht="15" x14ac:dyDescent="0.25">
      <c r="A22" s="446"/>
      <c r="B22" s="255"/>
      <c r="C22" s="59"/>
      <c r="D22" s="453"/>
      <c r="E22" s="453"/>
      <c r="F22" s="453"/>
      <c r="G22" s="251"/>
      <c r="H22" s="450"/>
      <c r="I22" s="253"/>
    </row>
    <row r="23" spans="1:9" ht="15.75" x14ac:dyDescent="0.25">
      <c r="A23" s="290"/>
      <c r="B23" s="291"/>
      <c r="C23" s="292"/>
      <c r="D23" s="293"/>
      <c r="E23" s="294"/>
      <c r="F23" s="289"/>
      <c r="G23" s="251"/>
      <c r="H23" s="450"/>
      <c r="I23" s="253"/>
    </row>
    <row r="24" spans="1:9" ht="15" x14ac:dyDescent="0.25">
      <c r="A24" s="455"/>
      <c r="B24" s="456"/>
      <c r="C24" s="457"/>
      <c r="D24" s="458"/>
      <c r="E24" s="459"/>
      <c r="F24" s="460"/>
      <c r="G24" s="251"/>
      <c r="H24" s="450"/>
      <c r="I24" s="253"/>
    </row>
    <row r="25" spans="1:9" ht="15" x14ac:dyDescent="0.25">
      <c r="A25" s="455"/>
      <c r="B25" s="456"/>
      <c r="C25" s="457"/>
      <c r="D25" s="458"/>
      <c r="E25" s="490"/>
      <c r="F25" s="460"/>
      <c r="G25" s="251"/>
      <c r="H25" s="252"/>
      <c r="I25" s="253"/>
    </row>
    <row r="26" spans="1:9" ht="15" x14ac:dyDescent="0.25">
      <c r="A26" s="455"/>
      <c r="B26" s="456"/>
      <c r="C26" s="457"/>
      <c r="D26" s="458"/>
      <c r="E26" s="459"/>
      <c r="F26" s="460"/>
      <c r="G26" s="251"/>
      <c r="H26" s="252"/>
      <c r="I26" s="253"/>
    </row>
    <row r="27" spans="1:9" ht="15" x14ac:dyDescent="0.25">
      <c r="A27" s="455"/>
      <c r="B27" s="456"/>
      <c r="C27" s="457"/>
      <c r="D27" s="458"/>
      <c r="E27" s="491"/>
      <c r="F27" s="492"/>
      <c r="G27" s="251"/>
      <c r="H27" s="252"/>
      <c r="I27" s="253"/>
    </row>
    <row r="28" spans="1:9" ht="15" x14ac:dyDescent="0.25">
      <c r="A28" s="255"/>
      <c r="B28" s="255"/>
      <c r="C28" s="59"/>
      <c r="D28" s="461"/>
      <c r="E28" s="462"/>
      <c r="F28" s="463"/>
      <c r="G28" s="251"/>
      <c r="H28" s="252"/>
      <c r="I28" s="253"/>
    </row>
    <row r="29" spans="1:9" ht="15.75" x14ac:dyDescent="0.25">
      <c r="A29" s="303"/>
      <c r="B29" s="304"/>
      <c r="C29" s="305" t="s">
        <v>239</v>
      </c>
      <c r="D29" s="306"/>
      <c r="E29" s="464"/>
      <c r="F29" s="252"/>
      <c r="G29" s="251"/>
      <c r="I29" s="253"/>
    </row>
    <row r="30" spans="1:9" ht="15" x14ac:dyDescent="0.25">
      <c r="A30" s="465">
        <v>1950708</v>
      </c>
      <c r="B30" s="466" t="s">
        <v>343</v>
      </c>
      <c r="C30" s="467" t="s">
        <v>344</v>
      </c>
      <c r="D30" s="125"/>
      <c r="E30" s="319">
        <v>2</v>
      </c>
      <c r="F30" s="320" t="s">
        <v>5</v>
      </c>
      <c r="G30" s="468"/>
      <c r="H30" s="252"/>
      <c r="I30" s="253"/>
    </row>
    <row r="31" spans="1:9" ht="15" x14ac:dyDescent="0.25">
      <c r="A31" s="465">
        <v>60100010</v>
      </c>
      <c r="B31" s="466" t="s">
        <v>345</v>
      </c>
      <c r="C31" s="467" t="s">
        <v>346</v>
      </c>
      <c r="D31" s="125"/>
      <c r="E31" s="319">
        <v>2</v>
      </c>
      <c r="F31" s="320" t="s">
        <v>5</v>
      </c>
      <c r="G31" s="468"/>
      <c r="H31" s="252"/>
      <c r="I31" s="253"/>
    </row>
    <row r="32" spans="1:9" ht="15" x14ac:dyDescent="0.25">
      <c r="A32" s="469">
        <v>702123</v>
      </c>
      <c r="B32" s="470" t="s">
        <v>18</v>
      </c>
      <c r="C32" s="471" t="s">
        <v>278</v>
      </c>
      <c r="D32" s="125"/>
      <c r="E32" s="319">
        <v>2</v>
      </c>
      <c r="F32" s="320" t="s">
        <v>5</v>
      </c>
      <c r="G32" s="468"/>
      <c r="H32" s="252"/>
      <c r="I32" s="253"/>
    </row>
    <row r="33" spans="1:9" ht="15" x14ac:dyDescent="0.25">
      <c r="A33" s="472">
        <v>1950705</v>
      </c>
      <c r="B33" s="472" t="s">
        <v>347</v>
      </c>
      <c r="C33" s="473" t="s">
        <v>348</v>
      </c>
      <c r="D33" s="125"/>
      <c r="E33" s="319">
        <v>1</v>
      </c>
      <c r="F33" s="320" t="s">
        <v>5</v>
      </c>
      <c r="G33" s="251"/>
      <c r="H33" s="252"/>
      <c r="I33" s="253"/>
    </row>
    <row r="34" spans="1:9" ht="15" x14ac:dyDescent="0.25">
      <c r="A34" s="472"/>
      <c r="B34" s="472"/>
      <c r="C34" s="473"/>
      <c r="D34" s="125"/>
      <c r="E34" s="319"/>
      <c r="F34" s="320"/>
      <c r="G34" s="251"/>
      <c r="H34" s="252"/>
      <c r="I34" s="253"/>
    </row>
    <row r="35" spans="1:9" ht="15" x14ac:dyDescent="0.25">
      <c r="A35" s="472"/>
      <c r="B35" s="472"/>
      <c r="C35" s="473"/>
      <c r="D35" s="125"/>
      <c r="E35" s="319"/>
      <c r="F35" s="320"/>
      <c r="G35" s="326"/>
      <c r="H35" s="252"/>
      <c r="I35" s="253"/>
    </row>
    <row r="36" spans="1:9" ht="15.75" x14ac:dyDescent="0.25">
      <c r="A36" s="472"/>
      <c r="B36" s="472"/>
      <c r="C36" s="473"/>
      <c r="D36" s="124"/>
      <c r="E36" s="319"/>
      <c r="F36" s="320"/>
      <c r="G36" s="286"/>
      <c r="H36" s="252"/>
      <c r="I36" s="253"/>
    </row>
    <row r="37" spans="1:9" ht="15" x14ac:dyDescent="0.25">
      <c r="A37" s="474"/>
      <c r="B37" s="474"/>
      <c r="C37" s="475"/>
      <c r="D37" s="125"/>
      <c r="E37" s="463"/>
      <c r="F37" s="463"/>
      <c r="G37" s="286"/>
      <c r="H37" s="252"/>
      <c r="I37" s="253"/>
    </row>
    <row r="38" spans="1:9" ht="15" x14ac:dyDescent="0.25">
      <c r="A38" s="493"/>
      <c r="B38" s="255"/>
      <c r="C38" s="494"/>
      <c r="D38" s="300"/>
      <c r="E38" s="462"/>
      <c r="F38" s="77"/>
      <c r="G38" s="286"/>
      <c r="H38" s="252"/>
      <c r="I38" s="253"/>
    </row>
    <row r="39" spans="1:9" ht="15.75" x14ac:dyDescent="0.25">
      <c r="A39" s="472"/>
      <c r="B39" s="472"/>
      <c r="C39" s="473"/>
      <c r="D39" s="125"/>
      <c r="E39" s="462"/>
      <c r="F39" s="77"/>
      <c r="G39" s="328"/>
      <c r="H39" s="252"/>
      <c r="I39" s="253"/>
    </row>
    <row r="40" spans="1:9" ht="15.75" x14ac:dyDescent="0.25">
      <c r="A40" s="290"/>
      <c r="B40" s="291"/>
      <c r="C40" s="327"/>
      <c r="D40" s="293"/>
      <c r="E40" s="293"/>
      <c r="F40" s="289"/>
      <c r="G40" s="325"/>
      <c r="H40" s="325"/>
      <c r="I40" s="253"/>
    </row>
    <row r="41" spans="1:9" ht="14.25" thickBot="1" x14ac:dyDescent="0.3">
      <c r="A41" s="329"/>
      <c r="B41" s="330"/>
      <c r="C41" s="331"/>
      <c r="D41" s="331"/>
      <c r="E41" s="332"/>
      <c r="F41" s="333"/>
      <c r="G41" s="331"/>
      <c r="H41" s="331"/>
      <c r="I41" s="334"/>
    </row>
    <row r="42" spans="1:9" ht="14.25" thickBot="1" x14ac:dyDescent="0.3">
      <c r="A42" s="335"/>
      <c r="B42" s="336"/>
      <c r="C42" s="337"/>
      <c r="D42" s="338" t="s">
        <v>11</v>
      </c>
      <c r="E42" s="339" t="s">
        <v>10</v>
      </c>
      <c r="F42" s="340"/>
      <c r="G42" s="337"/>
      <c r="H42" s="337"/>
      <c r="I42" s="341"/>
    </row>
    <row r="43" spans="1:9" ht="13.5" x14ac:dyDescent="0.25">
      <c r="A43" s="947" t="s">
        <v>9</v>
      </c>
      <c r="B43" s="948"/>
      <c r="C43" s="949"/>
      <c r="D43" s="495">
        <v>14195</v>
      </c>
      <c r="E43" s="111" t="s">
        <v>2</v>
      </c>
      <c r="F43" s="950" t="s">
        <v>104</v>
      </c>
      <c r="G43" s="950"/>
      <c r="H43" s="951"/>
      <c r="I43" s="952"/>
    </row>
    <row r="44" spans="1:9" ht="13.5" x14ac:dyDescent="0.25">
      <c r="A44" s="953" t="s">
        <v>105</v>
      </c>
      <c r="B44" s="954"/>
      <c r="C44" s="955"/>
      <c r="D44" s="462">
        <v>3</v>
      </c>
      <c r="E44" s="77" t="s">
        <v>7</v>
      </c>
      <c r="F44" s="956" t="s">
        <v>106</v>
      </c>
      <c r="G44" s="956"/>
      <c r="H44" s="957"/>
      <c r="I44" s="958"/>
    </row>
    <row r="45" spans="1:9" ht="13.5" x14ac:dyDescent="0.25">
      <c r="A45" s="953" t="s">
        <v>6</v>
      </c>
      <c r="B45" s="954"/>
      <c r="C45" s="955"/>
      <c r="D45" s="462">
        <v>1</v>
      </c>
      <c r="E45" s="77" t="s">
        <v>5</v>
      </c>
      <c r="F45" s="956" t="s">
        <v>107</v>
      </c>
      <c r="G45" s="956"/>
      <c r="H45" s="957"/>
      <c r="I45" s="958"/>
    </row>
    <row r="46" spans="1:9" ht="13.5" x14ac:dyDescent="0.25">
      <c r="A46" s="953" t="s">
        <v>4</v>
      </c>
      <c r="B46" s="954"/>
      <c r="C46" s="955"/>
      <c r="D46" s="462">
        <v>14195</v>
      </c>
      <c r="E46" s="77" t="s">
        <v>2</v>
      </c>
      <c r="F46" s="959" t="s">
        <v>132</v>
      </c>
      <c r="G46" s="960"/>
      <c r="H46" s="1218"/>
      <c r="I46" s="1219"/>
    </row>
    <row r="47" spans="1:9" ht="14.25" thickBot="1" x14ac:dyDescent="0.3">
      <c r="A47" s="964" t="s">
        <v>3</v>
      </c>
      <c r="B47" s="965"/>
      <c r="C47" s="966"/>
      <c r="D47" s="477">
        <v>0</v>
      </c>
      <c r="E47" s="112" t="s">
        <v>2</v>
      </c>
      <c r="F47" s="967"/>
      <c r="G47" s="967"/>
      <c r="H47" s="957"/>
      <c r="I47" s="958"/>
    </row>
    <row r="48" spans="1:9" ht="13.5" thickBot="1" x14ac:dyDescent="0.25">
      <c r="A48" s="970" t="s">
        <v>1</v>
      </c>
      <c r="B48" s="971"/>
      <c r="C48" s="971"/>
      <c r="D48" s="971"/>
      <c r="E48" s="971"/>
      <c r="F48" s="971"/>
      <c r="G48" s="971"/>
      <c r="H48" s="971"/>
      <c r="I48" s="972"/>
    </row>
    <row r="49" spans="1:9" ht="14.45" customHeight="1" x14ac:dyDescent="0.25">
      <c r="A49" s="982" t="s">
        <v>349</v>
      </c>
      <c r="B49" s="983"/>
      <c r="C49" s="983"/>
      <c r="D49" s="983"/>
      <c r="E49" s="983"/>
      <c r="F49" s="983"/>
      <c r="G49" s="983"/>
      <c r="H49" s="983"/>
      <c r="I49" s="984"/>
    </row>
    <row r="50" spans="1:9" ht="15.6" customHeight="1" x14ac:dyDescent="0.25">
      <c r="A50" s="982" t="s">
        <v>350</v>
      </c>
      <c r="B50" s="983"/>
      <c r="C50" s="983"/>
      <c r="D50" s="983"/>
      <c r="E50" s="983"/>
      <c r="F50" s="983"/>
      <c r="G50" s="983"/>
      <c r="H50" s="983"/>
      <c r="I50" s="984"/>
    </row>
    <row r="51" spans="1:9" ht="14.45" customHeight="1" x14ac:dyDescent="0.25">
      <c r="A51" s="982" t="s">
        <v>351</v>
      </c>
      <c r="B51" s="983"/>
      <c r="C51" s="983"/>
      <c r="D51" s="983"/>
      <c r="E51" s="983"/>
      <c r="F51" s="983"/>
      <c r="G51" s="983"/>
      <c r="H51" s="983"/>
      <c r="I51" s="984"/>
    </row>
    <row r="52" spans="1:9" ht="14.45" customHeight="1" x14ac:dyDescent="0.25">
      <c r="A52" s="982" t="s">
        <v>352</v>
      </c>
      <c r="B52" s="983"/>
      <c r="C52" s="983"/>
      <c r="D52" s="983"/>
      <c r="E52" s="983"/>
      <c r="F52" s="983"/>
      <c r="G52" s="983"/>
      <c r="H52" s="983"/>
      <c r="I52" s="984"/>
    </row>
    <row r="53" spans="1:9" ht="14.45" customHeight="1" x14ac:dyDescent="0.25">
      <c r="A53" s="982"/>
      <c r="B53" s="983"/>
      <c r="C53" s="983"/>
      <c r="D53" s="983"/>
      <c r="E53" s="983"/>
      <c r="F53" s="983"/>
      <c r="G53" s="983"/>
      <c r="H53" s="983"/>
      <c r="I53" s="984"/>
    </row>
    <row r="54" spans="1:9" ht="18" customHeight="1" x14ac:dyDescent="0.25">
      <c r="A54" s="982"/>
      <c r="B54" s="983"/>
      <c r="C54" s="983"/>
      <c r="D54" s="983"/>
      <c r="E54" s="983"/>
      <c r="F54" s="983"/>
      <c r="G54" s="983"/>
      <c r="H54" s="983"/>
      <c r="I54" s="984"/>
    </row>
    <row r="55" spans="1:9" ht="14.25" x14ac:dyDescent="0.2">
      <c r="A55" s="961"/>
      <c r="B55" s="962"/>
      <c r="C55" s="962"/>
      <c r="D55" s="962"/>
      <c r="E55" s="962"/>
      <c r="F55" s="962"/>
      <c r="G55" s="962"/>
      <c r="H55" s="962"/>
      <c r="I55" s="963"/>
    </row>
    <row r="56" spans="1:9" ht="15" thickBot="1" x14ac:dyDescent="0.25">
      <c r="A56" s="961"/>
      <c r="B56" s="962"/>
      <c r="C56" s="962"/>
      <c r="D56" s="962"/>
      <c r="E56" s="962"/>
      <c r="F56" s="962"/>
      <c r="G56" s="962"/>
      <c r="H56" s="962"/>
      <c r="I56" s="963"/>
    </row>
    <row r="57" spans="1:9" x14ac:dyDescent="0.2">
      <c r="A57" s="991" t="s">
        <v>0</v>
      </c>
      <c r="B57" s="992"/>
      <c r="C57" s="992"/>
      <c r="D57" s="992"/>
      <c r="E57" s="992"/>
      <c r="F57" s="992"/>
      <c r="G57" s="992"/>
      <c r="H57" s="992"/>
      <c r="I57" s="992"/>
    </row>
    <row r="58" spans="1:9" ht="13.5" x14ac:dyDescent="0.25">
      <c r="A58" s="993"/>
      <c r="B58" s="994"/>
      <c r="C58" s="994"/>
      <c r="D58" s="994"/>
      <c r="E58" s="994"/>
      <c r="F58" s="994"/>
      <c r="G58" s="994"/>
      <c r="H58" s="994"/>
      <c r="I58" s="994"/>
    </row>
    <row r="59" spans="1:9" ht="13.5" x14ac:dyDescent="0.25">
      <c r="A59" s="993"/>
      <c r="B59" s="994"/>
      <c r="C59" s="994"/>
      <c r="D59" s="994"/>
      <c r="E59" s="994"/>
      <c r="F59" s="994"/>
      <c r="G59" s="994"/>
      <c r="H59" s="994"/>
      <c r="I59" s="994"/>
    </row>
  </sheetData>
  <mergeCells count="44">
    <mergeCell ref="A57:I57"/>
    <mergeCell ref="A58:I58"/>
    <mergeCell ref="A59:I59"/>
    <mergeCell ref="A51:I51"/>
    <mergeCell ref="A52:I52"/>
    <mergeCell ref="A53:I53"/>
    <mergeCell ref="A54:I54"/>
    <mergeCell ref="A55:I55"/>
    <mergeCell ref="A56:I56"/>
    <mergeCell ref="A50:I50"/>
    <mergeCell ref="A45:C45"/>
    <mergeCell ref="F45:G45"/>
    <mergeCell ref="H45:I45"/>
    <mergeCell ref="A46:C46"/>
    <mergeCell ref="F46:G46"/>
    <mergeCell ref="H46:I46"/>
    <mergeCell ref="A47:C47"/>
    <mergeCell ref="F47:G47"/>
    <mergeCell ref="H47:I47"/>
    <mergeCell ref="A48:I48"/>
    <mergeCell ref="A49:I49"/>
    <mergeCell ref="A43:C43"/>
    <mergeCell ref="F43:G43"/>
    <mergeCell ref="H43:I43"/>
    <mergeCell ref="A44:C44"/>
    <mergeCell ref="F44:G44"/>
    <mergeCell ref="H44:I44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6CD80-2256-4E27-BF0D-9AA6D58690E3}">
  <dimension ref="A1:I58"/>
  <sheetViews>
    <sheetView workbookViewId="0">
      <selection activeCell="C1" sqref="C1:G1"/>
    </sheetView>
  </sheetViews>
  <sheetFormatPr baseColWidth="10" defaultRowHeight="12.75" x14ac:dyDescent="0.2"/>
  <cols>
    <col min="3" max="3" width="39.5703125" customWidth="1"/>
    <col min="4" max="4" width="17.140625" customWidth="1"/>
    <col min="8" max="8" width="24.28515625" customWidth="1"/>
    <col min="9" max="9" width="17.42578125" bestFit="1" customWidth="1"/>
  </cols>
  <sheetData>
    <row r="1" spans="1:9" ht="15.75" x14ac:dyDescent="0.25">
      <c r="A1" s="926"/>
      <c r="B1" s="927"/>
      <c r="C1" s="932" t="s">
        <v>58</v>
      </c>
      <c r="D1" s="932"/>
      <c r="E1" s="932"/>
      <c r="F1" s="932"/>
      <c r="G1" s="932"/>
      <c r="H1" s="235" t="s">
        <v>57</v>
      </c>
      <c r="I1" s="445" t="s">
        <v>353</v>
      </c>
    </row>
    <row r="2" spans="1:9" ht="18" customHeight="1" thickBot="1" x14ac:dyDescent="0.3">
      <c r="A2" s="928"/>
      <c r="B2" s="929"/>
      <c r="C2" s="1010" t="s">
        <v>56</v>
      </c>
      <c r="D2" s="1011"/>
      <c r="E2" s="1011"/>
      <c r="F2" s="1011"/>
      <c r="G2" s="1012"/>
      <c r="H2" s="238" t="s">
        <v>55</v>
      </c>
      <c r="I2" s="239" t="s">
        <v>235</v>
      </c>
    </row>
    <row r="3" spans="1:9" ht="31.5" customHeight="1" thickBot="1" x14ac:dyDescent="0.25">
      <c r="A3" s="928"/>
      <c r="B3" s="929"/>
      <c r="C3" s="1216" t="s">
        <v>354</v>
      </c>
      <c r="D3" s="1216"/>
      <c r="E3" s="1216"/>
      <c r="F3" s="1216"/>
      <c r="G3" s="1217"/>
      <c r="H3" s="937" t="s">
        <v>54</v>
      </c>
      <c r="I3" s="917">
        <v>45613</v>
      </c>
    </row>
    <row r="4" spans="1:9" ht="18" customHeight="1" x14ac:dyDescent="0.25">
      <c r="A4" s="928"/>
      <c r="B4" s="929"/>
      <c r="C4" s="240" t="s">
        <v>53</v>
      </c>
      <c r="D4" s="920" t="s">
        <v>237</v>
      </c>
      <c r="E4" s="921"/>
      <c r="F4" s="921"/>
      <c r="G4" s="922"/>
      <c r="H4" s="938"/>
      <c r="I4" s="918"/>
    </row>
    <row r="5" spans="1:9" ht="14.25" thickBot="1" x14ac:dyDescent="0.3">
      <c r="A5" s="930"/>
      <c r="B5" s="931"/>
      <c r="C5" s="241" t="s">
        <v>51</v>
      </c>
      <c r="D5" s="923" t="s">
        <v>125</v>
      </c>
      <c r="E5" s="924"/>
      <c r="F5" s="924"/>
      <c r="G5" s="925"/>
      <c r="H5" s="939"/>
      <c r="I5" s="919"/>
    </row>
    <row r="6" spans="1:9" ht="18.75" thickBot="1" x14ac:dyDescent="0.3">
      <c r="A6" s="893" t="s">
        <v>49</v>
      </c>
      <c r="B6" s="893"/>
      <c r="C6" s="893"/>
      <c r="D6" s="940" t="s">
        <v>126</v>
      </c>
      <c r="E6" s="940"/>
      <c r="F6" s="940"/>
      <c r="G6" s="895" t="s">
        <v>47</v>
      </c>
      <c r="H6" s="895"/>
      <c r="I6" s="242" t="s">
        <v>127</v>
      </c>
    </row>
    <row r="7" spans="1:9" ht="25.5" x14ac:dyDescent="0.2">
      <c r="A7" s="941" t="s">
        <v>45</v>
      </c>
      <c r="B7" s="943" t="s">
        <v>128</v>
      </c>
      <c r="C7" s="945" t="s">
        <v>44</v>
      </c>
      <c r="D7" s="945" t="s">
        <v>43</v>
      </c>
      <c r="E7" s="945" t="s">
        <v>42</v>
      </c>
      <c r="F7" s="945"/>
      <c r="G7" s="945" t="s">
        <v>41</v>
      </c>
      <c r="H7" s="945"/>
      <c r="I7" s="243" t="s">
        <v>40</v>
      </c>
    </row>
    <row r="8" spans="1:9" ht="26.25" thickBot="1" x14ac:dyDescent="0.25">
      <c r="A8" s="942"/>
      <c r="B8" s="944"/>
      <c r="C8" s="946"/>
      <c r="D8" s="946"/>
      <c r="E8" s="244" t="s">
        <v>11</v>
      </c>
      <c r="F8" s="245" t="s">
        <v>39</v>
      </c>
      <c r="G8" s="244" t="s">
        <v>11</v>
      </c>
      <c r="H8" s="245" t="s">
        <v>39</v>
      </c>
      <c r="I8" s="246" t="s">
        <v>38</v>
      </c>
    </row>
    <row r="9" spans="1:9" ht="15" x14ac:dyDescent="0.25">
      <c r="A9" s="247"/>
      <c r="B9" s="248"/>
      <c r="C9" s="249" t="s">
        <v>129</v>
      </c>
      <c r="D9" s="250"/>
      <c r="E9" s="251"/>
      <c r="F9" s="252"/>
      <c r="G9" s="251"/>
      <c r="H9" s="252"/>
      <c r="I9" s="253"/>
    </row>
    <row r="10" spans="1:9" ht="18" customHeight="1" x14ac:dyDescent="0.25">
      <c r="A10" s="455" t="s">
        <v>355</v>
      </c>
      <c r="B10" s="496" t="s">
        <v>356</v>
      </c>
      <c r="C10" s="457" t="s">
        <v>357</v>
      </c>
      <c r="D10" s="458" t="s">
        <v>33</v>
      </c>
      <c r="E10" s="497">
        <v>1600</v>
      </c>
      <c r="F10" s="498" t="s">
        <v>2</v>
      </c>
      <c r="G10" s="123"/>
      <c r="H10" s="450"/>
      <c r="I10" s="253"/>
    </row>
    <row r="11" spans="1:9" ht="15" x14ac:dyDescent="0.25">
      <c r="A11" s="455"/>
      <c r="B11" s="499"/>
      <c r="C11" s="500" t="s">
        <v>358</v>
      </c>
      <c r="D11" s="458" t="s">
        <v>33</v>
      </c>
      <c r="E11" s="459">
        <v>1600</v>
      </c>
      <c r="F11" s="460" t="s">
        <v>2</v>
      </c>
      <c r="G11" s="123"/>
      <c r="H11" s="450"/>
      <c r="I11" s="253"/>
    </row>
    <row r="12" spans="1:9" ht="15" x14ac:dyDescent="0.25">
      <c r="A12" s="455" t="s">
        <v>252</v>
      </c>
      <c r="B12" s="499" t="s">
        <v>253</v>
      </c>
      <c r="C12" s="500" t="s">
        <v>359</v>
      </c>
      <c r="D12" s="458" t="s">
        <v>360</v>
      </c>
      <c r="E12" s="459">
        <v>3</v>
      </c>
      <c r="F12" s="460" t="s">
        <v>2</v>
      </c>
      <c r="G12" s="77"/>
      <c r="H12" s="450"/>
      <c r="I12" s="253"/>
    </row>
    <row r="13" spans="1:9" ht="15" x14ac:dyDescent="0.25">
      <c r="A13" s="455"/>
      <c r="B13" s="499"/>
      <c r="C13" s="500"/>
      <c r="D13" s="458"/>
      <c r="E13" s="459"/>
      <c r="F13" s="460"/>
      <c r="G13" s="77"/>
      <c r="H13" s="450"/>
      <c r="I13" s="253"/>
    </row>
    <row r="14" spans="1:9" ht="15" x14ac:dyDescent="0.25">
      <c r="A14" s="501"/>
      <c r="B14" s="502"/>
      <c r="C14" s="117"/>
      <c r="D14" s="77"/>
      <c r="E14" s="77"/>
      <c r="F14" s="78"/>
      <c r="G14" s="77"/>
      <c r="H14" s="450"/>
      <c r="I14" s="253"/>
    </row>
    <row r="15" spans="1:9" ht="15" x14ac:dyDescent="0.25">
      <c r="A15" s="503"/>
      <c r="B15" s="502"/>
      <c r="C15" s="504"/>
      <c r="D15" s="77"/>
      <c r="E15" s="77"/>
      <c r="F15" s="78"/>
      <c r="G15" s="77"/>
      <c r="H15" s="450"/>
      <c r="I15" s="253"/>
    </row>
    <row r="16" spans="1:9" ht="15" x14ac:dyDescent="0.25">
      <c r="A16" s="77"/>
      <c r="B16" s="77"/>
      <c r="C16" s="505"/>
      <c r="D16" s="110"/>
      <c r="E16" s="110"/>
      <c r="F16" s="123"/>
      <c r="G16" s="77"/>
      <c r="H16" s="450"/>
      <c r="I16" s="253"/>
    </row>
    <row r="17" spans="1:9" ht="15" x14ac:dyDescent="0.25">
      <c r="A17" s="502"/>
      <c r="B17" s="502"/>
      <c r="C17" s="506"/>
      <c r="D17" s="77"/>
      <c r="E17" s="77"/>
      <c r="F17" s="78"/>
      <c r="G17" s="77"/>
      <c r="H17" s="450"/>
      <c r="I17" s="253"/>
    </row>
    <row r="18" spans="1:9" ht="15" x14ac:dyDescent="0.25">
      <c r="A18" s="501"/>
      <c r="B18" s="502"/>
      <c r="C18" s="117"/>
      <c r="D18" s="77"/>
      <c r="E18" s="77"/>
      <c r="F18" s="78"/>
      <c r="G18" s="77"/>
      <c r="H18" s="450"/>
      <c r="I18" s="253"/>
    </row>
    <row r="19" spans="1:9" ht="15.75" x14ac:dyDescent="0.25">
      <c r="A19" s="255"/>
      <c r="B19" s="255"/>
      <c r="C19" s="59"/>
      <c r="D19" s="389"/>
      <c r="E19" s="390"/>
      <c r="F19" s="391"/>
      <c r="G19" s="251"/>
      <c r="H19" s="450"/>
      <c r="I19" s="253"/>
    </row>
    <row r="20" spans="1:9" ht="15.75" x14ac:dyDescent="0.25">
      <c r="A20" s="290"/>
      <c r="B20" s="291"/>
      <c r="C20" s="292" t="s">
        <v>126</v>
      </c>
      <c r="D20" s="293"/>
      <c r="E20" s="294"/>
      <c r="F20" s="289"/>
      <c r="G20" s="251"/>
      <c r="H20" s="252"/>
      <c r="I20" s="253"/>
    </row>
    <row r="21" spans="1:9" ht="15" x14ac:dyDescent="0.25">
      <c r="A21" s="455"/>
      <c r="B21" s="456"/>
      <c r="C21" s="457"/>
      <c r="D21" s="458"/>
      <c r="E21" s="459"/>
      <c r="F21" s="460"/>
      <c r="G21" s="251"/>
      <c r="H21" s="252"/>
      <c r="I21" s="253"/>
    </row>
    <row r="22" spans="1:9" ht="15" x14ac:dyDescent="0.25">
      <c r="A22" s="455"/>
      <c r="B22" s="456"/>
      <c r="C22" s="457"/>
      <c r="D22" s="458"/>
      <c r="E22" s="462"/>
      <c r="F22" s="460"/>
      <c r="G22" s="251"/>
      <c r="H22" s="252"/>
      <c r="I22" s="253"/>
    </row>
    <row r="23" spans="1:9" ht="15" x14ac:dyDescent="0.25">
      <c r="A23" s="455"/>
      <c r="B23" s="456"/>
      <c r="C23" s="457"/>
      <c r="D23" s="458"/>
      <c r="E23" s="459"/>
      <c r="F23" s="460"/>
      <c r="G23" s="251"/>
      <c r="H23" s="252"/>
      <c r="I23" s="253"/>
    </row>
    <row r="24" spans="1:9" ht="15" x14ac:dyDescent="0.25">
      <c r="A24" s="455"/>
      <c r="B24" s="456"/>
      <c r="C24" s="457"/>
      <c r="D24" s="458"/>
      <c r="E24" s="491"/>
      <c r="F24" s="492"/>
      <c r="G24" s="251"/>
      <c r="H24" s="252"/>
      <c r="I24" s="253"/>
    </row>
    <row r="25" spans="1:9" ht="15" x14ac:dyDescent="0.25">
      <c r="A25" s="455"/>
      <c r="B25" s="456"/>
      <c r="C25" s="457"/>
      <c r="D25" s="458"/>
      <c r="E25" s="497"/>
      <c r="F25" s="492"/>
      <c r="G25" s="251"/>
      <c r="H25" s="252"/>
      <c r="I25" s="253"/>
    </row>
    <row r="26" spans="1:9" ht="15" x14ac:dyDescent="0.25">
      <c r="A26" s="285"/>
      <c r="B26" s="285"/>
      <c r="D26" s="507"/>
      <c r="E26" s="508"/>
      <c r="F26" s="509"/>
      <c r="G26" s="251"/>
      <c r="H26" s="252"/>
      <c r="I26" s="253"/>
    </row>
    <row r="27" spans="1:9" ht="15" x14ac:dyDescent="0.25">
      <c r="A27" s="255"/>
      <c r="B27" s="255"/>
      <c r="C27" s="59"/>
      <c r="D27" s="461"/>
      <c r="E27" s="495"/>
      <c r="F27" s="509"/>
      <c r="G27" s="251"/>
      <c r="H27" s="252"/>
      <c r="I27" s="253"/>
    </row>
    <row r="28" spans="1:9" ht="15" x14ac:dyDescent="0.25">
      <c r="A28" s="255"/>
      <c r="B28" s="255"/>
      <c r="C28" s="59"/>
      <c r="D28" s="461"/>
      <c r="E28" s="462"/>
      <c r="F28" s="463"/>
      <c r="G28" s="251"/>
      <c r="H28" s="252"/>
      <c r="I28" s="253"/>
    </row>
    <row r="29" spans="1:9" ht="15.75" x14ac:dyDescent="0.25">
      <c r="A29" s="303"/>
      <c r="B29" s="304"/>
      <c r="C29" s="305" t="s">
        <v>239</v>
      </c>
      <c r="D29" s="306"/>
      <c r="E29" s="464"/>
      <c r="F29" s="252"/>
      <c r="G29" s="251"/>
      <c r="I29" s="253"/>
    </row>
    <row r="30" spans="1:9" ht="15" x14ac:dyDescent="0.25">
      <c r="A30" s="510"/>
      <c r="B30" s="510"/>
      <c r="C30" s="327"/>
      <c r="D30" s="511"/>
      <c r="E30" s="512"/>
      <c r="F30" s="513"/>
      <c r="G30" s="468"/>
      <c r="H30" s="252"/>
      <c r="I30" s="253"/>
    </row>
    <row r="31" spans="1:9" ht="15" x14ac:dyDescent="0.25">
      <c r="A31" s="510"/>
      <c r="B31" s="510"/>
      <c r="C31" s="327"/>
      <c r="D31" s="511"/>
      <c r="E31" s="512"/>
      <c r="F31" s="513"/>
      <c r="G31" s="468"/>
      <c r="H31" s="252"/>
      <c r="I31" s="253"/>
    </row>
    <row r="32" spans="1:9" ht="15" x14ac:dyDescent="0.25">
      <c r="A32" s="510"/>
      <c r="B32" s="510"/>
      <c r="C32" s="327"/>
      <c r="D32" s="511"/>
      <c r="E32" s="512"/>
      <c r="F32" s="513"/>
      <c r="G32" s="468"/>
      <c r="H32" s="252"/>
      <c r="I32" s="253"/>
    </row>
    <row r="33" spans="1:9" ht="15" x14ac:dyDescent="0.25">
      <c r="A33" s="514"/>
      <c r="B33" s="514"/>
      <c r="C33" s="515"/>
      <c r="D33" s="125"/>
      <c r="E33" s="516"/>
      <c r="F33" s="126"/>
      <c r="G33" s="251"/>
      <c r="H33" s="252"/>
      <c r="I33" s="253"/>
    </row>
    <row r="34" spans="1:9" ht="15" x14ac:dyDescent="0.25">
      <c r="A34" s="514"/>
      <c r="B34" s="514"/>
      <c r="C34" s="517"/>
      <c r="D34" s="125"/>
      <c r="E34" s="125"/>
      <c r="F34" s="126"/>
      <c r="G34" s="251"/>
      <c r="H34" s="252"/>
      <c r="I34" s="253"/>
    </row>
    <row r="35" spans="1:9" ht="15" x14ac:dyDescent="0.25">
      <c r="A35" s="514"/>
      <c r="B35" s="514"/>
      <c r="C35" s="517"/>
      <c r="D35" s="125"/>
      <c r="E35" s="125"/>
      <c r="F35" s="126"/>
      <c r="G35" s="326"/>
      <c r="H35" s="252"/>
      <c r="I35" s="253"/>
    </row>
    <row r="36" spans="1:9" ht="15.75" x14ac:dyDescent="0.25">
      <c r="A36" s="518"/>
      <c r="B36" s="519"/>
      <c r="C36" s="520"/>
      <c r="D36" s="521"/>
      <c r="E36" s="521"/>
      <c r="F36" s="428"/>
      <c r="G36" s="286"/>
      <c r="H36" s="252"/>
      <c r="I36" s="253"/>
    </row>
    <row r="37" spans="1:9" ht="15.75" x14ac:dyDescent="0.25">
      <c r="A37" s="290"/>
      <c r="B37" s="291"/>
      <c r="C37" s="327"/>
      <c r="D37" s="125"/>
      <c r="E37" s="286"/>
      <c r="F37" s="289"/>
      <c r="G37" s="328"/>
      <c r="H37" s="252"/>
      <c r="I37" s="253"/>
    </row>
    <row r="38" spans="1:9" ht="15.75" x14ac:dyDescent="0.25">
      <c r="A38" s="290"/>
      <c r="B38" s="291"/>
      <c r="C38" s="327"/>
      <c r="D38" s="293"/>
      <c r="E38" s="293"/>
      <c r="F38" s="289"/>
      <c r="G38" s="325"/>
      <c r="H38" s="325"/>
      <c r="I38" s="253"/>
    </row>
    <row r="39" spans="1:9" ht="14.25" thickBot="1" x14ac:dyDescent="0.3">
      <c r="A39" s="329"/>
      <c r="B39" s="330"/>
      <c r="C39" s="331"/>
      <c r="D39" s="331"/>
      <c r="E39" s="332"/>
      <c r="F39" s="333"/>
      <c r="G39" s="331"/>
      <c r="H39" s="331"/>
      <c r="I39" s="334"/>
    </row>
    <row r="40" spans="1:9" ht="14.25" thickBot="1" x14ac:dyDescent="0.3">
      <c r="A40" s="335"/>
      <c r="B40" s="336"/>
      <c r="C40" s="337"/>
      <c r="D40" s="338" t="s">
        <v>11</v>
      </c>
      <c r="E40" s="339" t="s">
        <v>10</v>
      </c>
      <c r="F40" s="340"/>
      <c r="G40" s="337"/>
      <c r="H40" s="337"/>
      <c r="I40" s="341"/>
    </row>
    <row r="41" spans="1:9" ht="13.5" x14ac:dyDescent="0.25">
      <c r="A41" s="947" t="s">
        <v>9</v>
      </c>
      <c r="B41" s="948"/>
      <c r="C41" s="949"/>
      <c r="D41" s="495">
        <v>3200</v>
      </c>
      <c r="E41" s="111" t="s">
        <v>2</v>
      </c>
      <c r="F41" s="950" t="s">
        <v>104</v>
      </c>
      <c r="G41" s="950"/>
      <c r="H41" s="951"/>
      <c r="I41" s="952"/>
    </row>
    <row r="42" spans="1:9" ht="13.5" x14ac:dyDescent="0.25">
      <c r="A42" s="953" t="s">
        <v>105</v>
      </c>
      <c r="B42" s="954"/>
      <c r="C42" s="955"/>
      <c r="D42" s="77">
        <v>5</v>
      </c>
      <c r="E42" s="77" t="s">
        <v>130</v>
      </c>
      <c r="F42" s="956" t="s">
        <v>106</v>
      </c>
      <c r="G42" s="956"/>
      <c r="H42" s="957"/>
      <c r="I42" s="958"/>
    </row>
    <row r="43" spans="1:9" ht="13.5" x14ac:dyDescent="0.25">
      <c r="A43" s="953" t="s">
        <v>6</v>
      </c>
      <c r="B43" s="954"/>
      <c r="C43" s="955"/>
      <c r="D43" s="77">
        <v>10</v>
      </c>
      <c r="E43" s="77" t="s">
        <v>361</v>
      </c>
      <c r="F43" s="956" t="s">
        <v>107</v>
      </c>
      <c r="G43" s="956"/>
      <c r="H43" s="957"/>
      <c r="I43" s="958"/>
    </row>
    <row r="44" spans="1:9" ht="13.5" x14ac:dyDescent="0.25">
      <c r="A44" s="953" t="s">
        <v>4</v>
      </c>
      <c r="B44" s="954"/>
      <c r="C44" s="955"/>
      <c r="D44" s="462">
        <v>320</v>
      </c>
      <c r="E44" s="77" t="s">
        <v>2</v>
      </c>
      <c r="F44" s="959" t="s">
        <v>132</v>
      </c>
      <c r="G44" s="960"/>
      <c r="H44" s="1218"/>
      <c r="I44" s="1219"/>
    </row>
    <row r="45" spans="1:9" ht="14.25" thickBot="1" x14ac:dyDescent="0.3">
      <c r="A45" s="964" t="s">
        <v>3</v>
      </c>
      <c r="B45" s="965"/>
      <c r="C45" s="966"/>
      <c r="D45" s="477">
        <v>3</v>
      </c>
      <c r="E45" s="112" t="s">
        <v>2</v>
      </c>
      <c r="F45" s="967"/>
      <c r="G45" s="967"/>
      <c r="H45" s="957"/>
      <c r="I45" s="958"/>
    </row>
    <row r="46" spans="1:9" ht="13.5" thickBot="1" x14ac:dyDescent="0.25">
      <c r="A46" s="970" t="s">
        <v>1</v>
      </c>
      <c r="B46" s="971"/>
      <c r="C46" s="971"/>
      <c r="D46" s="971"/>
      <c r="E46" s="971"/>
      <c r="F46" s="971"/>
      <c r="G46" s="971"/>
      <c r="H46" s="971"/>
      <c r="I46" s="972"/>
    </row>
    <row r="47" spans="1:9" ht="18.399999999999999" customHeight="1" x14ac:dyDescent="0.25">
      <c r="A47" s="1249" t="s">
        <v>362</v>
      </c>
      <c r="B47" s="1250"/>
      <c r="C47" s="1250"/>
      <c r="D47" s="1250"/>
      <c r="E47" s="1250"/>
      <c r="F47" s="1250"/>
      <c r="G47" s="1250"/>
      <c r="H47" s="1250"/>
      <c r="I47" s="1251"/>
    </row>
    <row r="48" spans="1:9" ht="14.65" customHeight="1" x14ac:dyDescent="0.25">
      <c r="A48" s="1249"/>
      <c r="B48" s="1250"/>
      <c r="C48" s="1250"/>
      <c r="D48" s="1250"/>
      <c r="E48" s="1250"/>
      <c r="F48" s="1250"/>
      <c r="G48" s="1250"/>
      <c r="H48" s="1250"/>
      <c r="I48" s="1251"/>
    </row>
    <row r="49" spans="1:9" ht="14.65" customHeight="1" x14ac:dyDescent="0.25">
      <c r="A49" s="1249"/>
      <c r="B49" s="1250"/>
      <c r="C49" s="1250"/>
      <c r="D49" s="1250"/>
      <c r="E49" s="1250"/>
      <c r="F49" s="1250"/>
      <c r="G49" s="1250"/>
      <c r="H49" s="1250"/>
      <c r="I49" s="1251"/>
    </row>
    <row r="50" spans="1:9" ht="14.65" customHeight="1" x14ac:dyDescent="0.25">
      <c r="A50" s="1249"/>
      <c r="B50" s="1250"/>
      <c r="C50" s="1250"/>
      <c r="D50" s="1250"/>
      <c r="E50" s="1250"/>
      <c r="F50" s="1250"/>
      <c r="G50" s="1250"/>
      <c r="H50" s="1250"/>
      <c r="I50" s="1251"/>
    </row>
    <row r="51" spans="1:9" ht="14.65" customHeight="1" x14ac:dyDescent="0.25">
      <c r="A51" s="1249"/>
      <c r="B51" s="1250"/>
      <c r="C51" s="1250"/>
      <c r="D51" s="1250"/>
      <c r="E51" s="1250"/>
      <c r="F51" s="1250"/>
      <c r="G51" s="1250"/>
      <c r="H51" s="1250"/>
      <c r="I51" s="1251"/>
    </row>
    <row r="52" spans="1:9" ht="14.65" customHeight="1" thickBot="1" x14ac:dyDescent="0.3">
      <c r="A52" s="1255"/>
      <c r="B52" s="1256"/>
      <c r="C52" s="1257"/>
      <c r="D52" s="1257"/>
      <c r="E52" s="1257"/>
      <c r="F52" s="1257"/>
      <c r="G52" s="1257"/>
      <c r="H52" s="1257"/>
      <c r="I52" s="1258"/>
    </row>
    <row r="53" spans="1:9" ht="18" customHeight="1" x14ac:dyDescent="0.25">
      <c r="A53" s="1259"/>
      <c r="B53" s="1244"/>
      <c r="C53" s="1244"/>
      <c r="D53" s="1244"/>
      <c r="E53" s="1244"/>
      <c r="F53" s="1244"/>
      <c r="G53" s="1244"/>
      <c r="H53" s="1244"/>
      <c r="I53" s="1245"/>
    </row>
    <row r="54" spans="1:9" ht="14.25" thickBot="1" x14ac:dyDescent="0.3">
      <c r="A54" s="1260"/>
      <c r="B54" s="1261"/>
      <c r="C54" s="1261"/>
      <c r="D54" s="1261"/>
      <c r="E54" s="1261"/>
      <c r="F54" s="1261"/>
      <c r="G54" s="1261"/>
      <c r="H54" s="1261"/>
      <c r="I54" s="1262"/>
    </row>
    <row r="55" spans="1:9" ht="15" thickBot="1" x14ac:dyDescent="0.25">
      <c r="A55" s="1252"/>
      <c r="B55" s="1253"/>
      <c r="C55" s="1253"/>
      <c r="D55" s="1253"/>
      <c r="E55" s="1253"/>
      <c r="F55" s="1253"/>
      <c r="G55" s="1253"/>
      <c r="H55" s="1253"/>
      <c r="I55" s="1254"/>
    </row>
    <row r="56" spans="1:9" x14ac:dyDescent="0.2">
      <c r="A56" s="991" t="s">
        <v>0</v>
      </c>
      <c r="B56" s="992"/>
      <c r="C56" s="992"/>
      <c r="D56" s="992"/>
      <c r="E56" s="992"/>
      <c r="F56" s="992"/>
      <c r="G56" s="992"/>
      <c r="H56" s="992"/>
      <c r="I56" s="992"/>
    </row>
    <row r="57" spans="1:9" ht="13.5" x14ac:dyDescent="0.25">
      <c r="A57" s="993"/>
      <c r="B57" s="994"/>
      <c r="C57" s="994"/>
      <c r="D57" s="994"/>
      <c r="E57" s="994"/>
      <c r="F57" s="994"/>
      <c r="G57" s="994"/>
      <c r="H57" s="994"/>
      <c r="I57" s="994"/>
    </row>
    <row r="58" spans="1:9" ht="13.5" x14ac:dyDescent="0.25">
      <c r="A58" s="993"/>
      <c r="B58" s="994"/>
      <c r="C58" s="994"/>
      <c r="D58" s="994"/>
      <c r="E58" s="994"/>
      <c r="F58" s="994"/>
      <c r="G58" s="994"/>
      <c r="H58" s="994"/>
      <c r="I58" s="994"/>
    </row>
  </sheetData>
  <mergeCells count="45">
    <mergeCell ref="A55:I55"/>
    <mergeCell ref="A56:I56"/>
    <mergeCell ref="A57:I57"/>
    <mergeCell ref="A58:I58"/>
    <mergeCell ref="A49:I49"/>
    <mergeCell ref="A50:I50"/>
    <mergeCell ref="A51:I51"/>
    <mergeCell ref="A52:I52"/>
    <mergeCell ref="A53:I53"/>
    <mergeCell ref="A54:I54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41:C41"/>
    <mergeCell ref="F41:G41"/>
    <mergeCell ref="H41:I41"/>
    <mergeCell ref="A42:C42"/>
    <mergeCell ref="F42:G42"/>
    <mergeCell ref="H42:I4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FF862-DB74-43AA-8099-6163EB4C62D0}">
  <dimension ref="A1:I60"/>
  <sheetViews>
    <sheetView zoomScale="70" zoomScaleNormal="70" workbookViewId="0">
      <selection activeCell="D11" sqref="D11"/>
    </sheetView>
  </sheetViews>
  <sheetFormatPr baseColWidth="10" defaultRowHeight="12.75" x14ac:dyDescent="0.2"/>
  <cols>
    <col min="1" max="1" width="13.85546875" bestFit="1" customWidth="1"/>
    <col min="2" max="2" width="14.42578125" bestFit="1" customWidth="1"/>
    <col min="3" max="3" width="49" customWidth="1"/>
    <col min="4" max="4" width="34.42578125" bestFit="1" customWidth="1"/>
    <col min="8" max="8" width="47.5703125" bestFit="1" customWidth="1"/>
    <col min="9" max="9" width="23.28515625" bestFit="1" customWidth="1"/>
  </cols>
  <sheetData>
    <row r="1" spans="1:9" ht="18.75" x14ac:dyDescent="0.25">
      <c r="A1" s="1272"/>
      <c r="B1" s="1273"/>
      <c r="C1" s="1278" t="s">
        <v>58</v>
      </c>
      <c r="D1" s="1278"/>
      <c r="E1" s="1278"/>
      <c r="F1" s="1278"/>
      <c r="G1" s="1278"/>
      <c r="H1" s="522" t="s">
        <v>57</v>
      </c>
      <c r="I1" s="523" t="s">
        <v>363</v>
      </c>
    </row>
    <row r="2" spans="1:9" ht="18" customHeight="1" thickBot="1" x14ac:dyDescent="0.3">
      <c r="A2" s="1274"/>
      <c r="B2" s="1275"/>
      <c r="C2" s="1279" t="s">
        <v>56</v>
      </c>
      <c r="D2" s="1280"/>
      <c r="E2" s="1280"/>
      <c r="F2" s="1280"/>
      <c r="G2" s="1281"/>
      <c r="H2" s="524" t="s">
        <v>55</v>
      </c>
      <c r="I2" s="525" t="s">
        <v>267</v>
      </c>
    </row>
    <row r="3" spans="1:9" ht="31.5" customHeight="1" thickBot="1" x14ac:dyDescent="0.25">
      <c r="A3" s="1274"/>
      <c r="B3" s="1275"/>
      <c r="C3" s="1282" t="s">
        <v>364</v>
      </c>
      <c r="D3" s="1283"/>
      <c r="E3" s="1283"/>
      <c r="F3" s="1283"/>
      <c r="G3" s="1284"/>
      <c r="H3" s="1285" t="s">
        <v>54</v>
      </c>
      <c r="I3" s="1263">
        <v>45615</v>
      </c>
    </row>
    <row r="4" spans="1:9" ht="18" customHeight="1" x14ac:dyDescent="0.25">
      <c r="A4" s="1274"/>
      <c r="B4" s="1275"/>
      <c r="C4" s="526" t="s">
        <v>53</v>
      </c>
      <c r="D4" s="1266" t="s">
        <v>237</v>
      </c>
      <c r="E4" s="1267"/>
      <c r="F4" s="1267"/>
      <c r="G4" s="1268"/>
      <c r="H4" s="1286"/>
      <c r="I4" s="1264"/>
    </row>
    <row r="5" spans="1:9" ht="19.5" thickBot="1" x14ac:dyDescent="0.3">
      <c r="A5" s="1276"/>
      <c r="B5" s="1277"/>
      <c r="C5" s="527" t="s">
        <v>51</v>
      </c>
      <c r="D5" s="1269" t="s">
        <v>125</v>
      </c>
      <c r="E5" s="1270"/>
      <c r="F5" s="1270"/>
      <c r="G5" s="1271"/>
      <c r="H5" s="1287"/>
      <c r="I5" s="1265"/>
    </row>
    <row r="6" spans="1:9" ht="20.25" thickBot="1" x14ac:dyDescent="0.35">
      <c r="A6" s="1288" t="s">
        <v>49</v>
      </c>
      <c r="B6" s="1288"/>
      <c r="C6" s="1288"/>
      <c r="D6" s="1289" t="s">
        <v>68</v>
      </c>
      <c r="E6" s="1289"/>
      <c r="F6" s="1289"/>
      <c r="G6" s="1290" t="s">
        <v>47</v>
      </c>
      <c r="H6" s="1290"/>
      <c r="I6" s="528" t="s">
        <v>68</v>
      </c>
    </row>
    <row r="7" spans="1:9" ht="37.5" x14ac:dyDescent="0.2">
      <c r="A7" s="1291" t="s">
        <v>45</v>
      </c>
      <c r="B7" s="1293" t="s">
        <v>128</v>
      </c>
      <c r="C7" s="1295" t="s">
        <v>44</v>
      </c>
      <c r="D7" s="1295" t="s">
        <v>43</v>
      </c>
      <c r="E7" s="1295" t="s">
        <v>42</v>
      </c>
      <c r="F7" s="1295"/>
      <c r="G7" s="1295" t="s">
        <v>41</v>
      </c>
      <c r="H7" s="1295"/>
      <c r="I7" s="529" t="s">
        <v>40</v>
      </c>
    </row>
    <row r="8" spans="1:9" ht="57" thickBot="1" x14ac:dyDescent="0.3">
      <c r="A8" s="1292"/>
      <c r="B8" s="1294"/>
      <c r="C8" s="1296"/>
      <c r="D8" s="1296"/>
      <c r="E8" s="530" t="s">
        <v>11</v>
      </c>
      <c r="F8" s="531" t="s">
        <v>39</v>
      </c>
      <c r="G8" s="530" t="s">
        <v>11</v>
      </c>
      <c r="H8" s="531" t="s">
        <v>39</v>
      </c>
      <c r="I8" s="532" t="s">
        <v>38</v>
      </c>
    </row>
    <row r="9" spans="1:9" ht="18.399999999999999" customHeight="1" x14ac:dyDescent="0.3">
      <c r="A9" s="533"/>
      <c r="B9" s="534"/>
      <c r="C9" s="535" t="s">
        <v>129</v>
      </c>
      <c r="D9" s="536"/>
      <c r="E9" s="537"/>
      <c r="F9" s="538"/>
      <c r="G9" s="537"/>
      <c r="H9" s="538"/>
      <c r="I9" s="539"/>
    </row>
    <row r="10" spans="1:9" ht="18" customHeight="1" x14ac:dyDescent="0.3">
      <c r="A10" s="540">
        <v>11400047</v>
      </c>
      <c r="B10" s="540" t="s">
        <v>365</v>
      </c>
      <c r="C10" s="541" t="s">
        <v>366</v>
      </c>
      <c r="D10" s="542" t="s">
        <v>338</v>
      </c>
      <c r="E10" s="543">
        <v>12230</v>
      </c>
      <c r="F10" s="544" t="s">
        <v>367</v>
      </c>
      <c r="G10" s="545"/>
      <c r="H10" s="546"/>
      <c r="I10" s="539"/>
    </row>
    <row r="11" spans="1:9" ht="19.5" x14ac:dyDescent="0.3">
      <c r="A11" s="547" t="s">
        <v>368</v>
      </c>
      <c r="B11" s="548" t="s">
        <v>240</v>
      </c>
      <c r="C11" s="549" t="s">
        <v>369</v>
      </c>
      <c r="D11" s="550" t="s">
        <v>242</v>
      </c>
      <c r="E11" s="551">
        <v>17430</v>
      </c>
      <c r="F11" s="552" t="s">
        <v>2</v>
      </c>
      <c r="G11" s="545"/>
      <c r="H11" s="546"/>
      <c r="I11" s="539"/>
    </row>
    <row r="12" spans="1:9" ht="19.5" x14ac:dyDescent="0.3">
      <c r="A12" s="553">
        <v>11400046</v>
      </c>
      <c r="B12" s="554" t="s">
        <v>84</v>
      </c>
      <c r="C12" s="555" t="s">
        <v>370</v>
      </c>
      <c r="D12" s="556" t="s">
        <v>242</v>
      </c>
      <c r="E12" s="556">
        <v>17430</v>
      </c>
      <c r="F12" s="556" t="s">
        <v>2</v>
      </c>
      <c r="G12" s="557"/>
      <c r="H12" s="546"/>
      <c r="I12" s="539"/>
    </row>
    <row r="13" spans="1:9" ht="19.5" x14ac:dyDescent="0.3">
      <c r="A13" s="553">
        <v>11400031</v>
      </c>
      <c r="B13" s="554" t="s">
        <v>88</v>
      </c>
      <c r="C13" s="555" t="s">
        <v>371</v>
      </c>
      <c r="D13" s="556" t="s">
        <v>372</v>
      </c>
      <c r="E13" s="556">
        <v>14000</v>
      </c>
      <c r="F13" s="556" t="s">
        <v>2</v>
      </c>
      <c r="G13" s="557"/>
      <c r="H13" s="546"/>
      <c r="I13" s="539"/>
    </row>
    <row r="14" spans="1:9" ht="19.5" x14ac:dyDescent="0.3">
      <c r="A14" s="558">
        <v>90100131</v>
      </c>
      <c r="B14" s="558" t="s">
        <v>373</v>
      </c>
      <c r="C14" s="549" t="s">
        <v>374</v>
      </c>
      <c r="D14" s="543" t="s">
        <v>33</v>
      </c>
      <c r="E14" s="559">
        <v>1475</v>
      </c>
      <c r="F14" s="544" t="s">
        <v>2</v>
      </c>
      <c r="G14" s="557"/>
      <c r="H14" s="546"/>
      <c r="I14" s="539"/>
    </row>
    <row r="15" spans="1:9" ht="19.5" x14ac:dyDescent="0.3">
      <c r="A15" s="558">
        <v>1212410</v>
      </c>
      <c r="B15" s="558" t="s">
        <v>275</v>
      </c>
      <c r="C15" s="549" t="s">
        <v>276</v>
      </c>
      <c r="D15" s="543" t="s">
        <v>277</v>
      </c>
      <c r="E15" s="559">
        <v>140</v>
      </c>
      <c r="F15" s="544" t="s">
        <v>2</v>
      </c>
      <c r="G15" s="557"/>
      <c r="H15" s="546"/>
      <c r="I15" s="539"/>
    </row>
    <row r="16" spans="1:9" ht="19.5" x14ac:dyDescent="0.3">
      <c r="A16" s="558"/>
      <c r="B16" s="558"/>
      <c r="C16" s="549"/>
      <c r="D16" s="543"/>
      <c r="E16" s="559"/>
      <c r="F16" s="544"/>
      <c r="G16" s="557"/>
      <c r="H16" s="546"/>
      <c r="I16" s="539"/>
    </row>
    <row r="17" spans="1:9" ht="19.5" x14ac:dyDescent="0.3">
      <c r="A17" s="558"/>
      <c r="B17" s="558"/>
      <c r="C17" s="549"/>
      <c r="D17" s="543"/>
      <c r="E17" s="559"/>
      <c r="F17" s="544"/>
      <c r="G17" s="557"/>
      <c r="H17" s="546"/>
      <c r="I17" s="539"/>
    </row>
    <row r="18" spans="1:9" ht="19.5" x14ac:dyDescent="0.3">
      <c r="A18" s="558"/>
      <c r="B18" s="558"/>
      <c r="C18" s="549"/>
      <c r="D18" s="543"/>
      <c r="E18" s="559"/>
      <c r="F18" s="544"/>
      <c r="G18" s="557"/>
      <c r="H18" s="546"/>
      <c r="I18" s="539"/>
    </row>
    <row r="19" spans="1:9" ht="19.5" x14ac:dyDescent="0.3">
      <c r="A19" s="558"/>
      <c r="B19" s="558"/>
      <c r="C19" s="549"/>
      <c r="D19" s="543"/>
      <c r="E19" s="559"/>
      <c r="F19" s="544"/>
      <c r="G19" s="557"/>
      <c r="H19" s="546"/>
      <c r="I19" s="539"/>
    </row>
    <row r="20" spans="1:9" ht="19.5" x14ac:dyDescent="0.3">
      <c r="A20" s="560"/>
      <c r="B20" s="558"/>
      <c r="C20" s="561"/>
      <c r="D20" s="562"/>
      <c r="E20" s="562"/>
      <c r="F20" s="562"/>
      <c r="G20" s="537"/>
      <c r="H20" s="546"/>
      <c r="I20" s="539"/>
    </row>
    <row r="21" spans="1:9" ht="19.5" x14ac:dyDescent="0.3">
      <c r="A21" s="563"/>
      <c r="B21" s="564"/>
      <c r="C21" s="565" t="s">
        <v>126</v>
      </c>
      <c r="D21" s="559"/>
      <c r="E21" s="566"/>
      <c r="F21" s="544"/>
      <c r="G21" s="537"/>
      <c r="H21" s="538"/>
      <c r="I21" s="539"/>
    </row>
    <row r="22" spans="1:9" ht="19.5" x14ac:dyDescent="0.3">
      <c r="A22" s="567"/>
      <c r="B22" s="568"/>
      <c r="C22" s="569"/>
      <c r="D22" s="570"/>
      <c r="E22" s="571"/>
      <c r="F22" s="572"/>
      <c r="G22" s="537"/>
      <c r="H22" s="538"/>
      <c r="I22" s="539"/>
    </row>
    <row r="23" spans="1:9" ht="19.5" x14ac:dyDescent="0.3">
      <c r="A23" s="567"/>
      <c r="B23" s="568"/>
      <c r="C23" s="569"/>
      <c r="D23" s="570"/>
      <c r="E23" s="573"/>
      <c r="F23" s="572"/>
      <c r="G23" s="537"/>
      <c r="H23" s="538"/>
      <c r="I23" s="539"/>
    </row>
    <row r="24" spans="1:9" ht="19.5" x14ac:dyDescent="0.3">
      <c r="A24" s="567"/>
      <c r="B24" s="568"/>
      <c r="C24" s="569"/>
      <c r="D24" s="570"/>
      <c r="E24" s="571"/>
      <c r="F24" s="572"/>
      <c r="G24" s="537"/>
      <c r="H24" s="538"/>
      <c r="I24" s="539"/>
    </row>
    <row r="25" spans="1:9" ht="19.5" x14ac:dyDescent="0.3">
      <c r="A25" s="567"/>
      <c r="B25" s="568"/>
      <c r="C25" s="569"/>
      <c r="D25" s="570"/>
      <c r="E25" s="574"/>
      <c r="F25" s="575"/>
      <c r="G25" s="537"/>
      <c r="H25" s="538"/>
      <c r="I25" s="539"/>
    </row>
    <row r="26" spans="1:9" ht="19.5" x14ac:dyDescent="0.3">
      <c r="A26" s="567"/>
      <c r="B26" s="568"/>
      <c r="C26" s="569"/>
      <c r="D26" s="570"/>
      <c r="E26" s="576"/>
      <c r="F26" s="575"/>
      <c r="G26" s="537"/>
      <c r="H26" s="538"/>
      <c r="I26" s="539"/>
    </row>
    <row r="27" spans="1:9" ht="19.5" x14ac:dyDescent="0.3">
      <c r="A27" s="577"/>
      <c r="B27" s="577"/>
      <c r="C27" s="578"/>
      <c r="D27" s="579"/>
      <c r="E27" s="580"/>
      <c r="F27" s="581"/>
      <c r="G27" s="537"/>
      <c r="H27" s="538"/>
      <c r="I27" s="539"/>
    </row>
    <row r="28" spans="1:9" ht="19.5" x14ac:dyDescent="0.3">
      <c r="A28" s="558"/>
      <c r="B28" s="558"/>
      <c r="C28" s="561"/>
      <c r="D28" s="582"/>
      <c r="E28" s="583"/>
      <c r="F28" s="581"/>
      <c r="G28" s="537"/>
      <c r="H28" s="538"/>
      <c r="I28" s="539"/>
    </row>
    <row r="29" spans="1:9" ht="19.5" x14ac:dyDescent="0.3">
      <c r="A29" s="558"/>
      <c r="B29" s="558"/>
      <c r="C29" s="561"/>
      <c r="D29" s="582"/>
      <c r="E29" s="584"/>
      <c r="F29" s="585"/>
      <c r="G29" s="537"/>
      <c r="H29" s="538"/>
      <c r="I29" s="539"/>
    </row>
    <row r="30" spans="1:9" ht="19.5" x14ac:dyDescent="0.3">
      <c r="A30" s="586"/>
      <c r="B30" s="587"/>
      <c r="C30" s="588" t="s">
        <v>239</v>
      </c>
      <c r="D30" s="589"/>
      <c r="E30" s="590"/>
      <c r="F30" s="538"/>
      <c r="G30" s="537"/>
      <c r="H30" s="578"/>
      <c r="I30" s="539"/>
    </row>
    <row r="31" spans="1:9" ht="19.5" x14ac:dyDescent="0.3">
      <c r="A31" s="591"/>
      <c r="B31" s="591"/>
      <c r="C31" s="592"/>
      <c r="D31" s="556"/>
      <c r="E31" s="593"/>
      <c r="F31" s="594"/>
      <c r="G31" s="595"/>
      <c r="H31" s="538"/>
      <c r="I31" s="539"/>
    </row>
    <row r="32" spans="1:9" ht="19.5" x14ac:dyDescent="0.3">
      <c r="A32" s="596"/>
      <c r="B32" s="596"/>
      <c r="C32" s="597"/>
      <c r="D32" s="556"/>
      <c r="E32" s="593"/>
      <c r="F32" s="594"/>
      <c r="G32" s="595"/>
      <c r="H32" s="538"/>
      <c r="I32" s="539"/>
    </row>
    <row r="33" spans="1:9" ht="19.5" x14ac:dyDescent="0.3">
      <c r="A33" s="558"/>
      <c r="B33" s="558"/>
      <c r="C33" s="561"/>
      <c r="D33" s="598"/>
      <c r="E33" s="584"/>
      <c r="F33" s="557"/>
      <c r="G33" s="595"/>
      <c r="H33" s="538"/>
      <c r="I33" s="539"/>
    </row>
    <row r="34" spans="1:9" ht="19.5" x14ac:dyDescent="0.3">
      <c r="A34" s="599"/>
      <c r="B34" s="599"/>
      <c r="C34" s="600"/>
      <c r="D34" s="556"/>
      <c r="E34" s="593"/>
      <c r="F34" s="594"/>
      <c r="G34" s="537"/>
      <c r="H34" s="538"/>
      <c r="I34" s="539"/>
    </row>
    <row r="35" spans="1:9" ht="19.5" x14ac:dyDescent="0.3">
      <c r="A35" s="599"/>
      <c r="B35" s="599"/>
      <c r="C35" s="600"/>
      <c r="D35" s="556"/>
      <c r="E35" s="593"/>
      <c r="F35" s="594"/>
      <c r="G35" s="537"/>
      <c r="H35" s="538"/>
      <c r="I35" s="539"/>
    </row>
    <row r="36" spans="1:9" ht="19.5" x14ac:dyDescent="0.3">
      <c r="A36" s="599"/>
      <c r="B36" s="599"/>
      <c r="C36" s="600"/>
      <c r="D36" s="556"/>
      <c r="E36" s="593"/>
      <c r="F36" s="594"/>
      <c r="G36" s="601"/>
      <c r="H36" s="538"/>
      <c r="I36" s="539"/>
    </row>
    <row r="37" spans="1:9" ht="19.5" x14ac:dyDescent="0.3">
      <c r="A37" s="599"/>
      <c r="B37" s="599"/>
      <c r="C37" s="600" t="s">
        <v>259</v>
      </c>
      <c r="D37" s="556"/>
      <c r="E37" s="593"/>
      <c r="F37" s="594"/>
      <c r="G37" s="543"/>
      <c r="H37" s="538"/>
      <c r="I37" s="539"/>
    </row>
    <row r="38" spans="1:9" ht="19.5" x14ac:dyDescent="0.3">
      <c r="A38" s="602"/>
      <c r="B38" s="602"/>
      <c r="C38" s="603"/>
      <c r="D38" s="556"/>
      <c r="E38" s="585"/>
      <c r="F38" s="585"/>
      <c r="G38" s="543"/>
      <c r="H38" s="538"/>
      <c r="I38" s="539"/>
    </row>
    <row r="39" spans="1:9" ht="19.5" x14ac:dyDescent="0.3">
      <c r="A39" s="591"/>
      <c r="B39" s="558"/>
      <c r="C39" s="592"/>
      <c r="D39" s="598"/>
      <c r="E39" s="584"/>
      <c r="F39" s="557"/>
      <c r="G39" s="543"/>
      <c r="H39" s="538"/>
      <c r="I39" s="539"/>
    </row>
    <row r="40" spans="1:9" ht="19.5" x14ac:dyDescent="0.3">
      <c r="A40" s="599"/>
      <c r="B40" s="599"/>
      <c r="C40" s="600"/>
      <c r="D40" s="556"/>
      <c r="E40" s="584"/>
      <c r="F40" s="557"/>
      <c r="G40" s="543"/>
      <c r="H40" s="538"/>
      <c r="I40" s="539"/>
    </row>
    <row r="41" spans="1:9" ht="19.5" x14ac:dyDescent="0.3">
      <c r="A41" s="563"/>
      <c r="B41" s="564"/>
      <c r="C41" s="604"/>
      <c r="D41" s="559"/>
      <c r="E41" s="559"/>
      <c r="F41" s="544"/>
      <c r="G41" s="559"/>
      <c r="H41" s="559"/>
      <c r="I41" s="539"/>
    </row>
    <row r="42" spans="1:9" ht="19.5" thickBot="1" x14ac:dyDescent="0.3">
      <c r="A42" s="605"/>
      <c r="B42" s="606"/>
      <c r="C42" s="607"/>
      <c r="D42" s="607"/>
      <c r="E42" s="608"/>
      <c r="F42" s="609"/>
      <c r="G42" s="607"/>
      <c r="H42" s="607"/>
      <c r="I42" s="610"/>
    </row>
    <row r="43" spans="1:9" ht="19.5" thickBot="1" x14ac:dyDescent="0.3">
      <c r="A43" s="611"/>
      <c r="B43" s="612"/>
      <c r="C43" s="613"/>
      <c r="D43" s="614" t="s">
        <v>11</v>
      </c>
      <c r="E43" s="615" t="s">
        <v>10</v>
      </c>
      <c r="F43" s="616"/>
      <c r="G43" s="613"/>
      <c r="H43" s="613"/>
      <c r="I43" s="617"/>
    </row>
    <row r="44" spans="1:9" ht="18.75" x14ac:dyDescent="0.25">
      <c r="A44" s="1297" t="s">
        <v>9</v>
      </c>
      <c r="B44" s="1298"/>
      <c r="C44" s="1299"/>
      <c r="D44" s="583">
        <v>62500</v>
      </c>
      <c r="E44" s="618" t="s">
        <v>2</v>
      </c>
      <c r="F44" s="1300" t="s">
        <v>104</v>
      </c>
      <c r="G44" s="1300"/>
      <c r="H44" s="1301"/>
      <c r="I44" s="1302"/>
    </row>
    <row r="45" spans="1:9" ht="18.75" x14ac:dyDescent="0.25">
      <c r="A45" s="1303" t="s">
        <v>105</v>
      </c>
      <c r="B45" s="1304"/>
      <c r="C45" s="1305"/>
      <c r="D45" s="584">
        <v>11</v>
      </c>
      <c r="E45" s="557" t="s">
        <v>260</v>
      </c>
      <c r="F45" s="1306" t="s">
        <v>106</v>
      </c>
      <c r="G45" s="1306"/>
      <c r="H45" s="1307"/>
      <c r="I45" s="1308"/>
    </row>
    <row r="46" spans="1:9" ht="18.75" x14ac:dyDescent="0.25">
      <c r="A46" s="1303" t="s">
        <v>6</v>
      </c>
      <c r="B46" s="1304"/>
      <c r="C46" s="1305"/>
      <c r="D46" s="584">
        <v>1</v>
      </c>
      <c r="E46" s="557" t="s">
        <v>232</v>
      </c>
      <c r="F46" s="1306" t="s">
        <v>107</v>
      </c>
      <c r="G46" s="1306"/>
      <c r="H46" s="1307"/>
      <c r="I46" s="1308"/>
    </row>
    <row r="47" spans="1:9" ht="18.75" x14ac:dyDescent="0.25">
      <c r="A47" s="1303" t="s">
        <v>4</v>
      </c>
      <c r="B47" s="1304"/>
      <c r="C47" s="1305"/>
      <c r="D47" s="584">
        <v>62500</v>
      </c>
      <c r="E47" s="557" t="s">
        <v>2</v>
      </c>
      <c r="F47" s="1310" t="s">
        <v>132</v>
      </c>
      <c r="G47" s="1311"/>
      <c r="H47" s="1312"/>
      <c r="I47" s="1313"/>
    </row>
    <row r="48" spans="1:9" ht="19.5" thickBot="1" x14ac:dyDescent="0.3">
      <c r="A48" s="1314" t="s">
        <v>3</v>
      </c>
      <c r="B48" s="1315"/>
      <c r="C48" s="1316"/>
      <c r="D48" s="619">
        <v>205</v>
      </c>
      <c r="E48" s="620" t="s">
        <v>2</v>
      </c>
      <c r="F48" s="1317"/>
      <c r="G48" s="1317"/>
      <c r="H48" s="1307"/>
      <c r="I48" s="1308"/>
    </row>
    <row r="49" spans="1:9" ht="19.5" thickBot="1" x14ac:dyDescent="0.3">
      <c r="A49" s="1318" t="s">
        <v>1</v>
      </c>
      <c r="B49" s="1319"/>
      <c r="C49" s="1319"/>
      <c r="D49" s="1319"/>
      <c r="E49" s="1319"/>
      <c r="F49" s="1319"/>
      <c r="G49" s="1319"/>
      <c r="H49" s="1319"/>
      <c r="I49" s="1320"/>
    </row>
    <row r="50" spans="1:9" ht="18.399999999999999" customHeight="1" x14ac:dyDescent="0.3">
      <c r="A50" s="1321" t="s">
        <v>375</v>
      </c>
      <c r="B50" s="1321"/>
      <c r="C50" s="1321"/>
      <c r="D50" s="1321"/>
      <c r="E50" s="1321"/>
      <c r="F50" s="1321"/>
      <c r="G50" s="1321"/>
      <c r="H50" s="1321"/>
      <c r="I50" s="1321"/>
    </row>
    <row r="51" spans="1:9" ht="19.5" x14ac:dyDescent="0.3">
      <c r="A51" s="1309" t="s">
        <v>376</v>
      </c>
      <c r="B51" s="1309"/>
      <c r="C51" s="1309"/>
      <c r="D51" s="1309"/>
      <c r="E51" s="1309"/>
      <c r="F51" s="1309"/>
      <c r="G51" s="1309"/>
      <c r="H51" s="1309"/>
      <c r="I51" s="1309"/>
    </row>
    <row r="52" spans="1:9" ht="19.5" x14ac:dyDescent="0.3">
      <c r="A52" s="1309" t="s">
        <v>377</v>
      </c>
      <c r="B52" s="1309"/>
      <c r="C52" s="1321"/>
      <c r="D52" s="1321"/>
      <c r="E52" s="1321"/>
      <c r="F52" s="1321"/>
      <c r="G52" s="1321"/>
      <c r="H52" s="1321"/>
      <c r="I52" s="1321"/>
    </row>
    <row r="53" spans="1:9" ht="19.5" x14ac:dyDescent="0.3">
      <c r="A53" s="1321" t="s">
        <v>378</v>
      </c>
      <c r="B53" s="1321"/>
      <c r="C53" s="1321"/>
      <c r="D53" s="1321"/>
      <c r="E53" s="1321"/>
      <c r="F53" s="1321"/>
      <c r="G53" s="1321"/>
      <c r="H53" s="1321"/>
      <c r="I53" s="1321"/>
    </row>
    <row r="54" spans="1:9" ht="19.5" x14ac:dyDescent="0.3">
      <c r="A54" s="1321" t="s">
        <v>379</v>
      </c>
      <c r="B54" s="1321"/>
      <c r="C54" s="1321"/>
      <c r="D54" s="1321"/>
      <c r="E54" s="1321"/>
      <c r="F54" s="1321"/>
      <c r="G54" s="1321"/>
      <c r="H54" s="1321"/>
      <c r="I54" s="1321"/>
    </row>
    <row r="55" spans="1:9" ht="18" customHeight="1" x14ac:dyDescent="0.3">
      <c r="A55" s="1321" t="s">
        <v>380</v>
      </c>
      <c r="B55" s="1321"/>
      <c r="C55" s="1321"/>
      <c r="D55" s="1321"/>
      <c r="E55" s="1321"/>
      <c r="F55" s="1321"/>
      <c r="G55" s="1321"/>
      <c r="H55" s="1321"/>
      <c r="I55" s="1321"/>
    </row>
    <row r="56" spans="1:9" ht="18.75" x14ac:dyDescent="0.25">
      <c r="A56" s="1326"/>
      <c r="B56" s="1327"/>
      <c r="C56" s="1327"/>
      <c r="D56" s="1327"/>
      <c r="E56" s="1327"/>
      <c r="F56" s="1327"/>
      <c r="G56" s="1327"/>
      <c r="H56" s="1327"/>
      <c r="I56" s="1328"/>
    </row>
    <row r="57" spans="1:9" ht="20.25" thickBot="1" x14ac:dyDescent="0.35">
      <c r="A57" s="1329"/>
      <c r="B57" s="1330"/>
      <c r="C57" s="1330"/>
      <c r="D57" s="1330"/>
      <c r="E57" s="1330"/>
      <c r="F57" s="1330"/>
      <c r="G57" s="1330"/>
      <c r="H57" s="1330"/>
      <c r="I57" s="1331"/>
    </row>
    <row r="58" spans="1:9" ht="18.75" x14ac:dyDescent="0.25">
      <c r="A58" s="1322" t="s">
        <v>0</v>
      </c>
      <c r="B58" s="1323"/>
      <c r="C58" s="1323"/>
      <c r="D58" s="1323"/>
      <c r="E58" s="1323"/>
      <c r="F58" s="1323"/>
      <c r="G58" s="1323"/>
      <c r="H58" s="1323"/>
      <c r="I58" s="1323"/>
    </row>
    <row r="59" spans="1:9" ht="18.75" x14ac:dyDescent="0.25">
      <c r="A59" s="1269" t="s">
        <v>381</v>
      </c>
      <c r="B59" s="1270"/>
      <c r="C59" s="1270"/>
      <c r="D59" s="1270"/>
      <c r="E59" s="1270"/>
      <c r="F59" s="1270"/>
      <c r="G59" s="1270"/>
      <c r="H59" s="1270"/>
      <c r="I59" s="1271"/>
    </row>
    <row r="60" spans="1:9" ht="18.75" x14ac:dyDescent="0.25">
      <c r="A60" s="1324"/>
      <c r="B60" s="1325"/>
      <c r="C60" s="1325"/>
      <c r="D60" s="1325"/>
      <c r="E60" s="1325"/>
      <c r="F60" s="1325"/>
      <c r="G60" s="1325"/>
      <c r="H60" s="1325"/>
      <c r="I60" s="1325"/>
    </row>
  </sheetData>
  <mergeCells count="44">
    <mergeCell ref="A58:I58"/>
    <mergeCell ref="A59:I59"/>
    <mergeCell ref="A60:I60"/>
    <mergeCell ref="A52:I52"/>
    <mergeCell ref="A53:I53"/>
    <mergeCell ref="A54:I54"/>
    <mergeCell ref="A55:I55"/>
    <mergeCell ref="A56:I56"/>
    <mergeCell ref="A57:I57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44:C44"/>
    <mergeCell ref="F44:G44"/>
    <mergeCell ref="H44:I44"/>
    <mergeCell ref="A45:C45"/>
    <mergeCell ref="F45:G45"/>
    <mergeCell ref="H45:I4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672AA-D538-4438-84CB-2B4CF19A4D03}">
  <dimension ref="A1:M33"/>
  <sheetViews>
    <sheetView workbookViewId="0">
      <selection activeCell="A11" sqref="A11"/>
    </sheetView>
  </sheetViews>
  <sheetFormatPr baseColWidth="10" defaultRowHeight="12.75" x14ac:dyDescent="0.2"/>
  <cols>
    <col min="3" max="3" width="42.42578125" customWidth="1"/>
    <col min="4" max="4" width="16.85546875" customWidth="1"/>
    <col min="8" max="8" width="18.7109375" customWidth="1"/>
    <col min="9" max="9" width="17.28515625" customWidth="1"/>
    <col min="11" max="11" width="59.42578125" customWidth="1"/>
  </cols>
  <sheetData>
    <row r="1" spans="1:13" ht="18" x14ac:dyDescent="0.25">
      <c r="A1" s="1336"/>
      <c r="B1" s="1337"/>
      <c r="C1" s="911" t="s">
        <v>58</v>
      </c>
      <c r="D1" s="911"/>
      <c r="E1" s="911"/>
      <c r="F1" s="911"/>
      <c r="G1" s="911"/>
      <c r="H1" s="621" t="s">
        <v>57</v>
      </c>
      <c r="I1" s="445" t="s">
        <v>382</v>
      </c>
    </row>
    <row r="2" spans="1:13" ht="18" x14ac:dyDescent="0.25">
      <c r="A2" s="1338"/>
      <c r="B2" s="1339"/>
      <c r="C2" s="912" t="s">
        <v>56</v>
      </c>
      <c r="D2" s="912"/>
      <c r="E2" s="912"/>
      <c r="F2" s="912"/>
      <c r="G2" s="912"/>
      <c r="H2" s="622" t="s">
        <v>55</v>
      </c>
      <c r="I2" s="239" t="s">
        <v>383</v>
      </c>
    </row>
    <row r="3" spans="1:13" ht="15" x14ac:dyDescent="0.2">
      <c r="A3" s="1338"/>
      <c r="B3" s="1339"/>
      <c r="C3" s="1342" t="s">
        <v>384</v>
      </c>
      <c r="D3" s="1343"/>
      <c r="E3" s="1343"/>
      <c r="F3" s="1343"/>
      <c r="G3" s="1343"/>
      <c r="H3" s="1344" t="s">
        <v>54</v>
      </c>
      <c r="I3" s="917">
        <v>45715</v>
      </c>
    </row>
    <row r="4" spans="1:13" x14ac:dyDescent="0.2">
      <c r="A4" s="1338"/>
      <c r="B4" s="1339"/>
      <c r="C4" s="623" t="s">
        <v>53</v>
      </c>
      <c r="D4" s="1332" t="s">
        <v>52</v>
      </c>
      <c r="E4" s="1333"/>
      <c r="F4" s="1333"/>
      <c r="G4" s="1333"/>
      <c r="H4" s="1344"/>
      <c r="I4" s="918"/>
    </row>
    <row r="5" spans="1:13" ht="13.5" thickBot="1" x14ac:dyDescent="0.25">
      <c r="A5" s="1340"/>
      <c r="B5" s="1341"/>
      <c r="C5" s="624" t="s">
        <v>51</v>
      </c>
      <c r="D5" s="1334" t="s">
        <v>50</v>
      </c>
      <c r="E5" s="1335"/>
      <c r="F5" s="1335"/>
      <c r="G5" s="1335"/>
      <c r="H5" s="1345"/>
      <c r="I5" s="919"/>
    </row>
    <row r="6" spans="1:13" ht="18.75" thickBot="1" x14ac:dyDescent="0.3">
      <c r="A6" s="893" t="s">
        <v>49</v>
      </c>
      <c r="B6" s="893"/>
      <c r="C6" s="893"/>
      <c r="D6" s="940" t="s">
        <v>385</v>
      </c>
      <c r="E6" s="940"/>
      <c r="F6" s="940"/>
      <c r="G6" s="895" t="s">
        <v>47</v>
      </c>
      <c r="H6" s="895"/>
      <c r="I6" s="242" t="s">
        <v>68</v>
      </c>
    </row>
    <row r="7" spans="1:13" ht="25.5" x14ac:dyDescent="0.2">
      <c r="A7" s="1346" t="s">
        <v>45</v>
      </c>
      <c r="B7" s="1346" t="s">
        <v>45</v>
      </c>
      <c r="C7" s="1349" t="s">
        <v>44</v>
      </c>
      <c r="D7" s="1349" t="s">
        <v>43</v>
      </c>
      <c r="E7" s="1349" t="s">
        <v>42</v>
      </c>
      <c r="F7" s="1349"/>
      <c r="G7" s="1349" t="s">
        <v>41</v>
      </c>
      <c r="H7" s="1349"/>
      <c r="I7" s="625" t="s">
        <v>40</v>
      </c>
    </row>
    <row r="8" spans="1:13" ht="26.25" thickBot="1" x14ac:dyDescent="0.25">
      <c r="A8" s="1347"/>
      <c r="B8" s="1348"/>
      <c r="C8" s="1350"/>
      <c r="D8" s="1351"/>
      <c r="E8" s="626" t="s">
        <v>11</v>
      </c>
      <c r="F8" s="627" t="s">
        <v>39</v>
      </c>
      <c r="G8" s="626" t="s">
        <v>11</v>
      </c>
      <c r="H8" s="627" t="s">
        <v>39</v>
      </c>
      <c r="I8" s="628" t="s">
        <v>38</v>
      </c>
      <c r="K8" s="629"/>
      <c r="L8" s="629"/>
    </row>
    <row r="9" spans="1:13" ht="15" x14ac:dyDescent="0.25">
      <c r="A9" s="630"/>
      <c r="B9" s="631" t="s">
        <v>386</v>
      </c>
      <c r="C9" s="631" t="s">
        <v>387</v>
      </c>
      <c r="D9" s="511" t="s">
        <v>33</v>
      </c>
      <c r="E9" s="286">
        <v>1000</v>
      </c>
      <c r="F9" s="289" t="s">
        <v>2</v>
      </c>
      <c r="G9" s="632"/>
      <c r="H9" s="269"/>
      <c r="I9" s="633"/>
      <c r="K9" s="629"/>
      <c r="L9" s="629"/>
    </row>
    <row r="10" spans="1:13" ht="15" x14ac:dyDescent="0.25">
      <c r="A10" s="493"/>
      <c r="B10" s="285" t="s">
        <v>388</v>
      </c>
      <c r="C10" s="285" t="s">
        <v>389</v>
      </c>
      <c r="D10" s="511" t="s">
        <v>390</v>
      </c>
      <c r="E10" s="286">
        <v>1000</v>
      </c>
      <c r="F10" s="289" t="s">
        <v>2</v>
      </c>
      <c r="G10" s="632"/>
      <c r="H10" s="269"/>
      <c r="I10" s="633"/>
      <c r="K10" s="634"/>
      <c r="L10" s="629"/>
    </row>
    <row r="11" spans="1:13" ht="15" x14ac:dyDescent="0.25">
      <c r="A11" s="630">
        <v>1950702</v>
      </c>
      <c r="B11" s="255" t="s">
        <v>391</v>
      </c>
      <c r="C11" s="452" t="s">
        <v>392</v>
      </c>
      <c r="D11" s="511" t="s">
        <v>393</v>
      </c>
      <c r="E11" s="286">
        <v>1</v>
      </c>
      <c r="F11" s="289" t="s">
        <v>394</v>
      </c>
      <c r="G11" s="632"/>
      <c r="H11" s="635"/>
      <c r="I11" s="633"/>
      <c r="K11" s="629"/>
      <c r="L11" s="629"/>
    </row>
    <row r="12" spans="1:13" ht="15" x14ac:dyDescent="0.25">
      <c r="A12" s="630">
        <v>702067</v>
      </c>
      <c r="B12" s="255" t="s">
        <v>395</v>
      </c>
      <c r="C12" s="255" t="s">
        <v>396</v>
      </c>
      <c r="D12" s="296" t="s">
        <v>23</v>
      </c>
      <c r="E12" s="296">
        <v>1</v>
      </c>
      <c r="F12" s="289" t="s">
        <v>394</v>
      </c>
      <c r="G12" s="632"/>
      <c r="H12" s="269"/>
      <c r="I12" s="633"/>
      <c r="K12" s="629"/>
      <c r="L12" s="629"/>
    </row>
    <row r="13" spans="1:13" ht="15" x14ac:dyDescent="0.25">
      <c r="A13" s="59"/>
      <c r="B13" s="59"/>
      <c r="C13" s="59"/>
      <c r="D13" s="511"/>
      <c r="E13" s="286"/>
      <c r="F13" s="289" t="s">
        <v>394</v>
      </c>
      <c r="G13" s="632"/>
      <c r="H13" s="269"/>
      <c r="I13" s="633"/>
      <c r="L13" s="40">
        <f>SUM(E9:E10)</f>
        <v>2000</v>
      </c>
    </row>
    <row r="14" spans="1:13" ht="13.5" thickBot="1" x14ac:dyDescent="0.25">
      <c r="A14" s="636"/>
      <c r="B14" s="637"/>
      <c r="C14" s="1"/>
      <c r="D14" s="1"/>
      <c r="E14" s="638"/>
      <c r="F14" s="639"/>
      <c r="G14" s="1"/>
      <c r="H14" s="1"/>
      <c r="I14" s="640"/>
      <c r="J14" s="1"/>
      <c r="K14" s="1"/>
      <c r="L14" s="6"/>
      <c r="M14" s="1"/>
    </row>
    <row r="15" spans="1:13" ht="13.5" thickBot="1" x14ac:dyDescent="0.25">
      <c r="A15" s="641"/>
      <c r="B15" s="642"/>
      <c r="C15" s="643"/>
      <c r="D15" s="644" t="s">
        <v>11</v>
      </c>
      <c r="E15" s="645" t="s">
        <v>10</v>
      </c>
      <c r="F15" s="646"/>
      <c r="G15" s="643"/>
      <c r="H15" s="643"/>
      <c r="I15" s="647"/>
      <c r="J15" s="1"/>
      <c r="K15" s="1"/>
      <c r="L15" s="6"/>
      <c r="M15" s="1"/>
    </row>
    <row r="16" spans="1:13" x14ac:dyDescent="0.2">
      <c r="A16" s="1352" t="s">
        <v>9</v>
      </c>
      <c r="B16" s="1353"/>
      <c r="C16" s="1354"/>
      <c r="D16" s="275">
        <v>2000</v>
      </c>
      <c r="E16" s="648" t="s">
        <v>2</v>
      </c>
      <c r="F16" s="1355"/>
      <c r="G16" s="1355"/>
      <c r="H16" s="1356"/>
      <c r="I16" s="1357"/>
      <c r="J16" s="1"/>
      <c r="K16" s="1"/>
      <c r="L16" s="6"/>
      <c r="M16" s="1"/>
    </row>
    <row r="17" spans="1:13" x14ac:dyDescent="0.2">
      <c r="A17" s="1358" t="s">
        <v>105</v>
      </c>
      <c r="B17" s="1359"/>
      <c r="C17" s="1360"/>
      <c r="D17" s="296">
        <v>5</v>
      </c>
      <c r="E17" s="296" t="s">
        <v>7</v>
      </c>
      <c r="F17" s="1361"/>
      <c r="G17" s="1361"/>
      <c r="H17" s="1362"/>
      <c r="I17" s="1363"/>
      <c r="J17" s="1"/>
      <c r="K17" s="1"/>
      <c r="L17" s="6"/>
      <c r="M17" s="1"/>
    </row>
    <row r="18" spans="1:13" x14ac:dyDescent="0.2">
      <c r="A18" s="1358" t="s">
        <v>6</v>
      </c>
      <c r="B18" s="1359"/>
      <c r="C18" s="1360"/>
      <c r="D18" s="275">
        <f>(D16/D19)</f>
        <v>1</v>
      </c>
      <c r="E18" s="296" t="s">
        <v>5</v>
      </c>
      <c r="F18" s="1361"/>
      <c r="G18" s="1361"/>
      <c r="H18" s="1362"/>
      <c r="I18" s="1363"/>
      <c r="J18" s="1"/>
      <c r="K18" s="1"/>
      <c r="L18" s="6"/>
      <c r="M18" s="1"/>
    </row>
    <row r="19" spans="1:13" x14ac:dyDescent="0.2">
      <c r="A19" s="1358" t="s">
        <v>4</v>
      </c>
      <c r="B19" s="1359"/>
      <c r="C19" s="1360"/>
      <c r="D19" s="275">
        <v>2000</v>
      </c>
      <c r="E19" s="296" t="s">
        <v>2</v>
      </c>
      <c r="F19" s="1364"/>
      <c r="G19" s="1365"/>
      <c r="H19" s="1362"/>
      <c r="I19" s="1363"/>
      <c r="J19" s="1"/>
      <c r="K19" s="1"/>
      <c r="L19" s="6"/>
      <c r="M19" s="9"/>
    </row>
    <row r="20" spans="1:13" ht="13.5" thickBot="1" x14ac:dyDescent="0.25">
      <c r="A20" s="1366" t="s">
        <v>3</v>
      </c>
      <c r="B20" s="1367"/>
      <c r="C20" s="1368"/>
      <c r="D20" s="649">
        <f>SUM(E9:E10)-D16</f>
        <v>0</v>
      </c>
      <c r="E20" s="650" t="s">
        <v>2</v>
      </c>
      <c r="F20" s="1369"/>
      <c r="G20" s="1369"/>
      <c r="H20" s="1370"/>
      <c r="I20" s="1371"/>
      <c r="J20" s="1"/>
      <c r="K20" s="1"/>
      <c r="L20" s="6"/>
      <c r="M20" s="1"/>
    </row>
    <row r="21" spans="1:13" ht="13.5" thickBot="1" x14ac:dyDescent="0.25">
      <c r="A21" s="1372" t="s">
        <v>397</v>
      </c>
      <c r="B21" s="1373"/>
      <c r="C21" s="1373"/>
      <c r="D21" s="1373"/>
      <c r="E21" s="1373"/>
      <c r="F21" s="1373"/>
      <c r="G21" s="1373"/>
      <c r="H21" s="1373"/>
      <c r="I21" s="1374"/>
      <c r="J21" s="1"/>
      <c r="K21" s="1"/>
      <c r="L21" s="1"/>
      <c r="M21" s="1"/>
    </row>
    <row r="22" spans="1:13" ht="13.5" x14ac:dyDescent="0.25">
      <c r="A22" s="1375" t="s">
        <v>398</v>
      </c>
      <c r="B22" s="1376"/>
      <c r="C22" s="1377"/>
      <c r="D22" s="1377"/>
      <c r="E22" s="1377"/>
      <c r="F22" s="1377"/>
      <c r="G22" s="1377"/>
      <c r="H22" s="1377"/>
      <c r="I22" s="1378"/>
    </row>
    <row r="23" spans="1:13" ht="13.5" x14ac:dyDescent="0.25">
      <c r="A23" s="651" t="s">
        <v>399</v>
      </c>
      <c r="B23" s="651"/>
      <c r="C23" s="651"/>
      <c r="D23" s="651"/>
      <c r="E23" s="651"/>
      <c r="F23" s="651"/>
      <c r="G23" s="651"/>
      <c r="H23" s="651"/>
      <c r="I23" s="651"/>
    </row>
    <row r="24" spans="1:13" ht="13.5" x14ac:dyDescent="0.25">
      <c r="A24" s="1243" t="s">
        <v>400</v>
      </c>
      <c r="B24" s="1244"/>
      <c r="C24" s="1244"/>
      <c r="D24" s="1244"/>
      <c r="E24" s="1244"/>
      <c r="F24" s="1244"/>
      <c r="G24" s="1244"/>
      <c r="H24" s="1244"/>
      <c r="I24" s="1245"/>
    </row>
    <row r="25" spans="1:13" ht="13.5" x14ac:dyDescent="0.25">
      <c r="A25" s="1379" t="s">
        <v>401</v>
      </c>
      <c r="B25" s="1380"/>
      <c r="C25" s="1381"/>
      <c r="D25" s="1381"/>
      <c r="E25" s="1381"/>
      <c r="F25" s="1381"/>
      <c r="G25" s="1381"/>
      <c r="H25" s="1381"/>
      <c r="I25" s="1382"/>
    </row>
    <row r="26" spans="1:13" ht="16.5" x14ac:dyDescent="0.3">
      <c r="A26" s="1383"/>
      <c r="B26" s="1384"/>
      <c r="C26" s="1384"/>
      <c r="D26" s="1384"/>
      <c r="E26" s="1384"/>
      <c r="F26" s="1384"/>
      <c r="G26" s="1384"/>
      <c r="H26" s="1384"/>
      <c r="I26" s="1385"/>
    </row>
    <row r="27" spans="1:13" ht="13.5" x14ac:dyDescent="0.25">
      <c r="A27" s="1228"/>
      <c r="B27" s="1229"/>
      <c r="C27" s="1230"/>
      <c r="D27" s="1230"/>
      <c r="E27" s="1230"/>
      <c r="F27" s="1230"/>
      <c r="G27" s="1230"/>
      <c r="H27" s="1230"/>
      <c r="I27" s="1231"/>
    </row>
    <row r="28" spans="1:13" ht="15" x14ac:dyDescent="0.25">
      <c r="A28" s="982"/>
      <c r="B28" s="983"/>
      <c r="C28" s="983"/>
      <c r="D28" s="983"/>
      <c r="E28" s="983"/>
      <c r="F28" s="983"/>
      <c r="G28" s="983"/>
      <c r="H28" s="983"/>
      <c r="I28" s="984"/>
    </row>
    <row r="29" spans="1:13" ht="14.25" x14ac:dyDescent="0.2">
      <c r="A29" s="961"/>
      <c r="B29" s="962"/>
      <c r="C29" s="962"/>
      <c r="D29" s="962"/>
      <c r="E29" s="962"/>
      <c r="F29" s="962"/>
      <c r="G29" s="962"/>
      <c r="H29" s="962"/>
      <c r="I29" s="963"/>
    </row>
    <row r="30" spans="1:13" ht="15" x14ac:dyDescent="0.25">
      <c r="A30" s="1386" t="s">
        <v>0</v>
      </c>
      <c r="B30" s="1387"/>
      <c r="C30" s="1387"/>
      <c r="D30" s="1387"/>
      <c r="E30" s="1387"/>
      <c r="F30" s="1387"/>
      <c r="G30" s="1387"/>
      <c r="H30" s="1387"/>
      <c r="I30" s="1388"/>
    </row>
    <row r="31" spans="1:13" ht="15" thickBot="1" x14ac:dyDescent="0.25">
      <c r="A31" s="985"/>
      <c r="B31" s="986"/>
      <c r="C31" s="986"/>
      <c r="D31" s="986"/>
      <c r="E31" s="986"/>
      <c r="F31" s="986"/>
      <c r="G31" s="986"/>
      <c r="H31" s="986"/>
      <c r="I31" s="987"/>
    </row>
    <row r="33" spans="1:9" x14ac:dyDescent="0.2">
      <c r="A33" s="2"/>
      <c r="B33" s="2"/>
      <c r="C33" s="2"/>
      <c r="D33" s="1"/>
      <c r="E33" s="1"/>
      <c r="F33" s="1"/>
      <c r="G33" s="1"/>
      <c r="H33" s="1"/>
      <c r="I33" s="1"/>
    </row>
  </sheetData>
  <mergeCells count="42">
    <mergeCell ref="A31:I31"/>
    <mergeCell ref="A25:I25"/>
    <mergeCell ref="A26:I26"/>
    <mergeCell ref="A27:I27"/>
    <mergeCell ref="A28:I28"/>
    <mergeCell ref="A29:I29"/>
    <mergeCell ref="A30:I30"/>
    <mergeCell ref="A24:I24"/>
    <mergeCell ref="A18:C18"/>
    <mergeCell ref="F18:G18"/>
    <mergeCell ref="H18:I18"/>
    <mergeCell ref="A19:C19"/>
    <mergeCell ref="F19:G19"/>
    <mergeCell ref="H19:I19"/>
    <mergeCell ref="A20:C20"/>
    <mergeCell ref="F20:G20"/>
    <mergeCell ref="H20:I20"/>
    <mergeCell ref="A21:I21"/>
    <mergeCell ref="A22:I22"/>
    <mergeCell ref="A16:C16"/>
    <mergeCell ref="F16:G16"/>
    <mergeCell ref="H16:I16"/>
    <mergeCell ref="A17:C17"/>
    <mergeCell ref="F17:G17"/>
    <mergeCell ref="H17:I1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4FF1D-9FAE-4181-8646-6EF71465771F}">
  <dimension ref="A1:I60"/>
  <sheetViews>
    <sheetView topLeftCell="A3" zoomScale="70" zoomScaleNormal="70" workbookViewId="0">
      <selection activeCell="D13" sqref="D13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7.42578125" bestFit="1" customWidth="1"/>
  </cols>
  <sheetData>
    <row r="1" spans="1:9" ht="15.75" x14ac:dyDescent="0.25">
      <c r="A1" s="926"/>
      <c r="B1" s="927"/>
      <c r="C1" s="932" t="s">
        <v>58</v>
      </c>
      <c r="D1" s="932"/>
      <c r="E1" s="932"/>
      <c r="F1" s="932"/>
      <c r="G1" s="932"/>
      <c r="H1" s="235" t="s">
        <v>57</v>
      </c>
      <c r="I1" s="445" t="s">
        <v>402</v>
      </c>
    </row>
    <row r="2" spans="1:9" ht="18" customHeight="1" thickBot="1" x14ac:dyDescent="0.3">
      <c r="A2" s="928"/>
      <c r="B2" s="929"/>
      <c r="C2" s="1010" t="s">
        <v>56</v>
      </c>
      <c r="D2" s="1011"/>
      <c r="E2" s="1011"/>
      <c r="F2" s="1011"/>
      <c r="G2" s="1012"/>
      <c r="H2" s="238" t="s">
        <v>55</v>
      </c>
      <c r="I2" s="239" t="s">
        <v>235</v>
      </c>
    </row>
    <row r="3" spans="1:9" ht="31.5" customHeight="1" thickBot="1" x14ac:dyDescent="0.25">
      <c r="A3" s="928"/>
      <c r="B3" s="929"/>
      <c r="C3" s="1389" t="s">
        <v>403</v>
      </c>
      <c r="D3" s="1390"/>
      <c r="E3" s="1390"/>
      <c r="F3" s="1390"/>
      <c r="G3" s="1391"/>
      <c r="H3" s="937" t="s">
        <v>54</v>
      </c>
      <c r="I3" s="917">
        <v>45615</v>
      </c>
    </row>
    <row r="4" spans="1:9" ht="18" customHeight="1" x14ac:dyDescent="0.25">
      <c r="A4" s="928"/>
      <c r="B4" s="929"/>
      <c r="C4" s="240" t="s">
        <v>53</v>
      </c>
      <c r="D4" s="920" t="s">
        <v>237</v>
      </c>
      <c r="E4" s="921"/>
      <c r="F4" s="921"/>
      <c r="G4" s="922"/>
      <c r="H4" s="938"/>
      <c r="I4" s="918"/>
    </row>
    <row r="5" spans="1:9" ht="14.25" thickBot="1" x14ac:dyDescent="0.3">
      <c r="A5" s="930"/>
      <c r="B5" s="931"/>
      <c r="C5" s="241" t="s">
        <v>51</v>
      </c>
      <c r="D5" s="923" t="s">
        <v>125</v>
      </c>
      <c r="E5" s="924"/>
      <c r="F5" s="924"/>
      <c r="G5" s="925"/>
      <c r="H5" s="939"/>
      <c r="I5" s="919"/>
    </row>
    <row r="6" spans="1:9" ht="18.75" thickBot="1" x14ac:dyDescent="0.3">
      <c r="A6" s="893" t="s">
        <v>49</v>
      </c>
      <c r="B6" s="893"/>
      <c r="C6" s="893"/>
      <c r="D6" s="940" t="s">
        <v>68</v>
      </c>
      <c r="E6" s="940"/>
      <c r="F6" s="940"/>
      <c r="G6" s="895" t="s">
        <v>47</v>
      </c>
      <c r="H6" s="895"/>
      <c r="I6" s="242" t="s">
        <v>68</v>
      </c>
    </row>
    <row r="7" spans="1:9" ht="25.5" x14ac:dyDescent="0.2">
      <c r="A7" s="941" t="s">
        <v>45</v>
      </c>
      <c r="B7" s="943" t="s">
        <v>128</v>
      </c>
      <c r="C7" s="945" t="s">
        <v>44</v>
      </c>
      <c r="D7" s="945" t="s">
        <v>43</v>
      </c>
      <c r="E7" s="945" t="s">
        <v>42</v>
      </c>
      <c r="F7" s="945"/>
      <c r="G7" s="945" t="s">
        <v>41</v>
      </c>
      <c r="H7" s="945"/>
      <c r="I7" s="243" t="s">
        <v>40</v>
      </c>
    </row>
    <row r="8" spans="1:9" ht="26.25" thickBot="1" x14ac:dyDescent="0.25">
      <c r="A8" s="942"/>
      <c r="B8" s="944"/>
      <c r="C8" s="946"/>
      <c r="D8" s="946"/>
      <c r="E8" s="244" t="s">
        <v>11</v>
      </c>
      <c r="F8" s="245" t="s">
        <v>39</v>
      </c>
      <c r="G8" s="244" t="s">
        <v>11</v>
      </c>
      <c r="H8" s="245" t="s">
        <v>39</v>
      </c>
      <c r="I8" s="246" t="s">
        <v>38</v>
      </c>
    </row>
    <row r="9" spans="1:9" ht="18.600000000000001" customHeight="1" x14ac:dyDescent="0.25">
      <c r="A9" s="247"/>
      <c r="B9" s="248"/>
      <c r="C9" s="249" t="s">
        <v>129</v>
      </c>
      <c r="D9" s="250"/>
      <c r="E9" s="251"/>
      <c r="F9" s="252"/>
      <c r="G9" s="251"/>
      <c r="H9" s="252"/>
      <c r="I9" s="253"/>
    </row>
    <row r="10" spans="1:9" ht="18" customHeight="1" x14ac:dyDescent="0.25">
      <c r="A10" s="652">
        <v>510302</v>
      </c>
      <c r="B10" s="652" t="s">
        <v>404</v>
      </c>
      <c r="C10" s="653" t="s">
        <v>405</v>
      </c>
      <c r="D10" s="654" t="s">
        <v>255</v>
      </c>
      <c r="E10" s="655">
        <v>1100</v>
      </c>
      <c r="F10" s="656" t="s">
        <v>2</v>
      </c>
      <c r="G10" s="123"/>
      <c r="H10" s="450"/>
      <c r="I10" s="253"/>
    </row>
    <row r="11" spans="1:9" ht="15.75" x14ac:dyDescent="0.25">
      <c r="A11" s="657"/>
      <c r="B11" s="658"/>
      <c r="C11" s="288"/>
      <c r="D11" s="659"/>
      <c r="E11" s="660"/>
      <c r="F11" s="661"/>
      <c r="G11" s="123"/>
      <c r="H11" s="450"/>
      <c r="I11" s="253"/>
    </row>
    <row r="12" spans="1:9" ht="15.75" x14ac:dyDescent="0.25">
      <c r="A12" s="662"/>
      <c r="B12" s="663"/>
      <c r="C12" s="664"/>
      <c r="D12" s="124"/>
      <c r="E12" s="124"/>
      <c r="F12" s="124"/>
      <c r="G12" s="77"/>
      <c r="H12" s="450"/>
      <c r="I12" s="253"/>
    </row>
    <row r="13" spans="1:9" ht="15.75" x14ac:dyDescent="0.25">
      <c r="A13" s="665"/>
      <c r="B13" s="666"/>
      <c r="C13" s="664"/>
      <c r="D13" s="124"/>
      <c r="E13" s="124"/>
      <c r="F13" s="124"/>
      <c r="G13" s="77"/>
      <c r="H13" s="450"/>
      <c r="I13" s="253"/>
    </row>
    <row r="14" spans="1:9" ht="15" x14ac:dyDescent="0.25">
      <c r="A14" s="255"/>
      <c r="B14" s="255"/>
      <c r="C14" s="288"/>
      <c r="D14" s="286"/>
      <c r="E14" s="293"/>
      <c r="F14" s="289"/>
      <c r="G14" s="77"/>
      <c r="H14" s="450"/>
      <c r="I14" s="253"/>
    </row>
    <row r="15" spans="1:9" ht="15" x14ac:dyDescent="0.25">
      <c r="A15" s="255"/>
      <c r="B15" s="255"/>
      <c r="C15" s="288"/>
      <c r="D15" s="286"/>
      <c r="E15" s="293"/>
      <c r="F15" s="289"/>
      <c r="G15" s="77"/>
      <c r="H15" s="450"/>
      <c r="I15" s="253"/>
    </row>
    <row r="16" spans="1:9" ht="15" x14ac:dyDescent="0.25">
      <c r="A16" s="255"/>
      <c r="B16" s="255"/>
      <c r="C16" s="288"/>
      <c r="D16" s="286"/>
      <c r="E16" s="293"/>
      <c r="F16" s="289"/>
      <c r="G16" s="77"/>
      <c r="H16" s="450"/>
      <c r="I16" s="253"/>
    </row>
    <row r="17" spans="1:9" ht="15" x14ac:dyDescent="0.25">
      <c r="A17" s="255"/>
      <c r="B17" s="255"/>
      <c r="C17" s="288"/>
      <c r="D17" s="286"/>
      <c r="E17" s="293"/>
      <c r="F17" s="289"/>
      <c r="G17" s="77"/>
      <c r="H17" s="450"/>
      <c r="I17" s="253"/>
    </row>
    <row r="18" spans="1:9" ht="15" x14ac:dyDescent="0.25">
      <c r="A18" s="255"/>
      <c r="B18" s="255"/>
      <c r="C18" s="288"/>
      <c r="D18" s="286"/>
      <c r="E18" s="293"/>
      <c r="F18" s="289"/>
      <c r="G18" s="77"/>
      <c r="H18" s="450"/>
      <c r="I18" s="253"/>
    </row>
    <row r="19" spans="1:9" ht="15" x14ac:dyDescent="0.25">
      <c r="A19" s="255"/>
      <c r="B19" s="255"/>
      <c r="C19" s="288"/>
      <c r="D19" s="286"/>
      <c r="E19" s="293"/>
      <c r="F19" s="289"/>
      <c r="G19" s="77"/>
      <c r="H19" s="450"/>
      <c r="I19" s="253"/>
    </row>
    <row r="20" spans="1:9" ht="15" x14ac:dyDescent="0.25">
      <c r="A20" s="446"/>
      <c r="B20" s="255"/>
      <c r="C20" s="59"/>
      <c r="D20" s="453"/>
      <c r="E20" s="453"/>
      <c r="F20" s="453"/>
      <c r="G20" s="251"/>
      <c r="H20" s="450"/>
      <c r="I20" s="253"/>
    </row>
    <row r="21" spans="1:9" ht="15.75" x14ac:dyDescent="0.25">
      <c r="A21" s="290"/>
      <c r="B21" s="291"/>
      <c r="C21" s="292" t="s">
        <v>126</v>
      </c>
      <c r="D21" s="293"/>
      <c r="E21" s="294"/>
      <c r="F21" s="289"/>
      <c r="G21" s="251"/>
      <c r="H21" s="252"/>
      <c r="I21" s="253"/>
    </row>
    <row r="22" spans="1:9" ht="15" x14ac:dyDescent="0.25">
      <c r="A22" s="455"/>
      <c r="B22" s="456"/>
      <c r="C22" s="457"/>
      <c r="D22" s="458"/>
      <c r="E22" s="459"/>
      <c r="F22" s="460"/>
      <c r="G22" s="251"/>
      <c r="H22" s="252"/>
      <c r="I22" s="253"/>
    </row>
    <row r="23" spans="1:9" ht="15" x14ac:dyDescent="0.25">
      <c r="A23" s="455"/>
      <c r="B23" s="456"/>
      <c r="C23" s="457"/>
      <c r="D23" s="458"/>
      <c r="E23" s="490"/>
      <c r="F23" s="460"/>
      <c r="G23" s="251"/>
      <c r="H23" s="252"/>
      <c r="I23" s="253"/>
    </row>
    <row r="24" spans="1:9" ht="15" x14ac:dyDescent="0.25">
      <c r="A24" s="455"/>
      <c r="B24" s="456"/>
      <c r="C24" s="457"/>
      <c r="D24" s="458"/>
      <c r="E24" s="459"/>
      <c r="F24" s="460"/>
      <c r="G24" s="251"/>
      <c r="H24" s="252"/>
      <c r="I24" s="253"/>
    </row>
    <row r="25" spans="1:9" ht="15" x14ac:dyDescent="0.25">
      <c r="A25" s="455"/>
      <c r="B25" s="456"/>
      <c r="C25" s="457"/>
      <c r="D25" s="458"/>
      <c r="E25" s="491"/>
      <c r="F25" s="492"/>
      <c r="G25" s="251"/>
      <c r="H25" s="252"/>
      <c r="I25" s="253"/>
    </row>
    <row r="26" spans="1:9" ht="15" x14ac:dyDescent="0.25">
      <c r="A26" s="455"/>
      <c r="B26" s="456"/>
      <c r="C26" s="457"/>
      <c r="D26" s="458"/>
      <c r="E26" s="497"/>
      <c r="F26" s="492"/>
      <c r="G26" s="251"/>
      <c r="H26" s="252"/>
      <c r="I26" s="253"/>
    </row>
    <row r="27" spans="1:9" ht="15" x14ac:dyDescent="0.25">
      <c r="A27" s="285"/>
      <c r="B27" s="285"/>
      <c r="D27" s="507"/>
      <c r="E27" s="508"/>
      <c r="F27" s="509"/>
      <c r="G27" s="251"/>
      <c r="H27" s="252"/>
      <c r="I27" s="253"/>
    </row>
    <row r="28" spans="1:9" ht="15" x14ac:dyDescent="0.25">
      <c r="A28" s="255"/>
      <c r="B28" s="255"/>
      <c r="C28" s="59"/>
      <c r="D28" s="461"/>
      <c r="E28" s="495"/>
      <c r="F28" s="509"/>
      <c r="G28" s="251"/>
      <c r="H28" s="252"/>
      <c r="I28" s="253"/>
    </row>
    <row r="29" spans="1:9" ht="15" x14ac:dyDescent="0.25">
      <c r="A29" s="255"/>
      <c r="B29" s="255"/>
      <c r="C29" s="59"/>
      <c r="D29" s="461"/>
      <c r="E29" s="462"/>
      <c r="F29" s="463"/>
      <c r="G29" s="251"/>
      <c r="H29" s="252"/>
      <c r="I29" s="253"/>
    </row>
    <row r="30" spans="1:9" ht="15.75" x14ac:dyDescent="0.25">
      <c r="A30" s="303"/>
      <c r="B30" s="304"/>
      <c r="C30" s="305" t="s">
        <v>239</v>
      </c>
      <c r="D30" s="306"/>
      <c r="E30" s="464"/>
      <c r="F30" s="252"/>
      <c r="G30" s="251"/>
      <c r="I30" s="253"/>
    </row>
    <row r="31" spans="1:9" ht="15" x14ac:dyDescent="0.25">
      <c r="A31" s="493">
        <v>1950702</v>
      </c>
      <c r="B31" s="493" t="s">
        <v>391</v>
      </c>
      <c r="C31" s="494" t="s">
        <v>406</v>
      </c>
      <c r="D31" s="125" t="s">
        <v>295</v>
      </c>
      <c r="E31" s="319">
        <v>1</v>
      </c>
      <c r="F31" s="320" t="s">
        <v>394</v>
      </c>
      <c r="G31" s="468"/>
      <c r="H31" s="252"/>
      <c r="I31" s="253"/>
    </row>
    <row r="32" spans="1:9" ht="15" x14ac:dyDescent="0.25">
      <c r="A32" s="667">
        <v>702067</v>
      </c>
      <c r="B32" s="667" t="s">
        <v>395</v>
      </c>
      <c r="C32" s="668" t="s">
        <v>407</v>
      </c>
      <c r="D32" s="125" t="s">
        <v>255</v>
      </c>
      <c r="E32" s="319">
        <v>1</v>
      </c>
      <c r="F32" s="320" t="s">
        <v>394</v>
      </c>
      <c r="G32" s="468"/>
      <c r="H32" s="252"/>
      <c r="I32" s="253"/>
    </row>
    <row r="33" spans="1:9" ht="15" x14ac:dyDescent="0.25">
      <c r="A33" s="255"/>
      <c r="B33" s="255"/>
      <c r="C33" s="59"/>
      <c r="D33" s="300"/>
      <c r="E33" s="462"/>
      <c r="F33" s="77"/>
      <c r="G33" s="468"/>
      <c r="H33" s="252"/>
      <c r="I33" s="253"/>
    </row>
    <row r="34" spans="1:9" ht="15" x14ac:dyDescent="0.25">
      <c r="A34" s="472"/>
      <c r="B34" s="472"/>
      <c r="C34" s="473"/>
      <c r="D34" s="125"/>
      <c r="E34" s="319"/>
      <c r="F34" s="320"/>
      <c r="G34" s="251"/>
      <c r="H34" s="252"/>
      <c r="I34" s="253"/>
    </row>
    <row r="35" spans="1:9" ht="15" x14ac:dyDescent="0.25">
      <c r="A35" s="472"/>
      <c r="B35" s="472"/>
      <c r="C35" s="473"/>
      <c r="D35" s="125"/>
      <c r="E35" s="319"/>
      <c r="F35" s="320"/>
      <c r="G35" s="251"/>
      <c r="H35" s="252"/>
      <c r="I35" s="253"/>
    </row>
    <row r="36" spans="1:9" ht="15" x14ac:dyDescent="0.25">
      <c r="A36" s="472"/>
      <c r="B36" s="472"/>
      <c r="C36" s="473"/>
      <c r="D36" s="125"/>
      <c r="E36" s="319"/>
      <c r="F36" s="320"/>
      <c r="G36" s="326"/>
      <c r="H36" s="252"/>
      <c r="I36" s="253"/>
    </row>
    <row r="37" spans="1:9" ht="15.75" x14ac:dyDescent="0.25">
      <c r="A37" s="472"/>
      <c r="B37" s="472"/>
      <c r="C37" s="473"/>
      <c r="D37" s="124"/>
      <c r="E37" s="319"/>
      <c r="F37" s="320"/>
      <c r="G37" s="286"/>
      <c r="H37" s="252"/>
      <c r="I37" s="253"/>
    </row>
    <row r="38" spans="1:9" ht="15" x14ac:dyDescent="0.25">
      <c r="A38" s="474"/>
      <c r="B38" s="474"/>
      <c r="C38" s="475"/>
      <c r="D38" s="125"/>
      <c r="E38" s="463"/>
      <c r="F38" s="463"/>
      <c r="G38" s="286"/>
      <c r="H38" s="252"/>
      <c r="I38" s="253"/>
    </row>
    <row r="39" spans="1:9" ht="15" x14ac:dyDescent="0.25">
      <c r="A39" s="493"/>
      <c r="B39" s="255"/>
      <c r="C39" s="494"/>
      <c r="D39" s="300"/>
      <c r="E39" s="462"/>
      <c r="F39" s="77"/>
      <c r="G39" s="286"/>
      <c r="H39" s="252"/>
      <c r="I39" s="253"/>
    </row>
    <row r="40" spans="1:9" ht="15.75" x14ac:dyDescent="0.25">
      <c r="A40" s="472"/>
      <c r="B40" s="472"/>
      <c r="C40" s="473"/>
      <c r="D40" s="125"/>
      <c r="E40" s="462"/>
      <c r="F40" s="77"/>
      <c r="G40" s="328"/>
      <c r="H40" s="252"/>
      <c r="I40" s="253"/>
    </row>
    <row r="41" spans="1:9" ht="15.75" x14ac:dyDescent="0.25">
      <c r="A41" s="290"/>
      <c r="B41" s="291"/>
      <c r="C41" s="327"/>
      <c r="D41" s="293"/>
      <c r="E41" s="293"/>
      <c r="F41" s="289"/>
      <c r="G41" s="325"/>
      <c r="H41" s="325"/>
      <c r="I41" s="253"/>
    </row>
    <row r="42" spans="1:9" ht="14.25" thickBot="1" x14ac:dyDescent="0.3">
      <c r="A42" s="329"/>
      <c r="B42" s="330"/>
      <c r="C42" s="331"/>
      <c r="D42" s="331"/>
      <c r="E42" s="332"/>
      <c r="F42" s="333"/>
      <c r="G42" s="331"/>
      <c r="H42" s="331"/>
      <c r="I42" s="334"/>
    </row>
    <row r="43" spans="1:9" ht="14.25" thickBot="1" x14ac:dyDescent="0.3">
      <c r="A43" s="335"/>
      <c r="B43" s="336"/>
      <c r="C43" s="337"/>
      <c r="D43" s="338" t="s">
        <v>11</v>
      </c>
      <c r="E43" s="339" t="s">
        <v>10</v>
      </c>
      <c r="F43" s="340"/>
      <c r="G43" s="337"/>
      <c r="H43" s="337"/>
      <c r="I43" s="341"/>
    </row>
    <row r="44" spans="1:9" ht="13.5" x14ac:dyDescent="0.25">
      <c r="A44" s="947" t="s">
        <v>9</v>
      </c>
      <c r="B44" s="948"/>
      <c r="C44" s="949"/>
      <c r="D44" s="495">
        <v>1000</v>
      </c>
      <c r="E44" s="111" t="s">
        <v>2</v>
      </c>
      <c r="F44" s="950" t="s">
        <v>104</v>
      </c>
      <c r="G44" s="950"/>
      <c r="H44" s="951"/>
      <c r="I44" s="952"/>
    </row>
    <row r="45" spans="1:9" ht="13.5" x14ac:dyDescent="0.25">
      <c r="A45" s="953" t="s">
        <v>105</v>
      </c>
      <c r="B45" s="954"/>
      <c r="C45" s="955"/>
      <c r="D45" s="462">
        <v>6</v>
      </c>
      <c r="E45" s="77" t="s">
        <v>7</v>
      </c>
      <c r="F45" s="956" t="s">
        <v>106</v>
      </c>
      <c r="G45" s="956"/>
      <c r="H45" s="957"/>
      <c r="I45" s="958"/>
    </row>
    <row r="46" spans="1:9" ht="13.5" x14ac:dyDescent="0.25">
      <c r="A46" s="953" t="s">
        <v>6</v>
      </c>
      <c r="B46" s="954"/>
      <c r="C46" s="955"/>
      <c r="D46" s="462">
        <v>1</v>
      </c>
      <c r="E46" s="77" t="s">
        <v>5</v>
      </c>
      <c r="F46" s="956" t="s">
        <v>107</v>
      </c>
      <c r="G46" s="956"/>
      <c r="H46" s="957"/>
      <c r="I46" s="958"/>
    </row>
    <row r="47" spans="1:9" ht="13.5" x14ac:dyDescent="0.25">
      <c r="A47" s="953" t="s">
        <v>4</v>
      </c>
      <c r="B47" s="954"/>
      <c r="C47" s="955"/>
      <c r="D47" s="462">
        <v>1000</v>
      </c>
      <c r="E47" s="77" t="s">
        <v>2</v>
      </c>
      <c r="F47" s="959" t="s">
        <v>132</v>
      </c>
      <c r="G47" s="960"/>
      <c r="H47" s="1218"/>
      <c r="I47" s="1219"/>
    </row>
    <row r="48" spans="1:9" ht="14.25" thickBot="1" x14ac:dyDescent="0.3">
      <c r="A48" s="964" t="s">
        <v>3</v>
      </c>
      <c r="B48" s="965"/>
      <c r="C48" s="966"/>
      <c r="D48" s="477">
        <v>100</v>
      </c>
      <c r="E48" s="112" t="s">
        <v>2</v>
      </c>
      <c r="F48" s="967"/>
      <c r="G48" s="967"/>
      <c r="H48" s="957"/>
      <c r="I48" s="958"/>
    </row>
    <row r="49" spans="1:9" ht="13.5" thickBot="1" x14ac:dyDescent="0.25">
      <c r="A49" s="970" t="s">
        <v>1</v>
      </c>
      <c r="B49" s="971"/>
      <c r="C49" s="971"/>
      <c r="D49" s="971"/>
      <c r="E49" s="971"/>
      <c r="F49" s="971"/>
      <c r="G49" s="971"/>
      <c r="H49" s="971"/>
      <c r="I49" s="972"/>
    </row>
    <row r="50" spans="1:9" ht="18.600000000000001" customHeight="1" x14ac:dyDescent="0.25">
      <c r="A50" s="1375" t="s">
        <v>408</v>
      </c>
      <c r="B50" s="1376"/>
      <c r="C50" s="1377"/>
      <c r="D50" s="1377"/>
      <c r="E50" s="1377"/>
      <c r="F50" s="1377"/>
      <c r="G50" s="1377"/>
      <c r="H50" s="1377"/>
      <c r="I50" s="1378"/>
    </row>
    <row r="51" spans="1:9" ht="15.6" customHeight="1" x14ac:dyDescent="0.25">
      <c r="A51" s="1243" t="s">
        <v>409</v>
      </c>
      <c r="B51" s="1244"/>
      <c r="C51" s="1244"/>
      <c r="D51" s="1244"/>
      <c r="E51" s="1244"/>
      <c r="F51" s="1244"/>
      <c r="G51" s="1244"/>
      <c r="H51" s="1244"/>
      <c r="I51" s="1245"/>
    </row>
    <row r="52" spans="1:9" ht="14.45" customHeight="1" x14ac:dyDescent="0.25">
      <c r="A52" s="1379" t="s">
        <v>410</v>
      </c>
      <c r="B52" s="1380"/>
      <c r="C52" s="1381"/>
      <c r="D52" s="1381"/>
      <c r="E52" s="1381"/>
      <c r="F52" s="1381"/>
      <c r="G52" s="1381"/>
      <c r="H52" s="1381"/>
      <c r="I52" s="1382"/>
    </row>
    <row r="53" spans="1:9" ht="14.45" customHeight="1" x14ac:dyDescent="0.3">
      <c r="A53" s="1383" t="s">
        <v>411</v>
      </c>
      <c r="B53" s="1384"/>
      <c r="C53" s="1384"/>
      <c r="D53" s="1384"/>
      <c r="E53" s="1384"/>
      <c r="F53" s="1384"/>
      <c r="G53" s="1384"/>
      <c r="H53" s="1384"/>
      <c r="I53" s="1385"/>
    </row>
    <row r="54" spans="1:9" ht="14.45" customHeight="1" x14ac:dyDescent="0.25">
      <c r="A54" s="1228"/>
      <c r="B54" s="1229"/>
      <c r="C54" s="1230"/>
      <c r="D54" s="1230"/>
      <c r="E54" s="1230"/>
      <c r="F54" s="1230"/>
      <c r="G54" s="1230"/>
      <c r="H54" s="1230"/>
      <c r="I54" s="1231"/>
    </row>
    <row r="55" spans="1:9" ht="18" customHeight="1" x14ac:dyDescent="0.25">
      <c r="A55" s="979"/>
      <c r="B55" s="980"/>
      <c r="C55" s="980"/>
      <c r="D55" s="980"/>
      <c r="E55" s="980"/>
      <c r="F55" s="980"/>
      <c r="G55" s="980"/>
      <c r="H55" s="980"/>
      <c r="I55" s="981"/>
    </row>
    <row r="56" spans="1:9" ht="15" x14ac:dyDescent="0.25">
      <c r="A56" s="1249"/>
      <c r="B56" s="1250"/>
      <c r="C56" s="1250"/>
      <c r="D56" s="1250"/>
      <c r="E56" s="1250"/>
      <c r="F56" s="1250"/>
      <c r="G56" s="1250"/>
      <c r="H56" s="1250"/>
      <c r="I56" s="1251"/>
    </row>
    <row r="57" spans="1:9" ht="15" thickBot="1" x14ac:dyDescent="0.25">
      <c r="A57" s="1252"/>
      <c r="B57" s="1253"/>
      <c r="C57" s="1253"/>
      <c r="D57" s="1253"/>
      <c r="E57" s="1253"/>
      <c r="F57" s="1253"/>
      <c r="G57" s="1253"/>
      <c r="H57" s="1253"/>
      <c r="I57" s="1254"/>
    </row>
    <row r="58" spans="1:9" x14ac:dyDescent="0.2">
      <c r="A58" s="991" t="s">
        <v>0</v>
      </c>
      <c r="B58" s="992"/>
      <c r="C58" s="992"/>
      <c r="D58" s="992"/>
      <c r="E58" s="992"/>
      <c r="F58" s="992"/>
      <c r="G58" s="992"/>
      <c r="H58" s="992"/>
      <c r="I58" s="992"/>
    </row>
    <row r="59" spans="1:9" ht="13.5" x14ac:dyDescent="0.25">
      <c r="A59" s="993"/>
      <c r="B59" s="994"/>
      <c r="C59" s="994"/>
      <c r="D59" s="994"/>
      <c r="E59" s="994"/>
      <c r="F59" s="994"/>
      <c r="G59" s="994"/>
      <c r="H59" s="994"/>
      <c r="I59" s="994"/>
    </row>
    <row r="60" spans="1:9" ht="13.5" x14ac:dyDescent="0.25">
      <c r="A60" s="993"/>
      <c r="B60" s="994"/>
      <c r="C60" s="994"/>
      <c r="D60" s="994"/>
      <c r="E60" s="994"/>
      <c r="F60" s="994"/>
      <c r="G60" s="994"/>
      <c r="H60" s="994"/>
      <c r="I60" s="994"/>
    </row>
  </sheetData>
  <mergeCells count="44">
    <mergeCell ref="A58:I58"/>
    <mergeCell ref="A59:I59"/>
    <mergeCell ref="A60:I60"/>
    <mergeCell ref="A52:I52"/>
    <mergeCell ref="A53:I53"/>
    <mergeCell ref="A54:I54"/>
    <mergeCell ref="A55:I55"/>
    <mergeCell ref="A56:I56"/>
    <mergeCell ref="A57:I57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44:C44"/>
    <mergeCell ref="F44:G44"/>
    <mergeCell ref="H44:I44"/>
    <mergeCell ref="A45:C45"/>
    <mergeCell ref="F45:G45"/>
    <mergeCell ref="H45:I4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5E1CB-2117-49E7-B92D-8C8C86756717}">
  <dimension ref="A1:H27"/>
  <sheetViews>
    <sheetView workbookViewId="0">
      <selection activeCell="E10" sqref="E10"/>
    </sheetView>
  </sheetViews>
  <sheetFormatPr baseColWidth="10" defaultColWidth="11.42578125" defaultRowHeight="13.5" x14ac:dyDescent="0.25"/>
  <cols>
    <col min="1" max="1" width="16.140625" style="669" customWidth="1"/>
    <col min="2" max="2" width="44.28515625" style="669" customWidth="1"/>
    <col min="3" max="3" width="14.140625" style="669" customWidth="1"/>
    <col min="4" max="4" width="11.42578125" style="669"/>
    <col min="5" max="5" width="12.140625" style="669" customWidth="1"/>
    <col min="6" max="6" width="12" style="669" customWidth="1"/>
    <col min="7" max="7" width="14.28515625" style="669" customWidth="1"/>
    <col min="8" max="8" width="16" style="669" customWidth="1"/>
    <col min="9" max="16384" width="11.42578125" style="669"/>
  </cols>
  <sheetData>
    <row r="1" spans="1:8" ht="15.75" x14ac:dyDescent="0.25">
      <c r="A1" s="1397"/>
      <c r="B1" s="932" t="s">
        <v>58</v>
      </c>
      <c r="C1" s="932"/>
      <c r="D1" s="932"/>
      <c r="E1" s="932"/>
      <c r="F1" s="932"/>
      <c r="G1" s="235" t="s">
        <v>57</v>
      </c>
      <c r="H1" s="445" t="s">
        <v>412</v>
      </c>
    </row>
    <row r="2" spans="1:8" ht="16.5" thickBot="1" x14ac:dyDescent="0.3">
      <c r="A2" s="1398"/>
      <c r="B2" s="933" t="s">
        <v>56</v>
      </c>
      <c r="C2" s="933"/>
      <c r="D2" s="933"/>
      <c r="E2" s="933"/>
      <c r="F2" s="933"/>
      <c r="G2" s="238" t="s">
        <v>55</v>
      </c>
      <c r="H2" s="239" t="s">
        <v>235</v>
      </c>
    </row>
    <row r="3" spans="1:8" ht="18.75" thickBot="1" x14ac:dyDescent="0.3">
      <c r="A3" s="928"/>
      <c r="B3" s="934" t="s">
        <v>413</v>
      </c>
      <c r="C3" s="935"/>
      <c r="D3" s="935"/>
      <c r="E3" s="935"/>
      <c r="F3" s="936"/>
      <c r="G3" s="937" t="s">
        <v>54</v>
      </c>
      <c r="H3" s="917">
        <v>42614</v>
      </c>
    </row>
    <row r="4" spans="1:8" x14ac:dyDescent="0.25">
      <c r="A4" s="1398"/>
      <c r="B4" s="240" t="s">
        <v>53</v>
      </c>
      <c r="C4" s="920" t="s">
        <v>414</v>
      </c>
      <c r="D4" s="921"/>
      <c r="E4" s="921"/>
      <c r="F4" s="922"/>
      <c r="G4" s="938"/>
      <c r="H4" s="918"/>
    </row>
    <row r="5" spans="1:8" ht="14.25" thickBot="1" x14ac:dyDescent="0.3">
      <c r="A5" s="1398"/>
      <c r="B5" s="241" t="s">
        <v>51</v>
      </c>
      <c r="C5" s="923" t="s">
        <v>415</v>
      </c>
      <c r="D5" s="924"/>
      <c r="E5" s="924"/>
      <c r="F5" s="925"/>
      <c r="G5" s="939"/>
      <c r="H5" s="918"/>
    </row>
    <row r="6" spans="1:8" ht="25.5" x14ac:dyDescent="0.25">
      <c r="A6" s="1399" t="s">
        <v>45</v>
      </c>
      <c r="B6" s="1401" t="s">
        <v>44</v>
      </c>
      <c r="C6" s="1401" t="s">
        <v>43</v>
      </c>
      <c r="D6" s="1401" t="s">
        <v>42</v>
      </c>
      <c r="E6" s="1401"/>
      <c r="F6" s="1401" t="s">
        <v>41</v>
      </c>
      <c r="G6" s="1401"/>
      <c r="H6" s="670" t="s">
        <v>40</v>
      </c>
    </row>
    <row r="7" spans="1:8" ht="27" thickBot="1" x14ac:dyDescent="0.3">
      <c r="A7" s="1400"/>
      <c r="B7" s="1402"/>
      <c r="C7" s="1402"/>
      <c r="D7" s="671" t="s">
        <v>11</v>
      </c>
      <c r="E7" s="672" t="s">
        <v>39</v>
      </c>
      <c r="F7" s="671" t="s">
        <v>11</v>
      </c>
      <c r="G7" s="672" t="s">
        <v>39</v>
      </c>
      <c r="H7" s="673" t="s">
        <v>38</v>
      </c>
    </row>
    <row r="8" spans="1:8" ht="15" x14ac:dyDescent="0.25">
      <c r="A8" s="674" t="s">
        <v>416</v>
      </c>
      <c r="B8" s="675" t="s">
        <v>417</v>
      </c>
      <c r="C8" s="676" t="s">
        <v>418</v>
      </c>
      <c r="D8" s="677">
        <v>5910</v>
      </c>
      <c r="E8" s="678" t="s">
        <v>2</v>
      </c>
      <c r="F8" s="679"/>
      <c r="G8" s="680"/>
      <c r="H8" s="681"/>
    </row>
    <row r="9" spans="1:8" ht="15" x14ac:dyDescent="0.25">
      <c r="A9" s="682">
        <v>902000019</v>
      </c>
      <c r="B9" s="59" t="s">
        <v>292</v>
      </c>
      <c r="C9" s="683" t="s">
        <v>418</v>
      </c>
      <c r="D9" s="684">
        <f>16*8</f>
        <v>128</v>
      </c>
      <c r="E9" s="685" t="s">
        <v>2</v>
      </c>
      <c r="F9" s="686"/>
      <c r="G9" s="687"/>
      <c r="H9" s="688"/>
    </row>
    <row r="10" spans="1:8" ht="15.75" x14ac:dyDescent="0.25">
      <c r="A10" s="689">
        <v>1950771</v>
      </c>
      <c r="B10" s="690" t="s">
        <v>419</v>
      </c>
      <c r="C10" s="691" t="s">
        <v>23</v>
      </c>
      <c r="D10" s="692">
        <v>16</v>
      </c>
      <c r="E10" s="685" t="s">
        <v>420</v>
      </c>
      <c r="F10" s="686"/>
      <c r="G10" s="687"/>
      <c r="H10" s="688"/>
    </row>
    <row r="11" spans="1:8" ht="15" x14ac:dyDescent="0.25">
      <c r="A11" s="693"/>
      <c r="B11" s="694"/>
      <c r="C11" s="687"/>
      <c r="D11" s="686"/>
      <c r="E11" s="695"/>
      <c r="F11" s="686"/>
      <c r="G11" s="687"/>
      <c r="H11" s="688"/>
    </row>
    <row r="12" spans="1:8" ht="14.25" thickBot="1" x14ac:dyDescent="0.3">
      <c r="A12" s="696"/>
      <c r="B12" s="697"/>
      <c r="C12" s="697"/>
      <c r="D12" s="698"/>
      <c r="E12" s="699"/>
      <c r="F12" s="697"/>
      <c r="G12" s="697"/>
      <c r="H12" s="700"/>
    </row>
    <row r="13" spans="1:8" ht="14.25" thickBot="1" x14ac:dyDescent="0.3">
      <c r="A13" s="701"/>
      <c r="B13" s="702"/>
      <c r="C13" s="703" t="s">
        <v>11</v>
      </c>
      <c r="D13" s="704" t="s">
        <v>10</v>
      </c>
      <c r="E13" s="705"/>
      <c r="F13" s="702"/>
      <c r="G13" s="702"/>
      <c r="H13" s="706"/>
    </row>
    <row r="14" spans="1:8" x14ac:dyDescent="0.25">
      <c r="A14" s="1392" t="s">
        <v>9</v>
      </c>
      <c r="B14" s="1393"/>
      <c r="C14" s="707">
        <f>16*C17</f>
        <v>5280</v>
      </c>
      <c r="D14" s="708" t="s">
        <v>2</v>
      </c>
      <c r="E14" s="1394" t="s">
        <v>104</v>
      </c>
      <c r="F14" s="1394"/>
      <c r="G14" s="1395" t="s">
        <v>421</v>
      </c>
      <c r="H14" s="1396"/>
    </row>
    <row r="15" spans="1:8" x14ac:dyDescent="0.25">
      <c r="A15" s="1403" t="s">
        <v>105</v>
      </c>
      <c r="B15" s="1404"/>
      <c r="C15" s="709">
        <v>8</v>
      </c>
      <c r="D15" s="709" t="s">
        <v>130</v>
      </c>
      <c r="E15" s="1405" t="s">
        <v>106</v>
      </c>
      <c r="F15" s="1405"/>
      <c r="G15" s="1406" t="s">
        <v>422</v>
      </c>
      <c r="H15" s="1407"/>
    </row>
    <row r="16" spans="1:8" x14ac:dyDescent="0.25">
      <c r="A16" s="1403" t="s">
        <v>6</v>
      </c>
      <c r="B16" s="1404"/>
      <c r="C16" s="710">
        <f>C14/C17</f>
        <v>16</v>
      </c>
      <c r="D16" s="709" t="s">
        <v>423</v>
      </c>
      <c r="E16" s="1405" t="s">
        <v>107</v>
      </c>
      <c r="F16" s="1405"/>
      <c r="G16" s="1406" t="s">
        <v>424</v>
      </c>
      <c r="H16" s="1407"/>
    </row>
    <row r="17" spans="1:8" x14ac:dyDescent="0.25">
      <c r="A17" s="1403" t="s">
        <v>425</v>
      </c>
      <c r="B17" s="1404"/>
      <c r="C17" s="710">
        <v>330</v>
      </c>
      <c r="D17" s="709" t="s">
        <v>2</v>
      </c>
      <c r="E17" s="1408" t="s">
        <v>132</v>
      </c>
      <c r="F17" s="1409"/>
      <c r="G17" s="1406"/>
      <c r="H17" s="1407"/>
    </row>
    <row r="18" spans="1:8" ht="14.25" thickBot="1" x14ac:dyDescent="0.3">
      <c r="A18" s="1410" t="s">
        <v>3</v>
      </c>
      <c r="B18" s="1411"/>
      <c r="C18" s="711">
        <f>SUM(D8-C14)</f>
        <v>630</v>
      </c>
      <c r="D18" s="712" t="s">
        <v>2</v>
      </c>
      <c r="E18" s="1412"/>
      <c r="F18" s="1412"/>
      <c r="G18" s="1413"/>
      <c r="H18" s="1414"/>
    </row>
    <row r="19" spans="1:8" x14ac:dyDescent="0.25">
      <c r="A19" s="1415" t="s">
        <v>1</v>
      </c>
      <c r="B19" s="1416"/>
      <c r="C19" s="1416"/>
      <c r="D19" s="1416"/>
      <c r="E19" s="1416"/>
      <c r="F19" s="1416"/>
      <c r="G19" s="1416"/>
      <c r="H19" s="1417"/>
    </row>
    <row r="20" spans="1:8" ht="16.5" customHeight="1" x14ac:dyDescent="0.25">
      <c r="A20" s="1418" t="s">
        <v>426</v>
      </c>
      <c r="B20" s="1419"/>
      <c r="C20" s="1419"/>
      <c r="D20" s="1419"/>
      <c r="E20" s="1419"/>
      <c r="F20" s="1419"/>
      <c r="G20" s="1419"/>
      <c r="H20" s="1420"/>
    </row>
    <row r="21" spans="1:8" ht="16.5" customHeight="1" x14ac:dyDescent="0.25">
      <c r="A21" s="1418" t="s">
        <v>427</v>
      </c>
      <c r="B21" s="1419"/>
      <c r="C21" s="1419"/>
      <c r="D21" s="1419"/>
      <c r="E21" s="1419"/>
      <c r="F21" s="1419"/>
      <c r="G21" s="1419"/>
      <c r="H21" s="1420"/>
    </row>
    <row r="22" spans="1:8" ht="16.5" customHeight="1" x14ac:dyDescent="0.25">
      <c r="A22" s="1418"/>
      <c r="B22" s="1419"/>
      <c r="C22" s="1419"/>
      <c r="D22" s="1419"/>
      <c r="E22" s="1419"/>
      <c r="F22" s="1419"/>
      <c r="G22" s="1419"/>
      <c r="H22" s="1420"/>
    </row>
    <row r="23" spans="1:8" ht="14.25" thickBot="1" x14ac:dyDescent="0.3">
      <c r="A23" s="1421"/>
      <c r="B23" s="1422"/>
      <c r="C23" s="1422"/>
      <c r="D23" s="1422"/>
      <c r="E23" s="1422"/>
      <c r="F23" s="1422"/>
      <c r="G23" s="1422"/>
      <c r="H23" s="1423"/>
    </row>
    <row r="24" spans="1:8" x14ac:dyDescent="0.25">
      <c r="A24" s="713"/>
      <c r="B24" s="713"/>
      <c r="C24" s="713"/>
      <c r="D24" s="713"/>
      <c r="E24" s="713"/>
      <c r="F24" s="713"/>
      <c r="G24" s="713"/>
      <c r="H24" s="713"/>
    </row>
    <row r="25" spans="1:8" x14ac:dyDescent="0.25">
      <c r="A25" s="714"/>
      <c r="B25" s="714"/>
      <c r="C25" s="713"/>
      <c r="D25" s="713"/>
      <c r="E25" s="713"/>
      <c r="F25" s="713"/>
      <c r="G25" s="713"/>
      <c r="H25" s="713"/>
    </row>
    <row r="27" spans="1:8" x14ac:dyDescent="0.25">
      <c r="A27" s="715"/>
      <c r="B27" s="715"/>
    </row>
  </sheetData>
  <mergeCells count="33">
    <mergeCell ref="A19:H19"/>
    <mergeCell ref="A20:H20"/>
    <mergeCell ref="A21:H21"/>
    <mergeCell ref="A22:H22"/>
    <mergeCell ref="A23:H23"/>
    <mergeCell ref="A17:B17"/>
    <mergeCell ref="E17:F17"/>
    <mergeCell ref="G17:H17"/>
    <mergeCell ref="A18:B18"/>
    <mergeCell ref="E18:F18"/>
    <mergeCell ref="G18:H18"/>
    <mergeCell ref="A15:B15"/>
    <mergeCell ref="E15:F15"/>
    <mergeCell ref="G15:H15"/>
    <mergeCell ref="A16:B16"/>
    <mergeCell ref="E16:F16"/>
    <mergeCell ref="G16:H16"/>
    <mergeCell ref="A14:B14"/>
    <mergeCell ref="E14:F14"/>
    <mergeCell ref="G14:H14"/>
    <mergeCell ref="A1:A5"/>
    <mergeCell ref="B1:F1"/>
    <mergeCell ref="B2:F2"/>
    <mergeCell ref="B3:F3"/>
    <mergeCell ref="G3:G5"/>
    <mergeCell ref="H3:H5"/>
    <mergeCell ref="C4:F4"/>
    <mergeCell ref="C5:F5"/>
    <mergeCell ref="A6:A7"/>
    <mergeCell ref="B6:B7"/>
    <mergeCell ref="C6:C7"/>
    <mergeCell ref="D6:E6"/>
    <mergeCell ref="F6:G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E6184-F9AF-4A40-977E-966D08DB645F}">
  <dimension ref="A1:J38"/>
  <sheetViews>
    <sheetView workbookViewId="0">
      <selection activeCell="A10" sqref="A10"/>
    </sheetView>
  </sheetViews>
  <sheetFormatPr baseColWidth="10" defaultRowHeight="12.75" x14ac:dyDescent="0.2"/>
  <cols>
    <col min="1" max="1" width="19.85546875" customWidth="1"/>
    <col min="2" max="2" width="48.7109375" customWidth="1"/>
    <col min="3" max="3" width="21.7109375" customWidth="1"/>
    <col min="7" max="7" width="16.140625" customWidth="1"/>
    <col min="8" max="8" width="15.85546875" customWidth="1"/>
    <col min="257" max="257" width="44.140625" customWidth="1"/>
    <col min="258" max="258" width="21.7109375" customWidth="1"/>
    <col min="513" max="513" width="44.140625" customWidth="1"/>
    <col min="514" max="514" width="21.7109375" customWidth="1"/>
    <col min="769" max="769" width="44.140625" customWidth="1"/>
    <col min="770" max="770" width="21.7109375" customWidth="1"/>
    <col min="1025" max="1025" width="44.140625" customWidth="1"/>
    <col min="1026" max="1026" width="21.7109375" customWidth="1"/>
    <col min="1281" max="1281" width="44.140625" customWidth="1"/>
    <col min="1282" max="1282" width="21.7109375" customWidth="1"/>
    <col min="1537" max="1537" width="44.140625" customWidth="1"/>
    <col min="1538" max="1538" width="21.7109375" customWidth="1"/>
    <col min="1793" max="1793" width="44.140625" customWidth="1"/>
    <col min="1794" max="1794" width="21.7109375" customWidth="1"/>
    <col min="2049" max="2049" width="44.140625" customWidth="1"/>
    <col min="2050" max="2050" width="21.7109375" customWidth="1"/>
    <col min="2305" max="2305" width="44.140625" customWidth="1"/>
    <col min="2306" max="2306" width="21.7109375" customWidth="1"/>
    <col min="2561" max="2561" width="44.140625" customWidth="1"/>
    <col min="2562" max="2562" width="21.7109375" customWidth="1"/>
    <col min="2817" max="2817" width="44.140625" customWidth="1"/>
    <col min="2818" max="2818" width="21.7109375" customWidth="1"/>
    <col min="3073" max="3073" width="44.140625" customWidth="1"/>
    <col min="3074" max="3074" width="21.7109375" customWidth="1"/>
    <col min="3329" max="3329" width="44.140625" customWidth="1"/>
    <col min="3330" max="3330" width="21.7109375" customWidth="1"/>
    <col min="3585" max="3585" width="44.140625" customWidth="1"/>
    <col min="3586" max="3586" width="21.7109375" customWidth="1"/>
    <col min="3841" max="3841" width="44.140625" customWidth="1"/>
    <col min="3842" max="3842" width="21.7109375" customWidth="1"/>
    <col min="4097" max="4097" width="44.140625" customWidth="1"/>
    <col min="4098" max="4098" width="21.7109375" customWidth="1"/>
    <col min="4353" max="4353" width="44.140625" customWidth="1"/>
    <col min="4354" max="4354" width="21.7109375" customWidth="1"/>
    <col min="4609" max="4609" width="44.140625" customWidth="1"/>
    <col min="4610" max="4610" width="21.7109375" customWidth="1"/>
    <col min="4865" max="4865" width="44.140625" customWidth="1"/>
    <col min="4866" max="4866" width="21.7109375" customWidth="1"/>
    <col min="5121" max="5121" width="44.140625" customWidth="1"/>
    <col min="5122" max="5122" width="21.7109375" customWidth="1"/>
    <col min="5377" max="5377" width="44.140625" customWidth="1"/>
    <col min="5378" max="5378" width="21.7109375" customWidth="1"/>
    <col min="5633" max="5633" width="44.140625" customWidth="1"/>
    <col min="5634" max="5634" width="21.7109375" customWidth="1"/>
    <col min="5889" max="5889" width="44.140625" customWidth="1"/>
    <col min="5890" max="5890" width="21.7109375" customWidth="1"/>
    <col min="6145" max="6145" width="44.140625" customWidth="1"/>
    <col min="6146" max="6146" width="21.7109375" customWidth="1"/>
    <col min="6401" max="6401" width="44.140625" customWidth="1"/>
    <col min="6402" max="6402" width="21.7109375" customWidth="1"/>
    <col min="6657" max="6657" width="44.140625" customWidth="1"/>
    <col min="6658" max="6658" width="21.7109375" customWidth="1"/>
    <col min="6913" max="6913" width="44.140625" customWidth="1"/>
    <col min="6914" max="6914" width="21.7109375" customWidth="1"/>
    <col min="7169" max="7169" width="44.140625" customWidth="1"/>
    <col min="7170" max="7170" width="21.7109375" customWidth="1"/>
    <col min="7425" max="7425" width="44.140625" customWidth="1"/>
    <col min="7426" max="7426" width="21.7109375" customWidth="1"/>
    <col min="7681" max="7681" width="44.140625" customWidth="1"/>
    <col min="7682" max="7682" width="21.7109375" customWidth="1"/>
    <col min="7937" max="7937" width="44.140625" customWidth="1"/>
    <col min="7938" max="7938" width="21.7109375" customWidth="1"/>
    <col min="8193" max="8193" width="44.140625" customWidth="1"/>
    <col min="8194" max="8194" width="21.7109375" customWidth="1"/>
    <col min="8449" max="8449" width="44.140625" customWidth="1"/>
    <col min="8450" max="8450" width="21.7109375" customWidth="1"/>
    <col min="8705" max="8705" width="44.140625" customWidth="1"/>
    <col min="8706" max="8706" width="21.7109375" customWidth="1"/>
    <col min="8961" max="8961" width="44.140625" customWidth="1"/>
    <col min="8962" max="8962" width="21.7109375" customWidth="1"/>
    <col min="9217" max="9217" width="44.140625" customWidth="1"/>
    <col min="9218" max="9218" width="21.7109375" customWidth="1"/>
    <col min="9473" max="9473" width="44.140625" customWidth="1"/>
    <col min="9474" max="9474" width="21.7109375" customWidth="1"/>
    <col min="9729" max="9729" width="44.140625" customWidth="1"/>
    <col min="9730" max="9730" width="21.7109375" customWidth="1"/>
    <col min="9985" max="9985" width="44.140625" customWidth="1"/>
    <col min="9986" max="9986" width="21.7109375" customWidth="1"/>
    <col min="10241" max="10241" width="44.140625" customWidth="1"/>
    <col min="10242" max="10242" width="21.7109375" customWidth="1"/>
    <col min="10497" max="10497" width="44.140625" customWidth="1"/>
    <col min="10498" max="10498" width="21.7109375" customWidth="1"/>
    <col min="10753" max="10753" width="44.140625" customWidth="1"/>
    <col min="10754" max="10754" width="21.7109375" customWidth="1"/>
    <col min="11009" max="11009" width="44.140625" customWidth="1"/>
    <col min="11010" max="11010" width="21.7109375" customWidth="1"/>
    <col min="11265" max="11265" width="44.140625" customWidth="1"/>
    <col min="11266" max="11266" width="21.7109375" customWidth="1"/>
    <col min="11521" max="11521" width="44.140625" customWidth="1"/>
    <col min="11522" max="11522" width="21.7109375" customWidth="1"/>
    <col min="11777" max="11777" width="44.140625" customWidth="1"/>
    <col min="11778" max="11778" width="21.7109375" customWidth="1"/>
    <col min="12033" max="12033" width="44.140625" customWidth="1"/>
    <col min="12034" max="12034" width="21.7109375" customWidth="1"/>
    <col min="12289" max="12289" width="44.140625" customWidth="1"/>
    <col min="12290" max="12290" width="21.7109375" customWidth="1"/>
    <col min="12545" max="12545" width="44.140625" customWidth="1"/>
    <col min="12546" max="12546" width="21.7109375" customWidth="1"/>
    <col min="12801" max="12801" width="44.140625" customWidth="1"/>
    <col min="12802" max="12802" width="21.7109375" customWidth="1"/>
    <col min="13057" max="13057" width="44.140625" customWidth="1"/>
    <col min="13058" max="13058" width="21.7109375" customWidth="1"/>
    <col min="13313" max="13313" width="44.140625" customWidth="1"/>
    <col min="13314" max="13314" width="21.7109375" customWidth="1"/>
    <col min="13569" max="13569" width="44.140625" customWidth="1"/>
    <col min="13570" max="13570" width="21.7109375" customWidth="1"/>
    <col min="13825" max="13825" width="44.140625" customWidth="1"/>
    <col min="13826" max="13826" width="21.7109375" customWidth="1"/>
    <col min="14081" max="14081" width="44.140625" customWidth="1"/>
    <col min="14082" max="14082" width="21.7109375" customWidth="1"/>
    <col min="14337" max="14337" width="44.140625" customWidth="1"/>
    <col min="14338" max="14338" width="21.7109375" customWidth="1"/>
    <col min="14593" max="14593" width="44.140625" customWidth="1"/>
    <col min="14594" max="14594" width="21.7109375" customWidth="1"/>
    <col min="14849" max="14849" width="44.140625" customWidth="1"/>
    <col min="14850" max="14850" width="21.7109375" customWidth="1"/>
    <col min="15105" max="15105" width="44.140625" customWidth="1"/>
    <col min="15106" max="15106" width="21.7109375" customWidth="1"/>
    <col min="15361" max="15361" width="44.140625" customWidth="1"/>
    <col min="15362" max="15362" width="21.7109375" customWidth="1"/>
    <col min="15617" max="15617" width="44.140625" customWidth="1"/>
    <col min="15618" max="15618" width="21.7109375" customWidth="1"/>
    <col min="15873" max="15873" width="44.140625" customWidth="1"/>
    <col min="15874" max="15874" width="21.7109375" customWidth="1"/>
    <col min="16129" max="16129" width="44.140625" customWidth="1"/>
    <col min="16130" max="16130" width="21.7109375" customWidth="1"/>
  </cols>
  <sheetData>
    <row r="1" spans="1:10" ht="18" x14ac:dyDescent="0.25">
      <c r="A1" s="1428"/>
      <c r="B1" s="1431" t="s">
        <v>58</v>
      </c>
      <c r="C1" s="1431"/>
      <c r="D1" s="1431"/>
      <c r="E1" s="1431"/>
      <c r="F1" s="1431"/>
      <c r="G1" s="235" t="s">
        <v>57</v>
      </c>
      <c r="H1" s="445" t="s">
        <v>428</v>
      </c>
    </row>
    <row r="2" spans="1:10" ht="18" x14ac:dyDescent="0.25">
      <c r="A2" s="1429"/>
      <c r="B2" s="1432" t="s">
        <v>56</v>
      </c>
      <c r="C2" s="1432"/>
      <c r="D2" s="1432"/>
      <c r="E2" s="1432"/>
      <c r="F2" s="1432"/>
      <c r="G2" s="238" t="s">
        <v>55</v>
      </c>
      <c r="H2" s="239" t="s">
        <v>429</v>
      </c>
    </row>
    <row r="3" spans="1:10" ht="17.25" x14ac:dyDescent="0.2">
      <c r="A3" s="1429"/>
      <c r="B3" s="1433" t="s">
        <v>430</v>
      </c>
      <c r="C3" s="1433"/>
      <c r="D3" s="1433"/>
      <c r="E3" s="1433"/>
      <c r="F3" s="1433"/>
      <c r="G3" s="1434" t="s">
        <v>54</v>
      </c>
      <c r="H3" s="1424">
        <v>44483</v>
      </c>
    </row>
    <row r="4" spans="1:10" ht="16.5" x14ac:dyDescent="0.3">
      <c r="A4" s="1429"/>
      <c r="B4" s="716" t="s">
        <v>53</v>
      </c>
      <c r="C4" s="1426" t="s">
        <v>431</v>
      </c>
      <c r="D4" s="1426"/>
      <c r="E4" s="1426"/>
      <c r="F4" s="1426"/>
      <c r="G4" s="1434"/>
      <c r="H4" s="1424"/>
    </row>
    <row r="5" spans="1:10" ht="17.25" thickBot="1" x14ac:dyDescent="0.35">
      <c r="A5" s="1430"/>
      <c r="B5" s="717" t="s">
        <v>51</v>
      </c>
      <c r="C5" s="1427" t="s">
        <v>432</v>
      </c>
      <c r="D5" s="1427"/>
      <c r="E5" s="1427"/>
      <c r="F5" s="1427"/>
      <c r="G5" s="1435"/>
      <c r="H5" s="1425"/>
    </row>
    <row r="6" spans="1:10" ht="16.5" x14ac:dyDescent="0.3">
      <c r="A6" s="237"/>
      <c r="B6" s="718"/>
      <c r="C6" s="718"/>
      <c r="D6" s="718"/>
      <c r="E6" s="718"/>
      <c r="F6" s="718"/>
      <c r="G6" s="718"/>
      <c r="H6" s="719"/>
    </row>
    <row r="7" spans="1:10" ht="18.75" thickBot="1" x14ac:dyDescent="0.3">
      <c r="A7" s="1436" t="s">
        <v>49</v>
      </c>
      <c r="B7" s="1437"/>
      <c r="C7" s="1438" t="s">
        <v>433</v>
      </c>
      <c r="D7" s="1438"/>
      <c r="E7" s="1438"/>
      <c r="F7" s="1439" t="s">
        <v>47</v>
      </c>
      <c r="G7" s="1439"/>
      <c r="H7" s="720" t="s">
        <v>433</v>
      </c>
    </row>
    <row r="8" spans="1:10" ht="25.5" x14ac:dyDescent="0.25">
      <c r="A8" s="941" t="s">
        <v>45</v>
      </c>
      <c r="B8" s="1441" t="s">
        <v>44</v>
      </c>
      <c r="C8" s="945" t="s">
        <v>43</v>
      </c>
      <c r="D8" s="945" t="s">
        <v>42</v>
      </c>
      <c r="E8" s="945"/>
      <c r="F8" s="945" t="s">
        <v>41</v>
      </c>
      <c r="G8" s="945"/>
      <c r="H8" s="243" t="s">
        <v>40</v>
      </c>
      <c r="I8" s="721"/>
    </row>
    <row r="9" spans="1:10" ht="27" thickBot="1" x14ac:dyDescent="0.3">
      <c r="A9" s="1440"/>
      <c r="B9" s="1442"/>
      <c r="C9" s="1443"/>
      <c r="D9" s="722" t="s">
        <v>11</v>
      </c>
      <c r="E9" s="723" t="s">
        <v>39</v>
      </c>
      <c r="F9" s="722" t="s">
        <v>11</v>
      </c>
      <c r="G9" s="723" t="s">
        <v>39</v>
      </c>
      <c r="H9" s="246" t="s">
        <v>38</v>
      </c>
      <c r="I9" s="721"/>
    </row>
    <row r="10" spans="1:10" ht="13.5" x14ac:dyDescent="0.25">
      <c r="A10" s="724">
        <v>901000011</v>
      </c>
      <c r="B10" s="725" t="s">
        <v>434</v>
      </c>
      <c r="C10" s="726" t="s">
        <v>435</v>
      </c>
      <c r="D10" s="726">
        <v>4090</v>
      </c>
      <c r="E10" s="726" t="s">
        <v>2</v>
      </c>
      <c r="F10" s="482"/>
      <c r="G10" s="727"/>
      <c r="H10" s="728"/>
      <c r="I10" s="729">
        <f>+D10/$C$20</f>
        <v>0.69204737732656518</v>
      </c>
      <c r="J10" s="730">
        <f>+I10*1000</f>
        <v>692.0473773265652</v>
      </c>
    </row>
    <row r="11" spans="1:10" ht="13.5" x14ac:dyDescent="0.25">
      <c r="A11" s="724" t="s">
        <v>436</v>
      </c>
      <c r="B11" s="725" t="s">
        <v>437</v>
      </c>
      <c r="C11" s="726" t="s">
        <v>338</v>
      </c>
      <c r="D11" s="726">
        <v>600</v>
      </c>
      <c r="E11" s="726" t="s">
        <v>2</v>
      </c>
      <c r="F11" s="482"/>
      <c r="G11" s="727"/>
      <c r="H11" s="728"/>
      <c r="I11" s="729">
        <f>+D11/$C$20</f>
        <v>0.10152284263959391</v>
      </c>
      <c r="J11" s="730">
        <f t="shared" ref="J11:J13" si="0">+I11*1000</f>
        <v>101.5228426395939</v>
      </c>
    </row>
    <row r="12" spans="1:10" ht="13.5" x14ac:dyDescent="0.25">
      <c r="A12" s="724" t="s">
        <v>438</v>
      </c>
      <c r="B12" s="725" t="s">
        <v>439</v>
      </c>
      <c r="C12" s="726" t="s">
        <v>248</v>
      </c>
      <c r="D12" s="726">
        <v>780</v>
      </c>
      <c r="E12" s="726" t="s">
        <v>2</v>
      </c>
      <c r="F12" s="482"/>
      <c r="G12" s="727"/>
      <c r="H12" s="728"/>
      <c r="I12" s="729">
        <f t="shared" ref="I12:I13" si="1">+D12/$C$20</f>
        <v>0.13197969543147209</v>
      </c>
      <c r="J12" s="730">
        <f t="shared" si="0"/>
        <v>131.97969543147209</v>
      </c>
    </row>
    <row r="13" spans="1:10" ht="13.5" x14ac:dyDescent="0.25">
      <c r="A13" s="724" t="s">
        <v>440</v>
      </c>
      <c r="B13" s="725" t="s">
        <v>441</v>
      </c>
      <c r="C13" s="726" t="s">
        <v>248</v>
      </c>
      <c r="D13" s="726">
        <v>440</v>
      </c>
      <c r="E13" s="726" t="s">
        <v>2</v>
      </c>
      <c r="F13" s="482"/>
      <c r="G13" s="727"/>
      <c r="H13" s="728"/>
      <c r="I13" s="729">
        <f t="shared" si="1"/>
        <v>7.4450084602368863E-2</v>
      </c>
      <c r="J13" s="730">
        <f t="shared" si="0"/>
        <v>74.450084602368861</v>
      </c>
    </row>
    <row r="14" spans="1:10" ht="13.5" x14ac:dyDescent="0.25">
      <c r="A14" s="724"/>
      <c r="B14" s="725"/>
      <c r="C14" s="77"/>
      <c r="D14" s="726"/>
      <c r="E14" s="726"/>
      <c r="F14" s="482"/>
      <c r="G14" s="727"/>
      <c r="H14" s="728"/>
      <c r="I14" s="721"/>
    </row>
    <row r="15" spans="1:10" ht="13.5" x14ac:dyDescent="0.25">
      <c r="A15" s="724"/>
      <c r="B15" s="725"/>
      <c r="C15" s="727"/>
      <c r="D15" s="727"/>
      <c r="E15" s="727"/>
      <c r="F15" s="482"/>
      <c r="G15" s="727"/>
      <c r="H15" s="728"/>
      <c r="I15" s="721"/>
    </row>
    <row r="16" spans="1:10" ht="13.5" x14ac:dyDescent="0.25">
      <c r="A16" s="724"/>
      <c r="B16" s="725"/>
      <c r="C16" s="727"/>
      <c r="D16" s="727"/>
      <c r="E16" s="727"/>
      <c r="F16" s="482"/>
      <c r="G16" s="727"/>
      <c r="H16" s="728"/>
      <c r="I16" s="721"/>
    </row>
    <row r="17" spans="1:10" ht="13.5" x14ac:dyDescent="0.25">
      <c r="A17" s="731"/>
      <c r="B17" s="732"/>
      <c r="C17" s="725"/>
      <c r="D17" s="483"/>
      <c r="E17" s="483"/>
      <c r="F17" s="483"/>
      <c r="G17" s="483"/>
      <c r="H17" s="733"/>
      <c r="I17" s="721"/>
    </row>
    <row r="18" spans="1:10" ht="14.25" thickBot="1" x14ac:dyDescent="0.3">
      <c r="A18" s="329"/>
      <c r="B18" s="331"/>
      <c r="C18" s="331"/>
      <c r="D18" s="332"/>
      <c r="E18" s="333"/>
      <c r="F18" s="331"/>
      <c r="G18" s="331"/>
      <c r="H18" s="334"/>
      <c r="I18" s="721"/>
    </row>
    <row r="19" spans="1:10" ht="14.25" thickBot="1" x14ac:dyDescent="0.3">
      <c r="A19" s="335"/>
      <c r="B19" s="337"/>
      <c r="C19" s="338" t="s">
        <v>11</v>
      </c>
      <c r="D19" s="339" t="s">
        <v>10</v>
      </c>
      <c r="E19" s="340"/>
      <c r="F19" s="337"/>
      <c r="G19" s="337"/>
      <c r="H19" s="341"/>
      <c r="I19" s="721"/>
    </row>
    <row r="20" spans="1:10" ht="13.5" x14ac:dyDescent="0.25">
      <c r="A20" s="947" t="s">
        <v>9</v>
      </c>
      <c r="B20" s="949"/>
      <c r="C20" s="512">
        <f>SUM(D10:D13)</f>
        <v>5910</v>
      </c>
      <c r="D20" s="734" t="s">
        <v>2</v>
      </c>
      <c r="E20" s="950"/>
      <c r="F20" s="950"/>
      <c r="G20" s="951"/>
      <c r="H20" s="952"/>
      <c r="I20" s="729"/>
      <c r="J20" s="730"/>
    </row>
    <row r="21" spans="1:10" ht="13.5" x14ac:dyDescent="0.25">
      <c r="A21" s="953" t="s">
        <v>105</v>
      </c>
      <c r="B21" s="955"/>
      <c r="C21" s="735">
        <v>10</v>
      </c>
      <c r="D21" s="262" t="s">
        <v>7</v>
      </c>
      <c r="E21" s="956"/>
      <c r="F21" s="956"/>
      <c r="G21" s="957"/>
      <c r="H21" s="958"/>
      <c r="I21" s="729">
        <f>+C21/C20</f>
        <v>1.6920473773265651E-3</v>
      </c>
      <c r="J21" s="730">
        <f>+I21*1000</f>
        <v>1.6920473773265652</v>
      </c>
    </row>
    <row r="22" spans="1:10" ht="13.5" x14ac:dyDescent="0.25">
      <c r="A22" s="953" t="s">
        <v>6</v>
      </c>
      <c r="B22" s="955"/>
      <c r="C22" s="482">
        <v>1</v>
      </c>
      <c r="D22" s="262" t="s">
        <v>131</v>
      </c>
      <c r="E22" s="956"/>
      <c r="F22" s="956"/>
      <c r="G22" s="957"/>
      <c r="H22" s="958"/>
      <c r="I22" s="729"/>
      <c r="J22" s="730"/>
    </row>
    <row r="23" spans="1:10" ht="13.5" x14ac:dyDescent="0.25">
      <c r="A23" s="953" t="s">
        <v>4</v>
      </c>
      <c r="B23" s="955"/>
      <c r="C23" s="482">
        <f>C20</f>
        <v>5910</v>
      </c>
      <c r="D23" s="262" t="s">
        <v>2</v>
      </c>
      <c r="E23" s="959"/>
      <c r="F23" s="960"/>
      <c r="G23" s="957"/>
      <c r="H23" s="958"/>
      <c r="I23" s="721"/>
    </row>
    <row r="24" spans="1:10" ht="14.25" thickBot="1" x14ac:dyDescent="0.3">
      <c r="A24" s="964" t="s">
        <v>3</v>
      </c>
      <c r="B24" s="966"/>
      <c r="C24" s="736">
        <v>0</v>
      </c>
      <c r="D24" s="737" t="s">
        <v>2</v>
      </c>
      <c r="E24" s="967"/>
      <c r="F24" s="967"/>
      <c r="G24" s="968"/>
      <c r="H24" s="969"/>
      <c r="I24" s="721"/>
    </row>
    <row r="25" spans="1:10" ht="14.25" thickBot="1" x14ac:dyDescent="0.3">
      <c r="A25" s="970" t="s">
        <v>1</v>
      </c>
      <c r="B25" s="971"/>
      <c r="C25" s="971"/>
      <c r="D25" s="971"/>
      <c r="E25" s="971"/>
      <c r="F25" s="971"/>
      <c r="G25" s="971"/>
      <c r="H25" s="972"/>
      <c r="I25" s="721"/>
    </row>
    <row r="26" spans="1:10" ht="13.5" x14ac:dyDescent="0.25">
      <c r="A26" s="1447" t="s">
        <v>442</v>
      </c>
      <c r="B26" s="1448"/>
      <c r="C26" s="1448"/>
      <c r="D26" s="1448"/>
      <c r="E26" s="1448"/>
      <c r="F26" s="1448"/>
      <c r="G26" s="1448"/>
      <c r="H26" s="1449"/>
      <c r="I26" s="721"/>
    </row>
    <row r="27" spans="1:10" ht="13.5" x14ac:dyDescent="0.25">
      <c r="A27" s="1444" t="s">
        <v>443</v>
      </c>
      <c r="B27" s="1445"/>
      <c r="C27" s="1445"/>
      <c r="D27" s="1445"/>
      <c r="E27" s="1445"/>
      <c r="F27" s="1445"/>
      <c r="G27" s="1445"/>
      <c r="H27" s="1446"/>
      <c r="I27" s="721"/>
    </row>
    <row r="28" spans="1:10" ht="13.5" x14ac:dyDescent="0.25">
      <c r="A28" s="1444" t="s">
        <v>444</v>
      </c>
      <c r="B28" s="1445"/>
      <c r="C28" s="1445"/>
      <c r="D28" s="1445"/>
      <c r="E28" s="1445"/>
      <c r="F28" s="1445"/>
      <c r="G28" s="1445"/>
      <c r="H28" s="1446"/>
      <c r="I28" s="721"/>
    </row>
    <row r="29" spans="1:10" ht="13.5" x14ac:dyDescent="0.25">
      <c r="A29" s="1444"/>
      <c r="B29" s="1445"/>
      <c r="C29" s="1445"/>
      <c r="D29" s="1445"/>
      <c r="E29" s="1445"/>
      <c r="F29" s="1445"/>
      <c r="G29" s="1445"/>
      <c r="H29" s="1446"/>
      <c r="I29" s="721"/>
    </row>
    <row r="30" spans="1:10" ht="13.5" x14ac:dyDescent="0.25">
      <c r="A30" s="1444"/>
      <c r="B30" s="1445"/>
      <c r="C30" s="1445"/>
      <c r="D30" s="1445"/>
      <c r="E30" s="1445"/>
      <c r="F30" s="1445"/>
      <c r="G30" s="1445"/>
      <c r="H30" s="1446"/>
      <c r="I30" s="721"/>
    </row>
    <row r="31" spans="1:10" ht="13.5" x14ac:dyDescent="0.25">
      <c r="A31" s="1453"/>
      <c r="B31" s="1454"/>
      <c r="C31" s="1454"/>
      <c r="D31" s="1454"/>
      <c r="E31" s="1454"/>
      <c r="F31" s="1454"/>
      <c r="G31" s="1454"/>
      <c r="H31" s="1455"/>
      <c r="I31" s="721"/>
    </row>
    <row r="32" spans="1:10" ht="13.5" x14ac:dyDescent="0.25">
      <c r="A32" s="1456"/>
      <c r="B32" s="1457"/>
      <c r="C32" s="1457"/>
      <c r="D32" s="1457"/>
      <c r="E32" s="1457"/>
      <c r="F32" s="1457"/>
      <c r="G32" s="1457"/>
      <c r="H32" s="1458"/>
      <c r="I32" s="721"/>
    </row>
    <row r="33" spans="1:9" ht="13.5" x14ac:dyDescent="0.25">
      <c r="A33" s="1459" t="s">
        <v>0</v>
      </c>
      <c r="B33" s="1460"/>
      <c r="C33" s="1460"/>
      <c r="D33" s="1460"/>
      <c r="E33" s="1460"/>
      <c r="F33" s="1460"/>
      <c r="G33" s="1460"/>
      <c r="H33" s="1461"/>
      <c r="I33" s="721"/>
    </row>
    <row r="34" spans="1:9" ht="14.25" thickBot="1" x14ac:dyDescent="0.3">
      <c r="A34" s="738" t="s">
        <v>445</v>
      </c>
      <c r="B34" s="739"/>
      <c r="C34" s="739"/>
      <c r="D34" s="739"/>
      <c r="E34" s="739"/>
      <c r="F34" s="739"/>
      <c r="G34" s="739"/>
      <c r="H34" s="740"/>
      <c r="I34" s="721"/>
    </row>
    <row r="35" spans="1:9" ht="14.25" thickBot="1" x14ac:dyDescent="0.3">
      <c r="A35" s="1450" t="s">
        <v>446</v>
      </c>
      <c r="B35" s="1451"/>
      <c r="C35" s="1451"/>
      <c r="D35" s="1451"/>
      <c r="E35" s="1451"/>
      <c r="F35" s="1451"/>
      <c r="G35" s="1451"/>
      <c r="H35" s="1452"/>
      <c r="I35" s="721"/>
    </row>
    <row r="36" spans="1:9" ht="14.25" thickBot="1" x14ac:dyDescent="0.3">
      <c r="A36" s="1450" t="s">
        <v>447</v>
      </c>
      <c r="B36" s="1451"/>
      <c r="C36" s="1451"/>
      <c r="D36" s="1451"/>
      <c r="E36" s="1451"/>
      <c r="F36" s="1451"/>
      <c r="G36" s="1451"/>
      <c r="H36" s="1452"/>
    </row>
    <row r="37" spans="1:9" ht="18" x14ac:dyDescent="0.2">
      <c r="A37" s="741"/>
      <c r="B37" s="741"/>
    </row>
    <row r="38" spans="1:9" ht="18" x14ac:dyDescent="0.2">
      <c r="A38" s="741"/>
      <c r="B38" s="741"/>
    </row>
  </sheetData>
  <mergeCells count="42">
    <mergeCell ref="A35:H35"/>
    <mergeCell ref="A36:H36"/>
    <mergeCell ref="A28:H28"/>
    <mergeCell ref="A29:H29"/>
    <mergeCell ref="A30:H30"/>
    <mergeCell ref="A31:H31"/>
    <mergeCell ref="A32:H32"/>
    <mergeCell ref="A33:H33"/>
    <mergeCell ref="A27:H27"/>
    <mergeCell ref="A22:B22"/>
    <mergeCell ref="E22:F22"/>
    <mergeCell ref="G22:H22"/>
    <mergeCell ref="A23:B23"/>
    <mergeCell ref="E23:F23"/>
    <mergeCell ref="G23:H23"/>
    <mergeCell ref="A24:B24"/>
    <mergeCell ref="E24:F24"/>
    <mergeCell ref="G24:H24"/>
    <mergeCell ref="A25:H25"/>
    <mergeCell ref="A26:H26"/>
    <mergeCell ref="A20:B20"/>
    <mergeCell ref="E20:F20"/>
    <mergeCell ref="G20:H20"/>
    <mergeCell ref="A21:B21"/>
    <mergeCell ref="E21:F21"/>
    <mergeCell ref="G21:H21"/>
    <mergeCell ref="A7:B7"/>
    <mergeCell ref="C7:E7"/>
    <mergeCell ref="F7:G7"/>
    <mergeCell ref="A8:A9"/>
    <mergeCell ref="B8:B9"/>
    <mergeCell ref="C8:C9"/>
    <mergeCell ref="D8:E8"/>
    <mergeCell ref="F8:G8"/>
    <mergeCell ref="H3:H5"/>
    <mergeCell ref="C4:F4"/>
    <mergeCell ref="C5:F5"/>
    <mergeCell ref="A1:A5"/>
    <mergeCell ref="B1:F1"/>
    <mergeCell ref="B2:F2"/>
    <mergeCell ref="B3:F3"/>
    <mergeCell ref="G3:G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265EF-F1E0-4A7A-AE88-FFFE7FA6810D}">
  <dimension ref="A1:L31"/>
  <sheetViews>
    <sheetView topLeftCell="A2" zoomScale="85" zoomScaleNormal="85" workbookViewId="0">
      <selection sqref="A1:A5"/>
    </sheetView>
  </sheetViews>
  <sheetFormatPr baseColWidth="10" defaultColWidth="8.85546875" defaultRowHeight="12.75" x14ac:dyDescent="0.2"/>
  <cols>
    <col min="1" max="1" width="16.85546875" customWidth="1"/>
    <col min="2" max="2" width="67" bestFit="1" customWidth="1"/>
    <col min="3" max="4" width="18.42578125" customWidth="1"/>
    <col min="5" max="5" width="18.7109375" customWidth="1"/>
    <col min="6" max="6" width="17" customWidth="1"/>
    <col min="7" max="7" width="23.140625" customWidth="1"/>
    <col min="8" max="8" width="29.140625" customWidth="1"/>
    <col min="9" max="256" width="11.42578125" customWidth="1"/>
    <col min="257" max="257" width="16.85546875" customWidth="1"/>
    <col min="258" max="258" width="67" bestFit="1" customWidth="1"/>
    <col min="259" max="260" width="18.42578125" customWidth="1"/>
    <col min="261" max="261" width="18.7109375" customWidth="1"/>
    <col min="262" max="262" width="17" customWidth="1"/>
    <col min="263" max="263" width="23.140625" customWidth="1"/>
    <col min="264" max="264" width="29.140625" customWidth="1"/>
    <col min="265" max="512" width="11.42578125" customWidth="1"/>
    <col min="513" max="513" width="16.85546875" customWidth="1"/>
    <col min="514" max="514" width="67" bestFit="1" customWidth="1"/>
    <col min="515" max="516" width="18.42578125" customWidth="1"/>
    <col min="517" max="517" width="18.7109375" customWidth="1"/>
    <col min="518" max="518" width="17" customWidth="1"/>
    <col min="519" max="519" width="23.140625" customWidth="1"/>
    <col min="520" max="520" width="29.140625" customWidth="1"/>
    <col min="521" max="768" width="11.42578125" customWidth="1"/>
    <col min="769" max="769" width="16.85546875" customWidth="1"/>
    <col min="770" max="770" width="67" bestFit="1" customWidth="1"/>
    <col min="771" max="772" width="18.42578125" customWidth="1"/>
    <col min="773" max="773" width="18.7109375" customWidth="1"/>
    <col min="774" max="774" width="17" customWidth="1"/>
    <col min="775" max="775" width="23.140625" customWidth="1"/>
    <col min="776" max="776" width="29.140625" customWidth="1"/>
    <col min="777" max="1024" width="11.42578125" customWidth="1"/>
    <col min="1025" max="1025" width="16.85546875" customWidth="1"/>
    <col min="1026" max="1026" width="67" bestFit="1" customWidth="1"/>
    <col min="1027" max="1028" width="18.42578125" customWidth="1"/>
    <col min="1029" max="1029" width="18.7109375" customWidth="1"/>
    <col min="1030" max="1030" width="17" customWidth="1"/>
    <col min="1031" max="1031" width="23.140625" customWidth="1"/>
    <col min="1032" max="1032" width="29.140625" customWidth="1"/>
    <col min="1033" max="1280" width="11.42578125" customWidth="1"/>
    <col min="1281" max="1281" width="16.85546875" customWidth="1"/>
    <col min="1282" max="1282" width="67" bestFit="1" customWidth="1"/>
    <col min="1283" max="1284" width="18.42578125" customWidth="1"/>
    <col min="1285" max="1285" width="18.7109375" customWidth="1"/>
    <col min="1286" max="1286" width="17" customWidth="1"/>
    <col min="1287" max="1287" width="23.140625" customWidth="1"/>
    <col min="1288" max="1288" width="29.140625" customWidth="1"/>
    <col min="1289" max="1536" width="11.42578125" customWidth="1"/>
    <col min="1537" max="1537" width="16.85546875" customWidth="1"/>
    <col min="1538" max="1538" width="67" bestFit="1" customWidth="1"/>
    <col min="1539" max="1540" width="18.42578125" customWidth="1"/>
    <col min="1541" max="1541" width="18.7109375" customWidth="1"/>
    <col min="1542" max="1542" width="17" customWidth="1"/>
    <col min="1543" max="1543" width="23.140625" customWidth="1"/>
    <col min="1544" max="1544" width="29.140625" customWidth="1"/>
    <col min="1545" max="1792" width="11.42578125" customWidth="1"/>
    <col min="1793" max="1793" width="16.85546875" customWidth="1"/>
    <col min="1794" max="1794" width="67" bestFit="1" customWidth="1"/>
    <col min="1795" max="1796" width="18.42578125" customWidth="1"/>
    <col min="1797" max="1797" width="18.7109375" customWidth="1"/>
    <col min="1798" max="1798" width="17" customWidth="1"/>
    <col min="1799" max="1799" width="23.140625" customWidth="1"/>
    <col min="1800" max="1800" width="29.140625" customWidth="1"/>
    <col min="1801" max="2048" width="11.42578125" customWidth="1"/>
    <col min="2049" max="2049" width="16.85546875" customWidth="1"/>
    <col min="2050" max="2050" width="67" bestFit="1" customWidth="1"/>
    <col min="2051" max="2052" width="18.42578125" customWidth="1"/>
    <col min="2053" max="2053" width="18.7109375" customWidth="1"/>
    <col min="2054" max="2054" width="17" customWidth="1"/>
    <col min="2055" max="2055" width="23.140625" customWidth="1"/>
    <col min="2056" max="2056" width="29.140625" customWidth="1"/>
    <col min="2057" max="2304" width="11.42578125" customWidth="1"/>
    <col min="2305" max="2305" width="16.85546875" customWidth="1"/>
    <col min="2306" max="2306" width="67" bestFit="1" customWidth="1"/>
    <col min="2307" max="2308" width="18.42578125" customWidth="1"/>
    <col min="2309" max="2309" width="18.7109375" customWidth="1"/>
    <col min="2310" max="2310" width="17" customWidth="1"/>
    <col min="2311" max="2311" width="23.140625" customWidth="1"/>
    <col min="2312" max="2312" width="29.140625" customWidth="1"/>
    <col min="2313" max="2560" width="11.42578125" customWidth="1"/>
    <col min="2561" max="2561" width="16.85546875" customWidth="1"/>
    <col min="2562" max="2562" width="67" bestFit="1" customWidth="1"/>
    <col min="2563" max="2564" width="18.42578125" customWidth="1"/>
    <col min="2565" max="2565" width="18.7109375" customWidth="1"/>
    <col min="2566" max="2566" width="17" customWidth="1"/>
    <col min="2567" max="2567" width="23.140625" customWidth="1"/>
    <col min="2568" max="2568" width="29.140625" customWidth="1"/>
    <col min="2569" max="2816" width="11.42578125" customWidth="1"/>
    <col min="2817" max="2817" width="16.85546875" customWidth="1"/>
    <col min="2818" max="2818" width="67" bestFit="1" customWidth="1"/>
    <col min="2819" max="2820" width="18.42578125" customWidth="1"/>
    <col min="2821" max="2821" width="18.7109375" customWidth="1"/>
    <col min="2822" max="2822" width="17" customWidth="1"/>
    <col min="2823" max="2823" width="23.140625" customWidth="1"/>
    <col min="2824" max="2824" width="29.140625" customWidth="1"/>
    <col min="2825" max="3072" width="11.42578125" customWidth="1"/>
    <col min="3073" max="3073" width="16.85546875" customWidth="1"/>
    <col min="3074" max="3074" width="67" bestFit="1" customWidth="1"/>
    <col min="3075" max="3076" width="18.42578125" customWidth="1"/>
    <col min="3077" max="3077" width="18.7109375" customWidth="1"/>
    <col min="3078" max="3078" width="17" customWidth="1"/>
    <col min="3079" max="3079" width="23.140625" customWidth="1"/>
    <col min="3080" max="3080" width="29.140625" customWidth="1"/>
    <col min="3081" max="3328" width="11.42578125" customWidth="1"/>
    <col min="3329" max="3329" width="16.85546875" customWidth="1"/>
    <col min="3330" max="3330" width="67" bestFit="1" customWidth="1"/>
    <col min="3331" max="3332" width="18.42578125" customWidth="1"/>
    <col min="3333" max="3333" width="18.7109375" customWidth="1"/>
    <col min="3334" max="3334" width="17" customWidth="1"/>
    <col min="3335" max="3335" width="23.140625" customWidth="1"/>
    <col min="3336" max="3336" width="29.140625" customWidth="1"/>
    <col min="3337" max="3584" width="11.42578125" customWidth="1"/>
    <col min="3585" max="3585" width="16.85546875" customWidth="1"/>
    <col min="3586" max="3586" width="67" bestFit="1" customWidth="1"/>
    <col min="3587" max="3588" width="18.42578125" customWidth="1"/>
    <col min="3589" max="3589" width="18.7109375" customWidth="1"/>
    <col min="3590" max="3590" width="17" customWidth="1"/>
    <col min="3591" max="3591" width="23.140625" customWidth="1"/>
    <col min="3592" max="3592" width="29.140625" customWidth="1"/>
    <col min="3593" max="3840" width="11.42578125" customWidth="1"/>
    <col min="3841" max="3841" width="16.85546875" customWidth="1"/>
    <col min="3842" max="3842" width="67" bestFit="1" customWidth="1"/>
    <col min="3843" max="3844" width="18.42578125" customWidth="1"/>
    <col min="3845" max="3845" width="18.7109375" customWidth="1"/>
    <col min="3846" max="3846" width="17" customWidth="1"/>
    <col min="3847" max="3847" width="23.140625" customWidth="1"/>
    <col min="3848" max="3848" width="29.140625" customWidth="1"/>
    <col min="3849" max="4096" width="11.42578125" customWidth="1"/>
    <col min="4097" max="4097" width="16.85546875" customWidth="1"/>
    <col min="4098" max="4098" width="67" bestFit="1" customWidth="1"/>
    <col min="4099" max="4100" width="18.42578125" customWidth="1"/>
    <col min="4101" max="4101" width="18.7109375" customWidth="1"/>
    <col min="4102" max="4102" width="17" customWidth="1"/>
    <col min="4103" max="4103" width="23.140625" customWidth="1"/>
    <col min="4104" max="4104" width="29.140625" customWidth="1"/>
    <col min="4105" max="4352" width="11.42578125" customWidth="1"/>
    <col min="4353" max="4353" width="16.85546875" customWidth="1"/>
    <col min="4354" max="4354" width="67" bestFit="1" customWidth="1"/>
    <col min="4355" max="4356" width="18.42578125" customWidth="1"/>
    <col min="4357" max="4357" width="18.7109375" customWidth="1"/>
    <col min="4358" max="4358" width="17" customWidth="1"/>
    <col min="4359" max="4359" width="23.140625" customWidth="1"/>
    <col min="4360" max="4360" width="29.140625" customWidth="1"/>
    <col min="4361" max="4608" width="11.42578125" customWidth="1"/>
    <col min="4609" max="4609" width="16.85546875" customWidth="1"/>
    <col min="4610" max="4610" width="67" bestFit="1" customWidth="1"/>
    <col min="4611" max="4612" width="18.42578125" customWidth="1"/>
    <col min="4613" max="4613" width="18.7109375" customWidth="1"/>
    <col min="4614" max="4614" width="17" customWidth="1"/>
    <col min="4615" max="4615" width="23.140625" customWidth="1"/>
    <col min="4616" max="4616" width="29.140625" customWidth="1"/>
    <col min="4617" max="4864" width="11.42578125" customWidth="1"/>
    <col min="4865" max="4865" width="16.85546875" customWidth="1"/>
    <col min="4866" max="4866" width="67" bestFit="1" customWidth="1"/>
    <col min="4867" max="4868" width="18.42578125" customWidth="1"/>
    <col min="4869" max="4869" width="18.7109375" customWidth="1"/>
    <col min="4870" max="4870" width="17" customWidth="1"/>
    <col min="4871" max="4871" width="23.140625" customWidth="1"/>
    <col min="4872" max="4872" width="29.140625" customWidth="1"/>
    <col min="4873" max="5120" width="11.42578125" customWidth="1"/>
    <col min="5121" max="5121" width="16.85546875" customWidth="1"/>
    <col min="5122" max="5122" width="67" bestFit="1" customWidth="1"/>
    <col min="5123" max="5124" width="18.42578125" customWidth="1"/>
    <col min="5125" max="5125" width="18.7109375" customWidth="1"/>
    <col min="5126" max="5126" width="17" customWidth="1"/>
    <col min="5127" max="5127" width="23.140625" customWidth="1"/>
    <col min="5128" max="5128" width="29.140625" customWidth="1"/>
    <col min="5129" max="5376" width="11.42578125" customWidth="1"/>
    <col min="5377" max="5377" width="16.85546875" customWidth="1"/>
    <col min="5378" max="5378" width="67" bestFit="1" customWidth="1"/>
    <col min="5379" max="5380" width="18.42578125" customWidth="1"/>
    <col min="5381" max="5381" width="18.7109375" customWidth="1"/>
    <col min="5382" max="5382" width="17" customWidth="1"/>
    <col min="5383" max="5383" width="23.140625" customWidth="1"/>
    <col min="5384" max="5384" width="29.140625" customWidth="1"/>
    <col min="5385" max="5632" width="11.42578125" customWidth="1"/>
    <col min="5633" max="5633" width="16.85546875" customWidth="1"/>
    <col min="5634" max="5634" width="67" bestFit="1" customWidth="1"/>
    <col min="5635" max="5636" width="18.42578125" customWidth="1"/>
    <col min="5637" max="5637" width="18.7109375" customWidth="1"/>
    <col min="5638" max="5638" width="17" customWidth="1"/>
    <col min="5639" max="5639" width="23.140625" customWidth="1"/>
    <col min="5640" max="5640" width="29.140625" customWidth="1"/>
    <col min="5641" max="5888" width="11.42578125" customWidth="1"/>
    <col min="5889" max="5889" width="16.85546875" customWidth="1"/>
    <col min="5890" max="5890" width="67" bestFit="1" customWidth="1"/>
    <col min="5891" max="5892" width="18.42578125" customWidth="1"/>
    <col min="5893" max="5893" width="18.7109375" customWidth="1"/>
    <col min="5894" max="5894" width="17" customWidth="1"/>
    <col min="5895" max="5895" width="23.140625" customWidth="1"/>
    <col min="5896" max="5896" width="29.140625" customWidth="1"/>
    <col min="5897" max="6144" width="11.42578125" customWidth="1"/>
    <col min="6145" max="6145" width="16.85546875" customWidth="1"/>
    <col min="6146" max="6146" width="67" bestFit="1" customWidth="1"/>
    <col min="6147" max="6148" width="18.42578125" customWidth="1"/>
    <col min="6149" max="6149" width="18.7109375" customWidth="1"/>
    <col min="6150" max="6150" width="17" customWidth="1"/>
    <col min="6151" max="6151" width="23.140625" customWidth="1"/>
    <col min="6152" max="6152" width="29.140625" customWidth="1"/>
    <col min="6153" max="6400" width="11.42578125" customWidth="1"/>
    <col min="6401" max="6401" width="16.85546875" customWidth="1"/>
    <col min="6402" max="6402" width="67" bestFit="1" customWidth="1"/>
    <col min="6403" max="6404" width="18.42578125" customWidth="1"/>
    <col min="6405" max="6405" width="18.7109375" customWidth="1"/>
    <col min="6406" max="6406" width="17" customWidth="1"/>
    <col min="6407" max="6407" width="23.140625" customWidth="1"/>
    <col min="6408" max="6408" width="29.140625" customWidth="1"/>
    <col min="6409" max="6656" width="11.42578125" customWidth="1"/>
    <col min="6657" max="6657" width="16.85546875" customWidth="1"/>
    <col min="6658" max="6658" width="67" bestFit="1" customWidth="1"/>
    <col min="6659" max="6660" width="18.42578125" customWidth="1"/>
    <col min="6661" max="6661" width="18.7109375" customWidth="1"/>
    <col min="6662" max="6662" width="17" customWidth="1"/>
    <col min="6663" max="6663" width="23.140625" customWidth="1"/>
    <col min="6664" max="6664" width="29.140625" customWidth="1"/>
    <col min="6665" max="6912" width="11.42578125" customWidth="1"/>
    <col min="6913" max="6913" width="16.85546875" customWidth="1"/>
    <col min="6914" max="6914" width="67" bestFit="1" customWidth="1"/>
    <col min="6915" max="6916" width="18.42578125" customWidth="1"/>
    <col min="6917" max="6917" width="18.7109375" customWidth="1"/>
    <col min="6918" max="6918" width="17" customWidth="1"/>
    <col min="6919" max="6919" width="23.140625" customWidth="1"/>
    <col min="6920" max="6920" width="29.140625" customWidth="1"/>
    <col min="6921" max="7168" width="11.42578125" customWidth="1"/>
    <col min="7169" max="7169" width="16.85546875" customWidth="1"/>
    <col min="7170" max="7170" width="67" bestFit="1" customWidth="1"/>
    <col min="7171" max="7172" width="18.42578125" customWidth="1"/>
    <col min="7173" max="7173" width="18.7109375" customWidth="1"/>
    <col min="7174" max="7174" width="17" customWidth="1"/>
    <col min="7175" max="7175" width="23.140625" customWidth="1"/>
    <col min="7176" max="7176" width="29.140625" customWidth="1"/>
    <col min="7177" max="7424" width="11.42578125" customWidth="1"/>
    <col min="7425" max="7425" width="16.85546875" customWidth="1"/>
    <col min="7426" max="7426" width="67" bestFit="1" customWidth="1"/>
    <col min="7427" max="7428" width="18.42578125" customWidth="1"/>
    <col min="7429" max="7429" width="18.7109375" customWidth="1"/>
    <col min="7430" max="7430" width="17" customWidth="1"/>
    <col min="7431" max="7431" width="23.140625" customWidth="1"/>
    <col min="7432" max="7432" width="29.140625" customWidth="1"/>
    <col min="7433" max="7680" width="11.42578125" customWidth="1"/>
    <col min="7681" max="7681" width="16.85546875" customWidth="1"/>
    <col min="7682" max="7682" width="67" bestFit="1" customWidth="1"/>
    <col min="7683" max="7684" width="18.42578125" customWidth="1"/>
    <col min="7685" max="7685" width="18.7109375" customWidth="1"/>
    <col min="7686" max="7686" width="17" customWidth="1"/>
    <col min="7687" max="7687" width="23.140625" customWidth="1"/>
    <col min="7688" max="7688" width="29.140625" customWidth="1"/>
    <col min="7689" max="7936" width="11.42578125" customWidth="1"/>
    <col min="7937" max="7937" width="16.85546875" customWidth="1"/>
    <col min="7938" max="7938" width="67" bestFit="1" customWidth="1"/>
    <col min="7939" max="7940" width="18.42578125" customWidth="1"/>
    <col min="7941" max="7941" width="18.7109375" customWidth="1"/>
    <col min="7942" max="7942" width="17" customWidth="1"/>
    <col min="7943" max="7943" width="23.140625" customWidth="1"/>
    <col min="7944" max="7944" width="29.140625" customWidth="1"/>
    <col min="7945" max="8192" width="11.42578125" customWidth="1"/>
    <col min="8193" max="8193" width="16.85546875" customWidth="1"/>
    <col min="8194" max="8194" width="67" bestFit="1" customWidth="1"/>
    <col min="8195" max="8196" width="18.42578125" customWidth="1"/>
    <col min="8197" max="8197" width="18.7109375" customWidth="1"/>
    <col min="8198" max="8198" width="17" customWidth="1"/>
    <col min="8199" max="8199" width="23.140625" customWidth="1"/>
    <col min="8200" max="8200" width="29.140625" customWidth="1"/>
    <col min="8201" max="8448" width="11.42578125" customWidth="1"/>
    <col min="8449" max="8449" width="16.85546875" customWidth="1"/>
    <col min="8450" max="8450" width="67" bestFit="1" customWidth="1"/>
    <col min="8451" max="8452" width="18.42578125" customWidth="1"/>
    <col min="8453" max="8453" width="18.7109375" customWidth="1"/>
    <col min="8454" max="8454" width="17" customWidth="1"/>
    <col min="8455" max="8455" width="23.140625" customWidth="1"/>
    <col min="8456" max="8456" width="29.140625" customWidth="1"/>
    <col min="8457" max="8704" width="11.42578125" customWidth="1"/>
    <col min="8705" max="8705" width="16.85546875" customWidth="1"/>
    <col min="8706" max="8706" width="67" bestFit="1" customWidth="1"/>
    <col min="8707" max="8708" width="18.42578125" customWidth="1"/>
    <col min="8709" max="8709" width="18.7109375" customWidth="1"/>
    <col min="8710" max="8710" width="17" customWidth="1"/>
    <col min="8711" max="8711" width="23.140625" customWidth="1"/>
    <col min="8712" max="8712" width="29.140625" customWidth="1"/>
    <col min="8713" max="8960" width="11.42578125" customWidth="1"/>
    <col min="8961" max="8961" width="16.85546875" customWidth="1"/>
    <col min="8962" max="8962" width="67" bestFit="1" customWidth="1"/>
    <col min="8963" max="8964" width="18.42578125" customWidth="1"/>
    <col min="8965" max="8965" width="18.7109375" customWidth="1"/>
    <col min="8966" max="8966" width="17" customWidth="1"/>
    <col min="8967" max="8967" width="23.140625" customWidth="1"/>
    <col min="8968" max="8968" width="29.140625" customWidth="1"/>
    <col min="8969" max="9216" width="11.42578125" customWidth="1"/>
    <col min="9217" max="9217" width="16.85546875" customWidth="1"/>
    <col min="9218" max="9218" width="67" bestFit="1" customWidth="1"/>
    <col min="9219" max="9220" width="18.42578125" customWidth="1"/>
    <col min="9221" max="9221" width="18.7109375" customWidth="1"/>
    <col min="9222" max="9222" width="17" customWidth="1"/>
    <col min="9223" max="9223" width="23.140625" customWidth="1"/>
    <col min="9224" max="9224" width="29.140625" customWidth="1"/>
    <col min="9225" max="9472" width="11.42578125" customWidth="1"/>
    <col min="9473" max="9473" width="16.85546875" customWidth="1"/>
    <col min="9474" max="9474" width="67" bestFit="1" customWidth="1"/>
    <col min="9475" max="9476" width="18.42578125" customWidth="1"/>
    <col min="9477" max="9477" width="18.7109375" customWidth="1"/>
    <col min="9478" max="9478" width="17" customWidth="1"/>
    <col min="9479" max="9479" width="23.140625" customWidth="1"/>
    <col min="9480" max="9480" width="29.140625" customWidth="1"/>
    <col min="9481" max="9728" width="11.42578125" customWidth="1"/>
    <col min="9729" max="9729" width="16.85546875" customWidth="1"/>
    <col min="9730" max="9730" width="67" bestFit="1" customWidth="1"/>
    <col min="9731" max="9732" width="18.42578125" customWidth="1"/>
    <col min="9733" max="9733" width="18.7109375" customWidth="1"/>
    <col min="9734" max="9734" width="17" customWidth="1"/>
    <col min="9735" max="9735" width="23.140625" customWidth="1"/>
    <col min="9736" max="9736" width="29.140625" customWidth="1"/>
    <col min="9737" max="9984" width="11.42578125" customWidth="1"/>
    <col min="9985" max="9985" width="16.85546875" customWidth="1"/>
    <col min="9986" max="9986" width="67" bestFit="1" customWidth="1"/>
    <col min="9987" max="9988" width="18.42578125" customWidth="1"/>
    <col min="9989" max="9989" width="18.7109375" customWidth="1"/>
    <col min="9990" max="9990" width="17" customWidth="1"/>
    <col min="9991" max="9991" width="23.140625" customWidth="1"/>
    <col min="9992" max="9992" width="29.140625" customWidth="1"/>
    <col min="9993" max="10240" width="11.42578125" customWidth="1"/>
    <col min="10241" max="10241" width="16.85546875" customWidth="1"/>
    <col min="10242" max="10242" width="67" bestFit="1" customWidth="1"/>
    <col min="10243" max="10244" width="18.42578125" customWidth="1"/>
    <col min="10245" max="10245" width="18.7109375" customWidth="1"/>
    <col min="10246" max="10246" width="17" customWidth="1"/>
    <col min="10247" max="10247" width="23.140625" customWidth="1"/>
    <col min="10248" max="10248" width="29.140625" customWidth="1"/>
    <col min="10249" max="10496" width="11.42578125" customWidth="1"/>
    <col min="10497" max="10497" width="16.85546875" customWidth="1"/>
    <col min="10498" max="10498" width="67" bestFit="1" customWidth="1"/>
    <col min="10499" max="10500" width="18.42578125" customWidth="1"/>
    <col min="10501" max="10501" width="18.7109375" customWidth="1"/>
    <col min="10502" max="10502" width="17" customWidth="1"/>
    <col min="10503" max="10503" width="23.140625" customWidth="1"/>
    <col min="10504" max="10504" width="29.140625" customWidth="1"/>
    <col min="10505" max="10752" width="11.42578125" customWidth="1"/>
    <col min="10753" max="10753" width="16.85546875" customWidth="1"/>
    <col min="10754" max="10754" width="67" bestFit="1" customWidth="1"/>
    <col min="10755" max="10756" width="18.42578125" customWidth="1"/>
    <col min="10757" max="10757" width="18.7109375" customWidth="1"/>
    <col min="10758" max="10758" width="17" customWidth="1"/>
    <col min="10759" max="10759" width="23.140625" customWidth="1"/>
    <col min="10760" max="10760" width="29.140625" customWidth="1"/>
    <col min="10761" max="11008" width="11.42578125" customWidth="1"/>
    <col min="11009" max="11009" width="16.85546875" customWidth="1"/>
    <col min="11010" max="11010" width="67" bestFit="1" customWidth="1"/>
    <col min="11011" max="11012" width="18.42578125" customWidth="1"/>
    <col min="11013" max="11013" width="18.7109375" customWidth="1"/>
    <col min="11014" max="11014" width="17" customWidth="1"/>
    <col min="11015" max="11015" width="23.140625" customWidth="1"/>
    <col min="11016" max="11016" width="29.140625" customWidth="1"/>
    <col min="11017" max="11264" width="11.42578125" customWidth="1"/>
    <col min="11265" max="11265" width="16.85546875" customWidth="1"/>
    <col min="11266" max="11266" width="67" bestFit="1" customWidth="1"/>
    <col min="11267" max="11268" width="18.42578125" customWidth="1"/>
    <col min="11269" max="11269" width="18.7109375" customWidth="1"/>
    <col min="11270" max="11270" width="17" customWidth="1"/>
    <col min="11271" max="11271" width="23.140625" customWidth="1"/>
    <col min="11272" max="11272" width="29.140625" customWidth="1"/>
    <col min="11273" max="11520" width="11.42578125" customWidth="1"/>
    <col min="11521" max="11521" width="16.85546875" customWidth="1"/>
    <col min="11522" max="11522" width="67" bestFit="1" customWidth="1"/>
    <col min="11523" max="11524" width="18.42578125" customWidth="1"/>
    <col min="11525" max="11525" width="18.7109375" customWidth="1"/>
    <col min="11526" max="11526" width="17" customWidth="1"/>
    <col min="11527" max="11527" width="23.140625" customWidth="1"/>
    <col min="11528" max="11528" width="29.140625" customWidth="1"/>
    <col min="11529" max="11776" width="11.42578125" customWidth="1"/>
    <col min="11777" max="11777" width="16.85546875" customWidth="1"/>
    <col min="11778" max="11778" width="67" bestFit="1" customWidth="1"/>
    <col min="11779" max="11780" width="18.42578125" customWidth="1"/>
    <col min="11781" max="11781" width="18.7109375" customWidth="1"/>
    <col min="11782" max="11782" width="17" customWidth="1"/>
    <col min="11783" max="11783" width="23.140625" customWidth="1"/>
    <col min="11784" max="11784" width="29.140625" customWidth="1"/>
    <col min="11785" max="12032" width="11.42578125" customWidth="1"/>
    <col min="12033" max="12033" width="16.85546875" customWidth="1"/>
    <col min="12034" max="12034" width="67" bestFit="1" customWidth="1"/>
    <col min="12035" max="12036" width="18.42578125" customWidth="1"/>
    <col min="12037" max="12037" width="18.7109375" customWidth="1"/>
    <col min="12038" max="12038" width="17" customWidth="1"/>
    <col min="12039" max="12039" width="23.140625" customWidth="1"/>
    <col min="12040" max="12040" width="29.140625" customWidth="1"/>
    <col min="12041" max="12288" width="11.42578125" customWidth="1"/>
    <col min="12289" max="12289" width="16.85546875" customWidth="1"/>
    <col min="12290" max="12290" width="67" bestFit="1" customWidth="1"/>
    <col min="12291" max="12292" width="18.42578125" customWidth="1"/>
    <col min="12293" max="12293" width="18.7109375" customWidth="1"/>
    <col min="12294" max="12294" width="17" customWidth="1"/>
    <col min="12295" max="12295" width="23.140625" customWidth="1"/>
    <col min="12296" max="12296" width="29.140625" customWidth="1"/>
    <col min="12297" max="12544" width="11.42578125" customWidth="1"/>
    <col min="12545" max="12545" width="16.85546875" customWidth="1"/>
    <col min="12546" max="12546" width="67" bestFit="1" customWidth="1"/>
    <col min="12547" max="12548" width="18.42578125" customWidth="1"/>
    <col min="12549" max="12549" width="18.7109375" customWidth="1"/>
    <col min="12550" max="12550" width="17" customWidth="1"/>
    <col min="12551" max="12551" width="23.140625" customWidth="1"/>
    <col min="12552" max="12552" width="29.140625" customWidth="1"/>
    <col min="12553" max="12800" width="11.42578125" customWidth="1"/>
    <col min="12801" max="12801" width="16.85546875" customWidth="1"/>
    <col min="12802" max="12802" width="67" bestFit="1" customWidth="1"/>
    <col min="12803" max="12804" width="18.42578125" customWidth="1"/>
    <col min="12805" max="12805" width="18.7109375" customWidth="1"/>
    <col min="12806" max="12806" width="17" customWidth="1"/>
    <col min="12807" max="12807" width="23.140625" customWidth="1"/>
    <col min="12808" max="12808" width="29.140625" customWidth="1"/>
    <col min="12809" max="13056" width="11.42578125" customWidth="1"/>
    <col min="13057" max="13057" width="16.85546875" customWidth="1"/>
    <col min="13058" max="13058" width="67" bestFit="1" customWidth="1"/>
    <col min="13059" max="13060" width="18.42578125" customWidth="1"/>
    <col min="13061" max="13061" width="18.7109375" customWidth="1"/>
    <col min="13062" max="13062" width="17" customWidth="1"/>
    <col min="13063" max="13063" width="23.140625" customWidth="1"/>
    <col min="13064" max="13064" width="29.140625" customWidth="1"/>
    <col min="13065" max="13312" width="11.42578125" customWidth="1"/>
    <col min="13313" max="13313" width="16.85546875" customWidth="1"/>
    <col min="13314" max="13314" width="67" bestFit="1" customWidth="1"/>
    <col min="13315" max="13316" width="18.42578125" customWidth="1"/>
    <col min="13317" max="13317" width="18.7109375" customWidth="1"/>
    <col min="13318" max="13318" width="17" customWidth="1"/>
    <col min="13319" max="13319" width="23.140625" customWidth="1"/>
    <col min="13320" max="13320" width="29.140625" customWidth="1"/>
    <col min="13321" max="13568" width="11.42578125" customWidth="1"/>
    <col min="13569" max="13569" width="16.85546875" customWidth="1"/>
    <col min="13570" max="13570" width="67" bestFit="1" customWidth="1"/>
    <col min="13571" max="13572" width="18.42578125" customWidth="1"/>
    <col min="13573" max="13573" width="18.7109375" customWidth="1"/>
    <col min="13574" max="13574" width="17" customWidth="1"/>
    <col min="13575" max="13575" width="23.140625" customWidth="1"/>
    <col min="13576" max="13576" width="29.140625" customWidth="1"/>
    <col min="13577" max="13824" width="11.42578125" customWidth="1"/>
    <col min="13825" max="13825" width="16.85546875" customWidth="1"/>
    <col min="13826" max="13826" width="67" bestFit="1" customWidth="1"/>
    <col min="13827" max="13828" width="18.42578125" customWidth="1"/>
    <col min="13829" max="13829" width="18.7109375" customWidth="1"/>
    <col min="13830" max="13830" width="17" customWidth="1"/>
    <col min="13831" max="13831" width="23.140625" customWidth="1"/>
    <col min="13832" max="13832" width="29.140625" customWidth="1"/>
    <col min="13833" max="14080" width="11.42578125" customWidth="1"/>
    <col min="14081" max="14081" width="16.85546875" customWidth="1"/>
    <col min="14082" max="14082" width="67" bestFit="1" customWidth="1"/>
    <col min="14083" max="14084" width="18.42578125" customWidth="1"/>
    <col min="14085" max="14085" width="18.7109375" customWidth="1"/>
    <col min="14086" max="14086" width="17" customWidth="1"/>
    <col min="14087" max="14087" width="23.140625" customWidth="1"/>
    <col min="14088" max="14088" width="29.140625" customWidth="1"/>
    <col min="14089" max="14336" width="11.42578125" customWidth="1"/>
    <col min="14337" max="14337" width="16.85546875" customWidth="1"/>
    <col min="14338" max="14338" width="67" bestFit="1" customWidth="1"/>
    <col min="14339" max="14340" width="18.42578125" customWidth="1"/>
    <col min="14341" max="14341" width="18.7109375" customWidth="1"/>
    <col min="14342" max="14342" width="17" customWidth="1"/>
    <col min="14343" max="14343" width="23.140625" customWidth="1"/>
    <col min="14344" max="14344" width="29.140625" customWidth="1"/>
    <col min="14345" max="14592" width="11.42578125" customWidth="1"/>
    <col min="14593" max="14593" width="16.85546875" customWidth="1"/>
    <col min="14594" max="14594" width="67" bestFit="1" customWidth="1"/>
    <col min="14595" max="14596" width="18.42578125" customWidth="1"/>
    <col min="14597" max="14597" width="18.7109375" customWidth="1"/>
    <col min="14598" max="14598" width="17" customWidth="1"/>
    <col min="14599" max="14599" width="23.140625" customWidth="1"/>
    <col min="14600" max="14600" width="29.140625" customWidth="1"/>
    <col min="14601" max="14848" width="11.42578125" customWidth="1"/>
    <col min="14849" max="14849" width="16.85546875" customWidth="1"/>
    <col min="14850" max="14850" width="67" bestFit="1" customWidth="1"/>
    <col min="14851" max="14852" width="18.42578125" customWidth="1"/>
    <col min="14853" max="14853" width="18.7109375" customWidth="1"/>
    <col min="14854" max="14854" width="17" customWidth="1"/>
    <col min="14855" max="14855" width="23.140625" customWidth="1"/>
    <col min="14856" max="14856" width="29.140625" customWidth="1"/>
    <col min="14857" max="15104" width="11.42578125" customWidth="1"/>
    <col min="15105" max="15105" width="16.85546875" customWidth="1"/>
    <col min="15106" max="15106" width="67" bestFit="1" customWidth="1"/>
    <col min="15107" max="15108" width="18.42578125" customWidth="1"/>
    <col min="15109" max="15109" width="18.7109375" customWidth="1"/>
    <col min="15110" max="15110" width="17" customWidth="1"/>
    <col min="15111" max="15111" width="23.140625" customWidth="1"/>
    <col min="15112" max="15112" width="29.140625" customWidth="1"/>
    <col min="15113" max="15360" width="11.42578125" customWidth="1"/>
    <col min="15361" max="15361" width="16.85546875" customWidth="1"/>
    <col min="15362" max="15362" width="67" bestFit="1" customWidth="1"/>
    <col min="15363" max="15364" width="18.42578125" customWidth="1"/>
    <col min="15365" max="15365" width="18.7109375" customWidth="1"/>
    <col min="15366" max="15366" width="17" customWidth="1"/>
    <col min="15367" max="15367" width="23.140625" customWidth="1"/>
    <col min="15368" max="15368" width="29.140625" customWidth="1"/>
    <col min="15369" max="15616" width="11.42578125" customWidth="1"/>
    <col min="15617" max="15617" width="16.85546875" customWidth="1"/>
    <col min="15618" max="15618" width="67" bestFit="1" customWidth="1"/>
    <col min="15619" max="15620" width="18.42578125" customWidth="1"/>
    <col min="15621" max="15621" width="18.7109375" customWidth="1"/>
    <col min="15622" max="15622" width="17" customWidth="1"/>
    <col min="15623" max="15623" width="23.140625" customWidth="1"/>
    <col min="15624" max="15624" width="29.140625" customWidth="1"/>
    <col min="15625" max="15872" width="11.42578125" customWidth="1"/>
    <col min="15873" max="15873" width="16.85546875" customWidth="1"/>
    <col min="15874" max="15874" width="67" bestFit="1" customWidth="1"/>
    <col min="15875" max="15876" width="18.42578125" customWidth="1"/>
    <col min="15877" max="15877" width="18.7109375" customWidth="1"/>
    <col min="15878" max="15878" width="17" customWidth="1"/>
    <col min="15879" max="15879" width="23.140625" customWidth="1"/>
    <col min="15880" max="15880" width="29.140625" customWidth="1"/>
    <col min="15881" max="16128" width="11.42578125" customWidth="1"/>
    <col min="16129" max="16129" width="16.85546875" customWidth="1"/>
    <col min="16130" max="16130" width="67" bestFit="1" customWidth="1"/>
    <col min="16131" max="16132" width="18.42578125" customWidth="1"/>
    <col min="16133" max="16133" width="18.7109375" customWidth="1"/>
    <col min="16134" max="16134" width="17" customWidth="1"/>
    <col min="16135" max="16135" width="23.140625" customWidth="1"/>
    <col min="16136" max="16136" width="29.140625" customWidth="1"/>
    <col min="16137" max="16384" width="11.42578125" customWidth="1"/>
  </cols>
  <sheetData>
    <row r="1" spans="1:12" ht="20.25" x14ac:dyDescent="0.3">
      <c r="A1" s="1466"/>
      <c r="B1" s="1469" t="s">
        <v>58</v>
      </c>
      <c r="C1" s="1469"/>
      <c r="D1" s="1469"/>
      <c r="E1" s="1469"/>
      <c r="F1" s="1469"/>
      <c r="G1" s="742" t="s">
        <v>57</v>
      </c>
      <c r="H1" s="743" t="s">
        <v>448</v>
      </c>
    </row>
    <row r="2" spans="1:12" ht="20.25" x14ac:dyDescent="0.3">
      <c r="A2" s="1467"/>
      <c r="B2" s="1470" t="s">
        <v>56</v>
      </c>
      <c r="C2" s="1470"/>
      <c r="D2" s="1470"/>
      <c r="E2" s="1470"/>
      <c r="F2" s="1470"/>
      <c r="G2" s="744" t="s">
        <v>55</v>
      </c>
      <c r="H2" s="745"/>
    </row>
    <row r="3" spans="1:12" ht="20.25" x14ac:dyDescent="0.2">
      <c r="A3" s="1467"/>
      <c r="B3" s="1471" t="s">
        <v>449</v>
      </c>
      <c r="C3" s="1471"/>
      <c r="D3" s="1471"/>
      <c r="E3" s="1471"/>
      <c r="F3" s="1471"/>
      <c r="G3" s="1472" t="s">
        <v>54</v>
      </c>
      <c r="H3" s="1462"/>
    </row>
    <row r="4" spans="1:12" ht="20.25" x14ac:dyDescent="0.3">
      <c r="A4" s="1467"/>
      <c r="B4" s="746" t="s">
        <v>53</v>
      </c>
      <c r="C4" s="1464" t="s">
        <v>450</v>
      </c>
      <c r="D4" s="1464"/>
      <c r="E4" s="1464"/>
      <c r="F4" s="1464"/>
      <c r="G4" s="1472"/>
      <c r="H4" s="1462"/>
    </row>
    <row r="5" spans="1:12" ht="21" thickBot="1" x14ac:dyDescent="0.35">
      <c r="A5" s="1468"/>
      <c r="B5" s="747" t="s">
        <v>51</v>
      </c>
      <c r="C5" s="1465" t="s">
        <v>451</v>
      </c>
      <c r="D5" s="1465"/>
      <c r="E5" s="1465"/>
      <c r="F5" s="1465"/>
      <c r="G5" s="1473"/>
      <c r="H5" s="1463"/>
    </row>
    <row r="6" spans="1:12" ht="21" thickBot="1" x14ac:dyDescent="0.25">
      <c r="A6" s="1474" t="s">
        <v>49</v>
      </c>
      <c r="B6" s="1475"/>
      <c r="C6" s="1476" t="s">
        <v>452</v>
      </c>
      <c r="D6" s="1476"/>
      <c r="E6" s="1476"/>
      <c r="F6" s="1477" t="s">
        <v>47</v>
      </c>
      <c r="G6" s="1477"/>
      <c r="H6" s="748" t="s">
        <v>452</v>
      </c>
    </row>
    <row r="7" spans="1:12" ht="20.25" x14ac:dyDescent="0.2">
      <c r="A7" s="1478" t="s">
        <v>45</v>
      </c>
      <c r="B7" s="1480" t="s">
        <v>44</v>
      </c>
      <c r="C7" s="1480" t="s">
        <v>43</v>
      </c>
      <c r="D7" s="1480" t="s">
        <v>42</v>
      </c>
      <c r="E7" s="1480"/>
      <c r="F7" s="1480" t="s">
        <v>41</v>
      </c>
      <c r="G7" s="1480"/>
      <c r="H7" s="749" t="s">
        <v>40</v>
      </c>
    </row>
    <row r="8" spans="1:12" ht="41.25" thickBot="1" x14ac:dyDescent="0.35">
      <c r="A8" s="1479"/>
      <c r="B8" s="1481"/>
      <c r="C8" s="1481"/>
      <c r="D8" s="750" t="s">
        <v>11</v>
      </c>
      <c r="E8" s="751" t="s">
        <v>39</v>
      </c>
      <c r="F8" s="750" t="s">
        <v>11</v>
      </c>
      <c r="G8" s="751" t="s">
        <v>39</v>
      </c>
      <c r="H8" s="752" t="s">
        <v>38</v>
      </c>
    </row>
    <row r="9" spans="1:12" ht="20.25" x14ac:dyDescent="0.3">
      <c r="A9" s="753" t="s">
        <v>453</v>
      </c>
      <c r="B9" s="754" t="s">
        <v>320</v>
      </c>
      <c r="C9" s="755" t="s">
        <v>454</v>
      </c>
      <c r="D9" s="756">
        <v>2000</v>
      </c>
      <c r="E9" s="757" t="s">
        <v>2</v>
      </c>
      <c r="F9" s="758"/>
      <c r="G9" s="759"/>
      <c r="H9" s="760"/>
    </row>
    <row r="10" spans="1:12" ht="20.25" x14ac:dyDescent="0.3">
      <c r="A10" s="761" t="s">
        <v>455</v>
      </c>
      <c r="B10" s="762" t="s">
        <v>456</v>
      </c>
      <c r="C10" s="763" t="s">
        <v>457</v>
      </c>
      <c r="D10" s="756">
        <v>1020</v>
      </c>
      <c r="E10" s="764" t="s">
        <v>2</v>
      </c>
      <c r="F10" s="758"/>
      <c r="G10" s="759"/>
      <c r="H10" s="760"/>
    </row>
    <row r="11" spans="1:12" ht="20.25" x14ac:dyDescent="0.3">
      <c r="A11" s="761" t="s">
        <v>458</v>
      </c>
      <c r="B11" s="762" t="s">
        <v>459</v>
      </c>
      <c r="C11" s="759" t="s">
        <v>460</v>
      </c>
      <c r="D11" s="756">
        <v>24</v>
      </c>
      <c r="E11" s="764" t="s">
        <v>2</v>
      </c>
      <c r="F11" s="758"/>
      <c r="G11" s="759"/>
      <c r="H11" s="760"/>
    </row>
    <row r="12" spans="1:12" ht="20.25" x14ac:dyDescent="0.3">
      <c r="A12" s="761" t="s">
        <v>461</v>
      </c>
      <c r="B12" s="762" t="s">
        <v>276</v>
      </c>
      <c r="C12" s="759" t="s">
        <v>462</v>
      </c>
      <c r="D12" s="756">
        <v>3</v>
      </c>
      <c r="E12" s="764" t="s">
        <v>2</v>
      </c>
      <c r="F12" s="758"/>
      <c r="G12" s="759"/>
      <c r="H12" s="760"/>
    </row>
    <row r="13" spans="1:12" ht="20.25" x14ac:dyDescent="0.3">
      <c r="A13" s="753"/>
      <c r="B13" s="762"/>
      <c r="C13" s="759"/>
      <c r="D13" s="756"/>
      <c r="E13" s="757"/>
      <c r="F13" s="758"/>
      <c r="G13" s="759"/>
      <c r="H13" s="760"/>
    </row>
    <row r="14" spans="1:12" ht="20.25" x14ac:dyDescent="0.3">
      <c r="A14" s="753"/>
      <c r="B14" s="765" t="s">
        <v>32</v>
      </c>
      <c r="C14" s="759"/>
      <c r="D14" s="756"/>
      <c r="E14" s="757"/>
      <c r="F14" s="758"/>
      <c r="G14" s="759"/>
      <c r="H14" s="760"/>
    </row>
    <row r="15" spans="1:12" ht="20.25" x14ac:dyDescent="0.3">
      <c r="A15" s="761" t="s">
        <v>463</v>
      </c>
      <c r="B15" s="766" t="s">
        <v>464</v>
      </c>
      <c r="C15" s="759" t="s">
        <v>295</v>
      </c>
      <c r="D15" s="759">
        <v>2</v>
      </c>
      <c r="E15" s="759" t="s">
        <v>5</v>
      </c>
      <c r="F15" s="758"/>
      <c r="G15" s="759"/>
      <c r="H15" s="760"/>
    </row>
    <row r="16" spans="1:12" ht="20.25" x14ac:dyDescent="0.3">
      <c r="A16" s="761" t="s">
        <v>296</v>
      </c>
      <c r="B16" s="766" t="s">
        <v>298</v>
      </c>
      <c r="C16" s="759" t="s">
        <v>16</v>
      </c>
      <c r="D16" s="759">
        <v>1</v>
      </c>
      <c r="E16" s="759" t="s">
        <v>5</v>
      </c>
      <c r="F16" s="758"/>
      <c r="G16" s="759"/>
      <c r="H16" s="760"/>
      <c r="I16" s="1"/>
      <c r="J16" s="1"/>
      <c r="K16" s="1"/>
      <c r="L16" s="1"/>
    </row>
    <row r="17" spans="1:12" ht="21" thickBot="1" x14ac:dyDescent="0.35">
      <c r="A17" s="767"/>
      <c r="B17" s="768"/>
      <c r="C17" s="768"/>
      <c r="D17" s="769"/>
      <c r="E17" s="770"/>
      <c r="F17" s="768"/>
      <c r="G17" s="768"/>
      <c r="H17" s="771"/>
      <c r="I17" s="1"/>
      <c r="J17" s="1"/>
      <c r="K17" s="6"/>
      <c r="L17" s="1"/>
    </row>
    <row r="18" spans="1:12" ht="21" thickBot="1" x14ac:dyDescent="0.35">
      <c r="A18" s="772"/>
      <c r="B18" s="773"/>
      <c r="C18" s="774" t="s">
        <v>11</v>
      </c>
      <c r="D18" s="775" t="s">
        <v>10</v>
      </c>
      <c r="E18" s="776"/>
      <c r="F18" s="773"/>
      <c r="G18" s="773"/>
      <c r="H18" s="777"/>
      <c r="I18" s="1"/>
      <c r="J18" s="1"/>
      <c r="K18" s="6"/>
      <c r="L18" s="1"/>
    </row>
    <row r="19" spans="1:12" ht="20.25" x14ac:dyDescent="0.3">
      <c r="A19" s="1482" t="s">
        <v>9</v>
      </c>
      <c r="B19" s="1483"/>
      <c r="C19" s="758">
        <v>3047</v>
      </c>
      <c r="D19" s="778" t="s">
        <v>2</v>
      </c>
      <c r="E19" s="1484"/>
      <c r="F19" s="1484"/>
      <c r="G19" s="1485"/>
      <c r="H19" s="1486"/>
      <c r="I19" s="1"/>
      <c r="J19" s="1"/>
      <c r="K19" s="6"/>
      <c r="L19" s="1"/>
    </row>
    <row r="20" spans="1:12" ht="20.25" x14ac:dyDescent="0.3">
      <c r="A20" s="1487" t="s">
        <v>105</v>
      </c>
      <c r="B20" s="1488"/>
      <c r="C20" s="779">
        <v>2</v>
      </c>
      <c r="D20" s="780" t="s">
        <v>7</v>
      </c>
      <c r="E20" s="1489"/>
      <c r="F20" s="1489"/>
      <c r="G20" s="1490"/>
      <c r="H20" s="1491"/>
      <c r="I20" s="1"/>
      <c r="J20" s="1"/>
      <c r="K20" s="6"/>
      <c r="L20" s="1"/>
    </row>
    <row r="21" spans="1:12" ht="20.25" x14ac:dyDescent="0.3">
      <c r="A21" s="1487" t="s">
        <v>6</v>
      </c>
      <c r="B21" s="1488"/>
      <c r="C21" s="780">
        <v>1</v>
      </c>
      <c r="D21" s="780" t="s">
        <v>232</v>
      </c>
      <c r="E21" s="1489" t="s">
        <v>465</v>
      </c>
      <c r="F21" s="1489"/>
      <c r="G21" s="1490"/>
      <c r="H21" s="1491"/>
      <c r="I21" s="1"/>
      <c r="J21" s="1"/>
      <c r="K21" s="6"/>
      <c r="L21" s="1"/>
    </row>
    <row r="22" spans="1:12" ht="20.25" x14ac:dyDescent="0.3">
      <c r="A22" s="1487" t="s">
        <v>4</v>
      </c>
      <c r="B22" s="1488"/>
      <c r="C22" s="781">
        <v>3047</v>
      </c>
      <c r="D22" s="780" t="s">
        <v>2</v>
      </c>
      <c r="E22" s="1489"/>
      <c r="F22" s="1489"/>
      <c r="G22" s="1490"/>
      <c r="H22" s="1491"/>
      <c r="I22" s="1"/>
      <c r="J22" s="1"/>
      <c r="K22" s="6"/>
      <c r="L22" s="782"/>
    </row>
    <row r="23" spans="1:12" ht="21" thickBot="1" x14ac:dyDescent="0.35">
      <c r="A23" s="1498" t="s">
        <v>3</v>
      </c>
      <c r="B23" s="1499"/>
      <c r="C23" s="783">
        <f>SUM(D9:D12)-C19</f>
        <v>0</v>
      </c>
      <c r="D23" s="784" t="s">
        <v>2</v>
      </c>
      <c r="E23" s="1500"/>
      <c r="F23" s="1500"/>
      <c r="G23" s="1501"/>
      <c r="H23" s="1502"/>
      <c r="I23" s="1"/>
      <c r="J23" s="785"/>
      <c r="K23" s="6"/>
      <c r="L23" s="785"/>
    </row>
    <row r="24" spans="1:12" ht="21" thickBot="1" x14ac:dyDescent="0.35">
      <c r="A24" s="1503" t="s">
        <v>1</v>
      </c>
      <c r="B24" s="1504"/>
      <c r="C24" s="1504"/>
      <c r="D24" s="1504"/>
      <c r="E24" s="1504"/>
      <c r="F24" s="1504"/>
      <c r="G24" s="1504"/>
      <c r="H24" s="1505"/>
      <c r="I24" s="1"/>
      <c r="J24" s="1"/>
      <c r="K24" s="1"/>
      <c r="L24" s="1"/>
    </row>
    <row r="25" spans="1:12" ht="20.25" x14ac:dyDescent="0.3">
      <c r="A25" s="1506" t="s">
        <v>466</v>
      </c>
      <c r="B25" s="1507"/>
      <c r="C25" s="1507"/>
      <c r="D25" s="1507"/>
      <c r="E25" s="1507"/>
      <c r="F25" s="1507"/>
      <c r="G25" s="1507"/>
      <c r="H25" s="1508"/>
    </row>
    <row r="26" spans="1:12" ht="20.25" x14ac:dyDescent="0.3">
      <c r="A26" s="1492" t="s">
        <v>467</v>
      </c>
      <c r="B26" s="1493"/>
      <c r="C26" s="1493"/>
      <c r="D26" s="1493"/>
      <c r="E26" s="1493"/>
      <c r="F26" s="1493"/>
      <c r="G26" s="1493"/>
      <c r="H26" s="1494"/>
    </row>
    <row r="27" spans="1:12" ht="20.25" x14ac:dyDescent="0.3">
      <c r="A27" s="1492" t="s">
        <v>468</v>
      </c>
      <c r="B27" s="1493"/>
      <c r="C27" s="1493"/>
      <c r="D27" s="1493"/>
      <c r="E27" s="1493"/>
      <c r="F27" s="1493"/>
      <c r="G27" s="1493"/>
      <c r="H27" s="1494"/>
    </row>
    <row r="28" spans="1:12" ht="14.25" x14ac:dyDescent="0.2">
      <c r="A28" s="961"/>
      <c r="B28" s="962"/>
      <c r="C28" s="962"/>
      <c r="D28" s="962"/>
      <c r="E28" s="962"/>
      <c r="F28" s="962"/>
      <c r="G28" s="962"/>
      <c r="H28" s="963"/>
    </row>
    <row r="29" spans="1:12" ht="15" thickBot="1" x14ac:dyDescent="0.25">
      <c r="A29" s="985"/>
      <c r="B29" s="986"/>
      <c r="C29" s="986"/>
      <c r="D29" s="986"/>
      <c r="E29" s="986"/>
      <c r="F29" s="986"/>
      <c r="G29" s="986"/>
      <c r="H29" s="987"/>
    </row>
    <row r="30" spans="1:12" ht="18" x14ac:dyDescent="0.2">
      <c r="A30" s="1495" t="s">
        <v>0</v>
      </c>
      <c r="B30" s="1496"/>
      <c r="C30" s="1496"/>
      <c r="D30" s="1496"/>
      <c r="E30" s="1496"/>
      <c r="F30" s="1496"/>
      <c r="G30" s="1496"/>
      <c r="H30" s="1497"/>
    </row>
    <row r="31" spans="1:12" ht="18" x14ac:dyDescent="0.25">
      <c r="A31" s="786" t="s">
        <v>469</v>
      </c>
      <c r="B31" s="786"/>
      <c r="C31" s="787"/>
      <c r="D31" s="787"/>
      <c r="E31" s="787"/>
      <c r="F31" s="787"/>
      <c r="G31" s="787"/>
      <c r="H31" s="787"/>
    </row>
  </sheetData>
  <mergeCells count="38">
    <mergeCell ref="A27:H27"/>
    <mergeCell ref="A28:H28"/>
    <mergeCell ref="A29:H29"/>
    <mergeCell ref="A30:H30"/>
    <mergeCell ref="A23:B23"/>
    <mergeCell ref="E23:F23"/>
    <mergeCell ref="G23:H23"/>
    <mergeCell ref="A24:H24"/>
    <mergeCell ref="A25:H25"/>
    <mergeCell ref="A26:H26"/>
    <mergeCell ref="A21:B21"/>
    <mergeCell ref="E21:F21"/>
    <mergeCell ref="G21:H21"/>
    <mergeCell ref="A22:B22"/>
    <mergeCell ref="E22:F22"/>
    <mergeCell ref="G22:H22"/>
    <mergeCell ref="A19:B19"/>
    <mergeCell ref="E19:F19"/>
    <mergeCell ref="G19:H19"/>
    <mergeCell ref="A20:B20"/>
    <mergeCell ref="E20:F20"/>
    <mergeCell ref="G20:H20"/>
    <mergeCell ref="A6:B6"/>
    <mergeCell ref="C6:E6"/>
    <mergeCell ref="F6:G6"/>
    <mergeCell ref="A7:A8"/>
    <mergeCell ref="B7:B8"/>
    <mergeCell ref="C7:C8"/>
    <mergeCell ref="D7:E7"/>
    <mergeCell ref="F7:G7"/>
    <mergeCell ref="H3:H5"/>
    <mergeCell ref="C4:F4"/>
    <mergeCell ref="C5:F5"/>
    <mergeCell ref="A1:A5"/>
    <mergeCell ref="B1:F1"/>
    <mergeCell ref="B2:F2"/>
    <mergeCell ref="B3:F3"/>
    <mergeCell ref="G3:G5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71D90-3A77-4714-9781-C9947994D60F}">
  <dimension ref="A1:Q91"/>
  <sheetViews>
    <sheetView topLeftCell="A21" workbookViewId="0">
      <selection activeCell="F47" sqref="F47"/>
    </sheetView>
  </sheetViews>
  <sheetFormatPr baseColWidth="10" defaultColWidth="8.42578125" defaultRowHeight="12.75" x14ac:dyDescent="0.2"/>
  <cols>
    <col min="1" max="1" width="10" style="132" bestFit="1" customWidth="1"/>
    <col min="2" max="2" width="44.28515625" style="132" bestFit="1" customWidth="1"/>
    <col min="3" max="3" width="10.42578125" style="132" bestFit="1" customWidth="1"/>
    <col min="4" max="4" width="10.42578125" style="132" customWidth="1"/>
    <col min="5" max="5" width="11" style="132" customWidth="1"/>
    <col min="6" max="6" width="9.5703125" style="132" bestFit="1" customWidth="1"/>
    <col min="7" max="7" width="10.85546875" style="214" customWidth="1"/>
    <col min="8" max="8" width="10.42578125" style="205" bestFit="1" customWidth="1"/>
    <col min="9" max="9" width="4.5703125" style="205" customWidth="1"/>
    <col min="10" max="10" width="1.85546875" style="131" customWidth="1"/>
    <col min="11" max="11" width="7" style="132" bestFit="1" customWidth="1"/>
    <col min="12" max="12" width="6.28515625" style="132" customWidth="1"/>
    <col min="13" max="13" width="20.42578125" style="132" customWidth="1"/>
    <col min="14" max="14" width="6.42578125" style="132" bestFit="1" customWidth="1"/>
    <col min="15" max="16" width="8.42578125" style="132"/>
    <col min="17" max="17" width="3.28515625" style="132" customWidth="1"/>
    <col min="18" max="16384" width="8.42578125" style="132"/>
  </cols>
  <sheetData>
    <row r="1" spans="1:10" ht="27.75" customHeight="1" x14ac:dyDescent="0.2">
      <c r="A1" s="127"/>
      <c r="B1" s="127"/>
      <c r="C1" s="127"/>
      <c r="D1" s="127"/>
      <c r="E1" s="128" t="s">
        <v>138</v>
      </c>
      <c r="F1" s="129" t="s">
        <v>139</v>
      </c>
      <c r="G1" s="129" t="s">
        <v>140</v>
      </c>
      <c r="H1" s="129" t="s">
        <v>141</v>
      </c>
      <c r="I1" s="130"/>
    </row>
    <row r="2" spans="1:10" ht="30.75" customHeight="1" x14ac:dyDescent="0.2">
      <c r="A2" s="127"/>
      <c r="B2" s="127"/>
      <c r="C2" s="127"/>
      <c r="D2" s="127"/>
      <c r="E2" s="133">
        <f>IFERROR(O62,"")</f>
        <v>4436.7675709090909</v>
      </c>
      <c r="F2" s="133">
        <f>IFERROR(H53,"")</f>
        <v>3607.7909799999998</v>
      </c>
      <c r="G2" s="133">
        <f>IFERROR(H54,"")</f>
        <v>11.465</v>
      </c>
      <c r="H2" s="133">
        <f>IFERROR(H56,"")</f>
        <v>446.4425</v>
      </c>
      <c r="I2" s="134"/>
    </row>
    <row r="3" spans="1:10" ht="15" customHeight="1" x14ac:dyDescent="0.2">
      <c r="A3" s="127"/>
      <c r="B3" s="127"/>
      <c r="C3" s="127"/>
      <c r="D3" s="127"/>
      <c r="E3" s="127"/>
      <c r="F3" s="135"/>
      <c r="G3" s="135"/>
      <c r="H3" s="135"/>
      <c r="I3" s="135"/>
    </row>
    <row r="4" spans="1:10" ht="24.75" customHeight="1" thickBot="1" x14ac:dyDescent="0.25">
      <c r="A4" s="825"/>
      <c r="B4" s="825"/>
      <c r="C4" s="825"/>
      <c r="D4" s="825"/>
      <c r="E4" s="825"/>
      <c r="F4" s="825"/>
      <c r="G4" s="825"/>
      <c r="H4" s="825"/>
      <c r="I4" s="136"/>
    </row>
    <row r="5" spans="1:10" ht="19.5" customHeight="1" thickBot="1" x14ac:dyDescent="0.25">
      <c r="A5" s="826" t="s">
        <v>142</v>
      </c>
      <c r="B5" s="827"/>
      <c r="C5" s="827"/>
      <c r="D5" s="827"/>
      <c r="E5" s="827"/>
      <c r="F5" s="827"/>
      <c r="G5" s="827"/>
      <c r="H5" s="828"/>
      <c r="I5" s="137"/>
    </row>
    <row r="6" spans="1:10" ht="19.5" thickBot="1" x14ac:dyDescent="0.25">
      <c r="A6" s="137"/>
      <c r="B6" s="137"/>
      <c r="C6" s="137"/>
      <c r="D6" s="137"/>
      <c r="E6" s="137"/>
      <c r="F6" s="829" t="s">
        <v>143</v>
      </c>
      <c r="G6" s="829"/>
      <c r="H6" s="138">
        <f ca="1">TODAY()</f>
        <v>45890</v>
      </c>
      <c r="I6" s="138"/>
    </row>
    <row r="7" spans="1:10" ht="26.25" hidden="1" thickBot="1" x14ac:dyDescent="0.25">
      <c r="A7" s="139" t="s">
        <v>144</v>
      </c>
      <c r="B7" s="140" t="s">
        <v>145</v>
      </c>
      <c r="C7" s="140" t="s">
        <v>144</v>
      </c>
      <c r="D7" s="141" t="s">
        <v>146</v>
      </c>
      <c r="E7" s="141" t="s">
        <v>147</v>
      </c>
      <c r="F7" s="141" t="s">
        <v>148</v>
      </c>
      <c r="G7" s="141" t="s">
        <v>149</v>
      </c>
      <c r="H7" s="142" t="s">
        <v>150</v>
      </c>
      <c r="I7" s="143"/>
    </row>
    <row r="8" spans="1:10" ht="13.5" hidden="1" x14ac:dyDescent="0.25">
      <c r="A8" s="144"/>
      <c r="B8" s="132" t="str">
        <f>IFERROR(VLOOKUP(H8,'[1]Consolidado MP Planta'!$A$2:$M$823,3,0),"")</f>
        <v/>
      </c>
      <c r="C8" s="145">
        <f>+A8</f>
        <v>0</v>
      </c>
      <c r="D8" s="146" t="str">
        <f>IFERROR(VLOOKUP(H8,'[1]Consolidado MP Planta'!$A$2:$M$823,13,0),"")</f>
        <v/>
      </c>
      <c r="E8" s="146" t="str">
        <f>IFERROR(VLOOKUP(H8,'[1]Consolidado MP Planta'!$A$2:$M$823,12,0),"")</f>
        <v/>
      </c>
      <c r="F8" s="146" t="str">
        <f>IFERROR(C8*E8,"")</f>
        <v/>
      </c>
      <c r="G8" s="147" t="str">
        <f t="shared" ref="G8:G14" si="0">IFERROR(F8/$F$66,"")</f>
        <v/>
      </c>
      <c r="H8" s="148"/>
      <c r="I8" s="148"/>
      <c r="J8" s="149"/>
    </row>
    <row r="9" spans="1:10" ht="13.5" hidden="1" x14ac:dyDescent="0.25">
      <c r="A9" s="144"/>
      <c r="B9" s="132" t="str">
        <f>IFERROR(VLOOKUP(H9,'[1]Consolidado MP Planta'!$A$2:$M$823,3,0),"")</f>
        <v/>
      </c>
      <c r="C9" s="145">
        <f t="shared" ref="C9:C14" si="1">+A9</f>
        <v>0</v>
      </c>
      <c r="D9" s="146" t="str">
        <f>IFERROR(VLOOKUP(H9,'[1]Consolidado MP Planta'!$A$2:$M$823,13,0),"")</f>
        <v/>
      </c>
      <c r="E9" s="146" t="str">
        <f>IFERROR(VLOOKUP(H9,'[1]Consolidado MP Planta'!$A$2:$M$823,12,0),"")</f>
        <v/>
      </c>
      <c r="F9" s="146" t="str">
        <f t="shared" ref="F9:F14" si="2">IFERROR(C9*E9,"")</f>
        <v/>
      </c>
      <c r="G9" s="147" t="str">
        <f t="shared" si="0"/>
        <v/>
      </c>
      <c r="H9" s="148"/>
      <c r="I9" s="148"/>
      <c r="J9" s="149"/>
    </row>
    <row r="10" spans="1:10" ht="13.5" hidden="1" x14ac:dyDescent="0.25">
      <c r="A10" s="144"/>
      <c r="B10" s="132" t="str">
        <f>IFERROR(VLOOKUP(H10,'[1]Consolidado MP Planta'!$A$2:$M$823,3,0),"")</f>
        <v/>
      </c>
      <c r="C10" s="145">
        <f t="shared" si="1"/>
        <v>0</v>
      </c>
      <c r="D10" s="146" t="str">
        <f>IFERROR(VLOOKUP(H10,'[1]Consolidado MP Planta'!$A$2:$M$823,13,0),"")</f>
        <v/>
      </c>
      <c r="E10" s="146" t="str">
        <f>IFERROR(VLOOKUP(H10,'[1]Consolidado MP Planta'!$A$2:$M$823,12,0),"")</f>
        <v/>
      </c>
      <c r="F10" s="146" t="str">
        <f t="shared" si="2"/>
        <v/>
      </c>
      <c r="G10" s="147" t="str">
        <f t="shared" si="0"/>
        <v/>
      </c>
      <c r="H10" s="148"/>
      <c r="I10" s="148"/>
      <c r="J10" s="149"/>
    </row>
    <row r="11" spans="1:10" ht="13.5" hidden="1" x14ac:dyDescent="0.25">
      <c r="A11" s="144"/>
      <c r="B11" s="132" t="str">
        <f>IFERROR(VLOOKUP(H11,'[1]Consolidado MP Planta'!$A$2:$M$823,3,0),"")</f>
        <v/>
      </c>
      <c r="C11" s="145">
        <f t="shared" si="1"/>
        <v>0</v>
      </c>
      <c r="D11" s="146" t="str">
        <f>IFERROR(VLOOKUP(H11,'[1]Consolidado MP Planta'!$A$2:$M$823,13,0),"")</f>
        <v/>
      </c>
      <c r="E11" s="146" t="str">
        <f>IFERROR(VLOOKUP(H11,'[1]Consolidado MP Planta'!$A$2:$M$823,12,0),"")</f>
        <v/>
      </c>
      <c r="F11" s="146" t="str">
        <f t="shared" si="2"/>
        <v/>
      </c>
      <c r="G11" s="147" t="str">
        <f t="shared" si="0"/>
        <v/>
      </c>
      <c r="H11" s="148"/>
      <c r="I11" s="148"/>
      <c r="J11" s="149"/>
    </row>
    <row r="12" spans="1:10" ht="13.5" hidden="1" x14ac:dyDescent="0.25">
      <c r="A12" s="144"/>
      <c r="B12" s="132" t="str">
        <f>IFERROR(VLOOKUP(H12,'[1]Consolidado MP Planta'!$A$2:$M$823,3,0),"")</f>
        <v/>
      </c>
      <c r="C12" s="145">
        <f t="shared" si="1"/>
        <v>0</v>
      </c>
      <c r="D12" s="146" t="str">
        <f>IFERROR(VLOOKUP(H12,'[1]Consolidado MP Planta'!$A$2:$M$823,13,0),"")</f>
        <v/>
      </c>
      <c r="E12" s="146" t="str">
        <f>IFERROR(VLOOKUP(H12,'[1]Consolidado MP Planta'!$A$2:$M$823,12,0),"")</f>
        <v/>
      </c>
      <c r="F12" s="146" t="str">
        <f t="shared" si="2"/>
        <v/>
      </c>
      <c r="G12" s="147" t="str">
        <f t="shared" si="0"/>
        <v/>
      </c>
      <c r="H12" s="148"/>
      <c r="I12" s="148"/>
      <c r="J12" s="149"/>
    </row>
    <row r="13" spans="1:10" ht="13.5" hidden="1" x14ac:dyDescent="0.25">
      <c r="A13" s="144"/>
      <c r="B13" s="132" t="str">
        <f>IFERROR(VLOOKUP(H13,'[1]Consolidado MP Planta'!$A$2:$M$823,3,0),"")</f>
        <v/>
      </c>
      <c r="C13" s="145">
        <f t="shared" si="1"/>
        <v>0</v>
      </c>
      <c r="D13" s="146" t="str">
        <f>IFERROR(VLOOKUP(H13,'[1]Consolidado MP Planta'!$A$2:$M$823,13,0),"")</f>
        <v/>
      </c>
      <c r="E13" s="146" t="str">
        <f>IFERROR(VLOOKUP(H13,'[1]Consolidado MP Planta'!$A$2:$M$823,12,0),"")</f>
        <v/>
      </c>
      <c r="F13" s="146" t="str">
        <f t="shared" si="2"/>
        <v/>
      </c>
      <c r="G13" s="147" t="str">
        <f t="shared" si="0"/>
        <v/>
      </c>
      <c r="H13" s="148"/>
      <c r="I13" s="148"/>
      <c r="J13" s="149"/>
    </row>
    <row r="14" spans="1:10" ht="13.5" hidden="1" x14ac:dyDescent="0.25">
      <c r="A14" s="144"/>
      <c r="B14" s="132" t="str">
        <f>IFERROR(VLOOKUP(H14,'[1]Consolidado MP Planta'!$A$2:$M$823,3,0),"")</f>
        <v/>
      </c>
      <c r="C14" s="145">
        <f t="shared" si="1"/>
        <v>0</v>
      </c>
      <c r="D14" s="146" t="str">
        <f>IFERROR(VLOOKUP(H14,'[1]Consolidado MP Planta'!$A$2:$M$823,13,0),"")</f>
        <v/>
      </c>
      <c r="E14" s="146" t="str">
        <f>IFERROR(VLOOKUP(H14,'[1]Consolidado MP Planta'!$A$2:$M$823,12,0),"")</f>
        <v/>
      </c>
      <c r="F14" s="146" t="str">
        <f t="shared" si="2"/>
        <v/>
      </c>
      <c r="G14" s="147" t="str">
        <f t="shared" si="0"/>
        <v/>
      </c>
      <c r="H14" s="148"/>
      <c r="I14" s="148"/>
      <c r="J14" s="149"/>
    </row>
    <row r="15" spans="1:10" ht="14.25" hidden="1" thickBot="1" x14ac:dyDescent="0.3">
      <c r="A15" s="144"/>
      <c r="B15" s="132" t="str">
        <f>IFERROR(VLOOKUP(H15,'[2]ARTICULOS MP PLANTA'!$A$2:$G$589,2,0),"")</f>
        <v/>
      </c>
      <c r="C15" s="145"/>
      <c r="D15" s="146"/>
      <c r="E15" s="146"/>
      <c r="F15" s="146"/>
      <c r="G15" s="147"/>
      <c r="H15" s="148"/>
      <c r="I15" s="148"/>
      <c r="J15" s="149"/>
    </row>
    <row r="16" spans="1:10" ht="26.25" thickBot="1" x14ac:dyDescent="0.25">
      <c r="A16" s="139" t="s">
        <v>144</v>
      </c>
      <c r="B16" s="140" t="s">
        <v>151</v>
      </c>
      <c r="C16" s="140" t="s">
        <v>144</v>
      </c>
      <c r="D16" s="141" t="s">
        <v>146</v>
      </c>
      <c r="E16" s="141" t="s">
        <v>147</v>
      </c>
      <c r="F16" s="141" t="s">
        <v>148</v>
      </c>
      <c r="G16" s="141" t="s">
        <v>149</v>
      </c>
      <c r="H16" s="142" t="s">
        <v>150</v>
      </c>
      <c r="I16" s="143"/>
      <c r="J16" s="149"/>
    </row>
    <row r="17" spans="1:12" ht="13.5" x14ac:dyDescent="0.25">
      <c r="A17" s="144">
        <v>1</v>
      </c>
      <c r="B17" s="132" t="s">
        <v>95</v>
      </c>
      <c r="C17" s="145">
        <f>+A17</f>
        <v>1</v>
      </c>
      <c r="D17" s="145" t="s">
        <v>196</v>
      </c>
      <c r="E17" s="146">
        <v>663.21</v>
      </c>
      <c r="F17" s="146">
        <f>IFERROR(E17*C17,"")</f>
        <v>663.21</v>
      </c>
      <c r="G17" s="147">
        <f t="shared" ref="G17:G24" si="3">IFERROR(F17/$F$66,"")</f>
        <v>0.16582688486000136</v>
      </c>
      <c r="H17" s="148" t="s">
        <v>94</v>
      </c>
      <c r="I17" s="148"/>
      <c r="J17" s="149"/>
    </row>
    <row r="18" spans="1:12" ht="13.5" x14ac:dyDescent="0.25">
      <c r="A18" s="144">
        <v>200</v>
      </c>
      <c r="B18" s="132" t="s">
        <v>114</v>
      </c>
      <c r="C18" s="145">
        <f t="shared" ref="C18:C24" si="4">+A18</f>
        <v>200</v>
      </c>
      <c r="D18" s="145" t="s">
        <v>191</v>
      </c>
      <c r="E18" s="146">
        <v>1.0900000000000001</v>
      </c>
      <c r="F18" s="146">
        <f t="shared" ref="F18:F24" si="5">IFERROR(E18*C18,"")</f>
        <v>218.00000000000003</v>
      </c>
      <c r="G18" s="147">
        <f t="shared" si="3"/>
        <v>5.450801540911672E-2</v>
      </c>
      <c r="H18" s="148" t="s">
        <v>113</v>
      </c>
      <c r="I18" s="148"/>
      <c r="J18" s="149"/>
    </row>
    <row r="19" spans="1:12" ht="13.5" x14ac:dyDescent="0.25">
      <c r="A19" s="144">
        <v>400</v>
      </c>
      <c r="B19" s="132" t="s">
        <v>115</v>
      </c>
      <c r="C19" s="145">
        <f>+A19</f>
        <v>400</v>
      </c>
      <c r="D19" s="145" t="s">
        <v>191</v>
      </c>
      <c r="E19" s="146">
        <f>+'Costo Mousse Pistacho'!E69</f>
        <v>4.4080440000000003</v>
      </c>
      <c r="F19" s="146">
        <f>IFERROR(E19*C19,"")</f>
        <v>1763.2176000000002</v>
      </c>
      <c r="G19" s="147">
        <f t="shared" si="3"/>
        <v>0.44086922986433852</v>
      </c>
      <c r="H19" s="148" t="s">
        <v>13</v>
      </c>
      <c r="I19" s="148"/>
      <c r="J19" s="149"/>
    </row>
    <row r="20" spans="1:12" ht="13.5" x14ac:dyDescent="0.25">
      <c r="A20" s="144">
        <v>130</v>
      </c>
      <c r="B20" s="132" t="s">
        <v>116</v>
      </c>
      <c r="C20" s="145">
        <f>+A20</f>
        <v>130</v>
      </c>
      <c r="D20" s="145" t="s">
        <v>191</v>
      </c>
      <c r="E20" s="146">
        <f>+'Costo Salsa Pistacho'!E69</f>
        <v>5.1392759999999997</v>
      </c>
      <c r="F20" s="146">
        <f>IFERROR(E20*C20,"")</f>
        <v>668.10587999999996</v>
      </c>
      <c r="G20" s="147">
        <f t="shared" si="3"/>
        <v>0.16705103487138293</v>
      </c>
      <c r="H20" s="148" t="s">
        <v>13</v>
      </c>
      <c r="I20" s="148"/>
      <c r="J20" s="149"/>
    </row>
    <row r="21" spans="1:12" ht="13.5" x14ac:dyDescent="0.25">
      <c r="A21" s="144">
        <v>45</v>
      </c>
      <c r="B21" s="132" t="s">
        <v>99</v>
      </c>
      <c r="C21" s="145">
        <f>+A21</f>
        <v>45</v>
      </c>
      <c r="D21" s="145" t="s">
        <v>191</v>
      </c>
      <c r="E21" s="146">
        <v>2.33</v>
      </c>
      <c r="F21" s="146">
        <f>IFERROR(E21*C21,"")</f>
        <v>104.85000000000001</v>
      </c>
      <c r="G21" s="147">
        <f t="shared" si="3"/>
        <v>2.6216355117641688E-2</v>
      </c>
      <c r="H21" s="148" t="s">
        <v>98</v>
      </c>
      <c r="I21" s="148"/>
      <c r="J21" s="149"/>
    </row>
    <row r="22" spans="1:12" ht="13.5" x14ac:dyDescent="0.25">
      <c r="A22" s="144">
        <v>0.25</v>
      </c>
      <c r="B22" s="132" t="s">
        <v>118</v>
      </c>
      <c r="C22" s="145">
        <f t="shared" si="4"/>
        <v>0.25</v>
      </c>
      <c r="D22" s="145" t="s">
        <v>191</v>
      </c>
      <c r="E22" s="146">
        <v>761.63</v>
      </c>
      <c r="F22" s="146">
        <f t="shared" si="5"/>
        <v>190.4075</v>
      </c>
      <c r="G22" s="147">
        <f t="shared" si="3"/>
        <v>4.7608875889960503E-2</v>
      </c>
      <c r="H22" s="148" t="s">
        <v>117</v>
      </c>
      <c r="I22" s="148"/>
      <c r="J22" s="149"/>
    </row>
    <row r="23" spans="1:12" ht="13.5" x14ac:dyDescent="0.25">
      <c r="A23" s="144"/>
      <c r="C23" s="145">
        <f t="shared" si="4"/>
        <v>0</v>
      </c>
      <c r="D23" s="145"/>
      <c r="E23" s="146" t="str">
        <f>IFERROR(VLOOKUP(H23,[1]SEMIELABORADOS!$A$2:$H$65536,8,0),"")</f>
        <v/>
      </c>
      <c r="F23" s="146" t="str">
        <f t="shared" si="5"/>
        <v/>
      </c>
      <c r="G23" s="147" t="str">
        <f t="shared" si="3"/>
        <v/>
      </c>
      <c r="H23" s="148"/>
      <c r="I23" s="148"/>
      <c r="J23" s="149"/>
    </row>
    <row r="24" spans="1:12" ht="13.5" x14ac:dyDescent="0.25">
      <c r="A24" s="144"/>
      <c r="B24" s="132" t="str">
        <f>IFERROR(VLOOKUP(H24,[1]SEMIELABORADOS!$A$2:$M$6000,2,0),"")</f>
        <v/>
      </c>
      <c r="C24" s="145">
        <f t="shared" si="4"/>
        <v>0</v>
      </c>
      <c r="D24" s="145" t="str">
        <f>IFERROR(VLOOKUP(H24,[1]SEMIELABORADOS!$A$2:$M$6000,6,0),"")</f>
        <v/>
      </c>
      <c r="E24" s="146" t="str">
        <f>IFERROR(VLOOKUP(H24,[1]SEMIELABORADOS!$A$2:$H$65536,8,0),"")</f>
        <v/>
      </c>
      <c r="F24" s="146" t="str">
        <f t="shared" si="5"/>
        <v/>
      </c>
      <c r="G24" s="147" t="str">
        <f t="shared" si="3"/>
        <v/>
      </c>
      <c r="H24" s="148"/>
      <c r="I24" s="148"/>
      <c r="J24" s="149"/>
    </row>
    <row r="25" spans="1:12" ht="14.25" thickBot="1" x14ac:dyDescent="0.3">
      <c r="A25" s="144"/>
      <c r="C25" s="145"/>
      <c r="D25" s="145"/>
      <c r="E25" s="146"/>
      <c r="F25" s="146"/>
      <c r="G25" s="147"/>
      <c r="H25" s="148"/>
      <c r="I25" s="148"/>
      <c r="J25" s="149"/>
    </row>
    <row r="26" spans="1:12" ht="26.25" hidden="1" thickBot="1" x14ac:dyDescent="0.25">
      <c r="A26" s="139" t="s">
        <v>144</v>
      </c>
      <c r="B26" s="140" t="s">
        <v>32</v>
      </c>
      <c r="C26" s="140" t="s">
        <v>144</v>
      </c>
      <c r="D26" s="141" t="s">
        <v>146</v>
      </c>
      <c r="E26" s="141" t="s">
        <v>147</v>
      </c>
      <c r="F26" s="141" t="s">
        <v>148</v>
      </c>
      <c r="G26" s="141" t="s">
        <v>149</v>
      </c>
      <c r="H26" s="142" t="s">
        <v>150</v>
      </c>
      <c r="I26" s="143"/>
    </row>
    <row r="27" spans="1:12" ht="13.5" hidden="1" x14ac:dyDescent="0.25">
      <c r="A27" s="144">
        <v>0</v>
      </c>
      <c r="B27" s="150" t="str">
        <f>IFERROR(VLOOKUP(H27,'[1]Consolidado MP Planta'!$A$2:$M$823,3,0),"")</f>
        <v/>
      </c>
      <c r="C27" s="145">
        <f t="shared" ref="C27:C32" si="6">+A27</f>
        <v>0</v>
      </c>
      <c r="D27" s="146" t="str">
        <f>IFERROR(VLOOKUP(H27,'[1]Consolidado MP Planta'!$A$2:$M$823,13,0),"")</f>
        <v/>
      </c>
      <c r="E27" s="146" t="str">
        <f>IFERROR(VLOOKUP(H27,'[1]Consolidado MP Planta'!$A$2:$M$823,12,0),"")</f>
        <v/>
      </c>
      <c r="F27" s="146" t="str">
        <f t="shared" ref="F27:F32" si="7">IFERROR(C27*E27,"")</f>
        <v/>
      </c>
      <c r="G27" s="147" t="str">
        <f t="shared" ref="G27:G32" si="8">IFERROR(F27/$F$66,"")</f>
        <v/>
      </c>
      <c r="H27" s="151"/>
      <c r="I27" s="151"/>
      <c r="J27" s="149"/>
      <c r="K27" s="824"/>
      <c r="L27" s="824"/>
    </row>
    <row r="28" spans="1:12" ht="13.5" hidden="1" x14ac:dyDescent="0.25">
      <c r="A28" s="144"/>
      <c r="B28" s="150" t="str">
        <f>IFERROR(VLOOKUP(H28,'[1]Consolidado MP Planta'!$A$2:$M$823,3,0),"")</f>
        <v/>
      </c>
      <c r="C28" s="145">
        <f t="shared" si="6"/>
        <v>0</v>
      </c>
      <c r="D28" s="146" t="str">
        <f>IFERROR(VLOOKUP(H28,'[1]Consolidado MP Planta'!$A$2:$M$823,13,0),"")</f>
        <v/>
      </c>
      <c r="E28" s="146" t="str">
        <f>IFERROR(VLOOKUP(H28,'[1]Consolidado MP Planta'!$A$2:$M$823,12,0),"")</f>
        <v/>
      </c>
      <c r="F28" s="146" t="str">
        <f t="shared" si="7"/>
        <v/>
      </c>
      <c r="G28" s="147" t="str">
        <f t="shared" si="8"/>
        <v/>
      </c>
      <c r="H28" s="151"/>
      <c r="I28" s="151"/>
      <c r="J28" s="149"/>
      <c r="K28" s="824"/>
      <c r="L28" s="824"/>
    </row>
    <row r="29" spans="1:12" ht="13.5" hidden="1" x14ac:dyDescent="0.25">
      <c r="A29" s="144"/>
      <c r="B29" s="150" t="str">
        <f>IFERROR(VLOOKUP(H29,'[1]Consolidado MP Planta'!$A$2:$M$823,3,0),"")</f>
        <v/>
      </c>
      <c r="C29" s="145">
        <f t="shared" si="6"/>
        <v>0</v>
      </c>
      <c r="D29" s="146" t="str">
        <f>IFERROR(VLOOKUP(H29,'[1]Consolidado MP Planta'!$A$2:$M$823,13,0),"")</f>
        <v/>
      </c>
      <c r="E29" s="146" t="str">
        <f>IFERROR(VLOOKUP(H29,'[1]Consolidado MP Planta'!$A$2:$M$823,12,0),"")</f>
        <v/>
      </c>
      <c r="F29" s="146" t="str">
        <f t="shared" si="7"/>
        <v/>
      </c>
      <c r="G29" s="147" t="str">
        <f t="shared" si="8"/>
        <v/>
      </c>
      <c r="H29" s="151"/>
      <c r="I29" s="151"/>
      <c r="J29" s="149"/>
      <c r="K29" s="824"/>
      <c r="L29" s="824"/>
    </row>
    <row r="30" spans="1:12" ht="13.5" hidden="1" x14ac:dyDescent="0.25">
      <c r="A30" s="144"/>
      <c r="B30" s="150" t="str">
        <f>IFERROR(VLOOKUP(H30,'[1]Consolidado MP Planta'!$A$2:$M$823,3,0),"")</f>
        <v/>
      </c>
      <c r="C30" s="145">
        <f t="shared" si="6"/>
        <v>0</v>
      </c>
      <c r="D30" s="146" t="str">
        <f>IFERROR(VLOOKUP(H30,'[1]Consolidado MP Planta'!$A$2:$M$823,13,0),"")</f>
        <v/>
      </c>
      <c r="E30" s="146" t="str">
        <f>IFERROR(VLOOKUP(H30,'[1]Consolidado MP Planta'!$A$2:$M$823,12,0),"")</f>
        <v/>
      </c>
      <c r="F30" s="146" t="str">
        <f t="shared" si="7"/>
        <v/>
      </c>
      <c r="G30" s="147" t="str">
        <f t="shared" si="8"/>
        <v/>
      </c>
      <c r="H30" s="151"/>
      <c r="I30" s="151"/>
      <c r="J30" s="149"/>
      <c r="K30" s="824"/>
      <c r="L30" s="824"/>
    </row>
    <row r="31" spans="1:12" ht="13.5" hidden="1" x14ac:dyDescent="0.25">
      <c r="A31" s="144"/>
      <c r="B31" s="150" t="str">
        <f>IFERROR(VLOOKUP(H31,'[1]Consolidado MP Planta'!$A$2:$M$823,3,0),"")</f>
        <v/>
      </c>
      <c r="C31" s="145">
        <f t="shared" si="6"/>
        <v>0</v>
      </c>
      <c r="D31" s="146" t="str">
        <f>IFERROR(VLOOKUP(H31,'[1]Consolidado MP Planta'!$A$2:$M$823,13,0),"")</f>
        <v/>
      </c>
      <c r="E31" s="146" t="str">
        <f>IFERROR(VLOOKUP(H31,'[1]Consolidado MP Planta'!$A$2:$M$823,12,0),"")</f>
        <v/>
      </c>
      <c r="F31" s="146" t="str">
        <f t="shared" si="7"/>
        <v/>
      </c>
      <c r="G31" s="147" t="str">
        <f t="shared" si="8"/>
        <v/>
      </c>
      <c r="H31" s="151"/>
      <c r="I31" s="151"/>
      <c r="J31" s="149"/>
      <c r="K31" s="152"/>
      <c r="L31" s="153"/>
    </row>
    <row r="32" spans="1:12" ht="13.5" hidden="1" x14ac:dyDescent="0.25">
      <c r="A32" s="144"/>
      <c r="B32" s="150" t="str">
        <f>IFERROR(VLOOKUP(H32,'[1]Consolidado MP Planta'!$A$2:$M$823,3,0),"")</f>
        <v/>
      </c>
      <c r="C32" s="145">
        <f t="shared" si="6"/>
        <v>0</v>
      </c>
      <c r="D32" s="146" t="str">
        <f>IFERROR(VLOOKUP(H32,'[1]Consolidado MP Planta'!$A$2:$M$823,13,0),"")</f>
        <v/>
      </c>
      <c r="E32" s="146" t="str">
        <f>IFERROR(VLOOKUP(H32,'[1]Consolidado MP Planta'!$A$2:$M$823,12,0),"")</f>
        <v/>
      </c>
      <c r="F32" s="146" t="str">
        <f t="shared" si="7"/>
        <v/>
      </c>
      <c r="G32" s="147" t="str">
        <f t="shared" si="8"/>
        <v/>
      </c>
      <c r="H32" s="151"/>
      <c r="I32" s="151"/>
      <c r="J32" s="149"/>
    </row>
    <row r="33" spans="1:13" ht="14.25" hidden="1" thickBot="1" x14ac:dyDescent="0.3">
      <c r="A33" s="144"/>
      <c r="B33" s="150"/>
      <c r="C33" s="145"/>
      <c r="D33" s="146"/>
      <c r="E33" s="146"/>
      <c r="F33" s="146"/>
      <c r="G33" s="147"/>
      <c r="H33" s="151"/>
      <c r="I33" s="151"/>
      <c r="J33" s="149"/>
    </row>
    <row r="34" spans="1:13" ht="26.25" thickBot="1" x14ac:dyDescent="0.25">
      <c r="A34" s="139" t="s">
        <v>144</v>
      </c>
      <c r="B34" s="140" t="s">
        <v>152</v>
      </c>
      <c r="C34" s="140" t="s">
        <v>144</v>
      </c>
      <c r="D34" s="141" t="s">
        <v>146</v>
      </c>
      <c r="E34" s="141" t="s">
        <v>147</v>
      </c>
      <c r="F34" s="141" t="s">
        <v>148</v>
      </c>
      <c r="G34" s="141" t="s">
        <v>149</v>
      </c>
      <c r="H34" s="142" t="s">
        <v>150</v>
      </c>
      <c r="I34" s="151"/>
      <c r="J34" s="149"/>
    </row>
    <row r="35" spans="1:13" ht="13.5" x14ac:dyDescent="0.25">
      <c r="A35" s="144">
        <f t="shared" ref="A35:A41" si="9">+A17</f>
        <v>1</v>
      </c>
      <c r="B35" s="132" t="s">
        <v>95</v>
      </c>
      <c r="C35" s="145">
        <f>+A35</f>
        <v>1</v>
      </c>
      <c r="D35" s="146" t="s">
        <v>196</v>
      </c>
      <c r="E35" s="146">
        <v>6.63</v>
      </c>
      <c r="F35" s="146">
        <f>IFERROR(E35*C35,"")</f>
        <v>6.63</v>
      </c>
      <c r="G35" s="147">
        <f t="shared" ref="G35:G41" si="10">IFERROR(F35/$F$66,"")</f>
        <v>1.6577437713873569E-3</v>
      </c>
      <c r="H35" s="151" t="s">
        <v>94</v>
      </c>
      <c r="I35" s="151"/>
      <c r="J35" s="149"/>
    </row>
    <row r="36" spans="1:13" ht="13.5" x14ac:dyDescent="0.25">
      <c r="A36" s="144">
        <f t="shared" si="9"/>
        <v>200</v>
      </c>
      <c r="B36" s="132" t="s">
        <v>114</v>
      </c>
      <c r="C36" s="145">
        <f t="shared" ref="C36:C41" si="11">+A36</f>
        <v>200</v>
      </c>
      <c r="D36" s="146" t="s">
        <v>191</v>
      </c>
      <c r="E36" s="146">
        <v>0</v>
      </c>
      <c r="F36" s="146">
        <f t="shared" ref="F36:F41" si="12">IFERROR(E36*C36,"")</f>
        <v>0</v>
      </c>
      <c r="G36" s="147">
        <f t="shared" si="10"/>
        <v>0</v>
      </c>
      <c r="H36" s="151" t="s">
        <v>113</v>
      </c>
      <c r="I36" s="151"/>
      <c r="J36" s="149"/>
    </row>
    <row r="37" spans="1:13" ht="13.5" x14ac:dyDescent="0.25">
      <c r="A37" s="144">
        <f t="shared" si="9"/>
        <v>400</v>
      </c>
      <c r="B37" s="132" t="s">
        <v>115</v>
      </c>
      <c r="C37" s="145">
        <f t="shared" si="11"/>
        <v>400</v>
      </c>
      <c r="D37" s="146" t="s">
        <v>191</v>
      </c>
      <c r="E37" s="146">
        <f>+'Costo Mousse Pistacho'!E76</f>
        <v>0</v>
      </c>
      <c r="F37" s="146">
        <f t="shared" si="12"/>
        <v>0</v>
      </c>
      <c r="G37" s="147">
        <f t="shared" si="10"/>
        <v>0</v>
      </c>
      <c r="H37" s="151" t="s">
        <v>13</v>
      </c>
      <c r="I37" s="151"/>
      <c r="J37" s="149"/>
    </row>
    <row r="38" spans="1:13" ht="13.5" x14ac:dyDescent="0.25">
      <c r="A38" s="144">
        <f t="shared" si="9"/>
        <v>130</v>
      </c>
      <c r="B38" s="132" t="s">
        <v>116</v>
      </c>
      <c r="C38" s="145">
        <f>+A38</f>
        <v>130</v>
      </c>
      <c r="D38" s="146" t="s">
        <v>191</v>
      </c>
      <c r="E38" s="146">
        <f>+'Costo Salsa Pistacho'!E76</f>
        <v>8.9999999999999993E-3</v>
      </c>
      <c r="F38" s="146">
        <f>IFERROR(E38*C38,"")</f>
        <v>1.17</v>
      </c>
      <c r="G38" s="147">
        <f t="shared" si="10"/>
        <v>2.9254301848012176E-4</v>
      </c>
      <c r="H38" s="151" t="s">
        <v>13</v>
      </c>
      <c r="I38" s="151"/>
      <c r="J38" s="149"/>
    </row>
    <row r="39" spans="1:13" ht="13.5" x14ac:dyDescent="0.25">
      <c r="A39" s="144">
        <f t="shared" si="9"/>
        <v>45</v>
      </c>
      <c r="B39" s="132" t="s">
        <v>99</v>
      </c>
      <c r="C39" s="145">
        <f>+A39</f>
        <v>45</v>
      </c>
      <c r="D39" s="146" t="s">
        <v>191</v>
      </c>
      <c r="E39" s="146">
        <v>0.01</v>
      </c>
      <c r="F39" s="146">
        <f>IFERROR(E39*C39,"")</f>
        <v>0.45</v>
      </c>
      <c r="G39" s="147">
        <f t="shared" si="10"/>
        <v>1.1251654556927763E-4</v>
      </c>
      <c r="H39" s="151" t="s">
        <v>98</v>
      </c>
      <c r="I39" s="151"/>
      <c r="J39" s="149"/>
    </row>
    <row r="40" spans="1:13" ht="13.5" x14ac:dyDescent="0.25">
      <c r="A40" s="144">
        <f t="shared" si="9"/>
        <v>0.25</v>
      </c>
      <c r="B40" s="132" t="s">
        <v>118</v>
      </c>
      <c r="C40" s="145">
        <f t="shared" si="11"/>
        <v>0.25</v>
      </c>
      <c r="D40" s="146" t="s">
        <v>191</v>
      </c>
      <c r="E40" s="146">
        <v>12.86</v>
      </c>
      <c r="F40" s="146">
        <f t="shared" si="12"/>
        <v>3.2149999999999999</v>
      </c>
      <c r="G40" s="147">
        <f t="shared" si="10"/>
        <v>8.0386820890050563E-4</v>
      </c>
      <c r="H40" s="151" t="s">
        <v>117</v>
      </c>
      <c r="I40" s="151"/>
      <c r="J40" s="149"/>
    </row>
    <row r="41" spans="1:13" ht="13.5" x14ac:dyDescent="0.25">
      <c r="A41" s="144">
        <f t="shared" si="9"/>
        <v>0</v>
      </c>
      <c r="C41" s="145">
        <f t="shared" si="11"/>
        <v>0</v>
      </c>
      <c r="D41" s="146"/>
      <c r="E41" s="146" t="str">
        <f>IFERROR(VLOOKUP(H41,[1]SEMIELABORADOS!$A$2:$M$65536,10,0),"")</f>
        <v/>
      </c>
      <c r="F41" s="146" t="str">
        <f t="shared" si="12"/>
        <v/>
      </c>
      <c r="G41" s="147" t="str">
        <f t="shared" si="10"/>
        <v/>
      </c>
      <c r="H41" s="151"/>
      <c r="I41" s="151"/>
      <c r="J41" s="149"/>
    </row>
    <row r="42" spans="1:13" ht="14.25" thickBot="1" x14ac:dyDescent="0.3">
      <c r="A42" s="144"/>
      <c r="B42" s="150"/>
      <c r="C42" s="145"/>
      <c r="D42" s="146"/>
      <c r="E42" s="146"/>
      <c r="F42" s="146"/>
      <c r="G42" s="147"/>
      <c r="H42" s="151"/>
      <c r="I42" s="151"/>
      <c r="J42" s="149"/>
    </row>
    <row r="43" spans="1:13" ht="26.25" thickBot="1" x14ac:dyDescent="0.25">
      <c r="A43" s="139" t="s">
        <v>144</v>
      </c>
      <c r="B43" s="140" t="s">
        <v>153</v>
      </c>
      <c r="C43" s="140" t="s">
        <v>144</v>
      </c>
      <c r="D43" s="141" t="s">
        <v>146</v>
      </c>
      <c r="E43" s="141" t="s">
        <v>147</v>
      </c>
      <c r="F43" s="141" t="s">
        <v>148</v>
      </c>
      <c r="G43" s="141" t="s">
        <v>149</v>
      </c>
      <c r="H43" s="142" t="s">
        <v>150</v>
      </c>
      <c r="I43" s="143"/>
      <c r="J43" s="149"/>
    </row>
    <row r="44" spans="1:13" ht="13.5" x14ac:dyDescent="0.25">
      <c r="A44" s="144">
        <f>+A35</f>
        <v>1</v>
      </c>
      <c r="B44" s="132" t="s">
        <v>95</v>
      </c>
      <c r="C44" s="145">
        <f>+A44</f>
        <v>1</v>
      </c>
      <c r="D44" s="146" t="s">
        <v>196</v>
      </c>
      <c r="E44" s="146">
        <v>42.24</v>
      </c>
      <c r="F44" s="146">
        <f>IFERROR(E44*C44,"")</f>
        <v>42.24</v>
      </c>
      <c r="G44" s="147">
        <f>IFERROR(F44/$F$66,"")</f>
        <v>1.0561553077436192E-2</v>
      </c>
      <c r="H44" s="151" t="s">
        <v>94</v>
      </c>
      <c r="I44" s="143"/>
      <c r="J44" s="149"/>
    </row>
    <row r="45" spans="1:13" ht="13.5" x14ac:dyDescent="0.25">
      <c r="A45" s="144">
        <f t="shared" ref="A45:A49" si="13">+A36</f>
        <v>200</v>
      </c>
      <c r="B45" s="132" t="s">
        <v>114</v>
      </c>
      <c r="C45" s="145">
        <f t="shared" ref="C45:C50" si="14">+A45</f>
        <v>200</v>
      </c>
      <c r="D45" s="146" t="s">
        <v>191</v>
      </c>
      <c r="E45" s="146">
        <v>0.13</v>
      </c>
      <c r="F45" s="146">
        <f t="shared" ref="F45:F50" si="15">IFERROR(E45*C45,"")</f>
        <v>26</v>
      </c>
      <c r="G45" s="147">
        <f t="shared" ref="G45:G50" si="16">IFERROR(F45/$F$66,"")</f>
        <v>6.5009559662249292E-3</v>
      </c>
      <c r="H45" s="151" t="s">
        <v>113</v>
      </c>
      <c r="I45" s="143"/>
      <c r="J45" s="149"/>
      <c r="M45" s="154"/>
    </row>
    <row r="46" spans="1:13" ht="13.5" x14ac:dyDescent="0.25">
      <c r="A46" s="144">
        <f t="shared" si="13"/>
        <v>400</v>
      </c>
      <c r="B46" s="132" t="s">
        <v>115</v>
      </c>
      <c r="C46" s="145">
        <f t="shared" si="14"/>
        <v>400</v>
      </c>
      <c r="D46" s="146" t="s">
        <v>191</v>
      </c>
      <c r="E46" s="146">
        <f>+'Costo Mousse Pistacho'!E74</f>
        <v>7.6999999999999999E-2</v>
      </c>
      <c r="F46" s="146">
        <f t="shared" si="15"/>
        <v>30.8</v>
      </c>
      <c r="G46" s="147">
        <f t="shared" si="16"/>
        <v>7.7011324522972234E-3</v>
      </c>
      <c r="H46" s="151" t="s">
        <v>13</v>
      </c>
      <c r="I46" s="143"/>
      <c r="J46" s="149"/>
    </row>
    <row r="47" spans="1:13" ht="13.5" x14ac:dyDescent="0.25">
      <c r="A47" s="144">
        <f t="shared" si="13"/>
        <v>130</v>
      </c>
      <c r="B47" s="132" t="s">
        <v>116</v>
      </c>
      <c r="C47" s="145">
        <f t="shared" si="14"/>
        <v>130</v>
      </c>
      <c r="D47" s="146" t="s">
        <v>191</v>
      </c>
      <c r="E47" s="146">
        <f>+'Costo Salsa Pistacho'!E74</f>
        <v>1.7999999999999999E-2</v>
      </c>
      <c r="F47" s="146">
        <f t="shared" si="15"/>
        <v>2.34</v>
      </c>
      <c r="G47" s="147">
        <f t="shared" si="16"/>
        <v>5.8508603696024353E-4</v>
      </c>
      <c r="H47" s="151" t="s">
        <v>13</v>
      </c>
      <c r="I47" s="143"/>
      <c r="J47" s="149"/>
    </row>
    <row r="48" spans="1:13" ht="13.5" x14ac:dyDescent="0.25">
      <c r="A48" s="144">
        <f t="shared" si="13"/>
        <v>45</v>
      </c>
      <c r="B48" s="132" t="s">
        <v>99</v>
      </c>
      <c r="C48" s="145">
        <f t="shared" si="14"/>
        <v>45</v>
      </c>
      <c r="D48" s="146" t="s">
        <v>191</v>
      </c>
      <c r="E48" s="146">
        <v>0.4</v>
      </c>
      <c r="F48" s="146">
        <f t="shared" si="15"/>
        <v>18</v>
      </c>
      <c r="G48" s="147">
        <f t="shared" si="16"/>
        <v>4.5006618227711043E-3</v>
      </c>
      <c r="H48" s="151" t="s">
        <v>98</v>
      </c>
      <c r="I48" s="143"/>
      <c r="J48" s="149"/>
    </row>
    <row r="49" spans="1:17" ht="13.5" x14ac:dyDescent="0.25">
      <c r="A49" s="144">
        <f t="shared" si="13"/>
        <v>0.25</v>
      </c>
      <c r="B49" s="132" t="s">
        <v>118</v>
      </c>
      <c r="C49" s="145">
        <f t="shared" si="14"/>
        <v>0.25</v>
      </c>
      <c r="D49" s="146" t="s">
        <v>191</v>
      </c>
      <c r="E49" s="146">
        <v>76.25</v>
      </c>
      <c r="F49" s="146">
        <f t="shared" si="15"/>
        <v>19.0625</v>
      </c>
      <c r="G49" s="147">
        <f t="shared" si="16"/>
        <v>4.7663258886985653E-3</v>
      </c>
      <c r="H49" s="151" t="s">
        <v>117</v>
      </c>
      <c r="I49" s="143"/>
      <c r="J49" s="149"/>
    </row>
    <row r="50" spans="1:17" ht="13.5" x14ac:dyDescent="0.25">
      <c r="A50" s="144"/>
      <c r="C50" s="145">
        <f t="shared" si="14"/>
        <v>0</v>
      </c>
      <c r="D50" s="146"/>
      <c r="E50" s="146" t="str">
        <f>IFERROR(VLOOKUP(H50,[1]SEMIELABORADOS!$A$2:$M$65536,12,0),"")</f>
        <v/>
      </c>
      <c r="F50" s="146" t="str">
        <f t="shared" si="15"/>
        <v/>
      </c>
      <c r="G50" s="147" t="str">
        <f t="shared" si="16"/>
        <v/>
      </c>
      <c r="H50" s="150"/>
      <c r="I50" s="143"/>
      <c r="J50" s="149"/>
    </row>
    <row r="51" spans="1:17" ht="13.5" x14ac:dyDescent="0.25">
      <c r="A51" s="144">
        <v>1</v>
      </c>
      <c r="B51" s="150" t="s">
        <v>154</v>
      </c>
      <c r="C51" s="145">
        <f>+A51</f>
        <v>1</v>
      </c>
      <c r="D51" s="145" t="s">
        <v>155</v>
      </c>
      <c r="E51" s="146">
        <f>+F65</f>
        <v>308</v>
      </c>
      <c r="F51" s="146">
        <f>IFERROR(C51*E51,"")</f>
        <v>308</v>
      </c>
      <c r="G51" s="147">
        <f>IFERROR(F51/$F$66,"")</f>
        <v>7.7011324522972241E-2</v>
      </c>
      <c r="H51" s="155"/>
      <c r="I51" s="155"/>
      <c r="J51" s="149"/>
    </row>
    <row r="52" spans="1:17" ht="14.25" thickBot="1" x14ac:dyDescent="0.3">
      <c r="A52" s="144"/>
      <c r="B52" s="150"/>
      <c r="C52" s="145"/>
      <c r="D52" s="145"/>
      <c r="E52" s="146"/>
      <c r="F52" s="146"/>
      <c r="G52" s="147"/>
      <c r="H52" s="155"/>
      <c r="I52" s="155"/>
      <c r="J52" s="149"/>
    </row>
    <row r="53" spans="1:17" ht="13.5" thickBot="1" x14ac:dyDescent="0.25">
      <c r="A53" s="156"/>
      <c r="B53" s="834" t="s">
        <v>156</v>
      </c>
      <c r="C53" s="834"/>
      <c r="D53" s="834"/>
      <c r="E53" s="834"/>
      <c r="F53" s="158">
        <f>SUM(F8:F14,F17:F24)</f>
        <v>3607.7909799999998</v>
      </c>
      <c r="G53" s="147">
        <f>+F53/$F$66</f>
        <v>0.90208039601244161</v>
      </c>
      <c r="H53" s="159">
        <f>+F53/$D$60</f>
        <v>3607.7909799999998</v>
      </c>
      <c r="I53" s="159"/>
      <c r="J53" s="160"/>
      <c r="K53" s="161"/>
      <c r="L53" s="161"/>
      <c r="M53" s="161"/>
      <c r="N53" s="161"/>
      <c r="O53" s="161"/>
      <c r="P53" s="161"/>
      <c r="Q53" s="162"/>
    </row>
    <row r="54" spans="1:17" x14ac:dyDescent="0.2">
      <c r="A54" s="156"/>
      <c r="B54" s="834" t="s">
        <v>157</v>
      </c>
      <c r="C54" s="834"/>
      <c r="D54" s="834"/>
      <c r="E54" s="834"/>
      <c r="F54" s="158">
        <f>SUM(F27:F32,F35:F41)</f>
        <v>11.465</v>
      </c>
      <c r="G54" s="147">
        <f>+F54/$F$66</f>
        <v>2.8666715443372618E-3</v>
      </c>
      <c r="H54" s="159">
        <f>+F54/$D$60</f>
        <v>11.465</v>
      </c>
      <c r="I54" s="159"/>
      <c r="J54" s="163"/>
      <c r="K54" s="835" t="s">
        <v>158</v>
      </c>
      <c r="L54" s="836"/>
      <c r="M54" s="836"/>
      <c r="N54" s="836"/>
      <c r="O54" s="164">
        <f>+F55</f>
        <v>3619.2559799999999</v>
      </c>
      <c r="P54" s="164"/>
      <c r="Q54" s="165"/>
    </row>
    <row r="55" spans="1:17" x14ac:dyDescent="0.2">
      <c r="A55" s="156"/>
      <c r="B55" s="834" t="s">
        <v>159</v>
      </c>
      <c r="C55" s="834"/>
      <c r="D55" s="834"/>
      <c r="E55" s="834"/>
      <c r="F55" s="158">
        <f>+F53+F54</f>
        <v>3619.2559799999999</v>
      </c>
      <c r="G55" s="147">
        <f>+F55/$F$66</f>
        <v>0.90494706755677889</v>
      </c>
      <c r="H55" s="159">
        <f>+F55/$D$60</f>
        <v>3619.2559799999999</v>
      </c>
      <c r="I55" s="159"/>
      <c r="J55" s="166"/>
      <c r="K55" s="167"/>
      <c r="M55" s="168" t="s">
        <v>160</v>
      </c>
      <c r="N55" s="169"/>
      <c r="O55" s="164">
        <f>+H56</f>
        <v>446.4425</v>
      </c>
      <c r="P55" s="164"/>
      <c r="Q55" s="165"/>
    </row>
    <row r="56" spans="1:17" ht="13.5" thickBot="1" x14ac:dyDescent="0.25">
      <c r="A56" s="156"/>
      <c r="B56" s="157"/>
      <c r="C56" s="834" t="s">
        <v>161</v>
      </c>
      <c r="D56" s="834"/>
      <c r="E56" s="834"/>
      <c r="F56" s="158">
        <f>SUM(F44:F51)</f>
        <v>446.4425</v>
      </c>
      <c r="G56" s="147">
        <f>+F56/$F$66</f>
        <v>0.11162703976736049</v>
      </c>
      <c r="H56" s="159">
        <f>+F56/$D$60</f>
        <v>446.4425</v>
      </c>
      <c r="I56" s="159"/>
      <c r="J56" s="166"/>
      <c r="K56" s="167"/>
      <c r="L56" s="167"/>
      <c r="M56" s="167" t="s">
        <v>162</v>
      </c>
      <c r="N56" s="170"/>
      <c r="O56" s="164">
        <f>O54*N56</f>
        <v>0</v>
      </c>
      <c r="P56" s="164"/>
      <c r="Q56" s="165"/>
    </row>
    <row r="57" spans="1:17" ht="13.5" thickBot="1" x14ac:dyDescent="0.25">
      <c r="A57" s="156"/>
      <c r="B57" s="171"/>
      <c r="C57" s="171"/>
      <c r="D57" s="171"/>
      <c r="E57" s="171"/>
      <c r="F57" s="172"/>
      <c r="G57" s="147"/>
      <c r="H57" s="173"/>
      <c r="I57" s="159"/>
      <c r="J57" s="166"/>
      <c r="K57" s="174"/>
      <c r="M57" s="175" t="s">
        <v>163</v>
      </c>
      <c r="N57" s="176"/>
      <c r="O57" s="177">
        <f>SUM(O54:O56)</f>
        <v>4065.69848</v>
      </c>
      <c r="P57" s="178"/>
      <c r="Q57" s="165"/>
    </row>
    <row r="58" spans="1:17" x14ac:dyDescent="0.2">
      <c r="B58" s="837" t="s">
        <v>164</v>
      </c>
      <c r="C58" s="837"/>
      <c r="D58" s="179">
        <v>1100</v>
      </c>
      <c r="E58" s="180"/>
      <c r="G58" s="147"/>
      <c r="H58" s="173">
        <f>+H56/77</f>
        <v>5.7979545454545454</v>
      </c>
      <c r="I58" s="181"/>
      <c r="J58" s="166"/>
      <c r="K58" s="174"/>
      <c r="L58" s="167"/>
      <c r="M58" s="167" t="s">
        <v>165</v>
      </c>
      <c r="N58" s="182"/>
      <c r="O58" s="164">
        <f>+H59</f>
        <v>371.0690909090909</v>
      </c>
      <c r="P58" s="164"/>
      <c r="Q58" s="165"/>
    </row>
    <row r="59" spans="1:17" x14ac:dyDescent="0.2">
      <c r="B59" s="837" t="s">
        <v>166</v>
      </c>
      <c r="C59" s="837"/>
      <c r="D59" s="183">
        <v>1100</v>
      </c>
      <c r="E59" s="180"/>
      <c r="G59" s="147"/>
      <c r="H59" s="173">
        <f>+H58*64</f>
        <v>371.0690909090909</v>
      </c>
      <c r="I59" s="181"/>
      <c r="J59" s="166"/>
      <c r="K59" s="174"/>
      <c r="L59" s="167"/>
      <c r="M59" s="838" t="s">
        <v>163</v>
      </c>
      <c r="N59" s="838"/>
      <c r="O59" s="164">
        <f>SUM(O57:O58)</f>
        <v>4436.7675709090909</v>
      </c>
      <c r="P59" s="164"/>
      <c r="Q59" s="165"/>
    </row>
    <row r="60" spans="1:17" ht="13.5" thickBot="1" x14ac:dyDescent="0.25">
      <c r="B60" s="830" t="s">
        <v>167</v>
      </c>
      <c r="C60" s="830"/>
      <c r="D60" s="179">
        <f>+D58/D59</f>
        <v>1</v>
      </c>
      <c r="E60" s="180"/>
      <c r="F60" s="184"/>
      <c r="G60" s="147"/>
      <c r="H60" s="173"/>
      <c r="I60" s="181"/>
      <c r="J60" s="166"/>
      <c r="K60" s="174"/>
      <c r="L60" s="838"/>
      <c r="M60" s="838"/>
      <c r="N60" s="182"/>
      <c r="O60" s="164">
        <f>+O59*N60</f>
        <v>0</v>
      </c>
      <c r="P60" s="164"/>
      <c r="Q60" s="165"/>
    </row>
    <row r="61" spans="1:17" ht="13.5" thickBot="1" x14ac:dyDescent="0.25">
      <c r="B61" s="830" t="s">
        <v>168</v>
      </c>
      <c r="C61" s="830"/>
      <c r="D61" s="185"/>
      <c r="E61" s="180"/>
      <c r="F61" s="184"/>
      <c r="G61" s="147"/>
      <c r="H61" s="173"/>
      <c r="I61" s="181"/>
      <c r="J61" s="166"/>
      <c r="K61" s="831" t="s">
        <v>169</v>
      </c>
      <c r="L61" s="832"/>
      <c r="M61" s="832"/>
      <c r="N61" s="833"/>
      <c r="O61" s="177">
        <f>SUM(O59:O60)</f>
        <v>4436.7675709090909</v>
      </c>
      <c r="P61" s="186" t="s">
        <v>170</v>
      </c>
      <c r="Q61" s="165"/>
    </row>
    <row r="62" spans="1:17" ht="13.5" thickBot="1" x14ac:dyDescent="0.25">
      <c r="C62" s="156" t="s">
        <v>171</v>
      </c>
      <c r="D62" s="187"/>
      <c r="E62" s="130" t="s">
        <v>172</v>
      </c>
      <c r="F62" s="188" t="s">
        <v>173</v>
      </c>
      <c r="G62" s="147"/>
      <c r="H62" s="173"/>
      <c r="I62" s="181"/>
      <c r="J62" s="189"/>
      <c r="K62" s="190"/>
      <c r="L62" s="844" t="s">
        <v>174</v>
      </c>
      <c r="M62" s="844"/>
      <c r="N62" s="844"/>
      <c r="O62" s="191">
        <f>+O61/D60</f>
        <v>4436.7675709090909</v>
      </c>
      <c r="P62" s="192">
        <f>+O62/D59</f>
        <v>4.0334250644628096</v>
      </c>
      <c r="Q62" s="193"/>
    </row>
    <row r="63" spans="1:17" ht="13.5" thickBot="1" x14ac:dyDescent="0.25">
      <c r="B63" s="845" t="s">
        <v>159</v>
      </c>
      <c r="C63" s="845"/>
      <c r="D63" s="845"/>
      <c r="E63" s="194">
        <f>+F63/F63</f>
        <v>1</v>
      </c>
      <c r="F63" s="195">
        <f>SUM(F55)</f>
        <v>3619.2559799999999</v>
      </c>
      <c r="G63" s="147">
        <f>+F63/$F$66</f>
        <v>0.90494706755677889</v>
      </c>
      <c r="H63" s="173"/>
      <c r="I63" s="181"/>
      <c r="K63" s="846"/>
      <c r="L63" s="847"/>
      <c r="M63" s="847"/>
      <c r="N63" s="847"/>
      <c r="O63" s="196"/>
      <c r="P63" s="197"/>
    </row>
    <row r="64" spans="1:17" ht="13.5" thickBot="1" x14ac:dyDescent="0.25">
      <c r="B64" s="848" t="s">
        <v>175</v>
      </c>
      <c r="C64" s="848"/>
      <c r="D64" s="848"/>
      <c r="E64" s="198">
        <v>0.02</v>
      </c>
      <c r="F64" s="195">
        <f>+F53*E64</f>
        <v>72.155819600000001</v>
      </c>
      <c r="G64" s="147">
        <f>+F64/$F$66</f>
        <v>1.8041607920248833E-2</v>
      </c>
      <c r="H64" s="159"/>
      <c r="I64" s="181"/>
      <c r="J64" s="199"/>
      <c r="O64" s="200"/>
      <c r="P64" s="157"/>
    </row>
    <row r="65" spans="2:13" ht="13.5" thickBot="1" x14ac:dyDescent="0.25">
      <c r="B65" s="849" t="s">
        <v>176</v>
      </c>
      <c r="C65" s="850"/>
      <c r="D65" s="201">
        <v>4</v>
      </c>
      <c r="E65" s="202">
        <v>77</v>
      </c>
      <c r="F65" s="195">
        <f>+E65*D65</f>
        <v>308</v>
      </c>
      <c r="G65" s="147">
        <f>+F65/$F$66</f>
        <v>7.7011324522972241E-2</v>
      </c>
      <c r="H65" s="159"/>
      <c r="I65" s="159"/>
      <c r="J65" s="149"/>
    </row>
    <row r="66" spans="2:13" ht="13.5" thickBot="1" x14ac:dyDescent="0.25">
      <c r="B66" s="851" t="s">
        <v>177</v>
      </c>
      <c r="C66" s="852"/>
      <c r="D66" s="852"/>
      <c r="E66" s="853"/>
      <c r="F66" s="172">
        <f>SUM(F63:F65)</f>
        <v>3999.4117996</v>
      </c>
      <c r="G66" s="147">
        <f>+F66/$F$66</f>
        <v>1</v>
      </c>
      <c r="H66" s="854"/>
      <c r="I66" s="159"/>
      <c r="J66" s="149"/>
      <c r="M66" s="132" t="s">
        <v>178</v>
      </c>
    </row>
    <row r="67" spans="2:13" x14ac:dyDescent="0.2">
      <c r="C67" s="154"/>
      <c r="D67" s="154"/>
      <c r="E67" s="204"/>
      <c r="F67" s="195"/>
      <c r="G67" s="147"/>
      <c r="H67" s="854"/>
      <c r="I67" s="203"/>
      <c r="J67" s="132"/>
      <c r="M67" s="132" t="s">
        <v>179</v>
      </c>
    </row>
    <row r="68" spans="2:13" ht="13.5" thickBot="1" x14ac:dyDescent="0.25">
      <c r="B68" s="839" t="s">
        <v>180</v>
      </c>
      <c r="C68" s="839"/>
      <c r="D68" s="839"/>
      <c r="E68" s="839"/>
      <c r="F68" s="839"/>
      <c r="G68" s="147"/>
      <c r="H68" s="206"/>
      <c r="I68" s="203"/>
      <c r="J68" s="132"/>
      <c r="M68" s="132" t="s">
        <v>181</v>
      </c>
    </row>
    <row r="69" spans="2:13" ht="13.5" thickBot="1" x14ac:dyDescent="0.25">
      <c r="B69" s="207" t="s">
        <v>182</v>
      </c>
      <c r="C69" s="208">
        <f>+F53</f>
        <v>3607.7909799999998</v>
      </c>
      <c r="D69" s="208">
        <f>+D58</f>
        <v>1100</v>
      </c>
      <c r="E69" s="209">
        <f>+C69/D69</f>
        <v>3.2798099818181816</v>
      </c>
      <c r="F69" s="147"/>
      <c r="G69" s="206"/>
      <c r="H69" s="149"/>
      <c r="I69" s="206"/>
      <c r="J69" s="132"/>
    </row>
    <row r="70" spans="2:13" x14ac:dyDescent="0.2">
      <c r="B70" s="210"/>
      <c r="C70" s="211"/>
      <c r="D70" s="212"/>
      <c r="E70" s="195"/>
      <c r="F70" s="147"/>
      <c r="G70" s="206"/>
      <c r="H70" s="149"/>
      <c r="I70" s="149"/>
      <c r="J70" s="132"/>
    </row>
    <row r="71" spans="2:13" x14ac:dyDescent="0.2">
      <c r="B71" s="207" t="s">
        <v>183</v>
      </c>
      <c r="C71" s="208">
        <f>SUM(F63:F64)</f>
        <v>3691.4117996</v>
      </c>
      <c r="D71" s="208">
        <f>+D58</f>
        <v>1100</v>
      </c>
      <c r="E71" s="213">
        <f>+C71/D71</f>
        <v>3.3558289087272728</v>
      </c>
      <c r="F71" s="147"/>
      <c r="G71" s="206"/>
      <c r="H71" s="149"/>
      <c r="I71" s="149"/>
      <c r="J71" s="132"/>
    </row>
    <row r="72" spans="2:13" x14ac:dyDescent="0.2">
      <c r="B72" s="207"/>
      <c r="C72" s="208"/>
      <c r="D72" s="208"/>
      <c r="E72" s="213"/>
      <c r="F72" s="147"/>
      <c r="G72" s="206"/>
      <c r="H72" s="149"/>
      <c r="I72" s="149"/>
      <c r="J72" s="132"/>
    </row>
    <row r="73" spans="2:13" ht="13.5" thickBot="1" x14ac:dyDescent="0.25">
      <c r="B73" s="207" t="s">
        <v>184</v>
      </c>
      <c r="C73" s="208">
        <f>+F65</f>
        <v>308</v>
      </c>
      <c r="D73" s="208">
        <f>+D58</f>
        <v>1100</v>
      </c>
      <c r="E73" s="213">
        <f>+C73/D73</f>
        <v>0.28000000000000003</v>
      </c>
      <c r="F73" s="147"/>
      <c r="G73" s="206"/>
      <c r="H73" s="149"/>
      <c r="I73" s="149"/>
      <c r="J73" s="132"/>
    </row>
    <row r="74" spans="2:13" ht="13.5" thickBot="1" x14ac:dyDescent="0.25">
      <c r="B74" s="207" t="s">
        <v>185</v>
      </c>
      <c r="C74" s="208">
        <f>+F56</f>
        <v>446.4425</v>
      </c>
      <c r="D74" s="208">
        <f>+D73</f>
        <v>1100</v>
      </c>
      <c r="E74" s="209">
        <f>+C74/D74</f>
        <v>0.40585681818181818</v>
      </c>
      <c r="F74" s="147"/>
      <c r="G74" s="206"/>
      <c r="H74" s="149"/>
      <c r="I74" s="149"/>
      <c r="J74" s="132"/>
    </row>
    <row r="75" spans="2:13" ht="13.5" thickBot="1" x14ac:dyDescent="0.25">
      <c r="B75" s="171"/>
      <c r="C75" s="172"/>
      <c r="D75" s="172"/>
      <c r="E75" s="213"/>
      <c r="F75" s="147"/>
      <c r="G75" s="206"/>
      <c r="H75" s="149"/>
      <c r="I75" s="149"/>
      <c r="J75" s="132"/>
    </row>
    <row r="76" spans="2:13" ht="13.5" thickBot="1" x14ac:dyDescent="0.25">
      <c r="B76" s="207" t="s">
        <v>186</v>
      </c>
      <c r="C76" s="208">
        <f>+F54</f>
        <v>11.465</v>
      </c>
      <c r="D76" s="208">
        <f>+D74</f>
        <v>1100</v>
      </c>
      <c r="E76" s="209">
        <f>+C76/D76</f>
        <v>1.0422727272727273E-2</v>
      </c>
      <c r="F76" s="147"/>
      <c r="G76" s="206"/>
      <c r="H76" s="149"/>
      <c r="I76" s="149"/>
      <c r="J76" s="149"/>
    </row>
    <row r="77" spans="2:13" ht="13.5" thickBot="1" x14ac:dyDescent="0.25">
      <c r="B77" s="171"/>
      <c r="C77" s="172"/>
      <c r="D77" s="172"/>
      <c r="E77" s="213"/>
      <c r="F77" s="147"/>
      <c r="G77" s="206"/>
      <c r="H77" s="149"/>
      <c r="I77" s="149"/>
    </row>
    <row r="78" spans="2:13" ht="13.5" thickBot="1" x14ac:dyDescent="0.25">
      <c r="B78" s="840" t="s">
        <v>187</v>
      </c>
      <c r="C78" s="841"/>
      <c r="D78" s="842"/>
      <c r="E78" s="209">
        <f>+E69+E74</f>
        <v>3.6856667999999999</v>
      </c>
      <c r="G78" s="147"/>
      <c r="H78" s="206"/>
      <c r="I78" s="149"/>
      <c r="J78" s="213"/>
    </row>
    <row r="79" spans="2:13" x14ac:dyDescent="0.2">
      <c r="I79" s="206"/>
      <c r="J79" s="132"/>
    </row>
    <row r="80" spans="2:13" ht="13.5" thickBot="1" x14ac:dyDescent="0.25">
      <c r="B80" s="839" t="s">
        <v>188</v>
      </c>
      <c r="C80" s="839"/>
      <c r="D80" s="839"/>
      <c r="E80" s="839"/>
      <c r="F80" s="839"/>
      <c r="G80" s="147"/>
      <c r="H80" s="206"/>
      <c r="J80" s="132"/>
    </row>
    <row r="81" spans="1:10" ht="13.5" thickBot="1" x14ac:dyDescent="0.25">
      <c r="B81" s="207" t="s">
        <v>182</v>
      </c>
      <c r="C81" s="208">
        <f>+C69</f>
        <v>3607.7909799999998</v>
      </c>
      <c r="D81" s="208">
        <f>+D60</f>
        <v>1</v>
      </c>
      <c r="E81" s="209">
        <f>+C81/D81</f>
        <v>3607.7909799999998</v>
      </c>
      <c r="F81" s="147"/>
      <c r="G81" s="206"/>
      <c r="H81" s="149"/>
      <c r="I81" s="206"/>
      <c r="J81" s="132"/>
    </row>
    <row r="82" spans="1:10" x14ac:dyDescent="0.2">
      <c r="B82" s="210"/>
      <c r="C82" s="211"/>
      <c r="D82" s="212"/>
      <c r="E82" s="195"/>
      <c r="F82" s="147"/>
      <c r="G82" s="206"/>
      <c r="H82" s="149"/>
      <c r="I82" s="149"/>
      <c r="J82" s="132"/>
    </row>
    <row r="83" spans="1:10" x14ac:dyDescent="0.2">
      <c r="B83" s="207" t="s">
        <v>183</v>
      </c>
      <c r="C83" s="208">
        <f>+C71</f>
        <v>3691.4117996</v>
      </c>
      <c r="D83" s="208">
        <f>+D60</f>
        <v>1</v>
      </c>
      <c r="E83" s="213">
        <f>+C83/D83</f>
        <v>3691.4117996</v>
      </c>
      <c r="F83" s="147"/>
      <c r="G83" s="206"/>
      <c r="H83" s="149"/>
      <c r="I83" s="149"/>
      <c r="J83" s="132"/>
    </row>
    <row r="84" spans="1:10" x14ac:dyDescent="0.2">
      <c r="B84" s="207"/>
      <c r="C84" s="208"/>
      <c r="D84" s="208"/>
      <c r="E84" s="213"/>
      <c r="F84" s="147"/>
      <c r="G84" s="206"/>
      <c r="H84" s="149"/>
      <c r="I84" s="149"/>
      <c r="J84" s="132"/>
    </row>
    <row r="85" spans="1:10" ht="13.5" thickBot="1" x14ac:dyDescent="0.25">
      <c r="B85" s="207" t="s">
        <v>185</v>
      </c>
      <c r="C85" s="208">
        <f>+C73</f>
        <v>308</v>
      </c>
      <c r="D85" s="208">
        <f>+D60</f>
        <v>1</v>
      </c>
      <c r="E85" s="213">
        <f>+C85/D85</f>
        <v>308</v>
      </c>
      <c r="F85" s="215"/>
      <c r="G85" s="205"/>
      <c r="H85" s="131"/>
      <c r="I85" s="149"/>
    </row>
    <row r="86" spans="1:10" ht="13.5" thickBot="1" x14ac:dyDescent="0.25">
      <c r="B86" s="207" t="s">
        <v>185</v>
      </c>
      <c r="C86" s="208">
        <f>+C74</f>
        <v>446.4425</v>
      </c>
      <c r="D86" s="208">
        <f>+D85</f>
        <v>1</v>
      </c>
      <c r="E86" s="209">
        <f>+C86/D86</f>
        <v>446.4425</v>
      </c>
      <c r="F86" s="214"/>
      <c r="G86" s="205"/>
      <c r="H86" s="131"/>
      <c r="I86" s="131"/>
    </row>
    <row r="87" spans="1:10" x14ac:dyDescent="0.2">
      <c r="I87" s="131"/>
    </row>
    <row r="88" spans="1:10" x14ac:dyDescent="0.2">
      <c r="A88" s="843"/>
      <c r="B88" s="843"/>
      <c r="C88" s="216"/>
      <c r="D88" s="216"/>
      <c r="E88" s="217"/>
      <c r="G88" s="218"/>
    </row>
    <row r="89" spans="1:10" x14ac:dyDescent="0.2">
      <c r="A89" s="150"/>
      <c r="B89" s="219"/>
      <c r="C89" s="220"/>
      <c r="D89" s="220"/>
      <c r="E89" s="221"/>
      <c r="G89" s="218"/>
    </row>
    <row r="90" spans="1:10" x14ac:dyDescent="0.2">
      <c r="A90" s="150"/>
      <c r="B90" s="219"/>
      <c r="C90" s="222"/>
      <c r="D90" s="222"/>
      <c r="E90" s="150"/>
      <c r="G90" s="218"/>
    </row>
    <row r="91" spans="1:10" x14ac:dyDescent="0.2">
      <c r="A91" s="150"/>
      <c r="B91" s="219"/>
      <c r="C91" s="223"/>
      <c r="D91" s="223"/>
      <c r="E91" s="150"/>
      <c r="G91" s="218"/>
    </row>
  </sheetData>
  <mergeCells count="30">
    <mergeCell ref="B68:F68"/>
    <mergeCell ref="B78:D78"/>
    <mergeCell ref="B80:F80"/>
    <mergeCell ref="A88:B88"/>
    <mergeCell ref="K29:L29"/>
    <mergeCell ref="L62:N62"/>
    <mergeCell ref="B63:D63"/>
    <mergeCell ref="K63:N63"/>
    <mergeCell ref="B64:D64"/>
    <mergeCell ref="B65:C65"/>
    <mergeCell ref="B66:E66"/>
    <mergeCell ref="H66:H67"/>
    <mergeCell ref="B58:C58"/>
    <mergeCell ref="B59:C59"/>
    <mergeCell ref="M59:N59"/>
    <mergeCell ref="B60:C60"/>
    <mergeCell ref="L60:M60"/>
    <mergeCell ref="B61:C61"/>
    <mergeCell ref="K61:N61"/>
    <mergeCell ref="C56:E56"/>
    <mergeCell ref="A4:H4"/>
    <mergeCell ref="A5:H5"/>
    <mergeCell ref="F6:G6"/>
    <mergeCell ref="K30:L30"/>
    <mergeCell ref="B53:E53"/>
    <mergeCell ref="B54:E54"/>
    <mergeCell ref="K54:N54"/>
    <mergeCell ref="B55:E55"/>
    <mergeCell ref="K27:L27"/>
    <mergeCell ref="K28:L28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69136-2385-4D7B-88A2-9AA018E96D49}">
  <dimension ref="A1:M46"/>
  <sheetViews>
    <sheetView topLeftCell="A10" zoomScale="90" zoomScaleNormal="90" zoomScaleSheetLayoutView="90" workbookViewId="0">
      <selection activeCell="K31" sqref="K31"/>
    </sheetView>
  </sheetViews>
  <sheetFormatPr baseColWidth="10" defaultRowHeight="12.75" x14ac:dyDescent="0.2"/>
  <cols>
    <col min="1" max="1" width="11.5703125" bestFit="1" customWidth="1"/>
    <col min="2" max="2" width="13.85546875" bestFit="1" customWidth="1"/>
    <col min="3" max="3" width="40.85546875" customWidth="1"/>
    <col min="4" max="4" width="18" customWidth="1"/>
    <col min="5" max="5" width="11.5703125" bestFit="1" customWidth="1"/>
    <col min="8" max="8" width="16.7109375" bestFit="1" customWidth="1"/>
    <col min="9" max="9" width="20.85546875" bestFit="1" customWidth="1"/>
  </cols>
  <sheetData>
    <row r="1" spans="1:10" ht="18" x14ac:dyDescent="0.25">
      <c r="A1" s="905"/>
      <c r="B1" s="906"/>
      <c r="C1" s="911" t="s">
        <v>58</v>
      </c>
      <c r="D1" s="911"/>
      <c r="E1" s="911"/>
      <c r="F1" s="911"/>
      <c r="G1" s="911"/>
      <c r="H1" s="66" t="s">
        <v>57</v>
      </c>
      <c r="I1" s="65"/>
    </row>
    <row r="2" spans="1:10" ht="18" x14ac:dyDescent="0.25">
      <c r="A2" s="907"/>
      <c r="B2" s="908"/>
      <c r="C2" s="912" t="s">
        <v>56</v>
      </c>
      <c r="D2" s="912"/>
      <c r="E2" s="912"/>
      <c r="F2" s="912"/>
      <c r="G2" s="912"/>
      <c r="H2" s="64" t="s">
        <v>55</v>
      </c>
      <c r="I2" s="63"/>
    </row>
    <row r="3" spans="1:10" ht="15" customHeight="1" x14ac:dyDescent="0.2">
      <c r="A3" s="907"/>
      <c r="B3" s="908"/>
      <c r="C3" s="913" t="s">
        <v>59</v>
      </c>
      <c r="D3" s="914"/>
      <c r="E3" s="914"/>
      <c r="F3" s="914"/>
      <c r="G3" s="914"/>
      <c r="H3" s="915" t="s">
        <v>54</v>
      </c>
      <c r="I3" s="901"/>
    </row>
    <row r="4" spans="1:10" ht="18" x14ac:dyDescent="0.25">
      <c r="A4" s="907"/>
      <c r="B4" s="908"/>
      <c r="C4" s="62" t="s">
        <v>53</v>
      </c>
      <c r="D4" s="903" t="s">
        <v>52</v>
      </c>
      <c r="E4" s="903"/>
      <c r="F4" s="903"/>
      <c r="G4" s="903"/>
      <c r="H4" s="915"/>
      <c r="I4" s="902"/>
    </row>
    <row r="5" spans="1:10" ht="18.75" thickBot="1" x14ac:dyDescent="0.3">
      <c r="A5" s="909"/>
      <c r="B5" s="910"/>
      <c r="C5" s="61" t="s">
        <v>51</v>
      </c>
      <c r="D5" s="904" t="s">
        <v>50</v>
      </c>
      <c r="E5" s="904"/>
      <c r="F5" s="904"/>
      <c r="G5" s="904"/>
      <c r="H5" s="916"/>
      <c r="I5" s="902"/>
    </row>
    <row r="6" spans="1:10" ht="18.75" thickBot="1" x14ac:dyDescent="0.3">
      <c r="A6" s="893" t="s">
        <v>49</v>
      </c>
      <c r="B6" s="893"/>
      <c r="C6" s="893"/>
      <c r="D6" s="894" t="s">
        <v>48</v>
      </c>
      <c r="E6" s="894"/>
      <c r="F6" s="894"/>
      <c r="G6" s="895" t="s">
        <v>47</v>
      </c>
      <c r="H6" s="895"/>
      <c r="I6" s="60" t="s">
        <v>46</v>
      </c>
      <c r="J6" s="59"/>
    </row>
    <row r="7" spans="1:10" ht="36" x14ac:dyDescent="0.2">
      <c r="A7" s="896" t="s">
        <v>45</v>
      </c>
      <c r="B7" s="896" t="s">
        <v>45</v>
      </c>
      <c r="C7" s="898" t="s">
        <v>44</v>
      </c>
      <c r="D7" s="898" t="s">
        <v>43</v>
      </c>
      <c r="E7" s="898" t="s">
        <v>42</v>
      </c>
      <c r="F7" s="898"/>
      <c r="G7" s="898" t="s">
        <v>41</v>
      </c>
      <c r="H7" s="898"/>
      <c r="I7" s="58" t="s">
        <v>40</v>
      </c>
    </row>
    <row r="8" spans="1:10" ht="36.75" thickBot="1" x14ac:dyDescent="0.3">
      <c r="A8" s="897"/>
      <c r="B8" s="897"/>
      <c r="C8" s="899"/>
      <c r="D8" s="900"/>
      <c r="E8" s="57" t="s">
        <v>11</v>
      </c>
      <c r="F8" s="55" t="s">
        <v>39</v>
      </c>
      <c r="G8" s="56" t="s">
        <v>11</v>
      </c>
      <c r="H8" s="55" t="s">
        <v>39</v>
      </c>
      <c r="I8" s="54" t="s">
        <v>38</v>
      </c>
    </row>
    <row r="9" spans="1:10" ht="18.75" x14ac:dyDescent="0.3">
      <c r="A9" s="33"/>
      <c r="B9" s="50" t="s">
        <v>13</v>
      </c>
      <c r="C9" s="50" t="s">
        <v>60</v>
      </c>
      <c r="D9" s="45" t="s">
        <v>34</v>
      </c>
      <c r="E9" s="44">
        <v>1200</v>
      </c>
      <c r="F9" s="43" t="s">
        <v>2</v>
      </c>
      <c r="G9" s="1511" t="s">
        <v>37</v>
      </c>
      <c r="H9" s="1512"/>
      <c r="I9" s="38"/>
    </row>
    <row r="10" spans="1:10" ht="18.75" x14ac:dyDescent="0.3">
      <c r="A10" s="33"/>
      <c r="B10" s="33"/>
      <c r="C10" s="33"/>
      <c r="D10" s="45"/>
      <c r="E10" s="44"/>
      <c r="F10" s="43"/>
      <c r="G10" s="14"/>
      <c r="H10" s="39"/>
      <c r="I10" s="38"/>
    </row>
    <row r="11" spans="1:10" ht="18.75" x14ac:dyDescent="0.3">
      <c r="A11" s="33"/>
      <c r="B11" s="33"/>
      <c r="C11" s="53" t="s">
        <v>36</v>
      </c>
      <c r="D11" s="45"/>
      <c r="E11" s="44"/>
      <c r="F11" s="43"/>
      <c r="G11" s="14"/>
      <c r="H11" s="39"/>
      <c r="I11" s="38"/>
    </row>
    <row r="12" spans="1:10" ht="18.75" x14ac:dyDescent="0.3">
      <c r="A12" s="33"/>
      <c r="B12" s="51" t="s">
        <v>13</v>
      </c>
      <c r="C12" s="50" t="s">
        <v>61</v>
      </c>
      <c r="D12" s="45" t="s">
        <v>34</v>
      </c>
      <c r="E12" s="52">
        <v>120</v>
      </c>
      <c r="F12" s="43" t="s">
        <v>2</v>
      </c>
      <c r="G12" s="1509" t="s">
        <v>35</v>
      </c>
      <c r="H12" s="1510"/>
      <c r="I12" s="38"/>
    </row>
    <row r="13" spans="1:10" ht="18.75" x14ac:dyDescent="0.3">
      <c r="A13" s="33"/>
      <c r="B13" s="51" t="s">
        <v>13</v>
      </c>
      <c r="C13" s="50" t="s">
        <v>62</v>
      </c>
      <c r="D13" s="45" t="s">
        <v>34</v>
      </c>
      <c r="E13" s="44">
        <v>130</v>
      </c>
      <c r="F13" s="43" t="s">
        <v>2</v>
      </c>
      <c r="G13" s="1513" t="s">
        <v>124</v>
      </c>
      <c r="H13" s="1514"/>
      <c r="I13" s="38"/>
    </row>
    <row r="14" spans="1:10" ht="18.75" x14ac:dyDescent="0.3">
      <c r="A14" s="33"/>
      <c r="B14" s="51" t="s">
        <v>13</v>
      </c>
      <c r="C14" s="50" t="s">
        <v>63</v>
      </c>
      <c r="D14" s="45" t="s">
        <v>34</v>
      </c>
      <c r="E14" s="44">
        <v>15</v>
      </c>
      <c r="F14" s="43" t="s">
        <v>2</v>
      </c>
      <c r="G14" s="14"/>
      <c r="H14" s="39"/>
      <c r="I14" s="38"/>
    </row>
    <row r="15" spans="1:10" ht="18.75" x14ac:dyDescent="0.3">
      <c r="A15" s="33"/>
      <c r="B15" s="51" t="s">
        <v>13</v>
      </c>
      <c r="C15" s="50" t="s">
        <v>64</v>
      </c>
      <c r="D15" s="45"/>
      <c r="E15" s="44">
        <v>1</v>
      </c>
      <c r="F15" s="43" t="s">
        <v>5</v>
      </c>
      <c r="G15" s="14"/>
      <c r="H15" s="39"/>
      <c r="I15" s="38"/>
    </row>
    <row r="16" spans="1:10" ht="18.75" x14ac:dyDescent="0.3">
      <c r="A16" s="49"/>
      <c r="B16" s="3"/>
      <c r="C16" s="3"/>
      <c r="D16" s="45"/>
      <c r="E16" s="44"/>
      <c r="F16" s="43"/>
      <c r="G16" s="14"/>
      <c r="H16" s="39"/>
      <c r="I16" s="38"/>
    </row>
    <row r="17" spans="1:13" ht="18.75" x14ac:dyDescent="0.3">
      <c r="A17" s="48"/>
      <c r="B17" s="47"/>
      <c r="C17" s="46"/>
      <c r="D17" s="45"/>
      <c r="E17" s="44"/>
      <c r="F17" s="43"/>
      <c r="G17" s="14"/>
      <c r="H17" s="39"/>
      <c r="I17" s="38"/>
      <c r="M17" s="40">
        <v>1500</v>
      </c>
    </row>
    <row r="18" spans="1:13" ht="18" x14ac:dyDescent="0.25">
      <c r="A18" s="35"/>
      <c r="B18" s="35"/>
      <c r="C18" s="42" t="s">
        <v>32</v>
      </c>
      <c r="D18" s="35"/>
      <c r="E18" s="41"/>
      <c r="F18" s="35"/>
      <c r="G18" s="14"/>
      <c r="H18" s="39"/>
      <c r="I18" s="38"/>
      <c r="M18" s="40"/>
    </row>
    <row r="19" spans="1:13" ht="18" x14ac:dyDescent="0.25">
      <c r="A19" s="35">
        <v>121603</v>
      </c>
      <c r="B19" s="34" t="s">
        <v>31</v>
      </c>
      <c r="C19" s="36" t="s">
        <v>30</v>
      </c>
      <c r="D19" s="35" t="s">
        <v>29</v>
      </c>
      <c r="E19" s="35">
        <v>1</v>
      </c>
      <c r="F19" s="35" t="s">
        <v>5</v>
      </c>
      <c r="G19" s="14"/>
      <c r="H19" s="39"/>
      <c r="I19" s="38"/>
    </row>
    <row r="20" spans="1:13" ht="18" x14ac:dyDescent="0.25">
      <c r="A20" s="34" t="s">
        <v>28</v>
      </c>
      <c r="B20" s="34" t="s">
        <v>27</v>
      </c>
      <c r="C20" s="33" t="s">
        <v>26</v>
      </c>
      <c r="D20" s="35"/>
      <c r="E20" s="35">
        <v>1</v>
      </c>
      <c r="F20" s="35" t="s">
        <v>5</v>
      </c>
      <c r="G20" s="14"/>
      <c r="H20" s="39"/>
      <c r="I20" s="38"/>
      <c r="J20" s="1"/>
      <c r="K20" s="1"/>
      <c r="L20" s="1"/>
      <c r="M20" s="1"/>
    </row>
    <row r="21" spans="1:13" ht="18" x14ac:dyDescent="0.25">
      <c r="A21" s="35">
        <v>703020</v>
      </c>
      <c r="B21" s="34" t="s">
        <v>25</v>
      </c>
      <c r="C21" s="36" t="s">
        <v>24</v>
      </c>
      <c r="D21" s="35" t="s">
        <v>23</v>
      </c>
      <c r="E21" s="35">
        <v>60</v>
      </c>
      <c r="F21" s="35" t="s">
        <v>22</v>
      </c>
      <c r="G21" s="11"/>
      <c r="H21" s="10"/>
      <c r="I21" s="38"/>
      <c r="J21" s="1"/>
      <c r="K21" s="1"/>
      <c r="L21" s="1"/>
      <c r="M21" s="1"/>
    </row>
    <row r="22" spans="1:13" ht="18" x14ac:dyDescent="0.25">
      <c r="A22" s="35">
        <v>701096</v>
      </c>
      <c r="B22" s="34" t="s">
        <v>21</v>
      </c>
      <c r="C22" s="36" t="s">
        <v>20</v>
      </c>
      <c r="D22" s="35" t="s">
        <v>19</v>
      </c>
      <c r="E22" s="35">
        <v>1</v>
      </c>
      <c r="F22" s="35" t="s">
        <v>5</v>
      </c>
      <c r="G22" s="11"/>
      <c r="H22" s="10"/>
      <c r="I22" s="38"/>
      <c r="J22" s="1"/>
      <c r="K22" s="1"/>
      <c r="L22" s="1"/>
      <c r="M22" s="1"/>
    </row>
    <row r="23" spans="1:13" ht="18" x14ac:dyDescent="0.25">
      <c r="A23" s="35">
        <v>702123</v>
      </c>
      <c r="B23" s="34" t="s">
        <v>18</v>
      </c>
      <c r="C23" s="36" t="s">
        <v>17</v>
      </c>
      <c r="D23" s="35" t="s">
        <v>16</v>
      </c>
      <c r="E23" s="35">
        <v>1</v>
      </c>
      <c r="F23" s="35" t="s">
        <v>5</v>
      </c>
      <c r="G23" s="11"/>
      <c r="H23" s="10"/>
      <c r="I23" s="37"/>
      <c r="J23" s="1"/>
      <c r="K23" s="1"/>
      <c r="L23" s="1"/>
      <c r="M23" s="1"/>
    </row>
    <row r="24" spans="1:13" ht="18" x14ac:dyDescent="0.25">
      <c r="A24" s="35">
        <v>702069</v>
      </c>
      <c r="B24" s="34" t="s">
        <v>15</v>
      </c>
      <c r="C24" s="36" t="s">
        <v>14</v>
      </c>
      <c r="D24" s="35"/>
      <c r="E24" s="35">
        <v>1</v>
      </c>
      <c r="F24" s="35" t="s">
        <v>5</v>
      </c>
      <c r="G24" s="11"/>
      <c r="H24" s="10"/>
      <c r="I24" s="37"/>
      <c r="J24" s="1"/>
      <c r="K24" s="1"/>
      <c r="L24" s="1"/>
      <c r="M24" s="1"/>
    </row>
    <row r="25" spans="1:13" ht="18" x14ac:dyDescent="0.25">
      <c r="A25" s="33"/>
      <c r="B25" s="34" t="s">
        <v>13</v>
      </c>
      <c r="C25" s="33" t="s">
        <v>12</v>
      </c>
      <c r="D25" s="32"/>
      <c r="E25" s="31">
        <v>1</v>
      </c>
      <c r="F25" s="30" t="s">
        <v>5</v>
      </c>
      <c r="G25" s="29"/>
      <c r="H25" s="29"/>
      <c r="I25" s="37"/>
      <c r="J25" s="1"/>
      <c r="K25" s="1"/>
      <c r="L25" s="1"/>
      <c r="M25" s="1"/>
    </row>
    <row r="26" spans="1:13" ht="18" x14ac:dyDescent="0.25">
      <c r="A26" s="35"/>
      <c r="B26" s="34"/>
      <c r="C26" s="36"/>
      <c r="D26" s="35"/>
      <c r="E26" s="35"/>
      <c r="F26" s="35"/>
      <c r="G26" s="11"/>
      <c r="H26" s="10"/>
      <c r="I26" s="28"/>
      <c r="J26" s="1"/>
      <c r="K26" s="1"/>
      <c r="L26" s="1"/>
      <c r="M26" s="1"/>
    </row>
    <row r="27" spans="1:13" ht="18" x14ac:dyDescent="0.25">
      <c r="A27" s="33"/>
      <c r="B27" s="34"/>
      <c r="C27" s="33"/>
      <c r="D27" s="32"/>
      <c r="E27" s="31"/>
      <c r="F27" s="30"/>
      <c r="G27" s="29"/>
      <c r="H27" s="29"/>
      <c r="I27" s="28"/>
      <c r="J27" s="1"/>
      <c r="K27" s="1"/>
      <c r="L27" s="1"/>
      <c r="M27" s="1"/>
    </row>
    <row r="28" spans="1:13" ht="18.75" thickBot="1" x14ac:dyDescent="0.3">
      <c r="A28" s="27"/>
      <c r="B28" s="26"/>
      <c r="C28" s="23"/>
      <c r="D28" s="23"/>
      <c r="E28" s="25"/>
      <c r="F28" s="24"/>
      <c r="G28" s="23"/>
      <c r="H28" s="23"/>
      <c r="I28" s="22"/>
      <c r="J28" s="1"/>
      <c r="K28" s="1"/>
      <c r="L28" s="6"/>
      <c r="M28" s="1"/>
    </row>
    <row r="29" spans="1:13" ht="18.75" thickBot="1" x14ac:dyDescent="0.3">
      <c r="A29" s="21"/>
      <c r="B29" s="20"/>
      <c r="C29" s="16"/>
      <c r="D29" s="19" t="s">
        <v>11</v>
      </c>
      <c r="E29" s="18" t="s">
        <v>10</v>
      </c>
      <c r="F29" s="17"/>
      <c r="G29" s="16"/>
      <c r="H29" s="16"/>
      <c r="I29" s="15"/>
      <c r="J29" s="1"/>
      <c r="K29" s="1"/>
      <c r="L29" s="6"/>
      <c r="M29" s="1"/>
    </row>
    <row r="30" spans="1:13" ht="18" x14ac:dyDescent="0.25">
      <c r="A30" s="887" t="s">
        <v>9</v>
      </c>
      <c r="B30" s="888"/>
      <c r="C30" s="889"/>
      <c r="D30" s="14">
        <v>1460</v>
      </c>
      <c r="E30" s="13" t="s">
        <v>2</v>
      </c>
      <c r="F30" s="890"/>
      <c r="G30" s="890"/>
      <c r="H30" s="891"/>
      <c r="I30" s="892"/>
      <c r="J30" s="1"/>
      <c r="K30" s="1"/>
      <c r="L30" s="6"/>
      <c r="M30" s="1"/>
    </row>
    <row r="31" spans="1:13" ht="18" x14ac:dyDescent="0.25">
      <c r="A31" s="879" t="s">
        <v>8</v>
      </c>
      <c r="B31" s="880"/>
      <c r="C31" s="881"/>
      <c r="D31" s="12">
        <v>5</v>
      </c>
      <c r="E31" s="10" t="s">
        <v>7</v>
      </c>
      <c r="F31" s="882"/>
      <c r="G31" s="882"/>
      <c r="H31" s="883"/>
      <c r="I31" s="884"/>
      <c r="J31" s="1"/>
      <c r="K31" s="1"/>
      <c r="L31" s="6"/>
      <c r="M31" s="1"/>
    </row>
    <row r="32" spans="1:13" ht="18" x14ac:dyDescent="0.25">
      <c r="A32" s="879" t="s">
        <v>6</v>
      </c>
      <c r="B32" s="880"/>
      <c r="C32" s="881"/>
      <c r="D32" s="11">
        <v>1</v>
      </c>
      <c r="E32" s="10" t="s">
        <v>5</v>
      </c>
      <c r="F32" s="882"/>
      <c r="G32" s="882"/>
      <c r="H32" s="883"/>
      <c r="I32" s="884"/>
      <c r="J32" s="1"/>
      <c r="K32" s="1"/>
      <c r="L32" s="6"/>
      <c r="M32" s="1"/>
    </row>
    <row r="33" spans="1:13" ht="18" x14ac:dyDescent="0.25">
      <c r="A33" s="879" t="s">
        <v>4</v>
      </c>
      <c r="B33" s="880"/>
      <c r="C33" s="881"/>
      <c r="D33" s="11">
        <v>1460</v>
      </c>
      <c r="E33" s="10" t="s">
        <v>2</v>
      </c>
      <c r="F33" s="885"/>
      <c r="G33" s="886"/>
      <c r="H33" s="883"/>
      <c r="I33" s="884"/>
      <c r="J33" s="1"/>
      <c r="K33" s="1"/>
      <c r="L33" s="6"/>
      <c r="M33" s="9"/>
    </row>
    <row r="34" spans="1:13" ht="18.75" thickBot="1" x14ac:dyDescent="0.3">
      <c r="A34" s="858" t="s">
        <v>3</v>
      </c>
      <c r="B34" s="859"/>
      <c r="C34" s="860"/>
      <c r="D34" s="8">
        <f>SUM(E9:E15)-D30</f>
        <v>6</v>
      </c>
      <c r="E34" s="7" t="s">
        <v>2</v>
      </c>
      <c r="F34" s="861"/>
      <c r="G34" s="861"/>
      <c r="H34" s="862"/>
      <c r="I34" s="863"/>
      <c r="J34" s="1"/>
      <c r="K34" s="1"/>
      <c r="L34" s="6"/>
      <c r="M34" s="1"/>
    </row>
    <row r="35" spans="1:13" ht="18.75" thickBot="1" x14ac:dyDescent="0.3">
      <c r="A35" s="864" t="s">
        <v>1</v>
      </c>
      <c r="B35" s="865"/>
      <c r="C35" s="865"/>
      <c r="D35" s="865"/>
      <c r="E35" s="865"/>
      <c r="F35" s="865"/>
      <c r="G35" s="865"/>
      <c r="H35" s="865"/>
      <c r="I35" s="866"/>
      <c r="J35" s="1"/>
      <c r="K35" s="1"/>
      <c r="L35" s="1"/>
      <c r="M35" s="1"/>
    </row>
    <row r="36" spans="1:13" ht="18" x14ac:dyDescent="0.25">
      <c r="A36" s="867" t="s">
        <v>133</v>
      </c>
      <c r="B36" s="868"/>
      <c r="C36" s="868"/>
      <c r="D36" s="868"/>
      <c r="E36" s="868"/>
      <c r="F36" s="868"/>
      <c r="G36" s="868"/>
      <c r="H36" s="868"/>
      <c r="I36" s="869"/>
    </row>
    <row r="37" spans="1:13" ht="18" x14ac:dyDescent="0.25">
      <c r="A37" s="3" t="s">
        <v>134</v>
      </c>
      <c r="B37" s="5"/>
      <c r="C37" s="5"/>
      <c r="D37" s="5"/>
      <c r="E37" s="3"/>
      <c r="F37" s="5"/>
      <c r="G37" s="4"/>
      <c r="H37" s="3"/>
      <c r="I37" s="3"/>
    </row>
    <row r="38" spans="1:13" ht="18" x14ac:dyDescent="0.25">
      <c r="A38" s="870" t="s">
        <v>135</v>
      </c>
      <c r="B38" s="871"/>
      <c r="C38" s="871"/>
      <c r="D38" s="871"/>
      <c r="E38" s="871"/>
      <c r="F38" s="871"/>
      <c r="G38" s="871"/>
      <c r="H38" s="871"/>
      <c r="I38" s="872"/>
    </row>
    <row r="39" spans="1:13" ht="18" x14ac:dyDescent="0.25">
      <c r="A39" s="870" t="s">
        <v>136</v>
      </c>
      <c r="B39" s="871"/>
      <c r="C39" s="871"/>
      <c r="D39" s="871"/>
      <c r="E39" s="871"/>
      <c r="F39" s="871"/>
      <c r="G39" s="871"/>
      <c r="H39" s="871"/>
      <c r="I39" s="872"/>
    </row>
    <row r="40" spans="1:13" ht="18" x14ac:dyDescent="0.25">
      <c r="A40" s="870" t="s">
        <v>137</v>
      </c>
      <c r="B40" s="871"/>
      <c r="C40" s="871"/>
      <c r="D40" s="871"/>
      <c r="E40" s="871"/>
      <c r="F40" s="871"/>
      <c r="G40" s="871"/>
      <c r="H40" s="871"/>
      <c r="I40" s="872"/>
    </row>
    <row r="41" spans="1:13" ht="18" x14ac:dyDescent="0.25">
      <c r="A41" s="870"/>
      <c r="B41" s="871"/>
      <c r="C41" s="871"/>
      <c r="D41" s="871"/>
      <c r="E41" s="871"/>
      <c r="F41" s="871"/>
      <c r="G41" s="871"/>
      <c r="H41" s="871"/>
      <c r="I41" s="872"/>
    </row>
    <row r="42" spans="1:13" ht="18" x14ac:dyDescent="0.25">
      <c r="A42" s="873"/>
      <c r="B42" s="874"/>
      <c r="C42" s="874"/>
      <c r="D42" s="874"/>
      <c r="E42" s="874"/>
      <c r="F42" s="874"/>
      <c r="G42" s="874"/>
      <c r="H42" s="874"/>
      <c r="I42" s="875"/>
    </row>
    <row r="43" spans="1:13" ht="18" x14ac:dyDescent="0.25">
      <c r="A43" s="876" t="s">
        <v>0</v>
      </c>
      <c r="B43" s="877"/>
      <c r="C43" s="877"/>
      <c r="D43" s="877"/>
      <c r="E43" s="877"/>
      <c r="F43" s="877"/>
      <c r="G43" s="877"/>
      <c r="H43" s="877"/>
      <c r="I43" s="878"/>
    </row>
    <row r="44" spans="1:13" ht="18.75" thickBot="1" x14ac:dyDescent="0.3">
      <c r="A44" s="855"/>
      <c r="B44" s="856"/>
      <c r="C44" s="856"/>
      <c r="D44" s="856"/>
      <c r="E44" s="856"/>
      <c r="F44" s="856"/>
      <c r="G44" s="856"/>
      <c r="H44" s="856"/>
      <c r="I44" s="857"/>
    </row>
    <row r="46" spans="1:13" x14ac:dyDescent="0.2">
      <c r="A46" s="2"/>
      <c r="B46" s="2"/>
      <c r="C46" s="2"/>
      <c r="D46" s="1"/>
      <c r="E46" s="1"/>
      <c r="F46" s="1"/>
      <c r="G46" s="1"/>
      <c r="H46" s="1"/>
      <c r="I46" s="1"/>
    </row>
  </sheetData>
  <mergeCells count="44">
    <mergeCell ref="A34:C34"/>
    <mergeCell ref="F34:G34"/>
    <mergeCell ref="H34:I34"/>
    <mergeCell ref="A35:I35"/>
    <mergeCell ref="A36:I36"/>
    <mergeCell ref="A44:I44"/>
    <mergeCell ref="A38:I38"/>
    <mergeCell ref="A39:I39"/>
    <mergeCell ref="A40:I40"/>
    <mergeCell ref="A41:I41"/>
    <mergeCell ref="A42:I42"/>
    <mergeCell ref="A43:I43"/>
    <mergeCell ref="A32:C32"/>
    <mergeCell ref="F32:G32"/>
    <mergeCell ref="H32:I32"/>
    <mergeCell ref="A33:C33"/>
    <mergeCell ref="F33:G33"/>
    <mergeCell ref="H33:I33"/>
    <mergeCell ref="A30:C30"/>
    <mergeCell ref="F30:G30"/>
    <mergeCell ref="H30:I30"/>
    <mergeCell ref="A31:C31"/>
    <mergeCell ref="F31:G31"/>
    <mergeCell ref="H31:I3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1:B5"/>
    <mergeCell ref="C1:G1"/>
    <mergeCell ref="C2:G2"/>
    <mergeCell ref="C3:G3"/>
    <mergeCell ref="H3:H5"/>
    <mergeCell ref="G12:H12"/>
    <mergeCell ref="G9:H9"/>
    <mergeCell ref="G13:H13"/>
    <mergeCell ref="I3:I5"/>
    <mergeCell ref="D4:G4"/>
    <mergeCell ref="D5:G5"/>
  </mergeCells>
  <pageMargins left="0.7" right="0.7" top="0.75" bottom="0.75" header="0.3" footer="0.3"/>
  <pageSetup paperSize="9" scale="57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BA0A7-423A-401E-9805-4CB9FDA5FDF0}">
  <dimension ref="A1:Q93"/>
  <sheetViews>
    <sheetView topLeftCell="A49" workbookViewId="0">
      <selection activeCell="H61" sqref="H61"/>
    </sheetView>
  </sheetViews>
  <sheetFormatPr baseColWidth="10" defaultColWidth="8.42578125" defaultRowHeight="12.75" x14ac:dyDescent="0.2"/>
  <cols>
    <col min="1" max="1" width="10" style="132" bestFit="1" customWidth="1"/>
    <col min="2" max="2" width="44.28515625" style="132" bestFit="1" customWidth="1"/>
    <col min="3" max="3" width="10.42578125" style="132" bestFit="1" customWidth="1"/>
    <col min="4" max="4" width="10.42578125" style="132" customWidth="1"/>
    <col min="5" max="5" width="11" style="132" customWidth="1"/>
    <col min="6" max="6" width="9.5703125" style="132" bestFit="1" customWidth="1"/>
    <col min="7" max="7" width="10.85546875" style="214" customWidth="1"/>
    <col min="8" max="8" width="10.42578125" style="205" bestFit="1" customWidth="1"/>
    <col min="9" max="9" width="4.5703125" style="205" customWidth="1"/>
    <col min="10" max="10" width="1.85546875" style="131" customWidth="1"/>
    <col min="11" max="11" width="7" style="132" bestFit="1" customWidth="1"/>
    <col min="12" max="12" width="6.28515625" style="132" customWidth="1"/>
    <col min="13" max="13" width="20.42578125" style="132" customWidth="1"/>
    <col min="14" max="14" width="6.42578125" style="132" bestFit="1" customWidth="1"/>
    <col min="15" max="16" width="8.42578125" style="132"/>
    <col min="17" max="17" width="3.28515625" style="132" customWidth="1"/>
    <col min="18" max="16384" width="8.42578125" style="132"/>
  </cols>
  <sheetData>
    <row r="1" spans="1:13" ht="27.75" customHeight="1" x14ac:dyDescent="0.2">
      <c r="A1" s="127"/>
      <c r="B1" s="127"/>
      <c r="C1" s="127"/>
      <c r="D1" s="127"/>
      <c r="E1" s="128" t="s">
        <v>138</v>
      </c>
      <c r="F1" s="129" t="s">
        <v>139</v>
      </c>
      <c r="G1" s="129" t="s">
        <v>140</v>
      </c>
      <c r="H1" s="129" t="s">
        <v>141</v>
      </c>
      <c r="I1" s="130"/>
    </row>
    <row r="2" spans="1:13" ht="30.75" customHeight="1" x14ac:dyDescent="0.2">
      <c r="A2" s="127"/>
      <c r="B2" s="127"/>
      <c r="C2" s="127"/>
      <c r="D2" s="127"/>
      <c r="E2" s="133">
        <f>IFERROR(O64,"")</f>
        <v>6811.6463575904363</v>
      </c>
      <c r="F2" s="133">
        <f>IFERROR(H55,"")</f>
        <v>4672.7201863157889</v>
      </c>
      <c r="G2" s="133">
        <f>IFERROR(H56,"")</f>
        <v>643.29634615384612</v>
      </c>
      <c r="H2" s="133">
        <f>IFERROR(H58,"")</f>
        <v>816.76238676809703</v>
      </c>
      <c r="I2" s="134"/>
    </row>
    <row r="3" spans="1:13" ht="15" customHeight="1" x14ac:dyDescent="0.2">
      <c r="A3" s="127"/>
      <c r="B3" s="127"/>
      <c r="C3" s="127"/>
      <c r="D3" s="127"/>
      <c r="E3" s="127"/>
      <c r="F3" s="135"/>
      <c r="G3" s="135"/>
      <c r="H3" s="135"/>
      <c r="I3" s="135"/>
    </row>
    <row r="4" spans="1:13" ht="24.75" customHeight="1" thickBot="1" x14ac:dyDescent="0.25">
      <c r="A4" s="825"/>
      <c r="B4" s="825"/>
      <c r="C4" s="825"/>
      <c r="D4" s="825"/>
      <c r="E4" s="825"/>
      <c r="F4" s="825"/>
      <c r="G4" s="825"/>
      <c r="H4" s="825"/>
      <c r="I4" s="136"/>
    </row>
    <row r="5" spans="1:13" ht="19.5" customHeight="1" thickBot="1" x14ac:dyDescent="0.25">
      <c r="A5" s="826" t="s">
        <v>142</v>
      </c>
      <c r="B5" s="827"/>
      <c r="C5" s="827"/>
      <c r="D5" s="827"/>
      <c r="E5" s="827"/>
      <c r="F5" s="827"/>
      <c r="G5" s="827"/>
      <c r="H5" s="828"/>
      <c r="I5" s="137"/>
    </row>
    <row r="6" spans="1:13" ht="19.5" thickBot="1" x14ac:dyDescent="0.25">
      <c r="A6" s="137"/>
      <c r="B6" s="137"/>
      <c r="C6" s="137"/>
      <c r="D6" s="137"/>
      <c r="E6" s="137"/>
      <c r="F6" s="829" t="s">
        <v>143</v>
      </c>
      <c r="G6" s="829"/>
      <c r="H6" s="138">
        <f ca="1">TODAY()</f>
        <v>45890</v>
      </c>
      <c r="I6" s="138"/>
    </row>
    <row r="7" spans="1:13" ht="26.25" thickBot="1" x14ac:dyDescent="0.25">
      <c r="A7" s="139" t="s">
        <v>144</v>
      </c>
      <c r="B7" s="140" t="s">
        <v>145</v>
      </c>
      <c r="C7" s="140" t="s">
        <v>144</v>
      </c>
      <c r="D7" s="141" t="s">
        <v>146</v>
      </c>
      <c r="E7" s="141" t="s">
        <v>147</v>
      </c>
      <c r="F7" s="141" t="s">
        <v>148</v>
      </c>
      <c r="G7" s="141" t="s">
        <v>149</v>
      </c>
      <c r="H7" s="142" t="s">
        <v>150</v>
      </c>
      <c r="I7" s="143"/>
    </row>
    <row r="8" spans="1:13" ht="13.5" x14ac:dyDescent="0.25">
      <c r="A8" s="144">
        <v>0</v>
      </c>
      <c r="B8" s="132" t="s">
        <v>64</v>
      </c>
      <c r="C8" s="145">
        <f>+A8</f>
        <v>0</v>
      </c>
      <c r="D8" s="146" t="s">
        <v>196</v>
      </c>
      <c r="E8" s="146">
        <v>248</v>
      </c>
      <c r="F8" s="146">
        <f>IFERROR(C8*E8,"")</f>
        <v>0</v>
      </c>
      <c r="G8" s="147">
        <f t="shared" ref="G8:G14" si="0">IFERROR(F8/$F$68,"")</f>
        <v>0</v>
      </c>
      <c r="H8" s="148"/>
      <c r="I8" s="148"/>
      <c r="J8" s="149"/>
      <c r="M8" s="132">
        <v>225</v>
      </c>
    </row>
    <row r="9" spans="1:13" ht="13.5" hidden="1" x14ac:dyDescent="0.25">
      <c r="A9" s="144"/>
      <c r="B9" s="132" t="str">
        <f>IFERROR(VLOOKUP(H9,'[1]Consolidado MP Planta'!$A$2:$M$823,3,0),"")</f>
        <v/>
      </c>
      <c r="C9" s="145">
        <f t="shared" ref="C9:C14" si="1">+A9</f>
        <v>0</v>
      </c>
      <c r="D9" s="146" t="str">
        <f>IFERROR(VLOOKUP(H9,'[1]Consolidado MP Planta'!$A$2:$M$823,13,0),"")</f>
        <v/>
      </c>
      <c r="E9" s="146" t="str">
        <f>IFERROR(VLOOKUP(H9,'[1]Consolidado MP Planta'!$A$2:$M$823,12,0),"")</f>
        <v/>
      </c>
      <c r="F9" s="146" t="str">
        <f t="shared" ref="F9:F14" si="2">IFERROR(C9*E9,"")</f>
        <v/>
      </c>
      <c r="G9" s="147" t="str">
        <f t="shared" si="0"/>
        <v/>
      </c>
      <c r="H9" s="148"/>
      <c r="I9" s="148"/>
      <c r="J9" s="149"/>
    </row>
    <row r="10" spans="1:13" ht="13.5" hidden="1" x14ac:dyDescent="0.25">
      <c r="A10" s="144"/>
      <c r="B10" s="132" t="str">
        <f>IFERROR(VLOOKUP(H10,'[1]Consolidado MP Planta'!$A$2:$M$823,3,0),"")</f>
        <v/>
      </c>
      <c r="C10" s="145">
        <f t="shared" si="1"/>
        <v>0</v>
      </c>
      <c r="D10" s="146" t="str">
        <f>IFERROR(VLOOKUP(H10,'[1]Consolidado MP Planta'!$A$2:$M$823,13,0),"")</f>
        <v/>
      </c>
      <c r="E10" s="146" t="str">
        <f>IFERROR(VLOOKUP(H10,'[1]Consolidado MP Planta'!$A$2:$M$823,12,0),"")</f>
        <v/>
      </c>
      <c r="F10" s="146" t="str">
        <f t="shared" si="2"/>
        <v/>
      </c>
      <c r="G10" s="147" t="str">
        <f t="shared" si="0"/>
        <v/>
      </c>
      <c r="H10" s="148"/>
      <c r="I10" s="148"/>
      <c r="J10" s="149"/>
    </row>
    <row r="11" spans="1:13" ht="13.5" hidden="1" x14ac:dyDescent="0.25">
      <c r="A11" s="144"/>
      <c r="B11" s="132" t="str">
        <f>IFERROR(VLOOKUP(H11,'[1]Consolidado MP Planta'!$A$2:$M$823,3,0),"")</f>
        <v/>
      </c>
      <c r="C11" s="145">
        <f t="shared" si="1"/>
        <v>0</v>
      </c>
      <c r="D11" s="146" t="str">
        <f>IFERROR(VLOOKUP(H11,'[1]Consolidado MP Planta'!$A$2:$M$823,13,0),"")</f>
        <v/>
      </c>
      <c r="E11" s="146" t="str">
        <f>IFERROR(VLOOKUP(H11,'[1]Consolidado MP Planta'!$A$2:$M$823,12,0),"")</f>
        <v/>
      </c>
      <c r="F11" s="146" t="str">
        <f t="shared" si="2"/>
        <v/>
      </c>
      <c r="G11" s="147" t="str">
        <f t="shared" si="0"/>
        <v/>
      </c>
      <c r="H11" s="148"/>
      <c r="I11" s="148"/>
      <c r="J11" s="149"/>
    </row>
    <row r="12" spans="1:13" ht="13.5" hidden="1" x14ac:dyDescent="0.25">
      <c r="A12" s="144"/>
      <c r="B12" s="132" t="str">
        <f>IFERROR(VLOOKUP(H12,'[1]Consolidado MP Planta'!$A$2:$M$823,3,0),"")</f>
        <v/>
      </c>
      <c r="C12" s="145">
        <f t="shared" si="1"/>
        <v>0</v>
      </c>
      <c r="D12" s="146" t="str">
        <f>IFERROR(VLOOKUP(H12,'[1]Consolidado MP Planta'!$A$2:$M$823,13,0),"")</f>
        <v/>
      </c>
      <c r="E12" s="146" t="str">
        <f>IFERROR(VLOOKUP(H12,'[1]Consolidado MP Planta'!$A$2:$M$823,12,0),"")</f>
        <v/>
      </c>
      <c r="F12" s="146" t="str">
        <f t="shared" si="2"/>
        <v/>
      </c>
      <c r="G12" s="147" t="str">
        <f t="shared" si="0"/>
        <v/>
      </c>
      <c r="H12" s="148"/>
      <c r="I12" s="148"/>
      <c r="J12" s="149"/>
    </row>
    <row r="13" spans="1:13" ht="13.5" hidden="1" x14ac:dyDescent="0.25">
      <c r="A13" s="144"/>
      <c r="B13" s="132" t="str">
        <f>IFERROR(VLOOKUP(H13,'[1]Consolidado MP Planta'!$A$2:$M$823,3,0),"")</f>
        <v/>
      </c>
      <c r="C13" s="145">
        <f t="shared" si="1"/>
        <v>0</v>
      </c>
      <c r="D13" s="146" t="str">
        <f>IFERROR(VLOOKUP(H13,'[1]Consolidado MP Planta'!$A$2:$M$823,13,0),"")</f>
        <v/>
      </c>
      <c r="E13" s="146" t="str">
        <f>IFERROR(VLOOKUP(H13,'[1]Consolidado MP Planta'!$A$2:$M$823,12,0),"")</f>
        <v/>
      </c>
      <c r="F13" s="146" t="str">
        <f t="shared" si="2"/>
        <v/>
      </c>
      <c r="G13" s="147" t="str">
        <f t="shared" si="0"/>
        <v/>
      </c>
      <c r="H13" s="148"/>
      <c r="I13" s="148"/>
      <c r="J13" s="149"/>
    </row>
    <row r="14" spans="1:13" ht="13.5" hidden="1" x14ac:dyDescent="0.25">
      <c r="A14" s="144"/>
      <c r="B14" s="132" t="str">
        <f>IFERROR(VLOOKUP(H14,'[1]Consolidado MP Planta'!$A$2:$M$823,3,0),"")</f>
        <v/>
      </c>
      <c r="C14" s="145">
        <f t="shared" si="1"/>
        <v>0</v>
      </c>
      <c r="D14" s="146" t="str">
        <f>IFERROR(VLOOKUP(H14,'[1]Consolidado MP Planta'!$A$2:$M$823,13,0),"")</f>
        <v/>
      </c>
      <c r="E14" s="146" t="str">
        <f>IFERROR(VLOOKUP(H14,'[1]Consolidado MP Planta'!$A$2:$M$823,12,0),"")</f>
        <v/>
      </c>
      <c r="F14" s="146" t="str">
        <f t="shared" si="2"/>
        <v/>
      </c>
      <c r="G14" s="147" t="str">
        <f t="shared" si="0"/>
        <v/>
      </c>
      <c r="H14" s="148"/>
      <c r="I14" s="148"/>
      <c r="J14" s="149"/>
    </row>
    <row r="15" spans="1:13" ht="14.25" thickBot="1" x14ac:dyDescent="0.3">
      <c r="A15" s="144"/>
      <c r="B15" s="132" t="str">
        <f>IFERROR(VLOOKUP(H15,'[2]ARTICULOS MP PLANTA'!$A$2:$G$589,2,0),"")</f>
        <v/>
      </c>
      <c r="C15" s="145"/>
      <c r="D15" s="146"/>
      <c r="E15" s="146"/>
      <c r="F15" s="146"/>
      <c r="G15" s="147"/>
      <c r="H15" s="148"/>
      <c r="I15" s="148"/>
      <c r="J15" s="149"/>
      <c r="M15" s="132">
        <f>+M8*10%</f>
        <v>22.5</v>
      </c>
    </row>
    <row r="16" spans="1:13" ht="26.25" thickBot="1" x14ac:dyDescent="0.25">
      <c r="A16" s="139" t="s">
        <v>144</v>
      </c>
      <c r="B16" s="140" t="s">
        <v>151</v>
      </c>
      <c r="C16" s="140" t="s">
        <v>144</v>
      </c>
      <c r="D16" s="141" t="s">
        <v>146</v>
      </c>
      <c r="E16" s="141" t="s">
        <v>147</v>
      </c>
      <c r="F16" s="141" t="s">
        <v>148</v>
      </c>
      <c r="G16" s="141" t="s">
        <v>149</v>
      </c>
      <c r="H16" s="142" t="s">
        <v>150</v>
      </c>
      <c r="I16" s="143"/>
      <c r="J16" s="149"/>
    </row>
    <row r="17" spans="1:12" ht="13.5" x14ac:dyDescent="0.25">
      <c r="A17" s="144">
        <v>1</v>
      </c>
      <c r="B17" s="132" t="s">
        <v>60</v>
      </c>
      <c r="C17" s="145">
        <f>+A17</f>
        <v>1</v>
      </c>
      <c r="D17" s="145" t="s">
        <v>196</v>
      </c>
      <c r="E17" s="146">
        <f>+'Costo Disco Pistacho'!H53</f>
        <v>3607.7909799999998</v>
      </c>
      <c r="F17" s="146">
        <f>IFERROR(E17*C17,"")</f>
        <v>3607.7909799999998</v>
      </c>
      <c r="G17" s="147">
        <f t="shared" ref="G17:G24" si="3">IFERROR(F17/$F$68,"")</f>
        <v>0.63101168685614673</v>
      </c>
      <c r="H17" s="148" t="s">
        <v>13</v>
      </c>
      <c r="I17" s="148"/>
      <c r="J17" s="149"/>
    </row>
    <row r="18" spans="1:12" ht="13.5" x14ac:dyDescent="0.25">
      <c r="A18" s="144">
        <v>120</v>
      </c>
      <c r="B18" s="132" t="s">
        <v>61</v>
      </c>
      <c r="C18" s="145">
        <f t="shared" ref="C18:C24" si="4">+A18</f>
        <v>120</v>
      </c>
      <c r="D18" s="145" t="s">
        <v>191</v>
      </c>
      <c r="E18" s="146">
        <f>+'Costo Crema verde pistacho'!E69</f>
        <v>2.1884399999999999</v>
      </c>
      <c r="F18" s="146">
        <f t="shared" ref="F18:F24" si="5">IFERROR(E18*C18,"")</f>
        <v>262.61279999999999</v>
      </c>
      <c r="G18" s="147">
        <f t="shared" si="3"/>
        <v>4.5931637070065492E-2</v>
      </c>
      <c r="H18" s="148" t="s">
        <v>13</v>
      </c>
      <c r="I18" s="148"/>
      <c r="J18" s="149"/>
    </row>
    <row r="19" spans="1:12" ht="13.5" x14ac:dyDescent="0.25">
      <c r="A19" s="144">
        <v>130</v>
      </c>
      <c r="B19" s="132" t="s">
        <v>62</v>
      </c>
      <c r="C19" s="145">
        <f>+A19</f>
        <v>130</v>
      </c>
      <c r="D19" s="145" t="s">
        <v>191</v>
      </c>
      <c r="E19" s="146">
        <f>+'Costo Salsa Pistacho'!E69</f>
        <v>5.1392759999999997</v>
      </c>
      <c r="F19" s="146">
        <f>IFERROR(E19*C19,"")</f>
        <v>668.10587999999996</v>
      </c>
      <c r="G19" s="147">
        <f t="shared" si="3"/>
        <v>0.11685339330198956</v>
      </c>
      <c r="H19" s="148" t="s">
        <v>13</v>
      </c>
      <c r="I19" s="148"/>
      <c r="J19" s="149"/>
    </row>
    <row r="20" spans="1:12" ht="13.5" x14ac:dyDescent="0.25">
      <c r="A20" s="144">
        <v>10</v>
      </c>
      <c r="B20" s="132" t="s">
        <v>63</v>
      </c>
      <c r="C20" s="145">
        <f>+A20</f>
        <v>10</v>
      </c>
      <c r="D20" s="145" t="s">
        <v>191</v>
      </c>
      <c r="E20" s="146">
        <f>+'Costo Pistacho Tostado'!E69</f>
        <v>13.421052631578947</v>
      </c>
      <c r="F20" s="146">
        <f>IFERROR(E20*C20,"")</f>
        <v>134.21052631578948</v>
      </c>
      <c r="G20" s="147">
        <f t="shared" si="3"/>
        <v>2.3473757508085349E-2</v>
      </c>
      <c r="H20" s="148" t="s">
        <v>13</v>
      </c>
      <c r="I20" s="148"/>
      <c r="J20" s="149"/>
    </row>
    <row r="21" spans="1:12" ht="13.5" hidden="1" x14ac:dyDescent="0.25">
      <c r="A21" s="144"/>
      <c r="B21" s="132" t="str">
        <f>IFERROR(VLOOKUP(H21,[1]SEMIELABORADOS!$A$2:$M$6000,2,0),"")</f>
        <v/>
      </c>
      <c r="C21" s="145">
        <f>+A21</f>
        <v>0</v>
      </c>
      <c r="D21" s="145" t="str">
        <f>IFERROR(VLOOKUP(H21,[1]SEMIELABORADOS!$A$2:$M$6000,6,0),"")</f>
        <v/>
      </c>
      <c r="E21" s="146" t="str">
        <f>IFERROR(VLOOKUP(H21,[1]SEMIELABORADOS!$A$2:$H$65536,8,0),"")</f>
        <v/>
      </c>
      <c r="F21" s="146" t="str">
        <f>IFERROR(E21*C21,"")</f>
        <v/>
      </c>
      <c r="G21" s="147" t="str">
        <f t="shared" si="3"/>
        <v/>
      </c>
      <c r="H21" s="148"/>
      <c r="I21" s="148"/>
      <c r="J21" s="149"/>
    </row>
    <row r="22" spans="1:12" ht="13.5" hidden="1" x14ac:dyDescent="0.25">
      <c r="A22" s="144"/>
      <c r="B22" s="132" t="str">
        <f>IFERROR(VLOOKUP(H22,[1]SEMIELABORADOS!$A$2:$M$6000,2,0),"")</f>
        <v/>
      </c>
      <c r="C22" s="145">
        <f t="shared" si="4"/>
        <v>0</v>
      </c>
      <c r="D22" s="145" t="str">
        <f>IFERROR(VLOOKUP(H22,[1]SEMIELABORADOS!$A$2:$M$6000,6,0),"")</f>
        <v/>
      </c>
      <c r="E22" s="146" t="str">
        <f>IFERROR(VLOOKUP(H22,[1]SEMIELABORADOS!$A$2:$H$65536,8,0),"")</f>
        <v/>
      </c>
      <c r="F22" s="146" t="str">
        <f t="shared" si="5"/>
        <v/>
      </c>
      <c r="G22" s="147" t="str">
        <f t="shared" si="3"/>
        <v/>
      </c>
      <c r="H22" s="148"/>
      <c r="I22" s="148"/>
      <c r="J22" s="149"/>
    </row>
    <row r="23" spans="1:12" ht="13.5" hidden="1" x14ac:dyDescent="0.25">
      <c r="A23" s="144"/>
      <c r="B23" s="132" t="str">
        <f>IFERROR(VLOOKUP(H23,[1]SEMIELABORADOS!$A$2:$M$6000,2,0),"")</f>
        <v/>
      </c>
      <c r="C23" s="145">
        <f t="shared" si="4"/>
        <v>0</v>
      </c>
      <c r="D23" s="145" t="str">
        <f>IFERROR(VLOOKUP(H23,[1]SEMIELABORADOS!$A$2:$M$6000,6,0),"")</f>
        <v/>
      </c>
      <c r="E23" s="146" t="str">
        <f>IFERROR(VLOOKUP(H23,[1]SEMIELABORADOS!$A$2:$H$65536,8,0),"")</f>
        <v/>
      </c>
      <c r="F23" s="146" t="str">
        <f t="shared" si="5"/>
        <v/>
      </c>
      <c r="G23" s="147" t="str">
        <f t="shared" si="3"/>
        <v/>
      </c>
      <c r="H23" s="148"/>
      <c r="I23" s="148"/>
      <c r="J23" s="149"/>
    </row>
    <row r="24" spans="1:12" ht="13.5" hidden="1" x14ac:dyDescent="0.25">
      <c r="A24" s="144"/>
      <c r="B24" s="132" t="str">
        <f>IFERROR(VLOOKUP(H24,[1]SEMIELABORADOS!$A$2:$M$6000,2,0),"")</f>
        <v/>
      </c>
      <c r="C24" s="145">
        <f t="shared" si="4"/>
        <v>0</v>
      </c>
      <c r="D24" s="145" t="str">
        <f>IFERROR(VLOOKUP(H24,[1]SEMIELABORADOS!$A$2:$M$6000,6,0),"")</f>
        <v/>
      </c>
      <c r="E24" s="146" t="str">
        <f>IFERROR(VLOOKUP(H24,[1]SEMIELABORADOS!$A$2:$H$65536,8,0),"")</f>
        <v/>
      </c>
      <c r="F24" s="146" t="str">
        <f t="shared" si="5"/>
        <v/>
      </c>
      <c r="G24" s="147" t="str">
        <f t="shared" si="3"/>
        <v/>
      </c>
      <c r="H24" s="148"/>
      <c r="I24" s="148"/>
      <c r="J24" s="149"/>
    </row>
    <row r="25" spans="1:12" ht="14.25" thickBot="1" x14ac:dyDescent="0.3">
      <c r="A25" s="144"/>
      <c r="C25" s="145"/>
      <c r="D25" s="145"/>
      <c r="E25" s="146"/>
      <c r="F25" s="146"/>
      <c r="G25" s="147"/>
      <c r="H25" s="148"/>
      <c r="I25" s="148"/>
      <c r="J25" s="149"/>
    </row>
    <row r="26" spans="1:12" ht="26.25" thickBot="1" x14ac:dyDescent="0.25">
      <c r="A26" s="139" t="s">
        <v>144</v>
      </c>
      <c r="B26" s="140" t="s">
        <v>32</v>
      </c>
      <c r="C26" s="140" t="s">
        <v>144</v>
      </c>
      <c r="D26" s="141" t="s">
        <v>146</v>
      </c>
      <c r="E26" s="141" t="s">
        <v>147</v>
      </c>
      <c r="F26" s="141" t="s">
        <v>148</v>
      </c>
      <c r="G26" s="141" t="s">
        <v>149</v>
      </c>
      <c r="H26" s="142" t="s">
        <v>150</v>
      </c>
      <c r="I26" s="143"/>
    </row>
    <row r="27" spans="1:12" ht="13.5" x14ac:dyDescent="0.25">
      <c r="A27" s="144">
        <v>1</v>
      </c>
      <c r="B27" s="150" t="str">
        <f>IFERROR(VLOOKUP(H27,'[1]Consolidado MP Planta'!$A$2:$M$823,3,0),"")</f>
        <v>QUEQUERA RED  BASE/DOMO 10 (CAJA:50)</v>
      </c>
      <c r="C27" s="145">
        <f t="shared" ref="C27:C34" si="6">+A27</f>
        <v>1</v>
      </c>
      <c r="D27" s="146" t="str">
        <f>IFERROR(VLOOKUP(H27,'[1]Consolidado MP Planta'!$A$2:$M$823,13,0),"")</f>
        <v>UND</v>
      </c>
      <c r="E27" s="146">
        <v>430.56</v>
      </c>
      <c r="F27" s="146">
        <f t="shared" ref="F27:F34" si="7">IFERROR(C27*E27,"")</f>
        <v>430.56</v>
      </c>
      <c r="G27" s="147">
        <f t="shared" ref="G27:G34" si="8">IFERROR(F27/$F$68,"")</f>
        <v>7.5306023380762088E-2</v>
      </c>
      <c r="H27" s="151" t="s">
        <v>198</v>
      </c>
      <c r="I27" s="151"/>
      <c r="J27" s="149"/>
      <c r="K27" s="824"/>
      <c r="L27" s="824"/>
    </row>
    <row r="28" spans="1:12" ht="13.5" x14ac:dyDescent="0.25">
      <c r="A28" s="144">
        <v>1</v>
      </c>
      <c r="B28" s="150" t="str">
        <f>IFERROR(VLOOKUP(H28,'[1]Consolidado MP Planta'!$A$2:$M$823,3,0),"")</f>
        <v>ORLA CARTON 10" DORADA (UND)</v>
      </c>
      <c r="C28" s="145">
        <f t="shared" si="6"/>
        <v>1</v>
      </c>
      <c r="D28" s="146" t="str">
        <f>IFERROR(VLOOKUP(H28,'[1]Consolidado MP Planta'!$A$2:$M$823,13,0),"")</f>
        <v>Und</v>
      </c>
      <c r="E28" s="146">
        <v>112</v>
      </c>
      <c r="F28" s="146">
        <f t="shared" si="7"/>
        <v>112</v>
      </c>
      <c r="G28" s="147">
        <f t="shared" si="8"/>
        <v>1.9589080775374752E-2</v>
      </c>
      <c r="H28" s="151" t="s">
        <v>28</v>
      </c>
      <c r="I28" s="151"/>
      <c r="J28" s="149"/>
      <c r="K28" s="824"/>
      <c r="L28" s="824"/>
    </row>
    <row r="29" spans="1:12" ht="13.5" x14ac:dyDescent="0.25">
      <c r="A29" s="144">
        <v>1</v>
      </c>
      <c r="B29" s="150" t="str">
        <f>IFERROR(VLOOKUP(H29,'[1]Consolidado MP Planta'!$A$2:$M$823,3,0),"")</f>
        <v>ETIQUETA BLANCA R-153 (UND)</v>
      </c>
      <c r="C29" s="145">
        <f t="shared" ref="C29:C30" si="9">+A29</f>
        <v>1</v>
      </c>
      <c r="D29" s="146" t="str">
        <f>IFERROR(VLOOKUP(H29,'[1]Consolidado MP Planta'!$A$2:$M$823,13,0),"")</f>
        <v>Und</v>
      </c>
      <c r="E29" s="146">
        <f>IFERROR(VLOOKUP(H29,'[1]Consolidado MP Planta'!$A$2:$M$823,12,0),"")</f>
        <v>0.39</v>
      </c>
      <c r="F29" s="146">
        <f t="shared" ref="F29:F30" si="10">IFERROR(C29*E29,"")</f>
        <v>0.39</v>
      </c>
      <c r="G29" s="147">
        <f t="shared" si="8"/>
        <v>6.8211977699965667E-5</v>
      </c>
      <c r="H29" s="151" t="s">
        <v>199</v>
      </c>
      <c r="I29" s="151"/>
      <c r="J29" s="149"/>
      <c r="K29" s="130"/>
      <c r="L29" s="130"/>
    </row>
    <row r="30" spans="1:12" ht="13.5" x14ac:dyDescent="0.25">
      <c r="A30" s="144">
        <v>1</v>
      </c>
      <c r="B30" s="150" t="str">
        <f>IFERROR(VLOOKUP(H30,'[1]Consolidado MP Planta'!$A$2:$M$823,3,0),"")</f>
        <v>ETIQUETA BLANCA 2 5/8X1 15/16 (UND)</v>
      </c>
      <c r="C30" s="145">
        <f t="shared" si="9"/>
        <v>1</v>
      </c>
      <c r="D30" s="146" t="str">
        <f>IFERROR(VLOOKUP(H30,'[1]Consolidado MP Planta'!$A$2:$M$823,13,0),"")</f>
        <v>Und</v>
      </c>
      <c r="E30" s="146">
        <f>IFERROR(VLOOKUP(H30,'[1]Consolidado MP Planta'!$A$2:$M$823,12,0),"")</f>
        <v>2.1280000000000001</v>
      </c>
      <c r="F30" s="146">
        <f t="shared" si="10"/>
        <v>2.1280000000000001</v>
      </c>
      <c r="G30" s="147">
        <f t="shared" si="8"/>
        <v>3.7219253473212032E-4</v>
      </c>
      <c r="H30" s="151" t="s">
        <v>200</v>
      </c>
      <c r="I30" s="151"/>
      <c r="J30" s="149"/>
      <c r="K30" s="130"/>
      <c r="L30" s="130"/>
    </row>
    <row r="31" spans="1:12" ht="13.5" x14ac:dyDescent="0.25">
      <c r="A31" s="144">
        <v>1</v>
      </c>
      <c r="B31" s="150" t="str">
        <f>IFERROR(VLOOKUP(H31,'[1]Consolidado MP Planta'!$A$2:$M$823,3,0),"")</f>
        <v>ETIQ.BLANCA 1 1/4 * 3/4 (UND)</v>
      </c>
      <c r="C31" s="145">
        <f t="shared" si="6"/>
        <v>1</v>
      </c>
      <c r="D31" s="146" t="str">
        <f>IFERROR(VLOOKUP(H31,'[1]Consolidado MP Planta'!$A$2:$M$823,13,0),"")</f>
        <v>Und</v>
      </c>
      <c r="E31" s="146">
        <f>IFERROR(VLOOKUP(H31,'[1]Consolidado MP Planta'!$A$2:$M$823,12,0),"")</f>
        <v>0.57999999999999996</v>
      </c>
      <c r="F31" s="146">
        <f t="shared" si="7"/>
        <v>0.57999999999999996</v>
      </c>
      <c r="G31" s="147">
        <f t="shared" si="8"/>
        <v>1.0144345401533353E-4</v>
      </c>
      <c r="H31" s="151" t="s">
        <v>201</v>
      </c>
      <c r="I31" s="151"/>
      <c r="J31" s="149"/>
      <c r="K31" s="824"/>
      <c r="L31" s="824"/>
    </row>
    <row r="32" spans="1:12" ht="13.5" x14ac:dyDescent="0.25">
      <c r="A32" s="144">
        <v>1</v>
      </c>
      <c r="B32" s="150" t="s">
        <v>12</v>
      </c>
      <c r="C32" s="145">
        <f t="shared" si="6"/>
        <v>1</v>
      </c>
      <c r="D32" s="146" t="s">
        <v>197</v>
      </c>
      <c r="E32" s="146">
        <v>85</v>
      </c>
      <c r="F32" s="146">
        <f t="shared" si="7"/>
        <v>85</v>
      </c>
      <c r="G32" s="147">
        <f t="shared" si="8"/>
        <v>1.4866713088454053E-2</v>
      </c>
      <c r="H32" s="151" t="s">
        <v>13</v>
      </c>
      <c r="I32" s="151"/>
      <c r="J32" s="149"/>
      <c r="K32" s="824"/>
      <c r="L32" s="824"/>
    </row>
    <row r="33" spans="1:13" ht="13.5" hidden="1" x14ac:dyDescent="0.25">
      <c r="A33" s="144"/>
      <c r="B33" s="150" t="str">
        <f>IFERROR(VLOOKUP(H33,'[1]Consolidado MP Planta'!$A$2:$M$823,3,0),"")</f>
        <v/>
      </c>
      <c r="C33" s="145">
        <f t="shared" si="6"/>
        <v>0</v>
      </c>
      <c r="D33" s="146" t="str">
        <f>IFERROR(VLOOKUP(H33,'[1]Consolidado MP Planta'!$A$2:$M$823,13,0),"")</f>
        <v/>
      </c>
      <c r="E33" s="146" t="str">
        <f>IFERROR(VLOOKUP(H33,'[1]Consolidado MP Planta'!$A$2:$M$823,12,0),"")</f>
        <v/>
      </c>
      <c r="F33" s="146" t="str">
        <f t="shared" si="7"/>
        <v/>
      </c>
      <c r="G33" s="147" t="str">
        <f t="shared" si="8"/>
        <v/>
      </c>
      <c r="H33" s="151"/>
      <c r="I33" s="151"/>
      <c r="J33" s="149"/>
      <c r="K33" s="152"/>
      <c r="L33" s="153"/>
    </row>
    <row r="34" spans="1:13" ht="13.5" hidden="1" x14ac:dyDescent="0.25">
      <c r="A34" s="144"/>
      <c r="B34" s="150" t="str">
        <f>IFERROR(VLOOKUP(H34,'[1]Consolidado MP Planta'!$A$2:$M$823,3,0),"")</f>
        <v/>
      </c>
      <c r="C34" s="145">
        <f t="shared" si="6"/>
        <v>0</v>
      </c>
      <c r="D34" s="146" t="str">
        <f>IFERROR(VLOOKUP(H34,'[1]Consolidado MP Planta'!$A$2:$M$823,13,0),"")</f>
        <v/>
      </c>
      <c r="E34" s="146" t="str">
        <f>IFERROR(VLOOKUP(H34,'[1]Consolidado MP Planta'!$A$2:$M$823,12,0),"")</f>
        <v/>
      </c>
      <c r="F34" s="146" t="str">
        <f t="shared" si="7"/>
        <v/>
      </c>
      <c r="G34" s="147" t="str">
        <f t="shared" si="8"/>
        <v/>
      </c>
      <c r="H34" s="151"/>
      <c r="I34" s="151"/>
      <c r="J34" s="149"/>
    </row>
    <row r="35" spans="1:13" ht="14.25" thickBot="1" x14ac:dyDescent="0.3">
      <c r="A35" s="144"/>
      <c r="B35" s="150"/>
      <c r="C35" s="145"/>
      <c r="D35" s="146"/>
      <c r="E35" s="146"/>
      <c r="F35" s="146"/>
      <c r="G35" s="147"/>
      <c r="H35" s="151"/>
      <c r="I35" s="151"/>
      <c r="J35" s="149"/>
    </row>
    <row r="36" spans="1:13" ht="26.25" thickBot="1" x14ac:dyDescent="0.25">
      <c r="A36" s="139" t="s">
        <v>144</v>
      </c>
      <c r="B36" s="140" t="s">
        <v>152</v>
      </c>
      <c r="C36" s="140" t="s">
        <v>144</v>
      </c>
      <c r="D36" s="141" t="s">
        <v>146</v>
      </c>
      <c r="E36" s="141" t="s">
        <v>147</v>
      </c>
      <c r="F36" s="141" t="s">
        <v>148</v>
      </c>
      <c r="G36" s="141" t="s">
        <v>149</v>
      </c>
      <c r="H36" s="142" t="s">
        <v>150</v>
      </c>
      <c r="I36" s="151"/>
      <c r="J36" s="149"/>
    </row>
    <row r="37" spans="1:13" ht="13.5" x14ac:dyDescent="0.25">
      <c r="A37" s="144">
        <f t="shared" ref="A37:A43" si="11">+A17</f>
        <v>1</v>
      </c>
      <c r="B37" s="150" t="s">
        <v>60</v>
      </c>
      <c r="C37" s="145">
        <f>+A37</f>
        <v>1</v>
      </c>
      <c r="D37" s="146" t="s">
        <v>197</v>
      </c>
      <c r="E37" s="146">
        <f>+'Costo Disco Pistacho'!H54</f>
        <v>11.465</v>
      </c>
      <c r="F37" s="146">
        <f>IFERROR(E37*C37,"")</f>
        <v>11.465</v>
      </c>
      <c r="G37" s="147">
        <f t="shared" ref="G37:G43" si="12">IFERROR(F37/$F$68,"")</f>
        <v>2.0052572418720674E-3</v>
      </c>
      <c r="H37" s="148" t="s">
        <v>13</v>
      </c>
      <c r="I37" s="151"/>
      <c r="J37" s="149"/>
    </row>
    <row r="38" spans="1:13" ht="13.5" x14ac:dyDescent="0.25">
      <c r="A38" s="144">
        <f t="shared" si="11"/>
        <v>120</v>
      </c>
      <c r="B38" s="150" t="s">
        <v>61</v>
      </c>
      <c r="C38" s="145">
        <f t="shared" ref="C38:C43" si="13">+A38</f>
        <v>120</v>
      </c>
      <c r="D38" s="146" t="s">
        <v>191</v>
      </c>
      <c r="E38" s="146">
        <f>+'Costo Crema verde pistacho'!E76</f>
        <v>2.7884615384615379E-5</v>
      </c>
      <c r="F38" s="146">
        <f t="shared" ref="F38:F43" si="14">IFERROR(E38*C38,"")</f>
        <v>3.3461538461538455E-3</v>
      </c>
      <c r="G38" s="147">
        <f t="shared" si="12"/>
        <v>5.8525069624230882E-7</v>
      </c>
      <c r="H38" s="148" t="s">
        <v>13</v>
      </c>
      <c r="I38" s="151"/>
      <c r="J38" s="149"/>
    </row>
    <row r="39" spans="1:13" ht="13.5" x14ac:dyDescent="0.25">
      <c r="A39" s="144">
        <f t="shared" si="11"/>
        <v>130</v>
      </c>
      <c r="B39" s="132" t="s">
        <v>62</v>
      </c>
      <c r="C39" s="145">
        <f t="shared" si="13"/>
        <v>130</v>
      </c>
      <c r="D39" s="146" t="s">
        <v>191</v>
      </c>
      <c r="E39" s="146">
        <f>+'Costo Salsa Pistacho'!E76</f>
        <v>8.9999999999999993E-3</v>
      </c>
      <c r="F39" s="146">
        <f t="shared" si="14"/>
        <v>1.17</v>
      </c>
      <c r="G39" s="147">
        <f t="shared" si="12"/>
        <v>2.0463593309989696E-4</v>
      </c>
      <c r="H39" s="148" t="s">
        <v>13</v>
      </c>
      <c r="I39" s="151"/>
      <c r="J39" s="149"/>
    </row>
    <row r="40" spans="1:13" ht="13.5" x14ac:dyDescent="0.25">
      <c r="A40" s="144">
        <f t="shared" si="11"/>
        <v>10</v>
      </c>
      <c r="B40" s="132" t="s">
        <v>63</v>
      </c>
      <c r="C40" s="145">
        <f>+A40</f>
        <v>10</v>
      </c>
      <c r="D40" s="146" t="s">
        <v>191</v>
      </c>
      <c r="E40" s="146">
        <f>+'Costo Pistacho Tostado'!E76</f>
        <v>0</v>
      </c>
      <c r="F40" s="146">
        <f>IFERROR(E40*C40,"")</f>
        <v>0</v>
      </c>
      <c r="G40" s="147">
        <f t="shared" si="12"/>
        <v>0</v>
      </c>
      <c r="H40" s="148" t="s">
        <v>13</v>
      </c>
      <c r="I40" s="151"/>
      <c r="J40" s="149"/>
    </row>
    <row r="41" spans="1:13" ht="13.5" hidden="1" x14ac:dyDescent="0.25">
      <c r="A41" s="144">
        <f t="shared" si="11"/>
        <v>0</v>
      </c>
      <c r="B41" s="150" t="str">
        <f>IFERROR(VLOOKUP(H41,[1]SEMIELABORADOS!$A$2:$M$6000,2,0),"")</f>
        <v/>
      </c>
      <c r="C41" s="145">
        <f>+A41</f>
        <v>0</v>
      </c>
      <c r="D41" s="146" t="str">
        <f>IFERROR(VLOOKUP(H41,[1]SEMIELABORADOS!$A$2:$M$6000,6,0),"")</f>
        <v/>
      </c>
      <c r="E41" s="146" t="str">
        <f>IFERROR(VLOOKUP(H41,[1]SEMIELABORADOS!$A$2:$M$65536,10,0),"")</f>
        <v/>
      </c>
      <c r="F41" s="146" t="str">
        <f>IFERROR(E41*C41,"")</f>
        <v/>
      </c>
      <c r="G41" s="147" t="str">
        <f t="shared" si="12"/>
        <v/>
      </c>
      <c r="H41" s="151"/>
      <c r="I41" s="151"/>
      <c r="J41" s="149"/>
    </row>
    <row r="42" spans="1:13" ht="13.5" hidden="1" x14ac:dyDescent="0.25">
      <c r="A42" s="144">
        <f t="shared" si="11"/>
        <v>0</v>
      </c>
      <c r="B42" s="150" t="str">
        <f>IFERROR(VLOOKUP(H42,[1]SEMIELABORADOS!$A$2:$M$6000,2,0),"")</f>
        <v/>
      </c>
      <c r="C42" s="145">
        <f t="shared" si="13"/>
        <v>0</v>
      </c>
      <c r="D42" s="146" t="str">
        <f>IFERROR(VLOOKUP(H42,[1]SEMIELABORADOS!$A$2:$M$6000,6,0),"")</f>
        <v/>
      </c>
      <c r="E42" s="146" t="str">
        <f>IFERROR(VLOOKUP(H42,[1]SEMIELABORADOS!$A$2:$M$65536,10,0),"")</f>
        <v/>
      </c>
      <c r="F42" s="146" t="str">
        <f t="shared" si="14"/>
        <v/>
      </c>
      <c r="G42" s="147" t="str">
        <f t="shared" si="12"/>
        <v/>
      </c>
      <c r="H42" s="151"/>
      <c r="I42" s="151"/>
      <c r="J42" s="149"/>
    </row>
    <row r="43" spans="1:13" ht="13.5" hidden="1" x14ac:dyDescent="0.25">
      <c r="A43" s="144">
        <f t="shared" si="11"/>
        <v>0</v>
      </c>
      <c r="B43" s="150" t="str">
        <f>IFERROR(VLOOKUP(H43,[1]SEMIELABORADOS!$A$2:$M$6000,2,0),"")</f>
        <v/>
      </c>
      <c r="C43" s="145">
        <f t="shared" si="13"/>
        <v>0</v>
      </c>
      <c r="D43" s="146" t="str">
        <f>IFERROR(VLOOKUP(H43,[1]SEMIELABORADOS!$A$2:$M$6000,6,0),"")</f>
        <v/>
      </c>
      <c r="E43" s="146" t="str">
        <f>IFERROR(VLOOKUP(H43,[1]SEMIELABORADOS!$A$2:$M$65536,10,0),"")</f>
        <v/>
      </c>
      <c r="F43" s="146" t="str">
        <f t="shared" si="14"/>
        <v/>
      </c>
      <c r="G43" s="147" t="str">
        <f t="shared" si="12"/>
        <v/>
      </c>
      <c r="H43" s="151"/>
      <c r="I43" s="151"/>
      <c r="J43" s="149"/>
    </row>
    <row r="44" spans="1:13" ht="14.25" thickBot="1" x14ac:dyDescent="0.3">
      <c r="A44" s="144"/>
      <c r="B44" s="150"/>
      <c r="C44" s="145"/>
      <c r="D44" s="146"/>
      <c r="E44" s="146"/>
      <c r="F44" s="146"/>
      <c r="G44" s="147"/>
      <c r="H44" s="151"/>
      <c r="I44" s="151"/>
      <c r="J44" s="149"/>
    </row>
    <row r="45" spans="1:13" ht="26.25" thickBot="1" x14ac:dyDescent="0.25">
      <c r="A45" s="139" t="s">
        <v>144</v>
      </c>
      <c r="B45" s="140" t="s">
        <v>153</v>
      </c>
      <c r="C45" s="140" t="s">
        <v>144</v>
      </c>
      <c r="D45" s="141" t="s">
        <v>146</v>
      </c>
      <c r="E45" s="141" t="s">
        <v>147</v>
      </c>
      <c r="F45" s="141" t="s">
        <v>148</v>
      </c>
      <c r="G45" s="141" t="s">
        <v>149</v>
      </c>
      <c r="H45" s="142" t="s">
        <v>150</v>
      </c>
      <c r="I45" s="143"/>
      <c r="J45" s="149"/>
    </row>
    <row r="46" spans="1:13" ht="13.5" x14ac:dyDescent="0.25">
      <c r="A46" s="144">
        <f>+A37</f>
        <v>1</v>
      </c>
      <c r="B46" s="150" t="s">
        <v>60</v>
      </c>
      <c r="C46" s="145">
        <f>+A46</f>
        <v>1</v>
      </c>
      <c r="D46" s="146" t="s">
        <v>197</v>
      </c>
      <c r="E46" s="146">
        <f>+'Costo Disco Pistacho'!H56</f>
        <v>446.4425</v>
      </c>
      <c r="F46" s="146">
        <f>IFERROR(E46*C46,"")</f>
        <v>446.4425</v>
      </c>
      <c r="G46" s="147">
        <f>IFERROR(F46/$F$68,"")</f>
        <v>7.8083912446966455E-2</v>
      </c>
      <c r="H46" s="148" t="s">
        <v>13</v>
      </c>
      <c r="I46" s="143"/>
      <c r="J46" s="149"/>
    </row>
    <row r="47" spans="1:13" ht="13.5" x14ac:dyDescent="0.25">
      <c r="A47" s="144">
        <f t="shared" ref="A47:A52" si="15">+A38</f>
        <v>120</v>
      </c>
      <c r="B47" s="150" t="s">
        <v>61</v>
      </c>
      <c r="C47" s="145">
        <f t="shared" ref="C47:C52" si="16">+A47</f>
        <v>120</v>
      </c>
      <c r="D47" s="146" t="s">
        <v>191</v>
      </c>
      <c r="E47" s="146">
        <f>+'Costo Crema verde pistacho'!E74</f>
        <v>0.49307800376923072</v>
      </c>
      <c r="F47" s="146">
        <f t="shared" ref="F47:F52" si="17">IFERROR(E47*C47,"")</f>
        <v>59.169360452307686</v>
      </c>
      <c r="G47" s="147">
        <f t="shared" ref="G47:G52" si="18">IFERROR(F47/$F$68,"")</f>
        <v>1.0348869476138568E-2</v>
      </c>
      <c r="H47" s="148" t="s">
        <v>13</v>
      </c>
      <c r="I47" s="143"/>
      <c r="J47" s="149"/>
      <c r="M47" s="154"/>
    </row>
    <row r="48" spans="1:13" ht="13.5" x14ac:dyDescent="0.25">
      <c r="A48" s="144">
        <f t="shared" si="15"/>
        <v>130</v>
      </c>
      <c r="B48" s="132" t="s">
        <v>62</v>
      </c>
      <c r="C48" s="145">
        <f t="shared" si="16"/>
        <v>130</v>
      </c>
      <c r="D48" s="146" t="s">
        <v>191</v>
      </c>
      <c r="E48" s="146">
        <f>+'Costo Salsa Pistacho'!E74</f>
        <v>1.7999999999999999E-2</v>
      </c>
      <c r="F48" s="146">
        <f t="shared" si="17"/>
        <v>2.34</v>
      </c>
      <c r="G48" s="147">
        <f t="shared" si="18"/>
        <v>4.0927186619979392E-4</v>
      </c>
      <c r="H48" s="148" t="s">
        <v>13</v>
      </c>
      <c r="I48" s="143"/>
      <c r="J48" s="149"/>
    </row>
    <row r="49" spans="1:17" ht="13.5" x14ac:dyDescent="0.25">
      <c r="A49" s="144">
        <f t="shared" si="15"/>
        <v>10</v>
      </c>
      <c r="B49" s="132" t="s">
        <v>63</v>
      </c>
      <c r="C49" s="145">
        <f t="shared" si="16"/>
        <v>10</v>
      </c>
      <c r="D49" s="146" t="s">
        <v>191</v>
      </c>
      <c r="E49" s="146">
        <f>+'Costo Pistacho Tostado'!E74</f>
        <v>8.1052631578947362E-2</v>
      </c>
      <c r="F49" s="146">
        <f t="shared" si="17"/>
        <v>0.81052631578947365</v>
      </c>
      <c r="G49" s="147">
        <f t="shared" si="18"/>
        <v>1.4176308455863306E-4</v>
      </c>
      <c r="H49" s="148" t="s">
        <v>13</v>
      </c>
      <c r="I49" s="143"/>
      <c r="J49" s="149"/>
    </row>
    <row r="50" spans="1:17" ht="13.5" hidden="1" x14ac:dyDescent="0.25">
      <c r="A50" s="144">
        <f t="shared" si="15"/>
        <v>0</v>
      </c>
      <c r="B50" s="150" t="str">
        <f>IFERROR(VLOOKUP(H50,[1]SEMIELABORADOS!$A$2:$M$6000,2,0),"")</f>
        <v/>
      </c>
      <c r="C50" s="145">
        <f t="shared" si="16"/>
        <v>0</v>
      </c>
      <c r="D50" s="146" t="str">
        <f>IFERROR(VLOOKUP(H50,[1]SEMIELABORADOS!$A$2:$M$6000,6,0),"")</f>
        <v/>
      </c>
      <c r="E50" s="146" t="str">
        <f>IFERROR(VLOOKUP(H50,[1]SEMIELABORADOS!$A$2:$M$65536,12,0),"")</f>
        <v/>
      </c>
      <c r="F50" s="146" t="str">
        <f t="shared" si="17"/>
        <v/>
      </c>
      <c r="G50" s="147" t="str">
        <f t="shared" si="18"/>
        <v/>
      </c>
      <c r="H50" s="151"/>
      <c r="I50" s="143"/>
      <c r="J50" s="149"/>
    </row>
    <row r="51" spans="1:17" ht="13.5" hidden="1" x14ac:dyDescent="0.25">
      <c r="A51" s="144">
        <f t="shared" si="15"/>
        <v>0</v>
      </c>
      <c r="B51" s="150" t="str">
        <f>IFERROR(VLOOKUP(H51,[1]SEMIELABORADOS!$A$2:$M$6000,2,0),"")</f>
        <v/>
      </c>
      <c r="C51" s="145">
        <f t="shared" si="16"/>
        <v>0</v>
      </c>
      <c r="D51" s="146" t="str">
        <f>IFERROR(VLOOKUP(H51,[1]SEMIELABORADOS!$A$2:$M$6000,6,0),"")</f>
        <v/>
      </c>
      <c r="E51" s="146" t="str">
        <f>IFERROR(VLOOKUP(H51,[1]SEMIELABORADOS!$A$2:$M$65536,12,0),"")</f>
        <v/>
      </c>
      <c r="F51" s="146" t="str">
        <f t="shared" si="17"/>
        <v/>
      </c>
      <c r="G51" s="147" t="str">
        <f t="shared" si="18"/>
        <v/>
      </c>
      <c r="H51" s="151"/>
      <c r="I51" s="143"/>
      <c r="J51" s="149"/>
    </row>
    <row r="52" spans="1:17" ht="13.5" hidden="1" x14ac:dyDescent="0.25">
      <c r="A52" s="144">
        <f t="shared" si="15"/>
        <v>0</v>
      </c>
      <c r="B52" s="150" t="str">
        <f>IFERROR(VLOOKUP(H52,[1]SEMIELABORADOS!$A$2:$M$6000,2,0),"")</f>
        <v/>
      </c>
      <c r="C52" s="145">
        <f t="shared" si="16"/>
        <v>0</v>
      </c>
      <c r="D52" s="146" t="str">
        <f>IFERROR(VLOOKUP(H52,[1]SEMIELABORADOS!$A$2:$M$6000,6,0),"")</f>
        <v/>
      </c>
      <c r="E52" s="146" t="str">
        <f>IFERROR(VLOOKUP(H52,[1]SEMIELABORADOS!$A$2:$M$65536,12,0),"")</f>
        <v/>
      </c>
      <c r="F52" s="146" t="str">
        <f t="shared" si="17"/>
        <v/>
      </c>
      <c r="G52" s="147" t="str">
        <f t="shared" si="18"/>
        <v/>
      </c>
      <c r="H52" s="150"/>
      <c r="I52" s="143"/>
      <c r="J52" s="149"/>
    </row>
    <row r="53" spans="1:17" ht="13.5" x14ac:dyDescent="0.25">
      <c r="A53" s="144">
        <v>1</v>
      </c>
      <c r="B53" s="150" t="s">
        <v>154</v>
      </c>
      <c r="C53" s="145">
        <f>+A53</f>
        <v>1</v>
      </c>
      <c r="D53" s="145" t="s">
        <v>155</v>
      </c>
      <c r="E53" s="146">
        <f>+F67</f>
        <v>308</v>
      </c>
      <c r="F53" s="146">
        <f>IFERROR(C53*E53,"")</f>
        <v>308</v>
      </c>
      <c r="G53" s="147">
        <f>IFERROR(F53/$F$68,"")</f>
        <v>5.3869972132280571E-2</v>
      </c>
      <c r="H53" s="155"/>
      <c r="I53" s="155"/>
      <c r="J53" s="149"/>
    </row>
    <row r="54" spans="1:17" ht="14.25" thickBot="1" x14ac:dyDescent="0.3">
      <c r="A54" s="144"/>
      <c r="B54" s="150"/>
      <c r="C54" s="145"/>
      <c r="D54" s="145"/>
      <c r="E54" s="146"/>
      <c r="F54" s="146"/>
      <c r="G54" s="147"/>
      <c r="H54" s="155"/>
      <c r="I54" s="155"/>
      <c r="J54" s="149"/>
    </row>
    <row r="55" spans="1:17" ht="13.5" thickBot="1" x14ac:dyDescent="0.25">
      <c r="A55" s="156"/>
      <c r="B55" s="834" t="s">
        <v>156</v>
      </c>
      <c r="C55" s="834"/>
      <c r="D55" s="834"/>
      <c r="E55" s="834"/>
      <c r="F55" s="158">
        <f>SUM(F8:F14,F17:F24)</f>
        <v>4672.7201863157889</v>
      </c>
      <c r="G55" s="147">
        <f>+F55/$F$68</f>
        <v>0.81727047473628711</v>
      </c>
      <c r="H55" s="159">
        <f>+F55/$D$62</f>
        <v>4672.7201863157889</v>
      </c>
      <c r="I55" s="159"/>
      <c r="J55" s="160"/>
      <c r="K55" s="161"/>
      <c r="L55" s="161"/>
      <c r="M55" s="161"/>
      <c r="N55" s="161"/>
      <c r="O55" s="161"/>
      <c r="P55" s="161"/>
      <c r="Q55" s="162"/>
    </row>
    <row r="56" spans="1:17" x14ac:dyDescent="0.2">
      <c r="A56" s="156"/>
      <c r="B56" s="834" t="s">
        <v>157</v>
      </c>
      <c r="C56" s="834"/>
      <c r="D56" s="834"/>
      <c r="E56" s="834"/>
      <c r="F56" s="158">
        <f>SUM(F27:F34,F37:F43)</f>
        <v>643.29634615384612</v>
      </c>
      <c r="G56" s="147">
        <f>+F56/$F$68</f>
        <v>0.11251414363670652</v>
      </c>
      <c r="H56" s="159">
        <f>+F56/$D$62</f>
        <v>643.29634615384612</v>
      </c>
      <c r="I56" s="159"/>
      <c r="J56" s="163"/>
      <c r="K56" s="835" t="s">
        <v>158</v>
      </c>
      <c r="L56" s="836"/>
      <c r="M56" s="836"/>
      <c r="N56" s="836"/>
      <c r="O56" s="164">
        <f>+F57</f>
        <v>5316.0165324696354</v>
      </c>
      <c r="P56" s="164"/>
      <c r="Q56" s="165"/>
    </row>
    <row r="57" spans="1:17" x14ac:dyDescent="0.2">
      <c r="A57" s="156"/>
      <c r="B57" s="834" t="s">
        <v>159</v>
      </c>
      <c r="C57" s="834"/>
      <c r="D57" s="834"/>
      <c r="E57" s="834"/>
      <c r="F57" s="158">
        <f>+F55+F56</f>
        <v>5316.0165324696354</v>
      </c>
      <c r="G57" s="147">
        <f>+F57/$F$68</f>
        <v>0.92978461837299364</v>
      </c>
      <c r="H57" s="159">
        <f>+F57/$D$62</f>
        <v>5316.0165324696354</v>
      </c>
      <c r="I57" s="159"/>
      <c r="J57" s="166"/>
      <c r="K57" s="167"/>
      <c r="M57" s="168" t="s">
        <v>160</v>
      </c>
      <c r="N57" s="169"/>
      <c r="O57" s="164">
        <f>+H58</f>
        <v>816.76238676809703</v>
      </c>
      <c r="P57" s="164"/>
      <c r="Q57" s="165"/>
    </row>
    <row r="58" spans="1:17" ht="13.5" thickBot="1" x14ac:dyDescent="0.25">
      <c r="A58" s="156"/>
      <c r="B58" s="157"/>
      <c r="C58" s="834" t="s">
        <v>161</v>
      </c>
      <c r="D58" s="834"/>
      <c r="E58" s="834"/>
      <c r="F58" s="158">
        <f>SUM(F46:F53)</f>
        <v>816.76238676809703</v>
      </c>
      <c r="G58" s="147">
        <f>+F58/$F$68</f>
        <v>0.14285378900614401</v>
      </c>
      <c r="H58" s="159">
        <f>+F58/$D$62</f>
        <v>816.76238676809703</v>
      </c>
      <c r="I58" s="159"/>
      <c r="J58" s="166"/>
      <c r="K58" s="167"/>
      <c r="L58" s="167"/>
      <c r="M58" s="167" t="s">
        <v>162</v>
      </c>
      <c r="N58" s="170"/>
      <c r="O58" s="164">
        <f>O56*N58</f>
        <v>0</v>
      </c>
      <c r="P58" s="164"/>
      <c r="Q58" s="165"/>
    </row>
    <row r="59" spans="1:17" ht="13.5" thickBot="1" x14ac:dyDescent="0.25">
      <c r="A59" s="156"/>
      <c r="B59" s="171"/>
      <c r="C59" s="171"/>
      <c r="D59" s="171"/>
      <c r="E59" s="171"/>
      <c r="F59" s="172"/>
      <c r="G59" s="147"/>
      <c r="H59" s="173"/>
      <c r="I59" s="159"/>
      <c r="J59" s="166"/>
      <c r="K59" s="174"/>
      <c r="M59" s="175" t="s">
        <v>163</v>
      </c>
      <c r="N59" s="176"/>
      <c r="O59" s="177">
        <f>SUM(O56:O58)</f>
        <v>6132.7789192377322</v>
      </c>
      <c r="P59" s="178"/>
      <c r="Q59" s="165"/>
    </row>
    <row r="60" spans="1:17" x14ac:dyDescent="0.2">
      <c r="B60" s="837" t="s">
        <v>164</v>
      </c>
      <c r="C60" s="837"/>
      <c r="D60" s="179">
        <v>1200</v>
      </c>
      <c r="E60" s="180"/>
      <c r="G60" s="147"/>
      <c r="H60" s="173">
        <f>+H58/77</f>
        <v>10.607303724261</v>
      </c>
      <c r="I60" s="181"/>
      <c r="J60" s="166"/>
      <c r="K60" s="174"/>
      <c r="L60" s="167"/>
      <c r="M60" s="167" t="s">
        <v>165</v>
      </c>
      <c r="N60" s="182"/>
      <c r="O60" s="164">
        <f>+H61</f>
        <v>678.86743835270397</v>
      </c>
      <c r="P60" s="164"/>
      <c r="Q60" s="165"/>
    </row>
    <row r="61" spans="1:17" x14ac:dyDescent="0.2">
      <c r="B61" s="837" t="s">
        <v>166</v>
      </c>
      <c r="C61" s="837"/>
      <c r="D61" s="183">
        <v>1200</v>
      </c>
      <c r="E61" s="180"/>
      <c r="G61" s="147"/>
      <c r="H61" s="173">
        <f>+H60*64</f>
        <v>678.86743835270397</v>
      </c>
      <c r="I61" s="181"/>
      <c r="J61" s="166"/>
      <c r="K61" s="174"/>
      <c r="L61" s="167"/>
      <c r="M61" s="838" t="s">
        <v>163</v>
      </c>
      <c r="N61" s="838"/>
      <c r="O61" s="164">
        <f>SUM(O59:O60)</f>
        <v>6811.6463575904363</v>
      </c>
      <c r="P61" s="164"/>
      <c r="Q61" s="165"/>
    </row>
    <row r="62" spans="1:17" ht="13.5" thickBot="1" x14ac:dyDescent="0.25">
      <c r="B62" s="830" t="s">
        <v>167</v>
      </c>
      <c r="C62" s="830"/>
      <c r="D62" s="179">
        <f>+D60/D61</f>
        <v>1</v>
      </c>
      <c r="E62" s="180"/>
      <c r="F62" s="184"/>
      <c r="G62" s="147"/>
      <c r="H62" s="173"/>
      <c r="I62" s="181"/>
      <c r="J62" s="166"/>
      <c r="K62" s="174"/>
      <c r="L62" s="838"/>
      <c r="M62" s="838"/>
      <c r="N62" s="182"/>
      <c r="O62" s="164">
        <f>+O61*N62</f>
        <v>0</v>
      </c>
      <c r="P62" s="164"/>
      <c r="Q62" s="165"/>
    </row>
    <row r="63" spans="1:17" ht="13.5" thickBot="1" x14ac:dyDescent="0.25">
      <c r="B63" s="830" t="s">
        <v>168</v>
      </c>
      <c r="C63" s="830"/>
      <c r="D63" s="185"/>
      <c r="E63" s="180"/>
      <c r="F63" s="184"/>
      <c r="G63" s="147"/>
      <c r="H63" s="173"/>
      <c r="I63" s="181"/>
      <c r="J63" s="166"/>
      <c r="K63" s="831" t="s">
        <v>169</v>
      </c>
      <c r="L63" s="832"/>
      <c r="M63" s="832"/>
      <c r="N63" s="833"/>
      <c r="O63" s="177">
        <f>SUM(O61:O62)</f>
        <v>6811.6463575904363</v>
      </c>
      <c r="P63" s="186" t="s">
        <v>170</v>
      </c>
      <c r="Q63" s="165"/>
    </row>
    <row r="64" spans="1:17" ht="13.5" thickBot="1" x14ac:dyDescent="0.25">
      <c r="C64" s="156" t="s">
        <v>171</v>
      </c>
      <c r="D64" s="187"/>
      <c r="E64" s="130" t="s">
        <v>172</v>
      </c>
      <c r="F64" s="188" t="s">
        <v>173</v>
      </c>
      <c r="G64" s="147"/>
      <c r="H64" s="173"/>
      <c r="I64" s="181"/>
      <c r="J64" s="189"/>
      <c r="K64" s="190"/>
      <c r="L64" s="844" t="s">
        <v>174</v>
      </c>
      <c r="M64" s="844"/>
      <c r="N64" s="844"/>
      <c r="O64" s="191">
        <f>+O63/D62</f>
        <v>6811.6463575904363</v>
      </c>
      <c r="P64" s="192">
        <f>+O64/D61</f>
        <v>5.6763719646586965</v>
      </c>
      <c r="Q64" s="193"/>
    </row>
    <row r="65" spans="2:16" ht="13.5" thickBot="1" x14ac:dyDescent="0.25">
      <c r="B65" s="845" t="s">
        <v>159</v>
      </c>
      <c r="C65" s="845"/>
      <c r="D65" s="845"/>
      <c r="E65" s="194">
        <f>+F65/F65</f>
        <v>1</v>
      </c>
      <c r="F65" s="195">
        <f>SUM(F57)</f>
        <v>5316.0165324696354</v>
      </c>
      <c r="G65" s="147">
        <f>+F65/$F$68</f>
        <v>0.92978461837299364</v>
      </c>
      <c r="H65" s="173"/>
      <c r="I65" s="181"/>
      <c r="K65" s="846"/>
      <c r="L65" s="847"/>
      <c r="M65" s="847"/>
      <c r="N65" s="847"/>
      <c r="O65" s="196"/>
      <c r="P65" s="197"/>
    </row>
    <row r="66" spans="2:16" ht="13.5" thickBot="1" x14ac:dyDescent="0.25">
      <c r="B66" s="848" t="s">
        <v>175</v>
      </c>
      <c r="C66" s="848"/>
      <c r="D66" s="848"/>
      <c r="E66" s="198">
        <v>0.02</v>
      </c>
      <c r="F66" s="195">
        <f>+F55*E66</f>
        <v>93.454403726315775</v>
      </c>
      <c r="G66" s="147">
        <f>+F66/$F$68</f>
        <v>1.6345409494725741E-2</v>
      </c>
      <c r="H66" s="159"/>
      <c r="I66" s="181"/>
      <c r="J66" s="199"/>
      <c r="O66" s="200"/>
      <c r="P66" s="157"/>
    </row>
    <row r="67" spans="2:16" ht="13.5" thickBot="1" x14ac:dyDescent="0.25">
      <c r="B67" s="849" t="s">
        <v>176</v>
      </c>
      <c r="C67" s="850"/>
      <c r="D67" s="201">
        <v>4</v>
      </c>
      <c r="E67" s="202">
        <v>77</v>
      </c>
      <c r="F67" s="195">
        <f>+E67*D67</f>
        <v>308</v>
      </c>
      <c r="G67" s="147">
        <f>+F67/$F$68</f>
        <v>5.3869972132280571E-2</v>
      </c>
      <c r="H67" s="159"/>
      <c r="I67" s="159"/>
      <c r="J67" s="149"/>
    </row>
    <row r="68" spans="2:16" ht="13.5" thickBot="1" x14ac:dyDescent="0.25">
      <c r="B68" s="851" t="s">
        <v>177</v>
      </c>
      <c r="C68" s="852"/>
      <c r="D68" s="852"/>
      <c r="E68" s="853"/>
      <c r="F68" s="172">
        <f>SUM(F65:F67)</f>
        <v>5717.4709361959513</v>
      </c>
      <c r="G68" s="147">
        <f>+F68/$F$68</f>
        <v>1</v>
      </c>
      <c r="H68" s="854"/>
      <c r="I68" s="159"/>
      <c r="J68" s="149"/>
      <c r="M68" s="132" t="s">
        <v>178</v>
      </c>
    </row>
    <row r="69" spans="2:16" x14ac:dyDescent="0.2">
      <c r="C69" s="154"/>
      <c r="D69" s="154"/>
      <c r="E69" s="204"/>
      <c r="F69" s="195"/>
      <c r="G69" s="147"/>
      <c r="H69" s="854"/>
      <c r="I69" s="203"/>
      <c r="J69" s="132"/>
      <c r="M69" s="132" t="s">
        <v>179</v>
      </c>
    </row>
    <row r="70" spans="2:16" ht="13.5" thickBot="1" x14ac:dyDescent="0.25">
      <c r="B70" s="839" t="s">
        <v>180</v>
      </c>
      <c r="C70" s="839"/>
      <c r="D70" s="839"/>
      <c r="E70" s="839"/>
      <c r="F70" s="839"/>
      <c r="G70" s="147"/>
      <c r="H70" s="206"/>
      <c r="I70" s="203"/>
      <c r="J70" s="132"/>
      <c r="M70" s="132" t="s">
        <v>181</v>
      </c>
    </row>
    <row r="71" spans="2:16" ht="13.5" thickBot="1" x14ac:dyDescent="0.25">
      <c r="B71" s="207" t="s">
        <v>182</v>
      </c>
      <c r="C71" s="208">
        <f>+F55</f>
        <v>4672.7201863157889</v>
      </c>
      <c r="D71" s="208">
        <f>+D60</f>
        <v>1200</v>
      </c>
      <c r="E71" s="209">
        <f>+C71/D71</f>
        <v>3.8939334885964909</v>
      </c>
      <c r="F71" s="147"/>
      <c r="G71" s="206"/>
      <c r="H71" s="149"/>
      <c r="I71" s="206"/>
      <c r="J71" s="132"/>
    </row>
    <row r="72" spans="2:16" x14ac:dyDescent="0.2">
      <c r="B72" s="210"/>
      <c r="C72" s="211"/>
      <c r="D72" s="212"/>
      <c r="E72" s="195"/>
      <c r="F72" s="147"/>
      <c r="G72" s="206"/>
      <c r="H72" s="149"/>
      <c r="I72" s="149"/>
      <c r="J72" s="132"/>
    </row>
    <row r="73" spans="2:16" x14ac:dyDescent="0.2">
      <c r="B73" s="207" t="s">
        <v>183</v>
      </c>
      <c r="C73" s="208">
        <f>SUM(F65:F66)</f>
        <v>5409.4709361959513</v>
      </c>
      <c r="D73" s="208">
        <f>+D60</f>
        <v>1200</v>
      </c>
      <c r="E73" s="213">
        <f>+C73/D73</f>
        <v>4.5078924468299597</v>
      </c>
      <c r="F73" s="147"/>
      <c r="G73" s="206"/>
      <c r="H73" s="149"/>
      <c r="I73" s="149"/>
      <c r="J73" s="132"/>
    </row>
    <row r="74" spans="2:16" x14ac:dyDescent="0.2">
      <c r="B74" s="207"/>
      <c r="C74" s="208"/>
      <c r="D74" s="208"/>
      <c r="E74" s="213"/>
      <c r="F74" s="147"/>
      <c r="G74" s="206"/>
      <c r="H74" s="149"/>
      <c r="I74" s="149"/>
      <c r="J74" s="132"/>
    </row>
    <row r="75" spans="2:16" ht="13.5" thickBot="1" x14ac:dyDescent="0.25">
      <c r="B75" s="207" t="s">
        <v>184</v>
      </c>
      <c r="C75" s="208">
        <f>+F67</f>
        <v>308</v>
      </c>
      <c r="D75" s="208">
        <f>+D60</f>
        <v>1200</v>
      </c>
      <c r="E75" s="213">
        <f>+C75/D75</f>
        <v>0.25666666666666665</v>
      </c>
      <c r="F75" s="147"/>
      <c r="G75" s="206"/>
      <c r="H75" s="149"/>
      <c r="I75" s="149"/>
      <c r="J75" s="132"/>
    </row>
    <row r="76" spans="2:16" ht="13.5" thickBot="1" x14ac:dyDescent="0.25">
      <c r="B76" s="207" t="s">
        <v>185</v>
      </c>
      <c r="C76" s="208">
        <f>+F58</f>
        <v>816.76238676809703</v>
      </c>
      <c r="D76" s="208">
        <f>+D75</f>
        <v>1200</v>
      </c>
      <c r="E76" s="209">
        <f>+C76/D76</f>
        <v>0.6806353223067475</v>
      </c>
      <c r="F76" s="147"/>
      <c r="G76" s="206"/>
      <c r="H76" s="149"/>
      <c r="I76" s="149"/>
      <c r="J76" s="132"/>
    </row>
    <row r="77" spans="2:16" ht="13.5" thickBot="1" x14ac:dyDescent="0.25">
      <c r="B77" s="171"/>
      <c r="C77" s="172"/>
      <c r="D77" s="172"/>
      <c r="E77" s="213"/>
      <c r="F77" s="147"/>
      <c r="G77" s="206"/>
      <c r="H77" s="149"/>
      <c r="I77" s="149"/>
      <c r="J77" s="132"/>
    </row>
    <row r="78" spans="2:16" ht="13.5" thickBot="1" x14ac:dyDescent="0.25">
      <c r="B78" s="207" t="s">
        <v>186</v>
      </c>
      <c r="C78" s="208">
        <f>+F56</f>
        <v>643.29634615384612</v>
      </c>
      <c r="D78" s="208">
        <f>+D76</f>
        <v>1200</v>
      </c>
      <c r="E78" s="209">
        <f>+C78/D78</f>
        <v>0.53608028846153843</v>
      </c>
      <c r="F78" s="147"/>
      <c r="G78" s="206"/>
      <c r="H78" s="149"/>
      <c r="I78" s="149"/>
      <c r="J78" s="149"/>
    </row>
    <row r="79" spans="2:16" ht="13.5" thickBot="1" x14ac:dyDescent="0.25">
      <c r="B79" s="171"/>
      <c r="C79" s="172"/>
      <c r="D79" s="172"/>
      <c r="E79" s="213"/>
      <c r="F79" s="147"/>
      <c r="G79" s="206"/>
      <c r="H79" s="149"/>
      <c r="I79" s="149"/>
    </row>
    <row r="80" spans="2:16" ht="13.5" thickBot="1" x14ac:dyDescent="0.25">
      <c r="B80" s="840" t="s">
        <v>187</v>
      </c>
      <c r="C80" s="841"/>
      <c r="D80" s="842"/>
      <c r="E80" s="209">
        <f>+E71+E76</f>
        <v>4.5745688109032381</v>
      </c>
      <c r="G80" s="147"/>
      <c r="H80" s="206"/>
      <c r="I80" s="149"/>
      <c r="J80" s="213"/>
    </row>
    <row r="81" spans="1:10" x14ac:dyDescent="0.2">
      <c r="I81" s="206"/>
      <c r="J81" s="132"/>
    </row>
    <row r="82" spans="1:10" ht="13.5" thickBot="1" x14ac:dyDescent="0.25">
      <c r="B82" s="839" t="s">
        <v>188</v>
      </c>
      <c r="C82" s="839"/>
      <c r="D82" s="839"/>
      <c r="E82" s="839"/>
      <c r="F82" s="839"/>
      <c r="G82" s="147"/>
      <c r="H82" s="206"/>
      <c r="J82" s="132"/>
    </row>
    <row r="83" spans="1:10" ht="13.5" thickBot="1" x14ac:dyDescent="0.25">
      <c r="B83" s="207" t="s">
        <v>182</v>
      </c>
      <c r="C83" s="208">
        <f>+C71</f>
        <v>4672.7201863157889</v>
      </c>
      <c r="D83" s="208">
        <f>+D62</f>
        <v>1</v>
      </c>
      <c r="E83" s="209">
        <f>+C83/D83</f>
        <v>4672.7201863157889</v>
      </c>
      <c r="F83" s="147"/>
      <c r="G83" s="206"/>
      <c r="H83" s="149"/>
      <c r="I83" s="206"/>
      <c r="J83" s="132"/>
    </row>
    <row r="84" spans="1:10" x14ac:dyDescent="0.2">
      <c r="B84" s="210"/>
      <c r="C84" s="211"/>
      <c r="D84" s="212"/>
      <c r="E84" s="195"/>
      <c r="F84" s="147"/>
      <c r="G84" s="206"/>
      <c r="H84" s="149"/>
      <c r="I84" s="149"/>
      <c r="J84" s="132"/>
    </row>
    <row r="85" spans="1:10" x14ac:dyDescent="0.2">
      <c r="B85" s="207" t="s">
        <v>183</v>
      </c>
      <c r="C85" s="208">
        <f>+C73</f>
        <v>5409.4709361959513</v>
      </c>
      <c r="D85" s="208">
        <f>+D62</f>
        <v>1</v>
      </c>
      <c r="E85" s="213">
        <f>+C85/D85</f>
        <v>5409.4709361959513</v>
      </c>
      <c r="F85" s="147"/>
      <c r="G85" s="206"/>
      <c r="H85" s="149"/>
      <c r="I85" s="149"/>
      <c r="J85" s="132"/>
    </row>
    <row r="86" spans="1:10" x14ac:dyDescent="0.2">
      <c r="B86" s="207"/>
      <c r="C86" s="208"/>
      <c r="D86" s="208"/>
      <c r="E86" s="213"/>
      <c r="F86" s="147"/>
      <c r="G86" s="206"/>
      <c r="H86" s="149"/>
      <c r="I86" s="149"/>
      <c r="J86" s="132"/>
    </row>
    <row r="87" spans="1:10" ht="13.5" thickBot="1" x14ac:dyDescent="0.25">
      <c r="B87" s="207" t="s">
        <v>185</v>
      </c>
      <c r="C87" s="208">
        <f>+C75</f>
        <v>308</v>
      </c>
      <c r="D87" s="208">
        <f>+D62</f>
        <v>1</v>
      </c>
      <c r="E87" s="213">
        <f>+C87/D87</f>
        <v>308</v>
      </c>
      <c r="F87" s="215"/>
      <c r="G87" s="205"/>
      <c r="H87" s="131"/>
      <c r="I87" s="149"/>
    </row>
    <row r="88" spans="1:10" ht="13.5" thickBot="1" x14ac:dyDescent="0.25">
      <c r="B88" s="207" t="s">
        <v>185</v>
      </c>
      <c r="C88" s="208">
        <f>+C76</f>
        <v>816.76238676809703</v>
      </c>
      <c r="D88" s="208">
        <f>+D87</f>
        <v>1</v>
      </c>
      <c r="E88" s="209">
        <f>+C88/D88</f>
        <v>816.76238676809703</v>
      </c>
      <c r="F88" s="214"/>
      <c r="G88" s="205"/>
      <c r="H88" s="131"/>
      <c r="I88" s="131"/>
    </row>
    <row r="89" spans="1:10" x14ac:dyDescent="0.2">
      <c r="I89" s="131"/>
    </row>
    <row r="90" spans="1:10" x14ac:dyDescent="0.2">
      <c r="A90" s="843"/>
      <c r="B90" s="843"/>
      <c r="C90" s="216"/>
      <c r="D90" s="216"/>
      <c r="E90" s="217"/>
      <c r="G90" s="218"/>
    </row>
    <row r="91" spans="1:10" x14ac:dyDescent="0.2">
      <c r="A91" s="150"/>
      <c r="B91" s="219"/>
      <c r="C91" s="220"/>
      <c r="D91" s="220"/>
      <c r="E91" s="221"/>
      <c r="G91" s="218"/>
    </row>
    <row r="92" spans="1:10" x14ac:dyDescent="0.2">
      <c r="A92" s="150"/>
      <c r="B92" s="219"/>
      <c r="C92" s="222"/>
      <c r="D92" s="222"/>
      <c r="E92" s="150"/>
      <c r="G92" s="218"/>
    </row>
    <row r="93" spans="1:10" x14ac:dyDescent="0.2">
      <c r="A93" s="150"/>
      <c r="B93" s="219"/>
      <c r="C93" s="223"/>
      <c r="D93" s="223"/>
      <c r="E93" s="150"/>
      <c r="G93" s="218"/>
    </row>
  </sheetData>
  <mergeCells count="30">
    <mergeCell ref="B70:F70"/>
    <mergeCell ref="B80:D80"/>
    <mergeCell ref="B82:F82"/>
    <mergeCell ref="A90:B90"/>
    <mergeCell ref="L64:N64"/>
    <mergeCell ref="B65:D65"/>
    <mergeCell ref="K65:N65"/>
    <mergeCell ref="B66:D66"/>
    <mergeCell ref="B67:C67"/>
    <mergeCell ref="B68:E68"/>
    <mergeCell ref="H68:H69"/>
    <mergeCell ref="B63:C63"/>
    <mergeCell ref="K63:N63"/>
    <mergeCell ref="K32:L32"/>
    <mergeCell ref="B55:E55"/>
    <mergeCell ref="B56:E56"/>
    <mergeCell ref="K56:N56"/>
    <mergeCell ref="B57:E57"/>
    <mergeCell ref="C58:E58"/>
    <mergeCell ref="B60:C60"/>
    <mergeCell ref="B61:C61"/>
    <mergeCell ref="M61:N61"/>
    <mergeCell ref="B62:C62"/>
    <mergeCell ref="L62:M62"/>
    <mergeCell ref="K31:L31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6CB0A-B499-483B-9D17-A1AFA3011516}">
  <dimension ref="A1:M46"/>
  <sheetViews>
    <sheetView topLeftCell="A8" workbookViewId="0">
      <selection activeCell="E12" sqref="E12"/>
    </sheetView>
  </sheetViews>
  <sheetFormatPr baseColWidth="10" defaultRowHeight="12.75" x14ac:dyDescent="0.2"/>
  <cols>
    <col min="2" max="2" width="13.85546875" bestFit="1" customWidth="1"/>
    <col min="3" max="3" width="40.85546875" customWidth="1"/>
    <col min="4" max="4" width="18" customWidth="1"/>
    <col min="8" max="8" width="16.7109375" bestFit="1" customWidth="1"/>
    <col min="9" max="9" width="20.85546875" bestFit="1" customWidth="1"/>
  </cols>
  <sheetData>
    <row r="1" spans="1:10" ht="18" x14ac:dyDescent="0.25">
      <c r="A1" s="905"/>
      <c r="B1" s="906"/>
      <c r="C1" s="911" t="s">
        <v>58</v>
      </c>
      <c r="D1" s="911"/>
      <c r="E1" s="911"/>
      <c r="F1" s="911"/>
      <c r="G1" s="911"/>
      <c r="H1" s="66" t="s">
        <v>57</v>
      </c>
      <c r="I1" s="65"/>
    </row>
    <row r="2" spans="1:10" ht="18" x14ac:dyDescent="0.25">
      <c r="A2" s="907"/>
      <c r="B2" s="908"/>
      <c r="C2" s="912" t="s">
        <v>56</v>
      </c>
      <c r="D2" s="912"/>
      <c r="E2" s="912"/>
      <c r="F2" s="912"/>
      <c r="G2" s="912"/>
      <c r="H2" s="64" t="s">
        <v>55</v>
      </c>
      <c r="I2" s="63"/>
    </row>
    <row r="3" spans="1:10" ht="15" customHeight="1" x14ac:dyDescent="0.2">
      <c r="A3" s="907"/>
      <c r="B3" s="908"/>
      <c r="C3" s="913" t="s">
        <v>59</v>
      </c>
      <c r="D3" s="914"/>
      <c r="E3" s="914"/>
      <c r="F3" s="914"/>
      <c r="G3" s="914"/>
      <c r="H3" s="915" t="s">
        <v>54</v>
      </c>
      <c r="I3" s="901"/>
    </row>
    <row r="4" spans="1:10" ht="18" x14ac:dyDescent="0.25">
      <c r="A4" s="907"/>
      <c r="B4" s="908"/>
      <c r="C4" s="62" t="s">
        <v>53</v>
      </c>
      <c r="D4" s="903" t="s">
        <v>52</v>
      </c>
      <c r="E4" s="903"/>
      <c r="F4" s="903"/>
      <c r="G4" s="903"/>
      <c r="H4" s="915"/>
      <c r="I4" s="902"/>
    </row>
    <row r="5" spans="1:10" ht="18.75" thickBot="1" x14ac:dyDescent="0.3">
      <c r="A5" s="909"/>
      <c r="B5" s="910"/>
      <c r="C5" s="61" t="s">
        <v>51</v>
      </c>
      <c r="D5" s="904" t="s">
        <v>50</v>
      </c>
      <c r="E5" s="904"/>
      <c r="F5" s="904"/>
      <c r="G5" s="904"/>
      <c r="H5" s="916"/>
      <c r="I5" s="902"/>
    </row>
    <row r="6" spans="1:10" ht="18.75" thickBot="1" x14ac:dyDescent="0.3">
      <c r="A6" s="893" t="s">
        <v>49</v>
      </c>
      <c r="B6" s="893"/>
      <c r="C6" s="893"/>
      <c r="D6" s="894" t="s">
        <v>48</v>
      </c>
      <c r="E6" s="894"/>
      <c r="F6" s="894"/>
      <c r="G6" s="895" t="s">
        <v>47</v>
      </c>
      <c r="H6" s="895"/>
      <c r="I6" s="60" t="s">
        <v>46</v>
      </c>
      <c r="J6" s="59"/>
    </row>
    <row r="7" spans="1:10" ht="36" x14ac:dyDescent="0.2">
      <c r="A7" s="896" t="s">
        <v>45</v>
      </c>
      <c r="B7" s="896" t="s">
        <v>45</v>
      </c>
      <c r="C7" s="898" t="s">
        <v>44</v>
      </c>
      <c r="D7" s="898" t="s">
        <v>43</v>
      </c>
      <c r="E7" s="898" t="s">
        <v>42</v>
      </c>
      <c r="F7" s="898"/>
      <c r="G7" s="898" t="s">
        <v>41</v>
      </c>
      <c r="H7" s="898"/>
      <c r="I7" s="58" t="s">
        <v>40</v>
      </c>
    </row>
    <row r="8" spans="1:10" ht="36.75" thickBot="1" x14ac:dyDescent="0.3">
      <c r="A8" s="897"/>
      <c r="B8" s="897"/>
      <c r="C8" s="899"/>
      <c r="D8" s="900"/>
      <c r="E8" s="57" t="s">
        <v>11</v>
      </c>
      <c r="F8" s="55" t="s">
        <v>39</v>
      </c>
      <c r="G8" s="56" t="s">
        <v>11</v>
      </c>
      <c r="H8" s="55" t="s">
        <v>39</v>
      </c>
      <c r="I8" s="54" t="s">
        <v>38</v>
      </c>
    </row>
    <row r="9" spans="1:10" ht="18.75" x14ac:dyDescent="0.3">
      <c r="A9" s="33"/>
      <c r="B9" s="50" t="s">
        <v>13</v>
      </c>
      <c r="C9" s="50" t="s">
        <v>60</v>
      </c>
      <c r="D9" s="45" t="s">
        <v>34</v>
      </c>
      <c r="E9" s="44">
        <v>1200</v>
      </c>
      <c r="F9" s="43" t="s">
        <v>2</v>
      </c>
      <c r="G9" s="1511" t="s">
        <v>37</v>
      </c>
      <c r="H9" s="1512"/>
      <c r="I9" s="38"/>
    </row>
    <row r="10" spans="1:10" ht="18.75" x14ac:dyDescent="0.3">
      <c r="A10" s="33"/>
      <c r="B10" s="33"/>
      <c r="C10" s="33"/>
      <c r="D10" s="45"/>
      <c r="E10" s="44"/>
      <c r="F10" s="43"/>
      <c r="G10" s="14"/>
      <c r="H10" s="39"/>
      <c r="I10" s="38"/>
    </row>
    <row r="11" spans="1:10" ht="18.75" x14ac:dyDescent="0.3">
      <c r="A11" s="33"/>
      <c r="B11" s="33"/>
      <c r="C11" s="53" t="s">
        <v>36</v>
      </c>
      <c r="D11" s="45"/>
      <c r="E11" s="44"/>
      <c r="F11" s="43"/>
      <c r="G11" s="14"/>
      <c r="H11" s="39"/>
      <c r="I11" s="38"/>
    </row>
    <row r="12" spans="1:10" ht="18.75" x14ac:dyDescent="0.3">
      <c r="A12" s="33"/>
      <c r="B12" s="51" t="s">
        <v>13</v>
      </c>
      <c r="C12" s="50" t="s">
        <v>61</v>
      </c>
      <c r="D12" s="45" t="s">
        <v>34</v>
      </c>
      <c r="E12" s="52">
        <v>120</v>
      </c>
      <c r="F12" s="43" t="s">
        <v>2</v>
      </c>
      <c r="G12" s="1509" t="s">
        <v>35</v>
      </c>
      <c r="H12" s="1510"/>
      <c r="I12" s="38"/>
    </row>
    <row r="13" spans="1:10" ht="18.75" x14ac:dyDescent="0.3">
      <c r="A13" s="33"/>
      <c r="B13" s="51" t="s">
        <v>13</v>
      </c>
      <c r="C13" s="50" t="s">
        <v>62</v>
      </c>
      <c r="D13" s="45" t="s">
        <v>34</v>
      </c>
      <c r="E13" s="44">
        <v>130</v>
      </c>
      <c r="F13" s="43" t="s">
        <v>2</v>
      </c>
      <c r="G13" s="1513" t="s">
        <v>124</v>
      </c>
      <c r="H13" s="1514"/>
      <c r="I13" s="38"/>
    </row>
    <row r="14" spans="1:10" ht="18.75" x14ac:dyDescent="0.3">
      <c r="A14" s="33"/>
      <c r="B14" s="51" t="s">
        <v>13</v>
      </c>
      <c r="C14" s="50" t="s">
        <v>63</v>
      </c>
      <c r="D14" s="45" t="s">
        <v>34</v>
      </c>
      <c r="E14" s="44">
        <v>15</v>
      </c>
      <c r="F14" s="43" t="s">
        <v>2</v>
      </c>
      <c r="G14" s="14"/>
      <c r="H14" s="39"/>
      <c r="I14" s="38"/>
    </row>
    <row r="15" spans="1:10" ht="18.75" x14ac:dyDescent="0.3">
      <c r="A15" s="33"/>
      <c r="B15" s="51" t="s">
        <v>13</v>
      </c>
      <c r="C15" s="50" t="s">
        <v>64</v>
      </c>
      <c r="D15" s="45"/>
      <c r="E15" s="44">
        <v>1</v>
      </c>
      <c r="F15" s="43" t="s">
        <v>5</v>
      </c>
      <c r="G15" s="14"/>
      <c r="H15" s="39"/>
      <c r="I15" s="38"/>
    </row>
    <row r="16" spans="1:10" ht="18.75" x14ac:dyDescent="0.3">
      <c r="A16" s="49"/>
      <c r="B16" s="3"/>
      <c r="C16" s="3"/>
      <c r="D16" s="45"/>
      <c r="E16" s="44"/>
      <c r="F16" s="43"/>
      <c r="G16" s="14"/>
      <c r="H16" s="39"/>
      <c r="I16" s="38"/>
    </row>
    <row r="17" spans="1:13" ht="18.75" x14ac:dyDescent="0.3">
      <c r="A17" s="48"/>
      <c r="B17" s="47"/>
      <c r="C17" s="46"/>
      <c r="D17" s="45"/>
      <c r="E17" s="44"/>
      <c r="F17" s="43"/>
      <c r="G17" s="14"/>
      <c r="H17" s="39"/>
      <c r="I17" s="38"/>
      <c r="M17" s="40">
        <v>1500</v>
      </c>
    </row>
    <row r="18" spans="1:13" ht="18" x14ac:dyDescent="0.25">
      <c r="A18" s="35"/>
      <c r="B18" s="35"/>
      <c r="C18" s="42" t="s">
        <v>32</v>
      </c>
      <c r="D18" s="35"/>
      <c r="E18" s="41"/>
      <c r="F18" s="35"/>
      <c r="G18" s="14"/>
      <c r="H18" s="39"/>
      <c r="I18" s="38"/>
      <c r="M18" s="40"/>
    </row>
    <row r="19" spans="1:13" ht="18" x14ac:dyDescent="0.25">
      <c r="A19" s="35">
        <v>121603</v>
      </c>
      <c r="B19" s="34" t="s">
        <v>31</v>
      </c>
      <c r="C19" s="36" t="s">
        <v>30</v>
      </c>
      <c r="D19" s="35" t="s">
        <v>29</v>
      </c>
      <c r="E19" s="35">
        <v>1</v>
      </c>
      <c r="F19" s="35" t="s">
        <v>5</v>
      </c>
      <c r="G19" s="14"/>
      <c r="H19" s="39"/>
      <c r="I19" s="38"/>
    </row>
    <row r="20" spans="1:13" ht="18" x14ac:dyDescent="0.25">
      <c r="A20" s="34" t="s">
        <v>28</v>
      </c>
      <c r="B20" s="34" t="s">
        <v>27</v>
      </c>
      <c r="C20" s="33" t="s">
        <v>26</v>
      </c>
      <c r="D20" s="35"/>
      <c r="E20" s="35">
        <v>1</v>
      </c>
      <c r="F20" s="35" t="s">
        <v>5</v>
      </c>
      <c r="G20" s="14"/>
      <c r="H20" s="39"/>
      <c r="I20" s="38"/>
      <c r="J20" s="1"/>
      <c r="K20" s="1"/>
      <c r="L20" s="1"/>
      <c r="M20" s="1"/>
    </row>
    <row r="21" spans="1:13" ht="18" x14ac:dyDescent="0.25">
      <c r="A21" s="35">
        <v>703020</v>
      </c>
      <c r="B21" s="34" t="s">
        <v>25</v>
      </c>
      <c r="C21" s="36" t="s">
        <v>24</v>
      </c>
      <c r="D21" s="35" t="s">
        <v>23</v>
      </c>
      <c r="E21" s="35">
        <v>60</v>
      </c>
      <c r="F21" s="35" t="s">
        <v>22</v>
      </c>
      <c r="G21" s="11"/>
      <c r="H21" s="10"/>
      <c r="I21" s="38"/>
      <c r="J21" s="1"/>
      <c r="K21" s="1"/>
      <c r="L21" s="1"/>
      <c r="M21" s="1"/>
    </row>
    <row r="22" spans="1:13" ht="18" x14ac:dyDescent="0.25">
      <c r="A22" s="35">
        <v>701096</v>
      </c>
      <c r="B22" s="34" t="s">
        <v>21</v>
      </c>
      <c r="C22" s="36" t="s">
        <v>20</v>
      </c>
      <c r="D22" s="35" t="s">
        <v>19</v>
      </c>
      <c r="E22" s="35">
        <v>1</v>
      </c>
      <c r="F22" s="35" t="s">
        <v>5</v>
      </c>
      <c r="G22" s="11"/>
      <c r="H22" s="10"/>
      <c r="I22" s="38"/>
      <c r="J22" s="1"/>
      <c r="K22" s="1"/>
      <c r="L22" s="1"/>
      <c r="M22" s="1"/>
    </row>
    <row r="23" spans="1:13" ht="18" x14ac:dyDescent="0.25">
      <c r="A23" s="35">
        <v>702123</v>
      </c>
      <c r="B23" s="34" t="s">
        <v>18</v>
      </c>
      <c r="C23" s="36" t="s">
        <v>17</v>
      </c>
      <c r="D23" s="35" t="s">
        <v>16</v>
      </c>
      <c r="E23" s="35">
        <v>1</v>
      </c>
      <c r="F23" s="35" t="s">
        <v>5</v>
      </c>
      <c r="G23" s="11"/>
      <c r="H23" s="10"/>
      <c r="I23" s="37"/>
      <c r="J23" s="1"/>
      <c r="K23" s="1"/>
      <c r="L23" s="1"/>
      <c r="M23" s="1"/>
    </row>
    <row r="24" spans="1:13" ht="18" x14ac:dyDescent="0.25">
      <c r="A24" s="35">
        <v>702069</v>
      </c>
      <c r="B24" s="34" t="s">
        <v>15</v>
      </c>
      <c r="C24" s="36" t="s">
        <v>14</v>
      </c>
      <c r="D24" s="35"/>
      <c r="E24" s="35">
        <v>1</v>
      </c>
      <c r="F24" s="35" t="s">
        <v>5</v>
      </c>
      <c r="G24" s="11"/>
      <c r="H24" s="10"/>
      <c r="I24" s="37"/>
      <c r="J24" s="1"/>
      <c r="K24" s="1"/>
      <c r="L24" s="1"/>
      <c r="M24" s="1"/>
    </row>
    <row r="25" spans="1:13" ht="18" x14ac:dyDescent="0.25">
      <c r="A25" s="33"/>
      <c r="B25" s="34" t="s">
        <v>13</v>
      </c>
      <c r="C25" s="33" t="s">
        <v>12</v>
      </c>
      <c r="D25" s="32"/>
      <c r="E25" s="31">
        <v>1</v>
      </c>
      <c r="F25" s="30" t="s">
        <v>5</v>
      </c>
      <c r="G25" s="29"/>
      <c r="H25" s="29"/>
      <c r="I25" s="37"/>
      <c r="J25" s="1"/>
      <c r="K25" s="1"/>
      <c r="L25" s="1"/>
      <c r="M25" s="1"/>
    </row>
    <row r="26" spans="1:13" ht="18" x14ac:dyDescent="0.25">
      <c r="A26" s="35"/>
      <c r="B26" s="34"/>
      <c r="C26" s="36"/>
      <c r="D26" s="35"/>
      <c r="E26" s="35"/>
      <c r="F26" s="35"/>
      <c r="G26" s="11"/>
      <c r="H26" s="10"/>
      <c r="I26" s="28"/>
      <c r="J26" s="1"/>
      <c r="K26" s="1"/>
      <c r="L26" s="1"/>
      <c r="M26" s="1"/>
    </row>
    <row r="27" spans="1:13" ht="18" x14ac:dyDescent="0.25">
      <c r="A27" s="33"/>
      <c r="B27" s="34"/>
      <c r="C27" s="33"/>
      <c r="D27" s="32"/>
      <c r="E27" s="31"/>
      <c r="F27" s="30"/>
      <c r="G27" s="29"/>
      <c r="H27" s="29"/>
      <c r="I27" s="28"/>
      <c r="J27" s="1"/>
      <c r="K27" s="1"/>
      <c r="L27" s="1"/>
      <c r="M27" s="1"/>
    </row>
    <row r="28" spans="1:13" ht="18.75" thickBot="1" x14ac:dyDescent="0.3">
      <c r="A28" s="27"/>
      <c r="B28" s="26"/>
      <c r="C28" s="23"/>
      <c r="D28" s="23"/>
      <c r="E28" s="25"/>
      <c r="F28" s="24"/>
      <c r="G28" s="23"/>
      <c r="H28" s="23"/>
      <c r="I28" s="22"/>
      <c r="J28" s="1"/>
      <c r="K28" s="1"/>
      <c r="L28" s="6"/>
      <c r="M28" s="1"/>
    </row>
    <row r="29" spans="1:13" ht="18.75" thickBot="1" x14ac:dyDescent="0.3">
      <c r="A29" s="21"/>
      <c r="B29" s="20"/>
      <c r="C29" s="16"/>
      <c r="D29" s="19" t="s">
        <v>11</v>
      </c>
      <c r="E29" s="18" t="s">
        <v>10</v>
      </c>
      <c r="F29" s="17"/>
      <c r="G29" s="16"/>
      <c r="H29" s="16"/>
      <c r="I29" s="15"/>
      <c r="J29" s="1"/>
      <c r="K29" s="1"/>
      <c r="L29" s="6"/>
      <c r="M29" s="1"/>
    </row>
    <row r="30" spans="1:13" ht="18" x14ac:dyDescent="0.25">
      <c r="A30" s="887" t="s">
        <v>9</v>
      </c>
      <c r="B30" s="888"/>
      <c r="C30" s="889"/>
      <c r="D30" s="14">
        <v>1460</v>
      </c>
      <c r="E30" s="13" t="s">
        <v>2</v>
      </c>
      <c r="F30" s="890"/>
      <c r="G30" s="890"/>
      <c r="H30" s="891"/>
      <c r="I30" s="892"/>
      <c r="J30" s="1"/>
      <c r="K30" s="1"/>
      <c r="L30" s="6"/>
      <c r="M30" s="1"/>
    </row>
    <row r="31" spans="1:13" ht="18" x14ac:dyDescent="0.25">
      <c r="A31" s="879" t="s">
        <v>8</v>
      </c>
      <c r="B31" s="880"/>
      <c r="C31" s="881"/>
      <c r="D31" s="12">
        <v>5</v>
      </c>
      <c r="E31" s="10" t="s">
        <v>7</v>
      </c>
      <c r="F31" s="882"/>
      <c r="G31" s="882"/>
      <c r="H31" s="883"/>
      <c r="I31" s="884"/>
      <c r="J31" s="1"/>
      <c r="K31" s="1"/>
      <c r="L31" s="6"/>
      <c r="M31" s="1"/>
    </row>
    <row r="32" spans="1:13" ht="18" x14ac:dyDescent="0.25">
      <c r="A32" s="879" t="s">
        <v>6</v>
      </c>
      <c r="B32" s="880"/>
      <c r="C32" s="881"/>
      <c r="D32" s="11">
        <v>1</v>
      </c>
      <c r="E32" s="10" t="s">
        <v>5</v>
      </c>
      <c r="F32" s="882"/>
      <c r="G32" s="882"/>
      <c r="H32" s="883"/>
      <c r="I32" s="884"/>
      <c r="J32" s="1"/>
      <c r="K32" s="1"/>
      <c r="L32" s="6"/>
      <c r="M32" s="1"/>
    </row>
    <row r="33" spans="1:13" ht="18" x14ac:dyDescent="0.25">
      <c r="A33" s="879" t="s">
        <v>4</v>
      </c>
      <c r="B33" s="880"/>
      <c r="C33" s="881"/>
      <c r="D33" s="11">
        <v>1460</v>
      </c>
      <c r="E33" s="10" t="s">
        <v>2</v>
      </c>
      <c r="F33" s="885"/>
      <c r="G33" s="886"/>
      <c r="H33" s="883"/>
      <c r="I33" s="884"/>
      <c r="J33" s="1"/>
      <c r="K33" s="1"/>
      <c r="L33" s="6"/>
      <c r="M33" s="9"/>
    </row>
    <row r="34" spans="1:13" ht="18.75" thickBot="1" x14ac:dyDescent="0.3">
      <c r="A34" s="858" t="s">
        <v>3</v>
      </c>
      <c r="B34" s="859"/>
      <c r="C34" s="860"/>
      <c r="D34" s="8">
        <f>SUM(E9:E15)-D30</f>
        <v>6</v>
      </c>
      <c r="E34" s="7" t="s">
        <v>2</v>
      </c>
      <c r="F34" s="861"/>
      <c r="G34" s="861"/>
      <c r="H34" s="862"/>
      <c r="I34" s="863"/>
      <c r="J34" s="1"/>
      <c r="K34" s="1"/>
      <c r="L34" s="6"/>
      <c r="M34" s="1"/>
    </row>
    <row r="35" spans="1:13" ht="18.75" thickBot="1" x14ac:dyDescent="0.3">
      <c r="A35" s="864" t="s">
        <v>1</v>
      </c>
      <c r="B35" s="865"/>
      <c r="C35" s="865"/>
      <c r="D35" s="865"/>
      <c r="E35" s="865"/>
      <c r="F35" s="865"/>
      <c r="G35" s="865"/>
      <c r="H35" s="865"/>
      <c r="I35" s="866"/>
      <c r="J35" s="1"/>
      <c r="K35" s="1"/>
      <c r="L35" s="1"/>
      <c r="M35" s="1"/>
    </row>
    <row r="36" spans="1:13" ht="18" x14ac:dyDescent="0.25">
      <c r="A36" s="867" t="s">
        <v>133</v>
      </c>
      <c r="B36" s="868"/>
      <c r="C36" s="868"/>
      <c r="D36" s="868"/>
      <c r="E36" s="868"/>
      <c r="F36" s="868"/>
      <c r="G36" s="868"/>
      <c r="H36" s="868"/>
      <c r="I36" s="869"/>
    </row>
    <row r="37" spans="1:13" ht="18" x14ac:dyDescent="0.25">
      <c r="A37" s="3" t="s">
        <v>134</v>
      </c>
      <c r="B37" s="5"/>
      <c r="C37" s="5"/>
      <c r="D37" s="5"/>
      <c r="E37" s="3"/>
      <c r="F37" s="5"/>
      <c r="G37" s="4"/>
      <c r="H37" s="3"/>
      <c r="I37" s="3"/>
    </row>
    <row r="38" spans="1:13" ht="18" x14ac:dyDescent="0.25">
      <c r="A38" s="870" t="s">
        <v>135</v>
      </c>
      <c r="B38" s="871"/>
      <c r="C38" s="871"/>
      <c r="D38" s="871"/>
      <c r="E38" s="871"/>
      <c r="F38" s="871"/>
      <c r="G38" s="871"/>
      <c r="H38" s="871"/>
      <c r="I38" s="872"/>
    </row>
    <row r="39" spans="1:13" ht="18" x14ac:dyDescent="0.25">
      <c r="A39" s="870" t="s">
        <v>136</v>
      </c>
      <c r="B39" s="871"/>
      <c r="C39" s="871"/>
      <c r="D39" s="871"/>
      <c r="E39" s="871"/>
      <c r="F39" s="871"/>
      <c r="G39" s="871"/>
      <c r="H39" s="871"/>
      <c r="I39" s="872"/>
    </row>
    <row r="40" spans="1:13" ht="18" x14ac:dyDescent="0.25">
      <c r="A40" s="870" t="s">
        <v>137</v>
      </c>
      <c r="B40" s="871"/>
      <c r="C40" s="871"/>
      <c r="D40" s="871"/>
      <c r="E40" s="871"/>
      <c r="F40" s="871"/>
      <c r="G40" s="871"/>
      <c r="H40" s="871"/>
      <c r="I40" s="872"/>
    </row>
    <row r="41" spans="1:13" ht="18" x14ac:dyDescent="0.25">
      <c r="A41" s="870"/>
      <c r="B41" s="871"/>
      <c r="C41" s="871"/>
      <c r="D41" s="871"/>
      <c r="E41" s="871"/>
      <c r="F41" s="871"/>
      <c r="G41" s="871"/>
      <c r="H41" s="871"/>
      <c r="I41" s="872"/>
    </row>
    <row r="42" spans="1:13" ht="18" x14ac:dyDescent="0.25">
      <c r="A42" s="873"/>
      <c r="B42" s="874"/>
      <c r="C42" s="874"/>
      <c r="D42" s="874"/>
      <c r="E42" s="874"/>
      <c r="F42" s="874"/>
      <c r="G42" s="874"/>
      <c r="H42" s="874"/>
      <c r="I42" s="875"/>
    </row>
    <row r="43" spans="1:13" ht="18" x14ac:dyDescent="0.25">
      <c r="A43" s="876" t="s">
        <v>0</v>
      </c>
      <c r="B43" s="877"/>
      <c r="C43" s="877"/>
      <c r="D43" s="877"/>
      <c r="E43" s="877"/>
      <c r="F43" s="877"/>
      <c r="G43" s="877"/>
      <c r="H43" s="877"/>
      <c r="I43" s="878"/>
    </row>
    <row r="44" spans="1:13" ht="18.75" thickBot="1" x14ac:dyDescent="0.3">
      <c r="A44" s="855"/>
      <c r="B44" s="856"/>
      <c r="C44" s="856"/>
      <c r="D44" s="856"/>
      <c r="E44" s="856"/>
      <c r="F44" s="856"/>
      <c r="G44" s="856"/>
      <c r="H44" s="856"/>
      <c r="I44" s="857"/>
    </row>
    <row r="46" spans="1:13" x14ac:dyDescent="0.2">
      <c r="A46" s="2"/>
      <c r="B46" s="2"/>
      <c r="C46" s="2"/>
      <c r="D46" s="1"/>
      <c r="E46" s="1"/>
      <c r="F46" s="1"/>
      <c r="G46" s="1"/>
      <c r="H46" s="1"/>
      <c r="I46" s="1"/>
    </row>
  </sheetData>
  <mergeCells count="44">
    <mergeCell ref="A42:I42"/>
    <mergeCell ref="A43:I43"/>
    <mergeCell ref="A44:I44"/>
    <mergeCell ref="A35:I35"/>
    <mergeCell ref="A36:I36"/>
    <mergeCell ref="A38:I38"/>
    <mergeCell ref="A39:I39"/>
    <mergeCell ref="A40:I40"/>
    <mergeCell ref="A41:I41"/>
    <mergeCell ref="A33:C33"/>
    <mergeCell ref="F33:G33"/>
    <mergeCell ref="H33:I33"/>
    <mergeCell ref="A34:C34"/>
    <mergeCell ref="F34:G34"/>
    <mergeCell ref="H34:I34"/>
    <mergeCell ref="A31:C31"/>
    <mergeCell ref="F31:G31"/>
    <mergeCell ref="H31:I31"/>
    <mergeCell ref="A32:C32"/>
    <mergeCell ref="F32:G32"/>
    <mergeCell ref="H32:I32"/>
    <mergeCell ref="G9:H9"/>
    <mergeCell ref="G12:H12"/>
    <mergeCell ref="G13:H13"/>
    <mergeCell ref="A30:C30"/>
    <mergeCell ref="F30:G30"/>
    <mergeCell ref="H30:I3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263DE8-6749-4305-B6ED-8EDE6963A37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D6E0A0A9-EE91-4623-8051-21775A45AA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5D85DE9-BC99-4CE8-B5F5-8D665F350D0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1</vt:i4>
      </vt:variant>
    </vt:vector>
  </HeadingPairs>
  <TitlesOfParts>
    <vt:vector size="25" baseType="lpstr">
      <vt:lpstr>Costo Pistacho Tostado</vt:lpstr>
      <vt:lpstr>Salsa pistacho</vt:lpstr>
      <vt:lpstr>Relleno suspiro limeño</vt:lpstr>
      <vt:lpstr>Costo Salsa Pistacho</vt:lpstr>
      <vt:lpstr>Mousse pistacho</vt:lpstr>
      <vt:lpstr>Costo Mousse Pistacho</vt:lpstr>
      <vt:lpstr>Crema Chantilly Blanco</vt:lpstr>
      <vt:lpstr>Disco Pistacho</vt:lpstr>
      <vt:lpstr>Costo Crema verde pistacho</vt:lpstr>
      <vt:lpstr>Disco Pistacho 2</vt:lpstr>
      <vt:lpstr>Rosquete Vainilla Dawn </vt:lpstr>
      <vt:lpstr>Batido Nucleo Vainilla Dawn </vt:lpstr>
      <vt:lpstr>Premezcla Batido Nucleo Dawn</vt:lpstr>
      <vt:lpstr>Leches pasteu con agua </vt:lpstr>
      <vt:lpstr>Mezcla leche pasteur</vt:lpstr>
      <vt:lpstr>Caramelo con choc Blanc</vt:lpstr>
      <vt:lpstr>Caramelo Crocante </vt:lpstr>
      <vt:lpstr>Rosquete Turron Almendra </vt:lpstr>
      <vt:lpstr>Batido Turron Almendra</vt:lpstr>
      <vt:lpstr>Premezcla Turron Almendra</vt:lpstr>
      <vt:lpstr>Costo Disco Pistacho</vt:lpstr>
      <vt:lpstr>Torta Pistacho local</vt:lpstr>
      <vt:lpstr>Costo Torta Rossana </vt:lpstr>
      <vt:lpstr>Torta Pistacho Industria </vt:lpstr>
      <vt:lpstr>'Torta Pistacho local'!Área_de_impresión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Allan Brenes</cp:lastModifiedBy>
  <cp:lastPrinted>2025-08-21T11:39:45Z</cp:lastPrinted>
  <dcterms:created xsi:type="dcterms:W3CDTF">2025-02-21T21:19:10Z</dcterms:created>
  <dcterms:modified xsi:type="dcterms:W3CDTF">2025-08-21T11:41:40Z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
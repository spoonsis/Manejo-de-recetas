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6" documentId="8_{40DFB6BF-FF8D-40A6-9ACA-F81B57C690DB}" xr6:coauthVersionLast="47" xr6:coauthVersionMax="47" xr10:uidLastSave="{C224225C-833A-46A1-81D3-E2ED2A6802E7}"/>
  <bookViews>
    <workbookView xWindow="-120" yWindow="-120" windowWidth="29040" windowHeight="15840" xr2:uid="{C0B66438-3016-4768-B7FB-C0E01AFF511F}"/>
  </bookViews>
  <sheets>
    <sheet name="Rosquete 280g" sheetId="1" r:id="rId1"/>
  </sheets>
  <definedNames>
    <definedName name="_xlnm.Print_Area" localSheetId="0">'Rosquete 280g'!$A$1:$I$26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7" i="1" l="1"/>
  <c r="D19" i="1" s="1"/>
  <c r="E13" i="1"/>
  <c r="K19" i="1"/>
  <c r="D21" i="1" l="1"/>
</calcChain>
</file>

<file path=xl/sharedStrings.xml><?xml version="1.0" encoding="utf-8"?>
<sst xmlns="http://schemas.openxmlformats.org/spreadsheetml/2006/main" count="67" uniqueCount="56">
  <si>
    <t>Contrl de cambios</t>
  </si>
  <si>
    <t xml:space="preserve">3.- Enfriar y empacar 16 unidades por lata, cubrir con bolsa y etiquetar con fecha de produccion. </t>
  </si>
  <si>
    <t>2.- Hornear en el Horno Dicte 1 a 150°C por 50 minutos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</si>
  <si>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</si>
  <si>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</si>
  <si>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</si>
  <si>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</si>
  <si>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</si>
  <si>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</si>
  <si>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</si>
  <si>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</si>
  <si>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</si>
  <si>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</si>
  <si>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</si>
  <si>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</si>
  <si>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</si>
  <si>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</si>
  <si>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</si>
  <si>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Cemusa</t>
  </si>
  <si>
    <t>ETIQUETA BLANCA 2 5/8X1 15/16 (UND)</t>
  </si>
  <si>
    <t>FAS</t>
  </si>
  <si>
    <t>MEZCLA P/ENGRASE MOLDES KILO</t>
  </si>
  <si>
    <t>902000019</t>
  </si>
  <si>
    <t>Etiplast</t>
  </si>
  <si>
    <t>ETIQ.FECHA VENCIMIENTO BLANCO (ROLLO)</t>
  </si>
  <si>
    <t>Plasticos P</t>
  </si>
  <si>
    <t>BOLSA TRANSPARENTE 56X96X1.80 KILO</t>
  </si>
  <si>
    <t>EMPAQUE</t>
  </si>
  <si>
    <t>BATIDO NUCLEO CHOCOLATE DAWN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</si>
  <si>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</si>
  <si>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</si>
  <si>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</si>
  <si>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</si>
  <si>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</si>
  <si>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</si>
  <si>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</si>
  <si>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</si>
  <si>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Esteban Cartín. Gte de Manufactura</t>
  </si>
  <si>
    <t>Aprobado</t>
  </si>
  <si>
    <t>Javier tong,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</si>
  <si>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</si>
  <si>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</si>
  <si>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</si>
  <si>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</si>
  <si>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</si>
  <si>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</si>
  <si>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1.- Pesar 300g de mezcla en los moldes previamente engrasados.</t>
  </si>
  <si>
    <t>01</t>
  </si>
  <si>
    <t>27/07/2022</t>
  </si>
  <si>
    <t># Codigo Netsuite</t>
  </si>
  <si>
    <t>SE00342</t>
  </si>
  <si>
    <t>AS00028</t>
  </si>
  <si>
    <t>EM10004</t>
  </si>
  <si>
    <t>EM10011</t>
  </si>
  <si>
    <t>ESP-RE-BAS-069</t>
  </si>
  <si>
    <t xml:space="preserve"> 907000280(SE00017) ROSQUETE CHOCOLATE DAWN 300g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</si>
</sst>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0"/>
      <name val="Arial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7" fillId="0" borderId="0"/>
  </cellStyleXfs>
  <cellXfs count="11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horizontal="left" indent="1"/>
    </xf>
    <xf numFmtId="0" fontId="1" fillId="0" borderId="5" xfId="0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9" fontId="1" fillId="2" borderId="0" xfId="1" applyFont="1" applyFill="1"/>
    <xf numFmtId="0" fontId="1" fillId="0" borderId="17" xfId="0" applyFont="1" applyBorder="1" applyAlignment="1">
      <alignment horizontal="center"/>
    </xf>
    <xf numFmtId="1" fontId="1" fillId="0" borderId="17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/>
    <xf numFmtId="164" fontId="1" fillId="3" borderId="2" xfId="0" applyNumberFormat="1" applyFont="1" applyFill="1" applyBorder="1" applyAlignment="1">
      <alignment horizontal="center" wrapText="1"/>
    </xf>
    <xf numFmtId="1" fontId="3" fillId="3" borderId="2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164" fontId="1" fillId="2" borderId="0" xfId="0" applyNumberFormat="1" applyFont="1" applyFill="1" applyAlignment="1">
      <alignment horizontal="center" wrapText="1"/>
    </xf>
    <xf numFmtId="1" fontId="1" fillId="2" borderId="0" xfId="0" applyNumberFormat="1" applyFont="1" applyFill="1" applyAlignment="1">
      <alignment horizontal="center"/>
    </xf>
    <xf numFmtId="49" fontId="2" fillId="2" borderId="23" xfId="0" applyNumberFormat="1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1" fontId="1" fillId="0" borderId="17" xfId="0" applyNumberFormat="1" applyFont="1" applyBorder="1" applyAlignment="1">
      <alignment horizontal="center" wrapText="1"/>
    </xf>
    <xf numFmtId="0" fontId="5" fillId="0" borderId="17" xfId="0" applyFont="1" applyBorder="1" applyAlignment="1">
      <alignment horizontal="center"/>
    </xf>
    <xf numFmtId="0" fontId="0" fillId="0" borderId="17" xfId="0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1" fontId="1" fillId="0" borderId="26" xfId="0" applyNumberFormat="1" applyFont="1" applyBorder="1" applyAlignment="1">
      <alignment horizontal="center" wrapText="1"/>
    </xf>
    <xf numFmtId="1" fontId="5" fillId="0" borderId="11" xfId="0" applyNumberFormat="1" applyFont="1" applyBorder="1" applyAlignment="1">
      <alignment horizontal="center" wrapText="1"/>
    </xf>
    <xf numFmtId="1" fontId="5" fillId="0" borderId="11" xfId="0" applyNumberFormat="1" applyFont="1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5" fillId="0" borderId="16" xfId="0" applyFont="1" applyBorder="1" applyAlignment="1">
      <alignment horizontal="center"/>
    </xf>
    <xf numFmtId="49" fontId="3" fillId="0" borderId="17" xfId="0" applyNumberFormat="1" applyFont="1" applyBorder="1" applyAlignment="1">
      <alignment horizontal="center"/>
    </xf>
    <xf numFmtId="49" fontId="5" fillId="0" borderId="17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49" fontId="6" fillId="0" borderId="17" xfId="0" applyNumberFormat="1" applyFont="1" applyBorder="1"/>
    <xf numFmtId="0" fontId="1" fillId="0" borderId="10" xfId="0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1" fontId="5" fillId="0" borderId="17" xfId="0" applyNumberFormat="1" applyFont="1" applyBorder="1" applyAlignment="1">
      <alignment horizontal="center" wrapText="1"/>
    </xf>
    <xf numFmtId="1" fontId="5" fillId="0" borderId="17" xfId="0" applyNumberFormat="1" applyFont="1" applyBorder="1" applyAlignment="1">
      <alignment horizontal="center"/>
    </xf>
    <xf numFmtId="0" fontId="4" fillId="0" borderId="0" xfId="0" applyFont="1"/>
    <xf numFmtId="0" fontId="3" fillId="3" borderId="4" xfId="0" applyFont="1" applyFill="1" applyBorder="1" applyAlignment="1">
      <alignment horizontal="center"/>
    </xf>
    <xf numFmtId="1" fontId="3" fillId="3" borderId="5" xfId="0" applyNumberFormat="1" applyFont="1" applyFill="1" applyBorder="1" applyAlignment="1">
      <alignment horizontal="center" wrapText="1"/>
    </xf>
    <xf numFmtId="1" fontId="3" fillId="3" borderId="5" xfId="0" applyNumberFormat="1" applyFont="1" applyFill="1" applyBorder="1" applyAlignment="1">
      <alignment horizontal="center"/>
    </xf>
    <xf numFmtId="0" fontId="3" fillId="3" borderId="28" xfId="0" applyFont="1" applyFill="1" applyBorder="1" applyAlignment="1">
      <alignment horizontal="center" vertical="center" wrapText="1"/>
    </xf>
    <xf numFmtId="0" fontId="1" fillId="2" borderId="17" xfId="2" applyFont="1" applyFill="1" applyBorder="1" applyAlignment="1">
      <alignment horizontal="right"/>
    </xf>
    <xf numFmtId="0" fontId="1" fillId="2" borderId="11" xfId="2" applyFont="1" applyFill="1" applyBorder="1" applyAlignment="1">
      <alignment horizontal="right"/>
    </xf>
    <xf numFmtId="49" fontId="1" fillId="2" borderId="24" xfId="2" applyNumberFormat="1" applyFont="1" applyFill="1" applyBorder="1" applyAlignment="1">
      <alignment horizontal="center"/>
    </xf>
    <xf numFmtId="0" fontId="3" fillId="2" borderId="17" xfId="2" applyFont="1" applyFill="1" applyBorder="1" applyAlignment="1">
      <alignment horizontal="right"/>
    </xf>
    <xf numFmtId="0" fontId="1" fillId="2" borderId="28" xfId="2" applyFont="1" applyFill="1" applyBorder="1" applyAlignment="1">
      <alignment horizontal="center"/>
    </xf>
    <xf numFmtId="0" fontId="3" fillId="2" borderId="29" xfId="2" applyFont="1" applyFill="1" applyBorder="1" applyAlignment="1">
      <alignment horizontal="right"/>
    </xf>
    <xf numFmtId="0" fontId="0" fillId="0" borderId="0" xfId="0" applyAlignment="1">
      <alignment horizontal="center"/>
    </xf>
    <xf numFmtId="49" fontId="2" fillId="2" borderId="0" xfId="0" applyNumberFormat="1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9" fillId="2" borderId="29" xfId="2" applyFont="1" applyFill="1" applyBorder="1" applyAlignment="1">
      <alignment horizontal="center"/>
    </xf>
    <xf numFmtId="0" fontId="9" fillId="2" borderId="26" xfId="2" applyFont="1" applyFill="1" applyBorder="1" applyAlignment="1">
      <alignment horizontal="center"/>
    </xf>
    <xf numFmtId="0" fontId="8" fillId="4" borderId="3" xfId="2" applyFont="1" applyFill="1" applyBorder="1" applyAlignment="1">
      <alignment horizontal="center" vertical="center" wrapText="1"/>
    </xf>
    <xf numFmtId="0" fontId="8" fillId="4" borderId="2" xfId="2" applyFont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center" vertical="center" wrapText="1"/>
    </xf>
    <xf numFmtId="0" fontId="3" fillId="2" borderId="37" xfId="2" applyFont="1" applyFill="1" applyBorder="1" applyAlignment="1">
      <alignment horizontal="right" vertical="top" wrapText="1"/>
    </xf>
    <xf numFmtId="0" fontId="3" fillId="2" borderId="33" xfId="2" applyFont="1" applyFill="1" applyBorder="1" applyAlignment="1">
      <alignment horizontal="right" vertical="top" wrapText="1"/>
    </xf>
    <xf numFmtId="0" fontId="3" fillId="2" borderId="32" xfId="2" applyFont="1" applyFill="1" applyBorder="1" applyAlignment="1">
      <alignment horizontal="right" vertical="top" wrapText="1"/>
    </xf>
    <xf numFmtId="0" fontId="3" fillId="3" borderId="40" xfId="0" applyFont="1" applyFill="1" applyBorder="1" applyAlignment="1">
      <alignment horizontal="center" vertical="center" wrapText="1"/>
    </xf>
    <xf numFmtId="0" fontId="3" fillId="3" borderId="41" xfId="0" applyFont="1" applyFill="1" applyBorder="1" applyAlignment="1">
      <alignment horizontal="center" vertical="center" wrapText="1"/>
    </xf>
    <xf numFmtId="0" fontId="1" fillId="2" borderId="42" xfId="2" applyFont="1" applyFill="1" applyBorder="1" applyAlignment="1">
      <alignment horizontal="center"/>
    </xf>
    <xf numFmtId="0" fontId="1" fillId="2" borderId="43" xfId="2" applyFont="1" applyFill="1" applyBorder="1" applyAlignment="1">
      <alignment horizontal="center"/>
    </xf>
    <xf numFmtId="0" fontId="1" fillId="2" borderId="23" xfId="2" applyFont="1" applyFill="1" applyBorder="1" applyAlignment="1">
      <alignment horizontal="center"/>
    </xf>
    <xf numFmtId="0" fontId="1" fillId="2" borderId="0" xfId="2" applyFont="1" applyFill="1" applyAlignment="1">
      <alignment horizontal="center"/>
    </xf>
    <xf numFmtId="0" fontId="1" fillId="2" borderId="44" xfId="2" applyFont="1" applyFill="1" applyBorder="1" applyAlignment="1">
      <alignment horizontal="center"/>
    </xf>
    <xf numFmtId="0" fontId="1" fillId="2" borderId="45" xfId="2" applyFont="1" applyFill="1" applyBorder="1" applyAlignment="1">
      <alignment horizontal="center"/>
    </xf>
    <xf numFmtId="14" fontId="1" fillId="2" borderId="25" xfId="2" applyNumberFormat="1" applyFont="1" applyFill="1" applyBorder="1" applyAlignment="1">
      <alignment horizontal="center" vertical="center" wrapText="1"/>
    </xf>
    <xf numFmtId="14" fontId="1" fillId="2" borderId="31" xfId="2" applyNumberFormat="1" applyFont="1" applyFill="1" applyBorder="1" applyAlignment="1">
      <alignment horizontal="center" vertical="center" wrapText="1"/>
    </xf>
    <xf numFmtId="0" fontId="1" fillId="2" borderId="36" xfId="2" applyFont="1" applyFill="1" applyBorder="1" applyAlignment="1">
      <alignment horizontal="left"/>
    </xf>
    <xf numFmtId="0" fontId="1" fillId="2" borderId="35" xfId="2" applyFont="1" applyFill="1" applyBorder="1" applyAlignment="1">
      <alignment horizontal="left"/>
    </xf>
    <xf numFmtId="0" fontId="1" fillId="2" borderId="34" xfId="2" applyFont="1" applyFill="1" applyBorder="1" applyAlignment="1">
      <alignment horizontal="left"/>
    </xf>
    <xf numFmtId="0" fontId="1" fillId="2" borderId="15" xfId="2" applyFont="1" applyFill="1" applyBorder="1" applyAlignment="1">
      <alignment horizontal="left"/>
    </xf>
    <xf numFmtId="0" fontId="1" fillId="2" borderId="8" xfId="2" applyFont="1" applyFill="1" applyBorder="1" applyAlignment="1">
      <alignment horizontal="left"/>
    </xf>
    <xf numFmtId="0" fontId="1" fillId="2" borderId="16" xfId="2" applyFont="1" applyFill="1" applyBorder="1" applyAlignment="1">
      <alignment horizontal="left"/>
    </xf>
    <xf numFmtId="0" fontId="3" fillId="3" borderId="30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right"/>
    </xf>
    <xf numFmtId="0" fontId="3" fillId="0" borderId="38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164" fontId="1" fillId="0" borderId="11" xfId="0" applyNumberFormat="1" applyFont="1" applyBorder="1" applyAlignment="1">
      <alignment horizontal="right"/>
    </xf>
    <xf numFmtId="0" fontId="1" fillId="2" borderId="19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3" fillId="0" borderId="9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1" fillId="0" borderId="17" xfId="0" applyFont="1" applyBorder="1" applyAlignment="1">
      <alignment horizontal="right"/>
    </xf>
    <xf numFmtId="164" fontId="1" fillId="0" borderId="15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right" wrapText="1"/>
    </xf>
    <xf numFmtId="164" fontId="1" fillId="0" borderId="16" xfId="0" applyNumberFormat="1" applyFont="1" applyBorder="1" applyAlignment="1">
      <alignment horizontal="right" wrapText="1"/>
    </xf>
    <xf numFmtId="0" fontId="1" fillId="0" borderId="12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39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0" borderId="6" xfId="0" applyFont="1" applyBorder="1" applyAlignment="1">
      <alignment horizontal="right"/>
    </xf>
    <xf numFmtId="0" fontId="3" fillId="0" borderId="39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164" fontId="1" fillId="0" borderId="14" xfId="0" applyNumberFormat="1" applyFont="1" applyBorder="1" applyAlignment="1">
      <alignment horizontal="center"/>
    </xf>
    <xf numFmtId="164" fontId="1" fillId="0" borderId="13" xfId="0" applyNumberFormat="1" applyFont="1" applyBorder="1" applyAlignment="1">
      <alignment horizontal="center"/>
    </xf>
  </cellXfs>
  <cellStyles count="3">
    <cellStyle name="Normal" xfId="0" builtinId="0"/>
    <cellStyle name="Normal_CRITERIOS DE EVALUACION PT DE GB 2" xfId="2" xr:uid="{93108BD1-227F-421C-9AE8-05855A2ADE82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0</xdr:rowOff>
    </xdr:from>
    <xdr:ext cx="1462741" cy="1195358"/>
    <xdr:pic>
      <xdr:nvPicPr>
        <xdr:cNvPr id="2" name="Picture 1" descr="LOGO FINAL">
          <a:extLst>
            <a:ext uri="{FF2B5EF4-FFF2-40B4-BE49-F238E27FC236}">
              <a16:creationId xmlns:a16="http://schemas.microsoft.com/office/drawing/2014/main" id="{BDBF8654-872E-417F-AC46-3B2E70608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76200" y="0"/>
          <a:ext cx="1462741" cy="11953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35C94-246D-457C-B4BC-7171DECA0DF5}">
  <dimension ref="A1:M28"/>
  <sheetViews>
    <sheetView tabSelected="1" view="pageBreakPreview" zoomScale="85" zoomScaleNormal="100" zoomScaleSheetLayoutView="85" workbookViewId="0">
      <selection activeCell="C3" sqref="C3:G3"/>
    </sheetView>
  </sheetViews>
  <sheetFormatPr baseColWidth="10" defaultColWidth="11.42578125" defaultRowHeight="13.5" x14ac:dyDescent="0.25"/>
  <cols>
    <col min="1" max="1" width="16.140625" style="1" customWidth="1"/>
    <col min="2" max="2" width="13.28515625" style="1" customWidth="1"/>
    <col min="3" max="3" width="46" style="1" bestFit="1" customWidth="1"/>
    <col min="4" max="4" width="14.140625" style="1" customWidth="1"/>
    <col min="5" max="5" width="11.42578125" style="1"/>
    <col min="6" max="6" width="12.140625" style="1" customWidth="1"/>
    <col min="7" max="7" width="11.42578125" style="1"/>
    <col min="8" max="8" width="14.28515625" style="1" customWidth="1"/>
    <col min="9" max="9" width="16" style="1" customWidth="1"/>
    <col min="10" max="16384" width="11.42578125" style="1"/>
  </cols>
  <sheetData>
    <row r="1" spans="1:12" ht="15.75" x14ac:dyDescent="0.25">
      <c r="A1" s="65"/>
      <c r="B1" s="66"/>
      <c r="C1" s="55" t="s">
        <v>45</v>
      </c>
      <c r="D1" s="55"/>
      <c r="E1" s="55"/>
      <c r="F1" s="55"/>
      <c r="G1" s="55"/>
      <c r="H1" s="51" t="s">
        <v>44</v>
      </c>
      <c r="I1" s="50" t="s">
        <v>54</v>
      </c>
      <c r="J1"/>
      <c r="K1"/>
      <c r="L1"/>
    </row>
    <row r="2" spans="1:12" ht="16.5" thickBot="1" x14ac:dyDescent="0.3">
      <c r="A2" s="67"/>
      <c r="B2" s="68"/>
      <c r="C2" s="56" t="s">
        <v>43</v>
      </c>
      <c r="D2" s="56"/>
      <c r="E2" s="56"/>
      <c r="F2" s="56"/>
      <c r="G2" s="56"/>
      <c r="H2" s="49" t="s">
        <v>42</v>
      </c>
      <c r="I2" s="48" t="s">
        <v>47</v>
      </c>
      <c r="J2"/>
      <c r="K2"/>
      <c r="L2"/>
    </row>
    <row r="3" spans="1:12" ht="50.1" customHeight="1" thickBot="1" x14ac:dyDescent="0.3">
      <c r="A3" s="67"/>
      <c r="B3" s="68"/>
      <c r="C3" s="57" t="s">
        <v>55</v>
      </c>
      <c r="D3" s="58"/>
      <c r="E3" s="58"/>
      <c r="F3" s="58"/>
      <c r="G3" s="59"/>
      <c r="H3" s="60" t="s">
        <v>41</v>
      </c>
      <c r="I3" s="71" t="s">
        <v>48</v>
      </c>
      <c r="J3"/>
      <c r="K3"/>
      <c r="L3"/>
    </row>
    <row r="4" spans="1:12" x14ac:dyDescent="0.25">
      <c r="A4" s="67"/>
      <c r="B4" s="68"/>
      <c r="C4" s="47" t="s">
        <v>40</v>
      </c>
      <c r="D4" s="73" t="s">
        <v>39</v>
      </c>
      <c r="E4" s="74"/>
      <c r="F4" s="74"/>
      <c r="G4" s="75"/>
      <c r="H4" s="61"/>
      <c r="I4" s="72"/>
      <c r="J4"/>
      <c r="K4"/>
      <c r="L4"/>
    </row>
    <row r="5" spans="1:12" ht="14.25" thickBot="1" x14ac:dyDescent="0.3">
      <c r="A5" s="69"/>
      <c r="B5" s="70"/>
      <c r="C5" s="46" t="s">
        <v>38</v>
      </c>
      <c r="D5" s="76" t="s">
        <v>37</v>
      </c>
      <c r="E5" s="77"/>
      <c r="F5" s="77"/>
      <c r="G5" s="78"/>
      <c r="H5" s="62"/>
      <c r="I5" s="72"/>
      <c r="J5"/>
      <c r="K5"/>
      <c r="L5"/>
    </row>
    <row r="6" spans="1:12" ht="25.5" x14ac:dyDescent="0.25">
      <c r="A6" s="79" t="s">
        <v>36</v>
      </c>
      <c r="B6" s="63" t="s">
        <v>49</v>
      </c>
      <c r="C6" s="81" t="s">
        <v>35</v>
      </c>
      <c r="D6" s="81" t="s">
        <v>34</v>
      </c>
      <c r="E6" s="81" t="s">
        <v>33</v>
      </c>
      <c r="F6" s="81"/>
      <c r="G6" s="81" t="s">
        <v>32</v>
      </c>
      <c r="H6" s="81"/>
      <c r="I6" s="45" t="s">
        <v>31</v>
      </c>
      <c r="J6"/>
      <c r="K6"/>
      <c r="L6"/>
    </row>
    <row r="7" spans="1:12" ht="27" thickBot="1" x14ac:dyDescent="0.3">
      <c r="A7" s="80"/>
      <c r="B7" s="64"/>
      <c r="C7" s="82"/>
      <c r="D7" s="83"/>
      <c r="E7" s="44" t="s">
        <v>17</v>
      </c>
      <c r="F7" s="43" t="s">
        <v>30</v>
      </c>
      <c r="G7" s="44" t="s">
        <v>17</v>
      </c>
      <c r="H7" s="43" t="s">
        <v>30</v>
      </c>
      <c r="I7" s="42" t="s">
        <v>29</v>
      </c>
      <c r="J7"/>
      <c r="K7"/>
      <c r="L7"/>
    </row>
    <row r="8" spans="1:12" ht="15" x14ac:dyDescent="0.25">
      <c r="A8" s="31">
        <v>907000264</v>
      </c>
      <c r="B8" s="52" t="s">
        <v>50</v>
      </c>
      <c r="C8" s="41" t="s">
        <v>28</v>
      </c>
      <c r="D8" s="23" t="s">
        <v>20</v>
      </c>
      <c r="E8" s="40">
        <v>39000</v>
      </c>
      <c r="F8" s="39" t="s">
        <v>4</v>
      </c>
      <c r="G8" s="38"/>
      <c r="H8" s="35"/>
      <c r="I8" s="37"/>
      <c r="J8"/>
      <c r="K8"/>
      <c r="L8"/>
    </row>
    <row r="9" spans="1:12" ht="15" x14ac:dyDescent="0.25">
      <c r="A9" s="34"/>
      <c r="B9" s="34"/>
      <c r="C9" s="36"/>
      <c r="D9" s="23"/>
      <c r="E9" s="29"/>
      <c r="F9" s="28"/>
      <c r="G9" s="10"/>
      <c r="H9" s="35"/>
      <c r="I9" s="21"/>
      <c r="J9"/>
      <c r="K9"/>
      <c r="L9"/>
    </row>
    <row r="10" spans="1:12" ht="15" x14ac:dyDescent="0.25">
      <c r="A10" s="34"/>
      <c r="B10" s="34"/>
      <c r="C10" s="33" t="s">
        <v>27</v>
      </c>
      <c r="D10" s="32"/>
      <c r="E10" s="29"/>
      <c r="F10" s="28"/>
      <c r="G10" s="8"/>
      <c r="H10" s="7"/>
      <c r="I10" s="21"/>
      <c r="J10"/>
      <c r="K10"/>
      <c r="L10"/>
    </row>
    <row r="11" spans="1:12" ht="15" x14ac:dyDescent="0.25">
      <c r="A11" s="25">
        <v>1950928</v>
      </c>
      <c r="B11" s="25" t="s">
        <v>51</v>
      </c>
      <c r="C11" s="24" t="s">
        <v>26</v>
      </c>
      <c r="D11" s="23" t="s">
        <v>25</v>
      </c>
      <c r="E11" s="29">
        <v>9</v>
      </c>
      <c r="F11" s="28" t="s">
        <v>9</v>
      </c>
      <c r="G11" s="8"/>
      <c r="H11" s="7"/>
      <c r="I11" s="21"/>
      <c r="J11"/>
      <c r="K11"/>
      <c r="L11"/>
    </row>
    <row r="12" spans="1:12" ht="15" x14ac:dyDescent="0.25">
      <c r="A12" s="25">
        <v>702007</v>
      </c>
      <c r="B12" s="25" t="s">
        <v>52</v>
      </c>
      <c r="C12" s="24" t="s">
        <v>24</v>
      </c>
      <c r="D12" s="23" t="s">
        <v>23</v>
      </c>
      <c r="E12" s="29">
        <v>9</v>
      </c>
      <c r="F12" s="28" t="s">
        <v>9</v>
      </c>
      <c r="G12" s="8"/>
      <c r="H12" s="8"/>
      <c r="I12" s="21"/>
      <c r="J12"/>
      <c r="K12"/>
      <c r="L12"/>
    </row>
    <row r="13" spans="1:12" ht="15" x14ac:dyDescent="0.25">
      <c r="A13" s="31" t="s">
        <v>22</v>
      </c>
      <c r="B13" s="31"/>
      <c r="C13" s="30" t="s">
        <v>21</v>
      </c>
      <c r="D13" s="23" t="s">
        <v>20</v>
      </c>
      <c r="E13" s="29">
        <f>15*139</f>
        <v>2085</v>
      </c>
      <c r="F13" s="28" t="s">
        <v>4</v>
      </c>
      <c r="G13" s="27"/>
      <c r="H13" s="27"/>
      <c r="I13" s="26"/>
      <c r="J13"/>
      <c r="K13"/>
      <c r="L13"/>
    </row>
    <row r="14" spans="1:12" ht="15" x14ac:dyDescent="0.25">
      <c r="A14" s="25">
        <v>702123</v>
      </c>
      <c r="B14" s="25" t="s">
        <v>53</v>
      </c>
      <c r="C14" s="24" t="s">
        <v>19</v>
      </c>
      <c r="D14" s="23" t="s">
        <v>18</v>
      </c>
      <c r="E14" s="22">
        <v>9</v>
      </c>
      <c r="F14" s="22" t="s">
        <v>9</v>
      </c>
      <c r="G14" s="22"/>
      <c r="H14" s="22"/>
      <c r="I14" s="21"/>
      <c r="J14"/>
      <c r="K14"/>
      <c r="L14"/>
    </row>
    <row r="15" spans="1:12" ht="14.25" thickBot="1" x14ac:dyDescent="0.3">
      <c r="A15" s="20"/>
      <c r="B15" s="53"/>
      <c r="E15" s="19"/>
      <c r="F15" s="18"/>
      <c r="I15" s="17"/>
      <c r="J15"/>
      <c r="K15"/>
      <c r="L15" s="3"/>
    </row>
    <row r="16" spans="1:12" ht="14.25" thickBot="1" x14ac:dyDescent="0.3">
      <c r="A16" s="16"/>
      <c r="B16" s="54"/>
      <c r="C16" s="12"/>
      <c r="D16" s="15" t="s">
        <v>17</v>
      </c>
      <c r="E16" s="14" t="s">
        <v>16</v>
      </c>
      <c r="F16" s="13"/>
      <c r="G16" s="12"/>
      <c r="H16" s="12"/>
      <c r="I16" s="11"/>
      <c r="J16"/>
      <c r="K16"/>
      <c r="L16" s="3"/>
    </row>
    <row r="17" spans="1:13" x14ac:dyDescent="0.25">
      <c r="A17" s="84" t="s">
        <v>15</v>
      </c>
      <c r="B17" s="85"/>
      <c r="C17" s="86"/>
      <c r="D17" s="10">
        <f>128*300</f>
        <v>38400</v>
      </c>
      <c r="E17" s="9" t="s">
        <v>4</v>
      </c>
      <c r="F17" s="87" t="s">
        <v>14</v>
      </c>
      <c r="G17" s="87"/>
      <c r="H17" s="88"/>
      <c r="I17" s="89"/>
      <c r="J17"/>
      <c r="K17"/>
      <c r="L17" s="3"/>
      <c r="M17"/>
    </row>
    <row r="18" spans="1:13" x14ac:dyDescent="0.25">
      <c r="A18" s="90" t="s">
        <v>13</v>
      </c>
      <c r="B18" s="91"/>
      <c r="C18" s="92"/>
      <c r="D18" s="7">
        <v>140</v>
      </c>
      <c r="E18" s="7" t="s">
        <v>12</v>
      </c>
      <c r="F18" s="93" t="s">
        <v>11</v>
      </c>
      <c r="G18" s="93"/>
      <c r="H18" s="94"/>
      <c r="I18" s="95"/>
      <c r="J18"/>
      <c r="K18"/>
      <c r="L18" s="3"/>
      <c r="M18"/>
    </row>
    <row r="19" spans="1:13" x14ac:dyDescent="0.25">
      <c r="A19" s="90" t="s">
        <v>10</v>
      </c>
      <c r="B19" s="91"/>
      <c r="C19" s="92"/>
      <c r="D19" s="8">
        <f>+D17/D20</f>
        <v>128</v>
      </c>
      <c r="E19" s="7" t="s">
        <v>9</v>
      </c>
      <c r="F19" s="93" t="s">
        <v>8</v>
      </c>
      <c r="G19" s="93"/>
      <c r="H19" s="94"/>
      <c r="I19" s="95"/>
      <c r="J19"/>
      <c r="K19">
        <f>139/1.5</f>
        <v>92.666666666666671</v>
      </c>
      <c r="L19" s="3"/>
      <c r="M19"/>
    </row>
    <row r="20" spans="1:13" x14ac:dyDescent="0.25">
      <c r="A20" s="90" t="s">
        <v>7</v>
      </c>
      <c r="B20" s="91"/>
      <c r="C20" s="92"/>
      <c r="D20" s="7">
        <v>300</v>
      </c>
      <c r="E20" s="7" t="s">
        <v>4</v>
      </c>
      <c r="F20" s="96" t="s">
        <v>6</v>
      </c>
      <c r="G20" s="97"/>
      <c r="H20" s="94"/>
      <c r="I20" s="95"/>
      <c r="J20"/>
      <c r="K20"/>
      <c r="L20" s="3"/>
      <c r="M20" s="6"/>
    </row>
    <row r="21" spans="1:13" ht="14.25" thickBot="1" x14ac:dyDescent="0.3">
      <c r="A21" s="112" t="s">
        <v>5</v>
      </c>
      <c r="B21" s="113"/>
      <c r="C21" s="114"/>
      <c r="D21" s="5">
        <f>SUM(E8)-D17</f>
        <v>600</v>
      </c>
      <c r="E21" s="4" t="s">
        <v>4</v>
      </c>
      <c r="F21" s="115"/>
      <c r="G21" s="115"/>
      <c r="H21" s="116"/>
      <c r="I21" s="117"/>
      <c r="L21" s="3"/>
    </row>
    <row r="22" spans="1:13" ht="14.25" thickBot="1" x14ac:dyDescent="0.3">
      <c r="A22" s="109" t="s">
        <v>3</v>
      </c>
      <c r="B22" s="110"/>
      <c r="C22" s="110"/>
      <c r="D22" s="110"/>
      <c r="E22" s="110"/>
      <c r="F22" s="110"/>
      <c r="G22" s="110"/>
      <c r="H22" s="110"/>
      <c r="I22" s="111"/>
      <c r="J22"/>
      <c r="K22"/>
      <c r="L22"/>
      <c r="M22"/>
    </row>
    <row r="23" spans="1:13" x14ac:dyDescent="0.25">
      <c r="A23" s="98" t="s">
        <v>46</v>
      </c>
      <c r="B23" s="99"/>
      <c r="C23" s="100"/>
      <c r="D23" s="100"/>
      <c r="E23" s="100"/>
      <c r="F23" s="100"/>
      <c r="G23" s="100"/>
      <c r="H23" s="100"/>
      <c r="I23" s="101"/>
      <c r="J23"/>
      <c r="K23"/>
      <c r="L23"/>
      <c r="M23"/>
    </row>
    <row r="24" spans="1:13" x14ac:dyDescent="0.25">
      <c r="A24" s="98" t="s">
        <v>2</v>
      </c>
      <c r="B24" s="99"/>
      <c r="C24" s="100"/>
      <c r="D24" s="100"/>
      <c r="E24" s="100"/>
      <c r="F24" s="100"/>
      <c r="G24" s="100"/>
      <c r="H24" s="100"/>
      <c r="I24" s="101"/>
      <c r="J24"/>
      <c r="K24"/>
      <c r="L24"/>
      <c r="M24"/>
    </row>
    <row r="25" spans="1:13" x14ac:dyDescent="0.25">
      <c r="A25" s="102" t="s">
        <v>1</v>
      </c>
      <c r="B25" s="103"/>
      <c r="C25" s="103"/>
      <c r="D25" s="103"/>
      <c r="E25" s="103"/>
      <c r="F25" s="103"/>
      <c r="G25" s="103"/>
      <c r="H25" s="103"/>
      <c r="I25" s="104"/>
      <c r="J25"/>
      <c r="K25"/>
      <c r="L25"/>
      <c r="M25"/>
    </row>
    <row r="26" spans="1:13" ht="14.25" thickBot="1" x14ac:dyDescent="0.3">
      <c r="A26" s="105"/>
      <c r="B26" s="106"/>
      <c r="C26" s="107"/>
      <c r="D26" s="107"/>
      <c r="E26" s="107"/>
      <c r="F26" s="107"/>
      <c r="G26" s="107"/>
      <c r="H26" s="107"/>
      <c r="I26" s="108"/>
      <c r="J26"/>
      <c r="K26"/>
      <c r="L26"/>
      <c r="M26"/>
    </row>
    <row r="27" spans="1:13" ht="14.25" thickBot="1" x14ac:dyDescent="0.3">
      <c r="A27" s="109" t="s">
        <v>0</v>
      </c>
      <c r="B27" s="110"/>
      <c r="C27" s="110"/>
      <c r="D27" s="110"/>
      <c r="E27" s="110"/>
      <c r="F27" s="110"/>
      <c r="G27" s="110"/>
      <c r="H27" s="110"/>
      <c r="I27" s="111"/>
      <c r="J27"/>
      <c r="K27"/>
      <c r="L27"/>
      <c r="M27"/>
    </row>
    <row r="28" spans="1:13" x14ac:dyDescent="0.25">
      <c r="A28" s="2"/>
      <c r="B28" s="2"/>
      <c r="C28" s="2"/>
      <c r="D28"/>
      <c r="E28"/>
      <c r="F28"/>
      <c r="G28"/>
      <c r="H28"/>
      <c r="I28"/>
      <c r="J28"/>
      <c r="K28"/>
      <c r="L28"/>
      <c r="M28"/>
    </row>
  </sheetData>
  <mergeCells count="35">
    <mergeCell ref="A24:I24"/>
    <mergeCell ref="A25:I25"/>
    <mergeCell ref="A26:I26"/>
    <mergeCell ref="A27:I27"/>
    <mergeCell ref="A21:C21"/>
    <mergeCell ref="F21:G21"/>
    <mergeCell ref="H21:I21"/>
    <mergeCell ref="A22:I22"/>
    <mergeCell ref="A23:I23"/>
    <mergeCell ref="A19:C19"/>
    <mergeCell ref="F19:G19"/>
    <mergeCell ref="H19:I19"/>
    <mergeCell ref="A20:C20"/>
    <mergeCell ref="F20:G20"/>
    <mergeCell ref="H20:I20"/>
    <mergeCell ref="A17:C17"/>
    <mergeCell ref="F17:G17"/>
    <mergeCell ref="H17:I17"/>
    <mergeCell ref="A18:C18"/>
    <mergeCell ref="F18:G18"/>
    <mergeCell ref="H18:I18"/>
    <mergeCell ref="I3:I5"/>
    <mergeCell ref="D4:G4"/>
    <mergeCell ref="D5:G5"/>
    <mergeCell ref="A6:A7"/>
    <mergeCell ref="C6:C7"/>
    <mergeCell ref="D6:D7"/>
    <mergeCell ref="E6:F6"/>
    <mergeCell ref="G6:H6"/>
    <mergeCell ref="C1:G1"/>
    <mergeCell ref="C2:G2"/>
    <mergeCell ref="C3:G3"/>
    <mergeCell ref="H3:H5"/>
    <mergeCell ref="B6:B7"/>
    <mergeCell ref="A1:B5"/>
  </mergeCells>
  <pageMargins left="0.7" right="0.7" top="0.75" bottom="0.75" header="0.3" footer="0.3"/>
  <pageSetup scale="5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B0845A14-ECAF-4813-91C4-21F1B2EA8397}"/>
</file>

<file path=customXml/itemProps2.xml><?xml version="1.0" encoding="utf-8"?>
<ds:datastoreItem xmlns:ds="http://schemas.openxmlformats.org/officeDocument/2006/customXml" ds:itemID="{BBAE8613-2D38-4BDC-98A4-075DE2314F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D173A5-4E39-45F1-9179-AE27AF4AB40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Rosquete 280g</vt:lpstr>
      <vt:lpstr>'Rosquete 280g'!Área_de_impresión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Miguel Coto Consultor</cp:lastModifiedBy>
  <cp:lastPrinted>2025-02-27T21:08:36Z</cp:lastPrinted>
  <dcterms:created xsi:type="dcterms:W3CDTF">2021-12-16T14:19:32Z</dcterms:created>
  <dcterms:modified xsi:type="dcterms:W3CDTF">2025-02-27T21:08:36Z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94400</vt:r8>
  </property>
  <property fmtid="{D5CDD505-2E9C-101B-9397-08002B2CF9AE}" pid="4" name="MediaServiceImageTags">
    <vt:lpwstr/>
  </property>
</Properties>
</file>
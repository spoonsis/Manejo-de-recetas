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" documentId="8_{1A63316D-43F7-4C80-8618-89BD2CB737DF}" xr6:coauthVersionLast="47" xr6:coauthVersionMax="47" xr10:uidLastSave="{E71BEEB8-888D-46CE-970A-6859951CE5AF}"/>
  <bookViews>
    <workbookView xWindow="-120" yWindow="-120" windowWidth="20730" windowHeight="11040" firstSheet="1" activeTab="1" xr2:uid="{A508A7F6-F8A3-4362-978A-D3FC1B159794}"/>
  </bookViews>
  <sheets>
    <sheet name="Costo Actual " sheetId="8" state="hidden" r:id="rId1"/>
    <sheet name="Corte galleta chilena 120 g" sheetId="11" r:id="rId2"/>
    <sheet name="Costo Reing" sheetId="9" state="hidden" r:id="rId3"/>
    <sheet name="Hoja4" sheetId="10" state="hidden" r:id="rId4"/>
    <sheet name="COSTO CHILENA " sheetId="6" state="hidden" r:id="rId5"/>
    <sheet name="COSTO " sheetId="4" state="hidden" r:id="rId6"/>
    <sheet name="PRECIO" sheetId="5" state="hidden" r:id="rId7"/>
  </sheets>
  <externalReferences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1" l="1"/>
  <c r="M31" i="9" l="1"/>
  <c r="D36" i="9"/>
  <c r="M32" i="9"/>
  <c r="L33" i="9"/>
  <c r="L33" i="8"/>
  <c r="A35" i="6"/>
  <c r="A44" i="6"/>
  <c r="C44" i="6"/>
  <c r="F44" i="6"/>
  <c r="E45" i="6"/>
  <c r="F45" i="6" s="1"/>
  <c r="A36" i="6"/>
  <c r="A45" i="6"/>
  <c r="C45" i="6"/>
  <c r="E46" i="6"/>
  <c r="F46" i="6" s="1"/>
  <c r="A37" i="6"/>
  <c r="A46" i="6"/>
  <c r="C46" i="6"/>
  <c r="E47" i="6"/>
  <c r="F47" i="6" s="1"/>
  <c r="A38" i="6"/>
  <c r="A47" i="6"/>
  <c r="C47" i="6"/>
  <c r="E48" i="6"/>
  <c r="F48" i="6" s="1"/>
  <c r="A39" i="6"/>
  <c r="A48" i="6"/>
  <c r="C48" i="6"/>
  <c r="E49" i="6"/>
  <c r="F49" i="6" s="1"/>
  <c r="A40" i="6"/>
  <c r="A49" i="6"/>
  <c r="C49" i="6"/>
  <c r="E50" i="6"/>
  <c r="F50" i="6" s="1"/>
  <c r="A41" i="6"/>
  <c r="A50" i="6"/>
  <c r="C50" i="6"/>
  <c r="C51" i="6"/>
  <c r="F65" i="6"/>
  <c r="E51" i="6"/>
  <c r="F51" i="6"/>
  <c r="D60" i="6"/>
  <c r="D85" i="6"/>
  <c r="D86" i="6"/>
  <c r="C73" i="6"/>
  <c r="C85" i="6"/>
  <c r="E85" i="6"/>
  <c r="C8" i="6"/>
  <c r="F8" i="6"/>
  <c r="C9" i="6"/>
  <c r="E9" i="6"/>
  <c r="F9" i="6"/>
  <c r="C10" i="6"/>
  <c r="E10" i="6"/>
  <c r="F10" i="6" s="1"/>
  <c r="C11" i="6"/>
  <c r="E11" i="6"/>
  <c r="F11" i="6" s="1"/>
  <c r="C12" i="6"/>
  <c r="E12" i="6"/>
  <c r="F12" i="6"/>
  <c r="C13" i="6"/>
  <c r="E13" i="6"/>
  <c r="F13" i="6"/>
  <c r="C14" i="6"/>
  <c r="E14" i="6"/>
  <c r="F14" i="6" s="1"/>
  <c r="C17" i="6"/>
  <c r="F17" i="6"/>
  <c r="C18" i="6"/>
  <c r="F18" i="6"/>
  <c r="C19" i="6"/>
  <c r="F19" i="6"/>
  <c r="E20" i="6"/>
  <c r="F20" i="6" s="1"/>
  <c r="C20" i="6"/>
  <c r="E21" i="6"/>
  <c r="F21" i="6"/>
  <c r="C21" i="6"/>
  <c r="E22" i="6"/>
  <c r="F22" i="6" s="1"/>
  <c r="C22" i="6"/>
  <c r="E23" i="6"/>
  <c r="F23" i="6" s="1"/>
  <c r="C23" i="6"/>
  <c r="E24" i="6"/>
  <c r="F24" i="6" s="1"/>
  <c r="C24" i="6"/>
  <c r="C27" i="6"/>
  <c r="E27" i="6"/>
  <c r="F27" i="6" s="1"/>
  <c r="C28" i="6"/>
  <c r="E28" i="6"/>
  <c r="F28" i="6" s="1"/>
  <c r="C29" i="6"/>
  <c r="E29" i="6"/>
  <c r="F29" i="6"/>
  <c r="C30" i="6"/>
  <c r="F30" i="6"/>
  <c r="C31" i="6"/>
  <c r="E31" i="6"/>
  <c r="F31" i="6" s="1"/>
  <c r="C32" i="6"/>
  <c r="E32" i="6"/>
  <c r="F32" i="6" s="1"/>
  <c r="C35" i="6"/>
  <c r="F35" i="6"/>
  <c r="E36" i="6"/>
  <c r="C36" i="6"/>
  <c r="F36" i="6"/>
  <c r="E37" i="6"/>
  <c r="F37" i="6" s="1"/>
  <c r="C37" i="6"/>
  <c r="E38" i="6"/>
  <c r="F38" i="6" s="1"/>
  <c r="C38" i="6"/>
  <c r="E39" i="6"/>
  <c r="F39" i="6" s="1"/>
  <c r="C39" i="6"/>
  <c r="E40" i="6"/>
  <c r="F40" i="6" s="1"/>
  <c r="C40" i="6"/>
  <c r="E41" i="6"/>
  <c r="F41" i="6" s="1"/>
  <c r="C41" i="6"/>
  <c r="D83" i="6"/>
  <c r="D81" i="6"/>
  <c r="D69" i="6"/>
  <c r="D73" i="6"/>
  <c r="D74" i="6"/>
  <c r="D76" i="6"/>
  <c r="E73" i="6"/>
  <c r="D71" i="6"/>
  <c r="D50" i="6"/>
  <c r="B50" i="6"/>
  <c r="D49" i="6"/>
  <c r="B49" i="6"/>
  <c r="D48" i="6"/>
  <c r="B48" i="6"/>
  <c r="D47" i="6"/>
  <c r="B47" i="6"/>
  <c r="D46" i="6"/>
  <c r="B46" i="6"/>
  <c r="D45" i="6"/>
  <c r="B45" i="6"/>
  <c r="D41" i="6"/>
  <c r="B41" i="6"/>
  <c r="D40" i="6"/>
  <c r="B40" i="6"/>
  <c r="D39" i="6"/>
  <c r="B39" i="6"/>
  <c r="D38" i="6"/>
  <c r="B38" i="6"/>
  <c r="D37" i="6"/>
  <c r="B37" i="6"/>
  <c r="D36" i="6"/>
  <c r="B36" i="6"/>
  <c r="D32" i="6"/>
  <c r="B32" i="6"/>
  <c r="D31" i="6"/>
  <c r="B31" i="6"/>
  <c r="D30" i="6"/>
  <c r="B30" i="6"/>
  <c r="D29" i="6"/>
  <c r="B29" i="6"/>
  <c r="D28" i="6"/>
  <c r="B28" i="6"/>
  <c r="D27" i="6"/>
  <c r="B27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H6" i="6"/>
  <c r="E17" i="4"/>
  <c r="F17" i="4" s="1"/>
  <c r="D6" i="5"/>
  <c r="D9" i="5"/>
  <c r="E44" i="4"/>
  <c r="F44" i="4"/>
  <c r="A35" i="4"/>
  <c r="A44" i="4"/>
  <c r="C44" i="4"/>
  <c r="E45" i="4"/>
  <c r="F45" i="4" s="1"/>
  <c r="A36" i="4"/>
  <c r="A45" i="4"/>
  <c r="C45" i="4"/>
  <c r="E46" i="4"/>
  <c r="F46" i="4"/>
  <c r="A37" i="4"/>
  <c r="A46" i="4"/>
  <c r="C46" i="4"/>
  <c r="E47" i="4"/>
  <c r="A38" i="4"/>
  <c r="A47" i="4"/>
  <c r="C47" i="4"/>
  <c r="E48" i="4"/>
  <c r="F48" i="4" s="1"/>
  <c r="A39" i="4"/>
  <c r="A48" i="4"/>
  <c r="C48" i="4"/>
  <c r="E49" i="4"/>
  <c r="F49" i="4" s="1"/>
  <c r="A40" i="4"/>
  <c r="A49" i="4"/>
  <c r="C49" i="4"/>
  <c r="E50" i="4"/>
  <c r="F50" i="4" s="1"/>
  <c r="A41" i="4"/>
  <c r="A50" i="4"/>
  <c r="C50" i="4"/>
  <c r="C51" i="4"/>
  <c r="F65" i="4"/>
  <c r="E51" i="4"/>
  <c r="F51" i="4"/>
  <c r="D60" i="4"/>
  <c r="D85" i="4"/>
  <c r="D86" i="4"/>
  <c r="C73" i="4"/>
  <c r="C85" i="4"/>
  <c r="E85" i="4"/>
  <c r="C8" i="4"/>
  <c r="E8" i="4"/>
  <c r="F8" i="4"/>
  <c r="C9" i="4"/>
  <c r="E9" i="4"/>
  <c r="F9" i="4" s="1"/>
  <c r="C10" i="4"/>
  <c r="E10" i="4"/>
  <c r="F10" i="4" s="1"/>
  <c r="C11" i="4"/>
  <c r="E11" i="4"/>
  <c r="F11" i="4"/>
  <c r="C12" i="4"/>
  <c r="E12" i="4"/>
  <c r="F12" i="4"/>
  <c r="C13" i="4"/>
  <c r="E13" i="4"/>
  <c r="F13" i="4" s="1"/>
  <c r="C14" i="4"/>
  <c r="E14" i="4"/>
  <c r="F14" i="4" s="1"/>
  <c r="C17" i="4"/>
  <c r="E18" i="4"/>
  <c r="F18" i="4"/>
  <c r="C18" i="4"/>
  <c r="E19" i="4"/>
  <c r="F19" i="4"/>
  <c r="C19" i="4"/>
  <c r="E20" i="4"/>
  <c r="F20" i="4" s="1"/>
  <c r="C20" i="4"/>
  <c r="E21" i="4"/>
  <c r="F21" i="4" s="1"/>
  <c r="C21" i="4"/>
  <c r="E22" i="4"/>
  <c r="F22" i="4"/>
  <c r="C22" i="4"/>
  <c r="E23" i="4"/>
  <c r="F23" i="4" s="1"/>
  <c r="C23" i="4"/>
  <c r="E24" i="4"/>
  <c r="F24" i="4" s="1"/>
  <c r="C24" i="4"/>
  <c r="C27" i="4"/>
  <c r="E27" i="4"/>
  <c r="F27" i="4"/>
  <c r="C28" i="4"/>
  <c r="E28" i="4"/>
  <c r="F28" i="4" s="1"/>
  <c r="C29" i="4"/>
  <c r="E29" i="4"/>
  <c r="F29" i="4" s="1"/>
  <c r="C30" i="4"/>
  <c r="E30" i="4"/>
  <c r="F30" i="4" s="1"/>
  <c r="C31" i="4"/>
  <c r="E31" i="4"/>
  <c r="F31" i="4"/>
  <c r="C32" i="4"/>
  <c r="E32" i="4"/>
  <c r="F32" i="4" s="1"/>
  <c r="E35" i="4"/>
  <c r="F35" i="4" s="1"/>
  <c r="C35" i="4"/>
  <c r="E36" i="4"/>
  <c r="F36" i="4" s="1"/>
  <c r="C36" i="4"/>
  <c r="E37" i="4"/>
  <c r="F37" i="4" s="1"/>
  <c r="C37" i="4"/>
  <c r="E38" i="4"/>
  <c r="F38" i="4"/>
  <c r="C38" i="4"/>
  <c r="E39" i="4"/>
  <c r="F39" i="4" s="1"/>
  <c r="C39" i="4"/>
  <c r="E40" i="4"/>
  <c r="F40" i="4" s="1"/>
  <c r="E41" i="4"/>
  <c r="F41" i="4"/>
  <c r="C41" i="4"/>
  <c r="D83" i="4"/>
  <c r="D81" i="4"/>
  <c r="D69" i="4"/>
  <c r="D73" i="4"/>
  <c r="D74" i="4"/>
  <c r="D76" i="4"/>
  <c r="D71" i="4"/>
  <c r="D50" i="4"/>
  <c r="B50" i="4"/>
  <c r="D49" i="4"/>
  <c r="B49" i="4"/>
  <c r="D48" i="4"/>
  <c r="B48" i="4"/>
  <c r="D47" i="4"/>
  <c r="B47" i="4"/>
  <c r="D46" i="4"/>
  <c r="B46" i="4"/>
  <c r="D45" i="4"/>
  <c r="B45" i="4"/>
  <c r="D44" i="4"/>
  <c r="B44" i="4"/>
  <c r="E42" i="4"/>
  <c r="F42" i="4" s="1"/>
  <c r="C42" i="4"/>
  <c r="D42" i="4"/>
  <c r="B42" i="4"/>
  <c r="D41" i="4"/>
  <c r="B41" i="4"/>
  <c r="D40" i="4"/>
  <c r="B40" i="4"/>
  <c r="D39" i="4"/>
  <c r="B39" i="4"/>
  <c r="D38" i="4"/>
  <c r="B38" i="4"/>
  <c r="D37" i="4"/>
  <c r="B37" i="4"/>
  <c r="D36" i="4"/>
  <c r="B36" i="4"/>
  <c r="D35" i="4"/>
  <c r="B35" i="4"/>
  <c r="D32" i="4"/>
  <c r="B32" i="4"/>
  <c r="D31" i="4"/>
  <c r="B31" i="4"/>
  <c r="D30" i="4"/>
  <c r="B30" i="4"/>
  <c r="D29" i="4"/>
  <c r="B29" i="4"/>
  <c r="D28" i="4"/>
  <c r="B28" i="4"/>
  <c r="D27" i="4"/>
  <c r="B27" i="4"/>
  <c r="D24" i="4"/>
  <c r="B24" i="4"/>
  <c r="D23" i="4"/>
  <c r="B23" i="4"/>
  <c r="D22" i="4"/>
  <c r="B22" i="4"/>
  <c r="D21" i="4"/>
  <c r="B21" i="4"/>
  <c r="D20" i="4"/>
  <c r="B20" i="4"/>
  <c r="D19" i="4"/>
  <c r="B19" i="4"/>
  <c r="D18" i="4"/>
  <c r="B18" i="4"/>
  <c r="D17" i="4"/>
  <c r="B17" i="4"/>
  <c r="B15" i="4"/>
  <c r="D14" i="4"/>
  <c r="B14" i="4"/>
  <c r="D13" i="4"/>
  <c r="B13" i="4"/>
  <c r="D12" i="4"/>
  <c r="B12" i="4"/>
  <c r="D11" i="4"/>
  <c r="B11" i="4"/>
  <c r="D10" i="4"/>
  <c r="B10" i="4"/>
  <c r="D9" i="4"/>
  <c r="B9" i="4"/>
  <c r="D8" i="4"/>
  <c r="B8" i="4"/>
  <c r="H6" i="4"/>
  <c r="F47" i="4"/>
  <c r="E73" i="4"/>
  <c r="C40" i="4"/>
  <c r="F53" i="6" l="1"/>
  <c r="F53" i="4"/>
  <c r="F54" i="6"/>
  <c r="F56" i="4"/>
  <c r="F56" i="6"/>
  <c r="F54" i="4"/>
  <c r="C74" i="6" l="1"/>
  <c r="H56" i="6"/>
  <c r="H2" i="6" s="1"/>
  <c r="C74" i="4"/>
  <c r="H56" i="4"/>
  <c r="H2" i="4" s="1"/>
  <c r="H54" i="6"/>
  <c r="G2" i="6" s="1"/>
  <c r="C76" i="6"/>
  <c r="E76" i="6" s="1"/>
  <c r="H53" i="6"/>
  <c r="F2" i="6" s="1"/>
  <c r="C69" i="6"/>
  <c r="F55" i="6"/>
  <c r="F64" i="6"/>
  <c r="H54" i="4"/>
  <c r="C76" i="4"/>
  <c r="E76" i="4" s="1"/>
  <c r="H53" i="4"/>
  <c r="F64" i="4"/>
  <c r="F55" i="4"/>
  <c r="C69" i="4"/>
  <c r="O54" i="4" l="1"/>
  <c r="H55" i="4"/>
  <c r="F63" i="4"/>
  <c r="F2" i="4"/>
  <c r="E6" i="5"/>
  <c r="F6" i="5" s="1"/>
  <c r="E74" i="4"/>
  <c r="C86" i="4"/>
  <c r="E86" i="4" s="1"/>
  <c r="E9" i="5"/>
  <c r="F9" i="5" s="1"/>
  <c r="G2" i="4"/>
  <c r="E69" i="6"/>
  <c r="C81" i="6"/>
  <c r="E81" i="6" s="1"/>
  <c r="E69" i="4"/>
  <c r="E78" i="4" s="1"/>
  <c r="C81" i="4"/>
  <c r="E81" i="4" s="1"/>
  <c r="O54" i="6"/>
  <c r="F63" i="6"/>
  <c r="H55" i="6"/>
  <c r="C86" i="6"/>
  <c r="E86" i="6" s="1"/>
  <c r="E74" i="6"/>
  <c r="E78" i="6" l="1"/>
  <c r="F12" i="5"/>
  <c r="F11" i="5"/>
  <c r="O55" i="6"/>
  <c r="O56" i="6"/>
  <c r="O57" i="6" s="1"/>
  <c r="O59" i="6" s="1"/>
  <c r="O58" i="6"/>
  <c r="E63" i="4"/>
  <c r="F66" i="4"/>
  <c r="C71" i="4"/>
  <c r="G63" i="4"/>
  <c r="G63" i="6"/>
  <c r="F66" i="6"/>
  <c r="C71" i="6"/>
  <c r="E63" i="6"/>
  <c r="O58" i="4"/>
  <c r="O56" i="4"/>
  <c r="O55" i="4"/>
  <c r="F16" i="5" s="1"/>
  <c r="O61" i="6" l="1"/>
  <c r="O62" i="6" s="1"/>
  <c r="O60" i="6"/>
  <c r="F18" i="5"/>
  <c r="E71" i="4"/>
  <c r="C83" i="4"/>
  <c r="E83" i="4" s="1"/>
  <c r="G31" i="4"/>
  <c r="G19" i="4"/>
  <c r="G18" i="4"/>
  <c r="G38" i="4"/>
  <c r="G66" i="4"/>
  <c r="G22" i="4"/>
  <c r="G44" i="4"/>
  <c r="G27" i="4"/>
  <c r="G12" i="4"/>
  <c r="G46" i="4"/>
  <c r="G8" i="4"/>
  <c r="G65" i="4"/>
  <c r="G51" i="4"/>
  <c r="G11" i="4"/>
  <c r="G45" i="4"/>
  <c r="G20" i="4"/>
  <c r="G37" i="4"/>
  <c r="G49" i="4"/>
  <c r="G30" i="4"/>
  <c r="G39" i="4"/>
  <c r="G17" i="4"/>
  <c r="G50" i="4"/>
  <c r="G10" i="4"/>
  <c r="G36" i="4"/>
  <c r="G29" i="4"/>
  <c r="G35" i="4"/>
  <c r="G47" i="4"/>
  <c r="G24" i="4"/>
  <c r="G13" i="4"/>
  <c r="G23" i="4"/>
  <c r="G28" i="4"/>
  <c r="G40" i="4"/>
  <c r="G9" i="4"/>
  <c r="G32" i="4"/>
  <c r="G48" i="4"/>
  <c r="G41" i="4"/>
  <c r="G42" i="4"/>
  <c r="G21" i="4"/>
  <c r="G14" i="4"/>
  <c r="G54" i="4"/>
  <c r="G56" i="4"/>
  <c r="G53" i="4"/>
  <c r="G55" i="4"/>
  <c r="G64" i="4"/>
  <c r="O57" i="4"/>
  <c r="O59" i="4" s="1"/>
  <c r="C83" i="6"/>
  <c r="E83" i="6" s="1"/>
  <c r="E71" i="6"/>
  <c r="F13" i="5"/>
  <c r="G8" i="6"/>
  <c r="G13" i="6"/>
  <c r="G18" i="6"/>
  <c r="G30" i="6"/>
  <c r="G35" i="6"/>
  <c r="G12" i="6"/>
  <c r="G17" i="6"/>
  <c r="G29" i="6"/>
  <c r="G51" i="6"/>
  <c r="G21" i="6"/>
  <c r="G44" i="6"/>
  <c r="G36" i="6"/>
  <c r="G19" i="6"/>
  <c r="G66" i="6"/>
  <c r="G65" i="6"/>
  <c r="G9" i="6"/>
  <c r="G37" i="6"/>
  <c r="G38" i="6"/>
  <c r="G28" i="6"/>
  <c r="G40" i="6"/>
  <c r="G14" i="6"/>
  <c r="G23" i="6"/>
  <c r="G41" i="6"/>
  <c r="G32" i="6"/>
  <c r="G10" i="6"/>
  <c r="G50" i="6"/>
  <c r="G47" i="6"/>
  <c r="G31" i="6"/>
  <c r="G24" i="6"/>
  <c r="G48" i="6"/>
  <c r="G49" i="6"/>
  <c r="G45" i="6"/>
  <c r="G27" i="6"/>
  <c r="G20" i="6"/>
  <c r="G46" i="6"/>
  <c r="G22" i="6"/>
  <c r="G39" i="6"/>
  <c r="G11" i="6"/>
  <c r="G53" i="6"/>
  <c r="G56" i="6"/>
  <c r="G54" i="6"/>
  <c r="G55" i="6"/>
  <c r="G64" i="6"/>
  <c r="E2" i="6" l="1"/>
  <c r="P62" i="6"/>
  <c r="F15" i="5"/>
  <c r="F20" i="5"/>
  <c r="O60" i="4"/>
  <c r="O61" i="4" s="1"/>
  <c r="O62" i="4" s="1"/>
  <c r="E2" i="4" l="1"/>
  <c r="P62" i="4"/>
  <c r="F17" i="5"/>
  <c r="F19" i="5"/>
  <c r="F21" i="5" l="1"/>
  <c r="G19" i="5"/>
  <c r="F22" i="5" l="1"/>
  <c r="F23" i="5" l="1"/>
  <c r="F27" i="5" l="1"/>
  <c r="G23" i="5"/>
  <c r="G9" i="5"/>
  <c r="G6" i="5"/>
  <c r="G12" i="5"/>
  <c r="G16" i="5"/>
  <c r="G11" i="5"/>
  <c r="G18" i="5"/>
  <c r="G13" i="5"/>
  <c r="G15" i="5"/>
  <c r="G20" i="5"/>
  <c r="G17" i="5"/>
  <c r="G21" i="5"/>
  <c r="G22" i="5"/>
  <c r="F28" i="5" l="1"/>
  <c r="F29" i="5" s="1"/>
  <c r="F30" i="5" l="1"/>
  <c r="F31" i="5"/>
  <c r="G29" i="5"/>
  <c r="F32" i="5" l="1"/>
  <c r="F34" i="5"/>
  <c r="F35" i="5" s="1"/>
  <c r="H29" i="5"/>
</calcChain>
</file>

<file path=xl/sharedStrings.xml><?xml version="1.0" encoding="utf-8"?>
<sst xmlns="http://schemas.openxmlformats.org/spreadsheetml/2006/main" count="649" uniqueCount="239">
  <si>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</si>
  <si>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</si>
  <si>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</si>
  <si>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</si>
  <si>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</si>
  <si>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</si>
  <si>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</si>
  <si>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</si>
  <si>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</si>
  <si>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</si>
  <si>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</si>
  <si>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</si>
  <si>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</si>
  <si>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</si>
  <si>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</si>
  <si>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</si>
  <si>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</si>
  <si>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</si>
  <si>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</si>
  <si>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EMPAQUE</t>
  </si>
  <si>
    <t>SERVICIOS DE PASTELERIA S.A.</t>
  </si>
  <si>
    <t>Unidad Internacional</t>
  </si>
  <si>
    <t>Horno:</t>
  </si>
  <si>
    <t>1112431</t>
  </si>
  <si>
    <t>0702069</t>
  </si>
  <si>
    <t>0702012</t>
  </si>
  <si>
    <t>Esteban Cartin, Gte Manufactura</t>
  </si>
  <si>
    <t>95717</t>
  </si>
  <si>
    <t>1950692</t>
  </si>
  <si>
    <t>701096</t>
  </si>
  <si>
    <t>FAS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</si>
  <si>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</si>
  <si>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</si>
  <si>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</si>
  <si>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</si>
  <si>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</si>
  <si>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</si>
  <si>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</si>
  <si>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</si>
  <si>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</si>
  <si>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</si>
  <si>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</si>
  <si>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</si>
  <si>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</si>
  <si>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</si>
  <si>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</si>
  <si>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</si>
  <si>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</si>
  <si>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</si>
  <si>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</si>
  <si>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</si>
  <si>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</si>
  <si>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</si>
  <si>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</si>
  <si>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</si>
  <si>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</si>
  <si>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</si>
  <si>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</si>
  <si>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</si>
  <si>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</si>
  <si>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</si>
  <si>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</si>
  <si>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</si>
  <si>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</si>
  <si>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</si>
  <si>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</si>
  <si>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</si>
  <si>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</si>
  <si>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</si>
  <si>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</si>
  <si>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</si>
  <si>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</si>
  <si>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</si>
  <si>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</si>
  <si>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</si>
  <si>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</si>
  <si>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</si>
  <si>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</si>
  <si>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</si>
  <si>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</si>
  <si>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</si>
  <si>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</si>
  <si>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</si>
  <si>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</si>
  <si>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</si>
  <si>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</si>
  <si>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</si>
  <si>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</si>
  <si>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</si>
  <si>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</si>
  <si>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</si>
  <si>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</si>
  <si>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</si>
  <si>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% MK</t>
  </si>
  <si>
    <t>TRANSFERENCIA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</si>
  <si>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</si>
  <si>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</si>
  <si>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</si>
  <si>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</si>
  <si>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</si>
  <si>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</si>
  <si>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</si>
  <si>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</si>
  <si>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</si>
  <si>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</si>
  <si>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</si>
  <si>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906000002</t>
  </si>
  <si>
    <t>910000006</t>
  </si>
  <si>
    <t>51400015</t>
  </si>
  <si>
    <t xml:space="preserve">Torta Chilena </t>
  </si>
  <si>
    <t>95471</t>
  </si>
  <si>
    <t>CORTE GALLETA GDE P/TORTA CHILENA GRANDE</t>
  </si>
  <si>
    <t>11400066</t>
  </si>
  <si>
    <t>MANJAR DE LECHE CONDENSADA (6 KG )</t>
  </si>
  <si>
    <t xml:space="preserve">UND </t>
  </si>
  <si>
    <t>UND</t>
  </si>
  <si>
    <t>Gramos</t>
  </si>
  <si>
    <t>SE00204</t>
  </si>
  <si>
    <t>MP10007</t>
  </si>
  <si>
    <t>SE00010</t>
  </si>
  <si>
    <t>EM10124</t>
  </si>
  <si>
    <t>EM10008</t>
  </si>
  <si>
    <t>EM10002</t>
  </si>
  <si>
    <t>EM10005</t>
  </si>
  <si>
    <t>EM10369</t>
  </si>
  <si>
    <t>SE00038</t>
  </si>
  <si>
    <t>AREA QUE PRODUCE:</t>
  </si>
  <si>
    <t>Decoración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</si>
  <si>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</si>
  <si>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</si>
  <si>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</si>
  <si>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</si>
  <si>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</si>
  <si>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</si>
  <si>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Empaque</t>
  </si>
  <si>
    <t>Tiempo de Horneo:</t>
  </si>
  <si>
    <t>Temperatura de Horneo:</t>
  </si>
  <si>
    <t>Otros</t>
  </si>
  <si>
    <t>CONTROL DE CAMBIOS</t>
  </si>
  <si>
    <t xml:space="preserve">QUEQUERA DOMO #10 BAJO </t>
  </si>
  <si>
    <t>FILTROS :</t>
  </si>
  <si>
    <t>SUBSIDIARIA</t>
  </si>
  <si>
    <t>Empresa principal : Servicios de Pastelería S.A.</t>
  </si>
  <si>
    <t>ARTÍCULO</t>
  </si>
  <si>
    <t>PTI00162 Torta Chilena Bucca 1220 grs</t>
  </si>
  <si>
    <t>UBICACIÓN</t>
  </si>
  <si>
    <t>Bodega Administrativa</t>
  </si>
  <si>
    <t>LISTA DE MATERIALES</t>
  </si>
  <si>
    <t>BOM PTI00162</t>
  </si>
  <si>
    <t>CONTROL DE VISUALIZACIÓN</t>
  </si>
  <si>
    <t>Por revisión</t>
  </si>
  <si>
    <t>FECHA/FECHA EFECTIVA</t>
  </si>
  <si>
    <t>01/08/2023</t>
  </si>
  <si>
    <t>REVISIÓN DE LISTA DE MATERIALES</t>
  </si>
  <si>
    <t>REV V1 BOM PTI00162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</si>
  <si>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</si>
  <si>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</si>
  <si>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</si>
  <si>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</si>
  <si>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</si>
  <si>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</si>
  <si>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</si>
  <si>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</si>
  <si>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</si>
  <si>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</si>
  <si>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</si>
  <si>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</si>
  <si>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CRC4,819.15</t>
  </si>
  <si>
    <t>CRC4,819.15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</si>
  <si>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</si>
  <si>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</si>
  <si>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</si>
  <si>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</si>
  <si>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</si>
  <si>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</si>
  <si>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</si>
  <si>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</si>
  <si>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Manjar Leche Condensada</t>
  </si>
  <si>
    <t>600</t>
  </si>
  <si>
    <t>100%</t>
  </si>
  <si>
    <t>2.12736833</t>
  </si>
  <si>
    <t>GRAMOS</t>
  </si>
  <si>
    <t>1,276.42</t>
  </si>
  <si>
    <t>Etiqueta Blanca R-153</t>
  </si>
  <si>
    <t>0.39</t>
  </si>
  <si>
    <t>Etiqueta Torta Chilena Bucca</t>
  </si>
  <si>
    <t>194.00</t>
  </si>
  <si>
    <t>Etiq.Blanca 1 1/4 * 3/4</t>
  </si>
  <si>
    <t>0.58</t>
  </si>
  <si>
    <t>Etiq.Fecha Vencimiento Verde</t>
  </si>
  <si>
    <t>0.38</t>
  </si>
  <si>
    <t>EM10023</t>
  </si>
  <si>
    <t>Quequera Chilena</t>
  </si>
  <si>
    <t>502.786</t>
  </si>
  <si>
    <t>502.79</t>
  </si>
  <si>
    <t>Orla Carton 10" Dorada</t>
  </si>
  <si>
    <t>112.008</t>
  </si>
  <si>
    <t>112.01</t>
  </si>
  <si>
    <t>SC-MO1</t>
  </si>
  <si>
    <t>Mano de Obra</t>
  </si>
  <si>
    <t>10.345</t>
  </si>
  <si>
    <t>77.00</t>
  </si>
  <si>
    <t>796.57</t>
  </si>
  <si>
    <t>SC-GIF1</t>
  </si>
  <si>
    <t>Gastos Indirectos Fabricación</t>
  </si>
  <si>
    <t>83.00</t>
  </si>
  <si>
    <t>858.64</t>
  </si>
  <si>
    <t>Crema Chantilly Blanca (Spoon-Ind)</t>
  </si>
  <si>
    <t>0.2</t>
  </si>
  <si>
    <t>2,172.4940968</t>
  </si>
  <si>
    <t>KILOGRAMOS</t>
  </si>
  <si>
    <t>434.50</t>
  </si>
  <si>
    <t>Mezcla Dulce Leche Bettercream con agua</t>
  </si>
  <si>
    <t>0.008</t>
  </si>
  <si>
    <t>4,507.33926</t>
  </si>
  <si>
    <t>36.06</t>
  </si>
  <si>
    <t>Corte Galleta Chilena Grande</t>
  </si>
  <si>
    <t>4</t>
  </si>
  <si>
    <t>151.70214923</t>
  </si>
  <si>
    <t>606.81</t>
  </si>
  <si>
    <t>Torta Chilena Bucca Actual</t>
  </si>
  <si>
    <t xml:space="preserve">Torta Chilena Bucca Reing </t>
  </si>
  <si>
    <t>Juan Pablo Brenes, Chef</t>
  </si>
  <si>
    <t>Pastas</t>
  </si>
  <si>
    <t>906000035</t>
  </si>
  <si>
    <t>SE00177</t>
  </si>
  <si>
    <t>PASTA TORTA CHILENA SPOON KILO</t>
  </si>
  <si>
    <t>90100137</t>
  </si>
  <si>
    <t>SE00183</t>
  </si>
  <si>
    <t>EMPAQUE HARINA ESTANDAR (KILO)</t>
  </si>
  <si>
    <t>min</t>
  </si>
  <si>
    <t>Galletas</t>
  </si>
  <si>
    <t>SE00763 Corte Galleta Chilena Grande 120g FAS 19.5cms</t>
  </si>
  <si>
    <r>
      <rPr>
        <b/>
        <sz val="16"/>
        <rFont val="Arial"/>
        <family val="2"/>
      </rPr>
      <t>1-.</t>
    </r>
    <r>
      <rPr>
        <sz val="16"/>
        <rFont val="Arial"/>
        <family val="2"/>
      </rPr>
      <t xml:space="preserve"> Laminar la masa hasta 4 mm con ayuda e la maquina, hacer huecos con el zorro. En la laminadora Rondo a 2.8, en la laminadora Kemplex 3.</t>
    </r>
  </si>
  <si>
    <r>
      <rPr>
        <b/>
        <sz val="16"/>
        <rFont val="Arial"/>
        <family val="2"/>
      </rPr>
      <t>2-.</t>
    </r>
    <r>
      <rPr>
        <sz val="16"/>
        <rFont val="Arial"/>
        <family val="2"/>
      </rPr>
      <t xml:space="preserve"> Cortar con cortador redondo de19.5 cm diametro y colocar los  circulos en la bandeja</t>
    </r>
  </si>
  <si>
    <r>
      <rPr>
        <b/>
        <sz val="16"/>
        <rFont val="Arial"/>
        <family val="2"/>
      </rPr>
      <t>3-.</t>
    </r>
    <r>
      <rPr>
        <sz val="16"/>
        <rFont val="Arial"/>
        <family val="2"/>
      </rPr>
      <t xml:space="preserve"> Llevar al horno en Dicte 1 por 23 min a 170°C o Dicte 2 por 22 a 24 min a 170°C.</t>
    </r>
  </si>
  <si>
    <r>
      <rPr>
        <b/>
        <sz val="16"/>
        <rFont val="Arial"/>
        <family val="2"/>
      </rPr>
      <t>4-.</t>
    </r>
    <r>
      <rPr>
        <sz val="16"/>
        <rFont val="Arial"/>
        <family val="2"/>
      </rPr>
      <t xml:space="preserve"> Enfriar.</t>
    </r>
  </si>
  <si>
    <t>01</t>
  </si>
  <si>
    <t>ESP-RE-PAPS-039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</si>
</sst>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20"/>
      <name val="Century Gothic"/>
      <family val="2"/>
    </font>
    <font>
      <b/>
      <sz val="12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1">
    <xf numFmtId="0" fontId="0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0" fontId="2" fillId="0" borderId="0"/>
    <xf numFmtId="0" fontId="51" fillId="0" borderId="0" applyNumberFormat="0" applyFill="0" applyBorder="0" applyAlignment="0" applyProtection="0"/>
    <xf numFmtId="0" fontId="52" fillId="0" borderId="53" applyNumberFormat="0" applyFill="0" applyAlignment="0" applyProtection="0"/>
    <xf numFmtId="0" fontId="53" fillId="0" borderId="54" applyNumberFormat="0" applyFill="0" applyAlignment="0" applyProtection="0"/>
    <xf numFmtId="0" fontId="54" fillId="0" borderId="55" applyNumberFormat="0" applyFill="0" applyAlignment="0" applyProtection="0"/>
    <xf numFmtId="0" fontId="54" fillId="0" borderId="0" applyNumberFormat="0" applyFill="0" applyBorder="0" applyAlignment="0" applyProtection="0"/>
    <xf numFmtId="0" fontId="55" fillId="13" borderId="0" applyNumberFormat="0" applyBorder="0" applyAlignment="0" applyProtection="0"/>
    <xf numFmtId="0" fontId="56" fillId="14" borderId="0" applyNumberFormat="0" applyBorder="0" applyAlignment="0" applyProtection="0"/>
    <xf numFmtId="0" fontId="57" fillId="15" borderId="0" applyNumberFormat="0" applyBorder="0" applyAlignment="0" applyProtection="0"/>
    <xf numFmtId="0" fontId="58" fillId="16" borderId="56" applyNumberFormat="0" applyAlignment="0" applyProtection="0"/>
    <xf numFmtId="0" fontId="59" fillId="17" borderId="57" applyNumberFormat="0" applyAlignment="0" applyProtection="0"/>
    <xf numFmtId="0" fontId="60" fillId="17" borderId="56" applyNumberFormat="0" applyAlignment="0" applyProtection="0"/>
    <xf numFmtId="0" fontId="61" fillId="0" borderId="58" applyNumberFormat="0" applyFill="0" applyAlignment="0" applyProtection="0"/>
    <xf numFmtId="0" fontId="62" fillId="18" borderId="59" applyNumberFormat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61" applyNumberFormat="0" applyFill="0" applyAlignment="0" applyProtection="0"/>
    <xf numFmtId="0" fontId="6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6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66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66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19" borderId="60" applyNumberFormat="0" applyFont="0" applyAlignment="0" applyProtection="0"/>
    <xf numFmtId="0" fontId="3" fillId="0" borderId="0"/>
  </cellStyleXfs>
  <cellXfs count="331">
    <xf numFmtId="0" fontId="0" fillId="0" borderId="0" xfId="0"/>
    <xf numFmtId="0" fontId="7" fillId="2" borderId="1" xfId="4" applyFont="1" applyFill="1" applyBorder="1" applyAlignment="1">
      <alignment horizontal="right"/>
    </xf>
    <xf numFmtId="0" fontId="7" fillId="2" borderId="2" xfId="4" applyFont="1" applyFill="1" applyBorder="1" applyAlignment="1">
      <alignment horizontal="right"/>
    </xf>
    <xf numFmtId="0" fontId="6" fillId="2" borderId="3" xfId="4" applyFont="1" applyFill="1" applyBorder="1" applyAlignment="1">
      <alignment horizontal="right"/>
    </xf>
    <xf numFmtId="0" fontId="6" fillId="2" borderId="2" xfId="4" applyFont="1" applyFill="1" applyBorder="1" applyAlignment="1">
      <alignment horizontal="right"/>
    </xf>
    <xf numFmtId="49" fontId="6" fillId="2" borderId="4" xfId="4" applyNumberFormat="1" applyFont="1" applyFill="1" applyBorder="1" applyAlignment="1">
      <alignment horizontal="center"/>
    </xf>
    <xf numFmtId="0" fontId="6" fillId="2" borderId="11" xfId="4" applyFont="1" applyFill="1" applyBorder="1" applyAlignment="1">
      <alignment horizontal="center"/>
    </xf>
    <xf numFmtId="0" fontId="9" fillId="9" borderId="0" xfId="0" applyFont="1" applyFill="1" applyAlignment="1">
      <alignment vertical="center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12" fillId="0" borderId="2" xfId="1" applyFont="1" applyFill="1" applyBorder="1" applyAlignment="1">
      <alignment horizontal="center" vertical="center"/>
    </xf>
    <xf numFmtId="166" fontId="12" fillId="0" borderId="0" xfId="1" applyFont="1" applyFill="1" applyBorder="1" applyAlignment="1">
      <alignment horizontal="center" vertical="center"/>
    </xf>
    <xf numFmtId="166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5" applyNumberFormat="1" applyFont="1" applyFill="1" applyAlignment="1">
      <alignment vertical="center"/>
    </xf>
    <xf numFmtId="49" fontId="12" fillId="0" borderId="0" xfId="0" applyNumberFormat="1" applyFont="1" applyAlignment="1">
      <alignment horizontal="center"/>
    </xf>
    <xf numFmtId="0" fontId="9" fillId="0" borderId="0" xfId="0" applyFont="1"/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166" fontId="9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166" fontId="20" fillId="0" borderId="0" xfId="1" applyFont="1" applyFill="1" applyAlignment="1">
      <alignment horizontal="center" vertical="center"/>
    </xf>
    <xf numFmtId="10" fontId="13" fillId="4" borderId="17" xfId="5" applyNumberFormat="1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/>
    </xf>
    <xf numFmtId="166" fontId="20" fillId="4" borderId="18" xfId="1" applyFont="1" applyFill="1" applyBorder="1" applyAlignment="1">
      <alignment horizontal="center" vertical="center"/>
    </xf>
    <xf numFmtId="166" fontId="22" fillId="0" borderId="0" xfId="1" applyFont="1" applyFill="1" applyBorder="1" applyAlignment="1">
      <alignment horizontal="right"/>
    </xf>
    <xf numFmtId="0" fontId="9" fillId="4" borderId="18" xfId="0" applyFont="1" applyFill="1" applyBorder="1" applyAlignment="1">
      <alignment vertical="center"/>
    </xf>
    <xf numFmtId="10" fontId="13" fillId="4" borderId="18" xfId="5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48" fillId="0" borderId="0" xfId="5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9" xfId="0" applyFont="1" applyBorder="1" applyAlignment="1">
      <alignment horizontal="right"/>
    </xf>
    <xf numFmtId="166" fontId="25" fillId="5" borderId="20" xfId="1" applyFont="1" applyFill="1" applyBorder="1" applyAlignment="1">
      <alignment horizontal="right"/>
    </xf>
    <xf numFmtId="166" fontId="25" fillId="0" borderId="0" xfId="1" applyFont="1" applyFill="1" applyBorder="1" applyAlignment="1">
      <alignment horizontal="right"/>
    </xf>
    <xf numFmtId="166" fontId="12" fillId="0" borderId="2" xfId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4" fontId="20" fillId="0" borderId="0" xfId="2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horizontal="right"/>
    </xf>
    <xf numFmtId="169" fontId="12" fillId="4" borderId="2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6" fontId="12" fillId="6" borderId="2" xfId="1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1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0" fontId="9" fillId="4" borderId="21" xfId="0" applyFont="1" applyFill="1" applyBorder="1" applyAlignment="1">
      <alignment vertical="center"/>
    </xf>
    <xf numFmtId="10" fontId="9" fillId="0" borderId="0" xfId="5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6" fontId="25" fillId="4" borderId="7" xfId="1" applyFont="1" applyFill="1" applyBorder="1" applyAlignment="1">
      <alignment horizontal="right"/>
    </xf>
    <xf numFmtId="0" fontId="12" fillId="4" borderId="8" xfId="0" applyFont="1" applyFill="1" applyBorder="1" applyAlignment="1">
      <alignment horizontal="right" vertical="center"/>
    </xf>
    <xf numFmtId="10" fontId="30" fillId="0" borderId="0" xfId="1" applyNumberFormat="1" applyFont="1" applyFill="1" applyAlignment="1">
      <alignment vertical="center"/>
    </xf>
    <xf numFmtId="10" fontId="13" fillId="0" borderId="0" xfId="5" applyNumberFormat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166" fontId="32" fillId="0" borderId="0" xfId="1" applyFont="1" applyFill="1" applyAlignment="1">
      <alignment vertical="center"/>
    </xf>
    <xf numFmtId="4" fontId="33" fillId="0" borderId="0" xfId="2" applyNumberFormat="1" applyFont="1" applyFill="1" applyAlignment="1">
      <alignment horizontal="center" vertical="center" wrapText="1"/>
    </xf>
    <xf numFmtId="9" fontId="9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2" fillId="7" borderId="20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166" fontId="34" fillId="0" borderId="0" xfId="1" applyFont="1" applyFill="1" applyAlignment="1">
      <alignment vertical="center"/>
    </xf>
    <xf numFmtId="9" fontId="34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vertical="center"/>
    </xf>
    <xf numFmtId="166" fontId="27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6" fontId="9" fillId="0" borderId="0" xfId="1" applyFont="1" applyFill="1" applyBorder="1"/>
    <xf numFmtId="10" fontId="27" fillId="0" borderId="0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166" fontId="9" fillId="0" borderId="0" xfId="1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6" fontId="12" fillId="0" borderId="0" xfId="0" applyNumberFormat="1" applyFont="1"/>
    <xf numFmtId="0" fontId="10" fillId="0" borderId="0" xfId="0" applyFont="1"/>
    <xf numFmtId="0" fontId="39" fillId="0" borderId="2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wrapText="1"/>
    </xf>
    <xf numFmtId="0" fontId="25" fillId="0" borderId="0" xfId="0" applyFont="1"/>
    <xf numFmtId="0" fontId="25" fillId="0" borderId="0" xfId="0" applyFont="1" applyAlignment="1">
      <alignment horizontal="center"/>
    </xf>
    <xf numFmtId="166" fontId="25" fillId="0" borderId="0" xfId="1" applyFont="1"/>
    <xf numFmtId="4" fontId="25" fillId="0" borderId="0" xfId="1" applyNumberFormat="1" applyFont="1" applyAlignment="1">
      <alignment horizontal="right"/>
    </xf>
    <xf numFmtId="9" fontId="25" fillId="0" borderId="0" xfId="5" applyFont="1" applyAlignment="1">
      <alignment horizontal="right"/>
    </xf>
    <xf numFmtId="49" fontId="25" fillId="0" borderId="0" xfId="2" applyNumberFormat="1" applyFont="1" applyAlignment="1">
      <alignment horizontal="center"/>
    </xf>
    <xf numFmtId="0" fontId="22" fillId="0" borderId="0" xfId="0" applyFont="1"/>
    <xf numFmtId="166" fontId="40" fillId="0" borderId="0" xfId="1" applyFont="1" applyFill="1" applyBorder="1" applyAlignment="1">
      <alignment horizontal="center"/>
    </xf>
    <xf numFmtId="0" fontId="40" fillId="0" borderId="0" xfId="0" applyFont="1"/>
    <xf numFmtId="4" fontId="40" fillId="0" borderId="0" xfId="2" applyNumberFormat="1" applyFont="1" applyFill="1" applyBorder="1"/>
    <xf numFmtId="4" fontId="40" fillId="0" borderId="0" xfId="2" applyNumberFormat="1" applyFont="1" applyFill="1" applyBorder="1" applyAlignment="1">
      <alignment horizontal="right"/>
    </xf>
    <xf numFmtId="9" fontId="23" fillId="0" borderId="0" xfId="5" applyFont="1" applyFill="1"/>
    <xf numFmtId="49" fontId="40" fillId="0" borderId="0" xfId="2" applyNumberFormat="1" applyFont="1" applyFill="1" applyBorder="1" applyAlignment="1">
      <alignment horizontal="center"/>
    </xf>
    <xf numFmtId="9" fontId="25" fillId="0" borderId="0" xfId="5" applyFont="1" applyFill="1" applyAlignment="1">
      <alignment vertical="center"/>
    </xf>
    <xf numFmtId="166" fontId="22" fillId="0" borderId="23" xfId="1" applyFont="1" applyFill="1" applyBorder="1" applyAlignment="1">
      <alignment horizontal="right"/>
    </xf>
    <xf numFmtId="9" fontId="23" fillId="0" borderId="0" xfId="1" applyNumberFormat="1" applyFont="1" applyFill="1" applyBorder="1"/>
    <xf numFmtId="4" fontId="23" fillId="0" borderId="0" xfId="1" applyNumberFormat="1" applyFont="1" applyFill="1" applyBorder="1" applyAlignment="1">
      <alignment horizontal="right"/>
    </xf>
    <xf numFmtId="10" fontId="22" fillId="0" borderId="0" xfId="5" applyNumberFormat="1" applyFont="1" applyFill="1" applyAlignment="1">
      <alignment horizontal="right"/>
    </xf>
    <xf numFmtId="0" fontId="23" fillId="0" borderId="0" xfId="0" applyFont="1" applyAlignment="1">
      <alignment horizontal="center"/>
    </xf>
    <xf numFmtId="10" fontId="25" fillId="0" borderId="0" xfId="5" applyNumberFormat="1" applyFont="1" applyFill="1" applyBorder="1" applyAlignment="1">
      <alignment horizontal="right"/>
    </xf>
    <xf numFmtId="170" fontId="26" fillId="0" borderId="0" xfId="1" applyNumberFormat="1" applyFont="1" applyFill="1"/>
    <xf numFmtId="0" fontId="25" fillId="0" borderId="0" xfId="5" applyNumberFormat="1" applyFont="1" applyFill="1" applyAlignment="1">
      <alignment vertical="center"/>
    </xf>
    <xf numFmtId="2" fontId="23" fillId="0" borderId="0" xfId="0" applyNumberFormat="1" applyFont="1" applyAlignment="1">
      <alignment horizontal="center"/>
    </xf>
    <xf numFmtId="0" fontId="41" fillId="0" borderId="0" xfId="0" applyFont="1" applyAlignment="1">
      <alignment horizontal="right"/>
    </xf>
    <xf numFmtId="10" fontId="25" fillId="0" borderId="0" xfId="5" applyNumberFormat="1" applyFont="1" applyFill="1"/>
    <xf numFmtId="0" fontId="22" fillId="4" borderId="7" xfId="0" applyFont="1" applyFill="1" applyBorder="1"/>
    <xf numFmtId="0" fontId="22" fillId="0" borderId="13" xfId="0" applyFont="1" applyBorder="1" applyAlignment="1">
      <alignment horizontal="right"/>
    </xf>
    <xf numFmtId="10" fontId="24" fillId="0" borderId="0" xfId="5" applyNumberFormat="1" applyFont="1" applyFill="1" applyBorder="1"/>
    <xf numFmtId="166" fontId="25" fillId="9" borderId="0" xfId="1" applyFont="1" applyFill="1" applyBorder="1" applyAlignment="1">
      <alignment horizontal="right"/>
    </xf>
    <xf numFmtId="10" fontId="25" fillId="0" borderId="0" xfId="5" applyNumberFormat="1" applyFont="1" applyFill="1" applyAlignment="1">
      <alignment vertical="center"/>
    </xf>
    <xf numFmtId="9" fontId="23" fillId="0" borderId="0" xfId="5" applyFont="1" applyFill="1" applyAlignment="1">
      <alignment horizontal="center"/>
    </xf>
    <xf numFmtId="2" fontId="43" fillId="0" borderId="0" xfId="0" applyNumberFormat="1" applyFont="1" applyAlignment="1">
      <alignment horizontal="center"/>
    </xf>
    <xf numFmtId="10" fontId="45" fillId="0" borderId="0" xfId="5" applyNumberFormat="1" applyFont="1" applyFill="1" applyAlignment="1">
      <alignment horizontal="right"/>
    </xf>
    <xf numFmtId="3" fontId="25" fillId="3" borderId="20" xfId="0" applyNumberFormat="1" applyFont="1" applyFill="1" applyBorder="1" applyAlignment="1">
      <alignment horizontal="center"/>
    </xf>
    <xf numFmtId="10" fontId="24" fillId="0" borderId="0" xfId="5" applyNumberFormat="1" applyFont="1" applyFill="1" applyAlignment="1">
      <alignment horizontal="right"/>
    </xf>
    <xf numFmtId="1" fontId="24" fillId="0" borderId="0" xfId="0" applyNumberFormat="1" applyFont="1" applyAlignment="1">
      <alignment horizontal="center"/>
    </xf>
    <xf numFmtId="166" fontId="26" fillId="0" borderId="0" xfId="0" applyNumberFormat="1" applyFont="1" applyAlignment="1">
      <alignment horizontal="right"/>
    </xf>
    <xf numFmtId="10" fontId="24" fillId="0" borderId="0" xfId="5" applyNumberFormat="1" applyFont="1" applyFill="1"/>
    <xf numFmtId="0" fontId="22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0" fontId="46" fillId="0" borderId="0" xfId="5" applyNumberFormat="1" applyFont="1" applyFill="1"/>
    <xf numFmtId="0" fontId="47" fillId="0" borderId="0" xfId="0" applyFont="1" applyAlignment="1">
      <alignment horizontal="center"/>
    </xf>
    <xf numFmtId="10" fontId="44" fillId="11" borderId="0" xfId="5" applyNumberFormat="1" applyFont="1" applyFill="1" applyAlignment="1">
      <alignment horizontal="right"/>
    </xf>
    <xf numFmtId="166" fontId="22" fillId="11" borderId="0" xfId="1" applyFont="1" applyFill="1" applyBorder="1" applyAlignment="1">
      <alignment horizontal="right"/>
    </xf>
    <xf numFmtId="0" fontId="7" fillId="3" borderId="11" xfId="3" applyFont="1" applyFill="1" applyBorder="1" applyAlignment="1">
      <alignment horizontal="center" vertical="center" wrapText="1"/>
    </xf>
    <xf numFmtId="1" fontId="7" fillId="3" borderId="10" xfId="3" applyNumberFormat="1" applyFont="1" applyFill="1" applyBorder="1" applyAlignment="1">
      <alignment horizontal="center"/>
    </xf>
    <xf numFmtId="1" fontId="7" fillId="3" borderId="10" xfId="3" applyNumberFormat="1" applyFont="1" applyFill="1" applyBorder="1" applyAlignment="1">
      <alignment horizontal="center" wrapText="1"/>
    </xf>
    <xf numFmtId="0" fontId="7" fillId="3" borderId="52" xfId="3" applyFont="1" applyFill="1" applyBorder="1" applyAlignment="1">
      <alignment horizontal="center"/>
    </xf>
    <xf numFmtId="0" fontId="3" fillId="0" borderId="2" xfId="0" applyFont="1" applyBorder="1"/>
    <xf numFmtId="0" fontId="1" fillId="44" borderId="0" xfId="48" applyFill="1"/>
    <xf numFmtId="166" fontId="0" fillId="0" borderId="2" xfId="1" applyFont="1" applyBorder="1"/>
    <xf numFmtId="0" fontId="67" fillId="0" borderId="0" xfId="0" applyFont="1"/>
    <xf numFmtId="0" fontId="1" fillId="0" borderId="0" xfId="48"/>
    <xf numFmtId="0" fontId="68" fillId="0" borderId="2" xfId="3" applyFont="1" applyBorder="1" applyAlignment="1">
      <alignment horizontal="center" vertical="center"/>
    </xf>
    <xf numFmtId="1" fontId="68" fillId="0" borderId="2" xfId="3" applyNumberFormat="1" applyFont="1" applyBorder="1" applyAlignment="1">
      <alignment horizontal="center"/>
    </xf>
    <xf numFmtId="1" fontId="68" fillId="0" borderId="2" xfId="3" applyNumberFormat="1" applyFont="1" applyBorder="1" applyAlignment="1">
      <alignment horizontal="center" wrapText="1"/>
    </xf>
    <xf numFmtId="0" fontId="70" fillId="0" borderId="4" xfId="3" applyFont="1" applyBorder="1" applyAlignment="1">
      <alignment horizontal="center"/>
    </xf>
    <xf numFmtId="0" fontId="70" fillId="0" borderId="2" xfId="0" applyFont="1" applyBorder="1" applyAlignment="1">
      <alignment horizontal="center"/>
    </xf>
    <xf numFmtId="1" fontId="70" fillId="0" borderId="2" xfId="0" applyNumberFormat="1" applyFont="1" applyBorder="1" applyAlignment="1">
      <alignment horizontal="center"/>
    </xf>
    <xf numFmtId="171" fontId="70" fillId="0" borderId="2" xfId="3" applyNumberFormat="1" applyFont="1" applyBorder="1" applyAlignment="1">
      <alignment horizontal="center"/>
    </xf>
    <xf numFmtId="1" fontId="70" fillId="0" borderId="2" xfId="3" applyNumberFormat="1" applyFont="1" applyBorder="1" applyAlignment="1">
      <alignment horizontal="center"/>
    </xf>
    <xf numFmtId="1" fontId="70" fillId="0" borderId="2" xfId="3" applyNumberFormat="1" applyFont="1" applyBorder="1" applyAlignment="1">
      <alignment horizontal="center" wrapText="1"/>
    </xf>
    <xf numFmtId="49" fontId="70" fillId="0" borderId="2" xfId="3" applyNumberFormat="1" applyFont="1" applyBorder="1" applyAlignment="1">
      <alignment horizontal="center"/>
    </xf>
    <xf numFmtId="0" fontId="70" fillId="0" borderId="2" xfId="3" applyFont="1" applyBorder="1" applyAlignment="1">
      <alignment horizontal="center"/>
    </xf>
    <xf numFmtId="0" fontId="70" fillId="0" borderId="0" xfId="0" applyFont="1"/>
    <xf numFmtId="1" fontId="70" fillId="0" borderId="3" xfId="0" applyNumberFormat="1" applyFont="1" applyBorder="1" applyAlignment="1">
      <alignment horizontal="center"/>
    </xf>
    <xf numFmtId="171" fontId="68" fillId="0" borderId="2" xfId="3" applyNumberFormat="1" applyFont="1" applyBorder="1" applyAlignment="1">
      <alignment horizontal="center"/>
    </xf>
    <xf numFmtId="172" fontId="68" fillId="9" borderId="2" xfId="1" applyNumberFormat="1" applyFont="1" applyFill="1" applyBorder="1" applyAlignment="1">
      <alignment horizontal="center"/>
    </xf>
    <xf numFmtId="49" fontId="71" fillId="2" borderId="24" xfId="3" applyNumberFormat="1" applyFont="1" applyFill="1" applyBorder="1" applyAlignment="1">
      <alignment horizontal="center" vertical="center"/>
    </xf>
    <xf numFmtId="49" fontId="71" fillId="2" borderId="0" xfId="3" applyNumberFormat="1" applyFont="1" applyFill="1" applyAlignment="1">
      <alignment horizontal="center" vertical="center"/>
    </xf>
    <xf numFmtId="0" fontId="70" fillId="2" borderId="0" xfId="3" applyFont="1" applyFill="1"/>
    <xf numFmtId="1" fontId="70" fillId="2" borderId="0" xfId="3" applyNumberFormat="1" applyFont="1" applyFill="1" applyAlignment="1">
      <alignment horizontal="center"/>
    </xf>
    <xf numFmtId="167" fontId="70" fillId="2" borderId="0" xfId="3" applyNumberFormat="1" applyFont="1" applyFill="1" applyAlignment="1">
      <alignment horizontal="center" wrapText="1"/>
    </xf>
    <xf numFmtId="0" fontId="70" fillId="2" borderId="19" xfId="3" applyFont="1" applyFill="1" applyBorder="1" applyAlignment="1">
      <alignment horizontal="center"/>
    </xf>
    <xf numFmtId="0" fontId="70" fillId="3" borderId="28" xfId="3" applyFont="1" applyFill="1" applyBorder="1" applyAlignment="1">
      <alignment horizontal="center"/>
    </xf>
    <xf numFmtId="0" fontId="70" fillId="3" borderId="7" xfId="3" applyFont="1" applyFill="1" applyBorder="1" applyAlignment="1">
      <alignment horizontal="center"/>
    </xf>
    <xf numFmtId="0" fontId="70" fillId="3" borderId="7" xfId="3" applyFont="1" applyFill="1" applyBorder="1"/>
    <xf numFmtId="0" fontId="68" fillId="3" borderId="7" xfId="3" applyFont="1" applyFill="1" applyBorder="1" applyAlignment="1">
      <alignment horizontal="center"/>
    </xf>
    <xf numFmtId="1" fontId="68" fillId="3" borderId="7" xfId="3" applyNumberFormat="1" applyFont="1" applyFill="1" applyBorder="1" applyAlignment="1">
      <alignment horizontal="center"/>
    </xf>
    <xf numFmtId="167" fontId="70" fillId="3" borderId="7" xfId="3" applyNumberFormat="1" applyFont="1" applyFill="1" applyBorder="1" applyAlignment="1">
      <alignment horizontal="center" wrapText="1"/>
    </xf>
    <xf numFmtId="0" fontId="70" fillId="3" borderId="8" xfId="3" applyFont="1" applyFill="1" applyBorder="1" applyAlignment="1">
      <alignment horizontal="center"/>
    </xf>
    <xf numFmtId="0" fontId="70" fillId="0" borderId="9" xfId="0" applyFont="1" applyBorder="1" applyAlignment="1">
      <alignment horizontal="center"/>
    </xf>
    <xf numFmtId="1" fontId="70" fillId="0" borderId="10" xfId="0" applyNumberFormat="1" applyFont="1" applyBorder="1" applyAlignment="1">
      <alignment horizontal="center"/>
    </xf>
    <xf numFmtId="0" fontId="70" fillId="0" borderId="10" xfId="0" applyFont="1" applyBorder="1" applyAlignment="1">
      <alignment horizontal="center"/>
    </xf>
    <xf numFmtId="0" fontId="68" fillId="0" borderId="5" xfId="3" applyFont="1" applyBorder="1" applyAlignment="1">
      <alignment horizontal="center"/>
    </xf>
    <xf numFmtId="0" fontId="70" fillId="0" borderId="3" xfId="0" applyFont="1" applyBorder="1" applyAlignment="1">
      <alignment horizontal="center"/>
    </xf>
    <xf numFmtId="0" fontId="72" fillId="0" borderId="0" xfId="0" applyFont="1"/>
    <xf numFmtId="0" fontId="70" fillId="0" borderId="2" xfId="0" applyFont="1" applyBorder="1" applyAlignment="1">
      <alignment horizontal="center" wrapText="1"/>
    </xf>
    <xf numFmtId="2" fontId="68" fillId="0" borderId="2" xfId="3" applyNumberFormat="1" applyFont="1" applyBorder="1" applyAlignment="1">
      <alignment horizontal="center"/>
    </xf>
    <xf numFmtId="16" fontId="70" fillId="0" borderId="2" xfId="50" applyNumberFormat="1" applyFont="1" applyBorder="1" applyAlignment="1">
      <alignment horizontal="center"/>
    </xf>
    <xf numFmtId="0" fontId="72" fillId="0" borderId="2" xfId="0" applyFont="1" applyBorder="1" applyAlignment="1">
      <alignment horizontal="center" vertical="center"/>
    </xf>
    <xf numFmtId="0" fontId="68" fillId="0" borderId="2" xfId="0" applyFont="1" applyBorder="1" applyAlignment="1">
      <alignment horizontal="center"/>
    </xf>
    <xf numFmtId="0" fontId="69" fillId="0" borderId="5" xfId="3" applyFont="1" applyBorder="1" applyAlignment="1">
      <alignment vertical="center"/>
    </xf>
    <xf numFmtId="0" fontId="70" fillId="0" borderId="5" xfId="0" applyFont="1" applyBorder="1"/>
    <xf numFmtId="0" fontId="72" fillId="0" borderId="5" xfId="0" applyFont="1" applyBorder="1" applyAlignment="1">
      <alignment horizontal="left" vertical="center"/>
    </xf>
    <xf numFmtId="0" fontId="70" fillId="9" borderId="5" xfId="0" applyFont="1" applyFill="1" applyBorder="1"/>
    <xf numFmtId="0" fontId="68" fillId="9" borderId="5" xfId="3" applyFont="1" applyFill="1" applyBorder="1" applyAlignment="1">
      <alignment horizontal="left"/>
    </xf>
    <xf numFmtId="0" fontId="70" fillId="9" borderId="5" xfId="50" applyFont="1" applyFill="1" applyBorder="1"/>
    <xf numFmtId="0" fontId="69" fillId="9" borderId="5" xfId="3" applyFont="1" applyFill="1" applyBorder="1" applyAlignment="1">
      <alignment vertical="center"/>
    </xf>
    <xf numFmtId="0" fontId="72" fillId="0" borderId="2" xfId="0" applyFont="1" applyBorder="1" applyAlignment="1">
      <alignment horizontal="center"/>
    </xf>
    <xf numFmtId="0" fontId="70" fillId="0" borderId="2" xfId="50" applyFont="1" applyBorder="1" applyAlignment="1">
      <alignment horizontal="center"/>
    </xf>
    <xf numFmtId="49" fontId="68" fillId="0" borderId="2" xfId="3" applyNumberFormat="1" applyFont="1" applyBorder="1" applyAlignment="1">
      <alignment horizontal="center"/>
    </xf>
    <xf numFmtId="14" fontId="74" fillId="2" borderId="0" xfId="6" applyNumberFormat="1" applyFont="1" applyFill="1" applyAlignment="1">
      <alignment horizontal="center" vertical="center" wrapText="1"/>
    </xf>
    <xf numFmtId="1" fontId="68" fillId="9" borderId="2" xfId="3" applyNumberFormat="1" applyFont="1" applyFill="1" applyBorder="1" applyAlignment="1">
      <alignment horizontal="center" wrapText="1"/>
    </xf>
    <xf numFmtId="14" fontId="6" fillId="2" borderId="6" xfId="4" applyNumberFormat="1" applyFont="1" applyFill="1" applyBorder="1" applyAlignment="1">
      <alignment horizontal="center" vertical="center" wrapText="1"/>
    </xf>
    <xf numFmtId="14" fontId="6" fillId="2" borderId="32" xfId="4" applyNumberFormat="1" applyFont="1" applyFill="1" applyBorder="1" applyAlignment="1">
      <alignment horizontal="center" vertical="center" wrapText="1"/>
    </xf>
    <xf numFmtId="14" fontId="6" fillId="2" borderId="51" xfId="4" applyNumberFormat="1" applyFont="1" applyFill="1" applyBorder="1" applyAlignment="1">
      <alignment horizontal="center" vertical="center" wrapText="1"/>
    </xf>
    <xf numFmtId="0" fontId="6" fillId="2" borderId="33" xfId="4" applyFont="1" applyFill="1" applyBorder="1" applyAlignment="1">
      <alignment horizontal="left"/>
    </xf>
    <xf numFmtId="0" fontId="6" fillId="2" borderId="34" xfId="4" applyFont="1" applyFill="1" applyBorder="1" applyAlignment="1">
      <alignment horizontal="left"/>
    </xf>
    <xf numFmtId="0" fontId="6" fillId="2" borderId="35" xfId="4" applyFont="1" applyFill="1" applyBorder="1" applyAlignment="1">
      <alignment horizontal="left"/>
    </xf>
    <xf numFmtId="0" fontId="6" fillId="2" borderId="25" xfId="4" applyFont="1" applyFill="1" applyBorder="1" applyAlignment="1">
      <alignment horizontal="left"/>
    </xf>
    <xf numFmtId="0" fontId="6" fillId="2" borderId="36" xfId="4" applyFont="1" applyFill="1" applyBorder="1" applyAlignment="1">
      <alignment horizontal="left"/>
    </xf>
    <xf numFmtId="0" fontId="6" fillId="2" borderId="5" xfId="4" applyFont="1" applyFill="1" applyBorder="1" applyAlignment="1">
      <alignment horizontal="left"/>
    </xf>
    <xf numFmtId="0" fontId="6" fillId="2" borderId="26" xfId="4" applyFont="1" applyFill="1" applyBorder="1" applyAlignment="1">
      <alignment horizontal="center"/>
    </xf>
    <xf numFmtId="0" fontId="6" fillId="2" borderId="27" xfId="4" applyFont="1" applyFill="1" applyBorder="1" applyAlignment="1">
      <alignment horizontal="center"/>
    </xf>
    <xf numFmtId="0" fontId="6" fillId="2" borderId="24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6" fillId="2" borderId="39" xfId="4" applyFont="1" applyFill="1" applyBorder="1" applyAlignment="1">
      <alignment horizontal="center"/>
    </xf>
    <xf numFmtId="0" fontId="6" fillId="2" borderId="22" xfId="4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5" fillId="2" borderId="45" xfId="4" applyFont="1" applyFill="1" applyBorder="1" applyAlignment="1">
      <alignment horizontal="center"/>
    </xf>
    <xf numFmtId="0" fontId="5" fillId="2" borderId="50" xfId="4" applyFont="1" applyFill="1" applyBorder="1" applyAlignment="1">
      <alignment horizontal="center"/>
    </xf>
    <xf numFmtId="0" fontId="5" fillId="2" borderId="44" xfId="4" applyFont="1" applyFill="1" applyBorder="1" applyAlignment="1">
      <alignment horizontal="center"/>
    </xf>
    <xf numFmtId="0" fontId="73" fillId="5" borderId="28" xfId="4" applyFont="1" applyFill="1" applyBorder="1" applyAlignment="1">
      <alignment horizontal="center" vertical="center" wrapText="1"/>
    </xf>
    <xf numFmtId="0" fontId="73" fillId="5" borderId="7" xfId="4" applyFont="1" applyFill="1" applyBorder="1" applyAlignment="1">
      <alignment horizontal="center" vertical="center" wrapText="1"/>
    </xf>
    <xf numFmtId="0" fontId="73" fillId="5" borderId="8" xfId="4" applyFont="1" applyFill="1" applyBorder="1" applyAlignment="1">
      <alignment horizontal="center" vertical="center" wrapText="1"/>
    </xf>
    <xf numFmtId="0" fontId="7" fillId="2" borderId="29" xfId="4" applyFont="1" applyFill="1" applyBorder="1" applyAlignment="1">
      <alignment horizontal="right" vertical="top" wrapText="1"/>
    </xf>
    <xf numFmtId="0" fontId="7" fillId="2" borderId="30" xfId="4" applyFont="1" applyFill="1" applyBorder="1" applyAlignment="1">
      <alignment horizontal="right" vertical="top" wrapText="1"/>
    </xf>
    <xf numFmtId="0" fontId="7" fillId="2" borderId="31" xfId="4" applyFont="1" applyFill="1" applyBorder="1" applyAlignment="1">
      <alignment horizontal="right" vertical="top" wrapText="1"/>
    </xf>
    <xf numFmtId="0" fontId="50" fillId="2" borderId="0" xfId="6" applyFont="1" applyFill="1" applyAlignment="1">
      <alignment horizontal="right"/>
    </xf>
    <xf numFmtId="0" fontId="74" fillId="2" borderId="13" xfId="6" applyFont="1" applyFill="1" applyBorder="1" applyAlignment="1">
      <alignment horizontal="center"/>
    </xf>
    <xf numFmtId="0" fontId="50" fillId="2" borderId="0" xfId="6" applyFont="1" applyFill="1"/>
    <xf numFmtId="0" fontId="7" fillId="3" borderId="37" xfId="3" applyFont="1" applyFill="1" applyBorder="1" applyAlignment="1">
      <alignment horizontal="center" vertical="center"/>
    </xf>
    <xf numFmtId="0" fontId="7" fillId="3" borderId="66" xfId="3" applyFont="1" applyFill="1" applyBorder="1" applyAlignment="1">
      <alignment horizontal="center" vertical="center"/>
    </xf>
    <xf numFmtId="0" fontId="7" fillId="3" borderId="37" xfId="3" applyFont="1" applyFill="1" applyBorder="1" applyAlignment="1">
      <alignment horizontal="center" vertical="center" wrapText="1"/>
    </xf>
    <xf numFmtId="0" fontId="7" fillId="3" borderId="66" xfId="3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/>
    </xf>
    <xf numFmtId="0" fontId="7" fillId="3" borderId="10" xfId="3" applyFont="1" applyFill="1" applyBorder="1" applyAlignment="1">
      <alignment horizontal="center" vertical="center"/>
    </xf>
    <xf numFmtId="0" fontId="68" fillId="0" borderId="39" xfId="3" applyFont="1" applyBorder="1" applyAlignment="1">
      <alignment horizontal="right"/>
    </xf>
    <xf numFmtId="0" fontId="68" fillId="0" borderId="22" xfId="3" applyFont="1" applyBorder="1" applyAlignment="1">
      <alignment horizontal="right"/>
    </xf>
    <xf numFmtId="0" fontId="68" fillId="0" borderId="40" xfId="3" applyFont="1" applyBorder="1" applyAlignment="1">
      <alignment horizontal="right"/>
    </xf>
    <xf numFmtId="167" fontId="70" fillId="0" borderId="3" xfId="3" applyNumberFormat="1" applyFont="1" applyBorder="1" applyAlignment="1">
      <alignment horizontal="right"/>
    </xf>
    <xf numFmtId="0" fontId="70" fillId="2" borderId="9" xfId="3" applyFont="1" applyFill="1" applyBorder="1" applyAlignment="1">
      <alignment horizontal="center"/>
    </xf>
    <xf numFmtId="0" fontId="70" fillId="2" borderId="41" xfId="3" applyFont="1" applyFill="1" applyBorder="1" applyAlignment="1">
      <alignment horizontal="center"/>
    </xf>
    <xf numFmtId="0" fontId="68" fillId="0" borderId="12" xfId="3" applyFont="1" applyBorder="1" applyAlignment="1">
      <alignment horizontal="right"/>
    </xf>
    <xf numFmtId="0" fontId="68" fillId="0" borderId="36" xfId="3" applyFont="1" applyBorder="1" applyAlignment="1">
      <alignment horizontal="right"/>
    </xf>
    <xf numFmtId="0" fontId="68" fillId="0" borderId="5" xfId="3" applyFont="1" applyBorder="1" applyAlignment="1">
      <alignment horizontal="right"/>
    </xf>
    <xf numFmtId="0" fontId="70" fillId="0" borderId="2" xfId="3" applyFont="1" applyBorder="1" applyAlignment="1">
      <alignment horizontal="right"/>
    </xf>
    <xf numFmtId="167" fontId="70" fillId="0" borderId="25" xfId="3" applyNumberFormat="1" applyFont="1" applyBorder="1" applyAlignment="1">
      <alignment horizontal="center"/>
    </xf>
    <xf numFmtId="167" fontId="70" fillId="0" borderId="42" xfId="3" applyNumberFormat="1" applyFont="1" applyBorder="1" applyAlignment="1">
      <alignment horizontal="center"/>
    </xf>
    <xf numFmtId="0" fontId="70" fillId="0" borderId="39" xfId="0" applyFont="1" applyBorder="1" applyAlignment="1">
      <alignment horizontal="left"/>
    </xf>
    <xf numFmtId="0" fontId="70" fillId="0" borderId="22" xfId="0" applyFont="1" applyBorder="1" applyAlignment="1">
      <alignment horizontal="left"/>
    </xf>
    <xf numFmtId="0" fontId="70" fillId="0" borderId="41" xfId="0" applyFont="1" applyBorder="1" applyAlignment="1">
      <alignment horizontal="left"/>
    </xf>
    <xf numFmtId="167" fontId="70" fillId="0" borderId="25" xfId="3" applyNumberFormat="1" applyFont="1" applyBorder="1" applyAlignment="1">
      <alignment horizontal="right" wrapText="1"/>
    </xf>
    <xf numFmtId="167" fontId="70" fillId="0" borderId="5" xfId="3" applyNumberFormat="1" applyFont="1" applyBorder="1" applyAlignment="1">
      <alignment horizontal="right" wrapText="1"/>
    </xf>
    <xf numFmtId="0" fontId="68" fillId="0" borderId="43" xfId="3" applyFont="1" applyBorder="1" applyAlignment="1">
      <alignment horizontal="right"/>
    </xf>
    <xf numFmtId="0" fontId="68" fillId="0" borderId="44" xfId="3" applyFont="1" applyBorder="1" applyAlignment="1">
      <alignment horizontal="right"/>
    </xf>
    <xf numFmtId="0" fontId="68" fillId="0" borderId="10" xfId="3" applyFont="1" applyBorder="1" applyAlignment="1">
      <alignment horizontal="right"/>
    </xf>
    <xf numFmtId="0" fontId="70" fillId="0" borderId="10" xfId="3" applyFont="1" applyBorder="1" applyAlignment="1">
      <alignment horizontal="right"/>
    </xf>
    <xf numFmtId="167" fontId="70" fillId="0" borderId="45" xfId="3" applyNumberFormat="1" applyFont="1" applyBorder="1" applyAlignment="1">
      <alignment horizontal="center"/>
    </xf>
    <xf numFmtId="167" fontId="70" fillId="0" borderId="62" xfId="3" applyNumberFormat="1" applyFont="1" applyBorder="1" applyAlignment="1">
      <alignment horizontal="center"/>
    </xf>
    <xf numFmtId="0" fontId="68" fillId="3" borderId="28" xfId="3" applyFont="1" applyFill="1" applyBorder="1" applyAlignment="1">
      <alignment horizontal="center"/>
    </xf>
    <xf numFmtId="0" fontId="68" fillId="3" borderId="7" xfId="3" applyFont="1" applyFill="1" applyBorder="1" applyAlignment="1">
      <alignment horizontal="center"/>
    </xf>
    <xf numFmtId="0" fontId="68" fillId="3" borderId="8" xfId="3" applyFont="1" applyFill="1" applyBorder="1" applyAlignment="1">
      <alignment horizontal="center"/>
    </xf>
    <xf numFmtId="0" fontId="70" fillId="0" borderId="46" xfId="0" applyFont="1" applyBorder="1" applyAlignment="1">
      <alignment horizontal="left" wrapText="1"/>
    </xf>
    <xf numFmtId="0" fontId="70" fillId="0" borderId="34" xfId="0" applyFont="1" applyBorder="1" applyAlignment="1">
      <alignment horizontal="left" wrapText="1"/>
    </xf>
    <xf numFmtId="0" fontId="70" fillId="0" borderId="38" xfId="0" applyFont="1" applyBorder="1" applyAlignment="1">
      <alignment horizontal="left" wrapText="1"/>
    </xf>
    <xf numFmtId="0" fontId="70" fillId="0" borderId="63" xfId="3" applyFont="1" applyBorder="1" applyAlignment="1">
      <alignment horizontal="left"/>
    </xf>
    <xf numFmtId="0" fontId="70" fillId="0" borderId="64" xfId="3" applyFont="1" applyBorder="1" applyAlignment="1">
      <alignment horizontal="left"/>
    </xf>
    <xf numFmtId="0" fontId="70" fillId="0" borderId="65" xfId="3" applyFont="1" applyBorder="1" applyAlignment="1">
      <alignment horizontal="left"/>
    </xf>
    <xf numFmtId="0" fontId="68" fillId="12" borderId="2" xfId="4" applyFont="1" applyFill="1" applyBorder="1" applyAlignment="1">
      <alignment horizontal="center"/>
    </xf>
    <xf numFmtId="0" fontId="70" fillId="2" borderId="2" xfId="4" applyFont="1" applyFill="1" applyBorder="1" applyAlignment="1">
      <alignment horizontal="left"/>
    </xf>
    <xf numFmtId="0" fontId="70" fillId="0" borderId="12" xfId="0" applyFont="1" applyBorder="1" applyAlignment="1">
      <alignment horizontal="left"/>
    </xf>
    <xf numFmtId="0" fontId="70" fillId="0" borderId="36" xfId="0" applyFont="1" applyBorder="1" applyAlignment="1">
      <alignment horizontal="left"/>
    </xf>
    <xf numFmtId="0" fontId="70" fillId="0" borderId="42" xfId="0" applyFont="1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35" fillId="0" borderId="28" xfId="0" applyFont="1" applyBorder="1" applyAlignment="1">
      <alignment horizontal="right" vertical="center"/>
    </xf>
    <xf numFmtId="0" fontId="35" fillId="0" borderId="7" xfId="0" applyFont="1" applyBorder="1" applyAlignment="1">
      <alignment horizontal="right" vertical="center"/>
    </xf>
    <xf numFmtId="0" fontId="35" fillId="0" borderId="8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13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28" xfId="0" applyFont="1" applyFill="1" applyBorder="1" applyAlignment="1">
      <alignment horizontal="right"/>
    </xf>
    <xf numFmtId="0" fontId="25" fillId="4" borderId="7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2" fillId="0" borderId="13" xfId="0" applyFont="1" applyBorder="1" applyAlignment="1">
      <alignment horizontal="right" vertical="center"/>
    </xf>
    <xf numFmtId="0" fontId="12" fillId="0" borderId="47" xfId="0" applyFont="1" applyBorder="1" applyAlignment="1">
      <alignment horizontal="right" vertical="center"/>
    </xf>
    <xf numFmtId="0" fontId="12" fillId="8" borderId="28" xfId="0" applyFont="1" applyFill="1" applyBorder="1" applyAlignment="1">
      <alignment horizontal="right" vertical="center"/>
    </xf>
    <xf numFmtId="0" fontId="12" fillId="8" borderId="7" xfId="0" applyFont="1" applyFill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7" fillId="0" borderId="2" xfId="0" applyFont="1" applyBorder="1" applyAlignment="1">
      <alignment horizontal="right" vertical="center"/>
    </xf>
    <xf numFmtId="0" fontId="28" fillId="0" borderId="2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19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4" fontId="33" fillId="0" borderId="0" xfId="2" applyNumberFormat="1" applyFont="1" applyFill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21" fillId="0" borderId="26" xfId="0" applyFont="1" applyBorder="1" applyAlignment="1">
      <alignment horizontal="right"/>
    </xf>
    <xf numFmtId="0" fontId="21" fillId="0" borderId="27" xfId="0" applyFont="1" applyBorder="1" applyAlignment="1">
      <alignment horizontal="right"/>
    </xf>
    <xf numFmtId="0" fontId="15" fillId="0" borderId="1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right" vertical="center" wrapText="1"/>
    </xf>
    <xf numFmtId="0" fontId="38" fillId="0" borderId="28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48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right" vertical="center" wrapText="1"/>
    </xf>
    <xf numFmtId="0" fontId="24" fillId="0" borderId="0" xfId="0" applyFont="1" applyAlignment="1">
      <alignment horizontal="right"/>
    </xf>
    <xf numFmtId="0" fontId="24" fillId="0" borderId="19" xfId="0" applyFont="1" applyBorder="1" applyAlignment="1">
      <alignment horizontal="right"/>
    </xf>
    <xf numFmtId="0" fontId="22" fillId="4" borderId="28" xfId="0" applyFont="1" applyFill="1" applyBorder="1" applyAlignment="1">
      <alignment horizontal="center"/>
    </xf>
    <xf numFmtId="0" fontId="22" fillId="4" borderId="7" xfId="0" applyFont="1" applyFill="1" applyBorder="1" applyAlignment="1">
      <alignment horizontal="center"/>
    </xf>
    <xf numFmtId="0" fontId="42" fillId="0" borderId="27" xfId="0" applyFont="1" applyBorder="1" applyAlignment="1">
      <alignment horizontal="right"/>
    </xf>
    <xf numFmtId="0" fontId="42" fillId="0" borderId="0" xfId="0" applyFont="1" applyAlignment="1">
      <alignment horizontal="right"/>
    </xf>
    <xf numFmtId="0" fontId="39" fillId="4" borderId="28" xfId="0" applyFont="1" applyFill="1" applyBorder="1" applyAlignment="1">
      <alignment horizontal="right"/>
    </xf>
    <xf numFmtId="0" fontId="39" fillId="4" borderId="7" xfId="0" applyFont="1" applyFill="1" applyBorder="1" applyAlignment="1">
      <alignment horizontal="right"/>
    </xf>
    <xf numFmtId="0" fontId="49" fillId="0" borderId="0" xfId="0" applyFont="1" applyAlignment="1">
      <alignment horizontal="right"/>
    </xf>
    <xf numFmtId="0" fontId="42" fillId="11" borderId="0" xfId="0" applyFont="1" applyFill="1" applyAlignment="1">
      <alignment horizontal="right"/>
    </xf>
    <xf numFmtId="0" fontId="42" fillId="0" borderId="13" xfId="0" applyFont="1" applyBorder="1" applyAlignment="1">
      <alignment horizontal="right"/>
    </xf>
  </cellXfs>
  <cellStyles count="51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9" builtinId="16" customBuiltin="1"/>
    <cellStyle name="Encabezado 4" xfId="12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6" builtinId="20" customBuiltin="1"/>
    <cellStyle name="Incorrecto" xfId="14" builtinId="27" customBuiltin="1"/>
    <cellStyle name="Millares" xfId="1" builtinId="3"/>
    <cellStyle name="Millares [0]" xfId="2" builtinId="6"/>
    <cellStyle name="Neutral" xfId="15" builtinId="28" customBuiltin="1"/>
    <cellStyle name="Normal" xfId="0" builtinId="0"/>
    <cellStyle name="Normal 2" xfId="3" xr:uid="{EEB09BDD-D964-4313-A66B-4774AC194358}"/>
    <cellStyle name="Normal 3" xfId="48" xr:uid="{28E3E72D-7106-49AB-AD8F-BDE207403776}"/>
    <cellStyle name="Normal 3 2" xfId="50" xr:uid="{59D37422-5BDA-4B25-A060-09CDAD2F0AA5}"/>
    <cellStyle name="Normal 5" xfId="7" xr:uid="{BE1A870C-8D14-4CCC-89D1-C692CE9F8DE6}"/>
    <cellStyle name="Normal_CRITERIOS DE EVALUACION PT DE GB" xfId="4" xr:uid="{82225F5E-2C55-4E77-A6CC-4F02B45D2CAB}"/>
    <cellStyle name="Normal_CRITERIOS DE EVALUACION PT DE GB 2" xfId="6" xr:uid="{0C18E974-0B4A-4EF8-A5D8-01BC2B24670D}"/>
    <cellStyle name="Notas 2" xfId="49" xr:uid="{40B5A55D-08F2-4731-9A50-7A5DA0C213BA}"/>
    <cellStyle name="Porcentaje" xfId="5" builtinId="5"/>
    <cellStyle name="Salida" xfId="17" builtinId="21" customBuiltin="1"/>
    <cellStyle name="Texto de advertencia" xfId="21" builtinId="11" customBuiltin="1"/>
    <cellStyle name="Texto explicativo" xfId="22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3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188118</xdr:colOff>
      <xdr:row>0</xdr:row>
      <xdr:rowOff>85725</xdr:rowOff>
    </xdr:from>
    <xdr:to>
      <xdr:col>1</xdr:col>
      <xdr:colOff>857249</xdr:colOff>
      <xdr:row>4</xdr:row>
      <xdr:rowOff>153660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025A78D9-1D4C-4EDD-A400-2BD50D176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" y="85725"/>
          <a:ext cx="1788319" cy="984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arodriguez/Desktop/recetas%20icg%20proyecto/Prueba%20Alejandro.xls" TargetMode="External"/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OSTOS%202013/LISTA%20COSTOS%20ALE.xls" TargetMode="External"/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ARTICULOS MP PLANTA"/>
      <sheetName val="EMPAQUE PLANTA"/>
      <sheetName val="EMP LOCALES"/>
      <sheetName val="MP LOCALES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B13E-0806-408C-B209-5B7113282E38}">
  <dimension ref="A2:L33"/>
  <sheetViews>
    <sheetView topLeftCell="A12" workbookViewId="0">
      <selection activeCell="A14" sqref="A14"/>
    </sheetView>
  </sheetViews>
  <sheetFormatPr baseColWidth="10" defaultRowHeight="12.75" x14ac:dyDescent="0.2"/>
  <sheetData>
    <row r="2" spans="1:2" ht="15" x14ac:dyDescent="0.25">
      <c r="A2" s="160" t="s">
        <v>140</v>
      </c>
      <c r="B2" s="160"/>
    </row>
    <row r="3" spans="1:2" ht="15" x14ac:dyDescent="0.25">
      <c r="A3" s="160" t="s">
        <v>141</v>
      </c>
      <c r="B3" s="160" t="s">
        <v>142</v>
      </c>
    </row>
    <row r="4" spans="1:2" ht="15" x14ac:dyDescent="0.25">
      <c r="A4" s="160" t="s">
        <v>143</v>
      </c>
      <c r="B4" s="160" t="s">
        <v>144</v>
      </c>
    </row>
    <row r="5" spans="1:2" ht="15" x14ac:dyDescent="0.25">
      <c r="A5" s="160" t="s">
        <v>145</v>
      </c>
      <c r="B5" s="160" t="s">
        <v>146</v>
      </c>
    </row>
    <row r="6" spans="1:2" ht="15" x14ac:dyDescent="0.25">
      <c r="A6" s="160" t="s">
        <v>147</v>
      </c>
      <c r="B6" s="160" t="s">
        <v>148</v>
      </c>
    </row>
    <row r="7" spans="1:2" ht="15" x14ac:dyDescent="0.25">
      <c r="A7" s="160" t="s">
        <v>149</v>
      </c>
      <c r="B7" s="160" t="s">
        <v>150</v>
      </c>
    </row>
    <row r="8" spans="1:2" ht="15" x14ac:dyDescent="0.25">
      <c r="A8" s="160" t="s">
        <v>151</v>
      </c>
      <c r="B8" s="160" t="s">
        <v>152</v>
      </c>
    </row>
    <row r="9" spans="1:2" ht="15" x14ac:dyDescent="0.25">
      <c r="A9" s="160" t="s">
        <v>153</v>
      </c>
      <c r="B9" s="160" t="s">
        <v>154</v>
      </c>
    </row>
    <row r="10" spans="1:2" ht="15" x14ac:dyDescent="0.25">
      <c r="A10" s="160" t="s">
        <v>155</v>
      </c>
      <c r="B10" s="160" t="s">
        <v>156</v>
      </c>
    </row>
    <row r="11" spans="1:2" ht="15" x14ac:dyDescent="0.25">
      <c r="A11" s="160" t="s">
        <v>157</v>
      </c>
      <c r="B11" s="160" t="s">
        <v>158</v>
      </c>
    </row>
    <row r="12" spans="1:2" ht="15" x14ac:dyDescent="0.25">
      <c r="A12" s="160" t="s">
        <v>159</v>
      </c>
      <c r="B12" s="160" t="s">
        <v>160</v>
      </c>
    </row>
    <row r="13" spans="1:2" ht="15" x14ac:dyDescent="0.25">
      <c r="A13" s="160" t="s">
        <v>161</v>
      </c>
      <c r="B13" s="160" t="s">
        <v>162</v>
      </c>
    </row>
    <row r="14" spans="1:2" ht="15" x14ac:dyDescent="0.25">
      <c r="A14" s="160" t="s">
        <v>163</v>
      </c>
      <c r="B14" s="160" t="s">
        <v>164</v>
      </c>
    </row>
    <row r="17" spans="1:12" ht="15" x14ac:dyDescent="0.25">
      <c r="A17" s="160" t="s">
        <v>165</v>
      </c>
      <c r="B17" s="160" t="s">
        <v>166</v>
      </c>
      <c r="C17" s="160"/>
      <c r="D17" s="160"/>
      <c r="E17" s="160"/>
      <c r="F17" s="160"/>
      <c r="G17" s="160"/>
      <c r="H17" s="160"/>
      <c r="I17" s="160"/>
      <c r="J17" s="160"/>
      <c r="K17" s="160"/>
    </row>
    <row r="18" spans="1:12" ht="15" x14ac:dyDescent="0.25">
      <c r="A18" s="160" t="s">
        <v>167</v>
      </c>
      <c r="B18" s="160" t="s">
        <v>168</v>
      </c>
      <c r="C18" s="160"/>
      <c r="D18" s="160"/>
      <c r="E18" s="160"/>
      <c r="F18" s="160"/>
      <c r="G18" s="160"/>
      <c r="H18" s="160"/>
      <c r="I18" s="160"/>
      <c r="J18" s="160"/>
      <c r="K18" s="160"/>
    </row>
    <row r="20" spans="1:12" ht="15" x14ac:dyDescent="0.25">
      <c r="A20" s="160" t="s">
        <v>169</v>
      </c>
      <c r="B20" s="160" t="s">
        <v>170</v>
      </c>
      <c r="C20" s="160" t="s">
        <v>171</v>
      </c>
      <c r="D20" s="160" t="s">
        <v>172</v>
      </c>
      <c r="E20" s="160" t="s">
        <v>173</v>
      </c>
      <c r="F20" s="160" t="s">
        <v>174</v>
      </c>
      <c r="G20" s="160" t="s">
        <v>175</v>
      </c>
      <c r="H20" s="160" t="s">
        <v>176</v>
      </c>
      <c r="I20" s="160" t="s">
        <v>40</v>
      </c>
      <c r="J20" s="160" t="s">
        <v>37</v>
      </c>
      <c r="K20" s="160" t="s">
        <v>99</v>
      </c>
    </row>
    <row r="21" spans="1:12" ht="15" x14ac:dyDescent="0.25">
      <c r="A21" s="160" t="s">
        <v>118</v>
      </c>
      <c r="B21" s="160" t="s">
        <v>160</v>
      </c>
      <c r="C21" s="160" t="s">
        <v>177</v>
      </c>
      <c r="D21" s="160" t="s">
        <v>178</v>
      </c>
      <c r="E21" s="160" t="s">
        <v>179</v>
      </c>
      <c r="F21" s="160" t="s">
        <v>178</v>
      </c>
      <c r="G21" s="160" t="s">
        <v>178</v>
      </c>
      <c r="H21" s="160" t="s">
        <v>178</v>
      </c>
      <c r="I21" s="160" t="s">
        <v>180</v>
      </c>
      <c r="J21" s="160" t="s">
        <v>181</v>
      </c>
      <c r="K21" s="160" t="s">
        <v>182</v>
      </c>
      <c r="L21">
        <v>1276.42</v>
      </c>
    </row>
    <row r="22" spans="1:12" ht="15" x14ac:dyDescent="0.25">
      <c r="A22" s="160" t="s">
        <v>120</v>
      </c>
      <c r="B22" s="160" t="s">
        <v>160</v>
      </c>
      <c r="C22" s="160" t="s">
        <v>183</v>
      </c>
      <c r="D22" s="160" t="s">
        <v>160</v>
      </c>
      <c r="E22" s="160" t="s">
        <v>179</v>
      </c>
      <c r="F22" s="160" t="s">
        <v>160</v>
      </c>
      <c r="G22" s="160" t="s">
        <v>160</v>
      </c>
      <c r="H22" s="160" t="s">
        <v>160</v>
      </c>
      <c r="I22" s="160" t="s">
        <v>184</v>
      </c>
      <c r="J22" s="160" t="s">
        <v>37</v>
      </c>
      <c r="K22" s="160" t="s">
        <v>184</v>
      </c>
      <c r="L22">
        <v>0.39</v>
      </c>
    </row>
    <row r="23" spans="1:12" ht="15" x14ac:dyDescent="0.25">
      <c r="A23" s="160" t="s">
        <v>124</v>
      </c>
      <c r="B23" s="160" t="s">
        <v>160</v>
      </c>
      <c r="C23" s="160" t="s">
        <v>185</v>
      </c>
      <c r="D23" s="160" t="s">
        <v>160</v>
      </c>
      <c r="E23" s="160" t="s">
        <v>179</v>
      </c>
      <c r="F23" s="160" t="s">
        <v>160</v>
      </c>
      <c r="G23" s="160" t="s">
        <v>160</v>
      </c>
      <c r="H23" s="160" t="s">
        <v>160</v>
      </c>
      <c r="I23" s="160" t="s">
        <v>186</v>
      </c>
      <c r="J23" s="160" t="s">
        <v>37</v>
      </c>
      <c r="K23" s="160" t="s">
        <v>186</v>
      </c>
      <c r="L23">
        <v>194</v>
      </c>
    </row>
    <row r="24" spans="1:12" ht="15" x14ac:dyDescent="0.25">
      <c r="A24" s="160" t="s">
        <v>122</v>
      </c>
      <c r="B24" s="160" t="s">
        <v>160</v>
      </c>
      <c r="C24" s="160" t="s">
        <v>187</v>
      </c>
      <c r="D24" s="160" t="s">
        <v>160</v>
      </c>
      <c r="E24" s="160" t="s">
        <v>179</v>
      </c>
      <c r="F24" s="160" t="s">
        <v>160</v>
      </c>
      <c r="G24" s="160" t="s">
        <v>160</v>
      </c>
      <c r="H24" s="160" t="s">
        <v>160</v>
      </c>
      <c r="I24" s="160" t="s">
        <v>188</v>
      </c>
      <c r="J24" s="160" t="s">
        <v>37</v>
      </c>
      <c r="K24" s="160" t="s">
        <v>188</v>
      </c>
      <c r="L24">
        <v>0.57999999999999996</v>
      </c>
    </row>
    <row r="25" spans="1:12" ht="15" x14ac:dyDescent="0.25">
      <c r="A25" s="160" t="s">
        <v>123</v>
      </c>
      <c r="B25" s="160" t="s">
        <v>160</v>
      </c>
      <c r="C25" s="160" t="s">
        <v>189</v>
      </c>
      <c r="D25" s="160" t="s">
        <v>160</v>
      </c>
      <c r="E25" s="160" t="s">
        <v>179</v>
      </c>
      <c r="F25" s="160" t="s">
        <v>160</v>
      </c>
      <c r="G25" s="160" t="s">
        <v>160</v>
      </c>
      <c r="H25" s="160" t="s">
        <v>160</v>
      </c>
      <c r="I25" s="160" t="s">
        <v>190</v>
      </c>
      <c r="J25" s="160" t="s">
        <v>37</v>
      </c>
      <c r="K25" s="160" t="s">
        <v>190</v>
      </c>
      <c r="L25">
        <v>0.38</v>
      </c>
    </row>
    <row r="26" spans="1:12" ht="15" x14ac:dyDescent="0.25">
      <c r="A26" s="160" t="s">
        <v>191</v>
      </c>
      <c r="B26" s="160" t="s">
        <v>160</v>
      </c>
      <c r="C26" s="160" t="s">
        <v>192</v>
      </c>
      <c r="D26" s="160" t="s">
        <v>160</v>
      </c>
      <c r="E26" s="160" t="s">
        <v>179</v>
      </c>
      <c r="F26" s="160" t="s">
        <v>160</v>
      </c>
      <c r="G26" s="160" t="s">
        <v>160</v>
      </c>
      <c r="H26" s="160" t="s">
        <v>160</v>
      </c>
      <c r="I26" s="160" t="s">
        <v>193</v>
      </c>
      <c r="J26" s="160" t="s">
        <v>37</v>
      </c>
      <c r="K26" s="160" t="s">
        <v>194</v>
      </c>
      <c r="L26">
        <v>502.79</v>
      </c>
    </row>
    <row r="27" spans="1:12" ht="15" x14ac:dyDescent="0.25">
      <c r="A27" s="160" t="s">
        <v>121</v>
      </c>
      <c r="B27" s="160" t="s">
        <v>160</v>
      </c>
      <c r="C27" s="160" t="s">
        <v>195</v>
      </c>
      <c r="D27" s="160" t="s">
        <v>160</v>
      </c>
      <c r="E27" s="160" t="s">
        <v>179</v>
      </c>
      <c r="F27" s="160" t="s">
        <v>160</v>
      </c>
      <c r="G27" s="160" t="s">
        <v>160</v>
      </c>
      <c r="H27" s="160" t="s">
        <v>160</v>
      </c>
      <c r="I27" s="160" t="s">
        <v>196</v>
      </c>
      <c r="J27" s="160" t="s">
        <v>37</v>
      </c>
      <c r="K27" s="160" t="s">
        <v>197</v>
      </c>
      <c r="L27">
        <v>112</v>
      </c>
    </row>
    <row r="28" spans="1:12" ht="15" x14ac:dyDescent="0.25">
      <c r="A28" s="160" t="s">
        <v>198</v>
      </c>
      <c r="B28" s="160" t="s">
        <v>160</v>
      </c>
      <c r="C28" s="160" t="s">
        <v>199</v>
      </c>
      <c r="D28" s="160" t="s">
        <v>200</v>
      </c>
      <c r="E28" s="160" t="s">
        <v>179</v>
      </c>
      <c r="F28" s="160" t="s">
        <v>200</v>
      </c>
      <c r="G28" s="160" t="s">
        <v>200</v>
      </c>
      <c r="H28" s="160" t="s">
        <v>200</v>
      </c>
      <c r="I28" s="160" t="s">
        <v>201</v>
      </c>
      <c r="J28" s="160" t="s">
        <v>37</v>
      </c>
      <c r="K28" s="160" t="s">
        <v>202</v>
      </c>
      <c r="L28">
        <v>796.57</v>
      </c>
    </row>
    <row r="29" spans="1:12" ht="15" x14ac:dyDescent="0.25">
      <c r="A29" s="160" t="s">
        <v>203</v>
      </c>
      <c r="B29" s="160" t="s">
        <v>160</v>
      </c>
      <c r="C29" s="160" t="s">
        <v>204</v>
      </c>
      <c r="D29" s="160" t="s">
        <v>200</v>
      </c>
      <c r="E29" s="160" t="s">
        <v>179</v>
      </c>
      <c r="F29" s="160" t="s">
        <v>200</v>
      </c>
      <c r="G29" s="160" t="s">
        <v>200</v>
      </c>
      <c r="H29" s="160" t="s">
        <v>200</v>
      </c>
      <c r="I29" s="160" t="s">
        <v>205</v>
      </c>
      <c r="J29" s="160" t="s">
        <v>37</v>
      </c>
      <c r="K29" s="160" t="s">
        <v>206</v>
      </c>
      <c r="L29">
        <v>858.64</v>
      </c>
    </row>
    <row r="30" spans="1:12" ht="15" x14ac:dyDescent="0.25">
      <c r="A30" s="160" t="s">
        <v>119</v>
      </c>
      <c r="B30" s="160" t="s">
        <v>160</v>
      </c>
      <c r="C30" s="160" t="s">
        <v>207</v>
      </c>
      <c r="D30" s="160" t="s">
        <v>208</v>
      </c>
      <c r="E30" s="160" t="s">
        <v>179</v>
      </c>
      <c r="F30" s="160" t="s">
        <v>208</v>
      </c>
      <c r="G30" s="160" t="s">
        <v>208</v>
      </c>
      <c r="H30" s="160" t="s">
        <v>208</v>
      </c>
      <c r="I30" s="160" t="s">
        <v>209</v>
      </c>
      <c r="J30" s="160" t="s">
        <v>210</v>
      </c>
      <c r="K30" s="160" t="s">
        <v>211</v>
      </c>
      <c r="L30">
        <v>434.5</v>
      </c>
    </row>
    <row r="31" spans="1:12" ht="15" x14ac:dyDescent="0.25">
      <c r="A31" s="160" t="s">
        <v>125</v>
      </c>
      <c r="B31" s="160" t="s">
        <v>160</v>
      </c>
      <c r="C31" s="160" t="s">
        <v>212</v>
      </c>
      <c r="D31" s="160" t="s">
        <v>213</v>
      </c>
      <c r="E31" s="160" t="s">
        <v>179</v>
      </c>
      <c r="F31" s="160" t="s">
        <v>213</v>
      </c>
      <c r="G31" s="160" t="s">
        <v>213</v>
      </c>
      <c r="H31" s="160" t="s">
        <v>213</v>
      </c>
      <c r="I31" s="160" t="s">
        <v>214</v>
      </c>
      <c r="J31" s="160" t="s">
        <v>210</v>
      </c>
      <c r="K31" s="160" t="s">
        <v>215</v>
      </c>
      <c r="L31">
        <v>36.06</v>
      </c>
    </row>
    <row r="32" spans="1:12" ht="15" x14ac:dyDescent="0.25">
      <c r="A32" s="160" t="s">
        <v>117</v>
      </c>
      <c r="B32" s="160" t="s">
        <v>160</v>
      </c>
      <c r="C32" s="160" t="s">
        <v>216</v>
      </c>
      <c r="D32" s="160" t="s">
        <v>217</v>
      </c>
      <c r="E32" s="160" t="s">
        <v>179</v>
      </c>
      <c r="F32" s="160" t="s">
        <v>217</v>
      </c>
      <c r="G32" s="160" t="s">
        <v>217</v>
      </c>
      <c r="H32" s="160" t="s">
        <v>217</v>
      </c>
      <c r="I32" s="160" t="s">
        <v>218</v>
      </c>
      <c r="J32" s="160" t="s">
        <v>37</v>
      </c>
      <c r="K32" s="160" t="s">
        <v>219</v>
      </c>
      <c r="L32">
        <v>606.80999999999995</v>
      </c>
    </row>
    <row r="33" spans="12:12" x14ac:dyDescent="0.2">
      <c r="L33">
        <f>SUM(L21:L32)</f>
        <v>4819.1400000000012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2BFE-FA01-4A63-A9BC-EAF6F39969CB}">
  <sheetPr>
    <pageSetUpPr fitToPage="1"/>
  </sheetPr>
  <dimension ref="A1:I36"/>
  <sheetViews>
    <sheetView tabSelected="1" topLeftCell="A3" zoomScale="80" zoomScaleNormal="80" workbookViewId="0">
      <selection activeCell="B10" sqref="B10"/>
    </sheetView>
  </sheetViews>
  <sheetFormatPr baseColWidth="10" defaultRowHeight="12.75" x14ac:dyDescent="0.2"/>
  <cols>
    <col min="1" max="1" width="16.85546875" bestFit="1" customWidth="1"/>
    <col min="2" max="2" width="16.140625" customWidth="1"/>
    <col min="3" max="3" width="53.5703125" customWidth="1"/>
    <col min="4" max="4" width="14.140625" customWidth="1"/>
    <col min="5" max="5" width="13.28515625" customWidth="1"/>
    <col min="7" max="7" width="21.28515625" customWidth="1"/>
    <col min="8" max="8" width="14.7109375" customWidth="1"/>
    <col min="9" max="9" width="17.140625" bestFit="1" customWidth="1"/>
  </cols>
  <sheetData>
    <row r="1" spans="1:9" ht="15.75" x14ac:dyDescent="0.25">
      <c r="A1" s="221"/>
      <c r="B1" s="222"/>
      <c r="C1" s="227" t="s">
        <v>20</v>
      </c>
      <c r="D1" s="227"/>
      <c r="E1" s="227"/>
      <c r="F1" s="227"/>
      <c r="G1" s="227"/>
      <c r="H1" s="1" t="s">
        <v>0</v>
      </c>
      <c r="I1" s="6" t="s">
        <v>238</v>
      </c>
    </row>
    <row r="2" spans="1:9" ht="16.5" thickBot="1" x14ac:dyDescent="0.3">
      <c r="A2" s="223"/>
      <c r="B2" s="224"/>
      <c r="C2" s="228" t="s">
        <v>1</v>
      </c>
      <c r="D2" s="229"/>
      <c r="E2" s="229"/>
      <c r="F2" s="229"/>
      <c r="G2" s="230"/>
      <c r="H2" s="2" t="s">
        <v>2</v>
      </c>
      <c r="I2" s="5" t="s">
        <v>237</v>
      </c>
    </row>
    <row r="3" spans="1:9" ht="26.25" thickBot="1" x14ac:dyDescent="0.25">
      <c r="A3" s="223"/>
      <c r="B3" s="224"/>
      <c r="C3" s="231" t="s">
        <v>232</v>
      </c>
      <c r="D3" s="232"/>
      <c r="E3" s="232"/>
      <c r="F3" s="232"/>
      <c r="G3" s="233"/>
      <c r="H3" s="234" t="s">
        <v>3</v>
      </c>
      <c r="I3" s="212">
        <v>45968</v>
      </c>
    </row>
    <row r="4" spans="1:9" ht="13.5" x14ac:dyDescent="0.25">
      <c r="A4" s="223"/>
      <c r="B4" s="224"/>
      <c r="C4" s="3" t="s">
        <v>4</v>
      </c>
      <c r="D4" s="215" t="s">
        <v>222</v>
      </c>
      <c r="E4" s="216"/>
      <c r="F4" s="216"/>
      <c r="G4" s="217"/>
      <c r="H4" s="235"/>
      <c r="I4" s="213"/>
    </row>
    <row r="5" spans="1:9" ht="14.25" thickBot="1" x14ac:dyDescent="0.3">
      <c r="A5" s="225"/>
      <c r="B5" s="226"/>
      <c r="C5" s="4" t="s">
        <v>5</v>
      </c>
      <c r="D5" s="218" t="s">
        <v>26</v>
      </c>
      <c r="E5" s="219"/>
      <c r="F5" s="219"/>
      <c r="G5" s="220"/>
      <c r="H5" s="236"/>
      <c r="I5" s="214"/>
    </row>
    <row r="6" spans="1:9" ht="18.75" thickBot="1" x14ac:dyDescent="0.3">
      <c r="A6" s="237" t="s">
        <v>126</v>
      </c>
      <c r="B6" s="237"/>
      <c r="C6" s="237"/>
      <c r="D6" s="238" t="s">
        <v>223</v>
      </c>
      <c r="E6" s="238"/>
      <c r="F6" s="238"/>
      <c r="G6" s="239" t="s">
        <v>128</v>
      </c>
      <c r="H6" s="239"/>
      <c r="I6" s="210" t="s">
        <v>223</v>
      </c>
    </row>
    <row r="7" spans="1:9" ht="33.75" customHeight="1" x14ac:dyDescent="0.2">
      <c r="A7" s="240" t="s">
        <v>6</v>
      </c>
      <c r="B7" s="242" t="s">
        <v>129</v>
      </c>
      <c r="C7" s="244" t="s">
        <v>7</v>
      </c>
      <c r="D7" s="244" t="s">
        <v>8</v>
      </c>
      <c r="E7" s="244" t="s">
        <v>21</v>
      </c>
      <c r="F7" s="244"/>
      <c r="G7" s="244" t="s">
        <v>130</v>
      </c>
      <c r="H7" s="244"/>
      <c r="I7" s="152" t="s">
        <v>131</v>
      </c>
    </row>
    <row r="8" spans="1:9" ht="33.75" customHeight="1" thickBot="1" x14ac:dyDescent="0.25">
      <c r="A8" s="241"/>
      <c r="B8" s="243"/>
      <c r="C8" s="245"/>
      <c r="D8" s="245"/>
      <c r="E8" s="153" t="s">
        <v>9</v>
      </c>
      <c r="F8" s="154" t="s">
        <v>10</v>
      </c>
      <c r="G8" s="153" t="s">
        <v>9</v>
      </c>
      <c r="H8" s="154" t="s">
        <v>10</v>
      </c>
      <c r="I8" s="155" t="s">
        <v>132</v>
      </c>
    </row>
    <row r="9" spans="1:9" ht="20.25" x14ac:dyDescent="0.3">
      <c r="A9" s="161"/>
      <c r="B9" s="161"/>
      <c r="C9" s="200" t="s">
        <v>133</v>
      </c>
      <c r="D9" s="161"/>
      <c r="E9" s="162"/>
      <c r="F9" s="163"/>
      <c r="G9" s="162"/>
      <c r="H9" s="163"/>
      <c r="I9" s="164"/>
    </row>
    <row r="10" spans="1:9" ht="20.25" x14ac:dyDescent="0.3">
      <c r="A10" s="165" t="s">
        <v>224</v>
      </c>
      <c r="B10" s="165" t="s">
        <v>225</v>
      </c>
      <c r="C10" s="201" t="s">
        <v>226</v>
      </c>
      <c r="D10" s="193" t="s">
        <v>30</v>
      </c>
      <c r="E10" s="193">
        <v>1001</v>
      </c>
      <c r="F10" s="193" t="s">
        <v>11</v>
      </c>
      <c r="G10" s="173"/>
      <c r="H10" s="193"/>
      <c r="I10" s="164"/>
    </row>
    <row r="11" spans="1:9" ht="20.25" x14ac:dyDescent="0.3">
      <c r="A11" s="207" t="s">
        <v>227</v>
      </c>
      <c r="B11" s="207" t="s">
        <v>228</v>
      </c>
      <c r="C11" s="194" t="s">
        <v>229</v>
      </c>
      <c r="D11" s="165" t="s">
        <v>30</v>
      </c>
      <c r="E11" s="165">
        <v>20</v>
      </c>
      <c r="F11" s="195" t="s">
        <v>11</v>
      </c>
      <c r="G11" s="196"/>
      <c r="H11" s="211"/>
      <c r="I11" s="164"/>
    </row>
    <row r="12" spans="1:9" ht="20.25" x14ac:dyDescent="0.3">
      <c r="A12" s="165"/>
      <c r="B12" s="165"/>
      <c r="C12" s="202"/>
      <c r="D12" s="165"/>
      <c r="E12" s="165"/>
      <c r="F12" s="165"/>
      <c r="G12" s="196"/>
      <c r="H12" s="211"/>
      <c r="I12" s="164"/>
    </row>
    <row r="13" spans="1:9" ht="20.25" x14ac:dyDescent="0.3">
      <c r="A13" s="165"/>
      <c r="B13" s="165"/>
      <c r="C13" s="203"/>
      <c r="D13" s="168"/>
      <c r="E13" s="168"/>
      <c r="F13" s="169"/>
      <c r="G13" s="162"/>
      <c r="H13" s="163"/>
      <c r="I13" s="164"/>
    </row>
    <row r="14" spans="1:9" ht="20.25" x14ac:dyDescent="0.3">
      <c r="A14" s="170"/>
      <c r="B14" s="170"/>
      <c r="C14" s="204" t="s">
        <v>127</v>
      </c>
      <c r="D14" s="171"/>
      <c r="E14" s="167"/>
      <c r="F14" s="169"/>
      <c r="G14" s="162"/>
      <c r="H14" s="163"/>
      <c r="I14" s="164"/>
    </row>
    <row r="15" spans="1:9" ht="20.25" x14ac:dyDescent="0.3">
      <c r="A15" s="208"/>
      <c r="B15" s="171"/>
      <c r="C15" s="205"/>
      <c r="D15" s="197"/>
      <c r="E15" s="168"/>
      <c r="F15" s="169"/>
      <c r="G15" s="162"/>
      <c r="H15" s="163"/>
      <c r="I15" s="164"/>
    </row>
    <row r="16" spans="1:9" ht="20.25" x14ac:dyDescent="0.3">
      <c r="A16" s="165"/>
      <c r="B16" s="165"/>
      <c r="C16" s="203"/>
      <c r="D16" s="197"/>
      <c r="E16" s="168"/>
      <c r="F16" s="169"/>
      <c r="G16" s="162"/>
      <c r="H16" s="163"/>
      <c r="I16" s="164"/>
    </row>
    <row r="17" spans="1:9" ht="20.25" x14ac:dyDescent="0.3">
      <c r="A17" s="209"/>
      <c r="B17" s="209"/>
      <c r="C17" s="206" t="s">
        <v>134</v>
      </c>
      <c r="D17" s="192"/>
      <c r="E17" s="174"/>
      <c r="F17" s="163"/>
      <c r="G17" s="162"/>
      <c r="H17" s="172"/>
      <c r="I17" s="164"/>
    </row>
    <row r="18" spans="1:9" ht="20.25" x14ac:dyDescent="0.3">
      <c r="A18" s="207"/>
      <c r="B18" s="207"/>
      <c r="C18" s="194"/>
      <c r="D18" s="165"/>
      <c r="E18" s="165"/>
      <c r="F18" s="195"/>
      <c r="G18" s="175"/>
      <c r="H18" s="163"/>
      <c r="I18" s="164"/>
    </row>
    <row r="19" spans="1:9" ht="20.25" x14ac:dyDescent="0.3">
      <c r="A19" s="198"/>
      <c r="B19" s="165"/>
      <c r="C19" s="202"/>
      <c r="D19" s="165"/>
      <c r="E19" s="165"/>
      <c r="F19" s="195"/>
      <c r="G19" s="175"/>
      <c r="H19" s="163"/>
      <c r="I19" s="164"/>
    </row>
    <row r="20" spans="1:9" ht="21" thickBot="1" x14ac:dyDescent="0.35">
      <c r="A20" s="176"/>
      <c r="B20" s="177"/>
      <c r="C20" s="178"/>
      <c r="D20" s="178"/>
      <c r="E20" s="179"/>
      <c r="F20" s="180"/>
      <c r="G20" s="178"/>
      <c r="H20" s="178"/>
      <c r="I20" s="181"/>
    </row>
    <row r="21" spans="1:9" ht="21" thickBot="1" x14ac:dyDescent="0.35">
      <c r="A21" s="182"/>
      <c r="B21" s="183"/>
      <c r="C21" s="184"/>
      <c r="D21" s="185" t="s">
        <v>9</v>
      </c>
      <c r="E21" s="186" t="s">
        <v>12</v>
      </c>
      <c r="F21" s="187"/>
      <c r="G21" s="184"/>
      <c r="H21" s="184"/>
      <c r="I21" s="188"/>
    </row>
    <row r="22" spans="1:9" ht="20.25" x14ac:dyDescent="0.3">
      <c r="A22" s="246" t="s">
        <v>13</v>
      </c>
      <c r="B22" s="247"/>
      <c r="C22" s="248"/>
      <c r="D22" s="173">
        <v>1001</v>
      </c>
      <c r="E22" s="189" t="s">
        <v>11</v>
      </c>
      <c r="F22" s="249" t="s">
        <v>135</v>
      </c>
      <c r="G22" s="249"/>
      <c r="H22" s="250"/>
      <c r="I22" s="251"/>
    </row>
    <row r="23" spans="1:9" ht="20.25" x14ac:dyDescent="0.3">
      <c r="A23" s="252" t="s">
        <v>14</v>
      </c>
      <c r="B23" s="253"/>
      <c r="C23" s="254"/>
      <c r="D23" s="199">
        <v>2</v>
      </c>
      <c r="E23" s="165" t="s">
        <v>230</v>
      </c>
      <c r="F23" s="255" t="s">
        <v>22</v>
      </c>
      <c r="G23" s="255"/>
      <c r="H23" s="256"/>
      <c r="I23" s="257"/>
    </row>
    <row r="24" spans="1:9" ht="20.25" x14ac:dyDescent="0.3">
      <c r="A24" s="252" t="s">
        <v>15</v>
      </c>
      <c r="B24" s="253"/>
      <c r="C24" s="254"/>
      <c r="D24" s="166">
        <f>D22/D25</f>
        <v>8.3416666666666668</v>
      </c>
      <c r="E24" s="165" t="s">
        <v>231</v>
      </c>
      <c r="F24" s="255" t="s">
        <v>136</v>
      </c>
      <c r="G24" s="255"/>
      <c r="H24" s="256"/>
      <c r="I24" s="257"/>
    </row>
    <row r="25" spans="1:9" ht="20.25" x14ac:dyDescent="0.3">
      <c r="A25" s="252" t="s">
        <v>16</v>
      </c>
      <c r="B25" s="253"/>
      <c r="C25" s="254"/>
      <c r="D25" s="166">
        <v>120</v>
      </c>
      <c r="E25" s="165" t="s">
        <v>11</v>
      </c>
      <c r="F25" s="261" t="s">
        <v>137</v>
      </c>
      <c r="G25" s="262"/>
      <c r="H25" s="256"/>
      <c r="I25" s="257"/>
    </row>
    <row r="26" spans="1:9" ht="21" thickBot="1" x14ac:dyDescent="0.35">
      <c r="A26" s="263" t="s">
        <v>17</v>
      </c>
      <c r="B26" s="264"/>
      <c r="C26" s="265"/>
      <c r="D26" s="190">
        <v>0</v>
      </c>
      <c r="E26" s="191" t="s">
        <v>11</v>
      </c>
      <c r="F26" s="266"/>
      <c r="G26" s="266"/>
      <c r="H26" s="267"/>
      <c r="I26" s="268"/>
    </row>
    <row r="27" spans="1:9" ht="21" thickBot="1" x14ac:dyDescent="0.35">
      <c r="A27" s="269" t="s">
        <v>18</v>
      </c>
      <c r="B27" s="270"/>
      <c r="C27" s="270"/>
      <c r="D27" s="270"/>
      <c r="E27" s="270"/>
      <c r="F27" s="270"/>
      <c r="G27" s="270"/>
      <c r="H27" s="270"/>
      <c r="I27" s="271"/>
    </row>
    <row r="28" spans="1:9" ht="48" customHeight="1" x14ac:dyDescent="0.3">
      <c r="A28" s="272" t="s">
        <v>233</v>
      </c>
      <c r="B28" s="273"/>
      <c r="C28" s="273"/>
      <c r="D28" s="273"/>
      <c r="E28" s="273"/>
      <c r="F28" s="273"/>
      <c r="G28" s="273"/>
      <c r="H28" s="273"/>
      <c r="I28" s="274"/>
    </row>
    <row r="29" spans="1:9" ht="23.25" customHeight="1" x14ac:dyDescent="0.3">
      <c r="A29" s="258" t="s">
        <v>234</v>
      </c>
      <c r="B29" s="259"/>
      <c r="C29" s="259"/>
      <c r="D29" s="259"/>
      <c r="E29" s="259"/>
      <c r="F29" s="259"/>
      <c r="G29" s="259"/>
      <c r="H29" s="259"/>
      <c r="I29" s="260"/>
    </row>
    <row r="30" spans="1:9" ht="24.75" customHeight="1" x14ac:dyDescent="0.3">
      <c r="A30" s="258" t="s">
        <v>235</v>
      </c>
      <c r="B30" s="259"/>
      <c r="C30" s="259"/>
      <c r="D30" s="259"/>
      <c r="E30" s="259"/>
      <c r="F30" s="259"/>
      <c r="G30" s="259"/>
      <c r="H30" s="259"/>
      <c r="I30" s="260"/>
    </row>
    <row r="31" spans="1:9" ht="23.25" customHeight="1" x14ac:dyDescent="0.3">
      <c r="A31" s="280" t="s">
        <v>236</v>
      </c>
      <c r="B31" s="281"/>
      <c r="C31" s="281"/>
      <c r="D31" s="281"/>
      <c r="E31" s="281"/>
      <c r="F31" s="281"/>
      <c r="G31" s="281"/>
      <c r="H31" s="281"/>
      <c r="I31" s="282"/>
    </row>
    <row r="32" spans="1:9" ht="20.25" x14ac:dyDescent="0.3">
      <c r="A32" s="280"/>
      <c r="B32" s="281"/>
      <c r="C32" s="281"/>
      <c r="D32" s="281"/>
      <c r="E32" s="281"/>
      <c r="F32" s="281"/>
      <c r="G32" s="281"/>
      <c r="H32" s="281"/>
      <c r="I32" s="282"/>
    </row>
    <row r="33" spans="1:9" ht="20.25" x14ac:dyDescent="0.3">
      <c r="A33" s="275"/>
      <c r="B33" s="276"/>
      <c r="C33" s="276"/>
      <c r="D33" s="276"/>
      <c r="E33" s="276"/>
      <c r="F33" s="276"/>
      <c r="G33" s="276"/>
      <c r="H33" s="276"/>
      <c r="I33" s="277"/>
    </row>
    <row r="34" spans="1:9" ht="20.25" x14ac:dyDescent="0.3">
      <c r="A34" s="278" t="s">
        <v>138</v>
      </c>
      <c r="B34" s="278"/>
      <c r="C34" s="278"/>
      <c r="D34" s="278"/>
      <c r="E34" s="278"/>
      <c r="F34" s="278"/>
      <c r="G34" s="278"/>
      <c r="H34" s="278"/>
      <c r="I34" s="278"/>
    </row>
    <row r="35" spans="1:9" ht="20.25" x14ac:dyDescent="0.3">
      <c r="A35" s="279"/>
      <c r="B35" s="279"/>
      <c r="C35" s="279"/>
      <c r="D35" s="279"/>
      <c r="E35" s="279"/>
      <c r="F35" s="279"/>
      <c r="G35" s="279"/>
      <c r="H35" s="279"/>
      <c r="I35" s="279"/>
    </row>
    <row r="36" spans="1:9" ht="20.25" x14ac:dyDescent="0.3">
      <c r="A36" s="279"/>
      <c r="B36" s="279"/>
      <c r="C36" s="279"/>
      <c r="D36" s="279"/>
      <c r="E36" s="279"/>
      <c r="F36" s="279"/>
      <c r="G36" s="279"/>
      <c r="H36" s="279"/>
      <c r="I36" s="279"/>
    </row>
  </sheetData>
  <mergeCells count="42">
    <mergeCell ref="A33:I33"/>
    <mergeCell ref="A34:I34"/>
    <mergeCell ref="A35:I35"/>
    <mergeCell ref="A36:I36"/>
    <mergeCell ref="A30:I30"/>
    <mergeCell ref="A31:I31"/>
    <mergeCell ref="A32:I32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8AF2-785D-4B3B-BF2C-B4B706C225BB}">
  <dimension ref="A2:M36"/>
  <sheetViews>
    <sheetView topLeftCell="A17" workbookViewId="0">
      <selection activeCell="I35" sqref="I35"/>
    </sheetView>
  </sheetViews>
  <sheetFormatPr baseColWidth="10" defaultRowHeight="12.75" x14ac:dyDescent="0.2"/>
  <cols>
    <col min="3" max="3" width="37.7109375" customWidth="1"/>
  </cols>
  <sheetData>
    <row r="2" spans="1:2" ht="15" x14ac:dyDescent="0.25">
      <c r="A2" s="160" t="s">
        <v>140</v>
      </c>
      <c r="B2" s="160"/>
    </row>
    <row r="3" spans="1:2" ht="15" x14ac:dyDescent="0.25">
      <c r="A3" s="160" t="s">
        <v>141</v>
      </c>
      <c r="B3" s="160" t="s">
        <v>142</v>
      </c>
    </row>
    <row r="4" spans="1:2" ht="15" x14ac:dyDescent="0.25">
      <c r="A4" s="160" t="s">
        <v>143</v>
      </c>
      <c r="B4" s="160" t="s">
        <v>144</v>
      </c>
    </row>
    <row r="5" spans="1:2" ht="15" x14ac:dyDescent="0.25">
      <c r="A5" s="160" t="s">
        <v>145</v>
      </c>
      <c r="B5" s="160" t="s">
        <v>146</v>
      </c>
    </row>
    <row r="6" spans="1:2" ht="15" x14ac:dyDescent="0.25">
      <c r="A6" s="160" t="s">
        <v>147</v>
      </c>
      <c r="B6" s="160" t="s">
        <v>148</v>
      </c>
    </row>
    <row r="7" spans="1:2" ht="15" x14ac:dyDescent="0.25">
      <c r="A7" s="160" t="s">
        <v>149</v>
      </c>
      <c r="B7" s="160" t="s">
        <v>150</v>
      </c>
    </row>
    <row r="8" spans="1:2" ht="15" x14ac:dyDescent="0.25">
      <c r="A8" s="160" t="s">
        <v>151</v>
      </c>
      <c r="B8" s="160" t="s">
        <v>152</v>
      </c>
    </row>
    <row r="9" spans="1:2" ht="15" x14ac:dyDescent="0.25">
      <c r="A9" s="160" t="s">
        <v>153</v>
      </c>
      <c r="B9" s="160" t="s">
        <v>154</v>
      </c>
    </row>
    <row r="10" spans="1:2" ht="15" x14ac:dyDescent="0.25">
      <c r="A10" s="160" t="s">
        <v>155</v>
      </c>
      <c r="B10" s="160" t="s">
        <v>156</v>
      </c>
    </row>
    <row r="11" spans="1:2" ht="15" x14ac:dyDescent="0.25">
      <c r="A11" s="160" t="s">
        <v>157</v>
      </c>
      <c r="B11" s="160" t="s">
        <v>158</v>
      </c>
    </row>
    <row r="12" spans="1:2" ht="15" x14ac:dyDescent="0.25">
      <c r="A12" s="160" t="s">
        <v>159</v>
      </c>
      <c r="B12" s="160" t="s">
        <v>160</v>
      </c>
    </row>
    <row r="13" spans="1:2" ht="15" x14ac:dyDescent="0.25">
      <c r="A13" s="160" t="s">
        <v>161</v>
      </c>
      <c r="B13" s="160" t="s">
        <v>162</v>
      </c>
    </row>
    <row r="14" spans="1:2" ht="15" x14ac:dyDescent="0.25">
      <c r="A14" s="160" t="s">
        <v>163</v>
      </c>
      <c r="B14" s="160" t="s">
        <v>164</v>
      </c>
    </row>
    <row r="17" spans="1:13" ht="15" x14ac:dyDescent="0.25">
      <c r="A17" s="160" t="s">
        <v>165</v>
      </c>
      <c r="B17" s="160" t="s">
        <v>166</v>
      </c>
      <c r="C17" s="160"/>
      <c r="D17" s="160"/>
      <c r="E17" s="160"/>
      <c r="F17" s="160"/>
      <c r="G17" s="160"/>
      <c r="H17" s="160"/>
      <c r="I17" s="160"/>
      <c r="J17" s="160"/>
      <c r="K17" s="160"/>
    </row>
    <row r="18" spans="1:13" ht="15" x14ac:dyDescent="0.25">
      <c r="A18" s="160" t="s">
        <v>167</v>
      </c>
      <c r="B18" s="160" t="s">
        <v>168</v>
      </c>
      <c r="C18" s="160"/>
      <c r="D18" s="160"/>
      <c r="E18" s="160"/>
      <c r="F18" s="160"/>
      <c r="G18" s="160"/>
      <c r="H18" s="160"/>
      <c r="I18" s="160"/>
      <c r="J18" s="160"/>
      <c r="K18" s="160"/>
    </row>
    <row r="20" spans="1:13" ht="15" x14ac:dyDescent="0.25">
      <c r="A20" s="160" t="s">
        <v>169</v>
      </c>
      <c r="B20" s="160" t="s">
        <v>170</v>
      </c>
      <c r="C20" s="160" t="s">
        <v>171</v>
      </c>
      <c r="D20" s="160" t="s">
        <v>172</v>
      </c>
      <c r="E20" s="160" t="s">
        <v>173</v>
      </c>
      <c r="F20" s="160" t="s">
        <v>174</v>
      </c>
      <c r="G20" s="160" t="s">
        <v>175</v>
      </c>
      <c r="H20" s="160" t="s">
        <v>176</v>
      </c>
      <c r="I20" s="160" t="s">
        <v>40</v>
      </c>
      <c r="J20" s="160" t="s">
        <v>37</v>
      </c>
      <c r="K20" s="160" t="s">
        <v>99</v>
      </c>
    </row>
    <row r="21" spans="1:13" ht="15" x14ac:dyDescent="0.25">
      <c r="A21" s="160" t="s">
        <v>118</v>
      </c>
      <c r="B21" s="160" t="s">
        <v>160</v>
      </c>
      <c r="C21" s="160" t="s">
        <v>177</v>
      </c>
      <c r="D21" s="160" t="s">
        <v>178</v>
      </c>
      <c r="E21" s="160" t="s">
        <v>179</v>
      </c>
      <c r="F21" s="160" t="s">
        <v>178</v>
      </c>
      <c r="G21" s="160" t="s">
        <v>178</v>
      </c>
      <c r="H21" s="160" t="s">
        <v>178</v>
      </c>
      <c r="I21" s="160" t="s">
        <v>180</v>
      </c>
      <c r="J21" s="160" t="s">
        <v>181</v>
      </c>
      <c r="K21" s="160" t="s">
        <v>182</v>
      </c>
      <c r="L21">
        <v>1276.42</v>
      </c>
    </row>
    <row r="22" spans="1:13" ht="15" x14ac:dyDescent="0.25">
      <c r="A22" s="160" t="s">
        <v>120</v>
      </c>
      <c r="B22" s="160" t="s">
        <v>160</v>
      </c>
      <c r="C22" s="160" t="s">
        <v>183</v>
      </c>
      <c r="D22" s="160" t="s">
        <v>160</v>
      </c>
      <c r="E22" s="160" t="s">
        <v>179</v>
      </c>
      <c r="F22" s="160" t="s">
        <v>160</v>
      </c>
      <c r="G22" s="160" t="s">
        <v>160</v>
      </c>
      <c r="H22" s="160" t="s">
        <v>160</v>
      </c>
      <c r="I22" s="160" t="s">
        <v>184</v>
      </c>
      <c r="J22" s="160" t="s">
        <v>37</v>
      </c>
      <c r="K22" s="160" t="s">
        <v>184</v>
      </c>
      <c r="L22">
        <v>0.39</v>
      </c>
    </row>
    <row r="23" spans="1:13" ht="15" x14ac:dyDescent="0.25">
      <c r="A23" s="160" t="s">
        <v>124</v>
      </c>
      <c r="B23" s="160" t="s">
        <v>160</v>
      </c>
      <c r="C23" s="160" t="s">
        <v>185</v>
      </c>
      <c r="D23" s="160" t="s">
        <v>160</v>
      </c>
      <c r="E23" s="160" t="s">
        <v>179</v>
      </c>
      <c r="F23" s="160" t="s">
        <v>160</v>
      </c>
      <c r="G23" s="160" t="s">
        <v>160</v>
      </c>
      <c r="H23" s="160" t="s">
        <v>160</v>
      </c>
      <c r="I23" s="160" t="s">
        <v>186</v>
      </c>
      <c r="J23" s="160" t="s">
        <v>37</v>
      </c>
      <c r="K23" s="160" t="s">
        <v>186</v>
      </c>
      <c r="L23">
        <v>194</v>
      </c>
    </row>
    <row r="24" spans="1:13" ht="15" x14ac:dyDescent="0.25">
      <c r="A24" s="160" t="s">
        <v>122</v>
      </c>
      <c r="B24" s="160" t="s">
        <v>160</v>
      </c>
      <c r="C24" s="160" t="s">
        <v>187</v>
      </c>
      <c r="D24" s="160" t="s">
        <v>160</v>
      </c>
      <c r="E24" s="160" t="s">
        <v>179</v>
      </c>
      <c r="F24" s="160" t="s">
        <v>160</v>
      </c>
      <c r="G24" s="160" t="s">
        <v>160</v>
      </c>
      <c r="H24" s="160" t="s">
        <v>160</v>
      </c>
      <c r="I24" s="160" t="s">
        <v>188</v>
      </c>
      <c r="J24" s="160" t="s">
        <v>37</v>
      </c>
      <c r="K24" s="160" t="s">
        <v>188</v>
      </c>
      <c r="L24">
        <v>0.57999999999999996</v>
      </c>
    </row>
    <row r="25" spans="1:13" ht="15" x14ac:dyDescent="0.25">
      <c r="A25" s="160" t="s">
        <v>123</v>
      </c>
      <c r="B25" s="160" t="s">
        <v>160</v>
      </c>
      <c r="C25" s="160" t="s">
        <v>189</v>
      </c>
      <c r="D25" s="160" t="s">
        <v>160</v>
      </c>
      <c r="E25" s="160" t="s">
        <v>179</v>
      </c>
      <c r="F25" s="160" t="s">
        <v>160</v>
      </c>
      <c r="G25" s="160" t="s">
        <v>160</v>
      </c>
      <c r="H25" s="160" t="s">
        <v>160</v>
      </c>
      <c r="I25" s="160" t="s">
        <v>190</v>
      </c>
      <c r="J25" s="160" t="s">
        <v>37</v>
      </c>
      <c r="K25" s="160" t="s">
        <v>190</v>
      </c>
      <c r="L25">
        <v>0.38</v>
      </c>
    </row>
    <row r="26" spans="1:13" ht="15" x14ac:dyDescent="0.25">
      <c r="A26" s="160" t="s">
        <v>191</v>
      </c>
      <c r="B26" s="160" t="s">
        <v>160</v>
      </c>
      <c r="C26" s="157" t="s">
        <v>139</v>
      </c>
      <c r="D26" s="160" t="s">
        <v>160</v>
      </c>
      <c r="E26" s="160" t="s">
        <v>179</v>
      </c>
      <c r="F26" s="160" t="s">
        <v>160</v>
      </c>
      <c r="G26" s="160" t="s">
        <v>160</v>
      </c>
      <c r="H26" s="160" t="s">
        <v>160</v>
      </c>
      <c r="I26" s="160">
        <v>380</v>
      </c>
      <c r="J26" s="160" t="s">
        <v>37</v>
      </c>
      <c r="K26" s="160">
        <v>380</v>
      </c>
      <c r="L26">
        <v>380</v>
      </c>
    </row>
    <row r="27" spans="1:13" ht="15" x14ac:dyDescent="0.25">
      <c r="A27" s="160" t="s">
        <v>121</v>
      </c>
      <c r="B27" s="160" t="s">
        <v>160</v>
      </c>
      <c r="C27" s="160" t="s">
        <v>195</v>
      </c>
      <c r="D27" s="160" t="s">
        <v>160</v>
      </c>
      <c r="E27" s="160" t="s">
        <v>179</v>
      </c>
      <c r="F27" s="160" t="s">
        <v>160</v>
      </c>
      <c r="G27" s="160" t="s">
        <v>160</v>
      </c>
      <c r="H27" s="160" t="s">
        <v>160</v>
      </c>
      <c r="I27" s="160" t="s">
        <v>196</v>
      </c>
      <c r="J27" s="160" t="s">
        <v>37</v>
      </c>
      <c r="K27" s="160" t="s">
        <v>197</v>
      </c>
      <c r="L27">
        <v>112</v>
      </c>
    </row>
    <row r="28" spans="1:13" ht="15" x14ac:dyDescent="0.25">
      <c r="A28" s="160" t="s">
        <v>198</v>
      </c>
      <c r="B28" s="160" t="s">
        <v>160</v>
      </c>
      <c r="C28" s="160" t="s">
        <v>199</v>
      </c>
      <c r="D28" s="160" t="s">
        <v>200</v>
      </c>
      <c r="E28" s="160" t="s">
        <v>179</v>
      </c>
      <c r="F28" s="160" t="s">
        <v>200</v>
      </c>
      <c r="G28" s="160" t="s">
        <v>200</v>
      </c>
      <c r="H28" s="160" t="s">
        <v>200</v>
      </c>
      <c r="I28" s="160" t="s">
        <v>201</v>
      </c>
      <c r="J28" s="160" t="s">
        <v>37</v>
      </c>
      <c r="K28" s="160" t="s">
        <v>202</v>
      </c>
      <c r="L28">
        <v>796.57</v>
      </c>
    </row>
    <row r="29" spans="1:13" ht="15" x14ac:dyDescent="0.25">
      <c r="A29" s="160" t="s">
        <v>203</v>
      </c>
      <c r="B29" s="160" t="s">
        <v>160</v>
      </c>
      <c r="C29" s="160" t="s">
        <v>204</v>
      </c>
      <c r="D29" s="160" t="s">
        <v>200</v>
      </c>
      <c r="E29" s="160" t="s">
        <v>179</v>
      </c>
      <c r="F29" s="160" t="s">
        <v>200</v>
      </c>
      <c r="G29" s="160" t="s">
        <v>200</v>
      </c>
      <c r="H29" s="160" t="s">
        <v>200</v>
      </c>
      <c r="I29" s="160" t="s">
        <v>205</v>
      </c>
      <c r="J29" s="160" t="s">
        <v>37</v>
      </c>
      <c r="K29" s="160" t="s">
        <v>206</v>
      </c>
      <c r="L29">
        <v>858.64</v>
      </c>
    </row>
    <row r="30" spans="1:13" ht="15" x14ac:dyDescent="0.25">
      <c r="A30" s="160" t="s">
        <v>119</v>
      </c>
      <c r="B30" s="160" t="s">
        <v>160</v>
      </c>
      <c r="C30" s="160" t="s">
        <v>207</v>
      </c>
      <c r="D30" s="160" t="s">
        <v>208</v>
      </c>
      <c r="E30" s="160" t="s">
        <v>179</v>
      </c>
      <c r="F30" s="160" t="s">
        <v>208</v>
      </c>
      <c r="G30" s="160" t="s">
        <v>208</v>
      </c>
      <c r="H30" s="160" t="s">
        <v>208</v>
      </c>
      <c r="I30" s="160" t="s">
        <v>209</v>
      </c>
      <c r="J30" s="160" t="s">
        <v>210</v>
      </c>
      <c r="K30" s="160" t="s">
        <v>211</v>
      </c>
      <c r="L30">
        <v>434.5</v>
      </c>
    </row>
    <row r="31" spans="1:13" ht="15" x14ac:dyDescent="0.25">
      <c r="A31" s="160" t="s">
        <v>125</v>
      </c>
      <c r="B31" s="160" t="s">
        <v>160</v>
      </c>
      <c r="C31" s="160" t="s">
        <v>212</v>
      </c>
      <c r="D31" s="160">
        <v>0.01</v>
      </c>
      <c r="E31" s="160" t="s">
        <v>179</v>
      </c>
      <c r="F31" s="160">
        <v>0.01</v>
      </c>
      <c r="G31" s="160">
        <v>0.01</v>
      </c>
      <c r="H31" s="160">
        <v>0.01</v>
      </c>
      <c r="I31" s="160" t="s">
        <v>214</v>
      </c>
      <c r="J31" s="160" t="s">
        <v>210</v>
      </c>
      <c r="K31" s="160" t="s">
        <v>215</v>
      </c>
      <c r="L31">
        <v>45.07</v>
      </c>
      <c r="M31">
        <f>0.01*4507.33</f>
        <v>45.073300000000003</v>
      </c>
    </row>
    <row r="32" spans="1:13" ht="15" x14ac:dyDescent="0.25">
      <c r="A32" s="160" t="s">
        <v>117</v>
      </c>
      <c r="B32" s="160" t="s">
        <v>160</v>
      </c>
      <c r="C32" s="160" t="s">
        <v>216</v>
      </c>
      <c r="D32" s="160">
        <v>5</v>
      </c>
      <c r="E32" s="160" t="s">
        <v>179</v>
      </c>
      <c r="F32" s="160">
        <v>5</v>
      </c>
      <c r="G32" s="160">
        <v>5</v>
      </c>
      <c r="H32" s="160">
        <v>5</v>
      </c>
      <c r="I32" s="160" t="s">
        <v>218</v>
      </c>
      <c r="J32" s="160" t="s">
        <v>37</v>
      </c>
      <c r="K32" s="160">
        <v>758.5</v>
      </c>
      <c r="L32">
        <v>758.5</v>
      </c>
      <c r="M32">
        <f>5*151.7</f>
        <v>758.5</v>
      </c>
    </row>
    <row r="33" spans="4:12" x14ac:dyDescent="0.2">
      <c r="L33" s="159">
        <f>SUM(L21:L32)</f>
        <v>4857.05</v>
      </c>
    </row>
    <row r="36" spans="4:12" x14ac:dyDescent="0.2">
      <c r="D36">
        <f>10/1000</f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3EA5-650B-410F-9743-A6E890F96C1A}">
  <dimension ref="A1:B2"/>
  <sheetViews>
    <sheetView workbookViewId="0">
      <selection activeCell="D8" sqref="D8"/>
    </sheetView>
  </sheetViews>
  <sheetFormatPr baseColWidth="10" defaultRowHeight="12.75" x14ac:dyDescent="0.2"/>
  <cols>
    <col min="1" max="1" width="29.42578125" customWidth="1"/>
  </cols>
  <sheetData>
    <row r="1" spans="1:2" x14ac:dyDescent="0.2">
      <c r="A1" s="156" t="s">
        <v>220</v>
      </c>
      <c r="B1" s="158">
        <v>4819</v>
      </c>
    </row>
    <row r="2" spans="1:2" x14ac:dyDescent="0.2">
      <c r="A2" s="156" t="s">
        <v>221</v>
      </c>
      <c r="B2" s="158">
        <v>4857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266A-D1CD-4646-8CC5-6F004812AD84}">
  <dimension ref="A1:Q91"/>
  <sheetViews>
    <sheetView topLeftCell="A4" workbookViewId="0">
      <selection activeCell="H61" sqref="H61"/>
    </sheetView>
  </sheetViews>
  <sheetFormatPr baseColWidth="10" defaultColWidth="8.42578125" defaultRowHeight="12.75" x14ac:dyDescent="0.2"/>
  <cols>
    <col min="1" max="1" width="10" style="12" bestFit="1" customWidth="1"/>
    <col min="2" max="2" width="44.28515625" style="12" bestFit="1" customWidth="1"/>
    <col min="3" max="3" width="10.42578125" style="12" bestFit="1" customWidth="1"/>
    <col min="4" max="4" width="10.42578125" style="12" customWidth="1"/>
    <col min="5" max="5" width="9.7109375" style="12" bestFit="1" customWidth="1"/>
    <col min="6" max="6" width="9.5703125" style="12" bestFit="1" customWidth="1"/>
    <col min="7" max="7" width="9.5703125" style="94" bestFit="1" customWidth="1"/>
    <col min="8" max="8" width="10.42578125" style="85" bestFit="1" customWidth="1"/>
    <col min="9" max="9" width="4.5703125" style="85" customWidth="1"/>
    <col min="10" max="10" width="1.85546875" style="11" customWidth="1"/>
    <col min="11" max="11" width="7" style="12" bestFit="1" customWidth="1"/>
    <col min="12" max="12" width="6.28515625" style="12" customWidth="1"/>
    <col min="13" max="13" width="20.42578125" style="12" customWidth="1"/>
    <col min="14" max="14" width="6.42578125" style="12" bestFit="1" customWidth="1"/>
    <col min="15" max="16" width="8.42578125" style="12"/>
    <col min="17" max="17" width="3.28515625" style="12" customWidth="1"/>
    <col min="18" max="16384" width="8.42578125" style="12"/>
  </cols>
  <sheetData>
    <row r="1" spans="1:10" ht="27.75" customHeight="1" x14ac:dyDescent="0.2">
      <c r="A1" s="7"/>
      <c r="B1" s="7"/>
      <c r="C1" s="7"/>
      <c r="D1" s="7"/>
      <c r="E1" s="8" t="s">
        <v>31</v>
      </c>
      <c r="F1" s="9" t="s">
        <v>32</v>
      </c>
      <c r="G1" s="9" t="s">
        <v>33</v>
      </c>
      <c r="H1" s="9" t="s">
        <v>34</v>
      </c>
      <c r="I1" s="10"/>
    </row>
    <row r="2" spans="1:10" ht="30.75" customHeight="1" x14ac:dyDescent="0.2">
      <c r="A2" s="7"/>
      <c r="B2" s="7"/>
      <c r="C2" s="7"/>
      <c r="D2" s="7"/>
      <c r="E2" s="13">
        <f>IFERROR(O62,"")</f>
        <v>4775.8783890096329</v>
      </c>
      <c r="F2" s="13">
        <f>IFERROR(H53,"")</f>
        <v>2670.4799999999996</v>
      </c>
      <c r="G2" s="13">
        <f>IFERROR(H54,"")</f>
        <v>893.60835000718896</v>
      </c>
      <c r="H2" s="13">
        <f>IFERROR(H56,"")</f>
        <v>607.08557841365928</v>
      </c>
      <c r="I2" s="14"/>
    </row>
    <row r="3" spans="1:10" ht="15" customHeight="1" x14ac:dyDescent="0.2">
      <c r="A3" s="7"/>
      <c r="B3" s="7"/>
      <c r="C3" s="7"/>
      <c r="D3" s="7"/>
      <c r="E3" s="7"/>
      <c r="F3" s="15"/>
      <c r="G3" s="15"/>
      <c r="H3" s="15"/>
      <c r="I3" s="15"/>
    </row>
    <row r="4" spans="1:10" ht="24.75" customHeight="1" thickBot="1" x14ac:dyDescent="0.25">
      <c r="A4" s="309"/>
      <c r="B4" s="309"/>
      <c r="C4" s="309"/>
      <c r="D4" s="309"/>
      <c r="E4" s="309"/>
      <c r="F4" s="309"/>
      <c r="G4" s="309"/>
      <c r="H4" s="309"/>
      <c r="I4" s="16"/>
    </row>
    <row r="5" spans="1:10" ht="19.5" customHeight="1" thickBot="1" x14ac:dyDescent="0.25">
      <c r="A5" s="310" t="s">
        <v>35</v>
      </c>
      <c r="B5" s="311"/>
      <c r="C5" s="311"/>
      <c r="D5" s="311"/>
      <c r="E5" s="311"/>
      <c r="F5" s="311"/>
      <c r="G5" s="311"/>
      <c r="H5" s="312"/>
      <c r="I5" s="17"/>
    </row>
    <row r="6" spans="1:10" ht="19.5" thickBot="1" x14ac:dyDescent="0.25">
      <c r="A6" s="17"/>
      <c r="B6" s="17"/>
      <c r="C6" s="17"/>
      <c r="D6" s="17"/>
      <c r="E6" s="17"/>
      <c r="F6" s="313" t="s">
        <v>36</v>
      </c>
      <c r="G6" s="313"/>
      <c r="H6" s="18">
        <f ca="1">TODAY()</f>
        <v>46126</v>
      </c>
      <c r="I6" s="18"/>
    </row>
    <row r="7" spans="1:10" ht="26.25" thickBot="1" x14ac:dyDescent="0.25">
      <c r="A7" s="19" t="s">
        <v>37</v>
      </c>
      <c r="B7" s="20" t="s">
        <v>38</v>
      </c>
      <c r="C7" s="20" t="s">
        <v>37</v>
      </c>
      <c r="D7" s="21" t="s">
        <v>39</v>
      </c>
      <c r="E7" s="21" t="s">
        <v>40</v>
      </c>
      <c r="F7" s="21" t="s">
        <v>41</v>
      </c>
      <c r="G7" s="21" t="s">
        <v>42</v>
      </c>
      <c r="H7" s="22" t="s">
        <v>43</v>
      </c>
      <c r="I7" s="23"/>
    </row>
    <row r="8" spans="1:10" ht="13.5" x14ac:dyDescent="0.25">
      <c r="A8" s="24">
        <v>600</v>
      </c>
      <c r="B8" s="12" t="s">
        <v>113</v>
      </c>
      <c r="C8" s="25">
        <f>+A8</f>
        <v>600</v>
      </c>
      <c r="D8" s="26" t="s">
        <v>116</v>
      </c>
      <c r="E8" s="26">
        <v>2.56</v>
      </c>
      <c r="F8" s="26">
        <f>IFERROR(C8*E8,"")</f>
        <v>1536</v>
      </c>
      <c r="G8" s="27">
        <f t="shared" ref="G8:G14" si="0">IFERROR(F8/$F$66,"")</f>
        <v>0.37855841676944746</v>
      </c>
      <c r="H8" s="28" t="s">
        <v>112</v>
      </c>
      <c r="I8" s="28"/>
      <c r="J8" s="29"/>
    </row>
    <row r="9" spans="1:10" ht="13.5" hidden="1" x14ac:dyDescent="0.25">
      <c r="A9" s="24"/>
      <c r="B9" s="12" t="str">
        <f>IFERROR(VLOOKUP(H9,'[1]Consolidado MP Planta'!$A$2:$M$823,3,0),"")</f>
        <v/>
      </c>
      <c r="C9" s="25">
        <f t="shared" ref="C9:C14" si="1">+A9</f>
        <v>0</v>
      </c>
      <c r="D9" s="26" t="str">
        <f>IFERROR(VLOOKUP(H9,'[1]Consolidado MP Planta'!$A$2:$M$823,13,0),"")</f>
        <v/>
      </c>
      <c r="E9" s="26" t="str">
        <f>IFERROR(VLOOKUP(H9,'[1]Consolidado MP Planta'!$A$2:$M$823,12,0),"")</f>
        <v/>
      </c>
      <c r="F9" s="26" t="str">
        <f t="shared" ref="F9:F14" si="2">IFERROR(C9*E9,"")</f>
        <v/>
      </c>
      <c r="G9" s="27" t="str">
        <f t="shared" si="0"/>
        <v/>
      </c>
      <c r="H9" s="28"/>
      <c r="I9" s="28"/>
      <c r="J9" s="29"/>
    </row>
    <row r="10" spans="1:10" ht="13.5" hidden="1" x14ac:dyDescent="0.25">
      <c r="A10" s="24"/>
      <c r="B10" s="12" t="str">
        <f>IFERROR(VLOOKUP(H10,'[1]Consolidado MP Planta'!$A$2:$M$823,3,0),"")</f>
        <v/>
      </c>
      <c r="C10" s="25">
        <f t="shared" si="1"/>
        <v>0</v>
      </c>
      <c r="D10" s="26" t="str">
        <f>IFERROR(VLOOKUP(H10,'[1]Consolidado MP Planta'!$A$2:$M$823,13,0),"")</f>
        <v/>
      </c>
      <c r="E10" s="26" t="str">
        <f>IFERROR(VLOOKUP(H10,'[1]Consolidado MP Planta'!$A$2:$M$823,12,0),"")</f>
        <v/>
      </c>
      <c r="F10" s="26" t="str">
        <f t="shared" si="2"/>
        <v/>
      </c>
      <c r="G10" s="27" t="str">
        <f t="shared" si="0"/>
        <v/>
      </c>
      <c r="H10" s="28"/>
      <c r="I10" s="28"/>
      <c r="J10" s="29"/>
    </row>
    <row r="11" spans="1:10" ht="13.5" hidden="1" x14ac:dyDescent="0.25">
      <c r="A11" s="24"/>
      <c r="B11" s="12" t="str">
        <f>IFERROR(VLOOKUP(H11,'[1]Consolidado MP Planta'!$A$2:$M$823,3,0),"")</f>
        <v/>
      </c>
      <c r="C11" s="25">
        <f t="shared" si="1"/>
        <v>0</v>
      </c>
      <c r="D11" s="26" t="str">
        <f>IFERROR(VLOOKUP(H11,'[1]Consolidado MP Planta'!$A$2:$M$823,13,0),"")</f>
        <v/>
      </c>
      <c r="E11" s="26" t="str">
        <f>IFERROR(VLOOKUP(H11,'[1]Consolidado MP Planta'!$A$2:$M$823,12,0),"")</f>
        <v/>
      </c>
      <c r="F11" s="26" t="str">
        <f t="shared" si="2"/>
        <v/>
      </c>
      <c r="G11" s="27" t="str">
        <f t="shared" si="0"/>
        <v/>
      </c>
      <c r="H11" s="28"/>
      <c r="I11" s="28"/>
      <c r="J11" s="29"/>
    </row>
    <row r="12" spans="1:10" ht="13.5" hidden="1" x14ac:dyDescent="0.25">
      <c r="A12" s="24"/>
      <c r="B12" s="12" t="str">
        <f>IFERROR(VLOOKUP(H12,'[1]Consolidado MP Planta'!$A$2:$M$823,3,0),"")</f>
        <v/>
      </c>
      <c r="C12" s="25">
        <f t="shared" si="1"/>
        <v>0</v>
      </c>
      <c r="D12" s="26" t="str">
        <f>IFERROR(VLOOKUP(H12,'[1]Consolidado MP Planta'!$A$2:$M$823,13,0),"")</f>
        <v/>
      </c>
      <c r="E12" s="26" t="str">
        <f>IFERROR(VLOOKUP(H12,'[1]Consolidado MP Planta'!$A$2:$M$823,12,0),"")</f>
        <v/>
      </c>
      <c r="F12" s="26" t="str">
        <f t="shared" si="2"/>
        <v/>
      </c>
      <c r="G12" s="27" t="str">
        <f t="shared" si="0"/>
        <v/>
      </c>
      <c r="H12" s="28"/>
      <c r="I12" s="28"/>
      <c r="J12" s="29"/>
    </row>
    <row r="13" spans="1:10" ht="13.5" hidden="1" x14ac:dyDescent="0.25">
      <c r="A13" s="24"/>
      <c r="B13" s="12" t="str">
        <f>IFERROR(VLOOKUP(H13,'[1]Consolidado MP Planta'!$A$2:$M$823,3,0),"")</f>
        <v/>
      </c>
      <c r="C13" s="25">
        <f t="shared" si="1"/>
        <v>0</v>
      </c>
      <c r="D13" s="26" t="str">
        <f>IFERROR(VLOOKUP(H13,'[1]Consolidado MP Planta'!$A$2:$M$823,13,0),"")</f>
        <v/>
      </c>
      <c r="E13" s="26" t="str">
        <f>IFERROR(VLOOKUP(H13,'[1]Consolidado MP Planta'!$A$2:$M$823,12,0),"")</f>
        <v/>
      </c>
      <c r="F13" s="26" t="str">
        <f t="shared" si="2"/>
        <v/>
      </c>
      <c r="G13" s="27" t="str">
        <f t="shared" si="0"/>
        <v/>
      </c>
      <c r="H13" s="28"/>
      <c r="I13" s="28"/>
      <c r="J13" s="29"/>
    </row>
    <row r="14" spans="1:10" ht="13.5" hidden="1" x14ac:dyDescent="0.25">
      <c r="A14" s="24"/>
      <c r="B14" s="12" t="str">
        <f>IFERROR(VLOOKUP(H14,'[1]Consolidado MP Planta'!$A$2:$M$823,3,0),"")</f>
        <v/>
      </c>
      <c r="C14" s="25">
        <f t="shared" si="1"/>
        <v>0</v>
      </c>
      <c r="D14" s="26" t="str">
        <f>IFERROR(VLOOKUP(H14,'[1]Consolidado MP Planta'!$A$2:$M$823,13,0),"")</f>
        <v/>
      </c>
      <c r="E14" s="26" t="str">
        <f>IFERROR(VLOOKUP(H14,'[1]Consolidado MP Planta'!$A$2:$M$823,12,0),"")</f>
        <v/>
      </c>
      <c r="F14" s="26" t="str">
        <f t="shared" si="2"/>
        <v/>
      </c>
      <c r="G14" s="27" t="str">
        <f t="shared" si="0"/>
        <v/>
      </c>
      <c r="H14" s="28"/>
      <c r="I14" s="28"/>
      <c r="J14" s="29"/>
    </row>
    <row r="15" spans="1:10" ht="14.25" thickBot="1" x14ac:dyDescent="0.3">
      <c r="A15" s="24"/>
      <c r="B15" s="12" t="str">
        <f>IFERROR(VLOOKUP(H15,'[2]ARTICULOS MP PLANTA'!$A$2:$G$589,2,0),"")</f>
        <v/>
      </c>
      <c r="C15" s="25"/>
      <c r="D15" s="26"/>
      <c r="E15" s="26"/>
      <c r="F15" s="26"/>
      <c r="G15" s="27"/>
      <c r="H15" s="28"/>
      <c r="I15" s="28"/>
      <c r="J15" s="29"/>
    </row>
    <row r="16" spans="1:10" ht="26.25" thickBot="1" x14ac:dyDescent="0.25">
      <c r="A16" s="19" t="s">
        <v>37</v>
      </c>
      <c r="B16" s="20" t="s">
        <v>44</v>
      </c>
      <c r="C16" s="20" t="s">
        <v>37</v>
      </c>
      <c r="D16" s="21" t="s">
        <v>39</v>
      </c>
      <c r="E16" s="21" t="s">
        <v>40</v>
      </c>
      <c r="F16" s="21" t="s">
        <v>41</v>
      </c>
      <c r="G16" s="21" t="s">
        <v>42</v>
      </c>
      <c r="H16" s="22" t="s">
        <v>43</v>
      </c>
      <c r="I16" s="23"/>
      <c r="J16" s="29"/>
    </row>
    <row r="17" spans="1:12" ht="13.5" x14ac:dyDescent="0.25">
      <c r="A17" s="24">
        <v>4</v>
      </c>
      <c r="B17" s="12" t="s">
        <v>111</v>
      </c>
      <c r="C17" s="25">
        <f>+A17</f>
        <v>4</v>
      </c>
      <c r="D17" s="25" t="s">
        <v>114</v>
      </c>
      <c r="E17" s="26">
        <v>156.32</v>
      </c>
      <c r="F17" s="26">
        <f>IFERROR(E17*C17,"")</f>
        <v>625.28</v>
      </c>
      <c r="G17" s="27">
        <f t="shared" ref="G17:G24" si="3">IFERROR(F17/$F$66,"")</f>
        <v>0.1541048221598959</v>
      </c>
      <c r="H17" s="28" t="s">
        <v>110</v>
      </c>
      <c r="I17" s="28"/>
      <c r="J17" s="29"/>
    </row>
    <row r="18" spans="1:12" ht="13.5" x14ac:dyDescent="0.25">
      <c r="A18" s="24">
        <v>200</v>
      </c>
      <c r="B18" s="12" t="str">
        <f>IFERROR(VLOOKUP(H18,[1]SEMIELABORADOS!$A$2:$M$6000,2,0),"")</f>
        <v>CREMA CHANTILLY BLANCA SPOON-IND KILO</v>
      </c>
      <c r="C18" s="25">
        <f t="shared" ref="C18:C24" si="4">+A18</f>
        <v>200</v>
      </c>
      <c r="D18" s="25" t="str">
        <f>IFERROR(VLOOKUP(H18,[1]SEMIELABORADOS!$A$2:$M$6000,6,0),"")</f>
        <v>Gramo</v>
      </c>
      <c r="E18" s="26">
        <v>2.4500000000000002</v>
      </c>
      <c r="F18" s="26">
        <f t="shared" ref="F18:F24" si="5">IFERROR(E18*C18,"")</f>
        <v>490.00000000000006</v>
      </c>
      <c r="G18" s="27">
        <f t="shared" si="3"/>
        <v>0.12076407826629511</v>
      </c>
      <c r="H18" s="28" t="s">
        <v>27</v>
      </c>
      <c r="I18" s="28"/>
      <c r="J18" s="29"/>
    </row>
    <row r="19" spans="1:12" ht="13.5" x14ac:dyDescent="0.25">
      <c r="A19" s="24">
        <v>8</v>
      </c>
      <c r="B19" s="12" t="str">
        <f>IFERROR(VLOOKUP(H19,[1]SEMIELABORADOS!$A$2:$M$6000,2,0),"")</f>
        <v>MEZCLA SIROPE DULCE LECHE KILO</v>
      </c>
      <c r="C19" s="25">
        <f>+A19</f>
        <v>8</v>
      </c>
      <c r="D19" s="25" t="str">
        <f>IFERROR(VLOOKUP(H19,[1]SEMIELABORADOS!$A$2:$M$6000,6,0),"")</f>
        <v>Gramo</v>
      </c>
      <c r="E19" s="26">
        <v>2.4</v>
      </c>
      <c r="F19" s="26">
        <f>IFERROR(E19*C19,"")</f>
        <v>19.2</v>
      </c>
      <c r="G19" s="27">
        <f t="shared" si="3"/>
        <v>4.7319802096180931E-3</v>
      </c>
      <c r="H19" s="28" t="s">
        <v>107</v>
      </c>
      <c r="I19" s="28"/>
      <c r="J19" s="29"/>
    </row>
    <row r="20" spans="1:12" ht="13.5" hidden="1" x14ac:dyDescent="0.25">
      <c r="A20" s="24"/>
      <c r="B20" s="12" t="str">
        <f>IFERROR(VLOOKUP(H20,[1]SEMIELABORADOS!$A$2:$M$6000,2,0),"")</f>
        <v/>
      </c>
      <c r="C20" s="25">
        <f>+A20</f>
        <v>0</v>
      </c>
      <c r="D20" s="25" t="str">
        <f>IFERROR(VLOOKUP(H20,[1]SEMIELABORADOS!$A$2:$M$6000,6,0),"")</f>
        <v/>
      </c>
      <c r="E20" s="26" t="str">
        <f>IFERROR(VLOOKUP(H20,[1]SEMIELABORADOS!$A$2:$H$65536,8,0),"")</f>
        <v/>
      </c>
      <c r="F20" s="26" t="str">
        <f>IFERROR(E20*C20,"")</f>
        <v/>
      </c>
      <c r="G20" s="27" t="str">
        <f t="shared" si="3"/>
        <v/>
      </c>
      <c r="H20" s="28"/>
      <c r="I20" s="28"/>
      <c r="J20" s="29"/>
    </row>
    <row r="21" spans="1:12" ht="13.5" hidden="1" x14ac:dyDescent="0.25">
      <c r="A21" s="24"/>
      <c r="B21" s="12" t="str">
        <f>IFERROR(VLOOKUP(H21,[1]SEMIELABORADOS!$A$2:$M$6000,2,0),"")</f>
        <v/>
      </c>
      <c r="C21" s="25">
        <f>+A21</f>
        <v>0</v>
      </c>
      <c r="D21" s="25" t="str">
        <f>IFERROR(VLOOKUP(H21,[1]SEMIELABORADOS!$A$2:$M$6000,6,0),"")</f>
        <v/>
      </c>
      <c r="E21" s="26" t="str">
        <f>IFERROR(VLOOKUP(H21,[1]SEMIELABORADOS!$A$2:$H$65536,8,0),"")</f>
        <v/>
      </c>
      <c r="F21" s="26" t="str">
        <f>IFERROR(E21*C21,"")</f>
        <v/>
      </c>
      <c r="G21" s="27" t="str">
        <f t="shared" si="3"/>
        <v/>
      </c>
      <c r="H21" s="28"/>
      <c r="I21" s="28"/>
      <c r="J21" s="29"/>
    </row>
    <row r="22" spans="1:12" ht="13.5" hidden="1" x14ac:dyDescent="0.25">
      <c r="A22" s="24"/>
      <c r="B22" s="12" t="str">
        <f>IFERROR(VLOOKUP(H22,[1]SEMIELABORADOS!$A$2:$M$6000,2,0),"")</f>
        <v/>
      </c>
      <c r="C22" s="25">
        <f t="shared" si="4"/>
        <v>0</v>
      </c>
      <c r="D22" s="25" t="str">
        <f>IFERROR(VLOOKUP(H22,[1]SEMIELABORADOS!$A$2:$M$6000,6,0),"")</f>
        <v/>
      </c>
      <c r="E22" s="26" t="str">
        <f>IFERROR(VLOOKUP(H22,[1]SEMIELABORADOS!$A$2:$H$65536,8,0),"")</f>
        <v/>
      </c>
      <c r="F22" s="26" t="str">
        <f t="shared" si="5"/>
        <v/>
      </c>
      <c r="G22" s="27" t="str">
        <f t="shared" si="3"/>
        <v/>
      </c>
      <c r="H22" s="28"/>
      <c r="I22" s="28"/>
      <c r="J22" s="29"/>
    </row>
    <row r="23" spans="1:12" ht="13.5" hidden="1" x14ac:dyDescent="0.25">
      <c r="A23" s="24"/>
      <c r="B23" s="12" t="str">
        <f>IFERROR(VLOOKUP(H23,[1]SEMIELABORADOS!$A$2:$M$6000,2,0),"")</f>
        <v/>
      </c>
      <c r="C23" s="25">
        <f t="shared" si="4"/>
        <v>0</v>
      </c>
      <c r="D23" s="25" t="str">
        <f>IFERROR(VLOOKUP(H23,[1]SEMIELABORADOS!$A$2:$M$6000,6,0),"")</f>
        <v/>
      </c>
      <c r="E23" s="26" t="str">
        <f>IFERROR(VLOOKUP(H23,[1]SEMIELABORADOS!$A$2:$H$65536,8,0),"")</f>
        <v/>
      </c>
      <c r="F23" s="26" t="str">
        <f t="shared" si="5"/>
        <v/>
      </c>
      <c r="G23" s="27" t="str">
        <f t="shared" si="3"/>
        <v/>
      </c>
      <c r="H23" s="28"/>
      <c r="I23" s="28"/>
      <c r="J23" s="29"/>
    </row>
    <row r="24" spans="1:12" ht="13.5" hidden="1" x14ac:dyDescent="0.25">
      <c r="A24" s="24"/>
      <c r="B24" s="12" t="str">
        <f>IFERROR(VLOOKUP(H24,[1]SEMIELABORADOS!$A$2:$M$6000,2,0),"")</f>
        <v/>
      </c>
      <c r="C24" s="25">
        <f t="shared" si="4"/>
        <v>0</v>
      </c>
      <c r="D24" s="25" t="str">
        <f>IFERROR(VLOOKUP(H24,[1]SEMIELABORADOS!$A$2:$M$6000,6,0),"")</f>
        <v/>
      </c>
      <c r="E24" s="26" t="str">
        <f>IFERROR(VLOOKUP(H24,[1]SEMIELABORADOS!$A$2:$H$65536,8,0),"")</f>
        <v/>
      </c>
      <c r="F24" s="26" t="str">
        <f t="shared" si="5"/>
        <v/>
      </c>
      <c r="G24" s="27" t="str">
        <f t="shared" si="3"/>
        <v/>
      </c>
      <c r="H24" s="28"/>
      <c r="I24" s="28"/>
      <c r="J24" s="29"/>
    </row>
    <row r="25" spans="1:12" ht="14.25" thickBot="1" x14ac:dyDescent="0.3">
      <c r="A25" s="24"/>
      <c r="C25" s="25"/>
      <c r="D25" s="25"/>
      <c r="E25" s="26"/>
      <c r="F25" s="26"/>
      <c r="G25" s="27"/>
      <c r="H25" s="28"/>
      <c r="I25" s="28"/>
      <c r="J25" s="29"/>
    </row>
    <row r="26" spans="1:12" ht="26.25" thickBot="1" x14ac:dyDescent="0.25">
      <c r="A26" s="19" t="s">
        <v>37</v>
      </c>
      <c r="B26" s="20" t="s">
        <v>19</v>
      </c>
      <c r="C26" s="20" t="s">
        <v>37</v>
      </c>
      <c r="D26" s="21" t="s">
        <v>39</v>
      </c>
      <c r="E26" s="21" t="s">
        <v>40</v>
      </c>
      <c r="F26" s="21" t="s">
        <v>41</v>
      </c>
      <c r="G26" s="21" t="s">
        <v>42</v>
      </c>
      <c r="H26" s="22" t="s">
        <v>43</v>
      </c>
      <c r="I26" s="23"/>
    </row>
    <row r="27" spans="1:12" ht="13.5" x14ac:dyDescent="0.25">
      <c r="A27" s="24">
        <v>1</v>
      </c>
      <c r="B27" s="31" t="str">
        <f>IFERROR(VLOOKUP(H27,'[1]Consolidado MP Planta'!$A$2:$M$823,3,0),"")</f>
        <v>ETIQUETA BLANCA R-153 (UND)</v>
      </c>
      <c r="C27" s="25">
        <f t="shared" ref="C27:C32" si="6">+A27</f>
        <v>1</v>
      </c>
      <c r="D27" s="26" t="str">
        <f>IFERROR(VLOOKUP(H27,'[1]Consolidado MP Planta'!$A$2:$M$823,13,0),"")</f>
        <v>Und</v>
      </c>
      <c r="E27" s="26">
        <f>IFERROR(VLOOKUP(H27,'[1]Consolidado MP Planta'!$A$2:$M$823,12,0),"")</f>
        <v>0.39</v>
      </c>
      <c r="F27" s="26">
        <f t="shared" ref="F27:F32" si="7">IFERROR(C27*E27,"")</f>
        <v>0.39</v>
      </c>
      <c r="G27" s="27">
        <f t="shared" ref="G27:G32" si="8">IFERROR(F27/$F$66,"")</f>
        <v>9.6118348007867522E-5</v>
      </c>
      <c r="H27" s="30" t="s">
        <v>29</v>
      </c>
      <c r="I27" s="30"/>
      <c r="J27" s="29"/>
      <c r="K27" s="306"/>
      <c r="L27" s="306"/>
    </row>
    <row r="28" spans="1:12" ht="13.5" x14ac:dyDescent="0.25">
      <c r="A28" s="24">
        <v>1</v>
      </c>
      <c r="B28" s="31" t="str">
        <f>IFERROR(VLOOKUP(H28,'[1]Consolidado MP Planta'!$A$2:$M$823,3,0),"")</f>
        <v>ETIQ.BLANCA 1 1/4 * 3/4 (UND)</v>
      </c>
      <c r="C28" s="25">
        <f t="shared" si="6"/>
        <v>1</v>
      </c>
      <c r="D28" s="26" t="str">
        <f>IFERROR(VLOOKUP(H28,'[1]Consolidado MP Planta'!$A$2:$M$823,13,0),"")</f>
        <v>Und</v>
      </c>
      <c r="E28" s="26">
        <f>IFERROR(VLOOKUP(H28,'[1]Consolidado MP Planta'!$A$2:$M$823,12,0),"")</f>
        <v>0.57999999999999996</v>
      </c>
      <c r="F28" s="26">
        <f t="shared" si="7"/>
        <v>0.57999999999999996</v>
      </c>
      <c r="G28" s="27">
        <f t="shared" si="8"/>
        <v>1.429452354988799E-4</v>
      </c>
      <c r="H28" s="30" t="s">
        <v>24</v>
      </c>
      <c r="I28" s="30"/>
      <c r="J28" s="29"/>
      <c r="K28" s="306"/>
      <c r="L28" s="306"/>
    </row>
    <row r="29" spans="1:12" ht="13.5" x14ac:dyDescent="0.25">
      <c r="A29" s="24">
        <v>1</v>
      </c>
      <c r="B29" s="31" t="str">
        <f>IFERROR(VLOOKUP(H29,'[1]Consolidado MP Planta'!$A$2:$M$823,3,0),"")</f>
        <v>ETIQ.FECHA VENCIMIENTO VERDE (ROLLO)</v>
      </c>
      <c r="C29" s="25">
        <f t="shared" si="6"/>
        <v>1</v>
      </c>
      <c r="D29" s="26" t="str">
        <f>IFERROR(VLOOKUP(H29,'[1]Consolidado MP Planta'!$A$2:$M$823,13,0),"")</f>
        <v>Und</v>
      </c>
      <c r="E29" s="26">
        <f>IFERROR(VLOOKUP(H29,'[1]Consolidado MP Planta'!$A$2:$M$823,12,0),"")</f>
        <v>0.33333333333333331</v>
      </c>
      <c r="F29" s="26">
        <f t="shared" si="7"/>
        <v>0.33333333333333331</v>
      </c>
      <c r="G29" s="27">
        <f t="shared" si="8"/>
        <v>8.2152434194758553E-5</v>
      </c>
      <c r="H29" s="30" t="s">
        <v>25</v>
      </c>
      <c r="I29" s="30"/>
      <c r="J29" s="29"/>
      <c r="K29" s="306"/>
      <c r="L29" s="306"/>
    </row>
    <row r="30" spans="1:12" ht="13.5" x14ac:dyDescent="0.25">
      <c r="A30" s="24">
        <v>1</v>
      </c>
      <c r="B30" s="31" t="str">
        <f>IFERROR(VLOOKUP(H30,'[1]Consolidado MP Planta'!$A$2:$M$823,3,0),"")</f>
        <v>QUEQUERA CHILENA (CAJA:50 UND)</v>
      </c>
      <c r="C30" s="25">
        <f t="shared" si="6"/>
        <v>1</v>
      </c>
      <c r="D30" s="26" t="str">
        <f>IFERROR(VLOOKUP(H30,'[1]Consolidado MP Planta'!$A$2:$M$823,13,0),"")</f>
        <v>Und</v>
      </c>
      <c r="E30" s="26">
        <v>752.9</v>
      </c>
      <c r="F30" s="26">
        <f t="shared" si="7"/>
        <v>752.9</v>
      </c>
      <c r="G30" s="27">
        <f t="shared" si="8"/>
        <v>0.18555770311570116</v>
      </c>
      <c r="H30" s="30" t="s">
        <v>108</v>
      </c>
      <c r="I30" s="30"/>
      <c r="J30" s="29"/>
      <c r="K30" s="306"/>
      <c r="L30" s="306"/>
    </row>
    <row r="31" spans="1:12" ht="13.5" x14ac:dyDescent="0.25">
      <c r="A31" s="24">
        <v>1</v>
      </c>
      <c r="B31" s="31" t="str">
        <f>IFERROR(VLOOKUP(H31,'[1]Consolidado MP Planta'!$A$2:$M$823,3,0),"")</f>
        <v>ORLA CARTON 10" DORADA (UND)</v>
      </c>
      <c r="C31" s="25">
        <f t="shared" si="6"/>
        <v>1</v>
      </c>
      <c r="D31" s="26" t="str">
        <f>IFERROR(VLOOKUP(H31,'[1]Consolidado MP Planta'!$A$2:$M$823,13,0),"")</f>
        <v>Und</v>
      </c>
      <c r="E31" s="26">
        <f>IFERROR(VLOOKUP(H31,'[1]Consolidado MP Planta'!$A$2:$M$823,12,0),"")</f>
        <v>137</v>
      </c>
      <c r="F31" s="26">
        <f t="shared" si="7"/>
        <v>137</v>
      </c>
      <c r="G31" s="27">
        <f t="shared" si="8"/>
        <v>3.3764650454045766E-2</v>
      </c>
      <c r="H31" s="30" t="s">
        <v>28</v>
      </c>
      <c r="I31" s="30"/>
      <c r="J31" s="29"/>
      <c r="K31" s="32"/>
      <c r="L31" s="33"/>
    </row>
    <row r="32" spans="1:12" ht="13.5" hidden="1" x14ac:dyDescent="0.25">
      <c r="A32" s="24"/>
      <c r="B32" s="31" t="str">
        <f>IFERROR(VLOOKUP(H32,'[1]Consolidado MP Planta'!$A$2:$M$823,3,0),"")</f>
        <v/>
      </c>
      <c r="C32" s="25">
        <f t="shared" si="6"/>
        <v>0</v>
      </c>
      <c r="D32" s="26" t="str">
        <f>IFERROR(VLOOKUP(H32,'[1]Consolidado MP Planta'!$A$2:$M$823,13,0),"")</f>
        <v/>
      </c>
      <c r="E32" s="26" t="str">
        <f>IFERROR(VLOOKUP(H32,'[1]Consolidado MP Planta'!$A$2:$M$823,12,0),"")</f>
        <v/>
      </c>
      <c r="F32" s="26" t="str">
        <f t="shared" si="7"/>
        <v/>
      </c>
      <c r="G32" s="27" t="str">
        <f t="shared" si="8"/>
        <v/>
      </c>
      <c r="H32" s="30"/>
      <c r="I32" s="30"/>
      <c r="J32" s="29"/>
    </row>
    <row r="33" spans="1:13" ht="14.25" thickBot="1" x14ac:dyDescent="0.3">
      <c r="A33" s="24"/>
      <c r="B33" s="31"/>
      <c r="C33" s="25"/>
      <c r="D33" s="26"/>
      <c r="E33" s="26"/>
      <c r="F33" s="26"/>
      <c r="G33" s="27"/>
      <c r="H33" s="30"/>
      <c r="I33" s="30"/>
      <c r="J33" s="29"/>
    </row>
    <row r="34" spans="1:13" ht="26.25" thickBot="1" x14ac:dyDescent="0.25">
      <c r="A34" s="19" t="s">
        <v>37</v>
      </c>
      <c r="B34" s="20" t="s">
        <v>45</v>
      </c>
      <c r="C34" s="20" t="s">
        <v>37</v>
      </c>
      <c r="D34" s="21" t="s">
        <v>39</v>
      </c>
      <c r="E34" s="21" t="s">
        <v>40</v>
      </c>
      <c r="F34" s="21" t="s">
        <v>41</v>
      </c>
      <c r="G34" s="21" t="s">
        <v>42</v>
      </c>
      <c r="H34" s="22" t="s">
        <v>43</v>
      </c>
      <c r="I34" s="30"/>
      <c r="J34" s="29"/>
    </row>
    <row r="35" spans="1:13" ht="13.5" x14ac:dyDescent="0.25">
      <c r="A35" s="24">
        <f>+A17</f>
        <v>4</v>
      </c>
      <c r="B35" s="31" t="s">
        <v>111</v>
      </c>
      <c r="C35" s="25">
        <f>+A35</f>
        <v>4</v>
      </c>
      <c r="D35" s="26" t="s">
        <v>115</v>
      </c>
      <c r="E35" s="26">
        <v>0.59</v>
      </c>
      <c r="F35" s="26">
        <f>IFERROR(E35*C35,"")</f>
        <v>2.36</v>
      </c>
      <c r="G35" s="27">
        <f t="shared" ref="G35:G41" si="9">IFERROR(F35/$F$66,"")</f>
        <v>5.8163923409889056E-4</v>
      </c>
      <c r="H35" s="30" t="s">
        <v>110</v>
      </c>
      <c r="I35" s="30"/>
      <c r="J35" s="29"/>
    </row>
    <row r="36" spans="1:13" ht="13.5" x14ac:dyDescent="0.25">
      <c r="A36" s="24">
        <f t="shared" ref="A36:A41" si="10">+A18</f>
        <v>200</v>
      </c>
      <c r="B36" s="31" t="str">
        <f>IFERROR(VLOOKUP(H36,[1]SEMIELABORADOS!$A$2:$M$6000,2,0),"")</f>
        <v>CREMA CHANTILLY BLANCA SPOON-IND KILO</v>
      </c>
      <c r="C36" s="25">
        <f t="shared" ref="C36:C41" si="11">+A36</f>
        <v>200</v>
      </c>
      <c r="D36" s="26" t="str">
        <f>IFERROR(VLOOKUP(H36,[1]SEMIELABORADOS!$A$2:$M$6000,6,0),"")</f>
        <v>Gramo</v>
      </c>
      <c r="E36" s="26">
        <f>IFERROR(VLOOKUP(H36,[1]SEMIELABORADOS!$A$2:$M$65536,10,0),"")</f>
        <v>2.7884615384615379E-5</v>
      </c>
      <c r="F36" s="26">
        <f t="shared" ref="F36:F41" si="12">IFERROR(E36*C36,"")</f>
        <v>5.5769230769230757E-3</v>
      </c>
      <c r="G36" s="27">
        <f t="shared" si="9"/>
        <v>1.3744734182584603E-6</v>
      </c>
      <c r="H36" s="30" t="s">
        <v>27</v>
      </c>
      <c r="I36" s="30"/>
      <c r="J36" s="29"/>
    </row>
    <row r="37" spans="1:13" ht="13.5" x14ac:dyDescent="0.25">
      <c r="A37" s="24">
        <f t="shared" si="10"/>
        <v>8</v>
      </c>
      <c r="B37" s="31" t="str">
        <f>IFERROR(VLOOKUP(H37,[1]SEMIELABORADOS!$A$2:$M$6000,2,0),"")</f>
        <v>MEZCLA SIROPE DULCE LECHE KILO</v>
      </c>
      <c r="C37" s="25">
        <f t="shared" si="11"/>
        <v>8</v>
      </c>
      <c r="D37" s="26" t="str">
        <f>IFERROR(VLOOKUP(H37,[1]SEMIELABORADOS!$A$2:$M$6000,6,0),"")</f>
        <v>Gramo</v>
      </c>
      <c r="E37" s="26">
        <f>IFERROR(VLOOKUP(H37,[1]SEMIELABORADOS!$A$2:$M$65536,10,0),"")</f>
        <v>4.9299688473520252E-3</v>
      </c>
      <c r="F37" s="26">
        <f t="shared" si="12"/>
        <v>3.9439750778816202E-2</v>
      </c>
      <c r="G37" s="27">
        <f t="shared" si="9"/>
        <v>9.7202145915431266E-6</v>
      </c>
      <c r="H37" s="30" t="s">
        <v>107</v>
      </c>
      <c r="I37" s="30"/>
      <c r="J37" s="29"/>
    </row>
    <row r="38" spans="1:13" ht="13.5" hidden="1" x14ac:dyDescent="0.25">
      <c r="A38" s="24">
        <f t="shared" si="10"/>
        <v>0</v>
      </c>
      <c r="B38" s="31" t="str">
        <f>IFERROR(VLOOKUP(H38,[1]SEMIELABORADOS!$A$2:$M$6000,2,0),"")</f>
        <v/>
      </c>
      <c r="C38" s="25">
        <f>+A38</f>
        <v>0</v>
      </c>
      <c r="D38" s="26" t="str">
        <f>IFERROR(VLOOKUP(H38,[1]SEMIELABORADOS!$A$2:$M$6000,6,0),"")</f>
        <v/>
      </c>
      <c r="E38" s="26" t="str">
        <f>IFERROR(VLOOKUP(H38,[1]SEMIELABORADOS!$A$2:$M$65536,10,0),"")</f>
        <v/>
      </c>
      <c r="F38" s="26" t="str">
        <f>IFERROR(E38*C38,"")</f>
        <v/>
      </c>
      <c r="G38" s="27" t="str">
        <f t="shared" si="9"/>
        <v/>
      </c>
      <c r="H38" s="30"/>
      <c r="I38" s="30"/>
      <c r="J38" s="29"/>
    </row>
    <row r="39" spans="1:13" ht="13.5" hidden="1" x14ac:dyDescent="0.25">
      <c r="A39" s="24">
        <f t="shared" si="10"/>
        <v>0</v>
      </c>
      <c r="B39" s="31" t="str">
        <f>IFERROR(VLOOKUP(H39,[1]SEMIELABORADOS!$A$2:$M$6000,2,0),"")</f>
        <v/>
      </c>
      <c r="C39" s="25">
        <f>+A39</f>
        <v>0</v>
      </c>
      <c r="D39" s="26" t="str">
        <f>IFERROR(VLOOKUP(H39,[1]SEMIELABORADOS!$A$2:$M$6000,6,0),"")</f>
        <v/>
      </c>
      <c r="E39" s="26" t="str">
        <f>IFERROR(VLOOKUP(H39,[1]SEMIELABORADOS!$A$2:$M$65536,10,0),"")</f>
        <v/>
      </c>
      <c r="F39" s="26" t="str">
        <f>IFERROR(E39*C39,"")</f>
        <v/>
      </c>
      <c r="G39" s="27" t="str">
        <f t="shared" si="9"/>
        <v/>
      </c>
      <c r="H39" s="30"/>
      <c r="I39" s="30"/>
      <c r="J39" s="29"/>
    </row>
    <row r="40" spans="1:13" ht="13.5" hidden="1" x14ac:dyDescent="0.25">
      <c r="A40" s="24">
        <f t="shared" si="10"/>
        <v>0</v>
      </c>
      <c r="B40" s="31" t="str">
        <f>IFERROR(VLOOKUP(H40,[1]SEMIELABORADOS!$A$2:$M$6000,2,0),"")</f>
        <v/>
      </c>
      <c r="C40" s="25">
        <f t="shared" si="11"/>
        <v>0</v>
      </c>
      <c r="D40" s="26" t="str">
        <f>IFERROR(VLOOKUP(H40,[1]SEMIELABORADOS!$A$2:$M$6000,6,0),"")</f>
        <v/>
      </c>
      <c r="E40" s="26" t="str">
        <f>IFERROR(VLOOKUP(H40,[1]SEMIELABORADOS!$A$2:$M$65536,10,0),"")</f>
        <v/>
      </c>
      <c r="F40" s="26" t="str">
        <f t="shared" si="12"/>
        <v/>
      </c>
      <c r="G40" s="27" t="str">
        <f t="shared" si="9"/>
        <v/>
      </c>
      <c r="H40" s="30"/>
      <c r="I40" s="30"/>
      <c r="J40" s="29"/>
    </row>
    <row r="41" spans="1:13" ht="13.5" hidden="1" x14ac:dyDescent="0.25">
      <c r="A41" s="24">
        <f t="shared" si="10"/>
        <v>0</v>
      </c>
      <c r="B41" s="31" t="str">
        <f>IFERROR(VLOOKUP(H41,[1]SEMIELABORADOS!$A$2:$M$6000,2,0),"")</f>
        <v/>
      </c>
      <c r="C41" s="25">
        <f t="shared" si="11"/>
        <v>0</v>
      </c>
      <c r="D41" s="26" t="str">
        <f>IFERROR(VLOOKUP(H41,[1]SEMIELABORADOS!$A$2:$M$6000,6,0),"")</f>
        <v/>
      </c>
      <c r="E41" s="26" t="str">
        <f>IFERROR(VLOOKUP(H41,[1]SEMIELABORADOS!$A$2:$M$65536,10,0),"")</f>
        <v/>
      </c>
      <c r="F41" s="26" t="str">
        <f t="shared" si="12"/>
        <v/>
      </c>
      <c r="G41" s="27" t="str">
        <f t="shared" si="9"/>
        <v/>
      </c>
      <c r="H41" s="30"/>
      <c r="I41" s="30"/>
      <c r="J41" s="29"/>
    </row>
    <row r="42" spans="1:13" ht="14.25" thickBot="1" x14ac:dyDescent="0.3">
      <c r="A42" s="24"/>
      <c r="B42" s="31"/>
      <c r="C42" s="25"/>
      <c r="D42" s="26"/>
      <c r="E42" s="26"/>
      <c r="F42" s="26"/>
      <c r="G42" s="27"/>
      <c r="H42" s="30"/>
      <c r="I42" s="30"/>
      <c r="J42" s="29"/>
    </row>
    <row r="43" spans="1:13" ht="26.25" thickBot="1" x14ac:dyDescent="0.25">
      <c r="A43" s="19" t="s">
        <v>37</v>
      </c>
      <c r="B43" s="20" t="s">
        <v>46</v>
      </c>
      <c r="C43" s="20" t="s">
        <v>37</v>
      </c>
      <c r="D43" s="21" t="s">
        <v>39</v>
      </c>
      <c r="E43" s="21" t="s">
        <v>40</v>
      </c>
      <c r="F43" s="21" t="s">
        <v>41</v>
      </c>
      <c r="G43" s="21" t="s">
        <v>42</v>
      </c>
      <c r="H43" s="22" t="s">
        <v>43</v>
      </c>
      <c r="I43" s="23"/>
      <c r="J43" s="29"/>
    </row>
    <row r="44" spans="1:13" ht="13.5" x14ac:dyDescent="0.25">
      <c r="A44" s="24">
        <f>+A35</f>
        <v>4</v>
      </c>
      <c r="B44" s="31" t="s">
        <v>111</v>
      </c>
      <c r="C44" s="25">
        <f>+A44</f>
        <v>4</v>
      </c>
      <c r="D44" s="26" t="s">
        <v>115</v>
      </c>
      <c r="E44" s="26">
        <v>20.260000000000002</v>
      </c>
      <c r="F44" s="26">
        <f>IFERROR(E44*C44,"")</f>
        <v>81.040000000000006</v>
      </c>
      <c r="G44" s="27">
        <f>IFERROR(F44/$F$66,"")</f>
        <v>1.9972899801429703E-2</v>
      </c>
      <c r="H44" s="30" t="s">
        <v>110</v>
      </c>
      <c r="I44" s="23"/>
      <c r="J44" s="29"/>
    </row>
    <row r="45" spans="1:13" ht="13.5" x14ac:dyDescent="0.25">
      <c r="A45" s="24">
        <f t="shared" ref="A45:A50" si="13">+A36</f>
        <v>200</v>
      </c>
      <c r="B45" s="31" t="str">
        <f>IFERROR(VLOOKUP(H45,[1]SEMIELABORADOS!$A$2:$M$6000,2,0),"")</f>
        <v>CREMA CHANTILLY BLANCA SPOON-IND KILO</v>
      </c>
      <c r="C45" s="25">
        <f t="shared" ref="C45:C50" si="14">+A45</f>
        <v>200</v>
      </c>
      <c r="D45" s="26" t="str">
        <f>IFERROR(VLOOKUP(H45,[1]SEMIELABORADOS!$A$2:$M$6000,6,0),"")</f>
        <v>Gramo</v>
      </c>
      <c r="E45" s="26">
        <f>IFERROR(VLOOKUP(H45,[1]SEMIELABORADOS!$A$2:$M$65536,12,0),"")</f>
        <v>0.41607800376923076</v>
      </c>
      <c r="F45" s="26">
        <f t="shared" ref="F45:F50" si="15">IFERROR(E45*C45,"")</f>
        <v>83.215600753846147</v>
      </c>
      <c r="G45" s="27">
        <f t="shared" ref="G45:G50" si="16">IFERROR(F45/$F$66,"")</f>
        <v>2.0509092494722939E-2</v>
      </c>
      <c r="H45" s="30" t="s">
        <v>27</v>
      </c>
      <c r="I45" s="23"/>
      <c r="J45" s="29"/>
      <c r="M45" s="34"/>
    </row>
    <row r="46" spans="1:13" ht="13.5" x14ac:dyDescent="0.25">
      <c r="A46" s="24">
        <f t="shared" si="13"/>
        <v>8</v>
      </c>
      <c r="B46" s="31" t="str">
        <f>IFERROR(VLOOKUP(H46,[1]SEMIELABORADOS!$A$2:$M$6000,2,0),"")</f>
        <v>MEZCLA SIROPE DULCE LECHE KILO</v>
      </c>
      <c r="C46" s="25">
        <f t="shared" si="14"/>
        <v>8</v>
      </c>
      <c r="D46" s="26" t="str">
        <f>IFERROR(VLOOKUP(H46,[1]SEMIELABORADOS!$A$2:$M$6000,6,0),"")</f>
        <v>Gramo</v>
      </c>
      <c r="E46" s="26">
        <f>IFERROR(VLOOKUP(H46,[1]SEMIELABORADOS!$A$2:$M$65536,12,0),"")</f>
        <v>0.35374720747663552</v>
      </c>
      <c r="F46" s="26">
        <f t="shared" si="15"/>
        <v>2.8299776598130841</v>
      </c>
      <c r="G46" s="27">
        <f t="shared" si="16"/>
        <v>6.9746866041129371E-4</v>
      </c>
      <c r="H46" s="30" t="s">
        <v>107</v>
      </c>
      <c r="I46" s="23"/>
      <c r="J46" s="29"/>
    </row>
    <row r="47" spans="1:13" ht="13.5" hidden="1" x14ac:dyDescent="0.25">
      <c r="A47" s="24">
        <f t="shared" si="13"/>
        <v>0</v>
      </c>
      <c r="B47" s="31" t="str">
        <f>IFERROR(VLOOKUP(H47,[1]SEMIELABORADOS!$A$2:$M$6000,2,0),"")</f>
        <v/>
      </c>
      <c r="C47" s="25">
        <f t="shared" si="14"/>
        <v>0</v>
      </c>
      <c r="D47" s="26" t="str">
        <f>IFERROR(VLOOKUP(H47,[1]SEMIELABORADOS!$A$2:$M$6000,6,0),"")</f>
        <v/>
      </c>
      <c r="E47" s="26" t="str">
        <f>IFERROR(VLOOKUP(H47,[1]SEMIELABORADOS!$A$2:$M$65536,12,0),"")</f>
        <v/>
      </c>
      <c r="F47" s="26" t="str">
        <f t="shared" si="15"/>
        <v/>
      </c>
      <c r="G47" s="27" t="str">
        <f t="shared" si="16"/>
        <v/>
      </c>
      <c r="H47" s="30"/>
      <c r="I47" s="23"/>
      <c r="J47" s="29"/>
    </row>
    <row r="48" spans="1:13" ht="13.5" hidden="1" x14ac:dyDescent="0.25">
      <c r="A48" s="24">
        <f t="shared" si="13"/>
        <v>0</v>
      </c>
      <c r="B48" s="31" t="str">
        <f>IFERROR(VLOOKUP(H48,[1]SEMIELABORADOS!$A$2:$M$6000,2,0),"")</f>
        <v/>
      </c>
      <c r="C48" s="25">
        <f t="shared" si="14"/>
        <v>0</v>
      </c>
      <c r="D48" s="26" t="str">
        <f>IFERROR(VLOOKUP(H48,[1]SEMIELABORADOS!$A$2:$M$6000,6,0),"")</f>
        <v/>
      </c>
      <c r="E48" s="26" t="str">
        <f>IFERROR(VLOOKUP(H48,[1]SEMIELABORADOS!$A$2:$M$65536,12,0),"")</f>
        <v/>
      </c>
      <c r="F48" s="26" t="str">
        <f t="shared" si="15"/>
        <v/>
      </c>
      <c r="G48" s="27" t="str">
        <f t="shared" si="16"/>
        <v/>
      </c>
      <c r="H48" s="30"/>
      <c r="I48" s="23"/>
      <c r="J48" s="29"/>
    </row>
    <row r="49" spans="1:17" ht="13.5" hidden="1" x14ac:dyDescent="0.25">
      <c r="A49" s="24">
        <f t="shared" si="13"/>
        <v>0</v>
      </c>
      <c r="B49" s="31" t="str">
        <f>IFERROR(VLOOKUP(H49,[1]SEMIELABORADOS!$A$2:$M$6000,2,0),"")</f>
        <v/>
      </c>
      <c r="C49" s="25">
        <f t="shared" si="14"/>
        <v>0</v>
      </c>
      <c r="D49" s="26" t="str">
        <f>IFERROR(VLOOKUP(H49,[1]SEMIELABORADOS!$A$2:$M$6000,6,0),"")</f>
        <v/>
      </c>
      <c r="E49" s="26" t="str">
        <f>IFERROR(VLOOKUP(H49,[1]SEMIELABORADOS!$A$2:$M$65536,12,0),"")</f>
        <v/>
      </c>
      <c r="F49" s="26" t="str">
        <f t="shared" si="15"/>
        <v/>
      </c>
      <c r="G49" s="27" t="str">
        <f t="shared" si="16"/>
        <v/>
      </c>
      <c r="H49" s="30"/>
      <c r="I49" s="23"/>
      <c r="J49" s="29"/>
    </row>
    <row r="50" spans="1:17" ht="13.5" hidden="1" x14ac:dyDescent="0.25">
      <c r="A50" s="24">
        <f t="shared" si="13"/>
        <v>0</v>
      </c>
      <c r="B50" s="31" t="str">
        <f>IFERROR(VLOOKUP(H50,[1]SEMIELABORADOS!$A$2:$M$6000,2,0),"")</f>
        <v/>
      </c>
      <c r="C50" s="25">
        <f t="shared" si="14"/>
        <v>0</v>
      </c>
      <c r="D50" s="26" t="str">
        <f>IFERROR(VLOOKUP(H50,[1]SEMIELABORADOS!$A$2:$M$6000,6,0),"")</f>
        <v/>
      </c>
      <c r="E50" s="26" t="str">
        <f>IFERROR(VLOOKUP(H50,[1]SEMIELABORADOS!$A$2:$M$65536,12,0),"")</f>
        <v/>
      </c>
      <c r="F50" s="26" t="str">
        <f t="shared" si="15"/>
        <v/>
      </c>
      <c r="G50" s="27" t="str">
        <f t="shared" si="16"/>
        <v/>
      </c>
      <c r="H50" s="31"/>
      <c r="I50" s="23"/>
      <c r="J50" s="29"/>
    </row>
    <row r="51" spans="1:17" ht="13.5" x14ac:dyDescent="0.25">
      <c r="A51" s="24">
        <v>1</v>
      </c>
      <c r="B51" s="31" t="s">
        <v>47</v>
      </c>
      <c r="C51" s="25">
        <f>+A51</f>
        <v>1</v>
      </c>
      <c r="D51" s="25" t="s">
        <v>48</v>
      </c>
      <c r="E51" s="26">
        <f>+F65</f>
        <v>440</v>
      </c>
      <c r="F51" s="26">
        <f>IFERROR(C51*E51,"")</f>
        <v>440</v>
      </c>
      <c r="G51" s="27">
        <f>IFERROR(F51/$F$66,"")</f>
        <v>0.1084412131370813</v>
      </c>
      <c r="H51" s="35"/>
      <c r="I51" s="35"/>
      <c r="J51" s="29"/>
    </row>
    <row r="52" spans="1:17" ht="14.25" thickBot="1" x14ac:dyDescent="0.3">
      <c r="A52" s="24"/>
      <c r="B52" s="31"/>
      <c r="C52" s="25"/>
      <c r="D52" s="25"/>
      <c r="E52" s="26"/>
      <c r="F52" s="26"/>
      <c r="G52" s="27"/>
      <c r="H52" s="35"/>
      <c r="I52" s="35"/>
      <c r="J52" s="29"/>
    </row>
    <row r="53" spans="1:17" ht="13.5" thickBot="1" x14ac:dyDescent="0.25">
      <c r="A53" s="36"/>
      <c r="B53" s="303" t="s">
        <v>49</v>
      </c>
      <c r="C53" s="303"/>
      <c r="D53" s="303"/>
      <c r="E53" s="303"/>
      <c r="F53" s="38">
        <f>SUM(F8:F14,F17:F24)</f>
        <v>2670.4799999999996</v>
      </c>
      <c r="G53" s="27">
        <f>+F53/$F$66</f>
        <v>0.65815929740525647</v>
      </c>
      <c r="H53" s="39">
        <f>+F53/$D$60</f>
        <v>2670.4799999999996</v>
      </c>
      <c r="I53" s="39"/>
      <c r="J53" s="40"/>
      <c r="K53" s="41"/>
      <c r="L53" s="41"/>
      <c r="M53" s="41"/>
      <c r="N53" s="41"/>
      <c r="O53" s="41"/>
      <c r="P53" s="41"/>
      <c r="Q53" s="42"/>
    </row>
    <row r="54" spans="1:17" x14ac:dyDescent="0.2">
      <c r="A54" s="36"/>
      <c r="B54" s="303" t="s">
        <v>50</v>
      </c>
      <c r="C54" s="303"/>
      <c r="D54" s="303"/>
      <c r="E54" s="303"/>
      <c r="F54" s="38">
        <f>SUM(F27:F32,F35:F41)</f>
        <v>893.60835000718896</v>
      </c>
      <c r="G54" s="27">
        <f>+F54/$F$66</f>
        <v>0.22023630350955711</v>
      </c>
      <c r="H54" s="39">
        <f>+F54/$D$60</f>
        <v>893.60835000718896</v>
      </c>
      <c r="I54" s="39"/>
      <c r="J54" s="43"/>
      <c r="K54" s="307" t="s">
        <v>51</v>
      </c>
      <c r="L54" s="308"/>
      <c r="M54" s="308"/>
      <c r="N54" s="308"/>
      <c r="O54" s="44">
        <f>+F55</f>
        <v>3564.0883500071886</v>
      </c>
      <c r="P54" s="44"/>
      <c r="Q54" s="45"/>
    </row>
    <row r="55" spans="1:17" x14ac:dyDescent="0.2">
      <c r="A55" s="36"/>
      <c r="B55" s="303" t="s">
        <v>52</v>
      </c>
      <c r="C55" s="303"/>
      <c r="D55" s="303"/>
      <c r="E55" s="303"/>
      <c r="F55" s="38">
        <f>+F53+F54</f>
        <v>3564.0883500071886</v>
      </c>
      <c r="G55" s="27">
        <f>+F55/$F$66</f>
        <v>0.87839560091481361</v>
      </c>
      <c r="H55" s="39">
        <f>+F55/$D$60</f>
        <v>3564.0883500071886</v>
      </c>
      <c r="I55" s="39"/>
      <c r="J55" s="46"/>
      <c r="K55" s="47"/>
      <c r="M55" s="48" t="s">
        <v>53</v>
      </c>
      <c r="N55" s="49">
        <v>0.18</v>
      </c>
      <c r="O55" s="44">
        <f>+O54*N55</f>
        <v>641.53590300129395</v>
      </c>
      <c r="P55" s="44"/>
      <c r="Q55" s="45"/>
    </row>
    <row r="56" spans="1:17" ht="13.5" thickBot="1" x14ac:dyDescent="0.25">
      <c r="A56" s="36"/>
      <c r="B56" s="37"/>
      <c r="C56" s="303" t="s">
        <v>54</v>
      </c>
      <c r="D56" s="303"/>
      <c r="E56" s="303"/>
      <c r="F56" s="38">
        <f>SUM(F44:F51)</f>
        <v>607.08557841365928</v>
      </c>
      <c r="G56" s="27">
        <f>+F56/$F$66</f>
        <v>0.14962067409364524</v>
      </c>
      <c r="H56" s="39">
        <f>+F56/$D$60</f>
        <v>607.08557841365928</v>
      </c>
      <c r="I56" s="39"/>
      <c r="J56" s="46"/>
      <c r="K56" s="47"/>
      <c r="L56" s="47"/>
      <c r="M56" s="47" t="s">
        <v>55</v>
      </c>
      <c r="N56" s="50"/>
      <c r="O56" s="44">
        <f>O54*N56</f>
        <v>0</v>
      </c>
      <c r="P56" s="44"/>
      <c r="Q56" s="45"/>
    </row>
    <row r="57" spans="1:17" ht="13.5" thickBot="1" x14ac:dyDescent="0.25">
      <c r="A57" s="36"/>
      <c r="B57" s="51"/>
      <c r="C57" s="51"/>
      <c r="D57" s="51"/>
      <c r="E57" s="51"/>
      <c r="F57" s="52"/>
      <c r="G57" s="27"/>
      <c r="H57" s="53"/>
      <c r="I57" s="39"/>
      <c r="J57" s="46"/>
      <c r="K57" s="54"/>
      <c r="M57" s="55" t="s">
        <v>56</v>
      </c>
      <c r="N57" s="56"/>
      <c r="O57" s="57">
        <f>SUM(O54:O56)</f>
        <v>4205.6242530084828</v>
      </c>
      <c r="P57" s="58"/>
      <c r="Q57" s="45"/>
    </row>
    <row r="58" spans="1:17" x14ac:dyDescent="0.2">
      <c r="B58" s="305" t="s">
        <v>57</v>
      </c>
      <c r="C58" s="305"/>
      <c r="D58" s="59">
        <v>1320</v>
      </c>
      <c r="E58" s="60"/>
      <c r="G58" s="27"/>
      <c r="H58" s="53"/>
      <c r="I58" s="61"/>
      <c r="J58" s="46"/>
      <c r="K58" s="54"/>
      <c r="L58" s="47"/>
      <c r="M58" s="47" t="s">
        <v>93</v>
      </c>
      <c r="N58" s="62">
        <v>0.16</v>
      </c>
      <c r="O58" s="44">
        <f>+O54*N58</f>
        <v>570.25413600115019</v>
      </c>
      <c r="P58" s="44"/>
      <c r="Q58" s="45"/>
    </row>
    <row r="59" spans="1:17" x14ac:dyDescent="0.2">
      <c r="B59" s="305" t="s">
        <v>59</v>
      </c>
      <c r="C59" s="305"/>
      <c r="D59" s="63">
        <v>1320</v>
      </c>
      <c r="E59" s="60"/>
      <c r="G59" s="27"/>
      <c r="H59" s="53"/>
      <c r="I59" s="61"/>
      <c r="J59" s="46"/>
      <c r="K59" s="54"/>
      <c r="L59" s="47"/>
      <c r="M59" s="298" t="s">
        <v>56</v>
      </c>
      <c r="N59" s="298"/>
      <c r="O59" s="44">
        <f>SUM(O57:O58)</f>
        <v>4775.8783890096329</v>
      </c>
      <c r="P59" s="44"/>
      <c r="Q59" s="45"/>
    </row>
    <row r="60" spans="1:17" ht="13.5" thickBot="1" x14ac:dyDescent="0.25">
      <c r="B60" s="299" t="s">
        <v>60</v>
      </c>
      <c r="C60" s="299"/>
      <c r="D60" s="59">
        <f>+D58/D59</f>
        <v>1</v>
      </c>
      <c r="E60" s="60"/>
      <c r="F60" s="64"/>
      <c r="G60" s="27"/>
      <c r="H60" s="53"/>
      <c r="I60" s="61"/>
      <c r="J60" s="46"/>
      <c r="K60" s="54"/>
      <c r="L60" s="298"/>
      <c r="M60" s="298"/>
      <c r="N60" s="62"/>
      <c r="O60" s="44">
        <f>+O59*N60</f>
        <v>0</v>
      </c>
      <c r="P60" s="44"/>
      <c r="Q60" s="45"/>
    </row>
    <row r="61" spans="1:17" ht="13.5" thickBot="1" x14ac:dyDescent="0.25">
      <c r="B61" s="299" t="s">
        <v>61</v>
      </c>
      <c r="C61" s="299"/>
      <c r="D61" s="65"/>
      <c r="E61" s="60"/>
      <c r="F61" s="64"/>
      <c r="G61" s="27"/>
      <c r="H61" s="53"/>
      <c r="I61" s="61"/>
      <c r="J61" s="46"/>
      <c r="K61" s="300" t="s">
        <v>62</v>
      </c>
      <c r="L61" s="301"/>
      <c r="M61" s="301"/>
      <c r="N61" s="302"/>
      <c r="O61" s="57">
        <f>SUM(O59:O60)</f>
        <v>4775.8783890096329</v>
      </c>
      <c r="P61" s="66" t="s">
        <v>63</v>
      </c>
      <c r="Q61" s="45"/>
    </row>
    <row r="62" spans="1:17" ht="13.5" thickBot="1" x14ac:dyDescent="0.25">
      <c r="C62" s="36" t="s">
        <v>64</v>
      </c>
      <c r="D62" s="67"/>
      <c r="E62" s="10" t="s">
        <v>65</v>
      </c>
      <c r="F62" s="68" t="s">
        <v>66</v>
      </c>
      <c r="G62" s="27"/>
      <c r="H62" s="53"/>
      <c r="I62" s="61"/>
      <c r="J62" s="69"/>
      <c r="K62" s="70"/>
      <c r="L62" s="288" t="s">
        <v>67</v>
      </c>
      <c r="M62" s="288"/>
      <c r="N62" s="288"/>
      <c r="O62" s="71">
        <f>+O61/D60</f>
        <v>4775.8783890096329</v>
      </c>
      <c r="P62" s="72">
        <f>+O62/D59</f>
        <v>3.6180896886436611</v>
      </c>
      <c r="Q62" s="73"/>
    </row>
    <row r="63" spans="1:17" ht="13.5" thickBot="1" x14ac:dyDescent="0.25">
      <c r="B63" s="289" t="s">
        <v>52</v>
      </c>
      <c r="C63" s="289"/>
      <c r="D63" s="289"/>
      <c r="E63" s="74">
        <f>+F63/F63</f>
        <v>1</v>
      </c>
      <c r="F63" s="75">
        <f>SUM(F55)</f>
        <v>3564.0883500071886</v>
      </c>
      <c r="G63" s="27">
        <f>+F63/$F$66</f>
        <v>0.87839560091481361</v>
      </c>
      <c r="H63" s="53"/>
      <c r="I63" s="61"/>
      <c r="K63" s="290"/>
      <c r="L63" s="291"/>
      <c r="M63" s="291"/>
      <c r="N63" s="291"/>
      <c r="O63" s="76"/>
      <c r="P63" s="77"/>
    </row>
    <row r="64" spans="1:17" ht="13.5" thickBot="1" x14ac:dyDescent="0.25">
      <c r="B64" s="292" t="s">
        <v>68</v>
      </c>
      <c r="C64" s="292"/>
      <c r="D64" s="292"/>
      <c r="E64" s="78">
        <v>0.02</v>
      </c>
      <c r="F64" s="75">
        <f>+F53*E64</f>
        <v>53.40959999999999</v>
      </c>
      <c r="G64" s="27">
        <f>+F64/$F$66</f>
        <v>1.3163185948105128E-2</v>
      </c>
      <c r="H64" s="39"/>
      <c r="I64" s="61"/>
      <c r="J64" s="79"/>
      <c r="O64" s="80"/>
      <c r="P64" s="37"/>
    </row>
    <row r="65" spans="2:10" ht="13.5" thickBot="1" x14ac:dyDescent="0.25">
      <c r="B65" s="293" t="s">
        <v>69</v>
      </c>
      <c r="C65" s="294"/>
      <c r="D65" s="81">
        <v>8</v>
      </c>
      <c r="E65" s="82">
        <v>55</v>
      </c>
      <c r="F65" s="75">
        <f>+E65*D65</f>
        <v>440</v>
      </c>
      <c r="G65" s="27">
        <f>+F65/$F$66</f>
        <v>0.1084412131370813</v>
      </c>
      <c r="H65" s="39"/>
      <c r="I65" s="39"/>
      <c r="J65" s="29"/>
    </row>
    <row r="66" spans="2:10" ht="13.5" thickBot="1" x14ac:dyDescent="0.25">
      <c r="B66" s="295" t="s">
        <v>70</v>
      </c>
      <c r="C66" s="296"/>
      <c r="D66" s="296"/>
      <c r="E66" s="297"/>
      <c r="F66" s="52">
        <f>SUM(F63:F65)</f>
        <v>4057.4979500071886</v>
      </c>
      <c r="G66" s="27">
        <f>+F66/$F$66</f>
        <v>1</v>
      </c>
      <c r="H66" s="304"/>
      <c r="I66" s="39"/>
      <c r="J66" s="29"/>
    </row>
    <row r="67" spans="2:10" x14ac:dyDescent="0.2">
      <c r="C67" s="34"/>
      <c r="D67" s="34"/>
      <c r="E67" s="84"/>
      <c r="F67" s="75"/>
      <c r="G67" s="27"/>
      <c r="H67" s="304"/>
      <c r="I67" s="83"/>
      <c r="J67" s="12"/>
    </row>
    <row r="68" spans="2:10" ht="13.5" thickBot="1" x14ac:dyDescent="0.25">
      <c r="B68" s="283" t="s">
        <v>71</v>
      </c>
      <c r="C68" s="283"/>
      <c r="D68" s="283"/>
      <c r="E68" s="283"/>
      <c r="F68" s="283"/>
      <c r="G68" s="27"/>
      <c r="H68" s="86"/>
      <c r="I68" s="83"/>
      <c r="J68" s="12"/>
    </row>
    <row r="69" spans="2:10" ht="13.5" thickBot="1" x14ac:dyDescent="0.25">
      <c r="B69" s="87" t="s">
        <v>72</v>
      </c>
      <c r="C69" s="88">
        <f>+F53</f>
        <v>2670.4799999999996</v>
      </c>
      <c r="D69" s="88">
        <f>+D58</f>
        <v>1320</v>
      </c>
      <c r="E69" s="89">
        <f>+C69/D69</f>
        <v>2.0230909090909086</v>
      </c>
      <c r="F69" s="27"/>
      <c r="G69" s="86"/>
      <c r="H69" s="29"/>
      <c r="I69" s="86"/>
      <c r="J69" s="12"/>
    </row>
    <row r="70" spans="2:10" x14ac:dyDescent="0.2">
      <c r="B70" s="90"/>
      <c r="C70" s="91"/>
      <c r="D70" s="92"/>
      <c r="E70" s="75"/>
      <c r="F70" s="27"/>
      <c r="G70" s="86"/>
      <c r="H70" s="29"/>
      <c r="I70" s="29"/>
      <c r="J70" s="12"/>
    </row>
    <row r="71" spans="2:10" x14ac:dyDescent="0.2">
      <c r="B71" s="87" t="s">
        <v>73</v>
      </c>
      <c r="C71" s="88">
        <f>SUM(F63:F64)</f>
        <v>3617.4979500071886</v>
      </c>
      <c r="D71" s="88">
        <f>+D58</f>
        <v>1320</v>
      </c>
      <c r="E71" s="93">
        <f>+C71/D71</f>
        <v>2.740528750005446</v>
      </c>
      <c r="F71" s="27"/>
      <c r="G71" s="86"/>
      <c r="H71" s="29"/>
      <c r="I71" s="29"/>
      <c r="J71" s="12"/>
    </row>
    <row r="72" spans="2:10" x14ac:dyDescent="0.2">
      <c r="B72" s="87"/>
      <c r="C72" s="88"/>
      <c r="D72" s="88"/>
      <c r="E72" s="93"/>
      <c r="F72" s="27"/>
      <c r="G72" s="86"/>
      <c r="H72" s="29"/>
      <c r="I72" s="29"/>
      <c r="J72" s="12"/>
    </row>
    <row r="73" spans="2:10" ht="13.5" thickBot="1" x14ac:dyDescent="0.25">
      <c r="B73" s="87" t="s">
        <v>74</v>
      </c>
      <c r="C73" s="88">
        <f>+F65</f>
        <v>440</v>
      </c>
      <c r="D73" s="88">
        <f>+D58</f>
        <v>1320</v>
      </c>
      <c r="E73" s="93">
        <f>+C73/D73</f>
        <v>0.33333333333333331</v>
      </c>
      <c r="F73" s="27"/>
      <c r="G73" s="86"/>
      <c r="H73" s="29"/>
      <c r="I73" s="29"/>
      <c r="J73" s="12"/>
    </row>
    <row r="74" spans="2:10" ht="13.5" thickBot="1" x14ac:dyDescent="0.25">
      <c r="B74" s="87" t="s">
        <v>75</v>
      </c>
      <c r="C74" s="88">
        <f>+F56</f>
        <v>607.08557841365928</v>
      </c>
      <c r="D74" s="88">
        <f>+D73</f>
        <v>1320</v>
      </c>
      <c r="E74" s="89">
        <f>+C74/D74</f>
        <v>0.4599133169800449</v>
      </c>
      <c r="F74" s="27"/>
      <c r="G74" s="86"/>
      <c r="H74" s="29"/>
      <c r="I74" s="29"/>
      <c r="J74" s="12"/>
    </row>
    <row r="75" spans="2:10" ht="13.5" thickBot="1" x14ac:dyDescent="0.25">
      <c r="B75" s="51"/>
      <c r="C75" s="52"/>
      <c r="D75" s="52"/>
      <c r="E75" s="93"/>
      <c r="F75" s="27"/>
      <c r="G75" s="86"/>
      <c r="H75" s="29"/>
      <c r="I75" s="29"/>
      <c r="J75" s="12"/>
    </row>
    <row r="76" spans="2:10" ht="13.5" thickBot="1" x14ac:dyDescent="0.25">
      <c r="B76" s="87" t="s">
        <v>76</v>
      </c>
      <c r="C76" s="88">
        <f>+F54</f>
        <v>893.60835000718896</v>
      </c>
      <c r="D76" s="88">
        <f>+D74</f>
        <v>1320</v>
      </c>
      <c r="E76" s="89">
        <f>+C76/D76</f>
        <v>0.67697602273271895</v>
      </c>
      <c r="F76" s="27"/>
      <c r="G76" s="86"/>
      <c r="H76" s="29"/>
      <c r="I76" s="29"/>
      <c r="J76" s="29"/>
    </row>
    <row r="77" spans="2:10" ht="13.5" thickBot="1" x14ac:dyDescent="0.25">
      <c r="B77" s="51"/>
      <c r="C77" s="52"/>
      <c r="D77" s="52"/>
      <c r="E77" s="93"/>
      <c r="F77" s="27"/>
      <c r="G77" s="86"/>
      <c r="H77" s="29"/>
      <c r="I77" s="29"/>
    </row>
    <row r="78" spans="2:10" ht="13.5" thickBot="1" x14ac:dyDescent="0.25">
      <c r="B78" s="284" t="s">
        <v>77</v>
      </c>
      <c r="C78" s="285"/>
      <c r="D78" s="286"/>
      <c r="E78" s="89">
        <f>+E69+E74</f>
        <v>2.4830042260709533</v>
      </c>
      <c r="G78" s="27"/>
      <c r="H78" s="86"/>
      <c r="I78" s="29"/>
      <c r="J78" s="93"/>
    </row>
    <row r="79" spans="2:10" x14ac:dyDescent="0.2">
      <c r="I79" s="86"/>
      <c r="J79" s="12"/>
    </row>
    <row r="80" spans="2:10" ht="13.5" thickBot="1" x14ac:dyDescent="0.25">
      <c r="B80" s="283" t="s">
        <v>78</v>
      </c>
      <c r="C80" s="283"/>
      <c r="D80" s="283"/>
      <c r="E80" s="283"/>
      <c r="F80" s="283"/>
      <c r="G80" s="27"/>
      <c r="H80" s="86"/>
      <c r="J80" s="12"/>
    </row>
    <row r="81" spans="1:10" ht="13.5" thickBot="1" x14ac:dyDescent="0.25">
      <c r="B81" s="87" t="s">
        <v>72</v>
      </c>
      <c r="C81" s="88">
        <f>+C69</f>
        <v>2670.4799999999996</v>
      </c>
      <c r="D81" s="88">
        <f>+D60</f>
        <v>1</v>
      </c>
      <c r="E81" s="89">
        <f>+C81/D81</f>
        <v>2670.4799999999996</v>
      </c>
      <c r="F81" s="27"/>
      <c r="G81" s="86"/>
      <c r="H81" s="29"/>
      <c r="I81" s="86"/>
      <c r="J81" s="12"/>
    </row>
    <row r="82" spans="1:10" x14ac:dyDescent="0.2">
      <c r="B82" s="90"/>
      <c r="C82" s="91"/>
      <c r="D82" s="92"/>
      <c r="E82" s="75"/>
      <c r="F82" s="27"/>
      <c r="G82" s="86"/>
      <c r="H82" s="29"/>
      <c r="I82" s="29"/>
      <c r="J82" s="12"/>
    </row>
    <row r="83" spans="1:10" x14ac:dyDescent="0.2">
      <c r="B83" s="87" t="s">
        <v>73</v>
      </c>
      <c r="C83" s="88">
        <f>+C71</f>
        <v>3617.4979500071886</v>
      </c>
      <c r="D83" s="88">
        <f>+D60</f>
        <v>1</v>
      </c>
      <c r="E83" s="93">
        <f>+C83/D83</f>
        <v>3617.4979500071886</v>
      </c>
      <c r="F83" s="27"/>
      <c r="G83" s="86"/>
      <c r="H83" s="29"/>
      <c r="I83" s="29"/>
      <c r="J83" s="12"/>
    </row>
    <row r="84" spans="1:10" x14ac:dyDescent="0.2">
      <c r="B84" s="87"/>
      <c r="C84" s="88"/>
      <c r="D84" s="88"/>
      <c r="E84" s="93"/>
      <c r="F84" s="27"/>
      <c r="G84" s="86"/>
      <c r="H84" s="29"/>
      <c r="I84" s="29"/>
      <c r="J84" s="12"/>
    </row>
    <row r="85" spans="1:10" ht="13.5" thickBot="1" x14ac:dyDescent="0.25">
      <c r="B85" s="87" t="s">
        <v>75</v>
      </c>
      <c r="C85" s="88">
        <f>+C73</f>
        <v>440</v>
      </c>
      <c r="D85" s="88">
        <f>+D60</f>
        <v>1</v>
      </c>
      <c r="E85" s="93">
        <f>+C85/D85</f>
        <v>440</v>
      </c>
      <c r="F85" s="95"/>
      <c r="G85" s="85"/>
      <c r="H85" s="11"/>
      <c r="I85" s="29"/>
    </row>
    <row r="86" spans="1:10" ht="13.5" thickBot="1" x14ac:dyDescent="0.25">
      <c r="B86" s="87" t="s">
        <v>75</v>
      </c>
      <c r="C86" s="88">
        <f>+C74</f>
        <v>607.08557841365928</v>
      </c>
      <c r="D86" s="88">
        <f>+D85</f>
        <v>1</v>
      </c>
      <c r="E86" s="89">
        <f>+C86/D86</f>
        <v>607.08557841365928</v>
      </c>
      <c r="F86" s="94"/>
      <c r="G86" s="85"/>
      <c r="H86" s="11"/>
      <c r="I86" s="11"/>
    </row>
    <row r="87" spans="1:10" x14ac:dyDescent="0.2">
      <c r="I87" s="11"/>
    </row>
    <row r="88" spans="1:10" x14ac:dyDescent="0.2">
      <c r="A88" s="287"/>
      <c r="B88" s="287"/>
      <c r="C88" s="96"/>
      <c r="D88" s="96"/>
      <c r="E88" s="97"/>
      <c r="G88" s="98"/>
    </row>
    <row r="89" spans="1:10" x14ac:dyDescent="0.2">
      <c r="A89" s="31"/>
      <c r="B89" s="99"/>
      <c r="C89" s="100"/>
      <c r="D89" s="100"/>
      <c r="E89" s="101"/>
      <c r="G89" s="98"/>
    </row>
    <row r="90" spans="1:10" x14ac:dyDescent="0.2">
      <c r="A90" s="31"/>
      <c r="B90" s="99"/>
      <c r="C90" s="102"/>
      <c r="D90" s="102"/>
      <c r="E90" s="31"/>
      <c r="G90" s="98"/>
    </row>
    <row r="91" spans="1:10" x14ac:dyDescent="0.2">
      <c r="A91" s="31"/>
      <c r="B91" s="99"/>
      <c r="C91" s="103"/>
      <c r="D91" s="103"/>
      <c r="E91" s="31"/>
      <c r="G91" s="98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F5F8-9E11-46B4-96B2-1644EE3EFBCD}">
  <dimension ref="A1:Q91"/>
  <sheetViews>
    <sheetView workbookViewId="0">
      <selection activeCell="E19" sqref="E19"/>
    </sheetView>
  </sheetViews>
  <sheetFormatPr baseColWidth="10" defaultColWidth="8.42578125" defaultRowHeight="12.75" x14ac:dyDescent="0.2"/>
  <cols>
    <col min="1" max="1" width="10" style="12" bestFit="1" customWidth="1"/>
    <col min="2" max="2" width="44.28515625" style="12" bestFit="1" customWidth="1"/>
    <col min="3" max="3" width="10.42578125" style="12" bestFit="1" customWidth="1"/>
    <col min="4" max="4" width="10.42578125" style="12" customWidth="1"/>
    <col min="5" max="5" width="9.7109375" style="12" bestFit="1" customWidth="1"/>
    <col min="6" max="6" width="9.5703125" style="12" bestFit="1" customWidth="1"/>
    <col min="7" max="7" width="9.5703125" style="94" bestFit="1" customWidth="1"/>
    <col min="8" max="8" width="10.42578125" style="85" bestFit="1" customWidth="1"/>
    <col min="9" max="9" width="4.5703125" style="85" customWidth="1"/>
    <col min="10" max="10" width="1.85546875" style="11" customWidth="1"/>
    <col min="11" max="11" width="7" style="12" bestFit="1" customWidth="1"/>
    <col min="12" max="12" width="6.28515625" style="12" customWidth="1"/>
    <col min="13" max="13" width="20.42578125" style="12" customWidth="1"/>
    <col min="14" max="14" width="6.42578125" style="12" bestFit="1" customWidth="1"/>
    <col min="15" max="16" width="8.42578125" style="12"/>
    <col min="17" max="17" width="3.28515625" style="12" customWidth="1"/>
    <col min="18" max="16384" width="8.42578125" style="12"/>
  </cols>
  <sheetData>
    <row r="1" spans="1:10" ht="27.75" customHeight="1" x14ac:dyDescent="0.2">
      <c r="A1" s="7"/>
      <c r="B1" s="7"/>
      <c r="C1" s="7"/>
      <c r="D1" s="7"/>
      <c r="E1" s="8" t="s">
        <v>31</v>
      </c>
      <c r="F1" s="9" t="s">
        <v>32</v>
      </c>
      <c r="G1" s="9" t="s">
        <v>33</v>
      </c>
      <c r="H1" s="9" t="s">
        <v>34</v>
      </c>
      <c r="I1" s="10"/>
    </row>
    <row r="2" spans="1:10" ht="30.75" customHeight="1" x14ac:dyDescent="0.2">
      <c r="A2" s="7"/>
      <c r="B2" s="7"/>
      <c r="C2" s="7"/>
      <c r="D2" s="7"/>
      <c r="E2" s="13">
        <f>IFERROR(O62,"")</f>
        <v>4944.7397744157106</v>
      </c>
      <c r="F2" s="13">
        <f>IFERROR(H53,"")</f>
        <v>2721.612467587559</v>
      </c>
      <c r="G2" s="13">
        <f>IFERROR(H54,"")</f>
        <v>968.4918416778969</v>
      </c>
      <c r="H2" s="13">
        <f>IFERROR(H56,"")</f>
        <v>648.36337566778207</v>
      </c>
      <c r="I2" s="14"/>
    </row>
    <row r="3" spans="1:10" ht="15" customHeight="1" x14ac:dyDescent="0.2">
      <c r="A3" s="7"/>
      <c r="B3" s="7"/>
      <c r="C3" s="7"/>
      <c r="D3" s="7"/>
      <c r="E3" s="7"/>
      <c r="F3" s="15"/>
      <c r="G3" s="15"/>
      <c r="H3" s="15"/>
      <c r="I3" s="15"/>
    </row>
    <row r="4" spans="1:10" ht="24.75" customHeight="1" thickBot="1" x14ac:dyDescent="0.25">
      <c r="A4" s="309"/>
      <c r="B4" s="309"/>
      <c r="C4" s="309"/>
      <c r="D4" s="309"/>
      <c r="E4" s="309"/>
      <c r="F4" s="309"/>
      <c r="G4" s="309"/>
      <c r="H4" s="309"/>
      <c r="I4" s="16"/>
    </row>
    <row r="5" spans="1:10" ht="19.5" customHeight="1" thickBot="1" x14ac:dyDescent="0.25">
      <c r="A5" s="310" t="s">
        <v>35</v>
      </c>
      <c r="B5" s="311"/>
      <c r="C5" s="311"/>
      <c r="D5" s="311"/>
      <c r="E5" s="311"/>
      <c r="F5" s="311"/>
      <c r="G5" s="311"/>
      <c r="H5" s="312"/>
      <c r="I5" s="17"/>
    </row>
    <row r="6" spans="1:10" ht="19.5" thickBot="1" x14ac:dyDescent="0.25">
      <c r="A6" s="17"/>
      <c r="B6" s="17"/>
      <c r="C6" s="17"/>
      <c r="D6" s="17"/>
      <c r="E6" s="17"/>
      <c r="F6" s="313" t="s">
        <v>36</v>
      </c>
      <c r="G6" s="313"/>
      <c r="H6" s="18">
        <f ca="1">TODAY()</f>
        <v>46126</v>
      </c>
      <c r="I6" s="18"/>
    </row>
    <row r="7" spans="1:10" ht="26.25" thickBot="1" x14ac:dyDescent="0.25">
      <c r="A7" s="19" t="s">
        <v>37</v>
      </c>
      <c r="B7" s="20" t="s">
        <v>38</v>
      </c>
      <c r="C7" s="20" t="s">
        <v>37</v>
      </c>
      <c r="D7" s="21" t="s">
        <v>39</v>
      </c>
      <c r="E7" s="21" t="s">
        <v>40</v>
      </c>
      <c r="F7" s="21" t="s">
        <v>41</v>
      </c>
      <c r="G7" s="21" t="s">
        <v>42</v>
      </c>
      <c r="H7" s="22" t="s">
        <v>43</v>
      </c>
      <c r="I7" s="23"/>
    </row>
    <row r="8" spans="1:10" ht="13.5" x14ac:dyDescent="0.25">
      <c r="A8" s="24">
        <v>750</v>
      </c>
      <c r="B8" s="12" t="str">
        <f>IFERROR(VLOOKUP(H8,'[1]Consolidado MP Planta'!$A$2:$M$823,3,0),"")</f>
        <v>MANJAR LECHE CONDENSADA (PAQ: 4.5 K)</v>
      </c>
      <c r="C8" s="25">
        <f>+A8</f>
        <v>750</v>
      </c>
      <c r="D8" s="26" t="str">
        <f>IFERROR(VLOOKUP(H8,'[1]Consolidado MP Planta'!$A$2:$M$823,13,0),"")</f>
        <v>Gramos</v>
      </c>
      <c r="E8" s="26">
        <f>IFERROR(VLOOKUP(H8,'[1]Consolidado MP Planta'!$A$2:$M$823,12,0),"")</f>
        <v>2.0895555555555556</v>
      </c>
      <c r="F8" s="26">
        <f>IFERROR(C8*E8,"")</f>
        <v>1567.1666666666667</v>
      </c>
      <c r="G8" s="27">
        <f t="shared" ref="G8:G14" si="0">IFERROR(F8/$F$66,"")</f>
        <v>0.37451379494806997</v>
      </c>
      <c r="H8" s="28" t="s">
        <v>23</v>
      </c>
      <c r="I8" s="28"/>
      <c r="J8" s="29"/>
    </row>
    <row r="9" spans="1:10" ht="13.5" hidden="1" x14ac:dyDescent="0.25">
      <c r="A9" s="24"/>
      <c r="B9" s="12" t="str">
        <f>IFERROR(VLOOKUP(H9,'[1]Consolidado MP Planta'!$A$2:$M$823,3,0),"")</f>
        <v/>
      </c>
      <c r="C9" s="25">
        <f t="shared" ref="C9:C14" si="1">+A9</f>
        <v>0</v>
      </c>
      <c r="D9" s="26" t="str">
        <f>IFERROR(VLOOKUP(H9,'[1]Consolidado MP Planta'!$A$2:$M$823,13,0),"")</f>
        <v/>
      </c>
      <c r="E9" s="26" t="str">
        <f>IFERROR(VLOOKUP(H9,'[1]Consolidado MP Planta'!$A$2:$M$823,12,0),"")</f>
        <v/>
      </c>
      <c r="F9" s="26" t="str">
        <f t="shared" ref="F9:F14" si="2">IFERROR(C9*E9,"")</f>
        <v/>
      </c>
      <c r="G9" s="27" t="str">
        <f t="shared" si="0"/>
        <v/>
      </c>
      <c r="H9" s="28"/>
      <c r="I9" s="28"/>
      <c r="J9" s="29"/>
    </row>
    <row r="10" spans="1:10" ht="13.5" hidden="1" x14ac:dyDescent="0.25">
      <c r="A10" s="24"/>
      <c r="B10" s="12" t="str">
        <f>IFERROR(VLOOKUP(H10,'[1]Consolidado MP Planta'!$A$2:$M$823,3,0),"")</f>
        <v/>
      </c>
      <c r="C10" s="25">
        <f t="shared" si="1"/>
        <v>0</v>
      </c>
      <c r="D10" s="26" t="str">
        <f>IFERROR(VLOOKUP(H10,'[1]Consolidado MP Planta'!$A$2:$M$823,13,0),"")</f>
        <v/>
      </c>
      <c r="E10" s="26" t="str">
        <f>IFERROR(VLOOKUP(H10,'[1]Consolidado MP Planta'!$A$2:$M$823,12,0),"")</f>
        <v/>
      </c>
      <c r="F10" s="26" t="str">
        <f t="shared" si="2"/>
        <v/>
      </c>
      <c r="G10" s="27" t="str">
        <f t="shared" si="0"/>
        <v/>
      </c>
      <c r="H10" s="28"/>
      <c r="I10" s="28"/>
      <c r="J10" s="29"/>
    </row>
    <row r="11" spans="1:10" ht="13.5" hidden="1" x14ac:dyDescent="0.25">
      <c r="A11" s="24"/>
      <c r="B11" s="12" t="str">
        <f>IFERROR(VLOOKUP(H11,'[1]Consolidado MP Planta'!$A$2:$M$823,3,0),"")</f>
        <v/>
      </c>
      <c r="C11" s="25">
        <f t="shared" si="1"/>
        <v>0</v>
      </c>
      <c r="D11" s="26" t="str">
        <f>IFERROR(VLOOKUP(H11,'[1]Consolidado MP Planta'!$A$2:$M$823,13,0),"")</f>
        <v/>
      </c>
      <c r="E11" s="26" t="str">
        <f>IFERROR(VLOOKUP(H11,'[1]Consolidado MP Planta'!$A$2:$M$823,12,0),"")</f>
        <v/>
      </c>
      <c r="F11" s="26" t="str">
        <f t="shared" si="2"/>
        <v/>
      </c>
      <c r="G11" s="27" t="str">
        <f t="shared" si="0"/>
        <v/>
      </c>
      <c r="H11" s="28"/>
      <c r="I11" s="28"/>
      <c r="J11" s="29"/>
    </row>
    <row r="12" spans="1:10" ht="13.5" hidden="1" x14ac:dyDescent="0.25">
      <c r="A12" s="24"/>
      <c r="B12" s="12" t="str">
        <f>IFERROR(VLOOKUP(H12,'[1]Consolidado MP Planta'!$A$2:$M$823,3,0),"")</f>
        <v/>
      </c>
      <c r="C12" s="25">
        <f t="shared" si="1"/>
        <v>0</v>
      </c>
      <c r="D12" s="26" t="str">
        <f>IFERROR(VLOOKUP(H12,'[1]Consolidado MP Planta'!$A$2:$M$823,13,0),"")</f>
        <v/>
      </c>
      <c r="E12" s="26" t="str">
        <f>IFERROR(VLOOKUP(H12,'[1]Consolidado MP Planta'!$A$2:$M$823,12,0),"")</f>
        <v/>
      </c>
      <c r="F12" s="26" t="str">
        <f t="shared" si="2"/>
        <v/>
      </c>
      <c r="G12" s="27" t="str">
        <f t="shared" si="0"/>
        <v/>
      </c>
      <c r="H12" s="28"/>
      <c r="I12" s="28"/>
      <c r="J12" s="29"/>
    </row>
    <row r="13" spans="1:10" ht="13.5" hidden="1" x14ac:dyDescent="0.25">
      <c r="A13" s="24"/>
      <c r="B13" s="12" t="str">
        <f>IFERROR(VLOOKUP(H13,'[1]Consolidado MP Planta'!$A$2:$M$823,3,0),"")</f>
        <v/>
      </c>
      <c r="C13" s="25">
        <f t="shared" si="1"/>
        <v>0</v>
      </c>
      <c r="D13" s="26" t="str">
        <f>IFERROR(VLOOKUP(H13,'[1]Consolidado MP Planta'!$A$2:$M$823,13,0),"")</f>
        <v/>
      </c>
      <c r="E13" s="26" t="str">
        <f>IFERROR(VLOOKUP(H13,'[1]Consolidado MP Planta'!$A$2:$M$823,12,0),"")</f>
        <v/>
      </c>
      <c r="F13" s="26" t="str">
        <f t="shared" si="2"/>
        <v/>
      </c>
      <c r="G13" s="27" t="str">
        <f t="shared" si="0"/>
        <v/>
      </c>
      <c r="H13" s="28"/>
      <c r="I13" s="28"/>
      <c r="J13" s="29"/>
    </row>
    <row r="14" spans="1:10" ht="13.5" hidden="1" x14ac:dyDescent="0.25">
      <c r="A14" s="24"/>
      <c r="B14" s="12" t="str">
        <f>IFERROR(VLOOKUP(H14,'[1]Consolidado MP Planta'!$A$2:$M$823,3,0),"")</f>
        <v/>
      </c>
      <c r="C14" s="25">
        <f t="shared" si="1"/>
        <v>0</v>
      </c>
      <c r="D14" s="26" t="str">
        <f>IFERROR(VLOOKUP(H14,'[1]Consolidado MP Planta'!$A$2:$M$823,13,0),"")</f>
        <v/>
      </c>
      <c r="E14" s="26" t="str">
        <f>IFERROR(VLOOKUP(H14,'[1]Consolidado MP Planta'!$A$2:$M$823,12,0),"")</f>
        <v/>
      </c>
      <c r="F14" s="26" t="str">
        <f t="shared" si="2"/>
        <v/>
      </c>
      <c r="G14" s="27" t="str">
        <f t="shared" si="0"/>
        <v/>
      </c>
      <c r="H14" s="28"/>
      <c r="I14" s="28"/>
      <c r="J14" s="29"/>
    </row>
    <row r="15" spans="1:10" ht="14.25" thickBot="1" x14ac:dyDescent="0.3">
      <c r="A15" s="24"/>
      <c r="B15" s="12" t="str">
        <f>IFERROR(VLOOKUP(H15,'[3]Consolidado MP Planta'!$A$2:$G$589,2,0),"")</f>
        <v/>
      </c>
      <c r="C15" s="25"/>
      <c r="D15" s="26"/>
      <c r="E15" s="26"/>
      <c r="F15" s="26"/>
      <c r="G15" s="27"/>
      <c r="H15" s="28"/>
      <c r="I15" s="28"/>
      <c r="J15" s="29"/>
    </row>
    <row r="16" spans="1:10" ht="26.25" thickBot="1" x14ac:dyDescent="0.25">
      <c r="A16" s="19" t="s">
        <v>37</v>
      </c>
      <c r="B16" s="20" t="s">
        <v>44</v>
      </c>
      <c r="C16" s="20" t="s">
        <v>37</v>
      </c>
      <c r="D16" s="21" t="s">
        <v>39</v>
      </c>
      <c r="E16" s="21" t="s">
        <v>40</v>
      </c>
      <c r="F16" s="21" t="s">
        <v>41</v>
      </c>
      <c r="G16" s="21" t="s">
        <v>42</v>
      </c>
      <c r="H16" s="22" t="s">
        <v>43</v>
      </c>
      <c r="I16" s="23"/>
      <c r="J16" s="29"/>
    </row>
    <row r="17" spans="1:12" ht="13.5" x14ac:dyDescent="0.25">
      <c r="A17" s="24">
        <v>5</v>
      </c>
      <c r="B17" s="12" t="str">
        <f>IFERROR(VLOOKUP(H17,[1]SEMIELABORADOS!$A$2:$M$6000,2,0),"")</f>
        <v>CORTE GALLETA CHILENA GRANDE (UND)</v>
      </c>
      <c r="C17" s="25">
        <f>+A17</f>
        <v>5</v>
      </c>
      <c r="D17" s="25" t="str">
        <f>IFERROR(VLOOKUP(H17,[1]SEMIELABORADOS!$A$2:$M$6000,6,0),"")</f>
        <v>Und</v>
      </c>
      <c r="E17" s="26">
        <f>IFERROR(VLOOKUP(H17,[1]SEMIELABORADOS!$A$2:$H$65536,8,0),"")</f>
        <v>151.01027803078128</v>
      </c>
      <c r="F17" s="26">
        <f>IFERROR(E17*C17,"")</f>
        <v>755.05139015390637</v>
      </c>
      <c r="G17" s="27">
        <f>IFERROR(F17/$F$66,"")</f>
        <v>0.18043847378965558</v>
      </c>
      <c r="H17" s="28" t="s">
        <v>106</v>
      </c>
      <c r="I17" s="28"/>
      <c r="J17" s="29"/>
    </row>
    <row r="18" spans="1:12" ht="13.5" x14ac:dyDescent="0.25">
      <c r="A18" s="24">
        <v>166</v>
      </c>
      <c r="B18" s="12" t="str">
        <f>IFERROR(VLOOKUP(H18,[1]SEMIELABORADOS!$A$2:$M$6000,2,0),"")</f>
        <v>CREMA CHANTILLY BLANCA SPOON-IND KILO</v>
      </c>
      <c r="C18" s="25">
        <f t="shared" ref="C18:C24" si="3">+A18</f>
        <v>166</v>
      </c>
      <c r="D18" s="25" t="str">
        <f>IFERROR(VLOOKUP(H18,[1]SEMIELABORADOS!$A$2:$M$6000,6,0),"")</f>
        <v>Gramo</v>
      </c>
      <c r="E18" s="26">
        <f>IFERROR(VLOOKUP(H18,[1]SEMIELABORADOS!$A$2:$H$65536,8,0),"")</f>
        <v>2.3115165807692306</v>
      </c>
      <c r="F18" s="26">
        <f t="shared" ref="F18:F24" si="4">IFERROR(E18*C18,"")</f>
        <v>383.7117524076923</v>
      </c>
      <c r="G18" s="27">
        <f t="shared" ref="G18:G24" si="5">IFERROR(F18/$F$66,"")</f>
        <v>9.1697550501145836E-2</v>
      </c>
      <c r="H18" s="28" t="s">
        <v>27</v>
      </c>
      <c r="I18" s="28"/>
      <c r="J18" s="29"/>
    </row>
    <row r="19" spans="1:12" ht="13.5" x14ac:dyDescent="0.25">
      <c r="A19" s="24">
        <v>8</v>
      </c>
      <c r="B19" s="12" t="str">
        <f>IFERROR(VLOOKUP(H19,[1]SEMIELABORADOS!$A$2:$M$6000,2,0),"")</f>
        <v>MEZCLA SIROPE DULCE LECHE KILO</v>
      </c>
      <c r="C19" s="25">
        <f t="shared" si="3"/>
        <v>8</v>
      </c>
      <c r="D19" s="25" t="str">
        <f>IFERROR(VLOOKUP(H19,[1]SEMIELABORADOS!$A$2:$M$6000,6,0),"")</f>
        <v>Gramo</v>
      </c>
      <c r="E19" s="26">
        <f>IFERROR(VLOOKUP(H19,[1]SEMIELABORADOS!$A$2:$H$65536,8,0),"")</f>
        <v>1.9603322949117343</v>
      </c>
      <c r="F19" s="26">
        <f t="shared" si="4"/>
        <v>15.682658359293875</v>
      </c>
      <c r="G19" s="27">
        <f t="shared" si="5"/>
        <v>3.7477646902136898E-3</v>
      </c>
      <c r="H19" s="28" t="s">
        <v>107</v>
      </c>
      <c r="I19" s="28"/>
      <c r="J19" s="29"/>
    </row>
    <row r="20" spans="1:12" ht="13.5" hidden="1" x14ac:dyDescent="0.25">
      <c r="A20" s="24"/>
      <c r="B20" s="12" t="str">
        <f>IFERROR(VLOOKUP(H20,[1]SEMIELABORADOS!$A$2:$M$6000,2,0),"")</f>
        <v/>
      </c>
      <c r="C20" s="25">
        <f t="shared" si="3"/>
        <v>0</v>
      </c>
      <c r="D20" s="25" t="str">
        <f>IFERROR(VLOOKUP(H20,[1]SEMIELABORADOS!$A$2:$M$6000,6,0),"")</f>
        <v/>
      </c>
      <c r="E20" s="26" t="str">
        <f>IFERROR(VLOOKUP(H20,[1]SEMIELABORADOS!$A$2:$H$65536,8,0),"")</f>
        <v/>
      </c>
      <c r="F20" s="26" t="str">
        <f t="shared" si="4"/>
        <v/>
      </c>
      <c r="G20" s="27" t="str">
        <f t="shared" si="5"/>
        <v/>
      </c>
      <c r="H20" s="30"/>
      <c r="I20" s="28"/>
      <c r="J20" s="29"/>
    </row>
    <row r="21" spans="1:12" ht="13.5" hidden="1" x14ac:dyDescent="0.25">
      <c r="A21" s="24"/>
      <c r="B21" s="12" t="str">
        <f>IFERROR(VLOOKUP(H21,[1]SEMIELABORADOS!$A$2:$M$6000,2,0),"")</f>
        <v/>
      </c>
      <c r="C21" s="25">
        <f t="shared" si="3"/>
        <v>0</v>
      </c>
      <c r="D21" s="25" t="str">
        <f>IFERROR(VLOOKUP(H21,[1]SEMIELABORADOS!$A$2:$M$6000,6,0),"")</f>
        <v/>
      </c>
      <c r="E21" s="26" t="str">
        <f>IFERROR(VLOOKUP(H21,[1]SEMIELABORADOS!$A$2:$H$65536,8,0),"")</f>
        <v/>
      </c>
      <c r="F21" s="26" t="str">
        <f t="shared" si="4"/>
        <v/>
      </c>
      <c r="G21" s="27" t="str">
        <f t="shared" si="5"/>
        <v/>
      </c>
      <c r="H21" s="30"/>
      <c r="I21" s="28"/>
      <c r="J21" s="29"/>
    </row>
    <row r="22" spans="1:12" ht="13.5" hidden="1" x14ac:dyDescent="0.25">
      <c r="A22" s="24"/>
      <c r="B22" s="12" t="str">
        <f>IFERROR(VLOOKUP(H22,[1]SEMIELABORADOS!$A$2:$M$6000,2,0),"")</f>
        <v/>
      </c>
      <c r="C22" s="25">
        <f t="shared" si="3"/>
        <v>0</v>
      </c>
      <c r="D22" s="25" t="str">
        <f>IFERROR(VLOOKUP(H22,[1]SEMIELABORADOS!$A$2:$M$6000,6,0),"")</f>
        <v/>
      </c>
      <c r="E22" s="26" t="str">
        <f>IFERROR(VLOOKUP(H22,[1]SEMIELABORADOS!$A$2:$H$65536,8,0),"")</f>
        <v/>
      </c>
      <c r="F22" s="26" t="str">
        <f t="shared" si="4"/>
        <v/>
      </c>
      <c r="G22" s="27" t="str">
        <f t="shared" si="5"/>
        <v/>
      </c>
      <c r="H22" s="30"/>
      <c r="I22" s="28"/>
      <c r="J22" s="29"/>
    </row>
    <row r="23" spans="1:12" ht="13.5" hidden="1" x14ac:dyDescent="0.25">
      <c r="A23" s="24"/>
      <c r="B23" s="12" t="str">
        <f>IFERROR(VLOOKUP(H23,[1]SEMIELABORADOS!$A$2:$M$6000,2,0),"")</f>
        <v/>
      </c>
      <c r="C23" s="25">
        <f t="shared" si="3"/>
        <v>0</v>
      </c>
      <c r="D23" s="25" t="str">
        <f>IFERROR(VLOOKUP(H23,[1]SEMIELABORADOS!$A$2:$M$6000,6,0),"")</f>
        <v/>
      </c>
      <c r="E23" s="26" t="str">
        <f>IFERROR(VLOOKUP(H23,[1]SEMIELABORADOS!$A$2:$H$65536,8,0),"")</f>
        <v/>
      </c>
      <c r="F23" s="26" t="str">
        <f t="shared" si="4"/>
        <v/>
      </c>
      <c r="G23" s="27" t="str">
        <f t="shared" si="5"/>
        <v/>
      </c>
      <c r="H23" s="30"/>
      <c r="I23" s="28"/>
      <c r="J23" s="29"/>
    </row>
    <row r="24" spans="1:12" ht="13.5" hidden="1" x14ac:dyDescent="0.25">
      <c r="A24" s="24"/>
      <c r="B24" s="12" t="str">
        <f>IFERROR(VLOOKUP(H24,[1]SEMIELABORADOS!$A$2:$M$6000,2,0),"")</f>
        <v/>
      </c>
      <c r="C24" s="25">
        <f t="shared" si="3"/>
        <v>0</v>
      </c>
      <c r="D24" s="25" t="str">
        <f>IFERROR(VLOOKUP(H24,[1]SEMIELABORADOS!$A$2:$M$6000,6,0),"")</f>
        <v/>
      </c>
      <c r="E24" s="26" t="str">
        <f>IFERROR(VLOOKUP(H24,[1]SEMIELABORADOS!$A$2:$H$65536,8,0),"")</f>
        <v/>
      </c>
      <c r="F24" s="26" t="str">
        <f t="shared" si="4"/>
        <v/>
      </c>
      <c r="G24" s="27" t="str">
        <f t="shared" si="5"/>
        <v/>
      </c>
      <c r="H24" s="30"/>
      <c r="I24" s="28"/>
      <c r="J24" s="29"/>
    </row>
    <row r="25" spans="1:12" ht="14.25" thickBot="1" x14ac:dyDescent="0.3">
      <c r="A25" s="24"/>
      <c r="C25" s="25"/>
      <c r="D25" s="25"/>
      <c r="E25" s="26"/>
      <c r="F25" s="26"/>
      <c r="G25" s="27"/>
      <c r="H25" s="28"/>
      <c r="I25" s="28"/>
      <c r="J25" s="29"/>
    </row>
    <row r="26" spans="1:12" ht="26.25" thickBot="1" x14ac:dyDescent="0.25">
      <c r="A26" s="19" t="s">
        <v>37</v>
      </c>
      <c r="B26" s="20" t="s">
        <v>19</v>
      </c>
      <c r="C26" s="20" t="s">
        <v>37</v>
      </c>
      <c r="D26" s="21" t="s">
        <v>39</v>
      </c>
      <c r="E26" s="21" t="s">
        <v>40</v>
      </c>
      <c r="F26" s="21" t="s">
        <v>41</v>
      </c>
      <c r="G26" s="21" t="s">
        <v>42</v>
      </c>
      <c r="H26" s="22" t="s">
        <v>43</v>
      </c>
      <c r="I26" s="23"/>
    </row>
    <row r="27" spans="1:12" ht="13.5" x14ac:dyDescent="0.25">
      <c r="A27" s="24">
        <v>1</v>
      </c>
      <c r="B27" s="31" t="str">
        <f>IFERROR(VLOOKUP(H27,'[1]Consolidado MP Planta'!$A$2:$M$823,3,0),"")</f>
        <v>ETIQUETA BLANCA R-153 (UND)</v>
      </c>
      <c r="C27" s="25">
        <f t="shared" ref="C27:C32" si="6">+A27</f>
        <v>1</v>
      </c>
      <c r="D27" s="26" t="str">
        <f>IFERROR(VLOOKUP(H27,'[1]Consolidado MP Planta'!$A$2:$M$823,13,0),"")</f>
        <v>Und</v>
      </c>
      <c r="E27" s="26">
        <f>IFERROR(VLOOKUP(H27,'[1]Consolidado MP Planta'!$A$2:$M$823,12,0),"")</f>
        <v>0.39</v>
      </c>
      <c r="F27" s="26">
        <f t="shared" ref="F27:F32" si="7">IFERROR(C27*E27,"")</f>
        <v>0.39</v>
      </c>
      <c r="G27" s="27">
        <f t="shared" ref="G27:G32" si="8">IFERROR(F27/$F$66,"")</f>
        <v>9.320028503440217E-5</v>
      </c>
      <c r="H27" s="30" t="s">
        <v>29</v>
      </c>
      <c r="I27" s="30"/>
      <c r="J27" s="29"/>
      <c r="K27" s="306"/>
      <c r="L27" s="306"/>
    </row>
    <row r="28" spans="1:12" ht="13.5" x14ac:dyDescent="0.25">
      <c r="A28" s="24">
        <v>1</v>
      </c>
      <c r="B28" s="31" t="str">
        <f>IFERROR(VLOOKUP(H28,'[1]Consolidado MP Planta'!$A$2:$M$823,3,0),"")</f>
        <v>ETIQ.BLANCA 1 1/4 * 3/4 (UND)</v>
      </c>
      <c r="C28" s="25">
        <f t="shared" si="6"/>
        <v>1</v>
      </c>
      <c r="D28" s="26" t="str">
        <f>IFERROR(VLOOKUP(H28,'[1]Consolidado MP Planta'!$A$2:$M$823,13,0),"")</f>
        <v>Und</v>
      </c>
      <c r="E28" s="26">
        <f>IFERROR(VLOOKUP(H28,'[1]Consolidado MP Planta'!$A$2:$M$823,12,0),"")</f>
        <v>0.57999999999999996</v>
      </c>
      <c r="F28" s="26">
        <f t="shared" si="7"/>
        <v>0.57999999999999996</v>
      </c>
      <c r="G28" s="27">
        <f t="shared" si="8"/>
        <v>1.3860555210244425E-4</v>
      </c>
      <c r="H28" s="30" t="s">
        <v>24</v>
      </c>
      <c r="I28" s="30"/>
      <c r="J28" s="29"/>
      <c r="K28" s="306"/>
      <c r="L28" s="306"/>
    </row>
    <row r="29" spans="1:12" ht="13.5" x14ac:dyDescent="0.25">
      <c r="A29" s="24">
        <v>1</v>
      </c>
      <c r="B29" s="31" t="str">
        <f>IFERROR(VLOOKUP(H29,'[1]Consolidado MP Planta'!$A$2:$M$823,3,0),"")</f>
        <v>ETIQ.FECHA VENCIMIENTO VERDE (ROLLO)</v>
      </c>
      <c r="C29" s="25">
        <f t="shared" si="6"/>
        <v>1</v>
      </c>
      <c r="D29" s="26" t="str">
        <f>IFERROR(VLOOKUP(H29,'[1]Consolidado MP Planta'!$A$2:$M$823,13,0),"")</f>
        <v>Und</v>
      </c>
      <c r="E29" s="26">
        <f>IFERROR(VLOOKUP(H29,'[1]Consolidado MP Planta'!$A$2:$M$823,12,0),"")</f>
        <v>0.33333333333333331</v>
      </c>
      <c r="F29" s="26">
        <f t="shared" si="7"/>
        <v>0.33333333333333331</v>
      </c>
      <c r="G29" s="27">
        <f t="shared" si="8"/>
        <v>7.9658363277266804E-5</v>
      </c>
      <c r="H29" s="30" t="s">
        <v>25</v>
      </c>
      <c r="I29" s="30"/>
      <c r="J29" s="29"/>
      <c r="K29" s="306"/>
      <c r="L29" s="306"/>
    </row>
    <row r="30" spans="1:12" ht="13.5" x14ac:dyDescent="0.25">
      <c r="A30" s="24">
        <v>1</v>
      </c>
      <c r="B30" s="31" t="str">
        <f>IFERROR(VLOOKUP(H30,'[1]Consolidado MP Planta'!$A$2:$M$823,3,0),"")</f>
        <v>QUEQUERA CHILENA (CAJA:50 UND)</v>
      </c>
      <c r="C30" s="25">
        <f t="shared" si="6"/>
        <v>1</v>
      </c>
      <c r="D30" s="26" t="str">
        <f>IFERROR(VLOOKUP(H30,'[1]Consolidado MP Planta'!$A$2:$M$823,13,0),"")</f>
        <v>Und</v>
      </c>
      <c r="E30" s="26">
        <f>IFERROR(VLOOKUP(H30,'[1]Consolidado MP Planta'!$A$2:$M$823,12,0),"")</f>
        <v>827.06</v>
      </c>
      <c r="F30" s="26">
        <f t="shared" si="7"/>
        <v>827.06</v>
      </c>
      <c r="G30" s="27">
        <f t="shared" si="8"/>
        <v>0.19764673779628886</v>
      </c>
      <c r="H30" s="30" t="s">
        <v>108</v>
      </c>
      <c r="I30" s="30"/>
      <c r="J30" s="29"/>
      <c r="K30" s="306"/>
      <c r="L30" s="306"/>
    </row>
    <row r="31" spans="1:12" ht="13.5" x14ac:dyDescent="0.25">
      <c r="A31" s="24">
        <v>1</v>
      </c>
      <c r="B31" s="31" t="str">
        <f>IFERROR(VLOOKUP(H31,'[1]Consolidado MP Planta'!$A$2:$M$823,3,0),"")</f>
        <v>ORLA CARTON 10" DORADA (UND)</v>
      </c>
      <c r="C31" s="25">
        <f t="shared" si="6"/>
        <v>1</v>
      </c>
      <c r="D31" s="26" t="str">
        <f>IFERROR(VLOOKUP(H31,'[1]Consolidado MP Planta'!$A$2:$M$823,13,0),"")</f>
        <v>Und</v>
      </c>
      <c r="E31" s="26">
        <f>IFERROR(VLOOKUP(H31,'[1]Consolidado MP Planta'!$A$2:$M$823,12,0),"")</f>
        <v>137</v>
      </c>
      <c r="F31" s="26">
        <f t="shared" si="7"/>
        <v>137</v>
      </c>
      <c r="G31" s="27">
        <f t="shared" si="8"/>
        <v>3.2739587306956662E-2</v>
      </c>
      <c r="H31" s="30" t="s">
        <v>28</v>
      </c>
      <c r="I31" s="30"/>
      <c r="J31" s="29"/>
      <c r="K31" s="32"/>
      <c r="L31" s="33"/>
    </row>
    <row r="32" spans="1:12" ht="13.5" x14ac:dyDescent="0.25">
      <c r="A32" s="24"/>
      <c r="B32" s="31" t="str">
        <f>IFERROR(VLOOKUP(H32,'[1]Consolidado MP Planta'!$A$2:$M$823,3,0),"")</f>
        <v/>
      </c>
      <c r="C32" s="25">
        <f t="shared" si="6"/>
        <v>0</v>
      </c>
      <c r="D32" s="26" t="str">
        <f>IFERROR(VLOOKUP(H32,'[1]Consolidado MP Planta'!$A$2:$M$823,13,0),"")</f>
        <v/>
      </c>
      <c r="E32" s="26" t="str">
        <f>IFERROR(VLOOKUP(H32,'[1]Consolidado MP Planta'!$A$2:$M$823,12,0),"")</f>
        <v/>
      </c>
      <c r="F32" s="26" t="str">
        <f t="shared" si="7"/>
        <v/>
      </c>
      <c r="G32" s="27" t="str">
        <f t="shared" si="8"/>
        <v/>
      </c>
      <c r="H32" s="30"/>
      <c r="I32" s="30"/>
      <c r="J32" s="29"/>
    </row>
    <row r="33" spans="1:13" ht="14.25" thickBot="1" x14ac:dyDescent="0.3">
      <c r="A33" s="24"/>
      <c r="B33" s="31"/>
      <c r="C33" s="25"/>
      <c r="D33" s="26"/>
      <c r="E33" s="26"/>
      <c r="F33" s="26"/>
      <c r="G33" s="27"/>
      <c r="H33" s="30"/>
      <c r="I33" s="30"/>
      <c r="J33" s="29"/>
    </row>
    <row r="34" spans="1:13" ht="26.25" thickBot="1" x14ac:dyDescent="0.25">
      <c r="A34" s="19" t="s">
        <v>37</v>
      </c>
      <c r="B34" s="20" t="s">
        <v>45</v>
      </c>
      <c r="C34" s="20" t="s">
        <v>37</v>
      </c>
      <c r="D34" s="21" t="s">
        <v>39</v>
      </c>
      <c r="E34" s="21" t="s">
        <v>40</v>
      </c>
      <c r="F34" s="21" t="s">
        <v>41</v>
      </c>
      <c r="G34" s="21" t="s">
        <v>42</v>
      </c>
      <c r="H34" s="22" t="s">
        <v>43</v>
      </c>
      <c r="I34" s="30"/>
      <c r="J34" s="29"/>
    </row>
    <row r="35" spans="1:13" ht="13.5" x14ac:dyDescent="0.25">
      <c r="A35" s="24">
        <f>+A17</f>
        <v>5</v>
      </c>
      <c r="B35" s="31" t="str">
        <f>IFERROR(VLOOKUP(H35,[1]SEMIELABORADOS!$A$2:$M$6000,2,0),"")</f>
        <v>CORTE GALLETA CHILENA GRANDE (UND)</v>
      </c>
      <c r="C35" s="25">
        <f>+A35</f>
        <v>5</v>
      </c>
      <c r="D35" s="26" t="str">
        <f>IFERROR(VLOOKUP(H35,[1]SEMIELABORADOS!$A$2:$M$6000,6,0),"")</f>
        <v>Und</v>
      </c>
      <c r="E35" s="26">
        <f>IFERROR(VLOOKUP(H35,[1]SEMIELABORADOS!$A$2:$M$65536,10,0),"")</f>
        <v>0.61688794952619053</v>
      </c>
      <c r="F35" s="26">
        <f>IFERROR(E35*C35,"")</f>
        <v>3.0844397476309524</v>
      </c>
      <c r="G35" s="27">
        <f>IFERROR(F35/$F$66,"")</f>
        <v>7.3710426577088277E-4</v>
      </c>
      <c r="H35" s="28" t="s">
        <v>106</v>
      </c>
      <c r="I35" s="30"/>
      <c r="J35" s="29"/>
    </row>
    <row r="36" spans="1:13" ht="13.5" x14ac:dyDescent="0.25">
      <c r="A36" s="24">
        <f t="shared" ref="A36:A41" si="9">+A18</f>
        <v>166</v>
      </c>
      <c r="B36" s="31" t="str">
        <f>IFERROR(VLOOKUP(H36,[1]SEMIELABORADOS!$A$2:$M$6000,2,0),"")</f>
        <v>CREMA CHANTILLY BLANCA SPOON-IND KILO</v>
      </c>
      <c r="C36" s="25">
        <f t="shared" ref="C36:C41" si="10">+A36</f>
        <v>166</v>
      </c>
      <c r="D36" s="26" t="str">
        <f>IFERROR(VLOOKUP(H36,[1]SEMIELABORADOS!$A$2:$M$6000,6,0),"")</f>
        <v>Gramo</v>
      </c>
      <c r="E36" s="26">
        <f>IFERROR(VLOOKUP(H36,[1]SEMIELABORADOS!$A$2:$M$65536,10,0),"")</f>
        <v>2.7884615384615379E-5</v>
      </c>
      <c r="F36" s="26">
        <f t="shared" ref="F36:F41" si="11">IFERROR(E36*C36,"")</f>
        <v>4.6288461538461527E-3</v>
      </c>
      <c r="G36" s="27">
        <f t="shared" ref="G36:G41" si="12">IFERROR(F36/$F$66,"")</f>
        <v>1.1061789254329683E-6</v>
      </c>
      <c r="H36" s="28" t="s">
        <v>27</v>
      </c>
      <c r="I36" s="30"/>
      <c r="J36" s="29"/>
    </row>
    <row r="37" spans="1:13" ht="13.5" x14ac:dyDescent="0.25">
      <c r="A37" s="24">
        <f t="shared" si="9"/>
        <v>8</v>
      </c>
      <c r="B37" s="31" t="str">
        <f>IFERROR(VLOOKUP(H37,[1]SEMIELABORADOS!$A$2:$M$6000,2,0),"")</f>
        <v>MEZCLA SIROPE DULCE LECHE KILO</v>
      </c>
      <c r="C37" s="25">
        <f t="shared" si="10"/>
        <v>8</v>
      </c>
      <c r="D37" s="26" t="str">
        <f>IFERROR(VLOOKUP(H37,[1]SEMIELABORADOS!$A$2:$M$6000,6,0),"")</f>
        <v>Gramo</v>
      </c>
      <c r="E37" s="26">
        <f>IFERROR(VLOOKUP(H37,[1]SEMIELABORADOS!$A$2:$M$65536,10,0),"")</f>
        <v>4.9299688473520252E-3</v>
      </c>
      <c r="F37" s="26">
        <f t="shared" si="11"/>
        <v>3.9439750778816202E-2</v>
      </c>
      <c r="G37" s="27">
        <f t="shared" si="12"/>
        <v>9.4251179853114236E-6</v>
      </c>
      <c r="H37" s="28" t="s">
        <v>107</v>
      </c>
      <c r="I37" s="30"/>
      <c r="J37" s="29"/>
    </row>
    <row r="38" spans="1:13" ht="13.5" hidden="1" x14ac:dyDescent="0.25">
      <c r="A38" s="24">
        <f t="shared" si="9"/>
        <v>0</v>
      </c>
      <c r="B38" s="31" t="str">
        <f>IFERROR(VLOOKUP(H38,[1]SEMIELABORADOS!$A$2:$M$6000,2,0),"")</f>
        <v/>
      </c>
      <c r="C38" s="25">
        <f t="shared" si="10"/>
        <v>0</v>
      </c>
      <c r="D38" s="26" t="str">
        <f>IFERROR(VLOOKUP(H38,[1]SEMIELABORADOS!$A$2:$M$6000,6,0),"")</f>
        <v/>
      </c>
      <c r="E38" s="26" t="str">
        <f>IFERROR(VLOOKUP(H38,[1]SEMIELABORADOS!$A$2:$M$65536,10,0),"")</f>
        <v/>
      </c>
      <c r="F38" s="26" t="str">
        <f t="shared" si="11"/>
        <v/>
      </c>
      <c r="G38" s="27" t="str">
        <f t="shared" si="12"/>
        <v/>
      </c>
      <c r="H38" s="28"/>
      <c r="I38" s="30"/>
      <c r="J38" s="29"/>
    </row>
    <row r="39" spans="1:13" ht="13.5" hidden="1" x14ac:dyDescent="0.25">
      <c r="A39" s="24">
        <f t="shared" si="9"/>
        <v>0</v>
      </c>
      <c r="B39" s="31" t="str">
        <f>IFERROR(VLOOKUP(H39,[1]SEMIELABORADOS!$A$2:$M$6000,2,0),"")</f>
        <v/>
      </c>
      <c r="C39" s="25">
        <f t="shared" si="10"/>
        <v>0</v>
      </c>
      <c r="D39" s="26" t="str">
        <f>IFERROR(VLOOKUP(H39,[1]SEMIELABORADOS!$A$2:$M$6000,6,0),"")</f>
        <v/>
      </c>
      <c r="E39" s="26" t="str">
        <f>IFERROR(VLOOKUP(H39,[1]SEMIELABORADOS!$A$2:$M$65536,10,0),"")</f>
        <v/>
      </c>
      <c r="F39" s="26" t="str">
        <f t="shared" si="11"/>
        <v/>
      </c>
      <c r="G39" s="27" t="str">
        <f t="shared" si="12"/>
        <v/>
      </c>
      <c r="H39" s="28"/>
      <c r="I39" s="30"/>
      <c r="J39" s="29"/>
    </row>
    <row r="40" spans="1:13" ht="13.5" hidden="1" x14ac:dyDescent="0.25">
      <c r="A40" s="24">
        <f t="shared" si="9"/>
        <v>0</v>
      </c>
      <c r="B40" s="31" t="str">
        <f>IFERROR(VLOOKUP(H40,[1]SEMIELABORADOS!$A$2:$M$6000,2,0),"")</f>
        <v/>
      </c>
      <c r="C40" s="25">
        <f t="shared" si="10"/>
        <v>0</v>
      </c>
      <c r="D40" s="26" t="str">
        <f>IFERROR(VLOOKUP(H40,[1]SEMIELABORADOS!$A$2:$M$6000,6,0),"")</f>
        <v/>
      </c>
      <c r="E40" s="26" t="str">
        <f>IFERROR(VLOOKUP(H40,[1]SEMIELABORADOS!$A$2:$M$65536,10,0),"")</f>
        <v/>
      </c>
      <c r="F40" s="26" t="str">
        <f t="shared" si="11"/>
        <v/>
      </c>
      <c r="G40" s="27" t="str">
        <f t="shared" si="12"/>
        <v/>
      </c>
      <c r="H40" s="28"/>
      <c r="I40" s="30"/>
      <c r="J40" s="29"/>
    </row>
    <row r="41" spans="1:13" ht="13.5" hidden="1" x14ac:dyDescent="0.25">
      <c r="A41" s="24">
        <f t="shared" si="9"/>
        <v>0</v>
      </c>
      <c r="B41" s="31" t="str">
        <f>IFERROR(VLOOKUP(H41,[1]SEMIELABORADOS!$A$2:$M$6000,2,0),"")</f>
        <v/>
      </c>
      <c r="C41" s="25">
        <f t="shared" si="10"/>
        <v>0</v>
      </c>
      <c r="D41" s="26" t="str">
        <f>IFERROR(VLOOKUP(H41,[1]SEMIELABORADOS!$A$2:$M$6000,6,0),"")</f>
        <v/>
      </c>
      <c r="E41" s="26" t="str">
        <f>IFERROR(VLOOKUP(H41,[1]SEMIELABORADOS!$A$2:$M$65536,10,0),"")</f>
        <v/>
      </c>
      <c r="F41" s="26" t="str">
        <f t="shared" si="11"/>
        <v/>
      </c>
      <c r="G41" s="27" t="str">
        <f t="shared" si="12"/>
        <v/>
      </c>
      <c r="H41" s="30"/>
      <c r="I41" s="30"/>
      <c r="J41" s="29"/>
    </row>
    <row r="42" spans="1:13" ht="14.25" thickBot="1" x14ac:dyDescent="0.3">
      <c r="A42" s="24"/>
      <c r="B42" s="12" t="str">
        <f>IFERROR(VLOOKUP(H42,[1]SEMIELABORADOS!$A$2:$M$6000,2,0),"")</f>
        <v/>
      </c>
      <c r="C42" s="25">
        <f>+A42</f>
        <v>0</v>
      </c>
      <c r="D42" s="25" t="str">
        <f>IFERROR(VLOOKUP(H42,[1]SEMIELABORADOS!$A$2:$M$6000,6,0),"")</f>
        <v/>
      </c>
      <c r="E42" s="26" t="str">
        <f>IFERROR(VLOOKUP(H42,[1]SEMIELABORADOS!$A$2:$H$65536,8,0),"")</f>
        <v/>
      </c>
      <c r="F42" s="26" t="str">
        <f>IFERROR(E42*C42,"")</f>
        <v/>
      </c>
      <c r="G42" s="27" t="str">
        <f>IFERROR(F42/$F$66,"")</f>
        <v/>
      </c>
      <c r="H42" s="30"/>
      <c r="I42" s="30"/>
      <c r="J42" s="29"/>
    </row>
    <row r="43" spans="1:13" ht="26.25" thickBot="1" x14ac:dyDescent="0.25">
      <c r="A43" s="19" t="s">
        <v>37</v>
      </c>
      <c r="B43" s="20" t="s">
        <v>46</v>
      </c>
      <c r="C43" s="20" t="s">
        <v>37</v>
      </c>
      <c r="D43" s="21" t="s">
        <v>39</v>
      </c>
      <c r="E43" s="21" t="s">
        <v>40</v>
      </c>
      <c r="F43" s="21" t="s">
        <v>41</v>
      </c>
      <c r="G43" s="21" t="s">
        <v>42</v>
      </c>
      <c r="H43" s="22" t="s">
        <v>43</v>
      </c>
      <c r="I43" s="23"/>
      <c r="J43" s="29"/>
    </row>
    <row r="44" spans="1:13" ht="13.5" x14ac:dyDescent="0.25">
      <c r="A44" s="24">
        <f>+A35</f>
        <v>5</v>
      </c>
      <c r="B44" s="31" t="str">
        <f>IFERROR(VLOOKUP(H44,[1]SEMIELABORADOS!$A$2:$M$6000,2,0),"")</f>
        <v>CORTE GALLETA CHILENA GRANDE (UND)</v>
      </c>
      <c r="C44" s="25">
        <f>+A44</f>
        <v>5</v>
      </c>
      <c r="D44" s="26" t="str">
        <f>IFERROR(VLOOKUP(H44,[1]SEMIELABORADOS!$A$2:$M$6000,6,0),"")</f>
        <v>Und</v>
      </c>
      <c r="E44" s="26">
        <f>IFERROR(VLOOKUP(H44,[1]SEMIELABORADOS!$A$2:$M$65536,12,0),"")</f>
        <v>27.292889876455344</v>
      </c>
      <c r="F44" s="26">
        <f>IFERROR(E44*C44,"")</f>
        <v>136.46444938227671</v>
      </c>
      <c r="G44" s="27">
        <f>IFERROR(F44/$F$66,"")</f>
        <v>3.2611604049976761E-2</v>
      </c>
      <c r="H44" s="28" t="s">
        <v>106</v>
      </c>
      <c r="I44" s="23"/>
      <c r="J44" s="29"/>
    </row>
    <row r="45" spans="1:13" ht="13.5" x14ac:dyDescent="0.25">
      <c r="A45" s="24">
        <f t="shared" ref="A45:A50" si="13">+A36</f>
        <v>166</v>
      </c>
      <c r="B45" s="31" t="str">
        <f>IFERROR(VLOOKUP(H45,[1]SEMIELABORADOS!$A$2:$M$6000,2,0),"")</f>
        <v>CREMA CHANTILLY BLANCA SPOON-IND KILO</v>
      </c>
      <c r="C45" s="25">
        <f t="shared" ref="C45:C50" si="14">+A45</f>
        <v>166</v>
      </c>
      <c r="D45" s="26" t="str">
        <f>IFERROR(VLOOKUP(H45,[1]SEMIELABORADOS!$A$2:$M$6000,6,0),"")</f>
        <v>Gramo</v>
      </c>
      <c r="E45" s="26">
        <f>IFERROR(VLOOKUP(H45,[1]SEMIELABORADOS!$A$2:$M$65536,12,0),"")</f>
        <v>0.41607800376923076</v>
      </c>
      <c r="F45" s="26">
        <f t="shared" ref="F45:F50" si="15">IFERROR(E45*C45,"")</f>
        <v>69.0689486256923</v>
      </c>
      <c r="G45" s="27">
        <f t="shared" ref="G45:G50" si="16">IFERROR(F45/$F$66,"")</f>
        <v>1.6505758202412828E-2</v>
      </c>
      <c r="H45" s="28" t="s">
        <v>27</v>
      </c>
      <c r="I45" s="23"/>
      <c r="J45" s="29"/>
      <c r="M45" s="34"/>
    </row>
    <row r="46" spans="1:13" ht="13.5" x14ac:dyDescent="0.25">
      <c r="A46" s="24">
        <f t="shared" si="13"/>
        <v>8</v>
      </c>
      <c r="B46" s="31" t="str">
        <f>IFERROR(VLOOKUP(H46,[1]SEMIELABORADOS!$A$2:$M$6000,2,0),"")</f>
        <v>MEZCLA SIROPE DULCE LECHE KILO</v>
      </c>
      <c r="C46" s="25">
        <f t="shared" si="14"/>
        <v>8</v>
      </c>
      <c r="D46" s="26" t="str">
        <f>IFERROR(VLOOKUP(H46,[1]SEMIELABORADOS!$A$2:$M$6000,6,0),"")</f>
        <v>Gramo</v>
      </c>
      <c r="E46" s="26">
        <f>IFERROR(VLOOKUP(H46,[1]SEMIELABORADOS!$A$2:$M$65536,12,0),"")</f>
        <v>0.35374720747663552</v>
      </c>
      <c r="F46" s="26">
        <f t="shared" si="15"/>
        <v>2.8299776598130841</v>
      </c>
      <c r="G46" s="27">
        <f t="shared" si="16"/>
        <v>6.7629416547582014E-4</v>
      </c>
      <c r="H46" s="28" t="s">
        <v>107</v>
      </c>
      <c r="I46" s="23"/>
      <c r="J46" s="29"/>
    </row>
    <row r="47" spans="1:13" ht="13.5" hidden="1" x14ac:dyDescent="0.25">
      <c r="A47" s="24">
        <f t="shared" si="13"/>
        <v>0</v>
      </c>
      <c r="B47" s="31" t="str">
        <f>IFERROR(VLOOKUP(H47,[1]SEMIELABORADOS!$A$2:$M$6000,2,0),"")</f>
        <v/>
      </c>
      <c r="C47" s="25">
        <f t="shared" si="14"/>
        <v>0</v>
      </c>
      <c r="D47" s="26" t="str">
        <f>IFERROR(VLOOKUP(H47,[1]SEMIELABORADOS!$A$2:$M$6000,6,0),"")</f>
        <v/>
      </c>
      <c r="E47" s="26" t="str">
        <f>IFERROR(VLOOKUP(H47,[1]SEMIELABORADOS!$A$2:$M$65536,12,0),"")</f>
        <v/>
      </c>
      <c r="F47" s="26" t="str">
        <f t="shared" si="15"/>
        <v/>
      </c>
      <c r="G47" s="27" t="str">
        <f t="shared" si="16"/>
        <v/>
      </c>
      <c r="H47" s="30"/>
      <c r="I47" s="23"/>
      <c r="J47" s="29"/>
    </row>
    <row r="48" spans="1:13" ht="13.5" hidden="1" x14ac:dyDescent="0.25">
      <c r="A48" s="24">
        <f t="shared" si="13"/>
        <v>0</v>
      </c>
      <c r="B48" s="31" t="str">
        <f>IFERROR(VLOOKUP(H48,[1]SEMIELABORADOS!$A$2:$M$6000,2,0),"")</f>
        <v/>
      </c>
      <c r="C48" s="25">
        <f t="shared" si="14"/>
        <v>0</v>
      </c>
      <c r="D48" s="26" t="str">
        <f>IFERROR(VLOOKUP(H48,[1]SEMIELABORADOS!$A$2:$M$6000,6,0),"")</f>
        <v/>
      </c>
      <c r="E48" s="26" t="str">
        <f>IFERROR(VLOOKUP(H48,[1]SEMIELABORADOS!$A$2:$M$65536,12,0),"")</f>
        <v/>
      </c>
      <c r="F48" s="26" t="str">
        <f t="shared" si="15"/>
        <v/>
      </c>
      <c r="G48" s="27" t="str">
        <f t="shared" si="16"/>
        <v/>
      </c>
      <c r="H48" s="30"/>
      <c r="I48" s="23"/>
      <c r="J48" s="29"/>
    </row>
    <row r="49" spans="1:17" ht="13.5" hidden="1" x14ac:dyDescent="0.25">
      <c r="A49" s="24">
        <f t="shared" si="13"/>
        <v>0</v>
      </c>
      <c r="B49" s="31" t="str">
        <f>IFERROR(VLOOKUP(H49,[1]SEMIELABORADOS!$A$2:$M$6000,2,0),"")</f>
        <v/>
      </c>
      <c r="C49" s="25">
        <f t="shared" si="14"/>
        <v>0</v>
      </c>
      <c r="D49" s="26" t="str">
        <f>IFERROR(VLOOKUP(H49,[1]SEMIELABORADOS!$A$2:$M$6000,6,0),"")</f>
        <v/>
      </c>
      <c r="E49" s="26" t="str">
        <f>IFERROR(VLOOKUP(H49,[1]SEMIELABORADOS!$A$2:$M$65536,12,0),"")</f>
        <v/>
      </c>
      <c r="F49" s="26" t="str">
        <f t="shared" si="15"/>
        <v/>
      </c>
      <c r="G49" s="27" t="str">
        <f t="shared" si="16"/>
        <v/>
      </c>
      <c r="H49" s="30"/>
      <c r="I49" s="23"/>
      <c r="J49" s="29"/>
    </row>
    <row r="50" spans="1:17" ht="13.5" hidden="1" x14ac:dyDescent="0.25">
      <c r="A50" s="24">
        <f t="shared" si="13"/>
        <v>0</v>
      </c>
      <c r="B50" s="31" t="str">
        <f>IFERROR(VLOOKUP(H50,[1]SEMIELABORADOS!$A$2:$M$6000,2,0),"")</f>
        <v/>
      </c>
      <c r="C50" s="25">
        <f t="shared" si="14"/>
        <v>0</v>
      </c>
      <c r="D50" s="26" t="str">
        <f>IFERROR(VLOOKUP(H50,[1]SEMIELABORADOS!$A$2:$M$6000,6,0),"")</f>
        <v/>
      </c>
      <c r="E50" s="26" t="str">
        <f>IFERROR(VLOOKUP(H50,[1]SEMIELABORADOS!$A$2:$M$65536,12,0),"")</f>
        <v/>
      </c>
      <c r="F50" s="26" t="str">
        <f t="shared" si="15"/>
        <v/>
      </c>
      <c r="G50" s="27" t="str">
        <f t="shared" si="16"/>
        <v/>
      </c>
      <c r="H50" s="30"/>
      <c r="I50" s="23"/>
      <c r="J50" s="29"/>
    </row>
    <row r="51" spans="1:17" ht="13.5" x14ac:dyDescent="0.25">
      <c r="A51" s="24">
        <v>1</v>
      </c>
      <c r="B51" s="31" t="s">
        <v>47</v>
      </c>
      <c r="C51" s="25">
        <f>+A51</f>
        <v>1</v>
      </c>
      <c r="D51" s="25" t="s">
        <v>48</v>
      </c>
      <c r="E51" s="26">
        <f>+F65</f>
        <v>440</v>
      </c>
      <c r="F51" s="26">
        <f>IFERROR(C51*E51,"")</f>
        <v>440</v>
      </c>
      <c r="G51" s="27">
        <f>IFERROR(F51/$F$66,"")</f>
        <v>0.10514903952599219</v>
      </c>
      <c r="H51" s="35"/>
      <c r="I51" s="35"/>
      <c r="J51" s="29"/>
    </row>
    <row r="52" spans="1:17" ht="14.25" thickBot="1" x14ac:dyDescent="0.3">
      <c r="A52" s="24"/>
      <c r="B52" s="31"/>
      <c r="C52" s="25"/>
      <c r="D52" s="25"/>
      <c r="E52" s="26"/>
      <c r="F52" s="26"/>
      <c r="G52" s="27"/>
      <c r="H52" s="35"/>
      <c r="I52" s="35"/>
      <c r="J52" s="29"/>
    </row>
    <row r="53" spans="1:17" ht="13.5" thickBot="1" x14ac:dyDescent="0.25">
      <c r="A53" s="36"/>
      <c r="B53" s="303" t="s">
        <v>49</v>
      </c>
      <c r="C53" s="303"/>
      <c r="D53" s="303"/>
      <c r="E53" s="303"/>
      <c r="F53" s="38">
        <f>SUM(F8:F14,F17:F24)</f>
        <v>2721.612467587559</v>
      </c>
      <c r="G53" s="27">
        <f>+F53/$F$66</f>
        <v>0.65039758392908498</v>
      </c>
      <c r="H53" s="39">
        <f>+F53/$D$60</f>
        <v>2721.612467587559</v>
      </c>
      <c r="I53" s="39"/>
      <c r="J53" s="40"/>
      <c r="K53" s="41"/>
      <c r="L53" s="41"/>
      <c r="M53" s="41"/>
      <c r="N53" s="41"/>
      <c r="O53" s="41"/>
      <c r="P53" s="41"/>
      <c r="Q53" s="42"/>
    </row>
    <row r="54" spans="1:17" x14ac:dyDescent="0.2">
      <c r="A54" s="36"/>
      <c r="B54" s="303" t="s">
        <v>50</v>
      </c>
      <c r="C54" s="303"/>
      <c r="D54" s="303"/>
      <c r="E54" s="303"/>
      <c r="F54" s="38">
        <f>SUM(F27:F32,F35:F41)</f>
        <v>968.4918416778969</v>
      </c>
      <c r="G54" s="27">
        <f>+F54/$F$66</f>
        <v>0.23144542486634126</v>
      </c>
      <c r="H54" s="39">
        <f>+F54/$D$60</f>
        <v>968.4918416778969</v>
      </c>
      <c r="I54" s="39"/>
      <c r="J54" s="43"/>
      <c r="K54" s="307" t="s">
        <v>51</v>
      </c>
      <c r="L54" s="308"/>
      <c r="M54" s="308"/>
      <c r="N54" s="308"/>
      <c r="O54" s="44">
        <f>+F55</f>
        <v>3690.1043092654559</v>
      </c>
      <c r="P54" s="44"/>
      <c r="Q54" s="45"/>
    </row>
    <row r="55" spans="1:17" x14ac:dyDescent="0.2">
      <c r="A55" s="36"/>
      <c r="B55" s="303" t="s">
        <v>52</v>
      </c>
      <c r="C55" s="303"/>
      <c r="D55" s="303"/>
      <c r="E55" s="303"/>
      <c r="F55" s="38">
        <f>+F53+F54</f>
        <v>3690.1043092654559</v>
      </c>
      <c r="G55" s="27">
        <f>+F55/$F$66</f>
        <v>0.88184300879542621</v>
      </c>
      <c r="H55" s="39">
        <f>+F55/$D$60</f>
        <v>3690.1043092654559</v>
      </c>
      <c r="I55" s="39"/>
      <c r="J55" s="46"/>
      <c r="K55" s="47"/>
      <c r="L55" s="48" t="s">
        <v>53</v>
      </c>
      <c r="M55" s="48"/>
      <c r="N55" s="49">
        <v>0.18</v>
      </c>
      <c r="O55" s="44">
        <f>+O54*N55</f>
        <v>664.21877566778198</v>
      </c>
      <c r="P55" s="44"/>
      <c r="Q55" s="45"/>
    </row>
    <row r="56" spans="1:17" ht="13.5" thickBot="1" x14ac:dyDescent="0.25">
      <c r="A56" s="36"/>
      <c r="B56" s="37"/>
      <c r="C56" s="303" t="s">
        <v>54</v>
      </c>
      <c r="D56" s="303"/>
      <c r="E56" s="303"/>
      <c r="F56" s="38">
        <f>SUM(F44:F51)</f>
        <v>648.36337566778207</v>
      </c>
      <c r="G56" s="27">
        <f>+F56/$F$66</f>
        <v>0.15494269594385759</v>
      </c>
      <c r="H56" s="39">
        <f>+F56/$D$60</f>
        <v>648.36337566778207</v>
      </c>
      <c r="I56" s="39"/>
      <c r="J56" s="46"/>
      <c r="K56" s="47"/>
      <c r="L56" s="47"/>
      <c r="M56" s="47" t="s">
        <v>55</v>
      </c>
      <c r="N56" s="50"/>
      <c r="O56" s="44">
        <f>O54*N56</f>
        <v>0</v>
      </c>
      <c r="P56" s="44"/>
      <c r="Q56" s="45"/>
    </row>
    <row r="57" spans="1:17" ht="13.5" thickBot="1" x14ac:dyDescent="0.25">
      <c r="A57" s="36"/>
      <c r="B57" s="51"/>
      <c r="C57" s="51"/>
      <c r="D57" s="51"/>
      <c r="E57" s="51"/>
      <c r="F57" s="52"/>
      <c r="G57" s="27"/>
      <c r="H57" s="53"/>
      <c r="I57" s="39"/>
      <c r="J57" s="46"/>
      <c r="K57" s="54"/>
      <c r="M57" s="55" t="s">
        <v>56</v>
      </c>
      <c r="N57" s="56"/>
      <c r="O57" s="57">
        <f>SUM(O54:O56)</f>
        <v>4354.3230849332376</v>
      </c>
      <c r="P57" s="58"/>
      <c r="Q57" s="45"/>
    </row>
    <row r="58" spans="1:17" x14ac:dyDescent="0.2">
      <c r="B58" s="305" t="s">
        <v>57</v>
      </c>
      <c r="C58" s="305"/>
      <c r="D58" s="59">
        <v>1440</v>
      </c>
      <c r="E58" s="60"/>
      <c r="G58" s="27"/>
      <c r="H58" s="53"/>
      <c r="I58" s="61"/>
      <c r="J58" s="46"/>
      <c r="K58" s="54"/>
      <c r="L58" s="47"/>
      <c r="M58" s="47" t="s">
        <v>58</v>
      </c>
      <c r="N58" s="62">
        <v>0.16</v>
      </c>
      <c r="O58" s="44">
        <f>+O54*N58</f>
        <v>590.41668948247298</v>
      </c>
      <c r="P58" s="44"/>
      <c r="Q58" s="45"/>
    </row>
    <row r="59" spans="1:17" x14ac:dyDescent="0.2">
      <c r="B59" s="305" t="s">
        <v>59</v>
      </c>
      <c r="C59" s="305"/>
      <c r="D59" s="63">
        <v>1440</v>
      </c>
      <c r="E59" s="60"/>
      <c r="G59" s="27"/>
      <c r="H59" s="53"/>
      <c r="I59" s="61"/>
      <c r="J59" s="46"/>
      <c r="K59" s="54"/>
      <c r="L59" s="47"/>
      <c r="M59" s="298" t="s">
        <v>56</v>
      </c>
      <c r="N59" s="298"/>
      <c r="O59" s="44">
        <f>SUM(O57:O58)</f>
        <v>4944.7397744157106</v>
      </c>
      <c r="P59" s="44"/>
      <c r="Q59" s="45"/>
    </row>
    <row r="60" spans="1:17" ht="13.5" thickBot="1" x14ac:dyDescent="0.25">
      <c r="B60" s="299" t="s">
        <v>60</v>
      </c>
      <c r="C60" s="299"/>
      <c r="D60" s="59">
        <f>+D58/D59</f>
        <v>1</v>
      </c>
      <c r="E60" s="60"/>
      <c r="F60" s="64"/>
      <c r="G60" s="27"/>
      <c r="H60" s="53"/>
      <c r="I60" s="61"/>
      <c r="J60" s="46"/>
      <c r="K60" s="54"/>
      <c r="L60" s="298"/>
      <c r="M60" s="298"/>
      <c r="N60" s="62"/>
      <c r="O60" s="44">
        <f>+O59*N60</f>
        <v>0</v>
      </c>
      <c r="P60" s="44"/>
      <c r="Q60" s="45"/>
    </row>
    <row r="61" spans="1:17" ht="13.5" thickBot="1" x14ac:dyDescent="0.25">
      <c r="B61" s="299" t="s">
        <v>61</v>
      </c>
      <c r="C61" s="299"/>
      <c r="D61" s="65"/>
      <c r="E61" s="60"/>
      <c r="F61" s="64"/>
      <c r="G61" s="27"/>
      <c r="H61" s="53"/>
      <c r="I61" s="61"/>
      <c r="J61" s="46"/>
      <c r="K61" s="300" t="s">
        <v>62</v>
      </c>
      <c r="L61" s="301"/>
      <c r="M61" s="301"/>
      <c r="N61" s="302"/>
      <c r="O61" s="57">
        <f>SUM(O59:O60)</f>
        <v>4944.7397744157106</v>
      </c>
      <c r="P61" s="66" t="s">
        <v>63</v>
      </c>
      <c r="Q61" s="45"/>
    </row>
    <row r="62" spans="1:17" ht="13.5" thickBot="1" x14ac:dyDescent="0.25">
      <c r="C62" s="36" t="s">
        <v>64</v>
      </c>
      <c r="D62" s="67"/>
      <c r="E62" s="10" t="s">
        <v>65</v>
      </c>
      <c r="F62" s="68" t="s">
        <v>66</v>
      </c>
      <c r="G62" s="27"/>
      <c r="H62" s="53"/>
      <c r="I62" s="61"/>
      <c r="J62" s="69"/>
      <c r="K62" s="70"/>
      <c r="L62" s="288" t="s">
        <v>67</v>
      </c>
      <c r="M62" s="288"/>
      <c r="N62" s="288"/>
      <c r="O62" s="71">
        <f>+O61/D60</f>
        <v>4944.7397744157106</v>
      </c>
      <c r="P62" s="72">
        <f>+O62/D59</f>
        <v>3.4338470655664657</v>
      </c>
      <c r="Q62" s="73"/>
    </row>
    <row r="63" spans="1:17" ht="13.5" thickBot="1" x14ac:dyDescent="0.25">
      <c r="B63" s="289" t="s">
        <v>52</v>
      </c>
      <c r="C63" s="289"/>
      <c r="D63" s="289"/>
      <c r="E63" s="74">
        <f>+F63/F63</f>
        <v>1</v>
      </c>
      <c r="F63" s="75">
        <f>SUM(F55)</f>
        <v>3690.1043092654559</v>
      </c>
      <c r="G63" s="27">
        <f>+F63/$F$66</f>
        <v>0.88184300879542621</v>
      </c>
      <c r="H63" s="53"/>
      <c r="I63" s="61"/>
      <c r="K63" s="290"/>
      <c r="L63" s="291"/>
      <c r="M63" s="291"/>
      <c r="N63" s="291"/>
      <c r="O63" s="76"/>
      <c r="P63" s="77"/>
    </row>
    <row r="64" spans="1:17" ht="13.5" thickBot="1" x14ac:dyDescent="0.25">
      <c r="B64" s="292" t="s">
        <v>68</v>
      </c>
      <c r="C64" s="292"/>
      <c r="D64" s="292"/>
      <c r="E64" s="78">
        <v>0.02</v>
      </c>
      <c r="F64" s="75">
        <f>+F53*E64</f>
        <v>54.432249351751182</v>
      </c>
      <c r="G64" s="27">
        <f>+F64/$F$66</f>
        <v>1.30079516785817E-2</v>
      </c>
      <c r="H64" s="39"/>
      <c r="I64" s="61"/>
      <c r="J64" s="79"/>
      <c r="O64" s="80"/>
      <c r="P64" s="37"/>
    </row>
    <row r="65" spans="2:10" ht="13.5" thickBot="1" x14ac:dyDescent="0.25">
      <c r="B65" s="293" t="s">
        <v>69</v>
      </c>
      <c r="C65" s="294"/>
      <c r="D65" s="81">
        <v>8</v>
      </c>
      <c r="E65" s="82">
        <v>55</v>
      </c>
      <c r="F65" s="75">
        <f>+E65*D65</f>
        <v>440</v>
      </c>
      <c r="G65" s="27">
        <f>+F65/$F$66</f>
        <v>0.10514903952599219</v>
      </c>
      <c r="H65" s="39"/>
      <c r="I65" s="39"/>
      <c r="J65" s="29"/>
    </row>
    <row r="66" spans="2:10" ht="13.5" thickBot="1" x14ac:dyDescent="0.25">
      <c r="B66" s="295" t="s">
        <v>70</v>
      </c>
      <c r="C66" s="296"/>
      <c r="D66" s="296"/>
      <c r="E66" s="297"/>
      <c r="F66" s="52">
        <f>SUM(F63:F65)</f>
        <v>4184.5365586172065</v>
      </c>
      <c r="G66" s="27">
        <f>+F66/$F$66</f>
        <v>1</v>
      </c>
      <c r="H66" s="304"/>
      <c r="I66" s="39"/>
      <c r="J66" s="29"/>
    </row>
    <row r="67" spans="2:10" x14ac:dyDescent="0.2">
      <c r="C67" s="34"/>
      <c r="D67" s="34"/>
      <c r="E67" s="84"/>
      <c r="F67" s="75"/>
      <c r="G67" s="27"/>
      <c r="H67" s="304"/>
      <c r="I67" s="83"/>
      <c r="J67" s="12"/>
    </row>
    <row r="68" spans="2:10" ht="13.5" thickBot="1" x14ac:dyDescent="0.25">
      <c r="B68" s="283" t="s">
        <v>71</v>
      </c>
      <c r="C68" s="283"/>
      <c r="D68" s="283"/>
      <c r="E68" s="283"/>
      <c r="F68" s="283"/>
      <c r="G68" s="27"/>
      <c r="H68" s="86"/>
      <c r="I68" s="83"/>
      <c r="J68" s="12"/>
    </row>
    <row r="69" spans="2:10" ht="13.5" thickBot="1" x14ac:dyDescent="0.25">
      <c r="B69" s="87" t="s">
        <v>72</v>
      </c>
      <c r="C69" s="88">
        <f>+F53</f>
        <v>2721.612467587559</v>
      </c>
      <c r="D69" s="88">
        <f>+D58</f>
        <v>1440</v>
      </c>
      <c r="E69" s="89">
        <f>+C69/D69</f>
        <v>1.890008658046916</v>
      </c>
      <c r="F69" s="27"/>
      <c r="G69" s="86"/>
      <c r="H69" s="29"/>
      <c r="I69" s="86"/>
      <c r="J69" s="12"/>
    </row>
    <row r="70" spans="2:10" x14ac:dyDescent="0.2">
      <c r="B70" s="90"/>
      <c r="C70" s="91"/>
      <c r="D70" s="92"/>
      <c r="E70" s="75"/>
      <c r="F70" s="27"/>
      <c r="G70" s="86"/>
      <c r="H70" s="29"/>
      <c r="I70" s="29"/>
      <c r="J70" s="12"/>
    </row>
    <row r="71" spans="2:10" x14ac:dyDescent="0.2">
      <c r="B71" s="87" t="s">
        <v>73</v>
      </c>
      <c r="C71" s="88">
        <f>SUM(F63:F64)</f>
        <v>3744.536558617207</v>
      </c>
      <c r="D71" s="88">
        <f>+D58</f>
        <v>1440</v>
      </c>
      <c r="E71" s="93">
        <f>+C71/D71</f>
        <v>2.600372610150838</v>
      </c>
      <c r="F71" s="27"/>
      <c r="G71" s="86"/>
      <c r="H71" s="29"/>
      <c r="I71" s="29"/>
      <c r="J71" s="12"/>
    </row>
    <row r="72" spans="2:10" x14ac:dyDescent="0.2">
      <c r="B72" s="87"/>
      <c r="C72" s="88"/>
      <c r="D72" s="88"/>
      <c r="E72" s="93"/>
      <c r="F72" s="27"/>
      <c r="G72" s="86"/>
      <c r="H72" s="29"/>
      <c r="I72" s="29"/>
      <c r="J72" s="12"/>
    </row>
    <row r="73" spans="2:10" ht="13.5" thickBot="1" x14ac:dyDescent="0.25">
      <c r="B73" s="87" t="s">
        <v>74</v>
      </c>
      <c r="C73" s="88">
        <f>+F65</f>
        <v>440</v>
      </c>
      <c r="D73" s="88">
        <f>+D58</f>
        <v>1440</v>
      </c>
      <c r="E73" s="93">
        <f>+C73/D73</f>
        <v>0.30555555555555558</v>
      </c>
      <c r="F73" s="27"/>
      <c r="G73" s="86"/>
      <c r="H73" s="29"/>
      <c r="I73" s="29"/>
      <c r="J73" s="12"/>
    </row>
    <row r="74" spans="2:10" ht="13.5" thickBot="1" x14ac:dyDescent="0.25">
      <c r="B74" s="87" t="s">
        <v>75</v>
      </c>
      <c r="C74" s="88">
        <f>+F56</f>
        <v>648.36337566778207</v>
      </c>
      <c r="D74" s="88">
        <f>+D73</f>
        <v>1440</v>
      </c>
      <c r="E74" s="89">
        <f>+C74/D74</f>
        <v>0.45025234421373755</v>
      </c>
      <c r="F74" s="27"/>
      <c r="G74" s="86"/>
      <c r="H74" s="29"/>
      <c r="I74" s="29"/>
      <c r="J74" s="12"/>
    </row>
    <row r="75" spans="2:10" ht="13.5" thickBot="1" x14ac:dyDescent="0.25">
      <c r="B75" s="51"/>
      <c r="C75" s="52"/>
      <c r="D75" s="52"/>
      <c r="E75" s="93"/>
      <c r="F75" s="27"/>
      <c r="G75" s="86"/>
      <c r="H75" s="29"/>
      <c r="I75" s="29"/>
      <c r="J75" s="12"/>
    </row>
    <row r="76" spans="2:10" ht="13.5" thickBot="1" x14ac:dyDescent="0.25">
      <c r="B76" s="87" t="s">
        <v>76</v>
      </c>
      <c r="C76" s="88">
        <f>+F54</f>
        <v>968.4918416778969</v>
      </c>
      <c r="D76" s="88">
        <f>+D74</f>
        <v>1440</v>
      </c>
      <c r="E76" s="89">
        <f>+C76/D76</f>
        <v>0.67256377894298391</v>
      </c>
      <c r="F76" s="27"/>
      <c r="G76" s="86"/>
      <c r="H76" s="29"/>
      <c r="I76" s="29"/>
      <c r="J76" s="29"/>
    </row>
    <row r="77" spans="2:10" ht="13.5" thickBot="1" x14ac:dyDescent="0.25">
      <c r="B77" s="51"/>
      <c r="C77" s="52"/>
      <c r="D77" s="52"/>
      <c r="E77" s="93"/>
      <c r="F77" s="27"/>
      <c r="G77" s="86"/>
      <c r="H77" s="29"/>
      <c r="I77" s="29"/>
    </row>
    <row r="78" spans="2:10" ht="13.5" thickBot="1" x14ac:dyDescent="0.25">
      <c r="B78" s="284" t="s">
        <v>77</v>
      </c>
      <c r="C78" s="285"/>
      <c r="D78" s="286"/>
      <c r="E78" s="89">
        <f>+E69+E74</f>
        <v>2.3402610022606534</v>
      </c>
      <c r="G78" s="27"/>
      <c r="H78" s="86"/>
      <c r="I78" s="29"/>
      <c r="J78" s="93"/>
    </row>
    <row r="79" spans="2:10" x14ac:dyDescent="0.2">
      <c r="I79" s="86"/>
      <c r="J79" s="12"/>
    </row>
    <row r="80" spans="2:10" ht="13.5" thickBot="1" x14ac:dyDescent="0.25">
      <c r="B80" s="283" t="s">
        <v>78</v>
      </c>
      <c r="C80" s="283"/>
      <c r="D80" s="283"/>
      <c r="E80" s="283"/>
      <c r="F80" s="283"/>
      <c r="G80" s="27"/>
      <c r="H80" s="86"/>
      <c r="J80" s="12"/>
    </row>
    <row r="81" spans="1:10" ht="13.5" thickBot="1" x14ac:dyDescent="0.25">
      <c r="B81" s="87" t="s">
        <v>72</v>
      </c>
      <c r="C81" s="88">
        <f>+C69</f>
        <v>2721.612467587559</v>
      </c>
      <c r="D81" s="88">
        <f>+D60</f>
        <v>1</v>
      </c>
      <c r="E81" s="89">
        <f>+C81/D81</f>
        <v>2721.612467587559</v>
      </c>
      <c r="F81" s="27"/>
      <c r="G81" s="86"/>
      <c r="H81" s="29"/>
      <c r="I81" s="86"/>
      <c r="J81" s="12"/>
    </row>
    <row r="82" spans="1:10" x14ac:dyDescent="0.2">
      <c r="B82" s="90"/>
      <c r="C82" s="91"/>
      <c r="D82" s="92"/>
      <c r="E82" s="75"/>
      <c r="F82" s="27"/>
      <c r="G82" s="86"/>
      <c r="H82" s="29"/>
      <c r="I82" s="29"/>
      <c r="J82" s="12"/>
    </row>
    <row r="83" spans="1:10" x14ac:dyDescent="0.2">
      <c r="B83" s="87" t="s">
        <v>73</v>
      </c>
      <c r="C83" s="88">
        <f>+C71</f>
        <v>3744.536558617207</v>
      </c>
      <c r="D83" s="88">
        <f>+D60</f>
        <v>1</v>
      </c>
      <c r="E83" s="93">
        <f>+C83/D83</f>
        <v>3744.536558617207</v>
      </c>
      <c r="F83" s="27"/>
      <c r="G83" s="86"/>
      <c r="H83" s="29"/>
      <c r="I83" s="29"/>
      <c r="J83" s="12"/>
    </row>
    <row r="84" spans="1:10" x14ac:dyDescent="0.2">
      <c r="B84" s="87"/>
      <c r="C84" s="88"/>
      <c r="D84" s="88"/>
      <c r="E84" s="93"/>
      <c r="F84" s="27"/>
      <c r="G84" s="86"/>
      <c r="H84" s="29"/>
      <c r="I84" s="29"/>
      <c r="J84" s="12"/>
    </row>
    <row r="85" spans="1:10" ht="13.5" thickBot="1" x14ac:dyDescent="0.25">
      <c r="B85" s="87" t="s">
        <v>75</v>
      </c>
      <c r="C85" s="88">
        <f>+C73</f>
        <v>440</v>
      </c>
      <c r="D85" s="88">
        <f>+D60</f>
        <v>1</v>
      </c>
      <c r="E85" s="93">
        <f>+C85/D85</f>
        <v>440</v>
      </c>
      <c r="F85" s="95"/>
      <c r="G85" s="85"/>
      <c r="H85" s="11"/>
      <c r="I85" s="29"/>
    </row>
    <row r="86" spans="1:10" ht="13.5" thickBot="1" x14ac:dyDescent="0.25">
      <c r="B86" s="87" t="s">
        <v>75</v>
      </c>
      <c r="C86" s="88">
        <f>+C74</f>
        <v>648.36337566778207</v>
      </c>
      <c r="D86" s="88">
        <f>+D85</f>
        <v>1</v>
      </c>
      <c r="E86" s="89">
        <f>+C86/D86</f>
        <v>648.36337566778207</v>
      </c>
      <c r="F86" s="94"/>
      <c r="G86" s="85"/>
      <c r="H86" s="11"/>
      <c r="I86" s="11"/>
    </row>
    <row r="87" spans="1:10" x14ac:dyDescent="0.2">
      <c r="I87" s="11"/>
    </row>
    <row r="88" spans="1:10" x14ac:dyDescent="0.2">
      <c r="A88" s="287"/>
      <c r="B88" s="287"/>
      <c r="C88" s="96"/>
      <c r="D88" s="96"/>
      <c r="E88" s="97"/>
      <c r="G88" s="98"/>
    </row>
    <row r="89" spans="1:10" x14ac:dyDescent="0.2">
      <c r="A89" s="31"/>
      <c r="B89" s="99"/>
      <c r="C89" s="100"/>
      <c r="D89" s="100"/>
      <c r="E89" s="101"/>
      <c r="G89" s="98"/>
    </row>
    <row r="90" spans="1:10" x14ac:dyDescent="0.2">
      <c r="A90" s="31"/>
      <c r="B90" s="99"/>
      <c r="C90" s="102"/>
      <c r="D90" s="102"/>
      <c r="E90" s="31"/>
      <c r="G90" s="98"/>
    </row>
    <row r="91" spans="1:10" x14ac:dyDescent="0.2">
      <c r="A91" s="31"/>
      <c r="B91" s="99"/>
      <c r="C91" s="103"/>
      <c r="D91" s="103"/>
      <c r="E91" s="31"/>
      <c r="G91" s="9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F787-1E12-4C67-9281-051F143EFA70}">
  <dimension ref="A1:AK43"/>
  <sheetViews>
    <sheetView topLeftCell="A3" workbookViewId="0">
      <selection activeCell="E31" sqref="E31"/>
    </sheetView>
  </sheetViews>
  <sheetFormatPr baseColWidth="10" defaultColWidth="8.42578125" defaultRowHeight="11.25" x14ac:dyDescent="0.2"/>
  <cols>
    <col min="1" max="1" width="7.5703125" style="104" customWidth="1"/>
    <col min="2" max="2" width="7.85546875" style="104" bestFit="1" customWidth="1"/>
    <col min="3" max="3" width="39.28515625" style="104" customWidth="1"/>
    <col min="4" max="4" width="10" style="104" bestFit="1" customWidth="1"/>
    <col min="5" max="5" width="9.42578125" style="104" bestFit="1" customWidth="1"/>
    <col min="6" max="6" width="11.7109375" style="147" customWidth="1"/>
    <col min="7" max="7" width="8.7109375" style="148" bestFit="1" customWidth="1"/>
    <col min="8" max="8" width="10.28515625" style="149" bestFit="1" customWidth="1"/>
    <col min="9" max="16384" width="8.42578125" style="104"/>
  </cols>
  <sheetData>
    <row r="1" spans="2:8" ht="36" customHeight="1" thickBot="1" x14ac:dyDescent="0.35">
      <c r="B1" s="314"/>
      <c r="C1" s="315"/>
      <c r="D1" s="315"/>
      <c r="E1" s="315"/>
      <c r="F1" s="315"/>
      <c r="G1" s="315"/>
      <c r="H1" s="316"/>
    </row>
    <row r="2" spans="2:8" ht="19.5" customHeight="1" thickBot="1" x14ac:dyDescent="0.25">
      <c r="B2" s="317" t="s">
        <v>79</v>
      </c>
      <c r="C2" s="317"/>
      <c r="D2" s="317"/>
      <c r="E2" s="317"/>
      <c r="F2" s="317"/>
      <c r="G2" s="317"/>
      <c r="H2" s="317"/>
    </row>
    <row r="3" spans="2:8" ht="19.5" customHeight="1" thickTop="1" x14ac:dyDescent="0.2">
      <c r="B3" s="318" t="s">
        <v>80</v>
      </c>
      <c r="C3" s="318"/>
      <c r="D3" s="318"/>
      <c r="E3" s="318"/>
      <c r="F3" s="318"/>
      <c r="G3" s="318"/>
      <c r="H3" s="318"/>
    </row>
    <row r="4" spans="2:8" ht="19.5" customHeight="1" x14ac:dyDescent="0.2">
      <c r="B4" s="105"/>
      <c r="C4" s="105"/>
      <c r="D4" s="105"/>
      <c r="E4" s="105"/>
      <c r="F4" s="319" t="s">
        <v>36</v>
      </c>
      <c r="G4" s="319"/>
      <c r="H4" s="18"/>
    </row>
    <row r="5" spans="2:8" ht="30" customHeight="1" x14ac:dyDescent="0.2">
      <c r="B5" s="106" t="s">
        <v>67</v>
      </c>
      <c r="C5" s="106" t="s">
        <v>38</v>
      </c>
      <c r="D5" s="106" t="s">
        <v>67</v>
      </c>
      <c r="E5" s="107" t="s">
        <v>81</v>
      </c>
      <c r="F5" s="107" t="s">
        <v>82</v>
      </c>
      <c r="G5" s="107" t="s">
        <v>83</v>
      </c>
      <c r="H5" s="107" t="s">
        <v>84</v>
      </c>
    </row>
    <row r="6" spans="2:8" s="108" customFormat="1" ht="20.100000000000001" customHeight="1" x14ac:dyDescent="0.2">
      <c r="B6" s="109">
        <v>1</v>
      </c>
      <c r="C6" s="108" t="s">
        <v>109</v>
      </c>
      <c r="D6" s="110">
        <f>+B6</f>
        <v>1</v>
      </c>
      <c r="E6" s="110">
        <f>+'COSTO '!H53</f>
        <v>2721.612467587559</v>
      </c>
      <c r="F6" s="111">
        <f>+D6*E6</f>
        <v>2721.612467587559</v>
      </c>
      <c r="G6" s="112">
        <f>+F6/$F$23</f>
        <v>0.55040560105291991</v>
      </c>
      <c r="H6" s="113" t="s">
        <v>85</v>
      </c>
    </row>
    <row r="7" spans="2:8" s="108" customFormat="1" ht="20.100000000000001" customHeight="1" x14ac:dyDescent="0.2">
      <c r="B7" s="109"/>
      <c r="D7" s="110"/>
      <c r="E7" s="110"/>
      <c r="F7" s="111"/>
      <c r="G7" s="112"/>
      <c r="H7" s="113"/>
    </row>
    <row r="8" spans="2:8" ht="30" customHeight="1" x14ac:dyDescent="0.2">
      <c r="B8" s="106" t="s">
        <v>67</v>
      </c>
      <c r="C8" s="106" t="s">
        <v>19</v>
      </c>
      <c r="D8" s="106" t="s">
        <v>67</v>
      </c>
      <c r="E8" s="107" t="s">
        <v>81</v>
      </c>
      <c r="F8" s="107" t="s">
        <v>82</v>
      </c>
      <c r="G8" s="107" t="s">
        <v>83</v>
      </c>
      <c r="H8" s="107" t="s">
        <v>84</v>
      </c>
    </row>
    <row r="9" spans="2:8" s="108" customFormat="1" ht="20.100000000000001" customHeight="1" x14ac:dyDescent="0.2">
      <c r="B9" s="109">
        <v>1</v>
      </c>
      <c r="C9" s="108" t="s">
        <v>86</v>
      </c>
      <c r="D9" s="110">
        <f>+B9</f>
        <v>1</v>
      </c>
      <c r="E9" s="110">
        <f>+'COSTO '!H54</f>
        <v>968.4918416778969</v>
      </c>
      <c r="F9" s="111">
        <f>+D9*E9</f>
        <v>968.4918416778969</v>
      </c>
      <c r="G9" s="112">
        <f>+F9/$F$23</f>
        <v>0.19586305566349801</v>
      </c>
      <c r="H9" s="113" t="s">
        <v>87</v>
      </c>
    </row>
    <row r="10" spans="2:8" s="114" customFormat="1" ht="17.25" customHeight="1" x14ac:dyDescent="0.2">
      <c r="B10" s="115"/>
      <c r="C10" s="116"/>
      <c r="D10" s="117"/>
      <c r="E10" s="117"/>
      <c r="F10" s="118"/>
      <c r="G10" s="119"/>
      <c r="H10" s="120"/>
    </row>
    <row r="11" spans="2:8" s="114" customFormat="1" ht="12" x14ac:dyDescent="0.2">
      <c r="B11" s="109"/>
      <c r="C11" s="298" t="s">
        <v>88</v>
      </c>
      <c r="D11" s="298"/>
      <c r="E11" s="110"/>
      <c r="F11" s="44">
        <f>SUM(F6)</f>
        <v>2721.612467587559</v>
      </c>
      <c r="G11" s="121">
        <f>+F11/$F$23</f>
        <v>0.55040560105291991</v>
      </c>
      <c r="H11" s="113"/>
    </row>
    <row r="12" spans="2:8" s="114" customFormat="1" ht="12.75" thickBot="1" x14ac:dyDescent="0.25">
      <c r="B12" s="109"/>
      <c r="C12" s="298" t="s">
        <v>89</v>
      </c>
      <c r="D12" s="298"/>
      <c r="E12" s="110"/>
      <c r="F12" s="122">
        <f>SUM(F9)</f>
        <v>968.4918416778969</v>
      </c>
      <c r="G12" s="121">
        <f>+F12/$F$23</f>
        <v>0.19586305566349801</v>
      </c>
      <c r="H12" s="113"/>
    </row>
    <row r="13" spans="2:8" s="114" customFormat="1" ht="12.75" thickTop="1" x14ac:dyDescent="0.2">
      <c r="B13" s="109"/>
      <c r="C13" s="301" t="s">
        <v>51</v>
      </c>
      <c r="D13" s="301"/>
      <c r="E13" s="301"/>
      <c r="F13" s="58">
        <f>SUM(F11:F12)</f>
        <v>3690.1043092654559</v>
      </c>
      <c r="G13" s="121">
        <f>+F13/$F$23</f>
        <v>0.74626865671641796</v>
      </c>
      <c r="H13" s="113"/>
    </row>
    <row r="14" spans="2:8" s="114" customFormat="1" ht="12" x14ac:dyDescent="0.2">
      <c r="C14" s="54"/>
      <c r="D14" s="54"/>
      <c r="E14" s="123"/>
      <c r="F14" s="124"/>
      <c r="G14" s="121"/>
    </row>
    <row r="15" spans="2:8" s="114" customFormat="1" ht="12" x14ac:dyDescent="0.2">
      <c r="B15" s="298" t="s">
        <v>51</v>
      </c>
      <c r="C15" s="298"/>
      <c r="D15" s="298"/>
      <c r="E15" s="125" t="s">
        <v>90</v>
      </c>
      <c r="F15" s="44">
        <f>+F13</f>
        <v>3690.1043092654559</v>
      </c>
      <c r="G15" s="121">
        <f t="shared" ref="G15:G23" si="0">+F15/$F$23</f>
        <v>0.74626865671641796</v>
      </c>
      <c r="H15" s="126"/>
    </row>
    <row r="16" spans="2:8" s="114" customFormat="1" ht="12.75" customHeight="1" thickBot="1" x14ac:dyDescent="0.25">
      <c r="B16" s="47"/>
      <c r="C16" s="298" t="s">
        <v>53</v>
      </c>
      <c r="D16" s="298"/>
      <c r="E16" s="127"/>
      <c r="F16" s="44">
        <f>+'COSTO '!O55</f>
        <v>664.21877566778198</v>
      </c>
      <c r="G16" s="121">
        <f t="shared" si="0"/>
        <v>0.13432835820895522</v>
      </c>
      <c r="H16" s="126"/>
    </row>
    <row r="17" spans="1:37" s="114" customFormat="1" ht="12.75" hidden="1" customHeight="1" x14ac:dyDescent="0.2">
      <c r="B17" s="47"/>
      <c r="C17" s="298" t="s">
        <v>91</v>
      </c>
      <c r="D17" s="298"/>
      <c r="E17" s="128">
        <v>0</v>
      </c>
      <c r="F17" s="44">
        <f>+(F15+F16)*E17</f>
        <v>0</v>
      </c>
      <c r="G17" s="121">
        <f t="shared" si="0"/>
        <v>0</v>
      </c>
      <c r="H17" s="126"/>
    </row>
    <row r="18" spans="1:37" s="114" customFormat="1" ht="12.75" hidden="1" thickBot="1" x14ac:dyDescent="0.25">
      <c r="B18" s="47"/>
      <c r="C18" s="298" t="s">
        <v>92</v>
      </c>
      <c r="D18" s="298"/>
      <c r="E18" s="128">
        <v>0</v>
      </c>
      <c r="F18" s="44">
        <f>+F16*E18</f>
        <v>0</v>
      </c>
      <c r="G18" s="121">
        <f t="shared" si="0"/>
        <v>0</v>
      </c>
      <c r="H18" s="126"/>
    </row>
    <row r="19" spans="1:37" s="114" customFormat="1" ht="12.75" thickBot="1" x14ac:dyDescent="0.25">
      <c r="B19" s="54"/>
      <c r="C19" s="320"/>
      <c r="D19" s="320"/>
      <c r="E19" s="321"/>
      <c r="F19" s="57">
        <f>SUM(F15:F18)</f>
        <v>4354.3230849332376</v>
      </c>
      <c r="G19" s="129">
        <f>+F19/$F$21</f>
        <v>0.88059701492537312</v>
      </c>
      <c r="H19" s="126"/>
    </row>
    <row r="20" spans="1:37" s="114" customFormat="1" ht="12" x14ac:dyDescent="0.2">
      <c r="B20" s="54"/>
      <c r="C20" s="298" t="s">
        <v>93</v>
      </c>
      <c r="D20" s="298"/>
      <c r="E20" s="62">
        <v>0.16</v>
      </c>
      <c r="F20" s="44">
        <f>+F13*E20</f>
        <v>590.41668948247298</v>
      </c>
      <c r="G20" s="121">
        <f t="shared" si="0"/>
        <v>0.11940298507462688</v>
      </c>
      <c r="H20" s="126"/>
    </row>
    <row r="21" spans="1:37" s="114" customFormat="1" ht="12" x14ac:dyDescent="0.2">
      <c r="B21" s="54"/>
      <c r="C21" s="298" t="s">
        <v>56</v>
      </c>
      <c r="D21" s="298"/>
      <c r="E21" s="298"/>
      <c r="F21" s="44">
        <f>SUM(F19:F20)</f>
        <v>4944.7397744157106</v>
      </c>
      <c r="G21" s="121">
        <f t="shared" si="0"/>
        <v>1</v>
      </c>
      <c r="H21" s="126"/>
    </row>
    <row r="22" spans="1:37" s="114" customFormat="1" ht="12.75" thickBot="1" x14ac:dyDescent="0.25">
      <c r="B22" s="54"/>
      <c r="C22" s="298" t="s">
        <v>94</v>
      </c>
      <c r="D22" s="298"/>
      <c r="E22" s="62"/>
      <c r="F22" s="44">
        <f>+F21*E22</f>
        <v>0</v>
      </c>
      <c r="G22" s="121">
        <f t="shared" si="0"/>
        <v>0</v>
      </c>
      <c r="H22" s="126"/>
    </row>
    <row r="23" spans="1:37" s="114" customFormat="1" ht="12.75" thickBot="1" x14ac:dyDescent="0.25">
      <c r="B23" s="54"/>
      <c r="C23" s="301" t="s">
        <v>62</v>
      </c>
      <c r="D23" s="301"/>
      <c r="E23" s="302"/>
      <c r="F23" s="57">
        <f>SUM(F21:F22)</f>
        <v>4944.7397744157106</v>
      </c>
      <c r="G23" s="121">
        <f t="shared" si="0"/>
        <v>1</v>
      </c>
      <c r="H23" s="130"/>
    </row>
    <row r="24" spans="1:37" s="114" customFormat="1" ht="12.75" thickBot="1" x14ac:dyDescent="0.25">
      <c r="B24" s="54"/>
      <c r="C24" s="131"/>
      <c r="D24" s="131"/>
      <c r="E24" s="131"/>
      <c r="F24" s="58"/>
      <c r="G24" s="132"/>
      <c r="H24" s="130"/>
    </row>
    <row r="25" spans="1:37" s="133" customFormat="1" ht="19.5" customHeight="1" thickBot="1" x14ac:dyDescent="0.25">
      <c r="A25" s="322"/>
      <c r="B25" s="323"/>
      <c r="C25" s="323"/>
      <c r="D25" s="323"/>
      <c r="E25" s="323"/>
      <c r="F25" s="323"/>
      <c r="G25" s="323"/>
      <c r="H25" s="323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</row>
    <row r="26" spans="1:37" s="114" customFormat="1" ht="19.5" customHeight="1" thickBot="1" x14ac:dyDescent="0.25">
      <c r="F26" s="134"/>
      <c r="G26" s="135"/>
      <c r="H26" s="126"/>
    </row>
    <row r="27" spans="1:37" s="114" customFormat="1" ht="13.5" customHeight="1" thickBot="1" x14ac:dyDescent="0.25">
      <c r="B27" s="54"/>
      <c r="C27" s="301" t="s">
        <v>62</v>
      </c>
      <c r="D27" s="301"/>
      <c r="E27" s="302"/>
      <c r="F27" s="57">
        <f>+F23</f>
        <v>4944.7397744157106</v>
      </c>
      <c r="H27" s="126"/>
    </row>
    <row r="28" spans="1:37" s="114" customFormat="1" ht="13.5" customHeight="1" x14ac:dyDescent="0.2">
      <c r="B28" s="54"/>
      <c r="C28" s="325" t="s">
        <v>95</v>
      </c>
      <c r="D28" s="325" t="s">
        <v>96</v>
      </c>
      <c r="E28" s="62"/>
      <c r="F28" s="136">
        <f>+F27*E28</f>
        <v>0</v>
      </c>
      <c r="G28" s="137" t="s">
        <v>97</v>
      </c>
      <c r="H28" s="126" t="s">
        <v>98</v>
      </c>
    </row>
    <row r="29" spans="1:37" s="114" customFormat="1" ht="13.5" customHeight="1" x14ac:dyDescent="0.2">
      <c r="B29" s="54"/>
      <c r="C29" s="328" t="s">
        <v>99</v>
      </c>
      <c r="D29" s="328"/>
      <c r="E29" s="328"/>
      <c r="F29" s="136">
        <f>SUM(F27:F28)</f>
        <v>4944.7397744157106</v>
      </c>
      <c r="G29" s="137">
        <f>+F29/$F$31</f>
        <v>0.74074074074074081</v>
      </c>
      <c r="H29" s="138">
        <f>1-(F29/F31)</f>
        <v>0.25925925925925919</v>
      </c>
    </row>
    <row r="30" spans="1:37" s="114" customFormat="1" ht="12" x14ac:dyDescent="0.2">
      <c r="B30" s="116"/>
      <c r="C30" s="325" t="s">
        <v>100</v>
      </c>
      <c r="D30" s="325"/>
      <c r="E30" s="62">
        <v>0.35</v>
      </c>
      <c r="F30" s="44">
        <f>+F29*E30</f>
        <v>1730.6589210454986</v>
      </c>
      <c r="G30" s="132"/>
      <c r="H30" s="139"/>
    </row>
    <row r="31" spans="1:37" s="114" customFormat="1" ht="12.75" thickBot="1" x14ac:dyDescent="0.25">
      <c r="B31" s="116"/>
      <c r="C31" s="329" t="s">
        <v>101</v>
      </c>
      <c r="D31" s="329"/>
      <c r="E31" s="150"/>
      <c r="F31" s="151">
        <f>SUM(F29:F30)</f>
        <v>6675.3986954612092</v>
      </c>
      <c r="G31" s="132"/>
      <c r="H31" s="130"/>
    </row>
    <row r="32" spans="1:37" s="114" customFormat="1" ht="12.75" thickBot="1" x14ac:dyDescent="0.25">
      <c r="B32" s="116"/>
      <c r="C32" s="330" t="s">
        <v>102</v>
      </c>
      <c r="D32" s="330"/>
      <c r="E32" s="140">
        <v>0.13</v>
      </c>
      <c r="F32" s="141">
        <f>+F31*(1+E32)</f>
        <v>7543.2005258711661</v>
      </c>
      <c r="G32" s="132"/>
      <c r="H32" s="130"/>
    </row>
    <row r="33" spans="1:37" s="114" customFormat="1" ht="12.75" thickBot="1" x14ac:dyDescent="0.25">
      <c r="A33" s="322"/>
      <c r="B33" s="323"/>
      <c r="C33" s="323"/>
      <c r="D33" s="323"/>
      <c r="E33" s="323"/>
      <c r="F33" s="323"/>
      <c r="G33" s="323"/>
      <c r="H33" s="323"/>
    </row>
    <row r="34" spans="1:37" s="114" customFormat="1" ht="12" x14ac:dyDescent="0.2">
      <c r="B34" s="116"/>
      <c r="C34" s="324" t="s">
        <v>103</v>
      </c>
      <c r="D34" s="324"/>
      <c r="E34" s="142">
        <v>0.65</v>
      </c>
      <c r="F34" s="143">
        <f>+F31/0.65</f>
        <v>10269.844146863399</v>
      </c>
      <c r="G34" s="132"/>
      <c r="H34" s="130"/>
    </row>
    <row r="35" spans="1:37" s="114" customFormat="1" ht="12" x14ac:dyDescent="0.2">
      <c r="B35" s="116"/>
      <c r="C35" s="325" t="s">
        <v>104</v>
      </c>
      <c r="D35" s="325"/>
      <c r="E35" s="142">
        <v>0.13</v>
      </c>
      <c r="F35" s="143">
        <f>+F34*1.13</f>
        <v>11604.923885955641</v>
      </c>
      <c r="G35" s="132"/>
      <c r="H35" s="130"/>
    </row>
    <row r="36" spans="1:37" s="114" customFormat="1" ht="12.75" thickBot="1" x14ac:dyDescent="0.25">
      <c r="C36" s="288"/>
      <c r="D36" s="288"/>
      <c r="F36" s="144"/>
      <c r="G36" s="145"/>
      <c r="H36" s="126"/>
    </row>
    <row r="37" spans="1:37" s="133" customFormat="1" ht="19.5" customHeight="1" thickBot="1" x14ac:dyDescent="0.3">
      <c r="A37" s="326" t="s">
        <v>105</v>
      </c>
      <c r="B37" s="327"/>
      <c r="C37" s="327"/>
      <c r="D37" s="327"/>
      <c r="E37" s="327"/>
      <c r="F37" s="327"/>
      <c r="G37" s="327"/>
      <c r="H37" s="327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</row>
    <row r="38" spans="1:37" s="114" customFormat="1" ht="12" x14ac:dyDescent="0.2">
      <c r="F38" s="146"/>
      <c r="G38" s="145"/>
      <c r="H38" s="126"/>
    </row>
    <row r="43" spans="1:37" ht="12" x14ac:dyDescent="0.2">
      <c r="H43" s="118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4660B6-850E-42C4-86B3-CD3BC3BAB9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988CE1-5A51-457A-93C1-7BAF5125A219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8A79AAD-0D16-4E64-9788-0885D2AE91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1B109127-F61F-49B5-9A8C-534302197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Costo Actual </vt:lpstr>
      <vt:lpstr>Corte galleta chilena 120 g</vt:lpstr>
      <vt:lpstr>Costo Reing</vt:lpstr>
      <vt:lpstr>Hoja4</vt:lpstr>
      <vt:lpstr>COSTO CHILENA </vt:lpstr>
      <vt:lpstr>COSTO 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2025-11-07T22:02:10Z</cp:lastPrinted>
  <dcterms:created xsi:type="dcterms:W3CDTF">2012-05-10T22:32:20Z</dcterms:created>
  <dcterms:modified xsi:type="dcterms:W3CDTF">2026-04-14T21:26:27Z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Esteban Ramirez</vt:lpwstr>
  </property>
  <property fmtid="{D5CDD505-2E9C-101B-9397-08002B2CF9AE}" pid="3" name="Order">
    <vt:lpwstr>331000.000000000</vt:lpwstr>
  </property>
  <property fmtid="{D5CDD505-2E9C-101B-9397-08002B2CF9AE}" pid="4" name="display_urn:schemas-microsoft-com:office:office#Author">
    <vt:lpwstr>Esteban Ramirez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
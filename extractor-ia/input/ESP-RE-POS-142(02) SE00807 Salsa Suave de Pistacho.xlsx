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1A3823A2-C297-4963-9ABB-81D81E4D0D92}" xr6:coauthVersionLast="47" xr6:coauthVersionMax="47" xr10:uidLastSave="{00000000-0000-0000-0000-000000000000}"/>
  <bookViews>
    <workbookView xWindow="-120" yWindow="-120" windowWidth="20730" windowHeight="11040" tabRatio="771" firstSheet="4" activeTab="4" xr2:uid="{86A95AF8-34C1-4DB7-AE30-E3F9DEB6557E}"/>
  </bookViews>
  <sheets>
    <sheet name="Cake Box Pistacho" sheetId="7" state="hidden" r:id="rId1"/>
    <sheet name="Costo Cake Box" sheetId="13" state="hidden" r:id="rId2"/>
    <sheet name="Costo Crema Pasionata " sheetId="12" state="hidden" r:id="rId3"/>
    <sheet name="Salsa Suave de Pistacho " sheetId="8" state="hidden" r:id="rId4"/>
    <sheet name="Salsa Suave de Pistacho 2" sheetId="14" r:id="rId5"/>
    <sheet name="Costo Salsa Suave " sheetId="11" state="hidden" r:id="rId6"/>
  </sheets>
  <externalReferences>
    <externalReference r:id="rId7"/>
    <externalReference r:id="rId8"/>
  </externalReferences>
  <definedNames>
    <definedName name="_xlnm.Print_Area" localSheetId="4">'Salsa Suave de Pistacho 2'!$A$1:$I$36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3" l="1"/>
  <c r="N49" i="13"/>
  <c r="M50" i="13"/>
  <c r="M49" i="13"/>
  <c r="A38" i="13"/>
  <c r="M18" i="13"/>
  <c r="J11" i="7"/>
  <c r="D81" i="13"/>
  <c r="D74" i="13"/>
  <c r="D76" i="13" s="1"/>
  <c r="D73" i="13"/>
  <c r="D71" i="13"/>
  <c r="D69" i="13"/>
  <c r="F65" i="13"/>
  <c r="E51" i="13" s="1"/>
  <c r="D60" i="13"/>
  <c r="D85" i="13" s="1"/>
  <c r="D86" i="13" s="1"/>
  <c r="C51" i="13"/>
  <c r="E50" i="13"/>
  <c r="D50" i="13"/>
  <c r="B50" i="13"/>
  <c r="F45" i="13"/>
  <c r="F44" i="13"/>
  <c r="E41" i="13"/>
  <c r="F41" i="13" s="1"/>
  <c r="D41" i="13"/>
  <c r="C41" i="13"/>
  <c r="B41" i="13"/>
  <c r="A41" i="13"/>
  <c r="A50" i="13" s="1"/>
  <c r="C50" i="13" s="1"/>
  <c r="A40" i="13"/>
  <c r="C40" i="13" s="1"/>
  <c r="A39" i="13"/>
  <c r="C39" i="13" s="1"/>
  <c r="A47" i="13"/>
  <c r="C47" i="13" s="1"/>
  <c r="A37" i="13"/>
  <c r="C37" i="13" s="1"/>
  <c r="C36" i="13"/>
  <c r="A36" i="13"/>
  <c r="A45" i="13" s="1"/>
  <c r="C45" i="13" s="1"/>
  <c r="A35" i="13"/>
  <c r="A44" i="13" s="1"/>
  <c r="C44" i="13" s="1"/>
  <c r="E32" i="13"/>
  <c r="F32" i="13" s="1"/>
  <c r="D32" i="13"/>
  <c r="C32" i="13"/>
  <c r="B32" i="13"/>
  <c r="C31" i="13"/>
  <c r="E30" i="13"/>
  <c r="C30" i="13"/>
  <c r="B30" i="13"/>
  <c r="E29" i="13"/>
  <c r="D29" i="13"/>
  <c r="C29" i="13"/>
  <c r="B29" i="13"/>
  <c r="E28" i="13"/>
  <c r="D28" i="13"/>
  <c r="C28" i="13"/>
  <c r="B28" i="13"/>
  <c r="C27" i="13"/>
  <c r="E24" i="13"/>
  <c r="F24" i="13" s="1"/>
  <c r="D24" i="13"/>
  <c r="C24" i="13"/>
  <c r="B24" i="13"/>
  <c r="E23" i="13"/>
  <c r="F23" i="13" s="1"/>
  <c r="D23" i="13"/>
  <c r="C23" i="13"/>
  <c r="B23" i="13"/>
  <c r="C22" i="13"/>
  <c r="C21" i="13"/>
  <c r="C20" i="13"/>
  <c r="C19" i="13"/>
  <c r="C18" i="13"/>
  <c r="C17" i="13"/>
  <c r="B15" i="13"/>
  <c r="E14" i="13"/>
  <c r="F14" i="13" s="1"/>
  <c r="D14" i="13"/>
  <c r="C14" i="13"/>
  <c r="B14" i="13"/>
  <c r="E13" i="13"/>
  <c r="D13" i="13"/>
  <c r="C13" i="13"/>
  <c r="B13" i="13"/>
  <c r="E12" i="13"/>
  <c r="D12" i="13"/>
  <c r="C12" i="13"/>
  <c r="B12" i="13"/>
  <c r="E11" i="13"/>
  <c r="F11" i="13" s="1"/>
  <c r="D11" i="13"/>
  <c r="C11" i="13"/>
  <c r="B11" i="13"/>
  <c r="E10" i="13"/>
  <c r="F10" i="13" s="1"/>
  <c r="D10" i="13"/>
  <c r="C10" i="13"/>
  <c r="B10" i="13"/>
  <c r="E9" i="13"/>
  <c r="D9" i="13"/>
  <c r="C9" i="13"/>
  <c r="B9" i="13"/>
  <c r="E8" i="13"/>
  <c r="F8" i="13" s="1"/>
  <c r="D8" i="13"/>
  <c r="C8" i="13"/>
  <c r="B8" i="13"/>
  <c r="H6" i="13"/>
  <c r="D73" i="12"/>
  <c r="D74" i="12" s="1"/>
  <c r="D76" i="12" s="1"/>
  <c r="D71" i="12"/>
  <c r="D69" i="12"/>
  <c r="F65" i="12"/>
  <c r="E51" i="12" s="1"/>
  <c r="F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4" i="12"/>
  <c r="D44" i="12"/>
  <c r="B44" i="12"/>
  <c r="E41" i="12"/>
  <c r="D41" i="12"/>
  <c r="C41" i="12"/>
  <c r="B41" i="12"/>
  <c r="A41" i="12"/>
  <c r="A50" i="12" s="1"/>
  <c r="C50" i="12" s="1"/>
  <c r="E40" i="12"/>
  <c r="D40" i="12"/>
  <c r="B40" i="12"/>
  <c r="A40" i="12"/>
  <c r="C40" i="12" s="1"/>
  <c r="E39" i="12"/>
  <c r="D39" i="12"/>
  <c r="B39" i="12"/>
  <c r="A39" i="12"/>
  <c r="C39" i="12" s="1"/>
  <c r="E38" i="12"/>
  <c r="D38" i="12"/>
  <c r="B38" i="12"/>
  <c r="A38" i="12"/>
  <c r="A47" i="12" s="1"/>
  <c r="C47" i="12" s="1"/>
  <c r="E37" i="12"/>
  <c r="D37" i="12"/>
  <c r="B37" i="12"/>
  <c r="A37" i="12"/>
  <c r="C37" i="12" s="1"/>
  <c r="E36" i="12"/>
  <c r="D36" i="12"/>
  <c r="B36" i="12"/>
  <c r="A36" i="12"/>
  <c r="C36" i="12" s="1"/>
  <c r="E35" i="12"/>
  <c r="D35" i="12"/>
  <c r="B35" i="12"/>
  <c r="A35" i="12"/>
  <c r="A44" i="12" s="1"/>
  <c r="C44" i="12" s="1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F29" i="12" s="1"/>
  <c r="D29" i="12"/>
  <c r="C29" i="12"/>
  <c r="B29" i="12"/>
  <c r="E28" i="12"/>
  <c r="D28" i="12"/>
  <c r="C28" i="12"/>
  <c r="B28" i="12"/>
  <c r="E27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E18" i="12"/>
  <c r="F18" i="12" s="1"/>
  <c r="D18" i="12"/>
  <c r="C18" i="12"/>
  <c r="B18" i="12"/>
  <c r="E17" i="12"/>
  <c r="F17" i="12" s="1"/>
  <c r="D17" i="12"/>
  <c r="C17" i="12"/>
  <c r="B17" i="12"/>
  <c r="B15" i="12"/>
  <c r="E14" i="12"/>
  <c r="F14" i="12" s="1"/>
  <c r="D14" i="12"/>
  <c r="C14" i="12"/>
  <c r="B14" i="12"/>
  <c r="E13" i="12"/>
  <c r="F13" i="12" s="1"/>
  <c r="D13" i="12"/>
  <c r="C13" i="12"/>
  <c r="B13" i="12"/>
  <c r="E12" i="12"/>
  <c r="F12" i="12" s="1"/>
  <c r="D12" i="12"/>
  <c r="C12" i="12"/>
  <c r="B12" i="12"/>
  <c r="E11" i="12"/>
  <c r="F11" i="12" s="1"/>
  <c r="D11" i="12"/>
  <c r="C11" i="12"/>
  <c r="B11" i="12"/>
  <c r="E10" i="12"/>
  <c r="F10" i="12" s="1"/>
  <c r="D10" i="12"/>
  <c r="C10" i="12"/>
  <c r="B10" i="12"/>
  <c r="C9" i="12"/>
  <c r="F9" i="12" s="1"/>
  <c r="C8" i="12"/>
  <c r="H6" i="12"/>
  <c r="D74" i="11"/>
  <c r="D76" i="11" s="1"/>
  <c r="D73" i="11"/>
  <c r="D71" i="11"/>
  <c r="D69" i="11"/>
  <c r="F65" i="11"/>
  <c r="E51" i="11" s="1"/>
  <c r="D60" i="11"/>
  <c r="D85" i="11" s="1"/>
  <c r="D86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A45" i="11"/>
  <c r="C45" i="11" s="1"/>
  <c r="A44" i="11"/>
  <c r="C44" i="11" s="1"/>
  <c r="E41" i="11"/>
  <c r="D41" i="11"/>
  <c r="B41" i="11"/>
  <c r="A41" i="11"/>
  <c r="A50" i="11" s="1"/>
  <c r="C50" i="11" s="1"/>
  <c r="E40" i="11"/>
  <c r="D40" i="11"/>
  <c r="B40" i="11"/>
  <c r="A40" i="11"/>
  <c r="A49" i="11" s="1"/>
  <c r="C49" i="11" s="1"/>
  <c r="E39" i="11"/>
  <c r="D39" i="11"/>
  <c r="B39" i="11"/>
  <c r="A39" i="11"/>
  <c r="A48" i="11" s="1"/>
  <c r="C48" i="11" s="1"/>
  <c r="E38" i="11"/>
  <c r="D38" i="11"/>
  <c r="B38" i="11"/>
  <c r="A38" i="11"/>
  <c r="C38" i="11" s="1"/>
  <c r="E37" i="11"/>
  <c r="D37" i="11"/>
  <c r="B37" i="11"/>
  <c r="A37" i="11"/>
  <c r="C37" i="11" s="1"/>
  <c r="E36" i="11"/>
  <c r="D36" i="11"/>
  <c r="B36" i="11"/>
  <c r="A36" i="11"/>
  <c r="C36" i="11" s="1"/>
  <c r="A35" i="11"/>
  <c r="C35" i="11" s="1"/>
  <c r="E32" i="11"/>
  <c r="F32" i="11" s="1"/>
  <c r="D32" i="11"/>
  <c r="C32" i="11"/>
  <c r="B32" i="11"/>
  <c r="E31" i="11"/>
  <c r="D31" i="11"/>
  <c r="C31" i="11"/>
  <c r="B31" i="11"/>
  <c r="E30" i="11"/>
  <c r="F30" i="11" s="1"/>
  <c r="D30" i="11"/>
  <c r="C30" i="11"/>
  <c r="B30" i="11"/>
  <c r="E29" i="11"/>
  <c r="D29" i="11"/>
  <c r="C29" i="11"/>
  <c r="B29" i="11"/>
  <c r="E28" i="11"/>
  <c r="F28" i="11" s="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C17" i="11"/>
  <c r="B15" i="11"/>
  <c r="E14" i="11"/>
  <c r="F14" i="11" s="1"/>
  <c r="D14" i="11"/>
  <c r="C14" i="11"/>
  <c r="B14" i="11"/>
  <c r="E13" i="11"/>
  <c r="D13" i="11"/>
  <c r="C13" i="11"/>
  <c r="B13" i="11"/>
  <c r="E12" i="11"/>
  <c r="F12" i="11" s="1"/>
  <c r="D12" i="11"/>
  <c r="C12" i="11"/>
  <c r="B12" i="11"/>
  <c r="E11" i="11"/>
  <c r="D11" i="11"/>
  <c r="C11" i="11"/>
  <c r="B11" i="11"/>
  <c r="E10" i="11"/>
  <c r="F10" i="11" s="1"/>
  <c r="D10" i="11"/>
  <c r="C10" i="11"/>
  <c r="B10" i="11"/>
  <c r="C9" i="11"/>
  <c r="F8" i="11"/>
  <c r="C8" i="11"/>
  <c r="H6" i="11"/>
  <c r="F31" i="13" l="1"/>
  <c r="F28" i="12"/>
  <c r="F9" i="13"/>
  <c r="F13" i="13"/>
  <c r="F30" i="12"/>
  <c r="F31" i="12"/>
  <c r="F12" i="13"/>
  <c r="F51" i="13"/>
  <c r="D83" i="13"/>
  <c r="F30" i="13"/>
  <c r="F29" i="13"/>
  <c r="F28" i="13"/>
  <c r="F27" i="13"/>
  <c r="F40" i="13"/>
  <c r="F22" i="13"/>
  <c r="C38" i="13"/>
  <c r="F19" i="13"/>
  <c r="A46" i="13"/>
  <c r="C46" i="13" s="1"/>
  <c r="F46" i="13" s="1"/>
  <c r="F37" i="13"/>
  <c r="F36" i="13"/>
  <c r="F18" i="13"/>
  <c r="F17" i="13"/>
  <c r="C35" i="13"/>
  <c r="F35" i="13" s="1"/>
  <c r="F41" i="12"/>
  <c r="F27" i="12"/>
  <c r="F40" i="12"/>
  <c r="F32" i="12"/>
  <c r="C35" i="12"/>
  <c r="F35" i="12" s="1"/>
  <c r="C38" i="12"/>
  <c r="F38" i="12" s="1"/>
  <c r="F36" i="12"/>
  <c r="F47" i="12"/>
  <c r="F39" i="12"/>
  <c r="F44" i="12"/>
  <c r="A45" i="12"/>
  <c r="C45" i="12" s="1"/>
  <c r="F45" i="12" s="1"/>
  <c r="F8" i="12"/>
  <c r="F53" i="12" s="1"/>
  <c r="C73" i="11"/>
  <c r="C85" i="11" s="1"/>
  <c r="F45" i="11"/>
  <c r="F31" i="11"/>
  <c r="F29" i="11"/>
  <c r="F27" i="11"/>
  <c r="C40" i="11"/>
  <c r="F40" i="11" s="1"/>
  <c r="F50" i="11"/>
  <c r="C41" i="11"/>
  <c r="C39" i="11"/>
  <c r="F39" i="11" s="1"/>
  <c r="F41" i="11"/>
  <c r="F36" i="11"/>
  <c r="F13" i="11"/>
  <c r="F11" i="11"/>
  <c r="F9" i="11"/>
  <c r="F44" i="11"/>
  <c r="F17" i="11"/>
  <c r="F35" i="11"/>
  <c r="F50" i="13"/>
  <c r="C73" i="13"/>
  <c r="A49" i="13"/>
  <c r="C49" i="13" s="1"/>
  <c r="F49" i="13" s="1"/>
  <c r="A48" i="13"/>
  <c r="C48" i="13" s="1"/>
  <c r="F50" i="12"/>
  <c r="F37" i="12"/>
  <c r="D81" i="12"/>
  <c r="C73" i="12"/>
  <c r="A49" i="12"/>
  <c r="C49" i="12" s="1"/>
  <c r="F49" i="12" s="1"/>
  <c r="D83" i="12"/>
  <c r="A46" i="12"/>
  <c r="C46" i="12" s="1"/>
  <c r="F46" i="12" s="1"/>
  <c r="A48" i="12"/>
  <c r="C48" i="12" s="1"/>
  <c r="F48" i="12" s="1"/>
  <c r="F49" i="11"/>
  <c r="F38" i="11"/>
  <c r="F51" i="11"/>
  <c r="F37" i="11"/>
  <c r="F48" i="11"/>
  <c r="E85" i="11"/>
  <c r="D81" i="11"/>
  <c r="A47" i="11"/>
  <c r="C47" i="11" s="1"/>
  <c r="F47" i="11" s="1"/>
  <c r="E73" i="11"/>
  <c r="D83" i="11"/>
  <c r="A46" i="11"/>
  <c r="C46" i="11" s="1"/>
  <c r="F46" i="11" s="1"/>
  <c r="F53" i="11" l="1"/>
  <c r="C69" i="11" s="1"/>
  <c r="C85" i="13"/>
  <c r="E85" i="13" s="1"/>
  <c r="E73" i="13"/>
  <c r="F56" i="12"/>
  <c r="C85" i="12"/>
  <c r="E85" i="12" s="1"/>
  <c r="E73" i="12"/>
  <c r="C69" i="12"/>
  <c r="H53" i="12"/>
  <c r="F2" i="12" s="1"/>
  <c r="F64" i="12"/>
  <c r="F54" i="12"/>
  <c r="F55" i="12" s="1"/>
  <c r="F56" i="11"/>
  <c r="F54" i="11"/>
  <c r="H53" i="11" l="1"/>
  <c r="F2" i="11" s="1"/>
  <c r="F64" i="11"/>
  <c r="H55" i="12"/>
  <c r="F63" i="12"/>
  <c r="O54" i="12"/>
  <c r="H56" i="12"/>
  <c r="C74" i="12"/>
  <c r="C76" i="12"/>
  <c r="E76" i="12" s="1"/>
  <c r="H54" i="12"/>
  <c r="G2" i="12" s="1"/>
  <c r="E69" i="12"/>
  <c r="C81" i="12"/>
  <c r="E81" i="12" s="1"/>
  <c r="C76" i="11"/>
  <c r="E76" i="11" s="1"/>
  <c r="H54" i="11"/>
  <c r="G2" i="11" s="1"/>
  <c r="H56" i="11"/>
  <c r="C74" i="11"/>
  <c r="F55" i="11"/>
  <c r="E69" i="11"/>
  <c r="C81" i="11"/>
  <c r="E81" i="11" s="1"/>
  <c r="E21" i="13" l="1"/>
  <c r="F21" i="13" s="1"/>
  <c r="E38" i="13"/>
  <c r="F38" i="13" s="1"/>
  <c r="E20" i="13"/>
  <c r="F20" i="13" s="1"/>
  <c r="E39" i="13"/>
  <c r="F39" i="13" s="1"/>
  <c r="O56" i="12"/>
  <c r="C71" i="12"/>
  <c r="E63" i="12"/>
  <c r="F66" i="12"/>
  <c r="G63" i="12" s="1"/>
  <c r="C86" i="12"/>
  <c r="E86" i="12" s="1"/>
  <c r="E74" i="12"/>
  <c r="O55" i="12"/>
  <c r="H2" i="12"/>
  <c r="H58" i="12"/>
  <c r="H59" i="12" s="1"/>
  <c r="O58" i="12" s="1"/>
  <c r="C86" i="11"/>
  <c r="E86" i="11" s="1"/>
  <c r="E74" i="11"/>
  <c r="F63" i="11"/>
  <c r="H55" i="11"/>
  <c r="O54" i="11"/>
  <c r="H2" i="11"/>
  <c r="O55" i="11"/>
  <c r="H58" i="11"/>
  <c r="H59" i="11" s="1"/>
  <c r="O58" i="11" s="1"/>
  <c r="F53" i="13" l="1"/>
  <c r="C69" i="13" s="1"/>
  <c r="F54" i="13"/>
  <c r="C76" i="13" s="1"/>
  <c r="E76" i="13" s="1"/>
  <c r="O57" i="12"/>
  <c r="O59" i="12" s="1"/>
  <c r="O60" i="12" s="1"/>
  <c r="O61" i="12" s="1"/>
  <c r="O62" i="12" s="1"/>
  <c r="E78" i="12"/>
  <c r="E48" i="13"/>
  <c r="F48" i="13" s="1"/>
  <c r="E78" i="11"/>
  <c r="E47" i="13"/>
  <c r="F47" i="13" s="1"/>
  <c r="G66" i="12"/>
  <c r="G65" i="12"/>
  <c r="G27" i="12"/>
  <c r="G14" i="12"/>
  <c r="G51" i="12"/>
  <c r="G39" i="12"/>
  <c r="G30" i="12"/>
  <c r="G20" i="12"/>
  <c r="G10" i="12"/>
  <c r="G47" i="12"/>
  <c r="G31" i="12"/>
  <c r="G8" i="12"/>
  <c r="G32" i="12"/>
  <c r="G29" i="12"/>
  <c r="G19" i="12"/>
  <c r="G22" i="12"/>
  <c r="G17" i="12"/>
  <c r="G41" i="12"/>
  <c r="G36" i="12"/>
  <c r="G38" i="12"/>
  <c r="G23" i="12"/>
  <c r="G18" i="12"/>
  <c r="G21" i="12"/>
  <c r="G44" i="12"/>
  <c r="G11" i="12"/>
  <c r="G28" i="12"/>
  <c r="G12" i="12"/>
  <c r="G9" i="12"/>
  <c r="G35" i="12"/>
  <c r="G13" i="12"/>
  <c r="G24" i="12"/>
  <c r="G40" i="12"/>
  <c r="G48" i="12"/>
  <c r="G49" i="12"/>
  <c r="G53" i="12"/>
  <c r="G45" i="12"/>
  <c r="G37" i="12"/>
  <c r="G50" i="12"/>
  <c r="G46" i="12"/>
  <c r="G56" i="12"/>
  <c r="G64" i="12"/>
  <c r="G54" i="12"/>
  <c r="G55" i="12"/>
  <c r="C83" i="12"/>
  <c r="E83" i="12" s="1"/>
  <c r="E71" i="12"/>
  <c r="O56" i="11"/>
  <c r="O57" i="11" s="1"/>
  <c r="O59" i="11" s="1"/>
  <c r="C71" i="11"/>
  <c r="E63" i="11"/>
  <c r="F66" i="11"/>
  <c r="G63" i="11" s="1"/>
  <c r="F64" i="13" l="1"/>
  <c r="H53" i="13"/>
  <c r="F2" i="13" s="1"/>
  <c r="F55" i="13"/>
  <c r="H55" i="13" s="1"/>
  <c r="H54" i="13"/>
  <c r="G2" i="13" s="1"/>
  <c r="F56" i="13"/>
  <c r="E69" i="13"/>
  <c r="C81" i="13"/>
  <c r="E81" i="13" s="1"/>
  <c r="P62" i="12"/>
  <c r="E2" i="12"/>
  <c r="O60" i="11"/>
  <c r="O61" i="11" s="1"/>
  <c r="O62" i="11" s="1"/>
  <c r="C83" i="11"/>
  <c r="E83" i="11" s="1"/>
  <c r="E71" i="11"/>
  <c r="G66" i="11"/>
  <c r="G65" i="11"/>
  <c r="G8" i="11"/>
  <c r="G50" i="11"/>
  <c r="G21" i="11"/>
  <c r="G14" i="11"/>
  <c r="G17" i="11"/>
  <c r="G24" i="11"/>
  <c r="G40" i="11"/>
  <c r="G20" i="11"/>
  <c r="G32" i="11"/>
  <c r="G23" i="11"/>
  <c r="G19" i="11"/>
  <c r="G44" i="11"/>
  <c r="G12" i="11"/>
  <c r="G22" i="11"/>
  <c r="G28" i="11"/>
  <c r="G41" i="11"/>
  <c r="G11" i="11"/>
  <c r="G39" i="11"/>
  <c r="G30" i="11"/>
  <c r="G27" i="11"/>
  <c r="G35" i="11"/>
  <c r="G31" i="11"/>
  <c r="G10" i="11"/>
  <c r="G18" i="11"/>
  <c r="G9" i="11"/>
  <c r="G13" i="11"/>
  <c r="G36" i="11"/>
  <c r="G45" i="11"/>
  <c r="G29" i="11"/>
  <c r="G47" i="11"/>
  <c r="G37" i="11"/>
  <c r="G48" i="11"/>
  <c r="G51" i="11"/>
  <c r="G49" i="11"/>
  <c r="G53" i="11"/>
  <c r="G46" i="11"/>
  <c r="G38" i="11"/>
  <c r="G54" i="11"/>
  <c r="G56" i="11"/>
  <c r="G64" i="11"/>
  <c r="G55" i="11"/>
  <c r="F63" i="13" l="1"/>
  <c r="C71" i="13" s="1"/>
  <c r="O54" i="13"/>
  <c r="O56" i="13" s="1"/>
  <c r="H56" i="13"/>
  <c r="C74" i="13"/>
  <c r="P62" i="11"/>
  <c r="E2" i="11"/>
  <c r="E14" i="7"/>
  <c r="E23" i="7"/>
  <c r="E22" i="7"/>
  <c r="E13" i="7"/>
  <c r="E63" i="13" l="1"/>
  <c r="F66" i="13"/>
  <c r="G56" i="13" s="1"/>
  <c r="C86" i="13"/>
  <c r="E86" i="13" s="1"/>
  <c r="E74" i="13"/>
  <c r="E78" i="13" s="1"/>
  <c r="H2" i="13"/>
  <c r="H58" i="13"/>
  <c r="H59" i="13" s="1"/>
  <c r="O58" i="13" s="1"/>
  <c r="O55" i="13"/>
  <c r="O57" i="13" s="1"/>
  <c r="C83" i="13"/>
  <c r="E83" i="13" s="1"/>
  <c r="E71" i="13"/>
  <c r="E12" i="8"/>
  <c r="E11" i="8"/>
  <c r="E10" i="8"/>
  <c r="J47" i="8"/>
  <c r="G9" i="13" l="1"/>
  <c r="G28" i="13"/>
  <c r="G55" i="13"/>
  <c r="G32" i="13"/>
  <c r="G31" i="13"/>
  <c r="G11" i="13"/>
  <c r="G36" i="13"/>
  <c r="G13" i="13"/>
  <c r="G19" i="13"/>
  <c r="G30" i="13"/>
  <c r="G35" i="13"/>
  <c r="G22" i="13"/>
  <c r="G49" i="13"/>
  <c r="G29" i="13"/>
  <c r="G17" i="13"/>
  <c r="G48" i="13"/>
  <c r="G39" i="13"/>
  <c r="G53" i="13"/>
  <c r="G54" i="13"/>
  <c r="G47" i="13"/>
  <c r="G20" i="13"/>
  <c r="G10" i="13"/>
  <c r="G65" i="13"/>
  <c r="G14" i="13"/>
  <c r="G37" i="13"/>
  <c r="G44" i="13"/>
  <c r="G63" i="13"/>
  <c r="G24" i="13"/>
  <c r="G18" i="13"/>
  <c r="G45" i="13"/>
  <c r="G38" i="13"/>
  <c r="G46" i="13"/>
  <c r="G64" i="13"/>
  <c r="G41" i="13"/>
  <c r="G40" i="13"/>
  <c r="G12" i="13"/>
  <c r="G23" i="13"/>
  <c r="G51" i="13"/>
  <c r="G21" i="13"/>
  <c r="G66" i="13"/>
  <c r="G27" i="13"/>
  <c r="G8" i="13"/>
  <c r="G50" i="13"/>
  <c r="O59" i="13"/>
  <c r="O60" i="13" s="1"/>
  <c r="O61" i="13" s="1"/>
  <c r="O62" i="13" s="1"/>
  <c r="E2" i="13" s="1"/>
  <c r="D51" i="8"/>
  <c r="O64" i="13" l="1"/>
  <c r="P62" i="13"/>
</calcChain>
</file>

<file path=xl/sharedStrings.xml><?xml version="1.0" encoding="utf-8"?>
<sst xmlns="http://schemas.openxmlformats.org/spreadsheetml/2006/main" count="579" uniqueCount="159">
  <si>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</si>
  <si>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</si>
  <si>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</si>
  <si>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</si>
  <si>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</si>
  <si>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</si>
  <si>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</si>
  <si>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</si>
  <si>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</si>
  <si>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</si>
  <si>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</si>
  <si>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</si>
  <si>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</si>
  <si>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</si>
  <si>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</si>
  <si>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</si>
  <si>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</si>
  <si>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</si>
  <si>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</si>
  <si>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</si>
  <si>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</si>
  <si>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</si>
  <si>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</si>
  <si>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</si>
  <si>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</si>
  <si>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</si>
  <si>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</si>
  <si>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</si>
  <si>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</si>
  <si>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</si>
  <si>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</si>
  <si>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</si>
  <si>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</si>
  <si>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</si>
  <si>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</si>
  <si>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</si>
  <si>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</si>
  <si>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ud</t>
  </si>
  <si>
    <t>EM10011</t>
  </si>
  <si>
    <t>ETIPLAST</t>
  </si>
  <si>
    <t>EM10124</t>
  </si>
  <si>
    <t>ETIQUETA BLANCA 2 5/8X1 15/16</t>
  </si>
  <si>
    <t>DECORACION</t>
  </si>
  <si>
    <t>ETIQUETA BLANCA R-153</t>
  </si>
  <si>
    <t>CEMUSA</t>
  </si>
  <si>
    <t>EM10004</t>
  </si>
  <si>
    <t>ETIQ.FECHA VENCIMIENTO BLANCO</t>
  </si>
  <si>
    <t>Sebastian Díaz, Gte Manufactura</t>
  </si>
  <si>
    <t>SE00005</t>
  </si>
  <si>
    <t>Almibar</t>
  </si>
  <si>
    <t>907000042</t>
  </si>
  <si>
    <t>SE00196</t>
  </si>
  <si>
    <t>ROSQUETE ARROLLADO 1000g</t>
  </si>
  <si>
    <t>SE00682</t>
  </si>
  <si>
    <t>Caramelo con Chocolate Blanco</t>
  </si>
  <si>
    <t>0.4</t>
  </si>
  <si>
    <t>15g x rosquete</t>
  </si>
  <si>
    <t>15g x postre (1 sola capa)</t>
  </si>
  <si>
    <t>Nuevo</t>
  </si>
  <si>
    <t xml:space="preserve">Nuevo </t>
  </si>
  <si>
    <t xml:space="preserve">1, Cortar el rosquete arrollado en 20 porciones, (4 cuadros de manera vertical y 15 cuadros de manera horizontal) quitandole excesos de los laterales. </t>
  </si>
  <si>
    <t xml:space="preserve">5, Tapar y etiquetar. </t>
  </si>
  <si>
    <t xml:space="preserve">Postres </t>
  </si>
  <si>
    <t>Cocina</t>
  </si>
  <si>
    <t>Empaque</t>
  </si>
  <si>
    <t xml:space="preserve">Batido Crema Pasionata </t>
  </si>
  <si>
    <t>Puratos</t>
  </si>
  <si>
    <t>MP10152</t>
  </si>
  <si>
    <t>Colorante Gel Electric Green</t>
  </si>
  <si>
    <t>SE00475</t>
  </si>
  <si>
    <t>Relleno Suspiro Limeño</t>
  </si>
  <si>
    <t>MP10779</t>
  </si>
  <si>
    <t>Saborizante pistacho concentrado</t>
  </si>
  <si>
    <t>MP10776</t>
  </si>
  <si>
    <t>Praline de pistacho</t>
  </si>
  <si>
    <t xml:space="preserve">1, Mezclar todos los ingredientes en una batidora con ayuda de una paleta, hasta que quede completamete incorporado. </t>
  </si>
  <si>
    <t xml:space="preserve">Salsa Sueve de Pistacho </t>
  </si>
  <si>
    <t xml:space="preserve">Cake Box de Pistacho </t>
  </si>
  <si>
    <t xml:space="preserve">Salsa Suave de Pistacho </t>
  </si>
  <si>
    <t xml:space="preserve">40g xcapa </t>
  </si>
  <si>
    <t xml:space="preserve">Crema Pasionata Verde </t>
  </si>
  <si>
    <t xml:space="preserve">30g x capa </t>
  </si>
  <si>
    <t>SE00738</t>
  </si>
  <si>
    <t>PISTACHO TOSTADO</t>
  </si>
  <si>
    <t>3 g x unidad</t>
  </si>
  <si>
    <t>2 Unidades por postre</t>
  </si>
  <si>
    <t>416g (26g x ud)</t>
  </si>
  <si>
    <t>Cake Box Cuadradro</t>
  </si>
  <si>
    <t>2, En cada empaque colocar un cuadrado de rosquete, humedecer con el almibar, colocar la salsa suave de pistacho, la crema pasionata verde y el caramelo con chocolate blanco.</t>
  </si>
  <si>
    <t xml:space="preserve">3. Colocar otro rosquete, humedecer con el almibar, agregar la crema pasionata verde. </t>
  </si>
  <si>
    <t>4, Decorar con salsa suave de pistacho en toda la superficie y colocar (lado, de esquina a esquina)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</si>
  <si>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</si>
  <si>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</si>
  <si>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</si>
  <si>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</si>
  <si>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</si>
  <si>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</si>
  <si>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</si>
  <si>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</si>
  <si>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</si>
  <si>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</si>
  <si>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</si>
  <si>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</si>
  <si>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</si>
  <si>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</si>
  <si>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</si>
  <si>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</si>
  <si>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</si>
  <si>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</si>
  <si>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</si>
  <si>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</si>
  <si>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</si>
  <si>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</si>
  <si>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</si>
  <si>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</si>
  <si>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</si>
  <si>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</si>
  <si>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</si>
  <si>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</si>
  <si>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</si>
  <si>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</si>
  <si>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</si>
  <si>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</si>
  <si>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</si>
  <si>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</si>
  <si>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</si>
  <si>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</si>
  <si>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</si>
  <si>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</si>
  <si>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</si>
  <si>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</si>
  <si>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</si>
  <si>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</si>
  <si>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</si>
  <si>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</si>
  <si>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</si>
  <si>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</si>
  <si>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</si>
  <si>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</si>
  <si>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</si>
  <si>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</si>
  <si>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</si>
  <si>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</si>
  <si>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</si>
  <si>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UND</t>
  </si>
  <si>
    <t>701096</t>
  </si>
  <si>
    <t>0702123</t>
  </si>
  <si>
    <t>0702007</t>
  </si>
  <si>
    <t>Und</t>
  </si>
  <si>
    <t>ETIQUETA NUEVA CAKE BOX</t>
  </si>
  <si>
    <t xml:space="preserve">                     </t>
  </si>
  <si>
    <t xml:space="preserve">SE00807 Salsa Suave de Pistacho </t>
  </si>
  <si>
    <t>ESP-RE-POS-142</t>
  </si>
  <si>
    <t>Postres</t>
  </si>
  <si>
    <t>MP10008</t>
  </si>
  <si>
    <t>Preservante 1047S</t>
  </si>
  <si>
    <t>ASEAL</t>
  </si>
  <si>
    <t xml:space="preserve">2, Se agrega preservante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</si>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</sst>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6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b/>
      <sz val="14"/>
      <name val="Century Gothic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Times New Roman"/>
      <family val="1"/>
    </font>
    <font>
      <sz val="14"/>
      <color rgb="FF0070C0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43">
    <xf numFmtId="0" fontId="0" fillId="0" borderId="0" xfId="0"/>
    <xf numFmtId="0" fontId="0" fillId="0" borderId="15" xfId="0" applyBorder="1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7" fillId="3" borderId="18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0" fillId="3" borderId="14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right"/>
    </xf>
    <xf numFmtId="0" fontId="12" fillId="0" borderId="15" xfId="0" applyFont="1" applyBorder="1" applyAlignment="1">
      <alignment horizontal="center"/>
    </xf>
    <xf numFmtId="0" fontId="10" fillId="0" borderId="15" xfId="0" quotePrefix="1" applyFont="1" applyBorder="1"/>
    <xf numFmtId="0" fontId="6" fillId="0" borderId="15" xfId="0" applyFont="1" applyBorder="1"/>
    <xf numFmtId="1" fontId="10" fillId="0" borderId="15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0" fillId="2" borderId="37" xfId="1" applyNumberFormat="1" applyFont="1" applyFill="1" applyBorder="1" applyAlignment="1">
      <alignment horizontal="center" wrapText="1"/>
    </xf>
    <xf numFmtId="0" fontId="10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14" fillId="0" borderId="15" xfId="1" applyFont="1" applyBorder="1" applyAlignment="1">
      <alignment horizontal="center"/>
    </xf>
    <xf numFmtId="0" fontId="12" fillId="0" borderId="0" xfId="0" applyFont="1"/>
    <xf numFmtId="1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" fontId="17" fillId="0" borderId="15" xfId="1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7" fillId="0" borderId="16" xfId="1" applyFont="1" applyBorder="1" applyAlignment="1">
      <alignment horizontal="center"/>
    </xf>
    <xf numFmtId="0" fontId="17" fillId="0" borderId="8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1" fontId="18" fillId="0" borderId="15" xfId="1" applyNumberFormat="1" applyFont="1" applyBorder="1" applyAlignment="1">
      <alignment horizontal="center"/>
    </xf>
    <xf numFmtId="0" fontId="20" fillId="0" borderId="15" xfId="1" applyFont="1" applyBorder="1" applyAlignment="1">
      <alignment vertical="center"/>
    </xf>
    <xf numFmtId="0" fontId="19" fillId="0" borderId="15" xfId="0" applyFont="1" applyBorder="1"/>
    <xf numFmtId="16" fontId="17" fillId="4" borderId="15" xfId="0" applyNumberFormat="1" applyFont="1" applyFill="1" applyBorder="1" applyAlignment="1">
      <alignment horizontal="center"/>
    </xf>
    <xf numFmtId="1" fontId="17" fillId="0" borderId="15" xfId="0" applyNumberFormat="1" applyFont="1" applyBorder="1" applyAlignment="1">
      <alignment horizontal="center" wrapText="1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27" xfId="1" applyNumberFormat="1" applyFont="1" applyBorder="1" applyAlignment="1">
      <alignment horizontal="center"/>
    </xf>
    <xf numFmtId="1" fontId="17" fillId="0" borderId="9" xfId="1" applyNumberFormat="1" applyFont="1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7" fillId="0" borderId="15" xfId="0" applyFont="1" applyBorder="1"/>
    <xf numFmtId="0" fontId="17" fillId="0" borderId="15" xfId="1" applyFont="1" applyBorder="1"/>
    <xf numFmtId="0" fontId="19" fillId="0" borderId="8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1" fontId="17" fillId="4" borderId="15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1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1" fontId="18" fillId="0" borderId="15" xfId="1" applyNumberFormat="1" applyFont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8" fillId="0" borderId="15" xfId="1" applyFont="1" applyBorder="1"/>
    <xf numFmtId="0" fontId="17" fillId="4" borderId="15" xfId="0" applyFont="1" applyFill="1" applyBorder="1"/>
    <xf numFmtId="1" fontId="17" fillId="4" borderId="15" xfId="0" applyNumberFormat="1" applyFont="1" applyFill="1" applyBorder="1" applyAlignment="1">
      <alignment horizontal="center" wrapText="1"/>
    </xf>
    <xf numFmtId="166" fontId="18" fillId="4" borderId="15" xfId="9" applyNumberFormat="1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 wrapText="1"/>
    </xf>
    <xf numFmtId="12" fontId="24" fillId="0" borderId="15" xfId="1" applyNumberFormat="1" applyFont="1" applyBorder="1" applyAlignment="1">
      <alignment horizontal="left"/>
    </xf>
    <xf numFmtId="49" fontId="17" fillId="0" borderId="16" xfId="1" applyNumberFormat="1" applyFont="1" applyBorder="1" applyAlignment="1">
      <alignment horizontal="center"/>
    </xf>
    <xf numFmtId="49" fontId="17" fillId="0" borderId="8" xfId="1" applyNumberFormat="1" applyFont="1" applyBorder="1" applyAlignment="1">
      <alignment horizontal="center"/>
    </xf>
    <xf numFmtId="49" fontId="17" fillId="0" borderId="15" xfId="1" applyNumberFormat="1" applyFont="1" applyBorder="1"/>
    <xf numFmtId="1" fontId="17" fillId="0" borderId="15" xfId="1" applyNumberFormat="1" applyFont="1" applyBorder="1" applyAlignment="1">
      <alignment horizontal="center" wrapText="1"/>
    </xf>
    <xf numFmtId="0" fontId="17" fillId="0" borderId="15" xfId="0" applyFont="1" applyBorder="1" applyAlignment="1">
      <alignment horizontal="left" vertical="center"/>
    </xf>
    <xf numFmtId="0" fontId="19" fillId="0" borderId="27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6" fillId="0" borderId="15" xfId="1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1" fontId="0" fillId="0" borderId="0" xfId="0" applyNumberFormat="1"/>
    <xf numFmtId="0" fontId="28" fillId="0" borderId="15" xfId="0" applyFont="1" applyBorder="1" applyAlignment="1">
      <alignment horizontal="center"/>
    </xf>
    <xf numFmtId="0" fontId="28" fillId="0" borderId="15" xfId="0" applyFont="1" applyBorder="1"/>
    <xf numFmtId="16" fontId="21" fillId="0" borderId="8" xfId="0" applyNumberFormat="1" applyFont="1" applyBorder="1" applyAlignment="1">
      <alignment horizontal="center"/>
    </xf>
    <xf numFmtId="16" fontId="21" fillId="0" borderId="15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15" xfId="0" applyFont="1" applyBorder="1"/>
    <xf numFmtId="0" fontId="30" fillId="0" borderId="15" xfId="0" applyFont="1" applyBorder="1"/>
    <xf numFmtId="49" fontId="31" fillId="4" borderId="15" xfId="1" applyNumberFormat="1" applyFont="1" applyFill="1" applyBorder="1" applyAlignment="1">
      <alignment horizontal="center"/>
    </xf>
    <xf numFmtId="16" fontId="17" fillId="0" borderId="15" xfId="1" applyNumberFormat="1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31" fillId="0" borderId="15" xfId="1" applyFont="1" applyBorder="1" applyAlignment="1">
      <alignment horizontal="left" wrapText="1"/>
    </xf>
    <xf numFmtId="0" fontId="30" fillId="4" borderId="8" xfId="0" applyFont="1" applyFill="1" applyBorder="1" applyAlignment="1">
      <alignment horizontal="center"/>
    </xf>
    <xf numFmtId="0" fontId="29" fillId="4" borderId="15" xfId="0" applyFont="1" applyFill="1" applyBorder="1"/>
    <xf numFmtId="0" fontId="6" fillId="4" borderId="15" xfId="1" applyFont="1" applyFill="1" applyBorder="1" applyAlignment="1">
      <alignment horizontal="center"/>
    </xf>
    <xf numFmtId="0" fontId="6" fillId="4" borderId="15" xfId="1" applyFont="1" applyFill="1" applyBorder="1"/>
    <xf numFmtId="16" fontId="10" fillId="0" borderId="15" xfId="1" applyNumberFormat="1" applyFont="1" applyBorder="1" applyAlignment="1">
      <alignment horizontal="center"/>
    </xf>
    <xf numFmtId="0" fontId="6" fillId="3" borderId="0" xfId="1" applyFont="1" applyFill="1"/>
    <xf numFmtId="0" fontId="6" fillId="3" borderId="15" xfId="1" applyFont="1" applyFill="1" applyBorder="1" applyAlignment="1">
      <alignment horizontal="center"/>
    </xf>
    <xf numFmtId="0" fontId="3" fillId="4" borderId="0" xfId="0" applyFont="1" applyFill="1"/>
    <xf numFmtId="0" fontId="3" fillId="7" borderId="15" xfId="0" applyFont="1" applyFill="1" applyBorder="1" applyAlignment="1">
      <alignment horizontal="center"/>
    </xf>
    <xf numFmtId="1" fontId="3" fillId="7" borderId="15" xfId="0" applyNumberFormat="1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5" xfId="0" applyFont="1" applyFill="1" applyBorder="1"/>
    <xf numFmtId="0" fontId="3" fillId="7" borderId="15" xfId="0" applyFont="1" applyFill="1" applyBorder="1"/>
    <xf numFmtId="16" fontId="3" fillId="4" borderId="15" xfId="1" applyNumberFormat="1" applyFont="1" applyFill="1" applyBorder="1" applyAlignment="1">
      <alignment horizontal="center"/>
    </xf>
    <xf numFmtId="0" fontId="32" fillId="4" borderId="0" xfId="0" applyFont="1" applyFill="1" applyAlignment="1">
      <alignment vertical="center"/>
    </xf>
    <xf numFmtId="0" fontId="33" fillId="8" borderId="15" xfId="0" applyFont="1" applyFill="1" applyBorder="1" applyAlignment="1">
      <alignment horizontal="center" vertical="center" wrapText="1"/>
    </xf>
    <xf numFmtId="0" fontId="33" fillId="8" borderId="15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43" fontId="33" fillId="0" borderId="15" xfId="9" applyFont="1" applyFill="1" applyBorder="1" applyAlignment="1">
      <alignment horizontal="center" vertical="center"/>
    </xf>
    <xf numFmtId="43" fontId="33" fillId="0" borderId="0" xfId="9" applyFont="1" applyFill="1" applyBorder="1" applyAlignment="1">
      <alignment horizontal="center" vertical="center"/>
    </xf>
    <xf numFmtId="43" fontId="35" fillId="0" borderId="0" xfId="9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68" fontId="38" fillId="0" borderId="0" xfId="0" applyNumberFormat="1" applyFont="1" applyAlignment="1">
      <alignment horizontal="center" vertical="center" wrapText="1"/>
    </xf>
    <xf numFmtId="0" fontId="33" fillId="9" borderId="48" xfId="0" applyFont="1" applyFill="1" applyBorder="1" applyAlignment="1">
      <alignment horizontal="center" vertical="center"/>
    </xf>
    <xf numFmtId="0" fontId="33" fillId="9" borderId="49" xfId="0" applyFont="1" applyFill="1" applyBorder="1" applyAlignment="1">
      <alignment horizontal="center" vertical="center"/>
    </xf>
    <xf numFmtId="0" fontId="33" fillId="9" borderId="49" xfId="0" applyFont="1" applyFill="1" applyBorder="1" applyAlignment="1">
      <alignment horizontal="center" vertical="center" wrapText="1"/>
    </xf>
    <xf numFmtId="0" fontId="33" fillId="9" borderId="50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2" fontId="39" fillId="0" borderId="0" xfId="0" applyNumberFormat="1" applyFont="1" applyAlignment="1">
      <alignment horizontal="center"/>
    </xf>
    <xf numFmtId="4" fontId="39" fillId="0" borderId="0" xfId="10" applyNumberFormat="1" applyFont="1" applyFill="1" applyAlignment="1">
      <alignment horizontal="center" vertical="center"/>
    </xf>
    <xf numFmtId="4" fontId="33" fillId="0" borderId="0" xfId="10" applyNumberFormat="1" applyFont="1" applyFill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49" fontId="33" fillId="0" borderId="0" xfId="0" applyNumberFormat="1" applyFont="1" applyAlignment="1">
      <alignment horizontal="center" vertical="center"/>
    </xf>
    <xf numFmtId="10" fontId="34" fillId="0" borderId="0" xfId="7" applyNumberFormat="1" applyFont="1" applyFill="1" applyAlignment="1">
      <alignment vertical="center"/>
    </xf>
    <xf numFmtId="0" fontId="32" fillId="0" borderId="0" xfId="0" applyFont="1"/>
    <xf numFmtId="49" fontId="33" fillId="0" borderId="0" xfId="0" applyNumberFormat="1" applyFont="1" applyAlignment="1">
      <alignment horizontal="center"/>
    </xf>
    <xf numFmtId="169" fontId="32" fillId="0" borderId="0" xfId="0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43" fontId="32" fillId="0" borderId="0" xfId="9" applyFont="1" applyFill="1" applyAlignment="1">
      <alignment vertical="center"/>
    </xf>
    <xf numFmtId="49" fontId="4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4" fontId="33" fillId="0" borderId="0" xfId="9" applyNumberFormat="1" applyFont="1" applyFill="1" applyAlignment="1">
      <alignment vertical="center"/>
    </xf>
    <xf numFmtId="43" fontId="41" fillId="0" borderId="0" xfId="9" applyFont="1" applyFill="1" applyAlignment="1">
      <alignment horizontal="center" vertical="center"/>
    </xf>
    <xf numFmtId="10" fontId="34" fillId="9" borderId="51" xfId="7" applyNumberFormat="1" applyFont="1" applyFill="1" applyBorder="1" applyAlignment="1">
      <alignment vertical="center"/>
    </xf>
    <xf numFmtId="0" fontId="32" fillId="9" borderId="37" xfId="0" applyFont="1" applyFill="1" applyBorder="1" applyAlignment="1">
      <alignment vertical="center"/>
    </xf>
    <xf numFmtId="0" fontId="32" fillId="9" borderId="51" xfId="0" applyFont="1" applyFill="1" applyBorder="1" applyAlignment="1">
      <alignment vertical="center"/>
    </xf>
    <xf numFmtId="43" fontId="41" fillId="9" borderId="52" xfId="9" applyFont="1" applyFill="1" applyBorder="1" applyAlignment="1">
      <alignment horizontal="center" vertical="center"/>
    </xf>
    <xf numFmtId="43" fontId="43" fillId="0" borderId="0" xfId="9" applyFont="1" applyFill="1" applyBorder="1" applyAlignment="1">
      <alignment horizontal="right"/>
    </xf>
    <xf numFmtId="0" fontId="32" fillId="9" borderId="52" xfId="0" applyFont="1" applyFill="1" applyBorder="1" applyAlignment="1">
      <alignment vertical="center"/>
    </xf>
    <xf numFmtId="10" fontId="34" fillId="9" borderId="52" xfId="7" applyNumberFormat="1" applyFont="1" applyFill="1" applyBorder="1" applyAlignment="1">
      <alignment vertical="center"/>
    </xf>
    <xf numFmtId="0" fontId="42" fillId="0" borderId="0" xfId="0" applyFont="1" applyAlignment="1">
      <alignment horizontal="right"/>
    </xf>
    <xf numFmtId="0" fontId="42" fillId="0" borderId="0" xfId="0" applyFont="1"/>
    <xf numFmtId="9" fontId="42" fillId="0" borderId="0" xfId="0" applyNumberFormat="1" applyFont="1"/>
    <xf numFmtId="9" fontId="44" fillId="0" borderId="0" xfId="7" applyFont="1" applyFill="1" applyAlignment="1">
      <alignment horizontal="center"/>
    </xf>
    <xf numFmtId="0" fontId="41" fillId="0" borderId="0" xfId="0" applyFont="1" applyAlignment="1">
      <alignment horizontal="right" vertical="center"/>
    </xf>
    <xf numFmtId="4" fontId="41" fillId="0" borderId="0" xfId="9" applyNumberFormat="1" applyFont="1" applyFill="1" applyAlignment="1">
      <alignment vertical="center"/>
    </xf>
    <xf numFmtId="4" fontId="41" fillId="0" borderId="0" xfId="10" applyNumberFormat="1" applyFont="1" applyAlignment="1">
      <alignment horizontal="center" vertical="center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46" fillId="0" borderId="20" xfId="0" applyFont="1" applyBorder="1" applyAlignment="1">
      <alignment horizontal="right"/>
    </xf>
    <xf numFmtId="43" fontId="47" fillId="5" borderId="53" xfId="9" applyFont="1" applyFill="1" applyBorder="1" applyAlignment="1">
      <alignment horizontal="right"/>
    </xf>
    <xf numFmtId="43" fontId="47" fillId="0" borderId="0" xfId="9" applyFont="1" applyFill="1" applyBorder="1" applyAlignment="1">
      <alignment horizontal="right"/>
    </xf>
    <xf numFmtId="43" fontId="33" fillId="0" borderId="15" xfId="9" applyFont="1" applyFill="1" applyBorder="1" applyAlignment="1">
      <alignment vertical="center"/>
    </xf>
    <xf numFmtId="0" fontId="48" fillId="0" borderId="0" xfId="0" applyFont="1" applyAlignment="1">
      <alignment horizontal="left" vertical="center"/>
    </xf>
    <xf numFmtId="4" fontId="41" fillId="0" borderId="0" xfId="10" applyNumberFormat="1" applyFont="1" applyFill="1" applyAlignment="1">
      <alignment horizontal="center" vertical="center"/>
    </xf>
    <xf numFmtId="10" fontId="49" fillId="0" borderId="0" xfId="7" applyNumberFormat="1" applyFont="1" applyFill="1" applyAlignment="1">
      <alignment horizontal="right"/>
    </xf>
    <xf numFmtId="170" fontId="33" fillId="9" borderId="15" xfId="9" applyNumberFormat="1" applyFont="1" applyFill="1" applyBorder="1" applyAlignment="1">
      <alignment vertical="center"/>
    </xf>
    <xf numFmtId="4" fontId="32" fillId="0" borderId="0" xfId="0" applyNumberFormat="1" applyFont="1" applyAlignment="1">
      <alignment horizontal="center" vertical="center"/>
    </xf>
    <xf numFmtId="43" fontId="33" fillId="10" borderId="15" xfId="9" applyFont="1" applyFill="1" applyBorder="1" applyAlignment="1">
      <alignment vertical="center"/>
    </xf>
    <xf numFmtId="167" fontId="50" fillId="0" borderId="0" xfId="0" applyNumberFormat="1" applyFont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0" fontId="34" fillId="9" borderId="54" xfId="0" applyFont="1" applyFill="1" applyBorder="1" applyAlignment="1">
      <alignment vertical="center"/>
    </xf>
    <xf numFmtId="0" fontId="52" fillId="0" borderId="0" xfId="0" applyFont="1" applyAlignment="1">
      <alignment vertical="center"/>
    </xf>
    <xf numFmtId="2" fontId="49" fillId="0" borderId="0" xfId="9" applyNumberFormat="1" applyFont="1" applyFill="1" applyBorder="1" applyAlignment="1">
      <alignment horizontal="center"/>
    </xf>
    <xf numFmtId="2" fontId="46" fillId="0" borderId="0" xfId="9" applyNumberFormat="1" applyFont="1" applyFill="1" applyBorder="1" applyAlignment="1">
      <alignment horizontal="center"/>
    </xf>
    <xf numFmtId="0" fontId="32" fillId="9" borderId="54" xfId="0" applyFont="1" applyFill="1" applyBorder="1" applyAlignment="1">
      <alignment vertical="center"/>
    </xf>
    <xf numFmtId="10" fontId="32" fillId="0" borderId="0" xfId="7" applyNumberFormat="1" applyFont="1" applyFill="1" applyAlignment="1">
      <alignment vertical="center"/>
    </xf>
    <xf numFmtId="4" fontId="32" fillId="0" borderId="0" xfId="9" applyNumberFormat="1" applyFont="1" applyFill="1" applyAlignment="1">
      <alignment vertical="center"/>
    </xf>
    <xf numFmtId="43" fontId="47" fillId="9" borderId="37" xfId="9" applyFont="1" applyFill="1" applyBorder="1" applyAlignment="1">
      <alignment horizontal="right"/>
    </xf>
    <xf numFmtId="0" fontId="33" fillId="9" borderId="38" xfId="0" applyFont="1" applyFill="1" applyBorder="1" applyAlignment="1">
      <alignment horizontal="right" vertical="center"/>
    </xf>
    <xf numFmtId="10" fontId="53" fillId="0" borderId="0" xfId="9" applyNumberFormat="1" applyFont="1" applyFill="1" applyAlignment="1">
      <alignment vertical="center"/>
    </xf>
    <xf numFmtId="10" fontId="34" fillId="0" borderId="0" xfId="7" applyNumberFormat="1" applyFont="1" applyFill="1" applyBorder="1" applyAlignment="1">
      <alignment vertical="center"/>
    </xf>
    <xf numFmtId="167" fontId="54" fillId="0" borderId="0" xfId="0" applyNumberFormat="1" applyFont="1" applyAlignment="1">
      <alignment horizontal="center" vertical="center"/>
    </xf>
    <xf numFmtId="0" fontId="32" fillId="4" borderId="53" xfId="0" applyFont="1" applyFill="1" applyBorder="1" applyAlignment="1">
      <alignment horizontal="center" vertical="center"/>
    </xf>
    <xf numFmtId="43" fontId="55" fillId="0" borderId="0" xfId="9" applyFont="1" applyFill="1" applyAlignment="1">
      <alignment vertical="center"/>
    </xf>
    <xf numFmtId="4" fontId="56" fillId="0" borderId="0" xfId="10" applyNumberFormat="1" applyFont="1" applyFill="1" applyAlignment="1">
      <alignment horizontal="center" vertical="center" wrapText="1"/>
    </xf>
    <xf numFmtId="9" fontId="32" fillId="0" borderId="0" xfId="9" applyNumberFormat="1" applyFont="1" applyFill="1" applyAlignment="1">
      <alignment vertical="center"/>
    </xf>
    <xf numFmtId="0" fontId="4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/>
    </xf>
    <xf numFmtId="4" fontId="40" fillId="0" borderId="0" xfId="9" applyNumberFormat="1" applyFont="1" applyFill="1" applyAlignment="1">
      <alignment vertical="center"/>
    </xf>
    <xf numFmtId="4" fontId="33" fillId="12" borderId="53" xfId="9" applyNumberFormat="1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43" fontId="57" fillId="0" borderId="0" xfId="9" applyFont="1" applyFill="1" applyAlignment="1">
      <alignment vertical="center"/>
    </xf>
    <xf numFmtId="9" fontId="57" fillId="0" borderId="0" xfId="9" applyNumberFormat="1" applyFont="1" applyFill="1" applyAlignment="1">
      <alignment vertical="center"/>
    </xf>
    <xf numFmtId="4" fontId="33" fillId="0" borderId="0" xfId="9" applyNumberFormat="1" applyFont="1" applyFill="1" applyAlignment="1">
      <alignment horizontal="center" vertical="center"/>
    </xf>
    <xf numFmtId="10" fontId="50" fillId="0" borderId="0" xfId="7" applyNumberFormat="1" applyFont="1" applyFill="1" applyAlignment="1">
      <alignment vertical="center"/>
    </xf>
    <xf numFmtId="43" fontId="50" fillId="0" borderId="0" xfId="9" applyFont="1" applyFill="1" applyBorder="1" applyAlignment="1">
      <alignment vertical="center"/>
    </xf>
    <xf numFmtId="4" fontId="32" fillId="0" borderId="0" xfId="0" applyNumberFormat="1" applyFont="1" applyAlignment="1">
      <alignment horizontal="center"/>
    </xf>
    <xf numFmtId="43" fontId="32" fillId="0" borderId="0" xfId="9" applyFont="1" applyFill="1" applyBorder="1"/>
    <xf numFmtId="10" fontId="50" fillId="0" borderId="0" xfId="7" applyNumberFormat="1" applyFont="1" applyFill="1" applyBorder="1" applyAlignment="1">
      <alignment vertical="center"/>
    </xf>
    <xf numFmtId="0" fontId="50" fillId="0" borderId="0" xfId="0" applyFont="1" applyAlignment="1">
      <alignment horizontal="right"/>
    </xf>
    <xf numFmtId="43" fontId="32" fillId="0" borderId="0" xfId="9" applyFont="1" applyFill="1" applyBorder="1" applyAlignment="1">
      <alignment horizontal="center"/>
    </xf>
    <xf numFmtId="9" fontId="60" fillId="0" borderId="0" xfId="0" applyNumberFormat="1" applyFont="1" applyAlignment="1">
      <alignment horizontal="left"/>
    </xf>
    <xf numFmtId="4" fontId="33" fillId="0" borderId="0" xfId="0" applyNumberFormat="1" applyFont="1" applyAlignment="1">
      <alignment horizontal="center"/>
    </xf>
    <xf numFmtId="167" fontId="33" fillId="0" borderId="0" xfId="0" applyNumberFormat="1" applyFont="1"/>
    <xf numFmtId="0" fontId="62" fillId="0" borderId="15" xfId="0" applyFont="1" applyBorder="1" applyAlignment="1">
      <alignment horizontal="center"/>
    </xf>
    <xf numFmtId="0" fontId="63" fillId="0" borderId="15" xfId="1" applyFont="1" applyBorder="1" applyAlignment="1">
      <alignment horizontal="center"/>
    </xf>
    <xf numFmtId="0" fontId="64" fillId="0" borderId="16" xfId="1" applyFont="1" applyBorder="1" applyAlignment="1">
      <alignment horizontal="center" vertical="center"/>
    </xf>
    <xf numFmtId="0" fontId="64" fillId="0" borderId="15" xfId="1" applyFont="1" applyBorder="1" applyAlignment="1">
      <alignment horizontal="center" vertical="center"/>
    </xf>
    <xf numFmtId="0" fontId="65" fillId="0" borderId="15" xfId="1" applyFont="1" applyBorder="1" applyAlignment="1">
      <alignment vertical="center"/>
    </xf>
    <xf numFmtId="1" fontId="64" fillId="0" borderId="15" xfId="1" applyNumberFormat="1" applyFont="1" applyBorder="1" applyAlignment="1">
      <alignment horizontal="center"/>
    </xf>
    <xf numFmtId="1" fontId="64" fillId="0" borderId="15" xfId="1" applyNumberFormat="1" applyFont="1" applyBorder="1" applyAlignment="1">
      <alignment horizontal="center" wrapText="1"/>
    </xf>
    <xf numFmtId="0" fontId="63" fillId="0" borderId="14" xfId="1" applyFont="1" applyBorder="1" applyAlignment="1">
      <alignment horizontal="center"/>
    </xf>
    <xf numFmtId="49" fontId="66" fillId="4" borderId="15" xfId="1" applyNumberFormat="1" applyFont="1" applyFill="1" applyBorder="1" applyAlignment="1">
      <alignment horizontal="center"/>
    </xf>
    <xf numFmtId="1" fontId="63" fillId="0" borderId="15" xfId="0" applyNumberFormat="1" applyFont="1" applyBorder="1" applyAlignment="1">
      <alignment horizontal="center"/>
    </xf>
    <xf numFmtId="1" fontId="63" fillId="0" borderId="15" xfId="0" applyNumberFormat="1" applyFont="1" applyBorder="1" applyAlignment="1">
      <alignment horizontal="center" vertical="center" wrapText="1"/>
    </xf>
    <xf numFmtId="1" fontId="63" fillId="0" borderId="27" xfId="1" applyNumberFormat="1" applyFont="1" applyBorder="1" applyAlignment="1">
      <alignment horizontal="center"/>
    </xf>
    <xf numFmtId="0" fontId="62" fillId="0" borderId="11" xfId="0" applyFont="1" applyBorder="1" applyAlignment="1">
      <alignment horizontal="center"/>
    </xf>
    <xf numFmtId="0" fontId="62" fillId="0" borderId="15" xfId="0" applyFont="1" applyBorder="1"/>
    <xf numFmtId="0" fontId="62" fillId="0" borderId="27" xfId="0" applyFont="1" applyBorder="1" applyAlignment="1">
      <alignment horizontal="center"/>
    </xf>
    <xf numFmtId="0" fontId="63" fillId="3" borderId="0" xfId="1" applyFont="1" applyFill="1"/>
    <xf numFmtId="0" fontId="63" fillId="0" borderId="15" xfId="0" applyFont="1" applyBorder="1" applyAlignment="1">
      <alignment horizontal="center" vertical="center"/>
    </xf>
    <xf numFmtId="1" fontId="63" fillId="0" borderId="9" xfId="1" applyNumberFormat="1" applyFont="1" applyBorder="1" applyAlignment="1">
      <alignment horizontal="center"/>
    </xf>
    <xf numFmtId="0" fontId="63" fillId="0" borderId="8" xfId="1" applyFont="1" applyBorder="1" applyAlignment="1">
      <alignment horizontal="center"/>
    </xf>
    <xf numFmtId="0" fontId="63" fillId="0" borderId="15" xfId="1" applyFont="1" applyBorder="1"/>
    <xf numFmtId="0" fontId="63" fillId="0" borderId="15" xfId="0" applyFont="1" applyBorder="1" applyAlignment="1">
      <alignment horizontal="center"/>
    </xf>
    <xf numFmtId="0" fontId="62" fillId="0" borderId="8" xfId="0" applyFont="1" applyBorder="1" applyAlignment="1">
      <alignment horizontal="center"/>
    </xf>
    <xf numFmtId="0" fontId="64" fillId="0" borderId="15" xfId="1" applyFont="1" applyBorder="1"/>
    <xf numFmtId="1" fontId="63" fillId="0" borderId="15" xfId="1" applyNumberFormat="1" applyFont="1" applyBorder="1" applyAlignment="1">
      <alignment horizontal="center"/>
    </xf>
    <xf numFmtId="0" fontId="63" fillId="4" borderId="15" xfId="0" applyFont="1" applyFill="1" applyBorder="1" applyAlignment="1">
      <alignment horizontal="center"/>
    </xf>
    <xf numFmtId="0" fontId="63" fillId="4" borderId="15" xfId="0" applyFont="1" applyFill="1" applyBorder="1"/>
    <xf numFmtId="0" fontId="62" fillId="4" borderId="15" xfId="0" applyFont="1" applyFill="1" applyBorder="1" applyAlignment="1">
      <alignment horizontal="center"/>
    </xf>
    <xf numFmtId="0" fontId="63" fillId="0" borderId="15" xfId="0" applyFont="1" applyBorder="1" applyAlignment="1">
      <alignment horizontal="left" vertical="center"/>
    </xf>
    <xf numFmtId="16" fontId="63" fillId="4" borderId="15" xfId="0" applyNumberFormat="1" applyFont="1" applyFill="1" applyBorder="1" applyAlignment="1">
      <alignment horizontal="center"/>
    </xf>
    <xf numFmtId="1" fontId="63" fillId="4" borderId="15" xfId="0" applyNumberFormat="1" applyFont="1" applyFill="1" applyBorder="1" applyAlignment="1">
      <alignment horizontal="center" wrapText="1"/>
    </xf>
    <xf numFmtId="1" fontId="63" fillId="0" borderId="15" xfId="0" applyNumberFormat="1" applyFont="1" applyBorder="1" applyAlignment="1">
      <alignment horizontal="center" wrapText="1"/>
    </xf>
    <xf numFmtId="49" fontId="63" fillId="0" borderId="16" xfId="1" applyNumberFormat="1" applyFont="1" applyBorder="1" applyAlignment="1">
      <alignment horizontal="center"/>
    </xf>
    <xf numFmtId="49" fontId="63" fillId="0" borderId="8" xfId="1" applyNumberFormat="1" applyFont="1" applyBorder="1" applyAlignment="1">
      <alignment horizontal="center"/>
    </xf>
    <xf numFmtId="49" fontId="63" fillId="0" borderId="15" xfId="1" applyNumberFormat="1" applyFont="1" applyBorder="1"/>
    <xf numFmtId="1" fontId="63" fillId="0" borderId="15" xfId="1" applyNumberFormat="1" applyFont="1" applyBorder="1" applyAlignment="1">
      <alignment horizontal="center" wrapText="1"/>
    </xf>
    <xf numFmtId="0" fontId="62" fillId="0" borderId="0" xfId="0" applyFont="1" applyAlignment="1">
      <alignment horizontal="center"/>
    </xf>
    <xf numFmtId="49" fontId="66" fillId="3" borderId="21" xfId="1" applyNumberFormat="1" applyFont="1" applyFill="1" applyBorder="1" applyAlignment="1">
      <alignment horizontal="center" vertical="center"/>
    </xf>
    <xf numFmtId="49" fontId="66" fillId="3" borderId="0" xfId="1" applyNumberFormat="1" applyFont="1" applyFill="1" applyAlignment="1">
      <alignment horizontal="center" vertical="center"/>
    </xf>
    <xf numFmtId="1" fontId="63" fillId="3" borderId="0" xfId="1" applyNumberFormat="1" applyFont="1" applyFill="1" applyAlignment="1">
      <alignment horizontal="center"/>
    </xf>
    <xf numFmtId="164" fontId="63" fillId="3" borderId="0" xfId="1" applyNumberFormat="1" applyFont="1" applyFill="1" applyAlignment="1">
      <alignment horizontal="center" wrapText="1"/>
    </xf>
    <xf numFmtId="0" fontId="63" fillId="3" borderId="20" xfId="1" applyFont="1" applyFill="1" applyBorder="1" applyAlignment="1">
      <alignment horizontal="center"/>
    </xf>
    <xf numFmtId="0" fontId="63" fillId="2" borderId="42" xfId="1" applyFont="1" applyFill="1" applyBorder="1" applyAlignment="1">
      <alignment horizontal="center"/>
    </xf>
    <xf numFmtId="0" fontId="63" fillId="2" borderId="37" xfId="1" applyFont="1" applyFill="1" applyBorder="1" applyAlignment="1">
      <alignment horizontal="center"/>
    </xf>
    <xf numFmtId="0" fontId="63" fillId="2" borderId="37" xfId="1" applyFont="1" applyFill="1" applyBorder="1"/>
    <xf numFmtId="0" fontId="64" fillId="2" borderId="37" xfId="1" applyFont="1" applyFill="1" applyBorder="1" applyAlignment="1">
      <alignment horizontal="center"/>
    </xf>
    <xf numFmtId="1" fontId="64" fillId="2" borderId="37" xfId="1" applyNumberFormat="1" applyFont="1" applyFill="1" applyBorder="1" applyAlignment="1">
      <alignment horizontal="center"/>
    </xf>
    <xf numFmtId="164" fontId="63" fillId="2" borderId="37" xfId="1" applyNumberFormat="1" applyFont="1" applyFill="1" applyBorder="1" applyAlignment="1">
      <alignment horizontal="center" wrapText="1"/>
    </xf>
    <xf numFmtId="0" fontId="63" fillId="2" borderId="38" xfId="1" applyFont="1" applyFill="1" applyBorder="1" applyAlignment="1">
      <alignment horizontal="center"/>
    </xf>
    <xf numFmtId="1" fontId="63" fillId="0" borderId="11" xfId="0" applyNumberFormat="1" applyFont="1" applyBorder="1" applyAlignment="1">
      <alignment horizontal="center"/>
    </xf>
    <xf numFmtId="0" fontId="63" fillId="0" borderId="27" xfId="0" applyFont="1" applyBorder="1" applyAlignment="1">
      <alignment horizontal="center"/>
    </xf>
    <xf numFmtId="1" fontId="63" fillId="0" borderId="2" xfId="0" applyNumberFormat="1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7" fillId="2" borderId="10" xfId="1" applyFont="1" applyFill="1" applyBorder="1" applyAlignment="1">
      <alignment horizontal="center" vertical="center" wrapText="1"/>
    </xf>
    <xf numFmtId="14" fontId="11" fillId="3" borderId="15" xfId="2" applyNumberFormat="1" applyFont="1" applyFill="1" applyBorder="1" applyAlignment="1">
      <alignment horizontal="center" vertical="center" wrapText="1"/>
    </xf>
    <xf numFmtId="0" fontId="63" fillId="4" borderId="0" xfId="0" applyFont="1" applyFill="1"/>
    <xf numFmtId="0" fontId="63" fillId="7" borderId="15" xfId="0" applyFont="1" applyFill="1" applyBorder="1" applyAlignment="1">
      <alignment horizontal="center"/>
    </xf>
    <xf numFmtId="1" fontId="63" fillId="7" borderId="15" xfId="0" applyNumberFormat="1" applyFont="1" applyFill="1" applyBorder="1" applyAlignment="1">
      <alignment horizontal="center"/>
    </xf>
    <xf numFmtId="0" fontId="63" fillId="7" borderId="15" xfId="0" applyFont="1" applyFill="1" applyBorder="1"/>
    <xf numFmtId="0" fontId="62" fillId="0" borderId="15" xfId="0" applyFont="1" applyBorder="1" applyAlignment="1">
      <alignment horizontal="left"/>
    </xf>
    <xf numFmtId="1" fontId="63" fillId="0" borderId="15" xfId="0" applyNumberFormat="1" applyFont="1" applyBorder="1" applyAlignment="1">
      <alignment horizontal="center" vertical="center"/>
    </xf>
    <xf numFmtId="14" fontId="10" fillId="3" borderId="33" xfId="2" applyNumberFormat="1" applyFont="1" applyFill="1" applyBorder="1" applyAlignment="1">
      <alignment horizontal="center" vertical="center" wrapText="1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left"/>
    </xf>
    <xf numFmtId="0" fontId="10" fillId="3" borderId="26" xfId="2" applyFont="1" applyFill="1" applyBorder="1" applyAlignment="1">
      <alignment horizontal="left"/>
    </xf>
    <xf numFmtId="0" fontId="10" fillId="3" borderId="19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10" fillId="3" borderId="36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9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61" fillId="5" borderId="42" xfId="2" applyFont="1" applyFill="1" applyBorder="1" applyAlignment="1">
      <alignment horizontal="center" vertical="center" wrapText="1"/>
    </xf>
    <xf numFmtId="0" fontId="61" fillId="5" borderId="37" xfId="2" applyFont="1" applyFill="1" applyBorder="1" applyAlignment="1">
      <alignment horizontal="center" vertical="center" wrapText="1"/>
    </xf>
    <xf numFmtId="0" fontId="61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11" fillId="3" borderId="30" xfId="2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64" fillId="0" borderId="39" xfId="1" applyFont="1" applyBorder="1" applyAlignment="1">
      <alignment horizontal="right"/>
    </xf>
    <xf numFmtId="0" fontId="64" fillId="0" borderId="40" xfId="1" applyFont="1" applyBorder="1" applyAlignment="1">
      <alignment horizontal="right"/>
    </xf>
    <xf numFmtId="0" fontId="64" fillId="0" borderId="12" xfId="1" applyFont="1" applyBorder="1" applyAlignment="1">
      <alignment horizontal="right"/>
    </xf>
    <xf numFmtId="164" fontId="63" fillId="0" borderId="11" xfId="1" applyNumberFormat="1" applyFont="1" applyBorder="1" applyAlignment="1">
      <alignment horizontal="right"/>
    </xf>
    <xf numFmtId="0" fontId="63" fillId="3" borderId="27" xfId="1" applyFont="1" applyFill="1" applyBorder="1" applyAlignment="1">
      <alignment horizontal="center"/>
    </xf>
    <xf numFmtId="0" fontId="63" fillId="3" borderId="43" xfId="1" applyFont="1" applyFill="1" applyBorder="1" applyAlignment="1">
      <alignment horizontal="center"/>
    </xf>
    <xf numFmtId="0" fontId="64" fillId="0" borderId="7" xfId="1" applyFont="1" applyBorder="1" applyAlignment="1">
      <alignment horizontal="right"/>
    </xf>
    <xf numFmtId="0" fontId="64" fillId="0" borderId="6" xfId="1" applyFont="1" applyBorder="1" applyAlignment="1">
      <alignment horizontal="right"/>
    </xf>
    <xf numFmtId="0" fontId="64" fillId="0" borderId="8" xfId="1" applyFont="1" applyBorder="1" applyAlignment="1">
      <alignment horizontal="right"/>
    </xf>
    <xf numFmtId="0" fontId="63" fillId="0" borderId="15" xfId="1" applyFont="1" applyBorder="1" applyAlignment="1">
      <alignment horizontal="right"/>
    </xf>
    <xf numFmtId="164" fontId="63" fillId="0" borderId="9" xfId="1" applyNumberFormat="1" applyFont="1" applyBorder="1" applyAlignment="1">
      <alignment horizontal="center"/>
    </xf>
    <xf numFmtId="164" fontId="63" fillId="0" borderId="5" xfId="1" applyNumberFormat="1" applyFont="1" applyBorder="1" applyAlignment="1">
      <alignment horizontal="center"/>
    </xf>
    <xf numFmtId="0" fontId="63" fillId="0" borderId="15" xfId="0" applyFont="1" applyBorder="1" applyAlignment="1">
      <alignment horizontal="left"/>
    </xf>
    <xf numFmtId="164" fontId="63" fillId="0" borderId="9" xfId="1" applyNumberFormat="1" applyFont="1" applyBorder="1" applyAlignment="1">
      <alignment horizontal="right" wrapText="1"/>
    </xf>
    <xf numFmtId="164" fontId="63" fillId="0" borderId="8" xfId="1" applyNumberFormat="1" applyFont="1" applyBorder="1" applyAlignment="1">
      <alignment horizontal="right" wrapText="1"/>
    </xf>
    <xf numFmtId="0" fontId="64" fillId="0" borderId="4" xfId="1" applyFont="1" applyBorder="1" applyAlignment="1">
      <alignment horizontal="right"/>
    </xf>
    <xf numFmtId="0" fontId="64" fillId="0" borderId="3" xfId="1" applyFont="1" applyBorder="1" applyAlignment="1">
      <alignment horizontal="right"/>
    </xf>
    <xf numFmtId="0" fontId="64" fillId="0" borderId="2" xfId="1" applyFont="1" applyBorder="1" applyAlignment="1">
      <alignment horizontal="right"/>
    </xf>
    <xf numFmtId="0" fontId="63" fillId="0" borderId="2" xfId="1" applyFont="1" applyBorder="1" applyAlignment="1">
      <alignment horizontal="right"/>
    </xf>
    <xf numFmtId="164" fontId="63" fillId="0" borderId="23" xfId="1" applyNumberFormat="1" applyFont="1" applyBorder="1" applyAlignment="1">
      <alignment horizontal="center"/>
    </xf>
    <xf numFmtId="164" fontId="63" fillId="0" borderId="22" xfId="1" applyNumberFormat="1" applyFont="1" applyBorder="1" applyAlignment="1">
      <alignment horizontal="center"/>
    </xf>
    <xf numFmtId="0" fontId="64" fillId="2" borderId="36" xfId="1" applyFont="1" applyFill="1" applyBorder="1" applyAlignment="1">
      <alignment horizontal="center"/>
    </xf>
    <xf numFmtId="0" fontId="64" fillId="2" borderId="35" xfId="1" applyFont="1" applyFill="1" applyBorder="1" applyAlignment="1">
      <alignment horizontal="center"/>
    </xf>
    <xf numFmtId="0" fontId="64" fillId="2" borderId="56" xfId="1" applyFont="1" applyFill="1" applyBorder="1" applyAlignment="1">
      <alignment horizontal="center"/>
    </xf>
    <xf numFmtId="0" fontId="63" fillId="0" borderId="15" xfId="1" applyFont="1" applyBorder="1" applyAlignment="1">
      <alignment horizontal="left" wrapText="1"/>
    </xf>
    <xf numFmtId="0" fontId="63" fillId="3" borderId="15" xfId="2" applyFont="1" applyFill="1" applyBorder="1" applyAlignment="1">
      <alignment horizontal="left"/>
    </xf>
    <xf numFmtId="0" fontId="63" fillId="0" borderId="15" xfId="1" applyFont="1" applyBorder="1" applyAlignment="1">
      <alignment horizontal="left"/>
    </xf>
    <xf numFmtId="0" fontId="64" fillId="6" borderId="15" xfId="2" applyFont="1" applyFill="1" applyBorder="1" applyAlignment="1">
      <alignment horizontal="center"/>
    </xf>
    <xf numFmtId="0" fontId="10" fillId="0" borderId="46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1" fillId="0" borderId="7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5" xfId="1" applyFont="1" applyBorder="1" applyAlignment="1">
      <alignment horizontal="left"/>
    </xf>
    <xf numFmtId="0" fontId="21" fillId="0" borderId="15" xfId="1" applyFont="1" applyBorder="1" applyAlignment="1">
      <alignment horizontal="left" wrapText="1"/>
    </xf>
    <xf numFmtId="0" fontId="22" fillId="0" borderId="15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7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13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23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10" fillId="3" borderId="27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16" fillId="5" borderId="42" xfId="2" applyFont="1" applyFill="1" applyBorder="1" applyAlignment="1">
      <alignment horizontal="center" vertical="center" wrapText="1"/>
    </xf>
    <xf numFmtId="0" fontId="16" fillId="5" borderId="37" xfId="2" applyFont="1" applyFill="1" applyBorder="1" applyAlignment="1">
      <alignment horizontal="center" vertical="center" wrapText="1"/>
    </xf>
    <xf numFmtId="0" fontId="16" fillId="5" borderId="38" xfId="2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58" fillId="0" borderId="42" xfId="0" applyFont="1" applyBorder="1" applyAlignment="1">
      <alignment horizontal="right" vertical="center"/>
    </xf>
    <xf numFmtId="0" fontId="58" fillId="0" borderId="37" xfId="0" applyFont="1" applyBorder="1" applyAlignment="1">
      <alignment horizontal="right" vertical="center"/>
    </xf>
    <xf numFmtId="0" fontId="58" fillId="0" borderId="38" xfId="0" applyFont="1" applyBorder="1" applyAlignment="1">
      <alignment horizontal="right" vertical="center"/>
    </xf>
    <xf numFmtId="0" fontId="59" fillId="0" borderId="0" xfId="0" applyFont="1" applyAlignment="1">
      <alignment horizontal="right"/>
    </xf>
    <xf numFmtId="0" fontId="49" fillId="0" borderId="30" xfId="0" applyFont="1" applyBorder="1" applyAlignment="1">
      <alignment horizontal="right"/>
    </xf>
    <xf numFmtId="0" fontId="41" fillId="0" borderId="0" xfId="0" applyFont="1" applyAlignment="1">
      <alignment horizontal="right" vertical="center"/>
    </xf>
    <xf numFmtId="0" fontId="47" fillId="9" borderId="42" xfId="0" applyFont="1" applyFill="1" applyBorder="1" applyAlignment="1">
      <alignment horizontal="right"/>
    </xf>
    <xf numFmtId="0" fontId="47" fillId="9" borderId="37" xfId="0" applyFont="1" applyFill="1" applyBorder="1" applyAlignment="1">
      <alignment horizontal="right"/>
    </xf>
    <xf numFmtId="0" fontId="32" fillId="0" borderId="0" xfId="0" applyFont="1" applyAlignment="1">
      <alignment horizontal="right" vertical="center"/>
    </xf>
    <xf numFmtId="0" fontId="33" fillId="0" borderId="30" xfId="0" applyFont="1" applyBorder="1" applyAlignment="1">
      <alignment horizontal="right" vertical="center"/>
    </xf>
    <xf numFmtId="0" fontId="33" fillId="0" borderId="55" xfId="0" applyFont="1" applyBorder="1" applyAlignment="1">
      <alignment horizontal="right" vertical="center"/>
    </xf>
    <xf numFmtId="0" fontId="33" fillId="11" borderId="42" xfId="0" applyFont="1" applyFill="1" applyBorder="1" applyAlignment="1">
      <alignment horizontal="right" vertical="center"/>
    </xf>
    <xf numFmtId="0" fontId="33" fillId="11" borderId="37" xfId="0" applyFont="1" applyFill="1" applyBorder="1" applyAlignment="1">
      <alignment horizontal="right" vertical="center"/>
    </xf>
    <xf numFmtId="0" fontId="33" fillId="11" borderId="38" xfId="0" applyFont="1" applyFill="1" applyBorder="1" applyAlignment="1">
      <alignment horizontal="right" vertical="center"/>
    </xf>
    <xf numFmtId="4" fontId="56" fillId="0" borderId="0" xfId="10" applyNumberFormat="1" applyFont="1" applyFill="1" applyAlignment="1">
      <alignment horizontal="center" vertical="center" wrapText="1"/>
    </xf>
    <xf numFmtId="0" fontId="50" fillId="0" borderId="15" xfId="0" applyFont="1" applyBorder="1" applyAlignment="1">
      <alignment horizontal="right" vertical="center"/>
    </xf>
    <xf numFmtId="0" fontId="51" fillId="0" borderId="21" xfId="0" applyFont="1" applyBorder="1" applyAlignment="1">
      <alignment horizontal="right"/>
    </xf>
    <xf numFmtId="0" fontId="51" fillId="0" borderId="0" xfId="0" applyFont="1" applyAlignment="1">
      <alignment horizontal="right"/>
    </xf>
    <xf numFmtId="0" fontId="51" fillId="0" borderId="20" xfId="0" applyFont="1" applyBorder="1" applyAlignment="1">
      <alignment horizontal="right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42" fillId="0" borderId="36" xfId="0" applyFont="1" applyBorder="1" applyAlignment="1">
      <alignment horizontal="right"/>
    </xf>
    <xf numFmtId="0" fontId="42" fillId="0" borderId="35" xfId="0" applyFont="1" applyBorder="1" applyAlignment="1">
      <alignment horizontal="right"/>
    </xf>
    <xf numFmtId="0" fontId="32" fillId="0" borderId="15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6" fillId="0" borderId="30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left"/>
    </xf>
    <xf numFmtId="0" fontId="3" fillId="0" borderId="39" xfId="1" applyFont="1" applyBorder="1" applyAlignment="1">
      <alignment horizontal="left" wrapText="1"/>
    </xf>
    <xf numFmtId="0" fontId="3" fillId="0" borderId="40" xfId="1" applyFont="1" applyBorder="1" applyAlignment="1">
      <alignment horizontal="left" wrapText="1"/>
    </xf>
    <xf numFmtId="0" fontId="3" fillId="0" borderId="43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</cellXfs>
  <cellStyles count="12">
    <cellStyle name="Millares" xfId="9" builtinId="3"/>
    <cellStyle name="Millares [0]" xfId="10" builtinId="6"/>
    <cellStyle name="Millares 2" xfId="11" xr:uid="{39D0275E-75BF-482A-9086-F52AC7BB2863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EBFF37AA-A9E6-4923-827A-696DBB98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40081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82627</xdr:colOff>
      <xdr:row>1</xdr:row>
      <xdr:rowOff>82627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2283D09D-891E-4C63-B27C-B70E7DB3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7" y="284603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</xdr:colOff>
      <xdr:row>1</xdr:row>
      <xdr:rowOff>23812</xdr:rowOff>
    </xdr:from>
    <xdr:to>
      <xdr:col>1</xdr:col>
      <xdr:colOff>1087278</xdr:colOff>
      <xdr:row>4</xdr:row>
      <xdr:rowOff>9769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CB8A26A-E77A-4DCD-B8AE-43F6A0BA7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" y="238125"/>
          <a:ext cx="1809750" cy="8174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54DB-43C2-4B2F-B097-D17933D1576D}">
  <dimension ref="A1:K69"/>
  <sheetViews>
    <sheetView topLeftCell="A15" zoomScale="70" zoomScaleNormal="70" workbookViewId="0">
      <selection activeCell="C36" sqref="C36"/>
    </sheetView>
  </sheetViews>
  <sheetFormatPr baseColWidth="10" defaultRowHeight="15" x14ac:dyDescent="0.25"/>
  <cols>
    <col min="1" max="1" width="1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10" ht="17.25" x14ac:dyDescent="0.3">
      <c r="A1" s="300"/>
      <c r="B1" s="301"/>
      <c r="C1" s="306" t="s">
        <v>30</v>
      </c>
      <c r="D1" s="306"/>
      <c r="E1" s="306"/>
      <c r="F1" s="306"/>
      <c r="G1" s="306"/>
      <c r="H1" s="6" t="s">
        <v>29</v>
      </c>
      <c r="I1" s="7"/>
    </row>
    <row r="2" spans="1:10" ht="18" thickBot="1" x14ac:dyDescent="0.35">
      <c r="A2" s="302"/>
      <c r="B2" s="303"/>
      <c r="C2" s="307" t="s">
        <v>28</v>
      </c>
      <c r="D2" s="307"/>
      <c r="E2" s="307"/>
      <c r="F2" s="307"/>
      <c r="G2" s="307"/>
      <c r="H2" s="8" t="s">
        <v>27</v>
      </c>
      <c r="I2" s="9"/>
    </row>
    <row r="3" spans="1:10" ht="22.9" customHeight="1" thickBot="1" x14ac:dyDescent="0.3">
      <c r="A3" s="302"/>
      <c r="B3" s="303"/>
      <c r="C3" s="402" t="s">
        <v>77</v>
      </c>
      <c r="D3" s="403"/>
      <c r="E3" s="403"/>
      <c r="F3" s="403"/>
      <c r="G3" s="404"/>
      <c r="H3" s="311" t="s">
        <v>26</v>
      </c>
      <c r="I3" s="291"/>
    </row>
    <row r="4" spans="1:10" ht="17.25" x14ac:dyDescent="0.3">
      <c r="A4" s="302"/>
      <c r="B4" s="303"/>
      <c r="C4" s="10" t="s">
        <v>25</v>
      </c>
      <c r="D4" s="294" t="s">
        <v>35</v>
      </c>
      <c r="E4" s="295"/>
      <c r="F4" s="295"/>
      <c r="G4" s="296"/>
      <c r="H4" s="312"/>
      <c r="I4" s="292"/>
    </row>
    <row r="5" spans="1:10" ht="18" thickBot="1" x14ac:dyDescent="0.35">
      <c r="A5" s="304"/>
      <c r="B5" s="305"/>
      <c r="C5" s="11" t="s">
        <v>24</v>
      </c>
      <c r="D5" s="297" t="s">
        <v>47</v>
      </c>
      <c r="E5" s="298"/>
      <c r="F5" s="298"/>
      <c r="G5" s="299"/>
      <c r="H5" s="313"/>
      <c r="I5" s="293"/>
    </row>
    <row r="6" spans="1:10" ht="16.5" thickBot="1" x14ac:dyDescent="0.3">
      <c r="A6" s="314" t="s">
        <v>23</v>
      </c>
      <c r="B6" s="314"/>
      <c r="C6" s="314"/>
      <c r="D6" s="315" t="s">
        <v>62</v>
      </c>
      <c r="E6" s="315"/>
      <c r="F6" s="315"/>
      <c r="G6" s="316" t="s">
        <v>22</v>
      </c>
      <c r="H6" s="316"/>
      <c r="I6" s="12" t="s">
        <v>62</v>
      </c>
    </row>
    <row r="7" spans="1:10" x14ac:dyDescent="0.25">
      <c r="A7" s="317" t="s">
        <v>21</v>
      </c>
      <c r="B7" s="319" t="s">
        <v>31</v>
      </c>
      <c r="C7" s="321" t="s">
        <v>20</v>
      </c>
      <c r="D7" s="321" t="s">
        <v>19</v>
      </c>
      <c r="E7" s="321" t="s">
        <v>18</v>
      </c>
      <c r="F7" s="321"/>
      <c r="G7" s="321" t="s">
        <v>17</v>
      </c>
      <c r="H7" s="321"/>
      <c r="I7" s="13" t="s">
        <v>16</v>
      </c>
    </row>
    <row r="8" spans="1:10" ht="31.5" thickBot="1" x14ac:dyDescent="0.3">
      <c r="A8" s="318"/>
      <c r="B8" s="320"/>
      <c r="C8" s="322"/>
      <c r="D8" s="323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10" ht="19.899999999999999" customHeight="1" x14ac:dyDescent="0.3">
      <c r="A9" s="88"/>
      <c r="B9" s="89"/>
      <c r="C9" s="72" t="s">
        <v>32</v>
      </c>
      <c r="D9" s="89"/>
      <c r="E9" s="71"/>
      <c r="F9" s="90"/>
      <c r="G9" s="71"/>
      <c r="H9" s="90"/>
      <c r="I9" s="17"/>
    </row>
    <row r="10" spans="1:10" ht="17.45" customHeight="1" x14ac:dyDescent="0.3">
      <c r="A10" s="116" t="s">
        <v>50</v>
      </c>
      <c r="B10" s="116" t="s">
        <v>51</v>
      </c>
      <c r="C10" s="119" t="s">
        <v>52</v>
      </c>
      <c r="D10" s="117" t="s">
        <v>36</v>
      </c>
      <c r="E10" s="62" t="s">
        <v>55</v>
      </c>
      <c r="F10" s="76" t="s">
        <v>37</v>
      </c>
      <c r="G10" s="77" t="s">
        <v>86</v>
      </c>
      <c r="H10" s="91" t="s">
        <v>85</v>
      </c>
      <c r="I10" s="4"/>
    </row>
    <row r="11" spans="1:10" ht="17.45" customHeight="1" x14ac:dyDescent="0.3">
      <c r="A11" s="65"/>
      <c r="B11" s="65" t="s">
        <v>48</v>
      </c>
      <c r="C11" s="73" t="s">
        <v>49</v>
      </c>
      <c r="D11" s="117" t="s">
        <v>36</v>
      </c>
      <c r="E11" s="62">
        <v>240</v>
      </c>
      <c r="F11" s="76" t="s">
        <v>1</v>
      </c>
      <c r="G11" s="77" t="s">
        <v>56</v>
      </c>
      <c r="H11" s="104"/>
      <c r="I11" s="4"/>
      <c r="J11">
        <f>1/2</f>
        <v>0.5</v>
      </c>
    </row>
    <row r="12" spans="1:10" ht="17.45" customHeight="1" x14ac:dyDescent="0.3">
      <c r="A12" s="65"/>
      <c r="B12" s="65" t="s">
        <v>53</v>
      </c>
      <c r="C12" s="73" t="s">
        <v>54</v>
      </c>
      <c r="D12" s="117" t="s">
        <v>36</v>
      </c>
      <c r="E12" s="62">
        <v>120</v>
      </c>
      <c r="F12" s="76" t="s">
        <v>1</v>
      </c>
      <c r="G12" s="77" t="s">
        <v>57</v>
      </c>
      <c r="H12" s="104"/>
      <c r="I12" s="4"/>
    </row>
    <row r="13" spans="1:10" ht="17.45" customHeight="1" x14ac:dyDescent="0.3">
      <c r="A13" s="65"/>
      <c r="B13" s="65" t="s">
        <v>58</v>
      </c>
      <c r="C13" s="73" t="s">
        <v>78</v>
      </c>
      <c r="D13" s="117" t="s">
        <v>36</v>
      </c>
      <c r="E13" s="62">
        <f>40*8</f>
        <v>320</v>
      </c>
      <c r="F13" s="76" t="s">
        <v>1</v>
      </c>
      <c r="G13" s="77" t="s">
        <v>79</v>
      </c>
      <c r="H13" s="104"/>
      <c r="I13" s="4"/>
    </row>
    <row r="14" spans="1:10" ht="17.45" customHeight="1" x14ac:dyDescent="0.3">
      <c r="A14" s="65"/>
      <c r="B14" s="126" t="s">
        <v>58</v>
      </c>
      <c r="C14" s="125" t="s">
        <v>80</v>
      </c>
      <c r="D14" s="124" t="s">
        <v>36</v>
      </c>
      <c r="E14" s="62">
        <f>60*8</f>
        <v>480</v>
      </c>
      <c r="F14" s="76" t="s">
        <v>1</v>
      </c>
      <c r="G14" s="77" t="s">
        <v>81</v>
      </c>
      <c r="H14" s="104"/>
      <c r="I14" s="4"/>
    </row>
    <row r="15" spans="1:10" ht="17.45" customHeight="1" x14ac:dyDescent="0.3">
      <c r="A15" s="65"/>
      <c r="B15" s="122"/>
      <c r="C15" s="123"/>
      <c r="D15" s="122"/>
      <c r="E15" s="62"/>
      <c r="F15" s="76"/>
      <c r="G15" s="77"/>
      <c r="H15" s="104"/>
      <c r="I15" s="4"/>
    </row>
    <row r="16" spans="1:10" ht="18.75" x14ac:dyDescent="0.3">
      <c r="A16" s="68"/>
      <c r="B16" s="65"/>
      <c r="C16" s="73"/>
      <c r="D16" s="117"/>
      <c r="E16" s="62"/>
      <c r="F16" s="76"/>
      <c r="G16" s="77"/>
      <c r="H16" s="104"/>
      <c r="I16" s="4"/>
    </row>
    <row r="17" spans="1:10" ht="18.75" x14ac:dyDescent="0.3">
      <c r="A17" s="68"/>
      <c r="B17" s="65"/>
      <c r="C17" s="73"/>
      <c r="D17" s="117"/>
      <c r="E17" s="79"/>
      <c r="F17" s="76"/>
      <c r="G17" s="77"/>
      <c r="H17" s="65"/>
      <c r="I17" s="4"/>
    </row>
    <row r="18" spans="1:10" ht="18.75" x14ac:dyDescent="0.3">
      <c r="A18" s="68"/>
      <c r="B18" s="73"/>
      <c r="C18" s="73"/>
      <c r="D18" s="80"/>
      <c r="E18" s="81"/>
      <c r="F18" s="76"/>
      <c r="G18" s="78"/>
      <c r="H18" s="65"/>
      <c r="I18" s="4"/>
    </row>
    <row r="19" spans="1:10" ht="18.75" x14ac:dyDescent="0.3">
      <c r="A19" s="67"/>
      <c r="B19" s="68"/>
      <c r="C19" s="83"/>
      <c r="D19" s="63"/>
      <c r="E19" s="65"/>
      <c r="F19" s="84"/>
      <c r="G19" s="78"/>
      <c r="H19" s="65"/>
      <c r="I19" s="4"/>
    </row>
    <row r="20" spans="1:10" ht="18.75" x14ac:dyDescent="0.3">
      <c r="A20" s="67"/>
      <c r="B20" s="68"/>
      <c r="C20" s="83"/>
      <c r="D20" s="63"/>
      <c r="E20" s="65"/>
      <c r="F20" s="84"/>
      <c r="G20" s="78"/>
      <c r="H20" s="65"/>
      <c r="I20" s="4"/>
    </row>
    <row r="21" spans="1:10" ht="18.75" x14ac:dyDescent="0.3">
      <c r="A21" s="68"/>
      <c r="B21" s="68"/>
      <c r="C21" s="92" t="s">
        <v>42</v>
      </c>
      <c r="D21" s="65"/>
      <c r="E21" s="73"/>
      <c r="F21" s="65"/>
      <c r="G21" s="64"/>
      <c r="H21" s="65"/>
      <c r="I21" s="4"/>
    </row>
    <row r="22" spans="1:10" ht="18.75" x14ac:dyDescent="0.3">
      <c r="A22" s="68"/>
      <c r="B22" s="65" t="s">
        <v>58</v>
      </c>
      <c r="C22" s="73" t="s">
        <v>78</v>
      </c>
      <c r="D22" s="117" t="s">
        <v>36</v>
      </c>
      <c r="E22" s="62">
        <f>40*8</f>
        <v>320</v>
      </c>
      <c r="F22" s="76" t="s">
        <v>1</v>
      </c>
      <c r="G22" s="64"/>
      <c r="H22" s="107"/>
      <c r="I22" s="4"/>
      <c r="J22" s="62"/>
    </row>
    <row r="23" spans="1:10" ht="18.75" x14ac:dyDescent="0.3">
      <c r="A23" s="68"/>
      <c r="B23" s="130" t="s">
        <v>82</v>
      </c>
      <c r="C23" s="131" t="s">
        <v>83</v>
      </c>
      <c r="D23" s="133" t="s">
        <v>36</v>
      </c>
      <c r="E23" s="70">
        <f>3*8</f>
        <v>24</v>
      </c>
      <c r="F23" s="70" t="s">
        <v>1</v>
      </c>
      <c r="G23" s="64" t="s">
        <v>84</v>
      </c>
      <c r="H23" s="107"/>
      <c r="I23" s="4"/>
      <c r="J23" s="62"/>
    </row>
    <row r="24" spans="1:10" ht="18.75" x14ac:dyDescent="0.3">
      <c r="A24" s="68"/>
      <c r="B24" s="113"/>
      <c r="C24" s="114"/>
      <c r="D24" s="111"/>
      <c r="E24" s="70"/>
      <c r="F24" s="70"/>
      <c r="G24" s="64"/>
      <c r="H24" s="107"/>
      <c r="I24" s="4"/>
      <c r="J24" s="62"/>
    </row>
    <row r="25" spans="1:10" ht="22.9" customHeight="1" x14ac:dyDescent="0.3">
      <c r="A25" s="105"/>
      <c r="B25" s="109"/>
      <c r="C25" s="110"/>
      <c r="D25" s="111"/>
      <c r="E25" s="70"/>
      <c r="F25" s="70"/>
      <c r="G25" s="71"/>
      <c r="H25" s="90"/>
      <c r="I25" s="4"/>
      <c r="J25" s="79"/>
    </row>
    <row r="26" spans="1:10" ht="21.6" customHeight="1" x14ac:dyDescent="0.3">
      <c r="A26" s="106"/>
      <c r="B26" s="109"/>
      <c r="C26" s="110"/>
      <c r="D26" s="111"/>
      <c r="E26" s="70"/>
      <c r="F26" s="70"/>
      <c r="G26" s="1"/>
      <c r="H26" s="107"/>
      <c r="I26" s="1"/>
      <c r="J26" s="108"/>
    </row>
    <row r="27" spans="1:10" ht="18" customHeight="1" x14ac:dyDescent="0.3">
      <c r="A27" s="106"/>
      <c r="B27" s="109"/>
      <c r="C27" s="110"/>
      <c r="D27" s="112"/>
      <c r="E27" s="70"/>
      <c r="F27" s="70"/>
      <c r="G27" s="71"/>
      <c r="H27" s="90"/>
      <c r="I27" s="1"/>
    </row>
    <row r="28" spans="1:10" ht="18.75" x14ac:dyDescent="0.3">
      <c r="A28" s="68"/>
      <c r="B28" s="65"/>
      <c r="C28" s="73"/>
      <c r="D28" s="70"/>
      <c r="E28" s="70"/>
      <c r="F28" s="70"/>
      <c r="G28" s="71"/>
      <c r="H28" s="90"/>
      <c r="I28" s="4"/>
    </row>
    <row r="29" spans="1:10" ht="18.75" x14ac:dyDescent="0.3">
      <c r="A29" s="68"/>
      <c r="B29" s="65"/>
      <c r="C29" s="103"/>
      <c r="D29" s="80"/>
      <c r="E29" s="70"/>
      <c r="F29" s="70"/>
      <c r="G29" s="71"/>
      <c r="H29" s="90"/>
      <c r="I29" s="4"/>
    </row>
    <row r="30" spans="1:10" ht="18.75" x14ac:dyDescent="0.3">
      <c r="A30" s="68"/>
      <c r="B30" s="65"/>
      <c r="C30" s="103"/>
      <c r="D30" s="80"/>
      <c r="E30" s="70"/>
      <c r="F30" s="70"/>
      <c r="G30" s="71"/>
      <c r="H30" s="90"/>
      <c r="I30" s="4"/>
    </row>
    <row r="31" spans="1:10" ht="18.75" x14ac:dyDescent="0.3">
      <c r="A31" s="68"/>
      <c r="B31" s="65"/>
      <c r="C31" s="103"/>
      <c r="D31" s="80"/>
      <c r="E31" s="70"/>
      <c r="F31" s="70"/>
      <c r="G31" s="71"/>
      <c r="H31" s="90"/>
      <c r="I31" s="4"/>
    </row>
    <row r="32" spans="1:10" ht="18.75" x14ac:dyDescent="0.3">
      <c r="A32" s="68"/>
      <c r="B32" s="65"/>
      <c r="C32" s="103"/>
      <c r="D32" s="80"/>
      <c r="E32" s="70"/>
      <c r="F32" s="70"/>
      <c r="G32" s="71"/>
      <c r="H32" s="90"/>
      <c r="I32" s="4"/>
    </row>
    <row r="33" spans="1:11" ht="18.75" x14ac:dyDescent="0.3">
      <c r="A33" s="73"/>
      <c r="B33" s="69"/>
      <c r="C33" s="93"/>
      <c r="D33" s="74"/>
      <c r="E33" s="69"/>
      <c r="F33" s="94"/>
      <c r="G33" s="71"/>
      <c r="H33" s="90"/>
      <c r="I33" s="17"/>
    </row>
    <row r="34" spans="1:11" ht="18.75" x14ac:dyDescent="0.3">
      <c r="A34" s="68"/>
      <c r="B34" s="68"/>
      <c r="C34" s="92" t="s">
        <v>34</v>
      </c>
      <c r="D34" s="73"/>
      <c r="E34" s="73"/>
      <c r="F34" s="65"/>
      <c r="G34" s="64"/>
      <c r="H34" s="65"/>
      <c r="I34" s="17"/>
    </row>
    <row r="35" spans="1:11" ht="18.75" x14ac:dyDescent="0.3">
      <c r="A35" s="62"/>
      <c r="B35" s="63"/>
      <c r="C35" s="82"/>
      <c r="D35" s="85"/>
      <c r="E35" s="86"/>
      <c r="F35" s="86"/>
      <c r="G35" s="64"/>
      <c r="H35" s="65"/>
      <c r="I35" s="17"/>
    </row>
    <row r="36" spans="1:11" ht="18.75" x14ac:dyDescent="0.3">
      <c r="A36" s="62"/>
      <c r="B36" s="63" t="s">
        <v>59</v>
      </c>
      <c r="C36" s="82" t="s">
        <v>87</v>
      </c>
      <c r="D36" s="85"/>
      <c r="E36" s="86">
        <v>8</v>
      </c>
      <c r="F36" s="86" t="s">
        <v>37</v>
      </c>
      <c r="G36" s="95"/>
      <c r="H36" s="65"/>
      <c r="I36" s="17"/>
    </row>
    <row r="37" spans="1:11" s="61" customFormat="1" ht="18.75" x14ac:dyDescent="0.3">
      <c r="A37" s="62">
        <v>702123</v>
      </c>
      <c r="B37" s="63" t="s">
        <v>38</v>
      </c>
      <c r="C37" s="82" t="s">
        <v>41</v>
      </c>
      <c r="D37" s="85" t="s">
        <v>44</v>
      </c>
      <c r="E37" s="86">
        <v>8</v>
      </c>
      <c r="F37" s="86" t="s">
        <v>37</v>
      </c>
      <c r="G37" s="75"/>
      <c r="H37" s="65"/>
      <c r="I37" s="17"/>
    </row>
    <row r="38" spans="1:11" ht="18.75" x14ac:dyDescent="0.3">
      <c r="A38" s="62">
        <v>701096</v>
      </c>
      <c r="B38" s="87" t="s">
        <v>40</v>
      </c>
      <c r="C38" s="82" t="s">
        <v>43</v>
      </c>
      <c r="D38" s="85" t="s">
        <v>39</v>
      </c>
      <c r="E38" s="86">
        <v>8</v>
      </c>
      <c r="F38" s="86" t="s">
        <v>37</v>
      </c>
      <c r="G38" s="95"/>
      <c r="H38" s="68"/>
      <c r="I38" s="17"/>
    </row>
    <row r="39" spans="1:11" ht="18.75" x14ac:dyDescent="0.3">
      <c r="A39" s="62">
        <v>702007</v>
      </c>
      <c r="B39" s="63" t="s">
        <v>45</v>
      </c>
      <c r="C39" s="82" t="s">
        <v>46</v>
      </c>
      <c r="D39" s="85" t="s">
        <v>39</v>
      </c>
      <c r="E39" s="86">
        <v>8</v>
      </c>
      <c r="F39" s="86" t="s">
        <v>37</v>
      </c>
      <c r="G39" s="71"/>
      <c r="H39" s="68"/>
      <c r="I39" s="17"/>
    </row>
    <row r="40" spans="1:11" ht="18.75" x14ac:dyDescent="0.3">
      <c r="A40" s="69"/>
      <c r="B40" s="96" t="s">
        <v>59</v>
      </c>
      <c r="C40" s="93" t="s">
        <v>149</v>
      </c>
      <c r="D40" s="69"/>
      <c r="E40" s="86">
        <v>8</v>
      </c>
      <c r="F40" s="97" t="s">
        <v>37</v>
      </c>
      <c r="G40" s="64"/>
      <c r="H40" s="98"/>
      <c r="I40" s="17"/>
    </row>
    <row r="41" spans="1:11" ht="18.75" x14ac:dyDescent="0.3">
      <c r="A41" s="99"/>
      <c r="B41" s="100"/>
      <c r="C41" s="101"/>
      <c r="D41" s="63"/>
      <c r="E41" s="64"/>
      <c r="F41" s="102"/>
      <c r="G41" s="64"/>
      <c r="H41" s="98"/>
      <c r="I41" s="17"/>
    </row>
    <row r="42" spans="1:11" ht="16.149999999999999" customHeight="1" x14ac:dyDescent="0.25">
      <c r="A42" s="53"/>
      <c r="B42" s="53"/>
      <c r="C42" s="54"/>
      <c r="D42" s="55"/>
      <c r="E42" s="53"/>
      <c r="F42" s="56"/>
      <c r="G42" s="57"/>
      <c r="H42" s="51"/>
      <c r="I42" s="17"/>
    </row>
    <row r="43" spans="1:11" ht="15.75" x14ac:dyDescent="0.25">
      <c r="A43" s="58"/>
      <c r="B43" s="58"/>
      <c r="C43" s="59"/>
      <c r="D43" s="18"/>
      <c r="E43" s="58"/>
      <c r="F43" s="5"/>
      <c r="G43" s="52"/>
      <c r="H43" s="60"/>
      <c r="I43" s="17"/>
    </row>
    <row r="44" spans="1:11" ht="17.25" x14ac:dyDescent="0.3">
      <c r="A44" s="21"/>
      <c r="B44" s="22"/>
      <c r="C44" s="23"/>
      <c r="D44" s="24"/>
      <c r="E44" s="25"/>
      <c r="F44" s="25"/>
      <c r="G44" s="20"/>
      <c r="H44" s="3"/>
      <c r="I44" s="17"/>
    </row>
    <row r="45" spans="1:11" ht="15.75" x14ac:dyDescent="0.25">
      <c r="A45" s="22"/>
      <c r="B45" s="26"/>
      <c r="C45" s="27"/>
      <c r="D45" s="2"/>
      <c r="E45" s="28"/>
      <c r="F45" s="19"/>
      <c r="G45" s="20"/>
      <c r="H45" s="4"/>
      <c r="I45" s="17"/>
    </row>
    <row r="46" spans="1:11" ht="15.75" x14ac:dyDescent="0.25">
      <c r="A46" s="29"/>
      <c r="B46" s="30"/>
      <c r="C46" s="31"/>
      <c r="D46" s="4"/>
      <c r="E46" s="4"/>
      <c r="F46" s="32"/>
      <c r="G46" s="4"/>
      <c r="H46" s="4"/>
      <c r="I46" s="17"/>
      <c r="J46" s="108"/>
    </row>
    <row r="47" spans="1:11" ht="18" thickBot="1" x14ac:dyDescent="0.35">
      <c r="A47" s="33"/>
      <c r="B47" s="34"/>
      <c r="C47" s="35"/>
      <c r="D47" s="35"/>
      <c r="E47" s="36"/>
      <c r="F47" s="37"/>
      <c r="G47" s="35"/>
      <c r="H47" s="35"/>
      <c r="I47" s="38"/>
      <c r="K47" s="108"/>
    </row>
    <row r="48" spans="1:11" ht="18" thickBot="1" x14ac:dyDescent="0.35">
      <c r="A48" s="39"/>
      <c r="B48" s="40"/>
      <c r="C48" s="41"/>
      <c r="D48" s="42" t="s">
        <v>13</v>
      </c>
      <c r="E48" s="43" t="s">
        <v>12</v>
      </c>
      <c r="F48" s="44"/>
      <c r="G48" s="41"/>
      <c r="H48" s="41"/>
      <c r="I48" s="45"/>
    </row>
    <row r="49" spans="1:9" ht="17.25" x14ac:dyDescent="0.3">
      <c r="A49" s="390" t="s">
        <v>11</v>
      </c>
      <c r="B49" s="391"/>
      <c r="C49" s="392"/>
      <c r="D49" s="46">
        <v>2048</v>
      </c>
      <c r="E49" s="47" t="s">
        <v>1</v>
      </c>
      <c r="F49" s="393" t="s">
        <v>10</v>
      </c>
      <c r="G49" s="393"/>
      <c r="H49" s="394"/>
      <c r="I49" s="395"/>
    </row>
    <row r="50" spans="1:9" ht="17.25" x14ac:dyDescent="0.3">
      <c r="A50" s="384" t="s">
        <v>9</v>
      </c>
      <c r="B50" s="385"/>
      <c r="C50" s="386"/>
      <c r="D50" s="48">
        <v>4</v>
      </c>
      <c r="E50" s="48" t="s">
        <v>8</v>
      </c>
      <c r="F50" s="387" t="s">
        <v>7</v>
      </c>
      <c r="G50" s="387"/>
      <c r="H50" s="388"/>
      <c r="I50" s="389"/>
    </row>
    <row r="51" spans="1:9" ht="17.25" x14ac:dyDescent="0.3">
      <c r="A51" s="384" t="s">
        <v>6</v>
      </c>
      <c r="B51" s="385"/>
      <c r="C51" s="386"/>
      <c r="D51" s="48">
        <v>8</v>
      </c>
      <c r="E51" s="48" t="s">
        <v>12</v>
      </c>
      <c r="F51" s="387" t="s">
        <v>5</v>
      </c>
      <c r="G51" s="387"/>
      <c r="H51" s="388"/>
      <c r="I51" s="389"/>
    </row>
    <row r="52" spans="1:9" ht="17.25" x14ac:dyDescent="0.3">
      <c r="A52" s="384" t="s">
        <v>4</v>
      </c>
      <c r="B52" s="385"/>
      <c r="C52" s="386"/>
      <c r="D52" s="48">
        <v>256</v>
      </c>
      <c r="E52" s="48" t="s">
        <v>1</v>
      </c>
      <c r="F52" s="396" t="s">
        <v>3</v>
      </c>
      <c r="G52" s="397"/>
      <c r="H52" s="388"/>
      <c r="I52" s="389"/>
    </row>
    <row r="53" spans="1:9" ht="18" thickBot="1" x14ac:dyDescent="0.35">
      <c r="A53" s="378" t="s">
        <v>2</v>
      </c>
      <c r="B53" s="379"/>
      <c r="C53" s="380"/>
      <c r="D53" s="49">
        <v>16</v>
      </c>
      <c r="E53" s="50" t="s">
        <v>1</v>
      </c>
      <c r="F53" s="381"/>
      <c r="G53" s="381"/>
      <c r="H53" s="382"/>
      <c r="I53" s="383"/>
    </row>
    <row r="54" spans="1:9" ht="16.5" thickBot="1" x14ac:dyDescent="0.3">
      <c r="A54" s="355" t="s">
        <v>0</v>
      </c>
      <c r="B54" s="356"/>
      <c r="C54" s="356"/>
      <c r="D54" s="356"/>
      <c r="E54" s="356"/>
      <c r="F54" s="356"/>
      <c r="G54" s="356"/>
      <c r="H54" s="356"/>
      <c r="I54" s="357"/>
    </row>
    <row r="55" spans="1:9" ht="20.45" customHeight="1" x14ac:dyDescent="0.25">
      <c r="A55" s="358" t="s">
        <v>60</v>
      </c>
      <c r="B55" s="359"/>
      <c r="C55" s="359"/>
      <c r="D55" s="359"/>
      <c r="E55" s="359"/>
      <c r="F55" s="359"/>
      <c r="G55" s="359"/>
      <c r="H55" s="359"/>
      <c r="I55" s="360"/>
    </row>
    <row r="56" spans="1:9" ht="22.9" customHeight="1" x14ac:dyDescent="0.25">
      <c r="A56" s="361" t="s">
        <v>88</v>
      </c>
      <c r="B56" s="361"/>
      <c r="C56" s="361"/>
      <c r="D56" s="361"/>
      <c r="E56" s="361"/>
      <c r="F56" s="361"/>
      <c r="G56" s="361"/>
      <c r="H56" s="361"/>
      <c r="I56" s="361"/>
    </row>
    <row r="57" spans="1:9" ht="19.899999999999999" customHeight="1" x14ac:dyDescent="0.25">
      <c r="A57" s="362" t="s">
        <v>89</v>
      </c>
      <c r="B57" s="362"/>
      <c r="C57" s="362"/>
      <c r="D57" s="362"/>
      <c r="E57" s="362"/>
      <c r="F57" s="362"/>
      <c r="G57" s="362"/>
      <c r="H57" s="362"/>
      <c r="I57" s="362"/>
    </row>
    <row r="58" spans="1:9" ht="20.45" customHeight="1" x14ac:dyDescent="0.25">
      <c r="A58" s="362" t="s">
        <v>90</v>
      </c>
      <c r="B58" s="362"/>
      <c r="C58" s="362"/>
      <c r="D58" s="362"/>
      <c r="E58" s="362"/>
      <c r="F58" s="362"/>
      <c r="G58" s="362"/>
      <c r="H58" s="362"/>
      <c r="I58" s="362"/>
    </row>
    <row r="59" spans="1:9" ht="20.45" customHeight="1" x14ac:dyDescent="0.25">
      <c r="A59" s="377" t="s">
        <v>61</v>
      </c>
      <c r="B59" s="377"/>
      <c r="C59" s="377"/>
      <c r="D59" s="377"/>
      <c r="E59" s="377"/>
      <c r="F59" s="377"/>
      <c r="G59" s="377"/>
      <c r="H59" s="377"/>
      <c r="I59" s="377"/>
    </row>
    <row r="60" spans="1:9" ht="20.45" customHeight="1" x14ac:dyDescent="0.25">
      <c r="A60" s="377"/>
      <c r="B60" s="377"/>
      <c r="C60" s="377"/>
      <c r="D60" s="377"/>
      <c r="E60" s="377"/>
      <c r="F60" s="377"/>
      <c r="G60" s="377"/>
      <c r="H60" s="377"/>
      <c r="I60" s="377"/>
    </row>
    <row r="61" spans="1:9" ht="19.899999999999999" customHeight="1" x14ac:dyDescent="0.25">
      <c r="A61" s="363"/>
      <c r="B61" s="364"/>
      <c r="C61" s="365"/>
      <c r="D61" s="365"/>
      <c r="E61" s="365"/>
      <c r="F61" s="365"/>
      <c r="G61" s="365"/>
      <c r="H61" s="365"/>
      <c r="I61" s="366"/>
    </row>
    <row r="62" spans="1:9" ht="18" x14ac:dyDescent="0.25">
      <c r="A62" s="367"/>
      <c r="B62" s="368"/>
      <c r="C62" s="368"/>
      <c r="D62" s="368"/>
      <c r="E62" s="368"/>
      <c r="F62" s="368"/>
      <c r="G62" s="368"/>
      <c r="H62" s="368"/>
      <c r="I62" s="369"/>
    </row>
    <row r="64" spans="1:9" ht="18" customHeight="1" x14ac:dyDescent="0.25">
      <c r="A64" s="370"/>
      <c r="B64" s="371"/>
      <c r="C64" s="372"/>
      <c r="D64" s="372"/>
      <c r="E64" s="372"/>
      <c r="F64" s="372"/>
      <c r="G64" s="372"/>
      <c r="H64" s="372"/>
      <c r="I64" s="373"/>
    </row>
    <row r="65" spans="1:9" ht="17.25" x14ac:dyDescent="0.3">
      <c r="A65" s="374"/>
      <c r="B65" s="375"/>
      <c r="C65" s="375"/>
      <c r="D65" s="375"/>
      <c r="E65" s="375"/>
      <c r="F65" s="375"/>
      <c r="G65" s="375"/>
      <c r="H65" s="375"/>
      <c r="I65" s="376"/>
    </row>
    <row r="66" spans="1:9" ht="18" thickBot="1" x14ac:dyDescent="0.35">
      <c r="A66" s="352"/>
      <c r="B66" s="353"/>
      <c r="C66" s="353"/>
      <c r="D66" s="353"/>
      <c r="E66" s="353"/>
      <c r="F66" s="353"/>
      <c r="G66" s="353"/>
      <c r="H66" s="353"/>
      <c r="I66" s="354"/>
    </row>
    <row r="67" spans="1:9" x14ac:dyDescent="0.25">
      <c r="A67" s="398" t="s">
        <v>33</v>
      </c>
      <c r="B67" s="399"/>
      <c r="C67" s="399"/>
      <c r="D67" s="399"/>
      <c r="E67" s="399"/>
      <c r="F67" s="399"/>
      <c r="G67" s="399"/>
      <c r="H67" s="399"/>
      <c r="I67" s="399"/>
    </row>
    <row r="68" spans="1:9" x14ac:dyDescent="0.25">
      <c r="A68" s="400"/>
      <c r="B68" s="401"/>
      <c r="C68" s="401"/>
      <c r="D68" s="401"/>
      <c r="E68" s="401"/>
      <c r="F68" s="401"/>
      <c r="G68" s="401"/>
      <c r="H68" s="401"/>
      <c r="I68" s="401"/>
    </row>
    <row r="69" spans="1:9" x14ac:dyDescent="0.25">
      <c r="A69" s="400"/>
      <c r="B69" s="401"/>
      <c r="C69" s="401"/>
      <c r="D69" s="401"/>
      <c r="E69" s="401"/>
      <c r="F69" s="401"/>
      <c r="G69" s="401"/>
      <c r="H69" s="401"/>
      <c r="I69" s="401"/>
    </row>
  </sheetData>
  <mergeCells count="47">
    <mergeCell ref="A67:I67"/>
    <mergeCell ref="A68:I68"/>
    <mergeCell ref="A69:I69"/>
    <mergeCell ref="I3:I5"/>
    <mergeCell ref="D4:G4"/>
    <mergeCell ref="D5:G5"/>
    <mergeCell ref="A51:C51"/>
    <mergeCell ref="F51:G51"/>
    <mergeCell ref="H51:I51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9:C49"/>
    <mergeCell ref="F49:G49"/>
    <mergeCell ref="H49:I49"/>
    <mergeCell ref="A52:C52"/>
    <mergeCell ref="F52:G52"/>
    <mergeCell ref="H52:I52"/>
    <mergeCell ref="A53:C53"/>
    <mergeCell ref="F53:G53"/>
    <mergeCell ref="H53:I53"/>
    <mergeCell ref="A50:C50"/>
    <mergeCell ref="F50:G50"/>
    <mergeCell ref="H50:I50"/>
    <mergeCell ref="A66:I66"/>
    <mergeCell ref="A54:I54"/>
    <mergeCell ref="A55:I55"/>
    <mergeCell ref="A56:I56"/>
    <mergeCell ref="A57:I57"/>
    <mergeCell ref="A58:I58"/>
    <mergeCell ref="A61:I61"/>
    <mergeCell ref="A62:I62"/>
    <mergeCell ref="A64:I64"/>
    <mergeCell ref="A65:I65"/>
    <mergeCell ref="A60:I60"/>
    <mergeCell ref="A59:I59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92C2-3817-45CA-97B8-60160F4E3AF9}">
  <dimension ref="A1:Q91"/>
  <sheetViews>
    <sheetView topLeftCell="A16" workbookViewId="0">
      <selection activeCell="E35" sqref="E35"/>
    </sheetView>
  </sheetViews>
  <sheetFormatPr baseColWidth="10" defaultColWidth="8.42578125" defaultRowHeight="12.75" x14ac:dyDescent="0.25"/>
  <cols>
    <col min="1" max="1" width="10" style="139" bestFit="1" customWidth="1"/>
    <col min="2" max="2" width="44.28515625" style="139" bestFit="1" customWidth="1"/>
    <col min="3" max="3" width="10.42578125" style="139" bestFit="1" customWidth="1"/>
    <col min="4" max="4" width="10.42578125" style="139" customWidth="1"/>
    <col min="5" max="5" width="11" style="139" customWidth="1"/>
    <col min="6" max="6" width="9.5703125" style="139" bestFit="1" customWidth="1"/>
    <col min="7" max="7" width="10.85546875" style="221" customWidth="1"/>
    <col min="8" max="8" width="10.42578125" style="212" bestFit="1" customWidth="1"/>
    <col min="9" max="9" width="4.5703125" style="212" customWidth="1"/>
    <col min="10" max="10" width="1.85546875" style="138" customWidth="1"/>
    <col min="11" max="11" width="7" style="139" bestFit="1" customWidth="1"/>
    <col min="12" max="12" width="6.28515625" style="139" customWidth="1"/>
    <col min="13" max="13" width="20.42578125" style="139" customWidth="1"/>
    <col min="14" max="14" width="6.42578125" style="139" bestFit="1" customWidth="1"/>
    <col min="15" max="15" width="9.28515625" style="139" bestFit="1" customWidth="1"/>
    <col min="16" max="16" width="8.42578125" style="139"/>
    <col min="17" max="17" width="3.28515625" style="139" customWidth="1"/>
    <col min="18" max="16384" width="8.42578125" style="139"/>
  </cols>
  <sheetData>
    <row r="1" spans="1:10" ht="27.75" customHeight="1" x14ac:dyDescent="0.25">
      <c r="A1" s="134"/>
      <c r="B1" s="134"/>
      <c r="C1" s="134"/>
      <c r="D1" s="134"/>
      <c r="E1" s="135" t="s">
        <v>91</v>
      </c>
      <c r="F1" s="136" t="s">
        <v>92</v>
      </c>
      <c r="G1" s="136" t="s">
        <v>93</v>
      </c>
      <c r="H1" s="136" t="s">
        <v>94</v>
      </c>
      <c r="I1" s="137"/>
    </row>
    <row r="2" spans="1:10" ht="30.75" customHeight="1" x14ac:dyDescent="0.25">
      <c r="A2" s="134"/>
      <c r="B2" s="134"/>
      <c r="C2" s="134"/>
      <c r="D2" s="134"/>
      <c r="E2" s="140">
        <f>IFERROR(O62,"")</f>
        <v>9265.0331845887449</v>
      </c>
      <c r="F2" s="140">
        <f>IFERROR(H53,"")</f>
        <v>5635.1110399999989</v>
      </c>
      <c r="G2" s="140">
        <f>IFERROR(H54,"")</f>
        <v>2516.8320666666664</v>
      </c>
      <c r="H2" s="140">
        <f>IFERROR(H56,"")</f>
        <v>535.67460000000005</v>
      </c>
      <c r="I2" s="141"/>
    </row>
    <row r="3" spans="1:10" ht="15" customHeight="1" x14ac:dyDescent="0.25">
      <c r="A3" s="134"/>
      <c r="B3" s="134"/>
      <c r="C3" s="134"/>
      <c r="D3" s="134"/>
      <c r="E3" s="134"/>
      <c r="F3" s="142"/>
      <c r="G3" s="142"/>
      <c r="H3" s="142"/>
      <c r="I3" s="142"/>
    </row>
    <row r="4" spans="1:10" ht="24.75" customHeight="1" thickBot="1" x14ac:dyDescent="0.3">
      <c r="A4" s="431"/>
      <c r="B4" s="431"/>
      <c r="C4" s="431"/>
      <c r="D4" s="431"/>
      <c r="E4" s="431"/>
      <c r="F4" s="431"/>
      <c r="G4" s="431"/>
      <c r="H4" s="431"/>
      <c r="I4" s="143"/>
    </row>
    <row r="5" spans="1:10" ht="19.5" customHeight="1" thickBot="1" x14ac:dyDescent="0.3">
      <c r="A5" s="432" t="s">
        <v>95</v>
      </c>
      <c r="B5" s="433"/>
      <c r="C5" s="433"/>
      <c r="D5" s="433"/>
      <c r="E5" s="433"/>
      <c r="F5" s="433"/>
      <c r="G5" s="433"/>
      <c r="H5" s="434"/>
      <c r="I5" s="144"/>
    </row>
    <row r="6" spans="1:10" ht="19.5" thickBot="1" x14ac:dyDescent="0.3">
      <c r="A6" s="144"/>
      <c r="B6" s="144"/>
      <c r="C6" s="144"/>
      <c r="D6" s="144"/>
      <c r="E6" s="144"/>
      <c r="F6" s="435" t="s">
        <v>96</v>
      </c>
      <c r="G6" s="435"/>
      <c r="H6" s="145">
        <f ca="1">TODAY()</f>
        <v>46094</v>
      </c>
      <c r="I6" s="145"/>
    </row>
    <row r="7" spans="1:10" ht="26.25" hidden="1" thickBot="1" x14ac:dyDescent="0.3">
      <c r="A7" s="146" t="s">
        <v>97</v>
      </c>
      <c r="B7" s="147" t="s">
        <v>98</v>
      </c>
      <c r="C7" s="147" t="s">
        <v>97</v>
      </c>
      <c r="D7" s="148" t="s">
        <v>99</v>
      </c>
      <c r="E7" s="148" t="s">
        <v>100</v>
      </c>
      <c r="F7" s="148" t="s">
        <v>101</v>
      </c>
      <c r="G7" s="148" t="s">
        <v>102</v>
      </c>
      <c r="H7" s="149" t="s">
        <v>103</v>
      </c>
      <c r="I7" s="150"/>
    </row>
    <row r="8" spans="1:10" ht="13.5" hidden="1" x14ac:dyDescent="0.25">
      <c r="A8" s="151"/>
      <c r="B8" s="139" t="str">
        <f>IFERROR(VLOOKUP(H8,'[1]Consolidado MP Planta'!$A$2:$M$823,3,0),"")</f>
        <v/>
      </c>
      <c r="C8" s="152">
        <f>+A8</f>
        <v>0</v>
      </c>
      <c r="D8" s="153" t="str">
        <f>IFERROR(VLOOKUP(H8,'[1]Consolidado MP Planta'!$A$2:$M$823,13,0),"")</f>
        <v/>
      </c>
      <c r="E8" s="153" t="str">
        <f>IFERROR(VLOOKUP(H8,'[1]Consolidado MP Planta'!$A$2:$M$823,12,0),"")</f>
        <v/>
      </c>
      <c r="F8" s="153" t="str">
        <f>IFERROR(C8*E8,"")</f>
        <v/>
      </c>
      <c r="G8" s="154" t="str">
        <f t="shared" ref="G8:G14" si="0">IFERROR(F8/$F$66,"")</f>
        <v/>
      </c>
      <c r="H8" s="155"/>
      <c r="I8" s="155"/>
      <c r="J8" s="156"/>
    </row>
    <row r="9" spans="1:10" ht="13.5" hidden="1" x14ac:dyDescent="0.25">
      <c r="A9" s="151"/>
      <c r="B9" s="139" t="str">
        <f>IFERROR(VLOOKUP(H9,'[1]Consolidado MP Planta'!$A$2:$M$823,3,0),"")</f>
        <v/>
      </c>
      <c r="C9" s="152">
        <f t="shared" ref="C9:C14" si="1">+A9</f>
        <v>0</v>
      </c>
      <c r="D9" s="153" t="str">
        <f>IFERROR(VLOOKUP(H9,'[1]Consolidado MP Planta'!$A$2:$M$823,13,0),"")</f>
        <v/>
      </c>
      <c r="E9" s="153" t="str">
        <f>IFERROR(VLOOKUP(H9,'[1]Consolidado MP Planta'!$A$2:$M$823,12,0),"")</f>
        <v/>
      </c>
      <c r="F9" s="153" t="str">
        <f t="shared" ref="F9:F14" si="2">IFERROR(C9*E9,"")</f>
        <v/>
      </c>
      <c r="G9" s="154" t="str">
        <f t="shared" si="0"/>
        <v/>
      </c>
      <c r="H9" s="155"/>
      <c r="I9" s="155"/>
      <c r="J9" s="156"/>
    </row>
    <row r="10" spans="1:10" ht="13.5" hidden="1" x14ac:dyDescent="0.25">
      <c r="A10" s="151"/>
      <c r="B10" s="139" t="str">
        <f>IFERROR(VLOOKUP(H10,'[1]Consolidado MP Planta'!$A$2:$M$823,3,0),"")</f>
        <v/>
      </c>
      <c r="C10" s="152">
        <f t="shared" si="1"/>
        <v>0</v>
      </c>
      <c r="D10" s="153" t="str">
        <f>IFERROR(VLOOKUP(H10,'[1]Consolidado MP Planta'!$A$2:$M$823,13,0),"")</f>
        <v/>
      </c>
      <c r="E10" s="153" t="str">
        <f>IFERROR(VLOOKUP(H10,'[1]Consolidado MP Planta'!$A$2:$M$823,12,0),"")</f>
        <v/>
      </c>
      <c r="F10" s="153" t="str">
        <f t="shared" si="2"/>
        <v/>
      </c>
      <c r="G10" s="154" t="str">
        <f t="shared" si="0"/>
        <v/>
      </c>
      <c r="H10" s="155"/>
      <c r="I10" s="155"/>
      <c r="J10" s="156"/>
    </row>
    <row r="11" spans="1:10" ht="13.5" hidden="1" x14ac:dyDescent="0.25">
      <c r="A11" s="151"/>
      <c r="B11" s="139" t="str">
        <f>IFERROR(VLOOKUP(H11,'[1]Consolidado MP Planta'!$A$2:$M$823,3,0),"")</f>
        <v/>
      </c>
      <c r="C11" s="152">
        <f t="shared" si="1"/>
        <v>0</v>
      </c>
      <c r="D11" s="153" t="str">
        <f>IFERROR(VLOOKUP(H11,'[1]Consolidado MP Planta'!$A$2:$M$823,13,0),"")</f>
        <v/>
      </c>
      <c r="E11" s="153" t="str">
        <f>IFERROR(VLOOKUP(H11,'[1]Consolidado MP Planta'!$A$2:$M$823,12,0),"")</f>
        <v/>
      </c>
      <c r="F11" s="153" t="str">
        <f t="shared" si="2"/>
        <v/>
      </c>
      <c r="G11" s="154" t="str">
        <f t="shared" si="0"/>
        <v/>
      </c>
      <c r="H11" s="155"/>
      <c r="I11" s="155"/>
      <c r="J11" s="156"/>
    </row>
    <row r="12" spans="1:10" ht="13.5" hidden="1" x14ac:dyDescent="0.25">
      <c r="A12" s="151"/>
      <c r="B12" s="139" t="str">
        <f>IFERROR(VLOOKUP(H12,'[1]Consolidado MP Planta'!$A$2:$M$823,3,0),"")</f>
        <v/>
      </c>
      <c r="C12" s="152">
        <f t="shared" si="1"/>
        <v>0</v>
      </c>
      <c r="D12" s="153" t="str">
        <f>IFERROR(VLOOKUP(H12,'[1]Consolidado MP Planta'!$A$2:$M$823,13,0),"")</f>
        <v/>
      </c>
      <c r="E12" s="153" t="str">
        <f>IFERROR(VLOOKUP(H12,'[1]Consolidado MP Planta'!$A$2:$M$823,12,0),"")</f>
        <v/>
      </c>
      <c r="F12" s="153" t="str">
        <f t="shared" si="2"/>
        <v/>
      </c>
      <c r="G12" s="154" t="str">
        <f t="shared" si="0"/>
        <v/>
      </c>
      <c r="H12" s="155"/>
      <c r="I12" s="155"/>
      <c r="J12" s="156"/>
    </row>
    <row r="13" spans="1:10" ht="13.5" hidden="1" x14ac:dyDescent="0.25">
      <c r="A13" s="151"/>
      <c r="B13" s="139" t="str">
        <f>IFERROR(VLOOKUP(H13,'[1]Consolidado MP Planta'!$A$2:$M$823,3,0),"")</f>
        <v/>
      </c>
      <c r="C13" s="152">
        <f t="shared" si="1"/>
        <v>0</v>
      </c>
      <c r="D13" s="153" t="str">
        <f>IFERROR(VLOOKUP(H13,'[1]Consolidado MP Planta'!$A$2:$M$823,13,0),"")</f>
        <v/>
      </c>
      <c r="E13" s="153" t="str">
        <f>IFERROR(VLOOKUP(H13,'[1]Consolidado MP Planta'!$A$2:$M$823,12,0),"")</f>
        <v/>
      </c>
      <c r="F13" s="153" t="str">
        <f t="shared" si="2"/>
        <v/>
      </c>
      <c r="G13" s="154" t="str">
        <f t="shared" si="0"/>
        <v/>
      </c>
      <c r="H13" s="155"/>
      <c r="I13" s="155"/>
      <c r="J13" s="156"/>
    </row>
    <row r="14" spans="1:10" ht="13.5" hidden="1" x14ac:dyDescent="0.25">
      <c r="A14" s="151"/>
      <c r="B14" s="139" t="str">
        <f>IFERROR(VLOOKUP(H14,'[1]Consolidado MP Planta'!$A$2:$M$823,3,0),"")</f>
        <v/>
      </c>
      <c r="C14" s="152">
        <f t="shared" si="1"/>
        <v>0</v>
      </c>
      <c r="D14" s="153" t="str">
        <f>IFERROR(VLOOKUP(H14,'[1]Consolidado MP Planta'!$A$2:$M$823,13,0),"")</f>
        <v/>
      </c>
      <c r="E14" s="153" t="str">
        <f>IFERROR(VLOOKUP(H14,'[1]Consolidado MP Planta'!$A$2:$M$823,12,0),"")</f>
        <v/>
      </c>
      <c r="F14" s="153" t="str">
        <f t="shared" si="2"/>
        <v/>
      </c>
      <c r="G14" s="154" t="str">
        <f t="shared" si="0"/>
        <v/>
      </c>
      <c r="H14" s="155"/>
      <c r="I14" s="155"/>
      <c r="J14" s="156"/>
    </row>
    <row r="15" spans="1:10" ht="14.25" hidden="1" thickBot="1" x14ac:dyDescent="0.3">
      <c r="A15" s="151"/>
      <c r="B15" s="139" t="str">
        <f>IFERROR(VLOOKUP(H15,[2]Hoja2!$A$2:$G$589,2,0),"")</f>
        <v/>
      </c>
      <c r="C15" s="152"/>
      <c r="D15" s="153"/>
      <c r="E15" s="153"/>
      <c r="F15" s="153"/>
      <c r="G15" s="154"/>
      <c r="H15" s="155"/>
      <c r="I15" s="155"/>
      <c r="J15" s="156"/>
    </row>
    <row r="16" spans="1:10" ht="26.25" thickBot="1" x14ac:dyDescent="0.3">
      <c r="A16" s="146" t="s">
        <v>97</v>
      </c>
      <c r="B16" s="147" t="s">
        <v>104</v>
      </c>
      <c r="C16" s="147" t="s">
        <v>97</v>
      </c>
      <c r="D16" s="148" t="s">
        <v>99</v>
      </c>
      <c r="E16" s="148" t="s">
        <v>100</v>
      </c>
      <c r="F16" s="148" t="s">
        <v>101</v>
      </c>
      <c r="G16" s="148" t="s">
        <v>102</v>
      </c>
      <c r="H16" s="149" t="s">
        <v>103</v>
      </c>
      <c r="I16" s="150"/>
      <c r="J16" s="156"/>
    </row>
    <row r="17" spans="1:13" ht="13.5" x14ac:dyDescent="0.25">
      <c r="A17" s="151">
        <v>0.5</v>
      </c>
      <c r="B17" s="139" t="s">
        <v>52</v>
      </c>
      <c r="C17" s="152">
        <f>+A17</f>
        <v>0.5</v>
      </c>
      <c r="D17" s="152" t="s">
        <v>143</v>
      </c>
      <c r="E17" s="153">
        <v>1800</v>
      </c>
      <c r="F17" s="153">
        <f>IFERROR(E17*C17,"")</f>
        <v>900</v>
      </c>
      <c r="G17" s="154">
        <f t="shared" ref="G17:G24" si="3">IFERROR(F17/$F$66,"")</f>
        <v>0.10498509685410751</v>
      </c>
      <c r="H17" s="155" t="s">
        <v>50</v>
      </c>
      <c r="I17" s="155"/>
      <c r="J17" s="156"/>
    </row>
    <row r="18" spans="1:13" ht="13.5" x14ac:dyDescent="0.25">
      <c r="A18" s="151">
        <v>240</v>
      </c>
      <c r="B18" s="139" t="s">
        <v>49</v>
      </c>
      <c r="C18" s="152">
        <f t="shared" ref="C18:C24" si="4">+A18</f>
        <v>240</v>
      </c>
      <c r="D18" s="152" t="s">
        <v>142</v>
      </c>
      <c r="E18" s="153">
        <v>0.2</v>
      </c>
      <c r="F18" s="153">
        <f t="shared" ref="F18:F24" si="5">IFERROR(E18*C18,"")</f>
        <v>48</v>
      </c>
      <c r="G18" s="154">
        <f t="shared" si="3"/>
        <v>5.5992051655524002E-3</v>
      </c>
      <c r="H18" s="155" t="s">
        <v>48</v>
      </c>
      <c r="I18" s="155"/>
      <c r="J18" s="156"/>
      <c r="M18" s="139">
        <f>204/1000</f>
        <v>0.20399999999999999</v>
      </c>
    </row>
    <row r="19" spans="1:13" ht="13.5" x14ac:dyDescent="0.25">
      <c r="A19" s="151">
        <v>120</v>
      </c>
      <c r="B19" s="139" t="s">
        <v>54</v>
      </c>
      <c r="C19" s="152">
        <f>+A19</f>
        <v>120</v>
      </c>
      <c r="D19" s="152" t="s">
        <v>142</v>
      </c>
      <c r="E19" s="153">
        <v>2.33</v>
      </c>
      <c r="F19" s="153">
        <f>IFERROR(E19*C19,"")</f>
        <v>279.60000000000002</v>
      </c>
      <c r="G19" s="154">
        <f t="shared" si="3"/>
        <v>3.2615370089342732E-2</v>
      </c>
      <c r="H19" s="155" t="s">
        <v>53</v>
      </c>
      <c r="I19" s="155"/>
      <c r="J19" s="156"/>
    </row>
    <row r="20" spans="1:13" ht="13.5" x14ac:dyDescent="0.25">
      <c r="A20" s="151">
        <v>640</v>
      </c>
      <c r="B20" s="139" t="s">
        <v>78</v>
      </c>
      <c r="C20" s="152">
        <f>+A20</f>
        <v>640</v>
      </c>
      <c r="D20" s="152" t="s">
        <v>142</v>
      </c>
      <c r="E20" s="153">
        <f>+'Costo Salsa Suave '!E69</f>
        <v>3.7943419999999999</v>
      </c>
      <c r="F20" s="153">
        <f>IFERROR(E20*C20,"")</f>
        <v>2428.3788799999998</v>
      </c>
      <c r="G20" s="154">
        <f t="shared" si="3"/>
        <v>0.2832706576836323</v>
      </c>
      <c r="H20" s="155" t="s">
        <v>58</v>
      </c>
      <c r="I20" s="155"/>
      <c r="J20" s="156"/>
    </row>
    <row r="21" spans="1:13" ht="13.5" x14ac:dyDescent="0.25">
      <c r="A21" s="151">
        <v>480</v>
      </c>
      <c r="B21" s="139" t="s">
        <v>80</v>
      </c>
      <c r="C21" s="152">
        <f>+A21</f>
        <v>480</v>
      </c>
      <c r="D21" s="152" t="s">
        <v>142</v>
      </c>
      <c r="E21" s="153">
        <f>+'Costo Crema Pasionata '!E69</f>
        <v>4.003692</v>
      </c>
      <c r="F21" s="153">
        <f>IFERROR(E21*C21,"")</f>
        <v>1921.77216</v>
      </c>
      <c r="G21" s="154">
        <f t="shared" si="3"/>
        <v>0.22417492927680818</v>
      </c>
      <c r="H21" s="155" t="s">
        <v>58</v>
      </c>
      <c r="I21" s="155"/>
      <c r="J21" s="156"/>
    </row>
    <row r="22" spans="1:13" ht="13.5" x14ac:dyDescent="0.25">
      <c r="A22" s="151">
        <v>24</v>
      </c>
      <c r="B22" s="139" t="s">
        <v>83</v>
      </c>
      <c r="C22" s="152">
        <f t="shared" si="4"/>
        <v>24</v>
      </c>
      <c r="D22" s="152" t="s">
        <v>142</v>
      </c>
      <c r="E22" s="153">
        <v>2.39</v>
      </c>
      <c r="F22" s="153">
        <f t="shared" si="5"/>
        <v>57.36</v>
      </c>
      <c r="G22" s="154">
        <f t="shared" si="3"/>
        <v>6.6910501728351182E-3</v>
      </c>
      <c r="H22" s="155" t="s">
        <v>82</v>
      </c>
      <c r="I22" s="155"/>
      <c r="J22" s="156"/>
    </row>
    <row r="23" spans="1:13" ht="13.5" x14ac:dyDescent="0.25">
      <c r="A23" s="151"/>
      <c r="B23" s="139" t="str">
        <f>IFERROR(VLOOKUP(H23,[1]SEMIELABORADOS!$A$2:$M$6000,2,0),"")</f>
        <v/>
      </c>
      <c r="C23" s="152">
        <f t="shared" si="4"/>
        <v>0</v>
      </c>
      <c r="D23" s="152" t="str">
        <f>IFERROR(VLOOKUP(H23,[1]SEMIELABORADOS!$A$2:$M$6000,6,0),"")</f>
        <v/>
      </c>
      <c r="E23" s="153" t="str">
        <f>IFERROR(VLOOKUP(H23,[1]SEMIELABORADOS!$A$2:$H$65536,8,0),"")</f>
        <v/>
      </c>
      <c r="F23" s="153" t="str">
        <f t="shared" si="5"/>
        <v/>
      </c>
      <c r="G23" s="154" t="str">
        <f t="shared" si="3"/>
        <v/>
      </c>
      <c r="H23" s="155"/>
      <c r="I23" s="155"/>
      <c r="J23" s="156"/>
    </row>
    <row r="24" spans="1:13" ht="13.5" x14ac:dyDescent="0.25">
      <c r="A24" s="151"/>
      <c r="B24" s="139" t="str">
        <f>IFERROR(VLOOKUP(H24,[1]SEMIELABORADOS!$A$2:$M$6000,2,0),"")</f>
        <v/>
      </c>
      <c r="C24" s="152">
        <f t="shared" si="4"/>
        <v>0</v>
      </c>
      <c r="D24" s="152" t="str">
        <f>IFERROR(VLOOKUP(H24,[1]SEMIELABORADOS!$A$2:$M$6000,6,0),"")</f>
        <v/>
      </c>
      <c r="E24" s="153" t="str">
        <f>IFERROR(VLOOKUP(H24,[1]SEMIELABORADOS!$A$2:$H$65536,8,0),"")</f>
        <v/>
      </c>
      <c r="F24" s="153" t="str">
        <f t="shared" si="5"/>
        <v/>
      </c>
      <c r="G24" s="154" t="str">
        <f t="shared" si="3"/>
        <v/>
      </c>
      <c r="H24" s="155"/>
      <c r="I24" s="155"/>
      <c r="J24" s="156"/>
    </row>
    <row r="25" spans="1:13" ht="14.25" thickBot="1" x14ac:dyDescent="0.3">
      <c r="A25" s="151"/>
      <c r="C25" s="152"/>
      <c r="D25" s="152"/>
      <c r="E25" s="153"/>
      <c r="F25" s="153"/>
      <c r="G25" s="154"/>
      <c r="H25" s="155"/>
      <c r="I25" s="155"/>
      <c r="J25" s="156"/>
    </row>
    <row r="26" spans="1:13" ht="26.25" thickBot="1" x14ac:dyDescent="0.3">
      <c r="A26" s="146" t="s">
        <v>97</v>
      </c>
      <c r="B26" s="147" t="s">
        <v>34</v>
      </c>
      <c r="C26" s="147" t="s">
        <v>97</v>
      </c>
      <c r="D26" s="148" t="s">
        <v>99</v>
      </c>
      <c r="E26" s="148" t="s">
        <v>100</v>
      </c>
      <c r="F26" s="148" t="s">
        <v>101</v>
      </c>
      <c r="G26" s="148" t="s">
        <v>102</v>
      </c>
      <c r="H26" s="149" t="s">
        <v>103</v>
      </c>
      <c r="I26" s="150"/>
    </row>
    <row r="27" spans="1:13" ht="13.5" x14ac:dyDescent="0.25">
      <c r="A27" s="151">
        <v>8</v>
      </c>
      <c r="B27" s="157" t="s">
        <v>87</v>
      </c>
      <c r="C27" s="152">
        <f t="shared" ref="C27:C32" si="6">+A27</f>
        <v>8</v>
      </c>
      <c r="D27" s="153" t="s">
        <v>148</v>
      </c>
      <c r="E27" s="153">
        <v>245.7</v>
      </c>
      <c r="F27" s="153">
        <f t="shared" ref="F27:F32" si="7">IFERROR(C27*E27,"")</f>
        <v>1965.6</v>
      </c>
      <c r="G27" s="154">
        <f t="shared" ref="G27:G32" si="8">IFERROR(F27/$F$66,"")</f>
        <v>0.22928745152937077</v>
      </c>
      <c r="H27" s="158" t="s">
        <v>59</v>
      </c>
      <c r="I27" s="158"/>
      <c r="J27" s="156"/>
      <c r="K27" s="425"/>
      <c r="L27" s="425"/>
    </row>
    <row r="28" spans="1:13" ht="13.5" x14ac:dyDescent="0.25">
      <c r="A28" s="151">
        <v>8</v>
      </c>
      <c r="B28" s="157" t="str">
        <f>IFERROR(VLOOKUP(H28,'[1]Consolidado MP Planta'!$A$2:$M$823,3,0),"")</f>
        <v>ETIQUETA BLANCA 2 5/8X1 15/16 (UND)</v>
      </c>
      <c r="C28" s="152">
        <f t="shared" si="6"/>
        <v>8</v>
      </c>
      <c r="D28" s="153" t="str">
        <f>IFERROR(VLOOKUP(H28,'[1]Consolidado MP Planta'!$A$2:$M$823,13,0),"")</f>
        <v>Und</v>
      </c>
      <c r="E28" s="153">
        <f>IFERROR(VLOOKUP(H28,'[1]Consolidado MP Planta'!$A$2:$M$823,12,0),"")</f>
        <v>2.1280000000000001</v>
      </c>
      <c r="F28" s="153">
        <f t="shared" si="7"/>
        <v>17.024000000000001</v>
      </c>
      <c r="G28" s="154">
        <f t="shared" si="8"/>
        <v>1.9858514320492513E-3</v>
      </c>
      <c r="H28" s="158" t="s">
        <v>146</v>
      </c>
      <c r="I28" s="158"/>
      <c r="J28" s="156"/>
      <c r="K28" s="425"/>
      <c r="L28" s="425"/>
    </row>
    <row r="29" spans="1:13" ht="13.5" x14ac:dyDescent="0.25">
      <c r="A29" s="151">
        <v>8</v>
      </c>
      <c r="B29" s="157" t="str">
        <f>IFERROR(VLOOKUP(H29,'[1]Consolidado MP Planta'!$A$2:$M$823,3,0),"")</f>
        <v>ETIQUETA BLANCA R-153 (UND)</v>
      </c>
      <c r="C29" s="152">
        <f t="shared" si="6"/>
        <v>8</v>
      </c>
      <c r="D29" s="153" t="str">
        <f>IFERROR(VLOOKUP(H29,'[1]Consolidado MP Planta'!$A$2:$M$823,13,0),"")</f>
        <v>Und</v>
      </c>
      <c r="E29" s="153">
        <f>IFERROR(VLOOKUP(H29,'[1]Consolidado MP Planta'!$A$2:$M$823,12,0),"")</f>
        <v>0.39</v>
      </c>
      <c r="F29" s="153">
        <f t="shared" si="7"/>
        <v>3.12</v>
      </c>
      <c r="G29" s="154">
        <f t="shared" si="8"/>
        <v>3.6394833576090601E-4</v>
      </c>
      <c r="H29" s="158" t="s">
        <v>145</v>
      </c>
      <c r="I29" s="158"/>
      <c r="J29" s="156"/>
      <c r="K29" s="425"/>
      <c r="L29" s="425"/>
    </row>
    <row r="30" spans="1:13" ht="13.5" x14ac:dyDescent="0.25">
      <c r="A30" s="151">
        <v>8</v>
      </c>
      <c r="B30" s="157" t="str">
        <f>IFERROR(VLOOKUP(H30,'[1]Consolidado MP Planta'!$A$2:$M$823,3,0),"")</f>
        <v>ETIQ.FECHA VENCIMIENTO BLANCO (ROLLO)</v>
      </c>
      <c r="C30" s="152">
        <f t="shared" si="6"/>
        <v>8</v>
      </c>
      <c r="D30" s="153" t="s">
        <v>148</v>
      </c>
      <c r="E30" s="153">
        <f>IFERROR(VLOOKUP(H30,'[1]Consolidado MP Planta'!$A$2:$M$823,12,0),"")</f>
        <v>0.33333333333333331</v>
      </c>
      <c r="F30" s="153">
        <f t="shared" si="7"/>
        <v>2.6666666666666665</v>
      </c>
      <c r="G30" s="154">
        <f t="shared" si="8"/>
        <v>3.110669536418E-4</v>
      </c>
      <c r="H30" s="158" t="s">
        <v>147</v>
      </c>
      <c r="I30" s="158"/>
      <c r="J30" s="156"/>
      <c r="K30" s="425"/>
      <c r="L30" s="425"/>
    </row>
    <row r="31" spans="1:13" ht="13.5" x14ac:dyDescent="0.25">
      <c r="A31" s="151">
        <v>8</v>
      </c>
      <c r="B31" s="157" t="s">
        <v>149</v>
      </c>
      <c r="C31" s="152">
        <f t="shared" si="6"/>
        <v>8</v>
      </c>
      <c r="D31" s="153" t="s">
        <v>148</v>
      </c>
      <c r="E31" s="153">
        <v>60</v>
      </c>
      <c r="F31" s="153">
        <f t="shared" si="7"/>
        <v>480</v>
      </c>
      <c r="G31" s="154">
        <f t="shared" si="8"/>
        <v>5.5992051655524004E-2</v>
      </c>
      <c r="H31" s="158"/>
      <c r="I31" s="158"/>
      <c r="J31" s="156"/>
      <c r="K31" s="159"/>
      <c r="L31" s="160"/>
    </row>
    <row r="32" spans="1:13" ht="13.5" x14ac:dyDescent="0.25">
      <c r="A32" s="151"/>
      <c r="B32" s="157" t="str">
        <f>IFERROR(VLOOKUP(H32,'[1]Consolidado MP Planta'!$A$2:$M$823,3,0),"")</f>
        <v/>
      </c>
      <c r="C32" s="152">
        <f t="shared" si="6"/>
        <v>0</v>
      </c>
      <c r="D32" s="153" t="str">
        <f>IFERROR(VLOOKUP(H32,'[1]Consolidado MP Planta'!$A$2:$M$823,13,0),"")</f>
        <v/>
      </c>
      <c r="E32" s="153" t="str">
        <f>IFERROR(VLOOKUP(H32,'[1]Consolidado MP Planta'!$A$2:$M$823,12,0),"")</f>
        <v/>
      </c>
      <c r="F32" s="153" t="str">
        <f t="shared" si="7"/>
        <v/>
      </c>
      <c r="G32" s="154" t="str">
        <f t="shared" si="8"/>
        <v/>
      </c>
      <c r="H32" s="158"/>
      <c r="I32" s="158"/>
      <c r="J32" s="156"/>
    </row>
    <row r="33" spans="1:13" ht="14.25" thickBot="1" x14ac:dyDescent="0.3">
      <c r="A33" s="151"/>
      <c r="B33" s="157"/>
      <c r="C33" s="152"/>
      <c r="D33" s="153"/>
      <c r="E33" s="153"/>
      <c r="F33" s="153"/>
      <c r="G33" s="154"/>
      <c r="H33" s="158"/>
      <c r="I33" s="158"/>
      <c r="J33" s="156"/>
    </row>
    <row r="34" spans="1:13" ht="26.25" thickBot="1" x14ac:dyDescent="0.25">
      <c r="A34" s="146" t="s">
        <v>97</v>
      </c>
      <c r="B34" s="147" t="s">
        <v>105</v>
      </c>
      <c r="C34" s="147" t="s">
        <v>97</v>
      </c>
      <c r="D34" s="148" t="s">
        <v>99</v>
      </c>
      <c r="E34" s="148" t="s">
        <v>100</v>
      </c>
      <c r="F34" s="148" t="s">
        <v>101</v>
      </c>
      <c r="G34" s="148" t="s">
        <v>102</v>
      </c>
      <c r="H34" s="149" t="s">
        <v>103</v>
      </c>
      <c r="I34" s="158"/>
      <c r="J34" s="156"/>
    </row>
    <row r="35" spans="1:13" ht="13.5" x14ac:dyDescent="0.25">
      <c r="A35" s="151">
        <f>+A17</f>
        <v>0.5</v>
      </c>
      <c r="B35" s="157" t="s">
        <v>52</v>
      </c>
      <c r="C35" s="152">
        <f>+A35</f>
        <v>0.5</v>
      </c>
      <c r="D35" s="153" t="s">
        <v>144</v>
      </c>
      <c r="E35" s="153">
        <v>49.63</v>
      </c>
      <c r="F35" s="153">
        <f>IFERROR(E35*C35,"")</f>
        <v>24.815000000000001</v>
      </c>
      <c r="G35" s="154">
        <f t="shared" ref="G35:G41" si="9">IFERROR(F35/$F$66,"")</f>
        <v>2.8946724204829753E-3</v>
      </c>
      <c r="H35" s="158" t="s">
        <v>50</v>
      </c>
      <c r="I35" s="158"/>
      <c r="J35" s="156"/>
    </row>
    <row r="36" spans="1:13" ht="13.5" x14ac:dyDescent="0.25">
      <c r="A36" s="151">
        <f t="shared" ref="A36:A41" si="10">+A18</f>
        <v>240</v>
      </c>
      <c r="B36" s="157" t="s">
        <v>49</v>
      </c>
      <c r="C36" s="152">
        <f t="shared" ref="C36:C41" si="11">+A36</f>
        <v>240</v>
      </c>
      <c r="D36" s="153" t="s">
        <v>142</v>
      </c>
      <c r="E36" s="153">
        <v>0.01</v>
      </c>
      <c r="F36" s="153">
        <f t="shared" ref="F36:F41" si="12">IFERROR(E36*C36,"")</f>
        <v>2.4</v>
      </c>
      <c r="G36" s="154">
        <f t="shared" si="9"/>
        <v>2.7996025827761999E-4</v>
      </c>
      <c r="H36" s="158" t="s">
        <v>48</v>
      </c>
      <c r="I36" s="158"/>
      <c r="J36" s="156"/>
    </row>
    <row r="37" spans="1:13" ht="13.5" x14ac:dyDescent="0.25">
      <c r="A37" s="151">
        <f t="shared" si="10"/>
        <v>120</v>
      </c>
      <c r="B37" s="157" t="s">
        <v>54</v>
      </c>
      <c r="C37" s="152">
        <f t="shared" si="11"/>
        <v>120</v>
      </c>
      <c r="D37" s="153" t="s">
        <v>142</v>
      </c>
      <c r="E37" s="153">
        <v>0.01</v>
      </c>
      <c r="F37" s="153">
        <f t="shared" si="12"/>
        <v>1.2</v>
      </c>
      <c r="G37" s="154">
        <f t="shared" si="9"/>
        <v>1.3998012913881E-4</v>
      </c>
      <c r="H37" s="158" t="s">
        <v>53</v>
      </c>
      <c r="I37" s="158"/>
      <c r="J37" s="156"/>
    </row>
    <row r="38" spans="1:13" ht="13.5" x14ac:dyDescent="0.25">
      <c r="A38" s="151">
        <f t="shared" si="10"/>
        <v>640</v>
      </c>
      <c r="B38" s="157" t="s">
        <v>78</v>
      </c>
      <c r="C38" s="152">
        <f>+A38</f>
        <v>640</v>
      </c>
      <c r="D38" s="153" t="s">
        <v>142</v>
      </c>
      <c r="E38" s="153">
        <f>+'Costo Salsa Suave '!E76</f>
        <v>1.9259999999999999E-2</v>
      </c>
      <c r="F38" s="153">
        <f>IFERROR(E38*C38,"")</f>
        <v>12.3264</v>
      </c>
      <c r="G38" s="154">
        <f t="shared" si="9"/>
        <v>1.4378758865138564E-3</v>
      </c>
      <c r="H38" s="158" t="s">
        <v>58</v>
      </c>
      <c r="I38" s="158"/>
      <c r="J38" s="156"/>
    </row>
    <row r="39" spans="1:13" ht="13.5" x14ac:dyDescent="0.25">
      <c r="A39" s="151">
        <f t="shared" si="10"/>
        <v>480</v>
      </c>
      <c r="B39" s="157" t="s">
        <v>80</v>
      </c>
      <c r="C39" s="152">
        <f>+A39</f>
        <v>480</v>
      </c>
      <c r="D39" s="153" t="s">
        <v>142</v>
      </c>
      <c r="E39" s="153">
        <f>+'Costo Crema Pasionata '!E76</f>
        <v>0</v>
      </c>
      <c r="F39" s="153">
        <f>IFERROR(E39*C39,"")</f>
        <v>0</v>
      </c>
      <c r="G39" s="154">
        <f t="shared" si="9"/>
        <v>0</v>
      </c>
      <c r="H39" s="158" t="s">
        <v>58</v>
      </c>
      <c r="I39" s="158"/>
      <c r="J39" s="156"/>
    </row>
    <row r="40" spans="1:13" ht="13.5" x14ac:dyDescent="0.25">
      <c r="A40" s="151">
        <f t="shared" si="10"/>
        <v>24</v>
      </c>
      <c r="B40" s="157" t="s">
        <v>83</v>
      </c>
      <c r="C40" s="152">
        <f t="shared" si="11"/>
        <v>24</v>
      </c>
      <c r="D40" s="153" t="s">
        <v>142</v>
      </c>
      <c r="E40" s="153">
        <v>0.32</v>
      </c>
      <c r="F40" s="153">
        <f t="shared" si="12"/>
        <v>7.68</v>
      </c>
      <c r="G40" s="154">
        <f t="shared" si="9"/>
        <v>8.9587282648838395E-4</v>
      </c>
      <c r="H40" s="158" t="s">
        <v>82</v>
      </c>
      <c r="I40" s="158"/>
      <c r="J40" s="156"/>
    </row>
    <row r="41" spans="1:13" ht="13.5" x14ac:dyDescent="0.25">
      <c r="A41" s="151">
        <f t="shared" si="10"/>
        <v>0</v>
      </c>
      <c r="B41" s="157" t="str">
        <f>IFERROR(VLOOKUP(H41,[1]SEMIELABORADOS!$A$2:$M$6000,2,0),"")</f>
        <v/>
      </c>
      <c r="C41" s="152">
        <f t="shared" si="11"/>
        <v>0</v>
      </c>
      <c r="D41" s="153" t="str">
        <f>IFERROR(VLOOKUP(H41,[1]SEMIELABORADOS!$A$2:$M$6000,6,0),"")</f>
        <v/>
      </c>
      <c r="E41" s="153" t="str">
        <f>IFERROR(VLOOKUP(H41,[1]SEMIELABORADOS!$A$2:$M$65536,10,0),"")</f>
        <v/>
      </c>
      <c r="F41" s="153" t="str">
        <f t="shared" si="12"/>
        <v/>
      </c>
      <c r="G41" s="154" t="str">
        <f t="shared" si="9"/>
        <v/>
      </c>
      <c r="H41" s="158"/>
      <c r="I41" s="158"/>
      <c r="J41" s="156"/>
    </row>
    <row r="42" spans="1:13" ht="14.25" thickBot="1" x14ac:dyDescent="0.3">
      <c r="A42" s="151"/>
      <c r="B42" s="157"/>
      <c r="C42" s="152"/>
      <c r="D42" s="153"/>
      <c r="E42" s="153"/>
      <c r="F42" s="153"/>
      <c r="G42" s="154"/>
      <c r="H42" s="158"/>
      <c r="I42" s="158"/>
      <c r="J42" s="156"/>
    </row>
    <row r="43" spans="1:13" ht="26.25" thickBot="1" x14ac:dyDescent="0.3">
      <c r="A43" s="146" t="s">
        <v>97</v>
      </c>
      <c r="B43" s="147" t="s">
        <v>106</v>
      </c>
      <c r="C43" s="147" t="s">
        <v>97</v>
      </c>
      <c r="D43" s="148" t="s">
        <v>99</v>
      </c>
      <c r="E43" s="148" t="s">
        <v>100</v>
      </c>
      <c r="F43" s="148" t="s">
        <v>101</v>
      </c>
      <c r="G43" s="148" t="s">
        <v>102</v>
      </c>
      <c r="H43" s="149" t="s">
        <v>103</v>
      </c>
      <c r="I43" s="150"/>
      <c r="J43" s="156"/>
    </row>
    <row r="44" spans="1:13" ht="13.5" x14ac:dyDescent="0.25">
      <c r="A44" s="151">
        <f>+A35</f>
        <v>0.5</v>
      </c>
      <c r="B44" s="157" t="s">
        <v>52</v>
      </c>
      <c r="C44" s="152">
        <f>+A44</f>
        <v>0.5</v>
      </c>
      <c r="D44" s="153" t="s">
        <v>143</v>
      </c>
      <c r="E44" s="153">
        <v>121.57</v>
      </c>
      <c r="F44" s="153">
        <f>IFERROR(E44*C44,"")</f>
        <v>60.784999999999997</v>
      </c>
      <c r="G44" s="154">
        <f>IFERROR(F44/$F$66,"")</f>
        <v>7.090576791418805E-3</v>
      </c>
      <c r="H44" s="158" t="s">
        <v>50</v>
      </c>
      <c r="I44" s="150"/>
      <c r="J44" s="156"/>
    </row>
    <row r="45" spans="1:13" ht="13.5" x14ac:dyDescent="0.25">
      <c r="A45" s="151">
        <f t="shared" ref="A45:A50" si="13">+A36</f>
        <v>240</v>
      </c>
      <c r="B45" s="157" t="s">
        <v>49</v>
      </c>
      <c r="C45" s="152">
        <f t="shared" ref="C45:C50" si="14">+A45</f>
        <v>240</v>
      </c>
      <c r="D45" s="153" t="s">
        <v>142</v>
      </c>
      <c r="E45" s="153">
        <v>0.03</v>
      </c>
      <c r="F45" s="153">
        <f t="shared" ref="F45:F50" si="15">IFERROR(E45*C45,"")</f>
        <v>7.1999999999999993</v>
      </c>
      <c r="G45" s="154">
        <f t="shared" ref="G45:G50" si="16">IFERROR(F45/$F$66,"")</f>
        <v>8.3988077483285997E-4</v>
      </c>
      <c r="H45" s="158" t="s">
        <v>48</v>
      </c>
      <c r="I45" s="150"/>
      <c r="J45" s="156"/>
      <c r="M45" s="161"/>
    </row>
    <row r="46" spans="1:13" ht="13.5" x14ac:dyDescent="0.25">
      <c r="A46" s="151">
        <f t="shared" si="13"/>
        <v>120</v>
      </c>
      <c r="B46" s="157" t="s">
        <v>54</v>
      </c>
      <c r="C46" s="152">
        <f t="shared" si="14"/>
        <v>120</v>
      </c>
      <c r="D46" s="153" t="s">
        <v>142</v>
      </c>
      <c r="E46" s="153">
        <v>0.11</v>
      </c>
      <c r="F46" s="153">
        <f t="shared" si="15"/>
        <v>13.2</v>
      </c>
      <c r="G46" s="154">
        <f t="shared" si="16"/>
        <v>1.53978142052691E-3</v>
      </c>
      <c r="H46" s="158" t="s">
        <v>53</v>
      </c>
      <c r="I46" s="150"/>
      <c r="J46" s="156"/>
    </row>
    <row r="47" spans="1:13" ht="13.5" x14ac:dyDescent="0.25">
      <c r="A47" s="151">
        <f t="shared" si="13"/>
        <v>640</v>
      </c>
      <c r="B47" s="157" t="s">
        <v>78</v>
      </c>
      <c r="C47" s="152">
        <f t="shared" si="14"/>
        <v>640</v>
      </c>
      <c r="D47" s="153" t="s">
        <v>142</v>
      </c>
      <c r="E47" s="153">
        <f>+'Costo Salsa Suave '!E74</f>
        <v>0.10589000000000001</v>
      </c>
      <c r="F47" s="153">
        <f t="shared" si="15"/>
        <v>67.769600000000011</v>
      </c>
      <c r="G47" s="154">
        <f t="shared" si="16"/>
        <v>7.90533113307125E-3</v>
      </c>
      <c r="H47" s="158" t="s">
        <v>58</v>
      </c>
      <c r="I47" s="150"/>
      <c r="J47" s="156"/>
    </row>
    <row r="48" spans="1:13" ht="13.5" x14ac:dyDescent="0.25">
      <c r="A48" s="151">
        <f t="shared" si="13"/>
        <v>480</v>
      </c>
      <c r="B48" s="157" t="s">
        <v>80</v>
      </c>
      <c r="C48" s="152">
        <f t="shared" si="14"/>
        <v>480</v>
      </c>
      <c r="D48" s="153" t="s">
        <v>142</v>
      </c>
      <c r="E48" s="153">
        <f>+'Costo Crema Pasionata '!E74</f>
        <v>0.154</v>
      </c>
      <c r="F48" s="153">
        <f t="shared" si="15"/>
        <v>73.92</v>
      </c>
      <c r="G48" s="154">
        <f t="shared" si="16"/>
        <v>8.6227759549506958E-3</v>
      </c>
      <c r="H48" s="158" t="s">
        <v>58</v>
      </c>
      <c r="I48" s="150"/>
      <c r="J48" s="156"/>
    </row>
    <row r="49" spans="1:17" ht="13.5" x14ac:dyDescent="0.25">
      <c r="A49" s="151">
        <f t="shared" si="13"/>
        <v>24</v>
      </c>
      <c r="B49" s="157" t="s">
        <v>83</v>
      </c>
      <c r="C49" s="152">
        <f t="shared" si="14"/>
        <v>24</v>
      </c>
      <c r="D49" s="153" t="s">
        <v>142</v>
      </c>
      <c r="E49" s="153">
        <v>0.2</v>
      </c>
      <c r="F49" s="153">
        <f t="shared" si="15"/>
        <v>4.8000000000000007</v>
      </c>
      <c r="G49" s="154">
        <f t="shared" si="16"/>
        <v>5.5992051655524009E-4</v>
      </c>
      <c r="H49" s="158" t="s">
        <v>82</v>
      </c>
      <c r="I49" s="150"/>
      <c r="J49" s="156"/>
      <c r="M49" s="139">
        <f>5635.11/8</f>
        <v>704.38874999999996</v>
      </c>
      <c r="N49" s="139">
        <f>535.67/8</f>
        <v>66.958749999999995</v>
      </c>
    </row>
    <row r="50" spans="1:17" ht="13.5" x14ac:dyDescent="0.25">
      <c r="A50" s="151">
        <f t="shared" si="13"/>
        <v>0</v>
      </c>
      <c r="B50" s="157" t="str">
        <f>IFERROR(VLOOKUP(H50,[1]SEMIELABORADOS!$A$2:$M$6000,2,0),"")</f>
        <v/>
      </c>
      <c r="C50" s="152">
        <f t="shared" si="14"/>
        <v>0</v>
      </c>
      <c r="D50" s="153" t="str">
        <f>IFERROR(VLOOKUP(H50,[1]SEMIELABORADOS!$A$2:$M$6000,6,0),"")</f>
        <v/>
      </c>
      <c r="E50" s="153" t="str">
        <f>IFERROR(VLOOKUP(H50,[1]SEMIELABORADOS!$A$2:$M$65536,12,0),"")</f>
        <v/>
      </c>
      <c r="F50" s="153" t="str">
        <f t="shared" si="15"/>
        <v/>
      </c>
      <c r="G50" s="154" t="str">
        <f t="shared" si="16"/>
        <v/>
      </c>
      <c r="H50" s="157"/>
      <c r="I50" s="150"/>
      <c r="J50" s="156"/>
      <c r="M50" s="139">
        <f>2516.83/8</f>
        <v>314.60374999999999</v>
      </c>
      <c r="N50" s="139">
        <f>577.42/8</f>
        <v>72.177499999999995</v>
      </c>
    </row>
    <row r="51" spans="1:17" ht="13.5" x14ac:dyDescent="0.25">
      <c r="A51" s="151">
        <v>1</v>
      </c>
      <c r="B51" s="157" t="s">
        <v>107</v>
      </c>
      <c r="C51" s="152">
        <f>+A51</f>
        <v>1</v>
      </c>
      <c r="D51" s="152" t="s">
        <v>108</v>
      </c>
      <c r="E51" s="153">
        <f>+F65</f>
        <v>308</v>
      </c>
      <c r="F51" s="153">
        <f>IFERROR(C51*E51,"")</f>
        <v>308</v>
      </c>
      <c r="G51" s="154">
        <f>IFERROR(F51/$F$66,"")</f>
        <v>3.5928233145627902E-2</v>
      </c>
      <c r="H51" s="162"/>
      <c r="I51" s="162"/>
      <c r="J51" s="156"/>
    </row>
    <row r="52" spans="1:17" ht="14.25" thickBot="1" x14ac:dyDescent="0.3">
      <c r="A52" s="151"/>
      <c r="B52" s="157"/>
      <c r="C52" s="152"/>
      <c r="D52" s="152"/>
      <c r="E52" s="153"/>
      <c r="F52" s="153"/>
      <c r="G52" s="154"/>
      <c r="H52" s="162"/>
      <c r="I52" s="162"/>
      <c r="J52" s="156"/>
    </row>
    <row r="53" spans="1:17" ht="13.5" thickBot="1" x14ac:dyDescent="0.3">
      <c r="A53" s="163"/>
      <c r="B53" s="426" t="s">
        <v>109</v>
      </c>
      <c r="C53" s="426"/>
      <c r="D53" s="426"/>
      <c r="E53" s="426"/>
      <c r="F53" s="165">
        <f>SUM(F8:F14,F17:F24)</f>
        <v>5635.1110399999989</v>
      </c>
      <c r="G53" s="154">
        <f>+F53/$F$66</f>
        <v>0.65733630924227815</v>
      </c>
      <c r="H53" s="166">
        <f>+F53/$D$60</f>
        <v>5635.1110399999989</v>
      </c>
      <c r="I53" s="166"/>
      <c r="J53" s="167"/>
      <c r="K53" s="168"/>
      <c r="L53" s="168"/>
      <c r="M53" s="168"/>
      <c r="N53" s="168"/>
      <c r="O53" s="168"/>
      <c r="P53" s="168"/>
      <c r="Q53" s="169"/>
    </row>
    <row r="54" spans="1:17" x14ac:dyDescent="0.2">
      <c r="A54" s="163"/>
      <c r="B54" s="426" t="s">
        <v>110</v>
      </c>
      <c r="C54" s="426"/>
      <c r="D54" s="426"/>
      <c r="E54" s="426"/>
      <c r="F54" s="165">
        <f>SUM(F27:F32,F35:F41)</f>
        <v>2516.8320666666664</v>
      </c>
      <c r="G54" s="154">
        <f>+F54/$F$66</f>
        <v>0.29358873142724834</v>
      </c>
      <c r="H54" s="166">
        <f>+F54/$D$60</f>
        <v>2516.8320666666664</v>
      </c>
      <c r="I54" s="166"/>
      <c r="J54" s="170"/>
      <c r="K54" s="427" t="s">
        <v>111</v>
      </c>
      <c r="L54" s="428"/>
      <c r="M54" s="428"/>
      <c r="N54" s="428"/>
      <c r="O54" s="171">
        <f>+F55</f>
        <v>8151.9431066666657</v>
      </c>
      <c r="P54" s="171"/>
      <c r="Q54" s="172"/>
    </row>
    <row r="55" spans="1:17" x14ac:dyDescent="0.2">
      <c r="A55" s="163"/>
      <c r="B55" s="426" t="s">
        <v>112</v>
      </c>
      <c r="C55" s="426"/>
      <c r="D55" s="426"/>
      <c r="E55" s="426"/>
      <c r="F55" s="165">
        <f>+F53+F54</f>
        <v>8151.9431066666657</v>
      </c>
      <c r="G55" s="154">
        <f>+F55/$F$66</f>
        <v>0.95092504066952654</v>
      </c>
      <c r="H55" s="166">
        <f>+F55/$D$60</f>
        <v>8151.9431066666657</v>
      </c>
      <c r="I55" s="166"/>
      <c r="J55" s="173"/>
      <c r="K55" s="174"/>
      <c r="M55" s="175" t="s">
        <v>113</v>
      </c>
      <c r="N55" s="176"/>
      <c r="O55" s="171">
        <f>+H56</f>
        <v>535.67460000000005</v>
      </c>
      <c r="P55" s="171"/>
      <c r="Q55" s="172"/>
    </row>
    <row r="56" spans="1:17" ht="13.5" thickBot="1" x14ac:dyDescent="0.25">
      <c r="A56" s="163"/>
      <c r="B56" s="164"/>
      <c r="C56" s="426" t="s">
        <v>114</v>
      </c>
      <c r="D56" s="426"/>
      <c r="E56" s="426"/>
      <c r="F56" s="165">
        <f>SUM(F44:F51)</f>
        <v>535.67460000000005</v>
      </c>
      <c r="G56" s="154">
        <f>+F56/$F$66</f>
        <v>6.2486499736983669E-2</v>
      </c>
      <c r="H56" s="166">
        <f>+F56/$D$60</f>
        <v>535.67460000000005</v>
      </c>
      <c r="I56" s="166"/>
      <c r="J56" s="173"/>
      <c r="K56" s="174"/>
      <c r="L56" s="174"/>
      <c r="M56" s="174" t="s">
        <v>115</v>
      </c>
      <c r="N56" s="177"/>
      <c r="O56" s="171">
        <f>O54*N56</f>
        <v>0</v>
      </c>
      <c r="P56" s="171"/>
      <c r="Q56" s="172"/>
    </row>
    <row r="57" spans="1:17" ht="13.5" thickBot="1" x14ac:dyDescent="0.25">
      <c r="A57" s="163"/>
      <c r="B57" s="178"/>
      <c r="C57" s="178"/>
      <c r="D57" s="178"/>
      <c r="E57" s="178"/>
      <c r="F57" s="179"/>
      <c r="G57" s="154"/>
      <c r="H57" s="180"/>
      <c r="I57" s="166"/>
      <c r="J57" s="173"/>
      <c r="K57" s="181"/>
      <c r="M57" s="182" t="s">
        <v>116</v>
      </c>
      <c r="N57" s="183"/>
      <c r="O57" s="184">
        <f>SUM(O54:O56)</f>
        <v>8687.617706666666</v>
      </c>
      <c r="P57" s="185"/>
      <c r="Q57" s="172"/>
    </row>
    <row r="58" spans="1:17" x14ac:dyDescent="0.2">
      <c r="B58" s="429" t="s">
        <v>117</v>
      </c>
      <c r="C58" s="429"/>
      <c r="D58" s="186">
        <v>2048</v>
      </c>
      <c r="E58" s="187"/>
      <c r="G58" s="154"/>
      <c r="H58" s="180">
        <f>+H56/77</f>
        <v>6.956812987012988</v>
      </c>
      <c r="I58" s="188"/>
      <c r="J58" s="173"/>
      <c r="K58" s="181"/>
      <c r="L58" s="174"/>
      <c r="M58" s="174" t="s">
        <v>118</v>
      </c>
      <c r="N58" s="189"/>
      <c r="O58" s="171">
        <f>+H59</f>
        <v>577.41547792207803</v>
      </c>
      <c r="P58" s="171"/>
      <c r="Q58" s="172"/>
    </row>
    <row r="59" spans="1:17" x14ac:dyDescent="0.2">
      <c r="B59" s="429" t="s">
        <v>119</v>
      </c>
      <c r="C59" s="429"/>
      <c r="D59" s="190">
        <v>2048</v>
      </c>
      <c r="E59" s="187"/>
      <c r="G59" s="154"/>
      <c r="H59" s="180">
        <f>+H58*83</f>
        <v>577.41547792207803</v>
      </c>
      <c r="I59" s="188"/>
      <c r="J59" s="173"/>
      <c r="K59" s="181"/>
      <c r="L59" s="174"/>
      <c r="M59" s="430" t="s">
        <v>116</v>
      </c>
      <c r="N59" s="430"/>
      <c r="O59" s="171">
        <f>SUM(O57:O58)</f>
        <v>9265.0331845887449</v>
      </c>
      <c r="P59" s="171"/>
      <c r="Q59" s="172"/>
    </row>
    <row r="60" spans="1:17" ht="13.5" thickBot="1" x14ac:dyDescent="0.25">
      <c r="B60" s="421" t="s">
        <v>120</v>
      </c>
      <c r="C60" s="421"/>
      <c r="D60" s="186">
        <f>+D58/D59</f>
        <v>1</v>
      </c>
      <c r="E60" s="187"/>
      <c r="F60" s="191"/>
      <c r="G60" s="154"/>
      <c r="H60" s="180"/>
      <c r="I60" s="188"/>
      <c r="J60" s="173"/>
      <c r="K60" s="181"/>
      <c r="L60" s="430"/>
      <c r="M60" s="430"/>
      <c r="N60" s="189"/>
      <c r="O60" s="171">
        <f>+O59*N60</f>
        <v>0</v>
      </c>
      <c r="P60" s="171"/>
      <c r="Q60" s="172"/>
    </row>
    <row r="61" spans="1:17" ht="13.5" thickBot="1" x14ac:dyDescent="0.25">
      <c r="B61" s="421" t="s">
        <v>121</v>
      </c>
      <c r="C61" s="421"/>
      <c r="D61" s="192"/>
      <c r="E61" s="187"/>
      <c r="F61" s="191"/>
      <c r="G61" s="154"/>
      <c r="H61" s="180"/>
      <c r="I61" s="188"/>
      <c r="J61" s="173"/>
      <c r="K61" s="422" t="s">
        <v>122</v>
      </c>
      <c r="L61" s="423"/>
      <c r="M61" s="423"/>
      <c r="N61" s="424"/>
      <c r="O61" s="184">
        <f>SUM(O59:O60)</f>
        <v>9265.0331845887449</v>
      </c>
      <c r="P61" s="193" t="s">
        <v>123</v>
      </c>
      <c r="Q61" s="172"/>
    </row>
    <row r="62" spans="1:17" ht="13.5" thickBot="1" x14ac:dyDescent="0.25">
      <c r="C62" s="163" t="s">
        <v>124</v>
      </c>
      <c r="D62" s="194"/>
      <c r="E62" s="137" t="s">
        <v>125</v>
      </c>
      <c r="F62" s="195" t="s">
        <v>126</v>
      </c>
      <c r="G62" s="154"/>
      <c r="H62" s="180"/>
      <c r="I62" s="188"/>
      <c r="J62" s="196"/>
      <c r="K62" s="197"/>
      <c r="L62" s="410" t="s">
        <v>127</v>
      </c>
      <c r="M62" s="410"/>
      <c r="N62" s="410"/>
      <c r="O62" s="198">
        <f>+O61/D60</f>
        <v>9265.0331845887449</v>
      </c>
      <c r="P62" s="199">
        <f>+O62/D59</f>
        <v>4.5239419846624731</v>
      </c>
      <c r="Q62" s="200"/>
    </row>
    <row r="63" spans="1:17" ht="13.5" thickBot="1" x14ac:dyDescent="0.25">
      <c r="B63" s="411" t="s">
        <v>112</v>
      </c>
      <c r="C63" s="411"/>
      <c r="D63" s="411"/>
      <c r="E63" s="201">
        <f>+F63/F63</f>
        <v>1</v>
      </c>
      <c r="F63" s="202">
        <f>SUM(F55)</f>
        <v>8151.9431066666657</v>
      </c>
      <c r="G63" s="154">
        <f>+F63/$F$66</f>
        <v>0.95092504066952654</v>
      </c>
      <c r="H63" s="180"/>
      <c r="I63" s="188"/>
      <c r="K63" s="412"/>
      <c r="L63" s="413"/>
      <c r="M63" s="413"/>
      <c r="N63" s="413"/>
      <c r="O63" s="203"/>
      <c r="P63" s="204"/>
    </row>
    <row r="64" spans="1:17" ht="13.5" thickBot="1" x14ac:dyDescent="0.3">
      <c r="B64" s="414" t="s">
        <v>128</v>
      </c>
      <c r="C64" s="414"/>
      <c r="D64" s="414"/>
      <c r="E64" s="205">
        <v>0.02</v>
      </c>
      <c r="F64" s="202">
        <f>+F53*E64</f>
        <v>112.70222079999998</v>
      </c>
      <c r="G64" s="154">
        <f>+F64/$F$66</f>
        <v>1.3146726184845563E-2</v>
      </c>
      <c r="H64" s="166"/>
      <c r="I64" s="188"/>
      <c r="J64" s="206"/>
      <c r="O64" s="207">
        <f>+O62/8</f>
        <v>1158.1291480735931</v>
      </c>
      <c r="P64" s="164"/>
    </row>
    <row r="65" spans="2:13" ht="13.5" thickBot="1" x14ac:dyDescent="0.3">
      <c r="B65" s="415" t="s">
        <v>129</v>
      </c>
      <c r="C65" s="416"/>
      <c r="D65" s="208">
        <v>4</v>
      </c>
      <c r="E65" s="209">
        <v>77</v>
      </c>
      <c r="F65" s="202">
        <f>+E65*D65</f>
        <v>308</v>
      </c>
      <c r="G65" s="154">
        <f>+F65/$F$66</f>
        <v>3.5928233145627902E-2</v>
      </c>
      <c r="H65" s="166"/>
      <c r="I65" s="166"/>
      <c r="J65" s="156"/>
    </row>
    <row r="66" spans="2:13" ht="13.5" thickBot="1" x14ac:dyDescent="0.3">
      <c r="B66" s="417" t="s">
        <v>130</v>
      </c>
      <c r="C66" s="418"/>
      <c r="D66" s="418"/>
      <c r="E66" s="419"/>
      <c r="F66" s="179">
        <f>SUM(F63:F65)</f>
        <v>8572.6453274666655</v>
      </c>
      <c r="G66" s="154">
        <f>+F66/$F$66</f>
        <v>1</v>
      </c>
      <c r="H66" s="420"/>
      <c r="I66" s="166"/>
      <c r="J66" s="156"/>
      <c r="M66" s="139" t="s">
        <v>131</v>
      </c>
    </row>
    <row r="67" spans="2:13" x14ac:dyDescent="0.25">
      <c r="C67" s="161"/>
      <c r="D67" s="161"/>
      <c r="E67" s="211"/>
      <c r="F67" s="202"/>
      <c r="G67" s="154"/>
      <c r="H67" s="420"/>
      <c r="I67" s="210"/>
      <c r="J67" s="139"/>
      <c r="M67" s="139" t="s">
        <v>132</v>
      </c>
    </row>
    <row r="68" spans="2:13" ht="13.5" thickBot="1" x14ac:dyDescent="0.3">
      <c r="B68" s="405" t="s">
        <v>133</v>
      </c>
      <c r="C68" s="405"/>
      <c r="D68" s="405"/>
      <c r="E68" s="405"/>
      <c r="F68" s="405"/>
      <c r="G68" s="154"/>
      <c r="H68" s="213"/>
      <c r="I68" s="210"/>
      <c r="J68" s="139"/>
      <c r="M68" s="139" t="s">
        <v>134</v>
      </c>
    </row>
    <row r="69" spans="2:13" ht="13.5" thickBot="1" x14ac:dyDescent="0.3">
      <c r="B69" s="214" t="s">
        <v>135</v>
      </c>
      <c r="C69" s="215">
        <f>+F53</f>
        <v>5635.1110399999989</v>
      </c>
      <c r="D69" s="215">
        <f>+D58</f>
        <v>2048</v>
      </c>
      <c r="E69" s="216">
        <f>+C69/D69</f>
        <v>2.7515190624999994</v>
      </c>
      <c r="F69" s="154"/>
      <c r="G69" s="213"/>
      <c r="H69" s="156"/>
      <c r="I69" s="213"/>
      <c r="J69" s="139"/>
    </row>
    <row r="70" spans="2:13" x14ac:dyDescent="0.25">
      <c r="B70" s="217"/>
      <c r="C70" s="218"/>
      <c r="D70" s="219"/>
      <c r="E70" s="202"/>
      <c r="F70" s="154"/>
      <c r="G70" s="213"/>
      <c r="H70" s="156"/>
      <c r="I70" s="156"/>
      <c r="J70" s="139"/>
    </row>
    <row r="71" spans="2:13" x14ac:dyDescent="0.25">
      <c r="B71" s="214" t="s">
        <v>136</v>
      </c>
      <c r="C71" s="215">
        <f>SUM(F63:F64)</f>
        <v>8264.6453274666655</v>
      </c>
      <c r="D71" s="215">
        <f>+D58</f>
        <v>2048</v>
      </c>
      <c r="E71" s="220">
        <f>+C71/D71</f>
        <v>4.0354713513020828</v>
      </c>
      <c r="F71" s="154"/>
      <c r="G71" s="213"/>
      <c r="H71" s="156"/>
      <c r="I71" s="156"/>
      <c r="J71" s="139"/>
    </row>
    <row r="72" spans="2:13" x14ac:dyDescent="0.25">
      <c r="B72" s="214"/>
      <c r="C72" s="215"/>
      <c r="D72" s="215"/>
      <c r="E72" s="220"/>
      <c r="F72" s="154"/>
      <c r="G72" s="213"/>
      <c r="H72" s="156"/>
      <c r="I72" s="156"/>
      <c r="J72" s="139"/>
    </row>
    <row r="73" spans="2:13" ht="13.5" thickBot="1" x14ac:dyDescent="0.3">
      <c r="B73" s="214" t="s">
        <v>137</v>
      </c>
      <c r="C73" s="215">
        <f>+F65</f>
        <v>308</v>
      </c>
      <c r="D73" s="215">
        <f>+D58</f>
        <v>2048</v>
      </c>
      <c r="E73" s="220">
        <f>+C73/D73</f>
        <v>0.150390625</v>
      </c>
      <c r="F73" s="154"/>
      <c r="G73" s="213"/>
      <c r="H73" s="156"/>
      <c r="I73" s="156"/>
      <c r="J73" s="139"/>
    </row>
    <row r="74" spans="2:13" ht="13.5" thickBot="1" x14ac:dyDescent="0.3">
      <c r="B74" s="214" t="s">
        <v>138</v>
      </c>
      <c r="C74" s="215">
        <f>+F56</f>
        <v>535.67460000000005</v>
      </c>
      <c r="D74" s="215">
        <f>+D73</f>
        <v>2048</v>
      </c>
      <c r="E74" s="216">
        <f>+C74/D74</f>
        <v>0.26155986328125003</v>
      </c>
      <c r="F74" s="154"/>
      <c r="G74" s="213"/>
      <c r="H74" s="156"/>
      <c r="I74" s="156"/>
      <c r="J74" s="139"/>
    </row>
    <row r="75" spans="2:13" ht="13.5" thickBot="1" x14ac:dyDescent="0.3">
      <c r="B75" s="178"/>
      <c r="C75" s="179"/>
      <c r="D75" s="179"/>
      <c r="E75" s="220"/>
      <c r="F75" s="154"/>
      <c r="G75" s="213"/>
      <c r="H75" s="156"/>
      <c r="I75" s="156"/>
      <c r="J75" s="139"/>
    </row>
    <row r="76" spans="2:13" ht="13.5" thickBot="1" x14ac:dyDescent="0.3">
      <c r="B76" s="214" t="s">
        <v>139</v>
      </c>
      <c r="C76" s="215">
        <f>+F54</f>
        <v>2516.8320666666664</v>
      </c>
      <c r="D76" s="215">
        <f>+D74</f>
        <v>2048</v>
      </c>
      <c r="E76" s="216">
        <f>+C76/D76</f>
        <v>1.2289219075520832</v>
      </c>
      <c r="F76" s="154"/>
      <c r="G76" s="213"/>
      <c r="H76" s="156"/>
      <c r="I76" s="156"/>
      <c r="J76" s="156"/>
    </row>
    <row r="77" spans="2:13" ht="13.5" thickBot="1" x14ac:dyDescent="0.3">
      <c r="B77" s="178"/>
      <c r="C77" s="179"/>
      <c r="D77" s="179"/>
      <c r="E77" s="220"/>
      <c r="F77" s="154"/>
      <c r="G77" s="213"/>
      <c r="H77" s="156"/>
      <c r="I77" s="156"/>
    </row>
    <row r="78" spans="2:13" ht="13.5" thickBot="1" x14ac:dyDescent="0.3">
      <c r="B78" s="406" t="s">
        <v>140</v>
      </c>
      <c r="C78" s="407"/>
      <c r="D78" s="408"/>
      <c r="E78" s="216">
        <f>+E69+E74</f>
        <v>3.0130789257812496</v>
      </c>
      <c r="G78" s="154"/>
      <c r="H78" s="213"/>
      <c r="I78" s="156"/>
      <c r="J78" s="220"/>
    </row>
    <row r="79" spans="2:13" x14ac:dyDescent="0.25">
      <c r="I79" s="213"/>
      <c r="J79" s="139"/>
    </row>
    <row r="80" spans="2:13" ht="13.5" thickBot="1" x14ac:dyDescent="0.3">
      <c r="B80" s="405" t="s">
        <v>141</v>
      </c>
      <c r="C80" s="405"/>
      <c r="D80" s="405"/>
      <c r="E80" s="405"/>
      <c r="F80" s="405"/>
      <c r="G80" s="154"/>
      <c r="H80" s="213"/>
      <c r="J80" s="139"/>
    </row>
    <row r="81" spans="1:10" ht="13.5" thickBot="1" x14ac:dyDescent="0.3">
      <c r="B81" s="214" t="s">
        <v>135</v>
      </c>
      <c r="C81" s="215">
        <f>+C69</f>
        <v>5635.1110399999989</v>
      </c>
      <c r="D81" s="215">
        <f>+D60</f>
        <v>1</v>
      </c>
      <c r="E81" s="216">
        <f>+C81/D81</f>
        <v>5635.1110399999989</v>
      </c>
      <c r="F81" s="154"/>
      <c r="G81" s="213"/>
      <c r="H81" s="156"/>
      <c r="I81" s="213"/>
      <c r="J81" s="139"/>
    </row>
    <row r="82" spans="1:10" x14ac:dyDescent="0.25">
      <c r="B82" s="217"/>
      <c r="C82" s="218"/>
      <c r="D82" s="219"/>
      <c r="E82" s="202"/>
      <c r="F82" s="154"/>
      <c r="G82" s="213"/>
      <c r="H82" s="156"/>
      <c r="I82" s="156"/>
      <c r="J82" s="139"/>
    </row>
    <row r="83" spans="1:10" x14ac:dyDescent="0.25">
      <c r="B83" s="214" t="s">
        <v>136</v>
      </c>
      <c r="C83" s="215">
        <f>+C71</f>
        <v>8264.6453274666655</v>
      </c>
      <c r="D83" s="215">
        <f>+D60</f>
        <v>1</v>
      </c>
      <c r="E83" s="220">
        <f>+C83/D83</f>
        <v>8264.6453274666655</v>
      </c>
      <c r="F83" s="154"/>
      <c r="G83" s="213"/>
      <c r="H83" s="156"/>
      <c r="I83" s="156"/>
      <c r="J83" s="139"/>
    </row>
    <row r="84" spans="1:10" x14ac:dyDescent="0.25">
      <c r="B84" s="214"/>
      <c r="C84" s="215"/>
      <c r="D84" s="215"/>
      <c r="E84" s="220"/>
      <c r="F84" s="154"/>
      <c r="G84" s="213"/>
      <c r="H84" s="156"/>
      <c r="I84" s="156"/>
      <c r="J84" s="139"/>
    </row>
    <row r="85" spans="1:10" ht="13.5" thickBot="1" x14ac:dyDescent="0.3">
      <c r="B85" s="214" t="s">
        <v>138</v>
      </c>
      <c r="C85" s="215">
        <f>+C73</f>
        <v>308</v>
      </c>
      <c r="D85" s="215">
        <f>+D60</f>
        <v>1</v>
      </c>
      <c r="E85" s="220">
        <f>+C85/D85</f>
        <v>308</v>
      </c>
      <c r="F85" s="222"/>
      <c r="G85" s="212"/>
      <c r="H85" s="138"/>
      <c r="I85" s="156"/>
    </row>
    <row r="86" spans="1:10" ht="13.5" thickBot="1" x14ac:dyDescent="0.3">
      <c r="B86" s="214" t="s">
        <v>138</v>
      </c>
      <c r="C86" s="215">
        <f>+C74</f>
        <v>535.67460000000005</v>
      </c>
      <c r="D86" s="215">
        <f>+D85</f>
        <v>1</v>
      </c>
      <c r="E86" s="216">
        <f>+C86/D86</f>
        <v>535.67460000000005</v>
      </c>
      <c r="F86" s="221"/>
      <c r="G86" s="212"/>
      <c r="H86" s="138"/>
      <c r="I86" s="138"/>
    </row>
    <row r="87" spans="1:10" x14ac:dyDescent="0.25">
      <c r="I87" s="138"/>
    </row>
    <row r="88" spans="1:10" x14ac:dyDescent="0.2">
      <c r="A88" s="409"/>
      <c r="B88" s="409"/>
      <c r="C88" s="223"/>
      <c r="D88" s="223"/>
      <c r="E88" s="224"/>
      <c r="G88" s="225"/>
    </row>
    <row r="89" spans="1:10" x14ac:dyDescent="0.2">
      <c r="A89" s="157"/>
      <c r="B89" s="226"/>
      <c r="C89" s="227"/>
      <c r="D89" s="227"/>
      <c r="E89" s="228"/>
      <c r="G89" s="225"/>
    </row>
    <row r="90" spans="1:10" x14ac:dyDescent="0.2">
      <c r="A90" s="157"/>
      <c r="B90" s="226"/>
      <c r="C90" s="229"/>
      <c r="D90" s="229"/>
      <c r="E90" s="157"/>
      <c r="G90" s="225"/>
    </row>
    <row r="91" spans="1:10" x14ac:dyDescent="0.2">
      <c r="A91" s="157"/>
      <c r="B91" s="226"/>
      <c r="C91" s="230"/>
      <c r="D91" s="230"/>
      <c r="E91" s="157"/>
      <c r="G91" s="22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CC71-0BA6-480C-B3C0-9D026A7D2383}">
  <dimension ref="A1:Q91"/>
  <sheetViews>
    <sheetView topLeftCell="A4" workbookViewId="0">
      <selection activeCell="E8" sqref="E8"/>
    </sheetView>
  </sheetViews>
  <sheetFormatPr baseColWidth="10" defaultColWidth="8.42578125" defaultRowHeight="12.75" x14ac:dyDescent="0.25"/>
  <cols>
    <col min="1" max="1" width="10" style="139" bestFit="1" customWidth="1"/>
    <col min="2" max="2" width="44.28515625" style="139" bestFit="1" customWidth="1"/>
    <col min="3" max="3" width="10.42578125" style="139" bestFit="1" customWidth="1"/>
    <col min="4" max="4" width="10.42578125" style="139" customWidth="1"/>
    <col min="5" max="5" width="11" style="139" customWidth="1"/>
    <col min="6" max="6" width="9.5703125" style="139" bestFit="1" customWidth="1"/>
    <col min="7" max="7" width="10.85546875" style="221" customWidth="1"/>
    <col min="8" max="8" width="10.42578125" style="212" bestFit="1" customWidth="1"/>
    <col min="9" max="9" width="4.5703125" style="212" customWidth="1"/>
    <col min="10" max="10" width="1.85546875" style="138" customWidth="1"/>
    <col min="11" max="11" width="7" style="139" bestFit="1" customWidth="1"/>
    <col min="12" max="12" width="6.28515625" style="139" customWidth="1"/>
    <col min="13" max="13" width="20.42578125" style="139" customWidth="1"/>
    <col min="14" max="14" width="6.42578125" style="139" bestFit="1" customWidth="1"/>
    <col min="15" max="16" width="8.42578125" style="139"/>
    <col min="17" max="17" width="3.28515625" style="139" customWidth="1"/>
    <col min="18" max="16384" width="8.42578125" style="139"/>
  </cols>
  <sheetData>
    <row r="1" spans="1:10" ht="27.75" customHeight="1" x14ac:dyDescent="0.25">
      <c r="A1" s="134"/>
      <c r="B1" s="134"/>
      <c r="C1" s="134"/>
      <c r="D1" s="134"/>
      <c r="E1" s="135" t="s">
        <v>91</v>
      </c>
      <c r="F1" s="136" t="s">
        <v>92</v>
      </c>
      <c r="G1" s="136" t="s">
        <v>93</v>
      </c>
      <c r="H1" s="136" t="s">
        <v>94</v>
      </c>
      <c r="I1" s="137"/>
    </row>
    <row r="2" spans="1:10" ht="30.75" customHeight="1" x14ac:dyDescent="0.25">
      <c r="A2" s="134"/>
      <c r="B2" s="134"/>
      <c r="C2" s="134"/>
      <c r="D2" s="134"/>
      <c r="E2" s="140">
        <f>IFERROR(O62,"")</f>
        <v>4323.692</v>
      </c>
      <c r="F2" s="140">
        <f>IFERROR(H53,"")</f>
        <v>4003.692</v>
      </c>
      <c r="G2" s="140">
        <f>IFERROR(H54,"")</f>
        <v>0</v>
      </c>
      <c r="H2" s="140">
        <f>IFERROR(H56,"")</f>
        <v>154</v>
      </c>
      <c r="I2" s="141"/>
    </row>
    <row r="3" spans="1:10" ht="15" customHeight="1" x14ac:dyDescent="0.25">
      <c r="A3" s="134"/>
      <c r="B3" s="134"/>
      <c r="C3" s="134"/>
      <c r="D3" s="134"/>
      <c r="E3" s="134"/>
      <c r="F3" s="142"/>
      <c r="G3" s="142"/>
      <c r="H3" s="142"/>
      <c r="I3" s="142"/>
    </row>
    <row r="4" spans="1:10" ht="24.75" customHeight="1" thickBot="1" x14ac:dyDescent="0.3">
      <c r="A4" s="431"/>
      <c r="B4" s="431"/>
      <c r="C4" s="431"/>
      <c r="D4" s="431"/>
      <c r="E4" s="431"/>
      <c r="F4" s="431"/>
      <c r="G4" s="431"/>
      <c r="H4" s="431"/>
      <c r="I4" s="143"/>
    </row>
    <row r="5" spans="1:10" ht="19.5" customHeight="1" thickBot="1" x14ac:dyDescent="0.3">
      <c r="A5" s="432" t="s">
        <v>95</v>
      </c>
      <c r="B5" s="433"/>
      <c r="C5" s="433"/>
      <c r="D5" s="433"/>
      <c r="E5" s="433"/>
      <c r="F5" s="433"/>
      <c r="G5" s="433"/>
      <c r="H5" s="434"/>
      <c r="I5" s="144"/>
    </row>
    <row r="6" spans="1:10" ht="19.5" thickBot="1" x14ac:dyDescent="0.3">
      <c r="A6" s="144"/>
      <c r="B6" s="144"/>
      <c r="C6" s="144"/>
      <c r="D6" s="144"/>
      <c r="E6" s="144"/>
      <c r="F6" s="435" t="s">
        <v>96</v>
      </c>
      <c r="G6" s="435"/>
      <c r="H6" s="145">
        <f ca="1">TODAY()</f>
        <v>46094</v>
      </c>
      <c r="I6" s="145"/>
    </row>
    <row r="7" spans="1:10" ht="26.25" thickBot="1" x14ac:dyDescent="0.3">
      <c r="A7" s="146" t="s">
        <v>97</v>
      </c>
      <c r="B7" s="147" t="s">
        <v>98</v>
      </c>
      <c r="C7" s="147" t="s">
        <v>97</v>
      </c>
      <c r="D7" s="148" t="s">
        <v>99</v>
      </c>
      <c r="E7" s="148" t="s">
        <v>100</v>
      </c>
      <c r="F7" s="148" t="s">
        <v>101</v>
      </c>
      <c r="G7" s="148" t="s">
        <v>102</v>
      </c>
      <c r="H7" s="149" t="s">
        <v>103</v>
      </c>
      <c r="I7" s="150"/>
    </row>
    <row r="8" spans="1:10" ht="13.5" x14ac:dyDescent="0.25">
      <c r="A8" s="151">
        <v>1000</v>
      </c>
      <c r="B8" s="139" t="s">
        <v>65</v>
      </c>
      <c r="C8" s="152">
        <f>+A8</f>
        <v>1000</v>
      </c>
      <c r="D8" s="153" t="s">
        <v>142</v>
      </c>
      <c r="E8" s="153">
        <v>4</v>
      </c>
      <c r="F8" s="153">
        <f>IFERROR(C8*E8,"")</f>
        <v>4000</v>
      </c>
      <c r="G8" s="154">
        <f t="shared" ref="G8:G14" si="0">IFERROR(F8/$F$66,"")</f>
        <v>0.94389358709824323</v>
      </c>
      <c r="H8" s="155"/>
      <c r="I8" s="155"/>
      <c r="J8" s="156"/>
    </row>
    <row r="9" spans="1:10" ht="13.5" x14ac:dyDescent="0.25">
      <c r="A9" s="151">
        <v>0.2</v>
      </c>
      <c r="B9" s="139" t="s">
        <v>68</v>
      </c>
      <c r="C9" s="152">
        <f t="shared" ref="C9:C14" si="1">+A9</f>
        <v>0.2</v>
      </c>
      <c r="D9" s="153" t="s">
        <v>142</v>
      </c>
      <c r="E9" s="153">
        <v>18.46</v>
      </c>
      <c r="F9" s="153">
        <f t="shared" ref="F9:F14" si="2">IFERROR(C9*E9,"")</f>
        <v>3.6920000000000002</v>
      </c>
      <c r="G9" s="154">
        <f t="shared" si="0"/>
        <v>8.712137808916786E-4</v>
      </c>
      <c r="H9" s="155"/>
      <c r="I9" s="155"/>
      <c r="J9" s="156"/>
    </row>
    <row r="10" spans="1:10" ht="13.5" hidden="1" x14ac:dyDescent="0.25">
      <c r="A10" s="151"/>
      <c r="B10" s="139" t="str">
        <f>IFERROR(VLOOKUP(H10,'[1]Consolidado MP Planta'!$A$2:$M$823,3,0),"")</f>
        <v/>
      </c>
      <c r="C10" s="152">
        <f t="shared" si="1"/>
        <v>0</v>
      </c>
      <c r="D10" s="153" t="str">
        <f>IFERROR(VLOOKUP(H10,'[1]Consolidado MP Planta'!$A$2:$M$823,13,0),"")</f>
        <v/>
      </c>
      <c r="E10" s="153" t="str">
        <f>IFERROR(VLOOKUP(H10,'[1]Consolidado MP Planta'!$A$2:$M$823,12,0),"")</f>
        <v/>
      </c>
      <c r="F10" s="153" t="str">
        <f t="shared" si="2"/>
        <v/>
      </c>
      <c r="G10" s="154" t="str">
        <f t="shared" si="0"/>
        <v/>
      </c>
      <c r="H10" s="155"/>
      <c r="I10" s="155"/>
      <c r="J10" s="156"/>
    </row>
    <row r="11" spans="1:10" ht="13.5" hidden="1" x14ac:dyDescent="0.25">
      <c r="A11" s="151"/>
      <c r="B11" s="139" t="str">
        <f>IFERROR(VLOOKUP(H11,'[1]Consolidado MP Planta'!$A$2:$M$823,3,0),"")</f>
        <v/>
      </c>
      <c r="C11" s="152">
        <f t="shared" si="1"/>
        <v>0</v>
      </c>
      <c r="D11" s="153" t="str">
        <f>IFERROR(VLOOKUP(H11,'[1]Consolidado MP Planta'!$A$2:$M$823,13,0),"")</f>
        <v/>
      </c>
      <c r="E11" s="153" t="str">
        <f>IFERROR(VLOOKUP(H11,'[1]Consolidado MP Planta'!$A$2:$M$823,12,0),"")</f>
        <v/>
      </c>
      <c r="F11" s="153" t="str">
        <f t="shared" si="2"/>
        <v/>
      </c>
      <c r="G11" s="154" t="str">
        <f t="shared" si="0"/>
        <v/>
      </c>
      <c r="H11" s="155"/>
      <c r="I11" s="155"/>
      <c r="J11" s="156"/>
    </row>
    <row r="12" spans="1:10" ht="13.5" hidden="1" x14ac:dyDescent="0.25">
      <c r="A12" s="151"/>
      <c r="B12" s="139" t="str">
        <f>IFERROR(VLOOKUP(H12,'[1]Consolidado MP Planta'!$A$2:$M$823,3,0),"")</f>
        <v/>
      </c>
      <c r="C12" s="152">
        <f t="shared" si="1"/>
        <v>0</v>
      </c>
      <c r="D12" s="153" t="str">
        <f>IFERROR(VLOOKUP(H12,'[1]Consolidado MP Planta'!$A$2:$M$823,13,0),"")</f>
        <v/>
      </c>
      <c r="E12" s="153" t="str">
        <f>IFERROR(VLOOKUP(H12,'[1]Consolidado MP Planta'!$A$2:$M$823,12,0),"")</f>
        <v/>
      </c>
      <c r="F12" s="153" t="str">
        <f t="shared" si="2"/>
        <v/>
      </c>
      <c r="G12" s="154" t="str">
        <f t="shared" si="0"/>
        <v/>
      </c>
      <c r="H12" s="155"/>
      <c r="I12" s="155"/>
      <c r="J12" s="156"/>
    </row>
    <row r="13" spans="1:10" ht="13.5" hidden="1" x14ac:dyDescent="0.25">
      <c r="A13" s="151"/>
      <c r="B13" s="139" t="str">
        <f>IFERROR(VLOOKUP(H13,'[1]Consolidado MP Planta'!$A$2:$M$823,3,0),"")</f>
        <v/>
      </c>
      <c r="C13" s="152">
        <f t="shared" si="1"/>
        <v>0</v>
      </c>
      <c r="D13" s="153" t="str">
        <f>IFERROR(VLOOKUP(H13,'[1]Consolidado MP Planta'!$A$2:$M$823,13,0),"")</f>
        <v/>
      </c>
      <c r="E13" s="153" t="str">
        <f>IFERROR(VLOOKUP(H13,'[1]Consolidado MP Planta'!$A$2:$M$823,12,0),"")</f>
        <v/>
      </c>
      <c r="F13" s="153" t="str">
        <f t="shared" si="2"/>
        <v/>
      </c>
      <c r="G13" s="154" t="str">
        <f t="shared" si="0"/>
        <v/>
      </c>
      <c r="H13" s="155"/>
      <c r="I13" s="155"/>
      <c r="J13" s="156"/>
    </row>
    <row r="14" spans="1:10" ht="13.5" hidden="1" x14ac:dyDescent="0.25">
      <c r="A14" s="151"/>
      <c r="B14" s="139" t="str">
        <f>IFERROR(VLOOKUP(H14,'[1]Consolidado MP Planta'!$A$2:$M$823,3,0),"")</f>
        <v/>
      </c>
      <c r="C14" s="152">
        <f t="shared" si="1"/>
        <v>0</v>
      </c>
      <c r="D14" s="153" t="str">
        <f>IFERROR(VLOOKUP(H14,'[1]Consolidado MP Planta'!$A$2:$M$823,13,0),"")</f>
        <v/>
      </c>
      <c r="E14" s="153" t="str">
        <f>IFERROR(VLOOKUP(H14,'[1]Consolidado MP Planta'!$A$2:$M$823,12,0),"")</f>
        <v/>
      </c>
      <c r="F14" s="153" t="str">
        <f t="shared" si="2"/>
        <v/>
      </c>
      <c r="G14" s="154" t="str">
        <f t="shared" si="0"/>
        <v/>
      </c>
      <c r="H14" s="155"/>
      <c r="I14" s="155"/>
      <c r="J14" s="156"/>
    </row>
    <row r="15" spans="1:10" ht="14.25" thickBot="1" x14ac:dyDescent="0.3">
      <c r="A15" s="151"/>
      <c r="B15" s="139" t="str">
        <f>IFERROR(VLOOKUP(H15,[2]Hoja2!$A$2:$G$589,2,0),"")</f>
        <v/>
      </c>
      <c r="C15" s="152"/>
      <c r="D15" s="153"/>
      <c r="E15" s="153"/>
      <c r="F15" s="153"/>
      <c r="G15" s="154"/>
      <c r="H15" s="155"/>
      <c r="I15" s="155"/>
      <c r="J15" s="156"/>
    </row>
    <row r="16" spans="1:10" ht="26.25" hidden="1" thickBot="1" x14ac:dyDescent="0.3">
      <c r="A16" s="146" t="s">
        <v>97</v>
      </c>
      <c r="B16" s="147" t="s">
        <v>104</v>
      </c>
      <c r="C16" s="147" t="s">
        <v>97</v>
      </c>
      <c r="D16" s="148" t="s">
        <v>99</v>
      </c>
      <c r="E16" s="148" t="s">
        <v>100</v>
      </c>
      <c r="F16" s="148" t="s">
        <v>101</v>
      </c>
      <c r="G16" s="148" t="s">
        <v>102</v>
      </c>
      <c r="H16" s="149" t="s">
        <v>103</v>
      </c>
      <c r="I16" s="150"/>
      <c r="J16" s="156"/>
    </row>
    <row r="17" spans="1:12" ht="13.5" hidden="1" x14ac:dyDescent="0.25">
      <c r="A17" s="151"/>
      <c r="B17" s="139" t="str">
        <f>IFERROR(VLOOKUP(H17,[1]SEMIELABORADOS!$A$2:$M$6000,2,0),"")</f>
        <v/>
      </c>
      <c r="C17" s="152">
        <f>+A17</f>
        <v>0</v>
      </c>
      <c r="D17" s="152" t="str">
        <f>IFERROR(VLOOKUP(H17,[1]SEMIELABORADOS!$A$2:$M$6000,6,0),"")</f>
        <v/>
      </c>
      <c r="E17" s="153" t="str">
        <f>IFERROR(VLOOKUP(H17,[1]SEMIELABORADOS!$A$2:$H$65536,8,0),"")</f>
        <v/>
      </c>
      <c r="F17" s="153" t="str">
        <f>IFERROR(E17*C17,"")</f>
        <v/>
      </c>
      <c r="G17" s="154" t="str">
        <f t="shared" ref="G17:G24" si="3">IFERROR(F17/$F$66,"")</f>
        <v/>
      </c>
      <c r="H17" s="155"/>
      <c r="I17" s="155"/>
      <c r="J17" s="156"/>
    </row>
    <row r="18" spans="1:12" ht="13.5" hidden="1" x14ac:dyDescent="0.25">
      <c r="A18" s="151"/>
      <c r="B18" s="139" t="str">
        <f>IFERROR(VLOOKUP(H18,[1]SEMIELABORADOS!$A$2:$M$6000,2,0),"")</f>
        <v/>
      </c>
      <c r="C18" s="152">
        <f t="shared" ref="C18:C24" si="4">+A18</f>
        <v>0</v>
      </c>
      <c r="D18" s="152" t="str">
        <f>IFERROR(VLOOKUP(H18,[1]SEMIELABORADOS!$A$2:$M$6000,6,0),"")</f>
        <v/>
      </c>
      <c r="E18" s="153" t="str">
        <f>IFERROR(VLOOKUP(H18,[1]SEMIELABORADOS!$A$2:$H$65536,8,0),"")</f>
        <v/>
      </c>
      <c r="F18" s="153" t="str">
        <f t="shared" ref="F18:F24" si="5">IFERROR(E18*C18,"")</f>
        <v/>
      </c>
      <c r="G18" s="154" t="str">
        <f t="shared" si="3"/>
        <v/>
      </c>
      <c r="H18" s="155"/>
      <c r="I18" s="155"/>
      <c r="J18" s="156"/>
    </row>
    <row r="19" spans="1:12" ht="13.5" hidden="1" x14ac:dyDescent="0.25">
      <c r="A19" s="151"/>
      <c r="B19" s="139" t="str">
        <f>IFERROR(VLOOKUP(H19,[1]SEMIELABORADOS!$A$2:$M$6000,2,0),"")</f>
        <v/>
      </c>
      <c r="C19" s="152">
        <f>+A19</f>
        <v>0</v>
      </c>
      <c r="D19" s="152" t="str">
        <f>IFERROR(VLOOKUP(H19,[1]SEMIELABORADOS!$A$2:$M$6000,6,0),"")</f>
        <v/>
      </c>
      <c r="E19" s="153" t="str">
        <f>IFERROR(VLOOKUP(H19,[1]SEMIELABORADOS!$A$2:$H$65536,8,0),"")</f>
        <v/>
      </c>
      <c r="F19" s="153" t="str">
        <f>IFERROR(E19*C19,"")</f>
        <v/>
      </c>
      <c r="G19" s="154" t="str">
        <f t="shared" si="3"/>
        <v/>
      </c>
      <c r="H19" s="155"/>
      <c r="I19" s="155"/>
      <c r="J19" s="156"/>
    </row>
    <row r="20" spans="1:12" ht="13.5" hidden="1" x14ac:dyDescent="0.25">
      <c r="A20" s="151"/>
      <c r="B20" s="139" t="str">
        <f>IFERROR(VLOOKUP(H20,[1]SEMIELABORADOS!$A$2:$M$6000,2,0),"")</f>
        <v/>
      </c>
      <c r="C20" s="152">
        <f>+A20</f>
        <v>0</v>
      </c>
      <c r="D20" s="152" t="str">
        <f>IFERROR(VLOOKUP(H20,[1]SEMIELABORADOS!$A$2:$M$6000,6,0),"")</f>
        <v/>
      </c>
      <c r="E20" s="153" t="str">
        <f>IFERROR(VLOOKUP(H20,[1]SEMIELABORADOS!$A$2:$H$65536,8,0),"")</f>
        <v/>
      </c>
      <c r="F20" s="153" t="str">
        <f>IFERROR(E20*C20,"")</f>
        <v/>
      </c>
      <c r="G20" s="154" t="str">
        <f t="shared" si="3"/>
        <v/>
      </c>
      <c r="H20" s="155"/>
      <c r="I20" s="155"/>
      <c r="J20" s="156"/>
    </row>
    <row r="21" spans="1:12" ht="13.5" hidden="1" x14ac:dyDescent="0.25">
      <c r="A21" s="151"/>
      <c r="B21" s="139" t="str">
        <f>IFERROR(VLOOKUP(H21,[1]SEMIELABORADOS!$A$2:$M$6000,2,0),"")</f>
        <v/>
      </c>
      <c r="C21" s="152">
        <f>+A21</f>
        <v>0</v>
      </c>
      <c r="D21" s="152" t="str">
        <f>IFERROR(VLOOKUP(H21,[1]SEMIELABORADOS!$A$2:$M$6000,6,0),"")</f>
        <v/>
      </c>
      <c r="E21" s="153" t="str">
        <f>IFERROR(VLOOKUP(H21,[1]SEMIELABORADOS!$A$2:$H$65536,8,0),"")</f>
        <v/>
      </c>
      <c r="F21" s="153" t="str">
        <f>IFERROR(E21*C21,"")</f>
        <v/>
      </c>
      <c r="G21" s="154" t="str">
        <f t="shared" si="3"/>
        <v/>
      </c>
      <c r="H21" s="155"/>
      <c r="I21" s="155"/>
      <c r="J21" s="156"/>
    </row>
    <row r="22" spans="1:12" ht="13.5" hidden="1" x14ac:dyDescent="0.25">
      <c r="A22" s="151"/>
      <c r="B22" s="139" t="str">
        <f>IFERROR(VLOOKUP(H22,[1]SEMIELABORADOS!$A$2:$M$6000,2,0),"")</f>
        <v/>
      </c>
      <c r="C22" s="152">
        <f t="shared" si="4"/>
        <v>0</v>
      </c>
      <c r="D22" s="152" t="str">
        <f>IFERROR(VLOOKUP(H22,[1]SEMIELABORADOS!$A$2:$M$6000,6,0),"")</f>
        <v/>
      </c>
      <c r="E22" s="153" t="str">
        <f>IFERROR(VLOOKUP(H22,[1]SEMIELABORADOS!$A$2:$H$65536,8,0),"")</f>
        <v/>
      </c>
      <c r="F22" s="153" t="str">
        <f t="shared" si="5"/>
        <v/>
      </c>
      <c r="G22" s="154" t="str">
        <f t="shared" si="3"/>
        <v/>
      </c>
      <c r="H22" s="155"/>
      <c r="I22" s="155"/>
      <c r="J22" s="156"/>
    </row>
    <row r="23" spans="1:12" ht="13.5" hidden="1" x14ac:dyDescent="0.25">
      <c r="A23" s="151"/>
      <c r="B23" s="139" t="str">
        <f>IFERROR(VLOOKUP(H23,[1]SEMIELABORADOS!$A$2:$M$6000,2,0),"")</f>
        <v/>
      </c>
      <c r="C23" s="152">
        <f t="shared" si="4"/>
        <v>0</v>
      </c>
      <c r="D23" s="152" t="str">
        <f>IFERROR(VLOOKUP(H23,[1]SEMIELABORADOS!$A$2:$M$6000,6,0),"")</f>
        <v/>
      </c>
      <c r="E23" s="153" t="str">
        <f>IFERROR(VLOOKUP(H23,[1]SEMIELABORADOS!$A$2:$H$65536,8,0),"")</f>
        <v/>
      </c>
      <c r="F23" s="153" t="str">
        <f t="shared" si="5"/>
        <v/>
      </c>
      <c r="G23" s="154" t="str">
        <f t="shared" si="3"/>
        <v/>
      </c>
      <c r="H23" s="155"/>
      <c r="I23" s="155"/>
      <c r="J23" s="156"/>
    </row>
    <row r="24" spans="1:12" ht="13.5" hidden="1" x14ac:dyDescent="0.25">
      <c r="A24" s="151"/>
      <c r="B24" s="139" t="str">
        <f>IFERROR(VLOOKUP(H24,[1]SEMIELABORADOS!$A$2:$M$6000,2,0),"")</f>
        <v/>
      </c>
      <c r="C24" s="152">
        <f t="shared" si="4"/>
        <v>0</v>
      </c>
      <c r="D24" s="152" t="str">
        <f>IFERROR(VLOOKUP(H24,[1]SEMIELABORADOS!$A$2:$M$6000,6,0),"")</f>
        <v/>
      </c>
      <c r="E24" s="153" t="str">
        <f>IFERROR(VLOOKUP(H24,[1]SEMIELABORADOS!$A$2:$H$65536,8,0),"")</f>
        <v/>
      </c>
      <c r="F24" s="153" t="str">
        <f t="shared" si="5"/>
        <v/>
      </c>
      <c r="G24" s="154" t="str">
        <f t="shared" si="3"/>
        <v/>
      </c>
      <c r="H24" s="155"/>
      <c r="I24" s="155"/>
      <c r="J24" s="156"/>
    </row>
    <row r="25" spans="1:12" ht="14.25" hidden="1" thickBot="1" x14ac:dyDescent="0.3">
      <c r="A25" s="151"/>
      <c r="C25" s="152"/>
      <c r="D25" s="152"/>
      <c r="E25" s="153"/>
      <c r="F25" s="153"/>
      <c r="G25" s="154"/>
      <c r="H25" s="155"/>
      <c r="I25" s="155"/>
      <c r="J25" s="156"/>
    </row>
    <row r="26" spans="1:12" ht="26.25" hidden="1" thickBot="1" x14ac:dyDescent="0.3">
      <c r="A26" s="146" t="s">
        <v>97</v>
      </c>
      <c r="B26" s="147" t="s">
        <v>34</v>
      </c>
      <c r="C26" s="147" t="s">
        <v>97</v>
      </c>
      <c r="D26" s="148" t="s">
        <v>99</v>
      </c>
      <c r="E26" s="148" t="s">
        <v>100</v>
      </c>
      <c r="F26" s="148" t="s">
        <v>101</v>
      </c>
      <c r="G26" s="148" t="s">
        <v>102</v>
      </c>
      <c r="H26" s="149" t="s">
        <v>103</v>
      </c>
      <c r="I26" s="150"/>
    </row>
    <row r="27" spans="1:12" ht="13.5" hidden="1" x14ac:dyDescent="0.25">
      <c r="A27" s="151">
        <v>0</v>
      </c>
      <c r="B27" s="157" t="str">
        <f>IFERROR(VLOOKUP(H27,'[1]Consolidado MP Planta'!$A$2:$M$823,3,0),"")</f>
        <v/>
      </c>
      <c r="C27" s="152">
        <f t="shared" ref="C27:C32" si="6">+A27</f>
        <v>0</v>
      </c>
      <c r="D27" s="153" t="str">
        <f>IFERROR(VLOOKUP(H27,'[1]Consolidado MP Planta'!$A$2:$M$823,13,0),"")</f>
        <v/>
      </c>
      <c r="E27" s="153" t="str">
        <f>IFERROR(VLOOKUP(H27,'[1]Consolidado MP Planta'!$A$2:$M$823,12,0),"")</f>
        <v/>
      </c>
      <c r="F27" s="153" t="str">
        <f t="shared" ref="F27:F32" si="7">IFERROR(C27*E27,"")</f>
        <v/>
      </c>
      <c r="G27" s="154" t="str">
        <f t="shared" ref="G27:G32" si="8">IFERROR(F27/$F$66,"")</f>
        <v/>
      </c>
      <c r="H27" s="158"/>
      <c r="I27" s="158"/>
      <c r="J27" s="156"/>
      <c r="K27" s="425"/>
      <c r="L27" s="425"/>
    </row>
    <row r="28" spans="1:12" ht="13.5" hidden="1" x14ac:dyDescent="0.25">
      <c r="A28" s="151"/>
      <c r="B28" s="157" t="str">
        <f>IFERROR(VLOOKUP(H28,'[1]Consolidado MP Planta'!$A$2:$M$823,3,0),"")</f>
        <v/>
      </c>
      <c r="C28" s="152">
        <f t="shared" si="6"/>
        <v>0</v>
      </c>
      <c r="D28" s="153" t="str">
        <f>IFERROR(VLOOKUP(H28,'[1]Consolidado MP Planta'!$A$2:$M$823,13,0),"")</f>
        <v/>
      </c>
      <c r="E28" s="153" t="str">
        <f>IFERROR(VLOOKUP(H28,'[1]Consolidado MP Planta'!$A$2:$M$823,12,0),"")</f>
        <v/>
      </c>
      <c r="F28" s="153" t="str">
        <f t="shared" si="7"/>
        <v/>
      </c>
      <c r="G28" s="154" t="str">
        <f t="shared" si="8"/>
        <v/>
      </c>
      <c r="H28" s="158"/>
      <c r="I28" s="158"/>
      <c r="J28" s="156"/>
      <c r="K28" s="425"/>
      <c r="L28" s="425"/>
    </row>
    <row r="29" spans="1:12" ht="13.5" hidden="1" x14ac:dyDescent="0.25">
      <c r="A29" s="151"/>
      <c r="B29" s="157" t="str">
        <f>IFERROR(VLOOKUP(H29,'[1]Consolidado MP Planta'!$A$2:$M$823,3,0),"")</f>
        <v/>
      </c>
      <c r="C29" s="152">
        <f t="shared" si="6"/>
        <v>0</v>
      </c>
      <c r="D29" s="153" t="str">
        <f>IFERROR(VLOOKUP(H29,'[1]Consolidado MP Planta'!$A$2:$M$823,13,0),"")</f>
        <v/>
      </c>
      <c r="E29" s="153" t="str">
        <f>IFERROR(VLOOKUP(H29,'[1]Consolidado MP Planta'!$A$2:$M$823,12,0),"")</f>
        <v/>
      </c>
      <c r="F29" s="153" t="str">
        <f t="shared" si="7"/>
        <v/>
      </c>
      <c r="G29" s="154" t="str">
        <f t="shared" si="8"/>
        <v/>
      </c>
      <c r="H29" s="158"/>
      <c r="I29" s="158"/>
      <c r="J29" s="156"/>
      <c r="K29" s="425"/>
      <c r="L29" s="425"/>
    </row>
    <row r="30" spans="1:12" ht="13.5" hidden="1" x14ac:dyDescent="0.25">
      <c r="A30" s="151"/>
      <c r="B30" s="157" t="str">
        <f>IFERROR(VLOOKUP(H30,'[1]Consolidado MP Planta'!$A$2:$M$823,3,0),"")</f>
        <v/>
      </c>
      <c r="C30" s="152">
        <f t="shared" si="6"/>
        <v>0</v>
      </c>
      <c r="D30" s="153" t="str">
        <f>IFERROR(VLOOKUP(H30,'[1]Consolidado MP Planta'!$A$2:$M$823,13,0),"")</f>
        <v/>
      </c>
      <c r="E30" s="153" t="str">
        <f>IFERROR(VLOOKUP(H30,'[1]Consolidado MP Planta'!$A$2:$M$823,12,0),"")</f>
        <v/>
      </c>
      <c r="F30" s="153" t="str">
        <f t="shared" si="7"/>
        <v/>
      </c>
      <c r="G30" s="154" t="str">
        <f t="shared" si="8"/>
        <v/>
      </c>
      <c r="H30" s="158"/>
      <c r="I30" s="158"/>
      <c r="J30" s="156"/>
      <c r="K30" s="425"/>
      <c r="L30" s="425"/>
    </row>
    <row r="31" spans="1:12" ht="13.5" hidden="1" x14ac:dyDescent="0.25">
      <c r="A31" s="151"/>
      <c r="B31" s="157" t="str">
        <f>IFERROR(VLOOKUP(H31,'[1]Consolidado MP Planta'!$A$2:$M$823,3,0),"")</f>
        <v/>
      </c>
      <c r="C31" s="152">
        <f t="shared" si="6"/>
        <v>0</v>
      </c>
      <c r="D31" s="153" t="str">
        <f>IFERROR(VLOOKUP(H31,'[1]Consolidado MP Planta'!$A$2:$M$823,13,0),"")</f>
        <v/>
      </c>
      <c r="E31" s="153" t="str">
        <f>IFERROR(VLOOKUP(H31,'[1]Consolidado MP Planta'!$A$2:$M$823,12,0),"")</f>
        <v/>
      </c>
      <c r="F31" s="153" t="str">
        <f t="shared" si="7"/>
        <v/>
      </c>
      <c r="G31" s="154" t="str">
        <f t="shared" si="8"/>
        <v/>
      </c>
      <c r="H31" s="158"/>
      <c r="I31" s="158"/>
      <c r="J31" s="156"/>
      <c r="K31" s="159"/>
      <c r="L31" s="160"/>
    </row>
    <row r="32" spans="1:12" ht="13.5" hidden="1" x14ac:dyDescent="0.25">
      <c r="A32" s="151"/>
      <c r="B32" s="157" t="str">
        <f>IFERROR(VLOOKUP(H32,'[1]Consolidado MP Planta'!$A$2:$M$823,3,0),"")</f>
        <v/>
      </c>
      <c r="C32" s="152">
        <f t="shared" si="6"/>
        <v>0</v>
      </c>
      <c r="D32" s="153" t="str">
        <f>IFERROR(VLOOKUP(H32,'[1]Consolidado MP Planta'!$A$2:$M$823,13,0),"")</f>
        <v/>
      </c>
      <c r="E32" s="153" t="str">
        <f>IFERROR(VLOOKUP(H32,'[1]Consolidado MP Planta'!$A$2:$M$823,12,0),"")</f>
        <v/>
      </c>
      <c r="F32" s="153" t="str">
        <f t="shared" si="7"/>
        <v/>
      </c>
      <c r="G32" s="154" t="str">
        <f t="shared" si="8"/>
        <v/>
      </c>
      <c r="H32" s="158"/>
      <c r="I32" s="158"/>
      <c r="J32" s="156"/>
    </row>
    <row r="33" spans="1:13" ht="14.25" hidden="1" thickBot="1" x14ac:dyDescent="0.3">
      <c r="A33" s="151"/>
      <c r="B33" s="157"/>
      <c r="C33" s="152"/>
      <c r="D33" s="153"/>
      <c r="E33" s="153"/>
      <c r="F33" s="153"/>
      <c r="G33" s="154"/>
      <c r="H33" s="158"/>
      <c r="I33" s="158"/>
      <c r="J33" s="156"/>
    </row>
    <row r="34" spans="1:13" ht="26.25" hidden="1" thickBot="1" x14ac:dyDescent="0.25">
      <c r="A34" s="146" t="s">
        <v>97</v>
      </c>
      <c r="B34" s="147" t="s">
        <v>105</v>
      </c>
      <c r="C34" s="147" t="s">
        <v>97</v>
      </c>
      <c r="D34" s="148" t="s">
        <v>99</v>
      </c>
      <c r="E34" s="148" t="s">
        <v>100</v>
      </c>
      <c r="F34" s="148" t="s">
        <v>101</v>
      </c>
      <c r="G34" s="148" t="s">
        <v>102</v>
      </c>
      <c r="H34" s="149" t="s">
        <v>103</v>
      </c>
      <c r="I34" s="158"/>
      <c r="J34" s="156"/>
    </row>
    <row r="35" spans="1:13" ht="13.5" hidden="1" x14ac:dyDescent="0.25">
      <c r="A35" s="151">
        <f>+A17</f>
        <v>0</v>
      </c>
      <c r="B35" s="157" t="str">
        <f>IFERROR(VLOOKUP(H35,[1]SEMIELABORADOS!$A$2:$M$6000,2,0),"")</f>
        <v/>
      </c>
      <c r="C35" s="152">
        <f>+A35</f>
        <v>0</v>
      </c>
      <c r="D35" s="153" t="str">
        <f>IFERROR(VLOOKUP(H35,[1]SEMIELABORADOS!$A$2:$M$6000,6,0),"")</f>
        <v/>
      </c>
      <c r="E35" s="153" t="str">
        <f>IFERROR(VLOOKUP(H35,[1]SEMIELABORADOS!$A$2:$M$65536,10,0),"")</f>
        <v/>
      </c>
      <c r="F35" s="153" t="str">
        <f>IFERROR(E35*C35,"")</f>
        <v/>
      </c>
      <c r="G35" s="154" t="str">
        <f t="shared" ref="G35:G41" si="9">IFERROR(F35/$F$66,"")</f>
        <v/>
      </c>
      <c r="H35" s="158"/>
      <c r="I35" s="158"/>
      <c r="J35" s="156"/>
    </row>
    <row r="36" spans="1:13" ht="13.5" hidden="1" x14ac:dyDescent="0.25">
      <c r="A36" s="151">
        <f t="shared" ref="A36:A41" si="10">+A18</f>
        <v>0</v>
      </c>
      <c r="B36" s="157" t="str">
        <f>IFERROR(VLOOKUP(H36,[1]SEMIELABORADOS!$A$2:$M$6000,2,0),"")</f>
        <v/>
      </c>
      <c r="C36" s="152">
        <f t="shared" ref="C36:C41" si="11">+A36</f>
        <v>0</v>
      </c>
      <c r="D36" s="153" t="str">
        <f>IFERROR(VLOOKUP(H36,[1]SEMIELABORADOS!$A$2:$M$6000,6,0),"")</f>
        <v/>
      </c>
      <c r="E36" s="153" t="str">
        <f>IFERROR(VLOOKUP(H36,[1]SEMIELABORADOS!$A$2:$M$65536,10,0),"")</f>
        <v/>
      </c>
      <c r="F36" s="153" t="str">
        <f t="shared" ref="F36:F41" si="12">IFERROR(E36*C36,"")</f>
        <v/>
      </c>
      <c r="G36" s="154" t="str">
        <f t="shared" si="9"/>
        <v/>
      </c>
      <c r="H36" s="158"/>
      <c r="I36" s="158"/>
      <c r="J36" s="156"/>
    </row>
    <row r="37" spans="1:13" ht="13.5" hidden="1" x14ac:dyDescent="0.25">
      <c r="A37" s="151">
        <f t="shared" si="10"/>
        <v>0</v>
      </c>
      <c r="B37" s="157" t="str">
        <f>IFERROR(VLOOKUP(H37,[1]SEMIELABORADOS!$A$2:$M$6000,2,0),"")</f>
        <v/>
      </c>
      <c r="C37" s="152">
        <f t="shared" si="11"/>
        <v>0</v>
      </c>
      <c r="D37" s="153" t="str">
        <f>IFERROR(VLOOKUP(H37,[1]SEMIELABORADOS!$A$2:$M$6000,6,0),"")</f>
        <v/>
      </c>
      <c r="E37" s="153" t="str">
        <f>IFERROR(VLOOKUP(H37,[1]SEMIELABORADOS!$A$2:$M$65536,10,0),"")</f>
        <v/>
      </c>
      <c r="F37" s="153" t="str">
        <f t="shared" si="12"/>
        <v/>
      </c>
      <c r="G37" s="154" t="str">
        <f t="shared" si="9"/>
        <v/>
      </c>
      <c r="H37" s="158"/>
      <c r="I37" s="158"/>
      <c r="J37" s="156"/>
    </row>
    <row r="38" spans="1:13" ht="13.5" hidden="1" x14ac:dyDescent="0.25">
      <c r="A38" s="151">
        <f t="shared" si="10"/>
        <v>0</v>
      </c>
      <c r="B38" s="157" t="str">
        <f>IFERROR(VLOOKUP(H38,[1]SEMIELABORADOS!$A$2:$M$6000,2,0),"")</f>
        <v/>
      </c>
      <c r="C38" s="152">
        <f>+A38</f>
        <v>0</v>
      </c>
      <c r="D38" s="153" t="str">
        <f>IFERROR(VLOOKUP(H38,[1]SEMIELABORADOS!$A$2:$M$6000,6,0),"")</f>
        <v/>
      </c>
      <c r="E38" s="153" t="str">
        <f>IFERROR(VLOOKUP(H38,[1]SEMIELABORADOS!$A$2:$M$65536,10,0),"")</f>
        <v/>
      </c>
      <c r="F38" s="153" t="str">
        <f>IFERROR(E38*C38,"")</f>
        <v/>
      </c>
      <c r="G38" s="154" t="str">
        <f t="shared" si="9"/>
        <v/>
      </c>
      <c r="H38" s="158"/>
      <c r="I38" s="158"/>
      <c r="J38" s="156"/>
    </row>
    <row r="39" spans="1:13" ht="13.5" hidden="1" x14ac:dyDescent="0.25">
      <c r="A39" s="151">
        <f t="shared" si="10"/>
        <v>0</v>
      </c>
      <c r="B39" s="157" t="str">
        <f>IFERROR(VLOOKUP(H39,[1]SEMIELABORADOS!$A$2:$M$6000,2,0),"")</f>
        <v/>
      </c>
      <c r="C39" s="152">
        <f>+A39</f>
        <v>0</v>
      </c>
      <c r="D39" s="153" t="str">
        <f>IFERROR(VLOOKUP(H39,[1]SEMIELABORADOS!$A$2:$M$6000,6,0),"")</f>
        <v/>
      </c>
      <c r="E39" s="153" t="str">
        <f>IFERROR(VLOOKUP(H39,[1]SEMIELABORADOS!$A$2:$M$65536,10,0),"")</f>
        <v/>
      </c>
      <c r="F39" s="153" t="str">
        <f>IFERROR(E39*C39,"")</f>
        <v/>
      </c>
      <c r="G39" s="154" t="str">
        <f t="shared" si="9"/>
        <v/>
      </c>
      <c r="H39" s="158"/>
      <c r="I39" s="158"/>
      <c r="J39" s="156"/>
    </row>
    <row r="40" spans="1:13" ht="13.5" hidden="1" x14ac:dyDescent="0.25">
      <c r="A40" s="151">
        <f t="shared" si="10"/>
        <v>0</v>
      </c>
      <c r="B40" s="157" t="str">
        <f>IFERROR(VLOOKUP(H40,[1]SEMIELABORADOS!$A$2:$M$6000,2,0),"")</f>
        <v/>
      </c>
      <c r="C40" s="152">
        <f t="shared" si="11"/>
        <v>0</v>
      </c>
      <c r="D40" s="153" t="str">
        <f>IFERROR(VLOOKUP(H40,[1]SEMIELABORADOS!$A$2:$M$6000,6,0),"")</f>
        <v/>
      </c>
      <c r="E40" s="153" t="str">
        <f>IFERROR(VLOOKUP(H40,[1]SEMIELABORADOS!$A$2:$M$65536,10,0),"")</f>
        <v/>
      </c>
      <c r="F40" s="153" t="str">
        <f t="shared" si="12"/>
        <v/>
      </c>
      <c r="G40" s="154" t="str">
        <f t="shared" si="9"/>
        <v/>
      </c>
      <c r="H40" s="158"/>
      <c r="I40" s="158"/>
      <c r="J40" s="156"/>
    </row>
    <row r="41" spans="1:13" ht="13.5" hidden="1" x14ac:dyDescent="0.25">
      <c r="A41" s="151">
        <f t="shared" si="10"/>
        <v>0</v>
      </c>
      <c r="B41" s="157" t="str">
        <f>IFERROR(VLOOKUP(H41,[1]SEMIELABORADOS!$A$2:$M$6000,2,0),"")</f>
        <v/>
      </c>
      <c r="C41" s="152">
        <f t="shared" si="11"/>
        <v>0</v>
      </c>
      <c r="D41" s="153" t="str">
        <f>IFERROR(VLOOKUP(H41,[1]SEMIELABORADOS!$A$2:$M$6000,6,0),"")</f>
        <v/>
      </c>
      <c r="E41" s="153" t="str">
        <f>IFERROR(VLOOKUP(H41,[1]SEMIELABORADOS!$A$2:$M$65536,10,0),"")</f>
        <v/>
      </c>
      <c r="F41" s="153" t="str">
        <f t="shared" si="12"/>
        <v/>
      </c>
      <c r="G41" s="154" t="str">
        <f t="shared" si="9"/>
        <v/>
      </c>
      <c r="H41" s="158"/>
      <c r="I41" s="158"/>
      <c r="J41" s="156"/>
    </row>
    <row r="42" spans="1:13" ht="14.25" hidden="1" thickBot="1" x14ac:dyDescent="0.3">
      <c r="A42" s="151"/>
      <c r="B42" s="157"/>
      <c r="C42" s="152"/>
      <c r="D42" s="153"/>
      <c r="E42" s="153"/>
      <c r="F42" s="153"/>
      <c r="G42" s="154"/>
      <c r="H42" s="158"/>
      <c r="I42" s="158"/>
      <c r="J42" s="156"/>
    </row>
    <row r="43" spans="1:13" ht="26.25" thickBot="1" x14ac:dyDescent="0.3">
      <c r="A43" s="146" t="s">
        <v>97</v>
      </c>
      <c r="B43" s="147" t="s">
        <v>106</v>
      </c>
      <c r="C43" s="147" t="s">
        <v>97</v>
      </c>
      <c r="D43" s="148" t="s">
        <v>99</v>
      </c>
      <c r="E43" s="148" t="s">
        <v>100</v>
      </c>
      <c r="F43" s="148" t="s">
        <v>101</v>
      </c>
      <c r="G43" s="148" t="s">
        <v>102</v>
      </c>
      <c r="H43" s="149" t="s">
        <v>103</v>
      </c>
      <c r="I43" s="150"/>
      <c r="J43" s="156"/>
    </row>
    <row r="44" spans="1:13" ht="13.5" hidden="1" x14ac:dyDescent="0.25">
      <c r="A44" s="151">
        <f>+A35</f>
        <v>0</v>
      </c>
      <c r="B44" s="157" t="str">
        <f>IFERROR(VLOOKUP(H44,[1]SEMIELABORADOS!$A$2:$M$6000,2,0),"")</f>
        <v/>
      </c>
      <c r="C44" s="152">
        <f>+A44</f>
        <v>0</v>
      </c>
      <c r="D44" s="153" t="str">
        <f>IFERROR(VLOOKUP(H44,[1]SEMIELABORADOS!$A$2:$M$6000,6,0),"")</f>
        <v/>
      </c>
      <c r="E44" s="153" t="str">
        <f>IFERROR(VLOOKUP(H44,[1]SEMIELABORADOS!$A$2:$M$65536,12,0),"")</f>
        <v/>
      </c>
      <c r="F44" s="153" t="str">
        <f>IFERROR(E44*C44,"")</f>
        <v/>
      </c>
      <c r="G44" s="154" t="str">
        <f>IFERROR(F44/$F$66,"")</f>
        <v/>
      </c>
      <c r="H44" s="158"/>
      <c r="I44" s="150"/>
      <c r="J44" s="156"/>
    </row>
    <row r="45" spans="1:13" ht="13.5" hidden="1" x14ac:dyDescent="0.25">
      <c r="A45" s="151">
        <f t="shared" ref="A45:A50" si="13">+A36</f>
        <v>0</v>
      </c>
      <c r="B45" s="157" t="str">
        <f>IFERROR(VLOOKUP(H45,[1]SEMIELABORADOS!$A$2:$M$6000,2,0),"")</f>
        <v/>
      </c>
      <c r="C45" s="152">
        <f t="shared" ref="C45:C50" si="14">+A45</f>
        <v>0</v>
      </c>
      <c r="D45" s="153" t="str">
        <f>IFERROR(VLOOKUP(H45,[1]SEMIELABORADOS!$A$2:$M$6000,6,0),"")</f>
        <v/>
      </c>
      <c r="E45" s="153" t="str">
        <f>IFERROR(VLOOKUP(H45,[1]SEMIELABORADOS!$A$2:$M$65536,12,0),"")</f>
        <v/>
      </c>
      <c r="F45" s="153" t="str">
        <f t="shared" ref="F45:F50" si="15">IFERROR(E45*C45,"")</f>
        <v/>
      </c>
      <c r="G45" s="154" t="str">
        <f t="shared" ref="G45:G50" si="16">IFERROR(F45/$F$66,"")</f>
        <v/>
      </c>
      <c r="H45" s="158"/>
      <c r="I45" s="150"/>
      <c r="J45" s="156"/>
      <c r="M45" s="161"/>
    </row>
    <row r="46" spans="1:13" ht="13.5" hidden="1" x14ac:dyDescent="0.25">
      <c r="A46" s="151">
        <f t="shared" si="13"/>
        <v>0</v>
      </c>
      <c r="B46" s="157" t="str">
        <f>IFERROR(VLOOKUP(H46,[1]SEMIELABORADOS!$A$2:$M$6000,2,0),"")</f>
        <v/>
      </c>
      <c r="C46" s="152">
        <f t="shared" si="14"/>
        <v>0</v>
      </c>
      <c r="D46" s="153" t="str">
        <f>IFERROR(VLOOKUP(H46,[1]SEMIELABORADOS!$A$2:$M$6000,6,0),"")</f>
        <v/>
      </c>
      <c r="E46" s="153" t="str">
        <f>IFERROR(VLOOKUP(H46,[1]SEMIELABORADOS!$A$2:$M$65536,12,0),"")</f>
        <v/>
      </c>
      <c r="F46" s="153" t="str">
        <f t="shared" si="15"/>
        <v/>
      </c>
      <c r="G46" s="154" t="str">
        <f t="shared" si="16"/>
        <v/>
      </c>
      <c r="H46" s="158"/>
      <c r="I46" s="150"/>
      <c r="J46" s="156"/>
    </row>
    <row r="47" spans="1:13" ht="13.5" hidden="1" x14ac:dyDescent="0.25">
      <c r="A47" s="151">
        <f t="shared" si="13"/>
        <v>0</v>
      </c>
      <c r="B47" s="157" t="str">
        <f>IFERROR(VLOOKUP(H47,[1]SEMIELABORADOS!$A$2:$M$6000,2,0),"")</f>
        <v/>
      </c>
      <c r="C47" s="152">
        <f t="shared" si="14"/>
        <v>0</v>
      </c>
      <c r="D47" s="153" t="str">
        <f>IFERROR(VLOOKUP(H47,[1]SEMIELABORADOS!$A$2:$M$6000,6,0),"")</f>
        <v/>
      </c>
      <c r="E47" s="153" t="str">
        <f>IFERROR(VLOOKUP(H47,[1]SEMIELABORADOS!$A$2:$M$65536,12,0),"")</f>
        <v/>
      </c>
      <c r="F47" s="153" t="str">
        <f t="shared" si="15"/>
        <v/>
      </c>
      <c r="G47" s="154" t="str">
        <f t="shared" si="16"/>
        <v/>
      </c>
      <c r="H47" s="158"/>
      <c r="I47" s="150"/>
      <c r="J47" s="156"/>
    </row>
    <row r="48" spans="1:13" ht="13.5" hidden="1" x14ac:dyDescent="0.25">
      <c r="A48" s="151">
        <f t="shared" si="13"/>
        <v>0</v>
      </c>
      <c r="B48" s="157" t="str">
        <f>IFERROR(VLOOKUP(H48,[1]SEMIELABORADOS!$A$2:$M$6000,2,0),"")</f>
        <v/>
      </c>
      <c r="C48" s="152">
        <f t="shared" si="14"/>
        <v>0</v>
      </c>
      <c r="D48" s="153" t="str">
        <f>IFERROR(VLOOKUP(H48,[1]SEMIELABORADOS!$A$2:$M$6000,6,0),"")</f>
        <v/>
      </c>
      <c r="E48" s="153" t="str">
        <f>IFERROR(VLOOKUP(H48,[1]SEMIELABORADOS!$A$2:$M$65536,12,0),"")</f>
        <v/>
      </c>
      <c r="F48" s="153" t="str">
        <f t="shared" si="15"/>
        <v/>
      </c>
      <c r="G48" s="154" t="str">
        <f t="shared" si="16"/>
        <v/>
      </c>
      <c r="H48" s="158"/>
      <c r="I48" s="150"/>
      <c r="J48" s="156"/>
    </row>
    <row r="49" spans="1:17" ht="13.5" hidden="1" x14ac:dyDescent="0.25">
      <c r="A49" s="151">
        <f t="shared" si="13"/>
        <v>0</v>
      </c>
      <c r="B49" s="157" t="str">
        <f>IFERROR(VLOOKUP(H49,[1]SEMIELABORADOS!$A$2:$M$6000,2,0),"")</f>
        <v/>
      </c>
      <c r="C49" s="152">
        <f t="shared" si="14"/>
        <v>0</v>
      </c>
      <c r="D49" s="153" t="str">
        <f>IFERROR(VLOOKUP(H49,[1]SEMIELABORADOS!$A$2:$M$6000,6,0),"")</f>
        <v/>
      </c>
      <c r="E49" s="153" t="str">
        <f>IFERROR(VLOOKUP(H49,[1]SEMIELABORADOS!$A$2:$M$65536,12,0),"")</f>
        <v/>
      </c>
      <c r="F49" s="153" t="str">
        <f t="shared" si="15"/>
        <v/>
      </c>
      <c r="G49" s="154" t="str">
        <f t="shared" si="16"/>
        <v/>
      </c>
      <c r="H49" s="158"/>
      <c r="I49" s="150"/>
      <c r="J49" s="156"/>
    </row>
    <row r="50" spans="1:17" ht="13.5" hidden="1" x14ac:dyDescent="0.25">
      <c r="A50" s="151">
        <f t="shared" si="13"/>
        <v>0</v>
      </c>
      <c r="B50" s="157" t="str">
        <f>IFERROR(VLOOKUP(H50,[1]SEMIELABORADOS!$A$2:$M$6000,2,0),"")</f>
        <v/>
      </c>
      <c r="C50" s="152">
        <f t="shared" si="14"/>
        <v>0</v>
      </c>
      <c r="D50" s="153" t="str">
        <f>IFERROR(VLOOKUP(H50,[1]SEMIELABORADOS!$A$2:$M$6000,6,0),"")</f>
        <v/>
      </c>
      <c r="E50" s="153" t="str">
        <f>IFERROR(VLOOKUP(H50,[1]SEMIELABORADOS!$A$2:$M$65536,12,0),"")</f>
        <v/>
      </c>
      <c r="F50" s="153" t="str">
        <f t="shared" si="15"/>
        <v/>
      </c>
      <c r="G50" s="154" t="str">
        <f t="shared" si="16"/>
        <v/>
      </c>
      <c r="H50" s="157"/>
      <c r="I50" s="150"/>
      <c r="J50" s="156"/>
    </row>
    <row r="51" spans="1:17" ht="13.5" x14ac:dyDescent="0.25">
      <c r="A51" s="151">
        <v>1</v>
      </c>
      <c r="B51" s="157" t="s">
        <v>107</v>
      </c>
      <c r="C51" s="152">
        <f>+A51</f>
        <v>1</v>
      </c>
      <c r="D51" s="152" t="s">
        <v>108</v>
      </c>
      <c r="E51" s="153">
        <f>+F65</f>
        <v>154</v>
      </c>
      <c r="F51" s="153">
        <f>IFERROR(C51*E51,"")</f>
        <v>154</v>
      </c>
      <c r="G51" s="154">
        <f>IFERROR(F51/$F$66,"")</f>
        <v>3.6339903103282369E-2</v>
      </c>
      <c r="H51" s="162"/>
      <c r="I51" s="162"/>
      <c r="J51" s="156"/>
    </row>
    <row r="52" spans="1:17" ht="14.25" thickBot="1" x14ac:dyDescent="0.3">
      <c r="A52" s="151"/>
      <c r="B52" s="157"/>
      <c r="C52" s="152"/>
      <c r="D52" s="152"/>
      <c r="E52" s="153"/>
      <c r="F52" s="153"/>
      <c r="G52" s="154"/>
      <c r="H52" s="162"/>
      <c r="I52" s="162"/>
      <c r="J52" s="156"/>
    </row>
    <row r="53" spans="1:17" ht="13.5" thickBot="1" x14ac:dyDescent="0.3">
      <c r="A53" s="163"/>
      <c r="B53" s="426" t="s">
        <v>109</v>
      </c>
      <c r="C53" s="426"/>
      <c r="D53" s="426"/>
      <c r="E53" s="426"/>
      <c r="F53" s="165">
        <f>SUM(F8:F14,F17:F24)</f>
        <v>4003.692</v>
      </c>
      <c r="G53" s="154">
        <f>+F53/$F$66</f>
        <v>0.94476480087913495</v>
      </c>
      <c r="H53" s="166">
        <f>+F53/$D$60</f>
        <v>4003.692</v>
      </c>
      <c r="I53" s="166"/>
      <c r="J53" s="167"/>
      <c r="K53" s="168"/>
      <c r="L53" s="168"/>
      <c r="M53" s="168"/>
      <c r="N53" s="168"/>
      <c r="O53" s="168"/>
      <c r="P53" s="168"/>
      <c r="Q53" s="169"/>
    </row>
    <row r="54" spans="1:17" x14ac:dyDescent="0.2">
      <c r="A54" s="163"/>
      <c r="B54" s="426" t="s">
        <v>110</v>
      </c>
      <c r="C54" s="426"/>
      <c r="D54" s="426"/>
      <c r="E54" s="426"/>
      <c r="F54" s="165">
        <f>SUM(F27:F32,F35:F41)</f>
        <v>0</v>
      </c>
      <c r="G54" s="154">
        <f>+F54/$F$66</f>
        <v>0</v>
      </c>
      <c r="H54" s="166">
        <f>+F54/$D$60</f>
        <v>0</v>
      </c>
      <c r="I54" s="166"/>
      <c r="J54" s="170"/>
      <c r="K54" s="427" t="s">
        <v>111</v>
      </c>
      <c r="L54" s="428"/>
      <c r="M54" s="428"/>
      <c r="N54" s="428"/>
      <c r="O54" s="171">
        <f>+F55</f>
        <v>4003.692</v>
      </c>
      <c r="P54" s="171"/>
      <c r="Q54" s="172"/>
    </row>
    <row r="55" spans="1:17" x14ac:dyDescent="0.2">
      <c r="A55" s="163"/>
      <c r="B55" s="426" t="s">
        <v>112</v>
      </c>
      <c r="C55" s="426"/>
      <c r="D55" s="426"/>
      <c r="E55" s="426"/>
      <c r="F55" s="165">
        <f>+F53+F54</f>
        <v>4003.692</v>
      </c>
      <c r="G55" s="154">
        <f>+F55/$F$66</f>
        <v>0.94476480087913495</v>
      </c>
      <c r="H55" s="166">
        <f>+F55/$D$60</f>
        <v>4003.692</v>
      </c>
      <c r="I55" s="166"/>
      <c r="J55" s="173"/>
      <c r="K55" s="174"/>
      <c r="M55" s="175" t="s">
        <v>113</v>
      </c>
      <c r="N55" s="176"/>
      <c r="O55" s="171">
        <f>+H56</f>
        <v>154</v>
      </c>
      <c r="P55" s="171"/>
      <c r="Q55" s="172"/>
    </row>
    <row r="56" spans="1:17" ht="13.5" thickBot="1" x14ac:dyDescent="0.25">
      <c r="A56" s="163"/>
      <c r="B56" s="164"/>
      <c r="C56" s="426" t="s">
        <v>114</v>
      </c>
      <c r="D56" s="426"/>
      <c r="E56" s="426"/>
      <c r="F56" s="165">
        <f>SUM(F44:F51)</f>
        <v>154</v>
      </c>
      <c r="G56" s="154">
        <f>+F56/$F$66</f>
        <v>3.6339903103282369E-2</v>
      </c>
      <c r="H56" s="166">
        <f>+F56/$D$60</f>
        <v>154</v>
      </c>
      <c r="I56" s="166"/>
      <c r="J56" s="173"/>
      <c r="K56" s="174"/>
      <c r="L56" s="174"/>
      <c r="M56" s="174" t="s">
        <v>115</v>
      </c>
      <c r="N56" s="177"/>
      <c r="O56" s="171">
        <f>O54*N56</f>
        <v>0</v>
      </c>
      <c r="P56" s="171"/>
      <c r="Q56" s="172"/>
    </row>
    <row r="57" spans="1:17" ht="13.5" thickBot="1" x14ac:dyDescent="0.25">
      <c r="A57" s="163"/>
      <c r="B57" s="178"/>
      <c r="C57" s="178"/>
      <c r="D57" s="178"/>
      <c r="E57" s="178"/>
      <c r="F57" s="179"/>
      <c r="G57" s="154"/>
      <c r="H57" s="180"/>
      <c r="I57" s="166"/>
      <c r="J57" s="173"/>
      <c r="K57" s="181"/>
      <c r="M57" s="182" t="s">
        <v>116</v>
      </c>
      <c r="N57" s="183"/>
      <c r="O57" s="184">
        <f>SUM(O54:O56)</f>
        <v>4157.692</v>
      </c>
      <c r="P57" s="185"/>
      <c r="Q57" s="172"/>
    </row>
    <row r="58" spans="1:17" x14ac:dyDescent="0.2">
      <c r="B58" s="429" t="s">
        <v>117</v>
      </c>
      <c r="C58" s="429"/>
      <c r="D58" s="186">
        <v>1000</v>
      </c>
      <c r="E58" s="187"/>
      <c r="G58" s="154"/>
      <c r="H58" s="180">
        <f>+H56/77</f>
        <v>2</v>
      </c>
      <c r="I58" s="188"/>
      <c r="J58" s="173"/>
      <c r="K58" s="181"/>
      <c r="L58" s="174"/>
      <c r="M58" s="174" t="s">
        <v>118</v>
      </c>
      <c r="N58" s="189"/>
      <c r="O58" s="171">
        <f>+H59</f>
        <v>166</v>
      </c>
      <c r="P58" s="171"/>
      <c r="Q58" s="172"/>
    </row>
    <row r="59" spans="1:17" x14ac:dyDescent="0.2">
      <c r="B59" s="429" t="s">
        <v>119</v>
      </c>
      <c r="C59" s="429"/>
      <c r="D59" s="190">
        <v>1000</v>
      </c>
      <c r="E59" s="187"/>
      <c r="G59" s="154"/>
      <c r="H59" s="180">
        <f>+H58*83</f>
        <v>166</v>
      </c>
      <c r="I59" s="188"/>
      <c r="J59" s="173"/>
      <c r="K59" s="181"/>
      <c r="L59" s="174"/>
      <c r="M59" s="430" t="s">
        <v>116</v>
      </c>
      <c r="N59" s="430"/>
      <c r="O59" s="171">
        <f>SUM(O57:O58)</f>
        <v>4323.692</v>
      </c>
      <c r="P59" s="171"/>
      <c r="Q59" s="172"/>
    </row>
    <row r="60" spans="1:17" ht="13.5" thickBot="1" x14ac:dyDescent="0.25">
      <c r="B60" s="421" t="s">
        <v>120</v>
      </c>
      <c r="C60" s="421"/>
      <c r="D60" s="186">
        <f>+D58/D59</f>
        <v>1</v>
      </c>
      <c r="E60" s="187"/>
      <c r="F60" s="191"/>
      <c r="G60" s="154"/>
      <c r="H60" s="180"/>
      <c r="I60" s="188"/>
      <c r="J60" s="173"/>
      <c r="K60" s="181"/>
      <c r="L60" s="430"/>
      <c r="M60" s="430"/>
      <c r="N60" s="189"/>
      <c r="O60" s="171">
        <f>+O59*N60</f>
        <v>0</v>
      </c>
      <c r="P60" s="171"/>
      <c r="Q60" s="172"/>
    </row>
    <row r="61" spans="1:17" ht="13.5" thickBot="1" x14ac:dyDescent="0.25">
      <c r="B61" s="421" t="s">
        <v>121</v>
      </c>
      <c r="C61" s="421"/>
      <c r="D61" s="192"/>
      <c r="E61" s="187"/>
      <c r="F61" s="191"/>
      <c r="G61" s="154"/>
      <c r="H61" s="180"/>
      <c r="I61" s="188"/>
      <c r="J61" s="173"/>
      <c r="K61" s="422" t="s">
        <v>122</v>
      </c>
      <c r="L61" s="423"/>
      <c r="M61" s="423"/>
      <c r="N61" s="424"/>
      <c r="O61" s="184">
        <f>SUM(O59:O60)</f>
        <v>4323.692</v>
      </c>
      <c r="P61" s="193" t="s">
        <v>123</v>
      </c>
      <c r="Q61" s="172"/>
    </row>
    <row r="62" spans="1:17" ht="13.5" thickBot="1" x14ac:dyDescent="0.25">
      <c r="C62" s="163" t="s">
        <v>124</v>
      </c>
      <c r="D62" s="194"/>
      <c r="E62" s="137" t="s">
        <v>125</v>
      </c>
      <c r="F62" s="195" t="s">
        <v>126</v>
      </c>
      <c r="G62" s="154"/>
      <c r="H62" s="180"/>
      <c r="I62" s="188"/>
      <c r="J62" s="196"/>
      <c r="K62" s="197"/>
      <c r="L62" s="410" t="s">
        <v>127</v>
      </c>
      <c r="M62" s="410"/>
      <c r="N62" s="410"/>
      <c r="O62" s="198">
        <f>+O61/D60</f>
        <v>4323.692</v>
      </c>
      <c r="P62" s="199">
        <f>+O62/D59</f>
        <v>4.3236920000000003</v>
      </c>
      <c r="Q62" s="200"/>
    </row>
    <row r="63" spans="1:17" ht="13.5" thickBot="1" x14ac:dyDescent="0.25">
      <c r="B63" s="411" t="s">
        <v>112</v>
      </c>
      <c r="C63" s="411"/>
      <c r="D63" s="411"/>
      <c r="E63" s="201">
        <f>+F63/F63</f>
        <v>1</v>
      </c>
      <c r="F63" s="202">
        <f>SUM(F55)</f>
        <v>4003.692</v>
      </c>
      <c r="G63" s="154">
        <f>+F63/$F$66</f>
        <v>0.94476480087913495</v>
      </c>
      <c r="H63" s="180"/>
      <c r="I63" s="188"/>
      <c r="K63" s="412"/>
      <c r="L63" s="413"/>
      <c r="M63" s="413"/>
      <c r="N63" s="413"/>
      <c r="O63" s="203"/>
      <c r="P63" s="204"/>
    </row>
    <row r="64" spans="1:17" ht="13.5" thickBot="1" x14ac:dyDescent="0.3">
      <c r="B64" s="414" t="s">
        <v>128</v>
      </c>
      <c r="C64" s="414"/>
      <c r="D64" s="414"/>
      <c r="E64" s="205">
        <v>0.02</v>
      </c>
      <c r="F64" s="202">
        <f>+F53*E64</f>
        <v>80.073840000000004</v>
      </c>
      <c r="G64" s="154">
        <f>+F64/$F$66</f>
        <v>1.8895296017582698E-2</v>
      </c>
      <c r="H64" s="166"/>
      <c r="I64" s="188"/>
      <c r="J64" s="206"/>
      <c r="O64" s="207"/>
      <c r="P64" s="164"/>
    </row>
    <row r="65" spans="2:13" ht="13.5" thickBot="1" x14ac:dyDescent="0.3">
      <c r="B65" s="415" t="s">
        <v>129</v>
      </c>
      <c r="C65" s="416"/>
      <c r="D65" s="208">
        <v>2</v>
      </c>
      <c r="E65" s="209">
        <v>77</v>
      </c>
      <c r="F65" s="202">
        <f>+E65*D65</f>
        <v>154</v>
      </c>
      <c r="G65" s="154">
        <f>+F65/$F$66</f>
        <v>3.6339903103282369E-2</v>
      </c>
      <c r="H65" s="166"/>
      <c r="I65" s="166"/>
      <c r="J65" s="156"/>
    </row>
    <row r="66" spans="2:13" ht="13.5" thickBot="1" x14ac:dyDescent="0.3">
      <c r="B66" s="417" t="s">
        <v>130</v>
      </c>
      <c r="C66" s="418"/>
      <c r="D66" s="418"/>
      <c r="E66" s="419"/>
      <c r="F66" s="179">
        <f>SUM(F63:F65)</f>
        <v>4237.76584</v>
      </c>
      <c r="G66" s="154">
        <f>+F66/$F$66</f>
        <v>1</v>
      </c>
      <c r="H66" s="420"/>
      <c r="I66" s="166"/>
      <c r="J66" s="156"/>
      <c r="M66" s="139" t="s">
        <v>131</v>
      </c>
    </row>
    <row r="67" spans="2:13" x14ac:dyDescent="0.25">
      <c r="C67" s="161"/>
      <c r="D67" s="161"/>
      <c r="E67" s="211"/>
      <c r="F67" s="202"/>
      <c r="G67" s="154"/>
      <c r="H67" s="420"/>
      <c r="I67" s="210"/>
      <c r="J67" s="139"/>
      <c r="M67" s="139" t="s">
        <v>132</v>
      </c>
    </row>
    <row r="68" spans="2:13" ht="13.5" thickBot="1" x14ac:dyDescent="0.3">
      <c r="B68" s="405" t="s">
        <v>133</v>
      </c>
      <c r="C68" s="405"/>
      <c r="D68" s="405"/>
      <c r="E68" s="405"/>
      <c r="F68" s="405"/>
      <c r="G68" s="154"/>
      <c r="H68" s="213"/>
      <c r="I68" s="210"/>
      <c r="J68" s="139"/>
      <c r="M68" s="139" t="s">
        <v>134</v>
      </c>
    </row>
    <row r="69" spans="2:13" ht="13.5" thickBot="1" x14ac:dyDescent="0.3">
      <c r="B69" s="214" t="s">
        <v>135</v>
      </c>
      <c r="C69" s="215">
        <f>+F53</f>
        <v>4003.692</v>
      </c>
      <c r="D69" s="215">
        <f>+D58</f>
        <v>1000</v>
      </c>
      <c r="E69" s="216">
        <f>+C69/D69</f>
        <v>4.003692</v>
      </c>
      <c r="F69" s="154"/>
      <c r="G69" s="213"/>
      <c r="H69" s="156"/>
      <c r="I69" s="213"/>
      <c r="J69" s="139"/>
    </row>
    <row r="70" spans="2:13" x14ac:dyDescent="0.25">
      <c r="B70" s="217"/>
      <c r="C70" s="218"/>
      <c r="D70" s="219"/>
      <c r="E70" s="202"/>
      <c r="F70" s="154"/>
      <c r="G70" s="213"/>
      <c r="H70" s="156"/>
      <c r="I70" s="156"/>
      <c r="J70" s="139"/>
    </row>
    <row r="71" spans="2:13" x14ac:dyDescent="0.25">
      <c r="B71" s="214" t="s">
        <v>136</v>
      </c>
      <c r="C71" s="215">
        <f>SUM(F63:F64)</f>
        <v>4083.76584</v>
      </c>
      <c r="D71" s="215">
        <f>+D58</f>
        <v>1000</v>
      </c>
      <c r="E71" s="220">
        <f>+C71/D71</f>
        <v>4.0837658399999999</v>
      </c>
      <c r="F71" s="154"/>
      <c r="G71" s="213"/>
      <c r="H71" s="156"/>
      <c r="I71" s="156"/>
      <c r="J71" s="139"/>
    </row>
    <row r="72" spans="2:13" x14ac:dyDescent="0.25">
      <c r="B72" s="214"/>
      <c r="C72" s="215"/>
      <c r="D72" s="215"/>
      <c r="E72" s="220"/>
      <c r="F72" s="154"/>
      <c r="G72" s="213"/>
      <c r="H72" s="156"/>
      <c r="I72" s="156"/>
      <c r="J72" s="139"/>
    </row>
    <row r="73" spans="2:13" ht="13.5" thickBot="1" x14ac:dyDescent="0.3">
      <c r="B73" s="214" t="s">
        <v>137</v>
      </c>
      <c r="C73" s="215">
        <f>+F65</f>
        <v>154</v>
      </c>
      <c r="D73" s="215">
        <f>+D58</f>
        <v>1000</v>
      </c>
      <c r="E73" s="220">
        <f>+C73/D73</f>
        <v>0.154</v>
      </c>
      <c r="F73" s="154"/>
      <c r="G73" s="213"/>
      <c r="H73" s="156"/>
      <c r="I73" s="156"/>
      <c r="J73" s="139"/>
    </row>
    <row r="74" spans="2:13" ht="13.5" thickBot="1" x14ac:dyDescent="0.3">
      <c r="B74" s="214" t="s">
        <v>138</v>
      </c>
      <c r="C74" s="215">
        <f>+F56</f>
        <v>154</v>
      </c>
      <c r="D74" s="215">
        <f>+D73</f>
        <v>1000</v>
      </c>
      <c r="E74" s="216">
        <f>+C74/D74</f>
        <v>0.154</v>
      </c>
      <c r="F74" s="154"/>
      <c r="G74" s="213"/>
      <c r="H74" s="156"/>
      <c r="I74" s="156"/>
      <c r="J74" s="139"/>
    </row>
    <row r="75" spans="2:13" ht="13.5" thickBot="1" x14ac:dyDescent="0.3">
      <c r="B75" s="178"/>
      <c r="C75" s="179"/>
      <c r="D75" s="179"/>
      <c r="E75" s="220"/>
      <c r="F75" s="154"/>
      <c r="G75" s="213"/>
      <c r="H75" s="156"/>
      <c r="I75" s="156"/>
      <c r="J75" s="139"/>
    </row>
    <row r="76" spans="2:13" ht="13.5" thickBot="1" x14ac:dyDescent="0.3">
      <c r="B76" s="214" t="s">
        <v>139</v>
      </c>
      <c r="C76" s="215">
        <f>+F54</f>
        <v>0</v>
      </c>
      <c r="D76" s="215">
        <f>+D74</f>
        <v>1000</v>
      </c>
      <c r="E76" s="216">
        <f>+C76/D76</f>
        <v>0</v>
      </c>
      <c r="F76" s="154"/>
      <c r="G76" s="213"/>
      <c r="H76" s="156"/>
      <c r="I76" s="156"/>
      <c r="J76" s="156"/>
    </row>
    <row r="77" spans="2:13" ht="13.5" thickBot="1" x14ac:dyDescent="0.3">
      <c r="B77" s="178"/>
      <c r="C77" s="179"/>
      <c r="D77" s="179"/>
      <c r="E77" s="220"/>
      <c r="F77" s="154"/>
      <c r="G77" s="213"/>
      <c r="H77" s="156"/>
      <c r="I77" s="156"/>
    </row>
    <row r="78" spans="2:13" ht="13.5" thickBot="1" x14ac:dyDescent="0.3">
      <c r="B78" s="406" t="s">
        <v>140</v>
      </c>
      <c r="C78" s="407"/>
      <c r="D78" s="408"/>
      <c r="E78" s="216">
        <f>+E69+E74</f>
        <v>4.1576919999999999</v>
      </c>
      <c r="G78" s="154"/>
      <c r="H78" s="213"/>
      <c r="I78" s="156"/>
      <c r="J78" s="220"/>
    </row>
    <row r="79" spans="2:13" x14ac:dyDescent="0.25">
      <c r="I79" s="213"/>
      <c r="J79" s="139"/>
    </row>
    <row r="80" spans="2:13" ht="13.5" thickBot="1" x14ac:dyDescent="0.3">
      <c r="B80" s="405" t="s">
        <v>141</v>
      </c>
      <c r="C80" s="405"/>
      <c r="D80" s="405"/>
      <c r="E80" s="405"/>
      <c r="F80" s="405"/>
      <c r="G80" s="154"/>
      <c r="H80" s="213"/>
      <c r="J80" s="139"/>
    </row>
    <row r="81" spans="1:10" ht="13.5" thickBot="1" x14ac:dyDescent="0.3">
      <c r="B81" s="214" t="s">
        <v>135</v>
      </c>
      <c r="C81" s="215">
        <f>+C69</f>
        <v>4003.692</v>
      </c>
      <c r="D81" s="215">
        <f>+D60</f>
        <v>1</v>
      </c>
      <c r="E81" s="216">
        <f>+C81/D81</f>
        <v>4003.692</v>
      </c>
      <c r="F81" s="154"/>
      <c r="G81" s="213"/>
      <c r="H81" s="156"/>
      <c r="I81" s="213"/>
      <c r="J81" s="139"/>
    </row>
    <row r="82" spans="1:10" x14ac:dyDescent="0.25">
      <c r="B82" s="217"/>
      <c r="C82" s="218"/>
      <c r="D82" s="219"/>
      <c r="E82" s="202"/>
      <c r="F82" s="154"/>
      <c r="G82" s="213"/>
      <c r="H82" s="156"/>
      <c r="I82" s="156"/>
      <c r="J82" s="139"/>
    </row>
    <row r="83" spans="1:10" x14ac:dyDescent="0.25">
      <c r="B83" s="214" t="s">
        <v>136</v>
      </c>
      <c r="C83" s="215">
        <f>+C71</f>
        <v>4083.76584</v>
      </c>
      <c r="D83" s="215">
        <f>+D60</f>
        <v>1</v>
      </c>
      <c r="E83" s="220">
        <f>+C83/D83</f>
        <v>4083.76584</v>
      </c>
      <c r="F83" s="154"/>
      <c r="G83" s="213"/>
      <c r="H83" s="156"/>
      <c r="I83" s="156"/>
      <c r="J83" s="139"/>
    </row>
    <row r="84" spans="1:10" x14ac:dyDescent="0.25">
      <c r="B84" s="214"/>
      <c r="C84" s="215"/>
      <c r="D84" s="215"/>
      <c r="E84" s="220"/>
      <c r="F84" s="154"/>
      <c r="G84" s="213"/>
      <c r="H84" s="156"/>
      <c r="I84" s="156"/>
      <c r="J84" s="139"/>
    </row>
    <row r="85" spans="1:10" ht="13.5" thickBot="1" x14ac:dyDescent="0.3">
      <c r="B85" s="214" t="s">
        <v>138</v>
      </c>
      <c r="C85" s="215">
        <f>+C73</f>
        <v>154</v>
      </c>
      <c r="D85" s="215">
        <f>+D60</f>
        <v>1</v>
      </c>
      <c r="E85" s="220">
        <f>+C85/D85</f>
        <v>154</v>
      </c>
      <c r="F85" s="222"/>
      <c r="G85" s="212"/>
      <c r="H85" s="138"/>
      <c r="I85" s="156"/>
    </row>
    <row r="86" spans="1:10" ht="13.5" thickBot="1" x14ac:dyDescent="0.3">
      <c r="B86" s="214" t="s">
        <v>138</v>
      </c>
      <c r="C86" s="215">
        <f>+C74</f>
        <v>154</v>
      </c>
      <c r="D86" s="215">
        <f>+D85</f>
        <v>1</v>
      </c>
      <c r="E86" s="216">
        <f>+C86/D86</f>
        <v>154</v>
      </c>
      <c r="F86" s="221"/>
      <c r="G86" s="212"/>
      <c r="H86" s="138"/>
      <c r="I86" s="138"/>
    </row>
    <row r="87" spans="1:10" x14ac:dyDescent="0.25">
      <c r="I87" s="138"/>
    </row>
    <row r="88" spans="1:10" x14ac:dyDescent="0.2">
      <c r="A88" s="409"/>
      <c r="B88" s="409"/>
      <c r="C88" s="223"/>
      <c r="D88" s="223"/>
      <c r="E88" s="224"/>
      <c r="G88" s="225"/>
    </row>
    <row r="89" spans="1:10" x14ac:dyDescent="0.2">
      <c r="A89" s="157"/>
      <c r="B89" s="226"/>
      <c r="C89" s="227"/>
      <c r="D89" s="227"/>
      <c r="E89" s="228"/>
      <c r="G89" s="225"/>
    </row>
    <row r="90" spans="1:10" x14ac:dyDescent="0.2">
      <c r="A90" s="157"/>
      <c r="B90" s="226"/>
      <c r="C90" s="229"/>
      <c r="D90" s="229"/>
      <c r="E90" s="157"/>
      <c r="G90" s="225"/>
    </row>
    <row r="91" spans="1:10" x14ac:dyDescent="0.2">
      <c r="A91" s="157"/>
      <c r="B91" s="226"/>
      <c r="C91" s="230"/>
      <c r="D91" s="230"/>
      <c r="E91" s="157"/>
      <c r="G91" s="22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D6C8-B33B-4659-ACA2-83BBF4FEA6D1}">
  <dimension ref="A1:K67"/>
  <sheetViews>
    <sheetView topLeftCell="A2" zoomScale="83" workbookViewId="0">
      <selection activeCell="C12" sqref="C12"/>
    </sheetView>
  </sheetViews>
  <sheetFormatPr baseColWidth="10" defaultRowHeight="15" x14ac:dyDescent="0.25"/>
  <cols>
    <col min="1" max="1" width="1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1.28515625" customWidth="1"/>
    <col min="8" max="8" width="39.140625" customWidth="1"/>
    <col min="9" max="9" width="23.42578125" bestFit="1" customWidth="1"/>
  </cols>
  <sheetData>
    <row r="1" spans="1:9" ht="17.25" x14ac:dyDescent="0.3">
      <c r="A1" s="300"/>
      <c r="B1" s="301"/>
      <c r="C1" s="306" t="s">
        <v>30</v>
      </c>
      <c r="D1" s="306"/>
      <c r="E1" s="306"/>
      <c r="F1" s="306"/>
      <c r="G1" s="306"/>
      <c r="H1" s="6" t="s">
        <v>29</v>
      </c>
      <c r="I1" s="7"/>
    </row>
    <row r="2" spans="1:9" ht="18" thickBot="1" x14ac:dyDescent="0.35">
      <c r="A2" s="302"/>
      <c r="B2" s="303"/>
      <c r="C2" s="307" t="s">
        <v>28</v>
      </c>
      <c r="D2" s="307"/>
      <c r="E2" s="307"/>
      <c r="F2" s="307"/>
      <c r="G2" s="307"/>
      <c r="H2" s="8" t="s">
        <v>27</v>
      </c>
      <c r="I2" s="9"/>
    </row>
    <row r="3" spans="1:9" ht="22.9" customHeight="1" thickBot="1" x14ac:dyDescent="0.3">
      <c r="A3" s="302"/>
      <c r="B3" s="303"/>
      <c r="C3" s="402" t="s">
        <v>76</v>
      </c>
      <c r="D3" s="403"/>
      <c r="E3" s="403"/>
      <c r="F3" s="403"/>
      <c r="G3" s="404"/>
      <c r="H3" s="311" t="s">
        <v>26</v>
      </c>
      <c r="I3" s="291"/>
    </row>
    <row r="4" spans="1:9" ht="17.25" x14ac:dyDescent="0.3">
      <c r="A4" s="302"/>
      <c r="B4" s="303"/>
      <c r="C4" s="10" t="s">
        <v>25</v>
      </c>
      <c r="D4" s="294" t="s">
        <v>35</v>
      </c>
      <c r="E4" s="295"/>
      <c r="F4" s="295"/>
      <c r="G4" s="296"/>
      <c r="H4" s="312"/>
      <c r="I4" s="292"/>
    </row>
    <row r="5" spans="1:9" ht="18" thickBot="1" x14ac:dyDescent="0.35">
      <c r="A5" s="304"/>
      <c r="B5" s="305"/>
      <c r="C5" s="11" t="s">
        <v>24</v>
      </c>
      <c r="D5" s="297" t="s">
        <v>47</v>
      </c>
      <c r="E5" s="298"/>
      <c r="F5" s="298"/>
      <c r="G5" s="299"/>
      <c r="H5" s="313"/>
      <c r="I5" s="293"/>
    </row>
    <row r="6" spans="1:9" ht="16.5" thickBot="1" x14ac:dyDescent="0.3">
      <c r="A6" s="314" t="s">
        <v>23</v>
      </c>
      <c r="B6" s="314"/>
      <c r="C6" s="314"/>
      <c r="D6" s="315" t="s">
        <v>63</v>
      </c>
      <c r="E6" s="315"/>
      <c r="F6" s="315"/>
      <c r="G6" s="316" t="s">
        <v>22</v>
      </c>
      <c r="H6" s="316"/>
      <c r="I6" s="12" t="s">
        <v>64</v>
      </c>
    </row>
    <row r="7" spans="1:9" x14ac:dyDescent="0.25">
      <c r="A7" s="317" t="s">
        <v>21</v>
      </c>
      <c r="B7" s="319" t="s">
        <v>31</v>
      </c>
      <c r="C7" s="321" t="s">
        <v>20</v>
      </c>
      <c r="D7" s="321" t="s">
        <v>19</v>
      </c>
      <c r="E7" s="321" t="s">
        <v>18</v>
      </c>
      <c r="F7" s="321"/>
      <c r="G7" s="321" t="s">
        <v>17</v>
      </c>
      <c r="H7" s="321"/>
      <c r="I7" s="13" t="s">
        <v>16</v>
      </c>
    </row>
    <row r="8" spans="1:9" ht="31.5" thickBot="1" x14ac:dyDescent="0.3">
      <c r="A8" s="318"/>
      <c r="B8" s="320"/>
      <c r="C8" s="322"/>
      <c r="D8" s="323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19.899999999999999" customHeight="1" x14ac:dyDescent="0.3">
      <c r="A9" s="88"/>
      <c r="B9" s="89"/>
      <c r="C9" s="72" t="s">
        <v>32</v>
      </c>
      <c r="D9" s="89"/>
      <c r="E9" s="71"/>
      <c r="F9" s="90"/>
      <c r="G9" s="71"/>
      <c r="H9" s="90"/>
      <c r="I9" s="17"/>
    </row>
    <row r="10" spans="1:9" ht="17.45" customHeight="1" x14ac:dyDescent="0.3">
      <c r="A10" s="116"/>
      <c r="B10" s="130" t="s">
        <v>69</v>
      </c>
      <c r="C10" s="127" t="s">
        <v>70</v>
      </c>
      <c r="D10" s="128" t="s">
        <v>36</v>
      </c>
      <c r="E10" s="129">
        <f>395*12.19</f>
        <v>4815.05</v>
      </c>
      <c r="F10" s="128" t="s">
        <v>1</v>
      </c>
      <c r="G10" s="77"/>
      <c r="H10" s="91"/>
      <c r="I10" s="4"/>
    </row>
    <row r="11" spans="1:9" ht="17.45" customHeight="1" x14ac:dyDescent="0.3">
      <c r="A11" s="65"/>
      <c r="B11" s="130" t="s">
        <v>71</v>
      </c>
      <c r="C11" s="131" t="s">
        <v>72</v>
      </c>
      <c r="D11" s="128"/>
      <c r="E11" s="129">
        <f>0.2*12.19</f>
        <v>2.4380000000000002</v>
      </c>
      <c r="F11" s="128" t="s">
        <v>1</v>
      </c>
      <c r="G11" s="77"/>
      <c r="H11" s="104"/>
      <c r="I11" s="4"/>
    </row>
    <row r="12" spans="1:9" ht="17.45" customHeight="1" x14ac:dyDescent="0.3">
      <c r="A12" s="65"/>
      <c r="B12" s="130" t="s">
        <v>73</v>
      </c>
      <c r="C12" s="132" t="s">
        <v>74</v>
      </c>
      <c r="D12" s="128" t="s">
        <v>66</v>
      </c>
      <c r="E12" s="129">
        <f>19*12.19</f>
        <v>231.60999999999999</v>
      </c>
      <c r="F12" s="128" t="s">
        <v>1</v>
      </c>
      <c r="G12" s="77"/>
      <c r="H12" s="104"/>
      <c r="I12" s="4"/>
    </row>
    <row r="13" spans="1:9" ht="17.45" customHeight="1" x14ac:dyDescent="0.3">
      <c r="A13" s="113"/>
      <c r="B13" s="120"/>
      <c r="C13" s="121"/>
      <c r="D13" s="118"/>
      <c r="E13" s="62"/>
      <c r="F13" s="76"/>
      <c r="G13" s="77"/>
      <c r="H13" s="104"/>
      <c r="I13" s="4"/>
    </row>
    <row r="14" spans="1:9" ht="18.75" x14ac:dyDescent="0.3">
      <c r="A14" s="66"/>
      <c r="B14" s="1"/>
      <c r="C14" s="1"/>
      <c r="D14" s="63"/>
      <c r="E14" s="62"/>
      <c r="F14" s="76"/>
      <c r="G14" s="77"/>
      <c r="H14" s="104"/>
      <c r="I14" s="4"/>
    </row>
    <row r="15" spans="1:9" ht="18.75" x14ac:dyDescent="0.3">
      <c r="A15" s="66"/>
      <c r="B15" s="113"/>
      <c r="C15" s="73"/>
      <c r="D15" s="65"/>
      <c r="E15" s="79"/>
      <c r="F15" s="76"/>
      <c r="G15" s="78"/>
      <c r="H15" s="65"/>
      <c r="I15" s="4"/>
    </row>
    <row r="16" spans="1:9" ht="18.75" x14ac:dyDescent="0.3">
      <c r="A16" s="66"/>
      <c r="B16" s="115"/>
      <c r="C16" s="115"/>
      <c r="D16" s="80"/>
      <c r="E16" s="81"/>
      <c r="F16" s="76"/>
      <c r="G16" s="78"/>
      <c r="H16" s="65"/>
      <c r="I16" s="4"/>
    </row>
    <row r="17" spans="1:9" ht="18.75" x14ac:dyDescent="0.3">
      <c r="A17" s="67"/>
      <c r="B17" s="68"/>
      <c r="C17" s="83"/>
      <c r="D17" s="63"/>
      <c r="E17" s="65"/>
      <c r="F17" s="84"/>
      <c r="G17" s="78"/>
      <c r="H17" s="65"/>
      <c r="I17" s="4"/>
    </row>
    <row r="18" spans="1:9" ht="18.75" x14ac:dyDescent="0.3">
      <c r="A18" s="67"/>
      <c r="B18" s="68"/>
      <c r="C18" s="83"/>
      <c r="D18" s="63"/>
      <c r="E18" s="65"/>
      <c r="F18" s="84"/>
      <c r="G18" s="78"/>
      <c r="H18" s="65"/>
      <c r="I18" s="4"/>
    </row>
    <row r="19" spans="1:9" ht="18.75" x14ac:dyDescent="0.3">
      <c r="A19" s="68"/>
      <c r="B19" s="68"/>
      <c r="C19" s="92" t="s">
        <v>42</v>
      </c>
      <c r="D19" s="65"/>
      <c r="E19" s="73"/>
      <c r="F19" s="65"/>
      <c r="G19" s="64"/>
      <c r="H19" s="65"/>
      <c r="I19" s="4"/>
    </row>
    <row r="20" spans="1:9" ht="18.75" x14ac:dyDescent="0.3">
      <c r="A20" s="68"/>
      <c r="B20" s="109"/>
      <c r="C20" s="110"/>
      <c r="D20" s="111"/>
      <c r="E20" s="70"/>
      <c r="F20" s="70"/>
      <c r="G20" s="64"/>
      <c r="H20" s="107"/>
      <c r="I20" s="4"/>
    </row>
    <row r="21" spans="1:9" ht="18.75" x14ac:dyDescent="0.3">
      <c r="A21" s="68"/>
      <c r="B21" s="109"/>
      <c r="C21" s="110"/>
      <c r="D21" s="111"/>
      <c r="E21" s="70"/>
      <c r="F21" s="70"/>
      <c r="G21" s="64"/>
      <c r="H21" s="107"/>
      <c r="I21" s="4"/>
    </row>
    <row r="22" spans="1:9" ht="18.75" x14ac:dyDescent="0.3">
      <c r="A22" s="68"/>
      <c r="B22" s="113"/>
      <c r="C22" s="114"/>
      <c r="D22" s="111"/>
      <c r="E22" s="70"/>
      <c r="F22" s="70"/>
      <c r="G22" s="64"/>
      <c r="H22" s="107"/>
      <c r="I22" s="4"/>
    </row>
    <row r="23" spans="1:9" ht="22.9" customHeight="1" x14ac:dyDescent="0.3">
      <c r="A23" s="105"/>
      <c r="B23" s="109"/>
      <c r="C23" s="110"/>
      <c r="D23" s="111"/>
      <c r="E23" s="70"/>
      <c r="F23" s="70"/>
      <c r="G23" s="71"/>
      <c r="H23" s="90"/>
      <c r="I23" s="4"/>
    </row>
    <row r="24" spans="1:9" ht="21.6" customHeight="1" x14ac:dyDescent="0.3">
      <c r="A24" s="106"/>
      <c r="B24" s="109"/>
      <c r="C24" s="110"/>
      <c r="D24" s="111"/>
      <c r="E24" s="70"/>
      <c r="F24" s="70"/>
      <c r="G24" s="1"/>
      <c r="H24" s="107"/>
      <c r="I24" s="1"/>
    </row>
    <row r="25" spans="1:9" ht="18" customHeight="1" x14ac:dyDescent="0.3">
      <c r="A25" s="106"/>
      <c r="B25" s="109"/>
      <c r="C25" s="110"/>
      <c r="D25" s="112"/>
      <c r="E25" s="70"/>
      <c r="F25" s="70"/>
      <c r="G25" s="71"/>
      <c r="H25" s="90"/>
      <c r="I25" s="1"/>
    </row>
    <row r="26" spans="1:9" ht="18.75" x14ac:dyDescent="0.3">
      <c r="A26" s="68"/>
      <c r="B26" s="65"/>
      <c r="C26" s="73"/>
      <c r="D26" s="70"/>
      <c r="E26" s="70"/>
      <c r="F26" s="70"/>
      <c r="G26" s="71"/>
      <c r="H26" s="90"/>
      <c r="I26" s="4"/>
    </row>
    <row r="27" spans="1:9" ht="18.75" x14ac:dyDescent="0.3">
      <c r="A27" s="68"/>
      <c r="B27" s="65"/>
      <c r="C27" s="103"/>
      <c r="D27" s="80"/>
      <c r="E27" s="70"/>
      <c r="F27" s="70"/>
      <c r="G27" s="71"/>
      <c r="H27" s="90"/>
      <c r="I27" s="4"/>
    </row>
    <row r="28" spans="1:9" ht="18.75" x14ac:dyDescent="0.3">
      <c r="A28" s="68"/>
      <c r="B28" s="65"/>
      <c r="C28" s="103"/>
      <c r="D28" s="80"/>
      <c r="E28" s="70"/>
      <c r="F28" s="70"/>
      <c r="G28" s="71"/>
      <c r="H28" s="90"/>
      <c r="I28" s="4"/>
    </row>
    <row r="29" spans="1:9" ht="18.75" x14ac:dyDescent="0.3">
      <c r="A29" s="68"/>
      <c r="B29" s="65"/>
      <c r="C29" s="103"/>
      <c r="D29" s="80"/>
      <c r="E29" s="70"/>
      <c r="F29" s="70"/>
      <c r="G29" s="71"/>
      <c r="H29" s="90"/>
      <c r="I29" s="4"/>
    </row>
    <row r="30" spans="1:9" ht="18.75" x14ac:dyDescent="0.3">
      <c r="A30" s="68"/>
      <c r="B30" s="65"/>
      <c r="C30" s="103"/>
      <c r="D30" s="80"/>
      <c r="E30" s="70"/>
      <c r="F30" s="70"/>
      <c r="G30" s="71"/>
      <c r="H30" s="90"/>
      <c r="I30" s="4"/>
    </row>
    <row r="31" spans="1:9" ht="18.75" x14ac:dyDescent="0.3">
      <c r="A31" s="73"/>
      <c r="B31" s="69"/>
      <c r="C31" s="93"/>
      <c r="D31" s="74"/>
      <c r="E31" s="69"/>
      <c r="F31" s="94"/>
      <c r="G31" s="71"/>
      <c r="H31" s="90"/>
      <c r="I31" s="17"/>
    </row>
    <row r="32" spans="1:9" ht="18.75" x14ac:dyDescent="0.3">
      <c r="A32" s="68"/>
      <c r="B32" s="68"/>
      <c r="C32" s="92" t="s">
        <v>34</v>
      </c>
      <c r="D32" s="73"/>
      <c r="E32" s="73"/>
      <c r="F32" s="65"/>
      <c r="G32" s="64"/>
      <c r="H32" s="65"/>
      <c r="I32" s="17"/>
    </row>
    <row r="33" spans="1:11" ht="18.75" x14ac:dyDescent="0.3">
      <c r="A33" s="62"/>
      <c r="B33" s="63"/>
      <c r="C33" s="82"/>
      <c r="D33" s="85"/>
      <c r="E33" s="86"/>
      <c r="F33" s="86"/>
      <c r="G33" s="64"/>
      <c r="H33" s="65"/>
      <c r="I33" s="17"/>
    </row>
    <row r="34" spans="1:11" ht="18.75" x14ac:dyDescent="0.3">
      <c r="A34" s="62"/>
      <c r="B34" s="63"/>
      <c r="C34" s="82"/>
      <c r="D34" s="85"/>
      <c r="E34" s="86"/>
      <c r="F34" s="86"/>
      <c r="G34" s="95"/>
      <c r="H34" s="65"/>
      <c r="I34" s="17"/>
    </row>
    <row r="35" spans="1:11" s="61" customFormat="1" ht="18.75" x14ac:dyDescent="0.3">
      <c r="A35" s="62"/>
      <c r="B35" s="63"/>
      <c r="C35" s="82"/>
      <c r="D35" s="85"/>
      <c r="E35" s="86"/>
      <c r="F35" s="86"/>
      <c r="G35" s="75"/>
      <c r="H35" s="65"/>
      <c r="I35" s="17"/>
    </row>
    <row r="36" spans="1:11" ht="18.75" x14ac:dyDescent="0.3">
      <c r="A36" s="62"/>
      <c r="B36" s="87"/>
      <c r="C36" s="82"/>
      <c r="D36" s="85"/>
      <c r="E36" s="86"/>
      <c r="F36" s="86"/>
      <c r="G36" s="95"/>
      <c r="H36" s="68"/>
      <c r="I36" s="17"/>
    </row>
    <row r="37" spans="1:11" ht="18.75" x14ac:dyDescent="0.3">
      <c r="A37" s="62"/>
      <c r="B37" s="63"/>
      <c r="C37" s="82"/>
      <c r="D37" s="85"/>
      <c r="E37" s="86"/>
      <c r="F37" s="86"/>
      <c r="G37" s="71"/>
      <c r="H37" s="68"/>
      <c r="I37" s="17"/>
    </row>
    <row r="38" spans="1:11" ht="18.75" x14ac:dyDescent="0.3">
      <c r="A38" s="69"/>
      <c r="B38" s="96"/>
      <c r="C38" s="93"/>
      <c r="D38" s="69"/>
      <c r="E38" s="69"/>
      <c r="F38" s="97"/>
      <c r="G38" s="64"/>
      <c r="H38" s="98"/>
      <c r="I38" s="17"/>
    </row>
    <row r="39" spans="1:11" ht="18.75" x14ac:dyDescent="0.3">
      <c r="A39" s="99"/>
      <c r="B39" s="100"/>
      <c r="C39" s="101"/>
      <c r="D39" s="63"/>
      <c r="E39" s="64"/>
      <c r="F39" s="102"/>
      <c r="G39" s="64"/>
      <c r="H39" s="98"/>
      <c r="I39" s="17"/>
    </row>
    <row r="40" spans="1:11" ht="16.149999999999999" customHeight="1" x14ac:dyDescent="0.25">
      <c r="A40" s="53"/>
      <c r="B40" s="53"/>
      <c r="C40" s="54"/>
      <c r="D40" s="55"/>
      <c r="E40" s="53"/>
      <c r="F40" s="56"/>
      <c r="G40" s="57"/>
      <c r="H40" s="51"/>
      <c r="I40" s="17"/>
    </row>
    <row r="41" spans="1:11" ht="15.75" x14ac:dyDescent="0.25">
      <c r="A41" s="58"/>
      <c r="B41" s="58"/>
      <c r="C41" s="59"/>
      <c r="D41" s="18"/>
      <c r="E41" s="58"/>
      <c r="F41" s="5"/>
      <c r="G41" s="52"/>
      <c r="H41" s="60"/>
      <c r="I41" s="17"/>
    </row>
    <row r="42" spans="1:11" ht="17.25" x14ac:dyDescent="0.3">
      <c r="A42" s="21"/>
      <c r="B42" s="22"/>
      <c r="C42" s="23"/>
      <c r="D42" s="24"/>
      <c r="E42" s="25"/>
      <c r="F42" s="25"/>
      <c r="G42" s="20"/>
      <c r="H42" s="3"/>
      <c r="I42" s="17"/>
    </row>
    <row r="43" spans="1:11" ht="15.75" x14ac:dyDescent="0.25">
      <c r="A43" s="22"/>
      <c r="B43" s="26"/>
      <c r="C43" s="27"/>
      <c r="D43" s="2"/>
      <c r="E43" s="28"/>
      <c r="F43" s="19"/>
      <c r="G43" s="20"/>
      <c r="H43" s="4"/>
      <c r="I43" s="17"/>
    </row>
    <row r="44" spans="1:11" ht="15.75" x14ac:dyDescent="0.25">
      <c r="A44" s="29"/>
      <c r="B44" s="30"/>
      <c r="C44" s="31"/>
      <c r="D44" s="4"/>
      <c r="E44" s="4"/>
      <c r="F44" s="32"/>
      <c r="G44" s="4"/>
      <c r="H44" s="4"/>
      <c r="I44" s="17"/>
    </row>
    <row r="45" spans="1:11" ht="18" thickBot="1" x14ac:dyDescent="0.35">
      <c r="A45" s="33"/>
      <c r="B45" s="34"/>
      <c r="C45" s="35"/>
      <c r="D45" s="35"/>
      <c r="E45" s="36"/>
      <c r="F45" s="37"/>
      <c r="G45" s="35"/>
      <c r="H45" s="35"/>
      <c r="I45" s="38"/>
      <c r="K45" s="108"/>
    </row>
    <row r="46" spans="1:11" ht="18" thickBot="1" x14ac:dyDescent="0.35">
      <c r="A46" s="39"/>
      <c r="B46" s="40"/>
      <c r="C46" s="41"/>
      <c r="D46" s="42" t="s">
        <v>13</v>
      </c>
      <c r="E46" s="43" t="s">
        <v>12</v>
      </c>
      <c r="F46" s="44"/>
      <c r="G46" s="41"/>
      <c r="H46" s="41"/>
      <c r="I46" s="45"/>
    </row>
    <row r="47" spans="1:11" ht="17.25" x14ac:dyDescent="0.3">
      <c r="A47" s="390" t="s">
        <v>11</v>
      </c>
      <c r="B47" s="391"/>
      <c r="C47" s="392"/>
      <c r="D47" s="46">
        <v>5000</v>
      </c>
      <c r="E47" s="47" t="s">
        <v>1</v>
      </c>
      <c r="F47" s="393" t="s">
        <v>10</v>
      </c>
      <c r="G47" s="393"/>
      <c r="H47" s="394"/>
      <c r="I47" s="395"/>
      <c r="J47">
        <f>5000/D47</f>
        <v>1</v>
      </c>
    </row>
    <row r="48" spans="1:11" ht="17.25" x14ac:dyDescent="0.3">
      <c r="A48" s="384" t="s">
        <v>9</v>
      </c>
      <c r="B48" s="385"/>
      <c r="C48" s="386"/>
      <c r="D48" s="48">
        <v>5</v>
      </c>
      <c r="E48" s="48" t="s">
        <v>8</v>
      </c>
      <c r="F48" s="387" t="s">
        <v>7</v>
      </c>
      <c r="G48" s="387"/>
      <c r="H48" s="388"/>
      <c r="I48" s="389"/>
    </row>
    <row r="49" spans="1:9" ht="17.25" x14ac:dyDescent="0.3">
      <c r="A49" s="384" t="s">
        <v>6</v>
      </c>
      <c r="B49" s="385"/>
      <c r="C49" s="386"/>
      <c r="D49" s="48">
        <v>1</v>
      </c>
      <c r="E49" s="48" t="s">
        <v>12</v>
      </c>
      <c r="F49" s="387" t="s">
        <v>5</v>
      </c>
      <c r="G49" s="387"/>
      <c r="H49" s="388"/>
      <c r="I49" s="389"/>
    </row>
    <row r="50" spans="1:9" ht="17.25" x14ac:dyDescent="0.3">
      <c r="A50" s="384" t="s">
        <v>4</v>
      </c>
      <c r="B50" s="385"/>
      <c r="C50" s="386"/>
      <c r="D50" s="48">
        <v>5000</v>
      </c>
      <c r="E50" s="48" t="s">
        <v>1</v>
      </c>
      <c r="F50" s="396" t="s">
        <v>3</v>
      </c>
      <c r="G50" s="397"/>
      <c r="H50" s="388"/>
      <c r="I50" s="389"/>
    </row>
    <row r="51" spans="1:9" ht="18" thickBot="1" x14ac:dyDescent="0.35">
      <c r="A51" s="378" t="s">
        <v>2</v>
      </c>
      <c r="B51" s="379"/>
      <c r="C51" s="380"/>
      <c r="D51" s="49">
        <f>SUM(E10:E12)-D47</f>
        <v>49.097999999999956</v>
      </c>
      <c r="E51" s="50" t="s">
        <v>1</v>
      </c>
      <c r="F51" s="381"/>
      <c r="G51" s="381"/>
      <c r="H51" s="382"/>
      <c r="I51" s="383"/>
    </row>
    <row r="52" spans="1:9" ht="16.5" thickBot="1" x14ac:dyDescent="0.3">
      <c r="A52" s="355" t="s">
        <v>0</v>
      </c>
      <c r="B52" s="356"/>
      <c r="C52" s="356"/>
      <c r="D52" s="356"/>
      <c r="E52" s="356"/>
      <c r="F52" s="356"/>
      <c r="G52" s="356"/>
      <c r="H52" s="356"/>
      <c r="I52" s="357"/>
    </row>
    <row r="53" spans="1:9" ht="20.45" customHeight="1" x14ac:dyDescent="0.25">
      <c r="A53" s="437" t="s">
        <v>75</v>
      </c>
      <c r="B53" s="438"/>
      <c r="C53" s="438"/>
      <c r="D53" s="438"/>
      <c r="E53" s="438"/>
      <c r="F53" s="438"/>
      <c r="G53" s="438"/>
      <c r="H53" s="438"/>
      <c r="I53" s="439"/>
    </row>
    <row r="54" spans="1:9" ht="22.9" customHeight="1" x14ac:dyDescent="0.25">
      <c r="A54" s="436"/>
      <c r="B54" s="436"/>
      <c r="C54" s="436"/>
      <c r="D54" s="436"/>
      <c r="E54" s="436"/>
      <c r="F54" s="436"/>
      <c r="G54" s="436"/>
      <c r="H54" s="436"/>
      <c r="I54" s="436"/>
    </row>
    <row r="55" spans="1:9" ht="19.899999999999999" customHeight="1" x14ac:dyDescent="0.25">
      <c r="A55" s="440"/>
      <c r="B55" s="441"/>
      <c r="C55" s="441"/>
      <c r="D55" s="441"/>
      <c r="E55" s="441"/>
      <c r="F55" s="441"/>
      <c r="G55" s="441"/>
      <c r="H55" s="441"/>
      <c r="I55" s="442"/>
    </row>
    <row r="56" spans="1:9" ht="20.45" customHeight="1" x14ac:dyDescent="0.25">
      <c r="A56" s="440"/>
      <c r="B56" s="441"/>
      <c r="C56" s="441"/>
      <c r="D56" s="441"/>
      <c r="E56" s="441"/>
      <c r="F56" s="441"/>
      <c r="G56" s="441"/>
      <c r="H56" s="441"/>
      <c r="I56" s="442"/>
    </row>
    <row r="57" spans="1:9" ht="20.45" customHeight="1" x14ac:dyDescent="0.25">
      <c r="A57" s="377"/>
      <c r="B57" s="377"/>
      <c r="C57" s="377"/>
      <c r="D57" s="377"/>
      <c r="E57" s="377"/>
      <c r="F57" s="377"/>
      <c r="G57" s="377"/>
      <c r="H57" s="377"/>
      <c r="I57" s="377"/>
    </row>
    <row r="58" spans="1:9" ht="20.45" customHeight="1" x14ac:dyDescent="0.25">
      <c r="A58" s="377"/>
      <c r="B58" s="377"/>
      <c r="C58" s="377"/>
      <c r="D58" s="377"/>
      <c r="E58" s="377"/>
      <c r="F58" s="377"/>
      <c r="G58" s="377"/>
      <c r="H58" s="377"/>
      <c r="I58" s="377"/>
    </row>
    <row r="59" spans="1:9" ht="19.899999999999999" customHeight="1" x14ac:dyDescent="0.25">
      <c r="A59" s="363"/>
      <c r="B59" s="364"/>
      <c r="C59" s="365"/>
      <c r="D59" s="365"/>
      <c r="E59" s="365"/>
      <c r="F59" s="365"/>
      <c r="G59" s="365"/>
      <c r="H59" s="365"/>
      <c r="I59" s="366"/>
    </row>
    <row r="60" spans="1:9" ht="18" x14ac:dyDescent="0.25">
      <c r="A60" s="367"/>
      <c r="B60" s="368"/>
      <c r="C60" s="368"/>
      <c r="D60" s="368"/>
      <c r="E60" s="368"/>
      <c r="F60" s="368"/>
      <c r="G60" s="368"/>
      <c r="H60" s="368"/>
      <c r="I60" s="369"/>
    </row>
    <row r="62" spans="1:9" ht="18" customHeight="1" x14ac:dyDescent="0.25">
      <c r="A62" s="370"/>
      <c r="B62" s="371"/>
      <c r="C62" s="372"/>
      <c r="D62" s="372"/>
      <c r="E62" s="372"/>
      <c r="F62" s="372"/>
      <c r="G62" s="372"/>
      <c r="H62" s="372"/>
      <c r="I62" s="373"/>
    </row>
    <row r="63" spans="1:9" ht="17.25" x14ac:dyDescent="0.3">
      <c r="A63" s="374"/>
      <c r="B63" s="375"/>
      <c r="C63" s="375"/>
      <c r="D63" s="375"/>
      <c r="E63" s="375"/>
      <c r="F63" s="375"/>
      <c r="G63" s="375"/>
      <c r="H63" s="375"/>
      <c r="I63" s="376"/>
    </row>
    <row r="64" spans="1:9" ht="18" thickBot="1" x14ac:dyDescent="0.35">
      <c r="A64" s="352"/>
      <c r="B64" s="353"/>
      <c r="C64" s="353"/>
      <c r="D64" s="353"/>
      <c r="E64" s="353"/>
      <c r="F64" s="353"/>
      <c r="G64" s="353"/>
      <c r="H64" s="353"/>
      <c r="I64" s="354"/>
    </row>
    <row r="65" spans="1:9" x14ac:dyDescent="0.25">
      <c r="A65" s="398" t="s">
        <v>33</v>
      </c>
      <c r="B65" s="399"/>
      <c r="C65" s="399"/>
      <c r="D65" s="399"/>
      <c r="E65" s="399"/>
      <c r="F65" s="399"/>
      <c r="G65" s="399"/>
      <c r="H65" s="399"/>
      <c r="I65" s="399"/>
    </row>
    <row r="66" spans="1:9" x14ac:dyDescent="0.25">
      <c r="A66" s="400"/>
      <c r="B66" s="401"/>
      <c r="C66" s="401"/>
      <c r="D66" s="401"/>
      <c r="E66" s="401"/>
      <c r="F66" s="401"/>
      <c r="G66" s="401"/>
      <c r="H66" s="401"/>
      <c r="I66" s="401"/>
    </row>
    <row r="67" spans="1:9" x14ac:dyDescent="0.25">
      <c r="A67" s="400"/>
      <c r="B67" s="401"/>
      <c r="C67" s="401"/>
      <c r="D67" s="401"/>
      <c r="E67" s="401"/>
      <c r="F67" s="401"/>
      <c r="G67" s="401"/>
      <c r="H67" s="401"/>
      <c r="I67" s="401"/>
    </row>
  </sheetData>
  <mergeCells count="47">
    <mergeCell ref="A67:I67"/>
    <mergeCell ref="A55:I55"/>
    <mergeCell ref="A56:I56"/>
    <mergeCell ref="A57:I57"/>
    <mergeCell ref="A58:I58"/>
    <mergeCell ref="A59:I59"/>
    <mergeCell ref="A60:I60"/>
    <mergeCell ref="A62:I62"/>
    <mergeCell ref="A63:I63"/>
    <mergeCell ref="A64:I64"/>
    <mergeCell ref="A65:I65"/>
    <mergeCell ref="A66:I66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2B9A-B612-4E6B-862F-4FE02F3E3987}">
  <sheetPr>
    <pageSetUpPr fitToPage="1"/>
  </sheetPr>
  <dimension ref="A1:K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7" customWidth="1"/>
    <col min="3" max="3" width="47.7109375" bestFit="1" customWidth="1"/>
    <col min="4" max="4" width="12.85546875" customWidth="1"/>
    <col min="5" max="5" width="15" customWidth="1"/>
    <col min="6" max="6" width="12.28515625" customWidth="1"/>
    <col min="7" max="7" width="21.28515625" customWidth="1"/>
    <col min="8" max="8" width="18.7109375" customWidth="1"/>
    <col min="9" max="9" width="20.7109375" bestFit="1" customWidth="1"/>
  </cols>
  <sheetData>
    <row r="1" spans="1:10" ht="17.25" x14ac:dyDescent="0.3">
      <c r="A1" s="300"/>
      <c r="B1" s="301"/>
      <c r="C1" s="306" t="s">
        <v>30</v>
      </c>
      <c r="D1" s="306"/>
      <c r="E1" s="306"/>
      <c r="F1" s="306"/>
      <c r="G1" s="306"/>
      <c r="H1" s="6" t="s">
        <v>29</v>
      </c>
      <c r="I1" s="7" t="s">
        <v>152</v>
      </c>
    </row>
    <row r="2" spans="1:10" ht="18" thickBot="1" x14ac:dyDescent="0.35">
      <c r="A2" s="302"/>
      <c r="B2" s="303"/>
      <c r="C2" s="307" t="s">
        <v>28</v>
      </c>
      <c r="D2" s="307"/>
      <c r="E2" s="307"/>
      <c r="F2" s="307"/>
      <c r="G2" s="307"/>
      <c r="H2" s="8" t="s">
        <v>27</v>
      </c>
      <c r="I2" s="9" t="s">
        <v>158</v>
      </c>
    </row>
    <row r="3" spans="1:10" ht="30.75" customHeight="1" thickBot="1" x14ac:dyDescent="0.3">
      <c r="A3" s="302"/>
      <c r="B3" s="303"/>
      <c r="C3" s="308" t="s">
        <v>151</v>
      </c>
      <c r="D3" s="309"/>
      <c r="E3" s="309"/>
      <c r="F3" s="309"/>
      <c r="G3" s="310"/>
      <c r="H3" s="311" t="s">
        <v>26</v>
      </c>
      <c r="I3" s="291">
        <v>46063</v>
      </c>
    </row>
    <row r="4" spans="1:10" ht="17.25" x14ac:dyDescent="0.3">
      <c r="A4" s="302"/>
      <c r="B4" s="303"/>
      <c r="C4" s="10" t="s">
        <v>25</v>
      </c>
      <c r="D4" s="294" t="s">
        <v>35</v>
      </c>
      <c r="E4" s="295"/>
      <c r="F4" s="295"/>
      <c r="G4" s="296"/>
      <c r="H4" s="312"/>
      <c r="I4" s="292"/>
    </row>
    <row r="5" spans="1:10" ht="18" thickBot="1" x14ac:dyDescent="0.35">
      <c r="A5" s="304"/>
      <c r="B5" s="305"/>
      <c r="C5" s="11" t="s">
        <v>24</v>
      </c>
      <c r="D5" s="297" t="s">
        <v>47</v>
      </c>
      <c r="E5" s="298"/>
      <c r="F5" s="298"/>
      <c r="G5" s="299"/>
      <c r="H5" s="313"/>
      <c r="I5" s="293"/>
    </row>
    <row r="6" spans="1:10" ht="23.25" customHeight="1" thickBot="1" x14ac:dyDescent="0.3">
      <c r="A6" s="314" t="s">
        <v>23</v>
      </c>
      <c r="B6" s="314"/>
      <c r="C6" s="314"/>
      <c r="D6" s="315" t="s">
        <v>153</v>
      </c>
      <c r="E6" s="315"/>
      <c r="F6" s="315"/>
      <c r="G6" s="316" t="s">
        <v>22</v>
      </c>
      <c r="H6" s="316"/>
      <c r="I6" s="284" t="s">
        <v>64</v>
      </c>
    </row>
    <row r="7" spans="1:10" ht="36" customHeight="1" x14ac:dyDescent="0.25">
      <c r="A7" s="317" t="s">
        <v>21</v>
      </c>
      <c r="B7" s="319" t="s">
        <v>31</v>
      </c>
      <c r="C7" s="321" t="s">
        <v>20</v>
      </c>
      <c r="D7" s="321" t="s">
        <v>19</v>
      </c>
      <c r="E7" s="321" t="s">
        <v>18</v>
      </c>
      <c r="F7" s="321"/>
      <c r="G7" s="321" t="s">
        <v>17</v>
      </c>
      <c r="H7" s="321"/>
      <c r="I7" s="283" t="s">
        <v>16</v>
      </c>
    </row>
    <row r="8" spans="1:10" ht="31.5" thickBot="1" x14ac:dyDescent="0.3">
      <c r="A8" s="318"/>
      <c r="B8" s="320"/>
      <c r="C8" s="322"/>
      <c r="D8" s="323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10" ht="20.25" x14ac:dyDescent="0.3">
      <c r="A9" s="233"/>
      <c r="B9" s="234"/>
      <c r="C9" s="235" t="s">
        <v>32</v>
      </c>
      <c r="D9" s="234"/>
      <c r="E9" s="236"/>
      <c r="F9" s="237"/>
      <c r="G9" s="236"/>
      <c r="H9" s="237"/>
      <c r="I9" s="238"/>
    </row>
    <row r="10" spans="1:10" ht="20.25" x14ac:dyDescent="0.3">
      <c r="A10" s="239"/>
      <c r="B10" s="255" t="s">
        <v>69</v>
      </c>
      <c r="C10" s="285" t="s">
        <v>70</v>
      </c>
      <c r="D10" s="286" t="s">
        <v>36</v>
      </c>
      <c r="E10" s="287">
        <v>4815.05</v>
      </c>
      <c r="F10" s="286" t="s">
        <v>1</v>
      </c>
      <c r="G10" s="242"/>
      <c r="H10" s="243"/>
      <c r="I10" s="232"/>
      <c r="J10">
        <v>3732.5968992248063</v>
      </c>
    </row>
    <row r="11" spans="1:10" ht="20.25" x14ac:dyDescent="0.3">
      <c r="A11" s="231"/>
      <c r="B11" s="255" t="s">
        <v>71</v>
      </c>
      <c r="C11" s="256" t="s">
        <v>72</v>
      </c>
      <c r="D11" s="286"/>
      <c r="E11" s="287">
        <v>2.4380000000000002</v>
      </c>
      <c r="F11" s="286" t="s">
        <v>1</v>
      </c>
      <c r="G11" s="242"/>
      <c r="H11" s="245"/>
      <c r="I11" s="232"/>
      <c r="J11">
        <v>1.9046875000000001</v>
      </c>
    </row>
    <row r="12" spans="1:10" ht="20.25" x14ac:dyDescent="0.3">
      <c r="A12" s="231"/>
      <c r="B12" s="255" t="s">
        <v>73</v>
      </c>
      <c r="C12" s="288" t="s">
        <v>74</v>
      </c>
      <c r="D12" s="286" t="s">
        <v>66</v>
      </c>
      <c r="E12" s="287">
        <v>231.60999999999999</v>
      </c>
      <c r="F12" s="286" t="s">
        <v>1</v>
      </c>
      <c r="G12" s="242"/>
      <c r="H12" s="245"/>
      <c r="I12" s="232"/>
      <c r="J12">
        <v>180.94531249999997</v>
      </c>
    </row>
    <row r="13" spans="1:10" ht="20.25" x14ac:dyDescent="0.3">
      <c r="A13" s="231"/>
      <c r="B13" s="231" t="s">
        <v>67</v>
      </c>
      <c r="C13" s="289" t="s">
        <v>68</v>
      </c>
      <c r="D13" s="251"/>
      <c r="E13" s="240">
        <v>1</v>
      </c>
      <c r="F13" s="241" t="s">
        <v>1</v>
      </c>
      <c r="G13" s="242"/>
      <c r="H13" s="245"/>
      <c r="I13" s="232"/>
      <c r="J13" t="s">
        <v>150</v>
      </c>
    </row>
    <row r="14" spans="1:10" ht="20.25" x14ac:dyDescent="0.3">
      <c r="A14" s="249"/>
      <c r="B14" s="244" t="s">
        <v>154</v>
      </c>
      <c r="C14" s="244" t="s">
        <v>155</v>
      </c>
      <c r="D14" s="247" t="s">
        <v>156</v>
      </c>
      <c r="E14" s="290">
        <v>10</v>
      </c>
      <c r="F14" s="241" t="s">
        <v>1</v>
      </c>
      <c r="G14" s="248"/>
      <c r="H14" s="231"/>
      <c r="I14" s="232"/>
    </row>
    <row r="15" spans="1:10" ht="20.25" x14ac:dyDescent="0.3">
      <c r="A15" s="249"/>
      <c r="B15" s="232"/>
      <c r="C15" s="250"/>
      <c r="D15" s="251"/>
      <c r="E15" s="231"/>
      <c r="F15" s="252"/>
      <c r="G15" s="248"/>
      <c r="H15" s="231"/>
      <c r="I15" s="232"/>
    </row>
    <row r="16" spans="1:10" ht="20.25" x14ac:dyDescent="0.3">
      <c r="A16" s="232"/>
      <c r="B16" s="232"/>
      <c r="C16" s="253" t="s">
        <v>42</v>
      </c>
      <c r="D16" s="231"/>
      <c r="E16" s="244"/>
      <c r="F16" s="231"/>
      <c r="G16" s="254"/>
      <c r="H16" s="231"/>
      <c r="I16" s="232"/>
    </row>
    <row r="17" spans="1:11" ht="20.25" x14ac:dyDescent="0.3">
      <c r="A17" s="232"/>
      <c r="B17" s="231"/>
      <c r="C17" s="258"/>
      <c r="D17" s="247"/>
      <c r="E17" s="257"/>
      <c r="F17" s="257"/>
      <c r="G17" s="236"/>
      <c r="H17" s="237"/>
      <c r="I17" s="232"/>
    </row>
    <row r="18" spans="1:11" ht="20.25" x14ac:dyDescent="0.3">
      <c r="A18" s="244"/>
      <c r="B18" s="255"/>
      <c r="C18" s="256"/>
      <c r="D18" s="259"/>
      <c r="E18" s="255"/>
      <c r="F18" s="260"/>
      <c r="G18" s="236"/>
      <c r="H18" s="237"/>
      <c r="I18" s="238"/>
    </row>
    <row r="19" spans="1:11" ht="20.25" x14ac:dyDescent="0.3">
      <c r="A19" s="232"/>
      <c r="B19" s="232"/>
      <c r="C19" s="253" t="s">
        <v>34</v>
      </c>
      <c r="D19" s="244"/>
      <c r="E19" s="244"/>
      <c r="F19" s="231"/>
      <c r="G19" s="254"/>
      <c r="H19" s="231"/>
      <c r="I19" s="238"/>
    </row>
    <row r="20" spans="1:11" ht="20.25" x14ac:dyDescent="0.3">
      <c r="A20" s="231"/>
      <c r="B20" s="266"/>
      <c r="C20" s="244"/>
      <c r="D20" s="251"/>
      <c r="E20" s="240"/>
      <c r="F20" s="261"/>
      <c r="G20" s="254"/>
      <c r="H20" s="232"/>
      <c r="I20" s="238"/>
    </row>
    <row r="21" spans="1:11" ht="20.25" x14ac:dyDescent="0.3">
      <c r="A21" s="262"/>
      <c r="B21" s="263"/>
      <c r="C21" s="264"/>
      <c r="D21" s="232"/>
      <c r="E21" s="232"/>
      <c r="F21" s="265"/>
      <c r="G21" s="232"/>
      <c r="H21" s="232"/>
      <c r="I21" s="238"/>
    </row>
    <row r="22" spans="1:11" ht="21" thickBot="1" x14ac:dyDescent="0.35">
      <c r="A22" s="267"/>
      <c r="B22" s="268"/>
      <c r="C22" s="246"/>
      <c r="D22" s="246"/>
      <c r="E22" s="269"/>
      <c r="F22" s="270"/>
      <c r="G22" s="246"/>
      <c r="H22" s="246"/>
      <c r="I22" s="271"/>
      <c r="K22" s="108"/>
    </row>
    <row r="23" spans="1:11" ht="21" thickBot="1" x14ac:dyDescent="0.35">
      <c r="A23" s="272"/>
      <c r="B23" s="273"/>
      <c r="C23" s="274"/>
      <c r="D23" s="275" t="s">
        <v>13</v>
      </c>
      <c r="E23" s="276" t="s">
        <v>12</v>
      </c>
      <c r="F23" s="277"/>
      <c r="G23" s="274"/>
      <c r="H23" s="274"/>
      <c r="I23" s="278"/>
    </row>
    <row r="24" spans="1:11" ht="20.25" x14ac:dyDescent="0.3">
      <c r="A24" s="324" t="s">
        <v>11</v>
      </c>
      <c r="B24" s="325"/>
      <c r="C24" s="326"/>
      <c r="D24" s="279">
        <v>5000</v>
      </c>
      <c r="E24" s="280" t="s">
        <v>1</v>
      </c>
      <c r="F24" s="327" t="s">
        <v>10</v>
      </c>
      <c r="G24" s="327"/>
      <c r="H24" s="328"/>
      <c r="I24" s="329"/>
      <c r="J24">
        <v>1.2953367875647668</v>
      </c>
    </row>
    <row r="25" spans="1:11" ht="20.25" x14ac:dyDescent="0.3">
      <c r="A25" s="330" t="s">
        <v>9</v>
      </c>
      <c r="B25" s="331"/>
      <c r="C25" s="332"/>
      <c r="D25" s="251">
        <v>5</v>
      </c>
      <c r="E25" s="251" t="s">
        <v>8</v>
      </c>
      <c r="F25" s="333" t="s">
        <v>7</v>
      </c>
      <c r="G25" s="333"/>
      <c r="H25" s="334"/>
      <c r="I25" s="335"/>
    </row>
    <row r="26" spans="1:11" ht="20.25" x14ac:dyDescent="0.3">
      <c r="A26" s="330" t="s">
        <v>6</v>
      </c>
      <c r="B26" s="331"/>
      <c r="C26" s="332"/>
      <c r="D26" s="251">
        <v>1</v>
      </c>
      <c r="E26" s="251" t="s">
        <v>12</v>
      </c>
      <c r="F26" s="333" t="s">
        <v>5</v>
      </c>
      <c r="G26" s="333"/>
      <c r="H26" s="334"/>
      <c r="I26" s="335"/>
    </row>
    <row r="27" spans="1:11" ht="20.25" x14ac:dyDescent="0.3">
      <c r="A27" s="330" t="s">
        <v>4</v>
      </c>
      <c r="B27" s="331"/>
      <c r="C27" s="332"/>
      <c r="D27" s="251">
        <v>5000</v>
      </c>
      <c r="E27" s="251" t="s">
        <v>1</v>
      </c>
      <c r="F27" s="337" t="s">
        <v>3</v>
      </c>
      <c r="G27" s="338"/>
      <c r="H27" s="334"/>
      <c r="I27" s="335"/>
    </row>
    <row r="28" spans="1:11" ht="21" thickBot="1" x14ac:dyDescent="0.35">
      <c r="A28" s="339" t="s">
        <v>2</v>
      </c>
      <c r="B28" s="340"/>
      <c r="C28" s="341"/>
      <c r="D28" s="281">
        <v>49.097999999999956</v>
      </c>
      <c r="E28" s="282" t="s">
        <v>1</v>
      </c>
      <c r="F28" s="342"/>
      <c r="G28" s="342"/>
      <c r="H28" s="343"/>
      <c r="I28" s="344"/>
    </row>
    <row r="29" spans="1:11" ht="20.25" x14ac:dyDescent="0.3">
      <c r="A29" s="345" t="s">
        <v>0</v>
      </c>
      <c r="B29" s="346"/>
      <c r="C29" s="346"/>
      <c r="D29" s="346"/>
      <c r="E29" s="346"/>
      <c r="F29" s="346"/>
      <c r="G29" s="346"/>
      <c r="H29" s="346"/>
      <c r="I29" s="347"/>
    </row>
    <row r="30" spans="1:11" ht="20.25" x14ac:dyDescent="0.3">
      <c r="A30" s="348" t="s">
        <v>75</v>
      </c>
      <c r="B30" s="348"/>
      <c r="C30" s="348"/>
      <c r="D30" s="348"/>
      <c r="E30" s="348"/>
      <c r="F30" s="348"/>
      <c r="G30" s="348"/>
      <c r="H30" s="348"/>
      <c r="I30" s="348"/>
    </row>
    <row r="31" spans="1:11" ht="20.25" x14ac:dyDescent="0.3">
      <c r="A31" s="336"/>
      <c r="B31" s="336"/>
      <c r="C31" s="336"/>
      <c r="D31" s="336"/>
      <c r="E31" s="336"/>
      <c r="F31" s="336"/>
      <c r="G31" s="336"/>
      <c r="H31" s="336"/>
      <c r="I31" s="336"/>
    </row>
    <row r="32" spans="1:11" ht="20.25" x14ac:dyDescent="0.3">
      <c r="A32" s="336"/>
      <c r="B32" s="336"/>
      <c r="C32" s="336"/>
      <c r="D32" s="336"/>
      <c r="E32" s="336"/>
      <c r="F32" s="336"/>
      <c r="G32" s="336"/>
      <c r="H32" s="336"/>
      <c r="I32" s="336"/>
    </row>
    <row r="33" spans="1:9" ht="20.25" x14ac:dyDescent="0.3">
      <c r="A33" s="350"/>
      <c r="B33" s="350"/>
      <c r="C33" s="350"/>
      <c r="D33" s="350"/>
      <c r="E33" s="350"/>
      <c r="F33" s="350"/>
      <c r="G33" s="350"/>
      <c r="H33" s="350"/>
      <c r="I33" s="350"/>
    </row>
    <row r="34" spans="1:9" ht="20.25" x14ac:dyDescent="0.3">
      <c r="A34" s="351" t="s">
        <v>33</v>
      </c>
      <c r="B34" s="351"/>
      <c r="C34" s="351"/>
      <c r="D34" s="351"/>
      <c r="E34" s="351"/>
      <c r="F34" s="351"/>
      <c r="G34" s="351"/>
      <c r="H34" s="351"/>
      <c r="I34" s="351"/>
    </row>
    <row r="35" spans="1:9" ht="20.25" x14ac:dyDescent="0.3">
      <c r="A35" s="349" t="s">
        <v>157</v>
      </c>
      <c r="B35" s="349"/>
      <c r="C35" s="349"/>
      <c r="D35" s="349"/>
      <c r="E35" s="349"/>
      <c r="F35" s="349"/>
      <c r="G35" s="349"/>
      <c r="H35" s="349"/>
      <c r="I35" s="349"/>
    </row>
    <row r="36" spans="1:9" ht="20.25" x14ac:dyDescent="0.3">
      <c r="A36" s="349"/>
      <c r="B36" s="349"/>
      <c r="C36" s="349"/>
      <c r="D36" s="349"/>
      <c r="E36" s="349"/>
      <c r="F36" s="349"/>
      <c r="G36" s="349"/>
      <c r="H36" s="349"/>
      <c r="I36" s="349"/>
    </row>
  </sheetData>
  <mergeCells count="40">
    <mergeCell ref="A36:I36"/>
    <mergeCell ref="A32:I32"/>
    <mergeCell ref="A33:I33"/>
    <mergeCell ref="A34:I34"/>
    <mergeCell ref="A35:I3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BF01-69BC-4AEB-B564-35BE3092A342}">
  <dimension ref="A1:Q91"/>
  <sheetViews>
    <sheetView topLeftCell="A43" workbookViewId="0">
      <selection activeCell="H69" sqref="H69"/>
    </sheetView>
  </sheetViews>
  <sheetFormatPr baseColWidth="10" defaultColWidth="8.42578125" defaultRowHeight="12.75" x14ac:dyDescent="0.25"/>
  <cols>
    <col min="1" max="1" width="10" style="139" bestFit="1" customWidth="1"/>
    <col min="2" max="2" width="44.28515625" style="139" bestFit="1" customWidth="1"/>
    <col min="3" max="3" width="10.42578125" style="139" bestFit="1" customWidth="1"/>
    <col min="4" max="4" width="10.42578125" style="139" customWidth="1"/>
    <col min="5" max="5" width="11" style="139" customWidth="1"/>
    <col min="6" max="6" width="9.5703125" style="139" bestFit="1" customWidth="1"/>
    <col min="7" max="7" width="10.85546875" style="221" customWidth="1"/>
    <col min="8" max="8" width="10.42578125" style="212" bestFit="1" customWidth="1"/>
    <col min="9" max="9" width="4.5703125" style="212" customWidth="1"/>
    <col min="10" max="10" width="1.85546875" style="138" customWidth="1"/>
    <col min="11" max="11" width="7" style="139" bestFit="1" customWidth="1"/>
    <col min="12" max="12" width="6.28515625" style="139" customWidth="1"/>
    <col min="13" max="13" width="20.42578125" style="139" customWidth="1"/>
    <col min="14" max="14" width="6.42578125" style="139" bestFit="1" customWidth="1"/>
    <col min="15" max="16" width="8.42578125" style="139"/>
    <col min="17" max="17" width="3.28515625" style="139" customWidth="1"/>
    <col min="18" max="16384" width="8.42578125" style="139"/>
  </cols>
  <sheetData>
    <row r="1" spans="1:10" ht="27.75" customHeight="1" x14ac:dyDescent="0.25">
      <c r="A1" s="134"/>
      <c r="B1" s="134"/>
      <c r="C1" s="134"/>
      <c r="D1" s="134"/>
      <c r="E1" s="135" t="s">
        <v>91</v>
      </c>
      <c r="F1" s="136" t="s">
        <v>92</v>
      </c>
      <c r="G1" s="136" t="s">
        <v>93</v>
      </c>
      <c r="H1" s="136" t="s">
        <v>94</v>
      </c>
      <c r="I1" s="137"/>
    </row>
    <row r="2" spans="1:10" ht="30.75" customHeight="1" x14ac:dyDescent="0.25">
      <c r="A2" s="134"/>
      <c r="B2" s="134"/>
      <c r="C2" s="134"/>
      <c r="D2" s="134"/>
      <c r="E2" s="140">
        <f>IFERROR(O62,"")</f>
        <v>20168.165844155843</v>
      </c>
      <c r="F2" s="140">
        <f>IFERROR(H53,"")</f>
        <v>18971.71</v>
      </c>
      <c r="G2" s="140">
        <f>IFERROR(H54,"")</f>
        <v>96.3</v>
      </c>
      <c r="H2" s="140">
        <f>IFERROR(H56,"")</f>
        <v>529.45000000000005</v>
      </c>
      <c r="I2" s="141"/>
    </row>
    <row r="3" spans="1:10" ht="15" customHeight="1" x14ac:dyDescent="0.25">
      <c r="A3" s="134"/>
      <c r="B3" s="134"/>
      <c r="C3" s="134"/>
      <c r="D3" s="134"/>
      <c r="E3" s="134"/>
      <c r="F3" s="142"/>
      <c r="G3" s="142"/>
      <c r="H3" s="142"/>
      <c r="I3" s="142"/>
    </row>
    <row r="4" spans="1:10" ht="24.75" customHeight="1" thickBot="1" x14ac:dyDescent="0.3">
      <c r="A4" s="431"/>
      <c r="B4" s="431"/>
      <c r="C4" s="431"/>
      <c r="D4" s="431"/>
      <c r="E4" s="431"/>
      <c r="F4" s="431"/>
      <c r="G4" s="431"/>
      <c r="H4" s="431"/>
      <c r="I4" s="143"/>
    </row>
    <row r="5" spans="1:10" ht="19.5" customHeight="1" thickBot="1" x14ac:dyDescent="0.3">
      <c r="A5" s="432" t="s">
        <v>95</v>
      </c>
      <c r="B5" s="433"/>
      <c r="C5" s="433"/>
      <c r="D5" s="433"/>
      <c r="E5" s="433"/>
      <c r="F5" s="433"/>
      <c r="G5" s="433"/>
      <c r="H5" s="434"/>
      <c r="I5" s="144"/>
    </row>
    <row r="6" spans="1:10" ht="19.5" thickBot="1" x14ac:dyDescent="0.3">
      <c r="A6" s="144"/>
      <c r="B6" s="144"/>
      <c r="C6" s="144"/>
      <c r="D6" s="144"/>
      <c r="E6" s="144"/>
      <c r="F6" s="435" t="s">
        <v>96</v>
      </c>
      <c r="G6" s="435"/>
      <c r="H6" s="145">
        <f ca="1">TODAY()</f>
        <v>46094</v>
      </c>
      <c r="I6" s="145"/>
    </row>
    <row r="7" spans="1:10" ht="26.25" thickBot="1" x14ac:dyDescent="0.3">
      <c r="A7" s="146" t="s">
        <v>97</v>
      </c>
      <c r="B7" s="147" t="s">
        <v>98</v>
      </c>
      <c r="C7" s="147" t="s">
        <v>97</v>
      </c>
      <c r="D7" s="148" t="s">
        <v>99</v>
      </c>
      <c r="E7" s="148" t="s">
        <v>100</v>
      </c>
      <c r="F7" s="148" t="s">
        <v>101</v>
      </c>
      <c r="G7" s="148" t="s">
        <v>102</v>
      </c>
      <c r="H7" s="149" t="s">
        <v>103</v>
      </c>
      <c r="I7" s="150"/>
    </row>
    <row r="8" spans="1:10" ht="13.5" x14ac:dyDescent="0.25">
      <c r="A8" s="151">
        <v>2</v>
      </c>
      <c r="B8" s="139" t="s">
        <v>72</v>
      </c>
      <c r="C8" s="152">
        <f>+A8</f>
        <v>2</v>
      </c>
      <c r="D8" s="153" t="s">
        <v>142</v>
      </c>
      <c r="E8" s="153">
        <v>5.48</v>
      </c>
      <c r="F8" s="153">
        <f>IFERROR(C8*E8,"")</f>
        <v>10.96</v>
      </c>
      <c r="G8" s="154">
        <f t="shared" ref="G8:G14" si="0">IFERROR(F8/$F$66,"")</f>
        <v>5.5262981655080127E-4</v>
      </c>
      <c r="H8" s="155" t="s">
        <v>71</v>
      </c>
      <c r="I8" s="155"/>
      <c r="J8" s="156"/>
    </row>
    <row r="9" spans="1:10" ht="13.5" x14ac:dyDescent="0.25">
      <c r="A9" s="151">
        <v>232</v>
      </c>
      <c r="B9" s="139" t="s">
        <v>74</v>
      </c>
      <c r="C9" s="152">
        <f t="shared" ref="C9:C14" si="1">+A9</f>
        <v>232</v>
      </c>
      <c r="D9" s="153" t="s">
        <v>142</v>
      </c>
      <c r="E9" s="153">
        <v>34.200000000000003</v>
      </c>
      <c r="F9" s="153">
        <f t="shared" ref="F9:F14" si="2">IFERROR(C9*E9,"")</f>
        <v>7934.4000000000005</v>
      </c>
      <c r="G9" s="154">
        <f t="shared" si="0"/>
        <v>0.40007171682852893</v>
      </c>
      <c r="H9" s="155" t="s">
        <v>73</v>
      </c>
      <c r="I9" s="155"/>
      <c r="J9" s="156"/>
    </row>
    <row r="10" spans="1:10" ht="13.5" hidden="1" x14ac:dyDescent="0.25">
      <c r="A10" s="151"/>
      <c r="B10" s="139" t="str">
        <f>IFERROR(VLOOKUP(H10,'[1]Consolidado MP Planta'!$A$2:$M$823,3,0),"")</f>
        <v/>
      </c>
      <c r="C10" s="152">
        <f t="shared" si="1"/>
        <v>0</v>
      </c>
      <c r="D10" s="153" t="str">
        <f>IFERROR(VLOOKUP(H10,'[1]Consolidado MP Planta'!$A$2:$M$823,13,0),"")</f>
        <v/>
      </c>
      <c r="E10" s="153" t="str">
        <f>IFERROR(VLOOKUP(H10,'[1]Consolidado MP Planta'!$A$2:$M$823,12,0),"")</f>
        <v/>
      </c>
      <c r="F10" s="153" t="str">
        <f t="shared" si="2"/>
        <v/>
      </c>
      <c r="G10" s="154" t="str">
        <f t="shared" si="0"/>
        <v/>
      </c>
      <c r="H10" s="155"/>
      <c r="I10" s="155"/>
      <c r="J10" s="156"/>
    </row>
    <row r="11" spans="1:10" ht="13.5" hidden="1" x14ac:dyDescent="0.25">
      <c r="A11" s="151"/>
      <c r="B11" s="139" t="str">
        <f>IFERROR(VLOOKUP(H11,'[1]Consolidado MP Planta'!$A$2:$M$823,3,0),"")</f>
        <v/>
      </c>
      <c r="C11" s="152">
        <f t="shared" si="1"/>
        <v>0</v>
      </c>
      <c r="D11" s="153" t="str">
        <f>IFERROR(VLOOKUP(H11,'[1]Consolidado MP Planta'!$A$2:$M$823,13,0),"")</f>
        <v/>
      </c>
      <c r="E11" s="153" t="str">
        <f>IFERROR(VLOOKUP(H11,'[1]Consolidado MP Planta'!$A$2:$M$823,12,0),"")</f>
        <v/>
      </c>
      <c r="F11" s="153" t="str">
        <f t="shared" si="2"/>
        <v/>
      </c>
      <c r="G11" s="154" t="str">
        <f t="shared" si="0"/>
        <v/>
      </c>
      <c r="H11" s="155"/>
      <c r="I11" s="155"/>
      <c r="J11" s="156"/>
    </row>
    <row r="12" spans="1:10" ht="13.5" hidden="1" x14ac:dyDescent="0.25">
      <c r="A12" s="151"/>
      <c r="B12" s="139" t="str">
        <f>IFERROR(VLOOKUP(H12,'[1]Consolidado MP Planta'!$A$2:$M$823,3,0),"")</f>
        <v/>
      </c>
      <c r="C12" s="152">
        <f t="shared" si="1"/>
        <v>0</v>
      </c>
      <c r="D12" s="153" t="str">
        <f>IFERROR(VLOOKUP(H12,'[1]Consolidado MP Planta'!$A$2:$M$823,13,0),"")</f>
        <v/>
      </c>
      <c r="E12" s="153" t="str">
        <f>IFERROR(VLOOKUP(H12,'[1]Consolidado MP Planta'!$A$2:$M$823,12,0),"")</f>
        <v/>
      </c>
      <c r="F12" s="153" t="str">
        <f t="shared" si="2"/>
        <v/>
      </c>
      <c r="G12" s="154" t="str">
        <f t="shared" si="0"/>
        <v/>
      </c>
      <c r="H12" s="155"/>
      <c r="I12" s="155"/>
      <c r="J12" s="156"/>
    </row>
    <row r="13" spans="1:10" ht="13.5" hidden="1" x14ac:dyDescent="0.25">
      <c r="A13" s="151"/>
      <c r="B13" s="139" t="str">
        <f>IFERROR(VLOOKUP(H13,'[1]Consolidado MP Planta'!$A$2:$M$823,3,0),"")</f>
        <v/>
      </c>
      <c r="C13" s="152">
        <f t="shared" si="1"/>
        <v>0</v>
      </c>
      <c r="D13" s="153" t="str">
        <f>IFERROR(VLOOKUP(H13,'[1]Consolidado MP Planta'!$A$2:$M$823,13,0),"")</f>
        <v/>
      </c>
      <c r="E13" s="153" t="str">
        <f>IFERROR(VLOOKUP(H13,'[1]Consolidado MP Planta'!$A$2:$M$823,12,0),"")</f>
        <v/>
      </c>
      <c r="F13" s="153" t="str">
        <f t="shared" si="2"/>
        <v/>
      </c>
      <c r="G13" s="154" t="str">
        <f t="shared" si="0"/>
        <v/>
      </c>
      <c r="H13" s="155"/>
      <c r="I13" s="155"/>
      <c r="J13" s="156"/>
    </row>
    <row r="14" spans="1:10" ht="13.5" hidden="1" x14ac:dyDescent="0.25">
      <c r="A14" s="151"/>
      <c r="B14" s="139" t="str">
        <f>IFERROR(VLOOKUP(H14,'[1]Consolidado MP Planta'!$A$2:$M$823,3,0),"")</f>
        <v/>
      </c>
      <c r="C14" s="152">
        <f t="shared" si="1"/>
        <v>0</v>
      </c>
      <c r="D14" s="153" t="str">
        <f>IFERROR(VLOOKUP(H14,'[1]Consolidado MP Planta'!$A$2:$M$823,13,0),"")</f>
        <v/>
      </c>
      <c r="E14" s="153" t="str">
        <f>IFERROR(VLOOKUP(H14,'[1]Consolidado MP Planta'!$A$2:$M$823,12,0),"")</f>
        <v/>
      </c>
      <c r="F14" s="153" t="str">
        <f t="shared" si="2"/>
        <v/>
      </c>
      <c r="G14" s="154" t="str">
        <f t="shared" si="0"/>
        <v/>
      </c>
      <c r="H14" s="155"/>
      <c r="I14" s="155"/>
      <c r="J14" s="156"/>
    </row>
    <row r="15" spans="1:10" ht="14.25" thickBot="1" x14ac:dyDescent="0.3">
      <c r="A15" s="151"/>
      <c r="B15" s="139" t="str">
        <f>IFERROR(VLOOKUP(H15,[2]Hoja2!$A$2:$G$589,2,0),"")</f>
        <v/>
      </c>
      <c r="C15" s="152"/>
      <c r="D15" s="153"/>
      <c r="E15" s="153"/>
      <c r="F15" s="153"/>
      <c r="G15" s="154"/>
      <c r="H15" s="155"/>
      <c r="I15" s="155"/>
      <c r="J15" s="156"/>
    </row>
    <row r="16" spans="1:10" ht="26.25" thickBot="1" x14ac:dyDescent="0.3">
      <c r="A16" s="146" t="s">
        <v>97</v>
      </c>
      <c r="B16" s="147" t="s">
        <v>104</v>
      </c>
      <c r="C16" s="147" t="s">
        <v>97</v>
      </c>
      <c r="D16" s="148" t="s">
        <v>99</v>
      </c>
      <c r="E16" s="148" t="s">
        <v>100</v>
      </c>
      <c r="F16" s="148" t="s">
        <v>101</v>
      </c>
      <c r="G16" s="148" t="s">
        <v>102</v>
      </c>
      <c r="H16" s="149" t="s">
        <v>103</v>
      </c>
      <c r="I16" s="150"/>
      <c r="J16" s="156"/>
    </row>
    <row r="17" spans="1:12" ht="13.5" x14ac:dyDescent="0.25">
      <c r="A17" s="151">
        <v>4815</v>
      </c>
      <c r="B17" s="139" t="s">
        <v>70</v>
      </c>
      <c r="C17" s="152">
        <f>+A17</f>
        <v>4815</v>
      </c>
      <c r="D17" s="152" t="s">
        <v>142</v>
      </c>
      <c r="E17" s="153">
        <v>2.29</v>
      </c>
      <c r="F17" s="153">
        <f>IFERROR(E17*C17,"")</f>
        <v>11026.35</v>
      </c>
      <c r="G17" s="154">
        <f t="shared" ref="G17:G24" si="3">IFERROR(F17/$F$66,"")</f>
        <v>0.55597534468293131</v>
      </c>
      <c r="H17" s="155" t="s">
        <v>69</v>
      </c>
      <c r="I17" s="155"/>
      <c r="J17" s="156"/>
    </row>
    <row r="18" spans="1:12" ht="13.5" hidden="1" x14ac:dyDescent="0.25">
      <c r="A18" s="151"/>
      <c r="B18" s="139" t="str">
        <f>IFERROR(VLOOKUP(H18,[1]SEMIELABORADOS!$A$2:$M$6000,2,0),"")</f>
        <v/>
      </c>
      <c r="C18" s="152">
        <f t="shared" ref="C18:C24" si="4">+A18</f>
        <v>0</v>
      </c>
      <c r="D18" s="152" t="str">
        <f>IFERROR(VLOOKUP(H18,[1]SEMIELABORADOS!$A$2:$M$6000,6,0),"")</f>
        <v/>
      </c>
      <c r="E18" s="153" t="str">
        <f>IFERROR(VLOOKUP(H18,[1]SEMIELABORADOS!$A$2:$H$65536,8,0),"")</f>
        <v/>
      </c>
      <c r="F18" s="153" t="str">
        <f t="shared" ref="F18:F24" si="5">IFERROR(E18*C18,"")</f>
        <v/>
      </c>
      <c r="G18" s="154" t="str">
        <f t="shared" si="3"/>
        <v/>
      </c>
      <c r="H18" s="155"/>
      <c r="I18" s="155"/>
      <c r="J18" s="156"/>
    </row>
    <row r="19" spans="1:12" ht="13.5" hidden="1" x14ac:dyDescent="0.25">
      <c r="A19" s="151"/>
      <c r="B19" s="139" t="str">
        <f>IFERROR(VLOOKUP(H19,[1]SEMIELABORADOS!$A$2:$M$6000,2,0),"")</f>
        <v/>
      </c>
      <c r="C19" s="152">
        <f>+A19</f>
        <v>0</v>
      </c>
      <c r="D19" s="152" t="str">
        <f>IFERROR(VLOOKUP(H19,[1]SEMIELABORADOS!$A$2:$M$6000,6,0),"")</f>
        <v/>
      </c>
      <c r="E19" s="153" t="str">
        <f>IFERROR(VLOOKUP(H19,[1]SEMIELABORADOS!$A$2:$H$65536,8,0),"")</f>
        <v/>
      </c>
      <c r="F19" s="153" t="str">
        <f>IFERROR(E19*C19,"")</f>
        <v/>
      </c>
      <c r="G19" s="154" t="str">
        <f t="shared" si="3"/>
        <v/>
      </c>
      <c r="H19" s="155"/>
      <c r="I19" s="155"/>
      <c r="J19" s="156"/>
    </row>
    <row r="20" spans="1:12" ht="13.5" hidden="1" x14ac:dyDescent="0.25">
      <c r="A20" s="151"/>
      <c r="B20" s="139" t="str">
        <f>IFERROR(VLOOKUP(H20,[1]SEMIELABORADOS!$A$2:$M$6000,2,0),"")</f>
        <v/>
      </c>
      <c r="C20" s="152">
        <f>+A20</f>
        <v>0</v>
      </c>
      <c r="D20" s="152" t="str">
        <f>IFERROR(VLOOKUP(H20,[1]SEMIELABORADOS!$A$2:$M$6000,6,0),"")</f>
        <v/>
      </c>
      <c r="E20" s="153" t="str">
        <f>IFERROR(VLOOKUP(H20,[1]SEMIELABORADOS!$A$2:$H$65536,8,0),"")</f>
        <v/>
      </c>
      <c r="F20" s="153" t="str">
        <f>IFERROR(E20*C20,"")</f>
        <v/>
      </c>
      <c r="G20" s="154" t="str">
        <f t="shared" si="3"/>
        <v/>
      </c>
      <c r="H20" s="155"/>
      <c r="I20" s="155"/>
      <c r="J20" s="156"/>
    </row>
    <row r="21" spans="1:12" ht="13.5" hidden="1" x14ac:dyDescent="0.25">
      <c r="A21" s="151"/>
      <c r="B21" s="139" t="str">
        <f>IFERROR(VLOOKUP(H21,[1]SEMIELABORADOS!$A$2:$M$6000,2,0),"")</f>
        <v/>
      </c>
      <c r="C21" s="152">
        <f>+A21</f>
        <v>0</v>
      </c>
      <c r="D21" s="152" t="str">
        <f>IFERROR(VLOOKUP(H21,[1]SEMIELABORADOS!$A$2:$M$6000,6,0),"")</f>
        <v/>
      </c>
      <c r="E21" s="153" t="str">
        <f>IFERROR(VLOOKUP(H21,[1]SEMIELABORADOS!$A$2:$H$65536,8,0),"")</f>
        <v/>
      </c>
      <c r="F21" s="153" t="str">
        <f>IFERROR(E21*C21,"")</f>
        <v/>
      </c>
      <c r="G21" s="154" t="str">
        <f t="shared" si="3"/>
        <v/>
      </c>
      <c r="H21" s="155"/>
      <c r="I21" s="155"/>
      <c r="J21" s="156"/>
    </row>
    <row r="22" spans="1:12" ht="13.5" hidden="1" x14ac:dyDescent="0.25">
      <c r="A22" s="151"/>
      <c r="B22" s="139" t="str">
        <f>IFERROR(VLOOKUP(H22,[1]SEMIELABORADOS!$A$2:$M$6000,2,0),"")</f>
        <v/>
      </c>
      <c r="C22" s="152">
        <f t="shared" si="4"/>
        <v>0</v>
      </c>
      <c r="D22" s="152" t="str">
        <f>IFERROR(VLOOKUP(H22,[1]SEMIELABORADOS!$A$2:$M$6000,6,0),"")</f>
        <v/>
      </c>
      <c r="E22" s="153" t="str">
        <f>IFERROR(VLOOKUP(H22,[1]SEMIELABORADOS!$A$2:$H$65536,8,0),"")</f>
        <v/>
      </c>
      <c r="F22" s="153" t="str">
        <f t="shared" si="5"/>
        <v/>
      </c>
      <c r="G22" s="154" t="str">
        <f t="shared" si="3"/>
        <v/>
      </c>
      <c r="H22" s="155"/>
      <c r="I22" s="155"/>
      <c r="J22" s="156"/>
    </row>
    <row r="23" spans="1:12" ht="13.5" hidden="1" x14ac:dyDescent="0.25">
      <c r="A23" s="151"/>
      <c r="B23" s="139" t="str">
        <f>IFERROR(VLOOKUP(H23,[1]SEMIELABORADOS!$A$2:$M$6000,2,0),"")</f>
        <v/>
      </c>
      <c r="C23" s="152">
        <f t="shared" si="4"/>
        <v>0</v>
      </c>
      <c r="D23" s="152" t="str">
        <f>IFERROR(VLOOKUP(H23,[1]SEMIELABORADOS!$A$2:$M$6000,6,0),"")</f>
        <v/>
      </c>
      <c r="E23" s="153" t="str">
        <f>IFERROR(VLOOKUP(H23,[1]SEMIELABORADOS!$A$2:$H$65536,8,0),"")</f>
        <v/>
      </c>
      <c r="F23" s="153" t="str">
        <f t="shared" si="5"/>
        <v/>
      </c>
      <c r="G23" s="154" t="str">
        <f t="shared" si="3"/>
        <v/>
      </c>
      <c r="H23" s="155"/>
      <c r="I23" s="155"/>
      <c r="J23" s="156"/>
    </row>
    <row r="24" spans="1:12" ht="13.5" hidden="1" x14ac:dyDescent="0.25">
      <c r="A24" s="151"/>
      <c r="B24" s="139" t="str">
        <f>IFERROR(VLOOKUP(H24,[1]SEMIELABORADOS!$A$2:$M$6000,2,0),"")</f>
        <v/>
      </c>
      <c r="C24" s="152">
        <f t="shared" si="4"/>
        <v>0</v>
      </c>
      <c r="D24" s="152" t="str">
        <f>IFERROR(VLOOKUP(H24,[1]SEMIELABORADOS!$A$2:$M$6000,6,0),"")</f>
        <v/>
      </c>
      <c r="E24" s="153" t="str">
        <f>IFERROR(VLOOKUP(H24,[1]SEMIELABORADOS!$A$2:$H$65536,8,0),"")</f>
        <v/>
      </c>
      <c r="F24" s="153" t="str">
        <f t="shared" si="5"/>
        <v/>
      </c>
      <c r="G24" s="154" t="str">
        <f t="shared" si="3"/>
        <v/>
      </c>
      <c r="H24" s="155"/>
      <c r="I24" s="155"/>
      <c r="J24" s="156"/>
    </row>
    <row r="25" spans="1:12" ht="14.25" thickBot="1" x14ac:dyDescent="0.3">
      <c r="A25" s="151"/>
      <c r="C25" s="152"/>
      <c r="D25" s="152"/>
      <c r="E25" s="153"/>
      <c r="F25" s="153"/>
      <c r="G25" s="154"/>
      <c r="H25" s="155"/>
      <c r="I25" s="155"/>
      <c r="J25" s="156"/>
    </row>
    <row r="26" spans="1:12" ht="26.25" hidden="1" thickBot="1" x14ac:dyDescent="0.3">
      <c r="A26" s="146" t="s">
        <v>97</v>
      </c>
      <c r="B26" s="147" t="s">
        <v>34</v>
      </c>
      <c r="C26" s="147" t="s">
        <v>97</v>
      </c>
      <c r="D26" s="148" t="s">
        <v>99</v>
      </c>
      <c r="E26" s="148" t="s">
        <v>100</v>
      </c>
      <c r="F26" s="148" t="s">
        <v>101</v>
      </c>
      <c r="G26" s="148" t="s">
        <v>102</v>
      </c>
      <c r="H26" s="149" t="s">
        <v>103</v>
      </c>
      <c r="I26" s="150"/>
    </row>
    <row r="27" spans="1:12" ht="13.5" hidden="1" x14ac:dyDescent="0.25">
      <c r="A27" s="151">
        <v>0</v>
      </c>
      <c r="B27" s="157" t="str">
        <f>IFERROR(VLOOKUP(H27,'[1]Consolidado MP Planta'!$A$2:$M$823,3,0),"")</f>
        <v/>
      </c>
      <c r="C27" s="152">
        <f t="shared" ref="C27:C32" si="6">+A27</f>
        <v>0</v>
      </c>
      <c r="D27" s="153" t="str">
        <f>IFERROR(VLOOKUP(H27,'[1]Consolidado MP Planta'!$A$2:$M$823,13,0),"")</f>
        <v/>
      </c>
      <c r="E27" s="153" t="str">
        <f>IFERROR(VLOOKUP(H27,'[1]Consolidado MP Planta'!$A$2:$M$823,12,0),"")</f>
        <v/>
      </c>
      <c r="F27" s="153" t="str">
        <f t="shared" ref="F27:F32" si="7">IFERROR(C27*E27,"")</f>
        <v/>
      </c>
      <c r="G27" s="154" t="str">
        <f t="shared" ref="G27:G32" si="8">IFERROR(F27/$F$66,"")</f>
        <v/>
      </c>
      <c r="H27" s="158"/>
      <c r="I27" s="158"/>
      <c r="J27" s="156"/>
      <c r="K27" s="425"/>
      <c r="L27" s="425"/>
    </row>
    <row r="28" spans="1:12" ht="13.5" hidden="1" x14ac:dyDescent="0.25">
      <c r="A28" s="151"/>
      <c r="B28" s="157" t="str">
        <f>IFERROR(VLOOKUP(H28,'[1]Consolidado MP Planta'!$A$2:$M$823,3,0),"")</f>
        <v/>
      </c>
      <c r="C28" s="152">
        <f t="shared" si="6"/>
        <v>0</v>
      </c>
      <c r="D28" s="153" t="str">
        <f>IFERROR(VLOOKUP(H28,'[1]Consolidado MP Planta'!$A$2:$M$823,13,0),"")</f>
        <v/>
      </c>
      <c r="E28" s="153" t="str">
        <f>IFERROR(VLOOKUP(H28,'[1]Consolidado MP Planta'!$A$2:$M$823,12,0),"")</f>
        <v/>
      </c>
      <c r="F28" s="153" t="str">
        <f t="shared" si="7"/>
        <v/>
      </c>
      <c r="G28" s="154" t="str">
        <f t="shared" si="8"/>
        <v/>
      </c>
      <c r="H28" s="158"/>
      <c r="I28" s="158"/>
      <c r="J28" s="156"/>
      <c r="K28" s="425"/>
      <c r="L28" s="425"/>
    </row>
    <row r="29" spans="1:12" ht="13.5" hidden="1" x14ac:dyDescent="0.25">
      <c r="A29" s="151"/>
      <c r="B29" s="157" t="str">
        <f>IFERROR(VLOOKUP(H29,'[1]Consolidado MP Planta'!$A$2:$M$823,3,0),"")</f>
        <v/>
      </c>
      <c r="C29" s="152">
        <f t="shared" si="6"/>
        <v>0</v>
      </c>
      <c r="D29" s="153" t="str">
        <f>IFERROR(VLOOKUP(H29,'[1]Consolidado MP Planta'!$A$2:$M$823,13,0),"")</f>
        <v/>
      </c>
      <c r="E29" s="153" t="str">
        <f>IFERROR(VLOOKUP(H29,'[1]Consolidado MP Planta'!$A$2:$M$823,12,0),"")</f>
        <v/>
      </c>
      <c r="F29" s="153" t="str">
        <f t="shared" si="7"/>
        <v/>
      </c>
      <c r="G29" s="154" t="str">
        <f t="shared" si="8"/>
        <v/>
      </c>
      <c r="H29" s="158"/>
      <c r="I29" s="158"/>
      <c r="J29" s="156"/>
      <c r="K29" s="425"/>
      <c r="L29" s="425"/>
    </row>
    <row r="30" spans="1:12" ht="13.5" hidden="1" x14ac:dyDescent="0.25">
      <c r="A30" s="151"/>
      <c r="B30" s="157" t="str">
        <f>IFERROR(VLOOKUP(H30,'[1]Consolidado MP Planta'!$A$2:$M$823,3,0),"")</f>
        <v/>
      </c>
      <c r="C30" s="152">
        <f t="shared" si="6"/>
        <v>0</v>
      </c>
      <c r="D30" s="153" t="str">
        <f>IFERROR(VLOOKUP(H30,'[1]Consolidado MP Planta'!$A$2:$M$823,13,0),"")</f>
        <v/>
      </c>
      <c r="E30" s="153" t="str">
        <f>IFERROR(VLOOKUP(H30,'[1]Consolidado MP Planta'!$A$2:$M$823,12,0),"")</f>
        <v/>
      </c>
      <c r="F30" s="153" t="str">
        <f t="shared" si="7"/>
        <v/>
      </c>
      <c r="G30" s="154" t="str">
        <f t="shared" si="8"/>
        <v/>
      </c>
      <c r="H30" s="158"/>
      <c r="I30" s="158"/>
      <c r="J30" s="156"/>
      <c r="K30" s="425"/>
      <c r="L30" s="425"/>
    </row>
    <row r="31" spans="1:12" ht="13.5" hidden="1" x14ac:dyDescent="0.25">
      <c r="A31" s="151"/>
      <c r="B31" s="157" t="str">
        <f>IFERROR(VLOOKUP(H31,'[1]Consolidado MP Planta'!$A$2:$M$823,3,0),"")</f>
        <v/>
      </c>
      <c r="C31" s="152">
        <f t="shared" si="6"/>
        <v>0</v>
      </c>
      <c r="D31" s="153" t="str">
        <f>IFERROR(VLOOKUP(H31,'[1]Consolidado MP Planta'!$A$2:$M$823,13,0),"")</f>
        <v/>
      </c>
      <c r="E31" s="153" t="str">
        <f>IFERROR(VLOOKUP(H31,'[1]Consolidado MP Planta'!$A$2:$M$823,12,0),"")</f>
        <v/>
      </c>
      <c r="F31" s="153" t="str">
        <f t="shared" si="7"/>
        <v/>
      </c>
      <c r="G31" s="154" t="str">
        <f t="shared" si="8"/>
        <v/>
      </c>
      <c r="H31" s="158"/>
      <c r="I31" s="158"/>
      <c r="J31" s="156"/>
      <c r="K31" s="159"/>
      <c r="L31" s="160"/>
    </row>
    <row r="32" spans="1:12" ht="13.5" hidden="1" x14ac:dyDescent="0.25">
      <c r="A32" s="151"/>
      <c r="B32" s="157" t="str">
        <f>IFERROR(VLOOKUP(H32,'[1]Consolidado MP Planta'!$A$2:$M$823,3,0),"")</f>
        <v/>
      </c>
      <c r="C32" s="152">
        <f t="shared" si="6"/>
        <v>0</v>
      </c>
      <c r="D32" s="153" t="str">
        <f>IFERROR(VLOOKUP(H32,'[1]Consolidado MP Planta'!$A$2:$M$823,13,0),"")</f>
        <v/>
      </c>
      <c r="E32" s="153" t="str">
        <f>IFERROR(VLOOKUP(H32,'[1]Consolidado MP Planta'!$A$2:$M$823,12,0),"")</f>
        <v/>
      </c>
      <c r="F32" s="153" t="str">
        <f t="shared" si="7"/>
        <v/>
      </c>
      <c r="G32" s="154" t="str">
        <f t="shared" si="8"/>
        <v/>
      </c>
      <c r="H32" s="158"/>
      <c r="I32" s="158"/>
      <c r="J32" s="156"/>
    </row>
    <row r="33" spans="1:13" ht="14.25" hidden="1" thickBot="1" x14ac:dyDescent="0.3">
      <c r="A33" s="151"/>
      <c r="B33" s="157"/>
      <c r="C33" s="152"/>
      <c r="D33" s="153"/>
      <c r="E33" s="153"/>
      <c r="F33" s="153"/>
      <c r="G33" s="154"/>
      <c r="H33" s="158"/>
      <c r="I33" s="158"/>
      <c r="J33" s="156"/>
    </row>
    <row r="34" spans="1:13" ht="26.25" thickBot="1" x14ac:dyDescent="0.25">
      <c r="A34" s="146" t="s">
        <v>97</v>
      </c>
      <c r="B34" s="147" t="s">
        <v>105</v>
      </c>
      <c r="C34" s="147" t="s">
        <v>97</v>
      </c>
      <c r="D34" s="148" t="s">
        <v>99</v>
      </c>
      <c r="E34" s="148" t="s">
        <v>100</v>
      </c>
      <c r="F34" s="148" t="s">
        <v>101</v>
      </c>
      <c r="G34" s="148" t="s">
        <v>102</v>
      </c>
      <c r="H34" s="149" t="s">
        <v>103</v>
      </c>
      <c r="I34" s="158"/>
      <c r="J34" s="156"/>
    </row>
    <row r="35" spans="1:13" ht="13.5" x14ac:dyDescent="0.25">
      <c r="A35" s="151">
        <f>+A17</f>
        <v>4815</v>
      </c>
      <c r="B35" s="157" t="s">
        <v>70</v>
      </c>
      <c r="C35" s="152">
        <f>+A35</f>
        <v>4815</v>
      </c>
      <c r="D35" s="152" t="s">
        <v>142</v>
      </c>
      <c r="E35" s="153">
        <v>0.02</v>
      </c>
      <c r="F35" s="153">
        <f>IFERROR(E35*C35,"")</f>
        <v>96.3</v>
      </c>
      <c r="G35" s="154">
        <f t="shared" ref="G35:G41" si="9">IFERROR(F35/$F$66,"")</f>
        <v>4.8556798662264741E-3</v>
      </c>
      <c r="H35" s="158" t="s">
        <v>69</v>
      </c>
      <c r="I35" s="158"/>
      <c r="J35" s="156"/>
    </row>
    <row r="36" spans="1:13" ht="13.5" hidden="1" x14ac:dyDescent="0.25">
      <c r="A36" s="151">
        <f t="shared" ref="A36:A41" si="10">+A18</f>
        <v>0</v>
      </c>
      <c r="B36" s="157" t="str">
        <f>IFERROR(VLOOKUP(H36,[1]SEMIELABORADOS!$A$2:$M$6000,2,0),"")</f>
        <v/>
      </c>
      <c r="C36" s="152">
        <f t="shared" ref="C36:C41" si="11">+A36</f>
        <v>0</v>
      </c>
      <c r="D36" s="153" t="str">
        <f>IFERROR(VLOOKUP(H36,[1]SEMIELABORADOS!$A$2:$M$6000,6,0),"")</f>
        <v/>
      </c>
      <c r="E36" s="153" t="str">
        <f>IFERROR(VLOOKUP(H36,[1]SEMIELABORADOS!$A$2:$M$65536,10,0),"")</f>
        <v/>
      </c>
      <c r="F36" s="153" t="str">
        <f t="shared" ref="F36:F41" si="12">IFERROR(E36*C36,"")</f>
        <v/>
      </c>
      <c r="G36" s="154" t="str">
        <f t="shared" si="9"/>
        <v/>
      </c>
      <c r="H36" s="158"/>
      <c r="I36" s="158"/>
      <c r="J36" s="156"/>
    </row>
    <row r="37" spans="1:13" ht="13.5" hidden="1" x14ac:dyDescent="0.25">
      <c r="A37" s="151">
        <f t="shared" si="10"/>
        <v>0</v>
      </c>
      <c r="B37" s="157" t="str">
        <f>IFERROR(VLOOKUP(H37,[1]SEMIELABORADOS!$A$2:$M$6000,2,0),"")</f>
        <v/>
      </c>
      <c r="C37" s="152">
        <f t="shared" si="11"/>
        <v>0</v>
      </c>
      <c r="D37" s="153" t="str">
        <f>IFERROR(VLOOKUP(H37,[1]SEMIELABORADOS!$A$2:$M$6000,6,0),"")</f>
        <v/>
      </c>
      <c r="E37" s="153" t="str">
        <f>IFERROR(VLOOKUP(H37,[1]SEMIELABORADOS!$A$2:$M$65536,10,0),"")</f>
        <v/>
      </c>
      <c r="F37" s="153" t="str">
        <f t="shared" si="12"/>
        <v/>
      </c>
      <c r="G37" s="154" t="str">
        <f t="shared" si="9"/>
        <v/>
      </c>
      <c r="H37" s="158"/>
      <c r="I37" s="158"/>
      <c r="J37" s="156"/>
    </row>
    <row r="38" spans="1:13" ht="13.5" hidden="1" x14ac:dyDescent="0.25">
      <c r="A38" s="151">
        <f t="shared" si="10"/>
        <v>0</v>
      </c>
      <c r="B38" s="157" t="str">
        <f>IFERROR(VLOOKUP(H38,[1]SEMIELABORADOS!$A$2:$M$6000,2,0),"")</f>
        <v/>
      </c>
      <c r="C38" s="152">
        <f>+A38</f>
        <v>0</v>
      </c>
      <c r="D38" s="153" t="str">
        <f>IFERROR(VLOOKUP(H38,[1]SEMIELABORADOS!$A$2:$M$6000,6,0),"")</f>
        <v/>
      </c>
      <c r="E38" s="153" t="str">
        <f>IFERROR(VLOOKUP(H38,[1]SEMIELABORADOS!$A$2:$M$65536,10,0),"")</f>
        <v/>
      </c>
      <c r="F38" s="153" t="str">
        <f>IFERROR(E38*C38,"")</f>
        <v/>
      </c>
      <c r="G38" s="154" t="str">
        <f t="shared" si="9"/>
        <v/>
      </c>
      <c r="H38" s="158"/>
      <c r="I38" s="158"/>
      <c r="J38" s="156"/>
    </row>
    <row r="39" spans="1:13" ht="13.5" hidden="1" x14ac:dyDescent="0.25">
      <c r="A39" s="151">
        <f t="shared" si="10"/>
        <v>0</v>
      </c>
      <c r="B39" s="157" t="str">
        <f>IFERROR(VLOOKUP(H39,[1]SEMIELABORADOS!$A$2:$M$6000,2,0),"")</f>
        <v/>
      </c>
      <c r="C39" s="152">
        <f>+A39</f>
        <v>0</v>
      </c>
      <c r="D39" s="153" t="str">
        <f>IFERROR(VLOOKUP(H39,[1]SEMIELABORADOS!$A$2:$M$6000,6,0),"")</f>
        <v/>
      </c>
      <c r="E39" s="153" t="str">
        <f>IFERROR(VLOOKUP(H39,[1]SEMIELABORADOS!$A$2:$M$65536,10,0),"")</f>
        <v/>
      </c>
      <c r="F39" s="153" t="str">
        <f>IFERROR(E39*C39,"")</f>
        <v/>
      </c>
      <c r="G39" s="154" t="str">
        <f t="shared" si="9"/>
        <v/>
      </c>
      <c r="H39" s="158"/>
      <c r="I39" s="158"/>
      <c r="J39" s="156"/>
    </row>
    <row r="40" spans="1:13" ht="13.5" hidden="1" x14ac:dyDescent="0.25">
      <c r="A40" s="151">
        <f t="shared" si="10"/>
        <v>0</v>
      </c>
      <c r="B40" s="157" t="str">
        <f>IFERROR(VLOOKUP(H40,[1]SEMIELABORADOS!$A$2:$M$6000,2,0),"")</f>
        <v/>
      </c>
      <c r="C40" s="152">
        <f t="shared" si="11"/>
        <v>0</v>
      </c>
      <c r="D40" s="153" t="str">
        <f>IFERROR(VLOOKUP(H40,[1]SEMIELABORADOS!$A$2:$M$6000,6,0),"")</f>
        <v/>
      </c>
      <c r="E40" s="153" t="str">
        <f>IFERROR(VLOOKUP(H40,[1]SEMIELABORADOS!$A$2:$M$65536,10,0),"")</f>
        <v/>
      </c>
      <c r="F40" s="153" t="str">
        <f t="shared" si="12"/>
        <v/>
      </c>
      <c r="G40" s="154" t="str">
        <f t="shared" si="9"/>
        <v/>
      </c>
      <c r="H40" s="158"/>
      <c r="I40" s="158"/>
      <c r="J40" s="156"/>
    </row>
    <row r="41" spans="1:13" ht="13.5" hidden="1" x14ac:dyDescent="0.25">
      <c r="A41" s="151">
        <f t="shared" si="10"/>
        <v>0</v>
      </c>
      <c r="B41" s="157" t="str">
        <f>IFERROR(VLOOKUP(H41,[1]SEMIELABORADOS!$A$2:$M$6000,2,0),"")</f>
        <v/>
      </c>
      <c r="C41" s="152">
        <f t="shared" si="11"/>
        <v>0</v>
      </c>
      <c r="D41" s="153" t="str">
        <f>IFERROR(VLOOKUP(H41,[1]SEMIELABORADOS!$A$2:$M$6000,6,0),"")</f>
        <v/>
      </c>
      <c r="E41" s="153" t="str">
        <f>IFERROR(VLOOKUP(H41,[1]SEMIELABORADOS!$A$2:$M$65536,10,0),"")</f>
        <v/>
      </c>
      <c r="F41" s="153" t="str">
        <f t="shared" si="12"/>
        <v/>
      </c>
      <c r="G41" s="154" t="str">
        <f t="shared" si="9"/>
        <v/>
      </c>
      <c r="H41" s="158"/>
      <c r="I41" s="158"/>
      <c r="J41" s="156"/>
    </row>
    <row r="42" spans="1:13" ht="14.25" thickBot="1" x14ac:dyDescent="0.3">
      <c r="A42" s="151"/>
      <c r="B42" s="157"/>
      <c r="C42" s="152"/>
      <c r="D42" s="153"/>
      <c r="E42" s="153"/>
      <c r="F42" s="153"/>
      <c r="G42" s="154"/>
      <c r="H42" s="158"/>
      <c r="I42" s="158"/>
      <c r="J42" s="156"/>
    </row>
    <row r="43" spans="1:13" ht="26.25" thickBot="1" x14ac:dyDescent="0.3">
      <c r="A43" s="146" t="s">
        <v>97</v>
      </c>
      <c r="B43" s="147" t="s">
        <v>106</v>
      </c>
      <c r="C43" s="147" t="s">
        <v>97</v>
      </c>
      <c r="D43" s="148" t="s">
        <v>99</v>
      </c>
      <c r="E43" s="148" t="s">
        <v>100</v>
      </c>
      <c r="F43" s="148" t="s">
        <v>101</v>
      </c>
      <c r="G43" s="148" t="s">
        <v>102</v>
      </c>
      <c r="H43" s="149" t="s">
        <v>103</v>
      </c>
      <c r="I43" s="150"/>
      <c r="J43" s="156"/>
    </row>
    <row r="44" spans="1:13" ht="13.5" x14ac:dyDescent="0.25">
      <c r="A44" s="151">
        <f>+A35</f>
        <v>4815</v>
      </c>
      <c r="B44" s="157" t="s">
        <v>70</v>
      </c>
      <c r="C44" s="152">
        <f>+A44</f>
        <v>4815</v>
      </c>
      <c r="D44" s="152" t="s">
        <v>142</v>
      </c>
      <c r="E44" s="153">
        <v>0.03</v>
      </c>
      <c r="F44" s="153">
        <f>IFERROR(E44*C44,"")</f>
        <v>144.44999999999999</v>
      </c>
      <c r="G44" s="154">
        <f>IFERROR(F44/$F$66,"")</f>
        <v>7.2835197993397103E-3</v>
      </c>
      <c r="H44" s="158" t="s">
        <v>69</v>
      </c>
      <c r="I44" s="150"/>
      <c r="J44" s="156"/>
    </row>
    <row r="45" spans="1:13" ht="13.5" hidden="1" x14ac:dyDescent="0.25">
      <c r="A45" s="151">
        <f t="shared" ref="A45:A50" si="13">+A36</f>
        <v>0</v>
      </c>
      <c r="B45" s="157" t="str">
        <f>IFERROR(VLOOKUP(H45,[1]SEMIELABORADOS!$A$2:$M$6000,2,0),"")</f>
        <v/>
      </c>
      <c r="C45" s="152">
        <f t="shared" ref="C45:C50" si="14">+A45</f>
        <v>0</v>
      </c>
      <c r="D45" s="153" t="str">
        <f>IFERROR(VLOOKUP(H45,[1]SEMIELABORADOS!$A$2:$M$6000,6,0),"")</f>
        <v/>
      </c>
      <c r="E45" s="153" t="str">
        <f>IFERROR(VLOOKUP(H45,[1]SEMIELABORADOS!$A$2:$M$65536,12,0),"")</f>
        <v/>
      </c>
      <c r="F45" s="153" t="str">
        <f t="shared" ref="F45:F50" si="15">IFERROR(E45*C45,"")</f>
        <v/>
      </c>
      <c r="G45" s="154" t="str">
        <f t="shared" ref="G45:G50" si="16">IFERROR(F45/$F$66,"")</f>
        <v/>
      </c>
      <c r="H45" s="158"/>
      <c r="I45" s="150"/>
      <c r="J45" s="156"/>
      <c r="M45" s="161"/>
    </row>
    <row r="46" spans="1:13" ht="13.5" hidden="1" x14ac:dyDescent="0.25">
      <c r="A46" s="151">
        <f t="shared" si="13"/>
        <v>0</v>
      </c>
      <c r="B46" s="157" t="str">
        <f>IFERROR(VLOOKUP(H46,[1]SEMIELABORADOS!$A$2:$M$6000,2,0),"")</f>
        <v/>
      </c>
      <c r="C46" s="152">
        <f t="shared" si="14"/>
        <v>0</v>
      </c>
      <c r="D46" s="153" t="str">
        <f>IFERROR(VLOOKUP(H46,[1]SEMIELABORADOS!$A$2:$M$6000,6,0),"")</f>
        <v/>
      </c>
      <c r="E46" s="153" t="str">
        <f>IFERROR(VLOOKUP(H46,[1]SEMIELABORADOS!$A$2:$M$65536,12,0),"")</f>
        <v/>
      </c>
      <c r="F46" s="153" t="str">
        <f t="shared" si="15"/>
        <v/>
      </c>
      <c r="G46" s="154" t="str">
        <f t="shared" si="16"/>
        <v/>
      </c>
      <c r="H46" s="158"/>
      <c r="I46" s="150"/>
      <c r="J46" s="156"/>
    </row>
    <row r="47" spans="1:13" ht="13.5" hidden="1" x14ac:dyDescent="0.25">
      <c r="A47" s="151">
        <f t="shared" si="13"/>
        <v>0</v>
      </c>
      <c r="B47" s="157" t="str">
        <f>IFERROR(VLOOKUP(H47,[1]SEMIELABORADOS!$A$2:$M$6000,2,0),"")</f>
        <v/>
      </c>
      <c r="C47" s="152">
        <f t="shared" si="14"/>
        <v>0</v>
      </c>
      <c r="D47" s="153" t="str">
        <f>IFERROR(VLOOKUP(H47,[1]SEMIELABORADOS!$A$2:$M$6000,6,0),"")</f>
        <v/>
      </c>
      <c r="E47" s="153" t="str">
        <f>IFERROR(VLOOKUP(H47,[1]SEMIELABORADOS!$A$2:$M$65536,12,0),"")</f>
        <v/>
      </c>
      <c r="F47" s="153" t="str">
        <f t="shared" si="15"/>
        <v/>
      </c>
      <c r="G47" s="154" t="str">
        <f t="shared" si="16"/>
        <v/>
      </c>
      <c r="H47" s="158"/>
      <c r="I47" s="150"/>
      <c r="J47" s="156"/>
    </row>
    <row r="48" spans="1:13" ht="13.5" hidden="1" x14ac:dyDescent="0.25">
      <c r="A48" s="151">
        <f t="shared" si="13"/>
        <v>0</v>
      </c>
      <c r="B48" s="157" t="str">
        <f>IFERROR(VLOOKUP(H48,[1]SEMIELABORADOS!$A$2:$M$6000,2,0),"")</f>
        <v/>
      </c>
      <c r="C48" s="152">
        <f t="shared" si="14"/>
        <v>0</v>
      </c>
      <c r="D48" s="153" t="str">
        <f>IFERROR(VLOOKUP(H48,[1]SEMIELABORADOS!$A$2:$M$6000,6,0),"")</f>
        <v/>
      </c>
      <c r="E48" s="153" t="str">
        <f>IFERROR(VLOOKUP(H48,[1]SEMIELABORADOS!$A$2:$M$65536,12,0),"")</f>
        <v/>
      </c>
      <c r="F48" s="153" t="str">
        <f t="shared" si="15"/>
        <v/>
      </c>
      <c r="G48" s="154" t="str">
        <f t="shared" si="16"/>
        <v/>
      </c>
      <c r="H48" s="158"/>
      <c r="I48" s="150"/>
      <c r="J48" s="156"/>
    </row>
    <row r="49" spans="1:17" ht="13.5" hidden="1" x14ac:dyDescent="0.25">
      <c r="A49" s="151">
        <f t="shared" si="13"/>
        <v>0</v>
      </c>
      <c r="B49" s="157" t="str">
        <f>IFERROR(VLOOKUP(H49,[1]SEMIELABORADOS!$A$2:$M$6000,2,0),"")</f>
        <v/>
      </c>
      <c r="C49" s="152">
        <f t="shared" si="14"/>
        <v>0</v>
      </c>
      <c r="D49" s="153" t="str">
        <f>IFERROR(VLOOKUP(H49,[1]SEMIELABORADOS!$A$2:$M$6000,6,0),"")</f>
        <v/>
      </c>
      <c r="E49" s="153" t="str">
        <f>IFERROR(VLOOKUP(H49,[1]SEMIELABORADOS!$A$2:$M$65536,12,0),"")</f>
        <v/>
      </c>
      <c r="F49" s="153" t="str">
        <f t="shared" si="15"/>
        <v/>
      </c>
      <c r="G49" s="154" t="str">
        <f t="shared" si="16"/>
        <v/>
      </c>
      <c r="H49" s="158"/>
      <c r="I49" s="150"/>
      <c r="J49" s="156"/>
    </row>
    <row r="50" spans="1:17" ht="13.5" hidden="1" x14ac:dyDescent="0.25">
      <c r="A50" s="151">
        <f t="shared" si="13"/>
        <v>0</v>
      </c>
      <c r="B50" s="157" t="str">
        <f>IFERROR(VLOOKUP(H50,[1]SEMIELABORADOS!$A$2:$M$6000,2,0),"")</f>
        <v/>
      </c>
      <c r="C50" s="152">
        <f t="shared" si="14"/>
        <v>0</v>
      </c>
      <c r="D50" s="153" t="str">
        <f>IFERROR(VLOOKUP(H50,[1]SEMIELABORADOS!$A$2:$M$6000,6,0),"")</f>
        <v/>
      </c>
      <c r="E50" s="153" t="str">
        <f>IFERROR(VLOOKUP(H50,[1]SEMIELABORADOS!$A$2:$M$65536,12,0),"")</f>
        <v/>
      </c>
      <c r="F50" s="153" t="str">
        <f t="shared" si="15"/>
        <v/>
      </c>
      <c r="G50" s="154" t="str">
        <f t="shared" si="16"/>
        <v/>
      </c>
      <c r="H50" s="157"/>
      <c r="I50" s="150"/>
      <c r="J50" s="156"/>
    </row>
    <row r="51" spans="1:17" ht="13.5" x14ac:dyDescent="0.25">
      <c r="A51" s="151">
        <v>1</v>
      </c>
      <c r="B51" s="157" t="s">
        <v>107</v>
      </c>
      <c r="C51" s="152">
        <f>+A51</f>
        <v>1</v>
      </c>
      <c r="D51" s="152" t="s">
        <v>108</v>
      </c>
      <c r="E51" s="153">
        <f>+F65</f>
        <v>385</v>
      </c>
      <c r="F51" s="153">
        <f>IFERROR(C51*E51,"")</f>
        <v>385</v>
      </c>
      <c r="G51" s="154">
        <f>IFERROR(F51/$F$66,"")</f>
        <v>1.9412634979202415E-2</v>
      </c>
      <c r="H51" s="162"/>
      <c r="I51" s="162"/>
      <c r="J51" s="156"/>
    </row>
    <row r="52" spans="1:17" ht="14.25" thickBot="1" x14ac:dyDescent="0.3">
      <c r="A52" s="151"/>
      <c r="B52" s="157"/>
      <c r="C52" s="152"/>
      <c r="D52" s="152"/>
      <c r="E52" s="153"/>
      <c r="F52" s="153"/>
      <c r="G52" s="154"/>
      <c r="H52" s="162"/>
      <c r="I52" s="162"/>
      <c r="J52" s="156"/>
    </row>
    <row r="53" spans="1:17" ht="13.5" thickBot="1" x14ac:dyDescent="0.3">
      <c r="A53" s="163"/>
      <c r="B53" s="426" t="s">
        <v>109</v>
      </c>
      <c r="C53" s="426"/>
      <c r="D53" s="426"/>
      <c r="E53" s="426"/>
      <c r="F53" s="165">
        <f>SUM(F8:F14,F17:F24)</f>
        <v>18971.71</v>
      </c>
      <c r="G53" s="154">
        <f>+F53/$F$66</f>
        <v>0.95659969132801093</v>
      </c>
      <c r="H53" s="166">
        <f>+F53/$D$60</f>
        <v>18971.71</v>
      </c>
      <c r="I53" s="166"/>
      <c r="J53" s="167"/>
      <c r="K53" s="168"/>
      <c r="L53" s="168"/>
      <c r="M53" s="168"/>
      <c r="N53" s="168"/>
      <c r="O53" s="168"/>
      <c r="P53" s="168"/>
      <c r="Q53" s="169"/>
    </row>
    <row r="54" spans="1:17" x14ac:dyDescent="0.2">
      <c r="A54" s="163"/>
      <c r="B54" s="426" t="s">
        <v>110</v>
      </c>
      <c r="C54" s="426"/>
      <c r="D54" s="426"/>
      <c r="E54" s="426"/>
      <c r="F54" s="165">
        <f>SUM(F27:F32,F35:F41)</f>
        <v>96.3</v>
      </c>
      <c r="G54" s="154">
        <f>+F54/$F$66</f>
        <v>4.8556798662264741E-3</v>
      </c>
      <c r="H54" s="166">
        <f>+F54/$D$60</f>
        <v>96.3</v>
      </c>
      <c r="I54" s="166"/>
      <c r="J54" s="170"/>
      <c r="K54" s="427" t="s">
        <v>111</v>
      </c>
      <c r="L54" s="428"/>
      <c r="M54" s="428"/>
      <c r="N54" s="428"/>
      <c r="O54" s="171">
        <f>+F55</f>
        <v>19068.009999999998</v>
      </c>
      <c r="P54" s="171"/>
      <c r="Q54" s="172"/>
    </row>
    <row r="55" spans="1:17" x14ac:dyDescent="0.2">
      <c r="A55" s="163"/>
      <c r="B55" s="426" t="s">
        <v>112</v>
      </c>
      <c r="C55" s="426"/>
      <c r="D55" s="426"/>
      <c r="E55" s="426"/>
      <c r="F55" s="165">
        <f>+F53+F54</f>
        <v>19068.009999999998</v>
      </c>
      <c r="G55" s="154">
        <f>+F55/$F$66</f>
        <v>0.96145537119423741</v>
      </c>
      <c r="H55" s="166">
        <f>+F55/$D$60</f>
        <v>19068.009999999998</v>
      </c>
      <c r="I55" s="166"/>
      <c r="J55" s="173"/>
      <c r="K55" s="174"/>
      <c r="M55" s="175" t="s">
        <v>113</v>
      </c>
      <c r="N55" s="176"/>
      <c r="O55" s="171">
        <f>+H56</f>
        <v>529.45000000000005</v>
      </c>
      <c r="P55" s="171"/>
      <c r="Q55" s="172"/>
    </row>
    <row r="56" spans="1:17" ht="13.5" thickBot="1" x14ac:dyDescent="0.25">
      <c r="A56" s="163"/>
      <c r="B56" s="164"/>
      <c r="C56" s="426" t="s">
        <v>114</v>
      </c>
      <c r="D56" s="426"/>
      <c r="E56" s="426"/>
      <c r="F56" s="165">
        <f>SUM(F44:F51)</f>
        <v>529.45000000000005</v>
      </c>
      <c r="G56" s="154">
        <f>+F56/$F$66</f>
        <v>2.6696154778542126E-2</v>
      </c>
      <c r="H56" s="166">
        <f>+F56/$D$60</f>
        <v>529.45000000000005</v>
      </c>
      <c r="I56" s="166"/>
      <c r="J56" s="173"/>
      <c r="K56" s="174"/>
      <c r="L56" s="174"/>
      <c r="M56" s="174" t="s">
        <v>115</v>
      </c>
      <c r="N56" s="177"/>
      <c r="O56" s="171">
        <f>O54*N56</f>
        <v>0</v>
      </c>
      <c r="P56" s="171"/>
      <c r="Q56" s="172"/>
    </row>
    <row r="57" spans="1:17" ht="13.5" thickBot="1" x14ac:dyDescent="0.25">
      <c r="A57" s="163"/>
      <c r="B57" s="178"/>
      <c r="C57" s="178"/>
      <c r="D57" s="178"/>
      <c r="E57" s="178"/>
      <c r="F57" s="179"/>
      <c r="G57" s="154"/>
      <c r="H57" s="180"/>
      <c r="I57" s="166"/>
      <c r="J57" s="173"/>
      <c r="K57" s="181"/>
      <c r="M57" s="182" t="s">
        <v>116</v>
      </c>
      <c r="N57" s="183"/>
      <c r="O57" s="184">
        <f>SUM(O54:O56)</f>
        <v>19597.46</v>
      </c>
      <c r="P57" s="185"/>
      <c r="Q57" s="172"/>
    </row>
    <row r="58" spans="1:17" x14ac:dyDescent="0.2">
      <c r="B58" s="429" t="s">
        <v>117</v>
      </c>
      <c r="C58" s="429"/>
      <c r="D58" s="186">
        <v>5000</v>
      </c>
      <c r="E58" s="187"/>
      <c r="G58" s="154"/>
      <c r="H58" s="180">
        <f>+H56/77</f>
        <v>6.8759740259740267</v>
      </c>
      <c r="I58" s="188"/>
      <c r="J58" s="173"/>
      <c r="K58" s="181"/>
      <c r="L58" s="174"/>
      <c r="M58" s="174" t="s">
        <v>118</v>
      </c>
      <c r="N58" s="189"/>
      <c r="O58" s="171">
        <f>+H59</f>
        <v>570.70584415584426</v>
      </c>
      <c r="P58" s="171"/>
      <c r="Q58" s="172"/>
    </row>
    <row r="59" spans="1:17" x14ac:dyDescent="0.2">
      <c r="B59" s="429" t="s">
        <v>119</v>
      </c>
      <c r="C59" s="429"/>
      <c r="D59" s="190">
        <v>5000</v>
      </c>
      <c r="E59" s="187"/>
      <c r="G59" s="154"/>
      <c r="H59" s="180">
        <f>+H58*83</f>
        <v>570.70584415584426</v>
      </c>
      <c r="I59" s="188"/>
      <c r="J59" s="173"/>
      <c r="K59" s="181"/>
      <c r="L59" s="174"/>
      <c r="M59" s="430" t="s">
        <v>116</v>
      </c>
      <c r="N59" s="430"/>
      <c r="O59" s="171">
        <f>SUM(O57:O58)</f>
        <v>20168.165844155843</v>
      </c>
      <c r="P59" s="171"/>
      <c r="Q59" s="172"/>
    </row>
    <row r="60" spans="1:17" ht="13.5" thickBot="1" x14ac:dyDescent="0.25">
      <c r="B60" s="421" t="s">
        <v>120</v>
      </c>
      <c r="C60" s="421"/>
      <c r="D60" s="186">
        <f>+D58/D59</f>
        <v>1</v>
      </c>
      <c r="E60" s="187"/>
      <c r="F60" s="191"/>
      <c r="G60" s="154"/>
      <c r="H60" s="180"/>
      <c r="I60" s="188"/>
      <c r="J60" s="173"/>
      <c r="K60" s="181"/>
      <c r="L60" s="430"/>
      <c r="M60" s="430"/>
      <c r="N60" s="189"/>
      <c r="O60" s="171">
        <f>+O59*N60</f>
        <v>0</v>
      </c>
      <c r="P60" s="171"/>
      <c r="Q60" s="172"/>
    </row>
    <row r="61" spans="1:17" ht="13.5" thickBot="1" x14ac:dyDescent="0.25">
      <c r="B61" s="421" t="s">
        <v>121</v>
      </c>
      <c r="C61" s="421"/>
      <c r="D61" s="192"/>
      <c r="E61" s="187"/>
      <c r="F61" s="191"/>
      <c r="G61" s="154"/>
      <c r="H61" s="180"/>
      <c r="I61" s="188"/>
      <c r="J61" s="173"/>
      <c r="K61" s="422" t="s">
        <v>122</v>
      </c>
      <c r="L61" s="423"/>
      <c r="M61" s="423"/>
      <c r="N61" s="424"/>
      <c r="O61" s="184">
        <f>SUM(O59:O60)</f>
        <v>20168.165844155843</v>
      </c>
      <c r="P61" s="193" t="s">
        <v>123</v>
      </c>
      <c r="Q61" s="172"/>
    </row>
    <row r="62" spans="1:17" ht="13.5" thickBot="1" x14ac:dyDescent="0.25">
      <c r="C62" s="163" t="s">
        <v>124</v>
      </c>
      <c r="D62" s="194"/>
      <c r="E62" s="137" t="s">
        <v>125</v>
      </c>
      <c r="F62" s="195" t="s">
        <v>126</v>
      </c>
      <c r="G62" s="154"/>
      <c r="H62" s="180"/>
      <c r="I62" s="188"/>
      <c r="J62" s="196"/>
      <c r="K62" s="197"/>
      <c r="L62" s="410" t="s">
        <v>127</v>
      </c>
      <c r="M62" s="410"/>
      <c r="N62" s="410"/>
      <c r="O62" s="198">
        <f>+O61/D60</f>
        <v>20168.165844155843</v>
      </c>
      <c r="P62" s="199">
        <f>+O62/D59</f>
        <v>4.0336331688311686</v>
      </c>
      <c r="Q62" s="200"/>
    </row>
    <row r="63" spans="1:17" ht="13.5" thickBot="1" x14ac:dyDescent="0.25">
      <c r="B63" s="411" t="s">
        <v>112</v>
      </c>
      <c r="C63" s="411"/>
      <c r="D63" s="411"/>
      <c r="E63" s="201">
        <f>+F63/F63</f>
        <v>1</v>
      </c>
      <c r="F63" s="202">
        <f>SUM(F55)</f>
        <v>19068.009999999998</v>
      </c>
      <c r="G63" s="154">
        <f>+F63/$F$66</f>
        <v>0.96145537119423741</v>
      </c>
      <c r="H63" s="180"/>
      <c r="I63" s="188"/>
      <c r="K63" s="412"/>
      <c r="L63" s="413"/>
      <c r="M63" s="413"/>
      <c r="N63" s="413"/>
      <c r="O63" s="203"/>
      <c r="P63" s="204"/>
    </row>
    <row r="64" spans="1:17" ht="13.5" thickBot="1" x14ac:dyDescent="0.3">
      <c r="B64" s="414" t="s">
        <v>128</v>
      </c>
      <c r="C64" s="414"/>
      <c r="D64" s="414"/>
      <c r="E64" s="205">
        <v>0.02</v>
      </c>
      <c r="F64" s="202">
        <f>+F53*E64</f>
        <v>379.43419999999998</v>
      </c>
      <c r="G64" s="154">
        <f>+F64/$F$66</f>
        <v>1.9131993826560219E-2</v>
      </c>
      <c r="H64" s="166"/>
      <c r="I64" s="188"/>
      <c r="J64" s="206"/>
      <c r="O64" s="207"/>
      <c r="P64" s="164"/>
    </row>
    <row r="65" spans="2:13" ht="13.5" thickBot="1" x14ac:dyDescent="0.3">
      <c r="B65" s="415" t="s">
        <v>129</v>
      </c>
      <c r="C65" s="416"/>
      <c r="D65" s="208">
        <v>5</v>
      </c>
      <c r="E65" s="209">
        <v>77</v>
      </c>
      <c r="F65" s="202">
        <f>+E65*D65</f>
        <v>385</v>
      </c>
      <c r="G65" s="154">
        <f>+F65/$F$66</f>
        <v>1.9412634979202415E-2</v>
      </c>
      <c r="H65" s="166"/>
      <c r="I65" s="166"/>
      <c r="J65" s="156"/>
    </row>
    <row r="66" spans="2:13" ht="13.5" thickBot="1" x14ac:dyDescent="0.3">
      <c r="B66" s="417" t="s">
        <v>130</v>
      </c>
      <c r="C66" s="418"/>
      <c r="D66" s="418"/>
      <c r="E66" s="419"/>
      <c r="F66" s="179">
        <f>SUM(F63:F65)</f>
        <v>19832.444199999998</v>
      </c>
      <c r="G66" s="154">
        <f>+F66/$F$66</f>
        <v>1</v>
      </c>
      <c r="H66" s="420"/>
      <c r="I66" s="166"/>
      <c r="J66" s="156"/>
      <c r="M66" s="139" t="s">
        <v>131</v>
      </c>
    </row>
    <row r="67" spans="2:13" x14ac:dyDescent="0.25">
      <c r="C67" s="161"/>
      <c r="D67" s="161"/>
      <c r="E67" s="211"/>
      <c r="F67" s="202"/>
      <c r="G67" s="154"/>
      <c r="H67" s="420"/>
      <c r="I67" s="210"/>
      <c r="J67" s="139"/>
      <c r="M67" s="139" t="s">
        <v>132</v>
      </c>
    </row>
    <row r="68" spans="2:13" ht="13.5" thickBot="1" x14ac:dyDescent="0.3">
      <c r="B68" s="405" t="s">
        <v>133</v>
      </c>
      <c r="C68" s="405"/>
      <c r="D68" s="405"/>
      <c r="E68" s="405"/>
      <c r="F68" s="405"/>
      <c r="G68" s="154"/>
      <c r="H68" s="213"/>
      <c r="I68" s="210"/>
      <c r="J68" s="139"/>
      <c r="M68" s="139" t="s">
        <v>134</v>
      </c>
    </row>
    <row r="69" spans="2:13" ht="13.5" thickBot="1" x14ac:dyDescent="0.3">
      <c r="B69" s="214" t="s">
        <v>135</v>
      </c>
      <c r="C69" s="215">
        <f>+F53</f>
        <v>18971.71</v>
      </c>
      <c r="D69" s="215">
        <f>+D58</f>
        <v>5000</v>
      </c>
      <c r="E69" s="216">
        <f>+C69/D69</f>
        <v>3.7943419999999999</v>
      </c>
      <c r="F69" s="154"/>
      <c r="G69" s="213"/>
      <c r="H69" s="156"/>
      <c r="I69" s="213"/>
      <c r="J69" s="139"/>
    </row>
    <row r="70" spans="2:13" x14ac:dyDescent="0.25">
      <c r="B70" s="217"/>
      <c r="C70" s="218"/>
      <c r="D70" s="219"/>
      <c r="E70" s="202"/>
      <c r="F70" s="154"/>
      <c r="G70" s="213"/>
      <c r="H70" s="156"/>
      <c r="I70" s="156"/>
      <c r="J70" s="139"/>
    </row>
    <row r="71" spans="2:13" x14ac:dyDescent="0.25">
      <c r="B71" s="214" t="s">
        <v>136</v>
      </c>
      <c r="C71" s="215">
        <f>SUM(F63:F64)</f>
        <v>19447.444199999998</v>
      </c>
      <c r="D71" s="215">
        <f>+D58</f>
        <v>5000</v>
      </c>
      <c r="E71" s="220">
        <f>+C71/D71</f>
        <v>3.8894888399999998</v>
      </c>
      <c r="F71" s="154"/>
      <c r="G71" s="213"/>
      <c r="H71" s="156"/>
      <c r="I71" s="156"/>
      <c r="J71" s="139"/>
    </row>
    <row r="72" spans="2:13" x14ac:dyDescent="0.25">
      <c r="B72" s="214"/>
      <c r="C72" s="215"/>
      <c r="D72" s="215"/>
      <c r="E72" s="220"/>
      <c r="F72" s="154"/>
      <c r="G72" s="213"/>
      <c r="H72" s="156"/>
      <c r="I72" s="156"/>
      <c r="J72" s="139"/>
    </row>
    <row r="73" spans="2:13" ht="13.5" thickBot="1" x14ac:dyDescent="0.3">
      <c r="B73" s="214" t="s">
        <v>137</v>
      </c>
      <c r="C73" s="215">
        <f>+F65</f>
        <v>385</v>
      </c>
      <c r="D73" s="215">
        <f>+D58</f>
        <v>5000</v>
      </c>
      <c r="E73" s="220">
        <f>+C73/D73</f>
        <v>7.6999999999999999E-2</v>
      </c>
      <c r="F73" s="154"/>
      <c r="G73" s="213"/>
      <c r="H73" s="156"/>
      <c r="I73" s="156"/>
      <c r="J73" s="139"/>
    </row>
    <row r="74" spans="2:13" ht="13.5" thickBot="1" x14ac:dyDescent="0.3">
      <c r="B74" s="214" t="s">
        <v>138</v>
      </c>
      <c r="C74" s="215">
        <f>+F56</f>
        <v>529.45000000000005</v>
      </c>
      <c r="D74" s="215">
        <f>+D73</f>
        <v>5000</v>
      </c>
      <c r="E74" s="216">
        <f>+C74/D74</f>
        <v>0.10589000000000001</v>
      </c>
      <c r="F74" s="154"/>
      <c r="G74" s="213"/>
      <c r="H74" s="156"/>
      <c r="I74" s="156"/>
      <c r="J74" s="139"/>
    </row>
    <row r="75" spans="2:13" ht="13.5" thickBot="1" x14ac:dyDescent="0.3">
      <c r="B75" s="178"/>
      <c r="C75" s="179"/>
      <c r="D75" s="179"/>
      <c r="E75" s="220"/>
      <c r="F75" s="154"/>
      <c r="G75" s="213"/>
      <c r="H75" s="156"/>
      <c r="I75" s="156"/>
      <c r="J75" s="139"/>
    </row>
    <row r="76" spans="2:13" ht="13.5" thickBot="1" x14ac:dyDescent="0.3">
      <c r="B76" s="214" t="s">
        <v>139</v>
      </c>
      <c r="C76" s="215">
        <f>+F54</f>
        <v>96.3</v>
      </c>
      <c r="D76" s="215">
        <f>+D74</f>
        <v>5000</v>
      </c>
      <c r="E76" s="216">
        <f>+C76/D76</f>
        <v>1.9259999999999999E-2</v>
      </c>
      <c r="F76" s="154"/>
      <c r="G76" s="213"/>
      <c r="H76" s="156"/>
      <c r="I76" s="156"/>
      <c r="J76" s="156"/>
    </row>
    <row r="77" spans="2:13" ht="13.5" thickBot="1" x14ac:dyDescent="0.3">
      <c r="B77" s="178"/>
      <c r="C77" s="179"/>
      <c r="D77" s="179"/>
      <c r="E77" s="220"/>
      <c r="F77" s="154"/>
      <c r="G77" s="213"/>
      <c r="H77" s="156"/>
      <c r="I77" s="156"/>
    </row>
    <row r="78" spans="2:13" ht="13.5" thickBot="1" x14ac:dyDescent="0.3">
      <c r="B78" s="406" t="s">
        <v>140</v>
      </c>
      <c r="C78" s="407"/>
      <c r="D78" s="408"/>
      <c r="E78" s="216">
        <f>+E69+E74</f>
        <v>3.9002319999999999</v>
      </c>
      <c r="G78" s="154"/>
      <c r="H78" s="213"/>
      <c r="I78" s="156"/>
      <c r="J78" s="220"/>
    </row>
    <row r="79" spans="2:13" x14ac:dyDescent="0.25">
      <c r="I79" s="213"/>
      <c r="J79" s="139"/>
    </row>
    <row r="80" spans="2:13" ht="13.5" thickBot="1" x14ac:dyDescent="0.3">
      <c r="B80" s="405" t="s">
        <v>141</v>
      </c>
      <c r="C80" s="405"/>
      <c r="D80" s="405"/>
      <c r="E80" s="405"/>
      <c r="F80" s="405"/>
      <c r="G80" s="154"/>
      <c r="H80" s="213"/>
      <c r="J80" s="139"/>
    </row>
    <row r="81" spans="1:10" ht="13.5" thickBot="1" x14ac:dyDescent="0.3">
      <c r="B81" s="214" t="s">
        <v>135</v>
      </c>
      <c r="C81" s="215">
        <f>+C69</f>
        <v>18971.71</v>
      </c>
      <c r="D81" s="215">
        <f>+D60</f>
        <v>1</v>
      </c>
      <c r="E81" s="216">
        <f>+C81/D81</f>
        <v>18971.71</v>
      </c>
      <c r="F81" s="154"/>
      <c r="G81" s="213"/>
      <c r="H81" s="156"/>
      <c r="I81" s="213"/>
      <c r="J81" s="139"/>
    </row>
    <row r="82" spans="1:10" x14ac:dyDescent="0.25">
      <c r="B82" s="217"/>
      <c r="C82" s="218"/>
      <c r="D82" s="219"/>
      <c r="E82" s="202"/>
      <c r="F82" s="154"/>
      <c r="G82" s="213"/>
      <c r="H82" s="156"/>
      <c r="I82" s="156"/>
      <c r="J82" s="139"/>
    </row>
    <row r="83" spans="1:10" x14ac:dyDescent="0.25">
      <c r="B83" s="214" t="s">
        <v>136</v>
      </c>
      <c r="C83" s="215">
        <f>+C71</f>
        <v>19447.444199999998</v>
      </c>
      <c r="D83" s="215">
        <f>+D60</f>
        <v>1</v>
      </c>
      <c r="E83" s="220">
        <f>+C83/D83</f>
        <v>19447.444199999998</v>
      </c>
      <c r="F83" s="154"/>
      <c r="G83" s="213"/>
      <c r="H83" s="156"/>
      <c r="I83" s="156"/>
      <c r="J83" s="139"/>
    </row>
    <row r="84" spans="1:10" x14ac:dyDescent="0.25">
      <c r="B84" s="214"/>
      <c r="C84" s="215"/>
      <c r="D84" s="215"/>
      <c r="E84" s="220"/>
      <c r="F84" s="154"/>
      <c r="G84" s="213"/>
      <c r="H84" s="156"/>
      <c r="I84" s="156"/>
      <c r="J84" s="139"/>
    </row>
    <row r="85" spans="1:10" ht="13.5" thickBot="1" x14ac:dyDescent="0.3">
      <c r="B85" s="214" t="s">
        <v>138</v>
      </c>
      <c r="C85" s="215">
        <f>+C73</f>
        <v>385</v>
      </c>
      <c r="D85" s="215">
        <f>+D60</f>
        <v>1</v>
      </c>
      <c r="E85" s="220">
        <f>+C85/D85</f>
        <v>385</v>
      </c>
      <c r="F85" s="222"/>
      <c r="G85" s="212"/>
      <c r="H85" s="138"/>
      <c r="I85" s="156"/>
    </row>
    <row r="86" spans="1:10" ht="13.5" thickBot="1" x14ac:dyDescent="0.3">
      <c r="B86" s="214" t="s">
        <v>138</v>
      </c>
      <c r="C86" s="215">
        <f>+C74</f>
        <v>529.45000000000005</v>
      </c>
      <c r="D86" s="215">
        <f>+D85</f>
        <v>1</v>
      </c>
      <c r="E86" s="216">
        <f>+C86/D86</f>
        <v>529.45000000000005</v>
      </c>
      <c r="F86" s="221"/>
      <c r="G86" s="212"/>
      <c r="H86" s="138"/>
      <c r="I86" s="138"/>
    </row>
    <row r="87" spans="1:10" x14ac:dyDescent="0.25">
      <c r="I87" s="138"/>
    </row>
    <row r="88" spans="1:10" x14ac:dyDescent="0.2">
      <c r="A88" s="409"/>
      <c r="B88" s="409"/>
      <c r="C88" s="223"/>
      <c r="D88" s="223"/>
      <c r="E88" s="224"/>
      <c r="G88" s="225"/>
    </row>
    <row r="89" spans="1:10" x14ac:dyDescent="0.2">
      <c r="A89" s="157"/>
      <c r="B89" s="226"/>
      <c r="C89" s="227"/>
      <c r="D89" s="227"/>
      <c r="E89" s="228"/>
      <c r="G89" s="225"/>
    </row>
    <row r="90" spans="1:10" x14ac:dyDescent="0.2">
      <c r="A90" s="157"/>
      <c r="B90" s="226"/>
      <c r="C90" s="229"/>
      <c r="D90" s="229"/>
      <c r="E90" s="157"/>
      <c r="G90" s="225"/>
    </row>
    <row r="91" spans="1:10" x14ac:dyDescent="0.2">
      <c r="A91" s="157"/>
      <c r="B91" s="226"/>
      <c r="C91" s="230"/>
      <c r="D91" s="230"/>
      <c r="E91" s="157"/>
      <c r="G91" s="22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1967C18-526F-4687-BE87-A0F378CC0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Cake Box Pistacho</vt:lpstr>
      <vt:lpstr>Costo Cake Box</vt:lpstr>
      <vt:lpstr>Costo Crema Pasionata </vt:lpstr>
      <vt:lpstr>Salsa Suave de Pistacho </vt:lpstr>
      <vt:lpstr>Salsa Suave de Pistacho 2</vt:lpstr>
      <vt:lpstr>Costo Salsa Suave </vt:lpstr>
      <vt:lpstr>'Salsa Suave de Pistacho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2026-02-13T18:23:02Z</cp:lastPrinted>
  <dcterms:created xsi:type="dcterms:W3CDTF">2025-01-06T20:55:42Z</dcterms:created>
  <dcterms:modified xsi:type="dcterms:W3CDTF">2026-03-13T22:54:44Z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
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FAS/"/>
    </mc:Choice>
  </mc:AlternateContent>
  <xr:revisionPtr revIDLastSave="46" documentId="8_{4EA5E815-A132-421C-822F-96907908E132}" xr6:coauthVersionLast="47" xr6:coauthVersionMax="47" xr10:uidLastSave="{E404F3BD-9E7A-4D17-A9DD-21279AA1D078}"/>
  <bookViews>
    <workbookView xWindow="-120" yWindow="-120" windowWidth="20730" windowHeight="11040" xr2:uid="{00000000-000D-0000-FFFF-FFFF00000000}"/>
  </bookViews>
  <sheets>
    <sheet name="Hoja1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43" i="6" l="1"/>
</calcChain>
</file>

<file path=xl/sharedStrings.xml><?xml version="1.0" encoding="utf-8"?>
<sst xmlns="http://schemas.openxmlformats.org/spreadsheetml/2006/main" count="107" uniqueCount="88">
  <si>
    <t>ESPECIFICACION DE RECETA</t>
  </si>
  <si>
    <t xml:space="preserve"># Código 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</si>
  <si>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</si>
  <si>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</si>
  <si>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</si>
  <si>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</si>
  <si>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</si>
  <si>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</si>
  <si>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Decoración</t>
  </si>
  <si>
    <t>Empaque</t>
  </si>
  <si>
    <t>7.- Guardar en cámaras de refrigeración a 4ºC.</t>
  </si>
  <si>
    <t xml:space="preserve">2.- Hornear por 10 minutos, sacar y enfriar.  </t>
  </si>
  <si>
    <t>MERMA</t>
  </si>
  <si>
    <t>PESO TOTAL OBTENIDO</t>
  </si>
  <si>
    <t>ETIQ.FECHA VENCIMIENTO BLANCO</t>
  </si>
  <si>
    <t>0702007</t>
  </si>
  <si>
    <t>g</t>
  </si>
  <si>
    <t>BASE GALLETA P/CHESSE CAKE</t>
  </si>
  <si>
    <t>SERVICIOS DE PASTELERIA S.A.</t>
  </si>
  <si>
    <t>CÓDIGO:</t>
  </si>
  <si>
    <t>REVISIÓN:</t>
  </si>
  <si>
    <t>FECHA DE APROBACIÓN:</t>
  </si>
  <si>
    <t>Elaborado</t>
  </si>
  <si>
    <t>Aprobado</t>
  </si>
  <si>
    <t>Descripción del ingrediente</t>
  </si>
  <si>
    <t>Medida alternativa</t>
  </si>
  <si>
    <t>Unidad</t>
  </si>
  <si>
    <t>Tiempo de Horneo:</t>
  </si>
  <si>
    <t>TIEMPO TOTAL DE PREPARACION</t>
  </si>
  <si>
    <t>Horno:</t>
  </si>
  <si>
    <t>CANTIDAD DE PORCIONES OBTENIDAS</t>
  </si>
  <si>
    <t>Temperatura de Horneo:</t>
  </si>
  <si>
    <t>PESO DE CADA PORCIÓN</t>
  </si>
  <si>
    <t>Otros</t>
  </si>
  <si>
    <t>ETIQUETA LOGO MUSMANNI (UND)</t>
  </si>
  <si>
    <t>ud</t>
  </si>
  <si>
    <t>min</t>
  </si>
  <si>
    <t>ETIQUETA BLANCA 2 5/8X1 15/16</t>
  </si>
  <si>
    <t>cajas</t>
  </si>
  <si>
    <t>50400003</t>
  </si>
  <si>
    <t>CAJA MUSMANNI #2 (UND)</t>
  </si>
  <si>
    <t>703020</t>
  </si>
  <si>
    <t>CINTA ADHESIVA TRANSPARENTE 2*100 MTS</t>
  </si>
  <si>
    <t>cm</t>
  </si>
  <si>
    <t>CONTROL DE CAMBIOS</t>
  </si>
  <si>
    <t>EM10061</t>
  </si>
  <si>
    <t>EM10248</t>
  </si>
  <si>
    <t>EM10128</t>
  </si>
  <si>
    <t>SE00041</t>
  </si>
  <si>
    <t>SE00042</t>
  </si>
  <si>
    <t>51400039</t>
  </si>
  <si>
    <t>EM10051</t>
  </si>
  <si>
    <t>EM10004</t>
  </si>
  <si>
    <t>EM10011</t>
  </si>
  <si>
    <t>SE00043</t>
  </si>
  <si>
    <t>MP10002</t>
  </si>
  <si>
    <t>Esteban Cartin, Gte Manufactura</t>
  </si>
  <si>
    <t>FAS</t>
  </si>
  <si>
    <t>1.- Colocar en cada molde de aluminio rectangular 600g de base de galleta cheese cake.</t>
  </si>
  <si>
    <t>3.- Colocar encima 1500g de mezcla de cheese cake en cada molde</t>
  </si>
  <si>
    <t>4.- Enfriar en cámaras a 4ºC. Por 2 horas minimo</t>
  </si>
  <si>
    <t>5.-  Colocar encima 650g de el topping de fresa con la gelatina en cada molde, llevar a cámaras de refrigeración a 4°C por 6 horas minimo</t>
  </si>
  <si>
    <t>6.- Porcionar cada molde en 15, empacar cada unidad en la burbuja #5 con etiqueta con el nombre, logo, fecha vencimiento. Empacar 6 unidades en la caja musmanni, sellar y etiquetar con nombre y vencimiento.</t>
  </si>
  <si>
    <t>AREA QUE PRODUCE:</t>
  </si>
  <si>
    <t>Postres</t>
  </si>
  <si>
    <t xml:space="preserve">AREA QUE EMPACA: </t>
  </si>
  <si>
    <t>702174</t>
  </si>
  <si>
    <t>EM10135</t>
  </si>
  <si>
    <t>Javier Tong, Chef</t>
  </si>
  <si>
    <t># Código Netsuite</t>
  </si>
  <si>
    <t>Ensamble</t>
  </si>
  <si>
    <t>ACEITE CAPULLO RBD</t>
  </si>
  <si>
    <t>CAPULLO</t>
  </si>
  <si>
    <t>RELLENO O ENSAMBLE</t>
  </si>
  <si>
    <t xml:space="preserve">RELLENO CHEESECAKE </t>
  </si>
  <si>
    <t>RELLENO TOPPING FRESAS</t>
  </si>
  <si>
    <t xml:space="preserve">BURBUJA PLASTICA 5 </t>
  </si>
  <si>
    <t>ETIPLAST</t>
  </si>
  <si>
    <t>CEMUSA</t>
  </si>
  <si>
    <t>SELLO DE SEGURIDAD</t>
  </si>
  <si>
    <t>PROCEDIMIENTO DE PREPARACION DE LA  RECETA</t>
  </si>
  <si>
    <t>ESP-RE-POF-015</t>
  </si>
  <si>
    <t>EM10002</t>
  </si>
  <si>
    <t>Etiq.Blanca 1 1/4 * 3/4</t>
  </si>
  <si>
    <t>142g merma x caja</t>
  </si>
  <si>
    <t xml:space="preserve">2, Se agrega etiqueta 11/4*3/4 y cantiad de unidades etiqueta fecha de vencimiento y Etiqueta blanca  2 5/8X1 15/16, y se actualizan pesos finales </t>
  </si>
  <si>
    <t>02</t>
  </si>
  <si>
    <t>Cheesecake Fresa Porcion Musmanni (85225) (PTI00128)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</si>
</sst>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b/>
      <sz val="14"/>
      <name val="Century Gothic"/>
      <family val="2"/>
    </font>
    <font>
      <b/>
      <sz val="14"/>
      <name val="Arial"/>
      <family val="2"/>
    </font>
    <font>
      <sz val="10"/>
      <name val="Arial"/>
      <family val="2"/>
    </font>
    <font>
      <sz val="14"/>
      <name val="Century Gothic"/>
      <family val="2"/>
    </font>
    <font>
      <b/>
      <sz val="14"/>
      <color rgb="FFFF0000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  <font>
      <b/>
      <sz val="18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</fills>
  <borders count="44">
    <border>
      <left/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7">
    <xf numFmtId="0" fontId="0" fillId="0" borderId="0"/>
    <xf numFmtId="0" fontId="3" fillId="0" borderId="0"/>
    <xf numFmtId="9" fontId="2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0" fontId="2" fillId="0" borderId="0"/>
    <xf numFmtId="0" fontId="1" fillId="0" borderId="0"/>
  </cellStyleXfs>
  <cellXfs count="163">
    <xf numFmtId="0" fontId="0" fillId="0" borderId="0" xfId="0"/>
    <xf numFmtId="0" fontId="4" fillId="2" borderId="22" xfId="1" applyFont="1" applyFill="1" applyBorder="1" applyAlignment="1">
      <alignment horizontal="right"/>
    </xf>
    <xf numFmtId="0" fontId="7" fillId="2" borderId="23" xfId="1" applyFont="1" applyFill="1" applyBorder="1" applyAlignment="1">
      <alignment horizontal="center"/>
    </xf>
    <xf numFmtId="0" fontId="4" fillId="2" borderId="3" xfId="1" applyFont="1" applyFill="1" applyBorder="1" applyAlignment="1">
      <alignment horizontal="right"/>
    </xf>
    <xf numFmtId="49" fontId="7" fillId="2" borderId="6" xfId="1" applyNumberFormat="1" applyFont="1" applyFill="1" applyBorder="1" applyAlignment="1">
      <alignment horizontal="center"/>
    </xf>
    <xf numFmtId="0" fontId="7" fillId="2" borderId="28" xfId="1" applyFont="1" applyFill="1" applyBorder="1" applyAlignment="1">
      <alignment horizontal="right"/>
    </xf>
    <xf numFmtId="0" fontId="7" fillId="2" borderId="3" xfId="1" applyFont="1" applyFill="1" applyBorder="1" applyAlignment="1">
      <alignment horizontal="right"/>
    </xf>
    <xf numFmtId="14" fontId="8" fillId="2" borderId="0" xfId="3" applyNumberFormat="1" applyFont="1" applyFill="1" applyAlignment="1">
      <alignment horizontal="center" vertical="center" wrapText="1"/>
    </xf>
    <xf numFmtId="0" fontId="4" fillId="5" borderId="23" xfId="5" applyFont="1" applyFill="1" applyBorder="1" applyAlignment="1">
      <alignment horizontal="center" vertical="center" wrapText="1"/>
    </xf>
    <xf numFmtId="1" fontId="4" fillId="5" borderId="11" xfId="5" applyNumberFormat="1" applyFont="1" applyFill="1" applyBorder="1" applyAlignment="1">
      <alignment horizontal="center"/>
    </xf>
    <xf numFmtId="1" fontId="4" fillId="5" borderId="11" xfId="5" applyNumberFormat="1" applyFont="1" applyFill="1" applyBorder="1" applyAlignment="1">
      <alignment horizontal="center" wrapText="1"/>
    </xf>
    <xf numFmtId="0" fontId="4" fillId="5" borderId="42" xfId="5" applyFont="1" applyFill="1" applyBorder="1" applyAlignment="1">
      <alignment horizontal="center"/>
    </xf>
    <xf numFmtId="0" fontId="7" fillId="2" borderId="21" xfId="1" applyFont="1" applyFill="1" applyBorder="1" applyAlignment="1">
      <alignment horizontal="left"/>
    </xf>
    <xf numFmtId="0" fontId="7" fillId="2" borderId="13" xfId="1" applyFont="1" applyFill="1" applyBorder="1" applyAlignment="1">
      <alignment horizontal="left"/>
    </xf>
    <xf numFmtId="0" fontId="7" fillId="2" borderId="17" xfId="1" applyFont="1" applyFill="1" applyBorder="1" applyAlignment="1">
      <alignment horizontal="left"/>
    </xf>
    <xf numFmtId="0" fontId="5" fillId="2" borderId="0" xfId="3" applyFont="1" applyFill="1" applyAlignment="1">
      <alignment horizontal="right"/>
    </xf>
    <xf numFmtId="0" fontId="8" fillId="2" borderId="39" xfId="3" applyFont="1" applyFill="1" applyBorder="1" applyAlignment="1">
      <alignment horizontal="center"/>
    </xf>
    <xf numFmtId="0" fontId="5" fillId="2" borderId="0" xfId="3" applyFont="1" applyFill="1"/>
    <xf numFmtId="0" fontId="4" fillId="5" borderId="27" xfId="5" applyFont="1" applyFill="1" applyBorder="1" applyAlignment="1">
      <alignment horizontal="center" vertical="center"/>
    </xf>
    <xf numFmtId="0" fontId="4" fillId="5" borderId="10" xfId="5" applyFont="1" applyFill="1" applyBorder="1" applyAlignment="1">
      <alignment horizontal="center" vertical="center"/>
    </xf>
    <xf numFmtId="0" fontId="4" fillId="5" borderId="27" xfId="5" applyFont="1" applyFill="1" applyBorder="1" applyAlignment="1">
      <alignment horizontal="center" vertical="center" wrapText="1"/>
    </xf>
    <xf numFmtId="0" fontId="4" fillId="5" borderId="10" xfId="5" applyFont="1" applyFill="1" applyBorder="1" applyAlignment="1">
      <alignment horizontal="center" vertical="center" wrapText="1"/>
    </xf>
    <xf numFmtId="0" fontId="4" fillId="5" borderId="22" xfId="5" applyFont="1" applyFill="1" applyBorder="1" applyAlignment="1">
      <alignment horizontal="center" vertical="center"/>
    </xf>
    <xf numFmtId="0" fontId="4" fillId="5" borderId="11" xfId="5" applyFont="1" applyFill="1" applyBorder="1" applyAlignment="1">
      <alignment horizontal="center" vertical="center"/>
    </xf>
    <xf numFmtId="14" fontId="7" fillId="2" borderId="19" xfId="1" applyNumberFormat="1" applyFont="1" applyFill="1" applyBorder="1" applyAlignment="1">
      <alignment horizontal="center" vertical="center" wrapText="1"/>
    </xf>
    <xf numFmtId="14" fontId="7" fillId="2" borderId="26" xfId="1" applyNumberFormat="1" applyFont="1" applyFill="1" applyBorder="1" applyAlignment="1">
      <alignment horizontal="center" vertical="center" wrapText="1"/>
    </xf>
    <xf numFmtId="14" fontId="7" fillId="2" borderId="20" xfId="1" applyNumberFormat="1" applyFont="1" applyFill="1" applyBorder="1" applyAlignment="1">
      <alignment horizontal="center" vertical="center" wrapText="1"/>
    </xf>
    <xf numFmtId="0" fontId="7" fillId="2" borderId="24" xfId="1" applyFont="1" applyFill="1" applyBorder="1" applyAlignment="1">
      <alignment horizontal="left"/>
    </xf>
    <xf numFmtId="0" fontId="7" fillId="2" borderId="16" xfId="1" applyFont="1" applyFill="1" applyBorder="1" applyAlignment="1">
      <alignment horizontal="left"/>
    </xf>
    <xf numFmtId="0" fontId="7" fillId="2" borderId="1" xfId="1" applyFont="1" applyFill="1" applyBorder="1" applyAlignment="1">
      <alignment horizontal="left"/>
    </xf>
    <xf numFmtId="0" fontId="7" fillId="2" borderId="36" xfId="1" applyFont="1" applyFill="1" applyBorder="1" applyAlignment="1">
      <alignment horizontal="center"/>
    </xf>
    <xf numFmtId="0" fontId="7" fillId="2" borderId="40" xfId="1" applyFont="1" applyFill="1" applyBorder="1" applyAlignment="1">
      <alignment horizontal="center"/>
    </xf>
    <xf numFmtId="0" fontId="7" fillId="2" borderId="5" xfId="1" applyFont="1" applyFill="1" applyBorder="1" applyAlignment="1">
      <alignment horizontal="center"/>
    </xf>
    <xf numFmtId="0" fontId="7" fillId="2" borderId="0" xfId="1" applyFont="1" applyFill="1" applyAlignment="1">
      <alignment horizontal="center"/>
    </xf>
    <xf numFmtId="0" fontId="7" fillId="2" borderId="32" xfId="1" applyFont="1" applyFill="1" applyBorder="1" applyAlignment="1">
      <alignment horizontal="center"/>
    </xf>
    <xf numFmtId="0" fontId="7" fillId="2" borderId="35" xfId="1" applyFont="1" applyFill="1" applyBorder="1" applyAlignment="1">
      <alignment horizontal="center"/>
    </xf>
    <xf numFmtId="0" fontId="4" fillId="2" borderId="22" xfId="1" applyFont="1" applyFill="1" applyBorder="1" applyAlignment="1">
      <alignment horizontal="center"/>
    </xf>
    <xf numFmtId="0" fontId="4" fillId="2" borderId="15" xfId="1" applyFont="1" applyFill="1" applyBorder="1" applyAlignment="1">
      <alignment horizontal="center"/>
    </xf>
    <xf numFmtId="0" fontId="4" fillId="2" borderId="41" xfId="1" applyFont="1" applyFill="1" applyBorder="1" applyAlignment="1">
      <alignment horizontal="center"/>
    </xf>
    <xf numFmtId="0" fontId="4" fillId="2" borderId="34" xfId="1" applyFont="1" applyFill="1" applyBorder="1" applyAlignment="1">
      <alignment horizontal="center"/>
    </xf>
    <xf numFmtId="0" fontId="4" fillId="2" borderId="18" xfId="1" applyFont="1" applyFill="1" applyBorder="1" applyAlignment="1">
      <alignment horizontal="right" vertical="top" wrapText="1"/>
    </xf>
    <xf numFmtId="0" fontId="4" fillId="2" borderId="25" xfId="1" applyFont="1" applyFill="1" applyBorder="1" applyAlignment="1">
      <alignment horizontal="right" vertical="top" wrapText="1"/>
    </xf>
    <xf numFmtId="0" fontId="4" fillId="2" borderId="8" xfId="1" applyFont="1" applyFill="1" applyBorder="1" applyAlignment="1">
      <alignment horizontal="right" vertical="top" wrapText="1"/>
    </xf>
    <xf numFmtId="0" fontId="9" fillId="0" borderId="7" xfId="5" applyFont="1" applyBorder="1" applyAlignment="1">
      <alignment horizontal="center" vertical="center"/>
    </xf>
    <xf numFmtId="0" fontId="9" fillId="0" borderId="17" xfId="5" applyFont="1" applyBorder="1" applyAlignment="1">
      <alignment horizontal="center" vertical="center"/>
    </xf>
    <xf numFmtId="0" fontId="10" fillId="0" borderId="3" xfId="5" applyFont="1" applyBorder="1" applyAlignment="1">
      <alignment vertical="center"/>
    </xf>
    <xf numFmtId="0" fontId="9" fillId="0" borderId="3" xfId="5" applyFont="1" applyBorder="1" applyAlignment="1">
      <alignment horizontal="center" vertical="center"/>
    </xf>
    <xf numFmtId="1" fontId="9" fillId="0" borderId="3" xfId="5" applyNumberFormat="1" applyFont="1" applyBorder="1" applyAlignment="1">
      <alignment horizontal="center"/>
    </xf>
    <xf numFmtId="1" fontId="9" fillId="0" borderId="3" xfId="5" applyNumberFormat="1" applyFont="1" applyBorder="1" applyAlignment="1">
      <alignment horizontal="center" wrapText="1"/>
    </xf>
    <xf numFmtId="0" fontId="11" fillId="0" borderId="6" xfId="5" applyFont="1" applyBorder="1" applyAlignment="1">
      <alignment horizontal="center"/>
    </xf>
    <xf numFmtId="49" fontId="11" fillId="0" borderId="3" xfId="5" applyNumberFormat="1" applyFont="1" applyBorder="1" applyAlignment="1">
      <alignment horizontal="center"/>
    </xf>
    <xf numFmtId="0" fontId="11" fillId="0" borderId="3" xfId="5" applyFont="1" applyBorder="1" applyAlignment="1">
      <alignment horizontal="left"/>
    </xf>
    <xf numFmtId="0" fontId="11" fillId="0" borderId="3" xfId="5" applyFont="1" applyBorder="1" applyAlignment="1">
      <alignment horizontal="center"/>
    </xf>
    <xf numFmtId="1" fontId="11" fillId="0" borderId="3" xfId="5" applyNumberFormat="1" applyFont="1" applyBorder="1" applyAlignment="1">
      <alignment horizontal="center" wrapText="1"/>
    </xf>
    <xf numFmtId="0" fontId="11" fillId="0" borderId="28" xfId="0" applyFont="1" applyBorder="1" applyAlignment="1">
      <alignment horizontal="center" wrapText="1"/>
    </xf>
    <xf numFmtId="12" fontId="11" fillId="0" borderId="28" xfId="0" applyNumberFormat="1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3" borderId="3" xfId="0" applyFont="1" applyFill="1" applyBorder="1"/>
    <xf numFmtId="1" fontId="11" fillId="0" borderId="3" xfId="5" applyNumberFormat="1" applyFont="1" applyBorder="1" applyAlignment="1">
      <alignment horizontal="center"/>
    </xf>
    <xf numFmtId="0" fontId="11" fillId="3" borderId="3" xfId="5" applyFont="1" applyFill="1" applyBorder="1" applyAlignment="1">
      <alignment horizontal="left"/>
    </xf>
    <xf numFmtId="1" fontId="11" fillId="0" borderId="3" xfId="0" applyNumberFormat="1" applyFont="1" applyBorder="1"/>
    <xf numFmtId="0" fontId="11" fillId="0" borderId="3" xfId="0" applyFont="1" applyBorder="1"/>
    <xf numFmtId="0" fontId="11" fillId="3" borderId="3" xfId="5" applyFont="1" applyFill="1" applyBorder="1" applyAlignment="1">
      <alignment horizontal="center"/>
    </xf>
    <xf numFmtId="49" fontId="11" fillId="0" borderId="7" xfId="5" applyNumberFormat="1" applyFont="1" applyBorder="1" applyAlignment="1">
      <alignment horizontal="center"/>
    </xf>
    <xf numFmtId="49" fontId="11" fillId="0" borderId="17" xfId="5" applyNumberFormat="1" applyFont="1" applyBorder="1" applyAlignment="1">
      <alignment horizontal="center"/>
    </xf>
    <xf numFmtId="0" fontId="9" fillId="3" borderId="3" xfId="5" applyFont="1" applyFill="1" applyBorder="1" applyAlignment="1">
      <alignment horizontal="left"/>
    </xf>
    <xf numFmtId="165" fontId="11" fillId="0" borderId="3" xfId="5" applyNumberFormat="1" applyFont="1" applyBorder="1" applyAlignment="1">
      <alignment horizontal="center"/>
    </xf>
    <xf numFmtId="0" fontId="12" fillId="3" borderId="7" xfId="0" applyFont="1" applyFill="1" applyBorder="1" applyAlignment="1">
      <alignment horizontal="center"/>
    </xf>
    <xf numFmtId="0" fontId="12" fillId="3" borderId="2" xfId="0" applyFont="1" applyFill="1" applyBorder="1" applyAlignment="1">
      <alignment horizontal="center"/>
    </xf>
    <xf numFmtId="0" fontId="12" fillId="3" borderId="28" xfId="0" applyFont="1" applyFill="1" applyBorder="1"/>
    <xf numFmtId="0" fontId="11" fillId="3" borderId="17" xfId="0" applyFont="1" applyFill="1" applyBorder="1" applyAlignment="1">
      <alignment horizontal="center"/>
    </xf>
    <xf numFmtId="1" fontId="11" fillId="3" borderId="28" xfId="0" applyNumberFormat="1" applyFont="1" applyFill="1" applyBorder="1" applyAlignment="1">
      <alignment horizontal="center"/>
    </xf>
    <xf numFmtId="1" fontId="11" fillId="3" borderId="28" xfId="0" applyNumberFormat="1" applyFont="1" applyFill="1" applyBorder="1" applyAlignment="1">
      <alignment horizontal="center" wrapText="1"/>
    </xf>
    <xf numFmtId="49" fontId="11" fillId="3" borderId="28" xfId="0" applyNumberFormat="1" applyFont="1" applyFill="1" applyBorder="1" applyAlignment="1">
      <alignment horizontal="center"/>
    </xf>
    <xf numFmtId="1" fontId="11" fillId="3" borderId="3" xfId="5" applyNumberFormat="1" applyFont="1" applyFill="1" applyBorder="1" applyAlignment="1">
      <alignment horizontal="center"/>
    </xf>
    <xf numFmtId="1" fontId="11" fillId="3" borderId="3" xfId="5" applyNumberFormat="1" applyFont="1" applyFill="1" applyBorder="1" applyAlignment="1">
      <alignment horizontal="center" wrapText="1"/>
    </xf>
    <xf numFmtId="1" fontId="11" fillId="3" borderId="3" xfId="0" applyNumberFormat="1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0" xfId="0" applyFont="1"/>
    <xf numFmtId="16" fontId="11" fillId="3" borderId="3" xfId="0" applyNumberFormat="1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1" fontId="11" fillId="0" borderId="28" xfId="0" applyNumberFormat="1" applyFont="1" applyBorder="1" applyAlignment="1">
      <alignment horizontal="center" wrapText="1"/>
    </xf>
    <xf numFmtId="16" fontId="11" fillId="0" borderId="3" xfId="0" applyNumberFormat="1" applyFont="1" applyBorder="1" applyAlignment="1">
      <alignment horizontal="center"/>
    </xf>
    <xf numFmtId="1" fontId="11" fillId="0" borderId="28" xfId="0" applyNumberFormat="1" applyFont="1" applyBorder="1" applyAlignment="1">
      <alignment horizontal="center"/>
    </xf>
    <xf numFmtId="1" fontId="11" fillId="0" borderId="3" xfId="0" applyNumberFormat="1" applyFont="1" applyBorder="1" applyAlignment="1">
      <alignment horizontal="center"/>
    </xf>
    <xf numFmtId="1" fontId="11" fillId="0" borderId="3" xfId="0" applyNumberFormat="1" applyFont="1" applyBorder="1" applyAlignment="1">
      <alignment horizontal="center" wrapText="1"/>
    </xf>
    <xf numFmtId="49" fontId="9" fillId="0" borderId="12" xfId="5" applyNumberFormat="1" applyFont="1" applyBorder="1" applyAlignment="1">
      <alignment horizontal="center"/>
    </xf>
    <xf numFmtId="49" fontId="9" fillId="0" borderId="13" xfId="5" applyNumberFormat="1" applyFont="1" applyBorder="1" applyAlignment="1">
      <alignment horizontal="center"/>
    </xf>
    <xf numFmtId="0" fontId="10" fillId="3" borderId="3" xfId="5" applyFont="1" applyFill="1" applyBorder="1" applyAlignment="1">
      <alignment vertical="center"/>
    </xf>
    <xf numFmtId="0" fontId="9" fillId="0" borderId="17" xfId="5" applyFont="1" applyBorder="1" applyAlignment="1">
      <alignment horizontal="center"/>
    </xf>
    <xf numFmtId="165" fontId="9" fillId="0" borderId="3" xfId="5" applyNumberFormat="1" applyFont="1" applyBorder="1" applyAlignment="1">
      <alignment horizontal="center"/>
    </xf>
    <xf numFmtId="49" fontId="11" fillId="0" borderId="3" xfId="0" applyNumberFormat="1" applyFont="1" applyBorder="1" applyAlignment="1">
      <alignment horizontal="center"/>
    </xf>
    <xf numFmtId="49" fontId="11" fillId="0" borderId="3" xfId="0" applyNumberFormat="1" applyFont="1" applyBorder="1"/>
    <xf numFmtId="166" fontId="9" fillId="3" borderId="3" xfId="4" applyNumberFormat="1" applyFont="1" applyFill="1" applyBorder="1" applyAlignment="1">
      <alignment horizontal="center"/>
    </xf>
    <xf numFmtId="0" fontId="12" fillId="0" borderId="3" xfId="6" applyFont="1" applyBorder="1" applyAlignment="1">
      <alignment horizontal="center"/>
    </xf>
    <xf numFmtId="0" fontId="12" fillId="0" borderId="3" xfId="6" applyFont="1" applyBorder="1" applyAlignment="1">
      <alignment horizontal="left"/>
    </xf>
    <xf numFmtId="0" fontId="11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left" vertical="center"/>
    </xf>
    <xf numFmtId="12" fontId="11" fillId="0" borderId="3" xfId="5" applyNumberFormat="1" applyFont="1" applyBorder="1" applyAlignment="1">
      <alignment horizontal="center"/>
    </xf>
    <xf numFmtId="0" fontId="11" fillId="0" borderId="3" xfId="0" quotePrefix="1" applyFont="1" applyBorder="1" applyAlignment="1">
      <alignment horizontal="center"/>
    </xf>
    <xf numFmtId="49" fontId="11" fillId="0" borderId="3" xfId="5" applyNumberFormat="1" applyFont="1" applyBorder="1"/>
    <xf numFmtId="49" fontId="13" fillId="2" borderId="5" xfId="5" applyNumberFormat="1" applyFont="1" applyFill="1" applyBorder="1" applyAlignment="1">
      <alignment horizontal="center" vertical="center"/>
    </xf>
    <xf numFmtId="49" fontId="13" fillId="2" borderId="0" xfId="5" applyNumberFormat="1" applyFont="1" applyFill="1" applyAlignment="1">
      <alignment horizontal="center" vertical="center"/>
    </xf>
    <xf numFmtId="0" fontId="11" fillId="2" borderId="0" xfId="5" applyFont="1" applyFill="1"/>
    <xf numFmtId="1" fontId="11" fillId="2" borderId="0" xfId="5" applyNumberFormat="1" applyFont="1" applyFill="1" applyAlignment="1">
      <alignment horizontal="center"/>
    </xf>
    <xf numFmtId="164" fontId="11" fillId="2" borderId="0" xfId="5" applyNumberFormat="1" applyFont="1" applyFill="1" applyAlignment="1">
      <alignment horizontal="center" wrapText="1"/>
    </xf>
    <xf numFmtId="0" fontId="11" fillId="2" borderId="4" xfId="5" applyFont="1" applyFill="1" applyBorder="1" applyAlignment="1">
      <alignment horizontal="center"/>
    </xf>
    <xf numFmtId="0" fontId="11" fillId="5" borderId="29" xfId="5" applyFont="1" applyFill="1" applyBorder="1" applyAlignment="1">
      <alignment horizontal="center"/>
    </xf>
    <xf numFmtId="0" fontId="11" fillId="5" borderId="30" xfId="5" applyFont="1" applyFill="1" applyBorder="1" applyAlignment="1">
      <alignment horizontal="center"/>
    </xf>
    <xf numFmtId="0" fontId="11" fillId="5" borderId="30" xfId="5" applyFont="1" applyFill="1" applyBorder="1"/>
    <xf numFmtId="0" fontId="9" fillId="5" borderId="30" xfId="5" applyFont="1" applyFill="1" applyBorder="1" applyAlignment="1">
      <alignment horizontal="center"/>
    </xf>
    <xf numFmtId="1" fontId="9" fillId="5" borderId="30" xfId="5" applyNumberFormat="1" applyFont="1" applyFill="1" applyBorder="1" applyAlignment="1">
      <alignment horizontal="center"/>
    </xf>
    <xf numFmtId="164" fontId="11" fillId="5" borderId="30" xfId="5" applyNumberFormat="1" applyFont="1" applyFill="1" applyBorder="1" applyAlignment="1">
      <alignment horizontal="center" wrapText="1"/>
    </xf>
    <xf numFmtId="0" fontId="11" fillId="5" borderId="31" xfId="5" applyFont="1" applyFill="1" applyBorder="1" applyAlignment="1">
      <alignment horizontal="center"/>
    </xf>
    <xf numFmtId="0" fontId="9" fillId="0" borderId="32" xfId="5" applyFont="1" applyBorder="1" applyAlignment="1">
      <alignment horizontal="right"/>
    </xf>
    <xf numFmtId="0" fontId="9" fillId="0" borderId="35" xfId="5" applyFont="1" applyBorder="1" applyAlignment="1">
      <alignment horizontal="right"/>
    </xf>
    <xf numFmtId="0" fontId="9" fillId="0" borderId="2" xfId="5" applyFont="1" applyBorder="1" applyAlignment="1">
      <alignment horizontal="right"/>
    </xf>
    <xf numFmtId="0" fontId="11" fillId="0" borderId="33" xfId="0" applyFont="1" applyBorder="1" applyAlignment="1">
      <alignment horizontal="center"/>
    </xf>
    <xf numFmtId="164" fontId="11" fillId="0" borderId="28" xfId="5" applyNumberFormat="1" applyFont="1" applyBorder="1" applyAlignment="1">
      <alignment horizontal="right"/>
    </xf>
    <xf numFmtId="0" fontId="11" fillId="2" borderId="33" xfId="5" applyFont="1" applyFill="1" applyBorder="1" applyAlignment="1">
      <alignment horizontal="center"/>
    </xf>
    <xf numFmtId="0" fontId="11" fillId="2" borderId="9" xfId="5" applyFont="1" applyFill="1" applyBorder="1" applyAlignment="1">
      <alignment horizontal="center"/>
    </xf>
    <xf numFmtId="0" fontId="9" fillId="0" borderId="12" xfId="5" applyFont="1" applyBorder="1" applyAlignment="1">
      <alignment horizontal="right"/>
    </xf>
    <xf numFmtId="0" fontId="9" fillId="0" borderId="13" xfId="5" applyFont="1" applyBorder="1" applyAlignment="1">
      <alignment horizontal="right"/>
    </xf>
    <xf numFmtId="0" fontId="9" fillId="0" borderId="17" xfId="5" applyFont="1" applyBorder="1" applyAlignment="1">
      <alignment horizontal="right"/>
    </xf>
    <xf numFmtId="0" fontId="11" fillId="0" borderId="3" xfId="5" applyFont="1" applyBorder="1" applyAlignment="1">
      <alignment horizontal="right"/>
    </xf>
    <xf numFmtId="164" fontId="11" fillId="0" borderId="21" xfId="5" applyNumberFormat="1" applyFont="1" applyBorder="1" applyAlignment="1">
      <alignment horizontal="center"/>
    </xf>
    <xf numFmtId="164" fontId="11" fillId="0" borderId="14" xfId="5" applyNumberFormat="1" applyFont="1" applyBorder="1" applyAlignment="1">
      <alignment horizontal="center"/>
    </xf>
    <xf numFmtId="164" fontId="11" fillId="0" borderId="21" xfId="5" applyNumberFormat="1" applyFont="1" applyBorder="1" applyAlignment="1">
      <alignment horizontal="right" wrapText="1"/>
    </xf>
    <xf numFmtId="164" fontId="11" fillId="0" borderId="17" xfId="5" applyNumberFormat="1" applyFont="1" applyBorder="1" applyAlignment="1">
      <alignment horizontal="right" wrapText="1"/>
    </xf>
    <xf numFmtId="164" fontId="11" fillId="0" borderId="21" xfId="0" applyNumberFormat="1" applyFont="1" applyBorder="1" applyAlignment="1">
      <alignment horizontal="center" wrapText="1"/>
    </xf>
    <xf numFmtId="164" fontId="11" fillId="0" borderId="14" xfId="0" applyNumberFormat="1" applyFont="1" applyBorder="1" applyAlignment="1">
      <alignment horizontal="center" wrapText="1"/>
    </xf>
    <xf numFmtId="0" fontId="9" fillId="0" borderId="10" xfId="5" applyFont="1" applyBorder="1" applyAlignment="1">
      <alignment horizontal="right"/>
    </xf>
    <xf numFmtId="0" fontId="9" fillId="0" borderId="34" xfId="5" applyFont="1" applyBorder="1" applyAlignment="1">
      <alignment horizontal="right"/>
    </xf>
    <xf numFmtId="0" fontId="9" fillId="0" borderId="11" xfId="5" applyFont="1" applyBorder="1" applyAlignment="1">
      <alignment horizontal="right"/>
    </xf>
    <xf numFmtId="1" fontId="11" fillId="0" borderId="11" xfId="0" applyNumberFormat="1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1" fillId="0" borderId="11" xfId="5" applyFont="1" applyBorder="1" applyAlignment="1">
      <alignment horizontal="right"/>
    </xf>
    <xf numFmtId="0" fontId="11" fillId="0" borderId="37" xfId="0" applyFont="1" applyBorder="1" applyAlignment="1">
      <alignment horizontal="left"/>
    </xf>
    <xf numFmtId="0" fontId="11" fillId="0" borderId="16" xfId="0" applyFont="1" applyBorder="1" applyAlignment="1">
      <alignment horizontal="left"/>
    </xf>
    <xf numFmtId="0" fontId="11" fillId="0" borderId="38" xfId="0" applyFont="1" applyBorder="1" applyAlignment="1">
      <alignment horizontal="left"/>
    </xf>
    <xf numFmtId="0" fontId="11" fillId="0" borderId="12" xfId="0" applyFont="1" applyBorder="1" applyAlignment="1">
      <alignment horizontal="left"/>
    </xf>
    <xf numFmtId="0" fontId="11" fillId="0" borderId="13" xfId="0" applyFont="1" applyBorder="1" applyAlignment="1">
      <alignment horizontal="left"/>
    </xf>
    <xf numFmtId="0" fontId="11" fillId="0" borderId="14" xfId="0" applyFont="1" applyBorder="1" applyAlignment="1">
      <alignment horizontal="left"/>
    </xf>
    <xf numFmtId="0" fontId="11" fillId="0" borderId="12" xfId="0" applyFont="1" applyBorder="1" applyAlignment="1">
      <alignment horizontal="left" wrapText="1"/>
    </xf>
    <xf numFmtId="0" fontId="11" fillId="0" borderId="13" xfId="0" applyFont="1" applyBorder="1" applyAlignment="1">
      <alignment horizontal="left" wrapText="1"/>
    </xf>
    <xf numFmtId="0" fontId="11" fillId="0" borderId="14" xfId="0" applyFont="1" applyBorder="1" applyAlignment="1">
      <alignment horizontal="left" wrapText="1"/>
    </xf>
    <xf numFmtId="0" fontId="9" fillId="0" borderId="32" xfId="5" applyFont="1" applyBorder="1" applyAlignment="1">
      <alignment horizontal="left" wrapText="1"/>
    </xf>
    <xf numFmtId="0" fontId="9" fillId="0" borderId="35" xfId="5" applyFont="1" applyBorder="1" applyAlignment="1">
      <alignment horizontal="left" wrapText="1"/>
    </xf>
    <xf numFmtId="0" fontId="9" fillId="0" borderId="9" xfId="5" applyFont="1" applyBorder="1" applyAlignment="1">
      <alignment horizontal="left" wrapText="1"/>
    </xf>
    <xf numFmtId="0" fontId="9" fillId="0" borderId="12" xfId="0" applyFont="1" applyBorder="1" applyAlignment="1">
      <alignment horizontal="left"/>
    </xf>
    <xf numFmtId="0" fontId="9" fillId="0" borderId="13" xfId="0" applyFont="1" applyBorder="1" applyAlignment="1">
      <alignment horizontal="left"/>
    </xf>
    <xf numFmtId="0" fontId="9" fillId="0" borderId="14" xfId="0" applyFont="1" applyBorder="1" applyAlignment="1">
      <alignment horizontal="left"/>
    </xf>
    <xf numFmtId="0" fontId="9" fillId="6" borderId="43" xfId="1" applyFont="1" applyFill="1" applyBorder="1" applyAlignment="1">
      <alignment horizontal="center"/>
    </xf>
    <xf numFmtId="0" fontId="9" fillId="6" borderId="40" xfId="1" applyFont="1" applyFill="1" applyBorder="1" applyAlignment="1">
      <alignment horizontal="center"/>
    </xf>
    <xf numFmtId="0" fontId="11" fillId="2" borderId="21" xfId="1" applyFont="1" applyFill="1" applyBorder="1" applyAlignment="1">
      <alignment horizontal="left"/>
    </xf>
    <xf numFmtId="0" fontId="11" fillId="2" borderId="13" xfId="1" applyFont="1" applyFill="1" applyBorder="1" applyAlignment="1">
      <alignment horizontal="left"/>
    </xf>
    <xf numFmtId="0" fontId="11" fillId="2" borderId="17" xfId="1" applyFont="1" applyFill="1" applyBorder="1" applyAlignment="1">
      <alignment horizontal="left"/>
    </xf>
    <xf numFmtId="0" fontId="9" fillId="5" borderId="29" xfId="5" applyFont="1" applyFill="1" applyBorder="1" applyAlignment="1">
      <alignment horizontal="center"/>
    </xf>
    <xf numFmtId="0" fontId="9" fillId="5" borderId="30" xfId="5" applyFont="1" applyFill="1" applyBorder="1" applyAlignment="1">
      <alignment horizontal="center"/>
    </xf>
    <xf numFmtId="0" fontId="9" fillId="5" borderId="31" xfId="5" applyFont="1" applyFill="1" applyBorder="1" applyAlignment="1">
      <alignment horizontal="center"/>
    </xf>
    <xf numFmtId="0" fontId="11" fillId="2" borderId="3" xfId="1" applyFont="1" applyFill="1" applyBorder="1" applyAlignment="1">
      <alignment horizontal="left"/>
    </xf>
    <xf numFmtId="0" fontId="14" fillId="4" borderId="30" xfId="1" applyFont="1" applyFill="1" applyBorder="1" applyAlignment="1">
      <alignment horizontal="center" vertical="center" wrapText="1"/>
    </xf>
    <xf numFmtId="0" fontId="14" fillId="4" borderId="31" xfId="1" applyFont="1" applyFill="1" applyBorder="1" applyAlignment="1">
      <alignment horizontal="center" vertical="center" wrapText="1"/>
    </xf>
  </cellXfs>
  <cellStyles count="7">
    <cellStyle name="Millares" xfId="4" builtinId="3"/>
    <cellStyle name="Normal" xfId="0" builtinId="0"/>
    <cellStyle name="Normal 2" xfId="5" xr:uid="{A222024E-39E3-4F17-88DD-E8A27541CB5F}"/>
    <cellStyle name="Normal 3" xfId="6" xr:uid="{D12A0B1B-0166-4399-BA4A-288A6928FA1C}"/>
    <cellStyle name="Normal_CRITERIOS DE EVALUACION PT DE GB" xfId="1" xr:uid="{00000000-0005-0000-0000-000001000000}"/>
    <cellStyle name="Normal_CRITERIOS DE EVALUACION PT DE GB 2" xfId="3" xr:uid="{17728077-B771-4F0E-8434-1A3969D8CE82}"/>
    <cellStyle name="Porcentaje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107156</xdr:colOff>
      <xdr:row>0</xdr:row>
      <xdr:rowOff>146277</xdr:rowOff>
    </xdr:from>
    <xdr:to>
      <xdr:col>1</xdr:col>
      <xdr:colOff>864834</xdr:colOff>
      <xdr:row>4</xdr:row>
      <xdr:rowOff>107155</xdr:rowOff>
    </xdr:to>
    <xdr:pic>
      <xdr:nvPicPr>
        <xdr:cNvPr id="2" name="Imagen 13">
          <a:extLst>
            <a:ext uri="{FF2B5EF4-FFF2-40B4-BE49-F238E27FC236}">
              <a16:creationId xmlns:a16="http://schemas.microsoft.com/office/drawing/2014/main" id="{B4D91579-A180-4682-8EF5-DD5DDA55F2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56" y="146277"/>
          <a:ext cx="1876866" cy="10443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D0322-49A5-4C7A-9B03-AEE29FD3AF64}">
  <sheetPr>
    <pageSetUpPr fitToPage="1"/>
  </sheetPr>
  <dimension ref="A1:I57"/>
  <sheetViews>
    <sheetView tabSelected="1" zoomScale="80" zoomScaleNormal="80" workbookViewId="0">
      <selection activeCell="C1" sqref="C1:G1"/>
    </sheetView>
  </sheetViews>
  <sheetFormatPr baseColWidth="10" defaultRowHeight="12.75" x14ac:dyDescent="0.2"/>
  <cols>
    <col min="1" max="1" width="16.85546875" bestFit="1" customWidth="1"/>
    <col min="2" max="2" width="14.28515625" bestFit="1" customWidth="1"/>
    <col min="3" max="3" width="65.85546875" customWidth="1"/>
    <col min="4" max="4" width="22.7109375" customWidth="1"/>
    <col min="5" max="5" width="18.5703125" customWidth="1"/>
    <col min="6" max="6" width="18.42578125" customWidth="1"/>
    <col min="7" max="7" width="15.28515625" customWidth="1"/>
    <col min="8" max="8" width="20.28515625" customWidth="1"/>
    <col min="9" max="9" width="22.140625" customWidth="1"/>
  </cols>
  <sheetData>
    <row r="1" spans="1:9" ht="18" x14ac:dyDescent="0.25">
      <c r="A1" s="30"/>
      <c r="B1" s="31"/>
      <c r="C1" s="36" t="s">
        <v>18</v>
      </c>
      <c r="D1" s="36"/>
      <c r="E1" s="36"/>
      <c r="F1" s="36"/>
      <c r="G1" s="36"/>
      <c r="H1" s="1" t="s">
        <v>19</v>
      </c>
      <c r="I1" s="2" t="s">
        <v>81</v>
      </c>
    </row>
    <row r="2" spans="1:9" ht="18" customHeight="1" thickBot="1" x14ac:dyDescent="0.3">
      <c r="A2" s="32"/>
      <c r="B2" s="33"/>
      <c r="C2" s="37" t="s">
        <v>0</v>
      </c>
      <c r="D2" s="38"/>
      <c r="E2" s="38"/>
      <c r="F2" s="38"/>
      <c r="G2" s="39"/>
      <c r="H2" s="3" t="s">
        <v>20</v>
      </c>
      <c r="I2" s="4" t="s">
        <v>86</v>
      </c>
    </row>
    <row r="3" spans="1:9" ht="31.5" customHeight="1" thickBot="1" x14ac:dyDescent="0.25">
      <c r="A3" s="32"/>
      <c r="B3" s="33"/>
      <c r="C3" s="161" t="s">
        <v>87</v>
      </c>
      <c r="D3" s="161"/>
      <c r="E3" s="161"/>
      <c r="F3" s="161"/>
      <c r="G3" s="162"/>
      <c r="H3" s="40" t="s">
        <v>21</v>
      </c>
      <c r="I3" s="24">
        <v>45613</v>
      </c>
    </row>
    <row r="4" spans="1:9" ht="18" customHeight="1" x14ac:dyDescent="0.25">
      <c r="A4" s="32"/>
      <c r="B4" s="33"/>
      <c r="C4" s="5" t="s">
        <v>22</v>
      </c>
      <c r="D4" s="27" t="s">
        <v>68</v>
      </c>
      <c r="E4" s="28"/>
      <c r="F4" s="28"/>
      <c r="G4" s="29"/>
      <c r="H4" s="41"/>
      <c r="I4" s="25"/>
    </row>
    <row r="5" spans="1:9" ht="18.75" thickBot="1" x14ac:dyDescent="0.3">
      <c r="A5" s="34"/>
      <c r="B5" s="35"/>
      <c r="C5" s="6" t="s">
        <v>23</v>
      </c>
      <c r="D5" s="12" t="s">
        <v>56</v>
      </c>
      <c r="E5" s="13"/>
      <c r="F5" s="13"/>
      <c r="G5" s="14"/>
      <c r="H5" s="42"/>
      <c r="I5" s="26"/>
    </row>
    <row r="6" spans="1:9" ht="18.75" thickBot="1" x14ac:dyDescent="0.3">
      <c r="A6" s="15" t="s">
        <v>63</v>
      </c>
      <c r="B6" s="15"/>
      <c r="C6" s="15"/>
      <c r="D6" s="16" t="s">
        <v>64</v>
      </c>
      <c r="E6" s="16"/>
      <c r="F6" s="16"/>
      <c r="G6" s="17" t="s">
        <v>65</v>
      </c>
      <c r="H6" s="17"/>
      <c r="I6" s="7" t="s">
        <v>64</v>
      </c>
    </row>
    <row r="7" spans="1:9" ht="36" x14ac:dyDescent="0.2">
      <c r="A7" s="18" t="s">
        <v>1</v>
      </c>
      <c r="B7" s="20" t="s">
        <v>69</v>
      </c>
      <c r="C7" s="22" t="s">
        <v>24</v>
      </c>
      <c r="D7" s="22" t="s">
        <v>2</v>
      </c>
      <c r="E7" s="22" t="s">
        <v>3</v>
      </c>
      <c r="F7" s="22"/>
      <c r="G7" s="22" t="s">
        <v>25</v>
      </c>
      <c r="H7" s="22"/>
      <c r="I7" s="8" t="s">
        <v>4</v>
      </c>
    </row>
    <row r="8" spans="1:9" ht="54.75" thickBot="1" x14ac:dyDescent="0.3">
      <c r="A8" s="19"/>
      <c r="B8" s="21"/>
      <c r="C8" s="23"/>
      <c r="D8" s="23"/>
      <c r="E8" s="9" t="s">
        <v>5</v>
      </c>
      <c r="F8" s="10" t="s">
        <v>6</v>
      </c>
      <c r="G8" s="9" t="s">
        <v>5</v>
      </c>
      <c r="H8" s="10" t="s">
        <v>6</v>
      </c>
      <c r="I8" s="11" t="s">
        <v>7</v>
      </c>
    </row>
    <row r="9" spans="1:9" ht="18.399999999999999" customHeight="1" x14ac:dyDescent="0.3">
      <c r="A9" s="43"/>
      <c r="B9" s="44"/>
      <c r="C9" s="45" t="s">
        <v>70</v>
      </c>
      <c r="D9" s="46"/>
      <c r="E9" s="47"/>
      <c r="F9" s="48"/>
      <c r="G9" s="47"/>
      <c r="H9" s="48"/>
      <c r="I9" s="49"/>
    </row>
    <row r="10" spans="1:9" ht="20.25" x14ac:dyDescent="0.3">
      <c r="A10" s="50">
        <v>10100050</v>
      </c>
      <c r="B10" s="50" t="s">
        <v>55</v>
      </c>
      <c r="C10" s="51" t="s">
        <v>71</v>
      </c>
      <c r="D10" s="52" t="s">
        <v>72</v>
      </c>
      <c r="E10" s="52">
        <v>10</v>
      </c>
      <c r="F10" s="53" t="s">
        <v>16</v>
      </c>
      <c r="G10" s="54"/>
      <c r="H10" s="55"/>
      <c r="I10" s="49"/>
    </row>
    <row r="11" spans="1:9" ht="20.25" x14ac:dyDescent="0.3">
      <c r="A11" s="56">
        <v>907000002</v>
      </c>
      <c r="B11" s="56" t="s">
        <v>48</v>
      </c>
      <c r="C11" s="57" t="s">
        <v>17</v>
      </c>
      <c r="D11" s="52" t="s">
        <v>57</v>
      </c>
      <c r="E11" s="58">
        <v>1200</v>
      </c>
      <c r="F11" s="53" t="s">
        <v>16</v>
      </c>
      <c r="G11" s="54"/>
      <c r="H11" s="55"/>
      <c r="I11" s="49"/>
    </row>
    <row r="12" spans="1:9" ht="20.25" x14ac:dyDescent="0.3">
      <c r="A12" s="52"/>
      <c r="B12" s="52"/>
      <c r="C12" s="59" t="s">
        <v>73</v>
      </c>
      <c r="D12" s="52"/>
      <c r="E12" s="58"/>
      <c r="F12" s="53"/>
      <c r="G12" s="56"/>
      <c r="H12" s="55"/>
      <c r="I12" s="49"/>
    </row>
    <row r="13" spans="1:9" ht="20.25" x14ac:dyDescent="0.3">
      <c r="A13" s="56">
        <v>90200029</v>
      </c>
      <c r="B13" s="56" t="s">
        <v>49</v>
      </c>
      <c r="C13" s="57" t="s">
        <v>74</v>
      </c>
      <c r="D13" s="58" t="s">
        <v>57</v>
      </c>
      <c r="E13" s="52">
        <v>3000</v>
      </c>
      <c r="F13" s="53" t="s">
        <v>16</v>
      </c>
      <c r="G13" s="56"/>
      <c r="H13" s="55"/>
      <c r="I13" s="49"/>
    </row>
    <row r="14" spans="1:9" ht="20.25" x14ac:dyDescent="0.3">
      <c r="A14" s="56"/>
      <c r="B14" s="56"/>
      <c r="C14" s="57"/>
      <c r="D14" s="58"/>
      <c r="E14" s="52"/>
      <c r="F14" s="53"/>
      <c r="G14" s="56"/>
      <c r="H14" s="55"/>
      <c r="I14" s="49"/>
    </row>
    <row r="15" spans="1:9" ht="20.25" x14ac:dyDescent="0.3">
      <c r="A15" s="60"/>
      <c r="B15" s="56"/>
      <c r="C15" s="61"/>
      <c r="D15" s="62"/>
      <c r="E15" s="62"/>
      <c r="F15" s="62"/>
      <c r="G15" s="47"/>
      <c r="H15" s="55"/>
      <c r="I15" s="49"/>
    </row>
    <row r="16" spans="1:9" ht="20.25" x14ac:dyDescent="0.3">
      <c r="A16" s="63"/>
      <c r="B16" s="64"/>
      <c r="C16" s="65" t="s">
        <v>8</v>
      </c>
      <c r="D16" s="52"/>
      <c r="E16" s="66"/>
      <c r="F16" s="53"/>
      <c r="G16" s="47"/>
      <c r="H16" s="48"/>
      <c r="I16" s="49"/>
    </row>
    <row r="17" spans="1:9" ht="20.25" x14ac:dyDescent="0.3">
      <c r="A17" s="67">
        <v>905000024</v>
      </c>
      <c r="B17" s="68" t="s">
        <v>54</v>
      </c>
      <c r="C17" s="69" t="s">
        <v>75</v>
      </c>
      <c r="D17" s="70" t="s">
        <v>57</v>
      </c>
      <c r="E17" s="71">
        <v>1300</v>
      </c>
      <c r="F17" s="72" t="s">
        <v>16</v>
      </c>
      <c r="G17" s="47"/>
      <c r="H17" s="48"/>
      <c r="I17" s="49"/>
    </row>
    <row r="18" spans="1:9" ht="20.25" x14ac:dyDescent="0.3">
      <c r="A18" s="67"/>
      <c r="B18" s="68"/>
      <c r="C18" s="69"/>
      <c r="D18" s="70"/>
      <c r="E18" s="73"/>
      <c r="F18" s="72"/>
      <c r="G18" s="47"/>
      <c r="H18" s="48"/>
      <c r="I18" s="49"/>
    </row>
    <row r="19" spans="1:9" ht="20.25" x14ac:dyDescent="0.3">
      <c r="A19" s="67"/>
      <c r="B19" s="68"/>
      <c r="C19" s="69"/>
      <c r="D19" s="70"/>
      <c r="E19" s="71"/>
      <c r="F19" s="72"/>
      <c r="G19" s="47"/>
      <c r="H19" s="48"/>
      <c r="I19" s="49"/>
    </row>
    <row r="20" spans="1:9" ht="20.25" x14ac:dyDescent="0.3">
      <c r="A20" s="67"/>
      <c r="B20" s="68"/>
      <c r="C20" s="69"/>
      <c r="D20" s="70"/>
      <c r="E20" s="74"/>
      <c r="F20" s="75"/>
      <c r="G20" s="47"/>
      <c r="H20" s="48"/>
      <c r="I20" s="49"/>
    </row>
    <row r="21" spans="1:9" ht="20.25" x14ac:dyDescent="0.3">
      <c r="A21" s="67"/>
      <c r="B21" s="68"/>
      <c r="C21" s="69"/>
      <c r="D21" s="70"/>
      <c r="E21" s="76"/>
      <c r="F21" s="75"/>
      <c r="G21" s="47"/>
      <c r="H21" s="48"/>
      <c r="I21" s="49"/>
    </row>
    <row r="22" spans="1:9" ht="20.25" x14ac:dyDescent="0.3">
      <c r="A22" s="77"/>
      <c r="B22" s="77"/>
      <c r="C22" s="78"/>
      <c r="D22" s="79"/>
      <c r="E22" s="80"/>
      <c r="F22" s="81"/>
      <c r="G22" s="47"/>
      <c r="H22" s="48"/>
      <c r="I22" s="49"/>
    </row>
    <row r="23" spans="1:9" ht="20.25" x14ac:dyDescent="0.3">
      <c r="A23" s="56"/>
      <c r="B23" s="56"/>
      <c r="C23" s="61"/>
      <c r="D23" s="82"/>
      <c r="E23" s="83"/>
      <c r="F23" s="81"/>
      <c r="G23" s="47"/>
      <c r="H23" s="48"/>
      <c r="I23" s="49"/>
    </row>
    <row r="24" spans="1:9" ht="20.25" x14ac:dyDescent="0.3">
      <c r="A24" s="56"/>
      <c r="B24" s="56"/>
      <c r="C24" s="61"/>
      <c r="D24" s="82"/>
      <c r="E24" s="84"/>
      <c r="F24" s="85"/>
      <c r="G24" s="47"/>
      <c r="H24" s="48"/>
      <c r="I24" s="49"/>
    </row>
    <row r="25" spans="1:9" ht="20.25" x14ac:dyDescent="0.3">
      <c r="A25" s="86"/>
      <c r="B25" s="87"/>
      <c r="C25" s="88" t="s">
        <v>9</v>
      </c>
      <c r="D25" s="89"/>
      <c r="E25" s="90"/>
      <c r="F25" s="48"/>
      <c r="G25" s="47"/>
      <c r="H25" s="78"/>
      <c r="I25" s="49"/>
    </row>
    <row r="26" spans="1:9" ht="20.25" x14ac:dyDescent="0.3">
      <c r="A26" s="91" t="s">
        <v>39</v>
      </c>
      <c r="B26" s="91" t="s">
        <v>45</v>
      </c>
      <c r="C26" s="92" t="s">
        <v>40</v>
      </c>
      <c r="D26" s="56"/>
      <c r="E26" s="84">
        <v>5</v>
      </c>
      <c r="F26" s="85" t="s">
        <v>35</v>
      </c>
      <c r="G26" s="93"/>
      <c r="H26" s="48"/>
      <c r="I26" s="49"/>
    </row>
    <row r="27" spans="1:9" ht="20.25" x14ac:dyDescent="0.3">
      <c r="A27" s="94" t="s">
        <v>41</v>
      </c>
      <c r="B27" s="94" t="s">
        <v>46</v>
      </c>
      <c r="C27" s="95" t="s">
        <v>42</v>
      </c>
      <c r="D27" s="56"/>
      <c r="E27" s="84">
        <v>10</v>
      </c>
      <c r="F27" s="85" t="s">
        <v>43</v>
      </c>
      <c r="G27" s="93"/>
      <c r="H27" s="48"/>
      <c r="I27" s="49"/>
    </row>
    <row r="28" spans="1:9" ht="20.25" x14ac:dyDescent="0.3">
      <c r="A28" s="56" t="s">
        <v>50</v>
      </c>
      <c r="B28" s="56" t="s">
        <v>51</v>
      </c>
      <c r="C28" s="61" t="s">
        <v>76</v>
      </c>
      <c r="D28" s="82"/>
      <c r="E28" s="84">
        <v>30</v>
      </c>
      <c r="F28" s="56" t="s">
        <v>35</v>
      </c>
      <c r="G28" s="93"/>
      <c r="H28" s="48"/>
      <c r="I28" s="49"/>
    </row>
    <row r="29" spans="1:9" ht="20.25" x14ac:dyDescent="0.3">
      <c r="A29" s="96" t="s">
        <v>15</v>
      </c>
      <c r="B29" s="96" t="s">
        <v>52</v>
      </c>
      <c r="C29" s="97" t="s">
        <v>14</v>
      </c>
      <c r="D29" s="56" t="s">
        <v>77</v>
      </c>
      <c r="E29" s="84">
        <v>32</v>
      </c>
      <c r="F29" s="85" t="s">
        <v>35</v>
      </c>
      <c r="G29" s="47"/>
      <c r="H29" s="48"/>
      <c r="I29" s="49"/>
    </row>
    <row r="30" spans="1:9" ht="20.25" x14ac:dyDescent="0.3">
      <c r="A30" s="96">
        <v>702123</v>
      </c>
      <c r="B30" s="96" t="s">
        <v>53</v>
      </c>
      <c r="C30" s="97" t="s">
        <v>37</v>
      </c>
      <c r="D30" s="56" t="s">
        <v>78</v>
      </c>
      <c r="E30" s="84">
        <v>32</v>
      </c>
      <c r="F30" s="85" t="s">
        <v>35</v>
      </c>
      <c r="G30" s="47"/>
      <c r="H30" s="48"/>
      <c r="I30" s="49"/>
    </row>
    <row r="31" spans="1:9" ht="20.25" x14ac:dyDescent="0.3">
      <c r="A31" s="96">
        <v>60100001</v>
      </c>
      <c r="B31" s="96" t="s">
        <v>47</v>
      </c>
      <c r="C31" s="97" t="s">
        <v>34</v>
      </c>
      <c r="D31" s="56"/>
      <c r="E31" s="84">
        <v>30</v>
      </c>
      <c r="F31" s="85" t="s">
        <v>35</v>
      </c>
      <c r="G31" s="98"/>
      <c r="H31" s="48"/>
      <c r="I31" s="49"/>
    </row>
    <row r="32" spans="1:9" ht="20.25" x14ac:dyDescent="0.3">
      <c r="A32" s="96" t="s">
        <v>66</v>
      </c>
      <c r="B32" s="96" t="s">
        <v>67</v>
      </c>
      <c r="C32" s="97" t="s">
        <v>79</v>
      </c>
      <c r="D32" s="56"/>
      <c r="E32" s="84">
        <v>30</v>
      </c>
      <c r="F32" s="85" t="s">
        <v>35</v>
      </c>
      <c r="G32" s="58"/>
      <c r="H32" s="48"/>
      <c r="I32" s="49"/>
    </row>
    <row r="33" spans="1:9" ht="20.25" x14ac:dyDescent="0.3">
      <c r="A33" s="99"/>
      <c r="B33" s="56" t="s">
        <v>82</v>
      </c>
      <c r="C33" s="78" t="s">
        <v>83</v>
      </c>
      <c r="D33" s="56" t="s">
        <v>77</v>
      </c>
      <c r="E33" s="85">
        <v>30</v>
      </c>
      <c r="F33" s="85" t="s">
        <v>35</v>
      </c>
      <c r="G33" s="58"/>
      <c r="H33" s="48"/>
      <c r="I33" s="49"/>
    </row>
    <row r="34" spans="1:9" ht="20.25" x14ac:dyDescent="0.3">
      <c r="A34" s="91"/>
      <c r="B34" s="56"/>
      <c r="C34" s="92"/>
      <c r="D34" s="82"/>
      <c r="E34" s="84"/>
      <c r="F34" s="56"/>
      <c r="G34" s="58"/>
      <c r="H34" s="48"/>
      <c r="I34" s="49"/>
    </row>
    <row r="35" spans="1:9" ht="20.25" x14ac:dyDescent="0.3">
      <c r="A35" s="96"/>
      <c r="B35" s="96"/>
      <c r="C35" s="97"/>
      <c r="D35" s="56"/>
      <c r="E35" s="84"/>
      <c r="F35" s="56"/>
      <c r="G35" s="58"/>
      <c r="H35" s="48"/>
      <c r="I35" s="49"/>
    </row>
    <row r="36" spans="1:9" ht="20.25" x14ac:dyDescent="0.3">
      <c r="A36" s="63"/>
      <c r="B36" s="64"/>
      <c r="C36" s="100"/>
      <c r="D36" s="52"/>
      <c r="E36" s="52"/>
      <c r="F36" s="53"/>
      <c r="G36" s="52"/>
      <c r="H36" s="52"/>
      <c r="I36" s="49"/>
    </row>
    <row r="37" spans="1:9" ht="21" thickBot="1" x14ac:dyDescent="0.35">
      <c r="A37" s="101"/>
      <c r="B37" s="102"/>
      <c r="C37" s="103"/>
      <c r="D37" s="103"/>
      <c r="E37" s="104"/>
      <c r="F37" s="105"/>
      <c r="G37" s="103"/>
      <c r="H37" s="103"/>
      <c r="I37" s="106"/>
    </row>
    <row r="38" spans="1:9" ht="21" thickBot="1" x14ac:dyDescent="0.35">
      <c r="A38" s="107"/>
      <c r="B38" s="108"/>
      <c r="C38" s="109"/>
      <c r="D38" s="110" t="s">
        <v>5</v>
      </c>
      <c r="E38" s="111" t="s">
        <v>26</v>
      </c>
      <c r="F38" s="112"/>
      <c r="G38" s="109"/>
      <c r="H38" s="109"/>
      <c r="I38" s="113"/>
    </row>
    <row r="39" spans="1:9" ht="20.25" x14ac:dyDescent="0.3">
      <c r="A39" s="114" t="s">
        <v>13</v>
      </c>
      <c r="B39" s="115"/>
      <c r="C39" s="116"/>
      <c r="D39" s="83">
        <v>4800</v>
      </c>
      <c r="E39" s="117" t="s">
        <v>16</v>
      </c>
      <c r="F39" s="118" t="s">
        <v>27</v>
      </c>
      <c r="G39" s="118"/>
      <c r="H39" s="119"/>
      <c r="I39" s="120"/>
    </row>
    <row r="40" spans="1:9" ht="20.25" x14ac:dyDescent="0.3">
      <c r="A40" s="121" t="s">
        <v>28</v>
      </c>
      <c r="B40" s="122"/>
      <c r="C40" s="123"/>
      <c r="D40" s="84">
        <v>25</v>
      </c>
      <c r="E40" s="56" t="s">
        <v>36</v>
      </c>
      <c r="F40" s="124" t="s">
        <v>29</v>
      </c>
      <c r="G40" s="124"/>
      <c r="H40" s="125"/>
      <c r="I40" s="126"/>
    </row>
    <row r="41" spans="1:9" ht="20.25" x14ac:dyDescent="0.3">
      <c r="A41" s="121" t="s">
        <v>30</v>
      </c>
      <c r="B41" s="122"/>
      <c r="C41" s="123"/>
      <c r="D41" s="56">
        <v>5</v>
      </c>
      <c r="E41" s="56" t="s">
        <v>38</v>
      </c>
      <c r="F41" s="124" t="s">
        <v>31</v>
      </c>
      <c r="G41" s="124"/>
      <c r="H41" s="125"/>
      <c r="I41" s="126"/>
    </row>
    <row r="42" spans="1:9" ht="20.25" x14ac:dyDescent="0.3">
      <c r="A42" s="121" t="s">
        <v>32</v>
      </c>
      <c r="B42" s="122"/>
      <c r="C42" s="123"/>
      <c r="D42" s="84">
        <v>160</v>
      </c>
      <c r="E42" s="56" t="s">
        <v>16</v>
      </c>
      <c r="F42" s="127" t="s">
        <v>33</v>
      </c>
      <c r="G42" s="128"/>
      <c r="H42" s="129"/>
      <c r="I42" s="130"/>
    </row>
    <row r="43" spans="1:9" ht="21" thickBot="1" x14ac:dyDescent="0.35">
      <c r="A43" s="131" t="s">
        <v>12</v>
      </c>
      <c r="B43" s="132"/>
      <c r="C43" s="133"/>
      <c r="D43" s="134">
        <f>SUM(E10:E17)-D39</f>
        <v>710</v>
      </c>
      <c r="E43" s="135" t="s">
        <v>16</v>
      </c>
      <c r="F43" s="136"/>
      <c r="G43" s="136"/>
      <c r="H43" s="125" t="s">
        <v>84</v>
      </c>
      <c r="I43" s="126"/>
    </row>
    <row r="44" spans="1:9" ht="21" thickBot="1" x14ac:dyDescent="0.35">
      <c r="A44" s="157" t="s">
        <v>80</v>
      </c>
      <c r="B44" s="158"/>
      <c r="C44" s="158"/>
      <c r="D44" s="158"/>
      <c r="E44" s="158"/>
      <c r="F44" s="158"/>
      <c r="G44" s="158"/>
      <c r="H44" s="158"/>
      <c r="I44" s="159"/>
    </row>
    <row r="45" spans="1:9" ht="20.25" x14ac:dyDescent="0.3">
      <c r="A45" s="137" t="s">
        <v>58</v>
      </c>
      <c r="B45" s="138"/>
      <c r="C45" s="138"/>
      <c r="D45" s="138"/>
      <c r="E45" s="138"/>
      <c r="F45" s="138"/>
      <c r="G45" s="138"/>
      <c r="H45" s="138"/>
      <c r="I45" s="139"/>
    </row>
    <row r="46" spans="1:9" ht="20.25" x14ac:dyDescent="0.3">
      <c r="A46" s="140" t="s">
        <v>11</v>
      </c>
      <c r="B46" s="141"/>
      <c r="C46" s="141"/>
      <c r="D46" s="141"/>
      <c r="E46" s="141"/>
      <c r="F46" s="141"/>
      <c r="G46" s="141"/>
      <c r="H46" s="141"/>
      <c r="I46" s="142"/>
    </row>
    <row r="47" spans="1:9" ht="20.25" x14ac:dyDescent="0.3">
      <c r="A47" s="140" t="s">
        <v>59</v>
      </c>
      <c r="B47" s="141"/>
      <c r="C47" s="141"/>
      <c r="D47" s="141"/>
      <c r="E47" s="141"/>
      <c r="F47" s="141"/>
      <c r="G47" s="141"/>
      <c r="H47" s="141"/>
      <c r="I47" s="142"/>
    </row>
    <row r="48" spans="1:9" ht="20.25" x14ac:dyDescent="0.3">
      <c r="A48" s="140" t="s">
        <v>60</v>
      </c>
      <c r="B48" s="141"/>
      <c r="C48" s="141"/>
      <c r="D48" s="141"/>
      <c r="E48" s="141"/>
      <c r="F48" s="141"/>
      <c r="G48" s="141"/>
      <c r="H48" s="141"/>
      <c r="I48" s="142"/>
    </row>
    <row r="49" spans="1:9" ht="20.25" x14ac:dyDescent="0.3">
      <c r="A49" s="143" t="s">
        <v>61</v>
      </c>
      <c r="B49" s="144"/>
      <c r="C49" s="144"/>
      <c r="D49" s="144"/>
      <c r="E49" s="144"/>
      <c r="F49" s="144"/>
      <c r="G49" s="144"/>
      <c r="H49" s="144"/>
      <c r="I49" s="145"/>
    </row>
    <row r="50" spans="1:9" ht="42.75" customHeight="1" x14ac:dyDescent="0.3">
      <c r="A50" s="143" t="s">
        <v>62</v>
      </c>
      <c r="B50" s="144"/>
      <c r="C50" s="144"/>
      <c r="D50" s="144"/>
      <c r="E50" s="144"/>
      <c r="F50" s="144"/>
      <c r="G50" s="144"/>
      <c r="H50" s="144"/>
      <c r="I50" s="145"/>
    </row>
    <row r="51" spans="1:9" ht="20.25" x14ac:dyDescent="0.3">
      <c r="A51" s="140" t="s">
        <v>10</v>
      </c>
      <c r="B51" s="141"/>
      <c r="C51" s="141"/>
      <c r="D51" s="141"/>
      <c r="E51" s="141"/>
      <c r="F51" s="141"/>
      <c r="G51" s="141"/>
      <c r="H51" s="141"/>
      <c r="I51" s="142"/>
    </row>
    <row r="52" spans="1:9" ht="20.25" x14ac:dyDescent="0.3">
      <c r="A52" s="146"/>
      <c r="B52" s="147"/>
      <c r="C52" s="147"/>
      <c r="D52" s="147"/>
      <c r="E52" s="147"/>
      <c r="F52" s="147"/>
      <c r="G52" s="147"/>
      <c r="H52" s="147"/>
      <c r="I52" s="148"/>
    </row>
    <row r="53" spans="1:9" ht="21" thickBot="1" x14ac:dyDescent="0.35">
      <c r="A53" s="149"/>
      <c r="B53" s="150"/>
      <c r="C53" s="150"/>
      <c r="D53" s="150"/>
      <c r="E53" s="150"/>
      <c r="F53" s="150"/>
      <c r="G53" s="150"/>
      <c r="H53" s="150"/>
      <c r="I53" s="151"/>
    </row>
    <row r="54" spans="1:9" ht="20.25" x14ac:dyDescent="0.3">
      <c r="A54" s="152" t="s">
        <v>44</v>
      </c>
      <c r="B54" s="153"/>
      <c r="C54" s="153"/>
      <c r="D54" s="153"/>
      <c r="E54" s="153"/>
      <c r="F54" s="153"/>
      <c r="G54" s="153"/>
      <c r="H54" s="153"/>
      <c r="I54" s="153"/>
    </row>
    <row r="55" spans="1:9" ht="20.25" x14ac:dyDescent="0.3">
      <c r="A55" s="154" t="s">
        <v>85</v>
      </c>
      <c r="B55" s="155"/>
      <c r="C55" s="155"/>
      <c r="D55" s="155"/>
      <c r="E55" s="155"/>
      <c r="F55" s="155"/>
      <c r="G55" s="155"/>
      <c r="H55" s="155"/>
      <c r="I55" s="156"/>
    </row>
    <row r="56" spans="1:9" ht="20.25" x14ac:dyDescent="0.3">
      <c r="A56" s="160"/>
      <c r="B56" s="160"/>
      <c r="C56" s="160"/>
      <c r="D56" s="160"/>
      <c r="E56" s="160"/>
      <c r="F56" s="160"/>
      <c r="G56" s="160"/>
      <c r="H56" s="160"/>
      <c r="I56" s="160"/>
    </row>
    <row r="57" spans="1:9" ht="20.25" x14ac:dyDescent="0.3">
      <c r="A57" s="78"/>
      <c r="B57" s="78"/>
      <c r="C57" s="78"/>
      <c r="D57" s="78"/>
      <c r="E57" s="78"/>
      <c r="F57" s="78"/>
      <c r="G57" s="78"/>
      <c r="H57" s="78"/>
      <c r="I57" s="78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9:C39"/>
    <mergeCell ref="F39:G39"/>
    <mergeCell ref="H39:I39"/>
    <mergeCell ref="A40:C40"/>
    <mergeCell ref="F40:G40"/>
    <mergeCell ref="H40:I40"/>
    <mergeCell ref="A46:I46"/>
    <mergeCell ref="A41:C41"/>
    <mergeCell ref="F41:G41"/>
    <mergeCell ref="H41:I41"/>
    <mergeCell ref="A42:C42"/>
    <mergeCell ref="F42:G42"/>
    <mergeCell ref="H42:I42"/>
    <mergeCell ref="A43:C43"/>
    <mergeCell ref="F43:G43"/>
    <mergeCell ref="H43:I43"/>
    <mergeCell ref="A44:I44"/>
    <mergeCell ref="A45:I45"/>
    <mergeCell ref="A53:I53"/>
    <mergeCell ref="A54:I54"/>
    <mergeCell ref="A55:I55"/>
    <mergeCell ref="A56:I56"/>
    <mergeCell ref="A47:I47"/>
    <mergeCell ref="A48:I48"/>
    <mergeCell ref="A49:I49"/>
    <mergeCell ref="A50:I50"/>
    <mergeCell ref="A51:I51"/>
    <mergeCell ref="A52:I52"/>
  </mergeCells>
  <pageMargins left="0.7" right="0.7" top="0.75" bottom="0.75" header="0.3" footer="0.3"/>
  <pageSetup scale="43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9522BA1E-FBD6-4C87-8DAD-70AB67504AE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044D112-BB8D-4AEF-A3CB-4E0BE684FE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88F89A0-E5A0-4C15-A455-CADCF4904FAE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Alejandro Rodriguez</dc:creator>
  <cp:lastModifiedBy>Allan Brenes</cp:lastModifiedBy>
  <cp:lastPrinted>2025-08-25T15:26:30Z</cp:lastPrinted>
  <dcterms:created xsi:type="dcterms:W3CDTF">2012-08-16T22:23:23Z</dcterms:created>
  <dcterms:modified xsi:type="dcterms:W3CDTF">2025-08-25T15:28:34Z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379400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
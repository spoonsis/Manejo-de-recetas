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REMEZCLAS/"/>
    </mc:Choice>
  </mc:AlternateContent>
  <xr:revisionPtr revIDLastSave="7" documentId="8_{D9FC8DAF-B1EA-45D2-BFB4-3441F8988839}" xr6:coauthVersionLast="47" xr6:coauthVersionMax="47" xr10:uidLastSave="{00196BD6-9E93-4914-865A-08E1AFFEFAB7}"/>
  <bookViews>
    <workbookView xWindow="-120" yWindow="-120" windowWidth="20730" windowHeight="11040" firstSheet="1" activeTab="1" xr2:uid="{94A42DC2-6AF9-4BC6-BDD1-A1D08AD23DA4}"/>
  </bookViews>
  <sheets>
    <sheet name="PRE MEZCLA" sheetId="3" state="hidden" r:id="rId1"/>
    <sheet name="Hoja1" sheetId="5" r:id="rId2"/>
  </sheets>
  <definedNames>
    <definedName name="_xlnm.Print_Area" localSheetId="0">'PRE MEZCLA'!$A$1:$I$28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3" l="1"/>
  <c r="J9" i="3"/>
  <c r="J10" i="3"/>
  <c r="J11" i="3"/>
  <c r="J12" i="3"/>
  <c r="J13" i="3"/>
  <c r="J14" i="3"/>
  <c r="J8" i="3"/>
  <c r="D21" i="3"/>
  <c r="D18" i="3"/>
</calcChain>
</file>

<file path=xl/sharedStrings.xml><?xml version="1.0" encoding="utf-8"?>
<sst xmlns="http://schemas.openxmlformats.org/spreadsheetml/2006/main" count="142" uniqueCount="83">
  <si>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</si>
  <si>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</si>
  <si>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</si>
  <si>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</si>
  <si>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</si>
  <si>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</si>
  <si>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</si>
  <si>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</si>
  <si>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</si>
  <si>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</si>
  <si>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</si>
  <si>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</si>
  <si>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</si>
  <si>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</si>
  <si>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</si>
  <si>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PESO TOTAL OBTENIDO</t>
  </si>
  <si>
    <t>TIEMPO TOTAL DE PREPARACION</t>
  </si>
  <si>
    <t>Horno:</t>
  </si>
  <si>
    <t>CANTIDAD DE PORCIONES OBTENIDAS</t>
  </si>
  <si>
    <t>PESO DE CADA PORCIÓN</t>
  </si>
  <si>
    <t>Otros</t>
  </si>
  <si>
    <t>MERMA</t>
  </si>
  <si>
    <t>PROCEDIMIENTO DE PREPARACION DE LA  RECETA</t>
  </si>
  <si>
    <t>SERVICIOS DE PASTELERIA S.A.</t>
  </si>
  <si>
    <t>Tiempo de Horneo:</t>
  </si>
  <si>
    <t>Temperatura de Horneo:</t>
  </si>
  <si>
    <t>0702012</t>
  </si>
  <si>
    <t>ETIQ.FECHA VENCIMIENTO VERDE</t>
  </si>
  <si>
    <t>g</t>
  </si>
  <si>
    <t>1212410</t>
  </si>
  <si>
    <t>PRESERVANTE 1047S KILO</t>
  </si>
  <si>
    <t>1950702</t>
  </si>
  <si>
    <t>BOLSA 12x18 TRANSP (KILO)</t>
  </si>
  <si>
    <t>Unidades</t>
  </si>
  <si>
    <t>Minutos</t>
  </si>
  <si>
    <t>Tanda</t>
  </si>
  <si>
    <t>Aseal</t>
  </si>
  <si>
    <t>Puratos</t>
  </si>
  <si>
    <t>0510287</t>
  </si>
  <si>
    <t>TEGRAL CHIFFON</t>
  </si>
  <si>
    <t>POLVO HORNEAR FLEISHMAN (2.5 KG)</t>
  </si>
  <si>
    <t>Fleishman</t>
  </si>
  <si>
    <t>1.- Colocar en una bolsa 12*18 la pre mezcla, el polvo de hornear y el preservante. Etiquetar con fecha de vencimiento.</t>
  </si>
  <si>
    <t>01</t>
  </si>
  <si>
    <t>Plasticos P</t>
  </si>
  <si>
    <t>Etiplast</t>
  </si>
  <si>
    <t xml:space="preserve">ESP-RE-PRES-022 </t>
  </si>
  <si>
    <t>NO SE USA PRODUCTO DE REPROCESOS.</t>
  </si>
  <si>
    <t>Jeffry Rodriguez. Gte de Producciòn</t>
  </si>
  <si>
    <t>Javier Tong, Chef</t>
  </si>
  <si>
    <t>10100046</t>
  </si>
  <si>
    <t>PREMEZCLA TEGRAL CHIFON (SACO:10K)</t>
  </si>
  <si>
    <t>POLVO HORNEAR FLEISHMAN (PAQ:2.5 K)</t>
  </si>
  <si>
    <t>ud</t>
  </si>
  <si>
    <t>ETIQUETA BLANCA 2 5/8X1 15/16 (UND)</t>
  </si>
  <si>
    <t>ETIQUETA ROJA LETRA ALERJENO (UND)</t>
  </si>
  <si>
    <t>1.- Colocar en una bolsa 12*18 la pre mezcla, el polvo de hornear y el preservante. Etiquetar con fecha de vencimiento, nombre,  lote, sticker alergeno</t>
  </si>
  <si>
    <t>901000022(SE00286) Premezcla Batido Rosquete Souffle  6034g</t>
  </si>
  <si>
    <t># Codigo Netsuite</t>
  </si>
  <si>
    <t>MP10565</t>
  </si>
  <si>
    <t>MP10304</t>
  </si>
  <si>
    <t>MP10008</t>
  </si>
  <si>
    <t>EM10016</t>
  </si>
  <si>
    <t>NetSuiteCode</t>
  </si>
  <si>
    <t xml:space="preserve">901000022(SE00286) Premezcla Batido Rosquete Souffle  6034g  </t>
  </si>
  <si>
    <t>EM10011</t>
  </si>
  <si>
    <t>EM10133</t>
  </si>
  <si>
    <t>Esteban Cartin, Gte Manufactura</t>
  </si>
  <si>
    <t>AREA QUE PRODUCE:</t>
  </si>
  <si>
    <t>Premezclas</t>
  </si>
  <si>
    <t xml:space="preserve">AREA QUE EMPACA: </t>
  </si>
  <si>
    <t># Código Netsuite</t>
  </si>
  <si>
    <t>Ensamble</t>
  </si>
  <si>
    <t>PURATOS</t>
  </si>
  <si>
    <t>FLEISHMAN</t>
  </si>
  <si>
    <t>ASEAL</t>
  </si>
  <si>
    <t>Empaque</t>
  </si>
  <si>
    <t>PLASTICOS P</t>
  </si>
  <si>
    <t>ETIPLAST</t>
  </si>
  <si>
    <t>Unidad</t>
  </si>
  <si>
    <t>CONTROL DE CAMBIOS</t>
  </si>
  <si>
    <t>Decoración</t>
  </si>
  <si>
    <t>ESP-RE-PRES-012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</si>
</sst>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0"/>
    <numFmt numFmtId="166" formatCode="0.0"/>
    <numFmt numFmtId="167" formatCode="_(* #,##0.000_);_(* \(#,##0.000\);_(* &quot;-&quot;??_);_(@_)"/>
  </numFmts>
  <fonts count="26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8"/>
      <name val="Arial"/>
      <family val="2"/>
    </font>
    <font>
      <sz val="10"/>
      <color indexed="8"/>
      <name val="Century Gothic"/>
      <family val="2"/>
    </font>
    <font>
      <b/>
      <sz val="14"/>
      <name val="Century Gothic"/>
      <family val="2"/>
    </font>
    <font>
      <sz val="11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b/>
      <sz val="10"/>
      <color rgb="FFFF0000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2"/>
      <name val="Times New Roman"/>
      <family val="1"/>
    </font>
    <font>
      <sz val="9.85"/>
      <color indexed="8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11" fillId="0" borderId="0"/>
    <xf numFmtId="0" fontId="2" fillId="0" borderId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" fillId="0" borderId="0"/>
  </cellStyleXfs>
  <cellXfs count="271">
    <xf numFmtId="0" fontId="0" fillId="0" borderId="0" xfId="0"/>
    <xf numFmtId="0" fontId="4" fillId="2" borderId="0" xfId="0" applyFont="1" applyFill="1"/>
    <xf numFmtId="0" fontId="5" fillId="3" borderId="1" xfId="0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/>
    </xf>
    <xf numFmtId="0" fontId="5" fillId="2" borderId="4" xfId="3" applyFont="1" applyFill="1" applyBorder="1" applyAlignment="1">
      <alignment horizontal="right"/>
    </xf>
    <xf numFmtId="0" fontId="5" fillId="2" borderId="5" xfId="3" applyFont="1" applyFill="1" applyBorder="1" applyAlignment="1">
      <alignment horizontal="right"/>
    </xf>
    <xf numFmtId="0" fontId="4" fillId="2" borderId="6" xfId="3" applyFont="1" applyFill="1" applyBorder="1" applyAlignment="1">
      <alignment horizontal="right"/>
    </xf>
    <xf numFmtId="0" fontId="4" fillId="2" borderId="5" xfId="3" applyFont="1" applyFill="1" applyBorder="1" applyAlignment="1">
      <alignment horizontal="right"/>
    </xf>
    <xf numFmtId="1" fontId="4" fillId="0" borderId="6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2" borderId="0" xfId="0" applyFont="1" applyFill="1" applyAlignment="1">
      <alignment horizontal="left" indent="1"/>
    </xf>
    <xf numFmtId="0" fontId="4" fillId="3" borderId="8" xfId="0" applyFont="1" applyFill="1" applyBorder="1" applyAlignment="1">
      <alignment horizontal="center"/>
    </xf>
    <xf numFmtId="0" fontId="4" fillId="3" borderId="9" xfId="0" applyFont="1" applyFill="1" applyBorder="1"/>
    <xf numFmtId="0" fontId="5" fillId="3" borderId="9" xfId="0" applyFont="1" applyFill="1" applyBorder="1" applyAlignment="1">
      <alignment horizontal="center"/>
    </xf>
    <xf numFmtId="1" fontId="5" fillId="3" borderId="9" xfId="0" applyNumberFormat="1" applyFont="1" applyFill="1" applyBorder="1" applyAlignment="1">
      <alignment horizontal="center"/>
    </xf>
    <xf numFmtId="165" fontId="4" fillId="3" borderId="9" xfId="0" applyNumberFormat="1" applyFont="1" applyFill="1" applyBorder="1" applyAlignment="1">
      <alignment horizontal="center" wrapText="1"/>
    </xf>
    <xf numFmtId="0" fontId="4" fillId="3" borderId="10" xfId="0" applyFont="1" applyFill="1" applyBorder="1" applyAlignment="1">
      <alignment horizontal="center"/>
    </xf>
    <xf numFmtId="0" fontId="4" fillId="0" borderId="11" xfId="0" applyFont="1" applyBorder="1" applyAlignment="1">
      <alignment horizontal="center"/>
    </xf>
    <xf numFmtId="9" fontId="4" fillId="2" borderId="0" xfId="4" applyFont="1" applyFill="1"/>
    <xf numFmtId="0" fontId="4" fillId="0" borderId="2" xfId="0" applyFont="1" applyBorder="1" applyAlignment="1">
      <alignment horizontal="center"/>
    </xf>
    <xf numFmtId="0" fontId="7" fillId="2" borderId="0" xfId="0" applyFont="1" applyFill="1" applyAlignment="1">
      <alignment vertical="center"/>
    </xf>
    <xf numFmtId="1" fontId="4" fillId="0" borderId="2" xfId="0" applyNumberFormat="1" applyFont="1" applyBorder="1" applyAlignment="1">
      <alignment horizontal="center"/>
    </xf>
    <xf numFmtId="0" fontId="4" fillId="0" borderId="5" xfId="0" quotePrefix="1" applyFont="1" applyBorder="1" applyAlignment="1">
      <alignment horizontal="center"/>
    </xf>
    <xf numFmtId="0" fontId="4" fillId="0" borderId="5" xfId="0" quotePrefix="1" applyFont="1" applyBorder="1"/>
    <xf numFmtId="16" fontId="4" fillId="0" borderId="5" xfId="0" applyNumberFormat="1" applyFont="1" applyBorder="1" applyAlignment="1">
      <alignment horizontal="center"/>
    </xf>
    <xf numFmtId="49" fontId="4" fillId="0" borderId="12" xfId="0" applyNumberFormat="1" applyFont="1" applyBorder="1" applyAlignment="1">
      <alignment horizontal="center"/>
    </xf>
    <xf numFmtId="0" fontId="4" fillId="0" borderId="12" xfId="0" applyFont="1" applyBorder="1" applyAlignment="1">
      <alignment wrapText="1"/>
    </xf>
    <xf numFmtId="16" fontId="4" fillId="0" borderId="12" xfId="0" applyNumberFormat="1" applyFont="1" applyBorder="1" applyAlignment="1">
      <alignment horizontal="center"/>
    </xf>
    <xf numFmtId="1" fontId="4" fillId="0" borderId="13" xfId="0" applyNumberFormat="1" applyFont="1" applyBorder="1" applyAlignment="1">
      <alignment horizontal="center"/>
    </xf>
    <xf numFmtId="1" fontId="4" fillId="0" borderId="13" xfId="0" applyNumberFormat="1" applyFont="1" applyBorder="1" applyAlignment="1">
      <alignment horizontal="center" wrapText="1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5" xfId="0" applyFont="1" applyBorder="1"/>
    <xf numFmtId="1" fontId="5" fillId="3" borderId="12" xfId="0" applyNumberFormat="1" applyFont="1" applyFill="1" applyBorder="1" applyAlignment="1">
      <alignment horizontal="center"/>
    </xf>
    <xf numFmtId="1" fontId="5" fillId="3" borderId="12" xfId="0" applyNumberFormat="1" applyFont="1" applyFill="1" applyBorder="1" applyAlignment="1">
      <alignment horizontal="center" wrapText="1"/>
    </xf>
    <xf numFmtId="1" fontId="4" fillId="0" borderId="5" xfId="0" applyNumberFormat="1" applyFont="1" applyBorder="1" applyAlignment="1">
      <alignment horizontal="center" wrapText="1"/>
    </xf>
    <xf numFmtId="1" fontId="4" fillId="0" borderId="5" xfId="0" applyNumberFormat="1" applyFont="1" applyBorder="1" applyAlignment="1">
      <alignment horizontal="center"/>
    </xf>
    <xf numFmtId="16" fontId="4" fillId="0" borderId="6" xfId="0" applyNumberFormat="1" applyFont="1" applyBorder="1" applyAlignment="1">
      <alignment horizontal="center"/>
    </xf>
    <xf numFmtId="49" fontId="10" fillId="0" borderId="5" xfId="0" applyNumberFormat="1" applyFont="1" applyBorder="1"/>
    <xf numFmtId="49" fontId="9" fillId="0" borderId="5" xfId="0" applyNumberFormat="1" applyFont="1" applyBorder="1" applyAlignment="1">
      <alignment horizontal="center"/>
    </xf>
    <xf numFmtId="0" fontId="4" fillId="2" borderId="1" xfId="3" applyFont="1" applyFill="1" applyBorder="1" applyAlignment="1">
      <alignment horizontal="left"/>
    </xf>
    <xf numFmtId="49" fontId="4" fillId="2" borderId="15" xfId="3" applyNumberFormat="1" applyFont="1" applyFill="1" applyBorder="1" applyAlignment="1">
      <alignment horizontal="center"/>
    </xf>
    <xf numFmtId="0" fontId="5" fillId="3" borderId="1" xfId="2" applyFont="1" applyFill="1" applyBorder="1" applyAlignment="1">
      <alignment horizontal="center" vertical="center" wrapText="1"/>
    </xf>
    <xf numFmtId="1" fontId="5" fillId="3" borderId="2" xfId="2" applyNumberFormat="1" applyFont="1" applyFill="1" applyBorder="1" applyAlignment="1">
      <alignment horizontal="center"/>
    </xf>
    <xf numFmtId="1" fontId="5" fillId="3" borderId="2" xfId="2" applyNumberFormat="1" applyFont="1" applyFill="1" applyBorder="1" applyAlignment="1">
      <alignment horizontal="center" wrapText="1"/>
    </xf>
    <xf numFmtId="0" fontId="5" fillId="3" borderId="3" xfId="2" applyFont="1" applyFill="1" applyBorder="1" applyAlignment="1">
      <alignment horizontal="center"/>
    </xf>
    <xf numFmtId="0" fontId="4" fillId="3" borderId="8" xfId="2" applyFont="1" applyFill="1" applyBorder="1" applyAlignment="1">
      <alignment horizontal="center"/>
    </xf>
    <xf numFmtId="0" fontId="4" fillId="3" borderId="9" xfId="2" applyFont="1" applyFill="1" applyBorder="1"/>
    <xf numFmtId="0" fontId="5" fillId="3" borderId="9" xfId="2" applyFont="1" applyFill="1" applyBorder="1" applyAlignment="1">
      <alignment horizontal="center"/>
    </xf>
    <xf numFmtId="1" fontId="5" fillId="3" borderId="9" xfId="2" applyNumberFormat="1" applyFont="1" applyFill="1" applyBorder="1" applyAlignment="1">
      <alignment horizontal="center"/>
    </xf>
    <xf numFmtId="165" fontId="4" fillId="3" borderId="9" xfId="2" applyNumberFormat="1" applyFont="1" applyFill="1" applyBorder="1" applyAlignment="1">
      <alignment horizontal="center" wrapText="1"/>
    </xf>
    <xf numFmtId="0" fontId="4" fillId="3" borderId="10" xfId="2" applyFont="1" applyFill="1" applyBorder="1" applyAlignment="1">
      <alignment horizontal="center"/>
    </xf>
    <xf numFmtId="0" fontId="11" fillId="0" borderId="44" xfId="2" applyBorder="1" applyAlignment="1">
      <alignment horizontal="left" vertical="center"/>
    </xf>
    <xf numFmtId="0" fontId="11" fillId="0" borderId="45" xfId="2" applyBorder="1" applyAlignment="1">
      <alignment horizontal="center" vertical="center"/>
    </xf>
    <xf numFmtId="0" fontId="4" fillId="2" borderId="16" xfId="3" applyFont="1" applyFill="1" applyBorder="1" applyAlignment="1">
      <alignment horizontal="center"/>
    </xf>
    <xf numFmtId="0" fontId="4" fillId="2" borderId="17" xfId="3" applyFont="1" applyFill="1" applyBorder="1" applyAlignment="1">
      <alignment horizontal="center"/>
    </xf>
    <xf numFmtId="0" fontId="4" fillId="2" borderId="0" xfId="3" applyFont="1" applyFill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3" borderId="9" xfId="2" applyFont="1" applyFill="1" applyBorder="1" applyAlignment="1">
      <alignment horizontal="center"/>
    </xf>
    <xf numFmtId="0" fontId="11" fillId="0" borderId="5" xfId="2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2" borderId="1" xfId="3" applyFont="1" applyFill="1" applyBorder="1" applyAlignment="1">
      <alignment horizontal="center"/>
    </xf>
    <xf numFmtId="14" fontId="14" fillId="2" borderId="0" xfId="6" applyNumberFormat="1" applyFont="1" applyFill="1" applyAlignment="1">
      <alignment horizontal="center" vertical="center" wrapText="1"/>
    </xf>
    <xf numFmtId="0" fontId="15" fillId="0" borderId="50" xfId="2" applyFont="1" applyBorder="1" applyAlignment="1">
      <alignment horizontal="center" vertical="center"/>
    </xf>
    <xf numFmtId="0" fontId="15" fillId="0" borderId="27" xfId="2" applyFont="1" applyBorder="1" applyAlignment="1">
      <alignment horizontal="center" vertical="center"/>
    </xf>
    <xf numFmtId="0" fontId="16" fillId="0" borderId="5" xfId="2" applyFont="1" applyBorder="1" applyAlignment="1">
      <alignment vertical="center"/>
    </xf>
    <xf numFmtId="0" fontId="15" fillId="0" borderId="5" xfId="2" applyFont="1" applyBorder="1" applyAlignment="1">
      <alignment horizontal="center" vertical="center"/>
    </xf>
    <xf numFmtId="1" fontId="15" fillId="0" borderId="5" xfId="2" applyNumberFormat="1" applyFont="1" applyBorder="1" applyAlignment="1">
      <alignment horizontal="center"/>
    </xf>
    <xf numFmtId="1" fontId="15" fillId="0" borderId="5" xfId="2" applyNumberFormat="1" applyFont="1" applyBorder="1" applyAlignment="1">
      <alignment horizontal="center" wrapText="1"/>
    </xf>
    <xf numFmtId="0" fontId="9" fillId="0" borderId="15" xfId="2" applyFont="1" applyBorder="1" applyAlignment="1">
      <alignment horizontal="center"/>
    </xf>
    <xf numFmtId="16" fontId="4" fillId="0" borderId="6" xfId="2" applyNumberFormat="1" applyFont="1" applyBorder="1" applyAlignment="1">
      <alignment horizontal="center"/>
    </xf>
    <xf numFmtId="1" fontId="4" fillId="0" borderId="5" xfId="2" applyNumberFormat="1" applyFont="1" applyBorder="1" applyAlignment="1">
      <alignment horizontal="center"/>
    </xf>
    <xf numFmtId="1" fontId="4" fillId="0" borderId="5" xfId="2" applyNumberFormat="1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12" fontId="4" fillId="0" borderId="6" xfId="0" applyNumberFormat="1" applyFont="1" applyBorder="1" applyAlignment="1">
      <alignment horizontal="center"/>
    </xf>
    <xf numFmtId="0" fontId="4" fillId="0" borderId="28" xfId="2" quotePrefix="1" applyFont="1" applyBorder="1" applyAlignment="1">
      <alignment horizontal="center"/>
    </xf>
    <xf numFmtId="0" fontId="4" fillId="0" borderId="5" xfId="2" quotePrefix="1" applyFont="1" applyBorder="1" applyAlignment="1">
      <alignment horizontal="center"/>
    </xf>
    <xf numFmtId="0" fontId="4" fillId="0" borderId="27" xfId="2" quotePrefix="1" applyFont="1" applyBorder="1"/>
    <xf numFmtId="16" fontId="4" fillId="0" borderId="5" xfId="2" applyNumberFormat="1" applyFont="1" applyBorder="1" applyAlignment="1">
      <alignment horizontal="center"/>
    </xf>
    <xf numFmtId="0" fontId="0" fillId="0" borderId="5" xfId="0" applyBorder="1" applyAlignment="1">
      <alignment horizontal="left"/>
    </xf>
    <xf numFmtId="0" fontId="17" fillId="0" borderId="5" xfId="0" applyFont="1" applyBorder="1" applyAlignment="1">
      <alignment horizontal="center"/>
    </xf>
    <xf numFmtId="0" fontId="18" fillId="0" borderId="5" xfId="0" applyFont="1" applyBorder="1" applyAlignment="1">
      <alignment horizontal="center" vertical="center"/>
    </xf>
    <xf numFmtId="0" fontId="19" fillId="0" borderId="5" xfId="0" applyFont="1" applyBorder="1"/>
    <xf numFmtId="0" fontId="0" fillId="0" borderId="5" xfId="0" applyBorder="1"/>
    <xf numFmtId="1" fontId="0" fillId="0" borderId="5" xfId="0" applyNumberFormat="1" applyBorder="1"/>
    <xf numFmtId="0" fontId="4" fillId="6" borderId="5" xfId="2" applyFont="1" applyFill="1" applyBorder="1" applyAlignment="1">
      <alignment horizontal="center"/>
    </xf>
    <xf numFmtId="49" fontId="9" fillId="0" borderId="50" xfId="2" applyNumberFormat="1" applyFont="1" applyBorder="1" applyAlignment="1">
      <alignment horizontal="center"/>
    </xf>
    <xf numFmtId="49" fontId="9" fillId="0" borderId="27" xfId="2" applyNumberFormat="1" applyFont="1" applyBorder="1" applyAlignment="1">
      <alignment horizontal="center"/>
    </xf>
    <xf numFmtId="0" fontId="19" fillId="6" borderId="5" xfId="2" applyFont="1" applyFill="1" applyBorder="1" applyAlignment="1">
      <alignment horizontal="left"/>
    </xf>
    <xf numFmtId="0" fontId="9" fillId="0" borderId="5" xfId="2" applyFont="1" applyBorder="1" applyAlignment="1">
      <alignment horizontal="center"/>
    </xf>
    <xf numFmtId="166" fontId="9" fillId="0" borderId="5" xfId="2" applyNumberFormat="1" applyFont="1" applyBorder="1" applyAlignment="1">
      <alignment horizontal="center"/>
    </xf>
    <xf numFmtId="1" fontId="9" fillId="0" borderId="5" xfId="2" applyNumberFormat="1" applyFont="1" applyBorder="1" applyAlignment="1">
      <alignment horizontal="center" wrapText="1"/>
    </xf>
    <xf numFmtId="0" fontId="20" fillId="6" borderId="50" xfId="0" applyFont="1" applyFill="1" applyBorder="1" applyAlignment="1">
      <alignment horizontal="center"/>
    </xf>
    <xf numFmtId="0" fontId="20" fillId="6" borderId="51" xfId="0" applyFont="1" applyFill="1" applyBorder="1" applyAlignment="1">
      <alignment horizontal="center"/>
    </xf>
    <xf numFmtId="0" fontId="20" fillId="6" borderId="6" xfId="0" applyFont="1" applyFill="1" applyBorder="1"/>
    <xf numFmtId="0" fontId="4" fillId="6" borderId="27" xfId="0" applyFont="1" applyFill="1" applyBorder="1" applyAlignment="1">
      <alignment horizontal="center"/>
    </xf>
    <xf numFmtId="1" fontId="4" fillId="6" borderId="6" xfId="0" applyNumberFormat="1" applyFont="1" applyFill="1" applyBorder="1" applyAlignment="1">
      <alignment horizontal="center"/>
    </xf>
    <xf numFmtId="1" fontId="4" fillId="6" borderId="6" xfId="0" applyNumberFormat="1" applyFont="1" applyFill="1" applyBorder="1" applyAlignment="1">
      <alignment horizontal="center" wrapText="1"/>
    </xf>
    <xf numFmtId="49" fontId="4" fillId="6" borderId="6" xfId="0" applyNumberFormat="1" applyFont="1" applyFill="1" applyBorder="1" applyAlignment="1">
      <alignment horizontal="center"/>
    </xf>
    <xf numFmtId="1" fontId="4" fillId="6" borderId="5" xfId="2" applyNumberFormat="1" applyFont="1" applyFill="1" applyBorder="1" applyAlignment="1">
      <alignment horizontal="center"/>
    </xf>
    <xf numFmtId="1" fontId="4" fillId="6" borderId="5" xfId="2" applyNumberFormat="1" applyFont="1" applyFill="1" applyBorder="1" applyAlignment="1">
      <alignment horizontal="center" wrapText="1"/>
    </xf>
    <xf numFmtId="49" fontId="15" fillId="0" borderId="18" xfId="2" applyNumberFormat="1" applyFont="1" applyBorder="1" applyAlignment="1">
      <alignment horizontal="center"/>
    </xf>
    <xf numFmtId="49" fontId="15" fillId="0" borderId="19" xfId="2" applyNumberFormat="1" applyFont="1" applyBorder="1" applyAlignment="1">
      <alignment horizontal="center"/>
    </xf>
    <xf numFmtId="0" fontId="21" fillId="6" borderId="5" xfId="2" applyFont="1" applyFill="1" applyBorder="1" applyAlignment="1">
      <alignment vertical="center"/>
    </xf>
    <xf numFmtId="0" fontId="15" fillId="0" borderId="27" xfId="2" applyFont="1" applyBorder="1" applyAlignment="1">
      <alignment horizontal="center"/>
    </xf>
    <xf numFmtId="166" fontId="15" fillId="0" borderId="5" xfId="2" applyNumberFormat="1" applyFont="1" applyBorder="1" applyAlignment="1">
      <alignment horizontal="center"/>
    </xf>
    <xf numFmtId="49" fontId="9" fillId="0" borderId="50" xfId="0" applyNumberFormat="1" applyFont="1" applyBorder="1" applyAlignment="1">
      <alignment horizontal="center"/>
    </xf>
    <xf numFmtId="49" fontId="9" fillId="0" borderId="27" xfId="0" applyNumberFormat="1" applyFont="1" applyBorder="1" applyAlignment="1">
      <alignment horizontal="center"/>
    </xf>
    <xf numFmtId="49" fontId="22" fillId="0" borderId="5" xfId="0" applyNumberFormat="1" applyFont="1" applyBorder="1"/>
    <xf numFmtId="0" fontId="9" fillId="0" borderId="5" xfId="0" applyFont="1" applyBorder="1" applyAlignment="1">
      <alignment horizontal="center"/>
    </xf>
    <xf numFmtId="1" fontId="9" fillId="0" borderId="5" xfId="0" applyNumberFormat="1" applyFont="1" applyBorder="1" applyAlignment="1">
      <alignment horizontal="center"/>
    </xf>
    <xf numFmtId="1" fontId="9" fillId="0" borderId="5" xfId="0" applyNumberFormat="1" applyFont="1" applyBorder="1" applyAlignment="1">
      <alignment horizontal="center" wrapText="1"/>
    </xf>
    <xf numFmtId="167" fontId="5" fillId="6" borderId="5" xfId="1" applyNumberFormat="1" applyFont="1" applyFill="1" applyBorder="1" applyAlignment="1">
      <alignment horizontal="center"/>
    </xf>
    <xf numFmtId="0" fontId="23" fillId="0" borderId="50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0" fontId="24" fillId="0" borderId="5" xfId="0" applyFont="1" applyBorder="1"/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12" fontId="9" fillId="0" borderId="5" xfId="2" applyNumberFormat="1" applyFont="1" applyBorder="1" applyAlignment="1">
      <alignment horizontal="center"/>
    </xf>
    <xf numFmtId="1" fontId="9" fillId="0" borderId="5" xfId="2" applyNumberFormat="1" applyFont="1" applyBorder="1" applyAlignment="1">
      <alignment horizontal="center"/>
    </xf>
    <xf numFmtId="16" fontId="9" fillId="0" borderId="5" xfId="0" applyNumberFormat="1" applyFont="1" applyBorder="1" applyAlignment="1">
      <alignment horizontal="center"/>
    </xf>
    <xf numFmtId="1" fontId="17" fillId="0" borderId="5" xfId="2" applyNumberFormat="1" applyFont="1" applyBorder="1" applyAlignment="1">
      <alignment horizontal="center"/>
    </xf>
    <xf numFmtId="49" fontId="10" fillId="0" borderId="5" xfId="2" applyNumberFormat="1" applyFont="1" applyBorder="1"/>
    <xf numFmtId="0" fontId="17" fillId="0" borderId="5" xfId="2" applyFont="1" applyBorder="1" applyAlignment="1">
      <alignment horizontal="center"/>
    </xf>
    <xf numFmtId="49" fontId="7" fillId="2" borderId="16" xfId="2" applyNumberFormat="1" applyFont="1" applyFill="1" applyBorder="1" applyAlignment="1">
      <alignment horizontal="center" vertical="center"/>
    </xf>
    <xf numFmtId="49" fontId="7" fillId="2" borderId="0" xfId="2" applyNumberFormat="1" applyFont="1" applyFill="1" applyAlignment="1">
      <alignment horizontal="center" vertical="center"/>
    </xf>
    <xf numFmtId="0" fontId="4" fillId="2" borderId="0" xfId="2" applyFont="1" applyFill="1"/>
    <xf numFmtId="1" fontId="4" fillId="2" borderId="0" xfId="2" applyNumberFormat="1" applyFont="1" applyFill="1" applyAlignment="1">
      <alignment horizontal="center"/>
    </xf>
    <xf numFmtId="165" fontId="4" fillId="2" borderId="0" xfId="2" applyNumberFormat="1" applyFont="1" applyFill="1" applyAlignment="1">
      <alignment horizontal="center" wrapText="1"/>
    </xf>
    <xf numFmtId="0" fontId="4" fillId="2" borderId="52" xfId="2" applyFont="1" applyFill="1" applyBorder="1" applyAlignment="1">
      <alignment horizontal="center"/>
    </xf>
    <xf numFmtId="0" fontId="12" fillId="5" borderId="18" xfId="0" applyFont="1" applyFill="1" applyBorder="1" applyAlignment="1">
      <alignment horizontal="left"/>
    </xf>
    <xf numFmtId="0" fontId="12" fillId="5" borderId="19" xfId="0" applyFont="1" applyFill="1" applyBorder="1" applyAlignment="1">
      <alignment horizontal="left"/>
    </xf>
    <xf numFmtId="0" fontId="12" fillId="5" borderId="20" xfId="0" applyFont="1" applyFill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5" fillId="3" borderId="8" xfId="0" applyFont="1" applyFill="1" applyBorder="1" applyAlignment="1">
      <alignment horizontal="left"/>
    </xf>
    <xf numFmtId="0" fontId="5" fillId="3" borderId="9" xfId="0" applyFont="1" applyFill="1" applyBorder="1" applyAlignment="1">
      <alignment horizontal="left"/>
    </xf>
    <xf numFmtId="0" fontId="5" fillId="3" borderId="10" xfId="0" applyFont="1" applyFill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5" fillId="0" borderId="18" xfId="0" applyFont="1" applyBorder="1" applyAlignment="1">
      <alignment horizontal="right"/>
    </xf>
    <xf numFmtId="0" fontId="5" fillId="0" borderId="19" xfId="0" applyFont="1" applyBorder="1" applyAlignment="1">
      <alignment horizontal="right"/>
    </xf>
    <xf numFmtId="0" fontId="5" fillId="0" borderId="27" xfId="0" applyFont="1" applyBorder="1" applyAlignment="1">
      <alignment horizontal="right"/>
    </xf>
    <xf numFmtId="165" fontId="4" fillId="0" borderId="28" xfId="0" applyNumberFormat="1" applyFont="1" applyBorder="1" applyAlignment="1">
      <alignment horizontal="right" wrapText="1"/>
    </xf>
    <xf numFmtId="165" fontId="4" fillId="0" borderId="27" xfId="0" applyNumberFormat="1" applyFont="1" applyBorder="1" applyAlignment="1">
      <alignment horizontal="right" wrapText="1"/>
    </xf>
    <xf numFmtId="165" fontId="4" fillId="0" borderId="28" xfId="0" applyNumberFormat="1" applyFont="1" applyBorder="1" applyAlignment="1">
      <alignment horizontal="center"/>
    </xf>
    <xf numFmtId="165" fontId="4" fillId="0" borderId="20" xfId="0" applyNumberFormat="1" applyFont="1" applyBorder="1" applyAlignment="1">
      <alignment horizontal="center"/>
    </xf>
    <xf numFmtId="0" fontId="5" fillId="0" borderId="21" xfId="0" applyFont="1" applyBorder="1" applyAlignment="1">
      <alignment horizontal="right"/>
    </xf>
    <xf numFmtId="0" fontId="5" fillId="0" borderId="22" xfId="0" applyFont="1" applyBorder="1" applyAlignment="1">
      <alignment horizontal="right"/>
    </xf>
    <xf numFmtId="0" fontId="5" fillId="0" borderId="29" xfId="0" applyFont="1" applyBorder="1" applyAlignment="1">
      <alignment horizontal="right"/>
    </xf>
    <xf numFmtId="0" fontId="4" fillId="0" borderId="30" xfId="0" applyFont="1" applyBorder="1" applyAlignment="1">
      <alignment horizontal="right"/>
    </xf>
    <xf numFmtId="0" fontId="4" fillId="0" borderId="29" xfId="0" applyFont="1" applyBorder="1" applyAlignment="1">
      <alignment horizontal="right"/>
    </xf>
    <xf numFmtId="165" fontId="4" fillId="0" borderId="30" xfId="0" applyNumberFormat="1" applyFont="1" applyBorder="1" applyAlignment="1">
      <alignment horizontal="center"/>
    </xf>
    <xf numFmtId="165" fontId="4" fillId="0" borderId="23" xfId="0" applyNumberFormat="1" applyFont="1" applyBorder="1" applyAlignment="1">
      <alignment horizontal="center"/>
    </xf>
    <xf numFmtId="0" fontId="4" fillId="0" borderId="28" xfId="0" applyFont="1" applyBorder="1" applyAlignment="1">
      <alignment horizontal="right"/>
    </xf>
    <xf numFmtId="0" fontId="4" fillId="0" borderId="27" xfId="0" applyFont="1" applyBorder="1" applyAlignment="1">
      <alignment horizontal="right"/>
    </xf>
    <xf numFmtId="0" fontId="5" fillId="3" borderId="31" xfId="0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right"/>
    </xf>
    <xf numFmtId="0" fontId="5" fillId="0" borderId="25" xfId="0" applyFont="1" applyBorder="1" applyAlignment="1">
      <alignment horizontal="right"/>
    </xf>
    <xf numFmtId="0" fontId="5" fillId="0" borderId="32" xfId="0" applyFont="1" applyBorder="1" applyAlignment="1">
      <alignment horizontal="right"/>
    </xf>
    <xf numFmtId="165" fontId="4" fillId="0" borderId="31" xfId="0" applyNumberFormat="1" applyFont="1" applyBorder="1" applyAlignment="1">
      <alignment horizontal="right"/>
    </xf>
    <xf numFmtId="165" fontId="4" fillId="0" borderId="32" xfId="0" applyNumberFormat="1" applyFont="1" applyBorder="1" applyAlignment="1">
      <alignment horizontal="right"/>
    </xf>
    <xf numFmtId="0" fontId="4" fillId="2" borderId="31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/>
    </xf>
    <xf numFmtId="0" fontId="5" fillId="3" borderId="33" xfId="0" applyFont="1" applyFill="1" applyBorder="1" applyAlignment="1">
      <alignment horizontal="center" vertical="center"/>
    </xf>
    <xf numFmtId="0" fontId="5" fillId="3" borderId="34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14" fontId="4" fillId="2" borderId="41" xfId="3" applyNumberFormat="1" applyFont="1" applyFill="1" applyBorder="1" applyAlignment="1">
      <alignment horizontal="center" vertical="center" wrapText="1"/>
    </xf>
    <xf numFmtId="14" fontId="4" fillId="2" borderId="14" xfId="3" applyNumberFormat="1" applyFont="1" applyFill="1" applyBorder="1" applyAlignment="1">
      <alignment horizontal="center" vertical="center" wrapText="1"/>
    </xf>
    <xf numFmtId="14" fontId="4" fillId="2" borderId="42" xfId="3" applyNumberFormat="1" applyFont="1" applyFill="1" applyBorder="1" applyAlignment="1">
      <alignment horizontal="center" vertical="center" wrapText="1"/>
    </xf>
    <xf numFmtId="0" fontId="4" fillId="2" borderId="31" xfId="3" applyFont="1" applyFill="1" applyBorder="1" applyAlignment="1">
      <alignment horizontal="left"/>
    </xf>
    <xf numFmtId="0" fontId="4" fillId="2" borderId="25" xfId="3" applyFont="1" applyFill="1" applyBorder="1" applyAlignment="1">
      <alignment horizontal="left"/>
    </xf>
    <xf numFmtId="0" fontId="4" fillId="2" borderId="32" xfId="3" applyFont="1" applyFill="1" applyBorder="1" applyAlignment="1">
      <alignment horizontal="left"/>
    </xf>
    <xf numFmtId="0" fontId="4" fillId="2" borderId="30" xfId="3" applyFont="1" applyFill="1" applyBorder="1" applyAlignment="1">
      <alignment horizontal="left"/>
    </xf>
    <xf numFmtId="0" fontId="4" fillId="2" borderId="22" xfId="3" applyFont="1" applyFill="1" applyBorder="1" applyAlignment="1">
      <alignment horizontal="left"/>
    </xf>
    <xf numFmtId="0" fontId="4" fillId="2" borderId="29" xfId="3" applyFont="1" applyFill="1" applyBorder="1" applyAlignment="1">
      <alignment horizontal="left"/>
    </xf>
    <xf numFmtId="0" fontId="4" fillId="2" borderId="36" xfId="3" applyFont="1" applyFill="1" applyBorder="1" applyAlignment="1">
      <alignment horizontal="center"/>
    </xf>
    <xf numFmtId="0" fontId="4" fillId="2" borderId="16" xfId="3" applyFont="1" applyFill="1" applyBorder="1" applyAlignment="1">
      <alignment horizontal="center"/>
    </xf>
    <xf numFmtId="0" fontId="4" fillId="2" borderId="37" xfId="3" applyFont="1" applyFill="1" applyBorder="1" applyAlignment="1">
      <alignment horizontal="center"/>
    </xf>
    <xf numFmtId="0" fontId="3" fillId="2" borderId="31" xfId="3" applyFont="1" applyFill="1" applyBorder="1" applyAlignment="1">
      <alignment horizontal="center"/>
    </xf>
    <xf numFmtId="0" fontId="3" fillId="2" borderId="25" xfId="3" applyFont="1" applyFill="1" applyBorder="1" applyAlignment="1">
      <alignment horizontal="center"/>
    </xf>
    <xf numFmtId="0" fontId="3" fillId="2" borderId="32" xfId="3" applyFont="1" applyFill="1" applyBorder="1" applyAlignment="1">
      <alignment horizontal="center"/>
    </xf>
    <xf numFmtId="0" fontId="3" fillId="2" borderId="30" xfId="3" applyFont="1" applyFill="1" applyBorder="1" applyAlignment="1">
      <alignment horizontal="center"/>
    </xf>
    <xf numFmtId="0" fontId="3" fillId="2" borderId="22" xfId="3" applyFont="1" applyFill="1" applyBorder="1" applyAlignment="1">
      <alignment horizontal="center"/>
    </xf>
    <xf numFmtId="0" fontId="3" fillId="2" borderId="29" xfId="3" applyFont="1" applyFill="1" applyBorder="1" applyAlignment="1">
      <alignment horizontal="center"/>
    </xf>
    <xf numFmtId="0" fontId="8" fillId="4" borderId="8" xfId="3" applyFont="1" applyFill="1" applyBorder="1" applyAlignment="1">
      <alignment horizontal="center" vertical="center" wrapText="1"/>
    </xf>
    <xf numFmtId="0" fontId="8" fillId="4" borderId="9" xfId="3" applyFont="1" applyFill="1" applyBorder="1" applyAlignment="1">
      <alignment horizontal="center" vertical="center" wrapText="1"/>
    </xf>
    <xf numFmtId="0" fontId="8" fillId="4" borderId="10" xfId="3" applyFont="1" applyFill="1" applyBorder="1" applyAlignment="1">
      <alignment horizontal="center" vertical="center" wrapText="1"/>
    </xf>
    <xf numFmtId="0" fontId="5" fillId="2" borderId="38" xfId="3" applyFont="1" applyFill="1" applyBorder="1" applyAlignment="1">
      <alignment horizontal="right" vertical="top" wrapText="1"/>
    </xf>
    <xf numFmtId="0" fontId="5" fillId="2" borderId="39" xfId="3" applyFont="1" applyFill="1" applyBorder="1" applyAlignment="1">
      <alignment horizontal="right" vertical="top" wrapText="1"/>
    </xf>
    <xf numFmtId="0" fontId="5" fillId="2" borderId="40" xfId="3" applyFont="1" applyFill="1" applyBorder="1" applyAlignment="1">
      <alignment horizontal="right" vertical="top" wrapText="1"/>
    </xf>
    <xf numFmtId="0" fontId="5" fillId="7" borderId="54" xfId="3" applyFont="1" applyFill="1" applyBorder="1" applyAlignment="1">
      <alignment horizontal="center"/>
    </xf>
    <xf numFmtId="0" fontId="5" fillId="7" borderId="17" xfId="3" applyFont="1" applyFill="1" applyBorder="1" applyAlignment="1">
      <alignment horizontal="center"/>
    </xf>
    <xf numFmtId="0" fontId="4" fillId="2" borderId="55" xfId="3" applyFont="1" applyFill="1" applyBorder="1" applyAlignment="1">
      <alignment horizontal="left"/>
    </xf>
    <xf numFmtId="0" fontId="4" fillId="2" borderId="0" xfId="3" applyFont="1" applyFill="1" applyAlignment="1">
      <alignment horizontal="left"/>
    </xf>
    <xf numFmtId="0" fontId="4" fillId="0" borderId="21" xfId="2" applyFont="1" applyBorder="1" applyAlignment="1">
      <alignment horizontal="left"/>
    </xf>
    <xf numFmtId="0" fontId="4" fillId="0" borderId="22" xfId="2" applyFont="1" applyBorder="1" applyAlignment="1">
      <alignment horizontal="left"/>
    </xf>
    <xf numFmtId="0" fontId="4" fillId="0" borderId="23" xfId="2" applyFont="1" applyBorder="1" applyAlignment="1">
      <alignment horizontal="left"/>
    </xf>
    <xf numFmtId="0" fontId="4" fillId="0" borderId="49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17" fillId="0" borderId="50" xfId="0" applyFont="1" applyBorder="1" applyAlignment="1">
      <alignment horizontal="left"/>
    </xf>
    <xf numFmtId="0" fontId="17" fillId="0" borderId="27" xfId="0" applyFont="1" applyBorder="1" applyAlignment="1">
      <alignment horizontal="left"/>
    </xf>
    <xf numFmtId="0" fontId="17" fillId="0" borderId="5" xfId="0" applyFont="1" applyBorder="1" applyAlignment="1">
      <alignment horizontal="left"/>
    </xf>
    <xf numFmtId="0" fontId="17" fillId="0" borderId="15" xfId="0" applyFont="1" applyBorder="1" applyAlignment="1">
      <alignment horizontal="left"/>
    </xf>
    <xf numFmtId="0" fontId="17" fillId="0" borderId="18" xfId="2" applyFont="1" applyBorder="1" applyAlignment="1">
      <alignment horizontal="left" wrapText="1"/>
    </xf>
    <xf numFmtId="0" fontId="17" fillId="0" borderId="19" xfId="2" applyFont="1" applyBorder="1" applyAlignment="1">
      <alignment horizontal="left" wrapText="1"/>
    </xf>
    <xf numFmtId="0" fontId="17" fillId="0" borderId="20" xfId="2" applyFont="1" applyBorder="1" applyAlignment="1">
      <alignment horizontal="left" wrapText="1"/>
    </xf>
    <xf numFmtId="0" fontId="25" fillId="0" borderId="46" xfId="2" applyFont="1" applyBorder="1" applyAlignment="1">
      <alignment horizontal="left"/>
    </xf>
    <xf numFmtId="0" fontId="25" fillId="0" borderId="47" xfId="2" applyFont="1" applyBorder="1" applyAlignment="1">
      <alignment horizontal="left"/>
    </xf>
    <xf numFmtId="0" fontId="25" fillId="0" borderId="53" xfId="2" applyFont="1" applyBorder="1" applyAlignment="1">
      <alignment horizontal="left"/>
    </xf>
    <xf numFmtId="0" fontId="12" fillId="5" borderId="18" xfId="2" applyFont="1" applyFill="1" applyBorder="1" applyAlignment="1">
      <alignment horizontal="left"/>
    </xf>
    <xf numFmtId="0" fontId="12" fillId="5" borderId="19" xfId="2" applyFont="1" applyFill="1" applyBorder="1" applyAlignment="1">
      <alignment horizontal="left"/>
    </xf>
    <xf numFmtId="0" fontId="12" fillId="5" borderId="20" xfId="2" applyFont="1" applyFill="1" applyBorder="1" applyAlignment="1">
      <alignment horizontal="left"/>
    </xf>
    <xf numFmtId="0" fontId="5" fillId="0" borderId="18" xfId="2" applyFont="1" applyBorder="1" applyAlignment="1">
      <alignment horizontal="right"/>
    </xf>
    <xf numFmtId="0" fontId="5" fillId="0" borderId="19" xfId="2" applyFont="1" applyBorder="1" applyAlignment="1">
      <alignment horizontal="right"/>
    </xf>
    <xf numFmtId="0" fontId="5" fillId="0" borderId="27" xfId="2" applyFont="1" applyBorder="1" applyAlignment="1">
      <alignment horizontal="right"/>
    </xf>
    <xf numFmtId="0" fontId="4" fillId="0" borderId="5" xfId="2" applyFont="1" applyBorder="1" applyAlignment="1">
      <alignment horizontal="right"/>
    </xf>
    <xf numFmtId="165" fontId="4" fillId="0" borderId="28" xfId="2" applyNumberFormat="1" applyFont="1" applyBorder="1" applyAlignment="1">
      <alignment horizontal="center"/>
    </xf>
    <xf numFmtId="165" fontId="4" fillId="0" borderId="20" xfId="2" applyNumberFormat="1" applyFont="1" applyBorder="1" applyAlignment="1">
      <alignment horizontal="center"/>
    </xf>
    <xf numFmtId="165" fontId="4" fillId="0" borderId="28" xfId="2" applyNumberFormat="1" applyFont="1" applyBorder="1" applyAlignment="1">
      <alignment horizontal="right" wrapText="1"/>
    </xf>
    <xf numFmtId="165" fontId="4" fillId="0" borderId="27" xfId="2" applyNumberFormat="1" applyFont="1" applyBorder="1" applyAlignment="1">
      <alignment horizontal="right" wrapText="1"/>
    </xf>
    <xf numFmtId="165" fontId="4" fillId="0" borderId="28" xfId="0" applyNumberFormat="1" applyFont="1" applyBorder="1" applyAlignment="1">
      <alignment horizontal="center" wrapText="1"/>
    </xf>
    <xf numFmtId="165" fontId="4" fillId="0" borderId="20" xfId="0" applyNumberFormat="1" applyFont="1" applyBorder="1" applyAlignment="1">
      <alignment horizontal="center" wrapText="1"/>
    </xf>
    <xf numFmtId="0" fontId="5" fillId="0" borderId="49" xfId="2" applyFont="1" applyBorder="1" applyAlignment="1">
      <alignment horizontal="right"/>
    </xf>
    <xf numFmtId="0" fontId="5" fillId="0" borderId="29" xfId="2" applyFont="1" applyBorder="1" applyAlignment="1">
      <alignment horizontal="right"/>
    </xf>
    <xf numFmtId="0" fontId="5" fillId="0" borderId="2" xfId="2" applyFont="1" applyBorder="1" applyAlignment="1">
      <alignment horizontal="right"/>
    </xf>
    <xf numFmtId="0" fontId="4" fillId="0" borderId="2" xfId="2" applyFont="1" applyBorder="1" applyAlignment="1">
      <alignment horizontal="right"/>
    </xf>
    <xf numFmtId="0" fontId="5" fillId="3" borderId="8" xfId="2" applyFont="1" applyFill="1" applyBorder="1" applyAlignment="1">
      <alignment horizontal="left"/>
    </xf>
    <xf numFmtId="0" fontId="5" fillId="3" borderId="9" xfId="2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  <xf numFmtId="0" fontId="4" fillId="0" borderId="24" xfId="2" applyFont="1" applyBorder="1" applyAlignment="1">
      <alignment horizontal="left" wrapText="1"/>
    </xf>
    <xf numFmtId="0" fontId="4" fillId="0" borderId="25" xfId="2" applyFont="1" applyBorder="1" applyAlignment="1">
      <alignment horizontal="left" wrapText="1"/>
    </xf>
    <xf numFmtId="0" fontId="4" fillId="0" borderId="26" xfId="2" applyFont="1" applyBorder="1" applyAlignment="1">
      <alignment horizontal="left" wrapText="1"/>
    </xf>
    <xf numFmtId="0" fontId="5" fillId="0" borderId="46" xfId="2" applyFont="1" applyBorder="1" applyAlignment="1">
      <alignment horizontal="right"/>
    </xf>
    <xf numFmtId="0" fontId="5" fillId="0" borderId="47" xfId="2" applyFont="1" applyBorder="1" applyAlignment="1">
      <alignment horizontal="right"/>
    </xf>
    <xf numFmtId="0" fontId="5" fillId="0" borderId="51" xfId="2" applyFont="1" applyBorder="1" applyAlignment="1">
      <alignment horizontal="right"/>
    </xf>
    <xf numFmtId="165" fontId="4" fillId="0" borderId="6" xfId="2" applyNumberFormat="1" applyFont="1" applyBorder="1" applyAlignment="1">
      <alignment horizontal="right"/>
    </xf>
    <xf numFmtId="0" fontId="4" fillId="2" borderId="11" xfId="2" applyFont="1" applyFill="1" applyBorder="1" applyAlignment="1">
      <alignment horizontal="center"/>
    </xf>
    <xf numFmtId="0" fontId="4" fillId="2" borderId="53" xfId="2" applyFont="1" applyFill="1" applyBorder="1" applyAlignment="1">
      <alignment horizontal="center"/>
    </xf>
    <xf numFmtId="0" fontId="13" fillId="2" borderId="0" xfId="6" applyFont="1" applyFill="1" applyAlignment="1">
      <alignment horizontal="right"/>
    </xf>
    <xf numFmtId="0" fontId="14" fillId="2" borderId="43" xfId="6" applyFont="1" applyFill="1" applyBorder="1" applyAlignment="1">
      <alignment horizontal="center"/>
    </xf>
    <xf numFmtId="0" fontId="13" fillId="2" borderId="0" xfId="6" applyFont="1" applyFill="1"/>
    <xf numFmtId="0" fontId="5" fillId="3" borderId="48" xfId="2" applyFont="1" applyFill="1" applyBorder="1" applyAlignment="1">
      <alignment horizontal="center" vertical="center"/>
    </xf>
    <xf numFmtId="0" fontId="5" fillId="3" borderId="49" xfId="2" applyFont="1" applyFill="1" applyBorder="1" applyAlignment="1">
      <alignment horizontal="center" vertical="center"/>
    </xf>
    <xf numFmtId="0" fontId="5" fillId="3" borderId="48" xfId="2" applyFont="1" applyFill="1" applyBorder="1" applyAlignment="1">
      <alignment horizontal="center" vertical="center" wrapText="1"/>
    </xf>
    <xf numFmtId="0" fontId="5" fillId="3" borderId="49" xfId="2" applyFont="1" applyFill="1" applyBorder="1" applyAlignment="1">
      <alignment horizontal="center" vertical="center" wrapText="1"/>
    </xf>
    <xf numFmtId="0" fontId="5" fillId="3" borderId="4" xfId="2" applyFont="1" applyFill="1" applyBorder="1" applyAlignment="1">
      <alignment horizontal="center" vertical="center"/>
    </xf>
    <xf numFmtId="0" fontId="5" fillId="3" borderId="2" xfId="2" applyFont="1" applyFill="1" applyBorder="1" applyAlignment="1">
      <alignment horizontal="center" vertical="center"/>
    </xf>
    <xf numFmtId="14" fontId="4" fillId="2" borderId="7" xfId="3" applyNumberFormat="1" applyFont="1" applyFill="1" applyBorder="1" applyAlignment="1">
      <alignment horizontal="center" vertical="center" wrapText="1"/>
    </xf>
    <xf numFmtId="0" fontId="4" fillId="2" borderId="28" xfId="3" applyFont="1" applyFill="1" applyBorder="1" applyAlignment="1">
      <alignment horizontal="left"/>
    </xf>
    <xf numFmtId="0" fontId="4" fillId="2" borderId="19" xfId="3" applyFont="1" applyFill="1" applyBorder="1" applyAlignment="1">
      <alignment horizontal="left"/>
    </xf>
    <xf numFmtId="0" fontId="4" fillId="2" borderId="27" xfId="3" applyFont="1" applyFill="1" applyBorder="1" applyAlignment="1">
      <alignment horizontal="left"/>
    </xf>
    <xf numFmtId="0" fontId="4" fillId="2" borderId="17" xfId="3" applyFont="1" applyFill="1" applyBorder="1" applyAlignment="1">
      <alignment horizontal="center"/>
    </xf>
    <xf numFmtId="0" fontId="4" fillId="2" borderId="0" xfId="3" applyFont="1" applyFill="1" applyAlignment="1">
      <alignment horizontal="center"/>
    </xf>
    <xf numFmtId="0" fontId="4" fillId="2" borderId="46" xfId="3" applyFont="1" applyFill="1" applyBorder="1" applyAlignment="1">
      <alignment horizontal="center"/>
    </xf>
    <xf numFmtId="0" fontId="4" fillId="2" borderId="47" xfId="3" applyFont="1" applyFill="1" applyBorder="1" applyAlignment="1">
      <alignment horizontal="center"/>
    </xf>
    <xf numFmtId="0" fontId="3" fillId="2" borderId="4" xfId="3" applyFont="1" applyFill="1" applyBorder="1" applyAlignment="1">
      <alignment horizontal="center"/>
    </xf>
    <xf numFmtId="0" fontId="8" fillId="4" borderId="8" xfId="3" applyFont="1" applyFill="1" applyBorder="1" applyAlignment="1">
      <alignment horizontal="center"/>
    </xf>
    <xf numFmtId="0" fontId="8" fillId="4" borderId="9" xfId="3" applyFont="1" applyFill="1" applyBorder="1" applyAlignment="1">
      <alignment horizontal="center"/>
    </xf>
    <xf numFmtId="0" fontId="8" fillId="4" borderId="10" xfId="3" applyFont="1" applyFill="1" applyBorder="1" applyAlignment="1">
      <alignment horizontal="center"/>
    </xf>
  </cellXfs>
  <cellStyles count="7">
    <cellStyle name="Millares" xfId="1" builtinId="3"/>
    <cellStyle name="Normal" xfId="0" builtinId="0"/>
    <cellStyle name="Normal 2" xfId="2" xr:uid="{CFEEA97D-98FC-4D4E-AF7B-E52D3FEF3074}"/>
    <cellStyle name="Normal_CRITERIOS DE EVALUACION PT DE GB" xfId="3" xr:uid="{EDE2DA49-F71F-4A47-AB83-76E0DD97E64C}"/>
    <cellStyle name="Normal_CRITERIOS DE EVALUACION PT DE GB 2" xfId="6" xr:uid="{50D43E75-B782-4BFA-9289-C4BA36D6F0C0}"/>
    <cellStyle name="Porcentaje" xfId="4" builtinId="5"/>
    <cellStyle name="Porcentaje 2" xfId="5" xr:uid="{E3D8E1C3-2118-4D0D-B4AA-D394846301D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107950</xdr:rowOff>
    </xdr:from>
    <xdr:to>
      <xdr:col>0</xdr:col>
      <xdr:colOff>869950</xdr:colOff>
      <xdr:row>2</xdr:row>
      <xdr:rowOff>488950</xdr:rowOff>
    </xdr:to>
    <xdr:pic>
      <xdr:nvPicPr>
        <xdr:cNvPr id="8232" name="Picture 1" descr="LOGO FINAL">
          <a:extLst>
            <a:ext uri="{FF2B5EF4-FFF2-40B4-BE49-F238E27FC236}">
              <a16:creationId xmlns:a16="http://schemas.microsoft.com/office/drawing/2014/main" id="{EF87FCFC-3BB6-3910-10D9-933B6CC69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79" t="-2632" r="11829"/>
        <a:stretch>
          <a:fillRect/>
        </a:stretch>
      </xdr:blipFill>
      <xdr:spPr bwMode="auto">
        <a:xfrm>
          <a:off x="19050" y="107950"/>
          <a:ext cx="850900" cy="76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54429</xdr:colOff>
      <xdr:row>1</xdr:row>
      <xdr:rowOff>0</xdr:rowOff>
    </xdr:from>
    <xdr:to>
      <xdr:col>1</xdr:col>
      <xdr:colOff>732609</xdr:colOff>
      <xdr:row>4</xdr:row>
      <xdr:rowOff>64770</xdr:rowOff>
    </xdr:to>
    <xdr:pic>
      <xdr:nvPicPr>
        <xdr:cNvPr id="2" name="Imagen 13">
          <a:extLst>
            <a:ext uri="{FF2B5EF4-FFF2-40B4-BE49-F238E27FC236}">
              <a16:creationId xmlns:a16="http://schemas.microsoft.com/office/drawing/2014/main" id="{C7BAF0F5-A493-414F-A636-27B070486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9" y="204107"/>
          <a:ext cx="1440180" cy="922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89097-70E0-44D7-9E21-AE096745270C}">
  <dimension ref="A1:M28"/>
  <sheetViews>
    <sheetView topLeftCell="A4" zoomScaleNormal="100" workbookViewId="0">
      <selection activeCell="I13" sqref="I13"/>
    </sheetView>
  </sheetViews>
  <sheetFormatPr baseColWidth="10" defaultColWidth="9.140625" defaultRowHeight="13.5" x14ac:dyDescent="0.25"/>
  <cols>
    <col min="1" max="1" width="13.140625" style="1" customWidth="1"/>
    <col min="2" max="2" width="24.5703125" style="1" customWidth="1"/>
    <col min="3" max="3" width="38.140625" style="1" customWidth="1"/>
    <col min="4" max="4" width="14.140625" style="1" customWidth="1"/>
    <col min="5" max="5" width="9.140625" style="1" customWidth="1"/>
    <col min="6" max="7" width="11.85546875" style="1" customWidth="1"/>
    <col min="8" max="8" width="14.28515625" style="1" customWidth="1"/>
    <col min="9" max="9" width="15.42578125" style="1" customWidth="1"/>
    <col min="10" max="16384" width="9.140625" style="1"/>
  </cols>
  <sheetData>
    <row r="1" spans="1:10" ht="15.75" x14ac:dyDescent="0.25">
      <c r="A1" s="185"/>
      <c r="B1" s="59"/>
      <c r="C1" s="188" t="s">
        <v>23</v>
      </c>
      <c r="D1" s="189"/>
      <c r="E1" s="189"/>
      <c r="F1" s="189"/>
      <c r="G1" s="190"/>
      <c r="H1" s="6" t="s">
        <v>0</v>
      </c>
      <c r="I1" s="44" t="s">
        <v>46</v>
      </c>
    </row>
    <row r="2" spans="1:10" ht="16.5" thickBot="1" x14ac:dyDescent="0.3">
      <c r="A2" s="186"/>
      <c r="B2" s="60"/>
      <c r="C2" s="191" t="s">
        <v>1</v>
      </c>
      <c r="D2" s="192"/>
      <c r="E2" s="192"/>
      <c r="F2" s="192"/>
      <c r="G2" s="193"/>
      <c r="H2" s="7" t="s">
        <v>2</v>
      </c>
      <c r="I2" s="45" t="s">
        <v>43</v>
      </c>
    </row>
    <row r="3" spans="1:10" ht="50.1" customHeight="1" thickBot="1" x14ac:dyDescent="0.3">
      <c r="A3" s="186"/>
      <c r="B3" s="58"/>
      <c r="C3" s="194" t="s">
        <v>57</v>
      </c>
      <c r="D3" s="195"/>
      <c r="E3" s="195"/>
      <c r="F3" s="195"/>
      <c r="G3" s="196"/>
      <c r="H3" s="197" t="s">
        <v>3</v>
      </c>
      <c r="I3" s="176">
        <v>41752</v>
      </c>
    </row>
    <row r="4" spans="1:10" x14ac:dyDescent="0.25">
      <c r="A4" s="186"/>
      <c r="B4" s="60"/>
      <c r="C4" s="8" t="s">
        <v>4</v>
      </c>
      <c r="D4" s="179" t="s">
        <v>49</v>
      </c>
      <c r="E4" s="180"/>
      <c r="F4" s="180"/>
      <c r="G4" s="181"/>
      <c r="H4" s="198"/>
      <c r="I4" s="177"/>
    </row>
    <row r="5" spans="1:10" ht="15" customHeight="1" thickBot="1" x14ac:dyDescent="0.3">
      <c r="A5" s="187"/>
      <c r="B5" s="60"/>
      <c r="C5" s="9" t="s">
        <v>5</v>
      </c>
      <c r="D5" s="182" t="s">
        <v>48</v>
      </c>
      <c r="E5" s="183"/>
      <c r="F5" s="183"/>
      <c r="G5" s="184"/>
      <c r="H5" s="199"/>
      <c r="I5" s="178"/>
    </row>
    <row r="6" spans="1:10" ht="25.5" x14ac:dyDescent="0.25">
      <c r="A6" s="171" t="s">
        <v>6</v>
      </c>
      <c r="B6" s="173" t="s">
        <v>58</v>
      </c>
      <c r="C6" s="173" t="s">
        <v>7</v>
      </c>
      <c r="D6" s="173" t="s">
        <v>8</v>
      </c>
      <c r="E6" s="162" t="s">
        <v>9</v>
      </c>
      <c r="F6" s="163"/>
      <c r="G6" s="162" t="s">
        <v>10</v>
      </c>
      <c r="H6" s="163"/>
      <c r="I6" s="2" t="s">
        <v>11</v>
      </c>
    </row>
    <row r="7" spans="1:10" ht="27" thickBot="1" x14ac:dyDescent="0.3">
      <c r="A7" s="172"/>
      <c r="B7" s="175"/>
      <c r="C7" s="174"/>
      <c r="D7" s="174"/>
      <c r="E7" s="37" t="s">
        <v>12</v>
      </c>
      <c r="F7" s="38" t="s">
        <v>13</v>
      </c>
      <c r="G7" s="3" t="s">
        <v>12</v>
      </c>
      <c r="H7" s="4" t="s">
        <v>13</v>
      </c>
      <c r="I7" s="5" t="s">
        <v>14</v>
      </c>
    </row>
    <row r="8" spans="1:10" ht="15" x14ac:dyDescent="0.25">
      <c r="A8" s="43" t="s">
        <v>38</v>
      </c>
      <c r="B8" s="43" t="s">
        <v>59</v>
      </c>
      <c r="C8" s="42" t="s">
        <v>39</v>
      </c>
      <c r="D8" s="41" t="s">
        <v>37</v>
      </c>
      <c r="E8" s="40">
        <v>6000</v>
      </c>
      <c r="F8" s="39" t="s">
        <v>28</v>
      </c>
      <c r="G8" s="10"/>
      <c r="H8" s="11"/>
      <c r="I8" s="12"/>
      <c r="J8" s="1">
        <f>+E8/6.034</f>
        <v>994.36526350679492</v>
      </c>
    </row>
    <row r="9" spans="1:10" x14ac:dyDescent="0.25">
      <c r="A9" s="26" t="s">
        <v>50</v>
      </c>
      <c r="B9" s="26" t="s">
        <v>60</v>
      </c>
      <c r="C9" s="27" t="s">
        <v>40</v>
      </c>
      <c r="D9" s="41" t="s">
        <v>41</v>
      </c>
      <c r="E9" s="40">
        <v>24</v>
      </c>
      <c r="F9" s="39" t="s">
        <v>28</v>
      </c>
      <c r="G9" s="10"/>
      <c r="H9" s="11"/>
      <c r="I9" s="12"/>
      <c r="J9" s="1">
        <f t="shared" ref="J9:J14" si="0">+E9/6.034</f>
        <v>3.9774610540271795</v>
      </c>
    </row>
    <row r="10" spans="1:10" x14ac:dyDescent="0.25">
      <c r="A10" s="26" t="s">
        <v>29</v>
      </c>
      <c r="B10" s="26" t="s">
        <v>61</v>
      </c>
      <c r="C10" s="27" t="s">
        <v>30</v>
      </c>
      <c r="D10" s="28" t="s">
        <v>36</v>
      </c>
      <c r="E10" s="40">
        <v>10</v>
      </c>
      <c r="F10" s="39" t="s">
        <v>28</v>
      </c>
      <c r="G10" s="10"/>
      <c r="H10" s="11"/>
      <c r="I10" s="12"/>
      <c r="J10" s="1">
        <f t="shared" si="0"/>
        <v>1.6572754391779914</v>
      </c>
    </row>
    <row r="11" spans="1:10" x14ac:dyDescent="0.25">
      <c r="A11" s="26"/>
      <c r="B11" s="26"/>
      <c r="C11" s="27"/>
      <c r="D11" s="28"/>
      <c r="E11" s="40"/>
      <c r="F11" s="39"/>
      <c r="G11" s="10"/>
      <c r="H11" s="11"/>
      <c r="I11" s="12"/>
      <c r="J11" s="1">
        <f t="shared" si="0"/>
        <v>0</v>
      </c>
    </row>
    <row r="12" spans="1:10" x14ac:dyDescent="0.25">
      <c r="A12" s="13"/>
      <c r="B12" s="13"/>
      <c r="C12" s="36"/>
      <c r="D12" s="28"/>
      <c r="E12" s="40"/>
      <c r="F12" s="39"/>
      <c r="G12" s="10"/>
      <c r="H12" s="11"/>
      <c r="I12" s="12"/>
      <c r="J12" s="1">
        <f t="shared" si="0"/>
        <v>0</v>
      </c>
    </row>
    <row r="13" spans="1:10" x14ac:dyDescent="0.25">
      <c r="A13" s="26" t="s">
        <v>31</v>
      </c>
      <c r="B13" s="26" t="s">
        <v>62</v>
      </c>
      <c r="C13" s="27" t="s">
        <v>32</v>
      </c>
      <c r="D13" s="28" t="s">
        <v>44</v>
      </c>
      <c r="E13" s="40">
        <v>1</v>
      </c>
      <c r="F13" s="39" t="s">
        <v>33</v>
      </c>
      <c r="G13" s="10"/>
      <c r="H13" s="11"/>
      <c r="I13" s="12"/>
      <c r="J13" s="1">
        <f t="shared" si="0"/>
        <v>0.16572754391779915</v>
      </c>
    </row>
    <row r="14" spans="1:10" x14ac:dyDescent="0.25">
      <c r="A14" s="26" t="s">
        <v>26</v>
      </c>
      <c r="B14" s="26" t="s">
        <v>63</v>
      </c>
      <c r="C14" s="27" t="s">
        <v>27</v>
      </c>
      <c r="D14" s="28" t="s">
        <v>45</v>
      </c>
      <c r="E14" s="40">
        <v>1</v>
      </c>
      <c r="F14" s="39" t="s">
        <v>33</v>
      </c>
      <c r="G14" s="10"/>
      <c r="H14" s="11"/>
      <c r="I14" s="12"/>
      <c r="J14" s="1">
        <f t="shared" si="0"/>
        <v>0.16572754391779915</v>
      </c>
    </row>
    <row r="15" spans="1:10" x14ac:dyDescent="0.25">
      <c r="A15" s="26"/>
      <c r="B15" s="26"/>
      <c r="C15" s="27"/>
      <c r="D15" s="28"/>
      <c r="E15" s="40"/>
      <c r="F15" s="39"/>
      <c r="G15" s="10"/>
      <c r="H15" s="11"/>
      <c r="I15" s="12"/>
    </row>
    <row r="16" spans="1:10" ht="14.25" thickBot="1" x14ac:dyDescent="0.3">
      <c r="A16" s="29"/>
      <c r="B16" s="29"/>
      <c r="C16" s="30"/>
      <c r="D16" s="31"/>
      <c r="E16" s="32"/>
      <c r="F16" s="33"/>
      <c r="G16" s="32"/>
      <c r="H16" s="34"/>
      <c r="I16" s="35"/>
    </row>
    <row r="17" spans="1:13" ht="14.25" thickBot="1" x14ac:dyDescent="0.3">
      <c r="A17" s="15"/>
      <c r="B17" s="61"/>
      <c r="C17" s="16"/>
      <c r="D17" s="17"/>
      <c r="E17" s="18"/>
      <c r="F17" s="19"/>
      <c r="G17" s="16"/>
      <c r="H17" s="16"/>
      <c r="I17" s="20"/>
      <c r="L17" s="14"/>
    </row>
    <row r="18" spans="1:13" x14ac:dyDescent="0.25">
      <c r="A18" s="164" t="s">
        <v>15</v>
      </c>
      <c r="B18" s="165"/>
      <c r="C18" s="166"/>
      <c r="D18" s="10">
        <f>SUM(E8:E11)</f>
        <v>6034</v>
      </c>
      <c r="E18" s="21" t="s">
        <v>28</v>
      </c>
      <c r="F18" s="167" t="s">
        <v>24</v>
      </c>
      <c r="G18" s="168"/>
      <c r="H18" s="169"/>
      <c r="I18" s="170"/>
      <c r="L18" s="14"/>
    </row>
    <row r="19" spans="1:13" x14ac:dyDescent="0.25">
      <c r="A19" s="146" t="s">
        <v>16</v>
      </c>
      <c r="B19" s="147"/>
      <c r="C19" s="148"/>
      <c r="D19" s="13">
        <v>3</v>
      </c>
      <c r="E19" s="13" t="s">
        <v>34</v>
      </c>
      <c r="F19" s="160" t="s">
        <v>17</v>
      </c>
      <c r="G19" s="161"/>
      <c r="H19" s="151"/>
      <c r="I19" s="152"/>
      <c r="J19" s="1">
        <f>3/6.034</f>
        <v>0.49718263175339744</v>
      </c>
      <c r="L19" s="14"/>
    </row>
    <row r="20" spans="1:13" x14ac:dyDescent="0.25">
      <c r="A20" s="146" t="s">
        <v>18</v>
      </c>
      <c r="B20" s="147"/>
      <c r="C20" s="148"/>
      <c r="D20" s="13">
        <v>1</v>
      </c>
      <c r="E20" s="13" t="s">
        <v>35</v>
      </c>
      <c r="F20" s="160" t="s">
        <v>25</v>
      </c>
      <c r="G20" s="161"/>
      <c r="H20" s="151"/>
      <c r="I20" s="152"/>
      <c r="L20" s="14"/>
    </row>
    <row r="21" spans="1:13" x14ac:dyDescent="0.25">
      <c r="A21" s="146" t="s">
        <v>19</v>
      </c>
      <c r="B21" s="147"/>
      <c r="C21" s="148"/>
      <c r="D21" s="40">
        <f>SUM(E8:E10)</f>
        <v>6034</v>
      </c>
      <c r="E21" s="13" t="s">
        <v>28</v>
      </c>
      <c r="F21" s="149" t="s">
        <v>20</v>
      </c>
      <c r="G21" s="150"/>
      <c r="H21" s="151"/>
      <c r="I21" s="152"/>
      <c r="L21" s="14"/>
      <c r="M21" s="22"/>
    </row>
    <row r="22" spans="1:13" ht="14.25" thickBot="1" x14ac:dyDescent="0.3">
      <c r="A22" s="153" t="s">
        <v>21</v>
      </c>
      <c r="B22" s="154"/>
      <c r="C22" s="155"/>
      <c r="D22" s="25">
        <v>0</v>
      </c>
      <c r="E22" s="23" t="s">
        <v>28</v>
      </c>
      <c r="F22" s="156"/>
      <c r="G22" s="157"/>
      <c r="H22" s="158"/>
      <c r="I22" s="159"/>
      <c r="L22" s="14"/>
    </row>
    <row r="23" spans="1:13" ht="14.25" thickBot="1" x14ac:dyDescent="0.3">
      <c r="A23" s="140" t="s">
        <v>22</v>
      </c>
      <c r="B23" s="141"/>
      <c r="C23" s="141"/>
      <c r="D23" s="141"/>
      <c r="E23" s="141"/>
      <c r="F23" s="141"/>
      <c r="G23" s="141"/>
      <c r="H23" s="141"/>
      <c r="I23" s="142"/>
    </row>
    <row r="24" spans="1:13" ht="15.75" customHeight="1" x14ac:dyDescent="0.25">
      <c r="A24" s="143" t="s">
        <v>42</v>
      </c>
      <c r="B24" s="144"/>
      <c r="C24" s="144"/>
      <c r="D24" s="144"/>
      <c r="E24" s="144"/>
      <c r="F24" s="144"/>
      <c r="G24" s="144"/>
      <c r="H24" s="144"/>
      <c r="I24" s="145"/>
    </row>
    <row r="25" spans="1:13" x14ac:dyDescent="0.25">
      <c r="A25" s="134" t="s">
        <v>47</v>
      </c>
      <c r="B25" s="135"/>
      <c r="C25" s="135"/>
      <c r="D25" s="135"/>
      <c r="E25" s="135"/>
      <c r="F25" s="135"/>
      <c r="G25" s="135"/>
      <c r="H25" s="135"/>
      <c r="I25" s="136"/>
    </row>
    <row r="26" spans="1:13" ht="14.25" thickBot="1" x14ac:dyDescent="0.3">
      <c r="A26" s="137"/>
      <c r="B26" s="138"/>
      <c r="C26" s="138"/>
      <c r="D26" s="138"/>
      <c r="E26" s="138"/>
      <c r="F26" s="138"/>
      <c r="G26" s="138"/>
      <c r="H26" s="138"/>
      <c r="I26" s="139"/>
    </row>
    <row r="28" spans="1:13" x14ac:dyDescent="0.25">
      <c r="A28" s="24"/>
      <c r="B28" s="24"/>
      <c r="C28" s="24"/>
    </row>
  </sheetData>
  <mergeCells count="33">
    <mergeCell ref="I3:I5"/>
    <mergeCell ref="D4:G4"/>
    <mergeCell ref="D5:G5"/>
    <mergeCell ref="A1:A5"/>
    <mergeCell ref="C1:G1"/>
    <mergeCell ref="C2:G2"/>
    <mergeCell ref="C3:G3"/>
    <mergeCell ref="H3:H5"/>
    <mergeCell ref="G6:H6"/>
    <mergeCell ref="A18:C18"/>
    <mergeCell ref="F18:G18"/>
    <mergeCell ref="H18:I18"/>
    <mergeCell ref="A6:A7"/>
    <mergeCell ref="C6:C7"/>
    <mergeCell ref="D6:D7"/>
    <mergeCell ref="E6:F6"/>
    <mergeCell ref="B6:B7"/>
    <mergeCell ref="A19:C19"/>
    <mergeCell ref="F19:G19"/>
    <mergeCell ref="H19:I19"/>
    <mergeCell ref="A20:C20"/>
    <mergeCell ref="F20:G20"/>
    <mergeCell ref="H20:I20"/>
    <mergeCell ref="A25:I25"/>
    <mergeCell ref="A26:I26"/>
    <mergeCell ref="A23:I23"/>
    <mergeCell ref="A24:I24"/>
    <mergeCell ref="A21:C21"/>
    <mergeCell ref="F21:G21"/>
    <mergeCell ref="H21:I21"/>
    <mergeCell ref="A22:C22"/>
    <mergeCell ref="F22:G22"/>
    <mergeCell ref="H22:I22"/>
  </mergeCells>
  <phoneticPr fontId="6" type="noConversion"/>
  <pageMargins left="0.75" right="0.16" top="1" bottom="1" header="0" footer="0"/>
  <pageSetup paperSize="9" scale="73" orientation="portrait" r:id="rId1"/>
  <headerFooter alignWithMargins="0"/>
  <colBreaks count="1" manualBreakCount="1">
    <brk id="9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1EE4D-B3CC-49BE-830B-6CA6351F5CD9}">
  <dimension ref="A1:I55"/>
  <sheetViews>
    <sheetView tabSelected="1" view="pageBreakPreview" zoomScale="60" zoomScaleNormal="70" workbookViewId="0">
      <selection activeCell="K2" sqref="K2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185"/>
      <c r="B1" s="263"/>
      <c r="C1" s="267" t="s">
        <v>23</v>
      </c>
      <c r="D1" s="267"/>
      <c r="E1" s="267"/>
      <c r="F1" s="267"/>
      <c r="G1" s="267"/>
      <c r="H1" s="6" t="s">
        <v>0</v>
      </c>
      <c r="I1" s="65" t="s">
        <v>82</v>
      </c>
    </row>
    <row r="2" spans="1:9" ht="18" customHeight="1" thickBot="1" x14ac:dyDescent="0.3">
      <c r="A2" s="186"/>
      <c r="B2" s="264"/>
      <c r="C2" s="191" t="s">
        <v>1</v>
      </c>
      <c r="D2" s="192"/>
      <c r="E2" s="192"/>
      <c r="F2" s="192"/>
      <c r="G2" s="193"/>
      <c r="H2" s="7" t="s">
        <v>2</v>
      </c>
      <c r="I2" s="45" t="s">
        <v>43</v>
      </c>
    </row>
    <row r="3" spans="1:9" ht="31.5" customHeight="1" thickBot="1" x14ac:dyDescent="0.3">
      <c r="A3" s="186"/>
      <c r="B3" s="264"/>
      <c r="C3" s="268" t="s">
        <v>64</v>
      </c>
      <c r="D3" s="269"/>
      <c r="E3" s="269"/>
      <c r="F3" s="269"/>
      <c r="G3" s="270"/>
      <c r="H3" s="197" t="s">
        <v>3</v>
      </c>
      <c r="I3" s="176">
        <v>45616</v>
      </c>
    </row>
    <row r="4" spans="1:9" ht="18" customHeight="1" x14ac:dyDescent="0.25">
      <c r="A4" s="186"/>
      <c r="B4" s="264"/>
      <c r="C4" s="8" t="s">
        <v>4</v>
      </c>
      <c r="D4" s="179" t="s">
        <v>49</v>
      </c>
      <c r="E4" s="180"/>
      <c r="F4" s="180"/>
      <c r="G4" s="181"/>
      <c r="H4" s="198"/>
      <c r="I4" s="177"/>
    </row>
    <row r="5" spans="1:9" ht="14.25" thickBot="1" x14ac:dyDescent="0.3">
      <c r="A5" s="265"/>
      <c r="B5" s="266"/>
      <c r="C5" s="9" t="s">
        <v>5</v>
      </c>
      <c r="D5" s="260" t="s">
        <v>67</v>
      </c>
      <c r="E5" s="261"/>
      <c r="F5" s="261"/>
      <c r="G5" s="262"/>
      <c r="H5" s="199"/>
      <c r="I5" s="259"/>
    </row>
    <row r="6" spans="1:9" ht="18.75" thickBot="1" x14ac:dyDescent="0.3">
      <c r="A6" s="250" t="s">
        <v>68</v>
      </c>
      <c r="B6" s="250"/>
      <c r="C6" s="250"/>
      <c r="D6" s="251" t="s">
        <v>69</v>
      </c>
      <c r="E6" s="251"/>
      <c r="F6" s="251"/>
      <c r="G6" s="252" t="s">
        <v>70</v>
      </c>
      <c r="H6" s="252"/>
      <c r="I6" s="66" t="s">
        <v>69</v>
      </c>
    </row>
    <row r="7" spans="1:9" ht="25.5" x14ac:dyDescent="0.2">
      <c r="A7" s="253" t="s">
        <v>6</v>
      </c>
      <c r="B7" s="255" t="s">
        <v>71</v>
      </c>
      <c r="C7" s="257" t="s">
        <v>7</v>
      </c>
      <c r="D7" s="257" t="s">
        <v>8</v>
      </c>
      <c r="E7" s="257" t="s">
        <v>9</v>
      </c>
      <c r="F7" s="257"/>
      <c r="G7" s="257" t="s">
        <v>10</v>
      </c>
      <c r="H7" s="257"/>
      <c r="I7" s="46" t="s">
        <v>11</v>
      </c>
    </row>
    <row r="8" spans="1:9" ht="26.25" thickBot="1" x14ac:dyDescent="0.25">
      <c r="A8" s="254"/>
      <c r="B8" s="256"/>
      <c r="C8" s="258"/>
      <c r="D8" s="258"/>
      <c r="E8" s="47" t="s">
        <v>12</v>
      </c>
      <c r="F8" s="48" t="s">
        <v>13</v>
      </c>
      <c r="G8" s="47" t="s">
        <v>12</v>
      </c>
      <c r="H8" s="48" t="s">
        <v>13</v>
      </c>
      <c r="I8" s="49" t="s">
        <v>14</v>
      </c>
    </row>
    <row r="9" spans="1:9" ht="18.600000000000001" customHeight="1" x14ac:dyDescent="0.25">
      <c r="A9" s="67"/>
      <c r="B9" s="68"/>
      <c r="C9" s="69" t="s">
        <v>72</v>
      </c>
      <c r="D9" s="70"/>
      <c r="E9" s="71"/>
      <c r="F9" s="72"/>
      <c r="G9" s="71"/>
      <c r="H9" s="72"/>
      <c r="I9" s="73"/>
    </row>
    <row r="10" spans="1:9" ht="18" customHeight="1" x14ac:dyDescent="0.25">
      <c r="A10" s="57">
        <v>510287</v>
      </c>
      <c r="B10" s="63" t="s">
        <v>59</v>
      </c>
      <c r="C10" s="56" t="s">
        <v>51</v>
      </c>
      <c r="D10" s="74" t="s">
        <v>73</v>
      </c>
      <c r="E10" s="75">
        <v>6000</v>
      </c>
      <c r="F10" s="76" t="s">
        <v>28</v>
      </c>
      <c r="G10" s="77"/>
      <c r="H10" s="78"/>
      <c r="I10" s="73"/>
    </row>
    <row r="11" spans="1:9" ht="15" x14ac:dyDescent="0.25">
      <c r="A11" s="57">
        <v>10100046</v>
      </c>
      <c r="B11" s="64" t="s">
        <v>60</v>
      </c>
      <c r="C11" s="56" t="s">
        <v>52</v>
      </c>
      <c r="D11" s="74" t="s">
        <v>74</v>
      </c>
      <c r="E11" s="75">
        <v>24</v>
      </c>
      <c r="F11" s="76" t="s">
        <v>28</v>
      </c>
      <c r="G11" s="77"/>
      <c r="H11" s="78"/>
      <c r="I11" s="73"/>
    </row>
    <row r="12" spans="1:9" ht="15" x14ac:dyDescent="0.25">
      <c r="A12" s="79" t="s">
        <v>29</v>
      </c>
      <c r="B12" s="80" t="s">
        <v>61</v>
      </c>
      <c r="C12" s="81" t="s">
        <v>30</v>
      </c>
      <c r="D12" s="82" t="s">
        <v>75</v>
      </c>
      <c r="E12" s="75">
        <v>10</v>
      </c>
      <c r="F12" s="76" t="s">
        <v>28</v>
      </c>
      <c r="G12" s="13"/>
      <c r="H12" s="78"/>
      <c r="I12" s="73"/>
    </row>
    <row r="13" spans="1:9" ht="15.75" x14ac:dyDescent="0.25">
      <c r="A13" s="64"/>
      <c r="B13" s="64"/>
      <c r="C13" s="83"/>
      <c r="D13" s="84"/>
      <c r="E13" s="84"/>
      <c r="F13" s="84"/>
      <c r="G13" s="13"/>
      <c r="H13" s="78"/>
      <c r="I13" s="73"/>
    </row>
    <row r="14" spans="1:9" ht="15.75" x14ac:dyDescent="0.25">
      <c r="A14" s="85"/>
      <c r="B14" s="85"/>
      <c r="C14" s="86"/>
      <c r="D14" s="84"/>
      <c r="E14" s="84"/>
      <c r="F14" s="84"/>
      <c r="G14" s="13"/>
      <c r="H14" s="78"/>
      <c r="I14" s="73"/>
    </row>
    <row r="15" spans="1:9" ht="15.75" x14ac:dyDescent="0.25">
      <c r="A15" s="64"/>
      <c r="B15" s="64"/>
      <c r="C15" s="87"/>
      <c r="D15" s="84"/>
      <c r="E15" s="84"/>
      <c r="F15" s="84"/>
      <c r="G15" s="13"/>
      <c r="H15" s="78"/>
      <c r="I15" s="73"/>
    </row>
    <row r="16" spans="1:9" ht="15.75" x14ac:dyDescent="0.25">
      <c r="A16" s="64"/>
      <c r="B16" s="64"/>
      <c r="C16" s="87"/>
      <c r="D16" s="84"/>
      <c r="E16" s="84"/>
      <c r="F16" s="84"/>
      <c r="G16" s="13"/>
      <c r="H16" s="78"/>
      <c r="I16" s="73"/>
    </row>
    <row r="17" spans="1:9" ht="15.75" x14ac:dyDescent="0.25">
      <c r="A17" s="90"/>
      <c r="B17" s="91"/>
      <c r="C17" s="92" t="s">
        <v>81</v>
      </c>
      <c r="D17" s="84"/>
      <c r="E17" s="84"/>
      <c r="F17" s="84"/>
      <c r="G17" s="13"/>
      <c r="H17" s="78"/>
      <c r="I17" s="73"/>
    </row>
    <row r="18" spans="1:9" ht="15" x14ac:dyDescent="0.25">
      <c r="A18" s="88"/>
      <c r="B18" s="64"/>
      <c r="C18" s="87"/>
      <c r="D18" s="89"/>
      <c r="E18" s="89"/>
      <c r="F18" s="89"/>
      <c r="G18" s="71"/>
      <c r="H18" s="78"/>
      <c r="I18" s="73"/>
    </row>
    <row r="19" spans="1:9" ht="15.75" x14ac:dyDescent="0.25">
      <c r="A19" s="90"/>
      <c r="B19" s="91"/>
      <c r="C19" s="92"/>
      <c r="D19" s="93"/>
      <c r="E19" s="94"/>
      <c r="F19" s="95"/>
      <c r="G19" s="71"/>
      <c r="H19" s="78"/>
      <c r="I19" s="73"/>
    </row>
    <row r="20" spans="1:9" ht="15" x14ac:dyDescent="0.25">
      <c r="A20" s="96"/>
      <c r="B20" s="97"/>
      <c r="C20" s="98"/>
      <c r="D20" s="99"/>
      <c r="E20" s="100"/>
      <c r="F20" s="101"/>
      <c r="G20" s="71"/>
      <c r="H20" s="78"/>
      <c r="I20" s="73"/>
    </row>
    <row r="21" spans="1:9" ht="15" x14ac:dyDescent="0.25">
      <c r="A21" s="96"/>
      <c r="B21" s="97"/>
      <c r="C21" s="98"/>
      <c r="D21" s="99"/>
      <c r="E21" s="102"/>
      <c r="F21" s="101"/>
      <c r="G21" s="71"/>
      <c r="H21" s="72"/>
      <c r="I21" s="73"/>
    </row>
    <row r="22" spans="1:9" ht="15" x14ac:dyDescent="0.25">
      <c r="A22" s="96"/>
      <c r="B22" s="97"/>
      <c r="C22" s="98"/>
      <c r="D22" s="99"/>
      <c r="E22" s="100"/>
      <c r="F22" s="101"/>
      <c r="G22" s="71"/>
      <c r="H22" s="72"/>
      <c r="I22" s="73"/>
    </row>
    <row r="23" spans="1:9" ht="15" x14ac:dyDescent="0.25">
      <c r="A23" s="96"/>
      <c r="B23" s="97"/>
      <c r="C23" s="98"/>
      <c r="D23" s="99"/>
      <c r="E23" s="103"/>
      <c r="F23" s="104"/>
      <c r="G23" s="71"/>
      <c r="H23" s="72"/>
      <c r="I23" s="73"/>
    </row>
    <row r="24" spans="1:9" ht="15" x14ac:dyDescent="0.25">
      <c r="A24" s="64"/>
      <c r="B24" s="64"/>
      <c r="C24" s="87"/>
      <c r="D24" s="28"/>
      <c r="E24" s="40"/>
      <c r="F24" s="39"/>
      <c r="G24" s="71"/>
      <c r="H24" s="72"/>
      <c r="I24" s="73"/>
    </row>
    <row r="25" spans="1:9" ht="15.75" x14ac:dyDescent="0.25">
      <c r="A25" s="105"/>
      <c r="B25" s="106"/>
      <c r="C25" s="107" t="s">
        <v>76</v>
      </c>
      <c r="D25" s="108"/>
      <c r="E25" s="109"/>
      <c r="F25" s="72"/>
      <c r="G25" s="71"/>
      <c r="I25" s="73"/>
    </row>
    <row r="26" spans="1:9" ht="15" x14ac:dyDescent="0.25">
      <c r="A26" s="110" t="s">
        <v>31</v>
      </c>
      <c r="B26" s="111" t="s">
        <v>62</v>
      </c>
      <c r="C26" s="112" t="s">
        <v>32</v>
      </c>
      <c r="D26" s="113" t="s">
        <v>77</v>
      </c>
      <c r="E26" s="114">
        <v>1</v>
      </c>
      <c r="F26" s="115" t="s">
        <v>53</v>
      </c>
      <c r="G26" s="116"/>
      <c r="H26" s="72"/>
      <c r="I26" s="73"/>
    </row>
    <row r="27" spans="1:9" ht="15" x14ac:dyDescent="0.25">
      <c r="A27" s="110">
        <v>702123</v>
      </c>
      <c r="B27" s="111" t="s">
        <v>65</v>
      </c>
      <c r="C27" s="112" t="s">
        <v>54</v>
      </c>
      <c r="D27" s="113" t="s">
        <v>78</v>
      </c>
      <c r="E27" s="114">
        <v>1</v>
      </c>
      <c r="F27" s="115" t="s">
        <v>53</v>
      </c>
      <c r="G27" s="116"/>
      <c r="H27" s="72"/>
      <c r="I27" s="73"/>
    </row>
    <row r="28" spans="1:9" ht="15" x14ac:dyDescent="0.25">
      <c r="A28" s="117">
        <v>60100010</v>
      </c>
      <c r="B28" s="118" t="s">
        <v>66</v>
      </c>
      <c r="C28" s="119" t="s">
        <v>55</v>
      </c>
      <c r="D28" s="113"/>
      <c r="E28" s="114">
        <v>1</v>
      </c>
      <c r="F28" s="115" t="s">
        <v>53</v>
      </c>
      <c r="G28" s="116"/>
      <c r="H28" s="72"/>
      <c r="I28" s="73"/>
    </row>
    <row r="29" spans="1:9" ht="15" x14ac:dyDescent="0.25">
      <c r="A29" s="120"/>
      <c r="B29" s="120"/>
      <c r="C29" s="121"/>
      <c r="D29" s="113"/>
      <c r="E29" s="114"/>
      <c r="F29" s="115"/>
      <c r="G29" s="71"/>
      <c r="H29" s="72"/>
      <c r="I29" s="73"/>
    </row>
    <row r="30" spans="1:9" ht="15" x14ac:dyDescent="0.25">
      <c r="A30" s="120"/>
      <c r="B30" s="120"/>
      <c r="C30" s="121"/>
      <c r="D30" s="113"/>
      <c r="E30" s="114"/>
      <c r="F30" s="115"/>
      <c r="G30" s="71"/>
      <c r="H30" s="72"/>
      <c r="I30" s="73"/>
    </row>
    <row r="31" spans="1:9" ht="15" x14ac:dyDescent="0.25">
      <c r="A31" s="120"/>
      <c r="B31" s="120"/>
      <c r="C31" s="121"/>
      <c r="D31" s="113"/>
      <c r="E31" s="114"/>
      <c r="F31" s="115"/>
      <c r="G31" s="122"/>
      <c r="H31" s="72"/>
      <c r="I31" s="73"/>
    </row>
    <row r="32" spans="1:9" ht="15.75" x14ac:dyDescent="0.25">
      <c r="A32" s="120"/>
      <c r="B32" s="120"/>
      <c r="C32" s="121"/>
      <c r="D32" s="84"/>
      <c r="E32" s="114"/>
      <c r="F32" s="115"/>
      <c r="G32" s="123"/>
      <c r="H32" s="72"/>
      <c r="I32" s="73"/>
    </row>
    <row r="33" spans="1:9" ht="15" x14ac:dyDescent="0.25">
      <c r="A33" s="26"/>
      <c r="B33" s="26"/>
      <c r="C33" s="27"/>
      <c r="D33" s="113"/>
      <c r="E33" s="39"/>
      <c r="F33" s="39"/>
      <c r="G33" s="123"/>
      <c r="H33" s="72"/>
      <c r="I33" s="73"/>
    </row>
    <row r="34" spans="1:9" ht="15" x14ac:dyDescent="0.25">
      <c r="A34" s="43"/>
      <c r="B34" s="64"/>
      <c r="C34" s="42"/>
      <c r="D34" s="124"/>
      <c r="E34" s="40"/>
      <c r="F34" s="13"/>
      <c r="G34" s="123"/>
      <c r="H34" s="72"/>
      <c r="I34" s="73"/>
    </row>
    <row r="35" spans="1:9" ht="15.75" x14ac:dyDescent="0.25">
      <c r="A35" s="120"/>
      <c r="B35" s="120"/>
      <c r="C35" s="121"/>
      <c r="D35" s="113"/>
      <c r="E35" s="40"/>
      <c r="F35" s="13"/>
      <c r="G35" s="125"/>
      <c r="H35" s="72"/>
      <c r="I35" s="73"/>
    </row>
    <row r="36" spans="1:9" ht="15.75" x14ac:dyDescent="0.25">
      <c r="A36" s="90"/>
      <c r="B36" s="91"/>
      <c r="C36" s="126"/>
      <c r="D36" s="93"/>
      <c r="E36" s="93"/>
      <c r="F36" s="95"/>
      <c r="G36" s="127"/>
      <c r="H36" s="127"/>
      <c r="I36" s="73"/>
    </row>
    <row r="37" spans="1:9" ht="14.25" thickBot="1" x14ac:dyDescent="0.3">
      <c r="A37" s="128"/>
      <c r="B37" s="129"/>
      <c r="C37" s="130"/>
      <c r="D37" s="130"/>
      <c r="E37" s="131"/>
      <c r="F37" s="132"/>
      <c r="G37" s="130"/>
      <c r="H37" s="130"/>
      <c r="I37" s="133"/>
    </row>
    <row r="38" spans="1:9" ht="14.25" thickBot="1" x14ac:dyDescent="0.3">
      <c r="A38" s="50"/>
      <c r="B38" s="62"/>
      <c r="C38" s="51"/>
      <c r="D38" s="52" t="s">
        <v>12</v>
      </c>
      <c r="E38" s="53" t="s">
        <v>79</v>
      </c>
      <c r="F38" s="54"/>
      <c r="G38" s="51"/>
      <c r="H38" s="51"/>
      <c r="I38" s="55"/>
    </row>
    <row r="39" spans="1:9" ht="13.5" x14ac:dyDescent="0.25">
      <c r="A39" s="244" t="s">
        <v>15</v>
      </c>
      <c r="B39" s="245"/>
      <c r="C39" s="246"/>
      <c r="D39" s="10">
        <v>6034</v>
      </c>
      <c r="E39" s="21" t="s">
        <v>28</v>
      </c>
      <c r="F39" s="247" t="s">
        <v>24</v>
      </c>
      <c r="G39" s="247"/>
      <c r="H39" s="248"/>
      <c r="I39" s="249"/>
    </row>
    <row r="40" spans="1:9" ht="13.5" x14ac:dyDescent="0.25">
      <c r="A40" s="224" t="s">
        <v>16</v>
      </c>
      <c r="B40" s="225"/>
      <c r="C40" s="226"/>
      <c r="D40" s="40">
        <v>3</v>
      </c>
      <c r="E40" s="13" t="s">
        <v>34</v>
      </c>
      <c r="F40" s="227" t="s">
        <v>17</v>
      </c>
      <c r="G40" s="227"/>
      <c r="H40" s="228"/>
      <c r="I40" s="229"/>
    </row>
    <row r="41" spans="1:9" ht="13.5" x14ac:dyDescent="0.25">
      <c r="A41" s="224" t="s">
        <v>18</v>
      </c>
      <c r="B41" s="225"/>
      <c r="C41" s="226"/>
      <c r="D41" s="40">
        <v>1</v>
      </c>
      <c r="E41" s="13" t="s">
        <v>35</v>
      </c>
      <c r="F41" s="227" t="s">
        <v>25</v>
      </c>
      <c r="G41" s="227"/>
      <c r="H41" s="228"/>
      <c r="I41" s="229"/>
    </row>
    <row r="42" spans="1:9" ht="13.5" x14ac:dyDescent="0.25">
      <c r="A42" s="224" t="s">
        <v>19</v>
      </c>
      <c r="B42" s="225"/>
      <c r="C42" s="226"/>
      <c r="D42" s="40">
        <v>6034</v>
      </c>
      <c r="E42" s="13" t="s">
        <v>28</v>
      </c>
      <c r="F42" s="230" t="s">
        <v>20</v>
      </c>
      <c r="G42" s="231"/>
      <c r="H42" s="232"/>
      <c r="I42" s="233"/>
    </row>
    <row r="43" spans="1:9" ht="14.25" thickBot="1" x14ac:dyDescent="0.3">
      <c r="A43" s="234" t="s">
        <v>21</v>
      </c>
      <c r="B43" s="235"/>
      <c r="C43" s="236"/>
      <c r="D43" s="25">
        <v>0</v>
      </c>
      <c r="E43" s="23" t="s">
        <v>28</v>
      </c>
      <c r="F43" s="237"/>
      <c r="G43" s="237"/>
      <c r="H43" s="228"/>
      <c r="I43" s="229"/>
    </row>
    <row r="44" spans="1:9" ht="13.5" thickBot="1" x14ac:dyDescent="0.25">
      <c r="A44" s="238" t="s">
        <v>22</v>
      </c>
      <c r="B44" s="239"/>
      <c r="C44" s="239"/>
      <c r="D44" s="239"/>
      <c r="E44" s="239"/>
      <c r="F44" s="239"/>
      <c r="G44" s="239"/>
      <c r="H44" s="239"/>
      <c r="I44" s="240"/>
    </row>
    <row r="45" spans="1:9" ht="14.45" customHeight="1" x14ac:dyDescent="0.25">
      <c r="A45" s="241" t="s">
        <v>56</v>
      </c>
      <c r="B45" s="242"/>
      <c r="C45" s="242"/>
      <c r="D45" s="242"/>
      <c r="E45" s="242"/>
      <c r="F45" s="242"/>
      <c r="G45" s="242"/>
      <c r="H45" s="242"/>
      <c r="I45" s="243"/>
    </row>
    <row r="46" spans="1:9" ht="15.6" customHeight="1" x14ac:dyDescent="0.2">
      <c r="A46" s="221" t="s">
        <v>47</v>
      </c>
      <c r="B46" s="222"/>
      <c r="C46" s="222"/>
      <c r="D46" s="222"/>
      <c r="E46" s="222"/>
      <c r="F46" s="222"/>
      <c r="G46" s="222"/>
      <c r="H46" s="222"/>
      <c r="I46" s="223"/>
    </row>
    <row r="47" spans="1:9" ht="14.45" customHeight="1" thickBot="1" x14ac:dyDescent="0.3">
      <c r="A47" s="204"/>
      <c r="B47" s="205"/>
      <c r="C47" s="205"/>
      <c r="D47" s="205"/>
      <c r="E47" s="205"/>
      <c r="F47" s="205"/>
      <c r="G47" s="205"/>
      <c r="H47" s="205"/>
      <c r="I47" s="206"/>
    </row>
    <row r="48" spans="1:9" ht="14.45" customHeight="1" thickBot="1" x14ac:dyDescent="0.3">
      <c r="A48" s="207"/>
      <c r="B48" s="208"/>
      <c r="C48" s="209"/>
      <c r="D48" s="209"/>
      <c r="E48" s="209"/>
      <c r="F48" s="209"/>
      <c r="G48" s="209"/>
      <c r="H48" s="209"/>
      <c r="I48" s="210"/>
    </row>
    <row r="49" spans="1:9" ht="14.45" customHeight="1" x14ac:dyDescent="0.25">
      <c r="A49" s="211"/>
      <c r="B49" s="212"/>
      <c r="C49" s="213"/>
      <c r="D49" s="213"/>
      <c r="E49" s="213"/>
      <c r="F49" s="213"/>
      <c r="G49" s="213"/>
      <c r="H49" s="213"/>
      <c r="I49" s="214"/>
    </row>
    <row r="50" spans="1:9" ht="18" customHeight="1" thickBot="1" x14ac:dyDescent="0.3">
      <c r="A50" s="207"/>
      <c r="B50" s="208"/>
      <c r="C50" s="209"/>
      <c r="D50" s="209"/>
      <c r="E50" s="209"/>
      <c r="F50" s="209"/>
      <c r="G50" s="209"/>
      <c r="H50" s="209"/>
      <c r="I50" s="210"/>
    </row>
    <row r="51" spans="1:9" ht="15.75" x14ac:dyDescent="0.25">
      <c r="A51" s="215"/>
      <c r="B51" s="216"/>
      <c r="C51" s="216"/>
      <c r="D51" s="216"/>
      <c r="E51" s="216"/>
      <c r="F51" s="216"/>
      <c r="G51" s="216"/>
      <c r="H51" s="216"/>
      <c r="I51" s="217"/>
    </row>
    <row r="52" spans="1:9" ht="15" thickBot="1" x14ac:dyDescent="0.25">
      <c r="A52" s="218"/>
      <c r="B52" s="219"/>
      <c r="C52" s="219"/>
      <c r="D52" s="219"/>
      <c r="E52" s="219"/>
      <c r="F52" s="219"/>
      <c r="G52" s="219"/>
      <c r="H52" s="219"/>
      <c r="I52" s="220"/>
    </row>
    <row r="53" spans="1:9" x14ac:dyDescent="0.2">
      <c r="A53" s="200" t="s">
        <v>80</v>
      </c>
      <c r="B53" s="201"/>
      <c r="C53" s="201"/>
      <c r="D53" s="201"/>
      <c r="E53" s="201"/>
      <c r="F53" s="201"/>
      <c r="G53" s="201"/>
      <c r="H53" s="201"/>
      <c r="I53" s="201"/>
    </row>
    <row r="54" spans="1:9" ht="13.5" x14ac:dyDescent="0.25">
      <c r="A54" s="202"/>
      <c r="B54" s="203"/>
      <c r="C54" s="203"/>
      <c r="D54" s="203"/>
      <c r="E54" s="203"/>
      <c r="F54" s="203"/>
      <c r="G54" s="203"/>
      <c r="H54" s="203"/>
      <c r="I54" s="203"/>
    </row>
    <row r="55" spans="1:9" ht="13.5" x14ac:dyDescent="0.25">
      <c r="A55" s="202"/>
      <c r="B55" s="203"/>
      <c r="C55" s="203"/>
      <c r="D55" s="203"/>
      <c r="E55" s="203"/>
      <c r="F55" s="203"/>
      <c r="G55" s="203"/>
      <c r="H55" s="203"/>
      <c r="I55" s="203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53:I53"/>
    <mergeCell ref="A54:I54"/>
    <mergeCell ref="A55:I55"/>
    <mergeCell ref="A47:I47"/>
    <mergeCell ref="A48:I48"/>
    <mergeCell ref="A49:I49"/>
    <mergeCell ref="A50:I50"/>
    <mergeCell ref="A51:I51"/>
    <mergeCell ref="A52:I52"/>
  </mergeCells>
  <pageMargins left="0.7" right="0.7" top="0.75" bottom="0.75" header="0.3" footer="0.3"/>
  <pageSetup paperSize="9" scale="43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6AA510-F0B6-4003-AB85-AF9453926AD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CF7CDD-E9DF-440F-AF91-470D2A7960F4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4278F90F-E161-4092-B7C6-4DC9D0D1ECDB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0BB97117-110D-4DEF-965F-5EECB00B6A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PRE MEZCLA</vt:lpstr>
      <vt:lpstr>Hoja1</vt:lpstr>
      <vt:lpstr>'PRE MEZCLA'!Área_de_impresión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Allan Brenes</cp:lastModifiedBy>
  <cp:lastPrinted>2025-04-28T16:35:35Z</cp:lastPrinted>
  <dcterms:created xsi:type="dcterms:W3CDTF">2012-05-10T22:32:20Z</dcterms:created>
  <dcterms:modified xsi:type="dcterms:W3CDTF">2025-04-28T16:36:43Z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14000.0000000000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
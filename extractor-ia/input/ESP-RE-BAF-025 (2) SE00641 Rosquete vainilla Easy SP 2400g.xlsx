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38" documentId="8_{76E3B7A5-DA7B-43B1-BCEE-D6ADE1BFA705}" xr6:coauthVersionLast="47" xr6:coauthVersionMax="47" xr10:uidLastSave="{629AA356-E620-4FF5-861B-C0CAE6A3466E}"/>
  <bookViews>
    <workbookView xWindow="-120" yWindow="-120" windowWidth="20730" windowHeight="11040" xr2:uid="{1E5D1F40-376E-4D65-AD5C-8FE4C03581DF}"/>
  </bookViews>
  <sheets>
    <sheet name="Hoja1" sheetId="10" r:id="rId1"/>
    <sheet name="Costo Rosquete" sheetId="8" state="hidden" r:id="rId2"/>
    <sheet name="Costo Torta" sheetId="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0" l="1"/>
  <c r="O38" i="9"/>
  <c r="O37" i="9"/>
  <c r="E22" i="9"/>
  <c r="F22" i="9"/>
  <c r="D86" i="9"/>
  <c r="D84" i="9"/>
  <c r="D76" i="9"/>
  <c r="D77" i="9"/>
  <c r="D79" i="9"/>
  <c r="D74" i="9"/>
  <c r="D72" i="9"/>
  <c r="F68" i="9"/>
  <c r="E54" i="9"/>
  <c r="F54" i="9"/>
  <c r="D63" i="9"/>
  <c r="D88" i="9"/>
  <c r="D89" i="9"/>
  <c r="C54" i="9"/>
  <c r="E53" i="9"/>
  <c r="F53" i="9" s="1"/>
  <c r="D53" i="9"/>
  <c r="B53" i="9"/>
  <c r="E52" i="9"/>
  <c r="F52" i="9" s="1"/>
  <c r="F59" i="9" s="1"/>
  <c r="D52" i="9"/>
  <c r="B52" i="9"/>
  <c r="D51" i="9"/>
  <c r="D50" i="9"/>
  <c r="B50" i="9"/>
  <c r="E49" i="9"/>
  <c r="D49" i="9"/>
  <c r="E44" i="9"/>
  <c r="F44" i="9" s="1"/>
  <c r="D44" i="9"/>
  <c r="B44" i="9"/>
  <c r="A44" i="9"/>
  <c r="A53" i="9"/>
  <c r="C53" i="9"/>
  <c r="E43" i="9"/>
  <c r="F43" i="9" s="1"/>
  <c r="D43" i="9"/>
  <c r="B43" i="9"/>
  <c r="A43" i="9"/>
  <c r="C43" i="9"/>
  <c r="A42" i="9"/>
  <c r="A51" i="9"/>
  <c r="C51" i="9"/>
  <c r="F51" i="9"/>
  <c r="E41" i="9"/>
  <c r="F41" i="9" s="1"/>
  <c r="D41" i="9"/>
  <c r="C41" i="9"/>
  <c r="B41" i="9"/>
  <c r="A41" i="9"/>
  <c r="A50" i="9"/>
  <c r="C50" i="9"/>
  <c r="F50" i="9"/>
  <c r="R40" i="9"/>
  <c r="E40" i="9"/>
  <c r="A40" i="9"/>
  <c r="A49" i="9"/>
  <c r="C49" i="9"/>
  <c r="F49" i="9"/>
  <c r="C39" i="9"/>
  <c r="A39" i="9"/>
  <c r="A48" i="9"/>
  <c r="C48" i="9"/>
  <c r="F38" i="9"/>
  <c r="C38" i="9"/>
  <c r="A38" i="9"/>
  <c r="A47" i="9"/>
  <c r="C47" i="9"/>
  <c r="F47" i="9"/>
  <c r="E35" i="9"/>
  <c r="F35" i="9" s="1"/>
  <c r="D35" i="9"/>
  <c r="C35" i="9"/>
  <c r="B35" i="9"/>
  <c r="E34" i="9"/>
  <c r="F34" i="9" s="1"/>
  <c r="D34" i="9"/>
  <c r="C34" i="9"/>
  <c r="B34" i="9"/>
  <c r="E33" i="9"/>
  <c r="F33" i="9"/>
  <c r="D33" i="9"/>
  <c r="C33" i="9"/>
  <c r="B33" i="9"/>
  <c r="E32" i="9"/>
  <c r="F32" i="9" s="1"/>
  <c r="D32" i="9"/>
  <c r="C32" i="9"/>
  <c r="B32" i="9"/>
  <c r="E31" i="9"/>
  <c r="F31" i="9" s="1"/>
  <c r="D31" i="9"/>
  <c r="C31" i="9"/>
  <c r="B31" i="9"/>
  <c r="E30" i="9"/>
  <c r="F30" i="9" s="1"/>
  <c r="D30" i="9"/>
  <c r="C30" i="9"/>
  <c r="B30" i="9"/>
  <c r="E29" i="9"/>
  <c r="F29" i="9" s="1"/>
  <c r="D29" i="9"/>
  <c r="C29" i="9"/>
  <c r="B29" i="9"/>
  <c r="D28" i="9"/>
  <c r="C28" i="9"/>
  <c r="F28" i="9"/>
  <c r="B28" i="9"/>
  <c r="D27" i="9"/>
  <c r="C27" i="9"/>
  <c r="F27" i="9"/>
  <c r="B27" i="9"/>
  <c r="E24" i="9"/>
  <c r="F24" i="9" s="1"/>
  <c r="D24" i="9"/>
  <c r="C24" i="9"/>
  <c r="B24" i="9"/>
  <c r="E23" i="9"/>
  <c r="F23" i="9" s="1"/>
  <c r="D23" i="9"/>
  <c r="C23" i="9"/>
  <c r="B23" i="9"/>
  <c r="C22" i="9"/>
  <c r="C21" i="9"/>
  <c r="F21" i="9"/>
  <c r="F20" i="9"/>
  <c r="D20" i="9"/>
  <c r="C20" i="9"/>
  <c r="B20" i="9"/>
  <c r="F19" i="9"/>
  <c r="C18" i="9"/>
  <c r="F18" i="9"/>
  <c r="C17" i="9"/>
  <c r="B15" i="9"/>
  <c r="E14" i="9"/>
  <c r="F14" i="9" s="1"/>
  <c r="D14" i="9"/>
  <c r="C14" i="9"/>
  <c r="B14" i="9"/>
  <c r="E13" i="9"/>
  <c r="F13" i="9" s="1"/>
  <c r="D13" i="9"/>
  <c r="C13" i="9"/>
  <c r="B13" i="9"/>
  <c r="E12" i="9"/>
  <c r="F12" i="9" s="1"/>
  <c r="D12" i="9"/>
  <c r="C12" i="9"/>
  <c r="B12" i="9"/>
  <c r="E11" i="9"/>
  <c r="F11" i="9" s="1"/>
  <c r="D11" i="9"/>
  <c r="C11" i="9"/>
  <c r="B11" i="9"/>
  <c r="E10" i="9"/>
  <c r="F10" i="9" s="1"/>
  <c r="D10" i="9"/>
  <c r="C10" i="9"/>
  <c r="B10" i="9"/>
  <c r="E9" i="9"/>
  <c r="F9" i="9" s="1"/>
  <c r="D9" i="9"/>
  <c r="C9" i="9"/>
  <c r="B9" i="9"/>
  <c r="C8" i="9"/>
  <c r="F8" i="9"/>
  <c r="H6" i="9"/>
  <c r="D83" i="8"/>
  <c r="D81" i="8"/>
  <c r="D73" i="8"/>
  <c r="D74" i="8"/>
  <c r="D76" i="8"/>
  <c r="D71" i="8"/>
  <c r="D69" i="8"/>
  <c r="F65" i="8"/>
  <c r="E51" i="8"/>
  <c r="F51" i="8"/>
  <c r="D60" i="8"/>
  <c r="D85" i="8"/>
  <c r="D86" i="8"/>
  <c r="C51" i="8"/>
  <c r="E50" i="8"/>
  <c r="F50" i="8" s="1"/>
  <c r="D50" i="8"/>
  <c r="B50" i="8"/>
  <c r="E49" i="8"/>
  <c r="F49" i="8" s="1"/>
  <c r="D49" i="8"/>
  <c r="B49" i="8"/>
  <c r="A49" i="8"/>
  <c r="C49" i="8"/>
  <c r="E48" i="8"/>
  <c r="F48" i="8" s="1"/>
  <c r="D48" i="8"/>
  <c r="B48" i="8"/>
  <c r="A48" i="8"/>
  <c r="C48" i="8"/>
  <c r="E47" i="8"/>
  <c r="F47" i="8" s="1"/>
  <c r="D47" i="8"/>
  <c r="B47" i="8"/>
  <c r="E46" i="8"/>
  <c r="F46" i="8" s="1"/>
  <c r="D46" i="8"/>
  <c r="B46" i="8"/>
  <c r="E45" i="8"/>
  <c r="F45" i="8" s="1"/>
  <c r="D45" i="8"/>
  <c r="B45" i="8"/>
  <c r="A45" i="8"/>
  <c r="C45" i="8"/>
  <c r="A44" i="8"/>
  <c r="C44" i="8"/>
  <c r="F44" i="8"/>
  <c r="E41" i="8"/>
  <c r="D41" i="8"/>
  <c r="B41" i="8"/>
  <c r="A41" i="8"/>
  <c r="A50" i="8"/>
  <c r="C50" i="8"/>
  <c r="E40" i="8"/>
  <c r="F40" i="8" s="1"/>
  <c r="D40" i="8"/>
  <c r="C40" i="8"/>
  <c r="B40" i="8"/>
  <c r="A40" i="8"/>
  <c r="E39" i="8"/>
  <c r="F39" i="8" s="1"/>
  <c r="D39" i="8"/>
  <c r="C39" i="8"/>
  <c r="B39" i="8"/>
  <c r="A39" i="8"/>
  <c r="E38" i="8"/>
  <c r="F38" i="8" s="1"/>
  <c r="D38" i="8"/>
  <c r="B38" i="8"/>
  <c r="A38" i="8"/>
  <c r="A47" i="8"/>
  <c r="C47" i="8"/>
  <c r="E37" i="8"/>
  <c r="F37" i="8" s="1"/>
  <c r="D37" i="8"/>
  <c r="B37" i="8"/>
  <c r="A37" i="8"/>
  <c r="A46" i="8"/>
  <c r="C46" i="8"/>
  <c r="E36" i="8"/>
  <c r="F36" i="8" s="1"/>
  <c r="D36" i="8"/>
  <c r="C36" i="8"/>
  <c r="B36" i="8"/>
  <c r="A36" i="8"/>
  <c r="F35" i="8"/>
  <c r="C35" i="8"/>
  <c r="A35" i="8"/>
  <c r="E32" i="8"/>
  <c r="F32" i="8" s="1"/>
  <c r="D32" i="8"/>
  <c r="C32" i="8"/>
  <c r="B32" i="8"/>
  <c r="E31" i="8"/>
  <c r="F31" i="8" s="1"/>
  <c r="D31" i="8"/>
  <c r="C31" i="8"/>
  <c r="B31" i="8"/>
  <c r="E30" i="8"/>
  <c r="F30" i="8" s="1"/>
  <c r="D30" i="8"/>
  <c r="C30" i="8"/>
  <c r="B30" i="8"/>
  <c r="E29" i="8"/>
  <c r="F29" i="8" s="1"/>
  <c r="D29" i="8"/>
  <c r="C29" i="8"/>
  <c r="B29" i="8"/>
  <c r="E28" i="8"/>
  <c r="F28" i="8" s="1"/>
  <c r="D28" i="8"/>
  <c r="C28" i="8"/>
  <c r="B28" i="8"/>
  <c r="E27" i="8"/>
  <c r="F27" i="8" s="1"/>
  <c r="D27" i="8"/>
  <c r="C27" i="8"/>
  <c r="B27" i="8"/>
  <c r="E24" i="8"/>
  <c r="F24" i="8"/>
  <c r="D24" i="8"/>
  <c r="C24" i="8"/>
  <c r="B24" i="8"/>
  <c r="E23" i="8"/>
  <c r="F23" i="8" s="1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D18" i="8"/>
  <c r="C18" i="8"/>
  <c r="F18" i="8"/>
  <c r="B18" i="8"/>
  <c r="C17" i="8"/>
  <c r="F17" i="8"/>
  <c r="B15" i="8"/>
  <c r="E14" i="8"/>
  <c r="F14" i="8" s="1"/>
  <c r="D14" i="8"/>
  <c r="C14" i="8"/>
  <c r="B14" i="8"/>
  <c r="E13" i="8"/>
  <c r="F13" i="8" s="1"/>
  <c r="D13" i="8"/>
  <c r="C13" i="8"/>
  <c r="B13" i="8"/>
  <c r="E12" i="8"/>
  <c r="F12" i="8"/>
  <c r="D12" i="8"/>
  <c r="C12" i="8"/>
  <c r="B12" i="8"/>
  <c r="E11" i="8"/>
  <c r="F11" i="8"/>
  <c r="D11" i="8"/>
  <c r="C11" i="8"/>
  <c r="B11" i="8"/>
  <c r="E10" i="8"/>
  <c r="F10" i="8" s="1"/>
  <c r="D10" i="8"/>
  <c r="C10" i="8"/>
  <c r="B10" i="8"/>
  <c r="E9" i="8"/>
  <c r="F9" i="8" s="1"/>
  <c r="D9" i="8"/>
  <c r="C9" i="8"/>
  <c r="B9" i="8"/>
  <c r="E8" i="8"/>
  <c r="F8" i="8" s="1"/>
  <c r="D8" i="8"/>
  <c r="C8" i="8"/>
  <c r="B8" i="8"/>
  <c r="H6" i="8"/>
  <c r="C40" i="9"/>
  <c r="F40" i="9"/>
  <c r="A52" i="9"/>
  <c r="C52" i="9"/>
  <c r="C42" i="9"/>
  <c r="F42" i="9"/>
  <c r="C44" i="9"/>
  <c r="C76" i="9"/>
  <c r="C38" i="8"/>
  <c r="C73" i="8"/>
  <c r="C37" i="8"/>
  <c r="C41" i="8"/>
  <c r="F41" i="8"/>
  <c r="C88" i="9"/>
  <c r="E88" i="9"/>
  <c r="E76" i="9"/>
  <c r="C85" i="8"/>
  <c r="E85" i="8"/>
  <c r="E73" i="8"/>
  <c r="E17" i="9"/>
  <c r="F17" i="9"/>
  <c r="E39" i="9"/>
  <c r="F39" i="9"/>
  <c r="E48" i="9"/>
  <c r="F48" i="9"/>
  <c r="F53" i="8" l="1"/>
  <c r="F54" i="8"/>
  <c r="H59" i="9"/>
  <c r="C77" i="9"/>
  <c r="F57" i="9"/>
  <c r="F56" i="8"/>
  <c r="F56" i="9"/>
  <c r="H57" i="9" l="1"/>
  <c r="G2" i="9" s="1"/>
  <c r="C79" i="9"/>
  <c r="E79" i="9" s="1"/>
  <c r="C76" i="8"/>
  <c r="E76" i="8" s="1"/>
  <c r="H54" i="8"/>
  <c r="G2" i="8" s="1"/>
  <c r="F58" i="9"/>
  <c r="F67" i="9"/>
  <c r="C72" i="9"/>
  <c r="H56" i="9"/>
  <c r="F2" i="9" s="1"/>
  <c r="H56" i="8"/>
  <c r="C74" i="8"/>
  <c r="C89" i="9"/>
  <c r="E89" i="9" s="1"/>
  <c r="E77" i="9"/>
  <c r="H61" i="9"/>
  <c r="H62" i="9" s="1"/>
  <c r="O61" i="9" s="1"/>
  <c r="O58" i="9"/>
  <c r="H2" i="9"/>
  <c r="C69" i="8"/>
  <c r="F64" i="8"/>
  <c r="H53" i="8"/>
  <c r="F2" i="8" s="1"/>
  <c r="F55" i="8"/>
  <c r="F66" i="9" l="1"/>
  <c r="H58" i="9"/>
  <c r="O57" i="9"/>
  <c r="H58" i="8"/>
  <c r="H59" i="8" s="1"/>
  <c r="O58" i="8" s="1"/>
  <c r="H2" i="8"/>
  <c r="O55" i="8"/>
  <c r="E72" i="9"/>
  <c r="E81" i="9" s="1"/>
  <c r="C84" i="9"/>
  <c r="E84" i="9" s="1"/>
  <c r="F63" i="8"/>
  <c r="O54" i="8"/>
  <c r="H55" i="8"/>
  <c r="E69" i="8"/>
  <c r="C81" i="8"/>
  <c r="E81" i="8" s="1"/>
  <c r="E74" i="8"/>
  <c r="C86" i="8"/>
  <c r="E86" i="8" s="1"/>
  <c r="O59" i="9" l="1"/>
  <c r="O60" i="9" s="1"/>
  <c r="O62" i="9" s="1"/>
  <c r="E78" i="8"/>
  <c r="E63" i="8"/>
  <c r="F66" i="8"/>
  <c r="G63" i="8" s="1"/>
  <c r="C71" i="8"/>
  <c r="E66" i="9"/>
  <c r="C74" i="9"/>
  <c r="F69" i="9"/>
  <c r="O56" i="8"/>
  <c r="O57" i="8" s="1"/>
  <c r="O59" i="8" s="1"/>
  <c r="O63" i="9" l="1"/>
  <c r="O64" i="9" s="1"/>
  <c r="O65" i="9" s="1"/>
  <c r="G66" i="8"/>
  <c r="G8" i="8"/>
  <c r="G18" i="8"/>
  <c r="G51" i="8"/>
  <c r="G44" i="8"/>
  <c r="G40" i="8"/>
  <c r="G17" i="8"/>
  <c r="G14" i="8"/>
  <c r="G41" i="8"/>
  <c r="G31" i="8"/>
  <c r="G65" i="8"/>
  <c r="G35" i="8"/>
  <c r="G24" i="8"/>
  <c r="G12" i="8"/>
  <c r="G22" i="8"/>
  <c r="G30" i="8"/>
  <c r="G45" i="8"/>
  <c r="G39" i="8"/>
  <c r="G11" i="8"/>
  <c r="G19" i="8"/>
  <c r="G29" i="8"/>
  <c r="G36" i="8"/>
  <c r="G32" i="8"/>
  <c r="G46" i="8"/>
  <c r="G37" i="8"/>
  <c r="G20" i="8"/>
  <c r="G49" i="8"/>
  <c r="G13" i="8"/>
  <c r="G28" i="8"/>
  <c r="G47" i="8"/>
  <c r="G48" i="8"/>
  <c r="G50" i="8"/>
  <c r="G38" i="8"/>
  <c r="G9" i="8"/>
  <c r="G23" i="8"/>
  <c r="G21" i="8"/>
  <c r="G10" i="8"/>
  <c r="G27" i="8"/>
  <c r="G56" i="8"/>
  <c r="G53" i="8"/>
  <c r="G54" i="8"/>
  <c r="G64" i="8"/>
  <c r="G55" i="8"/>
  <c r="O60" i="8"/>
  <c r="O61" i="8"/>
  <c r="O62" i="8" s="1"/>
  <c r="G68" i="9"/>
  <c r="G40" i="9"/>
  <c r="G22" i="9"/>
  <c r="G69" i="9"/>
  <c r="G27" i="9"/>
  <c r="G48" i="9"/>
  <c r="G18" i="9"/>
  <c r="G19" i="9"/>
  <c r="G38" i="9"/>
  <c r="G33" i="9"/>
  <c r="G8" i="9"/>
  <c r="G54" i="9"/>
  <c r="G28" i="9"/>
  <c r="G49" i="9"/>
  <c r="G13" i="9"/>
  <c r="G32" i="9"/>
  <c r="G21" i="9"/>
  <c r="G51" i="9"/>
  <c r="G52" i="9"/>
  <c r="G17" i="9"/>
  <c r="G29" i="9"/>
  <c r="G24" i="9"/>
  <c r="G50" i="9"/>
  <c r="G20" i="9"/>
  <c r="G30" i="9"/>
  <c r="G39" i="9"/>
  <c r="G42" i="9"/>
  <c r="G47" i="9"/>
  <c r="G59" i="9"/>
  <c r="G35" i="9"/>
  <c r="G53" i="9"/>
  <c r="G34" i="9"/>
  <c r="G23" i="9"/>
  <c r="G12" i="9"/>
  <c r="G9" i="9"/>
  <c r="G44" i="9"/>
  <c r="G11" i="9"/>
  <c r="G31" i="9"/>
  <c r="G43" i="9"/>
  <c r="G10" i="9"/>
  <c r="G41" i="9"/>
  <c r="G14" i="9"/>
  <c r="G57" i="9"/>
  <c r="G56" i="9"/>
  <c r="G67" i="9"/>
  <c r="G58" i="9"/>
  <c r="E74" i="9"/>
  <c r="C86" i="9"/>
  <c r="E86" i="9" s="1"/>
  <c r="G66" i="9"/>
  <c r="C83" i="8"/>
  <c r="E83" i="8" s="1"/>
  <c r="E71" i="8"/>
  <c r="E2" i="9" l="1"/>
  <c r="P65" i="9"/>
  <c r="E2" i="8"/>
  <c r="P62" i="8"/>
</calcChain>
</file>

<file path=xl/sharedStrings.xml><?xml version="1.0" encoding="utf-8"?>
<sst xmlns="http://schemas.openxmlformats.org/spreadsheetml/2006/main" count="300" uniqueCount="136">
  <si>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</si>
  <si>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</si>
  <si>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</si>
  <si>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</si>
  <si>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</si>
  <si>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</si>
  <si>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</si>
  <si>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</si>
  <si>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</si>
  <si>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</si>
  <si>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</si>
  <si>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</si>
  <si>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</si>
  <si>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</si>
  <si>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</si>
  <si>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</si>
  <si>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</si>
  <si>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</si>
  <si>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</si>
  <si>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</si>
  <si>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</si>
  <si>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</si>
  <si>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</si>
  <si>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</si>
  <si>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</si>
  <si>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</si>
  <si>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</si>
  <si>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EMPAQUE</t>
  </si>
  <si>
    <t>g</t>
  </si>
  <si>
    <t>ud</t>
  </si>
  <si>
    <t>min</t>
  </si>
  <si>
    <t>1950829</t>
  </si>
  <si>
    <t>701096</t>
  </si>
  <si>
    <t>FAS</t>
  </si>
  <si>
    <t>0702007</t>
  </si>
  <si>
    <t>ETIQ.FECHA VENCIMIENTO BLANCO (ROLLO)</t>
  </si>
  <si>
    <t>0702123</t>
  </si>
  <si>
    <t>ETIQUETA BLANCA 2 5/8X1 15/16 (UND)</t>
  </si>
  <si>
    <t>60100011</t>
  </si>
  <si>
    <t>51400001</t>
  </si>
  <si>
    <t>Esteban Cartin, Gte Manufactura</t>
  </si>
  <si>
    <t>EM10011</t>
  </si>
  <si>
    <t>CREMA CHANTILLY BLANCA BUCCA</t>
  </si>
  <si>
    <t>SE00434</t>
  </si>
  <si>
    <t>BATIDO EASY QUEQUE VAINILLA SP</t>
  </si>
  <si>
    <t>MEZCLA P/ENGRASE MOLDES KILO</t>
  </si>
  <si>
    <t>AS00028</t>
  </si>
  <si>
    <t>BOLSA TRANSPARENTE 56X96X1.80 (KILO)</t>
  </si>
  <si>
    <t>EM10004</t>
  </si>
  <si>
    <t>1.- Dosificar la mezcla en el molde engrasado.</t>
  </si>
  <si>
    <t>2.- Hornear en horno Dicte 1 o 2 a 175°C por 56 minutos .</t>
  </si>
  <si>
    <t>3.- Desmoldar y colocar en latas, cubrir con bolsa plastica, etiquetar con nombre y fecha de vencimiento.</t>
  </si>
  <si>
    <t>Rosquete vainilla Easy SP 2100g</t>
  </si>
  <si>
    <t>CREMA AMARILLA BUCCA</t>
  </si>
  <si>
    <t>CREMA CHANTILLY  ROJA BUCCA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</si>
  <si>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</si>
  <si>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</si>
  <si>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</si>
  <si>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</si>
  <si>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</si>
  <si>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</si>
  <si>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</si>
  <si>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</si>
  <si>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</si>
  <si>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</si>
  <si>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</si>
  <si>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</si>
  <si>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</si>
  <si>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</si>
  <si>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 xml:space="preserve">Gramos </t>
  </si>
  <si>
    <t>907000285</t>
  </si>
  <si>
    <t>Gramo</t>
  </si>
  <si>
    <t>902000019</t>
  </si>
  <si>
    <t>1950928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</si>
  <si>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</si>
  <si>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</si>
  <si>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</si>
  <si>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</si>
  <si>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</si>
  <si>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</si>
  <si>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</si>
  <si>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</si>
  <si>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</si>
  <si>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</si>
  <si>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</si>
  <si>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</si>
  <si>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</si>
  <si>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</si>
  <si>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</si>
  <si>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</si>
  <si>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</si>
  <si>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</si>
  <si>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</si>
  <si>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</si>
  <si>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</si>
  <si>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</si>
  <si>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</si>
  <si>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</si>
  <si>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</si>
  <si>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</si>
  <si>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</si>
  <si>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</si>
  <si>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</si>
  <si>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</si>
  <si>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</si>
  <si>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</si>
  <si>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</si>
  <si>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</si>
  <si>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</si>
  <si>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</si>
  <si>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</si>
  <si>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PALITOS COLORES MAVALERIO</t>
  </si>
  <si>
    <t xml:space="preserve">UND </t>
  </si>
  <si>
    <t>907000304</t>
  </si>
  <si>
    <t>MANJAR CON AGUA</t>
  </si>
  <si>
    <t>96344</t>
  </si>
  <si>
    <t>Crema Verde Electrico</t>
  </si>
  <si>
    <t>703020</t>
  </si>
  <si>
    <t>Rosquete easy queque vainilla 1800g Sp</t>
  </si>
  <si>
    <t>UND</t>
  </si>
  <si>
    <t>Javier Tong, Chef</t>
  </si>
  <si>
    <t>AREA QUE PRODUCE:</t>
  </si>
  <si>
    <t>Batidos</t>
  </si>
  <si>
    <t xml:space="preserve">AREA QUE EMPACA: </t>
  </si>
  <si>
    <t># Código Netsuite</t>
  </si>
  <si>
    <t>Ensamble</t>
  </si>
  <si>
    <t>Empaque</t>
  </si>
  <si>
    <t>PLASTICOS</t>
  </si>
  <si>
    <t>CEMUSA</t>
  </si>
  <si>
    <t>ETIPLAST</t>
  </si>
  <si>
    <t/>
  </si>
  <si>
    <t>CONTROL DE CAMBIOS</t>
  </si>
  <si>
    <t>ESP-RE-BAF-025</t>
  </si>
  <si>
    <t>Revision #2: Actualizacion del peso del rosquete</t>
  </si>
  <si>
    <t xml:space="preserve"> SE00641 Rosquete vainilla Easy SP 2400g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</si>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</sst>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0.0"/>
    <numFmt numFmtId="169" formatCode="[$-409]d\-mmm\-yy;@"/>
    <numFmt numFmtId="170" formatCode="_-* #,##0.0\ _€_-;\-* #,##0.0\ _€_-;_-* &quot;-&quot;??\ _€_-;_-@_-"/>
    <numFmt numFmtId="171" formatCode="_(* #,##0.000_);_(* \(#,##0.000\);_(* &quot;-&quot;??_);_(@_)"/>
  </numFmts>
  <fonts count="45" x14ac:knownFonts="1">
    <font>
      <sz val="10"/>
      <name val="Arial"/>
    </font>
    <font>
      <sz val="10"/>
      <name val="Arial"/>
      <family val="2"/>
    </font>
    <font>
      <b/>
      <sz val="12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rgb="FFFF0000"/>
      <name val="Times New Roman"/>
      <family val="1"/>
    </font>
    <font>
      <sz val="12"/>
      <name val="Arial"/>
      <family val="2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6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5" fillId="0" borderId="0"/>
    <xf numFmtId="0" fontId="35" fillId="0" borderId="0"/>
  </cellStyleXfs>
  <cellXfs count="279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166" fontId="4" fillId="0" borderId="0" xfId="1" applyFont="1" applyFill="1" applyAlignment="1">
      <alignment vertical="center"/>
    </xf>
    <xf numFmtId="166" fontId="17" fillId="0" borderId="0" xfId="1" applyFont="1" applyFill="1" applyBorder="1" applyAlignment="1">
      <alignment horizontal="right"/>
    </xf>
    <xf numFmtId="166" fontId="15" fillId="2" borderId="18" xfId="1" applyFont="1" applyFill="1" applyBorder="1" applyAlignment="1">
      <alignment horizontal="center" vertical="center"/>
    </xf>
    <xf numFmtId="166" fontId="15" fillId="0" borderId="0" xfId="1" applyFont="1" applyFill="1" applyAlignment="1">
      <alignment horizontal="center" vertical="center"/>
    </xf>
    <xf numFmtId="4" fontId="7" fillId="0" borderId="0" xfId="1" applyNumberFormat="1" applyFont="1" applyFill="1" applyAlignment="1">
      <alignment vertical="center"/>
    </xf>
    <xf numFmtId="4" fontId="7" fillId="0" borderId="0" xfId="2" applyNumberFormat="1" applyFont="1" applyFill="1" applyAlignment="1">
      <alignment horizontal="center" vertical="center"/>
    </xf>
    <xf numFmtId="4" fontId="13" fillId="0" borderId="0" xfId="2" applyNumberFormat="1" applyFont="1" applyFill="1" applyAlignment="1">
      <alignment horizontal="center" vertical="center"/>
    </xf>
    <xf numFmtId="166" fontId="9" fillId="0" borderId="0" xfId="1" applyFont="1" applyFill="1" applyBorder="1" applyAlignment="1">
      <alignment horizontal="center" vertical="center"/>
    </xf>
    <xf numFmtId="166" fontId="7" fillId="0" borderId="0" xfId="1" applyFont="1" applyFill="1" applyBorder="1" applyAlignment="1">
      <alignment horizontal="center" vertical="center"/>
    </xf>
    <xf numFmtId="166" fontId="7" fillId="0" borderId="3" xfId="1" applyFont="1" applyFill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7" fillId="9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9" fontId="12" fillId="0" borderId="0" xfId="0" applyNumberFormat="1" applyFont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10" fontId="7" fillId="0" borderId="0" xfId="20" applyNumberFormat="1" applyFont="1" applyFill="1" applyAlignment="1">
      <alignment vertical="center"/>
    </xf>
    <xf numFmtId="49" fontId="7" fillId="0" borderId="0" xfId="0" applyNumberFormat="1" applyFont="1" applyAlignment="1">
      <alignment horizontal="center" vertical="center"/>
    </xf>
    <xf numFmtId="10" fontId="8" fillId="0" borderId="0" xfId="20" applyNumberFormat="1" applyFont="1" applyFill="1" applyAlignment="1">
      <alignment vertical="center"/>
    </xf>
    <xf numFmtId="0" fontId="4" fillId="0" borderId="0" xfId="0" applyFont="1"/>
    <xf numFmtId="49" fontId="7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8" fillId="2" borderId="22" xfId="20" applyNumberFormat="1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10" fontId="8" fillId="2" borderId="18" xfId="20" applyNumberFormat="1" applyFont="1" applyFill="1" applyBorder="1" applyAlignment="1">
      <alignment vertical="center"/>
    </xf>
    <xf numFmtId="0" fontId="16" fillId="0" borderId="0" xfId="0" applyFont="1"/>
    <xf numFmtId="9" fontId="16" fillId="0" borderId="0" xfId="0" applyNumberFormat="1" applyFont="1"/>
    <xf numFmtId="9" fontId="34" fillId="0" borderId="0" xfId="20" applyFont="1" applyFill="1" applyAlignment="1">
      <alignment horizontal="center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19" fillId="0" borderId="14" xfId="0" applyFont="1" applyBorder="1" applyAlignment="1">
      <alignment horizontal="right"/>
    </xf>
    <xf numFmtId="0" fontId="21" fillId="0" borderId="0" xfId="0" applyFont="1" applyAlignment="1">
      <alignment horizontal="left" vertical="center"/>
    </xf>
    <xf numFmtId="10" fontId="22" fillId="0" borderId="0" xfId="20" applyNumberFormat="1" applyFont="1" applyFill="1" applyAlignment="1">
      <alignment horizontal="right"/>
    </xf>
    <xf numFmtId="4" fontId="4" fillId="0" borderId="0" xfId="0" applyNumberFormat="1" applyFont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8" fillId="2" borderId="23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4" fillId="2" borderId="23" xfId="0" applyFont="1" applyFill="1" applyBorder="1" applyAlignment="1">
      <alignment vertical="center"/>
    </xf>
    <xf numFmtId="10" fontId="4" fillId="0" borderId="0" xfId="20" applyNumberFormat="1" applyFont="1" applyFill="1" applyAlignment="1">
      <alignment vertical="center"/>
    </xf>
    <xf numFmtId="0" fontId="7" fillId="2" borderId="17" xfId="0" applyFont="1" applyFill="1" applyBorder="1" applyAlignment="1">
      <alignment horizontal="right" vertical="center"/>
    </xf>
    <xf numFmtId="10" fontId="8" fillId="0" borderId="0" xfId="20" applyNumberFormat="1" applyFont="1" applyFill="1" applyBorder="1" applyAlignment="1">
      <alignment vertical="center"/>
    </xf>
    <xf numFmtId="0" fontId="4" fillId="8" borderId="2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10" fontId="23" fillId="0" borderId="0" xfId="20" applyNumberFormat="1" applyFont="1" applyFill="1" applyAlignment="1">
      <alignment vertical="center"/>
    </xf>
    <xf numFmtId="4" fontId="4" fillId="0" borderId="0" xfId="0" applyNumberFormat="1" applyFont="1" applyAlignment="1">
      <alignment horizontal="center"/>
    </xf>
    <xf numFmtId="10" fontId="23" fillId="0" borderId="0" xfId="20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9" fontId="33" fillId="0" borderId="0" xfId="0" applyNumberFormat="1" applyFont="1" applyAlignment="1">
      <alignment horizontal="left"/>
    </xf>
    <xf numFmtId="4" fontId="7" fillId="0" borderId="0" xfId="0" applyNumberFormat="1" applyFont="1" applyAlignment="1">
      <alignment horizontal="center"/>
    </xf>
    <xf numFmtId="10" fontId="7" fillId="0" borderId="0" xfId="22" applyNumberFormat="1" applyFont="1" applyFill="1" applyAlignment="1">
      <alignment vertical="center"/>
    </xf>
    <xf numFmtId="10" fontId="8" fillId="0" borderId="0" xfId="22" applyNumberFormat="1" applyFont="1" applyFill="1" applyAlignment="1">
      <alignment vertical="center"/>
    </xf>
    <xf numFmtId="10" fontId="8" fillId="2" borderId="22" xfId="22" applyNumberFormat="1" applyFont="1" applyFill="1" applyBorder="1" applyAlignment="1">
      <alignment vertical="center"/>
    </xf>
    <xf numFmtId="10" fontId="8" fillId="2" borderId="18" xfId="22" applyNumberFormat="1" applyFont="1" applyFill="1" applyBorder="1" applyAlignment="1">
      <alignment vertical="center"/>
    </xf>
    <xf numFmtId="9" fontId="34" fillId="0" borderId="0" xfId="22" applyFont="1" applyFill="1" applyAlignment="1">
      <alignment horizontal="center"/>
    </xf>
    <xf numFmtId="10" fontId="22" fillId="0" borderId="0" xfId="22" applyNumberFormat="1" applyFont="1" applyFill="1" applyAlignment="1">
      <alignment horizontal="right"/>
    </xf>
    <xf numFmtId="10" fontId="4" fillId="0" borderId="0" xfId="22" applyNumberFormat="1" applyFont="1" applyFill="1" applyAlignment="1">
      <alignment vertical="center"/>
    </xf>
    <xf numFmtId="10" fontId="8" fillId="0" borderId="0" xfId="22" applyNumberFormat="1" applyFont="1" applyFill="1" applyBorder="1" applyAlignment="1">
      <alignment vertical="center"/>
    </xf>
    <xf numFmtId="10" fontId="23" fillId="0" borderId="0" xfId="22" applyNumberFormat="1" applyFont="1" applyFill="1" applyAlignment="1">
      <alignment vertical="center"/>
    </xf>
    <xf numFmtId="10" fontId="23" fillId="0" borderId="0" xfId="22" applyNumberFormat="1" applyFont="1" applyFill="1" applyBorder="1" applyAlignment="1">
      <alignment vertical="center"/>
    </xf>
    <xf numFmtId="4" fontId="15" fillId="0" borderId="0" xfId="1" applyNumberFormat="1" applyFont="1" applyFill="1" applyAlignment="1">
      <alignment vertical="center"/>
    </xf>
    <xf numFmtId="4" fontId="15" fillId="0" borderId="0" xfId="2" applyNumberFormat="1" applyFont="1" applyAlignment="1">
      <alignment horizontal="center" vertical="center"/>
    </xf>
    <xf numFmtId="166" fontId="20" fillId="4" borderId="24" xfId="1" applyFont="1" applyFill="1" applyBorder="1" applyAlignment="1">
      <alignment horizontal="right"/>
    </xf>
    <xf numFmtId="166" fontId="20" fillId="0" borderId="0" xfId="1" applyFont="1" applyFill="1" applyBorder="1" applyAlignment="1">
      <alignment horizontal="right"/>
    </xf>
    <xf numFmtId="166" fontId="7" fillId="0" borderId="3" xfId="1" applyFont="1" applyFill="1" applyBorder="1" applyAlignment="1">
      <alignment vertical="center"/>
    </xf>
    <xf numFmtId="4" fontId="15" fillId="0" borderId="0" xfId="2" applyNumberFormat="1" applyFont="1" applyFill="1" applyAlignment="1">
      <alignment horizontal="center" vertical="center"/>
    </xf>
    <xf numFmtId="170" fontId="7" fillId="2" borderId="3" xfId="1" applyNumberFormat="1" applyFont="1" applyFill="1" applyBorder="1" applyAlignment="1">
      <alignment vertical="center"/>
    </xf>
    <xf numFmtId="166" fontId="7" fillId="5" borderId="3" xfId="1" applyFont="1" applyFill="1" applyBorder="1" applyAlignment="1">
      <alignment vertical="center"/>
    </xf>
    <xf numFmtId="166" fontId="23" fillId="0" borderId="0" xfId="0" applyNumberFormat="1" applyFont="1" applyAlignment="1">
      <alignment horizontal="center" vertical="center"/>
    </xf>
    <xf numFmtId="2" fontId="22" fillId="0" borderId="0" xfId="1" applyNumberFormat="1" applyFont="1" applyFill="1" applyBorder="1" applyAlignment="1">
      <alignment horizontal="center"/>
    </xf>
    <xf numFmtId="2" fontId="19" fillId="0" borderId="0" xfId="1" applyNumberFormat="1" applyFont="1" applyFill="1" applyBorder="1" applyAlignment="1">
      <alignment horizontal="center"/>
    </xf>
    <xf numFmtId="4" fontId="4" fillId="0" borderId="0" xfId="1" applyNumberFormat="1" applyFont="1" applyFill="1" applyAlignment="1">
      <alignment vertical="center"/>
    </xf>
    <xf numFmtId="166" fontId="20" fillId="2" borderId="16" xfId="1" applyFont="1" applyFill="1" applyBorder="1" applyAlignment="1">
      <alignment horizontal="right"/>
    </xf>
    <xf numFmtId="10" fontId="26" fillId="0" borderId="0" xfId="1" applyNumberFormat="1" applyFont="1" applyFill="1" applyAlignment="1">
      <alignment vertical="center"/>
    </xf>
    <xf numFmtId="166" fontId="27" fillId="0" borderId="0" xfId="0" applyNumberFormat="1" applyFont="1" applyAlignment="1">
      <alignment horizontal="center" vertical="center"/>
    </xf>
    <xf numFmtId="166" fontId="28" fillId="0" borderId="0" xfId="1" applyFont="1" applyFill="1" applyAlignment="1">
      <alignment vertical="center"/>
    </xf>
    <xf numFmtId="4" fontId="29" fillId="0" borderId="0" xfId="2" applyNumberFormat="1" applyFont="1" applyFill="1" applyAlignment="1">
      <alignment horizontal="center" vertical="center" wrapText="1"/>
    </xf>
    <xf numFmtId="9" fontId="4" fillId="0" borderId="0" xfId="1" applyNumberFormat="1" applyFont="1" applyFill="1" applyAlignment="1">
      <alignment vertical="center"/>
    </xf>
    <xf numFmtId="4" fontId="14" fillId="0" borderId="0" xfId="1" applyNumberFormat="1" applyFont="1" applyFill="1" applyAlignment="1">
      <alignment vertical="center"/>
    </xf>
    <xf numFmtId="4" fontId="7" fillId="6" borderId="24" xfId="1" applyNumberFormat="1" applyFont="1" applyFill="1" applyBorder="1" applyAlignment="1">
      <alignment horizontal="center" vertical="center"/>
    </xf>
    <xf numFmtId="166" fontId="30" fillId="0" borderId="0" xfId="1" applyFont="1" applyFill="1" applyAlignment="1">
      <alignment vertical="center"/>
    </xf>
    <xf numFmtId="9" fontId="30" fillId="0" borderId="0" xfId="1" applyNumberFormat="1" applyFont="1" applyFill="1" applyAlignment="1">
      <alignment vertical="center"/>
    </xf>
    <xf numFmtId="4" fontId="7" fillId="0" borderId="0" xfId="1" applyNumberFormat="1" applyFont="1" applyFill="1" applyAlignment="1">
      <alignment horizontal="center" vertical="center"/>
    </xf>
    <xf numFmtId="166" fontId="23" fillId="0" borderId="0" xfId="1" applyFont="1" applyFill="1" applyBorder="1" applyAlignment="1">
      <alignment vertical="center"/>
    </xf>
    <xf numFmtId="166" fontId="4" fillId="0" borderId="0" xfId="1" applyFont="1" applyFill="1" applyBorder="1"/>
    <xf numFmtId="166" fontId="4" fillId="0" borderId="0" xfId="1" applyFont="1" applyFill="1" applyBorder="1" applyAlignment="1">
      <alignment horizontal="center"/>
    </xf>
    <xf numFmtId="166" fontId="7" fillId="0" borderId="0" xfId="0" applyNumberFormat="1" applyFont="1"/>
    <xf numFmtId="2" fontId="13" fillId="10" borderId="0" xfId="0" applyNumberFormat="1" applyFont="1" applyFill="1" applyAlignment="1">
      <alignment horizontal="center"/>
    </xf>
    <xf numFmtId="0" fontId="4" fillId="10" borderId="0" xfId="0" applyFont="1" applyFill="1" applyAlignment="1">
      <alignment vertical="center"/>
    </xf>
    <xf numFmtId="0" fontId="2" fillId="3" borderId="7" xfId="23" applyFont="1" applyFill="1" applyBorder="1" applyAlignment="1">
      <alignment horizontal="right"/>
    </xf>
    <xf numFmtId="0" fontId="35" fillId="3" borderId="8" xfId="24" applyFill="1" applyBorder="1" applyAlignment="1">
      <alignment horizontal="center"/>
    </xf>
    <xf numFmtId="0" fontId="2" fillId="3" borderId="3" xfId="23" applyFont="1" applyFill="1" applyBorder="1" applyAlignment="1">
      <alignment horizontal="right"/>
    </xf>
    <xf numFmtId="49" fontId="36" fillId="3" borderId="1" xfId="23" applyNumberFormat="1" applyFont="1" applyFill="1" applyBorder="1" applyAlignment="1">
      <alignment horizontal="center"/>
    </xf>
    <xf numFmtId="0" fontId="36" fillId="3" borderId="2" xfId="23" applyFont="1" applyFill="1" applyBorder="1" applyAlignment="1">
      <alignment horizontal="right"/>
    </xf>
    <xf numFmtId="0" fontId="36" fillId="3" borderId="3" xfId="23" applyFont="1" applyFill="1" applyBorder="1" applyAlignment="1">
      <alignment horizontal="right"/>
    </xf>
    <xf numFmtId="14" fontId="38" fillId="3" borderId="0" xfId="24" applyNumberFormat="1" applyFont="1" applyFill="1" applyAlignment="1">
      <alignment horizontal="center" vertical="center" wrapText="1"/>
    </xf>
    <xf numFmtId="0" fontId="2" fillId="12" borderId="8" xfId="18" applyFont="1" applyFill="1" applyBorder="1" applyAlignment="1">
      <alignment horizontal="center" vertical="center" wrapText="1"/>
    </xf>
    <xf numFmtId="1" fontId="2" fillId="12" borderId="5" xfId="18" applyNumberFormat="1" applyFont="1" applyFill="1" applyBorder="1" applyAlignment="1">
      <alignment horizontal="center"/>
    </xf>
    <xf numFmtId="1" fontId="2" fillId="12" borderId="5" xfId="18" applyNumberFormat="1" applyFont="1" applyFill="1" applyBorder="1" applyAlignment="1">
      <alignment horizontal="center" wrapText="1"/>
    </xf>
    <xf numFmtId="0" fontId="2" fillId="12" borderId="50" xfId="18" applyFont="1" applyFill="1" applyBorder="1" applyAlignment="1">
      <alignment horizontal="center"/>
    </xf>
    <xf numFmtId="0" fontId="37" fillId="3" borderId="0" xfId="24" applyFont="1" applyFill="1" applyAlignment="1">
      <alignment horizontal="right"/>
    </xf>
    <xf numFmtId="0" fontId="38" fillId="3" borderId="41" xfId="24" applyFont="1" applyFill="1" applyBorder="1" applyAlignment="1">
      <alignment horizontal="center"/>
    </xf>
    <xf numFmtId="0" fontId="37" fillId="3" borderId="0" xfId="24" applyFont="1" applyFill="1"/>
    <xf numFmtId="0" fontId="2" fillId="12" borderId="48" xfId="18" applyFont="1" applyFill="1" applyBorder="1" applyAlignment="1">
      <alignment horizontal="center" vertical="center"/>
    </xf>
    <xf numFmtId="0" fontId="2" fillId="12" borderId="49" xfId="18" applyFont="1" applyFill="1" applyBorder="1" applyAlignment="1">
      <alignment horizontal="center" vertical="center"/>
    </xf>
    <xf numFmtId="0" fontId="2" fillId="12" borderId="48" xfId="18" applyFont="1" applyFill="1" applyBorder="1" applyAlignment="1">
      <alignment horizontal="center" vertical="center" wrapText="1"/>
    </xf>
    <xf numFmtId="0" fontId="2" fillId="12" borderId="49" xfId="18" applyFont="1" applyFill="1" applyBorder="1" applyAlignment="1">
      <alignment horizontal="center" vertical="center" wrapText="1"/>
    </xf>
    <xf numFmtId="0" fontId="2" fillId="12" borderId="7" xfId="18" applyFont="1" applyFill="1" applyBorder="1" applyAlignment="1">
      <alignment horizontal="center" vertical="center"/>
    </xf>
    <xf numFmtId="0" fontId="2" fillId="12" borderId="5" xfId="18" applyFont="1" applyFill="1" applyBorder="1" applyAlignment="1">
      <alignment horizontal="center" vertical="center"/>
    </xf>
    <xf numFmtId="14" fontId="36" fillId="3" borderId="9" xfId="23" applyNumberFormat="1" applyFont="1" applyFill="1" applyBorder="1" applyAlignment="1">
      <alignment horizontal="center" vertical="center" wrapText="1"/>
    </xf>
    <xf numFmtId="14" fontId="36" fillId="3" borderId="25" xfId="23" applyNumberFormat="1" applyFont="1" applyFill="1" applyBorder="1" applyAlignment="1">
      <alignment horizontal="center" vertical="center" wrapText="1"/>
    </xf>
    <xf numFmtId="14" fontId="36" fillId="3" borderId="47" xfId="23" applyNumberFormat="1" applyFont="1" applyFill="1" applyBorder="1" applyAlignment="1">
      <alignment horizontal="center" vertical="center" wrapText="1"/>
    </xf>
    <xf numFmtId="0" fontId="36" fillId="3" borderId="35" xfId="23" applyFont="1" applyFill="1" applyBorder="1" applyAlignment="1">
      <alignment horizontal="left"/>
    </xf>
    <xf numFmtId="0" fontId="36" fillId="3" borderId="32" xfId="23" applyFont="1" applyFill="1" applyBorder="1" applyAlignment="1">
      <alignment horizontal="left"/>
    </xf>
    <xf numFmtId="0" fontId="36" fillId="3" borderId="34" xfId="23" applyFont="1" applyFill="1" applyBorder="1" applyAlignment="1">
      <alignment horizontal="left"/>
    </xf>
    <xf numFmtId="0" fontId="36" fillId="3" borderId="33" xfId="23" applyFont="1" applyFill="1" applyBorder="1" applyAlignment="1">
      <alignment horizontal="left"/>
    </xf>
    <xf numFmtId="0" fontId="36" fillId="3" borderId="11" xfId="23" applyFont="1" applyFill="1" applyBorder="1" applyAlignment="1">
      <alignment horizontal="left"/>
    </xf>
    <xf numFmtId="0" fontId="36" fillId="3" borderId="6" xfId="23" applyFont="1" applyFill="1" applyBorder="1" applyAlignment="1">
      <alignment horizontal="left"/>
    </xf>
    <xf numFmtId="0" fontId="36" fillId="3" borderId="39" xfId="23" applyFont="1" applyFill="1" applyBorder="1" applyAlignment="1">
      <alignment horizontal="center"/>
    </xf>
    <xf numFmtId="0" fontId="36" fillId="3" borderId="40" xfId="23" applyFont="1" applyFill="1" applyBorder="1" applyAlignment="1">
      <alignment horizontal="center"/>
    </xf>
    <xf numFmtId="0" fontId="36" fillId="3" borderId="13" xfId="23" applyFont="1" applyFill="1" applyBorder="1" applyAlignment="1">
      <alignment horizontal="center"/>
    </xf>
    <xf numFmtId="0" fontId="36" fillId="3" borderId="0" xfId="23" applyFont="1" applyFill="1" applyAlignment="1">
      <alignment horizontal="center"/>
    </xf>
    <xf numFmtId="0" fontId="36" fillId="3" borderId="45" xfId="23" applyFont="1" applyFill="1" applyBorder="1" applyAlignment="1">
      <alignment horizontal="center"/>
    </xf>
    <xf numFmtId="0" fontId="36" fillId="3" borderId="46" xfId="23" applyFont="1" applyFill="1" applyBorder="1" applyAlignment="1">
      <alignment horizontal="center"/>
    </xf>
    <xf numFmtId="0" fontId="2" fillId="3" borderId="7" xfId="23" applyFont="1" applyFill="1" applyBorder="1" applyAlignment="1">
      <alignment horizontal="center"/>
    </xf>
    <xf numFmtId="0" fontId="2" fillId="3" borderId="30" xfId="23" applyFont="1" applyFill="1" applyBorder="1" applyAlignment="1">
      <alignment horizontal="center"/>
    </xf>
    <xf numFmtId="0" fontId="2" fillId="3" borderId="28" xfId="23" applyFont="1" applyFill="1" applyBorder="1" applyAlignment="1">
      <alignment horizontal="center"/>
    </xf>
    <xf numFmtId="0" fontId="2" fillId="3" borderId="29" xfId="23" applyFont="1" applyFill="1" applyBorder="1" applyAlignment="1">
      <alignment horizontal="center"/>
    </xf>
    <xf numFmtId="0" fontId="2" fillId="3" borderId="42" xfId="23" applyFont="1" applyFill="1" applyBorder="1" applyAlignment="1">
      <alignment horizontal="right" vertical="top" wrapText="1"/>
    </xf>
    <xf numFmtId="0" fontId="2" fillId="3" borderId="26" xfId="23" applyFont="1" applyFill="1" applyBorder="1" applyAlignment="1">
      <alignment horizontal="right" vertical="top" wrapText="1"/>
    </xf>
    <xf numFmtId="0" fontId="2" fillId="3" borderId="43" xfId="23" applyFont="1" applyFill="1" applyBorder="1" applyAlignment="1">
      <alignment horizontal="right" vertical="top" wrapText="1"/>
    </xf>
    <xf numFmtId="0" fontId="7" fillId="0" borderId="0" xfId="0" applyFont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right"/>
    </xf>
    <xf numFmtId="0" fontId="23" fillId="0" borderId="3" xfId="0" applyFont="1" applyBorder="1" applyAlignment="1">
      <alignment horizontal="right" vertical="center"/>
    </xf>
    <xf numFmtId="0" fontId="24" fillId="0" borderId="13" xfId="0" applyFont="1" applyBorder="1" applyAlignment="1">
      <alignment horizontal="right"/>
    </xf>
    <xf numFmtId="0" fontId="24" fillId="0" borderId="0" xfId="0" applyFont="1" applyAlignment="1">
      <alignment horizontal="right"/>
    </xf>
    <xf numFmtId="0" fontId="24" fillId="0" borderId="14" xfId="0" applyFont="1" applyBorder="1" applyAlignment="1">
      <alignment horizontal="right"/>
    </xf>
    <xf numFmtId="0" fontId="32" fillId="0" borderId="0" xfId="0" applyFont="1" applyAlignment="1">
      <alignment horizontal="right"/>
    </xf>
    <xf numFmtId="0" fontId="22" fillId="0" borderId="41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0" fillId="2" borderId="15" xfId="0" applyFont="1" applyFill="1" applyBorder="1" applyAlignment="1">
      <alignment horizontal="right"/>
    </xf>
    <xf numFmtId="0" fontId="20" fillId="2" borderId="16" xfId="0" applyFont="1" applyFill="1" applyBorder="1" applyAlignment="1">
      <alignment horizontal="right"/>
    </xf>
    <xf numFmtId="0" fontId="4" fillId="0" borderId="0" xfId="0" applyFont="1" applyAlignment="1">
      <alignment horizontal="right" vertical="center"/>
    </xf>
    <xf numFmtId="0" fontId="7" fillId="0" borderId="41" xfId="0" applyFont="1" applyBorder="1" applyAlignment="1">
      <alignment horizontal="right" vertical="center"/>
    </xf>
    <xf numFmtId="0" fontId="7" fillId="0" borderId="44" xfId="0" applyFont="1" applyBorder="1" applyAlignment="1">
      <alignment horizontal="right" vertical="center"/>
    </xf>
    <xf numFmtId="0" fontId="7" fillId="7" borderId="15" xfId="0" applyFont="1" applyFill="1" applyBorder="1" applyAlignment="1">
      <alignment horizontal="right" vertical="center"/>
    </xf>
    <xf numFmtId="0" fontId="7" fillId="7" borderId="16" xfId="0" applyFont="1" applyFill="1" applyBorder="1" applyAlignment="1">
      <alignment horizontal="right" vertical="center"/>
    </xf>
    <xf numFmtId="0" fontId="7" fillId="7" borderId="17" xfId="0" applyFont="1" applyFill="1" applyBorder="1" applyAlignment="1">
      <alignment horizontal="right" vertical="center"/>
    </xf>
    <xf numFmtId="4" fontId="29" fillId="0" borderId="0" xfId="2" applyNumberFormat="1" applyFont="1" applyFill="1" applyAlignment="1">
      <alignment horizontal="center" vertical="center" wrapText="1"/>
    </xf>
    <xf numFmtId="0" fontId="31" fillId="0" borderId="15" xfId="0" applyFont="1" applyBorder="1" applyAlignment="1">
      <alignment horizontal="right" vertical="center"/>
    </xf>
    <xf numFmtId="0" fontId="31" fillId="0" borderId="16" xfId="0" applyFont="1" applyBorder="1" applyAlignment="1">
      <alignment horizontal="right" vertical="center"/>
    </xf>
    <xf numFmtId="0" fontId="31" fillId="0" borderId="17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right" vertical="center" wrapText="1"/>
    </xf>
    <xf numFmtId="0" fontId="16" fillId="0" borderId="39" xfId="0" applyFont="1" applyBorder="1" applyAlignment="1">
      <alignment horizontal="right"/>
    </xf>
    <xf numFmtId="0" fontId="16" fillId="0" borderId="40" xfId="0" applyFont="1" applyBorder="1" applyAlignment="1">
      <alignment horizontal="right"/>
    </xf>
    <xf numFmtId="0" fontId="39" fillId="0" borderId="12" xfId="18" applyFont="1" applyBorder="1" applyAlignment="1">
      <alignment horizontal="center" vertical="center"/>
    </xf>
    <xf numFmtId="0" fontId="39" fillId="0" borderId="6" xfId="18" applyFont="1" applyBorder="1" applyAlignment="1">
      <alignment horizontal="center" vertical="center"/>
    </xf>
    <xf numFmtId="0" fontId="40" fillId="0" borderId="3" xfId="18" applyFont="1" applyBorder="1" applyAlignment="1">
      <alignment vertical="center"/>
    </xf>
    <xf numFmtId="0" fontId="39" fillId="0" borderId="3" xfId="18" applyFont="1" applyBorder="1" applyAlignment="1">
      <alignment horizontal="center" vertical="center"/>
    </xf>
    <xf numFmtId="1" fontId="39" fillId="0" borderId="3" xfId="18" applyNumberFormat="1" applyFont="1" applyBorder="1" applyAlignment="1">
      <alignment horizontal="center"/>
    </xf>
    <xf numFmtId="1" fontId="39" fillId="0" borderId="3" xfId="18" applyNumberFormat="1" applyFont="1" applyBorder="1" applyAlignment="1">
      <alignment horizontal="center" wrapText="1"/>
    </xf>
    <xf numFmtId="0" fontId="41" fillId="0" borderId="1" xfId="18" applyFont="1" applyBorder="1" applyAlignment="1">
      <alignment horizontal="center"/>
    </xf>
    <xf numFmtId="1" fontId="41" fillId="0" borderId="3" xfId="0" applyNumberFormat="1" applyFont="1" applyBorder="1"/>
    <xf numFmtId="0" fontId="41" fillId="0" borderId="3" xfId="0" applyFont="1" applyBorder="1" applyAlignment="1">
      <alignment horizontal="center"/>
    </xf>
    <xf numFmtId="0" fontId="41" fillId="0" borderId="3" xfId="0" applyFont="1" applyBorder="1"/>
    <xf numFmtId="0" fontId="41" fillId="0" borderId="3" xfId="0" applyFont="1" applyBorder="1" applyAlignment="1">
      <alignment horizontal="center" vertical="center"/>
    </xf>
    <xf numFmtId="1" fontId="41" fillId="0" borderId="3" xfId="0" applyNumberFormat="1" applyFont="1" applyBorder="1" applyAlignment="1">
      <alignment horizontal="center" vertical="center"/>
    </xf>
    <xf numFmtId="1" fontId="41" fillId="0" borderId="3" xfId="0" applyNumberFormat="1" applyFont="1" applyBorder="1" applyAlignment="1">
      <alignment horizontal="center" vertical="center" wrapText="1"/>
    </xf>
    <xf numFmtId="0" fontId="41" fillId="0" borderId="2" xfId="0" applyFont="1" applyBorder="1" applyAlignment="1">
      <alignment horizontal="center" wrapText="1"/>
    </xf>
    <xf numFmtId="12" fontId="41" fillId="0" borderId="2" xfId="0" applyNumberFormat="1" applyFont="1" applyBorder="1" applyAlignment="1">
      <alignment horizontal="center"/>
    </xf>
    <xf numFmtId="0" fontId="41" fillId="0" borderId="3" xfId="0" applyFont="1" applyBorder="1" applyAlignment="1">
      <alignment horizontal="left" vertical="center"/>
    </xf>
    <xf numFmtId="0" fontId="42" fillId="8" borderId="12" xfId="0" applyFont="1" applyFill="1" applyBorder="1" applyAlignment="1">
      <alignment horizontal="center"/>
    </xf>
    <xf numFmtId="0" fontId="42" fillId="8" borderId="38" xfId="0" applyFont="1" applyFill="1" applyBorder="1" applyAlignment="1">
      <alignment horizontal="center"/>
    </xf>
    <xf numFmtId="0" fontId="42" fillId="8" borderId="2" xfId="0" applyFont="1" applyFill="1" applyBorder="1"/>
    <xf numFmtId="0" fontId="41" fillId="8" borderId="6" xfId="0" applyFont="1" applyFill="1" applyBorder="1" applyAlignment="1">
      <alignment horizontal="center"/>
    </xf>
    <xf numFmtId="1" fontId="41" fillId="8" borderId="2" xfId="0" applyNumberFormat="1" applyFont="1" applyFill="1" applyBorder="1" applyAlignment="1">
      <alignment horizontal="center"/>
    </xf>
    <xf numFmtId="1" fontId="41" fillId="8" borderId="2" xfId="0" applyNumberFormat="1" applyFont="1" applyFill="1" applyBorder="1" applyAlignment="1">
      <alignment horizontal="center" wrapText="1"/>
    </xf>
    <xf numFmtId="16" fontId="41" fillId="0" borderId="3" xfId="0" applyNumberFormat="1" applyFont="1" applyBorder="1" applyAlignment="1">
      <alignment horizontal="center"/>
    </xf>
    <xf numFmtId="1" fontId="41" fillId="0" borderId="3" xfId="0" applyNumberFormat="1" applyFont="1" applyBorder="1" applyAlignment="1">
      <alignment horizontal="center"/>
    </xf>
    <xf numFmtId="1" fontId="41" fillId="0" borderId="3" xfId="0" applyNumberFormat="1" applyFont="1" applyBorder="1" applyAlignment="1">
      <alignment horizontal="center" wrapText="1"/>
    </xf>
    <xf numFmtId="49" fontId="39" fillId="0" borderId="10" xfId="18" applyNumberFormat="1" applyFont="1" applyBorder="1" applyAlignment="1">
      <alignment horizontal="center"/>
    </xf>
    <xf numFmtId="49" fontId="39" fillId="0" borderId="11" xfId="18" applyNumberFormat="1" applyFont="1" applyBorder="1" applyAlignment="1">
      <alignment horizontal="center"/>
    </xf>
    <xf numFmtId="0" fontId="40" fillId="8" borderId="3" xfId="18" applyFont="1" applyFill="1" applyBorder="1" applyAlignment="1">
      <alignment vertical="center"/>
    </xf>
    <xf numFmtId="0" fontId="39" fillId="0" borderId="6" xfId="18" applyFont="1" applyBorder="1" applyAlignment="1">
      <alignment horizontal="center"/>
    </xf>
    <xf numFmtId="168" fontId="39" fillId="0" borderId="3" xfId="18" applyNumberFormat="1" applyFont="1" applyBorder="1" applyAlignment="1">
      <alignment horizontal="center"/>
    </xf>
    <xf numFmtId="49" fontId="41" fillId="0" borderId="12" xfId="0" applyNumberFormat="1" applyFont="1" applyBorder="1" applyAlignment="1">
      <alignment horizontal="center"/>
    </xf>
    <xf numFmtId="49" fontId="41" fillId="0" borderId="6" xfId="0" applyNumberFormat="1" applyFont="1" applyBorder="1" applyAlignment="1">
      <alignment horizontal="center"/>
    </xf>
    <xf numFmtId="49" fontId="39" fillId="0" borderId="3" xfId="0" applyNumberFormat="1" applyFont="1" applyBorder="1"/>
    <xf numFmtId="171" fontId="39" fillId="8" borderId="3" xfId="1" applyNumberFormat="1" applyFont="1" applyFill="1" applyBorder="1" applyAlignment="1">
      <alignment horizontal="center"/>
    </xf>
    <xf numFmtId="0" fontId="43" fillId="0" borderId="12" xfId="0" applyFont="1" applyBorder="1" applyAlignment="1">
      <alignment horizontal="center"/>
    </xf>
    <xf numFmtId="0" fontId="43" fillId="0" borderId="6" xfId="0" applyFont="1" applyBorder="1" applyAlignment="1">
      <alignment horizontal="center"/>
    </xf>
    <xf numFmtId="0" fontId="43" fillId="0" borderId="3" xfId="0" applyFont="1" applyBorder="1"/>
    <xf numFmtId="12" fontId="41" fillId="0" borderId="3" xfId="18" applyNumberFormat="1" applyFont="1" applyBorder="1" applyAlignment="1">
      <alignment horizontal="center"/>
    </xf>
    <xf numFmtId="1" fontId="41" fillId="0" borderId="3" xfId="18" applyNumberFormat="1" applyFont="1" applyBorder="1" applyAlignment="1">
      <alignment horizontal="center"/>
    </xf>
    <xf numFmtId="0" fontId="41" fillId="0" borderId="3" xfId="0" quotePrefix="1" applyFont="1" applyBorder="1" applyAlignment="1">
      <alignment horizontal="center"/>
    </xf>
    <xf numFmtId="0" fontId="41" fillId="0" borderId="3" xfId="0" quotePrefix="1" applyFont="1" applyBorder="1"/>
    <xf numFmtId="49" fontId="43" fillId="3" borderId="13" xfId="18" applyNumberFormat="1" applyFont="1" applyFill="1" applyBorder="1" applyAlignment="1">
      <alignment horizontal="center" vertical="center"/>
    </xf>
    <xf numFmtId="49" fontId="43" fillId="3" borderId="0" xfId="18" applyNumberFormat="1" applyFont="1" applyFill="1" applyAlignment="1">
      <alignment horizontal="center" vertical="center"/>
    </xf>
    <xf numFmtId="0" fontId="41" fillId="3" borderId="0" xfId="18" applyFont="1" applyFill="1"/>
    <xf numFmtId="1" fontId="41" fillId="3" borderId="0" xfId="18" applyNumberFormat="1" applyFont="1" applyFill="1" applyAlignment="1">
      <alignment horizontal="center"/>
    </xf>
    <xf numFmtId="167" fontId="41" fillId="3" borderId="0" xfId="18" applyNumberFormat="1" applyFont="1" applyFill="1" applyAlignment="1">
      <alignment horizontal="center" wrapText="1"/>
    </xf>
    <xf numFmtId="0" fontId="41" fillId="3" borderId="14" xfId="18" applyFont="1" applyFill="1" applyBorder="1" applyAlignment="1">
      <alignment horizontal="center"/>
    </xf>
    <xf numFmtId="0" fontId="41" fillId="12" borderId="15" xfId="18" applyFont="1" applyFill="1" applyBorder="1" applyAlignment="1">
      <alignment horizontal="center"/>
    </xf>
    <xf numFmtId="0" fontId="41" fillId="12" borderId="16" xfId="18" applyFont="1" applyFill="1" applyBorder="1" applyAlignment="1">
      <alignment horizontal="center"/>
    </xf>
    <xf numFmtId="0" fontId="41" fillId="12" borderId="16" xfId="18" applyFont="1" applyFill="1" applyBorder="1"/>
    <xf numFmtId="0" fontId="39" fillId="12" borderId="16" xfId="18" applyFont="1" applyFill="1" applyBorder="1" applyAlignment="1">
      <alignment horizontal="center"/>
    </xf>
    <xf numFmtId="1" fontId="39" fillId="12" borderId="16" xfId="18" applyNumberFormat="1" applyFont="1" applyFill="1" applyBorder="1" applyAlignment="1">
      <alignment horizontal="center"/>
    </xf>
    <xf numFmtId="167" fontId="41" fillId="12" borderId="16" xfId="18" applyNumberFormat="1" applyFont="1" applyFill="1" applyBorder="1" applyAlignment="1">
      <alignment horizontal="center" wrapText="1"/>
    </xf>
    <xf numFmtId="0" fontId="41" fillId="12" borderId="17" xfId="18" applyFont="1" applyFill="1" applyBorder="1" applyAlignment="1">
      <alignment horizontal="center"/>
    </xf>
    <xf numFmtId="0" fontId="39" fillId="0" borderId="45" xfId="18" applyFont="1" applyBorder="1" applyAlignment="1">
      <alignment horizontal="right"/>
    </xf>
    <xf numFmtId="0" fontId="39" fillId="0" borderId="46" xfId="18" applyFont="1" applyBorder="1" applyAlignment="1">
      <alignment horizontal="right"/>
    </xf>
    <xf numFmtId="0" fontId="39" fillId="0" borderId="38" xfId="18" applyFont="1" applyBorder="1" applyAlignment="1">
      <alignment horizontal="right"/>
    </xf>
    <xf numFmtId="1" fontId="39" fillId="0" borderId="2" xfId="0" applyNumberFormat="1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167" fontId="41" fillId="0" borderId="2" xfId="18" applyNumberFormat="1" applyFont="1" applyBorder="1" applyAlignment="1">
      <alignment horizontal="right"/>
    </xf>
    <xf numFmtId="0" fontId="41" fillId="3" borderId="4" xfId="18" applyFont="1" applyFill="1" applyBorder="1" applyAlignment="1">
      <alignment horizontal="center"/>
    </xf>
    <xf numFmtId="0" fontId="41" fillId="3" borderId="51" xfId="18" applyFont="1" applyFill="1" applyBorder="1" applyAlignment="1">
      <alignment horizontal="center"/>
    </xf>
    <xf numFmtId="0" fontId="39" fillId="0" borderId="10" xfId="18" applyFont="1" applyBorder="1" applyAlignment="1">
      <alignment horizontal="right"/>
    </xf>
    <xf numFmtId="0" fontId="39" fillId="0" borderId="11" xfId="18" applyFont="1" applyBorder="1" applyAlignment="1">
      <alignment horizontal="right"/>
    </xf>
    <xf numFmtId="0" fontId="39" fillId="0" borderId="6" xfId="18" applyFont="1" applyBorder="1" applyAlignment="1">
      <alignment horizontal="right"/>
    </xf>
    <xf numFmtId="0" fontId="41" fillId="0" borderId="3" xfId="18" applyFont="1" applyBorder="1" applyAlignment="1">
      <alignment horizontal="right"/>
    </xf>
    <xf numFmtId="167" fontId="41" fillId="0" borderId="33" xfId="18" applyNumberFormat="1" applyFont="1" applyBorder="1" applyAlignment="1">
      <alignment horizontal="center"/>
    </xf>
    <xf numFmtId="167" fontId="41" fillId="0" borderId="52" xfId="18" applyNumberFormat="1" applyFont="1" applyBorder="1" applyAlignment="1">
      <alignment horizontal="center"/>
    </xf>
    <xf numFmtId="167" fontId="41" fillId="0" borderId="33" xfId="18" applyNumberFormat="1" applyFont="1" applyBorder="1" applyAlignment="1">
      <alignment horizontal="right" wrapText="1"/>
    </xf>
    <xf numFmtId="167" fontId="41" fillId="0" borderId="6" xfId="18" applyNumberFormat="1" applyFont="1" applyBorder="1" applyAlignment="1">
      <alignment horizontal="right" wrapText="1"/>
    </xf>
    <xf numFmtId="167" fontId="41" fillId="0" borderId="33" xfId="0" applyNumberFormat="1" applyFont="1" applyBorder="1" applyAlignment="1">
      <alignment horizontal="center" wrapText="1"/>
    </xf>
    <xf numFmtId="167" fontId="41" fillId="0" borderId="52" xfId="0" applyNumberFormat="1" applyFont="1" applyBorder="1" applyAlignment="1">
      <alignment horizontal="center" wrapText="1"/>
    </xf>
    <xf numFmtId="0" fontId="39" fillId="0" borderId="49" xfId="18" applyFont="1" applyBorder="1" applyAlignment="1">
      <alignment horizontal="right"/>
    </xf>
    <xf numFmtId="0" fontId="39" fillId="0" borderId="29" xfId="18" applyFont="1" applyBorder="1" applyAlignment="1">
      <alignment horizontal="right"/>
    </xf>
    <xf numFmtId="0" fontId="39" fillId="0" borderId="5" xfId="18" applyFont="1" applyBorder="1" applyAlignment="1">
      <alignment horizontal="right"/>
    </xf>
    <xf numFmtId="1" fontId="41" fillId="0" borderId="5" xfId="0" applyNumberFormat="1" applyFont="1" applyBorder="1" applyAlignment="1">
      <alignment horizontal="center"/>
    </xf>
    <xf numFmtId="0" fontId="41" fillId="0" borderId="5" xfId="0" applyFont="1" applyBorder="1" applyAlignment="1">
      <alignment horizontal="center"/>
    </xf>
    <xf numFmtId="0" fontId="41" fillId="0" borderId="5" xfId="18" applyFont="1" applyBorder="1" applyAlignment="1">
      <alignment horizontal="right"/>
    </xf>
    <xf numFmtId="0" fontId="39" fillId="12" borderId="15" xfId="18" applyFont="1" applyFill="1" applyBorder="1" applyAlignment="1">
      <alignment horizontal="left"/>
    </xf>
    <xf numFmtId="0" fontId="39" fillId="12" borderId="16" xfId="18" applyFont="1" applyFill="1" applyBorder="1" applyAlignment="1">
      <alignment horizontal="left"/>
    </xf>
    <xf numFmtId="0" fontId="39" fillId="12" borderId="17" xfId="18" applyFont="1" applyFill="1" applyBorder="1" applyAlignment="1">
      <alignment horizontal="left"/>
    </xf>
    <xf numFmtId="0" fontId="41" fillId="0" borderId="31" xfId="0" applyFont="1" applyBorder="1" applyAlignment="1">
      <alignment horizontal="left"/>
    </xf>
    <xf numFmtId="0" fontId="41" fillId="0" borderId="32" xfId="0" applyFont="1" applyBorder="1" applyAlignment="1">
      <alignment horizontal="left"/>
    </xf>
    <xf numFmtId="0" fontId="41" fillId="0" borderId="10" xfId="0" applyFont="1" applyBorder="1" applyAlignment="1">
      <alignment horizontal="left"/>
    </xf>
    <xf numFmtId="0" fontId="41" fillId="0" borderId="11" xfId="0" applyFont="1" applyBorder="1" applyAlignment="1">
      <alignment horizontal="left"/>
    </xf>
    <xf numFmtId="0" fontId="41" fillId="0" borderId="27" xfId="0" applyFont="1" applyBorder="1" applyAlignment="1">
      <alignment horizontal="left"/>
    </xf>
    <xf numFmtId="0" fontId="41" fillId="0" borderId="28" xfId="0" applyFont="1" applyBorder="1" applyAlignment="1">
      <alignment horizontal="left"/>
    </xf>
    <xf numFmtId="0" fontId="41" fillId="0" borderId="33" xfId="0" applyFont="1" applyBorder="1" applyAlignment="1">
      <alignment horizontal="left" wrapText="1"/>
    </xf>
    <xf numFmtId="0" fontId="41" fillId="0" borderId="11" xfId="0" applyFont="1" applyBorder="1" applyAlignment="1">
      <alignment horizontal="left" wrapText="1"/>
    </xf>
    <xf numFmtId="0" fontId="41" fillId="0" borderId="6" xfId="0" applyFont="1" applyBorder="1" applyAlignment="1">
      <alignment horizontal="left" wrapText="1"/>
    </xf>
    <xf numFmtId="0" fontId="39" fillId="13" borderId="36" xfId="23" applyFont="1" applyFill="1" applyBorder="1" applyAlignment="1">
      <alignment horizontal="center"/>
    </xf>
    <xf numFmtId="0" fontId="39" fillId="13" borderId="40" xfId="23" applyFont="1" applyFill="1" applyBorder="1" applyAlignment="1">
      <alignment horizontal="center"/>
    </xf>
    <xf numFmtId="0" fontId="41" fillId="3" borderId="37" xfId="23" applyFont="1" applyFill="1" applyBorder="1" applyAlignment="1">
      <alignment horizontal="left"/>
    </xf>
    <xf numFmtId="0" fontId="41" fillId="3" borderId="0" xfId="23" applyFont="1" applyFill="1" applyAlignment="1">
      <alignment horizontal="left"/>
    </xf>
    <xf numFmtId="0" fontId="44" fillId="11" borderId="39" xfId="0" applyFont="1" applyFill="1" applyBorder="1" applyAlignment="1">
      <alignment horizontal="center" vertical="center" wrapText="1"/>
    </xf>
    <xf numFmtId="0" fontId="44" fillId="11" borderId="16" xfId="0" applyFont="1" applyFill="1" applyBorder="1" applyAlignment="1">
      <alignment horizontal="center" vertical="center" wrapText="1"/>
    </xf>
  </cellXfs>
  <cellStyles count="25">
    <cellStyle name="Millares" xfId="1" builtinId="3"/>
    <cellStyle name="Millares [0]" xfId="2" builtinId="6"/>
    <cellStyle name="Millares [0] 2" xfId="3" xr:uid="{5BD93D54-8919-42D7-BB2B-8D663C446ABB}"/>
    <cellStyle name="Millares [0] 2 2" xfId="4" xr:uid="{19993EBD-3BCB-4542-967E-07AAB947B41B}"/>
    <cellStyle name="Millares [0] 2 2 2" xfId="5" xr:uid="{45EFEF6C-AB5E-420B-B80D-5ADD6A00DFA7}"/>
    <cellStyle name="Millares [0] 2 3" xfId="6" xr:uid="{666D3560-D1A5-4E3A-88C8-CFD80D7CA8AD}"/>
    <cellStyle name="Millares [0] 3" xfId="7" xr:uid="{C3CD824A-45A4-4DCA-9FF1-B1CAE8A2F83A}"/>
    <cellStyle name="Millares 2" xfId="8" xr:uid="{5E5A60AD-CD2D-4200-BE35-E36F6C36DA12}"/>
    <cellStyle name="Millares 2 2" xfId="9" xr:uid="{B26E9FD8-AA76-40D5-9C87-F236313E7F12}"/>
    <cellStyle name="Millares 2 2 2" xfId="10" xr:uid="{E69B9AEB-59AE-4DC3-9E9E-19911712E02D}"/>
    <cellStyle name="Millares 2 3" xfId="11" xr:uid="{91E8AE9F-14CD-4757-9A3A-C954424B8CA4}"/>
    <cellStyle name="Millares 3" xfId="12" xr:uid="{967B61E6-9447-4855-B3C6-E9306599332F}"/>
    <cellStyle name="Millares 3 2" xfId="13" xr:uid="{CA86A23F-6FFB-41C7-8A8F-11649FBD7E89}"/>
    <cellStyle name="Millares 3 2 2" xfId="14" xr:uid="{1D830682-3B9D-4A71-B556-D697C1A90757}"/>
    <cellStyle name="Millares 3 3" xfId="15" xr:uid="{C9ACC8D4-882A-4CD8-AE10-FBC9ED293127}"/>
    <cellStyle name="Millares 4" xfId="16" xr:uid="{AD0C150B-A98F-4C9F-954B-7245C2BFCD9F}"/>
    <cellStyle name="Millares 5" xfId="17" xr:uid="{C1298C9D-6176-4DF7-92B7-DD982E209DBB}"/>
    <cellStyle name="Normal" xfId="0" builtinId="0"/>
    <cellStyle name="Normal 2" xfId="18" xr:uid="{6AB3BA08-4ECF-4FF4-8E91-D8561C710ED2}"/>
    <cellStyle name="Normal_CRITERIOS DE EVALUACION PT DE GB" xfId="23" xr:uid="{C055F782-E0C4-4A8A-BF9D-970A7277A555}"/>
    <cellStyle name="Normal_CRITERIOS DE EVALUACION PT DE GB 2" xfId="24" xr:uid="{E658F865-DFDF-4799-A80B-3D4BCB0D4B61}"/>
    <cellStyle name="Porcentaje 2" xfId="19" xr:uid="{358A6179-F685-4798-9283-0DFA1501C825}"/>
    <cellStyle name="Porcentaje 2 2" xfId="20" xr:uid="{FEA91F45-BFCB-4889-B304-2415016F162D}"/>
    <cellStyle name="Porcentaje 2 3" xfId="21" xr:uid="{18722876-9520-41BC-B3F4-314BAF0A5138}"/>
    <cellStyle name="Porcentaje 3" xfId="22" xr:uid="{91E6EAD0-5908-47EA-BEE4-81C2B569023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391205</xdr:colOff>
      <xdr:row>0</xdr:row>
      <xdr:rowOff>35720</xdr:rowOff>
    </xdr:from>
    <xdr:to>
      <xdr:col>1</xdr:col>
      <xdr:colOff>738187</xdr:colOff>
      <xdr:row>4</xdr:row>
      <xdr:rowOff>168869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737B6593-93AD-4EA5-B065-DBD773050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205" y="35720"/>
          <a:ext cx="1466170" cy="1026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17</xdr:row>
      <xdr:rowOff>0</xdr:rowOff>
    </xdr:from>
    <xdr:to>
      <xdr:col>19</xdr:col>
      <xdr:colOff>38100</xdr:colOff>
      <xdr:row>36</xdr:row>
      <xdr:rowOff>146050</xdr:rowOff>
    </xdr:to>
    <xdr:pic>
      <xdr:nvPicPr>
        <xdr:cNvPr id="5369" name="Imagen 2">
          <a:extLst>
            <a:ext uri="{FF2B5EF4-FFF2-40B4-BE49-F238E27FC236}">
              <a16:creationId xmlns:a16="http://schemas.microsoft.com/office/drawing/2014/main" id="{7DCCA123-34FC-40A4-14A7-C3C9198D1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250" y="3244850"/>
          <a:ext cx="4508500" cy="357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ramirez_fascr_com/Documents/Escritorio/INDUSTRIA%202022/INDUSTRIA%202023/PLANCHAS%20WALMART/Plancha%2060%20porciones%20vainilla%20Walmart%20MAS%20PESO-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ramirez_fascr_com/Documents/Escritorio/FACTIBILIDAD/FACTIBILIDAD%202024/NAVIDAD%202024/Arrollado%20navidad%20Bucc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ramirez_fascr_com/Documents/Escritorio/INDUSTRIA%202022/INDUSTRIA%202023/PLANCHAS%20WALMART/Crema%20Blanca%20Bucc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amirez/OneDrive%20-%20Servicios%20de%20Pasteler&#237;a%20SA/Escritorio/FACTIBILIDAD/FACTIBILIDAD%202023/NAVIDAD%202023/ESP-RE-DEF-061%20TORTA%20MANZANA%20Y%20CANELA%20BUCCA%203030007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QUETE 2200"/>
      <sheetName val="Costo Rosquete 2200 "/>
      <sheetName val="REC TORTA 60 1"/>
      <sheetName val="Costo ensamble "/>
      <sheetName val="Crema Blanca Spoon"/>
      <sheetName val="Crema Verde Oscuro electrica "/>
      <sheetName val="Crema Chantilly Blanca Bucca"/>
      <sheetName val="Crema dulce de leche "/>
      <sheetName val="Premezcla Easy Vainilla "/>
      <sheetName val="Batido Easy vainilla "/>
      <sheetName val="Rosquete 2100"/>
      <sheetName val="Costo Rosquete 2100"/>
      <sheetName val="Ensamble 2"/>
      <sheetName val="Costo ensamble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3">
          <cell r="H53">
            <v>2666.6720855614967</v>
          </cell>
        </row>
      </sheetData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aque"/>
      <sheetName val="Empaque 2"/>
      <sheetName val="Manjar con agua "/>
      <sheetName val="Costo empaque "/>
      <sheetName val="Ensamble"/>
      <sheetName val="Ensamble 2"/>
      <sheetName val="Procesado de choco rallad oscur"/>
      <sheetName val="Costo Ensamble "/>
      <sheetName val="Almibar "/>
      <sheetName val="Rosquete Arrollado"/>
      <sheetName val="Premezcla Arrollado "/>
      <sheetName val="Relleno arrollado"/>
      <sheetName val="Costo Relleno Arrollado"/>
      <sheetName val="chantilly roja bucca"/>
      <sheetName val="Costo Chantilly Roja"/>
      <sheetName val="chantilly verde bucca"/>
      <sheetName val="Costo Chantilly Verde Buc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9">
          <cell r="E69">
            <v>2.3585215000000002</v>
          </cell>
        </row>
      </sheetData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MA "/>
      <sheetName val="COSTO CREMA "/>
    </sheetNames>
    <sheetDataSet>
      <sheetData sheetId="0"/>
      <sheetData sheetId="1">
        <row r="74">
          <cell r="E74">
            <v>3.0499999999999999E-2</v>
          </cell>
        </row>
        <row r="76">
          <cell r="E76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jar con agua"/>
      <sheetName val="Costo manjar con agua "/>
      <sheetName val="Ensamble "/>
      <sheetName val="Ensamble 2"/>
      <sheetName val="Costo Ensamble "/>
    </sheetNames>
    <sheetDataSet>
      <sheetData sheetId="0" refreshError="1"/>
      <sheetData sheetId="1" refreshError="1">
        <row r="69">
          <cell r="E69">
            <v>1.7749999999999999</v>
          </cell>
        </row>
        <row r="74">
          <cell r="E74">
            <v>0.20333333333333334</v>
          </cell>
        </row>
        <row r="76">
          <cell r="E76">
            <v>0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677B-F84D-4EB9-A0FC-077225B4BE45}">
  <sheetPr>
    <pageSetUpPr fitToPage="1"/>
  </sheetPr>
  <dimension ref="A1:I43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customWidth="1"/>
    <col min="2" max="2" width="15.7109375" customWidth="1"/>
    <col min="3" max="3" width="64.28515625" customWidth="1"/>
    <col min="4" max="4" width="19.7109375" customWidth="1"/>
    <col min="5" max="5" width="11.7109375" bestFit="1" customWidth="1"/>
    <col min="7" max="7" width="21.140625" customWidth="1"/>
    <col min="8" max="8" width="18.140625" customWidth="1"/>
    <col min="9" max="9" width="22.28515625" bestFit="1" customWidth="1"/>
  </cols>
  <sheetData>
    <row r="1" spans="1:9" ht="15" x14ac:dyDescent="0.2">
      <c r="A1" s="139"/>
      <c r="B1" s="140"/>
      <c r="C1" s="145" t="s">
        <v>24</v>
      </c>
      <c r="D1" s="145"/>
      <c r="E1" s="145"/>
      <c r="F1" s="145"/>
      <c r="G1" s="145"/>
      <c r="H1" s="110" t="s">
        <v>0</v>
      </c>
      <c r="I1" s="111" t="s">
        <v>132</v>
      </c>
    </row>
    <row r="2" spans="1:9" ht="18" thickBot="1" x14ac:dyDescent="0.35">
      <c r="A2" s="141"/>
      <c r="B2" s="142"/>
      <c r="C2" s="146" t="s">
        <v>1</v>
      </c>
      <c r="D2" s="147"/>
      <c r="E2" s="147"/>
      <c r="F2" s="147"/>
      <c r="G2" s="148"/>
      <c r="H2" s="112" t="s">
        <v>2</v>
      </c>
      <c r="I2" s="113" t="s">
        <v>135</v>
      </c>
    </row>
    <row r="3" spans="1:9" ht="21" thickBot="1" x14ac:dyDescent="0.25">
      <c r="A3" s="141"/>
      <c r="B3" s="142"/>
      <c r="C3" s="277" t="s">
        <v>134</v>
      </c>
      <c r="D3" s="278"/>
      <c r="E3" s="278"/>
      <c r="F3" s="278"/>
      <c r="G3" s="278"/>
      <c r="H3" s="149" t="s">
        <v>3</v>
      </c>
      <c r="I3" s="130">
        <v>45619</v>
      </c>
    </row>
    <row r="4" spans="1:9" ht="17.25" x14ac:dyDescent="0.3">
      <c r="A4" s="141"/>
      <c r="B4" s="142"/>
      <c r="C4" s="114" t="s">
        <v>4</v>
      </c>
      <c r="D4" s="133" t="s">
        <v>120</v>
      </c>
      <c r="E4" s="134"/>
      <c r="F4" s="134"/>
      <c r="G4" s="135"/>
      <c r="H4" s="150"/>
      <c r="I4" s="131"/>
    </row>
    <row r="5" spans="1:9" ht="18" thickBot="1" x14ac:dyDescent="0.35">
      <c r="A5" s="143"/>
      <c r="B5" s="144"/>
      <c r="C5" s="115" t="s">
        <v>5</v>
      </c>
      <c r="D5" s="136" t="s">
        <v>40</v>
      </c>
      <c r="E5" s="137"/>
      <c r="F5" s="137"/>
      <c r="G5" s="138"/>
      <c r="H5" s="151"/>
      <c r="I5" s="132"/>
    </row>
    <row r="6" spans="1:9" ht="16.5" thickBot="1" x14ac:dyDescent="0.3">
      <c r="A6" s="121" t="s">
        <v>121</v>
      </c>
      <c r="B6" s="121"/>
      <c r="C6" s="121"/>
      <c r="D6" s="122" t="s">
        <v>122</v>
      </c>
      <c r="E6" s="122"/>
      <c r="F6" s="122"/>
      <c r="G6" s="123" t="s">
        <v>123</v>
      </c>
      <c r="H6" s="123"/>
      <c r="I6" s="116" t="s">
        <v>122</v>
      </c>
    </row>
    <row r="7" spans="1:9" ht="15" x14ac:dyDescent="0.2">
      <c r="A7" s="124" t="s">
        <v>6</v>
      </c>
      <c r="B7" s="126" t="s">
        <v>124</v>
      </c>
      <c r="C7" s="128" t="s">
        <v>7</v>
      </c>
      <c r="D7" s="128" t="s">
        <v>8</v>
      </c>
      <c r="E7" s="128" t="s">
        <v>9</v>
      </c>
      <c r="F7" s="128"/>
      <c r="G7" s="128" t="s">
        <v>10</v>
      </c>
      <c r="H7" s="128"/>
      <c r="I7" s="117" t="s">
        <v>11</v>
      </c>
    </row>
    <row r="8" spans="1:9" ht="30.75" thickBot="1" x14ac:dyDescent="0.25">
      <c r="A8" s="125"/>
      <c r="B8" s="127"/>
      <c r="C8" s="129"/>
      <c r="D8" s="129"/>
      <c r="E8" s="118" t="s">
        <v>12</v>
      </c>
      <c r="F8" s="119" t="s">
        <v>13</v>
      </c>
      <c r="G8" s="118" t="s">
        <v>12</v>
      </c>
      <c r="H8" s="119" t="s">
        <v>13</v>
      </c>
      <c r="I8" s="120" t="s">
        <v>14</v>
      </c>
    </row>
    <row r="9" spans="1:9" ht="20.25" x14ac:dyDescent="0.3">
      <c r="A9" s="183"/>
      <c r="B9" s="184"/>
      <c r="C9" s="185" t="s">
        <v>125</v>
      </c>
      <c r="D9" s="186"/>
      <c r="E9" s="187"/>
      <c r="F9" s="188"/>
      <c r="G9" s="187"/>
      <c r="H9" s="188"/>
      <c r="I9" s="189"/>
    </row>
    <row r="10" spans="1:9" ht="20.25" x14ac:dyDescent="0.3">
      <c r="A10" s="190">
        <v>907000285</v>
      </c>
      <c r="B10" s="191" t="s">
        <v>43</v>
      </c>
      <c r="C10" s="192" t="s">
        <v>44</v>
      </c>
      <c r="D10" s="193" t="s">
        <v>33</v>
      </c>
      <c r="E10" s="194">
        <v>47400</v>
      </c>
      <c r="F10" s="195" t="s">
        <v>28</v>
      </c>
      <c r="G10" s="196"/>
      <c r="H10" s="197"/>
      <c r="I10" s="189"/>
    </row>
    <row r="11" spans="1:9" ht="20.25" x14ac:dyDescent="0.3">
      <c r="A11" s="193"/>
      <c r="B11" s="193"/>
      <c r="C11" s="198"/>
      <c r="D11" s="193"/>
      <c r="E11" s="194"/>
      <c r="F11" s="195"/>
      <c r="G11" s="196"/>
      <c r="H11" s="197"/>
      <c r="I11" s="189"/>
    </row>
    <row r="12" spans="1:9" ht="20.25" x14ac:dyDescent="0.3">
      <c r="A12" s="199"/>
      <c r="B12" s="200"/>
      <c r="C12" s="201"/>
      <c r="D12" s="202"/>
      <c r="E12" s="203"/>
      <c r="F12" s="204"/>
      <c r="G12" s="187"/>
      <c r="H12" s="197"/>
      <c r="I12" s="189"/>
    </row>
    <row r="13" spans="1:9" ht="20.25" x14ac:dyDescent="0.3">
      <c r="A13" s="191"/>
      <c r="B13" s="191"/>
      <c r="C13" s="192"/>
      <c r="D13" s="205"/>
      <c r="E13" s="206"/>
      <c r="F13" s="207"/>
      <c r="G13" s="187"/>
      <c r="H13" s="197"/>
      <c r="I13" s="189"/>
    </row>
    <row r="14" spans="1:9" ht="20.25" x14ac:dyDescent="0.3">
      <c r="A14" s="208"/>
      <c r="B14" s="209"/>
      <c r="C14" s="210" t="s">
        <v>126</v>
      </c>
      <c r="D14" s="211"/>
      <c r="E14" s="212"/>
      <c r="F14" s="188"/>
      <c r="G14" s="187"/>
      <c r="H14" s="197"/>
      <c r="I14" s="189"/>
    </row>
    <row r="15" spans="1:9" ht="20.25" x14ac:dyDescent="0.3">
      <c r="A15" s="213">
        <v>902000019</v>
      </c>
      <c r="B15" s="214"/>
      <c r="C15" s="215" t="s">
        <v>45</v>
      </c>
      <c r="D15" s="191" t="s">
        <v>33</v>
      </c>
      <c r="E15" s="206">
        <v>2380</v>
      </c>
      <c r="F15" s="207" t="s">
        <v>28</v>
      </c>
      <c r="G15" s="216"/>
      <c r="H15" s="197"/>
      <c r="I15" s="189"/>
    </row>
    <row r="16" spans="1:9" ht="20.25" x14ac:dyDescent="0.3">
      <c r="A16" s="213">
        <v>1950928</v>
      </c>
      <c r="B16" s="214" t="s">
        <v>46</v>
      </c>
      <c r="C16" s="215" t="s">
        <v>47</v>
      </c>
      <c r="D16" s="191" t="s">
        <v>127</v>
      </c>
      <c r="E16" s="206">
        <v>21</v>
      </c>
      <c r="F16" s="207" t="s">
        <v>29</v>
      </c>
      <c r="G16" s="216"/>
      <c r="H16" s="197"/>
      <c r="I16" s="189"/>
    </row>
    <row r="17" spans="1:9" ht="20.25" x14ac:dyDescent="0.3">
      <c r="A17" s="217">
        <v>702123</v>
      </c>
      <c r="B17" s="218" t="s">
        <v>41</v>
      </c>
      <c r="C17" s="219" t="s">
        <v>37</v>
      </c>
      <c r="D17" s="191" t="s">
        <v>128</v>
      </c>
      <c r="E17" s="206">
        <v>21</v>
      </c>
      <c r="F17" s="207" t="s">
        <v>29</v>
      </c>
      <c r="G17" s="216"/>
      <c r="H17" s="197"/>
      <c r="I17" s="189"/>
    </row>
    <row r="18" spans="1:9" ht="20.25" x14ac:dyDescent="0.3">
      <c r="A18" s="193">
        <v>702007</v>
      </c>
      <c r="B18" s="193" t="s">
        <v>48</v>
      </c>
      <c r="C18" s="198" t="s">
        <v>35</v>
      </c>
      <c r="D18" s="191" t="s">
        <v>129</v>
      </c>
      <c r="E18" s="206">
        <v>21</v>
      </c>
      <c r="F18" s="207" t="s">
        <v>29</v>
      </c>
      <c r="G18" s="187"/>
      <c r="H18" s="197"/>
      <c r="I18" s="189"/>
    </row>
    <row r="19" spans="1:9" ht="20.25" x14ac:dyDescent="0.3">
      <c r="A19" s="193"/>
      <c r="B19" s="193"/>
      <c r="C19" s="198"/>
      <c r="D19" s="191"/>
      <c r="E19" s="206"/>
      <c r="F19" s="207"/>
      <c r="G19" s="187"/>
      <c r="H19" s="197"/>
      <c r="I19" s="189"/>
    </row>
    <row r="20" spans="1:9" ht="20.25" x14ac:dyDescent="0.3">
      <c r="A20" s="193"/>
      <c r="B20" s="193"/>
      <c r="C20" s="198"/>
      <c r="D20" s="191"/>
      <c r="E20" s="206"/>
      <c r="F20" s="207"/>
      <c r="G20" s="220"/>
      <c r="H20" s="197"/>
      <c r="I20" s="189"/>
    </row>
    <row r="21" spans="1:9" ht="20.25" x14ac:dyDescent="0.3">
      <c r="A21" s="193"/>
      <c r="B21" s="193"/>
      <c r="C21" s="198"/>
      <c r="D21" s="191"/>
      <c r="E21" s="206"/>
      <c r="F21" s="207"/>
      <c r="G21" s="221"/>
      <c r="H21" s="197"/>
      <c r="I21" s="189"/>
    </row>
    <row r="22" spans="1:9" ht="20.25" x14ac:dyDescent="0.3">
      <c r="A22" s="222"/>
      <c r="B22" s="222"/>
      <c r="C22" s="223"/>
      <c r="D22" s="191"/>
      <c r="E22" s="207"/>
      <c r="F22" s="207"/>
      <c r="G22" s="221"/>
      <c r="H22" s="188"/>
      <c r="I22" s="189"/>
    </row>
    <row r="23" spans="1:9" ht="21" thickBot="1" x14ac:dyDescent="0.35">
      <c r="A23" s="224"/>
      <c r="B23" s="225"/>
      <c r="C23" s="226" t="s">
        <v>130</v>
      </c>
      <c r="D23" s="226"/>
      <c r="E23" s="227"/>
      <c r="F23" s="228"/>
      <c r="G23" s="226"/>
      <c r="H23" s="226"/>
      <c r="I23" s="229"/>
    </row>
    <row r="24" spans="1:9" ht="21" thickBot="1" x14ac:dyDescent="0.35">
      <c r="A24" s="230"/>
      <c r="B24" s="231"/>
      <c r="C24" s="232" t="s">
        <v>130</v>
      </c>
      <c r="D24" s="233" t="s">
        <v>12</v>
      </c>
      <c r="E24" s="234" t="s">
        <v>15</v>
      </c>
      <c r="F24" s="235"/>
      <c r="G24" s="232"/>
      <c r="H24" s="232"/>
      <c r="I24" s="236"/>
    </row>
    <row r="25" spans="1:9" ht="20.25" x14ac:dyDescent="0.3">
      <c r="A25" s="237" t="s">
        <v>16</v>
      </c>
      <c r="B25" s="238"/>
      <c r="C25" s="239"/>
      <c r="D25" s="240">
        <v>46750</v>
      </c>
      <c r="E25" s="241" t="s">
        <v>28</v>
      </c>
      <c r="F25" s="242" t="s">
        <v>25</v>
      </c>
      <c r="G25" s="242"/>
      <c r="H25" s="243"/>
      <c r="I25" s="244"/>
    </row>
    <row r="26" spans="1:9" ht="20.25" x14ac:dyDescent="0.3">
      <c r="A26" s="245" t="s">
        <v>17</v>
      </c>
      <c r="B26" s="246"/>
      <c r="C26" s="247"/>
      <c r="D26" s="191">
        <v>35</v>
      </c>
      <c r="E26" s="191" t="s">
        <v>30</v>
      </c>
      <c r="F26" s="248" t="s">
        <v>18</v>
      </c>
      <c r="G26" s="248"/>
      <c r="H26" s="249"/>
      <c r="I26" s="250"/>
    </row>
    <row r="27" spans="1:9" ht="20.25" x14ac:dyDescent="0.3">
      <c r="A27" s="245" t="s">
        <v>19</v>
      </c>
      <c r="B27" s="246"/>
      <c r="C27" s="247"/>
      <c r="D27" s="206">
        <f>D25/D28</f>
        <v>19.479166666666668</v>
      </c>
      <c r="E27" s="191" t="s">
        <v>29</v>
      </c>
      <c r="F27" s="248" t="s">
        <v>26</v>
      </c>
      <c r="G27" s="248"/>
      <c r="H27" s="249"/>
      <c r="I27" s="250"/>
    </row>
    <row r="28" spans="1:9" ht="20.25" x14ac:dyDescent="0.3">
      <c r="A28" s="245" t="s">
        <v>20</v>
      </c>
      <c r="B28" s="246"/>
      <c r="C28" s="247"/>
      <c r="D28" s="206">
        <v>2400</v>
      </c>
      <c r="E28" s="191" t="s">
        <v>28</v>
      </c>
      <c r="F28" s="251" t="s">
        <v>21</v>
      </c>
      <c r="G28" s="252"/>
      <c r="H28" s="253"/>
      <c r="I28" s="254"/>
    </row>
    <row r="29" spans="1:9" ht="21" thickBot="1" x14ac:dyDescent="0.35">
      <c r="A29" s="255" t="s">
        <v>22</v>
      </c>
      <c r="B29" s="256"/>
      <c r="C29" s="257"/>
      <c r="D29" s="258">
        <v>650</v>
      </c>
      <c r="E29" s="259" t="s">
        <v>28</v>
      </c>
      <c r="F29" s="260"/>
      <c r="G29" s="260"/>
      <c r="H29" s="249"/>
      <c r="I29" s="250"/>
    </row>
    <row r="30" spans="1:9" ht="21" thickBot="1" x14ac:dyDescent="0.35">
      <c r="A30" s="261" t="s">
        <v>23</v>
      </c>
      <c r="B30" s="262"/>
      <c r="C30" s="262"/>
      <c r="D30" s="262"/>
      <c r="E30" s="262"/>
      <c r="F30" s="262"/>
      <c r="G30" s="262"/>
      <c r="H30" s="262"/>
      <c r="I30" s="263"/>
    </row>
    <row r="31" spans="1:9" ht="20.25" x14ac:dyDescent="0.3">
      <c r="A31" s="264" t="s">
        <v>49</v>
      </c>
      <c r="B31" s="265"/>
      <c r="C31" s="265"/>
      <c r="D31" s="265"/>
      <c r="E31" s="265"/>
      <c r="F31" s="265"/>
      <c r="G31" s="265"/>
      <c r="H31" s="265"/>
      <c r="I31" s="265"/>
    </row>
    <row r="32" spans="1:9" ht="20.25" x14ac:dyDescent="0.3">
      <c r="A32" s="266" t="s">
        <v>50</v>
      </c>
      <c r="B32" s="267"/>
      <c r="C32" s="267"/>
      <c r="D32" s="267"/>
      <c r="E32" s="267"/>
      <c r="F32" s="267"/>
      <c r="G32" s="267"/>
      <c r="H32" s="267"/>
      <c r="I32" s="267"/>
    </row>
    <row r="33" spans="1:9" ht="21" thickBot="1" x14ac:dyDescent="0.35">
      <c r="A33" s="268" t="s">
        <v>51</v>
      </c>
      <c r="B33" s="269"/>
      <c r="C33" s="269"/>
      <c r="D33" s="269"/>
      <c r="E33" s="269"/>
      <c r="F33" s="269"/>
      <c r="G33" s="269"/>
      <c r="H33" s="269"/>
      <c r="I33" s="269"/>
    </row>
    <row r="34" spans="1:9" ht="20.25" x14ac:dyDescent="0.3">
      <c r="A34" s="270"/>
      <c r="B34" s="271"/>
      <c r="C34" s="271"/>
      <c r="D34" s="271"/>
      <c r="E34" s="271"/>
      <c r="F34" s="271"/>
      <c r="G34" s="271"/>
      <c r="H34" s="271"/>
      <c r="I34" s="272"/>
    </row>
    <row r="35" spans="1:9" ht="20.25" x14ac:dyDescent="0.3">
      <c r="A35" s="270"/>
      <c r="B35" s="271"/>
      <c r="C35" s="271"/>
      <c r="D35" s="271"/>
      <c r="E35" s="271"/>
      <c r="F35" s="271"/>
      <c r="G35" s="271"/>
      <c r="H35" s="271"/>
      <c r="I35" s="272"/>
    </row>
    <row r="36" spans="1:9" ht="20.25" x14ac:dyDescent="0.3">
      <c r="A36" s="270"/>
      <c r="B36" s="271"/>
      <c r="C36" s="271"/>
      <c r="D36" s="271"/>
      <c r="E36" s="271"/>
      <c r="F36" s="271"/>
      <c r="G36" s="271"/>
      <c r="H36" s="271"/>
      <c r="I36" s="272"/>
    </row>
    <row r="37" spans="1:9" ht="20.25" x14ac:dyDescent="0.3">
      <c r="A37" s="270"/>
      <c r="B37" s="271"/>
      <c r="C37" s="271"/>
      <c r="D37" s="271"/>
      <c r="E37" s="271"/>
      <c r="F37" s="271"/>
      <c r="G37" s="271"/>
      <c r="H37" s="271"/>
      <c r="I37" s="272"/>
    </row>
    <row r="38" spans="1:9" ht="20.25" x14ac:dyDescent="0.3">
      <c r="A38" s="270"/>
      <c r="B38" s="271"/>
      <c r="C38" s="271"/>
      <c r="D38" s="271"/>
      <c r="E38" s="271"/>
      <c r="F38" s="271"/>
      <c r="G38" s="271"/>
      <c r="H38" s="271"/>
      <c r="I38" s="272"/>
    </row>
    <row r="39" spans="1:9" ht="20.25" x14ac:dyDescent="0.3">
      <c r="A39" s="270"/>
      <c r="B39" s="271"/>
      <c r="C39" s="271"/>
      <c r="D39" s="271"/>
      <c r="E39" s="271"/>
      <c r="F39" s="271"/>
      <c r="G39" s="271"/>
      <c r="H39" s="271"/>
      <c r="I39" s="272"/>
    </row>
    <row r="40" spans="1:9" ht="21" thickBot="1" x14ac:dyDescent="0.35">
      <c r="A40" s="270"/>
      <c r="B40" s="271"/>
      <c r="C40" s="271"/>
      <c r="D40" s="271"/>
      <c r="E40" s="271"/>
      <c r="F40" s="271"/>
      <c r="G40" s="271"/>
      <c r="H40" s="271"/>
      <c r="I40" s="272"/>
    </row>
    <row r="41" spans="1:9" ht="20.25" x14ac:dyDescent="0.3">
      <c r="A41" s="273" t="s">
        <v>131</v>
      </c>
      <c r="B41" s="274"/>
      <c r="C41" s="274"/>
      <c r="D41" s="274"/>
      <c r="E41" s="274"/>
      <c r="F41" s="274"/>
      <c r="G41" s="274"/>
      <c r="H41" s="274"/>
      <c r="I41" s="274"/>
    </row>
    <row r="42" spans="1:9" ht="20.25" x14ac:dyDescent="0.3">
      <c r="A42" s="275" t="s">
        <v>133</v>
      </c>
      <c r="B42" s="276"/>
      <c r="C42" s="276"/>
      <c r="D42" s="276"/>
      <c r="E42" s="276"/>
      <c r="F42" s="276"/>
      <c r="G42" s="276"/>
      <c r="H42" s="276"/>
      <c r="I42" s="276"/>
    </row>
    <row r="43" spans="1:9" ht="20.25" x14ac:dyDescent="0.3">
      <c r="A43" s="275"/>
      <c r="B43" s="276"/>
      <c r="C43" s="276"/>
      <c r="D43" s="276"/>
      <c r="E43" s="276"/>
      <c r="F43" s="276"/>
      <c r="G43" s="276"/>
      <c r="H43" s="276"/>
      <c r="I43" s="27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38:I38"/>
    <mergeCell ref="A29:C29"/>
    <mergeCell ref="F29:G29"/>
    <mergeCell ref="H29:I29"/>
    <mergeCell ref="A30:I30"/>
    <mergeCell ref="A31:I31"/>
    <mergeCell ref="A32:I32"/>
    <mergeCell ref="A33:I33"/>
    <mergeCell ref="A34:I34"/>
    <mergeCell ref="A35:I35"/>
    <mergeCell ref="A36:I36"/>
    <mergeCell ref="A37:I37"/>
    <mergeCell ref="A39:I39"/>
    <mergeCell ref="A40:I40"/>
    <mergeCell ref="A41:I41"/>
    <mergeCell ref="A42:I42"/>
    <mergeCell ref="A43:I43"/>
  </mergeCells>
  <pageMargins left="0.7" right="0.7" top="0.75" bottom="0.75" header="0.3" footer="0.3"/>
  <pageSetup scale="4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E96B7-BEA5-4202-98BD-750229944B36}">
  <dimension ref="A1:Q91"/>
  <sheetViews>
    <sheetView topLeftCell="A34" workbookViewId="0">
      <selection activeCell="B62" sqref="B62"/>
    </sheetView>
  </sheetViews>
  <sheetFormatPr baseColWidth="10" defaultColWidth="8.42578125" defaultRowHeight="12.75" x14ac:dyDescent="0.2"/>
  <cols>
    <col min="1" max="1" width="10" style="20" bestFit="1" customWidth="1"/>
    <col min="2" max="2" width="44.28515625" style="20" bestFit="1" customWidth="1"/>
    <col min="3" max="3" width="10.42578125" style="20" bestFit="1" customWidth="1"/>
    <col min="4" max="4" width="10.42578125" style="20" customWidth="1"/>
    <col min="5" max="5" width="9.7109375" style="20" bestFit="1" customWidth="1"/>
    <col min="6" max="6" width="9.5703125" style="20" bestFit="1" customWidth="1"/>
    <col min="7" max="7" width="9.5703125" style="65" bestFit="1" customWidth="1"/>
    <col min="8" max="8" width="10.42578125" style="4" bestFit="1" customWidth="1"/>
    <col min="9" max="9" width="4.5703125" style="4" customWidth="1"/>
    <col min="10" max="10" width="1.85546875" style="19" customWidth="1"/>
    <col min="11" max="11" width="7" style="20" bestFit="1" customWidth="1"/>
    <col min="12" max="12" width="6.28515625" style="20" customWidth="1"/>
    <col min="13" max="13" width="20.42578125" style="20" customWidth="1"/>
    <col min="14" max="14" width="6.42578125" style="20" bestFit="1" customWidth="1"/>
    <col min="15" max="16" width="8.42578125" style="20"/>
    <col min="17" max="17" width="3.28515625" style="20" customWidth="1"/>
    <col min="18" max="16384" width="8.42578125" style="20"/>
  </cols>
  <sheetData>
    <row r="1" spans="1:10" ht="27.75" customHeight="1" x14ac:dyDescent="0.2">
      <c r="A1" s="16"/>
      <c r="B1" s="16"/>
      <c r="C1" s="16"/>
      <c r="D1" s="16"/>
      <c r="E1" s="17" t="s">
        <v>55</v>
      </c>
      <c r="F1" s="18" t="s">
        <v>56</v>
      </c>
      <c r="G1" s="18" t="s">
        <v>57</v>
      </c>
      <c r="H1" s="18" t="s">
        <v>58</v>
      </c>
      <c r="I1" s="1"/>
    </row>
    <row r="2" spans="1:10" ht="30.75" customHeight="1" x14ac:dyDescent="0.2">
      <c r="A2" s="16"/>
      <c r="B2" s="16"/>
      <c r="C2" s="16"/>
      <c r="D2" s="16"/>
      <c r="E2" s="15">
        <f>IFERROR(O62,"")</f>
        <v>2732.9519171061302</v>
      </c>
      <c r="F2" s="15">
        <f>IFERROR(H53,"")</f>
        <v>2666.6720855614967</v>
      </c>
      <c r="G2" s="15">
        <f>IFERROR(H54,"")</f>
        <v>51.790024646631018</v>
      </c>
      <c r="H2" s="15">
        <f>IFERROR(H56,"")</f>
        <v>165.35136783264292</v>
      </c>
      <c r="I2" s="14"/>
    </row>
    <row r="3" spans="1:10" ht="15" customHeight="1" x14ac:dyDescent="0.2">
      <c r="A3" s="16"/>
      <c r="B3" s="16"/>
      <c r="C3" s="16"/>
      <c r="D3" s="16"/>
      <c r="E3" s="16"/>
      <c r="F3" s="13"/>
      <c r="G3" s="13"/>
      <c r="H3" s="13"/>
      <c r="I3" s="13"/>
    </row>
    <row r="4" spans="1:10" ht="24.75" customHeight="1" thickBot="1" x14ac:dyDescent="0.25">
      <c r="A4" s="176"/>
      <c r="B4" s="176"/>
      <c r="C4" s="176"/>
      <c r="D4" s="176"/>
      <c r="E4" s="176"/>
      <c r="F4" s="176"/>
      <c r="G4" s="176"/>
      <c r="H4" s="176"/>
      <c r="I4" s="21"/>
    </row>
    <row r="5" spans="1:10" ht="19.5" customHeight="1" thickBot="1" x14ac:dyDescent="0.25">
      <c r="A5" s="177" t="s">
        <v>59</v>
      </c>
      <c r="B5" s="178"/>
      <c r="C5" s="178"/>
      <c r="D5" s="178"/>
      <c r="E5" s="178"/>
      <c r="F5" s="178"/>
      <c r="G5" s="178"/>
      <c r="H5" s="179"/>
      <c r="I5" s="22"/>
    </row>
    <row r="6" spans="1:10" ht="19.5" thickBot="1" x14ac:dyDescent="0.25">
      <c r="A6" s="22"/>
      <c r="B6" s="22"/>
      <c r="C6" s="22"/>
      <c r="D6" s="22"/>
      <c r="E6" s="22"/>
      <c r="F6" s="180" t="s">
        <v>60</v>
      </c>
      <c r="G6" s="180"/>
      <c r="H6" s="23">
        <f ca="1">TODAY()</f>
        <v>45842</v>
      </c>
      <c r="I6" s="23"/>
    </row>
    <row r="7" spans="1:10" ht="26.25" hidden="1" thickBot="1" x14ac:dyDescent="0.25">
      <c r="A7" s="24" t="s">
        <v>61</v>
      </c>
      <c r="B7" s="25" t="s">
        <v>62</v>
      </c>
      <c r="C7" s="25" t="s">
        <v>61</v>
      </c>
      <c r="D7" s="26" t="s">
        <v>63</v>
      </c>
      <c r="E7" s="26" t="s">
        <v>64</v>
      </c>
      <c r="F7" s="26" t="s">
        <v>65</v>
      </c>
      <c r="G7" s="26" t="s">
        <v>66</v>
      </c>
      <c r="H7" s="27" t="s">
        <v>67</v>
      </c>
      <c r="I7" s="28"/>
    </row>
    <row r="8" spans="1:10" ht="14.25" hidden="1" thickBot="1" x14ac:dyDescent="0.3">
      <c r="A8" s="29"/>
      <c r="B8" s="20" t="str">
        <f>IFERROR(VLOOKUP(H8,'[1]Consolidado MP Planta'!$A$2:$M$823,3,0),"")</f>
        <v/>
      </c>
      <c r="C8" s="12">
        <f>+A8</f>
        <v>0</v>
      </c>
      <c r="D8" s="11" t="str">
        <f>IFERROR(VLOOKUP(H8,'[1]Consolidado MP Planta'!$A$2:$M$823,13,0),"")</f>
        <v/>
      </c>
      <c r="E8" s="11" t="str">
        <f>IFERROR(VLOOKUP(H8,'[1]Consolidado MP Planta'!$A$2:$M$823,12,0),"")</f>
        <v/>
      </c>
      <c r="F8" s="11" t="str">
        <f>IFERROR(C8*E8,"")</f>
        <v/>
      </c>
      <c r="G8" s="30" t="str">
        <f t="shared" ref="G8:G14" si="0">IFERROR(F8/$F$66,"")</f>
        <v/>
      </c>
      <c r="H8" s="31"/>
      <c r="I8" s="31"/>
      <c r="J8" s="32"/>
    </row>
    <row r="9" spans="1:10" ht="14.25" hidden="1" thickBot="1" x14ac:dyDescent="0.3">
      <c r="A9" s="29"/>
      <c r="B9" s="20" t="str">
        <f>IFERROR(VLOOKUP(H9,'[1]Consolidado MP Planta'!$A$2:$M$823,3,0),"")</f>
        <v/>
      </c>
      <c r="C9" s="12">
        <f t="shared" ref="C9:C14" si="1">+A9</f>
        <v>0</v>
      </c>
      <c r="D9" s="11" t="str">
        <f>IFERROR(VLOOKUP(H9,'[1]Consolidado MP Planta'!$A$2:$M$823,13,0),"")</f>
        <v/>
      </c>
      <c r="E9" s="11" t="str">
        <f>IFERROR(VLOOKUP(H9,'[1]Consolidado MP Planta'!$A$2:$M$823,12,0),"")</f>
        <v/>
      </c>
      <c r="F9" s="11" t="str">
        <f t="shared" ref="F9:F14" si="2">IFERROR(C9*E9,"")</f>
        <v/>
      </c>
      <c r="G9" s="30" t="str">
        <f t="shared" si="0"/>
        <v/>
      </c>
      <c r="H9" s="31"/>
      <c r="I9" s="31"/>
      <c r="J9" s="32"/>
    </row>
    <row r="10" spans="1:10" ht="14.25" hidden="1" thickBot="1" x14ac:dyDescent="0.3">
      <c r="A10" s="29"/>
      <c r="B10" s="20" t="str">
        <f>IFERROR(VLOOKUP(H10,'[1]Consolidado MP Planta'!$A$2:$M$823,3,0),"")</f>
        <v/>
      </c>
      <c r="C10" s="12">
        <f t="shared" si="1"/>
        <v>0</v>
      </c>
      <c r="D10" s="11" t="str">
        <f>IFERROR(VLOOKUP(H10,'[1]Consolidado MP Planta'!$A$2:$M$823,13,0),"")</f>
        <v/>
      </c>
      <c r="E10" s="11" t="str">
        <f>IFERROR(VLOOKUP(H10,'[1]Consolidado MP Planta'!$A$2:$M$823,12,0),"")</f>
        <v/>
      </c>
      <c r="F10" s="11" t="str">
        <f t="shared" si="2"/>
        <v/>
      </c>
      <c r="G10" s="30" t="str">
        <f t="shared" si="0"/>
        <v/>
      </c>
      <c r="H10" s="31"/>
      <c r="I10" s="31"/>
      <c r="J10" s="32"/>
    </row>
    <row r="11" spans="1:10" ht="14.25" hidden="1" thickBot="1" x14ac:dyDescent="0.3">
      <c r="A11" s="29"/>
      <c r="B11" s="20" t="str">
        <f>IFERROR(VLOOKUP(H11,'[1]Consolidado MP Planta'!$A$2:$M$823,3,0),"")</f>
        <v/>
      </c>
      <c r="C11" s="12">
        <f t="shared" si="1"/>
        <v>0</v>
      </c>
      <c r="D11" s="11" t="str">
        <f>IFERROR(VLOOKUP(H11,'[1]Consolidado MP Planta'!$A$2:$M$823,13,0),"")</f>
        <v/>
      </c>
      <c r="E11" s="11" t="str">
        <f>IFERROR(VLOOKUP(H11,'[1]Consolidado MP Planta'!$A$2:$M$823,12,0),"")</f>
        <v/>
      </c>
      <c r="F11" s="11" t="str">
        <f t="shared" si="2"/>
        <v/>
      </c>
      <c r="G11" s="30" t="str">
        <f t="shared" si="0"/>
        <v/>
      </c>
      <c r="H11" s="31"/>
      <c r="I11" s="31"/>
      <c r="J11" s="32"/>
    </row>
    <row r="12" spans="1:10" ht="14.25" hidden="1" thickBot="1" x14ac:dyDescent="0.3">
      <c r="A12" s="29"/>
      <c r="B12" s="20" t="str">
        <f>IFERROR(VLOOKUP(H12,'[1]Consolidado MP Planta'!$A$2:$M$823,3,0),"")</f>
        <v/>
      </c>
      <c r="C12" s="12">
        <f t="shared" si="1"/>
        <v>0</v>
      </c>
      <c r="D12" s="11" t="str">
        <f>IFERROR(VLOOKUP(H12,'[1]Consolidado MP Planta'!$A$2:$M$823,13,0),"")</f>
        <v/>
      </c>
      <c r="E12" s="11" t="str">
        <f>IFERROR(VLOOKUP(H12,'[1]Consolidado MP Planta'!$A$2:$M$823,12,0),"")</f>
        <v/>
      </c>
      <c r="F12" s="11" t="str">
        <f t="shared" si="2"/>
        <v/>
      </c>
      <c r="G12" s="30" t="str">
        <f t="shared" si="0"/>
        <v/>
      </c>
      <c r="H12" s="31"/>
      <c r="I12" s="31"/>
      <c r="J12" s="32"/>
    </row>
    <row r="13" spans="1:10" ht="14.25" hidden="1" thickBot="1" x14ac:dyDescent="0.3">
      <c r="A13" s="29"/>
      <c r="B13" s="20" t="str">
        <f>IFERROR(VLOOKUP(H13,'[1]Consolidado MP Planta'!$A$2:$M$823,3,0),"")</f>
        <v/>
      </c>
      <c r="C13" s="12">
        <f t="shared" si="1"/>
        <v>0</v>
      </c>
      <c r="D13" s="11" t="str">
        <f>IFERROR(VLOOKUP(H13,'[1]Consolidado MP Planta'!$A$2:$M$823,13,0),"")</f>
        <v/>
      </c>
      <c r="E13" s="11" t="str">
        <f>IFERROR(VLOOKUP(H13,'[1]Consolidado MP Planta'!$A$2:$M$823,12,0),"")</f>
        <v/>
      </c>
      <c r="F13" s="11" t="str">
        <f t="shared" si="2"/>
        <v/>
      </c>
      <c r="G13" s="30" t="str">
        <f t="shared" si="0"/>
        <v/>
      </c>
      <c r="H13" s="31"/>
      <c r="I13" s="31"/>
      <c r="J13" s="32"/>
    </row>
    <row r="14" spans="1:10" ht="14.25" hidden="1" thickBot="1" x14ac:dyDescent="0.3">
      <c r="A14" s="29"/>
      <c r="B14" s="20" t="str">
        <f>IFERROR(VLOOKUP(H14,'[1]Consolidado MP Planta'!$A$2:$M$823,3,0),"")</f>
        <v/>
      </c>
      <c r="C14" s="12">
        <f t="shared" si="1"/>
        <v>0</v>
      </c>
      <c r="D14" s="11" t="str">
        <f>IFERROR(VLOOKUP(H14,'[1]Consolidado MP Planta'!$A$2:$M$823,13,0),"")</f>
        <v/>
      </c>
      <c r="E14" s="11" t="str">
        <f>IFERROR(VLOOKUP(H14,'[1]Consolidado MP Planta'!$A$2:$M$823,12,0),"")</f>
        <v/>
      </c>
      <c r="F14" s="11" t="str">
        <f t="shared" si="2"/>
        <v/>
      </c>
      <c r="G14" s="30" t="str">
        <f t="shared" si="0"/>
        <v/>
      </c>
      <c r="H14" s="31"/>
      <c r="I14" s="31"/>
      <c r="J14" s="32"/>
    </row>
    <row r="15" spans="1:10" ht="14.25" hidden="1" thickBot="1" x14ac:dyDescent="0.3">
      <c r="A15" s="29"/>
      <c r="B15" s="20" t="str">
        <f>IFERROR(VLOOKUP(H15,'[2]ARTICULOS MP PLANTA'!$A$2:$G$589,2,0),"")</f>
        <v/>
      </c>
      <c r="C15" s="12"/>
      <c r="D15" s="11"/>
      <c r="E15" s="11"/>
      <c r="F15" s="11"/>
      <c r="G15" s="30"/>
      <c r="H15" s="31"/>
      <c r="I15" s="31"/>
      <c r="J15" s="32"/>
    </row>
    <row r="16" spans="1:10" ht="26.25" thickBot="1" x14ac:dyDescent="0.25">
      <c r="A16" s="24" t="s">
        <v>61</v>
      </c>
      <c r="B16" s="25" t="s">
        <v>68</v>
      </c>
      <c r="C16" s="25" t="s">
        <v>61</v>
      </c>
      <c r="D16" s="26" t="s">
        <v>63</v>
      </c>
      <c r="E16" s="26" t="s">
        <v>64</v>
      </c>
      <c r="F16" s="26" t="s">
        <v>65</v>
      </c>
      <c r="G16" s="26" t="s">
        <v>66</v>
      </c>
      <c r="H16" s="27" t="s">
        <v>67</v>
      </c>
      <c r="I16" s="28"/>
      <c r="J16" s="32"/>
    </row>
    <row r="17" spans="1:12" ht="13.5" x14ac:dyDescent="0.25">
      <c r="A17" s="29">
        <v>47400</v>
      </c>
      <c r="B17" s="20" t="s">
        <v>44</v>
      </c>
      <c r="C17" s="12">
        <f>+A17</f>
        <v>47400</v>
      </c>
      <c r="D17" s="12" t="s">
        <v>69</v>
      </c>
      <c r="E17" s="11">
        <v>1.1499999999999999</v>
      </c>
      <c r="F17" s="11">
        <f>IFERROR(E17*C17,"")</f>
        <v>54509.999999999993</v>
      </c>
      <c r="G17" s="30">
        <f t="shared" ref="G17:G24" si="3">IFERROR(F17/$F$66,"")</f>
        <v>0.85384738357178835</v>
      </c>
      <c r="H17" s="31" t="s">
        <v>70</v>
      </c>
      <c r="I17" s="31"/>
      <c r="J17" s="32"/>
    </row>
    <row r="18" spans="1:12" ht="13.5" x14ac:dyDescent="0.25">
      <c r="A18" s="29">
        <v>2380</v>
      </c>
      <c r="B18" s="20" t="str">
        <f>IFERROR(VLOOKUP(H18,[1]SEMIELABORADOS!$A$2:$M$6000,2,0),"")</f>
        <v>MEZCLA P/ENGRASE MOLDES KILO</v>
      </c>
      <c r="C18" s="12">
        <f t="shared" ref="C18:C24" si="4">+A18</f>
        <v>2380</v>
      </c>
      <c r="D18" s="12" t="str">
        <f>IFERROR(VLOOKUP(H18,[1]SEMIELABORADOS!$A$2:$M$6000,6,0),"")</f>
        <v>Gramo</v>
      </c>
      <c r="E18" s="11">
        <v>2.04</v>
      </c>
      <c r="F18" s="11">
        <f t="shared" ref="F18:F24" si="5">IFERROR(E18*C18,"")</f>
        <v>4855.2</v>
      </c>
      <c r="G18" s="30">
        <f t="shared" si="3"/>
        <v>7.6052097169652305E-2</v>
      </c>
      <c r="H18" s="31" t="s">
        <v>72</v>
      </c>
      <c r="I18" s="31"/>
      <c r="J18" s="32"/>
    </row>
    <row r="19" spans="1:12" ht="13.5" hidden="1" x14ac:dyDescent="0.25">
      <c r="A19" s="29"/>
      <c r="B19" s="20" t="str">
        <f>IFERROR(VLOOKUP(H19,[1]SEMIELABORADOS!$A$2:$M$6000,2,0),"")</f>
        <v/>
      </c>
      <c r="C19" s="12">
        <f>+A19</f>
        <v>0</v>
      </c>
      <c r="D19" s="12" t="str">
        <f>IFERROR(VLOOKUP(H19,[1]SEMIELABORADOS!$A$2:$M$6000,6,0),"")</f>
        <v/>
      </c>
      <c r="E19" s="11" t="str">
        <f>IFERROR(VLOOKUP(H19,[1]SEMIELABORADOS!$A$2:$H$65536,8,0),"")</f>
        <v/>
      </c>
      <c r="F19" s="11" t="str">
        <f>IFERROR(E19*C19,"")</f>
        <v/>
      </c>
      <c r="G19" s="30" t="str">
        <f t="shared" si="3"/>
        <v/>
      </c>
      <c r="H19" s="31"/>
      <c r="I19" s="31"/>
      <c r="J19" s="32"/>
    </row>
    <row r="20" spans="1:12" ht="13.5" hidden="1" x14ac:dyDescent="0.25">
      <c r="A20" s="29"/>
      <c r="B20" s="20" t="str">
        <f>IFERROR(VLOOKUP(H20,[1]SEMIELABORADOS!$A$2:$M$6000,2,0),"")</f>
        <v/>
      </c>
      <c r="C20" s="12">
        <f>+A20</f>
        <v>0</v>
      </c>
      <c r="D20" s="12" t="str">
        <f>IFERROR(VLOOKUP(H20,[1]SEMIELABORADOS!$A$2:$M$6000,6,0),"")</f>
        <v/>
      </c>
      <c r="E20" s="11" t="str">
        <f>IFERROR(VLOOKUP(H20,[1]SEMIELABORADOS!$A$2:$H$65536,8,0),"")</f>
        <v/>
      </c>
      <c r="F20" s="11" t="str">
        <f>IFERROR(E20*C20,"")</f>
        <v/>
      </c>
      <c r="G20" s="30" t="str">
        <f t="shared" si="3"/>
        <v/>
      </c>
      <c r="H20" s="31"/>
      <c r="I20" s="31"/>
      <c r="J20" s="32"/>
    </row>
    <row r="21" spans="1:12" ht="13.5" hidden="1" x14ac:dyDescent="0.25">
      <c r="A21" s="29"/>
      <c r="B21" s="20" t="str">
        <f>IFERROR(VLOOKUP(H21,[1]SEMIELABORADOS!$A$2:$M$6000,2,0),"")</f>
        <v/>
      </c>
      <c r="C21" s="12">
        <f>+A21</f>
        <v>0</v>
      </c>
      <c r="D21" s="12" t="str">
        <f>IFERROR(VLOOKUP(H21,[1]SEMIELABORADOS!$A$2:$M$6000,6,0),"")</f>
        <v/>
      </c>
      <c r="E21" s="11" t="str">
        <f>IFERROR(VLOOKUP(H21,[1]SEMIELABORADOS!$A$2:$H$65536,8,0),"")</f>
        <v/>
      </c>
      <c r="F21" s="11" t="str">
        <f>IFERROR(E21*C21,"")</f>
        <v/>
      </c>
      <c r="G21" s="30" t="str">
        <f t="shared" si="3"/>
        <v/>
      </c>
      <c r="H21" s="31"/>
      <c r="I21" s="31"/>
      <c r="J21" s="32"/>
    </row>
    <row r="22" spans="1:12" ht="13.5" hidden="1" x14ac:dyDescent="0.25">
      <c r="A22" s="29"/>
      <c r="B22" s="20" t="str">
        <f>IFERROR(VLOOKUP(H22,[1]SEMIELABORADOS!$A$2:$M$6000,2,0),"")</f>
        <v/>
      </c>
      <c r="C22" s="12">
        <f t="shared" si="4"/>
        <v>0</v>
      </c>
      <c r="D22" s="12" t="str">
        <f>IFERROR(VLOOKUP(H22,[1]SEMIELABORADOS!$A$2:$M$6000,6,0),"")</f>
        <v/>
      </c>
      <c r="E22" s="11" t="str">
        <f>IFERROR(VLOOKUP(H22,[1]SEMIELABORADOS!$A$2:$H$65536,8,0),"")</f>
        <v/>
      </c>
      <c r="F22" s="11" t="str">
        <f t="shared" si="5"/>
        <v/>
      </c>
      <c r="G22" s="30" t="str">
        <f t="shared" si="3"/>
        <v/>
      </c>
      <c r="H22" s="31"/>
      <c r="I22" s="31"/>
      <c r="J22" s="32"/>
    </row>
    <row r="23" spans="1:12" ht="13.5" hidden="1" x14ac:dyDescent="0.25">
      <c r="A23" s="29"/>
      <c r="B23" s="20" t="str">
        <f>IFERROR(VLOOKUP(H23,[1]SEMIELABORADOS!$A$2:$M$6000,2,0),"")</f>
        <v/>
      </c>
      <c r="C23" s="12">
        <f t="shared" si="4"/>
        <v>0</v>
      </c>
      <c r="D23" s="12" t="str">
        <f>IFERROR(VLOOKUP(H23,[1]SEMIELABORADOS!$A$2:$M$6000,6,0),"")</f>
        <v/>
      </c>
      <c r="E23" s="11" t="str">
        <f>IFERROR(VLOOKUP(H23,[1]SEMIELABORADOS!$A$2:$H$65536,8,0),"")</f>
        <v/>
      </c>
      <c r="F23" s="11" t="str">
        <f t="shared" si="5"/>
        <v/>
      </c>
      <c r="G23" s="30" t="str">
        <f t="shared" si="3"/>
        <v/>
      </c>
      <c r="H23" s="31"/>
      <c r="I23" s="31"/>
      <c r="J23" s="32"/>
    </row>
    <row r="24" spans="1:12" ht="13.5" hidden="1" x14ac:dyDescent="0.25">
      <c r="A24" s="29"/>
      <c r="B24" s="20" t="str">
        <f>IFERROR(VLOOKUP(H24,[1]SEMIELABORADOS!$A$2:$M$6000,2,0),"")</f>
        <v/>
      </c>
      <c r="C24" s="12">
        <f t="shared" si="4"/>
        <v>0</v>
      </c>
      <c r="D24" s="12" t="str">
        <f>IFERROR(VLOOKUP(H24,[1]SEMIELABORADOS!$A$2:$M$6000,6,0),"")</f>
        <v/>
      </c>
      <c r="E24" s="11" t="str">
        <f>IFERROR(VLOOKUP(H24,[1]SEMIELABORADOS!$A$2:$H$65536,8,0),"")</f>
        <v/>
      </c>
      <c r="F24" s="11" t="str">
        <f t="shared" si="5"/>
        <v/>
      </c>
      <c r="G24" s="30" t="str">
        <f t="shared" si="3"/>
        <v/>
      </c>
      <c r="H24" s="31"/>
      <c r="I24" s="31"/>
      <c r="J24" s="32"/>
    </row>
    <row r="25" spans="1:12" ht="14.25" thickBot="1" x14ac:dyDescent="0.3">
      <c r="A25" s="29"/>
      <c r="C25" s="12"/>
      <c r="D25" s="12"/>
      <c r="E25" s="11"/>
      <c r="F25" s="11"/>
      <c r="G25" s="30"/>
      <c r="H25" s="31"/>
      <c r="I25" s="31"/>
      <c r="J25" s="32"/>
    </row>
    <row r="26" spans="1:12" ht="26.25" thickBot="1" x14ac:dyDescent="0.25">
      <c r="A26" s="24" t="s">
        <v>61</v>
      </c>
      <c r="B26" s="25" t="s">
        <v>27</v>
      </c>
      <c r="C26" s="25" t="s">
        <v>61</v>
      </c>
      <c r="D26" s="26" t="s">
        <v>63</v>
      </c>
      <c r="E26" s="26" t="s">
        <v>64</v>
      </c>
      <c r="F26" s="26" t="s">
        <v>65</v>
      </c>
      <c r="G26" s="26" t="s">
        <v>66</v>
      </c>
      <c r="H26" s="27" t="s">
        <v>67</v>
      </c>
      <c r="I26" s="28"/>
    </row>
    <row r="27" spans="1:12" ht="13.5" x14ac:dyDescent="0.25">
      <c r="A27" s="29">
        <v>21</v>
      </c>
      <c r="B27" s="33" t="str">
        <f>IFERROR(VLOOKUP(H27,'[1]Consolidado MP Planta'!$A$2:$M$823,3,0),"")</f>
        <v>BOLSA TRANSPARENTE 56X96X1.80 KILO</v>
      </c>
      <c r="C27" s="12">
        <f t="shared" ref="C27:C32" si="6">+A27</f>
        <v>21</v>
      </c>
      <c r="D27" s="11" t="str">
        <f>IFERROR(VLOOKUP(H27,'[1]Consolidado MP Planta'!$A$2:$M$823,13,0),"")</f>
        <v>Und</v>
      </c>
      <c r="E27" s="11">
        <f>IFERROR(VLOOKUP(H27,'[1]Consolidado MP Planta'!$A$2:$M$823,12,0),"")</f>
        <v>50</v>
      </c>
      <c r="F27" s="11">
        <f t="shared" ref="F27:F32" si="7">IFERROR(C27*E27,"")</f>
        <v>1050</v>
      </c>
      <c r="G27" s="30">
        <f t="shared" ref="G27:G32" si="8">IFERROR(F27/$F$66,"")</f>
        <v>1.6447252848108197E-2</v>
      </c>
      <c r="H27" s="34" t="s">
        <v>73</v>
      </c>
      <c r="I27" s="34"/>
      <c r="J27" s="32"/>
      <c r="K27" s="175"/>
      <c r="L27" s="175"/>
    </row>
    <row r="28" spans="1:12" ht="13.5" x14ac:dyDescent="0.25">
      <c r="A28" s="29">
        <v>21</v>
      </c>
      <c r="B28" s="33" t="str">
        <f>IFERROR(VLOOKUP(H28,'[1]Consolidado MP Planta'!$A$2:$M$823,3,0),"")</f>
        <v>ETIQUETA BLANCA 2 5/8X1 15/16 (UND)</v>
      </c>
      <c r="C28" s="12">
        <f t="shared" si="6"/>
        <v>21</v>
      </c>
      <c r="D28" s="11" t="str">
        <f>IFERROR(VLOOKUP(H28,'[1]Consolidado MP Planta'!$A$2:$M$823,13,0),"")</f>
        <v>Und</v>
      </c>
      <c r="E28" s="11">
        <f>IFERROR(VLOOKUP(H28,'[1]Consolidado MP Planta'!$A$2:$M$823,12,0),"")</f>
        <v>2.1280000000000001</v>
      </c>
      <c r="F28" s="11">
        <f t="shared" si="7"/>
        <v>44.688000000000002</v>
      </c>
      <c r="G28" s="30">
        <f t="shared" si="8"/>
        <v>6.9999508121548488E-4</v>
      </c>
      <c r="H28" s="34" t="s">
        <v>36</v>
      </c>
      <c r="I28" s="34"/>
      <c r="J28" s="32"/>
      <c r="K28" s="175"/>
      <c r="L28" s="175"/>
    </row>
    <row r="29" spans="1:12" ht="13.5" x14ac:dyDescent="0.25">
      <c r="A29" s="29">
        <v>21</v>
      </c>
      <c r="B29" s="33" t="str">
        <f>IFERROR(VLOOKUP(H29,'[1]Consolidado MP Planta'!$A$2:$M$823,3,0),"")</f>
        <v>ETIQ.FECHA VENCIMIENTO BLANCO (ROLLO)</v>
      </c>
      <c r="C29" s="12">
        <f t="shared" si="6"/>
        <v>21</v>
      </c>
      <c r="D29" s="11" t="str">
        <f>IFERROR(VLOOKUP(H29,'[1]Consolidado MP Planta'!$A$2:$M$823,13,0),"")</f>
        <v>Gramos</v>
      </c>
      <c r="E29" s="11">
        <f>IFERROR(VLOOKUP(H29,'[1]Consolidado MP Planta'!$A$2:$M$823,12,0),"")</f>
        <v>0.33333333333333331</v>
      </c>
      <c r="F29" s="11">
        <f t="shared" si="7"/>
        <v>7</v>
      </c>
      <c r="G29" s="30">
        <f t="shared" si="8"/>
        <v>1.0964835232072132E-4</v>
      </c>
      <c r="H29" s="34" t="s">
        <v>34</v>
      </c>
      <c r="I29" s="34"/>
      <c r="J29" s="32"/>
      <c r="K29" s="175"/>
      <c r="L29" s="175"/>
    </row>
    <row r="30" spans="1:12" ht="13.5" hidden="1" x14ac:dyDescent="0.25">
      <c r="A30" s="29"/>
      <c r="B30" s="33" t="str">
        <f>IFERROR(VLOOKUP(H30,'[1]Consolidado MP Planta'!$A$2:$M$823,3,0),"")</f>
        <v/>
      </c>
      <c r="C30" s="12">
        <f t="shared" si="6"/>
        <v>0</v>
      </c>
      <c r="D30" s="11" t="str">
        <f>IFERROR(VLOOKUP(H30,'[1]Consolidado MP Planta'!$A$2:$M$823,13,0),"")</f>
        <v/>
      </c>
      <c r="E30" s="11" t="str">
        <f>IFERROR(VLOOKUP(H30,'[1]Consolidado MP Planta'!$A$2:$M$823,12,0),"")</f>
        <v/>
      </c>
      <c r="F30" s="11" t="str">
        <f t="shared" si="7"/>
        <v/>
      </c>
      <c r="G30" s="30" t="str">
        <f t="shared" si="8"/>
        <v/>
      </c>
      <c r="H30" s="34"/>
      <c r="I30" s="34"/>
      <c r="J30" s="32"/>
      <c r="K30" s="175"/>
      <c r="L30" s="175"/>
    </row>
    <row r="31" spans="1:12" ht="13.5" hidden="1" x14ac:dyDescent="0.25">
      <c r="A31" s="29"/>
      <c r="B31" s="33" t="str">
        <f>IFERROR(VLOOKUP(H31,'[1]Consolidado MP Planta'!$A$2:$M$823,3,0),"")</f>
        <v/>
      </c>
      <c r="C31" s="12">
        <f t="shared" si="6"/>
        <v>0</v>
      </c>
      <c r="D31" s="11" t="str">
        <f>IFERROR(VLOOKUP(H31,'[1]Consolidado MP Planta'!$A$2:$M$823,13,0),"")</f>
        <v/>
      </c>
      <c r="E31" s="11" t="str">
        <f>IFERROR(VLOOKUP(H31,'[1]Consolidado MP Planta'!$A$2:$M$823,12,0),"")</f>
        <v/>
      </c>
      <c r="F31" s="11" t="str">
        <f t="shared" si="7"/>
        <v/>
      </c>
      <c r="G31" s="30" t="str">
        <f t="shared" si="8"/>
        <v/>
      </c>
      <c r="H31" s="34"/>
      <c r="I31" s="34"/>
      <c r="J31" s="32"/>
      <c r="K31" s="35"/>
      <c r="L31" s="36"/>
    </row>
    <row r="32" spans="1:12" ht="13.5" hidden="1" x14ac:dyDescent="0.25">
      <c r="A32" s="29"/>
      <c r="B32" s="33" t="str">
        <f>IFERROR(VLOOKUP(H32,'[1]Consolidado MP Planta'!$A$2:$M$823,3,0),"")</f>
        <v/>
      </c>
      <c r="C32" s="12">
        <f t="shared" si="6"/>
        <v>0</v>
      </c>
      <c r="D32" s="11" t="str">
        <f>IFERROR(VLOOKUP(H32,'[1]Consolidado MP Planta'!$A$2:$M$823,13,0),"")</f>
        <v/>
      </c>
      <c r="E32" s="11" t="str">
        <f>IFERROR(VLOOKUP(H32,'[1]Consolidado MP Planta'!$A$2:$M$823,12,0),"")</f>
        <v/>
      </c>
      <c r="F32" s="11" t="str">
        <f t="shared" si="7"/>
        <v/>
      </c>
      <c r="G32" s="30" t="str">
        <f t="shared" si="8"/>
        <v/>
      </c>
      <c r="H32" s="34"/>
      <c r="I32" s="34"/>
      <c r="J32" s="32"/>
    </row>
    <row r="33" spans="1:13" ht="14.25" thickBot="1" x14ac:dyDescent="0.3">
      <c r="A33" s="29"/>
      <c r="B33" s="33"/>
      <c r="C33" s="12"/>
      <c r="D33" s="11"/>
      <c r="E33" s="11"/>
      <c r="F33" s="11"/>
      <c r="G33" s="30"/>
      <c r="H33" s="34"/>
      <c r="I33" s="34"/>
      <c r="J33" s="32"/>
    </row>
    <row r="34" spans="1:13" ht="26.25" thickBot="1" x14ac:dyDescent="0.25">
      <c r="A34" s="24" t="s">
        <v>61</v>
      </c>
      <c r="B34" s="25" t="s">
        <v>74</v>
      </c>
      <c r="C34" s="25" t="s">
        <v>61</v>
      </c>
      <c r="D34" s="26" t="s">
        <v>63</v>
      </c>
      <c r="E34" s="26" t="s">
        <v>64</v>
      </c>
      <c r="F34" s="26" t="s">
        <v>65</v>
      </c>
      <c r="G34" s="26" t="s">
        <v>66</v>
      </c>
      <c r="H34" s="27" t="s">
        <v>67</v>
      </c>
      <c r="I34" s="34"/>
      <c r="J34" s="32"/>
    </row>
    <row r="35" spans="1:13" ht="13.5" x14ac:dyDescent="0.25">
      <c r="A35" s="29">
        <f>+A17</f>
        <v>47400</v>
      </c>
      <c r="B35" s="33" t="s">
        <v>44</v>
      </c>
      <c r="C35" s="12">
        <f>+A35</f>
        <v>47400</v>
      </c>
      <c r="D35" s="11" t="s">
        <v>69</v>
      </c>
      <c r="E35" s="11">
        <v>0</v>
      </c>
      <c r="F35" s="11">
        <f>IFERROR(E35*C35,"")</f>
        <v>0</v>
      </c>
      <c r="G35" s="30">
        <f t="shared" ref="G35:G41" si="9">IFERROR(F35/$F$66,"")</f>
        <v>0</v>
      </c>
      <c r="H35" s="34" t="s">
        <v>70</v>
      </c>
      <c r="I35" s="34"/>
      <c r="J35" s="32"/>
    </row>
    <row r="36" spans="1:13" ht="13.5" x14ac:dyDescent="0.25">
      <c r="A36" s="29">
        <f t="shared" ref="A36:A41" si="10">+A18</f>
        <v>2380</v>
      </c>
      <c r="B36" s="33" t="str">
        <f>IFERROR(VLOOKUP(H36,[1]SEMIELABORADOS!$A$2:$M$6000,2,0),"")</f>
        <v>MEZCLA P/ENGRASE MOLDES KILO</v>
      </c>
      <c r="C36" s="12">
        <f t="shared" ref="C36:C41" si="11">+A36</f>
        <v>2380</v>
      </c>
      <c r="D36" s="11" t="str">
        <f>IFERROR(VLOOKUP(H36,[1]SEMIELABORADOS!$A$2:$M$6000,6,0),"")</f>
        <v>Gramo</v>
      </c>
      <c r="E36" s="11">
        <f>IFERROR(VLOOKUP(H36,[1]SEMIELABORADOS!$A$2:$M$65536,10,0),"")</f>
        <v>2.1536385000000002E-2</v>
      </c>
      <c r="F36" s="11">
        <f t="shared" ref="F36:F41" si="12">IFERROR(E36*C36,"")</f>
        <v>51.256596300000005</v>
      </c>
      <c r="G36" s="30">
        <f t="shared" si="9"/>
        <v>8.0288590426619733E-4</v>
      </c>
      <c r="H36" s="34" t="s">
        <v>72</v>
      </c>
      <c r="I36" s="34"/>
      <c r="J36" s="32"/>
    </row>
    <row r="37" spans="1:13" ht="13.5" hidden="1" x14ac:dyDescent="0.25">
      <c r="A37" s="29">
        <f t="shared" si="10"/>
        <v>0</v>
      </c>
      <c r="B37" s="33" t="str">
        <f>IFERROR(VLOOKUP(H37,[1]SEMIELABORADOS!$A$2:$M$6000,2,0),"")</f>
        <v/>
      </c>
      <c r="C37" s="12">
        <f t="shared" si="11"/>
        <v>0</v>
      </c>
      <c r="D37" s="11" t="str">
        <f>IFERROR(VLOOKUP(H37,[1]SEMIELABORADOS!$A$2:$M$6000,6,0),"")</f>
        <v/>
      </c>
      <c r="E37" s="11" t="str">
        <f>IFERROR(VLOOKUP(H37,[1]SEMIELABORADOS!$A$2:$M$65536,10,0),"")</f>
        <v/>
      </c>
      <c r="F37" s="11" t="str">
        <f t="shared" si="12"/>
        <v/>
      </c>
      <c r="G37" s="30" t="str">
        <f t="shared" si="9"/>
        <v/>
      </c>
      <c r="H37" s="34"/>
      <c r="I37" s="34"/>
      <c r="J37" s="32"/>
    </row>
    <row r="38" spans="1:13" ht="13.5" hidden="1" x14ac:dyDescent="0.25">
      <c r="A38" s="29">
        <f t="shared" si="10"/>
        <v>0</v>
      </c>
      <c r="B38" s="33" t="str">
        <f>IFERROR(VLOOKUP(H38,[1]SEMIELABORADOS!$A$2:$M$6000,2,0),"")</f>
        <v/>
      </c>
      <c r="C38" s="12">
        <f>+A38</f>
        <v>0</v>
      </c>
      <c r="D38" s="11" t="str">
        <f>IFERROR(VLOOKUP(H38,[1]SEMIELABORADOS!$A$2:$M$6000,6,0),"")</f>
        <v/>
      </c>
      <c r="E38" s="11" t="str">
        <f>IFERROR(VLOOKUP(H38,[1]SEMIELABORADOS!$A$2:$M$65536,10,0),"")</f>
        <v/>
      </c>
      <c r="F38" s="11" t="str">
        <f>IFERROR(E38*C38,"")</f>
        <v/>
      </c>
      <c r="G38" s="30" t="str">
        <f t="shared" si="9"/>
        <v/>
      </c>
      <c r="H38" s="34"/>
      <c r="I38" s="34"/>
      <c r="J38" s="32"/>
    </row>
    <row r="39" spans="1:13" ht="13.5" hidden="1" x14ac:dyDescent="0.25">
      <c r="A39" s="29">
        <f t="shared" si="10"/>
        <v>0</v>
      </c>
      <c r="B39" s="33" t="str">
        <f>IFERROR(VLOOKUP(H39,[1]SEMIELABORADOS!$A$2:$M$6000,2,0),"")</f>
        <v/>
      </c>
      <c r="C39" s="12">
        <f>+A39</f>
        <v>0</v>
      </c>
      <c r="D39" s="11" t="str">
        <f>IFERROR(VLOOKUP(H39,[1]SEMIELABORADOS!$A$2:$M$6000,6,0),"")</f>
        <v/>
      </c>
      <c r="E39" s="11" t="str">
        <f>IFERROR(VLOOKUP(H39,[1]SEMIELABORADOS!$A$2:$M$65536,10,0),"")</f>
        <v/>
      </c>
      <c r="F39" s="11" t="str">
        <f>IFERROR(E39*C39,"")</f>
        <v/>
      </c>
      <c r="G39" s="30" t="str">
        <f t="shared" si="9"/>
        <v/>
      </c>
      <c r="H39" s="34"/>
      <c r="I39" s="34"/>
      <c r="J39" s="32"/>
    </row>
    <row r="40" spans="1:13" ht="13.5" hidden="1" x14ac:dyDescent="0.25">
      <c r="A40" s="29">
        <f t="shared" si="10"/>
        <v>0</v>
      </c>
      <c r="B40" s="33" t="str">
        <f>IFERROR(VLOOKUP(H40,[1]SEMIELABORADOS!$A$2:$M$6000,2,0),"")</f>
        <v/>
      </c>
      <c r="C40" s="12">
        <f t="shared" si="11"/>
        <v>0</v>
      </c>
      <c r="D40" s="11" t="str">
        <f>IFERROR(VLOOKUP(H40,[1]SEMIELABORADOS!$A$2:$M$6000,6,0),"")</f>
        <v/>
      </c>
      <c r="E40" s="11" t="str">
        <f>IFERROR(VLOOKUP(H40,[1]SEMIELABORADOS!$A$2:$M$65536,10,0),"")</f>
        <v/>
      </c>
      <c r="F40" s="11" t="str">
        <f t="shared" si="12"/>
        <v/>
      </c>
      <c r="G40" s="30" t="str">
        <f t="shared" si="9"/>
        <v/>
      </c>
      <c r="H40" s="34"/>
      <c r="I40" s="34"/>
      <c r="J40" s="32"/>
    </row>
    <row r="41" spans="1:13" ht="13.5" hidden="1" x14ac:dyDescent="0.25">
      <c r="A41" s="29">
        <f t="shared" si="10"/>
        <v>0</v>
      </c>
      <c r="B41" s="33" t="str">
        <f>IFERROR(VLOOKUP(H41,[1]SEMIELABORADOS!$A$2:$M$6000,2,0),"")</f>
        <v/>
      </c>
      <c r="C41" s="12">
        <f t="shared" si="11"/>
        <v>0</v>
      </c>
      <c r="D41" s="11" t="str">
        <f>IFERROR(VLOOKUP(H41,[1]SEMIELABORADOS!$A$2:$M$6000,6,0),"")</f>
        <v/>
      </c>
      <c r="E41" s="11" t="str">
        <f>IFERROR(VLOOKUP(H41,[1]SEMIELABORADOS!$A$2:$M$65536,10,0),"")</f>
        <v/>
      </c>
      <c r="F41" s="11" t="str">
        <f t="shared" si="12"/>
        <v/>
      </c>
      <c r="G41" s="30" t="str">
        <f t="shared" si="9"/>
        <v/>
      </c>
      <c r="H41" s="34"/>
      <c r="I41" s="34"/>
      <c r="J41" s="32"/>
    </row>
    <row r="42" spans="1:13" ht="14.25" thickBot="1" x14ac:dyDescent="0.3">
      <c r="A42" s="29"/>
      <c r="B42" s="33"/>
      <c r="C42" s="12"/>
      <c r="D42" s="11"/>
      <c r="E42" s="11"/>
      <c r="F42" s="11"/>
      <c r="G42" s="30"/>
      <c r="H42" s="34"/>
      <c r="I42" s="34"/>
      <c r="J42" s="32"/>
    </row>
    <row r="43" spans="1:13" ht="26.25" thickBot="1" x14ac:dyDescent="0.25">
      <c r="A43" s="24" t="s">
        <v>61</v>
      </c>
      <c r="B43" s="25" t="s">
        <v>75</v>
      </c>
      <c r="C43" s="25" t="s">
        <v>61</v>
      </c>
      <c r="D43" s="26" t="s">
        <v>63</v>
      </c>
      <c r="E43" s="26" t="s">
        <v>64</v>
      </c>
      <c r="F43" s="26" t="s">
        <v>65</v>
      </c>
      <c r="G43" s="26" t="s">
        <v>66</v>
      </c>
      <c r="H43" s="27" t="s">
        <v>67</v>
      </c>
      <c r="I43" s="28"/>
      <c r="J43" s="32"/>
    </row>
    <row r="44" spans="1:13" ht="13.5" x14ac:dyDescent="0.25">
      <c r="A44" s="29">
        <f>+A35</f>
        <v>47400</v>
      </c>
      <c r="B44" s="33" t="s">
        <v>44</v>
      </c>
      <c r="C44" s="12">
        <f>+A44</f>
        <v>47400</v>
      </c>
      <c r="D44" s="11" t="s">
        <v>69</v>
      </c>
      <c r="E44" s="11">
        <v>0.02</v>
      </c>
      <c r="F44" s="11">
        <f>IFERROR(E44*C44,"")</f>
        <v>948</v>
      </c>
      <c r="G44" s="30">
        <f>IFERROR(F44/$F$66,"")</f>
        <v>1.4849519714291973E-2</v>
      </c>
      <c r="H44" s="34" t="s">
        <v>70</v>
      </c>
      <c r="I44" s="28"/>
      <c r="J44" s="32"/>
    </row>
    <row r="45" spans="1:13" ht="13.5" x14ac:dyDescent="0.25">
      <c r="A45" s="29">
        <f t="shared" ref="A45:A50" si="13">+A36</f>
        <v>2380</v>
      </c>
      <c r="B45" s="33" t="str">
        <f>IFERROR(VLOOKUP(H45,[1]SEMIELABORADOS!$A$2:$M$6000,2,0),"")</f>
        <v>MEZCLA P/ENGRASE MOLDES KILO</v>
      </c>
      <c r="C45" s="12">
        <f t="shared" ref="C45:C50" si="14">+A45</f>
        <v>2380</v>
      </c>
      <c r="D45" s="11" t="str">
        <f>IFERROR(VLOOKUP(H45,[1]SEMIELABORADOS!$A$2:$M$6000,6,0),"")</f>
        <v>Gramo</v>
      </c>
      <c r="E45" s="11">
        <f>IFERROR(VLOOKUP(H45,[1]SEMIELABORADOS!$A$2:$M$65536,12,0),"")</f>
        <v>0.25127579955503354</v>
      </c>
      <c r="F45" s="11">
        <f t="shared" ref="F45:F50" si="15">IFERROR(E45*C45,"")</f>
        <v>598.03640294097988</v>
      </c>
      <c r="G45" s="30">
        <f t="shared" ref="G45:G50" si="16">IFERROR(F45/$F$66,"")</f>
        <v>9.3676723157556322E-3</v>
      </c>
      <c r="H45" s="34" t="s">
        <v>72</v>
      </c>
      <c r="I45" s="28"/>
      <c r="J45" s="32"/>
      <c r="M45" s="6"/>
    </row>
    <row r="46" spans="1:13" ht="13.5" hidden="1" x14ac:dyDescent="0.25">
      <c r="A46" s="29">
        <f t="shared" si="13"/>
        <v>0</v>
      </c>
      <c r="B46" s="33" t="str">
        <f>IFERROR(VLOOKUP(H46,[1]SEMIELABORADOS!$A$2:$M$6000,2,0),"")</f>
        <v/>
      </c>
      <c r="C46" s="12">
        <f t="shared" si="14"/>
        <v>0</v>
      </c>
      <c r="D46" s="11" t="str">
        <f>IFERROR(VLOOKUP(H46,[1]SEMIELABORADOS!$A$2:$M$6000,6,0),"")</f>
        <v/>
      </c>
      <c r="E46" s="11" t="str">
        <f>IFERROR(VLOOKUP(H46,[1]SEMIELABORADOS!$A$2:$M$65536,12,0),"")</f>
        <v/>
      </c>
      <c r="F46" s="11" t="str">
        <f t="shared" si="15"/>
        <v/>
      </c>
      <c r="G46" s="30" t="str">
        <f t="shared" si="16"/>
        <v/>
      </c>
      <c r="H46" s="34"/>
      <c r="I46" s="28"/>
      <c r="J46" s="32"/>
    </row>
    <row r="47" spans="1:13" ht="13.5" hidden="1" x14ac:dyDescent="0.25">
      <c r="A47" s="29">
        <f t="shared" si="13"/>
        <v>0</v>
      </c>
      <c r="B47" s="33" t="str">
        <f>IFERROR(VLOOKUP(H47,[1]SEMIELABORADOS!$A$2:$M$6000,2,0),"")</f>
        <v/>
      </c>
      <c r="C47" s="12">
        <f t="shared" si="14"/>
        <v>0</v>
      </c>
      <c r="D47" s="11" t="str">
        <f>IFERROR(VLOOKUP(H47,[1]SEMIELABORADOS!$A$2:$M$6000,6,0),"")</f>
        <v/>
      </c>
      <c r="E47" s="11" t="str">
        <f>IFERROR(VLOOKUP(H47,[1]SEMIELABORADOS!$A$2:$M$65536,12,0),"")</f>
        <v/>
      </c>
      <c r="F47" s="11" t="str">
        <f t="shared" si="15"/>
        <v/>
      </c>
      <c r="G47" s="30" t="str">
        <f t="shared" si="16"/>
        <v/>
      </c>
      <c r="H47" s="34"/>
      <c r="I47" s="28"/>
      <c r="J47" s="32"/>
    </row>
    <row r="48" spans="1:13" ht="13.5" hidden="1" x14ac:dyDescent="0.25">
      <c r="A48" s="29">
        <f t="shared" si="13"/>
        <v>0</v>
      </c>
      <c r="B48" s="33" t="str">
        <f>IFERROR(VLOOKUP(H48,[1]SEMIELABORADOS!$A$2:$M$6000,2,0),"")</f>
        <v/>
      </c>
      <c r="C48" s="12">
        <f t="shared" si="14"/>
        <v>0</v>
      </c>
      <c r="D48" s="11" t="str">
        <f>IFERROR(VLOOKUP(H48,[1]SEMIELABORADOS!$A$2:$M$6000,6,0),"")</f>
        <v/>
      </c>
      <c r="E48" s="11" t="str">
        <f>IFERROR(VLOOKUP(H48,[1]SEMIELABORADOS!$A$2:$M$65536,12,0),"")</f>
        <v/>
      </c>
      <c r="F48" s="11" t="str">
        <f t="shared" si="15"/>
        <v/>
      </c>
      <c r="G48" s="30" t="str">
        <f t="shared" si="16"/>
        <v/>
      </c>
      <c r="H48" s="34"/>
      <c r="I48" s="28"/>
      <c r="J48" s="32"/>
    </row>
    <row r="49" spans="1:17" ht="13.5" hidden="1" x14ac:dyDescent="0.25">
      <c r="A49" s="29">
        <f t="shared" si="13"/>
        <v>0</v>
      </c>
      <c r="B49" s="33" t="str">
        <f>IFERROR(VLOOKUP(H49,[1]SEMIELABORADOS!$A$2:$M$6000,2,0),"")</f>
        <v/>
      </c>
      <c r="C49" s="12">
        <f t="shared" si="14"/>
        <v>0</v>
      </c>
      <c r="D49" s="11" t="str">
        <f>IFERROR(VLOOKUP(H49,[1]SEMIELABORADOS!$A$2:$M$6000,6,0),"")</f>
        <v/>
      </c>
      <c r="E49" s="11" t="str">
        <f>IFERROR(VLOOKUP(H49,[1]SEMIELABORADOS!$A$2:$M$65536,12,0),"")</f>
        <v/>
      </c>
      <c r="F49" s="11" t="str">
        <f t="shared" si="15"/>
        <v/>
      </c>
      <c r="G49" s="30" t="str">
        <f t="shared" si="16"/>
        <v/>
      </c>
      <c r="H49" s="34"/>
      <c r="I49" s="28"/>
      <c r="J49" s="32"/>
    </row>
    <row r="50" spans="1:17" ht="13.5" hidden="1" x14ac:dyDescent="0.25">
      <c r="A50" s="29">
        <f t="shared" si="13"/>
        <v>0</v>
      </c>
      <c r="B50" s="33" t="str">
        <f>IFERROR(VLOOKUP(H50,[1]SEMIELABORADOS!$A$2:$M$6000,2,0),"")</f>
        <v/>
      </c>
      <c r="C50" s="12">
        <f t="shared" si="14"/>
        <v>0</v>
      </c>
      <c r="D50" s="11" t="str">
        <f>IFERROR(VLOOKUP(H50,[1]SEMIELABORADOS!$A$2:$M$6000,6,0),"")</f>
        <v/>
      </c>
      <c r="E50" s="11" t="str">
        <f>IFERROR(VLOOKUP(H50,[1]SEMIELABORADOS!$A$2:$M$65536,12,0),"")</f>
        <v/>
      </c>
      <c r="F50" s="11" t="str">
        <f t="shared" si="15"/>
        <v/>
      </c>
      <c r="G50" s="30" t="str">
        <f t="shared" si="16"/>
        <v/>
      </c>
      <c r="H50" s="33"/>
      <c r="I50" s="28"/>
      <c r="J50" s="32"/>
    </row>
    <row r="51" spans="1:17" ht="13.5" x14ac:dyDescent="0.25">
      <c r="A51" s="29">
        <v>1</v>
      </c>
      <c r="B51" s="33" t="s">
        <v>76</v>
      </c>
      <c r="C51" s="12">
        <f>+A51</f>
        <v>1</v>
      </c>
      <c r="D51" s="12" t="s">
        <v>77</v>
      </c>
      <c r="E51" s="11">
        <f>+F65</f>
        <v>2135</v>
      </c>
      <c r="F51" s="11">
        <f>IFERROR(C51*E51,"")</f>
        <v>2135</v>
      </c>
      <c r="G51" s="30">
        <f>IFERROR(F51/$F$66,"")</f>
        <v>3.3442747457819999E-2</v>
      </c>
      <c r="H51" s="37"/>
      <c r="I51" s="37"/>
      <c r="J51" s="32"/>
    </row>
    <row r="52" spans="1:17" ht="14.25" thickBot="1" x14ac:dyDescent="0.3">
      <c r="A52" s="29"/>
      <c r="B52" s="33"/>
      <c r="C52" s="12"/>
      <c r="D52" s="12"/>
      <c r="E52" s="11"/>
      <c r="F52" s="11"/>
      <c r="G52" s="30"/>
      <c r="H52" s="37"/>
      <c r="I52" s="37"/>
      <c r="J52" s="32"/>
    </row>
    <row r="53" spans="1:17" ht="13.5" thickBot="1" x14ac:dyDescent="0.25">
      <c r="A53" s="38"/>
      <c r="B53" s="152" t="s">
        <v>78</v>
      </c>
      <c r="C53" s="152"/>
      <c r="D53" s="152"/>
      <c r="E53" s="152"/>
      <c r="F53" s="10">
        <f>SUM(F8:F14,F17:F24)</f>
        <v>59365.19999999999</v>
      </c>
      <c r="G53" s="30">
        <f>+F53/$F$66</f>
        <v>0.92989948074144058</v>
      </c>
      <c r="H53" s="9">
        <f>+F53/$D$60</f>
        <v>2666.6720855614967</v>
      </c>
      <c r="I53" s="9"/>
      <c r="J53" s="39"/>
      <c r="K53" s="40"/>
      <c r="L53" s="40"/>
      <c r="M53" s="40"/>
      <c r="N53" s="40"/>
      <c r="O53" s="40"/>
      <c r="P53" s="40"/>
      <c r="Q53" s="41"/>
    </row>
    <row r="54" spans="1:17" x14ac:dyDescent="0.2">
      <c r="A54" s="38"/>
      <c r="B54" s="152" t="s">
        <v>79</v>
      </c>
      <c r="C54" s="152"/>
      <c r="D54" s="152"/>
      <c r="E54" s="152"/>
      <c r="F54" s="10">
        <f>SUM(F27:F32,F35:F41)</f>
        <v>1152.9445963000001</v>
      </c>
      <c r="G54" s="30">
        <f>+F54/$F$66</f>
        <v>1.8059782185910603E-2</v>
      </c>
      <c r="H54" s="9">
        <f>+F54/$D$60</f>
        <v>51.790024646631018</v>
      </c>
      <c r="I54" s="9"/>
      <c r="J54" s="8"/>
      <c r="K54" s="181" t="s">
        <v>80</v>
      </c>
      <c r="L54" s="182"/>
      <c r="M54" s="182"/>
      <c r="N54" s="182"/>
      <c r="O54" s="7">
        <f>+F55</f>
        <v>60518.144596299993</v>
      </c>
      <c r="P54" s="7"/>
      <c r="Q54" s="42"/>
    </row>
    <row r="55" spans="1:17" x14ac:dyDescent="0.2">
      <c r="A55" s="38"/>
      <c r="B55" s="152" t="s">
        <v>81</v>
      </c>
      <c r="C55" s="152"/>
      <c r="D55" s="152"/>
      <c r="E55" s="152"/>
      <c r="F55" s="10">
        <f>+F53+F54</f>
        <v>60518.144596299993</v>
      </c>
      <c r="G55" s="30">
        <f>+F55/$F$66</f>
        <v>0.94795926292735122</v>
      </c>
      <c r="H55" s="9">
        <f>+F55/$D$60</f>
        <v>2718.4621102081278</v>
      </c>
      <c r="I55" s="9"/>
      <c r="J55" s="43"/>
      <c r="K55" s="3"/>
      <c r="M55" s="44" t="s">
        <v>82</v>
      </c>
      <c r="N55" s="45"/>
      <c r="O55" s="7">
        <f>+H56</f>
        <v>165.35136783264292</v>
      </c>
      <c r="P55" s="7"/>
      <c r="Q55" s="42"/>
    </row>
    <row r="56" spans="1:17" ht="13.5" thickBot="1" x14ac:dyDescent="0.25">
      <c r="A56" s="38"/>
      <c r="B56" s="2"/>
      <c r="C56" s="152" t="s">
        <v>83</v>
      </c>
      <c r="D56" s="152"/>
      <c r="E56" s="152"/>
      <c r="F56" s="10">
        <f>SUM(F44:F51)</f>
        <v>3681.0364029409798</v>
      </c>
      <c r="G56" s="30">
        <f>+F56/$F$66</f>
        <v>5.7659939487867608E-2</v>
      </c>
      <c r="H56" s="9">
        <f>+F56/$D$60</f>
        <v>165.35136783264292</v>
      </c>
      <c r="I56" s="9"/>
      <c r="J56" s="43"/>
      <c r="K56" s="3"/>
      <c r="L56" s="3"/>
      <c r="M56" s="3" t="s">
        <v>84</v>
      </c>
      <c r="N56" s="46"/>
      <c r="O56" s="7">
        <f>O54*N56</f>
        <v>0</v>
      </c>
      <c r="P56" s="7"/>
      <c r="Q56" s="42"/>
    </row>
    <row r="57" spans="1:17" ht="13.5" thickBot="1" x14ac:dyDescent="0.25">
      <c r="A57" s="38"/>
      <c r="B57" s="5"/>
      <c r="C57" s="5"/>
      <c r="D57" s="5"/>
      <c r="E57" s="5"/>
      <c r="F57" s="81"/>
      <c r="G57" s="30"/>
      <c r="H57" s="82"/>
      <c r="I57" s="9"/>
      <c r="J57" s="43"/>
      <c r="K57" s="47"/>
      <c r="M57" s="48" t="s">
        <v>85</v>
      </c>
      <c r="N57" s="49"/>
      <c r="O57" s="83">
        <f>SUM(O54:O56)</f>
        <v>60683.495964132635</v>
      </c>
      <c r="P57" s="84"/>
      <c r="Q57" s="42"/>
    </row>
    <row r="58" spans="1:17" x14ac:dyDescent="0.2">
      <c r="B58" s="153" t="s">
        <v>86</v>
      </c>
      <c r="C58" s="153"/>
      <c r="D58" s="85">
        <v>46750</v>
      </c>
      <c r="E58" s="50"/>
      <c r="G58" s="30"/>
      <c r="H58" s="82">
        <f>+H56/61</f>
        <v>2.7106781611908675</v>
      </c>
      <c r="I58" s="86"/>
      <c r="J58" s="43"/>
      <c r="K58" s="47"/>
      <c r="L58" s="3"/>
      <c r="M58" s="3" t="s">
        <v>87</v>
      </c>
      <c r="N58" s="51"/>
      <c r="O58" s="7">
        <f>+H59</f>
        <v>157.21933334907033</v>
      </c>
      <c r="P58" s="7"/>
      <c r="Q58" s="42"/>
    </row>
    <row r="59" spans="1:17" x14ac:dyDescent="0.2">
      <c r="B59" s="153" t="s">
        <v>88</v>
      </c>
      <c r="C59" s="153"/>
      <c r="D59" s="87">
        <v>2100</v>
      </c>
      <c r="E59" s="50"/>
      <c r="G59" s="30"/>
      <c r="H59" s="82">
        <f>+H58*58</f>
        <v>157.21933334907033</v>
      </c>
      <c r="I59" s="86"/>
      <c r="J59" s="43"/>
      <c r="K59" s="47"/>
      <c r="L59" s="3"/>
      <c r="M59" s="155" t="s">
        <v>85</v>
      </c>
      <c r="N59" s="155"/>
      <c r="O59" s="7">
        <f>SUM(O57:O58)</f>
        <v>60840.715297481707</v>
      </c>
      <c r="P59" s="7"/>
      <c r="Q59" s="42"/>
    </row>
    <row r="60" spans="1:17" ht="13.5" thickBot="1" x14ac:dyDescent="0.25">
      <c r="B60" s="156" t="s">
        <v>89</v>
      </c>
      <c r="C60" s="156"/>
      <c r="D60" s="85">
        <f>+D58/D59</f>
        <v>22.261904761904763</v>
      </c>
      <c r="E60" s="50"/>
      <c r="F60" s="52"/>
      <c r="G60" s="30"/>
      <c r="H60" s="82"/>
      <c r="I60" s="86"/>
      <c r="J60" s="43"/>
      <c r="K60" s="47"/>
      <c r="L60" s="155"/>
      <c r="M60" s="155"/>
      <c r="N60" s="51"/>
      <c r="O60" s="7">
        <f>+O59*N60</f>
        <v>0</v>
      </c>
      <c r="P60" s="7"/>
      <c r="Q60" s="42"/>
    </row>
    <row r="61" spans="1:17" ht="13.5" thickBot="1" x14ac:dyDescent="0.25">
      <c r="B61" s="156" t="s">
        <v>90</v>
      </c>
      <c r="C61" s="156"/>
      <c r="D61" s="88"/>
      <c r="E61" s="50"/>
      <c r="F61" s="52"/>
      <c r="G61" s="30"/>
      <c r="H61" s="82"/>
      <c r="I61" s="86"/>
      <c r="J61" s="43"/>
      <c r="K61" s="157" t="s">
        <v>91</v>
      </c>
      <c r="L61" s="158"/>
      <c r="M61" s="158"/>
      <c r="N61" s="159"/>
      <c r="O61" s="83">
        <f>SUM(O59:O60)</f>
        <v>60840.715297481707</v>
      </c>
      <c r="P61" s="89" t="s">
        <v>92</v>
      </c>
      <c r="Q61" s="42"/>
    </row>
    <row r="62" spans="1:17" ht="13.5" thickBot="1" x14ac:dyDescent="0.25">
      <c r="C62" s="38" t="s">
        <v>93</v>
      </c>
      <c r="D62" s="53"/>
      <c r="E62" s="1" t="s">
        <v>94</v>
      </c>
      <c r="F62" s="54" t="s">
        <v>95</v>
      </c>
      <c r="G62" s="30"/>
      <c r="H62" s="82"/>
      <c r="I62" s="86"/>
      <c r="J62" s="55"/>
      <c r="K62" s="56"/>
      <c r="L62" s="161" t="s">
        <v>96</v>
      </c>
      <c r="M62" s="161"/>
      <c r="N62" s="161"/>
      <c r="O62" s="90">
        <f>+O61/D60</f>
        <v>2732.9519171061302</v>
      </c>
      <c r="P62" s="91">
        <f>+O62/D59</f>
        <v>1.301405674812443</v>
      </c>
      <c r="Q62" s="57"/>
    </row>
    <row r="63" spans="1:17" ht="13.5" thickBot="1" x14ac:dyDescent="0.25">
      <c r="B63" s="162" t="s">
        <v>81</v>
      </c>
      <c r="C63" s="162"/>
      <c r="D63" s="162"/>
      <c r="E63" s="58">
        <f>+F63/F63</f>
        <v>1</v>
      </c>
      <c r="F63" s="92">
        <f>SUM(F55)</f>
        <v>60518.144596299993</v>
      </c>
      <c r="G63" s="30">
        <f>+F63/$F$66</f>
        <v>0.94795926292735122</v>
      </c>
      <c r="H63" s="82"/>
      <c r="I63" s="86"/>
      <c r="K63" s="163"/>
      <c r="L63" s="164"/>
      <c r="M63" s="164"/>
      <c r="N63" s="164"/>
      <c r="O63" s="93"/>
      <c r="P63" s="59"/>
    </row>
    <row r="64" spans="1:17" ht="13.5" thickBot="1" x14ac:dyDescent="0.25">
      <c r="B64" s="165" t="s">
        <v>97</v>
      </c>
      <c r="C64" s="165"/>
      <c r="D64" s="165"/>
      <c r="E64" s="94">
        <v>0.02</v>
      </c>
      <c r="F64" s="92">
        <f>+F53*E64</f>
        <v>1187.3039999999999</v>
      </c>
      <c r="G64" s="30">
        <f>+F64/$F$66</f>
        <v>1.8597989614828812E-2</v>
      </c>
      <c r="H64" s="9"/>
      <c r="I64" s="86"/>
      <c r="J64" s="60"/>
      <c r="O64" s="95"/>
      <c r="P64" s="2"/>
    </row>
    <row r="65" spans="2:13" ht="13.5" thickBot="1" x14ac:dyDescent="0.25">
      <c r="B65" s="166" t="s">
        <v>98</v>
      </c>
      <c r="C65" s="167"/>
      <c r="D65" s="61">
        <v>35</v>
      </c>
      <c r="E65" s="96">
        <v>61</v>
      </c>
      <c r="F65" s="92">
        <f>+E65*D65</f>
        <v>2135</v>
      </c>
      <c r="G65" s="30">
        <f>+F65/$F$66</f>
        <v>3.3442747457819999E-2</v>
      </c>
      <c r="H65" s="9"/>
      <c r="I65" s="9"/>
      <c r="J65" s="32"/>
    </row>
    <row r="66" spans="2:13" ht="13.5" thickBot="1" x14ac:dyDescent="0.25">
      <c r="B66" s="168" t="s">
        <v>99</v>
      </c>
      <c r="C66" s="169"/>
      <c r="D66" s="169"/>
      <c r="E66" s="170"/>
      <c r="F66" s="81">
        <f>SUM(F63:F65)</f>
        <v>63840.44859629999</v>
      </c>
      <c r="G66" s="30">
        <f>+F66/$F$66</f>
        <v>1</v>
      </c>
      <c r="H66" s="171"/>
      <c r="I66" s="9"/>
      <c r="J66" s="32"/>
      <c r="M66" s="20" t="s">
        <v>100</v>
      </c>
    </row>
    <row r="67" spans="2:13" x14ac:dyDescent="0.2">
      <c r="C67" s="6"/>
      <c r="D67" s="6"/>
      <c r="E67" s="98"/>
      <c r="F67" s="92"/>
      <c r="G67" s="30"/>
      <c r="H67" s="171"/>
      <c r="I67" s="97"/>
      <c r="J67" s="20"/>
      <c r="M67" s="20" t="s">
        <v>101</v>
      </c>
    </row>
    <row r="68" spans="2:13" ht="13.5" thickBot="1" x14ac:dyDescent="0.25">
      <c r="B68" s="154" t="s">
        <v>102</v>
      </c>
      <c r="C68" s="154"/>
      <c r="D68" s="154"/>
      <c r="E68" s="154"/>
      <c r="F68" s="154"/>
      <c r="G68" s="30"/>
      <c r="H68" s="62"/>
      <c r="I68" s="97"/>
      <c r="J68" s="20"/>
      <c r="M68" s="20" t="s">
        <v>103</v>
      </c>
    </row>
    <row r="69" spans="2:13" ht="13.5" thickBot="1" x14ac:dyDescent="0.25">
      <c r="B69" s="63" t="s">
        <v>104</v>
      </c>
      <c r="C69" s="99">
        <f>+F53</f>
        <v>59365.19999999999</v>
      </c>
      <c r="D69" s="99">
        <f>+D58</f>
        <v>46750</v>
      </c>
      <c r="E69" s="100">
        <f>+C69/D69</f>
        <v>1.2698438502673794</v>
      </c>
      <c r="F69" s="30"/>
      <c r="G69" s="62"/>
      <c r="H69" s="32"/>
      <c r="I69" s="62"/>
      <c r="J69" s="20"/>
    </row>
    <row r="70" spans="2:13" x14ac:dyDescent="0.2">
      <c r="B70" s="64"/>
      <c r="C70" s="101"/>
      <c r="D70" s="102"/>
      <c r="E70" s="92"/>
      <c r="F70" s="30"/>
      <c r="G70" s="62"/>
      <c r="H70" s="32"/>
      <c r="I70" s="32"/>
      <c r="J70" s="20"/>
    </row>
    <row r="71" spans="2:13" x14ac:dyDescent="0.2">
      <c r="B71" s="63" t="s">
        <v>105</v>
      </c>
      <c r="C71" s="99">
        <f>SUM(F63:F64)</f>
        <v>61705.44859629999</v>
      </c>
      <c r="D71" s="99">
        <f>+D58</f>
        <v>46750</v>
      </c>
      <c r="E71" s="103">
        <f>+C71/D71</f>
        <v>1.3199026437711228</v>
      </c>
      <c r="F71" s="30"/>
      <c r="G71" s="62"/>
      <c r="H71" s="32"/>
      <c r="I71" s="32"/>
      <c r="J71" s="20"/>
    </row>
    <row r="72" spans="2:13" x14ac:dyDescent="0.2">
      <c r="B72" s="63"/>
      <c r="C72" s="99"/>
      <c r="D72" s="99"/>
      <c r="E72" s="103"/>
      <c r="F72" s="30"/>
      <c r="G72" s="62"/>
      <c r="H72" s="32"/>
      <c r="I72" s="32"/>
      <c r="J72" s="20"/>
    </row>
    <row r="73" spans="2:13" ht="13.5" thickBot="1" x14ac:dyDescent="0.25">
      <c r="B73" s="63" t="s">
        <v>106</v>
      </c>
      <c r="C73" s="99">
        <f>+F65</f>
        <v>2135</v>
      </c>
      <c r="D73" s="99">
        <f>+D58</f>
        <v>46750</v>
      </c>
      <c r="E73" s="103">
        <f>+C73/D73</f>
        <v>4.5668449197860964E-2</v>
      </c>
      <c r="F73" s="30"/>
      <c r="G73" s="62"/>
      <c r="H73" s="32"/>
      <c r="I73" s="32"/>
      <c r="J73" s="20"/>
    </row>
    <row r="74" spans="2:13" ht="13.5" thickBot="1" x14ac:dyDescent="0.25">
      <c r="B74" s="63" t="s">
        <v>107</v>
      </c>
      <c r="C74" s="99">
        <f>+F56</f>
        <v>3681.0364029409798</v>
      </c>
      <c r="D74" s="99">
        <f>+D73</f>
        <v>46750</v>
      </c>
      <c r="E74" s="100">
        <f>+C74/D74</f>
        <v>7.873874658697283E-2</v>
      </c>
      <c r="F74" s="30"/>
      <c r="G74" s="62"/>
      <c r="H74" s="32"/>
      <c r="I74" s="32"/>
      <c r="J74" s="20"/>
    </row>
    <row r="75" spans="2:13" ht="13.5" thickBot="1" x14ac:dyDescent="0.25">
      <c r="B75" s="5"/>
      <c r="C75" s="81"/>
      <c r="D75" s="81"/>
      <c r="E75" s="103"/>
      <c r="F75" s="30"/>
      <c r="G75" s="62"/>
      <c r="H75" s="32"/>
      <c r="I75" s="32"/>
      <c r="J75" s="20"/>
    </row>
    <row r="76" spans="2:13" ht="13.5" thickBot="1" x14ac:dyDescent="0.25">
      <c r="B76" s="63" t="s">
        <v>108</v>
      </c>
      <c r="C76" s="99">
        <f>+F54</f>
        <v>1152.9445963000001</v>
      </c>
      <c r="D76" s="99">
        <f>+D74</f>
        <v>46750</v>
      </c>
      <c r="E76" s="100">
        <f>+C76/D76</f>
        <v>2.4661916498395723E-2</v>
      </c>
      <c r="F76" s="30"/>
      <c r="G76" s="62"/>
      <c r="H76" s="32"/>
      <c r="I76" s="32"/>
      <c r="J76" s="32"/>
    </row>
    <row r="77" spans="2:13" ht="13.5" thickBot="1" x14ac:dyDescent="0.25">
      <c r="B77" s="5"/>
      <c r="C77" s="81"/>
      <c r="D77" s="81"/>
      <c r="E77" s="103"/>
      <c r="F77" s="30"/>
      <c r="G77" s="62"/>
      <c r="H77" s="32"/>
      <c r="I77" s="32"/>
    </row>
    <row r="78" spans="2:13" ht="13.5" thickBot="1" x14ac:dyDescent="0.25">
      <c r="B78" s="172" t="s">
        <v>109</v>
      </c>
      <c r="C78" s="173"/>
      <c r="D78" s="174"/>
      <c r="E78" s="100">
        <f>+E69+E74</f>
        <v>1.3485825968543523</v>
      </c>
      <c r="G78" s="30"/>
      <c r="H78" s="62"/>
      <c r="I78" s="32"/>
      <c r="J78" s="103"/>
    </row>
    <row r="79" spans="2:13" x14ac:dyDescent="0.2">
      <c r="I79" s="62"/>
      <c r="J79" s="20"/>
    </row>
    <row r="80" spans="2:13" ht="13.5" thickBot="1" x14ac:dyDescent="0.25">
      <c r="B80" s="154" t="s">
        <v>110</v>
      </c>
      <c r="C80" s="154"/>
      <c r="D80" s="154"/>
      <c r="E80" s="154"/>
      <c r="F80" s="154"/>
      <c r="G80" s="30"/>
      <c r="H80" s="62"/>
      <c r="J80" s="20"/>
    </row>
    <row r="81" spans="1:10" ht="13.5" thickBot="1" x14ac:dyDescent="0.25">
      <c r="B81" s="63" t="s">
        <v>104</v>
      </c>
      <c r="C81" s="99">
        <f>+C69</f>
        <v>59365.19999999999</v>
      </c>
      <c r="D81" s="99">
        <f>+D60</f>
        <v>22.261904761904763</v>
      </c>
      <c r="E81" s="100">
        <f>+C81/D81</f>
        <v>2666.6720855614967</v>
      </c>
      <c r="F81" s="30"/>
      <c r="G81" s="62"/>
      <c r="H81" s="32"/>
      <c r="I81" s="62"/>
      <c r="J81" s="20"/>
    </row>
    <row r="82" spans="1:10" x14ac:dyDescent="0.2">
      <c r="B82" s="64"/>
      <c r="C82" s="101"/>
      <c r="D82" s="102"/>
      <c r="E82" s="92"/>
      <c r="F82" s="30"/>
      <c r="G82" s="62"/>
      <c r="H82" s="32"/>
      <c r="I82" s="32"/>
      <c r="J82" s="20"/>
    </row>
    <row r="83" spans="1:10" x14ac:dyDescent="0.2">
      <c r="B83" s="63" t="s">
        <v>105</v>
      </c>
      <c r="C83" s="99">
        <f>+C71</f>
        <v>61705.44859629999</v>
      </c>
      <c r="D83" s="99">
        <f>+D60</f>
        <v>22.261904761904763</v>
      </c>
      <c r="E83" s="103">
        <f>+C83/D83</f>
        <v>2771.7955519193579</v>
      </c>
      <c r="F83" s="30"/>
      <c r="G83" s="62"/>
      <c r="H83" s="32"/>
      <c r="I83" s="32"/>
      <c r="J83" s="20"/>
    </row>
    <row r="84" spans="1:10" x14ac:dyDescent="0.2">
      <c r="B84" s="63"/>
      <c r="C84" s="99"/>
      <c r="D84" s="99"/>
      <c r="E84" s="103"/>
      <c r="F84" s="30"/>
      <c r="G84" s="62"/>
      <c r="H84" s="32"/>
      <c r="I84" s="32"/>
      <c r="J84" s="20"/>
    </row>
    <row r="85" spans="1:10" ht="13.5" thickBot="1" x14ac:dyDescent="0.25">
      <c r="B85" s="63" t="s">
        <v>107</v>
      </c>
      <c r="C85" s="99">
        <f>+C73</f>
        <v>2135</v>
      </c>
      <c r="D85" s="99">
        <f>+D60</f>
        <v>22.261904761904763</v>
      </c>
      <c r="E85" s="103">
        <f>+C85/D85</f>
        <v>95.903743315508024</v>
      </c>
      <c r="F85" s="104"/>
      <c r="G85" s="4"/>
      <c r="H85" s="19"/>
      <c r="I85" s="32"/>
    </row>
    <row r="86" spans="1:10" ht="13.5" thickBot="1" x14ac:dyDescent="0.25">
      <c r="B86" s="63" t="s">
        <v>107</v>
      </c>
      <c r="C86" s="99">
        <f>+C74</f>
        <v>3681.0364029409798</v>
      </c>
      <c r="D86" s="99">
        <f>+D85</f>
        <v>22.261904761904763</v>
      </c>
      <c r="E86" s="100">
        <f>+C86/D86</f>
        <v>165.35136783264292</v>
      </c>
      <c r="F86" s="65"/>
      <c r="G86" s="4"/>
      <c r="H86" s="19"/>
      <c r="I86" s="19"/>
    </row>
    <row r="87" spans="1:10" x14ac:dyDescent="0.2">
      <c r="I87" s="19"/>
    </row>
    <row r="88" spans="1:10" x14ac:dyDescent="0.2">
      <c r="A88" s="160"/>
      <c r="B88" s="160"/>
      <c r="C88" s="66"/>
      <c r="D88" s="66"/>
      <c r="E88" s="105"/>
      <c r="G88" s="67"/>
    </row>
    <row r="89" spans="1:10" x14ac:dyDescent="0.2">
      <c r="A89" s="33"/>
      <c r="B89" s="68"/>
      <c r="C89" s="106"/>
      <c r="D89" s="106"/>
      <c r="E89" s="69"/>
      <c r="G89" s="67"/>
    </row>
    <row r="90" spans="1:10" x14ac:dyDescent="0.2">
      <c r="A90" s="33"/>
      <c r="B90" s="68"/>
      <c r="C90" s="70"/>
      <c r="D90" s="70"/>
      <c r="E90" s="33"/>
      <c r="G90" s="67"/>
    </row>
    <row r="91" spans="1:10" x14ac:dyDescent="0.2">
      <c r="A91" s="33"/>
      <c r="B91" s="68"/>
      <c r="C91" s="107"/>
      <c r="D91" s="107"/>
      <c r="E91" s="33"/>
      <c r="G91" s="67"/>
    </row>
  </sheetData>
  <mergeCells count="30">
    <mergeCell ref="K29:L29"/>
    <mergeCell ref="K30:L30"/>
    <mergeCell ref="B53:E53"/>
    <mergeCell ref="B54:E54"/>
    <mergeCell ref="A4:H4"/>
    <mergeCell ref="A5:H5"/>
    <mergeCell ref="F6:G6"/>
    <mergeCell ref="K27:L27"/>
    <mergeCell ref="K28:L28"/>
    <mergeCell ref="K54:N54"/>
    <mergeCell ref="A88:B88"/>
    <mergeCell ref="L62:N62"/>
    <mergeCell ref="B63:D63"/>
    <mergeCell ref="K63:N63"/>
    <mergeCell ref="B64:D64"/>
    <mergeCell ref="B65:C65"/>
    <mergeCell ref="B66:E66"/>
    <mergeCell ref="H66:H67"/>
    <mergeCell ref="B68:F68"/>
    <mergeCell ref="B78:D78"/>
    <mergeCell ref="B55:E55"/>
    <mergeCell ref="B58:C58"/>
    <mergeCell ref="B80:F80"/>
    <mergeCell ref="M59:N59"/>
    <mergeCell ref="B60:C60"/>
    <mergeCell ref="L60:M60"/>
    <mergeCell ref="B59:C59"/>
    <mergeCell ref="B61:C61"/>
    <mergeCell ref="K61:N61"/>
    <mergeCell ref="C56:E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5B092-C97E-4C5B-9582-9E377E2943F1}">
  <dimension ref="A1:R94"/>
  <sheetViews>
    <sheetView topLeftCell="A4" workbookViewId="0">
      <selection activeCell="E22" sqref="E22"/>
    </sheetView>
  </sheetViews>
  <sheetFormatPr baseColWidth="10" defaultColWidth="8.42578125" defaultRowHeight="12.75" x14ac:dyDescent="0.2"/>
  <cols>
    <col min="1" max="1" width="10" style="20" bestFit="1" customWidth="1"/>
    <col min="2" max="2" width="44.28515625" style="20" bestFit="1" customWidth="1"/>
    <col min="3" max="3" width="10.42578125" style="20" bestFit="1" customWidth="1"/>
    <col min="4" max="4" width="10.42578125" style="20" customWidth="1"/>
    <col min="5" max="5" width="9.7109375" style="20" bestFit="1" customWidth="1"/>
    <col min="6" max="6" width="9.5703125" style="20" bestFit="1" customWidth="1"/>
    <col min="7" max="7" width="9.5703125" style="79" bestFit="1" customWidth="1"/>
    <col min="8" max="8" width="10.42578125" style="4" bestFit="1" customWidth="1"/>
    <col min="9" max="9" width="4.5703125" style="4" customWidth="1"/>
    <col min="10" max="10" width="1.85546875" style="19" customWidth="1"/>
    <col min="11" max="11" width="7" style="20" bestFit="1" customWidth="1"/>
    <col min="12" max="12" width="6.28515625" style="20" customWidth="1"/>
    <col min="13" max="13" width="20.42578125" style="20" customWidth="1"/>
    <col min="14" max="14" width="6.42578125" style="20" bestFit="1" customWidth="1"/>
    <col min="15" max="16" width="8.42578125" style="20"/>
    <col min="17" max="17" width="3.28515625" style="20" customWidth="1"/>
    <col min="18" max="16384" width="8.42578125" style="20"/>
  </cols>
  <sheetData>
    <row r="1" spans="1:10" ht="27.75" customHeight="1" x14ac:dyDescent="0.2">
      <c r="A1" s="16"/>
      <c r="B1" s="16"/>
      <c r="C1" s="16"/>
      <c r="D1" s="16"/>
      <c r="E1" s="17" t="s">
        <v>55</v>
      </c>
      <c r="F1" s="18" t="s">
        <v>56</v>
      </c>
      <c r="G1" s="18" t="s">
        <v>57</v>
      </c>
      <c r="H1" s="18" t="s">
        <v>58</v>
      </c>
      <c r="I1" s="1"/>
    </row>
    <row r="2" spans="1:10" ht="30.75" customHeight="1" x14ac:dyDescent="0.2">
      <c r="A2" s="16"/>
      <c r="B2" s="16"/>
      <c r="C2" s="16"/>
      <c r="D2" s="16"/>
      <c r="E2" s="15">
        <f>IFERROR(O65,"")</f>
        <v>7514.914250550567</v>
      </c>
      <c r="F2" s="15">
        <f>IFERROR(H56,"")</f>
        <v>4655.839020561496</v>
      </c>
      <c r="G2" s="15">
        <f>IFERROR(H57,"")</f>
        <v>1745.5668693333334</v>
      </c>
      <c r="H2" s="15">
        <f>IFERROR(H59,"")</f>
        <v>570.79</v>
      </c>
      <c r="I2" s="14"/>
    </row>
    <row r="3" spans="1:10" ht="15" customHeight="1" x14ac:dyDescent="0.2">
      <c r="A3" s="16"/>
      <c r="B3" s="16"/>
      <c r="C3" s="16"/>
      <c r="D3" s="16"/>
      <c r="E3" s="16"/>
      <c r="F3" s="13"/>
      <c r="G3" s="13"/>
      <c r="H3" s="13"/>
      <c r="I3" s="13"/>
    </row>
    <row r="4" spans="1:10" ht="24.75" customHeight="1" thickBot="1" x14ac:dyDescent="0.25">
      <c r="A4" s="176"/>
      <c r="B4" s="176"/>
      <c r="C4" s="176"/>
      <c r="D4" s="176"/>
      <c r="E4" s="176"/>
      <c r="F4" s="176"/>
      <c r="G4" s="176"/>
      <c r="H4" s="176"/>
      <c r="I4" s="21"/>
    </row>
    <row r="5" spans="1:10" ht="19.5" customHeight="1" thickBot="1" x14ac:dyDescent="0.25">
      <c r="A5" s="177" t="s">
        <v>59</v>
      </c>
      <c r="B5" s="178"/>
      <c r="C5" s="178"/>
      <c r="D5" s="178"/>
      <c r="E5" s="178"/>
      <c r="F5" s="178"/>
      <c r="G5" s="178"/>
      <c r="H5" s="179"/>
      <c r="I5" s="22"/>
    </row>
    <row r="6" spans="1:10" ht="19.5" thickBot="1" x14ac:dyDescent="0.25">
      <c r="A6" s="22"/>
      <c r="B6" s="22"/>
      <c r="C6" s="22"/>
      <c r="D6" s="22"/>
      <c r="E6" s="22"/>
      <c r="F6" s="180" t="s">
        <v>60</v>
      </c>
      <c r="G6" s="180"/>
      <c r="H6" s="23">
        <f ca="1">TODAY()</f>
        <v>45842</v>
      </c>
      <c r="I6" s="23"/>
    </row>
    <row r="7" spans="1:10" ht="26.25" thickBot="1" x14ac:dyDescent="0.25">
      <c r="A7" s="24" t="s">
        <v>61</v>
      </c>
      <c r="B7" s="25" t="s">
        <v>62</v>
      </c>
      <c r="C7" s="25" t="s">
        <v>61</v>
      </c>
      <c r="D7" s="26" t="s">
        <v>63</v>
      </c>
      <c r="E7" s="26" t="s">
        <v>64</v>
      </c>
      <c r="F7" s="26" t="s">
        <v>65</v>
      </c>
      <c r="G7" s="26" t="s">
        <v>66</v>
      </c>
      <c r="H7" s="27" t="s">
        <v>67</v>
      </c>
      <c r="I7" s="28"/>
    </row>
    <row r="8" spans="1:10" ht="13.5" x14ac:dyDescent="0.25">
      <c r="A8" s="29">
        <v>30</v>
      </c>
      <c r="B8" s="20" t="s">
        <v>111</v>
      </c>
      <c r="C8" s="12">
        <f>+A8</f>
        <v>30</v>
      </c>
      <c r="D8" s="11" t="s">
        <v>69</v>
      </c>
      <c r="E8" s="11">
        <v>2.97</v>
      </c>
      <c r="F8" s="11">
        <f>IFERROR(C8*E8,"")</f>
        <v>89.100000000000009</v>
      </c>
      <c r="G8" s="71">
        <f t="shared" ref="G8:G14" si="0">IFERROR(F8/$F$69,"")</f>
        <v>1.2760431180396662E-2</v>
      </c>
      <c r="H8" s="31"/>
      <c r="I8" s="31"/>
      <c r="J8" s="72"/>
    </row>
    <row r="9" spans="1:10" ht="13.5" hidden="1" x14ac:dyDescent="0.25">
      <c r="A9" s="29"/>
      <c r="B9" s="20" t="str">
        <f>IFERROR(VLOOKUP(H9,'[1]Consolidado MP Planta'!$A$2:$M$823,3,0),"")</f>
        <v/>
      </c>
      <c r="C9" s="12">
        <f t="shared" ref="C9:C14" si="1">+A9</f>
        <v>0</v>
      </c>
      <c r="D9" s="11" t="str">
        <f>IFERROR(VLOOKUP(H9,'[1]Consolidado MP Planta'!$A$2:$M$823,13,0),"")</f>
        <v/>
      </c>
      <c r="E9" s="11" t="str">
        <f>IFERROR(VLOOKUP(H9,'[1]Consolidado MP Planta'!$A$2:$M$823,12,0),"")</f>
        <v/>
      </c>
      <c r="F9" s="11" t="str">
        <f t="shared" ref="F9:F14" si="2">IFERROR(C9*E9,"")</f>
        <v/>
      </c>
      <c r="G9" s="71" t="str">
        <f t="shared" si="0"/>
        <v/>
      </c>
      <c r="H9" s="31"/>
      <c r="I9" s="31"/>
      <c r="J9" s="72"/>
    </row>
    <row r="10" spans="1:10" ht="13.5" hidden="1" x14ac:dyDescent="0.25">
      <c r="A10" s="29"/>
      <c r="B10" s="20" t="str">
        <f>IFERROR(VLOOKUP(H10,'[1]Consolidado MP Planta'!$A$2:$M$823,3,0),"")</f>
        <v/>
      </c>
      <c r="C10" s="12">
        <f t="shared" si="1"/>
        <v>0</v>
      </c>
      <c r="D10" s="11" t="str">
        <f>IFERROR(VLOOKUP(H10,'[1]Consolidado MP Planta'!$A$2:$M$823,13,0),"")</f>
        <v/>
      </c>
      <c r="E10" s="11" t="str">
        <f>IFERROR(VLOOKUP(H10,'[1]Consolidado MP Planta'!$A$2:$M$823,12,0),"")</f>
        <v/>
      </c>
      <c r="F10" s="11" t="str">
        <f t="shared" si="2"/>
        <v/>
      </c>
      <c r="G10" s="71" t="str">
        <f t="shared" si="0"/>
        <v/>
      </c>
      <c r="H10" s="31"/>
      <c r="I10" s="31"/>
      <c r="J10" s="72"/>
    </row>
    <row r="11" spans="1:10" ht="13.5" hidden="1" x14ac:dyDescent="0.25">
      <c r="A11" s="29"/>
      <c r="B11" s="20" t="str">
        <f>IFERROR(VLOOKUP(H11,'[1]Consolidado MP Planta'!$A$2:$M$823,3,0),"")</f>
        <v/>
      </c>
      <c r="C11" s="12">
        <f t="shared" si="1"/>
        <v>0</v>
      </c>
      <c r="D11" s="11" t="str">
        <f>IFERROR(VLOOKUP(H11,'[1]Consolidado MP Planta'!$A$2:$M$823,13,0),"")</f>
        <v/>
      </c>
      <c r="E11" s="11" t="str">
        <f>IFERROR(VLOOKUP(H11,'[1]Consolidado MP Planta'!$A$2:$M$823,12,0),"")</f>
        <v/>
      </c>
      <c r="F11" s="11" t="str">
        <f t="shared" si="2"/>
        <v/>
      </c>
      <c r="G11" s="71" t="str">
        <f t="shared" si="0"/>
        <v/>
      </c>
      <c r="H11" s="31"/>
      <c r="I11" s="31"/>
      <c r="J11" s="72"/>
    </row>
    <row r="12" spans="1:10" ht="13.5" hidden="1" x14ac:dyDescent="0.25">
      <c r="A12" s="29"/>
      <c r="B12" s="20" t="str">
        <f>IFERROR(VLOOKUP(H12,'[1]Consolidado MP Planta'!$A$2:$M$823,3,0),"")</f>
        <v/>
      </c>
      <c r="C12" s="12">
        <f t="shared" si="1"/>
        <v>0</v>
      </c>
      <c r="D12" s="11" t="str">
        <f>IFERROR(VLOOKUP(H12,'[1]Consolidado MP Planta'!$A$2:$M$823,13,0),"")</f>
        <v/>
      </c>
      <c r="E12" s="11" t="str">
        <f>IFERROR(VLOOKUP(H12,'[1]Consolidado MP Planta'!$A$2:$M$823,12,0),"")</f>
        <v/>
      </c>
      <c r="F12" s="11" t="str">
        <f t="shared" si="2"/>
        <v/>
      </c>
      <c r="G12" s="71" t="str">
        <f t="shared" si="0"/>
        <v/>
      </c>
      <c r="H12" s="31"/>
      <c r="I12" s="31"/>
      <c r="J12" s="72"/>
    </row>
    <row r="13" spans="1:10" ht="13.5" hidden="1" x14ac:dyDescent="0.25">
      <c r="A13" s="29"/>
      <c r="B13" s="20" t="str">
        <f>IFERROR(VLOOKUP(H13,'[1]Consolidado MP Planta'!$A$2:$M$823,3,0),"")</f>
        <v/>
      </c>
      <c r="C13" s="12">
        <f t="shared" si="1"/>
        <v>0</v>
      </c>
      <c r="D13" s="11" t="str">
        <f>IFERROR(VLOOKUP(H13,'[1]Consolidado MP Planta'!$A$2:$M$823,13,0),"")</f>
        <v/>
      </c>
      <c r="E13" s="11" t="str">
        <f>IFERROR(VLOOKUP(H13,'[1]Consolidado MP Planta'!$A$2:$M$823,12,0),"")</f>
        <v/>
      </c>
      <c r="F13" s="11" t="str">
        <f t="shared" si="2"/>
        <v/>
      </c>
      <c r="G13" s="71" t="str">
        <f t="shared" si="0"/>
        <v/>
      </c>
      <c r="H13" s="31"/>
      <c r="I13" s="31"/>
      <c r="J13" s="72"/>
    </row>
    <row r="14" spans="1:10" ht="13.5" hidden="1" x14ac:dyDescent="0.25">
      <c r="A14" s="29"/>
      <c r="B14" s="20" t="str">
        <f>IFERROR(VLOOKUP(H14,'[1]Consolidado MP Planta'!$A$2:$M$823,3,0),"")</f>
        <v/>
      </c>
      <c r="C14" s="12">
        <f t="shared" si="1"/>
        <v>0</v>
      </c>
      <c r="D14" s="11" t="str">
        <f>IFERROR(VLOOKUP(H14,'[1]Consolidado MP Planta'!$A$2:$M$823,13,0),"")</f>
        <v/>
      </c>
      <c r="E14" s="11" t="str">
        <f>IFERROR(VLOOKUP(H14,'[1]Consolidado MP Planta'!$A$2:$M$823,12,0),"")</f>
        <v/>
      </c>
      <c r="F14" s="11" t="str">
        <f t="shared" si="2"/>
        <v/>
      </c>
      <c r="G14" s="71" t="str">
        <f t="shared" si="0"/>
        <v/>
      </c>
      <c r="H14" s="31"/>
      <c r="I14" s="31"/>
      <c r="J14" s="72"/>
    </row>
    <row r="15" spans="1:10" ht="14.25" thickBot="1" x14ac:dyDescent="0.3">
      <c r="A15" s="29"/>
      <c r="B15" s="20" t="str">
        <f>IFERROR(VLOOKUP(H15,'[2]ARTICULOS MP PLANTA'!$A$2:$G$589,2,0),"")</f>
        <v/>
      </c>
      <c r="C15" s="12"/>
      <c r="D15" s="11"/>
      <c r="E15" s="11"/>
      <c r="F15" s="11"/>
      <c r="G15" s="71"/>
      <c r="H15" s="31"/>
      <c r="I15" s="31"/>
      <c r="J15" s="72"/>
    </row>
    <row r="16" spans="1:10" ht="26.25" thickBot="1" x14ac:dyDescent="0.25">
      <c r="A16" s="24" t="s">
        <v>61</v>
      </c>
      <c r="B16" s="25" t="s">
        <v>68</v>
      </c>
      <c r="C16" s="25" t="s">
        <v>61</v>
      </c>
      <c r="D16" s="26" t="s">
        <v>63</v>
      </c>
      <c r="E16" s="26" t="s">
        <v>64</v>
      </c>
      <c r="F16" s="26" t="s">
        <v>65</v>
      </c>
      <c r="G16" s="26" t="s">
        <v>66</v>
      </c>
      <c r="H16" s="27" t="s">
        <v>67</v>
      </c>
      <c r="I16" s="28"/>
      <c r="J16" s="72"/>
    </row>
    <row r="17" spans="1:12" ht="13.5" x14ac:dyDescent="0.25">
      <c r="A17" s="108">
        <v>1</v>
      </c>
      <c r="B17" s="109" t="s">
        <v>52</v>
      </c>
      <c r="C17" s="12">
        <f>+A17</f>
        <v>1</v>
      </c>
      <c r="D17" s="12" t="s">
        <v>112</v>
      </c>
      <c r="E17" s="11">
        <f>+'[3]Costo Rosquete 2100'!H53</f>
        <v>2666.6720855614967</v>
      </c>
      <c r="F17" s="11">
        <f>IFERROR(E17*C17,"")</f>
        <v>2666.6720855614967</v>
      </c>
      <c r="G17" s="71">
        <f t="shared" ref="G17:G24" si="3">IFERROR(F17/$F$69,"")</f>
        <v>0.38190668494379704</v>
      </c>
      <c r="H17" s="31" t="s">
        <v>113</v>
      </c>
      <c r="I17" s="31"/>
      <c r="J17" s="72"/>
    </row>
    <row r="18" spans="1:12" ht="13.5" x14ac:dyDescent="0.25">
      <c r="A18" s="108">
        <v>300</v>
      </c>
      <c r="B18" s="109" t="s">
        <v>42</v>
      </c>
      <c r="C18" s="12">
        <f t="shared" ref="C18:C24" si="4">+A18</f>
        <v>300</v>
      </c>
      <c r="D18" s="12" t="s">
        <v>69</v>
      </c>
      <c r="E18" s="11">
        <v>2.2999999999999998</v>
      </c>
      <c r="F18" s="11">
        <f t="shared" ref="F18:F24" si="5">IFERROR(E18*C18,"")</f>
        <v>690</v>
      </c>
      <c r="G18" s="71">
        <f t="shared" si="3"/>
        <v>9.8818153922263702E-2</v>
      </c>
      <c r="H18" s="31"/>
      <c r="I18" s="31"/>
      <c r="J18" s="72"/>
    </row>
    <row r="19" spans="1:12" ht="13.5" x14ac:dyDescent="0.25">
      <c r="A19" s="108">
        <v>90</v>
      </c>
      <c r="B19" s="109" t="s">
        <v>53</v>
      </c>
      <c r="C19" s="12">
        <v>90</v>
      </c>
      <c r="D19" s="12" t="s">
        <v>69</v>
      </c>
      <c r="E19" s="11">
        <v>2.3199999999999998</v>
      </c>
      <c r="F19" s="11">
        <f>IFERROR(E19*C19,"")</f>
        <v>208.79999999999998</v>
      </c>
      <c r="G19" s="71">
        <f t="shared" si="3"/>
        <v>2.9903232665171971E-2</v>
      </c>
      <c r="H19" s="31">
        <v>905000108</v>
      </c>
      <c r="I19" s="31"/>
      <c r="J19" s="72"/>
    </row>
    <row r="20" spans="1:12" ht="13.5" x14ac:dyDescent="0.25">
      <c r="A20" s="108">
        <v>300</v>
      </c>
      <c r="B20" s="109" t="str">
        <f>IFERROR(VLOOKUP(H20,[1]SEMIELABORADOS!$A$2:$M$6000,2,0),"")</f>
        <v>CREMA DULCE LECHE KILO</v>
      </c>
      <c r="C20" s="12">
        <f>+A20</f>
        <v>300</v>
      </c>
      <c r="D20" s="12" t="str">
        <f>IFERROR(VLOOKUP(H20,[1]SEMIELABORADOS!$A$2:$M$6000,6,0),"")</f>
        <v>Gramo</v>
      </c>
      <c r="E20" s="11">
        <v>2.63</v>
      </c>
      <c r="F20" s="11">
        <f>IFERROR(E20*C20,"")</f>
        <v>789</v>
      </c>
      <c r="G20" s="71">
        <f t="shared" si="3"/>
        <v>0.1129964107893711</v>
      </c>
      <c r="H20" s="31" t="s">
        <v>115</v>
      </c>
      <c r="I20" s="31"/>
      <c r="J20" s="72"/>
    </row>
    <row r="21" spans="1:12" ht="13.5" hidden="1" x14ac:dyDescent="0.25">
      <c r="A21" s="29"/>
      <c r="C21" s="12">
        <f>+A21</f>
        <v>0</v>
      </c>
      <c r="D21" s="12" t="s">
        <v>71</v>
      </c>
      <c r="E21" s="11">
        <v>2.61</v>
      </c>
      <c r="F21" s="11">
        <f>IFERROR(E21*C21,"")</f>
        <v>0</v>
      </c>
      <c r="G21" s="71">
        <f t="shared" si="3"/>
        <v>0</v>
      </c>
      <c r="H21" s="31">
        <v>905000063</v>
      </c>
      <c r="I21" s="31"/>
      <c r="J21" s="72"/>
    </row>
    <row r="22" spans="1:12" ht="13.5" x14ac:dyDescent="0.25">
      <c r="A22" s="108">
        <v>90</v>
      </c>
      <c r="B22" s="109" t="s">
        <v>54</v>
      </c>
      <c r="C22" s="12">
        <f t="shared" si="4"/>
        <v>90</v>
      </c>
      <c r="D22" s="12" t="s">
        <v>71</v>
      </c>
      <c r="E22" s="11">
        <f>+'[4]Costo Chantilly Roja'!$E$69</f>
        <v>2.3585215000000002</v>
      </c>
      <c r="F22" s="11">
        <f t="shared" si="5"/>
        <v>212.26693500000002</v>
      </c>
      <c r="G22" s="71">
        <f t="shared" si="3"/>
        <v>3.0399748775995866E-2</v>
      </c>
      <c r="H22" s="31"/>
      <c r="I22" s="31"/>
      <c r="J22" s="72"/>
    </row>
    <row r="23" spans="1:12" ht="13.5" x14ac:dyDescent="0.25">
      <c r="A23" s="29"/>
      <c r="B23" s="20" t="str">
        <f>IFERROR(VLOOKUP(H23,[1]SEMIELABORADOS!$A$2:$M$6000,2,0),"")</f>
        <v/>
      </c>
      <c r="C23" s="12">
        <f t="shared" si="4"/>
        <v>0</v>
      </c>
      <c r="D23" s="12" t="str">
        <f>IFERROR(VLOOKUP(H23,[1]SEMIELABORADOS!$A$2:$M$6000,6,0),"")</f>
        <v/>
      </c>
      <c r="E23" s="11" t="str">
        <f>IFERROR(VLOOKUP(H23,[1]SEMIELABORADOS!$A$2:$H$65536,8,0),"")</f>
        <v/>
      </c>
      <c r="F23" s="11" t="str">
        <f t="shared" si="5"/>
        <v/>
      </c>
      <c r="G23" s="71" t="str">
        <f t="shared" si="3"/>
        <v/>
      </c>
      <c r="H23" s="31"/>
      <c r="I23" s="31"/>
      <c r="J23" s="72"/>
    </row>
    <row r="24" spans="1:12" ht="13.5" x14ac:dyDescent="0.25">
      <c r="A24" s="29"/>
      <c r="B24" s="20" t="str">
        <f>IFERROR(VLOOKUP(H24,[1]SEMIELABORADOS!$A$2:$M$6000,2,0),"")</f>
        <v/>
      </c>
      <c r="C24" s="12">
        <f t="shared" si="4"/>
        <v>0</v>
      </c>
      <c r="D24" s="12" t="str">
        <f>IFERROR(VLOOKUP(H24,[1]SEMIELABORADOS!$A$2:$M$6000,6,0),"")</f>
        <v/>
      </c>
      <c r="E24" s="11" t="str">
        <f>IFERROR(VLOOKUP(H24,[1]SEMIELABORADOS!$A$2:$H$65536,8,0),"")</f>
        <v/>
      </c>
      <c r="F24" s="11" t="str">
        <f t="shared" si="5"/>
        <v/>
      </c>
      <c r="G24" s="71" t="str">
        <f t="shared" si="3"/>
        <v/>
      </c>
      <c r="H24" s="31"/>
      <c r="I24" s="31"/>
      <c r="J24" s="72"/>
    </row>
    <row r="25" spans="1:12" ht="14.25" thickBot="1" x14ac:dyDescent="0.3">
      <c r="A25" s="29"/>
      <c r="C25" s="12"/>
      <c r="D25" s="12"/>
      <c r="E25" s="11"/>
      <c r="F25" s="11"/>
      <c r="G25" s="71"/>
      <c r="H25" s="31"/>
      <c r="I25" s="31"/>
      <c r="J25" s="72"/>
    </row>
    <row r="26" spans="1:12" ht="26.25" thickBot="1" x14ac:dyDescent="0.25">
      <c r="A26" s="24" t="s">
        <v>61</v>
      </c>
      <c r="B26" s="25" t="s">
        <v>27</v>
      </c>
      <c r="C26" s="25" t="s">
        <v>61</v>
      </c>
      <c r="D26" s="26" t="s">
        <v>63</v>
      </c>
      <c r="E26" s="26" t="s">
        <v>64</v>
      </c>
      <c r="F26" s="26" t="s">
        <v>65</v>
      </c>
      <c r="G26" s="26" t="s">
        <v>66</v>
      </c>
      <c r="H26" s="27" t="s">
        <v>67</v>
      </c>
      <c r="I26" s="28"/>
    </row>
    <row r="27" spans="1:12" ht="13.5" x14ac:dyDescent="0.25">
      <c r="A27" s="29">
        <v>1</v>
      </c>
      <c r="B27" s="33" t="str">
        <f>IFERROR(VLOOKUP(H27,'[1]Consolidado MP Planta'!$A$2:$M$823,3,0),"")</f>
        <v>BASE CARTON 30 PORCIONES UND</v>
      </c>
      <c r="C27" s="12">
        <f t="shared" ref="C27:C35" si="6">+A27</f>
        <v>1</v>
      </c>
      <c r="D27" s="11" t="str">
        <f>IFERROR(VLOOKUP(H27,'[1]Consolidado MP Planta'!$A$2:$M$823,13,0),"")</f>
        <v>Und</v>
      </c>
      <c r="E27" s="11">
        <v>243.95</v>
      </c>
      <c r="F27" s="11">
        <f t="shared" ref="F27:F35" si="7">IFERROR(C27*E27,"")</f>
        <v>243.95</v>
      </c>
      <c r="G27" s="71">
        <f t="shared" ref="G27:G35" si="8">IFERROR(F27/$F$69,"")</f>
        <v>3.4937229926574248E-2</v>
      </c>
      <c r="H27" s="34" t="s">
        <v>31</v>
      </c>
      <c r="I27" s="34"/>
      <c r="J27" s="72"/>
      <c r="K27" s="175"/>
      <c r="L27" s="175"/>
    </row>
    <row r="28" spans="1:12" ht="13.5" x14ac:dyDescent="0.25">
      <c r="A28" s="29">
        <v>1</v>
      </c>
      <c r="B28" s="33" t="str">
        <f>IFERROR(VLOOKUP(H28,'[1]Consolidado MP Planta'!$A$2:$M$823,3,0),"")</f>
        <v>QUEQUERA RECTANGULAR 1/2 (CAJA:35 UND)</v>
      </c>
      <c r="C28" s="12">
        <f t="shared" si="6"/>
        <v>1</v>
      </c>
      <c r="D28" s="11" t="str">
        <f>IFERROR(VLOOKUP(H28,'[1]Consolidado MP Planta'!$A$2:$M$823,13,0),"")</f>
        <v>Und</v>
      </c>
      <c r="E28" s="11">
        <v>1428</v>
      </c>
      <c r="F28" s="11">
        <f t="shared" si="7"/>
        <v>1428</v>
      </c>
      <c r="G28" s="71">
        <f t="shared" si="8"/>
        <v>0.20451061420433705</v>
      </c>
      <c r="H28" s="34" t="s">
        <v>39</v>
      </c>
      <c r="I28" s="34"/>
      <c r="J28" s="72"/>
      <c r="K28" s="175"/>
      <c r="L28" s="175"/>
    </row>
    <row r="29" spans="1:12" ht="13.5" x14ac:dyDescent="0.25">
      <c r="A29" s="29">
        <v>1</v>
      </c>
      <c r="B29" s="33" t="str">
        <f>IFERROR(VLOOKUP(H29,'[1]Consolidado MP Planta'!$A$2:$M$823,3,0),"")</f>
        <v>ETIQ.FECHA VENCIMIENTO BLANCO (ROLLO)</v>
      </c>
      <c r="C29" s="12">
        <f>+A29</f>
        <v>1</v>
      </c>
      <c r="D29" s="11" t="str">
        <f>IFERROR(VLOOKUP(H29,'[1]Consolidado MP Planta'!$A$2:$M$823,13,0),"")</f>
        <v>Gramos</v>
      </c>
      <c r="E29" s="11">
        <f>IFERROR(VLOOKUP(H29,'[1]Consolidado MP Planta'!$A$2:$M$823,12,0),"")</f>
        <v>0.33333333333333331</v>
      </c>
      <c r="F29" s="11">
        <f>IFERROR(C29*E29,"")</f>
        <v>0.33333333333333331</v>
      </c>
      <c r="G29" s="71">
        <f t="shared" si="8"/>
        <v>4.7738238609789224E-5</v>
      </c>
      <c r="H29" s="34" t="s">
        <v>34</v>
      </c>
      <c r="I29" s="34"/>
      <c r="J29" s="72"/>
      <c r="K29" s="1"/>
      <c r="L29" s="1"/>
    </row>
    <row r="30" spans="1:12" ht="13.5" x14ac:dyDescent="0.25">
      <c r="A30" s="29">
        <v>1</v>
      </c>
      <c r="B30" s="33" t="str">
        <f>IFERROR(VLOOKUP(H30,'[1]Consolidado MP Planta'!$A$2:$M$823,3,0),"")</f>
        <v>ETIQUETA BLANCA 2 5/8X1 15/16 (UND)</v>
      </c>
      <c r="C30" s="12">
        <f>+A30</f>
        <v>1</v>
      </c>
      <c r="D30" s="11" t="str">
        <f>IFERROR(VLOOKUP(H30,'[1]Consolidado MP Planta'!$A$2:$M$823,13,0),"")</f>
        <v>Und</v>
      </c>
      <c r="E30" s="11">
        <f>IFERROR(VLOOKUP(H30,'[1]Consolidado MP Planta'!$A$2:$M$823,12,0),"")</f>
        <v>2.1280000000000001</v>
      </c>
      <c r="F30" s="11">
        <f>IFERROR(C30*E30,"")</f>
        <v>2.1280000000000001</v>
      </c>
      <c r="G30" s="71">
        <f t="shared" si="8"/>
        <v>3.0476091528489448E-4</v>
      </c>
      <c r="H30" s="34" t="s">
        <v>36</v>
      </c>
      <c r="I30" s="34"/>
      <c r="J30" s="72"/>
      <c r="K30" s="1"/>
      <c r="L30" s="1"/>
    </row>
    <row r="31" spans="1:12" ht="13.5" x14ac:dyDescent="0.25">
      <c r="A31" s="29">
        <v>1</v>
      </c>
      <c r="B31" s="33" t="str">
        <f>IFERROR(VLOOKUP(H31,'[1]Consolidado MP Planta'!$A$2:$M$823,3,0),"")</f>
        <v>ETIQUETA BLANCA R-153 (UND)</v>
      </c>
      <c r="C31" s="12">
        <f>+A31</f>
        <v>1</v>
      </c>
      <c r="D31" s="11" t="str">
        <f>IFERROR(VLOOKUP(H31,'[1]Consolidado MP Planta'!$A$2:$M$823,13,0),"")</f>
        <v>Und</v>
      </c>
      <c r="E31" s="11">
        <f>IFERROR(VLOOKUP(H31,'[1]Consolidado MP Planta'!$A$2:$M$823,12,0),"")</f>
        <v>0.39</v>
      </c>
      <c r="F31" s="11">
        <f>IFERROR(C31*E31,"")</f>
        <v>0.39</v>
      </c>
      <c r="G31" s="71">
        <f t="shared" si="8"/>
        <v>5.5853739173453398E-5</v>
      </c>
      <c r="H31" s="34" t="s">
        <v>32</v>
      </c>
      <c r="I31" s="34"/>
      <c r="J31" s="72"/>
      <c r="K31" s="1"/>
      <c r="L31" s="1"/>
    </row>
    <row r="32" spans="1:12" ht="13.5" x14ac:dyDescent="0.25">
      <c r="A32" s="29">
        <v>1</v>
      </c>
      <c r="B32" s="33" t="str">
        <f>IFERROR(VLOOKUP(H32,'[1]Consolidado MP Planta'!$A$2:$M$823,3,0),"")</f>
        <v>ETIQ TORTA GENERICA BUCCA GRANDE (UND)</v>
      </c>
      <c r="C32" s="12">
        <f t="shared" si="6"/>
        <v>1</v>
      </c>
      <c r="D32" s="11" t="str">
        <f>IFERROR(VLOOKUP(H32,'[1]Consolidado MP Planta'!$A$2:$M$823,13,0),"")</f>
        <v>Und</v>
      </c>
      <c r="E32" s="11">
        <f>IFERROR(VLOOKUP(H32,'[1]Consolidado MP Planta'!$A$2:$M$823,12,0),"")</f>
        <v>43.5</v>
      </c>
      <c r="F32" s="11">
        <f t="shared" si="7"/>
        <v>43.5</v>
      </c>
      <c r="G32" s="71">
        <f t="shared" si="8"/>
        <v>6.2298401385774945E-3</v>
      </c>
      <c r="H32" s="34" t="s">
        <v>38</v>
      </c>
      <c r="I32" s="34"/>
      <c r="J32" s="72"/>
      <c r="K32" s="175"/>
      <c r="L32" s="175"/>
    </row>
    <row r="33" spans="1:18" ht="13.5" x14ac:dyDescent="0.25">
      <c r="A33" s="29">
        <v>60</v>
      </c>
      <c r="B33" s="33" t="str">
        <f>IFERROR(VLOOKUP(H33,'[1]Consolidado MP Planta'!$A$2:$M$823,3,0),"")</f>
        <v>CINTA ADHESIVA TRANSPARENT 2*100 M (UND)</v>
      </c>
      <c r="C33" s="12">
        <f t="shared" si="6"/>
        <v>60</v>
      </c>
      <c r="D33" s="11" t="str">
        <f>IFERROR(VLOOKUP(H33,'[1]Consolidado MP Planta'!$A$2:$M$823,13,0),"")</f>
        <v>Cm</v>
      </c>
      <c r="E33" s="11">
        <f>IFERROR(VLOOKUP(H33,'[1]Consolidado MP Planta'!$A$2:$M$823,12,0),"")</f>
        <v>0.17499999999999999</v>
      </c>
      <c r="F33" s="11">
        <f t="shared" si="7"/>
        <v>10.5</v>
      </c>
      <c r="G33" s="71">
        <f t="shared" si="8"/>
        <v>1.5037545162083607E-3</v>
      </c>
      <c r="H33" s="34" t="s">
        <v>117</v>
      </c>
      <c r="I33" s="34"/>
      <c r="J33" s="72"/>
      <c r="K33" s="175"/>
      <c r="L33" s="175"/>
    </row>
    <row r="34" spans="1:18" ht="13.5" x14ac:dyDescent="0.25">
      <c r="A34" s="29"/>
      <c r="B34" s="33" t="str">
        <f>IFERROR(VLOOKUP(H34,'[1]Consolidado MP Planta'!$A$2:$M$823,3,0),"")</f>
        <v/>
      </c>
      <c r="C34" s="12">
        <f t="shared" si="6"/>
        <v>0</v>
      </c>
      <c r="D34" s="11" t="str">
        <f>IFERROR(VLOOKUP(H34,'[1]Consolidado MP Planta'!$A$2:$M$823,13,0),"")</f>
        <v/>
      </c>
      <c r="E34" s="11" t="str">
        <f>IFERROR(VLOOKUP(H34,'[1]Consolidado MP Planta'!$A$2:$M$823,12,0),"")</f>
        <v/>
      </c>
      <c r="F34" s="11" t="str">
        <f t="shared" si="7"/>
        <v/>
      </c>
      <c r="G34" s="71" t="str">
        <f t="shared" si="8"/>
        <v/>
      </c>
      <c r="H34" s="34"/>
      <c r="I34" s="34"/>
      <c r="J34" s="72"/>
      <c r="K34" s="35"/>
      <c r="L34" s="36"/>
    </row>
    <row r="35" spans="1:18" ht="13.5" x14ac:dyDescent="0.25">
      <c r="A35" s="29"/>
      <c r="B35" s="33" t="str">
        <f>IFERROR(VLOOKUP(H35,'[1]Consolidado MP Planta'!$A$2:$M$823,3,0),"")</f>
        <v/>
      </c>
      <c r="C35" s="12">
        <f t="shared" si="6"/>
        <v>0</v>
      </c>
      <c r="D35" s="11" t="str">
        <f>IFERROR(VLOOKUP(H35,'[1]Consolidado MP Planta'!$A$2:$M$823,13,0),"")</f>
        <v/>
      </c>
      <c r="E35" s="11" t="str">
        <f>IFERROR(VLOOKUP(H35,'[1]Consolidado MP Planta'!$A$2:$M$823,12,0),"")</f>
        <v/>
      </c>
      <c r="F35" s="11" t="str">
        <f t="shared" si="7"/>
        <v/>
      </c>
      <c r="G35" s="71" t="str">
        <f t="shared" si="8"/>
        <v/>
      </c>
      <c r="H35" s="34"/>
      <c r="I35" s="34"/>
      <c r="J35" s="72"/>
    </row>
    <row r="36" spans="1:18" ht="14.25" thickBot="1" x14ac:dyDescent="0.3">
      <c r="A36" s="29"/>
      <c r="B36" s="33"/>
      <c r="C36" s="12"/>
      <c r="D36" s="11"/>
      <c r="E36" s="11"/>
      <c r="F36" s="11"/>
      <c r="G36" s="71"/>
      <c r="H36" s="34"/>
      <c r="I36" s="34"/>
      <c r="J36" s="72"/>
    </row>
    <row r="37" spans="1:18" ht="26.25" thickBot="1" x14ac:dyDescent="0.25">
      <c r="A37" s="24" t="s">
        <v>61</v>
      </c>
      <c r="B37" s="25" t="s">
        <v>74</v>
      </c>
      <c r="C37" s="25" t="s">
        <v>61</v>
      </c>
      <c r="D37" s="26" t="s">
        <v>63</v>
      </c>
      <c r="E37" s="26" t="s">
        <v>64</v>
      </c>
      <c r="F37" s="26" t="s">
        <v>65</v>
      </c>
      <c r="G37" s="26" t="s">
        <v>66</v>
      </c>
      <c r="H37" s="27" t="s">
        <v>67</v>
      </c>
      <c r="I37" s="34"/>
      <c r="J37" s="72"/>
      <c r="O37" s="20">
        <f>42492.6/65</f>
        <v>653.7323076923077</v>
      </c>
    </row>
    <row r="38" spans="1:18" ht="13.5" x14ac:dyDescent="0.25">
      <c r="A38" s="29">
        <f t="shared" ref="A38:A44" si="9">+A17</f>
        <v>1</v>
      </c>
      <c r="B38" s="33" t="s">
        <v>118</v>
      </c>
      <c r="C38" s="12">
        <f>+A38</f>
        <v>1</v>
      </c>
      <c r="D38" s="11" t="s">
        <v>112</v>
      </c>
      <c r="E38" s="11">
        <v>16.739999999999998</v>
      </c>
      <c r="F38" s="11">
        <f>IFERROR(E38*C38,"")</f>
        <v>16.739999999999998</v>
      </c>
      <c r="G38" s="71">
        <f t="shared" ref="G38:G44" si="10">IFERROR(F38/$F$69,"")</f>
        <v>2.3974143429836147E-3</v>
      </c>
      <c r="H38" s="34" t="s">
        <v>113</v>
      </c>
      <c r="I38" s="34"/>
      <c r="J38" s="72"/>
      <c r="O38" s="20">
        <f>49990/35</f>
        <v>1428.2857142857142</v>
      </c>
    </row>
    <row r="39" spans="1:18" ht="13.5" x14ac:dyDescent="0.25">
      <c r="A39" s="29">
        <f t="shared" si="9"/>
        <v>300</v>
      </c>
      <c r="B39" s="20" t="s">
        <v>42</v>
      </c>
      <c r="C39" s="12">
        <f t="shared" ref="C39:C44" si="11">+A39</f>
        <v>300</v>
      </c>
      <c r="D39" s="11" t="s">
        <v>69</v>
      </c>
      <c r="E39" s="11">
        <f>+'[5]COSTO CREMA '!$E$76</f>
        <v>0</v>
      </c>
      <c r="F39" s="11">
        <f t="shared" ref="F39:F44" si="12">IFERROR(E39*C39,"")</f>
        <v>0</v>
      </c>
      <c r="G39" s="71">
        <f t="shared" si="10"/>
        <v>0</v>
      </c>
      <c r="H39" s="34"/>
      <c r="I39" s="34"/>
      <c r="J39" s="72"/>
    </row>
    <row r="40" spans="1:18" ht="13.5" x14ac:dyDescent="0.25">
      <c r="A40" s="29">
        <f t="shared" si="9"/>
        <v>90</v>
      </c>
      <c r="B40" s="20" t="s">
        <v>114</v>
      </c>
      <c r="C40" s="12">
        <f t="shared" si="11"/>
        <v>90</v>
      </c>
      <c r="D40" s="11" t="s">
        <v>71</v>
      </c>
      <c r="E40" s="11">
        <f>+'[6]Costo manjar con agua '!$E$76</f>
        <v>0</v>
      </c>
      <c r="F40" s="11">
        <f t="shared" si="12"/>
        <v>0</v>
      </c>
      <c r="G40" s="71">
        <f t="shared" si="10"/>
        <v>0</v>
      </c>
      <c r="H40" s="31">
        <v>905000108</v>
      </c>
      <c r="I40" s="34"/>
      <c r="J40" s="72"/>
      <c r="R40" s="20">
        <f>49990/35</f>
        <v>1428.2857142857142</v>
      </c>
    </row>
    <row r="41" spans="1:18" ht="13.5" x14ac:dyDescent="0.25">
      <c r="A41" s="29">
        <f t="shared" si="9"/>
        <v>300</v>
      </c>
      <c r="B41" s="33" t="str">
        <f>IFERROR(VLOOKUP(H41,[1]SEMIELABORADOS!$A$2:$M$6000,2,0),"")</f>
        <v>CREMA DULCE LECHE KILO</v>
      </c>
      <c r="C41" s="12">
        <f>+A41</f>
        <v>300</v>
      </c>
      <c r="D41" s="11" t="str">
        <f>IFERROR(VLOOKUP(H41,[1]SEMIELABORADOS!$A$2:$M$6000,6,0),"")</f>
        <v>Gramo</v>
      </c>
      <c r="E41" s="11">
        <f>IFERROR(VLOOKUP(H41,[1]SEMIELABORADOS!$A$2:$M$65536,10,0),"")</f>
        <v>8.5119999999999998E-5</v>
      </c>
      <c r="F41" s="11">
        <f>IFERROR(E41*C41,"")</f>
        <v>2.5536E-2</v>
      </c>
      <c r="G41" s="71">
        <f t="shared" si="10"/>
        <v>3.6571309834187332E-6</v>
      </c>
      <c r="H41" s="34" t="s">
        <v>115</v>
      </c>
      <c r="I41" s="34"/>
      <c r="J41" s="72"/>
    </row>
    <row r="42" spans="1:18" ht="13.5" x14ac:dyDescent="0.25">
      <c r="A42" s="29">
        <f t="shared" si="9"/>
        <v>0</v>
      </c>
      <c r="B42" s="33" t="s">
        <v>116</v>
      </c>
      <c r="C42" s="12">
        <f>+A42</f>
        <v>0</v>
      </c>
      <c r="D42" s="11" t="s">
        <v>71</v>
      </c>
      <c r="E42" s="11">
        <v>0</v>
      </c>
      <c r="F42" s="11">
        <f>IFERROR(E42*C42,"")</f>
        <v>0</v>
      </c>
      <c r="G42" s="71">
        <f t="shared" si="10"/>
        <v>0</v>
      </c>
      <c r="H42" s="34"/>
      <c r="I42" s="34"/>
      <c r="J42" s="72"/>
    </row>
    <row r="43" spans="1:18" ht="13.5" x14ac:dyDescent="0.25">
      <c r="A43" s="29">
        <f t="shared" si="9"/>
        <v>90</v>
      </c>
      <c r="B43" s="33" t="str">
        <f>IFERROR(VLOOKUP(H43,[1]SEMIELABORADOS!$A$2:$M$6000,2,0),"")</f>
        <v/>
      </c>
      <c r="C43" s="12">
        <f t="shared" si="11"/>
        <v>90</v>
      </c>
      <c r="D43" s="11" t="str">
        <f>IFERROR(VLOOKUP(H43,[1]SEMIELABORADOS!$A$2:$M$6000,6,0),"")</f>
        <v/>
      </c>
      <c r="E43" s="11" t="str">
        <f>IFERROR(VLOOKUP(H43,[1]SEMIELABORADOS!$A$2:$M$65536,10,0),"")</f>
        <v/>
      </c>
      <c r="F43" s="11" t="str">
        <f t="shared" si="12"/>
        <v/>
      </c>
      <c r="G43" s="71" t="str">
        <f t="shared" si="10"/>
        <v/>
      </c>
      <c r="H43" s="34"/>
      <c r="I43" s="34"/>
      <c r="J43" s="72"/>
    </row>
    <row r="44" spans="1:18" ht="13.5" x14ac:dyDescent="0.25">
      <c r="A44" s="29">
        <f t="shared" si="9"/>
        <v>0</v>
      </c>
      <c r="B44" s="33" t="str">
        <f>IFERROR(VLOOKUP(H44,[1]SEMIELABORADOS!$A$2:$M$6000,2,0),"")</f>
        <v/>
      </c>
      <c r="C44" s="12">
        <f t="shared" si="11"/>
        <v>0</v>
      </c>
      <c r="D44" s="11" t="str">
        <f>IFERROR(VLOOKUP(H44,[1]SEMIELABORADOS!$A$2:$M$6000,6,0),"")</f>
        <v/>
      </c>
      <c r="E44" s="11" t="str">
        <f>IFERROR(VLOOKUP(H44,[1]SEMIELABORADOS!$A$2:$M$65536,10,0),"")</f>
        <v/>
      </c>
      <c r="F44" s="11" t="str">
        <f t="shared" si="12"/>
        <v/>
      </c>
      <c r="G44" s="71" t="str">
        <f t="shared" si="10"/>
        <v/>
      </c>
      <c r="H44" s="34"/>
      <c r="I44" s="34"/>
      <c r="J44" s="72"/>
    </row>
    <row r="45" spans="1:18" ht="14.25" thickBot="1" x14ac:dyDescent="0.3">
      <c r="A45" s="29"/>
      <c r="B45" s="33"/>
      <c r="C45" s="12"/>
      <c r="D45" s="11"/>
      <c r="E45" s="11"/>
      <c r="F45" s="11"/>
      <c r="G45" s="71"/>
      <c r="H45" s="34"/>
      <c r="I45" s="34"/>
      <c r="J45" s="72"/>
    </row>
    <row r="46" spans="1:18" ht="26.25" thickBot="1" x14ac:dyDescent="0.25">
      <c r="A46" s="24" t="s">
        <v>61</v>
      </c>
      <c r="B46" s="25" t="s">
        <v>75</v>
      </c>
      <c r="C46" s="25" t="s">
        <v>61</v>
      </c>
      <c r="D46" s="26" t="s">
        <v>63</v>
      </c>
      <c r="E46" s="26" t="s">
        <v>64</v>
      </c>
      <c r="F46" s="26" t="s">
        <v>65</v>
      </c>
      <c r="G46" s="26" t="s">
        <v>66</v>
      </c>
      <c r="H46" s="27" t="s">
        <v>67</v>
      </c>
      <c r="I46" s="28"/>
      <c r="J46" s="72"/>
    </row>
    <row r="47" spans="1:18" ht="13.5" x14ac:dyDescent="0.25">
      <c r="A47" s="29">
        <f>+A38</f>
        <v>1</v>
      </c>
      <c r="B47" s="33" t="s">
        <v>118</v>
      </c>
      <c r="C47" s="12">
        <f>+A47</f>
        <v>1</v>
      </c>
      <c r="D47" s="11" t="s">
        <v>119</v>
      </c>
      <c r="E47" s="11">
        <v>52.34</v>
      </c>
      <c r="F47" s="11">
        <f>IFERROR(E47*C47,"")</f>
        <v>52.34</v>
      </c>
      <c r="G47" s="71">
        <f>IFERROR(F47/$F$69,"")</f>
        <v>7.4958582265091051E-3</v>
      </c>
      <c r="H47" s="34" t="s">
        <v>113</v>
      </c>
      <c r="I47" s="28"/>
      <c r="J47" s="72"/>
    </row>
    <row r="48" spans="1:18" ht="13.5" x14ac:dyDescent="0.25">
      <c r="A48" s="29">
        <f t="shared" ref="A48:A53" si="13">+A39</f>
        <v>300</v>
      </c>
      <c r="B48" s="20" t="s">
        <v>42</v>
      </c>
      <c r="C48" s="12">
        <f t="shared" ref="C48:C53" si="14">+A48</f>
        <v>300</v>
      </c>
      <c r="D48" s="11" t="s">
        <v>69</v>
      </c>
      <c r="E48" s="11">
        <f>+'[5]COSTO CREMA '!$E$74</f>
        <v>3.0499999999999999E-2</v>
      </c>
      <c r="F48" s="11">
        <f t="shared" ref="F48:F53" si="15">IFERROR(E48*C48,"")</f>
        <v>9.15</v>
      </c>
      <c r="G48" s="71">
        <f t="shared" ref="G48:G53" si="16">IFERROR(F48/$F$69,"")</f>
        <v>1.3104146498387143E-3</v>
      </c>
      <c r="H48" s="34"/>
      <c r="I48" s="28"/>
      <c r="J48" s="72"/>
      <c r="M48" s="6"/>
    </row>
    <row r="49" spans="1:17" ht="13.5" x14ac:dyDescent="0.25">
      <c r="A49" s="29">
        <f t="shared" si="13"/>
        <v>90</v>
      </c>
      <c r="B49" s="20" t="s">
        <v>114</v>
      </c>
      <c r="C49" s="12">
        <f t="shared" si="14"/>
        <v>90</v>
      </c>
      <c r="D49" s="11" t="str">
        <f>IFERROR(VLOOKUP(H49,[1]SEMIELABORADOS!$A$2:$M$6000,6,0),"")</f>
        <v/>
      </c>
      <c r="E49" s="11">
        <f>+'[6]Costo manjar con agua '!$E$74</f>
        <v>0.20333333333333334</v>
      </c>
      <c r="F49" s="11">
        <f t="shared" si="15"/>
        <v>18.3</v>
      </c>
      <c r="G49" s="71">
        <f t="shared" si="16"/>
        <v>2.6208292996774286E-3</v>
      </c>
      <c r="H49" s="31">
        <v>905000108</v>
      </c>
      <c r="I49" s="28"/>
      <c r="J49" s="72"/>
    </row>
    <row r="50" spans="1:17" ht="13.5" x14ac:dyDescent="0.25">
      <c r="A50" s="29">
        <f t="shared" si="13"/>
        <v>300</v>
      </c>
      <c r="B50" s="33" t="str">
        <f>IFERROR(VLOOKUP(H50,[1]SEMIELABORADOS!$A$2:$M$6000,2,0),"")</f>
        <v>CREMA DULCE LECHE KILO</v>
      </c>
      <c r="C50" s="12">
        <f t="shared" si="14"/>
        <v>300</v>
      </c>
      <c r="D50" s="11" t="str">
        <f>IFERROR(VLOOKUP(H50,[1]SEMIELABORADOS!$A$2:$M$6000,6,0),"")</f>
        <v>Gramo</v>
      </c>
      <c r="E50" s="11">
        <v>0.01</v>
      </c>
      <c r="F50" s="11">
        <f t="shared" si="15"/>
        <v>3</v>
      </c>
      <c r="G50" s="71">
        <f t="shared" si="16"/>
        <v>4.2964414748810308E-4</v>
      </c>
      <c r="H50" s="34" t="s">
        <v>115</v>
      </c>
      <c r="I50" s="28"/>
      <c r="J50" s="72"/>
    </row>
    <row r="51" spans="1:17" ht="13.5" x14ac:dyDescent="0.25">
      <c r="A51" s="29">
        <f t="shared" si="13"/>
        <v>0</v>
      </c>
      <c r="B51" s="33" t="s">
        <v>116</v>
      </c>
      <c r="C51" s="12">
        <f t="shared" si="14"/>
        <v>0</v>
      </c>
      <c r="D51" s="11" t="str">
        <f>IFERROR(VLOOKUP(H51,[1]SEMIELABORADOS!$A$2:$M$6000,6,0),"")</f>
        <v/>
      </c>
      <c r="E51" s="11">
        <v>0.03</v>
      </c>
      <c r="F51" s="11">
        <f t="shared" si="15"/>
        <v>0</v>
      </c>
      <c r="G51" s="71">
        <f t="shared" si="16"/>
        <v>0</v>
      </c>
      <c r="H51" s="34"/>
      <c r="I51" s="28"/>
      <c r="J51" s="72"/>
    </row>
    <row r="52" spans="1:17" ht="13.5" hidden="1" x14ac:dyDescent="0.25">
      <c r="A52" s="29">
        <f t="shared" si="13"/>
        <v>90</v>
      </c>
      <c r="B52" s="33" t="str">
        <f>IFERROR(VLOOKUP(H52,[1]SEMIELABORADOS!$A$2:$M$6000,2,0),"")</f>
        <v/>
      </c>
      <c r="C52" s="12">
        <f t="shared" si="14"/>
        <v>90</v>
      </c>
      <c r="D52" s="11" t="str">
        <f>IFERROR(VLOOKUP(H52,[1]SEMIELABORADOS!$A$2:$M$6000,6,0),"")</f>
        <v/>
      </c>
      <c r="E52" s="11" t="str">
        <f>IFERROR(VLOOKUP(H52,[1]SEMIELABORADOS!$A$2:$M$65536,12,0),"")</f>
        <v/>
      </c>
      <c r="F52" s="11" t="str">
        <f t="shared" si="15"/>
        <v/>
      </c>
      <c r="G52" s="71" t="str">
        <f t="shared" si="16"/>
        <v/>
      </c>
      <c r="H52" s="34"/>
      <c r="I52" s="28"/>
      <c r="J52" s="72"/>
    </row>
    <row r="53" spans="1:17" ht="13.5" hidden="1" x14ac:dyDescent="0.25">
      <c r="A53" s="29">
        <f t="shared" si="13"/>
        <v>0</v>
      </c>
      <c r="B53" s="33" t="str">
        <f>IFERROR(VLOOKUP(H53,[1]SEMIELABORADOS!$A$2:$M$6000,2,0),"")</f>
        <v/>
      </c>
      <c r="C53" s="12">
        <f t="shared" si="14"/>
        <v>0</v>
      </c>
      <c r="D53" s="11" t="str">
        <f>IFERROR(VLOOKUP(H53,[1]SEMIELABORADOS!$A$2:$M$6000,6,0),"")</f>
        <v/>
      </c>
      <c r="E53" s="11" t="str">
        <f>IFERROR(VLOOKUP(H53,[1]SEMIELABORADOS!$A$2:$M$65536,12,0),"")</f>
        <v/>
      </c>
      <c r="F53" s="11" t="str">
        <f t="shared" si="15"/>
        <v/>
      </c>
      <c r="G53" s="71" t="str">
        <f t="shared" si="16"/>
        <v/>
      </c>
      <c r="H53" s="33"/>
      <c r="I53" s="28"/>
      <c r="J53" s="72"/>
    </row>
    <row r="54" spans="1:17" ht="13.5" x14ac:dyDescent="0.25">
      <c r="A54" s="29">
        <v>1</v>
      </c>
      <c r="B54" s="33" t="s">
        <v>76</v>
      </c>
      <c r="C54" s="12">
        <f>+A54</f>
        <v>1</v>
      </c>
      <c r="D54" s="12" t="s">
        <v>77</v>
      </c>
      <c r="E54" s="11">
        <f>+F68</f>
        <v>488</v>
      </c>
      <c r="F54" s="11">
        <f>IFERROR(C54*E54,"")</f>
        <v>488</v>
      </c>
      <c r="G54" s="71">
        <f>IFERROR(F54/$F$69,"")</f>
        <v>6.9888781324731433E-2</v>
      </c>
      <c r="H54" s="37"/>
      <c r="I54" s="37"/>
      <c r="J54" s="72"/>
    </row>
    <row r="55" spans="1:17" ht="14.25" thickBot="1" x14ac:dyDescent="0.3">
      <c r="A55" s="29"/>
      <c r="B55" s="33"/>
      <c r="C55" s="12"/>
      <c r="D55" s="12"/>
      <c r="E55" s="11"/>
      <c r="F55" s="11"/>
      <c r="G55" s="71"/>
      <c r="H55" s="37"/>
      <c r="I55" s="37"/>
      <c r="J55" s="72"/>
    </row>
    <row r="56" spans="1:17" ht="13.5" thickBot="1" x14ac:dyDescent="0.25">
      <c r="A56" s="38"/>
      <c r="B56" s="152" t="s">
        <v>78</v>
      </c>
      <c r="C56" s="152"/>
      <c r="D56" s="152"/>
      <c r="E56" s="152"/>
      <c r="F56" s="10">
        <f>SUM(F8:F14,F17:F24)</f>
        <v>4655.839020561496</v>
      </c>
      <c r="G56" s="71">
        <f>+F56/$F$69</f>
        <v>0.66678466227699629</v>
      </c>
      <c r="H56" s="9">
        <f>+F56/$D$63</f>
        <v>4655.839020561496</v>
      </c>
      <c r="I56" s="9"/>
      <c r="J56" s="73"/>
      <c r="K56" s="40"/>
      <c r="L56" s="40"/>
      <c r="M56" s="40"/>
      <c r="N56" s="40"/>
      <c r="O56" s="40"/>
      <c r="P56" s="40"/>
      <c r="Q56" s="41"/>
    </row>
    <row r="57" spans="1:17" x14ac:dyDescent="0.2">
      <c r="A57" s="38"/>
      <c r="B57" s="152" t="s">
        <v>79</v>
      </c>
      <c r="C57" s="152"/>
      <c r="D57" s="152"/>
      <c r="E57" s="152"/>
      <c r="F57" s="10">
        <f>SUM(F27:F35,F38:F44)</f>
        <v>1745.5668693333334</v>
      </c>
      <c r="G57" s="71">
        <f>+F57/$F$69</f>
        <v>0.24999086315273233</v>
      </c>
      <c r="H57" s="9">
        <f>+F57/$D$63</f>
        <v>1745.5668693333334</v>
      </c>
      <c r="I57" s="9"/>
      <c r="J57" s="8"/>
      <c r="K57" s="181" t="s">
        <v>80</v>
      </c>
      <c r="L57" s="182"/>
      <c r="M57" s="182"/>
      <c r="N57" s="182"/>
      <c r="O57" s="7">
        <f>+F58</f>
        <v>6401.4058898948297</v>
      </c>
      <c r="P57" s="7"/>
      <c r="Q57" s="42"/>
    </row>
    <row r="58" spans="1:17" x14ac:dyDescent="0.2">
      <c r="A58" s="38"/>
      <c r="B58" s="152" t="s">
        <v>81</v>
      </c>
      <c r="C58" s="152"/>
      <c r="D58" s="152"/>
      <c r="E58" s="152"/>
      <c r="F58" s="10">
        <f>+F56+F57</f>
        <v>6401.4058898948297</v>
      </c>
      <c r="G58" s="71">
        <f>+F58/$F$69</f>
        <v>0.91677552542972862</v>
      </c>
      <c r="H58" s="9">
        <f>+F58/$D$63</f>
        <v>6401.4058898948297</v>
      </c>
      <c r="I58" s="9"/>
      <c r="J58" s="74"/>
      <c r="K58" s="3"/>
      <c r="M58" s="44" t="s">
        <v>82</v>
      </c>
      <c r="N58" s="45"/>
      <c r="O58" s="7">
        <f>+H59</f>
        <v>570.79</v>
      </c>
      <c r="P58" s="7"/>
      <c r="Q58" s="42"/>
    </row>
    <row r="59" spans="1:17" ht="13.5" thickBot="1" x14ac:dyDescent="0.25">
      <c r="A59" s="38"/>
      <c r="B59" s="2"/>
      <c r="C59" s="152" t="s">
        <v>83</v>
      </c>
      <c r="D59" s="152"/>
      <c r="E59" s="152"/>
      <c r="F59" s="10">
        <f>SUM(F47:F54)</f>
        <v>570.79</v>
      </c>
      <c r="G59" s="71">
        <f>+F59/$F$69</f>
        <v>8.1745527648244776E-2</v>
      </c>
      <c r="H59" s="9">
        <f>+F59/$D$63</f>
        <v>570.79</v>
      </c>
      <c r="I59" s="9"/>
      <c r="J59" s="74"/>
      <c r="K59" s="3"/>
      <c r="L59" s="3"/>
      <c r="M59" s="3" t="s">
        <v>84</v>
      </c>
      <c r="N59" s="75"/>
      <c r="O59" s="7">
        <f>O57*N59</f>
        <v>0</v>
      </c>
      <c r="P59" s="7"/>
      <c r="Q59" s="42"/>
    </row>
    <row r="60" spans="1:17" ht="13.5" thickBot="1" x14ac:dyDescent="0.25">
      <c r="A60" s="38"/>
      <c r="B60" s="5"/>
      <c r="C60" s="5"/>
      <c r="D60" s="5"/>
      <c r="E60" s="5"/>
      <c r="F60" s="81"/>
      <c r="G60" s="71"/>
      <c r="H60" s="82"/>
      <c r="I60" s="9"/>
      <c r="J60" s="74"/>
      <c r="K60" s="47"/>
      <c r="M60" s="48" t="s">
        <v>85</v>
      </c>
      <c r="N60" s="49"/>
      <c r="O60" s="83">
        <f>SUM(O57:O59)</f>
        <v>6972.1958898948296</v>
      </c>
      <c r="P60" s="84"/>
      <c r="Q60" s="42"/>
    </row>
    <row r="61" spans="1:17" x14ac:dyDescent="0.2">
      <c r="B61" s="153" t="s">
        <v>86</v>
      </c>
      <c r="C61" s="153"/>
      <c r="D61" s="85">
        <v>2700</v>
      </c>
      <c r="E61" s="50"/>
      <c r="G61" s="71"/>
      <c r="H61" s="82">
        <f>+H59/61</f>
        <v>9.3572131147540976</v>
      </c>
      <c r="I61" s="86"/>
      <c r="J61" s="74"/>
      <c r="K61" s="47"/>
      <c r="L61" s="3"/>
      <c r="M61" s="3" t="s">
        <v>87</v>
      </c>
      <c r="N61" s="76"/>
      <c r="O61" s="7">
        <f>+H62</f>
        <v>542.71836065573768</v>
      </c>
      <c r="P61" s="7"/>
      <c r="Q61" s="42"/>
    </row>
    <row r="62" spans="1:17" x14ac:dyDescent="0.2">
      <c r="B62" s="153" t="s">
        <v>88</v>
      </c>
      <c r="C62" s="153"/>
      <c r="D62" s="87">
        <v>2700</v>
      </c>
      <c r="E62" s="50"/>
      <c r="G62" s="71"/>
      <c r="H62" s="82">
        <f>+H61*58</f>
        <v>542.71836065573768</v>
      </c>
      <c r="I62" s="86"/>
      <c r="J62" s="74"/>
      <c r="K62" s="47"/>
      <c r="L62" s="3"/>
      <c r="M62" s="155" t="s">
        <v>85</v>
      </c>
      <c r="N62" s="155"/>
      <c r="O62" s="7">
        <f>SUM(O60:O61)</f>
        <v>7514.914250550567</v>
      </c>
      <c r="P62" s="7"/>
      <c r="Q62" s="42"/>
    </row>
    <row r="63" spans="1:17" ht="13.5" thickBot="1" x14ac:dyDescent="0.25">
      <c r="B63" s="156" t="s">
        <v>89</v>
      </c>
      <c r="C63" s="156"/>
      <c r="D63" s="85">
        <f>+D61/D62</f>
        <v>1</v>
      </c>
      <c r="E63" s="50"/>
      <c r="F63" s="52"/>
      <c r="G63" s="71"/>
      <c r="H63" s="82"/>
      <c r="I63" s="86"/>
      <c r="J63" s="74"/>
      <c r="K63" s="47"/>
      <c r="L63" s="155"/>
      <c r="M63" s="155"/>
      <c r="N63" s="76"/>
      <c r="O63" s="7">
        <f>+O62*N63</f>
        <v>0</v>
      </c>
      <c r="P63" s="7"/>
      <c r="Q63" s="42"/>
    </row>
    <row r="64" spans="1:17" ht="13.5" thickBot="1" x14ac:dyDescent="0.25">
      <c r="B64" s="156" t="s">
        <v>90</v>
      </c>
      <c r="C64" s="156"/>
      <c r="D64" s="88"/>
      <c r="E64" s="50"/>
      <c r="F64" s="52"/>
      <c r="G64" s="71"/>
      <c r="H64" s="82"/>
      <c r="I64" s="86"/>
      <c r="J64" s="74"/>
      <c r="K64" s="157" t="s">
        <v>91</v>
      </c>
      <c r="L64" s="158"/>
      <c r="M64" s="158"/>
      <c r="N64" s="159"/>
      <c r="O64" s="83">
        <f>SUM(O62:O63)</f>
        <v>7514.914250550567</v>
      </c>
      <c r="P64" s="89" t="s">
        <v>92</v>
      </c>
      <c r="Q64" s="42"/>
    </row>
    <row r="65" spans="2:17" ht="13.5" thickBot="1" x14ac:dyDescent="0.25">
      <c r="C65" s="38" t="s">
        <v>93</v>
      </c>
      <c r="D65" s="53"/>
      <c r="E65" s="1" t="s">
        <v>94</v>
      </c>
      <c r="F65" s="54" t="s">
        <v>95</v>
      </c>
      <c r="G65" s="71"/>
      <c r="H65" s="82"/>
      <c r="I65" s="86"/>
      <c r="J65" s="55"/>
      <c r="K65" s="56"/>
      <c r="L65" s="161" t="s">
        <v>96</v>
      </c>
      <c r="M65" s="161"/>
      <c r="N65" s="161"/>
      <c r="O65" s="90">
        <f>+O64/D63</f>
        <v>7514.914250550567</v>
      </c>
      <c r="P65" s="91">
        <f>+O65/D62</f>
        <v>2.7833015742779876</v>
      </c>
      <c r="Q65" s="57"/>
    </row>
    <row r="66" spans="2:17" ht="13.5" thickBot="1" x14ac:dyDescent="0.25">
      <c r="B66" s="162" t="s">
        <v>81</v>
      </c>
      <c r="C66" s="162"/>
      <c r="D66" s="162"/>
      <c r="E66" s="77">
        <f>+F66/F66</f>
        <v>1</v>
      </c>
      <c r="F66" s="92">
        <f>SUM(F58)</f>
        <v>6401.4058898948297</v>
      </c>
      <c r="G66" s="71">
        <f>+F66/$F$69</f>
        <v>0.91677552542972862</v>
      </c>
      <c r="H66" s="82"/>
      <c r="I66" s="86"/>
      <c r="K66" s="163"/>
      <c r="L66" s="164"/>
      <c r="M66" s="164"/>
      <c r="N66" s="164"/>
      <c r="O66" s="93"/>
      <c r="P66" s="59"/>
    </row>
    <row r="67" spans="2:17" ht="13.5" thickBot="1" x14ac:dyDescent="0.25">
      <c r="B67" s="165" t="s">
        <v>97</v>
      </c>
      <c r="C67" s="165"/>
      <c r="D67" s="165"/>
      <c r="E67" s="94">
        <v>0.02</v>
      </c>
      <c r="F67" s="92">
        <f>+F56*E67</f>
        <v>93.116780411229925</v>
      </c>
      <c r="G67" s="71">
        <f>+F67/$F$69</f>
        <v>1.3335693245539926E-2</v>
      </c>
      <c r="H67" s="9"/>
      <c r="I67" s="86"/>
      <c r="J67" s="78"/>
      <c r="O67" s="95"/>
      <c r="P67" s="2"/>
    </row>
    <row r="68" spans="2:17" ht="13.5" thickBot="1" x14ac:dyDescent="0.25">
      <c r="B68" s="166" t="s">
        <v>98</v>
      </c>
      <c r="C68" s="167"/>
      <c r="D68" s="61">
        <v>8</v>
      </c>
      <c r="E68" s="96">
        <v>61</v>
      </c>
      <c r="F68" s="92">
        <f>+E68*D68</f>
        <v>488</v>
      </c>
      <c r="G68" s="71">
        <f>+F68/$F$69</f>
        <v>6.9888781324731433E-2</v>
      </c>
      <c r="H68" s="9"/>
      <c r="I68" s="9"/>
      <c r="J68" s="72"/>
    </row>
    <row r="69" spans="2:17" ht="13.5" thickBot="1" x14ac:dyDescent="0.25">
      <c r="B69" s="168" t="s">
        <v>99</v>
      </c>
      <c r="C69" s="169"/>
      <c r="D69" s="169"/>
      <c r="E69" s="170"/>
      <c r="F69" s="81">
        <f>SUM(F66:F68)</f>
        <v>6982.5226703060598</v>
      </c>
      <c r="G69" s="71">
        <f>+F69/$F$69</f>
        <v>1</v>
      </c>
      <c r="H69" s="171"/>
      <c r="I69" s="9"/>
      <c r="J69" s="72"/>
      <c r="M69" s="20" t="s">
        <v>100</v>
      </c>
    </row>
    <row r="70" spans="2:17" x14ac:dyDescent="0.2">
      <c r="C70" s="6"/>
      <c r="D70" s="6"/>
      <c r="E70" s="98"/>
      <c r="F70" s="92"/>
      <c r="G70" s="71"/>
      <c r="H70" s="171"/>
      <c r="I70" s="97"/>
      <c r="J70" s="20"/>
      <c r="M70" s="20" t="s">
        <v>101</v>
      </c>
    </row>
    <row r="71" spans="2:17" ht="13.5" thickBot="1" x14ac:dyDescent="0.25">
      <c r="B71" s="154" t="s">
        <v>102</v>
      </c>
      <c r="C71" s="154"/>
      <c r="D71" s="154"/>
      <c r="E71" s="154"/>
      <c r="F71" s="154"/>
      <c r="G71" s="71"/>
      <c r="H71" s="62"/>
      <c r="I71" s="97"/>
      <c r="J71" s="20"/>
      <c r="M71" s="20" t="s">
        <v>103</v>
      </c>
    </row>
    <row r="72" spans="2:17" ht="13.5" thickBot="1" x14ac:dyDescent="0.25">
      <c r="B72" s="63" t="s">
        <v>104</v>
      </c>
      <c r="C72" s="99">
        <f>+F56</f>
        <v>4655.839020561496</v>
      </c>
      <c r="D72" s="99">
        <f>+D61</f>
        <v>2700</v>
      </c>
      <c r="E72" s="100">
        <f>+C72/D72</f>
        <v>1.7243848224301837</v>
      </c>
      <c r="F72" s="71"/>
      <c r="G72" s="62"/>
      <c r="H72" s="72"/>
      <c r="I72" s="62"/>
      <c r="J72" s="20"/>
    </row>
    <row r="73" spans="2:17" x14ac:dyDescent="0.2">
      <c r="B73" s="64"/>
      <c r="C73" s="101"/>
      <c r="D73" s="102"/>
      <c r="E73" s="92"/>
      <c r="F73" s="71"/>
      <c r="G73" s="62"/>
      <c r="H73" s="72"/>
      <c r="I73" s="72"/>
      <c r="J73" s="20"/>
    </row>
    <row r="74" spans="2:17" x14ac:dyDescent="0.2">
      <c r="B74" s="63" t="s">
        <v>105</v>
      </c>
      <c r="C74" s="99">
        <f>SUM(F66:F67)</f>
        <v>6494.5226703060598</v>
      </c>
      <c r="D74" s="99">
        <f>+D61</f>
        <v>2700</v>
      </c>
      <c r="E74" s="103">
        <f>+C74/D74</f>
        <v>2.4053787667800219</v>
      </c>
      <c r="F74" s="71"/>
      <c r="G74" s="62"/>
      <c r="H74" s="72"/>
      <c r="I74" s="72"/>
      <c r="J74" s="20"/>
    </row>
    <row r="75" spans="2:17" x14ac:dyDescent="0.2">
      <c r="B75" s="63"/>
      <c r="C75" s="99"/>
      <c r="D75" s="99"/>
      <c r="E75" s="103"/>
      <c r="F75" s="71"/>
      <c r="G75" s="62"/>
      <c r="H75" s="72"/>
      <c r="I75" s="72"/>
      <c r="J75" s="20"/>
    </row>
    <row r="76" spans="2:17" ht="13.5" thickBot="1" x14ac:dyDescent="0.25">
      <c r="B76" s="63" t="s">
        <v>106</v>
      </c>
      <c r="C76" s="99">
        <f>+F68</f>
        <v>488</v>
      </c>
      <c r="D76" s="99">
        <f>+D61</f>
        <v>2700</v>
      </c>
      <c r="E76" s="103">
        <f>+C76/D76</f>
        <v>0.18074074074074073</v>
      </c>
      <c r="F76" s="71"/>
      <c r="G76" s="62"/>
      <c r="H76" s="72"/>
      <c r="I76" s="72"/>
      <c r="J76" s="20"/>
    </row>
    <row r="77" spans="2:17" ht="13.5" thickBot="1" x14ac:dyDescent="0.25">
      <c r="B77" s="63" t="s">
        <v>107</v>
      </c>
      <c r="C77" s="99">
        <f>+F59</f>
        <v>570.79</v>
      </c>
      <c r="D77" s="99">
        <f>+D76</f>
        <v>2700</v>
      </c>
      <c r="E77" s="100">
        <f>+C77/D77</f>
        <v>0.21140370370370368</v>
      </c>
      <c r="F77" s="71"/>
      <c r="G77" s="62"/>
      <c r="H77" s="72"/>
      <c r="I77" s="72"/>
      <c r="J77" s="20"/>
    </row>
    <row r="78" spans="2:17" ht="13.5" thickBot="1" x14ac:dyDescent="0.25">
      <c r="B78" s="5"/>
      <c r="C78" s="81"/>
      <c r="D78" s="81"/>
      <c r="E78" s="103"/>
      <c r="F78" s="71"/>
      <c r="G78" s="62"/>
      <c r="H78" s="72"/>
      <c r="I78" s="72"/>
      <c r="J78" s="20"/>
    </row>
    <row r="79" spans="2:17" ht="13.5" thickBot="1" x14ac:dyDescent="0.25">
      <c r="B79" s="63" t="s">
        <v>108</v>
      </c>
      <c r="C79" s="99">
        <f>+F57</f>
        <v>1745.5668693333334</v>
      </c>
      <c r="D79" s="99">
        <f>+D77</f>
        <v>2700</v>
      </c>
      <c r="E79" s="100">
        <f>+C79/D79</f>
        <v>0.64650624790123457</v>
      </c>
      <c r="F79" s="71"/>
      <c r="G79" s="62"/>
      <c r="H79" s="72"/>
      <c r="I79" s="72"/>
      <c r="J79" s="72"/>
    </row>
    <row r="80" spans="2:17" ht="13.5" thickBot="1" x14ac:dyDescent="0.25">
      <c r="B80" s="5"/>
      <c r="C80" s="81"/>
      <c r="D80" s="81"/>
      <c r="E80" s="103"/>
      <c r="F80" s="71"/>
      <c r="G80" s="62"/>
      <c r="H80" s="72"/>
      <c r="I80" s="72"/>
    </row>
    <row r="81" spans="1:10" ht="13.5" thickBot="1" x14ac:dyDescent="0.25">
      <c r="B81" s="172" t="s">
        <v>109</v>
      </c>
      <c r="C81" s="173"/>
      <c r="D81" s="174"/>
      <c r="E81" s="100">
        <f>+E72+E77</f>
        <v>1.9357885261338874</v>
      </c>
      <c r="G81" s="71"/>
      <c r="H81" s="62"/>
      <c r="I81" s="72"/>
      <c r="J81" s="103"/>
    </row>
    <row r="82" spans="1:10" x14ac:dyDescent="0.2">
      <c r="I82" s="62"/>
      <c r="J82" s="20"/>
    </row>
    <row r="83" spans="1:10" ht="13.5" thickBot="1" x14ac:dyDescent="0.25">
      <c r="B83" s="154" t="s">
        <v>110</v>
      </c>
      <c r="C83" s="154"/>
      <c r="D83" s="154"/>
      <c r="E83" s="154"/>
      <c r="F83" s="154"/>
      <c r="G83" s="71"/>
      <c r="H83" s="62"/>
      <c r="J83" s="20"/>
    </row>
    <row r="84" spans="1:10" ht="13.5" thickBot="1" x14ac:dyDescent="0.25">
      <c r="B84" s="63" t="s">
        <v>104</v>
      </c>
      <c r="C84" s="99">
        <f>+C72</f>
        <v>4655.839020561496</v>
      </c>
      <c r="D84" s="99">
        <f>+D63</f>
        <v>1</v>
      </c>
      <c r="E84" s="100">
        <f>+C84/D84</f>
        <v>4655.839020561496</v>
      </c>
      <c r="F84" s="71"/>
      <c r="G84" s="62"/>
      <c r="H84" s="72"/>
      <c r="I84" s="62"/>
      <c r="J84" s="20"/>
    </row>
    <row r="85" spans="1:10" x14ac:dyDescent="0.2">
      <c r="B85" s="64"/>
      <c r="C85" s="101"/>
      <c r="D85" s="102"/>
      <c r="E85" s="92"/>
      <c r="F85" s="71"/>
      <c r="G85" s="62"/>
      <c r="H85" s="72"/>
      <c r="I85" s="72"/>
      <c r="J85" s="20"/>
    </row>
    <row r="86" spans="1:10" x14ac:dyDescent="0.2">
      <c r="B86" s="63" t="s">
        <v>105</v>
      </c>
      <c r="C86" s="99">
        <f>+C74</f>
        <v>6494.5226703060598</v>
      </c>
      <c r="D86" s="99">
        <f>+D63</f>
        <v>1</v>
      </c>
      <c r="E86" s="103">
        <f>+C86/D86</f>
        <v>6494.5226703060598</v>
      </c>
      <c r="F86" s="71"/>
      <c r="G86" s="62"/>
      <c r="H86" s="72"/>
      <c r="I86" s="72"/>
      <c r="J86" s="20"/>
    </row>
    <row r="87" spans="1:10" x14ac:dyDescent="0.2">
      <c r="B87" s="63"/>
      <c r="C87" s="99"/>
      <c r="D87" s="99"/>
      <c r="E87" s="103"/>
      <c r="F87" s="71"/>
      <c r="G87" s="62"/>
      <c r="H87" s="72"/>
      <c r="I87" s="72"/>
      <c r="J87" s="20"/>
    </row>
    <row r="88" spans="1:10" ht="13.5" thickBot="1" x14ac:dyDescent="0.25">
      <c r="B88" s="63" t="s">
        <v>107</v>
      </c>
      <c r="C88" s="99">
        <f>+C76</f>
        <v>488</v>
      </c>
      <c r="D88" s="99">
        <f>+D63</f>
        <v>1</v>
      </c>
      <c r="E88" s="103">
        <f>+C88/D88</f>
        <v>488</v>
      </c>
      <c r="F88" s="104"/>
      <c r="G88" s="4"/>
      <c r="H88" s="19"/>
      <c r="I88" s="72"/>
    </row>
    <row r="89" spans="1:10" ht="13.5" thickBot="1" x14ac:dyDescent="0.25">
      <c r="B89" s="63" t="s">
        <v>107</v>
      </c>
      <c r="C89" s="99">
        <f>+C77</f>
        <v>570.79</v>
      </c>
      <c r="D89" s="99">
        <f>+D88</f>
        <v>1</v>
      </c>
      <c r="E89" s="100">
        <f>+C89/D89</f>
        <v>570.79</v>
      </c>
      <c r="F89" s="79"/>
      <c r="G89" s="4"/>
      <c r="H89" s="19"/>
      <c r="I89" s="19"/>
    </row>
    <row r="90" spans="1:10" x14ac:dyDescent="0.2">
      <c r="I90" s="19"/>
    </row>
    <row r="91" spans="1:10" x14ac:dyDescent="0.2">
      <c r="A91" s="160"/>
      <c r="B91" s="160"/>
      <c r="C91" s="66"/>
      <c r="D91" s="66"/>
      <c r="E91" s="105"/>
      <c r="G91" s="80"/>
    </row>
    <row r="92" spans="1:10" x14ac:dyDescent="0.2">
      <c r="A92" s="33"/>
      <c r="B92" s="68"/>
      <c r="C92" s="106"/>
      <c r="D92" s="106"/>
      <c r="E92" s="69"/>
      <c r="G92" s="80"/>
    </row>
    <row r="93" spans="1:10" x14ac:dyDescent="0.2">
      <c r="A93" s="33"/>
      <c r="B93" s="68"/>
      <c r="C93" s="70"/>
      <c r="D93" s="70"/>
      <c r="E93" s="33"/>
      <c r="G93" s="80"/>
    </row>
    <row r="94" spans="1:10" x14ac:dyDescent="0.2">
      <c r="A94" s="33"/>
      <c r="B94" s="68"/>
      <c r="C94" s="107"/>
      <c r="D94" s="107"/>
      <c r="E94" s="33"/>
      <c r="G94" s="80"/>
    </row>
  </sheetData>
  <mergeCells count="30">
    <mergeCell ref="B71:F71"/>
    <mergeCell ref="B81:D81"/>
    <mergeCell ref="B83:F83"/>
    <mergeCell ref="A91:B91"/>
    <mergeCell ref="L65:N65"/>
    <mergeCell ref="B66:D66"/>
    <mergeCell ref="K66:N66"/>
    <mergeCell ref="B67:D67"/>
    <mergeCell ref="B68:C68"/>
    <mergeCell ref="B69:E69"/>
    <mergeCell ref="M62:N62"/>
    <mergeCell ref="B63:C63"/>
    <mergeCell ref="L63:M63"/>
    <mergeCell ref="B64:C64"/>
    <mergeCell ref="K64:N64"/>
    <mergeCell ref="B58:E58"/>
    <mergeCell ref="C59:E59"/>
    <mergeCell ref="H69:H70"/>
    <mergeCell ref="B61:C61"/>
    <mergeCell ref="B62:C62"/>
    <mergeCell ref="K32:L32"/>
    <mergeCell ref="K33:L33"/>
    <mergeCell ref="B56:E56"/>
    <mergeCell ref="B57:E57"/>
    <mergeCell ref="K57:N57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0736A6FC-1820-4D8E-A193-3C7F7198285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9DDBE0F0-8E4A-4456-BB58-45B1422DF8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28B93A-91AD-4BC3-8A68-0DACD2DAA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728BD22-0478-44E1-A0C1-3C492A0EF298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 Rosquete</vt:lpstr>
      <vt:lpstr>Costo Torta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Allan Brenes</cp:lastModifiedBy>
  <cp:lastPrinted>2025-07-04T15:56:24Z</cp:lastPrinted>
  <dcterms:created xsi:type="dcterms:W3CDTF">2012-05-10T22:32:20Z</dcterms:created>
  <dcterms:modified xsi:type="dcterms:W3CDTF">2025-07-04T15:57:29Z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0x010100E1DF258302BAD947995E970AB7340BA0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lpwstr>186000.000000000</vt:lpwstr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</Properties>
</file>
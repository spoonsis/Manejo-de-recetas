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2" documentId="8_{E89336A7-A07D-47DA-98A6-922EC6EE94D5}" xr6:coauthVersionLast="47" xr6:coauthVersionMax="47" xr10:uidLastSave="{46B68AE7-7C60-40D8-92D8-10F66093DA83}"/>
  <bookViews>
    <workbookView xWindow="-120" yWindow="-120" windowWidth="29040" windowHeight="15840" xr2:uid="{814A399E-2F95-406E-AE2F-6D5080492FD3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2" l="1"/>
</calcChain>
</file>

<file path=xl/sharedStrings.xml><?xml version="1.0" encoding="utf-8"?>
<sst xmlns="http://schemas.openxmlformats.org/spreadsheetml/2006/main" count="124" uniqueCount="96">
  <si>
    <t>ESPECIFICACION DE RECETA</t>
  </si>
  <si>
    <t>Esteban Cartin, Gte Manufactura</t>
  </si>
  <si>
    <t>AREA QUE PRODUCE:</t>
  </si>
  <si>
    <t>Decoracion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</si>
  <si>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</si>
  <si>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</si>
  <si>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</si>
  <si>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</si>
  <si>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</si>
  <si>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</si>
  <si>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</si>
  <si>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</si>
  <si>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</si>
  <si>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 xml:space="preserve"> ROSQUETE CHOCOLATE DAWN 280g</t>
  </si>
  <si>
    <t>FAS</t>
  </si>
  <si>
    <t>g</t>
  </si>
  <si>
    <t>Ensamble</t>
  </si>
  <si>
    <t>EMPAQUE FUDGE DE CHOCOLATE SPOON</t>
  </si>
  <si>
    <t>Decoración</t>
  </si>
  <si>
    <t>Empaque</t>
  </si>
  <si>
    <t>ud</t>
  </si>
  <si>
    <t>ETIQUETA IMP. SPOON MEDIANA V-273</t>
  </si>
  <si>
    <t>CINTA ADHESIVA TRANSPARENT 2*100 M (UND)</t>
  </si>
  <si>
    <t>MAYCA</t>
  </si>
  <si>
    <t>dm</t>
  </si>
  <si>
    <t>ETIQUETA BLANCA R-153 (UND)</t>
  </si>
  <si>
    <t>CEMUSA</t>
  </si>
  <si>
    <t>ETIPLAST</t>
  </si>
  <si>
    <t>ETIQUETA BLANCA 2 5/8X1 15/16 (UND)</t>
  </si>
  <si>
    <t>Unidad</t>
  </si>
  <si>
    <t>TIEMPO TOTAL DE PREPARACION</t>
  </si>
  <si>
    <t>PESO TOTAL OBTENIDO</t>
  </si>
  <si>
    <t>MERMA</t>
  </si>
  <si>
    <t>PROCEDIMIENTO DE PREPARACION DE LA  RECETA</t>
  </si>
  <si>
    <t>2.-  Encremar la torta con el relleno de fudge de chocolate, pasar el peine por los costados</t>
  </si>
  <si>
    <t>CONTROL DE CAMBIOS</t>
  </si>
  <si>
    <t>Tiempo de Horneo:</t>
  </si>
  <si>
    <t>CANTIDAD DE PORCIONES OBTENIDAS</t>
  </si>
  <si>
    <t>Torta</t>
  </si>
  <si>
    <t>Temperatura de Horneo:</t>
  </si>
  <si>
    <t>PESO DE CADA PORCIÓN</t>
  </si>
  <si>
    <t>Otros</t>
  </si>
  <si>
    <t>4.- Colocar la torta dentro del domo, nombre del producto y codigo de barras, fecha juliana y fecha de vencimiento, el local coloca en punto de venta etiqueta Spoon</t>
  </si>
  <si>
    <t>1950808</t>
  </si>
  <si>
    <t>RAPIBOX</t>
  </si>
  <si>
    <t>UD</t>
  </si>
  <si>
    <t xml:space="preserve">MANJAR DE LECHE CONDENSADA </t>
  </si>
  <si>
    <t>NESTLÉ</t>
  </si>
  <si>
    <t>GANACHE CHOCOLATE OSCURO (KILO)</t>
  </si>
  <si>
    <t>CONEXU</t>
  </si>
  <si>
    <t>CHOCOLATE RALLADO OSCURO</t>
  </si>
  <si>
    <t>SE00040</t>
  </si>
  <si>
    <t>SE00337</t>
  </si>
  <si>
    <t>MP10007</t>
  </si>
  <si>
    <t>SE00001</t>
  </si>
  <si>
    <t>SE00392</t>
  </si>
  <si>
    <t>EM10024</t>
  </si>
  <si>
    <t>EM10248</t>
  </si>
  <si>
    <t>EM10124</t>
  </si>
  <si>
    <t>EM10002</t>
  </si>
  <si>
    <t>EM10025</t>
  </si>
  <si>
    <t>EM10011</t>
  </si>
  <si>
    <t>MP10011</t>
  </si>
  <si>
    <t>STICK DORADO (CAJA:100 UND)</t>
  </si>
  <si>
    <t>0,5</t>
  </si>
  <si>
    <t>0702069</t>
  </si>
  <si>
    <t>1.- Partir el rosquete por la  mitad,se utilizaran  1 1/2 unidades. Rellenar cada capa  con 1/3 taza de manjar y 1/4 taza de fudge</t>
  </si>
  <si>
    <t>EM10021</t>
  </si>
  <si>
    <t>QUEQUERA BASE CON DOMO 9 ALTA (CAJA: 50)</t>
  </si>
  <si>
    <t>SERVICIOS DE PASTELERIA S.A.</t>
  </si>
  <si>
    <t>CÓDIGO:</t>
  </si>
  <si>
    <t>REVISIÓN:</t>
  </si>
  <si>
    <t>FECHA DE APROBACIÓN:</t>
  </si>
  <si>
    <t>Elaborado</t>
  </si>
  <si>
    <t>Javier Tong, Chef</t>
  </si>
  <si>
    <t>Aprobado</t>
  </si>
  <si>
    <t># Código Netsuite</t>
  </si>
  <si>
    <t>Medida alternativa</t>
  </si>
  <si>
    <t>1 1/2 UND</t>
  </si>
  <si>
    <t>1/3 TAZA</t>
  </si>
  <si>
    <t>1/4 TAZA</t>
  </si>
  <si>
    <t>COLOCHO BOQUILLA 61</t>
  </si>
  <si>
    <t>CHOCOLATE SOLUTIONS</t>
  </si>
  <si>
    <t>LITOGRAFIA CR</t>
  </si>
  <si>
    <t>ETIQ.BLANCA 1 1/4 * 3/4</t>
  </si>
  <si>
    <t xml:space="preserve">ORLA CARTON  8" DORADA </t>
  </si>
  <si>
    <t>ESP-RE-DES-031</t>
  </si>
  <si>
    <t>2, Se actualiza datos ingredientes de receta</t>
  </si>
  <si>
    <t>1/8 TAZA</t>
  </si>
  <si>
    <t>1 CUCHARADITA</t>
  </si>
  <si>
    <t>minutos</t>
  </si>
  <si>
    <t>Horno</t>
  </si>
  <si>
    <t>3.- Agregar el ganache en el centro con ayuda de una espatula Y realizar un colocho de manjar acorde a la fotografia, agregar el chocolate rallado ( 1 cucharadita ).  Decorar con 1/2  stick dorado.</t>
  </si>
  <si>
    <t xml:space="preserve">3, Se actualizan datos recetas </t>
  </si>
  <si>
    <t>3</t>
  </si>
  <si>
    <t xml:space="preserve"> Torta Chocolate Pequeña (730g) Spoon  75034(PTI00002) (Ind)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</si>
</sst>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00"/>
    <numFmt numFmtId="168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62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" fillId="0" borderId="0"/>
    <xf numFmtId="0" fontId="5" fillId="0" borderId="0">
      <alignment vertical="top"/>
    </xf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91">
    <xf numFmtId="0" fontId="0" fillId="0" borderId="0" xfId="0"/>
    <xf numFmtId="0" fontId="8" fillId="0" borderId="0" xfId="0" applyFont="1"/>
    <xf numFmtId="0" fontId="10" fillId="2" borderId="2" xfId="2" applyFont="1" applyFill="1" applyBorder="1" applyAlignment="1">
      <alignment horizontal="right"/>
    </xf>
    <xf numFmtId="0" fontId="9" fillId="2" borderId="3" xfId="2" applyFont="1" applyFill="1" applyBorder="1" applyAlignment="1">
      <alignment horizontal="center"/>
    </xf>
    <xf numFmtId="0" fontId="10" fillId="2" borderId="5" xfId="2" applyFont="1" applyFill="1" applyBorder="1" applyAlignment="1">
      <alignment horizontal="right"/>
    </xf>
    <xf numFmtId="49" fontId="9" fillId="2" borderId="6" xfId="2" applyNumberFormat="1" applyFont="1" applyFill="1" applyBorder="1" applyAlignment="1">
      <alignment horizontal="center"/>
    </xf>
    <xf numFmtId="0" fontId="9" fillId="2" borderId="16" xfId="2" applyFont="1" applyFill="1" applyBorder="1" applyAlignment="1">
      <alignment horizontal="right"/>
    </xf>
    <xf numFmtId="0" fontId="9" fillId="2" borderId="5" xfId="2" applyFont="1" applyFill="1" applyBorder="1" applyAlignment="1">
      <alignment horizontal="right"/>
    </xf>
    <xf numFmtId="14" fontId="12" fillId="2" borderId="0" xfId="2" applyNumberFormat="1" applyFont="1" applyFill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1" fontId="10" fillId="3" borderId="14" xfId="1" applyNumberFormat="1" applyFont="1" applyFill="1" applyBorder="1" applyAlignment="1">
      <alignment horizontal="center"/>
    </xf>
    <xf numFmtId="1" fontId="10" fillId="3" borderId="14" xfId="1" applyNumberFormat="1" applyFont="1" applyFill="1" applyBorder="1" applyAlignment="1">
      <alignment horizontal="center" wrapText="1"/>
    </xf>
    <xf numFmtId="0" fontId="10" fillId="3" borderId="15" xfId="1" applyFont="1" applyFill="1" applyBorder="1" applyAlignment="1">
      <alignment horizontal="center"/>
    </xf>
    <xf numFmtId="0" fontId="13" fillId="0" borderId="29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/>
    </xf>
    <xf numFmtId="1" fontId="13" fillId="0" borderId="5" xfId="1" applyNumberFormat="1" applyFont="1" applyBorder="1" applyAlignment="1">
      <alignment horizontal="center" wrapText="1"/>
    </xf>
    <xf numFmtId="0" fontId="15" fillId="0" borderId="6" xfId="1" applyFont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16" xfId="0" applyFont="1" applyFill="1" applyBorder="1"/>
    <xf numFmtId="0" fontId="9" fillId="4" borderId="4" xfId="0" applyFont="1" applyFill="1" applyBorder="1" applyAlignment="1">
      <alignment horizontal="center"/>
    </xf>
    <xf numFmtId="1" fontId="9" fillId="4" borderId="5" xfId="0" applyNumberFormat="1" applyFont="1" applyFill="1" applyBorder="1" applyAlignment="1">
      <alignment horizontal="center"/>
    </xf>
    <xf numFmtId="1" fontId="9" fillId="4" borderId="5" xfId="0" applyNumberFormat="1" applyFont="1" applyFill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12" fontId="9" fillId="0" borderId="16" xfId="0" applyNumberFormat="1" applyFont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5" xfId="0" applyFont="1" applyFill="1" applyBorder="1"/>
    <xf numFmtId="1" fontId="9" fillId="4" borderId="16" xfId="0" applyNumberFormat="1" applyFont="1" applyFill="1" applyBorder="1" applyAlignment="1">
      <alignment horizontal="center"/>
    </xf>
    <xf numFmtId="1" fontId="9" fillId="4" borderId="16" xfId="0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6" borderId="5" xfId="0" applyFont="1" applyFill="1" applyBorder="1"/>
    <xf numFmtId="0" fontId="9" fillId="0" borderId="5" xfId="0" applyFont="1" applyBorder="1" applyAlignment="1">
      <alignment horizontal="center" wrapText="1"/>
    </xf>
    <xf numFmtId="0" fontId="17" fillId="6" borderId="0" xfId="0" applyFont="1" applyFill="1" applyAlignment="1">
      <alignment horizontal="center"/>
    </xf>
    <xf numFmtId="0" fontId="17" fillId="6" borderId="0" xfId="0" applyFont="1" applyFill="1"/>
    <xf numFmtId="0" fontId="10" fillId="6" borderId="5" xfId="0" applyFont="1" applyFill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16" fontId="15" fillId="0" borderId="4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 wrapText="1"/>
    </xf>
    <xf numFmtId="49" fontId="15" fillId="0" borderId="29" xfId="1" applyNumberFormat="1" applyFont="1" applyBorder="1" applyAlignment="1">
      <alignment horizontal="center"/>
    </xf>
    <xf numFmtId="49" fontId="15" fillId="0" borderId="4" xfId="1" applyNumberFormat="1" applyFont="1" applyBorder="1" applyAlignment="1">
      <alignment horizontal="center"/>
    </xf>
    <xf numFmtId="0" fontId="13" fillId="4" borderId="5" xfId="1" applyFont="1" applyFill="1" applyBorder="1" applyAlignment="1">
      <alignment horizontal="left"/>
    </xf>
    <xf numFmtId="0" fontId="15" fillId="0" borderId="5" xfId="1" applyFont="1" applyBorder="1" applyAlignment="1">
      <alignment horizontal="center"/>
    </xf>
    <xf numFmtId="166" fontId="15" fillId="0" borderId="5" xfId="1" applyNumberFormat="1" applyFont="1" applyBorder="1" applyAlignment="1">
      <alignment horizontal="center"/>
    </xf>
    <xf numFmtId="1" fontId="15" fillId="0" borderId="5" xfId="1" applyNumberFormat="1" applyFont="1" applyBorder="1" applyAlignment="1">
      <alignment horizontal="center" wrapText="1"/>
    </xf>
    <xf numFmtId="0" fontId="16" fillId="4" borderId="30" xfId="0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4" borderId="5" xfId="1" applyNumberFormat="1" applyFont="1" applyFill="1" applyBorder="1" applyAlignment="1">
      <alignment horizontal="center"/>
    </xf>
    <xf numFmtId="1" fontId="9" fillId="4" borderId="5" xfId="1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16" fontId="9" fillId="4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" fontId="9" fillId="0" borderId="16" xfId="0" applyNumberFormat="1" applyFont="1" applyBorder="1" applyAlignment="1">
      <alignment horizontal="center" wrapText="1"/>
    </xf>
    <xf numFmtId="16" fontId="9" fillId="0" borderId="5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13" fillId="0" borderId="27" xfId="1" applyNumberFormat="1" applyFont="1" applyBorder="1" applyAlignment="1">
      <alignment horizontal="center"/>
    </xf>
    <xf numFmtId="49" fontId="13" fillId="0" borderId="19" xfId="1" applyNumberFormat="1" applyFont="1" applyBorder="1" applyAlignment="1">
      <alignment horizontal="center"/>
    </xf>
    <xf numFmtId="0" fontId="14" fillId="4" borderId="5" xfId="1" applyFont="1" applyFill="1" applyBorder="1" applyAlignment="1">
      <alignment vertical="center"/>
    </xf>
    <xf numFmtId="0" fontId="13" fillId="0" borderId="4" xfId="1" applyFont="1" applyBorder="1" applyAlignment="1">
      <alignment horizontal="center"/>
    </xf>
    <xf numFmtId="166" fontId="13" fillId="0" borderId="5" xfId="1" applyNumberFormat="1" applyFont="1" applyBorder="1" applyAlignment="1">
      <alignment horizontal="center"/>
    </xf>
    <xf numFmtId="49" fontId="15" fillId="0" borderId="5" xfId="1" applyNumberFormat="1" applyFont="1" applyBorder="1"/>
    <xf numFmtId="49" fontId="15" fillId="0" borderId="5" xfId="1" applyNumberFormat="1" applyFont="1" applyBorder="1" applyAlignment="1">
      <alignment horizontal="center"/>
    </xf>
    <xf numFmtId="1" fontId="15" fillId="0" borderId="5" xfId="1" applyNumberFormat="1" applyFont="1" applyBorder="1" applyAlignment="1">
      <alignment horizontal="center"/>
    </xf>
    <xf numFmtId="168" fontId="10" fillId="4" borderId="5" xfId="161" applyNumberFormat="1" applyFont="1" applyFill="1" applyBorder="1" applyAlignment="1">
      <alignment horizontal="center"/>
    </xf>
    <xf numFmtId="16" fontId="15" fillId="0" borderId="5" xfId="1" applyNumberFormat="1" applyFont="1" applyBorder="1" applyAlignment="1">
      <alignment horizontal="center"/>
    </xf>
    <xf numFmtId="1" fontId="9" fillId="0" borderId="16" xfId="1" applyNumberFormat="1" applyFont="1" applyBorder="1" applyAlignment="1">
      <alignment horizontal="center"/>
    </xf>
    <xf numFmtId="0" fontId="9" fillId="0" borderId="16" xfId="1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1" fontId="18" fillId="0" borderId="5" xfId="0" applyNumberFormat="1" applyFont="1" applyBorder="1" applyAlignment="1">
      <alignment horizontal="left" vertical="center"/>
    </xf>
    <xf numFmtId="12" fontId="15" fillId="0" borderId="5" xfId="1" applyNumberFormat="1" applyFont="1" applyBorder="1" applyAlignment="1">
      <alignment horizontal="center"/>
    </xf>
    <xf numFmtId="0" fontId="15" fillId="4" borderId="29" xfId="0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1" fontId="15" fillId="4" borderId="5" xfId="0" applyNumberFormat="1" applyFont="1" applyFill="1" applyBorder="1"/>
    <xf numFmtId="0" fontId="15" fillId="4" borderId="5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 wrapText="1"/>
    </xf>
    <xf numFmtId="49" fontId="20" fillId="2" borderId="36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7" fontId="9" fillId="2" borderId="0" xfId="1" applyNumberFormat="1" applyFont="1" applyFill="1" applyAlignment="1">
      <alignment horizontal="center" wrapText="1"/>
    </xf>
    <xf numFmtId="0" fontId="9" fillId="2" borderId="43" xfId="1" applyFont="1" applyFill="1" applyBorder="1" applyAlignment="1">
      <alignment horizontal="center"/>
    </xf>
    <xf numFmtId="0" fontId="9" fillId="3" borderId="21" xfId="1" applyFont="1" applyFill="1" applyBorder="1" applyAlignment="1">
      <alignment horizontal="center"/>
    </xf>
    <xf numFmtId="0" fontId="9" fillId="3" borderId="22" xfId="1" applyFont="1" applyFill="1" applyBorder="1" applyAlignment="1">
      <alignment horizontal="center"/>
    </xf>
    <xf numFmtId="0" fontId="9" fillId="3" borderId="22" xfId="1" applyFont="1" applyFill="1" applyBorder="1"/>
    <xf numFmtId="0" fontId="10" fillId="3" borderId="22" xfId="1" applyFont="1" applyFill="1" applyBorder="1" applyAlignment="1">
      <alignment horizontal="center"/>
    </xf>
    <xf numFmtId="1" fontId="10" fillId="3" borderId="22" xfId="1" applyNumberFormat="1" applyFont="1" applyFill="1" applyBorder="1" applyAlignment="1">
      <alignment horizontal="center"/>
    </xf>
    <xf numFmtId="167" fontId="9" fillId="3" borderId="22" xfId="1" applyNumberFormat="1" applyFont="1" applyFill="1" applyBorder="1" applyAlignment="1">
      <alignment horizontal="center" wrapText="1"/>
    </xf>
    <xf numFmtId="0" fontId="9" fillId="3" borderId="23" xfId="1" applyFont="1" applyFill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18" xfId="1" applyFont="1" applyBorder="1"/>
    <xf numFmtId="0" fontId="9" fillId="0" borderId="5" xfId="1" applyFont="1" applyBorder="1"/>
    <xf numFmtId="0" fontId="9" fillId="0" borderId="20" xfId="1" applyFont="1" applyBorder="1"/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4" fontId="9" fillId="2" borderId="7" xfId="2" applyNumberFormat="1" applyFont="1" applyFill="1" applyBorder="1" applyAlignment="1">
      <alignment horizontal="center" vertical="center" wrapText="1"/>
    </xf>
    <xf numFmtId="14" fontId="9" fillId="2" borderId="8" xfId="2" applyNumberFormat="1" applyFont="1" applyFill="1" applyBorder="1" applyAlignment="1">
      <alignment horizontal="center" vertical="center" wrapText="1"/>
    </xf>
    <xf numFmtId="14" fontId="9" fillId="2" borderId="17" xfId="2" applyNumberFormat="1" applyFont="1" applyFill="1" applyBorder="1" applyAlignment="1">
      <alignment horizontal="center" vertical="center" wrapText="1"/>
    </xf>
    <xf numFmtId="0" fontId="9" fillId="2" borderId="38" xfId="2" applyFont="1" applyFill="1" applyBorder="1" applyAlignment="1">
      <alignment horizontal="left"/>
    </xf>
    <xf numFmtId="0" fontId="9" fillId="2" borderId="39" xfId="2" applyFont="1" applyFill="1" applyBorder="1" applyAlignment="1">
      <alignment horizontal="left"/>
    </xf>
    <xf numFmtId="0" fontId="9" fillId="2" borderId="1" xfId="2" applyFont="1" applyFill="1" applyBorder="1" applyAlignment="1">
      <alignment horizontal="left"/>
    </xf>
    <xf numFmtId="0" fontId="9" fillId="2" borderId="18" xfId="2" applyFont="1" applyFill="1" applyBorder="1" applyAlignment="1">
      <alignment horizontal="left"/>
    </xf>
    <xf numFmtId="0" fontId="9" fillId="2" borderId="19" xfId="2" applyFont="1" applyFill="1" applyBorder="1" applyAlignment="1">
      <alignment horizontal="left"/>
    </xf>
    <xf numFmtId="0" fontId="9" fillId="2" borderId="4" xfId="2" applyFont="1" applyFill="1" applyBorder="1" applyAlignment="1">
      <alignment horizontal="left"/>
    </xf>
    <xf numFmtId="0" fontId="9" fillId="2" borderId="34" xfId="2" applyFont="1" applyFill="1" applyBorder="1" applyAlignment="1">
      <alignment horizontal="center"/>
    </xf>
    <xf numFmtId="0" fontId="9" fillId="2" borderId="35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4" xfId="2" applyFont="1" applyFill="1" applyBorder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10" fillId="2" borderId="2" xfId="2" applyFont="1" applyFill="1" applyBorder="1" applyAlignment="1">
      <alignment horizontal="center"/>
    </xf>
    <xf numFmtId="0" fontId="10" fillId="2" borderId="32" xfId="2" applyFont="1" applyFill="1" applyBorder="1" applyAlignment="1">
      <alignment horizontal="center"/>
    </xf>
    <xf numFmtId="0" fontId="10" fillId="2" borderId="9" xfId="2" applyFont="1" applyFill="1" applyBorder="1" applyAlignment="1">
      <alignment horizontal="center"/>
    </xf>
    <xf numFmtId="0" fontId="10" fillId="2" borderId="33" xfId="2" applyFont="1" applyFill="1" applyBorder="1" applyAlignment="1">
      <alignment horizontal="center"/>
    </xf>
    <xf numFmtId="0" fontId="11" fillId="5" borderId="19" xfId="2" applyFont="1" applyFill="1" applyBorder="1" applyAlignment="1">
      <alignment horizontal="center" vertical="center" wrapText="1"/>
    </xf>
    <xf numFmtId="0" fontId="11" fillId="5" borderId="4" xfId="2" applyFont="1" applyFill="1" applyBorder="1" applyAlignment="1">
      <alignment horizontal="center" vertical="center" wrapText="1"/>
    </xf>
    <xf numFmtId="0" fontId="10" fillId="2" borderId="37" xfId="2" applyFont="1" applyFill="1" applyBorder="1" applyAlignment="1">
      <alignment horizontal="right" vertical="top" wrapText="1"/>
    </xf>
    <xf numFmtId="0" fontId="10" fillId="2" borderId="40" xfId="2" applyFont="1" applyFill="1" applyBorder="1" applyAlignment="1">
      <alignment horizontal="right" vertical="top" wrapText="1"/>
    </xf>
    <xf numFmtId="0" fontId="10" fillId="2" borderId="41" xfId="2" applyFont="1" applyFill="1" applyBorder="1" applyAlignment="1">
      <alignment horizontal="right" vertical="top" wrapText="1"/>
    </xf>
    <xf numFmtId="0" fontId="7" fillId="2" borderId="0" xfId="2" applyFont="1" applyFill="1" applyAlignment="1">
      <alignment horizontal="right"/>
    </xf>
    <xf numFmtId="0" fontId="12" fillId="2" borderId="10" xfId="2" applyFont="1" applyFill="1" applyBorder="1" applyAlignment="1">
      <alignment horizontal="center"/>
    </xf>
    <xf numFmtId="0" fontId="7" fillId="2" borderId="0" xfId="2" applyFont="1" applyFill="1"/>
    <xf numFmtId="0" fontId="10" fillId="3" borderId="12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10" fillId="0" borderId="24" xfId="1" applyFont="1" applyBorder="1" applyAlignment="1">
      <alignment horizontal="right"/>
    </xf>
    <xf numFmtId="0" fontId="10" fillId="0" borderId="25" xfId="1" applyFont="1" applyBorder="1" applyAlignment="1">
      <alignment horizontal="right"/>
    </xf>
    <xf numFmtId="0" fontId="10" fillId="0" borderId="30" xfId="1" applyFont="1" applyBorder="1" applyAlignment="1">
      <alignment horizontal="right"/>
    </xf>
    <xf numFmtId="167" fontId="9" fillId="0" borderId="16" xfId="1" applyNumberFormat="1" applyFont="1" applyBorder="1" applyAlignment="1">
      <alignment horizontal="right"/>
    </xf>
    <xf numFmtId="0" fontId="9" fillId="2" borderId="31" xfId="1" applyFont="1" applyFill="1" applyBorder="1" applyAlignment="1">
      <alignment horizontal="center"/>
    </xf>
    <xf numFmtId="0" fontId="9" fillId="2" borderId="26" xfId="1" applyFont="1" applyFill="1" applyBorder="1" applyAlignment="1">
      <alignment horizontal="center"/>
    </xf>
    <xf numFmtId="0" fontId="10" fillId="0" borderId="27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0" fontId="10" fillId="0" borderId="4" xfId="1" applyFont="1" applyBorder="1" applyAlignment="1">
      <alignment horizontal="right"/>
    </xf>
    <xf numFmtId="0" fontId="9" fillId="0" borderId="27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5" xfId="1" applyFont="1" applyBorder="1" applyAlignment="1">
      <alignment horizontal="right"/>
    </xf>
    <xf numFmtId="167" fontId="9" fillId="0" borderId="18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  <xf numFmtId="167" fontId="9" fillId="0" borderId="18" xfId="1" applyNumberFormat="1" applyFont="1" applyBorder="1" applyAlignment="1">
      <alignment horizontal="right" wrapText="1"/>
    </xf>
    <xf numFmtId="167" fontId="9" fillId="0" borderId="4" xfId="1" applyNumberFormat="1" applyFont="1" applyBorder="1" applyAlignment="1">
      <alignment horizontal="right" wrapText="1"/>
    </xf>
    <xf numFmtId="167" fontId="9" fillId="0" borderId="18" xfId="0" applyNumberFormat="1" applyFont="1" applyBorder="1" applyAlignment="1">
      <alignment horizontal="center" wrapText="1"/>
    </xf>
    <xf numFmtId="167" fontId="9" fillId="0" borderId="20" xfId="0" applyNumberFormat="1" applyFont="1" applyBorder="1" applyAlignment="1">
      <alignment horizontal="center" wrapText="1"/>
    </xf>
    <xf numFmtId="0" fontId="10" fillId="0" borderId="13" xfId="1" applyFont="1" applyBorder="1" applyAlignment="1">
      <alignment horizontal="right"/>
    </xf>
    <xf numFmtId="0" fontId="10" fillId="0" borderId="3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0" fontId="10" fillId="3" borderId="21" xfId="1" applyFont="1" applyFill="1" applyBorder="1" applyAlignment="1">
      <alignment horizontal="left"/>
    </xf>
    <xf numFmtId="0" fontId="10" fillId="3" borderId="22" xfId="1" applyFont="1" applyFill="1" applyBorder="1" applyAlignment="1">
      <alignment horizontal="left"/>
    </xf>
    <xf numFmtId="0" fontId="10" fillId="3" borderId="23" xfId="1" applyFont="1" applyFill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0" fillId="7" borderId="44" xfId="2" applyFont="1" applyFill="1" applyBorder="1" applyAlignment="1">
      <alignment horizontal="center"/>
    </xf>
    <xf numFmtId="0" fontId="10" fillId="7" borderId="35" xfId="2" applyFont="1" applyFill="1" applyBorder="1" applyAlignment="1">
      <alignment horizontal="center"/>
    </xf>
    <xf numFmtId="0" fontId="9" fillId="0" borderId="27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15" fillId="0" borderId="24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4" xfId="0" applyFont="1" applyBorder="1" applyAlignment="1">
      <alignment horizontal="left" wrapText="1"/>
    </xf>
    <xf numFmtId="0" fontId="9" fillId="0" borderId="2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1" xfId="0" applyFont="1" applyBorder="1" applyAlignment="1">
      <alignment horizontal="left"/>
    </xf>
  </cellXfs>
  <cellStyles count="162">
    <cellStyle name="Millares" xfId="161" builtinId="3"/>
    <cellStyle name="Millares [0] 2" xfId="3" xr:uid="{66879F6F-B876-4B35-91BE-3FE4282A2972}"/>
    <cellStyle name="Millares [0] 2 2" xfId="10" xr:uid="{57CABC5E-27A5-4825-8488-787412122A9A}"/>
    <cellStyle name="Millares [0] 2 2 2" xfId="11" xr:uid="{300FD458-F12D-4BE8-991E-2017F7776A46}"/>
    <cellStyle name="Millares [0] 2 2 2 2" xfId="12" xr:uid="{9865A8CA-29A5-4A56-A1A5-384761E6888A}"/>
    <cellStyle name="Millares [0] 2 2 2 2 2" xfId="13" xr:uid="{196A2495-118D-4B3D-A4F5-98A070E124BC}"/>
    <cellStyle name="Millares [0] 2 2 2 2 2 2" xfId="99" xr:uid="{54D09CEE-E3DB-45E1-8713-6381318EDA32}"/>
    <cellStyle name="Millares [0] 2 2 2 2 3" xfId="98" xr:uid="{66069DC9-7F3B-452C-BB9D-35E90EA436EC}"/>
    <cellStyle name="Millares [0] 2 2 2 3" xfId="14" xr:uid="{D6046FB6-EA34-4B2C-B0B7-BD6E1D7D494A}"/>
    <cellStyle name="Millares [0] 2 2 2 3 2" xfId="100" xr:uid="{6975DF1C-418A-4469-9DD3-3A835F63C480}"/>
    <cellStyle name="Millares [0] 2 2 2 4" xfId="97" xr:uid="{92E49AD5-C192-4564-9B53-2199BB321DC1}"/>
    <cellStyle name="Millares [0] 2 2 3" xfId="15" xr:uid="{2A9830AE-BECE-4952-BFED-EA8802EF0750}"/>
    <cellStyle name="Millares [0] 2 2 3 2" xfId="16" xr:uid="{6C65B3CC-8773-4961-A587-181317A38443}"/>
    <cellStyle name="Millares [0] 2 2 3 2 2" xfId="102" xr:uid="{22E6F4C2-BB0B-4AD5-A2B3-50265C31D1DD}"/>
    <cellStyle name="Millares [0] 2 2 3 3" xfId="101" xr:uid="{D6788F30-B494-4388-B222-350F8EBCCAF2}"/>
    <cellStyle name="Millares [0] 2 2 4" xfId="17" xr:uid="{7AA9F753-9789-43C6-B638-FDBE95BDAD76}"/>
    <cellStyle name="Millares [0] 2 2 4 2" xfId="103" xr:uid="{D9A8504B-AED4-4E2C-B4B6-0F42D27531FB}"/>
    <cellStyle name="Millares [0] 2 2 5" xfId="96" xr:uid="{28016DAD-B258-41B7-8C3B-6FEFB2C1FA3D}"/>
    <cellStyle name="Millares [0] 2 3" xfId="18" xr:uid="{5D113071-93EE-436F-AE25-C413B310C00C}"/>
    <cellStyle name="Millares [0] 2 3 2" xfId="19" xr:uid="{0324982A-9A8D-4186-8DEB-1FB03642F175}"/>
    <cellStyle name="Millares [0] 2 3 2 2" xfId="105" xr:uid="{AD525DE5-515D-4338-88B5-C3E516656C14}"/>
    <cellStyle name="Millares [0] 2 3 3" xfId="104" xr:uid="{21909352-E555-47D1-B7D1-2086FB290454}"/>
    <cellStyle name="Millares [0] 2 4" xfId="20" xr:uid="{C7C39E8F-D655-4CCB-8565-D7528E918F48}"/>
    <cellStyle name="Millares [0] 2 4 2" xfId="106" xr:uid="{D5D484A2-E9A1-4305-9B59-0264D36B64CE}"/>
    <cellStyle name="Millares [0] 2 5" xfId="9" xr:uid="{C5482E5C-6C09-4487-A245-2632FC28B850}"/>
    <cellStyle name="Millares [0] 2 5 2" xfId="95" xr:uid="{85D5309F-5DFF-418A-A9B0-B9CF47B072FB}"/>
    <cellStyle name="Millares [0] 2 6" xfId="92" xr:uid="{1A1BF7B0-69D1-4B73-9CA4-89004103F8FA}"/>
    <cellStyle name="Millares [0] 3" xfId="6" xr:uid="{3AABC3F7-6F33-4753-9485-592A69561DA7}"/>
    <cellStyle name="Millares [0] 3 2" xfId="22" xr:uid="{B4DBE06A-B4EB-4417-9106-A40B210FF141}"/>
    <cellStyle name="Millares [0] 3 2 2" xfId="23" xr:uid="{F7715905-BCE8-443B-9A70-9F8CEEFF60DB}"/>
    <cellStyle name="Millares [0] 3 2 2 2" xfId="109" xr:uid="{7CB43C8E-166E-41C7-B72A-F049767B47C2}"/>
    <cellStyle name="Millares [0] 3 2 3" xfId="24" xr:uid="{19747019-C407-489D-982C-48AAA97ACCA8}"/>
    <cellStyle name="Millares [0] 3 2 3 2" xfId="25" xr:uid="{098CC10D-2ADC-4BE3-9DCD-1A79E7B696A6}"/>
    <cellStyle name="Millares [0] 3 2 3 2 2" xfId="26" xr:uid="{8E57FD88-2E49-4391-85DD-BCB5614381B5}"/>
    <cellStyle name="Millares [0] 3 2 3 2 2 2" xfId="27" xr:uid="{F7BA148A-DF8B-4225-8B84-EF86201E4FAD}"/>
    <cellStyle name="Millares [0] 3 2 3 2 2 2 2" xfId="113" xr:uid="{49F81434-3A29-45D1-A52E-DE4F815957EC}"/>
    <cellStyle name="Millares [0] 3 2 3 2 2 3" xfId="112" xr:uid="{59E1449D-A3DA-4B76-9877-5ED360866D66}"/>
    <cellStyle name="Millares [0] 3 2 3 2 3" xfId="28" xr:uid="{D93D1D74-D9B8-4D82-8E58-07A6164BABC2}"/>
    <cellStyle name="Millares [0] 3 2 3 2 3 2" xfId="114" xr:uid="{903CD856-89DB-492F-83B6-62432E2C882B}"/>
    <cellStyle name="Millares [0] 3 2 3 2 4" xfId="111" xr:uid="{9F2805C9-4ED6-4325-AA4E-B6E0620D0E61}"/>
    <cellStyle name="Millares [0] 3 2 3 3" xfId="110" xr:uid="{B160E3FB-F05A-418F-A0FB-8A78CA2389AB}"/>
    <cellStyle name="Millares [0] 3 2 4" xfId="108" xr:uid="{E112C249-582B-4596-9FF0-B44637EFA2F5}"/>
    <cellStyle name="Millares [0] 3 3" xfId="29" xr:uid="{F193E32B-757A-465B-AE49-334BB6DF4A80}"/>
    <cellStyle name="Millares [0] 3 3 2" xfId="30" xr:uid="{4DDF2557-F13C-4E08-BE62-D955EA399762}"/>
    <cellStyle name="Millares [0] 3 3 2 2" xfId="116" xr:uid="{775F5FB3-0F41-4923-8737-C6CC7F2B1969}"/>
    <cellStyle name="Millares [0] 3 3 3" xfId="115" xr:uid="{FDF52E93-22CB-4696-BD47-324AAFB2F5B9}"/>
    <cellStyle name="Millares [0] 3 4" xfId="21" xr:uid="{B0D962F4-27D4-4534-81B7-CC3AF3236D0A}"/>
    <cellStyle name="Millares [0] 3 4 2" xfId="107" xr:uid="{37C4E65C-8904-439B-8476-76DFD3637046}"/>
    <cellStyle name="Millares [0] 3 5" xfId="93" xr:uid="{E33269DA-12F3-414E-A769-E15E1EACAF6F}"/>
    <cellStyle name="Millares [0] 4" xfId="31" xr:uid="{F034E466-F160-4FFE-BCEE-7F4C79CE2CDA}"/>
    <cellStyle name="Millares [0] 4 2" xfId="32" xr:uid="{F656B8D3-5E41-4ADA-B495-269D2755E9AA}"/>
    <cellStyle name="Millares [0] 4 2 2" xfId="118" xr:uid="{832595F7-4DA9-48B3-9F7F-5776EBD07ACA}"/>
    <cellStyle name="Millares [0] 4 3" xfId="117" xr:uid="{60465144-8074-455D-BD44-7A1DC2017388}"/>
    <cellStyle name="Millares [0] 5" xfId="33" xr:uid="{D71BD1FD-935E-4E8E-9982-51878AB17971}"/>
    <cellStyle name="Millares [0] 5 2" xfId="119" xr:uid="{5E80490C-E651-4241-84E5-F810CD5D4E02}"/>
    <cellStyle name="Millares 10" xfId="34" xr:uid="{EAD13AAC-9549-464D-A60A-B8B1D7A520F3}"/>
    <cellStyle name="Millares 10 2" xfId="120" xr:uid="{E862D1CC-7CFF-4D5C-B6D3-891B64BC9907}"/>
    <cellStyle name="Millares 11" xfId="35" xr:uid="{EF682283-FA8C-4BF4-B082-5799D6717835}"/>
    <cellStyle name="Millares 11 2" xfId="121" xr:uid="{5ABEFEC1-5CB4-4EDC-8D83-05567377A482}"/>
    <cellStyle name="Millares 12" xfId="36" xr:uid="{7F84050D-0E7E-4F40-952D-436CFB971861}"/>
    <cellStyle name="Millares 12 2" xfId="122" xr:uid="{5D2096BA-00F7-45C7-852E-5DC72E226195}"/>
    <cellStyle name="Millares 13" xfId="37" xr:uid="{FDD22F54-E177-4814-AFEB-6FC523EF775F}"/>
    <cellStyle name="Millares 13 2" xfId="123" xr:uid="{6DB0F0CF-7500-48E8-A724-C859E4C8D6C6}"/>
    <cellStyle name="Millares 14" xfId="38" xr:uid="{5DCCE4D3-AE63-455F-A185-0A5768ED483A}"/>
    <cellStyle name="Millares 14 2" xfId="124" xr:uid="{40790BA0-6252-4348-B9FE-25207ED1B7FC}"/>
    <cellStyle name="Millares 15" xfId="39" xr:uid="{6894EBC1-CDDA-4A33-B9EA-BC1343666ADB}"/>
    <cellStyle name="Millares 15 2" xfId="125" xr:uid="{C151B70B-1F18-4A0F-8619-B0E17AF1EF41}"/>
    <cellStyle name="Millares 16" xfId="40" xr:uid="{B976B165-09AA-4205-95A9-2A3A702BFA91}"/>
    <cellStyle name="Millares 16 2" xfId="126" xr:uid="{A27112BF-C3DA-4AA9-93AA-DD2D964AD3A1}"/>
    <cellStyle name="Millares 17" xfId="41" xr:uid="{BDFA9721-B774-4BF5-8B7F-19785DCDE498}"/>
    <cellStyle name="Millares 17 2" xfId="127" xr:uid="{0F3A8150-C2EF-438C-AEA2-E19368B037A6}"/>
    <cellStyle name="Millares 18" xfId="42" xr:uid="{69B5FF8A-998F-4B03-B85C-09B4660EE1F2}"/>
    <cellStyle name="Millares 18 2" xfId="128" xr:uid="{4543E3C1-6923-481C-8BBE-B85F0E7CE191}"/>
    <cellStyle name="Millares 19" xfId="43" xr:uid="{395013BA-1FD1-4CC4-8FDF-2FE8C1D0764C}"/>
    <cellStyle name="Millares 19 2" xfId="129" xr:uid="{B109D5B4-9DDB-4584-A18A-55073CBE9B73}"/>
    <cellStyle name="Millares 2" xfId="44" xr:uid="{49B5BD43-F9FE-4EE9-997C-815EF5BB4E43}"/>
    <cellStyle name="Millares 2 2" xfId="45" xr:uid="{2E032F5A-C3BB-4AC1-8649-72CEC72FE316}"/>
    <cellStyle name="Millares 2 2 2" xfId="46" xr:uid="{1CF037AE-5976-4FE3-A42A-1DEC8F15DFAF}"/>
    <cellStyle name="Millares 2 2 2 2" xfId="47" xr:uid="{3FEE9D72-87B7-4298-8D66-850D71319413}"/>
    <cellStyle name="Millares 2 2 2 2 2" xfId="133" xr:uid="{6E861CA0-3DB1-4622-B5E1-82C62DBDD437}"/>
    <cellStyle name="Millares 2 2 2 3" xfId="132" xr:uid="{2A40034E-1947-4282-BB82-BDF5AA7C9336}"/>
    <cellStyle name="Millares 2 2 3" xfId="48" xr:uid="{292C259D-37F9-4B6D-90A1-C0144062F5FB}"/>
    <cellStyle name="Millares 2 2 3 2" xfId="134" xr:uid="{29E78B7C-3330-42C7-921E-975D145EE8AB}"/>
    <cellStyle name="Millares 2 2 4" xfId="131" xr:uid="{8C416C22-0487-441E-B616-5E235388244B}"/>
    <cellStyle name="Millares 2 3" xfId="49" xr:uid="{1899A055-9A17-4B80-A930-7D2511D69988}"/>
    <cellStyle name="Millares 2 3 2" xfId="50" xr:uid="{DB6BF5BD-F8B9-4A64-AC75-1ACB2A1CAEF9}"/>
    <cellStyle name="Millares 2 3 2 2" xfId="136" xr:uid="{89B4F452-4C73-4861-B070-EA0763E84E3B}"/>
    <cellStyle name="Millares 2 3 3" xfId="135" xr:uid="{7D87215E-E276-4BDC-9E34-50F5F75446B6}"/>
    <cellStyle name="Millares 2 4" xfId="51" xr:uid="{928D53D1-1366-4535-8871-CD21A933BED1}"/>
    <cellStyle name="Millares 2 4 2" xfId="137" xr:uid="{8583691D-3236-4399-BF81-3EF404C0D7AE}"/>
    <cellStyle name="Millares 2 5" xfId="130" xr:uid="{0DE8400C-4817-4AE7-A611-E1144EE80B3C}"/>
    <cellStyle name="Millares 20" xfId="52" xr:uid="{DB269EF5-7F68-4E83-9617-2BD3727596D4}"/>
    <cellStyle name="Millares 20 2" xfId="138" xr:uid="{DB3A9497-1CF5-42CE-B9DF-D6BCA92EACDA}"/>
    <cellStyle name="Millares 21" xfId="53" xr:uid="{C77B390F-F67D-4A10-A276-491907DE8898}"/>
    <cellStyle name="Millares 21 2" xfId="139" xr:uid="{5DBC5CED-6FCC-4FBE-956B-D18B7FB47176}"/>
    <cellStyle name="Millares 22" xfId="54" xr:uid="{C3CBA7D8-C189-4690-91CA-C18B39DD67EB}"/>
    <cellStyle name="Millares 22 2" xfId="140" xr:uid="{60326CB0-856B-4EDE-BD79-482F5EF8A917}"/>
    <cellStyle name="Millares 23" xfId="55" xr:uid="{6583A7CE-9253-414E-87F8-F7FE80228723}"/>
    <cellStyle name="Millares 23 2" xfId="141" xr:uid="{60F71214-6AC9-4E18-91DD-50C95EC4ABAC}"/>
    <cellStyle name="Millares 24" xfId="56" xr:uid="{AC046C6C-E969-4379-A97C-6C42E2CD2245}"/>
    <cellStyle name="Millares 24 2" xfId="142" xr:uid="{E641F50A-F936-4EA4-BB2E-CE9FFA4364B7}"/>
    <cellStyle name="Millares 25" xfId="57" xr:uid="{8CDBA932-2DBF-4C5B-82A1-8B0A8E096CB0}"/>
    <cellStyle name="Millares 25 2" xfId="143" xr:uid="{191EFBCA-0B38-4F7F-8170-597621F7E27C}"/>
    <cellStyle name="Millares 26" xfId="58" xr:uid="{0EE5B03B-A65D-4913-BFC1-AA8DC30B80F0}"/>
    <cellStyle name="Millares 26 2" xfId="144" xr:uid="{092A39B5-CD3D-4600-9B73-0F7591CDAA24}"/>
    <cellStyle name="Millares 27" xfId="8" xr:uid="{C0234951-976F-4166-A789-3E89E104123B}"/>
    <cellStyle name="Millares 27 2" xfId="94" xr:uid="{0283AD24-26CA-4A0F-8B8E-054A89989813}"/>
    <cellStyle name="Millares 28" xfId="91" xr:uid="{6247351B-5BBA-488F-964F-D356231C6597}"/>
    <cellStyle name="Millares 28 2" xfId="160" xr:uid="{334F8DBB-FE94-49ED-8C10-5158C1929FF7}"/>
    <cellStyle name="Millares 3" xfId="59" xr:uid="{42BE2908-7AB8-490A-B1EB-8A16E88BF187}"/>
    <cellStyle name="Millares 3 2" xfId="60" xr:uid="{582E8CEC-23EC-4473-9BA5-272B30599A07}"/>
    <cellStyle name="Millares 3 2 2" xfId="61" xr:uid="{4E95678A-4881-4F2B-8D45-6E90B1704A1F}"/>
    <cellStyle name="Millares 3 2 2 2" xfId="147" xr:uid="{D64F8B35-4D40-4B51-9CAA-709B4AFFB0D7}"/>
    <cellStyle name="Millares 3 2 3" xfId="146" xr:uid="{86D5C5DA-34E6-42DE-B174-86A7B0614377}"/>
    <cellStyle name="Millares 3 3" xfId="62" xr:uid="{6BD608E8-D3CE-4A6B-8A1E-F98B59C48426}"/>
    <cellStyle name="Millares 3 3 2" xfId="63" xr:uid="{6D599C9C-B043-49F9-B308-96BBEF662A03}"/>
    <cellStyle name="Millares 3 3 2 2" xfId="149" xr:uid="{5E405FC3-FE56-4A99-B478-0AEEBACEFEBD}"/>
    <cellStyle name="Millares 3 3 3" xfId="148" xr:uid="{27D8E00C-C1BA-423E-A6F5-70D85141CA42}"/>
    <cellStyle name="Millares 3 4" xfId="64" xr:uid="{E4798E0C-20C9-4EEF-9EF1-5E0F2A156DAF}"/>
    <cellStyle name="Millares 3 4 2" xfId="150" xr:uid="{2DDB4EC1-BB8D-4883-B2AC-B98053560A7B}"/>
    <cellStyle name="Millares 3 5" xfId="145" xr:uid="{977DE5DD-425F-4DB9-98C6-25819AC5E5D6}"/>
    <cellStyle name="Millares 4" xfId="65" xr:uid="{0ED8A40E-B95C-4782-99BA-C043A337C0E6}"/>
    <cellStyle name="Millares 4 2" xfId="66" xr:uid="{E88B0BA8-2C6D-4C0F-BF4E-637E800ED634}"/>
    <cellStyle name="Millares 4 2 2" xfId="152" xr:uid="{65304C67-A77A-437B-8CA5-1ECC9EF813A7}"/>
    <cellStyle name="Millares 4 3" xfId="151" xr:uid="{55814FF6-591A-4C2E-AD0E-297484854C8B}"/>
    <cellStyle name="Millares 5" xfId="67" xr:uid="{5A1DE41A-2A0C-4D74-886D-E68C9BBE5400}"/>
    <cellStyle name="Millares 5 2" xfId="68" xr:uid="{83A75C87-F9EE-4376-A16F-40A11B0C53FC}"/>
    <cellStyle name="Millares 5 2 2" xfId="154" xr:uid="{D77B7E42-040E-495D-A755-8B7DF3D2B608}"/>
    <cellStyle name="Millares 5 3" xfId="69" xr:uid="{EC3CAC0A-885F-4B4F-A712-B41327441729}"/>
    <cellStyle name="Millares 5 3 2" xfId="155" xr:uid="{680B05A5-2419-472E-A4A4-1A704235167C}"/>
    <cellStyle name="Millares 5 4" xfId="153" xr:uid="{C48A8EED-8A65-4F5E-A755-B69433896BC3}"/>
    <cellStyle name="Millares 6" xfId="70" xr:uid="{1B2BB9C6-9EED-4858-BF57-75A5FB11A7FB}"/>
    <cellStyle name="Millares 6 2" xfId="156" xr:uid="{889D12C3-A213-4A12-9BC3-E1EFCB59B068}"/>
    <cellStyle name="Millares 7" xfId="71" xr:uid="{6CB43396-8D2C-4F3F-826A-B905FBB5E72D}"/>
    <cellStyle name="Millares 7 2" xfId="157" xr:uid="{5F506A12-9758-4E9C-BBAE-8D00B8C18C65}"/>
    <cellStyle name="Millares 8" xfId="72" xr:uid="{00525F34-DA58-4E4E-AB04-A39BEBCDFF85}"/>
    <cellStyle name="Millares 8 2" xfId="158" xr:uid="{FFDB6C5D-45C5-4DEF-8271-789F85167BB9}"/>
    <cellStyle name="Millares 9" xfId="73" xr:uid="{66932FCF-B799-4301-ABEC-418C5833AB41}"/>
    <cellStyle name="Millares 9 2" xfId="159" xr:uid="{2070F844-BEBD-4D9A-8AAF-205A371B1900}"/>
    <cellStyle name="Normal" xfId="0" builtinId="0"/>
    <cellStyle name="Normal 2" xfId="1" xr:uid="{3288511C-373B-4652-AD00-3401B6ACBF43}"/>
    <cellStyle name="Normal 2 2" xfId="75" xr:uid="{D80A3FF2-EB7F-4581-9928-A48F19125900}"/>
    <cellStyle name="Normal 2 3" xfId="74" xr:uid="{3E04ABE2-98EE-4F66-83FA-F0FE0E28BCFA}"/>
    <cellStyle name="Normal 3" xfId="4" xr:uid="{30C7FC9D-5AFE-4686-8B27-72E617F045EE}"/>
    <cellStyle name="Normal 3 2" xfId="5" xr:uid="{9CDDC6FE-A83D-40DB-A30B-B807A1899AA8}"/>
    <cellStyle name="Normal 3 2 2" xfId="77" xr:uid="{B7413560-94BA-438D-9E59-79C8176CC5ED}"/>
    <cellStyle name="Normal 3 3" xfId="78" xr:uid="{194D9DDD-C8EC-4192-9C04-5419221A9488}"/>
    <cellStyle name="Normal 3 4" xfId="76" xr:uid="{0FC1AB98-2BE6-4DF7-BEEB-D22F3127D0B6}"/>
    <cellStyle name="Normal 4" xfId="79" xr:uid="{67743FFE-F488-44F6-9534-7C9692184C74}"/>
    <cellStyle name="Normal 4 2" xfId="80" xr:uid="{32D69339-2C5C-49E6-8A7D-B25C88A8E36F}"/>
    <cellStyle name="Normal 5" xfId="81" xr:uid="{7DE6BA15-6892-4542-9575-CF6CB7EE2218}"/>
    <cellStyle name="Normal 5 2" xfId="82" xr:uid="{D96C841A-51D2-47E3-B3D1-49A1B997D9A4}"/>
    <cellStyle name="Normal 6" xfId="83" xr:uid="{1B375AFA-7221-4E34-B619-B5D09791BF50}"/>
    <cellStyle name="Normal 7" xfId="7" xr:uid="{BC25349E-DF80-4ED6-BB98-8AFA2FA24AB0}"/>
    <cellStyle name="Normal_CRITERIOS DE EVALUACION PT DE GB 2" xfId="2" xr:uid="{99B261FE-6615-4E4B-8220-EC416ED7F9C3}"/>
    <cellStyle name="Porcentaje 2" xfId="85" xr:uid="{59436839-E1BF-41C9-AFED-66EB7906B83E}"/>
    <cellStyle name="Porcentaje 2 2" xfId="86" xr:uid="{8DCCFD9A-D41C-46C9-9C2C-8A2BF5D1ACF4}"/>
    <cellStyle name="Porcentaje 3" xfId="87" xr:uid="{18CA6405-34F2-480E-A568-9FC5B2FDC938}"/>
    <cellStyle name="Porcentaje 3 2" xfId="88" xr:uid="{73548702-1BA0-4748-A98B-B2C2AB87F2F2}"/>
    <cellStyle name="Porcentaje 3 2 2" xfId="89" xr:uid="{521A6526-7C64-47A8-AAFE-A8B5F56EE35C}"/>
    <cellStyle name="Porcentaje 4" xfId="90" xr:uid="{1DD01B5F-1857-4992-AE5C-5201B95CB70A}"/>
    <cellStyle name="Porcentaje 5" xfId="84" xr:uid="{A458BC7B-C5DA-4F41-84FE-264319C7E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6E95-2E56-4A80-9C8B-D07ABADED5A7}">
  <dimension ref="A1:N57"/>
  <sheetViews>
    <sheetView tabSelected="1" view="pageBreakPreview" zoomScale="60" zoomScaleNormal="70" workbookViewId="0">
      <selection activeCell="K18" sqref="K18"/>
    </sheetView>
  </sheetViews>
  <sheetFormatPr baseColWidth="10" defaultRowHeight="15" x14ac:dyDescent="0.25"/>
  <cols>
    <col min="1" max="1" width="15.42578125" bestFit="1" customWidth="1"/>
    <col min="2" max="2" width="13.5703125" bestFit="1" customWidth="1"/>
    <col min="3" max="3" width="55.42578125" customWidth="1"/>
    <col min="4" max="4" width="34.42578125" bestFit="1" customWidth="1"/>
    <col min="5" max="5" width="11.5703125" bestFit="1" customWidth="1"/>
    <col min="8" max="8" width="33.5703125" bestFit="1" customWidth="1"/>
    <col min="9" max="9" width="21.28515625" bestFit="1" customWidth="1"/>
  </cols>
  <sheetData>
    <row r="1" spans="1:14" ht="18" x14ac:dyDescent="0.25">
      <c r="A1" s="116"/>
      <c r="B1" s="117"/>
      <c r="C1" s="122" t="s">
        <v>69</v>
      </c>
      <c r="D1" s="122"/>
      <c r="E1" s="122"/>
      <c r="F1" s="122"/>
      <c r="G1" s="122"/>
      <c r="H1" s="2" t="s">
        <v>70</v>
      </c>
      <c r="I1" s="3" t="s">
        <v>86</v>
      </c>
    </row>
    <row r="2" spans="1:14" ht="18" customHeight="1" thickBot="1" x14ac:dyDescent="0.3">
      <c r="A2" s="118"/>
      <c r="B2" s="119"/>
      <c r="C2" s="123" t="s">
        <v>0</v>
      </c>
      <c r="D2" s="124"/>
      <c r="E2" s="124"/>
      <c r="F2" s="124"/>
      <c r="G2" s="125"/>
      <c r="H2" s="4" t="s">
        <v>71</v>
      </c>
      <c r="I2" s="5" t="s">
        <v>94</v>
      </c>
    </row>
    <row r="3" spans="1:14" ht="31.5" customHeight="1" thickBot="1" x14ac:dyDescent="0.3">
      <c r="A3" s="118"/>
      <c r="B3" s="119"/>
      <c r="C3" s="126" t="s">
        <v>95</v>
      </c>
      <c r="D3" s="126"/>
      <c r="E3" s="126"/>
      <c r="F3" s="126"/>
      <c r="G3" s="127"/>
      <c r="H3" s="128" t="s">
        <v>72</v>
      </c>
      <c r="I3" s="107">
        <v>45663</v>
      </c>
    </row>
    <row r="4" spans="1:14" ht="18" customHeight="1" x14ac:dyDescent="0.25">
      <c r="A4" s="118"/>
      <c r="B4" s="119"/>
      <c r="C4" s="6" t="s">
        <v>73</v>
      </c>
      <c r="D4" s="110" t="s">
        <v>74</v>
      </c>
      <c r="E4" s="111"/>
      <c r="F4" s="111"/>
      <c r="G4" s="112"/>
      <c r="H4" s="129"/>
      <c r="I4" s="108"/>
    </row>
    <row r="5" spans="1:14" ht="18.75" thickBot="1" x14ac:dyDescent="0.3">
      <c r="A5" s="120"/>
      <c r="B5" s="121"/>
      <c r="C5" s="7" t="s">
        <v>75</v>
      </c>
      <c r="D5" s="113" t="s">
        <v>1</v>
      </c>
      <c r="E5" s="114"/>
      <c r="F5" s="114"/>
      <c r="G5" s="115"/>
      <c r="H5" s="130"/>
      <c r="I5" s="109"/>
    </row>
    <row r="6" spans="1:14" ht="18.75" thickBot="1" x14ac:dyDescent="0.3">
      <c r="A6" s="131" t="s">
        <v>2</v>
      </c>
      <c r="B6" s="131"/>
      <c r="C6" s="131"/>
      <c r="D6" s="132" t="s">
        <v>18</v>
      </c>
      <c r="E6" s="132"/>
      <c r="F6" s="132"/>
      <c r="G6" s="133" t="s">
        <v>4</v>
      </c>
      <c r="H6" s="133"/>
      <c r="I6" s="8" t="s">
        <v>3</v>
      </c>
    </row>
    <row r="7" spans="1:14" ht="36" x14ac:dyDescent="0.25">
      <c r="A7" s="134" t="s">
        <v>5</v>
      </c>
      <c r="B7" s="136" t="s">
        <v>76</v>
      </c>
      <c r="C7" s="138" t="s">
        <v>6</v>
      </c>
      <c r="D7" s="138" t="s">
        <v>7</v>
      </c>
      <c r="E7" s="138" t="s">
        <v>8</v>
      </c>
      <c r="F7" s="138"/>
      <c r="G7" s="138" t="s">
        <v>77</v>
      </c>
      <c r="H7" s="138"/>
      <c r="I7" s="9" t="s">
        <v>9</v>
      </c>
    </row>
    <row r="8" spans="1:14" ht="54.75" thickBot="1" x14ac:dyDescent="0.3">
      <c r="A8" s="135"/>
      <c r="B8" s="137"/>
      <c r="C8" s="139"/>
      <c r="D8" s="139"/>
      <c r="E8" s="10" t="s">
        <v>10</v>
      </c>
      <c r="F8" s="11" t="s">
        <v>11</v>
      </c>
      <c r="G8" s="10" t="s">
        <v>10</v>
      </c>
      <c r="H8" s="11" t="s">
        <v>11</v>
      </c>
      <c r="I8" s="12" t="s">
        <v>12</v>
      </c>
    </row>
    <row r="9" spans="1:14" ht="18.75" x14ac:dyDescent="0.3">
      <c r="A9" s="13"/>
      <c r="B9" s="14"/>
      <c r="C9" s="15" t="s">
        <v>16</v>
      </c>
      <c r="D9" s="16"/>
      <c r="E9" s="17"/>
      <c r="F9" s="18"/>
      <c r="G9" s="17"/>
      <c r="H9" s="18"/>
      <c r="I9" s="19"/>
    </row>
    <row r="10" spans="1:14" ht="18" customHeight="1" x14ac:dyDescent="0.3">
      <c r="A10" s="20">
        <v>907000267</v>
      </c>
      <c r="B10" s="21" t="s">
        <v>51</v>
      </c>
      <c r="C10" s="22" t="s">
        <v>13</v>
      </c>
      <c r="D10" s="23" t="s">
        <v>14</v>
      </c>
      <c r="E10" s="24">
        <v>375</v>
      </c>
      <c r="F10" s="25" t="s">
        <v>15</v>
      </c>
      <c r="G10" s="26"/>
      <c r="H10" s="27" t="s">
        <v>78</v>
      </c>
      <c r="I10" s="19"/>
      <c r="N10" s="1"/>
    </row>
    <row r="11" spans="1:14" ht="18.75" x14ac:dyDescent="0.3">
      <c r="A11" s="20">
        <v>11400066</v>
      </c>
      <c r="B11" s="28" t="s">
        <v>53</v>
      </c>
      <c r="C11" s="29" t="s">
        <v>46</v>
      </c>
      <c r="D11" s="23" t="s">
        <v>47</v>
      </c>
      <c r="E11" s="30">
        <v>90</v>
      </c>
      <c r="F11" s="31" t="s">
        <v>15</v>
      </c>
      <c r="G11" s="32"/>
      <c r="H11" s="27" t="s">
        <v>79</v>
      </c>
      <c r="I11" s="19"/>
    </row>
    <row r="12" spans="1:14" ht="18.75" x14ac:dyDescent="0.3">
      <c r="A12" s="20">
        <v>20100163</v>
      </c>
      <c r="B12" s="28" t="s">
        <v>52</v>
      </c>
      <c r="C12" s="29" t="s">
        <v>17</v>
      </c>
      <c r="D12" s="23" t="s">
        <v>14</v>
      </c>
      <c r="E12" s="30">
        <v>70</v>
      </c>
      <c r="F12" s="31" t="s">
        <v>15</v>
      </c>
      <c r="G12" s="32"/>
      <c r="H12" s="27" t="s">
        <v>80</v>
      </c>
      <c r="I12" s="19"/>
    </row>
    <row r="13" spans="1:14" ht="18.75" x14ac:dyDescent="0.3">
      <c r="A13" s="33"/>
      <c r="B13" s="34"/>
      <c r="C13" s="35"/>
      <c r="D13" s="32"/>
      <c r="E13" s="32"/>
      <c r="F13" s="36"/>
      <c r="G13" s="32"/>
      <c r="H13" s="27"/>
      <c r="I13" s="19"/>
    </row>
    <row r="14" spans="1:14" ht="18.75" x14ac:dyDescent="0.3">
      <c r="A14" s="37"/>
      <c r="B14" s="34"/>
      <c r="C14" s="38"/>
      <c r="D14" s="32"/>
      <c r="E14" s="32"/>
      <c r="F14" s="36"/>
      <c r="G14" s="32"/>
      <c r="H14" s="27"/>
      <c r="I14" s="19"/>
    </row>
    <row r="15" spans="1:14" ht="18.75" x14ac:dyDescent="0.3">
      <c r="A15" s="32"/>
      <c r="B15" s="32"/>
      <c r="C15" s="39"/>
      <c r="D15" s="40"/>
      <c r="E15" s="40"/>
      <c r="F15" s="26"/>
      <c r="G15" s="32"/>
      <c r="H15" s="27"/>
      <c r="I15" s="19"/>
    </row>
    <row r="16" spans="1:14" ht="18.75" x14ac:dyDescent="0.3">
      <c r="A16" s="34"/>
      <c r="B16" s="34"/>
      <c r="C16" s="41"/>
      <c r="D16" s="32"/>
      <c r="E16" s="32"/>
      <c r="F16" s="36"/>
      <c r="G16" s="32"/>
      <c r="H16" s="27"/>
      <c r="I16" s="19"/>
    </row>
    <row r="17" spans="1:9" ht="18.75" x14ac:dyDescent="0.3">
      <c r="A17" s="33"/>
      <c r="B17" s="34"/>
      <c r="C17" s="35"/>
      <c r="D17" s="32"/>
      <c r="E17" s="32"/>
      <c r="F17" s="36"/>
      <c r="G17" s="32"/>
      <c r="H17" s="27"/>
      <c r="I17" s="19"/>
    </row>
    <row r="18" spans="1:9" ht="18.75" x14ac:dyDescent="0.3">
      <c r="A18" s="42"/>
      <c r="B18" s="42"/>
      <c r="C18" s="43"/>
      <c r="D18" s="44"/>
      <c r="E18" s="45"/>
      <c r="F18" s="46"/>
      <c r="G18" s="17"/>
      <c r="H18" s="27"/>
      <c r="I18" s="19"/>
    </row>
    <row r="19" spans="1:9" ht="18.75" x14ac:dyDescent="0.3">
      <c r="A19" s="47"/>
      <c r="B19" s="48"/>
      <c r="C19" s="49" t="s">
        <v>18</v>
      </c>
      <c r="D19" s="50"/>
      <c r="E19" s="51"/>
      <c r="F19" s="52"/>
      <c r="G19" s="17"/>
      <c r="H19" s="18"/>
      <c r="I19" s="19"/>
    </row>
    <row r="20" spans="1:9" ht="18.75" x14ac:dyDescent="0.3">
      <c r="A20" s="20">
        <v>20100163</v>
      </c>
      <c r="B20" s="53" t="s">
        <v>52</v>
      </c>
      <c r="C20" s="22" t="s">
        <v>17</v>
      </c>
      <c r="D20" s="23" t="s">
        <v>49</v>
      </c>
      <c r="E20" s="30">
        <v>150</v>
      </c>
      <c r="F20" s="31" t="s">
        <v>15</v>
      </c>
      <c r="G20" s="17"/>
      <c r="H20" s="18"/>
      <c r="I20" s="19"/>
    </row>
    <row r="21" spans="1:9" ht="37.5" x14ac:dyDescent="0.3">
      <c r="A21" s="20">
        <v>11400066</v>
      </c>
      <c r="B21" s="53" t="s">
        <v>53</v>
      </c>
      <c r="C21" s="22" t="s">
        <v>46</v>
      </c>
      <c r="D21" s="23" t="s">
        <v>47</v>
      </c>
      <c r="E21" s="54">
        <v>60</v>
      </c>
      <c r="F21" s="31" t="s">
        <v>15</v>
      </c>
      <c r="G21" s="17"/>
      <c r="H21" s="18" t="s">
        <v>81</v>
      </c>
      <c r="I21" s="19"/>
    </row>
    <row r="22" spans="1:9" ht="18.75" x14ac:dyDescent="0.3">
      <c r="A22" s="20">
        <v>908000032</v>
      </c>
      <c r="B22" s="53" t="s">
        <v>54</v>
      </c>
      <c r="C22" s="22" t="s">
        <v>48</v>
      </c>
      <c r="D22" s="23" t="s">
        <v>14</v>
      </c>
      <c r="E22" s="30">
        <v>40</v>
      </c>
      <c r="F22" s="31" t="s">
        <v>15</v>
      </c>
      <c r="G22" s="17"/>
      <c r="H22" s="18" t="s">
        <v>88</v>
      </c>
      <c r="I22" s="19"/>
    </row>
    <row r="23" spans="1:9" ht="18.75" x14ac:dyDescent="0.3">
      <c r="A23" s="20">
        <v>902000149</v>
      </c>
      <c r="B23" s="53" t="s">
        <v>55</v>
      </c>
      <c r="C23" s="22" t="s">
        <v>50</v>
      </c>
      <c r="D23" s="23" t="s">
        <v>14</v>
      </c>
      <c r="E23" s="55">
        <v>5</v>
      </c>
      <c r="F23" s="56" t="s">
        <v>15</v>
      </c>
      <c r="G23" s="17"/>
      <c r="H23" s="18" t="s">
        <v>89</v>
      </c>
      <c r="I23" s="19"/>
    </row>
    <row r="24" spans="1:9" ht="18.75" x14ac:dyDescent="0.3">
      <c r="A24" s="20">
        <v>10700013</v>
      </c>
      <c r="B24" s="53" t="s">
        <v>62</v>
      </c>
      <c r="C24" s="22" t="s">
        <v>63</v>
      </c>
      <c r="D24" s="23" t="s">
        <v>82</v>
      </c>
      <c r="E24" s="24" t="s">
        <v>64</v>
      </c>
      <c r="F24" s="56" t="s">
        <v>20</v>
      </c>
      <c r="G24" s="17"/>
      <c r="H24" s="18"/>
      <c r="I24" s="19"/>
    </row>
    <row r="25" spans="1:9" ht="18.75" x14ac:dyDescent="0.3">
      <c r="A25" s="57"/>
      <c r="B25" s="57"/>
      <c r="C25" s="1"/>
      <c r="D25" s="58"/>
      <c r="E25" s="59"/>
      <c r="F25" s="60"/>
      <c r="G25" s="17"/>
      <c r="H25" s="18"/>
      <c r="I25" s="19"/>
    </row>
    <row r="26" spans="1:9" ht="18.75" x14ac:dyDescent="0.3">
      <c r="A26" s="42"/>
      <c r="B26" s="42"/>
      <c r="C26" s="43"/>
      <c r="D26" s="61"/>
      <c r="E26" s="62"/>
      <c r="F26" s="60"/>
      <c r="G26" s="17"/>
      <c r="H26" s="18"/>
      <c r="I26" s="19"/>
    </row>
    <row r="27" spans="1:9" ht="18.75" x14ac:dyDescent="0.3">
      <c r="A27" s="42"/>
      <c r="B27" s="42"/>
      <c r="C27" s="43"/>
      <c r="D27" s="61"/>
      <c r="E27" s="54"/>
      <c r="F27" s="63"/>
      <c r="G27" s="17"/>
      <c r="H27" s="18"/>
      <c r="I27" s="19"/>
    </row>
    <row r="28" spans="1:9" ht="18.75" x14ac:dyDescent="0.3">
      <c r="A28" s="64"/>
      <c r="B28" s="65"/>
      <c r="C28" s="66" t="s">
        <v>19</v>
      </c>
      <c r="D28" s="67"/>
      <c r="E28" s="68"/>
      <c r="F28" s="18"/>
      <c r="G28" s="17"/>
      <c r="H28" s="1"/>
      <c r="I28" s="19"/>
    </row>
    <row r="29" spans="1:9" ht="18.75" x14ac:dyDescent="0.3">
      <c r="A29" s="47">
        <v>51400021</v>
      </c>
      <c r="B29" s="48" t="s">
        <v>67</v>
      </c>
      <c r="C29" s="69" t="s">
        <v>68</v>
      </c>
      <c r="D29" s="70" t="s">
        <v>23</v>
      </c>
      <c r="E29" s="71">
        <v>1</v>
      </c>
      <c r="F29" s="70" t="s">
        <v>20</v>
      </c>
      <c r="G29" s="72"/>
      <c r="H29" s="18"/>
      <c r="I29" s="19"/>
    </row>
    <row r="30" spans="1:9" ht="18.75" x14ac:dyDescent="0.3">
      <c r="A30" s="70">
        <v>702182</v>
      </c>
      <c r="B30" s="70" t="s">
        <v>56</v>
      </c>
      <c r="C30" s="69" t="s">
        <v>21</v>
      </c>
      <c r="D30" s="73" t="s">
        <v>83</v>
      </c>
      <c r="E30" s="74">
        <v>1</v>
      </c>
      <c r="F30" s="75" t="s">
        <v>20</v>
      </c>
      <c r="G30" s="72"/>
      <c r="H30" s="18"/>
      <c r="I30" s="19"/>
    </row>
    <row r="31" spans="1:9" ht="18.75" x14ac:dyDescent="0.3">
      <c r="A31" s="70">
        <v>703020</v>
      </c>
      <c r="B31" s="70" t="s">
        <v>57</v>
      </c>
      <c r="C31" s="69" t="s">
        <v>22</v>
      </c>
      <c r="D31" s="73" t="s">
        <v>23</v>
      </c>
      <c r="E31" s="74">
        <v>60</v>
      </c>
      <c r="F31" s="75" t="s">
        <v>24</v>
      </c>
      <c r="G31" s="72"/>
      <c r="H31" s="18"/>
      <c r="I31" s="19"/>
    </row>
    <row r="32" spans="1:9" ht="18.75" x14ac:dyDescent="0.3">
      <c r="A32" s="76">
        <v>701096</v>
      </c>
      <c r="B32" s="76" t="s">
        <v>58</v>
      </c>
      <c r="C32" s="77" t="s">
        <v>25</v>
      </c>
      <c r="D32" s="78" t="s">
        <v>26</v>
      </c>
      <c r="E32" s="79">
        <v>1</v>
      </c>
      <c r="F32" s="80" t="s">
        <v>20</v>
      </c>
      <c r="G32" s="17"/>
      <c r="H32" s="18"/>
      <c r="I32" s="19"/>
    </row>
    <row r="33" spans="1:9" ht="18.75" x14ac:dyDescent="0.3">
      <c r="A33" s="76" t="s">
        <v>65</v>
      </c>
      <c r="B33" s="76" t="s">
        <v>59</v>
      </c>
      <c r="C33" s="81" t="s">
        <v>84</v>
      </c>
      <c r="D33" s="78" t="s">
        <v>27</v>
      </c>
      <c r="E33" s="78">
        <v>1</v>
      </c>
      <c r="F33" s="80" t="s">
        <v>20</v>
      </c>
      <c r="G33" s="17"/>
      <c r="H33" s="18"/>
      <c r="I33" s="19"/>
    </row>
    <row r="34" spans="1:9" ht="18.75" x14ac:dyDescent="0.3">
      <c r="A34" s="76" t="s">
        <v>43</v>
      </c>
      <c r="B34" s="76" t="s">
        <v>60</v>
      </c>
      <c r="C34" s="81" t="s">
        <v>85</v>
      </c>
      <c r="D34" s="78" t="s">
        <v>44</v>
      </c>
      <c r="E34" s="78">
        <v>1</v>
      </c>
      <c r="F34" s="80" t="s">
        <v>45</v>
      </c>
      <c r="G34" s="82"/>
      <c r="H34" s="18"/>
      <c r="I34" s="19"/>
    </row>
    <row r="35" spans="1:9" ht="18.75" x14ac:dyDescent="0.3">
      <c r="A35" s="83">
        <v>702123</v>
      </c>
      <c r="B35" s="84" t="s">
        <v>61</v>
      </c>
      <c r="C35" s="85" t="s">
        <v>28</v>
      </c>
      <c r="D35" s="86" t="s">
        <v>27</v>
      </c>
      <c r="E35" s="86">
        <v>1</v>
      </c>
      <c r="F35" s="87" t="s">
        <v>20</v>
      </c>
      <c r="G35" s="71"/>
      <c r="H35" s="18"/>
      <c r="I35" s="19"/>
    </row>
    <row r="36" spans="1:9" ht="18.75" x14ac:dyDescent="0.3">
      <c r="A36" s="47"/>
      <c r="B36" s="48"/>
      <c r="C36" s="69"/>
      <c r="D36" s="78"/>
      <c r="E36" s="71"/>
      <c r="F36" s="52"/>
      <c r="G36" s="71"/>
      <c r="H36" s="18"/>
      <c r="I36" s="19"/>
    </row>
    <row r="37" spans="1:9" ht="18.75" x14ac:dyDescent="0.3">
      <c r="A37" s="47"/>
      <c r="B37" s="48"/>
      <c r="C37" s="69"/>
      <c r="D37" s="50"/>
      <c r="E37" s="50"/>
      <c r="F37" s="52"/>
      <c r="G37" s="50"/>
      <c r="H37" s="50"/>
      <c r="I37" s="19"/>
    </row>
    <row r="38" spans="1:9" ht="18.75" thickBot="1" x14ac:dyDescent="0.3">
      <c r="A38" s="88"/>
      <c r="B38" s="89"/>
      <c r="C38" s="90"/>
      <c r="D38" s="90"/>
      <c r="E38" s="91"/>
      <c r="F38" s="92"/>
      <c r="G38" s="90"/>
      <c r="H38" s="90"/>
      <c r="I38" s="93"/>
    </row>
    <row r="39" spans="1:9" ht="18.75" thickBot="1" x14ac:dyDescent="0.3">
      <c r="A39" s="94"/>
      <c r="B39" s="95"/>
      <c r="C39" s="96"/>
      <c r="D39" s="97" t="s">
        <v>10</v>
      </c>
      <c r="E39" s="98" t="s">
        <v>29</v>
      </c>
      <c r="F39" s="99"/>
      <c r="G39" s="96"/>
      <c r="H39" s="96"/>
      <c r="I39" s="100"/>
    </row>
    <row r="40" spans="1:9" ht="18" x14ac:dyDescent="0.25">
      <c r="A40" s="140" t="s">
        <v>31</v>
      </c>
      <c r="B40" s="141"/>
      <c r="C40" s="142"/>
      <c r="D40" s="62">
        <v>726</v>
      </c>
      <c r="E40" s="101" t="s">
        <v>15</v>
      </c>
      <c r="F40" s="143" t="s">
        <v>36</v>
      </c>
      <c r="G40" s="143"/>
      <c r="H40" s="144"/>
      <c r="I40" s="145"/>
    </row>
    <row r="41" spans="1:9" ht="18.75" x14ac:dyDescent="0.3">
      <c r="A41" s="146" t="s">
        <v>30</v>
      </c>
      <c r="B41" s="147"/>
      <c r="C41" s="148"/>
      <c r="D41" s="32">
        <v>7</v>
      </c>
      <c r="E41" s="102" t="s">
        <v>90</v>
      </c>
      <c r="F41" s="103"/>
      <c r="G41" s="103" t="s">
        <v>91</v>
      </c>
      <c r="H41" s="104"/>
      <c r="I41" s="1"/>
    </row>
    <row r="42" spans="1:9" ht="18" x14ac:dyDescent="0.25">
      <c r="A42" s="146" t="s">
        <v>37</v>
      </c>
      <c r="B42" s="147"/>
      <c r="C42" s="148"/>
      <c r="D42" s="32">
        <v>1</v>
      </c>
      <c r="E42" s="32" t="s">
        <v>38</v>
      </c>
      <c r="F42" s="152" t="s">
        <v>39</v>
      </c>
      <c r="G42" s="152"/>
      <c r="H42" s="153"/>
      <c r="I42" s="154"/>
    </row>
    <row r="43" spans="1:9" ht="18" x14ac:dyDescent="0.25">
      <c r="A43" s="146" t="s">
        <v>40</v>
      </c>
      <c r="B43" s="147"/>
      <c r="C43" s="148"/>
      <c r="D43" s="54">
        <v>726</v>
      </c>
      <c r="E43" s="32" t="s">
        <v>15</v>
      </c>
      <c r="F43" s="155" t="s">
        <v>41</v>
      </c>
      <c r="G43" s="156"/>
      <c r="H43" s="157"/>
      <c r="I43" s="158"/>
    </row>
    <row r="44" spans="1:9" ht="18.75" thickBot="1" x14ac:dyDescent="0.3">
      <c r="A44" s="159" t="s">
        <v>32</v>
      </c>
      <c r="B44" s="160"/>
      <c r="C44" s="161"/>
      <c r="D44" s="105">
        <f>SUM(E10:E24)-D40</f>
        <v>64</v>
      </c>
      <c r="E44" s="106" t="s">
        <v>15</v>
      </c>
      <c r="F44" s="162"/>
      <c r="G44" s="162"/>
      <c r="H44" s="153"/>
      <c r="I44" s="154"/>
    </row>
    <row r="45" spans="1:9" ht="18.75" thickBot="1" x14ac:dyDescent="0.3">
      <c r="A45" s="163" t="s">
        <v>33</v>
      </c>
      <c r="B45" s="164"/>
      <c r="C45" s="164"/>
      <c r="D45" s="164"/>
      <c r="E45" s="164"/>
      <c r="F45" s="164"/>
      <c r="G45" s="164"/>
      <c r="H45" s="164"/>
      <c r="I45" s="165"/>
    </row>
    <row r="46" spans="1:9" ht="18.600000000000001" customHeight="1" x14ac:dyDescent="0.25">
      <c r="A46" s="166" t="s">
        <v>66</v>
      </c>
      <c r="B46" s="167"/>
      <c r="C46" s="167"/>
      <c r="D46" s="167"/>
      <c r="E46" s="167"/>
      <c r="F46" s="167"/>
      <c r="G46" s="167"/>
      <c r="H46" s="167"/>
      <c r="I46" s="168"/>
    </row>
    <row r="47" spans="1:9" ht="18" x14ac:dyDescent="0.25">
      <c r="A47" s="149" t="s">
        <v>34</v>
      </c>
      <c r="B47" s="150"/>
      <c r="C47" s="150"/>
      <c r="D47" s="150"/>
      <c r="E47" s="150"/>
      <c r="F47" s="150"/>
      <c r="G47" s="150"/>
      <c r="H47" s="150"/>
      <c r="I47" s="151"/>
    </row>
    <row r="48" spans="1:9" ht="18" x14ac:dyDescent="0.25">
      <c r="A48" s="174" t="s">
        <v>92</v>
      </c>
      <c r="B48" s="175"/>
      <c r="C48" s="175"/>
      <c r="D48" s="175"/>
      <c r="E48" s="175"/>
      <c r="F48" s="175"/>
      <c r="G48" s="175"/>
      <c r="H48" s="175"/>
      <c r="I48" s="176"/>
    </row>
    <row r="49" spans="1:9" ht="18.75" thickBot="1" x14ac:dyDescent="0.3">
      <c r="A49" s="177" t="s">
        <v>42</v>
      </c>
      <c r="B49" s="178"/>
      <c r="C49" s="178"/>
      <c r="D49" s="178"/>
      <c r="E49" s="178"/>
      <c r="F49" s="178"/>
      <c r="G49" s="178"/>
      <c r="H49" s="178"/>
      <c r="I49" s="179"/>
    </row>
    <row r="50" spans="1:9" ht="14.45" customHeight="1" x14ac:dyDescent="0.3">
      <c r="A50" s="180"/>
      <c r="B50" s="181"/>
      <c r="C50" s="181"/>
      <c r="D50" s="181"/>
      <c r="E50" s="181"/>
      <c r="F50" s="181"/>
      <c r="G50" s="181"/>
      <c r="H50" s="181"/>
      <c r="I50" s="182"/>
    </row>
    <row r="51" spans="1:9" ht="14.45" customHeight="1" thickBot="1" x14ac:dyDescent="0.3">
      <c r="A51" s="183"/>
      <c r="B51" s="184"/>
      <c r="C51" s="185"/>
      <c r="D51" s="185"/>
      <c r="E51" s="185"/>
      <c r="F51" s="185"/>
      <c r="G51" s="185"/>
      <c r="H51" s="185"/>
      <c r="I51" s="186"/>
    </row>
    <row r="52" spans="1:9" ht="18" customHeight="1" x14ac:dyDescent="0.25">
      <c r="A52" s="174"/>
      <c r="B52" s="175"/>
      <c r="C52" s="175"/>
      <c r="D52" s="175"/>
      <c r="E52" s="175"/>
      <c r="F52" s="175"/>
      <c r="G52" s="175"/>
      <c r="H52" s="175"/>
      <c r="I52" s="187"/>
    </row>
    <row r="53" spans="1:9" ht="18.75" thickBot="1" x14ac:dyDescent="0.3">
      <c r="A53" s="188"/>
      <c r="B53" s="189"/>
      <c r="C53" s="189"/>
      <c r="D53" s="189"/>
      <c r="E53" s="189"/>
      <c r="F53" s="189"/>
      <c r="G53" s="189"/>
      <c r="H53" s="189"/>
      <c r="I53" s="190"/>
    </row>
    <row r="54" spans="1:9" ht="19.5" thickBot="1" x14ac:dyDescent="0.35">
      <c r="A54" s="169"/>
      <c r="B54" s="170"/>
      <c r="C54" s="170"/>
      <c r="D54" s="170"/>
      <c r="E54" s="170"/>
      <c r="F54" s="170"/>
      <c r="G54" s="170"/>
      <c r="H54" s="170"/>
      <c r="I54" s="171"/>
    </row>
    <row r="55" spans="1:9" ht="18" x14ac:dyDescent="0.25">
      <c r="A55" s="172" t="s">
        <v>35</v>
      </c>
      <c r="B55" s="173"/>
      <c r="C55" s="173"/>
      <c r="D55" s="173"/>
      <c r="E55" s="173"/>
      <c r="F55" s="173"/>
      <c r="G55" s="173"/>
      <c r="H55" s="173"/>
      <c r="I55" s="173"/>
    </row>
    <row r="56" spans="1:9" ht="18" x14ac:dyDescent="0.25">
      <c r="A56" s="113" t="s">
        <v>87</v>
      </c>
      <c r="B56" s="114"/>
      <c r="C56" s="114"/>
      <c r="D56" s="114"/>
      <c r="E56" s="114"/>
      <c r="F56" s="114"/>
      <c r="G56" s="114"/>
      <c r="H56" s="114"/>
      <c r="I56" s="115"/>
    </row>
    <row r="57" spans="1:9" ht="18" x14ac:dyDescent="0.25">
      <c r="A57" s="113" t="s">
        <v>93</v>
      </c>
      <c r="B57" s="114"/>
      <c r="C57" s="114"/>
      <c r="D57" s="114"/>
      <c r="E57" s="114"/>
      <c r="F57" s="114"/>
      <c r="G57" s="114"/>
      <c r="H57" s="114"/>
      <c r="I57" s="115"/>
    </row>
  </sheetData>
  <mergeCells count="43"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53:I53"/>
    <mergeCell ref="A40:C40"/>
    <mergeCell ref="F40:G40"/>
    <mergeCell ref="H40:I40"/>
    <mergeCell ref="A41:C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92596B-AA18-46D9-A5EC-59AE30227B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E9DF7F-37F0-4C79-A7BF-05FDDDF9BF5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36A9A47-27A1-454A-9AAC-34E37FFE8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2025-03-25T22:34:49Z</cp:lastPrinted>
  <dcterms:created xsi:type="dcterms:W3CDTF">2021-06-10T18:19:06Z</dcterms:created>
  <dcterms:modified xsi:type="dcterms:W3CDTF">2025-03-25T22:34:51Z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783400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
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2" documentId="8_{CD35BFDB-39B7-4910-9363-3176FA9FE591}" xr6:coauthVersionLast="47" xr6:coauthVersionMax="47" xr10:uidLastSave="{25F6F392-45BB-4635-9009-70A609B63828}"/>
  <bookViews>
    <workbookView xWindow="-120" yWindow="-120" windowWidth="20730" windowHeight="11040" xr2:uid="{0E74A515-377F-48BD-8D83-79DCC85D6C65}"/>
  </bookViews>
  <sheets>
    <sheet name="Hoja1" sheetId="1" r:id="rId1"/>
  </sheets>
  <definedNames>
    <definedName name="_xlnm.Print_Area" localSheetId="0">Hoja1!$A$1:$I$39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3" i="1" l="1"/>
  <c r="J16" i="1"/>
  <c r="J17" i="1"/>
  <c r="J15" i="1"/>
  <c r="J10" i="1"/>
  <c r="D25" i="1" l="1"/>
</calcChain>
</file>

<file path=xl/sharedStrings.xml><?xml version="1.0" encoding="utf-8"?>
<sst xmlns="http://schemas.openxmlformats.org/spreadsheetml/2006/main" count="62" uniqueCount="53">
  <si>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</si>
  <si>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</si>
  <si>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</si>
  <si>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</si>
  <si>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</si>
  <si>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</si>
  <si>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</si>
  <si>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</si>
  <si>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</si>
  <si>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</si>
  <si>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</si>
  <si>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</si>
  <si>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</si>
  <si>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</si>
  <si>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</si>
  <si>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</si>
  <si>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</si>
  <si>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</si>
  <si>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</si>
  <si>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</si>
  <si>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</si>
  <si>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</si>
  <si>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</si>
  <si>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</si>
  <si>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</si>
  <si>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</si>
  <si>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</si>
  <si>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ETIPLAST</t>
  </si>
  <si>
    <t>EMPAQUE</t>
  </si>
  <si>
    <t>Enmanuel Madrigal, Chef</t>
  </si>
  <si>
    <t xml:space="preserve">Cocina </t>
  </si>
  <si>
    <t>Ud</t>
  </si>
  <si>
    <t>CONTROL DE CAMBIOS</t>
  </si>
  <si>
    <t>ud</t>
  </si>
  <si>
    <t>FAS</t>
  </si>
  <si>
    <t>PLASTICOS P</t>
  </si>
  <si>
    <t>ETIQ.BLANCA 1 13/16 * 1 7/8 (UND)</t>
  </si>
  <si>
    <t>ETIQ.FECHA VENCIMIENTO BLANCO (ROLLO)</t>
  </si>
  <si>
    <t>2- Hacer nudo</t>
  </si>
  <si>
    <t>3- Etiquetar con nombre y fecha de vencimiento, mantener en refrigeración hasta su uso</t>
  </si>
  <si>
    <t xml:space="preserve">CARNE DE CERDO PARA TAMALES 9280G </t>
  </si>
  <si>
    <t xml:space="preserve">1- Colocar en una bolsa 12x18 3500g de cerdo en cubos </t>
  </si>
  <si>
    <t>Esteban Cartin, Gte Manufactura</t>
  </si>
  <si>
    <t>EM10120</t>
  </si>
  <si>
    <t>EM10004</t>
  </si>
  <si>
    <t>SE00558</t>
  </si>
  <si>
    <t>Empaque Cerdo Tamales 3500g 90100052 (SE00561)</t>
  </si>
  <si>
    <t># Código Netsuite</t>
  </si>
  <si>
    <t>ESP-RE-EMPS-088</t>
  </si>
  <si>
    <t>EM10013</t>
  </si>
  <si>
    <t>Bolsa 17X25 Transparente</t>
  </si>
  <si>
    <t>Revision #2: Actualizacion de la bolsa.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</si>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</sst>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00"/>
    <numFmt numFmtId="166" formatCode="_([$€-2]* #,##0.00_);_([$€-2]* \(#,##0.00\);_([$€-2]* &quot;-&quot;??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2"/>
      <color rgb="FFFF0000"/>
      <name val="Arial"/>
      <family val="2"/>
    </font>
    <font>
      <b/>
      <sz val="16"/>
      <color indexed="8"/>
      <name val="Arial"/>
      <family val="2"/>
    </font>
    <font>
      <b/>
      <i/>
      <sz val="20"/>
      <name val="Arial"/>
      <family val="2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3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2" applyFill="1"/>
    <xf numFmtId="0" fontId="2" fillId="3" borderId="25" xfId="0" applyFont="1" applyFill="1" applyBorder="1" applyAlignment="1">
      <alignment horizontal="center"/>
    </xf>
    <xf numFmtId="1" fontId="2" fillId="3" borderId="11" xfId="0" applyNumberFormat="1" applyFont="1" applyFill="1" applyBorder="1" applyAlignment="1">
      <alignment horizontal="center" wrapText="1"/>
    </xf>
    <xf numFmtId="1" fontId="2" fillId="3" borderId="11" xfId="0" applyNumberFormat="1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2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1" xfId="3" applyFont="1" applyFill="1" applyBorder="1" applyAlignment="1">
      <alignment horizontal="right"/>
    </xf>
    <xf numFmtId="0" fontId="1" fillId="2" borderId="16" xfId="3" applyFont="1" applyFill="1" applyBorder="1" applyAlignment="1">
      <alignment horizontal="right"/>
    </xf>
    <xf numFmtId="49" fontId="1" fillId="2" borderId="23" xfId="3" applyNumberFormat="1" applyFont="1" applyFill="1" applyBorder="1" applyAlignment="1">
      <alignment horizontal="center"/>
    </xf>
    <xf numFmtId="0" fontId="2" fillId="2" borderId="16" xfId="3" applyFont="1" applyFill="1" applyBorder="1" applyAlignment="1">
      <alignment horizontal="right"/>
    </xf>
    <xf numFmtId="0" fontId="1" fillId="2" borderId="26" xfId="3" applyFont="1" applyFill="1" applyBorder="1" applyAlignment="1">
      <alignment horizontal="center"/>
    </xf>
    <xf numFmtId="0" fontId="2" fillId="2" borderId="27" xfId="3" applyFont="1" applyFill="1" applyBorder="1" applyAlignment="1">
      <alignment horizontal="right"/>
    </xf>
    <xf numFmtId="0" fontId="6" fillId="0" borderId="16" xfId="0" applyFont="1" applyBorder="1" applyAlignment="1">
      <alignment horizontal="center" vertical="top"/>
    </xf>
    <xf numFmtId="0" fontId="6" fillId="0" borderId="16" xfId="0" applyFont="1" applyBorder="1" applyAlignment="1">
      <alignment vertical="top"/>
    </xf>
    <xf numFmtId="0" fontId="7" fillId="4" borderId="16" xfId="0" applyFont="1" applyFill="1" applyBorder="1" applyAlignment="1">
      <alignment horizontal="center" vertical="center"/>
    </xf>
    <xf numFmtId="1" fontId="7" fillId="4" borderId="16" xfId="0" applyNumberFormat="1" applyFont="1" applyFill="1" applyBorder="1" applyAlignment="1">
      <alignment horizontal="center"/>
    </xf>
    <xf numFmtId="1" fontId="7" fillId="4" borderId="16" xfId="0" applyNumberFormat="1" applyFont="1" applyFill="1" applyBorder="1" applyAlignment="1">
      <alignment horizontal="center" wrapText="1"/>
    </xf>
    <xf numFmtId="1" fontId="7" fillId="0" borderId="16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16" fontId="7" fillId="0" borderId="16" xfId="1" applyNumberFormat="1" applyFont="1" applyBorder="1" applyAlignment="1">
      <alignment horizontal="center" vertical="center"/>
    </xf>
    <xf numFmtId="1" fontId="7" fillId="0" borderId="16" xfId="1" applyNumberFormat="1" applyFont="1" applyBorder="1" applyAlignment="1">
      <alignment horizontal="center" vertical="center"/>
    </xf>
    <xf numFmtId="1" fontId="7" fillId="0" borderId="16" xfId="1" applyNumberFormat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/>
    </xf>
    <xf numFmtId="49" fontId="7" fillId="0" borderId="16" xfId="1" applyNumberFormat="1" applyFont="1" applyBorder="1"/>
    <xf numFmtId="16" fontId="7" fillId="0" borderId="16" xfId="1" applyNumberFormat="1" applyFont="1" applyBorder="1" applyAlignment="1">
      <alignment horizontal="center"/>
    </xf>
    <xf numFmtId="0" fontId="7" fillId="0" borderId="24" xfId="1" applyFont="1" applyBorder="1" applyAlignment="1">
      <alignment horizontal="center" vertical="center"/>
    </xf>
    <xf numFmtId="49" fontId="7" fillId="0" borderId="24" xfId="1" applyNumberFormat="1" applyFont="1" applyBorder="1" applyAlignment="1">
      <alignment horizontal="center"/>
    </xf>
    <xf numFmtId="49" fontId="7" fillId="0" borderId="15" xfId="1" applyNumberFormat="1" applyFont="1" applyBorder="1" applyAlignment="1">
      <alignment horizontal="center"/>
    </xf>
    <xf numFmtId="1" fontId="7" fillId="0" borderId="16" xfId="1" applyNumberFormat="1" applyFont="1" applyBorder="1" applyAlignment="1">
      <alignment horizontal="center"/>
    </xf>
    <xf numFmtId="1" fontId="7" fillId="0" borderId="16" xfId="1" applyNumberFormat="1" applyFont="1" applyBorder="1" applyAlignment="1">
      <alignment horizontal="center" wrapText="1"/>
    </xf>
    <xf numFmtId="49" fontId="7" fillId="4" borderId="24" xfId="0" applyNumberFormat="1" applyFont="1" applyFill="1" applyBorder="1" applyAlignment="1">
      <alignment horizontal="right"/>
    </xf>
    <xf numFmtId="49" fontId="7" fillId="4" borderId="15" xfId="0" applyNumberFormat="1" applyFont="1" applyFill="1" applyBorder="1" applyAlignment="1">
      <alignment horizontal="right"/>
    </xf>
    <xf numFmtId="49" fontId="7" fillId="4" borderId="16" xfId="0" applyNumberFormat="1" applyFont="1" applyFill="1" applyBorder="1"/>
    <xf numFmtId="0" fontId="7" fillId="0" borderId="16" xfId="0" applyFont="1" applyBorder="1"/>
    <xf numFmtId="0" fontId="7" fillId="0" borderId="23" xfId="0" applyFont="1" applyBorder="1" applyAlignment="1">
      <alignment horizontal="center"/>
    </xf>
    <xf numFmtId="0" fontId="7" fillId="0" borderId="24" xfId="0" quotePrefix="1" applyFont="1" applyBorder="1" applyAlignment="1">
      <alignment horizontal="right"/>
    </xf>
    <xf numFmtId="0" fontId="7" fillId="0" borderId="15" xfId="0" quotePrefix="1" applyFont="1" applyBorder="1" applyAlignment="1">
      <alignment horizontal="right"/>
    </xf>
    <xf numFmtId="0" fontId="7" fillId="0" borderId="16" xfId="0" quotePrefix="1" applyFont="1" applyBorder="1"/>
    <xf numFmtId="1" fontId="7" fillId="0" borderId="16" xfId="0" applyNumberFormat="1" applyFont="1" applyBorder="1" applyAlignment="1">
      <alignment horizontal="center" wrapText="1"/>
    </xf>
    <xf numFmtId="49" fontId="6" fillId="2" borderId="22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0" fontId="7" fillId="2" borderId="0" xfId="0" applyFont="1" applyFill="1"/>
    <xf numFmtId="1" fontId="7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wrapText="1"/>
    </xf>
    <xf numFmtId="0" fontId="7" fillId="2" borderId="21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8" fillId="3" borderId="7" xfId="0" applyFont="1" applyFill="1" applyBorder="1" applyAlignment="1">
      <alignment horizontal="center"/>
    </xf>
    <xf numFmtId="1" fontId="8" fillId="3" borderId="7" xfId="0" applyNumberFormat="1" applyFont="1" applyFill="1" applyBorder="1" applyAlignment="1">
      <alignment horizontal="center"/>
    </xf>
    <xf numFmtId="165" fontId="7" fillId="3" borderId="7" xfId="0" applyNumberFormat="1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/>
    </xf>
    <xf numFmtId="1" fontId="7" fillId="4" borderId="19" xfId="0" applyNumberFormat="1" applyFont="1" applyFill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1" fontId="7" fillId="4" borderId="11" xfId="0" applyNumberFormat="1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14" fontId="9" fillId="2" borderId="0" xfId="3" applyNumberFormat="1" applyFont="1" applyFill="1" applyAlignment="1">
      <alignment horizontal="center" vertical="center" wrapText="1"/>
    </xf>
    <xf numFmtId="0" fontId="10" fillId="0" borderId="16" xfId="0" applyFont="1" applyBorder="1" applyAlignment="1">
      <alignment vertical="top"/>
    </xf>
    <xf numFmtId="0" fontId="12" fillId="0" borderId="0" xfId="0" applyFont="1"/>
    <xf numFmtId="0" fontId="12" fillId="0" borderId="0" xfId="0" applyFont="1" applyAlignment="1">
      <alignment horizontal="center"/>
    </xf>
    <xf numFmtId="0" fontId="8" fillId="0" borderId="17" xfId="0" applyFont="1" applyBorder="1" applyAlignment="1">
      <alignment horizontal="right"/>
    </xf>
    <xf numFmtId="0" fontId="8" fillId="0" borderId="30" xfId="0" applyFont="1" applyBorder="1" applyAlignment="1">
      <alignment horizontal="right"/>
    </xf>
    <xf numFmtId="0" fontId="8" fillId="0" borderId="15" xfId="0" applyFont="1" applyBorder="1" applyAlignment="1">
      <alignment horizontal="right"/>
    </xf>
    <xf numFmtId="0" fontId="7" fillId="0" borderId="16" xfId="0" applyFont="1" applyBorder="1" applyAlignment="1">
      <alignment horizontal="right"/>
    </xf>
    <xf numFmtId="165" fontId="7" fillId="0" borderId="14" xfId="0" applyNumberFormat="1" applyFont="1" applyBorder="1" applyAlignment="1">
      <alignment horizontal="center"/>
    </xf>
    <xf numFmtId="165" fontId="7" fillId="0" borderId="13" xfId="0" applyNumberFormat="1" applyFont="1" applyBorder="1" applyAlignment="1">
      <alignment horizontal="center"/>
    </xf>
    <xf numFmtId="0" fontId="7" fillId="0" borderId="22" xfId="1" applyFont="1" applyBorder="1" applyAlignment="1">
      <alignment horizontal="left"/>
    </xf>
    <xf numFmtId="0" fontId="7" fillId="0" borderId="0" xfId="1" applyFont="1" applyAlignment="1">
      <alignment horizontal="left"/>
    </xf>
    <xf numFmtId="0" fontId="7" fillId="0" borderId="21" xfId="1" applyFont="1" applyBorder="1" applyAlignment="1">
      <alignment horizontal="left"/>
    </xf>
    <xf numFmtId="0" fontId="8" fillId="0" borderId="12" xfId="0" applyFont="1" applyBorder="1" applyAlignment="1">
      <alignment horizontal="right"/>
    </xf>
    <xf numFmtId="0" fontId="8" fillId="0" borderId="31" xfId="0" applyFont="1" applyBorder="1" applyAlignment="1">
      <alignment horizontal="right"/>
    </xf>
    <xf numFmtId="0" fontId="8" fillId="0" borderId="11" xfId="0" applyFont="1" applyBorder="1" applyAlignment="1">
      <alignment horizontal="right"/>
    </xf>
    <xf numFmtId="0" fontId="7" fillId="0" borderId="5" xfId="1" applyFont="1" applyBorder="1" applyAlignment="1">
      <alignment horizontal="left"/>
    </xf>
    <xf numFmtId="0" fontId="7" fillId="0" borderId="4" xfId="1" applyFont="1" applyBorder="1" applyAlignment="1">
      <alignment horizontal="left"/>
    </xf>
    <xf numFmtId="0" fontId="7" fillId="0" borderId="3" xfId="1" applyFont="1" applyBorder="1" applyAlignment="1">
      <alignment horizontal="left"/>
    </xf>
    <xf numFmtId="0" fontId="8" fillId="0" borderId="5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8" fillId="0" borderId="20" xfId="0" applyFont="1" applyBorder="1" applyAlignment="1">
      <alignment horizontal="right"/>
    </xf>
    <xf numFmtId="165" fontId="7" fillId="0" borderId="19" xfId="0" applyNumberFormat="1" applyFont="1" applyBorder="1" applyAlignment="1">
      <alignment horizontal="right"/>
    </xf>
    <xf numFmtId="0" fontId="7" fillId="2" borderId="18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0" xfId="3" applyFont="1" applyFill="1" applyAlignment="1">
      <alignment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2" borderId="29" xfId="3" applyFont="1" applyFill="1" applyBorder="1" applyAlignment="1">
      <alignment horizontal="center"/>
    </xf>
    <xf numFmtId="0" fontId="1" fillId="2" borderId="32" xfId="3" applyFont="1" applyFill="1" applyBorder="1" applyAlignment="1">
      <alignment horizontal="center"/>
    </xf>
    <xf numFmtId="0" fontId="1" fillId="2" borderId="22" xfId="3" applyFont="1" applyFill="1" applyBorder="1" applyAlignment="1">
      <alignment horizontal="center"/>
    </xf>
    <xf numFmtId="0" fontId="1" fillId="2" borderId="33" xfId="3" applyFont="1" applyFill="1" applyBorder="1" applyAlignment="1">
      <alignment horizontal="center"/>
    </xf>
    <xf numFmtId="0" fontId="1" fillId="2" borderId="2" xfId="3" applyFont="1" applyFill="1" applyBorder="1" applyAlignment="1">
      <alignment horizontal="center"/>
    </xf>
    <xf numFmtId="0" fontId="1" fillId="2" borderId="34" xfId="3" applyFont="1" applyFill="1" applyBorder="1" applyAlignment="1">
      <alignment horizontal="center"/>
    </xf>
    <xf numFmtId="0" fontId="7" fillId="0" borderId="11" xfId="0" applyFont="1" applyBorder="1" applyAlignment="1">
      <alignment horizontal="right"/>
    </xf>
    <xf numFmtId="165" fontId="7" fillId="0" borderId="10" xfId="0" applyNumberFormat="1" applyFont="1" applyBorder="1" applyAlignment="1">
      <alignment horizontal="center"/>
    </xf>
    <xf numFmtId="165" fontId="7" fillId="0" borderId="9" xfId="0" applyNumberFormat="1" applyFont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14" fontId="1" fillId="2" borderId="23" xfId="3" applyNumberFormat="1" applyFont="1" applyFill="1" applyBorder="1" applyAlignment="1">
      <alignment horizontal="center" vertical="center" wrapText="1"/>
    </xf>
    <xf numFmtId="14" fontId="1" fillId="2" borderId="25" xfId="3" applyNumberFormat="1" applyFont="1" applyFill="1" applyBorder="1" applyAlignment="1">
      <alignment horizontal="center" vertical="center" wrapText="1"/>
    </xf>
    <xf numFmtId="0" fontId="1" fillId="2" borderId="16" xfId="3" applyFont="1" applyFill="1" applyBorder="1" applyAlignment="1">
      <alignment horizontal="left"/>
    </xf>
    <xf numFmtId="0" fontId="1" fillId="2" borderId="11" xfId="3" applyFont="1" applyFill="1" applyBorder="1" applyAlignment="1">
      <alignment horizontal="left"/>
    </xf>
    <xf numFmtId="0" fontId="4" fillId="2" borderId="27" xfId="3" applyFont="1" applyFill="1" applyBorder="1" applyAlignment="1">
      <alignment horizontal="center"/>
    </xf>
    <xf numFmtId="0" fontId="4" fillId="2" borderId="16" xfId="3" applyFont="1" applyFill="1" applyBorder="1" applyAlignment="1">
      <alignment horizontal="center"/>
    </xf>
    <xf numFmtId="0" fontId="11" fillId="5" borderId="16" xfId="3" applyFont="1" applyFill="1" applyBorder="1" applyAlignment="1">
      <alignment horizontal="center" vertical="center" wrapText="1"/>
    </xf>
    <xf numFmtId="0" fontId="2" fillId="2" borderId="16" xfId="3" applyFont="1" applyFill="1" applyBorder="1" applyAlignment="1">
      <alignment horizontal="right" vertical="top" wrapText="1"/>
    </xf>
    <xf numFmtId="0" fontId="2" fillId="2" borderId="11" xfId="3" applyFont="1" applyFill="1" applyBorder="1" applyAlignment="1">
      <alignment horizontal="right" vertical="top" wrapText="1"/>
    </xf>
    <xf numFmtId="0" fontId="4" fillId="2" borderId="0" xfId="3" applyFont="1" applyFill="1" applyAlignment="1">
      <alignment horizontal="right"/>
    </xf>
    <xf numFmtId="0" fontId="9" fillId="2" borderId="1" xfId="3" applyFont="1" applyFill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wrapText="1"/>
    </xf>
    <xf numFmtId="165" fontId="7" fillId="0" borderId="30" xfId="0" applyNumberFormat="1" applyFont="1" applyBorder="1" applyAlignment="1">
      <alignment horizontal="center" wrapText="1"/>
    </xf>
    <xf numFmtId="165" fontId="7" fillId="0" borderId="13" xfId="0" applyNumberFormat="1" applyFont="1" applyBorder="1" applyAlignment="1">
      <alignment horizontal="center" wrapText="1"/>
    </xf>
    <xf numFmtId="0" fontId="6" fillId="2" borderId="14" xfId="1" applyFont="1" applyFill="1" applyBorder="1" applyAlignment="1">
      <alignment horizontal="left" vertical="center"/>
    </xf>
    <xf numFmtId="0" fontId="6" fillId="2" borderId="30" xfId="1" applyFont="1" applyFill="1" applyBorder="1" applyAlignment="1">
      <alignment horizontal="left" vertical="center"/>
    </xf>
    <xf numFmtId="0" fontId="6" fillId="2" borderId="15" xfId="1" applyFont="1" applyFill="1" applyBorder="1" applyAlignment="1">
      <alignment horizontal="left" vertical="center"/>
    </xf>
    <xf numFmtId="0" fontId="8" fillId="3" borderId="16" xfId="1" applyFont="1" applyFill="1" applyBorder="1" applyAlignment="1">
      <alignment horizontal="center" vertical="center"/>
    </xf>
  </cellXfs>
  <cellStyles count="7">
    <cellStyle name="Euro" xfId="6" xr:uid="{89DB03C0-8E7D-4CA1-A8DB-88CD75D469C8}"/>
    <cellStyle name="Millares [0] 2" xfId="5" xr:uid="{55D46361-3F2D-4390-A261-A8C58F73FC04}"/>
    <cellStyle name="Normal" xfId="0" builtinId="0"/>
    <cellStyle name="Normal 2" xfId="1" xr:uid="{A414BF83-82D8-4775-BF0A-E0EF2CF92E6C}"/>
    <cellStyle name="Normal 3" xfId="4" xr:uid="{1C77703A-628D-4060-A735-A1DFE94ADE55}"/>
    <cellStyle name="Normal_CRITERIOS DE EVALUACION PT DE GB 2" xfId="3" xr:uid="{78D7CF0F-3A69-4F4C-9135-A844C38B431B}"/>
    <cellStyle name="Porcentaje 2" xfId="2" xr:uid="{4D9B779D-8EC6-4BE0-B580-22B510559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137513</xdr:colOff>
      <xdr:row>0</xdr:row>
      <xdr:rowOff>97105</xdr:rowOff>
    </xdr:from>
    <xdr:to>
      <xdr:col>1</xdr:col>
      <xdr:colOff>1047749</xdr:colOff>
      <xdr:row>4</xdr:row>
      <xdr:rowOff>47624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36204B21-BF6C-4333-8C63-70121837C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13" y="97105"/>
          <a:ext cx="2029424" cy="891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83A2-20D8-4487-8B73-3AAF8181906C}">
  <sheetPr>
    <pageSetUpPr fitToPage="1"/>
  </sheetPr>
  <dimension ref="A1:M39"/>
  <sheetViews>
    <sheetView tabSelected="1" zoomScale="80" zoomScaleNormal="80" workbookViewId="0">
      <selection activeCell="C1" sqref="C1:G1"/>
    </sheetView>
  </sheetViews>
  <sheetFormatPr baseColWidth="10" defaultColWidth="11.42578125" defaultRowHeight="12.75" x14ac:dyDescent="0.2"/>
  <cols>
    <col min="1" max="1" width="16.85546875" style="1" bestFit="1" customWidth="1"/>
    <col min="2" max="2" width="18.7109375" style="1" bestFit="1" customWidth="1"/>
    <col min="3" max="3" width="65" style="1" customWidth="1"/>
    <col min="4" max="4" width="20.85546875" style="1" bestFit="1" customWidth="1"/>
    <col min="5" max="5" width="15.140625" style="1" customWidth="1"/>
    <col min="6" max="6" width="14.28515625" style="1" customWidth="1"/>
    <col min="7" max="7" width="12.5703125" style="1" customWidth="1"/>
    <col min="8" max="8" width="15.5703125" style="1" customWidth="1"/>
    <col min="9" max="9" width="18.42578125" style="1" customWidth="1"/>
    <col min="10" max="16384" width="11.42578125" style="1"/>
  </cols>
  <sheetData>
    <row r="1" spans="1:10" ht="18" x14ac:dyDescent="0.25">
      <c r="A1" s="100"/>
      <c r="B1" s="101"/>
      <c r="C1" s="116" t="s">
        <v>26</v>
      </c>
      <c r="D1" s="116"/>
      <c r="E1" s="116"/>
      <c r="F1" s="116"/>
      <c r="G1" s="116"/>
      <c r="H1" s="18" t="s">
        <v>25</v>
      </c>
      <c r="I1" s="17" t="s">
        <v>48</v>
      </c>
    </row>
    <row r="2" spans="1:10" ht="18" x14ac:dyDescent="0.25">
      <c r="A2" s="102"/>
      <c r="B2" s="103"/>
      <c r="C2" s="117" t="s">
        <v>24</v>
      </c>
      <c r="D2" s="117"/>
      <c r="E2" s="117"/>
      <c r="F2" s="117"/>
      <c r="G2" s="117"/>
      <c r="H2" s="16" t="s">
        <v>23</v>
      </c>
      <c r="I2" s="15" t="s">
        <v>52</v>
      </c>
    </row>
    <row r="3" spans="1:10" ht="24.75" customHeight="1" x14ac:dyDescent="0.2">
      <c r="A3" s="102"/>
      <c r="B3" s="103"/>
      <c r="C3" s="118" t="s">
        <v>46</v>
      </c>
      <c r="D3" s="118"/>
      <c r="E3" s="118"/>
      <c r="F3" s="118"/>
      <c r="G3" s="118"/>
      <c r="H3" s="119" t="s">
        <v>22</v>
      </c>
      <c r="I3" s="112">
        <v>45945</v>
      </c>
    </row>
    <row r="4" spans="1:10" ht="14.45" customHeight="1" x14ac:dyDescent="0.2">
      <c r="A4" s="102"/>
      <c r="B4" s="103"/>
      <c r="C4" s="14" t="s">
        <v>21</v>
      </c>
      <c r="D4" s="114" t="s">
        <v>29</v>
      </c>
      <c r="E4" s="114"/>
      <c r="F4" s="114"/>
      <c r="G4" s="114"/>
      <c r="H4" s="119"/>
      <c r="I4" s="112"/>
    </row>
    <row r="5" spans="1:10" ht="15" customHeight="1" thickBot="1" x14ac:dyDescent="0.25">
      <c r="A5" s="104"/>
      <c r="B5" s="105"/>
      <c r="C5" s="13" t="s">
        <v>20</v>
      </c>
      <c r="D5" s="115" t="s">
        <v>42</v>
      </c>
      <c r="E5" s="115"/>
      <c r="F5" s="115"/>
      <c r="G5" s="115"/>
      <c r="H5" s="120"/>
      <c r="I5" s="113"/>
    </row>
    <row r="6" spans="1:10" ht="6.75" customHeight="1" x14ac:dyDescent="0.2">
      <c r="A6" s="12"/>
      <c r="B6" s="12"/>
      <c r="C6" s="11"/>
      <c r="D6" s="10"/>
      <c r="E6" s="10"/>
      <c r="F6" s="10"/>
      <c r="G6" s="10"/>
      <c r="H6" s="9"/>
      <c r="I6" s="8"/>
    </row>
    <row r="7" spans="1:10" ht="18.75" thickBot="1" x14ac:dyDescent="0.3">
      <c r="A7" s="121" t="s">
        <v>19</v>
      </c>
      <c r="B7" s="121"/>
      <c r="C7" s="121"/>
      <c r="D7" s="122" t="s">
        <v>30</v>
      </c>
      <c r="E7" s="122"/>
      <c r="F7" s="122"/>
      <c r="G7" s="93" t="s">
        <v>18</v>
      </c>
      <c r="H7" s="93"/>
      <c r="I7" s="68" t="s">
        <v>28</v>
      </c>
    </row>
    <row r="8" spans="1:10" ht="27.75" customHeight="1" x14ac:dyDescent="0.2">
      <c r="A8" s="94" t="s">
        <v>17</v>
      </c>
      <c r="B8" s="98" t="s">
        <v>47</v>
      </c>
      <c r="C8" s="96" t="s">
        <v>16</v>
      </c>
      <c r="D8" s="96" t="s">
        <v>15</v>
      </c>
      <c r="E8" s="96" t="s">
        <v>14</v>
      </c>
      <c r="F8" s="96"/>
      <c r="G8" s="96" t="s">
        <v>13</v>
      </c>
      <c r="H8" s="96"/>
      <c r="I8" s="7" t="s">
        <v>12</v>
      </c>
    </row>
    <row r="9" spans="1:10" ht="27" customHeight="1" thickBot="1" x14ac:dyDescent="0.25">
      <c r="A9" s="95"/>
      <c r="B9" s="99"/>
      <c r="C9" s="97"/>
      <c r="D9" s="97"/>
      <c r="E9" s="6" t="s">
        <v>9</v>
      </c>
      <c r="F9" s="5" t="s">
        <v>11</v>
      </c>
      <c r="G9" s="6" t="s">
        <v>9</v>
      </c>
      <c r="H9" s="5" t="s">
        <v>11</v>
      </c>
      <c r="I9" s="4" t="s">
        <v>10</v>
      </c>
    </row>
    <row r="10" spans="1:10" ht="20.25" x14ac:dyDescent="0.3">
      <c r="A10" s="19">
        <v>908000031</v>
      </c>
      <c r="B10" s="19" t="s">
        <v>45</v>
      </c>
      <c r="C10" s="20" t="s">
        <v>40</v>
      </c>
      <c r="D10" s="21" t="s">
        <v>34</v>
      </c>
      <c r="E10" s="22">
        <v>3500</v>
      </c>
      <c r="F10" s="23"/>
      <c r="G10" s="24"/>
      <c r="H10" s="25"/>
      <c r="I10" s="26"/>
      <c r="J10" s="1">
        <f>+E10/3.5</f>
        <v>1000</v>
      </c>
    </row>
    <row r="11" spans="1:10" ht="20.25" x14ac:dyDescent="0.3">
      <c r="A11" s="19"/>
      <c r="B11" s="19"/>
      <c r="C11" s="20"/>
      <c r="D11" s="21"/>
      <c r="E11" s="22"/>
      <c r="F11" s="23"/>
      <c r="G11" s="24"/>
      <c r="H11" s="25"/>
      <c r="I11" s="26"/>
    </row>
    <row r="12" spans="1:10" ht="20.25" x14ac:dyDescent="0.3">
      <c r="A12" s="19"/>
      <c r="B12" s="19"/>
      <c r="C12" s="20"/>
      <c r="D12" s="21"/>
      <c r="E12" s="22"/>
      <c r="F12" s="23"/>
      <c r="G12" s="24"/>
      <c r="H12" s="25"/>
      <c r="I12" s="26"/>
    </row>
    <row r="13" spans="1:10" ht="20.25" x14ac:dyDescent="0.3">
      <c r="A13" s="19"/>
      <c r="B13" s="19"/>
      <c r="C13" s="20"/>
      <c r="D13" s="21"/>
      <c r="E13" s="22"/>
      <c r="F13" s="23"/>
      <c r="G13" s="24"/>
      <c r="H13" s="25"/>
      <c r="I13" s="26"/>
    </row>
    <row r="14" spans="1:10" ht="20.25" x14ac:dyDescent="0.3">
      <c r="A14" s="19"/>
      <c r="B14" s="19"/>
      <c r="C14" s="69" t="s">
        <v>28</v>
      </c>
      <c r="D14" s="21"/>
      <c r="E14" s="22"/>
      <c r="F14" s="23"/>
      <c r="G14" s="24"/>
      <c r="H14" s="25"/>
      <c r="I14" s="26"/>
    </row>
    <row r="15" spans="1:10" ht="20.25" x14ac:dyDescent="0.3">
      <c r="A15" s="27">
        <v>702067</v>
      </c>
      <c r="B15" s="19" t="s">
        <v>43</v>
      </c>
      <c r="C15" s="28" t="s">
        <v>36</v>
      </c>
      <c r="D15" s="29" t="s">
        <v>27</v>
      </c>
      <c r="E15" s="30">
        <v>1</v>
      </c>
      <c r="F15" s="31" t="s">
        <v>33</v>
      </c>
      <c r="G15" s="24"/>
      <c r="H15" s="25"/>
      <c r="I15" s="26"/>
      <c r="J15" s="1">
        <f>+E15/3.5</f>
        <v>0.2857142857142857</v>
      </c>
    </row>
    <row r="16" spans="1:10" ht="20.25" x14ac:dyDescent="0.3">
      <c r="A16" s="32">
        <v>702007</v>
      </c>
      <c r="B16" s="19" t="s">
        <v>44</v>
      </c>
      <c r="C16" s="33" t="s">
        <v>37</v>
      </c>
      <c r="D16" s="34" t="s">
        <v>27</v>
      </c>
      <c r="E16" s="30">
        <v>1</v>
      </c>
      <c r="F16" s="31" t="s">
        <v>33</v>
      </c>
      <c r="G16" s="24"/>
      <c r="H16" s="25"/>
      <c r="I16" s="26"/>
      <c r="J16" s="1">
        <f t="shared" ref="J16:J17" si="0">+E16/3.5</f>
        <v>0.2857142857142857</v>
      </c>
    </row>
    <row r="17" spans="1:13" ht="21" x14ac:dyDescent="0.35">
      <c r="A17" s="35"/>
      <c r="B17" s="71" t="s">
        <v>49</v>
      </c>
      <c r="C17" s="70" t="s">
        <v>50</v>
      </c>
      <c r="D17" s="29" t="s">
        <v>35</v>
      </c>
      <c r="E17" s="30">
        <v>1</v>
      </c>
      <c r="F17" s="31" t="s">
        <v>33</v>
      </c>
      <c r="G17" s="24"/>
      <c r="H17" s="25"/>
      <c r="I17" s="26"/>
      <c r="J17" s="1">
        <f t="shared" si="0"/>
        <v>0.2857142857142857</v>
      </c>
    </row>
    <row r="18" spans="1:13" ht="20.25" x14ac:dyDescent="0.3">
      <c r="A18" s="36"/>
      <c r="B18" s="37"/>
      <c r="C18" s="33"/>
      <c r="D18" s="34"/>
      <c r="E18" s="38"/>
      <c r="F18" s="39"/>
      <c r="G18" s="24"/>
      <c r="H18" s="25"/>
      <c r="I18" s="26"/>
    </row>
    <row r="19" spans="1:13" ht="20.25" x14ac:dyDescent="0.3">
      <c r="A19" s="40"/>
      <c r="B19" s="41"/>
      <c r="C19" s="42"/>
      <c r="D19" s="43"/>
      <c r="E19" s="25"/>
      <c r="F19" s="25"/>
      <c r="G19" s="24"/>
      <c r="H19" s="25"/>
      <c r="I19" s="44"/>
    </row>
    <row r="20" spans="1:13" ht="20.25" x14ac:dyDescent="0.3">
      <c r="A20" s="45"/>
      <c r="B20" s="46"/>
      <c r="C20" s="47"/>
      <c r="D20" s="43"/>
      <c r="E20" s="48"/>
      <c r="F20" s="48"/>
      <c r="G20" s="48"/>
      <c r="H20" s="48"/>
      <c r="I20" s="44"/>
    </row>
    <row r="21" spans="1:13" ht="21" thickBot="1" x14ac:dyDescent="0.35">
      <c r="A21" s="49"/>
      <c r="B21" s="50"/>
      <c r="C21" s="51"/>
      <c r="D21" s="51"/>
      <c r="E21" s="52"/>
      <c r="F21" s="53"/>
      <c r="G21" s="51"/>
      <c r="H21" s="51"/>
      <c r="I21" s="54"/>
      <c r="L21" s="2"/>
    </row>
    <row r="22" spans="1:13" ht="21" thickBot="1" x14ac:dyDescent="0.35">
      <c r="A22" s="55"/>
      <c r="B22" s="56"/>
      <c r="C22" s="57"/>
      <c r="D22" s="58" t="s">
        <v>9</v>
      </c>
      <c r="E22" s="59" t="s">
        <v>8</v>
      </c>
      <c r="F22" s="60"/>
      <c r="G22" s="57"/>
      <c r="H22" s="57"/>
      <c r="I22" s="61"/>
      <c r="L22" s="2"/>
    </row>
    <row r="23" spans="1:13" ht="20.25" x14ac:dyDescent="0.3">
      <c r="A23" s="87" t="s">
        <v>7</v>
      </c>
      <c r="B23" s="88"/>
      <c r="C23" s="89"/>
      <c r="D23" s="62">
        <v>3500</v>
      </c>
      <c r="E23" s="63" t="s">
        <v>1</v>
      </c>
      <c r="F23" s="90"/>
      <c r="G23" s="90"/>
      <c r="H23" s="91"/>
      <c r="I23" s="92"/>
      <c r="J23" s="1">
        <f>1/3.5</f>
        <v>0.2857142857142857</v>
      </c>
      <c r="L23" s="2"/>
    </row>
    <row r="24" spans="1:13" ht="20.25" x14ac:dyDescent="0.3">
      <c r="A24" s="72" t="s">
        <v>6</v>
      </c>
      <c r="B24" s="73"/>
      <c r="C24" s="74"/>
      <c r="D24" s="64">
        <v>1</v>
      </c>
      <c r="E24" s="25" t="s">
        <v>5</v>
      </c>
      <c r="F24" s="75"/>
      <c r="G24" s="75"/>
      <c r="H24" s="76"/>
      <c r="I24" s="77"/>
      <c r="L24" s="2"/>
    </row>
    <row r="25" spans="1:13" ht="20.25" x14ac:dyDescent="0.3">
      <c r="A25" s="72" t="s">
        <v>4</v>
      </c>
      <c r="B25" s="73"/>
      <c r="C25" s="74"/>
      <c r="D25" s="65">
        <f>D23/D26</f>
        <v>1</v>
      </c>
      <c r="E25" s="25" t="s">
        <v>31</v>
      </c>
      <c r="F25" s="75"/>
      <c r="G25" s="75"/>
      <c r="H25" s="76"/>
      <c r="I25" s="77"/>
      <c r="L25" s="2"/>
    </row>
    <row r="26" spans="1:13" ht="20.25" x14ac:dyDescent="0.3">
      <c r="A26" s="72" t="s">
        <v>3</v>
      </c>
      <c r="B26" s="73"/>
      <c r="C26" s="74"/>
      <c r="D26" s="22">
        <v>3500</v>
      </c>
      <c r="E26" s="25" t="s">
        <v>1</v>
      </c>
      <c r="F26" s="123"/>
      <c r="G26" s="123"/>
      <c r="H26" s="124"/>
      <c r="I26" s="125"/>
      <c r="L26" s="2"/>
      <c r="M26" s="3"/>
    </row>
    <row r="27" spans="1:13" ht="21" thickBot="1" x14ac:dyDescent="0.35">
      <c r="A27" s="81" t="s">
        <v>2</v>
      </c>
      <c r="B27" s="82"/>
      <c r="C27" s="83"/>
      <c r="D27" s="66">
        <v>0</v>
      </c>
      <c r="E27" s="67" t="s">
        <v>1</v>
      </c>
      <c r="F27" s="106"/>
      <c r="G27" s="106"/>
      <c r="H27" s="107"/>
      <c r="I27" s="108"/>
      <c r="L27" s="2"/>
    </row>
    <row r="28" spans="1:13" ht="21" thickBot="1" x14ac:dyDescent="0.35">
      <c r="A28" s="109" t="s">
        <v>0</v>
      </c>
      <c r="B28" s="110"/>
      <c r="C28" s="110"/>
      <c r="D28" s="110"/>
      <c r="E28" s="110"/>
      <c r="F28" s="110"/>
      <c r="G28" s="110"/>
      <c r="H28" s="110"/>
      <c r="I28" s="111"/>
    </row>
    <row r="29" spans="1:13" ht="20.25" x14ac:dyDescent="0.3">
      <c r="A29" s="84" t="s">
        <v>41</v>
      </c>
      <c r="B29" s="85"/>
      <c r="C29" s="85"/>
      <c r="D29" s="85"/>
      <c r="E29" s="85"/>
      <c r="F29" s="85"/>
      <c r="G29" s="85"/>
      <c r="H29" s="85"/>
      <c r="I29" s="86"/>
    </row>
    <row r="30" spans="1:13" ht="20.25" x14ac:dyDescent="0.3">
      <c r="A30" s="84" t="s">
        <v>38</v>
      </c>
      <c r="B30" s="85"/>
      <c r="C30" s="85"/>
      <c r="D30" s="85"/>
      <c r="E30" s="85"/>
      <c r="F30" s="85"/>
      <c r="G30" s="85"/>
      <c r="H30" s="85"/>
      <c r="I30" s="86"/>
    </row>
    <row r="31" spans="1:13" ht="20.25" x14ac:dyDescent="0.3">
      <c r="A31" s="84" t="s">
        <v>39</v>
      </c>
      <c r="B31" s="85"/>
      <c r="C31" s="85"/>
      <c r="D31" s="85"/>
      <c r="E31" s="85"/>
      <c r="F31" s="85"/>
      <c r="G31" s="85"/>
      <c r="H31" s="85"/>
      <c r="I31" s="86"/>
    </row>
    <row r="32" spans="1:13" ht="20.25" x14ac:dyDescent="0.3">
      <c r="A32" s="84"/>
      <c r="B32" s="85"/>
      <c r="C32" s="85"/>
      <c r="D32" s="85"/>
      <c r="E32" s="85"/>
      <c r="F32" s="85"/>
      <c r="G32" s="85"/>
      <c r="H32" s="85"/>
      <c r="I32" s="86"/>
    </row>
    <row r="33" spans="1:9" ht="20.25" x14ac:dyDescent="0.3">
      <c r="A33" s="84"/>
      <c r="B33" s="85"/>
      <c r="C33" s="85"/>
      <c r="D33" s="85"/>
      <c r="E33" s="85"/>
      <c r="F33" s="85"/>
      <c r="G33" s="85"/>
      <c r="H33" s="85"/>
      <c r="I33" s="86"/>
    </row>
    <row r="34" spans="1:9" ht="20.25" x14ac:dyDescent="0.3">
      <c r="A34" s="84"/>
      <c r="B34" s="85"/>
      <c r="C34" s="85"/>
      <c r="D34" s="85"/>
      <c r="E34" s="85"/>
      <c r="F34" s="85"/>
      <c r="G34" s="85"/>
      <c r="H34" s="85"/>
      <c r="I34" s="86"/>
    </row>
    <row r="35" spans="1:9" ht="20.25" x14ac:dyDescent="0.3">
      <c r="A35" s="78"/>
      <c r="B35" s="79"/>
      <c r="C35" s="79"/>
      <c r="D35" s="79"/>
      <c r="E35" s="79"/>
      <c r="F35" s="79"/>
      <c r="G35" s="79"/>
      <c r="H35" s="79"/>
      <c r="I35" s="80"/>
    </row>
    <row r="36" spans="1:9" ht="20.25" x14ac:dyDescent="0.2">
      <c r="A36" s="129" t="s">
        <v>32</v>
      </c>
      <c r="B36" s="129"/>
      <c r="C36" s="129"/>
      <c r="D36" s="129"/>
      <c r="E36" s="129"/>
      <c r="F36" s="129"/>
      <c r="G36" s="129"/>
      <c r="H36" s="129"/>
      <c r="I36" s="129"/>
    </row>
    <row r="37" spans="1:9" ht="20.25" x14ac:dyDescent="0.2">
      <c r="A37" s="126" t="s">
        <v>51</v>
      </c>
      <c r="B37" s="127"/>
      <c r="C37" s="127"/>
      <c r="D37" s="127"/>
      <c r="E37" s="127"/>
      <c r="F37" s="127"/>
      <c r="G37" s="127"/>
      <c r="H37" s="127"/>
      <c r="I37" s="128"/>
    </row>
    <row r="38" spans="1:9" ht="20.25" x14ac:dyDescent="0.2">
      <c r="A38" s="126"/>
      <c r="B38" s="127"/>
      <c r="C38" s="127"/>
      <c r="D38" s="127"/>
      <c r="E38" s="127"/>
      <c r="F38" s="127"/>
      <c r="G38" s="127"/>
      <c r="H38" s="127"/>
      <c r="I38" s="128"/>
    </row>
    <row r="39" spans="1:9" ht="20.25" x14ac:dyDescent="0.2">
      <c r="A39" s="126"/>
      <c r="B39" s="127"/>
      <c r="C39" s="127"/>
      <c r="D39" s="127"/>
      <c r="E39" s="127"/>
      <c r="F39" s="127"/>
      <c r="G39" s="127"/>
      <c r="H39" s="127"/>
      <c r="I39" s="128"/>
    </row>
  </sheetData>
  <mergeCells count="44">
    <mergeCell ref="A37:I37"/>
    <mergeCell ref="A38:I38"/>
    <mergeCell ref="A39:I39"/>
    <mergeCell ref="A36:I36"/>
    <mergeCell ref="A1:B5"/>
    <mergeCell ref="A31:I31"/>
    <mergeCell ref="F27:G27"/>
    <mergeCell ref="H27:I27"/>
    <mergeCell ref="A28:I28"/>
    <mergeCell ref="A29:I29"/>
    <mergeCell ref="A30:I30"/>
    <mergeCell ref="I3:I5"/>
    <mergeCell ref="D4:G4"/>
    <mergeCell ref="D5:G5"/>
    <mergeCell ref="C1:G1"/>
    <mergeCell ref="C2:G2"/>
    <mergeCell ref="C3:G3"/>
    <mergeCell ref="H3:H5"/>
    <mergeCell ref="A7:C7"/>
    <mergeCell ref="D7:F7"/>
    <mergeCell ref="G7:H7"/>
    <mergeCell ref="A8:A9"/>
    <mergeCell ref="C8:C9"/>
    <mergeCell ref="D8:D9"/>
    <mergeCell ref="E8:F8"/>
    <mergeCell ref="G8:H8"/>
    <mergeCell ref="B8:B9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A35:I35"/>
    <mergeCell ref="A27:C27"/>
    <mergeCell ref="A33:I33"/>
    <mergeCell ref="A32:I32"/>
    <mergeCell ref="A34:I34"/>
    <mergeCell ref="F26:G26"/>
    <mergeCell ref="H26:I26"/>
  </mergeCells>
  <printOptions horizontalCentered="1"/>
  <pageMargins left="0.7" right="0.7" top="0.75" bottom="0.75" header="0.3" footer="0.3"/>
  <pageSetup scale="45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688C63-67B2-48EC-BAAB-13CB02ABE74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079DADD-1B3E-4279-81C2-0526EAB439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9828EC-6BC0-4BFD-AF3A-2147F27164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Lopez</dc:creator>
  <cp:lastModifiedBy>Allan Brenes</cp:lastModifiedBy>
  <cp:lastPrinted>2025-10-24T20:34:02Z</cp:lastPrinted>
  <dcterms:created xsi:type="dcterms:W3CDTF">2019-04-03T17:28:37Z</dcterms:created>
  <dcterms:modified xsi:type="dcterms:W3CDTF">2025-10-24T20:34:35Z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273200</vt:r8>
  </property>
  <property fmtid="{D5CDD505-2E9C-101B-9397-08002B2CF9AE}" pid="4" name="MediaServiceImageTags">
    <vt:lpwstr/>
  </property>
</Properties>
</file>
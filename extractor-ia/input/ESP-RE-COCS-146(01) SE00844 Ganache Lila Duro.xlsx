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D377C1A2-2ECE-4D91-8061-1E10321A313C}" xr6:coauthVersionLast="47" xr6:coauthVersionMax="47" xr10:uidLastSave="{3AC15AC9-5CDF-40D1-80A1-A48ADF4DAF9B}"/>
  <bookViews>
    <workbookView xWindow="-120" yWindow="-120" windowWidth="20730" windowHeight="11040" xr2:uid="{86A95AF8-34C1-4DB7-AE30-E3F9DEB6557E}"/>
  </bookViews>
  <sheets>
    <sheet name="Ganache Lila" sheetId="13" r:id="rId1"/>
  </sheets>
  <definedNames>
    <definedName name="_xlnm.Print_Area" localSheetId="0">'Ganache Lila'!$A$1:$I$33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3" l="1"/>
  <c r="J20" i="13"/>
  <c r="J12" i="13"/>
  <c r="J11" i="13"/>
  <c r="J10" i="13"/>
</calcChain>
</file>

<file path=xl/sharedStrings.xml><?xml version="1.0" encoding="utf-8"?>
<sst xmlns="http://schemas.openxmlformats.org/spreadsheetml/2006/main" count="71" uniqueCount="61">
  <si>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</si>
  <si>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</si>
  <si>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</si>
  <si>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</si>
  <si>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</si>
  <si>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</si>
  <si>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</si>
  <si>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</si>
  <si>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</si>
  <si>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</si>
  <si>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</si>
  <si>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</si>
  <si>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</si>
  <si>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</si>
  <si>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</si>
  <si>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</si>
  <si>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</si>
  <si>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</si>
  <si>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</si>
  <si>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</si>
  <si>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</si>
  <si>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</si>
  <si>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</si>
  <si>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</si>
  <si>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</si>
  <si>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</si>
  <si>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</si>
  <si>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</si>
  <si>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</si>
  <si>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</si>
  <si>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</si>
  <si>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CONTROL DE CAMBIOS</t>
  </si>
  <si>
    <t>Decoración</t>
  </si>
  <si>
    <t>Mariela Barrantes Sánchez, Chef</t>
  </si>
  <si>
    <t>Empaque</t>
  </si>
  <si>
    <t>Esteban Cartin, Gte Manufactura</t>
  </si>
  <si>
    <t>Cocina</t>
  </si>
  <si>
    <t>Ensamble</t>
  </si>
  <si>
    <t>1210387</t>
  </si>
  <si>
    <t>MP10143</t>
  </si>
  <si>
    <t>COBERTURA DE CHOCOLATE BLANCO ( PAQ=5 K )</t>
  </si>
  <si>
    <t>NACIONAL CH</t>
  </si>
  <si>
    <t>11400031</t>
  </si>
  <si>
    <t>MP10048</t>
  </si>
  <si>
    <t>CREMA PRESTIGE GRAND</t>
  </si>
  <si>
    <t>RICH</t>
  </si>
  <si>
    <t>Minutos</t>
  </si>
  <si>
    <t>Tanda</t>
  </si>
  <si>
    <t>1.- Colocar  la crema en una olla llegar a  65 grados , mover, no hervir, agregar los trozos de chocolate y colorante y mover hasta que se derritan.</t>
  </si>
  <si>
    <t>3.- Colocar en bandejas, enfriar.</t>
  </si>
  <si>
    <t>MP10149</t>
  </si>
  <si>
    <t>MP10155</t>
  </si>
  <si>
    <t>COLORANTE EXOTIC PURPLE</t>
  </si>
  <si>
    <t>MASTER PACK</t>
  </si>
  <si>
    <t>10400011</t>
  </si>
  <si>
    <t>COLORANTE ARTIFICIAL ROSADO F225 (LITRO)</t>
  </si>
  <si>
    <t>AZTECK</t>
  </si>
  <si>
    <t>2.- Mezclar bien, con cuidado de no quemar,cuando este todo derretido, agregar el colorante y mezlcar con ayuda de un batidor de globo de mano, para asegurarse que no queden grumos</t>
  </si>
  <si>
    <t xml:space="preserve">SE00844 Ganache Lila Duro </t>
  </si>
  <si>
    <t>01</t>
  </si>
  <si>
    <t>ESP-RE-COCS-146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</si>
</sst>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6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9" fillId="0" borderId="14" xfId="1" applyFont="1" applyBorder="1" applyAlignment="1">
      <alignment horizontal="center" vertical="center"/>
    </xf>
    <xf numFmtId="1" fontId="9" fillId="0" borderId="14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 wrapText="1"/>
    </xf>
    <xf numFmtId="0" fontId="7" fillId="0" borderId="13" xfId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49" fontId="11" fillId="3" borderId="20" xfId="1" applyNumberFormat="1" applyFont="1" applyFill="1" applyBorder="1" applyAlignment="1">
      <alignment horizontal="center" vertical="center"/>
    </xf>
    <xf numFmtId="49" fontId="11" fillId="3" borderId="0" xfId="1" applyNumberFormat="1" applyFont="1" applyFill="1" applyAlignment="1">
      <alignment horizontal="center" vertical="center"/>
    </xf>
    <xf numFmtId="0" fontId="7" fillId="3" borderId="0" xfId="1" applyFont="1" applyFill="1"/>
    <xf numFmtId="1" fontId="7" fillId="3" borderId="0" xfId="1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 wrapText="1"/>
    </xf>
    <xf numFmtId="0" fontId="7" fillId="3" borderId="19" xfId="1" applyFont="1" applyFill="1" applyBorder="1" applyAlignment="1">
      <alignment horizontal="center"/>
    </xf>
    <xf numFmtId="0" fontId="7" fillId="2" borderId="39" xfId="1" applyFont="1" applyFill="1" applyBorder="1" applyAlignment="1">
      <alignment horizontal="center"/>
    </xf>
    <xf numFmtId="0" fontId="7" fillId="2" borderId="34" xfId="1" applyFont="1" applyFill="1" applyBorder="1" applyAlignment="1">
      <alignment horizontal="center"/>
    </xf>
    <xf numFmtId="0" fontId="7" fillId="2" borderId="34" xfId="1" applyFont="1" applyFill="1" applyBorder="1"/>
    <xf numFmtId="0" fontId="9" fillId="2" borderId="34" xfId="1" applyFont="1" applyFill="1" applyBorder="1" applyAlignment="1">
      <alignment horizontal="center"/>
    </xf>
    <xf numFmtId="1" fontId="9" fillId="2" borderId="34" xfId="1" applyNumberFormat="1" applyFont="1" applyFill="1" applyBorder="1" applyAlignment="1">
      <alignment horizontal="center"/>
    </xf>
    <xf numFmtId="164" fontId="7" fillId="2" borderId="34" xfId="1" applyNumberFormat="1" applyFont="1" applyFill="1" applyBorder="1" applyAlignment="1">
      <alignment horizontal="center" wrapText="1"/>
    </xf>
    <xf numFmtId="0" fontId="7" fillId="2" borderId="35" xfId="1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" fontId="7" fillId="0" borderId="14" xfId="0" applyNumberFormat="1" applyFont="1" applyBorder="1" applyAlignment="1">
      <alignment horizontal="center"/>
    </xf>
    <xf numFmtId="0" fontId="6" fillId="3" borderId="17" xfId="2" applyFont="1" applyFill="1" applyBorder="1" applyAlignment="1">
      <alignment horizontal="right"/>
    </xf>
    <xf numFmtId="0" fontId="4" fillId="3" borderId="16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right"/>
    </xf>
    <xf numFmtId="49" fontId="4" fillId="3" borderId="13" xfId="2" applyNumberFormat="1" applyFont="1" applyFill="1" applyBorder="1" applyAlignment="1">
      <alignment horizontal="center"/>
    </xf>
    <xf numFmtId="0" fontId="4" fillId="3" borderId="11" xfId="2" applyFont="1" applyFill="1" applyBorder="1" applyAlignment="1">
      <alignment horizontal="right"/>
    </xf>
    <xf numFmtId="0" fontId="4" fillId="3" borderId="14" xfId="2" applyFont="1" applyFill="1" applyBorder="1" applyAlignment="1">
      <alignment horizontal="right"/>
    </xf>
    <xf numFmtId="49" fontId="7" fillId="0" borderId="15" xfId="1" applyNumberFormat="1" applyFont="1" applyBorder="1" applyAlignment="1">
      <alignment horizontal="center"/>
    </xf>
    <xf numFmtId="1" fontId="6" fillId="2" borderId="2" xfId="1" applyNumberFormat="1" applyFont="1" applyFill="1" applyBorder="1" applyAlignment="1">
      <alignment horizontal="center"/>
    </xf>
    <xf numFmtId="1" fontId="6" fillId="2" borderId="2" xfId="1" applyNumberFormat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0" fontId="9" fillId="0" borderId="15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10" fillId="0" borderId="14" xfId="1" applyFont="1" applyBorder="1" applyAlignment="1">
      <alignment vertical="center"/>
    </xf>
    <xf numFmtId="49" fontId="7" fillId="0" borderId="8" xfId="1" applyNumberFormat="1" applyFont="1" applyBorder="1" applyAlignment="1">
      <alignment horizontal="center"/>
    </xf>
    <xf numFmtId="0" fontId="9" fillId="4" borderId="14" xfId="1" applyFont="1" applyFill="1" applyBorder="1" applyAlignment="1">
      <alignment horizontal="left"/>
    </xf>
    <xf numFmtId="0" fontId="7" fillId="0" borderId="14" xfId="1" applyFont="1" applyBorder="1" applyAlignment="1">
      <alignment horizontal="center"/>
    </xf>
    <xf numFmtId="165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49" fontId="9" fillId="0" borderId="7" xfId="1" applyNumberFormat="1" applyFont="1" applyBorder="1" applyAlignment="1">
      <alignment horizontal="center"/>
    </xf>
    <xf numFmtId="49" fontId="9" fillId="0" borderId="6" xfId="1" applyNumberFormat="1" applyFont="1" applyBorder="1" applyAlignment="1">
      <alignment horizontal="center"/>
    </xf>
    <xf numFmtId="0" fontId="10" fillId="4" borderId="14" xfId="1" applyFont="1" applyFill="1" applyBorder="1" applyAlignment="1">
      <alignment vertical="center"/>
    </xf>
    <xf numFmtId="0" fontId="9" fillId="0" borderId="8" xfId="1" applyFont="1" applyBorder="1" applyAlignment="1">
      <alignment horizontal="center"/>
    </xf>
    <xf numFmtId="1" fontId="7" fillId="0" borderId="14" xfId="1" applyNumberFormat="1" applyFont="1" applyBorder="1" applyAlignment="1">
      <alignment horizontal="center"/>
    </xf>
    <xf numFmtId="1" fontId="0" fillId="0" borderId="0" xfId="0" applyNumberFormat="1"/>
    <xf numFmtId="0" fontId="1" fillId="0" borderId="0" xfId="1"/>
    <xf numFmtId="0" fontId="4" fillId="3" borderId="0" xfId="1" applyFont="1" applyFill="1" applyAlignment="1">
      <alignment horizontal="left" indent="1"/>
    </xf>
    <xf numFmtId="9" fontId="4" fillId="3" borderId="0" xfId="9" applyFont="1" applyFill="1"/>
    <xf numFmtId="0" fontId="4" fillId="3" borderId="0" xfId="1" applyFont="1" applyFill="1"/>
    <xf numFmtId="0" fontId="9" fillId="6" borderId="14" xfId="2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9" fillId="0" borderId="4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164" fontId="7" fillId="0" borderId="9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0" fontId="9" fillId="2" borderId="39" xfId="1" applyFont="1" applyFill="1" applyBorder="1" applyAlignment="1">
      <alignment horizontal="center"/>
    </xf>
    <xf numFmtId="0" fontId="9" fillId="2" borderId="34" xfId="1" applyFont="1" applyFill="1" applyBorder="1" applyAlignment="1">
      <alignment horizontal="center"/>
    </xf>
    <xf numFmtId="0" fontId="9" fillId="2" borderId="35" xfId="1" applyFont="1" applyFill="1" applyBorder="1" applyAlignment="1">
      <alignment horizontal="center"/>
    </xf>
    <xf numFmtId="0" fontId="9" fillId="0" borderId="7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9" fillId="0" borderId="8" xfId="1" applyFont="1" applyBorder="1" applyAlignment="1">
      <alignment horizontal="right"/>
    </xf>
    <xf numFmtId="0" fontId="7" fillId="0" borderId="14" xfId="1" applyFont="1" applyBorder="1" applyAlignment="1">
      <alignment horizontal="right"/>
    </xf>
    <xf numFmtId="164" fontId="7" fillId="0" borderId="9" xfId="1" applyNumberFormat="1" applyFont="1" applyBorder="1" applyAlignment="1">
      <alignment horizontal="right" wrapText="1"/>
    </xf>
    <xf numFmtId="164" fontId="7" fillId="0" borderId="8" xfId="1" applyNumberFormat="1" applyFont="1" applyBorder="1" applyAlignment="1">
      <alignment horizontal="right" wrapText="1"/>
    </xf>
    <xf numFmtId="0" fontId="9" fillId="0" borderId="36" xfId="1" applyFont="1" applyBorder="1" applyAlignment="1">
      <alignment horizontal="right"/>
    </xf>
    <xf numFmtId="0" fontId="9" fillId="0" borderId="37" xfId="1" applyFont="1" applyBorder="1" applyAlignment="1">
      <alignment horizontal="right"/>
    </xf>
    <xf numFmtId="0" fontId="9" fillId="0" borderId="12" xfId="1" applyFont="1" applyBorder="1" applyAlignment="1">
      <alignment horizontal="right"/>
    </xf>
    <xf numFmtId="164" fontId="7" fillId="0" borderId="11" xfId="1" applyNumberFormat="1" applyFont="1" applyBorder="1" applyAlignment="1">
      <alignment horizontal="right"/>
    </xf>
    <xf numFmtId="0" fontId="7" fillId="3" borderId="24" xfId="1" applyFont="1" applyFill="1" applyBorder="1" applyAlignment="1">
      <alignment horizontal="center"/>
    </xf>
    <xf numFmtId="0" fontId="7" fillId="3" borderId="40" xfId="1" applyFont="1" applyFill="1" applyBorder="1" applyAlignment="1">
      <alignment horizontal="center"/>
    </xf>
    <xf numFmtId="0" fontId="8" fillId="3" borderId="0" xfId="2" applyFont="1" applyFill="1" applyAlignment="1">
      <alignment horizontal="right"/>
    </xf>
    <xf numFmtId="0" fontId="8" fillId="3" borderId="0" xfId="2" applyFont="1" applyFill="1"/>
    <xf numFmtId="0" fontId="6" fillId="2" borderId="38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14" fontId="4" fillId="3" borderId="30" xfId="2" applyNumberFormat="1" applyFont="1" applyFill="1" applyBorder="1" applyAlignment="1">
      <alignment horizontal="center" vertical="center" wrapText="1"/>
    </xf>
    <xf numFmtId="14" fontId="4" fillId="3" borderId="28" xfId="2" applyNumberFormat="1" applyFont="1" applyFill="1" applyBorder="1" applyAlignment="1">
      <alignment horizontal="center" vertical="center" wrapText="1"/>
    </xf>
    <xf numFmtId="14" fontId="4" fillId="3" borderId="10" xfId="2" applyNumberFormat="1" applyFont="1" applyFill="1" applyBorder="1" applyAlignment="1">
      <alignment horizontal="center" vertical="center" wrapText="1"/>
    </xf>
    <xf numFmtId="0" fontId="4" fillId="3" borderId="22" xfId="2" applyFont="1" applyFill="1" applyBorder="1" applyAlignment="1">
      <alignment horizontal="left"/>
    </xf>
    <xf numFmtId="0" fontId="4" fillId="3" borderId="23" xfId="2" applyFont="1" applyFill="1" applyBorder="1" applyAlignment="1">
      <alignment horizontal="left"/>
    </xf>
    <xf numFmtId="0" fontId="4" fillId="3" borderId="18" xfId="2" applyFont="1" applyFill="1" applyBorder="1" applyAlignment="1">
      <alignment horizontal="left"/>
    </xf>
    <xf numFmtId="0" fontId="4" fillId="3" borderId="9" xfId="2" applyFont="1" applyFill="1" applyBorder="1" applyAlignment="1">
      <alignment horizontal="left"/>
    </xf>
    <xf numFmtId="0" fontId="4" fillId="3" borderId="6" xfId="2" applyFont="1" applyFill="1" applyBorder="1" applyAlignment="1">
      <alignment horizontal="left"/>
    </xf>
    <xf numFmtId="0" fontId="4" fillId="3" borderId="8" xfId="2" applyFont="1" applyFill="1" applyBorder="1" applyAlignment="1">
      <alignment horizontal="left"/>
    </xf>
    <xf numFmtId="0" fontId="4" fillId="3" borderId="33" xfId="2" applyFont="1" applyFill="1" applyBorder="1" applyAlignment="1">
      <alignment horizontal="center"/>
    </xf>
    <xf numFmtId="0" fontId="4" fillId="3" borderId="32" xfId="2" applyFont="1" applyFill="1" applyBorder="1" applyAlignment="1">
      <alignment horizontal="center"/>
    </xf>
    <xf numFmtId="0" fontId="4" fillId="3" borderId="20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36" xfId="2" applyFont="1" applyFill="1" applyBorder="1" applyAlignment="1">
      <alignment horizontal="center"/>
    </xf>
    <xf numFmtId="0" fontId="4" fillId="3" borderId="37" xfId="2" applyFont="1" applyFill="1" applyBorder="1" applyAlignment="1">
      <alignment horizontal="center"/>
    </xf>
    <xf numFmtId="0" fontId="5" fillId="3" borderId="17" xfId="2" applyFont="1" applyFill="1" applyBorder="1" applyAlignment="1">
      <alignment horizontal="center"/>
    </xf>
    <xf numFmtId="0" fontId="6" fillId="3" borderId="31" xfId="2" applyFont="1" applyFill="1" applyBorder="1" applyAlignment="1">
      <alignment horizontal="right" vertical="top" wrapText="1"/>
    </xf>
    <xf numFmtId="0" fontId="6" fillId="3" borderId="29" xfId="2" applyFont="1" applyFill="1" applyBorder="1" applyAlignment="1">
      <alignment horizontal="right" vertical="top" wrapText="1"/>
    </xf>
    <xf numFmtId="0" fontId="6" fillId="3" borderId="26" xfId="2" applyFont="1" applyFill="1" applyBorder="1" applyAlignment="1">
      <alignment horizontal="right" vertical="top" wrapText="1"/>
    </xf>
    <xf numFmtId="0" fontId="5" fillId="3" borderId="25" xfId="2" applyFont="1" applyFill="1" applyBorder="1" applyAlignment="1">
      <alignment horizontal="center"/>
    </xf>
    <xf numFmtId="0" fontId="12" fillId="5" borderId="39" xfId="2" applyFont="1" applyFill="1" applyBorder="1" applyAlignment="1">
      <alignment horizontal="center" vertical="center" wrapText="1"/>
    </xf>
    <xf numFmtId="0" fontId="12" fillId="5" borderId="34" xfId="2" applyFont="1" applyFill="1" applyBorder="1" applyAlignment="1">
      <alignment horizontal="center" vertical="center" wrapText="1"/>
    </xf>
    <xf numFmtId="0" fontId="12" fillId="5" borderId="35" xfId="2" applyFont="1" applyFill="1" applyBorder="1" applyAlignment="1">
      <alignment horizontal="center" vertical="center" wrapText="1"/>
    </xf>
    <xf numFmtId="0" fontId="13" fillId="3" borderId="27" xfId="2" applyFont="1" applyFill="1" applyBorder="1" applyAlignment="1">
      <alignment horizontal="center"/>
    </xf>
    <xf numFmtId="49" fontId="7" fillId="0" borderId="14" xfId="0" applyNumberFormat="1" applyFont="1" applyBorder="1" applyAlignment="1">
      <alignment horizontal="center"/>
    </xf>
    <xf numFmtId="49" fontId="7" fillId="0" borderId="14" xfId="0" applyNumberFormat="1" applyFont="1" applyBorder="1"/>
    <xf numFmtId="1" fontId="7" fillId="0" borderId="11" xfId="0" applyNumberFormat="1" applyFont="1" applyBorder="1" applyAlignment="1">
      <alignment horizontal="center" wrapText="1"/>
    </xf>
    <xf numFmtId="2" fontId="9" fillId="0" borderId="14" xfId="1" applyNumberFormat="1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14" xfId="0" applyFont="1" applyBorder="1"/>
    <xf numFmtId="16" fontId="7" fillId="0" borderId="8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 vertical="top"/>
    </xf>
    <xf numFmtId="0" fontId="11" fillId="0" borderId="14" xfId="0" applyFont="1" applyBorder="1" applyAlignment="1">
      <alignment vertical="top"/>
    </xf>
    <xf numFmtId="0" fontId="7" fillId="4" borderId="14" xfId="0" applyFont="1" applyFill="1" applyBorder="1" applyAlignment="1">
      <alignment horizontal="center" vertical="center"/>
    </xf>
    <xf numFmtId="0" fontId="7" fillId="4" borderId="14" xfId="0" applyFont="1" applyFill="1" applyBorder="1"/>
    <xf numFmtId="1" fontId="7" fillId="0" borderId="14" xfId="4" applyNumberFormat="1" applyFont="1" applyBorder="1" applyAlignment="1">
      <alignment horizontal="center"/>
    </xf>
    <xf numFmtId="1" fontId="7" fillId="0" borderId="14" xfId="4" applyNumberFormat="1" applyFont="1" applyBorder="1" applyAlignment="1">
      <alignment horizontal="center" wrapText="1"/>
    </xf>
    <xf numFmtId="1" fontId="7" fillId="0" borderId="11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64" fontId="7" fillId="0" borderId="21" xfId="1" applyNumberFormat="1" applyFont="1" applyBorder="1" applyAlignment="1">
      <alignment horizontal="center"/>
    </xf>
    <xf numFmtId="164" fontId="7" fillId="0" borderId="41" xfId="1" applyNumberFormat="1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4" xfId="0" applyFont="1" applyBorder="1" applyAlignment="1">
      <alignment horizontal="left" wrapText="1"/>
    </xf>
    <xf numFmtId="0" fontId="7" fillId="0" borderId="43" xfId="1" applyFont="1" applyBorder="1" applyAlignment="1">
      <alignment horizontal="left"/>
    </xf>
    <xf numFmtId="0" fontId="7" fillId="0" borderId="42" xfId="1" applyFont="1" applyBorder="1" applyAlignment="1">
      <alignment horizontal="left"/>
    </xf>
    <xf numFmtId="0" fontId="7" fillId="0" borderId="44" xfId="1" applyFont="1" applyBorder="1" applyAlignment="1">
      <alignment horizontal="left"/>
    </xf>
    <xf numFmtId="0" fontId="6" fillId="2" borderId="10" xfId="1" applyFont="1" applyFill="1" applyBorder="1" applyAlignment="1">
      <alignment horizontal="center" vertical="center" wrapText="1"/>
    </xf>
    <xf numFmtId="14" fontId="13" fillId="3" borderId="14" xfId="2" applyNumberFormat="1" applyFont="1" applyFill="1" applyBorder="1" applyAlignment="1">
      <alignment horizontal="center" vertical="center" wrapText="1"/>
    </xf>
  </cellXfs>
  <cellStyles count="10"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  <cellStyle name="Porcentaje 2 2" xfId="9" xr:uid="{6C8BD6CB-4328-4E66-BCCA-669C31E66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56028</xdr:colOff>
      <xdr:row>0</xdr:row>
      <xdr:rowOff>118362</xdr:rowOff>
    </xdr:from>
    <xdr:to>
      <xdr:col>1</xdr:col>
      <xdr:colOff>1035843</xdr:colOff>
      <xdr:row>4</xdr:row>
      <xdr:rowOff>142875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5A3EC8B-302D-4C60-92F4-D59B62C16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8" y="118362"/>
          <a:ext cx="2027565" cy="941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28D5-8CBC-48FD-9237-337A21E25AAA}">
  <sheetPr>
    <pageSetUpPr fitToPage="1"/>
  </sheetPr>
  <dimension ref="A1:M3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7109375" customWidth="1"/>
    <col min="2" max="2" width="16.140625" customWidth="1"/>
    <col min="3" max="3" width="72.85546875" customWidth="1"/>
    <col min="4" max="4" width="22.85546875" customWidth="1"/>
    <col min="5" max="5" width="11.5703125" bestFit="1" customWidth="1"/>
    <col min="7" max="7" width="21.42578125" customWidth="1"/>
    <col min="8" max="8" width="15.42578125" customWidth="1"/>
    <col min="9" max="9" width="18.5703125" bestFit="1" customWidth="1"/>
  </cols>
  <sheetData>
    <row r="1" spans="1:10" ht="15.75" x14ac:dyDescent="0.25">
      <c r="A1" s="92"/>
      <c r="B1" s="93"/>
      <c r="C1" s="98" t="s">
        <v>29</v>
      </c>
      <c r="D1" s="98"/>
      <c r="E1" s="98"/>
      <c r="F1" s="98"/>
      <c r="G1" s="98"/>
      <c r="H1" s="24" t="s">
        <v>28</v>
      </c>
      <c r="I1" s="25" t="s">
        <v>60</v>
      </c>
    </row>
    <row r="2" spans="1:10" ht="16.5" thickBot="1" x14ac:dyDescent="0.3">
      <c r="A2" s="94"/>
      <c r="B2" s="95"/>
      <c r="C2" s="102" t="s">
        <v>27</v>
      </c>
      <c r="D2" s="102"/>
      <c r="E2" s="102"/>
      <c r="F2" s="102"/>
      <c r="G2" s="102"/>
      <c r="H2" s="26" t="s">
        <v>26</v>
      </c>
      <c r="I2" s="27" t="s">
        <v>59</v>
      </c>
    </row>
    <row r="3" spans="1:10" ht="24" customHeight="1" thickBot="1" x14ac:dyDescent="0.3">
      <c r="A3" s="94"/>
      <c r="B3" s="95"/>
      <c r="C3" s="103" t="s">
        <v>58</v>
      </c>
      <c r="D3" s="104"/>
      <c r="E3" s="104"/>
      <c r="F3" s="104"/>
      <c r="G3" s="105"/>
      <c r="H3" s="99" t="s">
        <v>25</v>
      </c>
      <c r="I3" s="83">
        <v>46139</v>
      </c>
    </row>
    <row r="4" spans="1:10" x14ac:dyDescent="0.25">
      <c r="A4" s="94"/>
      <c r="B4" s="95"/>
      <c r="C4" s="28" t="s">
        <v>24</v>
      </c>
      <c r="D4" s="86" t="s">
        <v>33</v>
      </c>
      <c r="E4" s="87"/>
      <c r="F4" s="87"/>
      <c r="G4" s="88"/>
      <c r="H4" s="100"/>
      <c r="I4" s="84"/>
    </row>
    <row r="5" spans="1:10" ht="15.75" thickBot="1" x14ac:dyDescent="0.3">
      <c r="A5" s="96"/>
      <c r="B5" s="97"/>
      <c r="C5" s="29" t="s">
        <v>23</v>
      </c>
      <c r="D5" s="89" t="s">
        <v>35</v>
      </c>
      <c r="E5" s="90"/>
      <c r="F5" s="90"/>
      <c r="G5" s="91"/>
      <c r="H5" s="101"/>
      <c r="I5" s="85"/>
    </row>
    <row r="6" spans="1:10" ht="18.75" thickBot="1" x14ac:dyDescent="0.3">
      <c r="A6" s="75" t="s">
        <v>22</v>
      </c>
      <c r="B6" s="75"/>
      <c r="C6" s="75"/>
      <c r="D6" s="106" t="s">
        <v>36</v>
      </c>
      <c r="E6" s="106"/>
      <c r="F6" s="106"/>
      <c r="G6" s="76" t="s">
        <v>21</v>
      </c>
      <c r="H6" s="76"/>
      <c r="I6" s="132" t="s">
        <v>36</v>
      </c>
    </row>
    <row r="7" spans="1:10" ht="32.25" customHeight="1" x14ac:dyDescent="0.25">
      <c r="A7" s="77" t="s">
        <v>20</v>
      </c>
      <c r="B7" s="79" t="s">
        <v>30</v>
      </c>
      <c r="C7" s="81" t="s">
        <v>19</v>
      </c>
      <c r="D7" s="81" t="s">
        <v>18</v>
      </c>
      <c r="E7" s="81" t="s">
        <v>17</v>
      </c>
      <c r="F7" s="81"/>
      <c r="G7" s="81" t="s">
        <v>16</v>
      </c>
      <c r="H7" s="81"/>
      <c r="I7" s="131" t="s">
        <v>15</v>
      </c>
    </row>
    <row r="8" spans="1:10" ht="27" thickBot="1" x14ac:dyDescent="0.3">
      <c r="A8" s="78"/>
      <c r="B8" s="80"/>
      <c r="C8" s="82"/>
      <c r="D8" s="82"/>
      <c r="E8" s="31" t="s">
        <v>12</v>
      </c>
      <c r="F8" s="32" t="s">
        <v>14</v>
      </c>
      <c r="G8" s="31" t="s">
        <v>12</v>
      </c>
      <c r="H8" s="32" t="s">
        <v>14</v>
      </c>
      <c r="I8" s="33" t="s">
        <v>13</v>
      </c>
    </row>
    <row r="9" spans="1:10" ht="20.25" x14ac:dyDescent="0.3">
      <c r="A9" s="34"/>
      <c r="B9" s="35"/>
      <c r="C9" s="36" t="s">
        <v>37</v>
      </c>
      <c r="D9" s="1"/>
      <c r="E9" s="2"/>
      <c r="F9" s="3"/>
      <c r="G9" s="2"/>
      <c r="H9" s="3"/>
      <c r="I9" s="4"/>
    </row>
    <row r="10" spans="1:10" ht="20.25" x14ac:dyDescent="0.3">
      <c r="A10" s="107" t="s">
        <v>38</v>
      </c>
      <c r="B10" s="107" t="s">
        <v>39</v>
      </c>
      <c r="C10" s="108" t="s">
        <v>40</v>
      </c>
      <c r="D10" s="5" t="s">
        <v>41</v>
      </c>
      <c r="E10" s="5">
        <v>6700</v>
      </c>
      <c r="F10" s="109" t="s">
        <v>1</v>
      </c>
      <c r="G10" s="110"/>
      <c r="H10" s="3"/>
      <c r="I10" s="4"/>
      <c r="J10" s="47">
        <f>E10/23.66</f>
        <v>283.17836010143702</v>
      </c>
    </row>
    <row r="11" spans="1:10" ht="20.25" x14ac:dyDescent="0.3">
      <c r="A11" s="5" t="s">
        <v>42</v>
      </c>
      <c r="B11" s="5" t="s">
        <v>43</v>
      </c>
      <c r="C11" s="111" t="s">
        <v>44</v>
      </c>
      <c r="D11" s="5" t="s">
        <v>45</v>
      </c>
      <c r="E11" s="5">
        <v>2500</v>
      </c>
      <c r="F11" s="109" t="s">
        <v>1</v>
      </c>
      <c r="G11" s="110"/>
      <c r="H11" s="3"/>
      <c r="I11" s="4"/>
      <c r="J11" s="47">
        <f t="shared" ref="J11:J12" si="0">E11/23.66</f>
        <v>105.66356720202874</v>
      </c>
    </row>
    <row r="12" spans="1:10" ht="20.25" x14ac:dyDescent="0.3">
      <c r="A12" s="5">
        <v>10400002</v>
      </c>
      <c r="B12" s="5" t="s">
        <v>51</v>
      </c>
      <c r="C12" s="112" t="s">
        <v>52</v>
      </c>
      <c r="D12" s="113" t="s">
        <v>53</v>
      </c>
      <c r="E12" s="6">
        <v>3</v>
      </c>
      <c r="F12" s="109" t="s">
        <v>1</v>
      </c>
      <c r="G12" s="110"/>
      <c r="H12" s="3"/>
      <c r="I12" s="4"/>
      <c r="J12" s="47">
        <f t="shared" si="0"/>
        <v>0.12679628064243448</v>
      </c>
    </row>
    <row r="13" spans="1:10" ht="20.25" x14ac:dyDescent="0.3">
      <c r="A13" s="114" t="s">
        <v>54</v>
      </c>
      <c r="B13" s="114" t="s">
        <v>50</v>
      </c>
      <c r="C13" s="115" t="s">
        <v>55</v>
      </c>
      <c r="D13" s="116" t="s">
        <v>56</v>
      </c>
      <c r="E13" s="6">
        <v>3</v>
      </c>
      <c r="F13" s="109" t="s">
        <v>1</v>
      </c>
      <c r="G13" s="110"/>
      <c r="H13" s="3"/>
      <c r="I13" s="4"/>
    </row>
    <row r="14" spans="1:10" ht="20.25" x14ac:dyDescent="0.3">
      <c r="A14" s="5"/>
      <c r="B14" s="5"/>
      <c r="C14" s="117"/>
      <c r="D14" s="46"/>
      <c r="E14" s="46"/>
      <c r="F14" s="41"/>
      <c r="G14" s="2"/>
      <c r="H14" s="3"/>
      <c r="I14" s="4"/>
    </row>
    <row r="15" spans="1:10" ht="20.25" x14ac:dyDescent="0.3">
      <c r="A15" s="30"/>
      <c r="B15" s="37"/>
      <c r="C15" s="38" t="s">
        <v>32</v>
      </c>
      <c r="D15" s="39"/>
      <c r="E15" s="40"/>
      <c r="F15" s="41"/>
      <c r="G15" s="2"/>
      <c r="H15" s="3"/>
      <c r="I15" s="4"/>
    </row>
    <row r="16" spans="1:10" ht="20.25" x14ac:dyDescent="0.3">
      <c r="A16" s="5"/>
      <c r="B16" s="5"/>
      <c r="C16" s="117"/>
      <c r="D16" s="23"/>
      <c r="E16" s="118"/>
      <c r="F16" s="119"/>
      <c r="G16" s="2"/>
      <c r="H16" s="3"/>
      <c r="I16" s="4"/>
    </row>
    <row r="17" spans="1:13" ht="20.25" x14ac:dyDescent="0.3">
      <c r="A17" s="42"/>
      <c r="B17" s="43"/>
      <c r="C17" s="44" t="s">
        <v>34</v>
      </c>
      <c r="D17" s="45"/>
      <c r="E17" s="2"/>
      <c r="F17" s="3"/>
      <c r="G17" s="2"/>
      <c r="H17" s="3"/>
      <c r="I17" s="4"/>
    </row>
    <row r="18" spans="1:13" ht="21" thickBot="1" x14ac:dyDescent="0.35">
      <c r="A18" s="7"/>
      <c r="B18" s="8"/>
      <c r="C18" s="9"/>
      <c r="D18" s="9"/>
      <c r="E18" s="10"/>
      <c r="F18" s="11"/>
      <c r="G18" s="9"/>
      <c r="H18" s="9"/>
      <c r="I18" s="12"/>
      <c r="J18" s="48"/>
      <c r="K18" s="48"/>
      <c r="L18" s="49"/>
      <c r="M18" s="48"/>
    </row>
    <row r="19" spans="1:13" ht="21" thickBot="1" x14ac:dyDescent="0.35">
      <c r="A19" s="13"/>
      <c r="B19" s="14"/>
      <c r="C19" s="15"/>
      <c r="D19" s="16" t="s">
        <v>12</v>
      </c>
      <c r="E19" s="17" t="s">
        <v>11</v>
      </c>
      <c r="F19" s="18"/>
      <c r="G19" s="15"/>
      <c r="H19" s="15"/>
      <c r="I19" s="19"/>
      <c r="J19" s="48"/>
      <c r="K19" s="48"/>
      <c r="L19" s="49"/>
      <c r="M19" s="48"/>
    </row>
    <row r="20" spans="1:13" ht="20.25" x14ac:dyDescent="0.3">
      <c r="A20" s="69" t="s">
        <v>10</v>
      </c>
      <c r="B20" s="70"/>
      <c r="C20" s="71"/>
      <c r="D20" s="120">
        <v>8500</v>
      </c>
      <c r="E20" s="20" t="s">
        <v>1</v>
      </c>
      <c r="F20" s="72" t="s">
        <v>9</v>
      </c>
      <c r="G20" s="72"/>
      <c r="H20" s="73"/>
      <c r="I20" s="74"/>
      <c r="J20" s="48">
        <f>7100/300</f>
        <v>23.666666666666668</v>
      </c>
      <c r="K20" s="48"/>
      <c r="L20" s="49"/>
      <c r="M20" s="48"/>
    </row>
    <row r="21" spans="1:13" ht="20.25" x14ac:dyDescent="0.3">
      <c r="A21" s="63" t="s">
        <v>8</v>
      </c>
      <c r="B21" s="64"/>
      <c r="C21" s="65"/>
      <c r="D21" s="121">
        <v>25</v>
      </c>
      <c r="E21" s="5" t="s">
        <v>46</v>
      </c>
      <c r="F21" s="66" t="s">
        <v>7</v>
      </c>
      <c r="G21" s="66"/>
      <c r="H21" s="58"/>
      <c r="I21" s="59"/>
      <c r="J21" s="48"/>
      <c r="K21" s="48"/>
      <c r="L21" s="49"/>
      <c r="M21" s="48"/>
    </row>
    <row r="22" spans="1:13" ht="20.25" x14ac:dyDescent="0.3">
      <c r="A22" s="63" t="s">
        <v>6</v>
      </c>
      <c r="B22" s="64"/>
      <c r="C22" s="65"/>
      <c r="D22" s="5">
        <v>1</v>
      </c>
      <c r="E22" s="5" t="s">
        <v>47</v>
      </c>
      <c r="F22" s="66" t="s">
        <v>5</v>
      </c>
      <c r="G22" s="66"/>
      <c r="H22" s="58"/>
      <c r="I22" s="59"/>
      <c r="J22" s="48"/>
      <c r="K22" s="48"/>
      <c r="L22" s="49"/>
      <c r="M22" s="48"/>
    </row>
    <row r="23" spans="1:13" ht="20.25" x14ac:dyDescent="0.3">
      <c r="A23" s="63" t="s">
        <v>4</v>
      </c>
      <c r="B23" s="64"/>
      <c r="C23" s="65"/>
      <c r="D23" s="6">
        <v>8500</v>
      </c>
      <c r="E23" s="5" t="s">
        <v>1</v>
      </c>
      <c r="F23" s="67" t="s">
        <v>3</v>
      </c>
      <c r="G23" s="68"/>
      <c r="H23" s="58"/>
      <c r="I23" s="59"/>
      <c r="J23" s="48"/>
      <c r="K23" s="48"/>
      <c r="L23" s="49"/>
      <c r="M23" s="50"/>
    </row>
    <row r="24" spans="1:13" ht="21" thickBot="1" x14ac:dyDescent="0.35">
      <c r="A24" s="54" t="s">
        <v>2</v>
      </c>
      <c r="B24" s="55"/>
      <c r="C24" s="56"/>
      <c r="D24" s="21">
        <f>SUM(E10:E13)-D20</f>
        <v>706</v>
      </c>
      <c r="E24" s="22" t="s">
        <v>1</v>
      </c>
      <c r="F24" s="57"/>
      <c r="G24" s="57"/>
      <c r="H24" s="122"/>
      <c r="I24" s="123"/>
      <c r="J24" s="51"/>
      <c r="K24" s="51"/>
      <c r="L24" s="49"/>
      <c r="M24" s="51"/>
    </row>
    <row r="25" spans="1:13" ht="21" thickBot="1" x14ac:dyDescent="0.35">
      <c r="A25" s="60" t="s">
        <v>0</v>
      </c>
      <c r="B25" s="61"/>
      <c r="C25" s="61"/>
      <c r="D25" s="61"/>
      <c r="E25" s="61"/>
      <c r="F25" s="61"/>
      <c r="G25" s="61"/>
      <c r="H25" s="61"/>
      <c r="I25" s="62"/>
      <c r="J25" s="48"/>
      <c r="K25" s="48"/>
      <c r="L25" s="48"/>
      <c r="M25" s="48"/>
    </row>
    <row r="26" spans="1:13" ht="24" customHeight="1" x14ac:dyDescent="0.3">
      <c r="A26" s="124" t="s">
        <v>48</v>
      </c>
      <c r="B26" s="125"/>
      <c r="C26" s="125"/>
      <c r="D26" s="125"/>
      <c r="E26" s="125"/>
      <c r="F26" s="125"/>
      <c r="G26" s="125"/>
      <c r="H26" s="125"/>
      <c r="I26" s="126"/>
      <c r="J26" s="48"/>
      <c r="K26" s="48"/>
      <c r="L26" s="48"/>
      <c r="M26" s="48"/>
    </row>
    <row r="27" spans="1:13" ht="39.75" customHeight="1" x14ac:dyDescent="0.25">
      <c r="A27" s="127" t="s">
        <v>57</v>
      </c>
      <c r="B27" s="127"/>
      <c r="C27" s="127"/>
      <c r="D27" s="127"/>
      <c r="E27" s="127"/>
      <c r="F27" s="127"/>
      <c r="G27" s="127"/>
      <c r="H27" s="127"/>
      <c r="I27" s="127"/>
      <c r="J27" s="48"/>
      <c r="K27" s="48"/>
      <c r="L27" s="48"/>
      <c r="M27" s="48"/>
    </row>
    <row r="28" spans="1:13" ht="6.75" customHeight="1" x14ac:dyDescent="0.25">
      <c r="A28" s="127"/>
      <c r="B28" s="127"/>
      <c r="C28" s="127"/>
      <c r="D28" s="127"/>
      <c r="E28" s="127"/>
      <c r="F28" s="127"/>
      <c r="G28" s="127"/>
      <c r="H28" s="127"/>
      <c r="I28" s="127"/>
      <c r="J28" s="48"/>
      <c r="K28" s="48"/>
      <c r="L28" s="48"/>
      <c r="M28" s="48"/>
    </row>
    <row r="29" spans="1:13" ht="22.5" customHeight="1" x14ac:dyDescent="0.3">
      <c r="A29" s="124" t="s">
        <v>49</v>
      </c>
      <c r="B29" s="125"/>
      <c r="C29" s="125"/>
      <c r="D29" s="125"/>
      <c r="E29" s="125"/>
      <c r="F29" s="125"/>
      <c r="G29" s="125"/>
      <c r="H29" s="125"/>
      <c r="I29" s="126"/>
      <c r="J29" s="48"/>
      <c r="K29" s="48"/>
      <c r="L29" s="48"/>
      <c r="M29" s="48"/>
    </row>
    <row r="30" spans="1:13" ht="20.25" x14ac:dyDescent="0.3">
      <c r="A30" s="128"/>
      <c r="B30" s="129"/>
      <c r="C30" s="129"/>
      <c r="D30" s="129"/>
      <c r="E30" s="129"/>
      <c r="F30" s="129"/>
      <c r="G30" s="129"/>
      <c r="H30" s="129"/>
      <c r="I30" s="130"/>
      <c r="J30" s="48"/>
      <c r="K30" s="48"/>
      <c r="L30" s="48"/>
      <c r="M30" s="48"/>
    </row>
    <row r="31" spans="1:13" ht="20.25" x14ac:dyDescent="0.3">
      <c r="A31" s="52" t="s">
        <v>31</v>
      </c>
      <c r="B31" s="52"/>
      <c r="C31" s="52"/>
      <c r="D31" s="52"/>
      <c r="E31" s="52"/>
      <c r="F31" s="52"/>
      <c r="G31" s="52"/>
      <c r="H31" s="52"/>
      <c r="I31" s="52"/>
      <c r="J31" s="48"/>
      <c r="K31" s="48"/>
      <c r="L31" s="48"/>
      <c r="M31" s="48"/>
    </row>
    <row r="32" spans="1:13" ht="20.25" x14ac:dyDescent="0.3">
      <c r="A32" s="53"/>
      <c r="B32" s="53"/>
      <c r="C32" s="53"/>
      <c r="D32" s="53"/>
      <c r="E32" s="53"/>
      <c r="F32" s="53"/>
      <c r="G32" s="53"/>
      <c r="H32" s="53"/>
      <c r="I32" s="53"/>
      <c r="J32" s="48"/>
      <c r="K32" s="48"/>
      <c r="L32" s="48"/>
      <c r="M32" s="48"/>
    </row>
    <row r="33" spans="1:9" ht="20.25" x14ac:dyDescent="0.3">
      <c r="A33" s="53"/>
      <c r="B33" s="53"/>
      <c r="C33" s="53"/>
      <c r="D33" s="53"/>
      <c r="E33" s="53"/>
      <c r="F33" s="53"/>
      <c r="G33" s="53"/>
      <c r="H33" s="53"/>
      <c r="I33" s="53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8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1:I31"/>
    <mergeCell ref="A32:I32"/>
    <mergeCell ref="A33:I33"/>
    <mergeCell ref="A29:I29"/>
    <mergeCell ref="A30:I30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AB5A58-DE2D-4A7E-948C-B6CAC2B7154D}"/>
</file>

<file path=customXml/itemProps3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Ganache Lila</vt:lpstr>
      <vt:lpstr>'Ganache Lila'!Área_de_impresión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2026-04-27T22:49:45Z</cp:lastPrinted>
  <dcterms:created xsi:type="dcterms:W3CDTF">2025-01-06T20:55:42Z</dcterms:created>
  <dcterms:modified xsi:type="dcterms:W3CDTF">2026-04-27T22:50:24Z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